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 activeTab="6"/>
  </bookViews>
  <sheets>
    <sheet name="Charts" sheetId="27" r:id="rId1"/>
    <sheet name="Basic" sheetId="1" r:id="rId2"/>
    <sheet name="Division" sheetId="23" r:id="rId3"/>
    <sheet name="Two Big Charts" sheetId="24" r:id="rId4"/>
    <sheet name="All Divisional Charts" sheetId="26" r:id="rId5"/>
    <sheet name="Panchanga" sheetId="28" r:id="rId6"/>
    <sheet name="Calendar" sheetId="29" r:id="rId7"/>
  </sheets>
  <functionGroups builtInGroupCount="18"/>
  <externalReferences>
    <externalReference r:id="rId8"/>
  </externalReferences>
  <definedNames>
    <definedName name="_xlnm._FilterDatabase" localSheetId="1" hidden="1">Basic!$C$12:$C$26</definedName>
    <definedName name="_xlnm._FilterDatabase" localSheetId="2" hidden="1">Division!$C$4:$C$18</definedName>
    <definedName name="CalLatitude">Calendar!$B$75</definedName>
    <definedName name="CalLongitude">Calendar!$D$75</definedName>
    <definedName name="CalMonth">Calendar!$A$1</definedName>
    <definedName name="CalTimeZone">Calendar!$F$75</definedName>
    <definedName name="Lat">Panchanga!$C$1</definedName>
    <definedName name="Long">Panchanga!$F$1</definedName>
    <definedName name="_xlnm.Print_Area" localSheetId="1">Basic!$A$1:$Q$26</definedName>
    <definedName name="_xlnm.Print_Area" localSheetId="2">Division!$A$2:$N$18</definedName>
    <definedName name="StarDeg">[1]DATA!$F$44</definedName>
    <definedName name="TimeZone">Panchanga!$H$1</definedName>
  </definedNames>
  <calcPr calcId="162913"/>
</workbook>
</file>

<file path=xl/calcChain.xml><?xml version="1.0" encoding="utf-8"?>
<calcChain xmlns="http://schemas.openxmlformats.org/spreadsheetml/2006/main">
  <c r="A9" i="28" l="1"/>
  <c r="M2" i="27" l="1"/>
  <c r="F4" i="27" l="1"/>
  <c r="E4" i="27"/>
  <c r="B5" i="1" s="1"/>
  <c r="G4" i="27"/>
  <c r="B6" i="1"/>
  <c r="B4" i="1"/>
  <c r="B3" i="1"/>
  <c r="B2" i="1"/>
  <c r="H4" i="27"/>
  <c r="O4" i="27"/>
  <c r="P4" i="27"/>
  <c r="Q4" i="27"/>
  <c r="N4" i="27"/>
  <c r="K4" i="27"/>
  <c r="L4" i="27"/>
  <c r="M4" i="27"/>
  <c r="J4" i="27"/>
  <c r="R4" i="27"/>
  <c r="I4" i="27" l="1"/>
  <c r="S4" i="27"/>
  <c r="T4" i="27"/>
  <c r="U4" i="27" s="1"/>
  <c r="V4" i="27" s="1"/>
  <c r="W4" i="27" s="1"/>
  <c r="X4" i="27" s="1"/>
  <c r="A8" i="28" l="1"/>
  <c r="A7" i="28" s="1"/>
  <c r="B8" i="28" l="1"/>
  <c r="A6" i="28"/>
  <c r="A5" i="28" s="1"/>
  <c r="B7" i="28"/>
  <c r="B6" i="28"/>
  <c r="A1" i="29"/>
  <c r="A3" i="29" s="1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D8" i="28"/>
  <c r="D7" i="28"/>
  <c r="D6" i="28"/>
  <c r="C8" i="28"/>
  <c r="C7" i="28"/>
  <c r="C6" i="28"/>
  <c r="E6" i="28" l="1"/>
  <c r="E7" i="28"/>
  <c r="E8" i="28"/>
  <c r="H7" i="28"/>
  <c r="H6" i="28"/>
  <c r="A4" i="28"/>
  <c r="B5" i="28"/>
  <c r="B3" i="29"/>
  <c r="H8" i="28"/>
  <c r="A38" i="28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X6" i="28"/>
  <c r="S6" i="28"/>
  <c r="T6" i="28"/>
  <c r="F6" i="28"/>
  <c r="T8" i="28"/>
  <c r="S8" i="28"/>
  <c r="V8" i="28"/>
  <c r="W8" i="28"/>
  <c r="F7" i="28"/>
  <c r="W7" i="28"/>
  <c r="X7" i="28"/>
  <c r="U7" i="28"/>
  <c r="C5" i="28"/>
  <c r="G6" i="28"/>
  <c r="V6" i="28"/>
  <c r="U6" i="28"/>
  <c r="W6" i="28"/>
  <c r="G8" i="28"/>
  <c r="F8" i="28"/>
  <c r="X8" i="28"/>
  <c r="U8" i="28"/>
  <c r="I8" i="28"/>
  <c r="T7" i="28"/>
  <c r="S7" i="28"/>
  <c r="V7" i="28"/>
  <c r="D5" i="28"/>
  <c r="G7" i="28"/>
  <c r="B67" i="28" l="1"/>
  <c r="A68" i="28"/>
  <c r="E5" i="28"/>
  <c r="R6" i="28"/>
  <c r="Y6" i="28"/>
  <c r="R7" i="28"/>
  <c r="Y7" i="28"/>
  <c r="Q8" i="28"/>
  <c r="N8" i="28" s="1"/>
  <c r="P8" i="28"/>
  <c r="Q6" i="28"/>
  <c r="N6" i="28" s="1"/>
  <c r="Q7" i="28"/>
  <c r="N7" i="28" s="1"/>
  <c r="P7" i="28"/>
  <c r="O7" i="28" s="1"/>
  <c r="J7" i="28"/>
  <c r="P6" i="28"/>
  <c r="O8" i="28"/>
  <c r="L8" i="28"/>
  <c r="M8" i="28" s="1"/>
  <c r="K8" i="28"/>
  <c r="J6" i="28"/>
  <c r="C3" i="29"/>
  <c r="A3" i="28"/>
  <c r="B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9" i="28"/>
  <c r="G3" i="27"/>
  <c r="F3" i="27"/>
  <c r="E3" i="27"/>
  <c r="G2" i="27"/>
  <c r="B7" i="1"/>
  <c r="B9" i="1" s="1"/>
  <c r="R2" i="27"/>
  <c r="P2" i="27"/>
  <c r="K2" i="27"/>
  <c r="L2" i="27"/>
  <c r="O2" i="27"/>
  <c r="N2" i="27"/>
  <c r="Q2" i="27"/>
  <c r="J2" i="27"/>
  <c r="H2" i="27"/>
  <c r="P3" i="27"/>
  <c r="N3" i="27"/>
  <c r="O3" i="27"/>
  <c r="L3" i="27"/>
  <c r="M3" i="27"/>
  <c r="R3" i="27"/>
  <c r="K3" i="27"/>
  <c r="Q3" i="27"/>
  <c r="J3" i="27"/>
  <c r="H3" i="27"/>
  <c r="F20" i="1"/>
  <c r="F14" i="1"/>
  <c r="F19" i="1"/>
  <c r="F16" i="1"/>
  <c r="F13" i="1"/>
  <c r="F17" i="1"/>
  <c r="B8" i="1"/>
  <c r="F12" i="1"/>
  <c r="F18" i="1"/>
  <c r="F15" i="1"/>
  <c r="I7" i="28"/>
  <c r="F5" i="28"/>
  <c r="X5" i="28"/>
  <c r="T5" i="28"/>
  <c r="G5" i="28"/>
  <c r="D4" i="28"/>
  <c r="I5" i="28"/>
  <c r="D67" i="28"/>
  <c r="C35" i="28"/>
  <c r="C36" i="28"/>
  <c r="C37" i="28"/>
  <c r="C38" i="28"/>
  <c r="C39" i="28"/>
  <c r="C40" i="28"/>
  <c r="C41" i="28"/>
  <c r="C42" i="28"/>
  <c r="C43" i="28"/>
  <c r="C44" i="28"/>
  <c r="C46" i="28"/>
  <c r="C47" i="28"/>
  <c r="C48" i="28"/>
  <c r="C49" i="28"/>
  <c r="C50" i="28"/>
  <c r="C51" i="28"/>
  <c r="C52" i="28"/>
  <c r="C54" i="28"/>
  <c r="C55" i="28"/>
  <c r="C56" i="28"/>
  <c r="C58" i="28"/>
  <c r="C59" i="28"/>
  <c r="C60" i="28"/>
  <c r="C61" i="28"/>
  <c r="C62" i="28"/>
  <c r="C63" i="28"/>
  <c r="C64" i="28"/>
  <c r="C66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9" i="28"/>
  <c r="C45" i="28"/>
  <c r="C53" i="28"/>
  <c r="C57" i="28"/>
  <c r="C65" i="28"/>
  <c r="S5" i="28"/>
  <c r="U5" i="28"/>
  <c r="W5" i="28"/>
  <c r="V5" i="28"/>
  <c r="I6" i="28"/>
  <c r="C4" i="28"/>
  <c r="C67" i="28"/>
  <c r="D35" i="28"/>
  <c r="D36" i="28"/>
  <c r="D37" i="28"/>
  <c r="D38" i="28"/>
  <c r="D39" i="28"/>
  <c r="D40" i="28"/>
  <c r="D41" i="28"/>
  <c r="D42" i="28"/>
  <c r="D43" i="28"/>
  <c r="D44" i="28"/>
  <c r="D46" i="28"/>
  <c r="D48" i="28"/>
  <c r="D49" i="28"/>
  <c r="D50" i="28"/>
  <c r="D51" i="28"/>
  <c r="D52" i="28"/>
  <c r="D54" i="28"/>
  <c r="D55" i="28"/>
  <c r="D56" i="28"/>
  <c r="D58" i="28"/>
  <c r="D59" i="28"/>
  <c r="D61" i="28"/>
  <c r="D62" i="28"/>
  <c r="D64" i="28"/>
  <c r="D66" i="28"/>
  <c r="D11" i="28"/>
  <c r="D12" i="28"/>
  <c r="D14" i="28"/>
  <c r="D16" i="28"/>
  <c r="D18" i="28"/>
  <c r="D20" i="28"/>
  <c r="D21" i="28"/>
  <c r="D23" i="28"/>
  <c r="D25" i="28"/>
  <c r="D26" i="28"/>
  <c r="D28" i="28"/>
  <c r="D30" i="28"/>
  <c r="D32" i="28"/>
  <c r="D33" i="28"/>
  <c r="D9" i="28"/>
  <c r="D53" i="28"/>
  <c r="D57" i="28"/>
  <c r="D47" i="28"/>
  <c r="D60" i="28"/>
  <c r="D63" i="28"/>
  <c r="D10" i="28"/>
  <c r="D13" i="28"/>
  <c r="D15" i="28"/>
  <c r="D17" i="28"/>
  <c r="D19" i="28"/>
  <c r="D22" i="28"/>
  <c r="D24" i="28"/>
  <c r="D27" i="28"/>
  <c r="D29" i="28"/>
  <c r="D31" i="28"/>
  <c r="D34" i="28"/>
  <c r="D45" i="28"/>
  <c r="D65" i="28"/>
  <c r="L7" i="28" l="1"/>
  <c r="M7" i="28" s="1"/>
  <c r="E65" i="28"/>
  <c r="E57" i="28"/>
  <c r="E53" i="28"/>
  <c r="E45" i="28"/>
  <c r="E9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66" i="28"/>
  <c r="E64" i="28"/>
  <c r="E63" i="28"/>
  <c r="E62" i="28"/>
  <c r="E61" i="28"/>
  <c r="E60" i="28"/>
  <c r="E59" i="28"/>
  <c r="E58" i="28"/>
  <c r="E56" i="28"/>
  <c r="E55" i="28"/>
  <c r="E54" i="28"/>
  <c r="E52" i="28"/>
  <c r="E51" i="28"/>
  <c r="E50" i="28"/>
  <c r="E49" i="28"/>
  <c r="E48" i="28"/>
  <c r="E47" i="28"/>
  <c r="E46" i="28"/>
  <c r="E44" i="28"/>
  <c r="E43" i="28"/>
  <c r="E42" i="28"/>
  <c r="E41" i="28"/>
  <c r="E40" i="28"/>
  <c r="E39" i="28"/>
  <c r="E38" i="28"/>
  <c r="E37" i="28"/>
  <c r="E36" i="28"/>
  <c r="E35" i="28"/>
  <c r="E67" i="28"/>
  <c r="H67" i="28" s="1"/>
  <c r="A69" i="28"/>
  <c r="B68" i="28"/>
  <c r="E4" i="28"/>
  <c r="Y5" i="28"/>
  <c r="R5" i="28"/>
  <c r="B3" i="28"/>
  <c r="S3" i="27"/>
  <c r="I3" i="27"/>
  <c r="I2" i="27"/>
  <c r="H15" i="1"/>
  <c r="H16" i="1"/>
  <c r="H13" i="1"/>
  <c r="H14" i="1"/>
  <c r="H17" i="1"/>
  <c r="H19" i="1"/>
  <c r="H20" i="1"/>
  <c r="H12" i="1"/>
  <c r="H18" i="1"/>
  <c r="D3" i="29"/>
  <c r="Q5" i="28"/>
  <c r="N5" i="28" s="1"/>
  <c r="K7" i="28"/>
  <c r="P5" i="28"/>
  <c r="O6" i="28"/>
  <c r="L6" i="28"/>
  <c r="M6" i="28" s="1"/>
  <c r="K6" i="28"/>
  <c r="F21" i="1"/>
  <c r="H21" i="1" s="1"/>
  <c r="E3" i="29"/>
  <c r="J5" i="28"/>
  <c r="H5" i="28"/>
  <c r="H10" i="26"/>
  <c r="C46" i="26"/>
  <c r="H22" i="26"/>
  <c r="M40" i="26"/>
  <c r="M46" i="26"/>
  <c r="C34" i="26"/>
  <c r="H4" i="26"/>
  <c r="C22" i="26"/>
  <c r="H28" i="26"/>
  <c r="C52" i="26"/>
  <c r="H58" i="26"/>
  <c r="C40" i="26"/>
  <c r="H34" i="26"/>
  <c r="H40" i="26"/>
  <c r="C10" i="26"/>
  <c r="M34" i="26"/>
  <c r="M10" i="26"/>
  <c r="M58" i="26"/>
  <c r="M28" i="26"/>
  <c r="C4" i="26"/>
  <c r="H16" i="26"/>
  <c r="M52" i="26"/>
  <c r="C58" i="26"/>
  <c r="H52" i="26"/>
  <c r="M22" i="26"/>
  <c r="C4" i="24"/>
  <c r="H46" i="26"/>
  <c r="M4" i="26"/>
  <c r="C28" i="26"/>
  <c r="M16" i="26"/>
  <c r="H4" i="24"/>
  <c r="C16" i="26"/>
  <c r="B69" i="28" l="1"/>
  <c r="A70" i="28"/>
  <c r="O5" i="28"/>
  <c r="L5" i="28"/>
  <c r="K5" i="28"/>
  <c r="F3" i="29"/>
  <c r="H4" i="28"/>
  <c r="F9" i="23"/>
  <c r="S2" i="27"/>
  <c r="T3" i="27"/>
  <c r="U3" i="27" s="1"/>
  <c r="V3" i="27" s="1"/>
  <c r="W3" i="27" s="1"/>
  <c r="X3" i="27" s="1"/>
  <c r="F6" i="23"/>
  <c r="F5" i="23"/>
  <c r="F22" i="1"/>
  <c r="H22" i="1" s="1"/>
  <c r="F7" i="23"/>
  <c r="F11" i="23"/>
  <c r="T2" i="27"/>
  <c r="U2" i="27" s="1"/>
  <c r="V2" i="27" s="1"/>
  <c r="W2" i="27" s="1"/>
  <c r="X2" i="27" s="1"/>
  <c r="F10" i="23"/>
  <c r="F4" i="23"/>
  <c r="F12" i="23"/>
  <c r="F8" i="23"/>
  <c r="X65" i="28"/>
  <c r="T65" i="28"/>
  <c r="U65" i="28"/>
  <c r="S53" i="28"/>
  <c r="W53" i="28"/>
  <c r="U53" i="28"/>
  <c r="V53" i="28"/>
  <c r="U9" i="28"/>
  <c r="T9" i="28"/>
  <c r="X9" i="28"/>
  <c r="W33" i="28"/>
  <c r="X33" i="28"/>
  <c r="U33" i="28"/>
  <c r="F33" i="28"/>
  <c r="X31" i="28"/>
  <c r="W31" i="28"/>
  <c r="S31" i="28"/>
  <c r="V29" i="28"/>
  <c r="F29" i="28"/>
  <c r="U29" i="28"/>
  <c r="T29" i="28"/>
  <c r="F27" i="28"/>
  <c r="T27" i="28"/>
  <c r="X27" i="28"/>
  <c r="V25" i="28"/>
  <c r="T25" i="28"/>
  <c r="X25" i="28"/>
  <c r="F25" i="28"/>
  <c r="X23" i="28"/>
  <c r="W23" i="28"/>
  <c r="F23" i="28"/>
  <c r="V21" i="28"/>
  <c r="U21" i="28"/>
  <c r="W21" i="28"/>
  <c r="S21" i="28"/>
  <c r="S19" i="28"/>
  <c r="T19" i="28"/>
  <c r="F19" i="28"/>
  <c r="V17" i="28"/>
  <c r="X17" i="28"/>
  <c r="F17" i="28"/>
  <c r="S17" i="28"/>
  <c r="X15" i="28"/>
  <c r="W15" i="28"/>
  <c r="S15" i="28"/>
  <c r="V13" i="28"/>
  <c r="S13" i="28"/>
  <c r="W13" i="28"/>
  <c r="U13" i="28"/>
  <c r="F11" i="28"/>
  <c r="T11" i="28"/>
  <c r="S11" i="28"/>
  <c r="U66" i="28"/>
  <c r="T66" i="28"/>
  <c r="X66" i="28"/>
  <c r="V66" i="28"/>
  <c r="X63" i="28"/>
  <c r="W63" i="28"/>
  <c r="S63" i="28"/>
  <c r="V61" i="28"/>
  <c r="U61" i="28"/>
  <c r="T61" i="28"/>
  <c r="S61" i="28"/>
  <c r="F59" i="28"/>
  <c r="T59" i="28"/>
  <c r="X59" i="28"/>
  <c r="W56" i="28"/>
  <c r="F56" i="28"/>
  <c r="V56" i="28"/>
  <c r="S56" i="28"/>
  <c r="V54" i="28"/>
  <c r="U54" i="28"/>
  <c r="T54" i="28"/>
  <c r="U51" i="28"/>
  <c r="W51" i="28"/>
  <c r="V51" i="28"/>
  <c r="X51" i="28"/>
  <c r="S49" i="28"/>
  <c r="X49" i="28"/>
  <c r="T49" i="28"/>
  <c r="V47" i="28"/>
  <c r="U47" i="28"/>
  <c r="T47" i="28"/>
  <c r="S47" i="28"/>
  <c r="X44" i="28"/>
  <c r="W44" i="28"/>
  <c r="T44" i="28"/>
  <c r="U42" i="28"/>
  <c r="T42" i="28"/>
  <c r="X42" i="28"/>
  <c r="F42" i="28"/>
  <c r="U40" i="28"/>
  <c r="T40" i="28"/>
  <c r="X40" i="28"/>
  <c r="F38" i="28"/>
  <c r="X38" i="28"/>
  <c r="S38" i="28"/>
  <c r="T38" i="28"/>
  <c r="X36" i="28"/>
  <c r="T36" i="28"/>
  <c r="S36" i="28"/>
  <c r="W67" i="28"/>
  <c r="V67" i="28"/>
  <c r="S67" i="28"/>
  <c r="T67" i="28"/>
  <c r="G9" i="28"/>
  <c r="S57" i="28"/>
  <c r="U57" i="28"/>
  <c r="V57" i="28"/>
  <c r="S45" i="28"/>
  <c r="U45" i="28"/>
  <c r="F45" i="28"/>
  <c r="V45" i="28"/>
  <c r="W34" i="28"/>
  <c r="S34" i="28"/>
  <c r="F34" i="28"/>
  <c r="W32" i="28"/>
  <c r="X32" i="28"/>
  <c r="F32" i="28"/>
  <c r="S32" i="28"/>
  <c r="W30" i="28"/>
  <c r="U30" i="28"/>
  <c r="V30" i="28"/>
  <c r="V28" i="28"/>
  <c r="U28" i="28"/>
  <c r="W28" i="28"/>
  <c r="F28" i="28"/>
  <c r="F65" i="28"/>
  <c r="V65" i="28"/>
  <c r="S65" i="28"/>
  <c r="W65" i="28"/>
  <c r="F53" i="28"/>
  <c r="T53" i="28"/>
  <c r="X53" i="28"/>
  <c r="W9" i="28"/>
  <c r="S9" i="28"/>
  <c r="V9" i="28"/>
  <c r="F9" i="28"/>
  <c r="V33" i="28"/>
  <c r="T33" i="28"/>
  <c r="S33" i="28"/>
  <c r="V31" i="28"/>
  <c r="U31" i="28"/>
  <c r="T31" i="28"/>
  <c r="F31" i="28"/>
  <c r="X29" i="28"/>
  <c r="W29" i="28"/>
  <c r="S29" i="28"/>
  <c r="U27" i="28"/>
  <c r="W27" i="28"/>
  <c r="S27" i="28"/>
  <c r="V27" i="28"/>
  <c r="U25" i="28"/>
  <c r="W25" i="28"/>
  <c r="S25" i="28"/>
  <c r="V23" i="28"/>
  <c r="U23" i="28"/>
  <c r="T23" i="28"/>
  <c r="S23" i="28"/>
  <c r="X21" i="28"/>
  <c r="T21" i="28"/>
  <c r="F21" i="28"/>
  <c r="U19" i="28"/>
  <c r="W19" i="28"/>
  <c r="V19" i="28"/>
  <c r="X19" i="28"/>
  <c r="W17" i="28"/>
  <c r="U17" i="28"/>
  <c r="T17" i="28"/>
  <c r="V15" i="28"/>
  <c r="U15" i="28"/>
  <c r="T15" i="28"/>
  <c r="F15" i="28"/>
  <c r="X13" i="28"/>
  <c r="F13" i="28"/>
  <c r="T13" i="28"/>
  <c r="U11" i="28"/>
  <c r="W11" i="28"/>
  <c r="V11" i="28"/>
  <c r="S66" i="28"/>
  <c r="V63" i="28"/>
  <c r="T63" i="28"/>
  <c r="X61" i="28"/>
  <c r="W61" i="28"/>
  <c r="W59" i="28"/>
  <c r="V59" i="28"/>
  <c r="T56" i="28"/>
  <c r="F54" i="28"/>
  <c r="W54" i="28"/>
  <c r="S51" i="28"/>
  <c r="F51" i="28"/>
  <c r="V49" i="28"/>
  <c r="F49" i="28"/>
  <c r="W47" i="28"/>
  <c r="V44" i="28"/>
  <c r="U44" i="28"/>
  <c r="W42" i="28"/>
  <c r="S42" i="28"/>
  <c r="F40" i="28"/>
  <c r="S40" i="28"/>
  <c r="U38" i="28"/>
  <c r="V36" i="28"/>
  <c r="W36" i="28"/>
  <c r="U67" i="28"/>
  <c r="X67" i="28"/>
  <c r="F57" i="28"/>
  <c r="X57" i="28"/>
  <c r="T45" i="28"/>
  <c r="X45" i="28"/>
  <c r="T34" i="28"/>
  <c r="V34" i="28"/>
  <c r="U32" i="28"/>
  <c r="S30" i="28"/>
  <c r="F30" i="28"/>
  <c r="X28" i="28"/>
  <c r="S28" i="28"/>
  <c r="W26" i="28"/>
  <c r="V26" i="28"/>
  <c r="F26" i="28"/>
  <c r="W24" i="28"/>
  <c r="F24" i="28"/>
  <c r="X24" i="28"/>
  <c r="T24" i="28"/>
  <c r="W22" i="28"/>
  <c r="U22" i="28"/>
  <c r="T22" i="28"/>
  <c r="V20" i="28"/>
  <c r="W20" i="28"/>
  <c r="U20" i="28"/>
  <c r="F20" i="28"/>
  <c r="W18" i="28"/>
  <c r="X18" i="28"/>
  <c r="S18" i="28"/>
  <c r="W16" i="28"/>
  <c r="T16" i="28"/>
  <c r="X16" i="28"/>
  <c r="F16" i="28"/>
  <c r="V14" i="28"/>
  <c r="U14" i="28"/>
  <c r="W14" i="28"/>
  <c r="V12" i="28"/>
  <c r="W12" i="28"/>
  <c r="T12" i="28"/>
  <c r="F12" i="28"/>
  <c r="W10" i="28"/>
  <c r="V10" i="28"/>
  <c r="X10" i="28"/>
  <c r="W64" i="28"/>
  <c r="X64" i="28"/>
  <c r="F64" i="28"/>
  <c r="T64" i="28"/>
  <c r="V62" i="28"/>
  <c r="U62" i="28"/>
  <c r="W62" i="28"/>
  <c r="V60" i="28"/>
  <c r="S60" i="28"/>
  <c r="U60" i="28"/>
  <c r="F60" i="28"/>
  <c r="V58" i="28"/>
  <c r="W58" i="28"/>
  <c r="X58" i="28"/>
  <c r="V55" i="28"/>
  <c r="U55" i="28"/>
  <c r="T55" i="28"/>
  <c r="S55" i="28"/>
  <c r="X52" i="28"/>
  <c r="U52" i="28"/>
  <c r="T52" i="28"/>
  <c r="U50" i="28"/>
  <c r="T50" i="28"/>
  <c r="X50" i="28"/>
  <c r="F50" i="28"/>
  <c r="U48" i="28"/>
  <c r="V48" i="28"/>
  <c r="F48" i="28"/>
  <c r="S46" i="28"/>
  <c r="X46" i="28"/>
  <c r="F46" i="28"/>
  <c r="T46" i="28"/>
  <c r="F43" i="28"/>
  <c r="T43" i="28"/>
  <c r="S43" i="28"/>
  <c r="W41" i="28"/>
  <c r="S41" i="28"/>
  <c r="V41" i="28"/>
  <c r="F41" i="28"/>
  <c r="X39" i="28"/>
  <c r="S39" i="28"/>
  <c r="T39" i="28"/>
  <c r="V37" i="28"/>
  <c r="U37" i="28"/>
  <c r="W37" i="28"/>
  <c r="S37" i="28"/>
  <c r="S35" i="28"/>
  <c r="T35" i="28"/>
  <c r="V35" i="28"/>
  <c r="U4" i="28"/>
  <c r="G4" i="28"/>
  <c r="W4" i="28"/>
  <c r="T4" i="28"/>
  <c r="D3" i="28"/>
  <c r="I4" i="28"/>
  <c r="C68" i="28"/>
  <c r="X11" i="28"/>
  <c r="W66" i="28"/>
  <c r="F66" i="28"/>
  <c r="U63" i="28"/>
  <c r="F63" i="28"/>
  <c r="F61" i="28"/>
  <c r="U59" i="28"/>
  <c r="S59" i="28"/>
  <c r="U56" i="28"/>
  <c r="X56" i="28"/>
  <c r="X54" i="28"/>
  <c r="S54" i="28"/>
  <c r="T51" i="28"/>
  <c r="W49" i="28"/>
  <c r="U49" i="28"/>
  <c r="X47" i="28"/>
  <c r="F47" i="28"/>
  <c r="S44" i="28"/>
  <c r="F44" i="28"/>
  <c r="V42" i="28"/>
  <c r="W40" i="28"/>
  <c r="V40" i="28"/>
  <c r="V38" i="28"/>
  <c r="W38" i="28"/>
  <c r="U36" i="28"/>
  <c r="F36" i="28"/>
  <c r="G67" i="28"/>
  <c r="F67" i="28"/>
  <c r="T57" i="28"/>
  <c r="W57" i="28"/>
  <c r="W45" i="28"/>
  <c r="U34" i="28"/>
  <c r="X34" i="28"/>
  <c r="V32" i="28"/>
  <c r="T32" i="28"/>
  <c r="X30" i="28"/>
  <c r="T30" i="28"/>
  <c r="T28" i="28"/>
  <c r="U26" i="28"/>
  <c r="T26" i="28"/>
  <c r="X26" i="28"/>
  <c r="S26" i="28"/>
  <c r="S24" i="28"/>
  <c r="V24" i="28"/>
  <c r="U24" i="28"/>
  <c r="F22" i="28"/>
  <c r="X22" i="28"/>
  <c r="V22" i="28"/>
  <c r="S22" i="28"/>
  <c r="X20" i="28"/>
  <c r="T20" i="28"/>
  <c r="S20" i="28"/>
  <c r="U18" i="28"/>
  <c r="T18" i="28"/>
  <c r="V18" i="28"/>
  <c r="F18" i="28"/>
  <c r="U16" i="28"/>
  <c r="V16" i="28"/>
  <c r="S16" i="28"/>
  <c r="S14" i="28"/>
  <c r="X14" i="28"/>
  <c r="F14" i="28"/>
  <c r="T14" i="28"/>
  <c r="X12" i="28"/>
  <c r="U12" i="28"/>
  <c r="S12" i="28"/>
  <c r="U10" i="28"/>
  <c r="T10" i="28"/>
  <c r="S10" i="28"/>
  <c r="F10" i="28"/>
  <c r="V64" i="28"/>
  <c r="U64" i="28"/>
  <c r="S64" i="28"/>
  <c r="S62" i="28"/>
  <c r="X62" i="28"/>
  <c r="F62" i="28"/>
  <c r="T62" i="28"/>
  <c r="X60" i="28"/>
  <c r="W60" i="28"/>
  <c r="T60" i="28"/>
  <c r="U58" i="28"/>
  <c r="T58" i="28"/>
  <c r="S58" i="28"/>
  <c r="F58" i="28"/>
  <c r="X55" i="28"/>
  <c r="W55" i="28"/>
  <c r="F55" i="28"/>
  <c r="V52" i="28"/>
  <c r="W52" i="28"/>
  <c r="S52" i="28"/>
  <c r="F52" i="28"/>
  <c r="W50" i="28"/>
  <c r="S50" i="28"/>
  <c r="V50" i="28"/>
  <c r="W48" i="28"/>
  <c r="T48" i="28"/>
  <c r="X48" i="28"/>
  <c r="S48" i="28"/>
  <c r="V46" i="28"/>
  <c r="U46" i="28"/>
  <c r="W46" i="28"/>
  <c r="U43" i="28"/>
  <c r="W43" i="28"/>
  <c r="X43" i="28"/>
  <c r="V43" i="28"/>
  <c r="U41" i="28"/>
  <c r="T41" i="28"/>
  <c r="X41" i="28"/>
  <c r="V39" i="28"/>
  <c r="U39" i="28"/>
  <c r="W39" i="28"/>
  <c r="F39" i="28"/>
  <c r="X37" i="28"/>
  <c r="T37" i="28"/>
  <c r="F37" i="28"/>
  <c r="U35" i="28"/>
  <c r="W35" i="28"/>
  <c r="F35" i="28"/>
  <c r="X35" i="28"/>
  <c r="X4" i="28"/>
  <c r="S4" i="28"/>
  <c r="F4" i="28"/>
  <c r="V4" i="28"/>
  <c r="C3" i="28"/>
  <c r="D68" i="28"/>
  <c r="I67" i="28"/>
  <c r="I9" i="28"/>
  <c r="G28" i="28"/>
  <c r="G20" i="28"/>
  <c r="G52" i="28"/>
  <c r="G15" i="28"/>
  <c r="G22" i="28"/>
  <c r="G62" i="28"/>
  <c r="G12" i="28"/>
  <c r="G33" i="28"/>
  <c r="G31" i="28"/>
  <c r="G64" i="28"/>
  <c r="G57" i="28"/>
  <c r="G40" i="28"/>
  <c r="G29" i="28"/>
  <c r="I22" i="28"/>
  <c r="G16" i="28"/>
  <c r="G25" i="28"/>
  <c r="G24" i="28"/>
  <c r="G44" i="28"/>
  <c r="G26" i="28"/>
  <c r="G34" i="28"/>
  <c r="G59" i="28"/>
  <c r="G47" i="28"/>
  <c r="G49" i="28"/>
  <c r="I16" i="28"/>
  <c r="G41" i="28"/>
  <c r="G39" i="28"/>
  <c r="G21" i="28"/>
  <c r="G45" i="28"/>
  <c r="G55" i="28"/>
  <c r="D69" i="28"/>
  <c r="G66" i="28"/>
  <c r="G61" i="28"/>
  <c r="G11" i="28"/>
  <c r="G14" i="28"/>
  <c r="G51" i="28"/>
  <c r="I66" i="28"/>
  <c r="G38" i="28"/>
  <c r="G35" i="28"/>
  <c r="G10" i="28"/>
  <c r="I10" i="28" s="1"/>
  <c r="G65" i="28"/>
  <c r="G27" i="28"/>
  <c r="G19" i="28"/>
  <c r="G50" i="28"/>
  <c r="G30" i="28"/>
  <c r="G63" i="28"/>
  <c r="G56" i="28"/>
  <c r="G43" i="28"/>
  <c r="G13" i="28"/>
  <c r="G54" i="28"/>
  <c r="G37" i="28"/>
  <c r="G23" i="28"/>
  <c r="G60" i="28"/>
  <c r="G46" i="28"/>
  <c r="G17" i="28"/>
  <c r="C69" i="28"/>
  <c r="G53" i="28"/>
  <c r="G18" i="28"/>
  <c r="G36" i="28"/>
  <c r="G48" i="28"/>
  <c r="G58" i="28"/>
  <c r="G32" i="28"/>
  <c r="G42" i="28"/>
  <c r="E3" i="28" l="1"/>
  <c r="Q4" i="28"/>
  <c r="N4" i="28" s="1"/>
  <c r="Y4" i="28"/>
  <c r="R4" i="28"/>
  <c r="Y47" i="28"/>
  <c r="R47" i="28"/>
  <c r="Y49" i="28"/>
  <c r="R49" i="28"/>
  <c r="Y51" i="28"/>
  <c r="R51" i="28"/>
  <c r="Y57" i="28"/>
  <c r="R57" i="28"/>
  <c r="Y61" i="28"/>
  <c r="R61" i="28"/>
  <c r="Y63" i="28"/>
  <c r="R63" i="28"/>
  <c r="Y9" i="28"/>
  <c r="R9" i="28"/>
  <c r="Y11" i="28"/>
  <c r="R11" i="28"/>
  <c r="Y13" i="28"/>
  <c r="R13" i="28"/>
  <c r="Y15" i="28"/>
  <c r="R15" i="28"/>
  <c r="Y19" i="28"/>
  <c r="R19" i="28"/>
  <c r="Y21" i="28"/>
  <c r="R21" i="28"/>
  <c r="Y23" i="28"/>
  <c r="R23" i="28"/>
  <c r="Y25" i="28"/>
  <c r="R25" i="28"/>
  <c r="Q67" i="28"/>
  <c r="N67" i="28" s="1"/>
  <c r="P67" i="28"/>
  <c r="Y43" i="28"/>
  <c r="R43" i="28"/>
  <c r="Y53" i="28"/>
  <c r="R53" i="28"/>
  <c r="Y58" i="28"/>
  <c r="R58" i="28"/>
  <c r="E68" i="28"/>
  <c r="J4" i="28"/>
  <c r="P4" i="28"/>
  <c r="K4" i="28" s="1"/>
  <c r="Y34" i="28"/>
  <c r="R34" i="28"/>
  <c r="Y36" i="28"/>
  <c r="R36" i="28"/>
  <c r="Y38" i="28"/>
  <c r="R38" i="28"/>
  <c r="Y40" i="28"/>
  <c r="R40" i="28"/>
  <c r="Y42" i="28"/>
  <c r="R42" i="28"/>
  <c r="Y45" i="28"/>
  <c r="R45" i="28"/>
  <c r="Y54" i="28"/>
  <c r="R54" i="28"/>
  <c r="Y59" i="28"/>
  <c r="R59" i="28"/>
  <c r="Y17" i="28"/>
  <c r="R17" i="28"/>
  <c r="Y27" i="28"/>
  <c r="R27" i="28"/>
  <c r="Y29" i="28"/>
  <c r="R29" i="28"/>
  <c r="Y39" i="28"/>
  <c r="R39" i="28"/>
  <c r="Y41" i="28"/>
  <c r="R41" i="28"/>
  <c r="Y50" i="28"/>
  <c r="R50" i="28"/>
  <c r="Y65" i="28"/>
  <c r="R65" i="28"/>
  <c r="Y22" i="28"/>
  <c r="R22" i="28"/>
  <c r="Y24" i="28"/>
  <c r="R24" i="28"/>
  <c r="Y26" i="28"/>
  <c r="R26" i="28"/>
  <c r="Y28" i="28"/>
  <c r="R28" i="28"/>
  <c r="Y32" i="28"/>
  <c r="R32" i="28"/>
  <c r="Q9" i="28"/>
  <c r="N9" i="28" s="1"/>
  <c r="Y8" i="28"/>
  <c r="R8" i="28"/>
  <c r="R64" i="28"/>
  <c r="Y64" i="28"/>
  <c r="Y31" i="28"/>
  <c r="R31" i="28"/>
  <c r="Y33" i="28"/>
  <c r="R33" i="28"/>
  <c r="R44" i="28"/>
  <c r="Y44" i="28"/>
  <c r="R56" i="28"/>
  <c r="Y56" i="28"/>
  <c r="P9" i="28"/>
  <c r="J8" i="28"/>
  <c r="Y66" i="28"/>
  <c r="R66" i="28"/>
  <c r="Y35" i="28"/>
  <c r="R35" i="28"/>
  <c r="Y37" i="28"/>
  <c r="R37" i="28"/>
  <c r="Y46" i="28"/>
  <c r="R46" i="28"/>
  <c r="Y48" i="28"/>
  <c r="R48" i="28"/>
  <c r="Y55" i="28"/>
  <c r="R55" i="28"/>
  <c r="Y60" i="28"/>
  <c r="R60" i="28"/>
  <c r="Y62" i="28"/>
  <c r="R62" i="28"/>
  <c r="Y10" i="28"/>
  <c r="R10" i="28"/>
  <c r="Y12" i="28"/>
  <c r="R12" i="28"/>
  <c r="Y14" i="28"/>
  <c r="R14" i="28"/>
  <c r="Y16" i="28"/>
  <c r="R16" i="28"/>
  <c r="Y18" i="28"/>
  <c r="R18" i="28"/>
  <c r="Y20" i="28"/>
  <c r="R20" i="28"/>
  <c r="Y30" i="28"/>
  <c r="R30" i="28"/>
  <c r="R52" i="28"/>
  <c r="Y52" i="28"/>
  <c r="K67" i="28"/>
  <c r="E69" i="28"/>
  <c r="B70" i="28"/>
  <c r="A71" i="28"/>
  <c r="H68" i="28"/>
  <c r="M5" i="28"/>
  <c r="Q56" i="28"/>
  <c r="N56" i="28" s="1"/>
  <c r="Q13" i="28"/>
  <c r="N13" i="28" s="1"/>
  <c r="Q37" i="28"/>
  <c r="N37" i="28" s="1"/>
  <c r="Q19" i="28"/>
  <c r="N19" i="28" s="1"/>
  <c r="Q49" i="28"/>
  <c r="N49" i="28" s="1"/>
  <c r="Q12" i="28"/>
  <c r="N12" i="28" s="1"/>
  <c r="Q58" i="28"/>
  <c r="N58" i="28" s="1"/>
  <c r="Q28" i="28"/>
  <c r="N28" i="28" s="1"/>
  <c r="Q23" i="28"/>
  <c r="N23" i="28" s="1"/>
  <c r="Q10" i="28"/>
  <c r="N10" i="28" s="1"/>
  <c r="Q36" i="28"/>
  <c r="N36" i="28" s="1"/>
  <c r="Q27" i="28"/>
  <c r="N27" i="28" s="1"/>
  <c r="Q62" i="28"/>
  <c r="N62" i="28" s="1"/>
  <c r="Q18" i="28"/>
  <c r="N18" i="28" s="1"/>
  <c r="Q20" i="28"/>
  <c r="N20" i="28" s="1"/>
  <c r="Q33" i="28"/>
  <c r="N33" i="28" s="1"/>
  <c r="Q65" i="28"/>
  <c r="N65" i="28" s="1"/>
  <c r="Q64" i="28"/>
  <c r="N64" i="28" s="1"/>
  <c r="Q24" i="28"/>
  <c r="N24" i="28" s="1"/>
  <c r="Q21" i="28"/>
  <c r="N21" i="28" s="1"/>
  <c r="Q59" i="28"/>
  <c r="N59" i="28" s="1"/>
  <c r="Q40" i="28"/>
  <c r="N40" i="28" s="1"/>
  <c r="Q38" i="28"/>
  <c r="N38" i="28" s="1"/>
  <c r="Q54" i="28"/>
  <c r="N54" i="28" s="1"/>
  <c r="Q34" i="28"/>
  <c r="N34" i="28" s="1"/>
  <c r="Q14" i="28"/>
  <c r="N14" i="28" s="1"/>
  <c r="Q55" i="28"/>
  <c r="N55" i="28" s="1"/>
  <c r="Q16" i="28"/>
  <c r="N16" i="28" s="1"/>
  <c r="Q31" i="28"/>
  <c r="N31" i="28" s="1"/>
  <c r="Q44" i="28"/>
  <c r="N44" i="28" s="1"/>
  <c r="Q39" i="28"/>
  <c r="N39" i="28" s="1"/>
  <c r="Q25" i="28"/>
  <c r="N25" i="28" s="1"/>
  <c r="Q29" i="28"/>
  <c r="N29" i="28" s="1"/>
  <c r="Q17" i="28"/>
  <c r="N17" i="28" s="1"/>
  <c r="Q35" i="28"/>
  <c r="N35" i="28" s="1"/>
  <c r="Q43" i="28"/>
  <c r="N43" i="28" s="1"/>
  <c r="Q46" i="28"/>
  <c r="N46" i="28" s="1"/>
  <c r="Q15" i="28"/>
  <c r="N15" i="28" s="1"/>
  <c r="Q60" i="28"/>
  <c r="N60" i="28" s="1"/>
  <c r="Q22" i="28"/>
  <c r="N22" i="28" s="1"/>
  <c r="Q41" i="28"/>
  <c r="N41" i="28" s="1"/>
  <c r="Q32" i="28"/>
  <c r="N32" i="28" s="1"/>
  <c r="Q42" i="28"/>
  <c r="N42" i="28" s="1"/>
  <c r="Q11" i="28"/>
  <c r="N11" i="28" s="1"/>
  <c r="Q57" i="28"/>
  <c r="N57" i="28" s="1"/>
  <c r="Q26" i="28"/>
  <c r="N26" i="28" s="1"/>
  <c r="Q48" i="28"/>
  <c r="N48" i="28" s="1"/>
  <c r="Q61" i="28"/>
  <c r="N61" i="28" s="1"/>
  <c r="Q45" i="28"/>
  <c r="N45" i="28" s="1"/>
  <c r="Q52" i="28"/>
  <c r="N52" i="28" s="1"/>
  <c r="Q51" i="28"/>
  <c r="N51" i="28" s="1"/>
  <c r="Q63" i="28"/>
  <c r="N63" i="28" s="1"/>
  <c r="Q30" i="28"/>
  <c r="N30" i="28" s="1"/>
  <c r="Q50" i="28"/>
  <c r="N50" i="28" s="1"/>
  <c r="Q66" i="28"/>
  <c r="N66" i="28" s="1"/>
  <c r="Q47" i="28"/>
  <c r="N47" i="28" s="1"/>
  <c r="Q53" i="28"/>
  <c r="N53" i="28" s="1"/>
  <c r="P19" i="28"/>
  <c r="P31" i="28"/>
  <c r="P58" i="28"/>
  <c r="P25" i="28"/>
  <c r="P12" i="28"/>
  <c r="P18" i="28"/>
  <c r="P62" i="28"/>
  <c r="P14" i="28"/>
  <c r="P28" i="28"/>
  <c r="P42" i="28"/>
  <c r="P39" i="28"/>
  <c r="P17" i="28"/>
  <c r="P48" i="28"/>
  <c r="P29" i="28"/>
  <c r="P53" i="28"/>
  <c r="P47" i="28"/>
  <c r="P43" i="28"/>
  <c r="P24" i="28"/>
  <c r="P52" i="28"/>
  <c r="P33" i="28"/>
  <c r="P59" i="28"/>
  <c r="P55" i="28"/>
  <c r="P64" i="28"/>
  <c r="P26" i="28"/>
  <c r="P20" i="28"/>
  <c r="P16" i="28"/>
  <c r="P50" i="28"/>
  <c r="P36" i="28"/>
  <c r="P49" i="28"/>
  <c r="P51" i="28"/>
  <c r="P21" i="28"/>
  <c r="P41" i="28"/>
  <c r="P13" i="28"/>
  <c r="P54" i="28"/>
  <c r="P38" i="28"/>
  <c r="P65" i="28"/>
  <c r="P27" i="28"/>
  <c r="P35" i="28"/>
  <c r="P40" i="28"/>
  <c r="P15" i="28"/>
  <c r="P46" i="28"/>
  <c r="P56" i="28"/>
  <c r="P61" i="28"/>
  <c r="P60" i="28"/>
  <c r="P34" i="28"/>
  <c r="P32" i="28"/>
  <c r="P23" i="28"/>
  <c r="P11" i="28"/>
  <c r="P44" i="28"/>
  <c r="P30" i="28"/>
  <c r="P45" i="28"/>
  <c r="P10" i="28"/>
  <c r="P37" i="28"/>
  <c r="P22" i="28"/>
  <c r="P66" i="28"/>
  <c r="P63" i="28"/>
  <c r="P57" i="28"/>
  <c r="O9" i="28"/>
  <c r="L9" i="28"/>
  <c r="M9" i="28" s="1"/>
  <c r="K9" i="28"/>
  <c r="O4" i="28"/>
  <c r="L4" i="28"/>
  <c r="G3" i="29"/>
  <c r="J10" i="28"/>
  <c r="J9" i="28"/>
  <c r="J16" i="28"/>
  <c r="J64" i="28"/>
  <c r="J43" i="28"/>
  <c r="J42" i="28"/>
  <c r="J32" i="28"/>
  <c r="J52" i="28"/>
  <c r="J18" i="28"/>
  <c r="J61" i="28"/>
  <c r="J31" i="28"/>
  <c r="J30" i="28"/>
  <c r="J27" i="28"/>
  <c r="J26" i="28"/>
  <c r="J33" i="28"/>
  <c r="J44" i="28"/>
  <c r="J21" i="28"/>
  <c r="J57" i="28"/>
  <c r="J17" i="28"/>
  <c r="J49" i="28"/>
  <c r="J54" i="28"/>
  <c r="J47" i="28"/>
  <c r="J46" i="28"/>
  <c r="J56" i="28"/>
  <c r="J35" i="28"/>
  <c r="J28" i="28"/>
  <c r="J19" i="28"/>
  <c r="J45" i="28"/>
  <c r="J37" i="28"/>
  <c r="J20" i="28"/>
  <c r="J11" i="28"/>
  <c r="J55" i="28"/>
  <c r="J66" i="28"/>
  <c r="J65" i="28"/>
  <c r="J39" i="28"/>
  <c r="J63" i="28"/>
  <c r="J29" i="28"/>
  <c r="J38" i="28"/>
  <c r="J34" i="28"/>
  <c r="J22" i="28"/>
  <c r="J25" i="28"/>
  <c r="J51" i="28"/>
  <c r="J58" i="28"/>
  <c r="J36" i="28"/>
  <c r="J41" i="28"/>
  <c r="J59" i="28"/>
  <c r="J24" i="28"/>
  <c r="J13" i="28"/>
  <c r="J23" i="28"/>
  <c r="J40" i="28"/>
  <c r="J12" i="28"/>
  <c r="J15" i="28"/>
  <c r="J14" i="28"/>
  <c r="J50" i="28"/>
  <c r="J60" i="28"/>
  <c r="J48" i="28"/>
  <c r="J53" i="28"/>
  <c r="J62" i="28"/>
  <c r="H17" i="28"/>
  <c r="H65" i="28"/>
  <c r="H44" i="28"/>
  <c r="H43" i="28"/>
  <c r="H33" i="28"/>
  <c r="H53" i="28"/>
  <c r="H19" i="28"/>
  <c r="H62" i="28"/>
  <c r="H32" i="28"/>
  <c r="H31" i="28"/>
  <c r="H28" i="28"/>
  <c r="H27" i="28"/>
  <c r="H34" i="28"/>
  <c r="H45" i="28"/>
  <c r="H22" i="28"/>
  <c r="H58" i="28"/>
  <c r="H18" i="28"/>
  <c r="H50" i="28"/>
  <c r="H55" i="28"/>
  <c r="H48" i="28"/>
  <c r="H47" i="28"/>
  <c r="H57" i="28"/>
  <c r="H36" i="28"/>
  <c r="H29" i="28"/>
  <c r="F13" i="23"/>
  <c r="H9" i="28"/>
  <c r="H20" i="28"/>
  <c r="H46" i="28"/>
  <c r="H38" i="28"/>
  <c r="H21" i="28"/>
  <c r="H12" i="28"/>
  <c r="H11" i="28"/>
  <c r="H56" i="28"/>
  <c r="H66" i="28"/>
  <c r="H40" i="28"/>
  <c r="H64" i="28"/>
  <c r="H30" i="28"/>
  <c r="H39" i="28"/>
  <c r="H35" i="28"/>
  <c r="H23" i="28"/>
  <c r="H26" i="28"/>
  <c r="H52" i="28"/>
  <c r="H59" i="28"/>
  <c r="H37" i="28"/>
  <c r="H42" i="28"/>
  <c r="H60" i="28"/>
  <c r="H25" i="28"/>
  <c r="H14" i="28"/>
  <c r="H24" i="28"/>
  <c r="H41" i="28"/>
  <c r="H13" i="28"/>
  <c r="H10" i="28"/>
  <c r="H16" i="28"/>
  <c r="H15" i="28"/>
  <c r="H51" i="28"/>
  <c r="H61" i="28"/>
  <c r="H49" i="28"/>
  <c r="H54" i="28"/>
  <c r="H63" i="28"/>
  <c r="F23" i="1"/>
  <c r="H23" i="1" s="1"/>
  <c r="F14" i="23"/>
  <c r="W3" i="28"/>
  <c r="X3" i="28"/>
  <c r="F3" i="28"/>
  <c r="S3" i="28"/>
  <c r="T3" i="28"/>
  <c r="V3" i="28"/>
  <c r="U3" i="28"/>
  <c r="G3" i="28"/>
  <c r="U68" i="28"/>
  <c r="S68" i="28"/>
  <c r="V68" i="28"/>
  <c r="X68" i="28"/>
  <c r="G68" i="28"/>
  <c r="T68" i="28"/>
  <c r="F68" i="28"/>
  <c r="W68" i="28"/>
  <c r="I45" i="28"/>
  <c r="I12" i="28"/>
  <c r="I14" i="28"/>
  <c r="I35" i="28"/>
  <c r="I41" i="28"/>
  <c r="I27" i="28"/>
  <c r="I33" i="28"/>
  <c r="I49" i="28"/>
  <c r="I60" i="28"/>
  <c r="I62" i="28"/>
  <c r="I23" i="28"/>
  <c r="I57" i="28"/>
  <c r="I52" i="28"/>
  <c r="I18" i="28"/>
  <c r="I46" i="28"/>
  <c r="I29" i="28"/>
  <c r="I20" i="28"/>
  <c r="I40" i="28"/>
  <c r="I11" i="28"/>
  <c r="I58" i="28"/>
  <c r="I42" i="28"/>
  <c r="I36" i="28"/>
  <c r="I64" i="28"/>
  <c r="I54" i="28"/>
  <c r="I25" i="28"/>
  <c r="I21" i="28"/>
  <c r="I61" i="28"/>
  <c r="X69" i="28"/>
  <c r="F69" i="28"/>
  <c r="S69" i="28"/>
  <c r="G69" i="28"/>
  <c r="C70" i="28"/>
  <c r="I30" i="28"/>
  <c r="I39" i="28"/>
  <c r="I56" i="28"/>
  <c r="I38" i="28"/>
  <c r="I65" i="28"/>
  <c r="I63" i="28"/>
  <c r="I50" i="28"/>
  <c r="I26" i="28"/>
  <c r="I59" i="28"/>
  <c r="I44" i="28"/>
  <c r="I51" i="28"/>
  <c r="I34" i="28"/>
  <c r="I17" i="28"/>
  <c r="I37" i="28"/>
  <c r="I31" i="28"/>
  <c r="I47" i="28"/>
  <c r="I13" i="28"/>
  <c r="T69" i="28"/>
  <c r="V69" i="28"/>
  <c r="I69" i="28"/>
  <c r="I53" i="28"/>
  <c r="I15" i="28"/>
  <c r="I24" i="28"/>
  <c r="I43" i="28"/>
  <c r="I19" i="28"/>
  <c r="I55" i="28"/>
  <c r="I28" i="28"/>
  <c r="I32" i="28"/>
  <c r="I48" i="28"/>
  <c r="W69" i="28"/>
  <c r="U69" i="28"/>
  <c r="D70" i="28"/>
  <c r="I3" i="28"/>
  <c r="I68" i="28"/>
  <c r="Q68" i="28" l="1"/>
  <c r="N68" i="28" s="1"/>
  <c r="J67" i="28"/>
  <c r="P68" i="28"/>
  <c r="Y67" i="28"/>
  <c r="R67" i="28"/>
  <c r="P3" i="28"/>
  <c r="J3" i="28"/>
  <c r="R3" i="28"/>
  <c r="Y3" i="28"/>
  <c r="Q3" i="28"/>
  <c r="N3" i="28" s="1"/>
  <c r="O67" i="28"/>
  <c r="L67" i="28"/>
  <c r="M67" i="28" s="1"/>
  <c r="H3" i="28"/>
  <c r="J68" i="28"/>
  <c r="Q69" i="28"/>
  <c r="N69" i="28" s="1"/>
  <c r="E70" i="28"/>
  <c r="P69" i="28"/>
  <c r="R68" i="28"/>
  <c r="Y68" i="28"/>
  <c r="B71" i="28"/>
  <c r="A72" i="28"/>
  <c r="L68" i="28"/>
  <c r="M68" i="28" s="1"/>
  <c r="O68" i="28"/>
  <c r="K68" i="28"/>
  <c r="H69" i="28"/>
  <c r="M4" i="28"/>
  <c r="O63" i="28"/>
  <c r="L63" i="28"/>
  <c r="M63" i="28" s="1"/>
  <c r="K63" i="28"/>
  <c r="O49" i="28"/>
  <c r="L49" i="28"/>
  <c r="M49" i="28" s="1"/>
  <c r="K49" i="28"/>
  <c r="O61" i="28"/>
  <c r="L61" i="28"/>
  <c r="M61" i="28" s="1"/>
  <c r="K61" i="28"/>
  <c r="O15" i="28"/>
  <c r="L15" i="28"/>
  <c r="M15" i="28" s="1"/>
  <c r="K15" i="28"/>
  <c r="O41" i="28"/>
  <c r="L41" i="28"/>
  <c r="M41" i="28" s="1"/>
  <c r="K41" i="28"/>
  <c r="O14" i="28"/>
  <c r="L14" i="28"/>
  <c r="M14" i="28" s="1"/>
  <c r="K14" i="28"/>
  <c r="O25" i="28"/>
  <c r="L25" i="28"/>
  <c r="M25" i="28" s="1"/>
  <c r="K25" i="28"/>
  <c r="O60" i="28"/>
  <c r="L60" i="28"/>
  <c r="M60" i="28" s="1"/>
  <c r="K60" i="28"/>
  <c r="O42" i="28"/>
  <c r="L42" i="28"/>
  <c r="M42" i="28" s="1"/>
  <c r="K42" i="28"/>
  <c r="O26" i="28"/>
  <c r="L26" i="28"/>
  <c r="M26" i="28" s="1"/>
  <c r="K26" i="28"/>
  <c r="O23" i="28"/>
  <c r="L23" i="28"/>
  <c r="M23" i="28" s="1"/>
  <c r="K23" i="28"/>
  <c r="O39" i="28"/>
  <c r="L39" i="28"/>
  <c r="M39" i="28" s="1"/>
  <c r="K39" i="28"/>
  <c r="O30" i="28"/>
  <c r="L30" i="28"/>
  <c r="M30" i="28" s="1"/>
  <c r="K30" i="28"/>
  <c r="O40" i="28"/>
  <c r="L40" i="28"/>
  <c r="M40" i="28" s="1"/>
  <c r="K40" i="28"/>
  <c r="O56" i="28"/>
  <c r="L56" i="28"/>
  <c r="M56" i="28" s="1"/>
  <c r="K56" i="28"/>
  <c r="O12" i="28"/>
  <c r="L12" i="28"/>
  <c r="M12" i="28" s="1"/>
  <c r="K12" i="28"/>
  <c r="O21" i="28"/>
  <c r="L21" i="28"/>
  <c r="M21" i="28" s="1"/>
  <c r="K21" i="28"/>
  <c r="O38" i="28"/>
  <c r="L38" i="28"/>
  <c r="M38" i="28" s="1"/>
  <c r="K38" i="28"/>
  <c r="O20" i="28"/>
  <c r="L20" i="28"/>
  <c r="M20" i="28" s="1"/>
  <c r="K20" i="28"/>
  <c r="O36" i="28"/>
  <c r="L36" i="28"/>
  <c r="M36" i="28" s="1"/>
  <c r="K36" i="28"/>
  <c r="O57" i="28"/>
  <c r="L57" i="28"/>
  <c r="M57" i="28" s="1"/>
  <c r="K57" i="28"/>
  <c r="O58" i="28"/>
  <c r="L58" i="28"/>
  <c r="M58" i="28" s="1"/>
  <c r="K58" i="28"/>
  <c r="O22" i="28"/>
  <c r="L22" i="28"/>
  <c r="M22" i="28" s="1"/>
  <c r="K22" i="28"/>
  <c r="O45" i="28"/>
  <c r="L45" i="28"/>
  <c r="M45" i="28" s="1"/>
  <c r="K45" i="28"/>
  <c r="O34" i="28"/>
  <c r="L34" i="28"/>
  <c r="M34" i="28" s="1"/>
  <c r="K34" i="28"/>
  <c r="O27" i="28"/>
  <c r="L27" i="28"/>
  <c r="M27" i="28" s="1"/>
  <c r="K27" i="28"/>
  <c r="O28" i="28"/>
  <c r="L28" i="28"/>
  <c r="M28" i="28" s="1"/>
  <c r="K28" i="28"/>
  <c r="O33" i="28"/>
  <c r="L33" i="28"/>
  <c r="M33" i="28" s="1"/>
  <c r="K33" i="28"/>
  <c r="O43" i="28"/>
  <c r="L43" i="28"/>
  <c r="M43" i="28" s="1"/>
  <c r="K43" i="28"/>
  <c r="O44" i="28"/>
  <c r="L44" i="28"/>
  <c r="M44" i="28" s="1"/>
  <c r="K44" i="28"/>
  <c r="O17" i="28"/>
  <c r="L17" i="28"/>
  <c r="M17" i="28" s="1"/>
  <c r="K17" i="28"/>
  <c r="O54" i="28"/>
  <c r="L54" i="28"/>
  <c r="M54" i="28" s="1"/>
  <c r="K54" i="28"/>
  <c r="O51" i="28"/>
  <c r="L51" i="28"/>
  <c r="M51" i="28" s="1"/>
  <c r="K51" i="28"/>
  <c r="O16" i="28"/>
  <c r="L16" i="28"/>
  <c r="M16" i="28" s="1"/>
  <c r="K16" i="28"/>
  <c r="O10" i="28"/>
  <c r="L10" i="28"/>
  <c r="M10" i="28" s="1"/>
  <c r="K10" i="28"/>
  <c r="O13" i="28"/>
  <c r="L13" i="28"/>
  <c r="M13" i="28" s="1"/>
  <c r="K13" i="28"/>
  <c r="O24" i="28"/>
  <c r="L24" i="28"/>
  <c r="M24" i="28" s="1"/>
  <c r="K24" i="28"/>
  <c r="O37" i="28"/>
  <c r="L37" i="28"/>
  <c r="M37" i="28" s="1"/>
  <c r="K37" i="28"/>
  <c r="O59" i="28"/>
  <c r="L59" i="28"/>
  <c r="M59" i="28" s="1"/>
  <c r="K59" i="28"/>
  <c r="O52" i="28"/>
  <c r="L52" i="28"/>
  <c r="M52" i="28" s="1"/>
  <c r="K52" i="28"/>
  <c r="O35" i="28"/>
  <c r="L35" i="28"/>
  <c r="M35" i="28" s="1"/>
  <c r="K35" i="28"/>
  <c r="O64" i="28"/>
  <c r="L64" i="28"/>
  <c r="M64" i="28" s="1"/>
  <c r="K64" i="28"/>
  <c r="O66" i="28"/>
  <c r="L66" i="28"/>
  <c r="M66" i="28" s="1"/>
  <c r="K66" i="28"/>
  <c r="O11" i="28"/>
  <c r="L11" i="28"/>
  <c r="M11" i="28" s="1"/>
  <c r="K11" i="28"/>
  <c r="O46" i="28"/>
  <c r="L46" i="28"/>
  <c r="M46" i="28" s="1"/>
  <c r="K46" i="28"/>
  <c r="O29" i="28"/>
  <c r="L29" i="28"/>
  <c r="M29" i="28" s="1"/>
  <c r="K29" i="28"/>
  <c r="O47" i="28"/>
  <c r="L47" i="28"/>
  <c r="M47" i="28" s="1"/>
  <c r="K47" i="28"/>
  <c r="O48" i="28"/>
  <c r="L48" i="28"/>
  <c r="M48" i="28" s="1"/>
  <c r="K48" i="28"/>
  <c r="O55" i="28"/>
  <c r="L55" i="28"/>
  <c r="M55" i="28" s="1"/>
  <c r="K55" i="28"/>
  <c r="O50" i="28"/>
  <c r="L50" i="28"/>
  <c r="M50" i="28" s="1"/>
  <c r="K50" i="28"/>
  <c r="O18" i="28"/>
  <c r="L18" i="28"/>
  <c r="M18" i="28" s="1"/>
  <c r="K18" i="28"/>
  <c r="O31" i="28"/>
  <c r="L31" i="28"/>
  <c r="M31" i="28" s="1"/>
  <c r="K31" i="28"/>
  <c r="O62" i="28"/>
  <c r="L62" i="28"/>
  <c r="M62" i="28" s="1"/>
  <c r="K62" i="28"/>
  <c r="O53" i="28"/>
  <c r="L53" i="28"/>
  <c r="M53" i="28" s="1"/>
  <c r="K53" i="28"/>
  <c r="O32" i="28"/>
  <c r="L32" i="28"/>
  <c r="M32" i="28" s="1"/>
  <c r="K32" i="28"/>
  <c r="O19" i="28"/>
  <c r="L19" i="28"/>
  <c r="M19" i="28" s="1"/>
  <c r="K19" i="28"/>
  <c r="O65" i="28"/>
  <c r="L65" i="28"/>
  <c r="M65" i="28" s="1"/>
  <c r="K65" i="28"/>
  <c r="A15" i="29"/>
  <c r="F24" i="1"/>
  <c r="H24" i="1" s="1"/>
  <c r="F15" i="23"/>
  <c r="C14" i="23"/>
  <c r="B14" i="23"/>
  <c r="T70" i="28"/>
  <c r="S70" i="28"/>
  <c r="X70" i="28"/>
  <c r="U70" i="28"/>
  <c r="D71" i="28"/>
  <c r="G70" i="28"/>
  <c r="I70" i="28" s="1"/>
  <c r="V70" i="28"/>
  <c r="F70" i="28"/>
  <c r="C71" i="28"/>
  <c r="W70" i="28"/>
  <c r="L3" i="28" l="1"/>
  <c r="M3" i="28" s="1"/>
  <c r="K3" i="28"/>
  <c r="O3" i="28"/>
  <c r="Q70" i="28"/>
  <c r="N70" i="28" s="1"/>
  <c r="J69" i="28"/>
  <c r="E71" i="28"/>
  <c r="P70" i="28"/>
  <c r="R69" i="28"/>
  <c r="Y69" i="28"/>
  <c r="B72" i="28"/>
  <c r="A73" i="28"/>
  <c r="L69" i="28"/>
  <c r="M69" i="28" s="1"/>
  <c r="K69" i="28"/>
  <c r="O69" i="28"/>
  <c r="H70" i="28"/>
  <c r="B15" i="29"/>
  <c r="B15" i="23"/>
  <c r="C15" i="23"/>
  <c r="F25" i="1"/>
  <c r="H25" i="1" s="1"/>
  <c r="F16" i="23"/>
  <c r="L30" i="26"/>
  <c r="O48" i="26"/>
  <c r="L35" i="26"/>
  <c r="C18" i="26"/>
  <c r="I15" i="1"/>
  <c r="J12" i="26"/>
  <c r="G30" i="26"/>
  <c r="K15" i="1"/>
  <c r="N12" i="26"/>
  <c r="J14" i="1"/>
  <c r="M39" i="26"/>
  <c r="O30" i="26"/>
  <c r="D3" i="26"/>
  <c r="M54" i="26"/>
  <c r="H57" i="26"/>
  <c r="J45" i="26"/>
  <c r="B58" i="26"/>
  <c r="G5" i="26"/>
  <c r="M60" i="26"/>
  <c r="E5" i="26"/>
  <c r="E35" i="26"/>
  <c r="L42" i="26"/>
  <c r="N27" i="26"/>
  <c r="E17" i="26"/>
  <c r="G40" i="26"/>
  <c r="K19" i="1"/>
  <c r="E30" i="26"/>
  <c r="N21" i="26"/>
  <c r="I42" i="26"/>
  <c r="M36" i="26"/>
  <c r="I6" i="24"/>
  <c r="D6" i="24"/>
  <c r="O28" i="26"/>
  <c r="J57" i="26"/>
  <c r="C33" i="26"/>
  <c r="E12" i="26"/>
  <c r="I18" i="1"/>
  <c r="C15" i="1"/>
  <c r="H60" i="26"/>
  <c r="I51" i="26"/>
  <c r="B6" i="26"/>
  <c r="B54" i="26"/>
  <c r="L18" i="1"/>
  <c r="J12" i="1"/>
  <c r="G11" i="26"/>
  <c r="G27" i="26"/>
  <c r="K14" i="1"/>
  <c r="E4" i="26"/>
  <c r="C57" i="26"/>
  <c r="D48" i="26"/>
  <c r="B28" i="26"/>
  <c r="L18" i="26"/>
  <c r="G33" i="26"/>
  <c r="M3" i="26"/>
  <c r="E36" i="26"/>
  <c r="B6" i="24"/>
  <c r="H54" i="26"/>
  <c r="J22" i="1"/>
  <c r="G8" i="23"/>
  <c r="E24" i="26"/>
  <c r="N60" i="26"/>
  <c r="D13" i="1"/>
  <c r="K17" i="1"/>
  <c r="G36" i="26"/>
  <c r="H21" i="26"/>
  <c r="E10" i="26"/>
  <c r="B5" i="24"/>
  <c r="K18" i="1"/>
  <c r="I12" i="1"/>
  <c r="H3" i="26"/>
  <c r="D18" i="26"/>
  <c r="N39" i="26"/>
  <c r="J4" i="24"/>
  <c r="O24" i="26"/>
  <c r="O41" i="26"/>
  <c r="H27" i="26"/>
  <c r="B9" i="26"/>
  <c r="C39" i="26"/>
  <c r="J15" i="26"/>
  <c r="G12" i="1"/>
  <c r="L41" i="26"/>
  <c r="H12" i="26"/>
  <c r="H48" i="26"/>
  <c r="L29" i="26"/>
  <c r="L60" i="26"/>
  <c r="L10" i="26"/>
  <c r="L54" i="26"/>
  <c r="L21" i="26"/>
  <c r="B35" i="26"/>
  <c r="H24" i="26"/>
  <c r="D42" i="26"/>
  <c r="E3" i="26"/>
  <c r="E40" i="26"/>
  <c r="E19" i="1"/>
  <c r="C36" i="26"/>
  <c r="M24" i="26"/>
  <c r="H36" i="26"/>
  <c r="O35" i="26"/>
  <c r="E3" i="24"/>
  <c r="O23" i="26"/>
  <c r="I21" i="1"/>
  <c r="L34" i="26"/>
  <c r="D3" i="24"/>
  <c r="N30" i="26"/>
  <c r="O17" i="26"/>
  <c r="L6" i="26"/>
  <c r="C16" i="1"/>
  <c r="J4" i="26"/>
  <c r="J6" i="24"/>
  <c r="B52" i="26"/>
  <c r="J36" i="26"/>
  <c r="C20" i="1"/>
  <c r="K13" i="1"/>
  <c r="O46" i="26"/>
  <c r="C48" i="26"/>
  <c r="B59" i="26"/>
  <c r="I39" i="26"/>
  <c r="M21" i="26"/>
  <c r="M15" i="26"/>
  <c r="D17" i="1"/>
  <c r="E9" i="26"/>
  <c r="H3" i="24"/>
  <c r="B23" i="26"/>
  <c r="G23" i="26"/>
  <c r="G5" i="24"/>
  <c r="G16" i="1"/>
  <c r="B15" i="26"/>
  <c r="L23" i="26"/>
  <c r="L11" i="26"/>
  <c r="C9" i="26"/>
  <c r="C15" i="26"/>
  <c r="J9" i="26"/>
  <c r="N9" i="26"/>
  <c r="J51" i="26"/>
  <c r="E5" i="24"/>
  <c r="J53" i="26"/>
  <c r="B13" i="1"/>
  <c r="I27" i="26"/>
  <c r="E18" i="1"/>
  <c r="B60" i="26"/>
  <c r="E53" i="26"/>
  <c r="E42" i="26"/>
  <c r="I13" i="1"/>
  <c r="G4" i="24"/>
  <c r="B20" i="1"/>
  <c r="E45" i="26"/>
  <c r="O36" i="26"/>
  <c r="E29" i="26"/>
  <c r="O60" i="26"/>
  <c r="D9" i="26"/>
  <c r="I45" i="26"/>
  <c r="G10" i="26"/>
  <c r="J39" i="26"/>
  <c r="M27" i="26"/>
  <c r="E15" i="1"/>
  <c r="E22" i="26"/>
  <c r="E6" i="26"/>
  <c r="B11" i="26"/>
  <c r="O12" i="26"/>
  <c r="H9" i="26"/>
  <c r="D30" i="26"/>
  <c r="B53" i="26"/>
  <c r="B14" i="1"/>
  <c r="O21" i="26"/>
  <c r="E34" i="26"/>
  <c r="O54" i="26"/>
  <c r="J29" i="26"/>
  <c r="O3" i="26"/>
  <c r="G11" i="23"/>
  <c r="B11" i="23" s="1"/>
  <c r="E22" i="1"/>
  <c r="G22" i="1"/>
  <c r="H39" i="26"/>
  <c r="D12" i="26"/>
  <c r="L16" i="1"/>
  <c r="E59" i="26"/>
  <c r="C12" i="1"/>
  <c r="I14" i="1"/>
  <c r="N42" i="26"/>
  <c r="J18" i="26"/>
  <c r="J34" i="26"/>
  <c r="C14" i="1"/>
  <c r="G6" i="24"/>
  <c r="G60" i="26"/>
  <c r="J33" i="26"/>
  <c r="D18" i="1"/>
  <c r="E18" i="26"/>
  <c r="H42" i="26"/>
  <c r="E16" i="26"/>
  <c r="L47" i="26"/>
  <c r="G28" i="26"/>
  <c r="O27" i="26"/>
  <c r="D15" i="1"/>
  <c r="I17" i="1"/>
  <c r="E57" i="26"/>
  <c r="L19" i="1"/>
  <c r="M12" i="26"/>
  <c r="L22" i="26"/>
  <c r="E58" i="26"/>
  <c r="J52" i="26"/>
  <c r="C18" i="1"/>
  <c r="G57" i="26"/>
  <c r="G14" i="1"/>
  <c r="D54" i="26"/>
  <c r="H51" i="26"/>
  <c r="O9" i="26"/>
  <c r="O4" i="26"/>
  <c r="M45" i="26"/>
  <c r="N18" i="26"/>
  <c r="J3" i="26"/>
  <c r="I19" i="1"/>
  <c r="E39" i="26"/>
  <c r="B40" i="26"/>
  <c r="D16" i="1"/>
  <c r="L53" i="26"/>
  <c r="D20" i="1"/>
  <c r="I9" i="26"/>
  <c r="G6" i="26"/>
  <c r="B41" i="26"/>
  <c r="E20" i="1"/>
  <c r="B30" i="26"/>
  <c r="C6" i="24"/>
  <c r="O16" i="26"/>
  <c r="G15" i="1"/>
  <c r="G13" i="1"/>
  <c r="C12" i="26"/>
  <c r="E11" i="23"/>
  <c r="J11" i="26"/>
  <c r="I21" i="26"/>
  <c r="J46" i="26"/>
  <c r="K12" i="1"/>
  <c r="C27" i="26"/>
  <c r="C60" i="26"/>
  <c r="E48" i="26"/>
  <c r="L39" i="26"/>
  <c r="B16" i="26"/>
  <c r="D21" i="26"/>
  <c r="G18" i="1"/>
  <c r="M51" i="26"/>
  <c r="D21" i="1"/>
  <c r="N51" i="26"/>
  <c r="E28" i="26"/>
  <c r="L14" i="1"/>
  <c r="B17" i="26"/>
  <c r="B17" i="1"/>
  <c r="D60" i="26"/>
  <c r="J48" i="26"/>
  <c r="G42" i="26"/>
  <c r="L57" i="26"/>
  <c r="G53" i="26"/>
  <c r="G5" i="23"/>
  <c r="E21" i="1"/>
  <c r="O10" i="26"/>
  <c r="O18" i="26"/>
  <c r="O58" i="26"/>
  <c r="C3" i="26"/>
  <c r="N15" i="26"/>
  <c r="N54" i="26"/>
  <c r="G17" i="26"/>
  <c r="I30" i="26"/>
  <c r="O40" i="26"/>
  <c r="I15" i="26"/>
  <c r="O52" i="26"/>
  <c r="O45" i="26"/>
  <c r="B12" i="1"/>
  <c r="D15" i="26"/>
  <c r="L45" i="26"/>
  <c r="B46" i="26"/>
  <c r="L21" i="1"/>
  <c r="G20" i="1"/>
  <c r="K20" i="1"/>
  <c r="E11" i="26"/>
  <c r="J47" i="26"/>
  <c r="J24" i="26"/>
  <c r="G48" i="26"/>
  <c r="E51" i="26"/>
  <c r="D57" i="26"/>
  <c r="C5" i="23"/>
  <c r="J15" i="1"/>
  <c r="L16" i="26"/>
  <c r="N33" i="26"/>
  <c r="I6" i="26"/>
  <c r="C42" i="26"/>
  <c r="C3" i="24"/>
  <c r="O42" i="26"/>
  <c r="L20" i="1"/>
  <c r="B16" i="1"/>
  <c r="E33" i="26"/>
  <c r="L51" i="26"/>
  <c r="G52" i="26"/>
  <c r="C21" i="1"/>
  <c r="D19" i="1"/>
  <c r="B3" i="24"/>
  <c r="G12" i="26"/>
  <c r="I16" i="1"/>
  <c r="O39" i="26"/>
  <c r="E4" i="24"/>
  <c r="C13" i="1"/>
  <c r="B27" i="26"/>
  <c r="O53" i="26"/>
  <c r="J27" i="26"/>
  <c r="L59" i="26"/>
  <c r="B10" i="26"/>
  <c r="L17" i="26"/>
  <c r="E15" i="26"/>
  <c r="C30" i="26"/>
  <c r="I22" i="1"/>
  <c r="L24" i="26"/>
  <c r="B22" i="1"/>
  <c r="C8" i="23"/>
  <c r="G14" i="23"/>
  <c r="J23" i="1"/>
  <c r="E14" i="23"/>
  <c r="D23" i="1"/>
  <c r="B23" i="1"/>
  <c r="G23" i="1"/>
  <c r="L33" i="26"/>
  <c r="O51" i="26"/>
  <c r="L12" i="26"/>
  <c r="J59" i="26"/>
  <c r="B34" i="26"/>
  <c r="B12" i="26"/>
  <c r="L52" i="26"/>
  <c r="J28" i="26"/>
  <c r="L36" i="26"/>
  <c r="G12" i="23"/>
  <c r="J13" i="1"/>
  <c r="D36" i="26"/>
  <c r="E54" i="26"/>
  <c r="I54" i="26"/>
  <c r="J23" i="26"/>
  <c r="C21" i="26"/>
  <c r="I48" i="26"/>
  <c r="D24" i="26"/>
  <c r="L48" i="26"/>
  <c r="G41" i="26"/>
  <c r="G24" i="26"/>
  <c r="M30" i="26"/>
  <c r="L17" i="1"/>
  <c r="B19" i="1"/>
  <c r="C6" i="26"/>
  <c r="D22" i="1"/>
  <c r="E5" i="23"/>
  <c r="E12" i="1"/>
  <c r="G19" i="1"/>
  <c r="C24" i="26"/>
  <c r="I20" i="1"/>
  <c r="D33" i="26"/>
  <c r="J17" i="26"/>
  <c r="O15" i="26"/>
  <c r="M42" i="26"/>
  <c r="B47" i="26"/>
  <c r="M18" i="26"/>
  <c r="G46" i="26"/>
  <c r="L28" i="26"/>
  <c r="D45" i="26"/>
  <c r="B21" i="1"/>
  <c r="G4" i="23"/>
  <c r="I8" i="23"/>
  <c r="I18" i="26"/>
  <c r="G6" i="23"/>
  <c r="C6" i="23" s="1"/>
  <c r="E52" i="26"/>
  <c r="J3" i="24"/>
  <c r="J58" i="26"/>
  <c r="O22" i="26"/>
  <c r="H6" i="26"/>
  <c r="B29" i="26"/>
  <c r="E27" i="26"/>
  <c r="O57" i="26"/>
  <c r="J40" i="26"/>
  <c r="O11" i="26"/>
  <c r="C22" i="1"/>
  <c r="G7" i="23"/>
  <c r="H18" i="26"/>
  <c r="O34" i="26"/>
  <c r="M48" i="26"/>
  <c r="B15" i="1"/>
  <c r="O47" i="26"/>
  <c r="M6" i="26"/>
  <c r="B33" i="26"/>
  <c r="E23" i="26"/>
  <c r="K16" i="1"/>
  <c r="G9" i="23"/>
  <c r="G16" i="26"/>
  <c r="B4" i="24"/>
  <c r="M33" i="26"/>
  <c r="J60" i="26"/>
  <c r="N57" i="26"/>
  <c r="J42" i="26"/>
  <c r="D27" i="26"/>
  <c r="E8" i="23"/>
  <c r="N6" i="26"/>
  <c r="G17" i="1"/>
  <c r="G51" i="26"/>
  <c r="L46" i="26"/>
  <c r="I57" i="26"/>
  <c r="J10" i="26"/>
  <c r="O5" i="26"/>
  <c r="G4" i="26"/>
  <c r="H8" i="23"/>
  <c r="H30" i="26"/>
  <c r="I60" i="26"/>
  <c r="G34" i="26"/>
  <c r="L4" i="26"/>
  <c r="B51" i="26"/>
  <c r="B45" i="26"/>
  <c r="J16" i="1"/>
  <c r="J54" i="26"/>
  <c r="B39" i="26"/>
  <c r="O6" i="26"/>
  <c r="I36" i="26"/>
  <c r="G39" i="26"/>
  <c r="G15" i="26"/>
  <c r="C9" i="23"/>
  <c r="I12" i="26"/>
  <c r="C19" i="1"/>
  <c r="H45" i="26"/>
  <c r="I3" i="24"/>
  <c r="I24" i="26"/>
  <c r="C17" i="1"/>
  <c r="B42" i="26"/>
  <c r="O59" i="26"/>
  <c r="J6" i="26"/>
  <c r="E6" i="24"/>
  <c r="L15" i="26"/>
  <c r="B36" i="26"/>
  <c r="L27" i="26"/>
  <c r="I3" i="26"/>
  <c r="G21" i="1"/>
  <c r="B5" i="23"/>
  <c r="D6" i="23"/>
  <c r="G54" i="26"/>
  <c r="B18" i="26"/>
  <c r="K21" i="1"/>
  <c r="C11" i="23"/>
  <c r="I23" i="1"/>
  <c r="L23" i="1"/>
  <c r="K23" i="1"/>
  <c r="D8" i="23"/>
  <c r="E23" i="1"/>
  <c r="B7" i="23"/>
  <c r="D14" i="23"/>
  <c r="G45" i="26"/>
  <c r="E16" i="1"/>
  <c r="L3" i="26"/>
  <c r="G29" i="26"/>
  <c r="D39" i="26"/>
  <c r="E21" i="26"/>
  <c r="E60" i="26"/>
  <c r="J35" i="26"/>
  <c r="O33" i="26"/>
  <c r="G58" i="26"/>
  <c r="B8" i="23"/>
  <c r="L40" i="26"/>
  <c r="E47" i="26"/>
  <c r="L12" i="1"/>
  <c r="E13" i="1"/>
  <c r="J19" i="1"/>
  <c r="N24" i="26"/>
  <c r="L22" i="1"/>
  <c r="B18" i="1"/>
  <c r="L9" i="26"/>
  <c r="G47" i="26"/>
  <c r="G9" i="26"/>
  <c r="E17" i="1"/>
  <c r="M57" i="26"/>
  <c r="B48" i="26"/>
  <c r="J5" i="24"/>
  <c r="D5" i="23"/>
  <c r="E6" i="23"/>
  <c r="J21" i="26"/>
  <c r="H33" i="26"/>
  <c r="B3" i="26"/>
  <c r="J30" i="26"/>
  <c r="N3" i="26"/>
  <c r="B4" i="26"/>
  <c r="J16" i="26"/>
  <c r="D12" i="1"/>
  <c r="E46" i="26"/>
  <c r="B5" i="26"/>
  <c r="B21" i="26"/>
  <c r="C45" i="26"/>
  <c r="J17" i="1"/>
  <c r="G10" i="23"/>
  <c r="D12" i="23"/>
  <c r="H6" i="24"/>
  <c r="N48" i="26"/>
  <c r="C54" i="26"/>
  <c r="B57" i="26"/>
  <c r="G3" i="24"/>
  <c r="J41" i="26"/>
  <c r="O29" i="26"/>
  <c r="M9" i="26"/>
  <c r="G3" i="26"/>
  <c r="J5" i="26"/>
  <c r="E41" i="26"/>
  <c r="L15" i="1"/>
  <c r="N45" i="26"/>
  <c r="G21" i="26"/>
  <c r="G18" i="26"/>
  <c r="J21" i="1"/>
  <c r="L5" i="26"/>
  <c r="D6" i="26"/>
  <c r="L58" i="26"/>
  <c r="J22" i="26"/>
  <c r="L13" i="1"/>
  <c r="E14" i="1"/>
  <c r="B24" i="26"/>
  <c r="K22" i="1"/>
  <c r="E7" i="23"/>
  <c r="J20" i="1"/>
  <c r="H15" i="26"/>
  <c r="H11" i="23"/>
  <c r="J18" i="1"/>
  <c r="B10" i="23"/>
  <c r="J24" i="1"/>
  <c r="E24" i="1"/>
  <c r="I24" i="1"/>
  <c r="D10" i="23"/>
  <c r="I10" i="23"/>
  <c r="I7" i="23"/>
  <c r="G22" i="26"/>
  <c r="I33" i="26"/>
  <c r="B22" i="26"/>
  <c r="C51" i="26"/>
  <c r="G59" i="26"/>
  <c r="D14" i="1"/>
  <c r="D51" i="26"/>
  <c r="I4" i="23"/>
  <c r="G35" i="26"/>
  <c r="N36" i="26"/>
  <c r="H5" i="23"/>
  <c r="H6" i="23"/>
  <c r="C23" i="1"/>
  <c r="G13" i="23"/>
  <c r="C13" i="23" s="1"/>
  <c r="H4" i="23"/>
  <c r="G15" i="23"/>
  <c r="D15" i="23" s="1"/>
  <c r="E15" i="23"/>
  <c r="H14" i="23"/>
  <c r="D24" i="1"/>
  <c r="K24" i="1"/>
  <c r="B24" i="1"/>
  <c r="H13" i="23"/>
  <c r="G24" i="1"/>
  <c r="B12" i="23"/>
  <c r="E12" i="23"/>
  <c r="H10" i="23"/>
  <c r="C10" i="23"/>
  <c r="I6" i="23"/>
  <c r="D4" i="23"/>
  <c r="B4" i="23"/>
  <c r="I13" i="23"/>
  <c r="I11" i="23"/>
  <c r="I5" i="23"/>
  <c r="E13" i="23"/>
  <c r="D13" i="23"/>
  <c r="D11" i="23"/>
  <c r="L24" i="1"/>
  <c r="B13" i="23"/>
  <c r="C24" i="1"/>
  <c r="I14" i="23"/>
  <c r="H15" i="23"/>
  <c r="H12" i="23"/>
  <c r="C12" i="23"/>
  <c r="E10" i="23"/>
  <c r="E4" i="23"/>
  <c r="C4" i="23"/>
  <c r="I12" i="23"/>
  <c r="I9" i="23"/>
  <c r="B6" i="23"/>
  <c r="G25" i="1"/>
  <c r="E25" i="1"/>
  <c r="B25" i="1"/>
  <c r="C25" i="1"/>
  <c r="K25" i="1"/>
  <c r="I25" i="1"/>
  <c r="L25" i="1"/>
  <c r="I15" i="23"/>
  <c r="G16" i="23"/>
  <c r="I16" i="23" s="1"/>
  <c r="D16" i="23"/>
  <c r="D25" i="1"/>
  <c r="J25" i="1"/>
  <c r="E16" i="23"/>
  <c r="D7" i="23"/>
  <c r="C7" i="23"/>
  <c r="H7" i="23"/>
  <c r="B9" i="23"/>
  <c r="E9" i="23"/>
  <c r="H9" i="23"/>
  <c r="S71" i="28"/>
  <c r="T71" i="28"/>
  <c r="W71" i="28"/>
  <c r="V71" i="28"/>
  <c r="D72" i="28"/>
  <c r="X71" i="28"/>
  <c r="G71" i="28"/>
  <c r="I71" i="28" s="1"/>
  <c r="U71" i="28"/>
  <c r="C72" i="28"/>
  <c r="F71" i="28"/>
  <c r="J70" i="28" l="1"/>
  <c r="Q71" i="28"/>
  <c r="N71" i="28" s="1"/>
  <c r="E72" i="28"/>
  <c r="P71" i="28"/>
  <c r="R70" i="28"/>
  <c r="Y70" i="28"/>
  <c r="B73" i="28"/>
  <c r="A74" i="28"/>
  <c r="K70" i="28"/>
  <c r="L70" i="28"/>
  <c r="M70" i="28" s="1"/>
  <c r="O70" i="28"/>
  <c r="H71" i="28"/>
  <c r="F33" i="24"/>
  <c r="F29" i="24"/>
  <c r="F32" i="24"/>
  <c r="F34" i="24"/>
  <c r="F28" i="24"/>
  <c r="F36" i="24"/>
  <c r="F31" i="24"/>
  <c r="F25" i="24"/>
  <c r="F30" i="24"/>
  <c r="F27" i="24"/>
  <c r="F35" i="24"/>
  <c r="F26" i="24"/>
  <c r="C30" i="24"/>
  <c r="C34" i="24"/>
  <c r="C36" i="24"/>
  <c r="C25" i="24"/>
  <c r="C26" i="24"/>
  <c r="C27" i="24"/>
  <c r="C29" i="24"/>
  <c r="C35" i="24"/>
  <c r="C28" i="24"/>
  <c r="C33" i="24"/>
  <c r="C31" i="24"/>
  <c r="C32" i="24"/>
  <c r="K25" i="24"/>
  <c r="K34" i="24"/>
  <c r="K27" i="24"/>
  <c r="K32" i="24"/>
  <c r="K31" i="24"/>
  <c r="K33" i="24"/>
  <c r="K36" i="24"/>
  <c r="K28" i="24"/>
  <c r="K26" i="24"/>
  <c r="K29" i="24"/>
  <c r="K35" i="24"/>
  <c r="K30" i="24"/>
  <c r="I35" i="24"/>
  <c r="I32" i="24"/>
  <c r="I25" i="24"/>
  <c r="I29" i="24"/>
  <c r="I30" i="24"/>
  <c r="I31" i="24"/>
  <c r="I34" i="24"/>
  <c r="I26" i="24"/>
  <c r="I36" i="24"/>
  <c r="I28" i="24"/>
  <c r="I33" i="24"/>
  <c r="I27" i="24"/>
  <c r="L30" i="24"/>
  <c r="L35" i="24"/>
  <c r="L26" i="24"/>
  <c r="L36" i="24"/>
  <c r="L33" i="24"/>
  <c r="L29" i="24"/>
  <c r="L27" i="24"/>
  <c r="L32" i="24"/>
  <c r="L25" i="24"/>
  <c r="L28" i="24"/>
  <c r="L34" i="24"/>
  <c r="L31" i="24"/>
  <c r="J25" i="24"/>
  <c r="J27" i="24"/>
  <c r="J30" i="24"/>
  <c r="J35" i="24"/>
  <c r="J34" i="24"/>
  <c r="J36" i="24"/>
  <c r="J33" i="24"/>
  <c r="J26" i="24"/>
  <c r="J31" i="24"/>
  <c r="J29" i="24"/>
  <c r="J28" i="24"/>
  <c r="J32" i="24"/>
  <c r="H14" i="24"/>
  <c r="H21" i="24"/>
  <c r="H22" i="24"/>
  <c r="H18" i="24"/>
  <c r="H16" i="24"/>
  <c r="H17" i="24"/>
  <c r="H20" i="24"/>
  <c r="H15" i="24"/>
  <c r="H19" i="24"/>
  <c r="H12" i="24"/>
  <c r="H13" i="24"/>
  <c r="H11" i="24"/>
  <c r="J20" i="24"/>
  <c r="J15" i="24"/>
  <c r="J14" i="24"/>
  <c r="J16" i="24"/>
  <c r="J13" i="24"/>
  <c r="J12" i="24"/>
  <c r="J21" i="24"/>
  <c r="J11" i="24"/>
  <c r="J17" i="24"/>
  <c r="J18" i="24"/>
  <c r="J22" i="24"/>
  <c r="J19" i="24"/>
  <c r="H35" i="24"/>
  <c r="H29" i="24"/>
  <c r="H33" i="24"/>
  <c r="H34" i="24"/>
  <c r="H27" i="24"/>
  <c r="H32" i="24"/>
  <c r="H30" i="24"/>
  <c r="H28" i="24"/>
  <c r="H25" i="24"/>
  <c r="H31" i="24"/>
  <c r="H26" i="24"/>
  <c r="H36" i="24"/>
  <c r="E27" i="24"/>
  <c r="E32" i="24"/>
  <c r="E33" i="24"/>
  <c r="E26" i="24"/>
  <c r="E29" i="24"/>
  <c r="E31" i="24"/>
  <c r="E30" i="24"/>
  <c r="E35" i="24"/>
  <c r="E34" i="24"/>
  <c r="E25" i="24"/>
  <c r="E36" i="24"/>
  <c r="E28" i="24"/>
  <c r="G26" i="24"/>
  <c r="G32" i="24"/>
  <c r="G35" i="24"/>
  <c r="G34" i="24"/>
  <c r="G30" i="24"/>
  <c r="G33" i="24"/>
  <c r="G36" i="24"/>
  <c r="G27" i="24"/>
  <c r="G29" i="24"/>
  <c r="G31" i="24"/>
  <c r="G28" i="24"/>
  <c r="G25" i="24"/>
  <c r="D13" i="24"/>
  <c r="D17" i="24"/>
  <c r="D20" i="24"/>
  <c r="D18" i="24"/>
  <c r="D16" i="24"/>
  <c r="D14" i="24"/>
  <c r="D22" i="24"/>
  <c r="D15" i="24"/>
  <c r="D21" i="24"/>
  <c r="D19" i="24"/>
  <c r="D12" i="24"/>
  <c r="D11" i="24"/>
  <c r="L19" i="24"/>
  <c r="L13" i="24"/>
  <c r="L14" i="24"/>
  <c r="L18" i="24"/>
  <c r="L22" i="24"/>
  <c r="L20" i="24"/>
  <c r="L17" i="24"/>
  <c r="L15" i="24"/>
  <c r="L21" i="24"/>
  <c r="L12" i="24"/>
  <c r="L16" i="24"/>
  <c r="L11" i="24"/>
  <c r="D33" i="24"/>
  <c r="D36" i="24"/>
  <c r="D35" i="24"/>
  <c r="D28" i="24"/>
  <c r="D29" i="24"/>
  <c r="D26" i="24"/>
  <c r="D25" i="24"/>
  <c r="D32" i="24"/>
  <c r="D27" i="24"/>
  <c r="D34" i="24"/>
  <c r="D30" i="24"/>
  <c r="D31" i="24"/>
  <c r="I20" i="24"/>
  <c r="I14" i="24"/>
  <c r="I17" i="24"/>
  <c r="I15" i="24"/>
  <c r="I22" i="24"/>
  <c r="I11" i="24"/>
  <c r="I16" i="24"/>
  <c r="I13" i="24"/>
  <c r="I12" i="24"/>
  <c r="I21" i="24"/>
  <c r="I18" i="24"/>
  <c r="I19" i="24"/>
  <c r="E16" i="24"/>
  <c r="E18" i="24"/>
  <c r="E12" i="24"/>
  <c r="E20" i="24"/>
  <c r="E11" i="24"/>
  <c r="E17" i="24"/>
  <c r="E15" i="24"/>
  <c r="E22" i="24"/>
  <c r="E21" i="24"/>
  <c r="E13" i="24"/>
  <c r="E14" i="24"/>
  <c r="E19" i="24"/>
  <c r="C21" i="24"/>
  <c r="C14" i="24"/>
  <c r="C13" i="24"/>
  <c r="C19" i="24"/>
  <c r="C16" i="24"/>
  <c r="C22" i="24"/>
  <c r="C18" i="24"/>
  <c r="C12" i="24"/>
  <c r="C17" i="24"/>
  <c r="C15" i="24"/>
  <c r="C11" i="24"/>
  <c r="C20" i="24"/>
  <c r="K11" i="24"/>
  <c r="M11" i="24" s="1"/>
  <c r="K21" i="24"/>
  <c r="K16" i="24"/>
  <c r="K20" i="24"/>
  <c r="K15" i="24"/>
  <c r="K18" i="24"/>
  <c r="K14" i="24"/>
  <c r="K19" i="24"/>
  <c r="K12" i="24"/>
  <c r="K13" i="24"/>
  <c r="K17" i="24"/>
  <c r="K22" i="24"/>
  <c r="G13" i="24"/>
  <c r="G14" i="24"/>
  <c r="G20" i="24"/>
  <c r="G18" i="24"/>
  <c r="G11" i="24"/>
  <c r="G19" i="24"/>
  <c r="G21" i="24"/>
  <c r="G16" i="24"/>
  <c r="M16" i="24" s="1"/>
  <c r="G17" i="24"/>
  <c r="G15" i="24"/>
  <c r="G12" i="24"/>
  <c r="G22" i="24"/>
  <c r="F12" i="24"/>
  <c r="F18" i="24"/>
  <c r="F17" i="24"/>
  <c r="F20" i="24"/>
  <c r="F16" i="24"/>
  <c r="F13" i="24"/>
  <c r="F19" i="24"/>
  <c r="F14" i="24"/>
  <c r="F21" i="24"/>
  <c r="F11" i="24"/>
  <c r="F15" i="24"/>
  <c r="F22" i="24"/>
  <c r="M25" i="24"/>
  <c r="M33" i="24"/>
  <c r="C15" i="29"/>
  <c r="B16" i="23"/>
  <c r="C16" i="23"/>
  <c r="F26" i="1"/>
  <c r="H26" i="1" s="1"/>
  <c r="F17" i="23"/>
  <c r="D9" i="23"/>
  <c r="L26" i="1"/>
  <c r="G26" i="1"/>
  <c r="C26" i="1"/>
  <c r="H16" i="23"/>
  <c r="I26" i="1"/>
  <c r="J26" i="1"/>
  <c r="K26" i="1"/>
  <c r="G17" i="23"/>
  <c r="I17" i="23" s="1"/>
  <c r="B26" i="1"/>
  <c r="E17" i="23"/>
  <c r="E26" i="1"/>
  <c r="D17" i="23"/>
  <c r="D26" i="1"/>
  <c r="T72" i="28"/>
  <c r="G72" i="28"/>
  <c r="W72" i="28"/>
  <c r="F72" i="28"/>
  <c r="D73" i="28"/>
  <c r="U72" i="28"/>
  <c r="X72" i="28"/>
  <c r="C73" i="28"/>
  <c r="V72" i="28"/>
  <c r="S72" i="28"/>
  <c r="I72" i="28"/>
  <c r="Q72" i="28" l="1"/>
  <c r="N72" i="28" s="1"/>
  <c r="J71" i="28"/>
  <c r="E73" i="28"/>
  <c r="R71" i="28"/>
  <c r="Y71" i="28"/>
  <c r="P72" i="28"/>
  <c r="H72" i="28"/>
  <c r="B74" i="28"/>
  <c r="A75" i="28"/>
  <c r="K71" i="28"/>
  <c r="L71" i="28"/>
  <c r="M71" i="28" s="1"/>
  <c r="O71" i="28"/>
  <c r="M12" i="24"/>
  <c r="M32" i="24"/>
  <c r="M27" i="24"/>
  <c r="M31" i="24"/>
  <c r="M17" i="24"/>
  <c r="M18" i="24"/>
  <c r="M14" i="24"/>
  <c r="M15" i="24"/>
  <c r="M13" i="24"/>
  <c r="M21" i="24"/>
  <c r="M35" i="24"/>
  <c r="M34" i="24"/>
  <c r="M20" i="24"/>
  <c r="M22" i="24"/>
  <c r="M19" i="24"/>
  <c r="M28" i="24"/>
  <c r="M29" i="24"/>
  <c r="M26" i="24"/>
  <c r="M36" i="24"/>
  <c r="M30" i="24"/>
  <c r="D15" i="29"/>
  <c r="F18" i="23"/>
  <c r="C18" i="23" s="1"/>
  <c r="C17" i="23"/>
  <c r="B17" i="23"/>
  <c r="G18" i="23"/>
  <c r="D18" i="23"/>
  <c r="E18" i="23"/>
  <c r="H18" i="23"/>
  <c r="I18" i="23"/>
  <c r="H17" i="23"/>
  <c r="S73" i="28"/>
  <c r="W73" i="28"/>
  <c r="V73" i="28"/>
  <c r="U73" i="28"/>
  <c r="C74" i="28"/>
  <c r="G73" i="28"/>
  <c r="I73" i="28" s="1"/>
  <c r="X73" i="28"/>
  <c r="F73" i="28"/>
  <c r="T73" i="28"/>
  <c r="D74" i="28"/>
  <c r="Q73" i="28" l="1"/>
  <c r="N73" i="28" s="1"/>
  <c r="J72" i="28"/>
  <c r="E74" i="28"/>
  <c r="P73" i="28"/>
  <c r="R72" i="28"/>
  <c r="Y72" i="28"/>
  <c r="B75" i="28"/>
  <c r="A76" i="28"/>
  <c r="O72" i="28"/>
  <c r="L72" i="28"/>
  <c r="M72" i="28" s="1"/>
  <c r="K72" i="28"/>
  <c r="H73" i="28"/>
  <c r="B18" i="23"/>
  <c r="E15" i="29"/>
  <c r="F74" i="28"/>
  <c r="G74" i="28"/>
  <c r="V74" i="28"/>
  <c r="S74" i="28"/>
  <c r="C75" i="28"/>
  <c r="T74" i="28"/>
  <c r="U74" i="28"/>
  <c r="X74" i="28"/>
  <c r="W74" i="28"/>
  <c r="D75" i="28"/>
  <c r="I74" i="28"/>
  <c r="J73" i="28" l="1"/>
  <c r="Q74" i="28"/>
  <c r="N74" i="28" s="1"/>
  <c r="E75" i="28"/>
  <c r="R73" i="28"/>
  <c r="Y73" i="28"/>
  <c r="P74" i="28"/>
  <c r="B76" i="28"/>
  <c r="A77" i="28"/>
  <c r="K73" i="28"/>
  <c r="L73" i="28"/>
  <c r="M73" i="28" s="1"/>
  <c r="O73" i="28"/>
  <c r="H74" i="28"/>
  <c r="F15" i="29"/>
  <c r="V75" i="28"/>
  <c r="W75" i="28"/>
  <c r="T75" i="28"/>
  <c r="S75" i="28"/>
  <c r="C76" i="28"/>
  <c r="U75" i="28"/>
  <c r="F75" i="28"/>
  <c r="X75" i="28"/>
  <c r="G75" i="28"/>
  <c r="I75" i="28" s="1"/>
  <c r="D76" i="28"/>
  <c r="R74" i="28" l="1"/>
  <c r="Y74" i="28"/>
  <c r="Q75" i="28"/>
  <c r="N75" i="28" s="1"/>
  <c r="J74" i="28"/>
  <c r="P75" i="28"/>
  <c r="H75" i="28"/>
  <c r="E76" i="28"/>
  <c r="B77" i="28"/>
  <c r="A78" i="28"/>
  <c r="K74" i="28"/>
  <c r="L74" i="28"/>
  <c r="M74" i="28" s="1"/>
  <c r="O74" i="28"/>
  <c r="O75" i="28"/>
  <c r="K75" i="28"/>
  <c r="L75" i="28"/>
  <c r="M75" i="28" s="1"/>
  <c r="G15" i="29"/>
  <c r="V76" i="28"/>
  <c r="U76" i="28"/>
  <c r="X76" i="28"/>
  <c r="S76" i="28"/>
  <c r="D77" i="28"/>
  <c r="G76" i="28"/>
  <c r="I76" i="28" s="1"/>
  <c r="F76" i="28"/>
  <c r="C77" i="28"/>
  <c r="T76" i="28"/>
  <c r="W76" i="28"/>
  <c r="Q76" i="28" l="1"/>
  <c r="N76" i="28" s="1"/>
  <c r="J75" i="28"/>
  <c r="E77" i="28"/>
  <c r="R75" i="28"/>
  <c r="Y75" i="28"/>
  <c r="P76" i="28"/>
  <c r="B78" i="28"/>
  <c r="A79" i="28"/>
  <c r="H76" i="28"/>
  <c r="A27" i="29"/>
  <c r="U77" i="28"/>
  <c r="V77" i="28"/>
  <c r="W77" i="28"/>
  <c r="T77" i="28"/>
  <c r="C78" i="28"/>
  <c r="S77" i="28"/>
  <c r="G77" i="28"/>
  <c r="I77" i="28" s="1"/>
  <c r="X77" i="28"/>
  <c r="F77" i="28"/>
  <c r="D78" i="28"/>
  <c r="E78" i="28" l="1"/>
  <c r="Q77" i="28"/>
  <c r="N77" i="28" s="1"/>
  <c r="J76" i="28"/>
  <c r="P77" i="28"/>
  <c r="R76" i="28"/>
  <c r="Y76" i="28"/>
  <c r="B79" i="28"/>
  <c r="A80" i="28"/>
  <c r="K76" i="28"/>
  <c r="O76" i="28"/>
  <c r="L76" i="28"/>
  <c r="M76" i="28" s="1"/>
  <c r="H77" i="28"/>
  <c r="B27" i="29"/>
  <c r="S78" i="28"/>
  <c r="T78" i="28"/>
  <c r="V78" i="28"/>
  <c r="U78" i="28"/>
  <c r="D79" i="28"/>
  <c r="G78" i="28"/>
  <c r="F78" i="28"/>
  <c r="X78" i="28"/>
  <c r="C79" i="28"/>
  <c r="I78" i="28"/>
  <c r="W78" i="28"/>
  <c r="E79" i="28" l="1"/>
  <c r="Q78" i="28"/>
  <c r="N78" i="28" s="1"/>
  <c r="R77" i="28"/>
  <c r="Y77" i="28"/>
  <c r="P78" i="28"/>
  <c r="J77" i="28"/>
  <c r="B80" i="28"/>
  <c r="A81" i="28"/>
  <c r="L77" i="28"/>
  <c r="M77" i="28" s="1"/>
  <c r="O77" i="28"/>
  <c r="K77" i="28"/>
  <c r="H78" i="28"/>
  <c r="C27" i="29"/>
  <c r="D27" i="29" s="1"/>
  <c r="U79" i="28"/>
  <c r="G79" i="28"/>
  <c r="F79" i="28"/>
  <c r="W79" i="28"/>
  <c r="V79" i="28"/>
  <c r="S79" i="28"/>
  <c r="T79" i="28"/>
  <c r="D80" i="28"/>
  <c r="I79" i="28"/>
  <c r="X79" i="28"/>
  <c r="C80" i="28"/>
  <c r="E80" i="28" l="1"/>
  <c r="Q79" i="28"/>
  <c r="N79" i="28" s="1"/>
  <c r="R78" i="28"/>
  <c r="Y78" i="28"/>
  <c r="P79" i="28"/>
  <c r="J78" i="28"/>
  <c r="L78" i="28"/>
  <c r="M78" i="28" s="1"/>
  <c r="O78" i="28"/>
  <c r="K78" i="28"/>
  <c r="B81" i="28"/>
  <c r="A82" i="28"/>
  <c r="H79" i="28"/>
  <c r="E27" i="29"/>
  <c r="F80" i="28"/>
  <c r="S80" i="28"/>
  <c r="W80" i="28"/>
  <c r="V80" i="28"/>
  <c r="U80" i="28"/>
  <c r="C81" i="28"/>
  <c r="X80" i="28"/>
  <c r="T80" i="28"/>
  <c r="G80" i="28"/>
  <c r="I80" i="28" s="1"/>
  <c r="D81" i="28"/>
  <c r="E81" i="28" l="1"/>
  <c r="P80" i="28"/>
  <c r="J79" i="28"/>
  <c r="Q80" i="28"/>
  <c r="N80" i="28" s="1"/>
  <c r="R79" i="28"/>
  <c r="Y79" i="28"/>
  <c r="B82" i="28"/>
  <c r="A83" i="28"/>
  <c r="L79" i="28"/>
  <c r="M79" i="28" s="1"/>
  <c r="O79" i="28"/>
  <c r="K79" i="28"/>
  <c r="H80" i="28"/>
  <c r="F27" i="29"/>
  <c r="U81" i="28"/>
  <c r="T81" i="28"/>
  <c r="G81" i="28"/>
  <c r="F81" i="28"/>
  <c r="D82" i="28"/>
  <c r="X81" i="28"/>
  <c r="S81" i="28"/>
  <c r="W81" i="28"/>
  <c r="V81" i="28"/>
  <c r="C82" i="28"/>
  <c r="I81" i="28"/>
  <c r="E82" i="28" l="1"/>
  <c r="Q81" i="28"/>
  <c r="N81" i="28" s="1"/>
  <c r="P81" i="28"/>
  <c r="J80" i="28"/>
  <c r="R80" i="28"/>
  <c r="Y80" i="28"/>
  <c r="B83" i="28"/>
  <c r="A84" i="28"/>
  <c r="O80" i="28"/>
  <c r="L80" i="28"/>
  <c r="M80" i="28" s="1"/>
  <c r="K80" i="28"/>
  <c r="H81" i="28"/>
  <c r="G27" i="29"/>
  <c r="W82" i="28"/>
  <c r="G82" i="28"/>
  <c r="V82" i="28"/>
  <c r="F82" i="28"/>
  <c r="C83" i="28"/>
  <c r="T82" i="28"/>
  <c r="S82" i="28"/>
  <c r="X82" i="28"/>
  <c r="U82" i="28"/>
  <c r="D83" i="28"/>
  <c r="I82" i="28"/>
  <c r="E83" i="28" l="1"/>
  <c r="Q82" i="28"/>
  <c r="N82" i="28" s="1"/>
  <c r="P82" i="28"/>
  <c r="J81" i="28"/>
  <c r="R81" i="28"/>
  <c r="Y81" i="28"/>
  <c r="K81" i="28"/>
  <c r="O81" i="28"/>
  <c r="L81" i="28"/>
  <c r="M81" i="28" s="1"/>
  <c r="B84" i="28"/>
  <c r="A85" i="28"/>
  <c r="H82" i="28"/>
  <c r="A39" i="29"/>
  <c r="X83" i="28"/>
  <c r="F83" i="28"/>
  <c r="U83" i="28"/>
  <c r="G83" i="28"/>
  <c r="C84" i="28"/>
  <c r="I83" i="28"/>
  <c r="S83" i="28"/>
  <c r="T83" i="28"/>
  <c r="W83" i="28"/>
  <c r="V83" i="28"/>
  <c r="D84" i="28"/>
  <c r="E84" i="28" l="1"/>
  <c r="P83" i="28"/>
  <c r="J82" i="28"/>
  <c r="Q83" i="28"/>
  <c r="N83" i="28" s="1"/>
  <c r="R82" i="28"/>
  <c r="Y82" i="28"/>
  <c r="B85" i="28"/>
  <c r="A86" i="28"/>
  <c r="O82" i="28"/>
  <c r="K82" i="28"/>
  <c r="L82" i="28"/>
  <c r="M82" i="28" s="1"/>
  <c r="H83" i="28"/>
  <c r="B39" i="29"/>
  <c r="W84" i="28"/>
  <c r="X84" i="28"/>
  <c r="S84" i="28"/>
  <c r="V84" i="28"/>
  <c r="U84" i="28"/>
  <c r="D85" i="28"/>
  <c r="G84" i="28"/>
  <c r="I84" i="28" s="1"/>
  <c r="T84" i="28"/>
  <c r="F84" i="28"/>
  <c r="C85" i="28"/>
  <c r="E85" i="28" l="1"/>
  <c r="Q84" i="28"/>
  <c r="N84" i="28" s="1"/>
  <c r="P84" i="28"/>
  <c r="J83" i="28"/>
  <c r="R83" i="28"/>
  <c r="Y83" i="28"/>
  <c r="B86" i="28"/>
  <c r="A87" i="28"/>
  <c r="K83" i="28"/>
  <c r="L83" i="28"/>
  <c r="M83" i="28" s="1"/>
  <c r="O83" i="28"/>
  <c r="H84" i="28"/>
  <c r="C39" i="29"/>
  <c r="U85" i="28"/>
  <c r="G85" i="28"/>
  <c r="X85" i="28"/>
  <c r="F85" i="28"/>
  <c r="D86" i="28"/>
  <c r="V85" i="28"/>
  <c r="S85" i="28"/>
  <c r="W85" i="28"/>
  <c r="T85" i="28"/>
  <c r="C86" i="28"/>
  <c r="I85" i="28"/>
  <c r="E86" i="28" l="1"/>
  <c r="Q85" i="28"/>
  <c r="N85" i="28" s="1"/>
  <c r="P85" i="28"/>
  <c r="J84" i="28"/>
  <c r="R84" i="28"/>
  <c r="Y84" i="28"/>
  <c r="L84" i="28"/>
  <c r="M84" i="28" s="1"/>
  <c r="K84" i="28"/>
  <c r="O84" i="28"/>
  <c r="B87" i="28"/>
  <c r="A88" i="28"/>
  <c r="H85" i="28"/>
  <c r="D39" i="29"/>
  <c r="V86" i="28"/>
  <c r="S86" i="28"/>
  <c r="F86" i="28"/>
  <c r="G86" i="28"/>
  <c r="D87" i="28"/>
  <c r="X86" i="28"/>
  <c r="W86" i="28"/>
  <c r="T86" i="28"/>
  <c r="U86" i="28"/>
  <c r="C87" i="28"/>
  <c r="I86" i="28"/>
  <c r="E87" i="28" l="1"/>
  <c r="P86" i="28"/>
  <c r="J85" i="28"/>
  <c r="Q86" i="28"/>
  <c r="N86" i="28" s="1"/>
  <c r="R85" i="28"/>
  <c r="Y85" i="28"/>
  <c r="B88" i="28"/>
  <c r="A89" i="28"/>
  <c r="L85" i="28"/>
  <c r="M85" i="28" s="1"/>
  <c r="O85" i="28"/>
  <c r="K85" i="28"/>
  <c r="H86" i="28"/>
  <c r="E39" i="29"/>
  <c r="U87" i="28"/>
  <c r="G87" i="28"/>
  <c r="X87" i="28"/>
  <c r="F87" i="28"/>
  <c r="D88" i="28"/>
  <c r="I87" i="28"/>
  <c r="W87" i="28"/>
  <c r="V87" i="28"/>
  <c r="S87" i="28"/>
  <c r="T87" i="28"/>
  <c r="C88" i="28"/>
  <c r="E88" i="28" l="1"/>
  <c r="Q87" i="28"/>
  <c r="N87" i="28" s="1"/>
  <c r="R86" i="28"/>
  <c r="Y86" i="28"/>
  <c r="P87" i="28"/>
  <c r="J86" i="28"/>
  <c r="B89" i="28"/>
  <c r="A90" i="28"/>
  <c r="K86" i="28"/>
  <c r="L86" i="28"/>
  <c r="M86" i="28" s="1"/>
  <c r="O86" i="28"/>
  <c r="H87" i="28"/>
  <c r="F39" i="29"/>
  <c r="T88" i="28"/>
  <c r="F88" i="28"/>
  <c r="W88" i="28"/>
  <c r="G88" i="28"/>
  <c r="C89" i="28"/>
  <c r="V88" i="28"/>
  <c r="U88" i="28"/>
  <c r="X88" i="28"/>
  <c r="S88" i="28"/>
  <c r="D89" i="28"/>
  <c r="I88" i="28"/>
  <c r="E89" i="28" l="1"/>
  <c r="P88" i="28"/>
  <c r="J87" i="28"/>
  <c r="R87" i="28"/>
  <c r="Y87" i="28"/>
  <c r="Q88" i="28"/>
  <c r="N88" i="28" s="1"/>
  <c r="K87" i="28"/>
  <c r="L87" i="28"/>
  <c r="M87" i="28" s="1"/>
  <c r="O87" i="28"/>
  <c r="B90" i="28"/>
  <c r="A91" i="28"/>
  <c r="H88" i="28"/>
  <c r="G39" i="29"/>
  <c r="S89" i="28"/>
  <c r="T89" i="28"/>
  <c r="G89" i="28"/>
  <c r="F89" i="28"/>
  <c r="D90" i="28"/>
  <c r="U89" i="28"/>
  <c r="X89" i="28"/>
  <c r="V89" i="28"/>
  <c r="C90" i="28"/>
  <c r="I89" i="28"/>
  <c r="W89" i="28"/>
  <c r="E90" i="28" l="1"/>
  <c r="Q89" i="28"/>
  <c r="N89" i="28" s="1"/>
  <c r="P89" i="28"/>
  <c r="J88" i="28"/>
  <c r="R88" i="28"/>
  <c r="Y88" i="28"/>
  <c r="B91" i="28"/>
  <c r="A92" i="28"/>
  <c r="K88" i="28"/>
  <c r="O88" i="28"/>
  <c r="L88" i="28"/>
  <c r="M88" i="28" s="1"/>
  <c r="H89" i="28"/>
  <c r="A51" i="29"/>
  <c r="X90" i="28"/>
  <c r="U90" i="28"/>
  <c r="W90" i="28"/>
  <c r="G90" i="28"/>
  <c r="D91" i="28"/>
  <c r="F90" i="28"/>
  <c r="V90" i="28"/>
  <c r="T90" i="28"/>
  <c r="S90" i="28"/>
  <c r="C91" i="28"/>
  <c r="I90" i="28"/>
  <c r="E91" i="28" l="1"/>
  <c r="P90" i="28"/>
  <c r="J89" i="28"/>
  <c r="R89" i="28"/>
  <c r="Y89" i="28"/>
  <c r="Q90" i="28"/>
  <c r="N90" i="28" s="1"/>
  <c r="K89" i="28"/>
  <c r="L89" i="28"/>
  <c r="M89" i="28" s="1"/>
  <c r="O89" i="28"/>
  <c r="B92" i="28"/>
  <c r="A93" i="28"/>
  <c r="H90" i="28"/>
  <c r="B51" i="29"/>
  <c r="S91" i="28"/>
  <c r="F91" i="28"/>
  <c r="U91" i="28"/>
  <c r="G91" i="28"/>
  <c r="C92" i="28"/>
  <c r="T91" i="28"/>
  <c r="X91" i="28"/>
  <c r="V91" i="28"/>
  <c r="D92" i="28"/>
  <c r="I91" i="28"/>
  <c r="W91" i="28"/>
  <c r="E92" i="28" l="1"/>
  <c r="P91" i="28"/>
  <c r="J90" i="28"/>
  <c r="Q91" i="28"/>
  <c r="N91" i="28" s="1"/>
  <c r="R90" i="28"/>
  <c r="Y90" i="28"/>
  <c r="B93" i="28"/>
  <c r="A94" i="28"/>
  <c r="K90" i="28"/>
  <c r="L90" i="28"/>
  <c r="M90" i="28" s="1"/>
  <c r="O90" i="28"/>
  <c r="H91" i="28"/>
  <c r="C51" i="29"/>
  <c r="F92" i="28"/>
  <c r="U92" i="28"/>
  <c r="W92" i="28"/>
  <c r="G92" i="28"/>
  <c r="C93" i="28"/>
  <c r="V92" i="28"/>
  <c r="T92" i="28"/>
  <c r="X92" i="28"/>
  <c r="S92" i="28"/>
  <c r="D93" i="28"/>
  <c r="I92" i="28"/>
  <c r="E93" i="28" l="1"/>
  <c r="P92" i="28"/>
  <c r="J91" i="28"/>
  <c r="R91" i="28"/>
  <c r="Y91" i="28"/>
  <c r="Q92" i="28"/>
  <c r="N92" i="28" s="1"/>
  <c r="B94" i="28"/>
  <c r="A95" i="28"/>
  <c r="L91" i="28"/>
  <c r="M91" i="28" s="1"/>
  <c r="O91" i="28"/>
  <c r="K91" i="28"/>
  <c r="H92" i="28"/>
  <c r="D51" i="29"/>
  <c r="S93" i="28"/>
  <c r="G93" i="28"/>
  <c r="X93" i="28"/>
  <c r="F93" i="28"/>
  <c r="D94" i="28"/>
  <c r="U93" i="28"/>
  <c r="V93" i="28"/>
  <c r="W93" i="28"/>
  <c r="T93" i="28"/>
  <c r="C94" i="28"/>
  <c r="I93" i="28"/>
  <c r="E94" i="28" l="1"/>
  <c r="Q93" i="28"/>
  <c r="N93" i="28" s="1"/>
  <c r="P93" i="28"/>
  <c r="J92" i="28"/>
  <c r="R92" i="28"/>
  <c r="Y92" i="28"/>
  <c r="B95" i="28"/>
  <c r="A96" i="28"/>
  <c r="K92" i="28"/>
  <c r="O92" i="28"/>
  <c r="L92" i="28"/>
  <c r="M92" i="28" s="1"/>
  <c r="H93" i="28"/>
  <c r="E51" i="29"/>
  <c r="S94" i="28"/>
  <c r="W94" i="28"/>
  <c r="F94" i="28"/>
  <c r="G94" i="28"/>
  <c r="D95" i="28"/>
  <c r="I94" i="28"/>
  <c r="V94" i="28"/>
  <c r="X94" i="28"/>
  <c r="T94" i="28"/>
  <c r="U94" i="28"/>
  <c r="C95" i="28"/>
  <c r="E95" i="28" l="1"/>
  <c r="P94" i="28"/>
  <c r="J93" i="28"/>
  <c r="Q94" i="28"/>
  <c r="N94" i="28" s="1"/>
  <c r="R93" i="28"/>
  <c r="Y93" i="28"/>
  <c r="B96" i="28"/>
  <c r="A97" i="28"/>
  <c r="K93" i="28"/>
  <c r="L93" i="28"/>
  <c r="M93" i="28" s="1"/>
  <c r="O93" i="28"/>
  <c r="H94" i="28"/>
  <c r="F51" i="29"/>
  <c r="U95" i="28"/>
  <c r="G95" i="28"/>
  <c r="X95" i="28"/>
  <c r="F95" i="28"/>
  <c r="D96" i="28"/>
  <c r="W95" i="28"/>
  <c r="V95" i="28"/>
  <c r="S95" i="28"/>
  <c r="T95" i="28"/>
  <c r="C96" i="28"/>
  <c r="I95" i="28"/>
  <c r="E96" i="28" l="1"/>
  <c r="Q95" i="28"/>
  <c r="N95" i="28" s="1"/>
  <c r="R94" i="28"/>
  <c r="Y94" i="28"/>
  <c r="P95" i="28"/>
  <c r="J94" i="28"/>
  <c r="B97" i="28"/>
  <c r="A98" i="28"/>
  <c r="K94" i="28"/>
  <c r="L94" i="28"/>
  <c r="M94" i="28" s="1"/>
  <c r="O94" i="28"/>
  <c r="H95" i="28"/>
  <c r="G51" i="29"/>
  <c r="T96" i="28"/>
  <c r="F96" i="28"/>
  <c r="W96" i="28"/>
  <c r="G96" i="28"/>
  <c r="C97" i="28"/>
  <c r="U96" i="28"/>
  <c r="X96" i="28"/>
  <c r="S96" i="28"/>
  <c r="D97" i="28"/>
  <c r="I96" i="28"/>
  <c r="V96" i="28"/>
  <c r="E97" i="28" l="1"/>
  <c r="P96" i="28"/>
  <c r="J95" i="28"/>
  <c r="R95" i="28"/>
  <c r="Y95" i="28"/>
  <c r="Q96" i="28"/>
  <c r="N96" i="28" s="1"/>
  <c r="B98" i="28"/>
  <c r="A99" i="28"/>
  <c r="L95" i="28"/>
  <c r="M95" i="28" s="1"/>
  <c r="O95" i="28"/>
  <c r="K95" i="28"/>
  <c r="H96" i="28"/>
  <c r="A63" i="29"/>
  <c r="B63" i="29"/>
  <c r="U97" i="28"/>
  <c r="X97" i="28"/>
  <c r="W97" i="28"/>
  <c r="V97" i="28"/>
  <c r="C98" i="28"/>
  <c r="S97" i="28"/>
  <c r="T97" i="28"/>
  <c r="G97" i="28"/>
  <c r="I97" i="28" s="1"/>
  <c r="F97" i="28"/>
  <c r="D98" i="28"/>
  <c r="E98" i="28" l="1"/>
  <c r="Q97" i="28"/>
  <c r="N97" i="28" s="1"/>
  <c r="P97" i="28"/>
  <c r="J96" i="28"/>
  <c r="R96" i="28"/>
  <c r="Y96" i="28"/>
  <c r="B99" i="28"/>
  <c r="A100" i="28"/>
  <c r="K96" i="28"/>
  <c r="O96" i="28"/>
  <c r="L96" i="28"/>
  <c r="M96" i="28" s="1"/>
  <c r="H97" i="28"/>
  <c r="C99" i="28"/>
  <c r="V98" i="28"/>
  <c r="F98" i="28"/>
  <c r="W98" i="28"/>
  <c r="G98" i="28"/>
  <c r="D99" i="28"/>
  <c r="X98" i="28"/>
  <c r="U98" i="28"/>
  <c r="T98" i="28"/>
  <c r="S98" i="28"/>
  <c r="I98" i="28"/>
  <c r="E99" i="28" l="1"/>
  <c r="P98" i="28"/>
  <c r="J97" i="28"/>
  <c r="R97" i="28"/>
  <c r="Y97" i="28"/>
  <c r="Q98" i="28"/>
  <c r="N98" i="28" s="1"/>
  <c r="L97" i="28"/>
  <c r="M97" i="28" s="1"/>
  <c r="O97" i="28"/>
  <c r="K97" i="28"/>
  <c r="B100" i="28"/>
  <c r="A101" i="28"/>
  <c r="H98" i="28"/>
  <c r="W99" i="28"/>
  <c r="V99" i="28"/>
  <c r="S99" i="28"/>
  <c r="T99" i="28"/>
  <c r="C100" i="28"/>
  <c r="G99" i="28"/>
  <c r="I99" i="28" s="1"/>
  <c r="X99" i="28"/>
  <c r="F99" i="28"/>
  <c r="D100" i="28"/>
  <c r="U99" i="28"/>
  <c r="E100" i="28" l="1"/>
  <c r="Q99" i="28"/>
  <c r="N99" i="28" s="1"/>
  <c r="R98" i="28"/>
  <c r="Y98" i="28"/>
  <c r="P99" i="28"/>
  <c r="J98" i="28"/>
  <c r="B101" i="28"/>
  <c r="A102" i="28"/>
  <c r="K98" i="28"/>
  <c r="L98" i="28"/>
  <c r="M98" i="28" s="1"/>
  <c r="O98" i="28"/>
  <c r="H99" i="28"/>
  <c r="V100" i="28"/>
  <c r="U100" i="28"/>
  <c r="X100" i="28"/>
  <c r="S100" i="28"/>
  <c r="D101" i="28"/>
  <c r="T100" i="28"/>
  <c r="F100" i="28"/>
  <c r="W100" i="28"/>
  <c r="G100" i="28"/>
  <c r="I100" i="28" s="1"/>
  <c r="C101" i="28"/>
  <c r="E101" i="28" l="1"/>
  <c r="P100" i="28"/>
  <c r="J99" i="28"/>
  <c r="R99" i="28"/>
  <c r="Y99" i="28"/>
  <c r="Q100" i="28"/>
  <c r="N100" i="28" s="1"/>
  <c r="O99" i="28"/>
  <c r="K99" i="28"/>
  <c r="L99" i="28"/>
  <c r="M99" i="28" s="1"/>
  <c r="B102" i="28"/>
  <c r="A103" i="28"/>
  <c r="H100" i="28"/>
  <c r="U101" i="28"/>
  <c r="V101" i="28"/>
  <c r="W101" i="28"/>
  <c r="T101" i="28"/>
  <c r="C102" i="28"/>
  <c r="S101" i="28"/>
  <c r="G101" i="28"/>
  <c r="I101" i="28" s="1"/>
  <c r="X101" i="28"/>
  <c r="F101" i="28"/>
  <c r="D102" i="28"/>
  <c r="E102" i="28" l="1"/>
  <c r="Q101" i="28"/>
  <c r="N101" i="28" s="1"/>
  <c r="P101" i="28"/>
  <c r="J100" i="28"/>
  <c r="R100" i="28"/>
  <c r="Y100" i="28"/>
  <c r="B103" i="28"/>
  <c r="A104" i="28"/>
  <c r="K100" i="28"/>
  <c r="O100" i="28"/>
  <c r="L100" i="28"/>
  <c r="M100" i="28" s="1"/>
  <c r="H101" i="28"/>
  <c r="S102" i="28"/>
  <c r="V102" i="28"/>
  <c r="T102" i="28"/>
  <c r="U102" i="28"/>
  <c r="C103" i="28"/>
  <c r="F102" i="28"/>
  <c r="D103" i="28"/>
  <c r="X102" i="28"/>
  <c r="W102" i="28"/>
  <c r="G102" i="28"/>
  <c r="I102" i="28" s="1"/>
  <c r="E103" i="28" l="1"/>
  <c r="P102" i="28"/>
  <c r="J101" i="28"/>
  <c r="Q102" i="28"/>
  <c r="N102" i="28" s="1"/>
  <c r="R101" i="28"/>
  <c r="Y101" i="28"/>
  <c r="L101" i="28"/>
  <c r="M101" i="28" s="1"/>
  <c r="O101" i="28"/>
  <c r="K101" i="28"/>
  <c r="B104" i="28"/>
  <c r="A105" i="28"/>
  <c r="H102" i="28"/>
  <c r="X103" i="28"/>
  <c r="T103" i="28"/>
  <c r="W103" i="28"/>
  <c r="V103" i="28"/>
  <c r="D104" i="28"/>
  <c r="F103" i="28"/>
  <c r="S103" i="28"/>
  <c r="U103" i="28"/>
  <c r="G103" i="28"/>
  <c r="I103" i="28" s="1"/>
  <c r="C104" i="28"/>
  <c r="E104" i="28" l="1"/>
  <c r="P103" i="28"/>
  <c r="J102" i="28"/>
  <c r="Q103" i="28"/>
  <c r="N103" i="28" s="1"/>
  <c r="R102" i="28"/>
  <c r="Y102" i="28"/>
  <c r="B105" i="28"/>
  <c r="A106" i="28"/>
  <c r="O102" i="28"/>
  <c r="K102" i="28"/>
  <c r="L102" i="28"/>
  <c r="M102" i="28" s="1"/>
  <c r="H103" i="28"/>
  <c r="X104" i="28"/>
  <c r="S104" i="28"/>
  <c r="V104" i="28"/>
  <c r="U104" i="28"/>
  <c r="C105" i="28"/>
  <c r="W104" i="28"/>
  <c r="G104" i="28"/>
  <c r="I104" i="28" s="1"/>
  <c r="T104" i="28"/>
  <c r="F104" i="28"/>
  <c r="D105" i="28"/>
  <c r="E105" i="28" l="1"/>
  <c r="Q104" i="28"/>
  <c r="N104" i="28" s="1"/>
  <c r="P104" i="28"/>
  <c r="J103" i="28"/>
  <c r="R103" i="28"/>
  <c r="Y103" i="28"/>
  <c r="B106" i="28"/>
  <c r="A107" i="28"/>
  <c r="K103" i="28"/>
  <c r="L103" i="28"/>
  <c r="M103" i="28" s="1"/>
  <c r="O103" i="28"/>
  <c r="H104" i="28"/>
  <c r="S105" i="28"/>
  <c r="T105" i="28"/>
  <c r="G105" i="28"/>
  <c r="F105" i="28"/>
  <c r="C106" i="28"/>
  <c r="I105" i="28"/>
  <c r="W105" i="28"/>
  <c r="V105" i="28"/>
  <c r="U105" i="28"/>
  <c r="D106" i="28"/>
  <c r="X105" i="28"/>
  <c r="E106" i="28" l="1"/>
  <c r="Q105" i="28"/>
  <c r="N105" i="28" s="1"/>
  <c r="P105" i="28"/>
  <c r="J104" i="28"/>
  <c r="R104" i="28"/>
  <c r="Y104" i="28"/>
  <c r="L104" i="28"/>
  <c r="M104" i="28" s="1"/>
  <c r="K104" i="28"/>
  <c r="O104" i="28"/>
  <c r="B107" i="28"/>
  <c r="A108" i="28"/>
  <c r="H105" i="28"/>
  <c r="X106" i="28"/>
  <c r="U106" i="28"/>
  <c r="T106" i="28"/>
  <c r="S106" i="28"/>
  <c r="C107" i="28"/>
  <c r="V106" i="28"/>
  <c r="W106" i="28"/>
  <c r="G106" i="28"/>
  <c r="I106" i="28" s="1"/>
  <c r="D107" i="28"/>
  <c r="F106" i="28"/>
  <c r="E107" i="28" l="1"/>
  <c r="P106" i="28"/>
  <c r="J105" i="28"/>
  <c r="R105" i="28"/>
  <c r="Y105" i="28"/>
  <c r="Q106" i="28"/>
  <c r="N106" i="28" s="1"/>
  <c r="K105" i="28"/>
  <c r="L105" i="28"/>
  <c r="M105" i="28" s="1"/>
  <c r="O105" i="28"/>
  <c r="B108" i="28"/>
  <c r="A109" i="28"/>
  <c r="H106" i="28"/>
  <c r="S107" i="28"/>
  <c r="T107" i="28"/>
  <c r="W107" i="28"/>
  <c r="V107" i="28"/>
  <c r="D108" i="28"/>
  <c r="X107" i="28"/>
  <c r="F107" i="28"/>
  <c r="U107" i="28"/>
  <c r="G107" i="28"/>
  <c r="I107" i="28" s="1"/>
  <c r="C108" i="28"/>
  <c r="E108" i="28" l="1"/>
  <c r="P107" i="28"/>
  <c r="J106" i="28"/>
  <c r="Q107" i="28"/>
  <c r="N107" i="28" s="1"/>
  <c r="R106" i="28"/>
  <c r="Y106" i="28"/>
  <c r="B109" i="28"/>
  <c r="A110" i="28"/>
  <c r="O106" i="28"/>
  <c r="K106" i="28"/>
  <c r="L106" i="28"/>
  <c r="M106" i="28" s="1"/>
  <c r="H107" i="28"/>
  <c r="X108" i="28"/>
  <c r="S108" i="28"/>
  <c r="V108" i="28"/>
  <c r="U108" i="28"/>
  <c r="C109" i="28"/>
  <c r="W108" i="28"/>
  <c r="T108" i="28"/>
  <c r="F108" i="28"/>
  <c r="D109" i="28"/>
  <c r="G108" i="28"/>
  <c r="I108" i="28" s="1"/>
  <c r="E109" i="28" l="1"/>
  <c r="Q108" i="28"/>
  <c r="N108" i="28" s="1"/>
  <c r="P108" i="28"/>
  <c r="J107" i="28"/>
  <c r="R107" i="28"/>
  <c r="Y107" i="28"/>
  <c r="B110" i="28"/>
  <c r="A111" i="28"/>
  <c r="L107" i="28"/>
  <c r="M107" i="28" s="1"/>
  <c r="O107" i="28"/>
  <c r="K107" i="28"/>
  <c r="H108" i="28"/>
  <c r="U109" i="28"/>
  <c r="V109" i="28"/>
  <c r="W109" i="28"/>
  <c r="T109" i="28"/>
  <c r="C110" i="28"/>
  <c r="S109" i="28"/>
  <c r="G109" i="28"/>
  <c r="I109" i="28" s="1"/>
  <c r="X109" i="28"/>
  <c r="F109" i="28"/>
  <c r="D110" i="28"/>
  <c r="E110" i="28" l="1"/>
  <c r="Q109" i="28"/>
  <c r="N109" i="28" s="1"/>
  <c r="P109" i="28"/>
  <c r="J108" i="28"/>
  <c r="R108" i="28"/>
  <c r="Y108" i="28"/>
  <c r="K108" i="28"/>
  <c r="O108" i="28"/>
  <c r="L108" i="28"/>
  <c r="M108" i="28" s="1"/>
  <c r="B111" i="28"/>
  <c r="A112" i="28"/>
  <c r="H109" i="28"/>
  <c r="T110" i="28"/>
  <c r="U110" i="28"/>
  <c r="X110" i="28"/>
  <c r="W110" i="28"/>
  <c r="D111" i="28"/>
  <c r="F110" i="28"/>
  <c r="G110" i="28"/>
  <c r="I110" i="28" s="1"/>
  <c r="V110" i="28"/>
  <c r="S110" i="28"/>
  <c r="C111" i="28"/>
  <c r="E111" i="28" l="1"/>
  <c r="R109" i="28"/>
  <c r="Y109" i="28"/>
  <c r="P110" i="28"/>
  <c r="J109" i="28"/>
  <c r="Q110" i="28"/>
  <c r="N110" i="28" s="1"/>
  <c r="B112" i="28"/>
  <c r="A113" i="28"/>
  <c r="L109" i="28"/>
  <c r="M109" i="28" s="1"/>
  <c r="O109" i="28"/>
  <c r="K109" i="28"/>
  <c r="H110" i="28"/>
  <c r="S111" i="28"/>
  <c r="T111" i="28"/>
  <c r="W111" i="28"/>
  <c r="V111" i="28"/>
  <c r="D112" i="28"/>
  <c r="X111" i="28"/>
  <c r="F111" i="28"/>
  <c r="U111" i="28"/>
  <c r="G111" i="28"/>
  <c r="I111" i="28" s="1"/>
  <c r="C112" i="28"/>
  <c r="E112" i="28" l="1"/>
  <c r="P111" i="28"/>
  <c r="J110" i="28"/>
  <c r="Q111" i="28"/>
  <c r="N111" i="28" s="1"/>
  <c r="R110" i="28"/>
  <c r="Y110" i="28"/>
  <c r="B113" i="28"/>
  <c r="A114" i="28"/>
  <c r="K110" i="28"/>
  <c r="L110" i="28"/>
  <c r="M110" i="28" s="1"/>
  <c r="O110" i="28"/>
  <c r="H111" i="28"/>
  <c r="X112" i="28"/>
  <c r="S112" i="28"/>
  <c r="V112" i="28"/>
  <c r="U112" i="28"/>
  <c r="C113" i="28"/>
  <c r="W112" i="28"/>
  <c r="G112" i="28"/>
  <c r="I112" i="28" s="1"/>
  <c r="T112" i="28"/>
  <c r="F112" i="28"/>
  <c r="D113" i="28"/>
  <c r="E113" i="28" l="1"/>
  <c r="Q112" i="28"/>
  <c r="N112" i="28" s="1"/>
  <c r="P112" i="28"/>
  <c r="J111" i="28"/>
  <c r="R111" i="28"/>
  <c r="Y111" i="28"/>
  <c r="B114" i="28"/>
  <c r="A115" i="28"/>
  <c r="K111" i="28"/>
  <c r="L111" i="28"/>
  <c r="M111" i="28" s="1"/>
  <c r="O111" i="28"/>
  <c r="H112" i="28"/>
  <c r="V113" i="28"/>
  <c r="G113" i="28"/>
  <c r="U113" i="28"/>
  <c r="X113" i="28"/>
  <c r="D114" i="28"/>
  <c r="I113" i="28"/>
  <c r="W113" i="28"/>
  <c r="F113" i="28"/>
  <c r="S113" i="28"/>
  <c r="T113" i="28"/>
  <c r="C114" i="28"/>
  <c r="E114" i="28" l="1"/>
  <c r="R112" i="28"/>
  <c r="Y112" i="28"/>
  <c r="Q113" i="28"/>
  <c r="N113" i="28" s="1"/>
  <c r="P113" i="28"/>
  <c r="J112" i="28"/>
  <c r="K112" i="28"/>
  <c r="O112" i="28"/>
  <c r="L112" i="28"/>
  <c r="M112" i="28" s="1"/>
  <c r="B115" i="28"/>
  <c r="A116" i="28"/>
  <c r="H113" i="28"/>
  <c r="T114" i="28"/>
  <c r="S114" i="28"/>
  <c r="X114" i="28"/>
  <c r="U114" i="28"/>
  <c r="D115" i="28"/>
  <c r="W114" i="28"/>
  <c r="G114" i="28"/>
  <c r="I114" i="28" s="1"/>
  <c r="F114" i="28"/>
  <c r="C115" i="28"/>
  <c r="V114" i="28"/>
  <c r="E115" i="28" l="1"/>
  <c r="Q114" i="28"/>
  <c r="N114" i="28" s="1"/>
  <c r="P114" i="28"/>
  <c r="J113" i="28"/>
  <c r="R113" i="28"/>
  <c r="Y113" i="28"/>
  <c r="B116" i="28"/>
  <c r="A117" i="28"/>
  <c r="L113" i="28"/>
  <c r="M113" i="28" s="1"/>
  <c r="O113" i="28"/>
  <c r="K113" i="28"/>
  <c r="H114" i="28"/>
  <c r="S115" i="28"/>
  <c r="T115" i="28"/>
  <c r="W115" i="28"/>
  <c r="V115" i="28"/>
  <c r="D116" i="28"/>
  <c r="X115" i="28"/>
  <c r="F115" i="28"/>
  <c r="U115" i="28"/>
  <c r="G115" i="28"/>
  <c r="I115" i="28" s="1"/>
  <c r="C116" i="28"/>
  <c r="E116" i="28" l="1"/>
  <c r="P115" i="28"/>
  <c r="J114" i="28"/>
  <c r="Q115" i="28"/>
  <c r="N115" i="28" s="1"/>
  <c r="R114" i="28"/>
  <c r="Y114" i="28"/>
  <c r="K114" i="28"/>
  <c r="L114" i="28"/>
  <c r="M114" i="28" s="1"/>
  <c r="O114" i="28"/>
  <c r="B117" i="28"/>
  <c r="A118" i="28"/>
  <c r="H115" i="28"/>
  <c r="W116" i="28"/>
  <c r="S116" i="28"/>
  <c r="V116" i="28"/>
  <c r="U116" i="28"/>
  <c r="D117" i="28"/>
  <c r="X116" i="28"/>
  <c r="G116" i="28"/>
  <c r="I116" i="28" s="1"/>
  <c r="T116" i="28"/>
  <c r="F116" i="28"/>
  <c r="C117" i="28"/>
  <c r="E117" i="28" l="1"/>
  <c r="Q116" i="28"/>
  <c r="N116" i="28" s="1"/>
  <c r="P116" i="28"/>
  <c r="J115" i="28"/>
  <c r="R115" i="28"/>
  <c r="Y115" i="28"/>
  <c r="B118" i="28"/>
  <c r="A119" i="28"/>
  <c r="O115" i="28"/>
  <c r="K115" i="28"/>
  <c r="L115" i="28"/>
  <c r="M115" i="28" s="1"/>
  <c r="H116" i="28"/>
  <c r="W117" i="28"/>
  <c r="T117" i="28"/>
  <c r="U117" i="28"/>
  <c r="V117" i="28"/>
  <c r="C118" i="28"/>
  <c r="X117" i="28"/>
  <c r="F117" i="28"/>
  <c r="S117" i="28"/>
  <c r="G117" i="28"/>
  <c r="I117" i="28" s="1"/>
  <c r="D118" i="28"/>
  <c r="E118" i="28" l="1"/>
  <c r="P117" i="28"/>
  <c r="J116" i="28"/>
  <c r="R116" i="28"/>
  <c r="Y116" i="28"/>
  <c r="Q117" i="28"/>
  <c r="N117" i="28" s="1"/>
  <c r="K116" i="28"/>
  <c r="O116" i="28"/>
  <c r="L116" i="28"/>
  <c r="M116" i="28" s="1"/>
  <c r="B119" i="28"/>
  <c r="A120" i="28"/>
  <c r="H117" i="28"/>
  <c r="T118" i="28"/>
  <c r="U118" i="28"/>
  <c r="X118" i="28"/>
  <c r="W118" i="28"/>
  <c r="D119" i="28"/>
  <c r="F118" i="28"/>
  <c r="G118" i="28"/>
  <c r="I118" i="28" s="1"/>
  <c r="V118" i="28"/>
  <c r="S118" i="28"/>
  <c r="C119" i="28"/>
  <c r="E119" i="28" l="1"/>
  <c r="R117" i="28"/>
  <c r="Y117" i="28"/>
  <c r="P118" i="28"/>
  <c r="J117" i="28"/>
  <c r="Q118" i="28"/>
  <c r="N118" i="28" s="1"/>
  <c r="B120" i="28"/>
  <c r="A121" i="28"/>
  <c r="O117" i="28"/>
  <c r="K117" i="28"/>
  <c r="L117" i="28"/>
  <c r="M117" i="28" s="1"/>
  <c r="H118" i="28"/>
  <c r="S119" i="28"/>
  <c r="T119" i="28"/>
  <c r="W119" i="28"/>
  <c r="V119" i="28"/>
  <c r="D120" i="28"/>
  <c r="X119" i="28"/>
  <c r="F119" i="28"/>
  <c r="U119" i="28"/>
  <c r="G119" i="28"/>
  <c r="I119" i="28" s="1"/>
  <c r="C120" i="28"/>
  <c r="E120" i="28" l="1"/>
  <c r="P119" i="28"/>
  <c r="J118" i="28"/>
  <c r="Q119" i="28"/>
  <c r="N119" i="28" s="1"/>
  <c r="R118" i="28"/>
  <c r="Y118" i="28"/>
  <c r="B121" i="28"/>
  <c r="A122" i="28"/>
  <c r="K118" i="28"/>
  <c r="L118" i="28"/>
  <c r="M118" i="28" s="1"/>
  <c r="O118" i="28"/>
  <c r="H119" i="28"/>
  <c r="X120" i="28"/>
  <c r="S120" i="28"/>
  <c r="V120" i="28"/>
  <c r="U120" i="28"/>
  <c r="C121" i="28"/>
  <c r="W120" i="28"/>
  <c r="G120" i="28"/>
  <c r="I120" i="28" s="1"/>
  <c r="T120" i="28"/>
  <c r="F120" i="28"/>
  <c r="D121" i="28"/>
  <c r="E121" i="28" l="1"/>
  <c r="Q120" i="28"/>
  <c r="N120" i="28" s="1"/>
  <c r="P120" i="28"/>
  <c r="J119" i="28"/>
  <c r="R119" i="28"/>
  <c r="Y119" i="28"/>
  <c r="B122" i="28"/>
  <c r="A123" i="28"/>
  <c r="K119" i="28"/>
  <c r="L119" i="28"/>
  <c r="M119" i="28" s="1"/>
  <c r="O119" i="28"/>
  <c r="H120" i="28"/>
  <c r="V121" i="28"/>
  <c r="G121" i="28"/>
  <c r="U121" i="28"/>
  <c r="X121" i="28"/>
  <c r="D122" i="28"/>
  <c r="I121" i="28"/>
  <c r="W121" i="28"/>
  <c r="F121" i="28"/>
  <c r="S121" i="28"/>
  <c r="T121" i="28"/>
  <c r="C122" i="28"/>
  <c r="E122" i="28" l="1"/>
  <c r="R120" i="28"/>
  <c r="Y120" i="28"/>
  <c r="Q121" i="28"/>
  <c r="N121" i="28" s="1"/>
  <c r="P121" i="28"/>
  <c r="J120" i="28"/>
  <c r="K120" i="28"/>
  <c r="O120" i="28"/>
  <c r="L120" i="28"/>
  <c r="M120" i="28" s="1"/>
  <c r="B123" i="28"/>
  <c r="A124" i="28"/>
  <c r="H121" i="28"/>
  <c r="T122" i="28"/>
  <c r="S122" i="28"/>
  <c r="X122" i="28"/>
  <c r="U122" i="28"/>
  <c r="D123" i="28"/>
  <c r="W122" i="28"/>
  <c r="G122" i="28"/>
  <c r="V122" i="28"/>
  <c r="F122" i="28"/>
  <c r="C123" i="28"/>
  <c r="I122" i="28"/>
  <c r="Q122" i="28" l="1"/>
  <c r="N122" i="28" s="1"/>
  <c r="J121" i="28"/>
  <c r="E123" i="28"/>
  <c r="P122" i="28"/>
  <c r="R121" i="28"/>
  <c r="Y121" i="28"/>
  <c r="B124" i="28"/>
  <c r="A125" i="28"/>
  <c r="L121" i="28"/>
  <c r="M121" i="28" s="1"/>
  <c r="O121" i="28"/>
  <c r="K121" i="28"/>
  <c r="H122" i="28"/>
  <c r="S123" i="28"/>
  <c r="X123" i="28"/>
  <c r="W123" i="28"/>
  <c r="V123" i="28"/>
  <c r="D124" i="28"/>
  <c r="F123" i="28"/>
  <c r="U123" i="28"/>
  <c r="G123" i="28"/>
  <c r="I123" i="28" s="1"/>
  <c r="C124" i="28"/>
  <c r="T123" i="28"/>
  <c r="J122" i="28" l="1"/>
  <c r="Q123" i="28"/>
  <c r="N123" i="28" s="1"/>
  <c r="E124" i="28"/>
  <c r="P123" i="28"/>
  <c r="R122" i="28"/>
  <c r="Y122" i="28"/>
  <c r="B125" i="28"/>
  <c r="A126" i="28"/>
  <c r="K122" i="28"/>
  <c r="L122" i="28"/>
  <c r="M122" i="28" s="1"/>
  <c r="O122" i="28"/>
  <c r="H123" i="28"/>
  <c r="T124" i="28"/>
  <c r="W124" i="28"/>
  <c r="G124" i="28"/>
  <c r="U124" i="28"/>
  <c r="D125" i="28"/>
  <c r="X124" i="28"/>
  <c r="S124" i="28"/>
  <c r="V124" i="28"/>
  <c r="F124" i="28"/>
  <c r="C125" i="28"/>
  <c r="I124" i="28"/>
  <c r="Q124" i="28" l="1"/>
  <c r="N124" i="28" s="1"/>
  <c r="J123" i="28"/>
  <c r="E125" i="28"/>
  <c r="P124" i="28"/>
  <c r="R123" i="28"/>
  <c r="Y123" i="28"/>
  <c r="B126" i="28"/>
  <c r="A127" i="28"/>
  <c r="L123" i="28"/>
  <c r="M123" i="28" s="1"/>
  <c r="O123" i="28"/>
  <c r="K123" i="28"/>
  <c r="H124" i="28"/>
  <c r="S125" i="28"/>
  <c r="X125" i="28"/>
  <c r="F125" i="28"/>
  <c r="V125" i="28"/>
  <c r="C126" i="28"/>
  <c r="W125" i="28"/>
  <c r="T125" i="28"/>
  <c r="U125" i="28"/>
  <c r="G125" i="28"/>
  <c r="I125" i="28" s="1"/>
  <c r="D126" i="28"/>
  <c r="J124" i="28" l="1"/>
  <c r="Q125" i="28"/>
  <c r="N125" i="28" s="1"/>
  <c r="E126" i="28"/>
  <c r="P125" i="28"/>
  <c r="R124" i="28"/>
  <c r="Y124" i="28"/>
  <c r="B127" i="28"/>
  <c r="A128" i="28"/>
  <c r="O124" i="28"/>
  <c r="L124" i="28"/>
  <c r="M124" i="28" s="1"/>
  <c r="K124" i="28"/>
  <c r="H125" i="28"/>
  <c r="V126" i="28"/>
  <c r="T126" i="28"/>
  <c r="U126" i="28"/>
  <c r="W126" i="28"/>
  <c r="D127" i="28"/>
  <c r="X126" i="28"/>
  <c r="S126" i="28"/>
  <c r="F126" i="28"/>
  <c r="G126" i="28"/>
  <c r="C127" i="28"/>
  <c r="I126" i="28"/>
  <c r="J125" i="28" l="1"/>
  <c r="Q126" i="28"/>
  <c r="N126" i="28" s="1"/>
  <c r="E127" i="28"/>
  <c r="P126" i="28"/>
  <c r="R125" i="28"/>
  <c r="Y125" i="28"/>
  <c r="B128" i="28"/>
  <c r="A129" i="28"/>
  <c r="K125" i="28"/>
  <c r="L125" i="28"/>
  <c r="M125" i="28" s="1"/>
  <c r="O125" i="28"/>
  <c r="H126" i="28"/>
  <c r="S127" i="28"/>
  <c r="T127" i="28"/>
  <c r="W127" i="28"/>
  <c r="V127" i="28"/>
  <c r="D128" i="28"/>
  <c r="X127" i="28"/>
  <c r="F127" i="28"/>
  <c r="U127" i="28"/>
  <c r="G127" i="28"/>
  <c r="I127" i="28" s="1"/>
  <c r="C128" i="28"/>
  <c r="J126" i="28" l="1"/>
  <c r="Q127" i="28"/>
  <c r="N127" i="28" s="1"/>
  <c r="E128" i="28"/>
  <c r="P127" i="28"/>
  <c r="R126" i="28"/>
  <c r="Y126" i="28"/>
  <c r="B129" i="28"/>
  <c r="A130" i="28"/>
  <c r="K126" i="28"/>
  <c r="L126" i="28"/>
  <c r="M126" i="28" s="1"/>
  <c r="O126" i="28"/>
  <c r="H127" i="28"/>
  <c r="X128" i="28"/>
  <c r="S128" i="28"/>
  <c r="V128" i="28"/>
  <c r="U128" i="28"/>
  <c r="W128" i="28"/>
  <c r="G128" i="28"/>
  <c r="I128" i="28" s="1"/>
  <c r="T128" i="28"/>
  <c r="F128" i="28"/>
  <c r="D129" i="28"/>
  <c r="C129" i="28"/>
  <c r="Q128" i="28" l="1"/>
  <c r="N128" i="28" s="1"/>
  <c r="J127" i="28"/>
  <c r="E129" i="28"/>
  <c r="P128" i="28"/>
  <c r="R127" i="28"/>
  <c r="Y127" i="28"/>
  <c r="B130" i="28"/>
  <c r="A131" i="28"/>
  <c r="L127" i="28"/>
  <c r="M127" i="28" s="1"/>
  <c r="O127" i="28"/>
  <c r="K127" i="28"/>
  <c r="H128" i="28"/>
  <c r="W129" i="28"/>
  <c r="V129" i="28"/>
  <c r="U129" i="28"/>
  <c r="X129" i="28"/>
  <c r="D130" i="28"/>
  <c r="G129" i="28"/>
  <c r="I129" i="28" s="1"/>
  <c r="F129" i="28"/>
  <c r="S129" i="28"/>
  <c r="T129" i="28"/>
  <c r="C130" i="28"/>
  <c r="Q129" i="28" l="1"/>
  <c r="N129" i="28" s="1"/>
  <c r="J128" i="28"/>
  <c r="E130" i="28"/>
  <c r="R128" i="28"/>
  <c r="Y128" i="28"/>
  <c r="P129" i="28"/>
  <c r="B131" i="28"/>
  <c r="A132" i="28"/>
  <c r="L128" i="28"/>
  <c r="M128" i="28" s="1"/>
  <c r="K128" i="28"/>
  <c r="O128" i="28"/>
  <c r="H129" i="28"/>
  <c r="X130" i="28"/>
  <c r="F130" i="28"/>
  <c r="W130" i="28"/>
  <c r="G130" i="28"/>
  <c r="C131" i="28"/>
  <c r="I130" i="28"/>
  <c r="U130" i="28"/>
  <c r="T130" i="28"/>
  <c r="S130" i="28"/>
  <c r="V130" i="28"/>
  <c r="D131" i="28"/>
  <c r="J129" i="28" l="1"/>
  <c r="Q130" i="28"/>
  <c r="N130" i="28" s="1"/>
  <c r="E131" i="28"/>
  <c r="P130" i="28"/>
  <c r="R129" i="28"/>
  <c r="Y129" i="28"/>
  <c r="B132" i="28"/>
  <c r="A133" i="28"/>
  <c r="L129" i="28"/>
  <c r="M129" i="28" s="1"/>
  <c r="O129" i="28"/>
  <c r="K129" i="28"/>
  <c r="H130" i="28"/>
  <c r="S131" i="28"/>
  <c r="T131" i="28"/>
  <c r="W131" i="28"/>
  <c r="V131" i="28"/>
  <c r="D132" i="28"/>
  <c r="F131" i="28"/>
  <c r="U131" i="28"/>
  <c r="G131" i="28"/>
  <c r="I131" i="28" s="1"/>
  <c r="C132" i="28"/>
  <c r="X131" i="28"/>
  <c r="J130" i="28" l="1"/>
  <c r="Q131" i="28"/>
  <c r="N131" i="28" s="1"/>
  <c r="E132" i="28"/>
  <c r="P131" i="28"/>
  <c r="R130" i="28"/>
  <c r="Y130" i="28"/>
  <c r="B133" i="28"/>
  <c r="A134" i="28"/>
  <c r="K130" i="28"/>
  <c r="L130" i="28"/>
  <c r="M130" i="28" s="1"/>
  <c r="O130" i="28"/>
  <c r="H131" i="28"/>
  <c r="C133" i="28"/>
  <c r="X132" i="28"/>
  <c r="G132" i="28"/>
  <c r="T132" i="28"/>
  <c r="F132" i="28"/>
  <c r="D133" i="28"/>
  <c r="S132" i="28"/>
  <c r="W132" i="28"/>
  <c r="V132" i="28"/>
  <c r="U132" i="28"/>
  <c r="I132" i="28"/>
  <c r="E133" i="28" l="1"/>
  <c r="Q132" i="28"/>
  <c r="N132" i="28" s="1"/>
  <c r="J131" i="28"/>
  <c r="P132" i="28"/>
  <c r="R131" i="28"/>
  <c r="Y131" i="28"/>
  <c r="B134" i="28"/>
  <c r="A135" i="28"/>
  <c r="L131" i="28"/>
  <c r="M131" i="28" s="1"/>
  <c r="O131" i="28"/>
  <c r="K131" i="28"/>
  <c r="H132" i="28"/>
  <c r="V133" i="28"/>
  <c r="U133" i="28"/>
  <c r="X133" i="28"/>
  <c r="F133" i="28"/>
  <c r="C134" i="28"/>
  <c r="G133" i="28"/>
  <c r="S133" i="28"/>
  <c r="W133" i="28"/>
  <c r="T133" i="28"/>
  <c r="D134" i="28"/>
  <c r="I133" i="28"/>
  <c r="E134" i="28" l="1"/>
  <c r="Q133" i="28"/>
  <c r="N133" i="28" s="1"/>
  <c r="R132" i="28"/>
  <c r="Y132" i="28"/>
  <c r="P133" i="28"/>
  <c r="J132" i="28"/>
  <c r="B135" i="28"/>
  <c r="A136" i="28"/>
  <c r="K132" i="28"/>
  <c r="O132" i="28"/>
  <c r="L132" i="28"/>
  <c r="M132" i="28" s="1"/>
  <c r="H133" i="28"/>
  <c r="G134" i="28"/>
  <c r="F134" i="28"/>
  <c r="X134" i="28"/>
  <c r="W134" i="28"/>
  <c r="D135" i="28"/>
  <c r="I134" i="28"/>
  <c r="T134" i="28"/>
  <c r="U134" i="28"/>
  <c r="V134" i="28"/>
  <c r="S134" i="28"/>
  <c r="C135" i="28"/>
  <c r="E135" i="28" l="1"/>
  <c r="R133" i="28"/>
  <c r="Y133" i="28"/>
  <c r="Q134" i="28"/>
  <c r="N134" i="28" s="1"/>
  <c r="P134" i="28"/>
  <c r="J133" i="28"/>
  <c r="O133" i="28"/>
  <c r="K133" i="28"/>
  <c r="L133" i="28"/>
  <c r="M133" i="28" s="1"/>
  <c r="B136" i="28"/>
  <c r="A137" i="28"/>
  <c r="H134" i="28"/>
  <c r="S135" i="28"/>
  <c r="T135" i="28"/>
  <c r="W135" i="28"/>
  <c r="V135" i="28"/>
  <c r="D136" i="28"/>
  <c r="X135" i="28"/>
  <c r="F135" i="28"/>
  <c r="U135" i="28"/>
  <c r="G135" i="28"/>
  <c r="I135" i="28" s="1"/>
  <c r="C136" i="28"/>
  <c r="E136" i="28" l="1"/>
  <c r="P135" i="28"/>
  <c r="J134" i="28"/>
  <c r="Q135" i="28"/>
  <c r="N135" i="28" s="1"/>
  <c r="R134" i="28"/>
  <c r="Y134" i="28"/>
  <c r="B137" i="28"/>
  <c r="A138" i="28"/>
  <c r="K134" i="28"/>
  <c r="L134" i="28"/>
  <c r="M134" i="28" s="1"/>
  <c r="O134" i="28"/>
  <c r="H135" i="28"/>
  <c r="X136" i="28"/>
  <c r="S136" i="28"/>
  <c r="V136" i="28"/>
  <c r="U136" i="28"/>
  <c r="C137" i="28"/>
  <c r="W136" i="28"/>
  <c r="G136" i="28"/>
  <c r="I136" i="28" s="1"/>
  <c r="T136" i="28"/>
  <c r="F136" i="28"/>
  <c r="D137" i="28"/>
  <c r="E137" i="28" l="1"/>
  <c r="Q136" i="28"/>
  <c r="N136" i="28" s="1"/>
  <c r="P136" i="28"/>
  <c r="J135" i="28"/>
  <c r="R135" i="28"/>
  <c r="Y135" i="28"/>
  <c r="B138" i="28"/>
  <c r="A139" i="28"/>
  <c r="L135" i="28"/>
  <c r="M135" i="28" s="1"/>
  <c r="O135" i="28"/>
  <c r="K135" i="28"/>
  <c r="H136" i="28"/>
  <c r="W137" i="28"/>
  <c r="V137" i="28"/>
  <c r="U137" i="28"/>
  <c r="X137" i="28"/>
  <c r="D138" i="28"/>
  <c r="F137" i="28"/>
  <c r="S137" i="28"/>
  <c r="T137" i="28"/>
  <c r="C138" i="28"/>
  <c r="G137" i="28"/>
  <c r="I137" i="28" s="1"/>
  <c r="E138" i="28" l="1"/>
  <c r="R136" i="28"/>
  <c r="Y136" i="28"/>
  <c r="Q137" i="28"/>
  <c r="N137" i="28" s="1"/>
  <c r="P137" i="28"/>
  <c r="J136" i="28"/>
  <c r="K136" i="28"/>
  <c r="O136" i="28"/>
  <c r="L136" i="28"/>
  <c r="M136" i="28" s="1"/>
  <c r="B139" i="28"/>
  <c r="A140" i="28"/>
  <c r="H137" i="28"/>
  <c r="T138" i="28"/>
  <c r="S138" i="28"/>
  <c r="X138" i="28"/>
  <c r="U138" i="28"/>
  <c r="D139" i="28"/>
  <c r="G138" i="28"/>
  <c r="I138" i="28" s="1"/>
  <c r="V138" i="28"/>
  <c r="F138" i="28"/>
  <c r="C139" i="28"/>
  <c r="W138" i="28"/>
  <c r="E139" i="28" l="1"/>
  <c r="Q138" i="28"/>
  <c r="N138" i="28" s="1"/>
  <c r="P138" i="28"/>
  <c r="J137" i="28"/>
  <c r="R137" i="28"/>
  <c r="Y137" i="28"/>
  <c r="B140" i="28"/>
  <c r="A141" i="28"/>
  <c r="L137" i="28"/>
  <c r="M137" i="28" s="1"/>
  <c r="O137" i="28"/>
  <c r="K137" i="28"/>
  <c r="H138" i="28"/>
  <c r="F139" i="28"/>
  <c r="X139" i="28"/>
  <c r="W139" i="28"/>
  <c r="V139" i="28"/>
  <c r="D140" i="28"/>
  <c r="S139" i="28"/>
  <c r="T139" i="28"/>
  <c r="U139" i="28"/>
  <c r="G139" i="28"/>
  <c r="I139" i="28" s="1"/>
  <c r="C140" i="28"/>
  <c r="E140" i="28" l="1"/>
  <c r="P139" i="28"/>
  <c r="J138" i="28"/>
  <c r="R138" i="28"/>
  <c r="Y138" i="28"/>
  <c r="Q139" i="28"/>
  <c r="N139" i="28" s="1"/>
  <c r="K138" i="28"/>
  <c r="L138" i="28"/>
  <c r="M138" i="28" s="1"/>
  <c r="O138" i="28"/>
  <c r="B141" i="28"/>
  <c r="A142" i="28"/>
  <c r="H139" i="28"/>
  <c r="X140" i="28"/>
  <c r="S140" i="28"/>
  <c r="V140" i="28"/>
  <c r="U140" i="28"/>
  <c r="C141" i="28"/>
  <c r="G140" i="28"/>
  <c r="I140" i="28" s="1"/>
  <c r="T140" i="28"/>
  <c r="F140" i="28"/>
  <c r="D141" i="28"/>
  <c r="W140" i="28"/>
  <c r="E141" i="28" l="1"/>
  <c r="Q140" i="28"/>
  <c r="N140" i="28" s="1"/>
  <c r="P140" i="28"/>
  <c r="J139" i="28"/>
  <c r="R139" i="28"/>
  <c r="Y139" i="28"/>
  <c r="B142" i="28"/>
  <c r="A143" i="28"/>
  <c r="O139" i="28"/>
  <c r="K139" i="28"/>
  <c r="L139" i="28"/>
  <c r="M139" i="28" s="1"/>
  <c r="H140" i="28"/>
  <c r="F141" i="28"/>
  <c r="X141" i="28"/>
  <c r="U141" i="28"/>
  <c r="V141" i="28"/>
  <c r="D142" i="28"/>
  <c r="W141" i="28"/>
  <c r="T141" i="28"/>
  <c r="S141" i="28"/>
  <c r="G141" i="28"/>
  <c r="I141" i="28" s="1"/>
  <c r="C142" i="28"/>
  <c r="E142" i="28" l="1"/>
  <c r="P141" i="28"/>
  <c r="J140" i="28"/>
  <c r="R140" i="28"/>
  <c r="Y140" i="28"/>
  <c r="Q141" i="28"/>
  <c r="N141" i="28" s="1"/>
  <c r="K140" i="28"/>
  <c r="O140" i="28"/>
  <c r="L140" i="28"/>
  <c r="M140" i="28" s="1"/>
  <c r="B143" i="28"/>
  <c r="A144" i="28"/>
  <c r="H141" i="28"/>
  <c r="T142" i="28"/>
  <c r="U142" i="28"/>
  <c r="X142" i="28"/>
  <c r="W142" i="28"/>
  <c r="D143" i="28"/>
  <c r="G142" i="28"/>
  <c r="I142" i="28" s="1"/>
  <c r="S142" i="28"/>
  <c r="C143" i="28"/>
  <c r="F142" i="28"/>
  <c r="V142" i="28"/>
  <c r="E143" i="28" l="1"/>
  <c r="R141" i="28"/>
  <c r="Y141" i="28"/>
  <c r="P142" i="28"/>
  <c r="J141" i="28"/>
  <c r="Q142" i="28"/>
  <c r="N142" i="28" s="1"/>
  <c r="B144" i="28"/>
  <c r="A145" i="28"/>
  <c r="L141" i="28"/>
  <c r="M141" i="28" s="1"/>
  <c r="O141" i="28"/>
  <c r="K141" i="28"/>
  <c r="H142" i="28"/>
  <c r="S143" i="28"/>
  <c r="T143" i="28"/>
  <c r="W143" i="28"/>
  <c r="V143" i="28"/>
  <c r="D144" i="28"/>
  <c r="X143" i="28"/>
  <c r="F143" i="28"/>
  <c r="U143" i="28"/>
  <c r="G143" i="28"/>
  <c r="I143" i="28" s="1"/>
  <c r="C144" i="28"/>
  <c r="E144" i="28" l="1"/>
  <c r="P143" i="28"/>
  <c r="J142" i="28"/>
  <c r="Q143" i="28"/>
  <c r="N143" i="28" s="1"/>
  <c r="R142" i="28"/>
  <c r="Y142" i="28"/>
  <c r="B145" i="28"/>
  <c r="A146" i="28"/>
  <c r="K142" i="28"/>
  <c r="L142" i="28"/>
  <c r="M142" i="28" s="1"/>
  <c r="O142" i="28"/>
  <c r="H143" i="28"/>
  <c r="X144" i="28"/>
  <c r="S144" i="28"/>
  <c r="V144" i="28"/>
  <c r="U144" i="28"/>
  <c r="C145" i="28"/>
  <c r="W144" i="28"/>
  <c r="G144" i="28"/>
  <c r="I144" i="28" s="1"/>
  <c r="T144" i="28"/>
  <c r="F144" i="28"/>
  <c r="D145" i="28"/>
  <c r="E145" i="28" l="1"/>
  <c r="Q144" i="28"/>
  <c r="N144" i="28" s="1"/>
  <c r="P144" i="28"/>
  <c r="J143" i="28"/>
  <c r="R143" i="28"/>
  <c r="Y143" i="28"/>
  <c r="B146" i="28"/>
  <c r="A147" i="28"/>
  <c r="K143" i="28"/>
  <c r="L143" i="28"/>
  <c r="M143" i="28" s="1"/>
  <c r="O143" i="28"/>
  <c r="H144" i="28"/>
  <c r="F145" i="28"/>
  <c r="G145" i="28"/>
  <c r="U145" i="28"/>
  <c r="X145" i="28"/>
  <c r="D146" i="28"/>
  <c r="I145" i="28"/>
  <c r="T145" i="28"/>
  <c r="W145" i="28"/>
  <c r="V145" i="28"/>
  <c r="S145" i="28"/>
  <c r="C146" i="28"/>
  <c r="E146" i="28" l="1"/>
  <c r="R144" i="28"/>
  <c r="Y144" i="28"/>
  <c r="P145" i="28"/>
  <c r="J144" i="28"/>
  <c r="Q145" i="28"/>
  <c r="N145" i="28" s="1"/>
  <c r="K144" i="28"/>
  <c r="O144" i="28"/>
  <c r="L144" i="28"/>
  <c r="M144" i="28" s="1"/>
  <c r="B147" i="28"/>
  <c r="A148" i="28"/>
  <c r="H145" i="28"/>
  <c r="V146" i="28"/>
  <c r="W146" i="28"/>
  <c r="G146" i="28"/>
  <c r="U146" i="28"/>
  <c r="C147" i="28"/>
  <c r="I146" i="28"/>
  <c r="S146" i="28"/>
  <c r="X146" i="28"/>
  <c r="D147" i="28"/>
  <c r="T146" i="28"/>
  <c r="F146" i="28"/>
  <c r="E147" i="28" l="1"/>
  <c r="Q146" i="28"/>
  <c r="N146" i="28" s="1"/>
  <c r="P146" i="28"/>
  <c r="J145" i="28"/>
  <c r="R145" i="28"/>
  <c r="Y145" i="28"/>
  <c r="B148" i="28"/>
  <c r="A149" i="28"/>
  <c r="L145" i="28"/>
  <c r="M145" i="28" s="1"/>
  <c r="O145" i="28"/>
  <c r="K145" i="28"/>
  <c r="H146" i="28"/>
  <c r="S147" i="28"/>
  <c r="T147" i="28"/>
  <c r="W147" i="28"/>
  <c r="V147" i="28"/>
  <c r="D148" i="28"/>
  <c r="X147" i="28"/>
  <c r="F147" i="28"/>
  <c r="U147" i="28"/>
  <c r="G147" i="28"/>
  <c r="I147" i="28" s="1"/>
  <c r="C148" i="28"/>
  <c r="E148" i="28" l="1"/>
  <c r="P147" i="28"/>
  <c r="J146" i="28"/>
  <c r="Q147" i="28"/>
  <c r="N147" i="28" s="1"/>
  <c r="R146" i="28"/>
  <c r="Y146" i="28"/>
  <c r="K146" i="28"/>
  <c r="L146" i="28"/>
  <c r="M146" i="28" s="1"/>
  <c r="O146" i="28"/>
  <c r="B149" i="28"/>
  <c r="A150" i="28"/>
  <c r="H147" i="28"/>
  <c r="S148" i="28"/>
  <c r="W148" i="28"/>
  <c r="V148" i="28"/>
  <c r="U148" i="28"/>
  <c r="D149" i="28"/>
  <c r="X148" i="28"/>
  <c r="G148" i="28"/>
  <c r="I148" i="28" s="1"/>
  <c r="T148" i="28"/>
  <c r="F148" i="28"/>
  <c r="C149" i="28"/>
  <c r="E149" i="28" l="1"/>
  <c r="Q148" i="28"/>
  <c r="N148" i="28" s="1"/>
  <c r="P148" i="28"/>
  <c r="J147" i="28"/>
  <c r="R147" i="28"/>
  <c r="Y147" i="28"/>
  <c r="B150" i="28"/>
  <c r="A151" i="28"/>
  <c r="O147" i="28"/>
  <c r="K147" i="28"/>
  <c r="L147" i="28"/>
  <c r="M147" i="28" s="1"/>
  <c r="H148" i="28"/>
  <c r="X149" i="28"/>
  <c r="F149" i="28"/>
  <c r="U149" i="28"/>
  <c r="V149" i="28"/>
  <c r="C150" i="28"/>
  <c r="T149" i="28"/>
  <c r="W149" i="28"/>
  <c r="S149" i="28"/>
  <c r="G149" i="28"/>
  <c r="I149" i="28" s="1"/>
  <c r="D150" i="28"/>
  <c r="E150" i="28" l="1"/>
  <c r="P149" i="28"/>
  <c r="J148" i="28"/>
  <c r="R148" i="28"/>
  <c r="Y148" i="28"/>
  <c r="Q149" i="28"/>
  <c r="N149" i="28" s="1"/>
  <c r="O148" i="28"/>
  <c r="L148" i="28"/>
  <c r="M148" i="28" s="1"/>
  <c r="K148" i="28"/>
  <c r="B151" i="28"/>
  <c r="A152" i="28"/>
  <c r="H149" i="28"/>
  <c r="X150" i="28"/>
  <c r="S150" i="28"/>
  <c r="F150" i="28"/>
  <c r="G150" i="28"/>
  <c r="C151" i="28"/>
  <c r="I150" i="28"/>
  <c r="V150" i="28"/>
  <c r="T150" i="28"/>
  <c r="U150" i="28"/>
  <c r="W150" i="28"/>
  <c r="D151" i="28"/>
  <c r="E151" i="28" l="1"/>
  <c r="P150" i="28"/>
  <c r="J149" i="28"/>
  <c r="Q150" i="28"/>
  <c r="N150" i="28" s="1"/>
  <c r="R149" i="28"/>
  <c r="Y149" i="28"/>
  <c r="B152" i="28"/>
  <c r="A153" i="28"/>
  <c r="L149" i="28"/>
  <c r="M149" i="28" s="1"/>
  <c r="O149" i="28"/>
  <c r="K149" i="28"/>
  <c r="H150" i="28"/>
  <c r="S151" i="28"/>
  <c r="T151" i="28"/>
  <c r="W151" i="28"/>
  <c r="V151" i="28"/>
  <c r="D152" i="28"/>
  <c r="X151" i="28"/>
  <c r="F151" i="28"/>
  <c r="U151" i="28"/>
  <c r="G151" i="28"/>
  <c r="I151" i="28" s="1"/>
  <c r="C152" i="28"/>
  <c r="E152" i="28" l="1"/>
  <c r="P151" i="28"/>
  <c r="J150" i="28"/>
  <c r="Q151" i="28"/>
  <c r="N151" i="28" s="1"/>
  <c r="R150" i="28"/>
  <c r="Y150" i="28"/>
  <c r="B153" i="28"/>
  <c r="A154" i="28"/>
  <c r="K150" i="28"/>
  <c r="L150" i="28"/>
  <c r="M150" i="28" s="1"/>
  <c r="O150" i="28"/>
  <c r="H151" i="28"/>
  <c r="G152" i="28"/>
  <c r="W152" i="28"/>
  <c r="V152" i="28"/>
  <c r="U152" i="28"/>
  <c r="C153" i="28"/>
  <c r="I152" i="28"/>
  <c r="X152" i="28"/>
  <c r="S152" i="28"/>
  <c r="F152" i="28"/>
  <c r="D153" i="28"/>
  <c r="T152" i="28"/>
  <c r="E153" i="28" l="1"/>
  <c r="Q152" i="28"/>
  <c r="N152" i="28" s="1"/>
  <c r="R151" i="28"/>
  <c r="Y151" i="28"/>
  <c r="P152" i="28"/>
  <c r="J151" i="28"/>
  <c r="B154" i="28"/>
  <c r="A155" i="28"/>
  <c r="K151" i="28"/>
  <c r="L151" i="28"/>
  <c r="M151" i="28" s="1"/>
  <c r="O151" i="28"/>
  <c r="H152" i="28"/>
  <c r="F153" i="28"/>
  <c r="G153" i="28"/>
  <c r="U153" i="28"/>
  <c r="X153" i="28"/>
  <c r="D154" i="28"/>
  <c r="I153" i="28"/>
  <c r="W153" i="28"/>
  <c r="V153" i="28"/>
  <c r="S153" i="28"/>
  <c r="T153" i="28"/>
  <c r="C154" i="28"/>
  <c r="E154" i="28" l="1"/>
  <c r="R152" i="28"/>
  <c r="Y152" i="28"/>
  <c r="P153" i="28"/>
  <c r="J152" i="28"/>
  <c r="Q153" i="28"/>
  <c r="N153" i="28" s="1"/>
  <c r="K152" i="28"/>
  <c r="O152" i="28"/>
  <c r="L152" i="28"/>
  <c r="M152" i="28" s="1"/>
  <c r="B155" i="28"/>
  <c r="A156" i="28"/>
  <c r="H153" i="28"/>
  <c r="T154" i="28"/>
  <c r="S154" i="28"/>
  <c r="X154" i="28"/>
  <c r="U154" i="28"/>
  <c r="D155" i="28"/>
  <c r="W154" i="28"/>
  <c r="G154" i="28"/>
  <c r="I154" i="28" s="1"/>
  <c r="V154" i="28"/>
  <c r="F154" i="28"/>
  <c r="C155" i="28"/>
  <c r="E155" i="28" l="1"/>
  <c r="Q154" i="28"/>
  <c r="N154" i="28" s="1"/>
  <c r="P154" i="28"/>
  <c r="J153" i="28"/>
  <c r="R153" i="28"/>
  <c r="Y153" i="28"/>
  <c r="B156" i="28"/>
  <c r="A157" i="28"/>
  <c r="L153" i="28"/>
  <c r="M153" i="28" s="1"/>
  <c r="O153" i="28"/>
  <c r="K153" i="28"/>
  <c r="H154" i="28"/>
  <c r="X155" i="28"/>
  <c r="T155" i="28"/>
  <c r="W155" i="28"/>
  <c r="V155" i="28"/>
  <c r="D156" i="28"/>
  <c r="S155" i="28"/>
  <c r="F155" i="28"/>
  <c r="U155" i="28"/>
  <c r="G155" i="28"/>
  <c r="I155" i="28" s="1"/>
  <c r="C156" i="28"/>
  <c r="E156" i="28" l="1"/>
  <c r="P155" i="28"/>
  <c r="J154" i="28"/>
  <c r="Q155" i="28"/>
  <c r="N155" i="28" s="1"/>
  <c r="R154" i="28"/>
  <c r="Y154" i="28"/>
  <c r="K154" i="28"/>
  <c r="L154" i="28"/>
  <c r="M154" i="28" s="1"/>
  <c r="O154" i="28"/>
  <c r="B157" i="28"/>
  <c r="A158" i="28"/>
  <c r="H155" i="28"/>
  <c r="V156" i="28"/>
  <c r="X156" i="28"/>
  <c r="S156" i="28"/>
  <c r="U156" i="28"/>
  <c r="C157" i="28"/>
  <c r="T156" i="28"/>
  <c r="W156" i="28"/>
  <c r="G156" i="28"/>
  <c r="I156" i="28" s="1"/>
  <c r="F156" i="28"/>
  <c r="D157" i="28"/>
  <c r="E157" i="28" l="1"/>
  <c r="Q156" i="28"/>
  <c r="N156" i="28" s="1"/>
  <c r="P156" i="28"/>
  <c r="J155" i="28"/>
  <c r="R155" i="28"/>
  <c r="Y155" i="28"/>
  <c r="B158" i="28"/>
  <c r="A159" i="28"/>
  <c r="L155" i="28"/>
  <c r="M155" i="28" s="1"/>
  <c r="O155" i="28"/>
  <c r="K155" i="28"/>
  <c r="H156" i="28"/>
  <c r="T157" i="28"/>
  <c r="X157" i="28"/>
  <c r="U157" i="28"/>
  <c r="V157" i="28"/>
  <c r="D158" i="28"/>
  <c r="W157" i="28"/>
  <c r="F157" i="28"/>
  <c r="S157" i="28"/>
  <c r="G157" i="28"/>
  <c r="I157" i="28" s="1"/>
  <c r="C158" i="28"/>
  <c r="E158" i="28" l="1"/>
  <c r="P157" i="28"/>
  <c r="J156" i="28"/>
  <c r="R156" i="28"/>
  <c r="Y156" i="28"/>
  <c r="Q157" i="28"/>
  <c r="N157" i="28" s="1"/>
  <c r="K156" i="28"/>
  <c r="O156" i="28"/>
  <c r="L156" i="28"/>
  <c r="M156" i="28" s="1"/>
  <c r="B159" i="28"/>
  <c r="A160" i="28"/>
  <c r="H157" i="28"/>
  <c r="T158" i="28"/>
  <c r="U158" i="28"/>
  <c r="X158" i="28"/>
  <c r="W158" i="28"/>
  <c r="D159" i="28"/>
  <c r="F158" i="28"/>
  <c r="G158" i="28"/>
  <c r="I158" i="28" s="1"/>
  <c r="V158" i="28"/>
  <c r="S158" i="28"/>
  <c r="C159" i="28"/>
  <c r="E159" i="28" l="1"/>
  <c r="R157" i="28"/>
  <c r="Y157" i="28"/>
  <c r="P158" i="28"/>
  <c r="J157" i="28"/>
  <c r="Q158" i="28"/>
  <c r="N158" i="28" s="1"/>
  <c r="B160" i="28"/>
  <c r="A161" i="28"/>
  <c r="K157" i="28"/>
  <c r="L157" i="28"/>
  <c r="M157" i="28" s="1"/>
  <c r="O157" i="28"/>
  <c r="H158" i="28"/>
  <c r="S159" i="28"/>
  <c r="T159" i="28"/>
  <c r="W159" i="28"/>
  <c r="V159" i="28"/>
  <c r="D160" i="28"/>
  <c r="X159" i="28"/>
  <c r="F159" i="28"/>
  <c r="U159" i="28"/>
  <c r="G159" i="28"/>
  <c r="I159" i="28" s="1"/>
  <c r="C160" i="28"/>
  <c r="E160" i="28" l="1"/>
  <c r="P159" i="28"/>
  <c r="J158" i="28"/>
  <c r="Q159" i="28"/>
  <c r="N159" i="28" s="1"/>
  <c r="R158" i="28"/>
  <c r="Y158" i="28"/>
  <c r="B161" i="28"/>
  <c r="A162" i="28"/>
  <c r="K158" i="28"/>
  <c r="L158" i="28"/>
  <c r="M158" i="28" s="1"/>
  <c r="O158" i="28"/>
  <c r="H159" i="28"/>
  <c r="X160" i="28"/>
  <c r="S160" i="28"/>
  <c r="V160" i="28"/>
  <c r="U160" i="28"/>
  <c r="C161" i="28"/>
  <c r="G160" i="28"/>
  <c r="I160" i="28" s="1"/>
  <c r="T160" i="28"/>
  <c r="F160" i="28"/>
  <c r="D161" i="28"/>
  <c r="W160" i="28"/>
  <c r="E161" i="28" l="1"/>
  <c r="Q160" i="28"/>
  <c r="N160" i="28" s="1"/>
  <c r="P160" i="28"/>
  <c r="J159" i="28"/>
  <c r="R159" i="28"/>
  <c r="Y159" i="28"/>
  <c r="B162" i="28"/>
  <c r="A163" i="28"/>
  <c r="L159" i="28"/>
  <c r="M159" i="28" s="1"/>
  <c r="O159" i="28"/>
  <c r="K159" i="28"/>
  <c r="H160" i="28"/>
  <c r="W161" i="28"/>
  <c r="V161" i="28"/>
  <c r="U161" i="28"/>
  <c r="X161" i="28"/>
  <c r="D162" i="28"/>
  <c r="F161" i="28"/>
  <c r="S161" i="28"/>
  <c r="C162" i="28"/>
  <c r="G161" i="28"/>
  <c r="I161" i="28" s="1"/>
  <c r="T161" i="28"/>
  <c r="E162" i="28" l="1"/>
  <c r="R160" i="28"/>
  <c r="Y160" i="28"/>
  <c r="Q161" i="28"/>
  <c r="N161" i="28" s="1"/>
  <c r="P161" i="28"/>
  <c r="J160" i="28"/>
  <c r="K160" i="28"/>
  <c r="O160" i="28"/>
  <c r="L160" i="28"/>
  <c r="M160" i="28" s="1"/>
  <c r="B163" i="28"/>
  <c r="A164" i="28"/>
  <c r="H161" i="28"/>
  <c r="T162" i="28"/>
  <c r="S162" i="28"/>
  <c r="X162" i="28"/>
  <c r="U162" i="28"/>
  <c r="D163" i="28"/>
  <c r="W162" i="28"/>
  <c r="G162" i="28"/>
  <c r="I162" i="28" s="1"/>
  <c r="V162" i="28"/>
  <c r="F162" i="28"/>
  <c r="C163" i="28"/>
  <c r="E163" i="28" l="1"/>
  <c r="Q162" i="28"/>
  <c r="N162" i="28" s="1"/>
  <c r="P162" i="28"/>
  <c r="J161" i="28"/>
  <c r="R161" i="28"/>
  <c r="Y161" i="28"/>
  <c r="L161" i="28"/>
  <c r="M161" i="28" s="1"/>
  <c r="O161" i="28"/>
  <c r="K161" i="28"/>
  <c r="B164" i="28"/>
  <c r="A165" i="28"/>
  <c r="H162" i="28"/>
  <c r="S163" i="28"/>
  <c r="T163" i="28"/>
  <c r="W163" i="28"/>
  <c r="V163" i="28"/>
  <c r="D164" i="28"/>
  <c r="X163" i="28"/>
  <c r="F163" i="28"/>
  <c r="U163" i="28"/>
  <c r="G163" i="28"/>
  <c r="I163" i="28" s="1"/>
  <c r="C164" i="28"/>
  <c r="E164" i="28" l="1"/>
  <c r="P163" i="28"/>
  <c r="J162" i="28"/>
  <c r="Q163" i="28"/>
  <c r="N163" i="28" s="1"/>
  <c r="R162" i="28"/>
  <c r="Y162" i="28"/>
  <c r="B165" i="28"/>
  <c r="A166" i="28"/>
  <c r="K162" i="28"/>
  <c r="L162" i="28"/>
  <c r="M162" i="28" s="1"/>
  <c r="O162" i="28"/>
  <c r="H163" i="28"/>
  <c r="X164" i="28"/>
  <c r="S164" i="28"/>
  <c r="V164" i="28"/>
  <c r="U164" i="28"/>
  <c r="C165" i="28"/>
  <c r="W164" i="28"/>
  <c r="G164" i="28"/>
  <c r="I164" i="28" s="1"/>
  <c r="T164" i="28"/>
  <c r="F164" i="28"/>
  <c r="D165" i="28"/>
  <c r="E165" i="28" l="1"/>
  <c r="Q164" i="28"/>
  <c r="N164" i="28" s="1"/>
  <c r="P164" i="28"/>
  <c r="J163" i="28"/>
  <c r="R163" i="28"/>
  <c r="Y163" i="28"/>
  <c r="B166" i="28"/>
  <c r="A167" i="28"/>
  <c r="L163" i="28"/>
  <c r="M163" i="28" s="1"/>
  <c r="O163" i="28"/>
  <c r="K163" i="28"/>
  <c r="H164" i="28"/>
  <c r="W165" i="28"/>
  <c r="T165" i="28"/>
  <c r="U165" i="28"/>
  <c r="V165" i="28"/>
  <c r="D166" i="28"/>
  <c r="X165" i="28"/>
  <c r="S165" i="28"/>
  <c r="G165" i="28"/>
  <c r="I165" i="28" s="1"/>
  <c r="C166" i="28"/>
  <c r="F165" i="28"/>
  <c r="E166" i="28" l="1"/>
  <c r="P165" i="28"/>
  <c r="J164" i="28"/>
  <c r="R164" i="28"/>
  <c r="Y164" i="28"/>
  <c r="Q165" i="28"/>
  <c r="N165" i="28" s="1"/>
  <c r="K164" i="28"/>
  <c r="O164" i="28"/>
  <c r="L164" i="28"/>
  <c r="M164" i="28" s="1"/>
  <c r="B167" i="28"/>
  <c r="A168" i="28"/>
  <c r="H165" i="28"/>
  <c r="T166" i="28"/>
  <c r="U166" i="28"/>
  <c r="X166" i="28"/>
  <c r="W166" i="28"/>
  <c r="D167" i="28"/>
  <c r="F166" i="28"/>
  <c r="G166" i="28"/>
  <c r="I166" i="28" s="1"/>
  <c r="V166" i="28"/>
  <c r="S166" i="28"/>
  <c r="C167" i="28"/>
  <c r="E167" i="28" l="1"/>
  <c r="R165" i="28"/>
  <c r="Y165" i="28"/>
  <c r="P166" i="28"/>
  <c r="J165" i="28"/>
  <c r="Q166" i="28"/>
  <c r="N166" i="28" s="1"/>
  <c r="B168" i="28"/>
  <c r="A169" i="28"/>
  <c r="L165" i="28"/>
  <c r="M165" i="28" s="1"/>
  <c r="O165" i="28"/>
  <c r="K165" i="28"/>
  <c r="H166" i="28"/>
  <c r="S167" i="28"/>
  <c r="T167" i="28"/>
  <c r="W167" i="28"/>
  <c r="V167" i="28"/>
  <c r="D168" i="28"/>
  <c r="X167" i="28"/>
  <c r="F167" i="28"/>
  <c r="G167" i="28"/>
  <c r="I167" i="28" s="1"/>
  <c r="C168" i="28"/>
  <c r="U167" i="28"/>
  <c r="E168" i="28" l="1"/>
  <c r="P167" i="28"/>
  <c r="J166" i="28"/>
  <c r="Q167" i="28"/>
  <c r="N167" i="28" s="1"/>
  <c r="R166" i="28"/>
  <c r="Y166" i="28"/>
  <c r="B169" i="28"/>
  <c r="A170" i="28"/>
  <c r="K166" i="28"/>
  <c r="L166" i="28"/>
  <c r="M166" i="28" s="1"/>
  <c r="O166" i="28"/>
  <c r="H167" i="28"/>
  <c r="X168" i="28"/>
  <c r="S168" i="28"/>
  <c r="V168" i="28"/>
  <c r="U168" i="28"/>
  <c r="C169" i="28"/>
  <c r="W168" i="28"/>
  <c r="G168" i="28"/>
  <c r="I168" i="28" s="1"/>
  <c r="T168" i="28"/>
  <c r="D169" i="28"/>
  <c r="F168" i="28"/>
  <c r="E169" i="28" l="1"/>
  <c r="Q168" i="28"/>
  <c r="N168" i="28" s="1"/>
  <c r="P168" i="28"/>
  <c r="J167" i="28"/>
  <c r="R167" i="28"/>
  <c r="Y167" i="28"/>
  <c r="B170" i="28"/>
  <c r="A171" i="28"/>
  <c r="L167" i="28"/>
  <c r="M167" i="28" s="1"/>
  <c r="O167" i="28"/>
  <c r="K167" i="28"/>
  <c r="H168" i="28"/>
  <c r="W169" i="28"/>
  <c r="V169" i="28"/>
  <c r="U169" i="28"/>
  <c r="X169" i="28"/>
  <c r="D170" i="28"/>
  <c r="G169" i="28"/>
  <c r="I169" i="28" s="1"/>
  <c r="F169" i="28"/>
  <c r="S169" i="28"/>
  <c r="T169" i="28"/>
  <c r="C170" i="28"/>
  <c r="E170" i="28" l="1"/>
  <c r="R168" i="28"/>
  <c r="Y168" i="28"/>
  <c r="Q169" i="28"/>
  <c r="N169" i="28" s="1"/>
  <c r="P169" i="28"/>
  <c r="J168" i="28"/>
  <c r="K168" i="28"/>
  <c r="O168" i="28"/>
  <c r="L168" i="28"/>
  <c r="M168" i="28" s="1"/>
  <c r="B171" i="28"/>
  <c r="A172" i="28"/>
  <c r="H169" i="28"/>
  <c r="T170" i="28"/>
  <c r="S170" i="28"/>
  <c r="X170" i="28"/>
  <c r="U170" i="28"/>
  <c r="D171" i="28"/>
  <c r="W170" i="28"/>
  <c r="G170" i="28"/>
  <c r="I170" i="28" s="1"/>
  <c r="V170" i="28"/>
  <c r="F170" i="28"/>
  <c r="C171" i="28"/>
  <c r="E171" i="28" l="1"/>
  <c r="Q170" i="28"/>
  <c r="N170" i="28" s="1"/>
  <c r="P170" i="28"/>
  <c r="J169" i="28"/>
  <c r="R169" i="28"/>
  <c r="Y169" i="28"/>
  <c r="B172" i="28"/>
  <c r="A173" i="28"/>
  <c r="L169" i="28"/>
  <c r="M169" i="28" s="1"/>
  <c r="O169" i="28"/>
  <c r="K169" i="28"/>
  <c r="H170" i="28"/>
  <c r="T171" i="28"/>
  <c r="X171" i="28"/>
  <c r="W171" i="28"/>
  <c r="V171" i="28"/>
  <c r="D172" i="28"/>
  <c r="S171" i="28"/>
  <c r="F171" i="28"/>
  <c r="U171" i="28"/>
  <c r="G171" i="28"/>
  <c r="I171" i="28" s="1"/>
  <c r="C172" i="28"/>
  <c r="E172" i="28" l="1"/>
  <c r="P171" i="28"/>
  <c r="J170" i="28"/>
  <c r="Q171" i="28"/>
  <c r="N171" i="28" s="1"/>
  <c r="R170" i="28"/>
  <c r="Y170" i="28"/>
  <c r="K170" i="28"/>
  <c r="L170" i="28"/>
  <c r="M170" i="28" s="1"/>
  <c r="O170" i="28"/>
  <c r="B173" i="28"/>
  <c r="A174" i="28"/>
  <c r="H171" i="28"/>
  <c r="S172" i="28"/>
  <c r="W172" i="28"/>
  <c r="V172" i="28"/>
  <c r="U172" i="28"/>
  <c r="C173" i="28"/>
  <c r="X172" i="28"/>
  <c r="G172" i="28"/>
  <c r="I172" i="28" s="1"/>
  <c r="T172" i="28"/>
  <c r="F172" i="28"/>
  <c r="D173" i="28"/>
  <c r="E173" i="28" l="1"/>
  <c r="Q172" i="28"/>
  <c r="N172" i="28" s="1"/>
  <c r="P172" i="28"/>
  <c r="J171" i="28"/>
  <c r="R171" i="28"/>
  <c r="Y171" i="28"/>
  <c r="B174" i="28"/>
  <c r="A175" i="28"/>
  <c r="O171" i="28"/>
  <c r="K171" i="28"/>
  <c r="L171" i="28"/>
  <c r="M171" i="28" s="1"/>
  <c r="H172" i="28"/>
  <c r="T173" i="28"/>
  <c r="X173" i="28"/>
  <c r="U173" i="28"/>
  <c r="V173" i="28"/>
  <c r="D174" i="28"/>
  <c r="W173" i="28"/>
  <c r="F173" i="28"/>
  <c r="S173" i="28"/>
  <c r="G173" i="28"/>
  <c r="I173" i="28" s="1"/>
  <c r="C174" i="28"/>
  <c r="E174" i="28" l="1"/>
  <c r="P173" i="28"/>
  <c r="J172" i="28"/>
  <c r="R172" i="28"/>
  <c r="Y172" i="28"/>
  <c r="Q173" i="28"/>
  <c r="N173" i="28" s="1"/>
  <c r="K172" i="28"/>
  <c r="O172" i="28"/>
  <c r="L172" i="28"/>
  <c r="M172" i="28" s="1"/>
  <c r="B175" i="28"/>
  <c r="A176" i="28"/>
  <c r="H173" i="28"/>
  <c r="T174" i="28"/>
  <c r="U174" i="28"/>
  <c r="X174" i="28"/>
  <c r="W174" i="28"/>
  <c r="D175" i="28"/>
  <c r="F174" i="28"/>
  <c r="G174" i="28"/>
  <c r="I174" i="28" s="1"/>
  <c r="V174" i="28"/>
  <c r="S174" i="28"/>
  <c r="C175" i="28"/>
  <c r="E175" i="28" l="1"/>
  <c r="R173" i="28"/>
  <c r="Y173" i="28"/>
  <c r="P174" i="28"/>
  <c r="J173" i="28"/>
  <c r="Q174" i="28"/>
  <c r="N174" i="28" s="1"/>
  <c r="B176" i="28"/>
  <c r="A177" i="28"/>
  <c r="L173" i="28"/>
  <c r="M173" i="28" s="1"/>
  <c r="O173" i="28"/>
  <c r="K173" i="28"/>
  <c r="H174" i="28"/>
  <c r="F175" i="28"/>
  <c r="X175" i="28"/>
  <c r="W175" i="28"/>
  <c r="V175" i="28"/>
  <c r="D176" i="28"/>
  <c r="T175" i="28"/>
  <c r="U175" i="28"/>
  <c r="G175" i="28"/>
  <c r="I175" i="28" s="1"/>
  <c r="S175" i="28"/>
  <c r="C176" i="28"/>
  <c r="E176" i="28" l="1"/>
  <c r="P175" i="28"/>
  <c r="J174" i="28"/>
  <c r="R174" i="28"/>
  <c r="Y174" i="28"/>
  <c r="Q175" i="28"/>
  <c r="N175" i="28" s="1"/>
  <c r="B177" i="28"/>
  <c r="A178" i="28"/>
  <c r="K174" i="28"/>
  <c r="L174" i="28"/>
  <c r="M174" i="28" s="1"/>
  <c r="O174" i="28"/>
  <c r="H175" i="28"/>
  <c r="G176" i="28"/>
  <c r="W176" i="28"/>
  <c r="V176" i="28"/>
  <c r="U176" i="28"/>
  <c r="C177" i="28"/>
  <c r="I176" i="28"/>
  <c r="S176" i="28"/>
  <c r="T176" i="28"/>
  <c r="F176" i="28"/>
  <c r="D177" i="28"/>
  <c r="X176" i="28"/>
  <c r="E177" i="28" l="1"/>
  <c r="Q176" i="28"/>
  <c r="N176" i="28" s="1"/>
  <c r="R175" i="28"/>
  <c r="Y175" i="28"/>
  <c r="P176" i="28"/>
  <c r="J175" i="28"/>
  <c r="B178" i="28"/>
  <c r="A179" i="28"/>
  <c r="K175" i="28"/>
  <c r="L175" i="28"/>
  <c r="M175" i="28" s="1"/>
  <c r="O175" i="28"/>
  <c r="H176" i="28"/>
  <c r="W177" i="28"/>
  <c r="D178" i="28"/>
  <c r="G177" i="28"/>
  <c r="F177" i="28"/>
  <c r="S177" i="28"/>
  <c r="T177" i="28"/>
  <c r="C178" i="28"/>
  <c r="V177" i="28"/>
  <c r="U177" i="28"/>
  <c r="X177" i="28"/>
  <c r="I177" i="28"/>
  <c r="E178" i="28" l="1"/>
  <c r="R176" i="28"/>
  <c r="Y176" i="28"/>
  <c r="Q177" i="28"/>
  <c r="N177" i="28" s="1"/>
  <c r="P177" i="28"/>
  <c r="J176" i="28"/>
  <c r="K176" i="28"/>
  <c r="O176" i="28"/>
  <c r="L176" i="28"/>
  <c r="M176" i="28" s="1"/>
  <c r="B179" i="28"/>
  <c r="A180" i="28"/>
  <c r="H177" i="28"/>
  <c r="S178" i="28"/>
  <c r="W178" i="28"/>
  <c r="G178" i="28"/>
  <c r="V178" i="28"/>
  <c r="F178" i="28"/>
  <c r="C179" i="28"/>
  <c r="T178" i="28"/>
  <c r="X178" i="28"/>
  <c r="U178" i="28"/>
  <c r="D179" i="28"/>
  <c r="I178" i="28"/>
  <c r="E179" i="28" l="1"/>
  <c r="Q178" i="28"/>
  <c r="N178" i="28" s="1"/>
  <c r="P178" i="28"/>
  <c r="J177" i="28"/>
  <c r="R177" i="28"/>
  <c r="Y177" i="28"/>
  <c r="B180" i="28"/>
  <c r="A181" i="28"/>
  <c r="L177" i="28"/>
  <c r="M177" i="28" s="1"/>
  <c r="K177" i="28"/>
  <c r="O177" i="28"/>
  <c r="H178" i="28"/>
  <c r="W179" i="28"/>
  <c r="G179" i="28"/>
  <c r="X179" i="28"/>
  <c r="F179" i="28"/>
  <c r="C180" i="28"/>
  <c r="U179" i="28"/>
  <c r="S179" i="28"/>
  <c r="T179" i="28"/>
  <c r="V179" i="28"/>
  <c r="D180" i="28"/>
  <c r="I179" i="28"/>
  <c r="E180" i="28" l="1"/>
  <c r="Q179" i="28"/>
  <c r="N179" i="28" s="1"/>
  <c r="R178" i="28"/>
  <c r="Y178" i="28"/>
  <c r="P179" i="28"/>
  <c r="J178" i="28"/>
  <c r="K178" i="28"/>
  <c r="L178" i="28"/>
  <c r="M178" i="28" s="1"/>
  <c r="O178" i="28"/>
  <c r="B181" i="28"/>
  <c r="A182" i="28"/>
  <c r="H179" i="28"/>
  <c r="G180" i="28"/>
  <c r="W180" i="28"/>
  <c r="V180" i="28"/>
  <c r="U180" i="28"/>
  <c r="D181" i="28"/>
  <c r="I180" i="28"/>
  <c r="S180" i="28"/>
  <c r="T180" i="28"/>
  <c r="C181" i="28"/>
  <c r="X180" i="28"/>
  <c r="F180" i="28"/>
  <c r="E181" i="28" l="1"/>
  <c r="Q180" i="28"/>
  <c r="N180" i="28" s="1"/>
  <c r="R179" i="28"/>
  <c r="Y179" i="28"/>
  <c r="P180" i="28"/>
  <c r="J179" i="28"/>
  <c r="B182" i="28"/>
  <c r="A183" i="28"/>
  <c r="O179" i="28"/>
  <c r="K179" i="28"/>
  <c r="L179" i="28"/>
  <c r="M179" i="28" s="1"/>
  <c r="H180" i="28"/>
  <c r="T181" i="28"/>
  <c r="X181" i="28"/>
  <c r="U181" i="28"/>
  <c r="V181" i="28"/>
  <c r="C182" i="28"/>
  <c r="W181" i="28"/>
  <c r="F181" i="28"/>
  <c r="S181" i="28"/>
  <c r="G181" i="28"/>
  <c r="I181" i="28" s="1"/>
  <c r="D182" i="28"/>
  <c r="E182" i="28" l="1"/>
  <c r="P181" i="28"/>
  <c r="J180" i="28"/>
  <c r="R180" i="28"/>
  <c r="Y180" i="28"/>
  <c r="Q181" i="28"/>
  <c r="N181" i="28" s="1"/>
  <c r="L180" i="28"/>
  <c r="M180" i="28" s="1"/>
  <c r="K180" i="28"/>
  <c r="O180" i="28"/>
  <c r="B183" i="28"/>
  <c r="A184" i="28"/>
  <c r="H181" i="28"/>
  <c r="X182" i="28"/>
  <c r="S182" i="28"/>
  <c r="F182" i="28"/>
  <c r="G182" i="28"/>
  <c r="C183" i="28"/>
  <c r="I182" i="28"/>
  <c r="W182" i="28"/>
  <c r="U182" i="28"/>
  <c r="V182" i="28"/>
  <c r="D183" i="28"/>
  <c r="T182" i="28"/>
  <c r="E183" i="28" l="1"/>
  <c r="P182" i="28"/>
  <c r="J181" i="28"/>
  <c r="Q182" i="28"/>
  <c r="N182" i="28" s="1"/>
  <c r="R181" i="28"/>
  <c r="Y181" i="28"/>
  <c r="B184" i="28"/>
  <c r="A185" i="28"/>
  <c r="O181" i="28"/>
  <c r="K181" i="28"/>
  <c r="L181" i="28"/>
  <c r="M181" i="28" s="1"/>
  <c r="H182" i="28"/>
  <c r="S183" i="28"/>
  <c r="F183" i="28"/>
  <c r="W183" i="28"/>
  <c r="V183" i="28"/>
  <c r="D184" i="28"/>
  <c r="U183" i="28"/>
  <c r="C184" i="28"/>
  <c r="T183" i="28"/>
  <c r="X183" i="28"/>
  <c r="G183" i="28"/>
  <c r="I183" i="28" s="1"/>
  <c r="E184" i="28" l="1"/>
  <c r="P183" i="28"/>
  <c r="J182" i="28"/>
  <c r="Q183" i="28"/>
  <c r="N183" i="28" s="1"/>
  <c r="R182" i="28"/>
  <c r="Y182" i="28"/>
  <c r="B185" i="28"/>
  <c r="A186" i="28"/>
  <c r="K182" i="28"/>
  <c r="L182" i="28"/>
  <c r="M182" i="28" s="1"/>
  <c r="O182" i="28"/>
  <c r="H183" i="28"/>
  <c r="X184" i="28"/>
  <c r="G184" i="28"/>
  <c r="V184" i="28"/>
  <c r="U184" i="28"/>
  <c r="C185" i="28"/>
  <c r="I184" i="28"/>
  <c r="S184" i="28"/>
  <c r="W184" i="28"/>
  <c r="T184" i="28"/>
  <c r="F184" i="28"/>
  <c r="D185" i="28"/>
  <c r="E185" i="28" l="1"/>
  <c r="Q184" i="28"/>
  <c r="N184" i="28" s="1"/>
  <c r="P184" i="28"/>
  <c r="J183" i="28"/>
  <c r="R183" i="28"/>
  <c r="Y183" i="28"/>
  <c r="B186" i="28"/>
  <c r="A187" i="28"/>
  <c r="K183" i="28"/>
  <c r="L183" i="28"/>
  <c r="M183" i="28" s="1"/>
  <c r="O183" i="28"/>
  <c r="H184" i="28"/>
  <c r="V185" i="28"/>
  <c r="G185" i="28"/>
  <c r="U185" i="28"/>
  <c r="X185" i="28"/>
  <c r="D186" i="28"/>
  <c r="I185" i="28"/>
  <c r="F185" i="28"/>
  <c r="S185" i="28"/>
  <c r="T185" i="28"/>
  <c r="C186" i="28"/>
  <c r="W185" i="28"/>
  <c r="E186" i="28" l="1"/>
  <c r="R184" i="28"/>
  <c r="Y184" i="28"/>
  <c r="Q185" i="28"/>
  <c r="N185" i="28" s="1"/>
  <c r="P185" i="28"/>
  <c r="J184" i="28"/>
  <c r="L184" i="28"/>
  <c r="M184" i="28" s="1"/>
  <c r="K184" i="28"/>
  <c r="O184" i="28"/>
  <c r="B187" i="28"/>
  <c r="A188" i="28"/>
  <c r="H185" i="28"/>
  <c r="X186" i="28"/>
  <c r="F186" i="28"/>
  <c r="W186" i="28"/>
  <c r="G186" i="28"/>
  <c r="C187" i="28"/>
  <c r="I186" i="28"/>
  <c r="U186" i="28"/>
  <c r="T186" i="28"/>
  <c r="S186" i="28"/>
  <c r="V186" i="28"/>
  <c r="D187" i="28"/>
  <c r="E187" i="28" l="1"/>
  <c r="P186" i="28"/>
  <c r="J185" i="28"/>
  <c r="R185" i="28"/>
  <c r="Y185" i="28"/>
  <c r="Q186" i="28"/>
  <c r="N186" i="28" s="1"/>
  <c r="L185" i="28"/>
  <c r="M185" i="28" s="1"/>
  <c r="O185" i="28"/>
  <c r="K185" i="28"/>
  <c r="B188" i="28"/>
  <c r="A189" i="28"/>
  <c r="H186" i="28"/>
  <c r="S187" i="28"/>
  <c r="T187" i="28"/>
  <c r="W187" i="28"/>
  <c r="V187" i="28"/>
  <c r="D188" i="28"/>
  <c r="X187" i="28"/>
  <c r="F187" i="28"/>
  <c r="U187" i="28"/>
  <c r="G187" i="28"/>
  <c r="I187" i="28" s="1"/>
  <c r="C188" i="28"/>
  <c r="E188" i="28" l="1"/>
  <c r="P187" i="28"/>
  <c r="J186" i="28"/>
  <c r="Q187" i="28"/>
  <c r="N187" i="28" s="1"/>
  <c r="R186" i="28"/>
  <c r="Y186" i="28"/>
  <c r="B189" i="28"/>
  <c r="A190" i="28"/>
  <c r="K186" i="28"/>
  <c r="L186" i="28"/>
  <c r="M186" i="28" s="1"/>
  <c r="O186" i="28"/>
  <c r="H187" i="28"/>
  <c r="X188" i="28"/>
  <c r="S188" i="28"/>
  <c r="V188" i="28"/>
  <c r="U188" i="28"/>
  <c r="C189" i="28"/>
  <c r="W188" i="28"/>
  <c r="G188" i="28"/>
  <c r="I188" i="28" s="1"/>
  <c r="T188" i="28"/>
  <c r="F188" i="28"/>
  <c r="D189" i="28"/>
  <c r="E189" i="28" l="1"/>
  <c r="Q188" i="28"/>
  <c r="N188" i="28" s="1"/>
  <c r="P188" i="28"/>
  <c r="J187" i="28"/>
  <c r="R187" i="28"/>
  <c r="Y187" i="28"/>
  <c r="B190" i="28"/>
  <c r="A191" i="28"/>
  <c r="L187" i="28"/>
  <c r="M187" i="28" s="1"/>
  <c r="O187" i="28"/>
  <c r="K187" i="28"/>
  <c r="H188" i="28"/>
  <c r="T189" i="28"/>
  <c r="X189" i="28"/>
  <c r="U189" i="28"/>
  <c r="V189" i="28"/>
  <c r="D190" i="28"/>
  <c r="W189" i="28"/>
  <c r="F189" i="28"/>
  <c r="G189" i="28"/>
  <c r="I189" i="28" s="1"/>
  <c r="C190" i="28"/>
  <c r="S189" i="28"/>
  <c r="E190" i="28" l="1"/>
  <c r="P189" i="28"/>
  <c r="J188" i="28"/>
  <c r="R188" i="28"/>
  <c r="Y188" i="28"/>
  <c r="Q189" i="28"/>
  <c r="N189" i="28" s="1"/>
  <c r="K188" i="28"/>
  <c r="O188" i="28"/>
  <c r="L188" i="28"/>
  <c r="M188" i="28" s="1"/>
  <c r="B191" i="28"/>
  <c r="A192" i="28"/>
  <c r="H189" i="28"/>
  <c r="T190" i="28"/>
  <c r="U190" i="28"/>
  <c r="X190" i="28"/>
  <c r="W190" i="28"/>
  <c r="D191" i="28"/>
  <c r="F190" i="28"/>
  <c r="G190" i="28"/>
  <c r="I190" i="28" s="1"/>
  <c r="V190" i="28"/>
  <c r="S190" i="28"/>
  <c r="C191" i="28"/>
  <c r="J189" i="28" l="1"/>
  <c r="Q190" i="28"/>
  <c r="N190" i="28" s="1"/>
  <c r="E191" i="28"/>
  <c r="R189" i="28"/>
  <c r="Y189" i="28"/>
  <c r="P190" i="28"/>
  <c r="B192" i="28"/>
  <c r="A193" i="28"/>
  <c r="K189" i="28"/>
  <c r="L189" i="28"/>
  <c r="M189" i="28" s="1"/>
  <c r="O189" i="28"/>
  <c r="H190" i="28"/>
  <c r="S191" i="28"/>
  <c r="T191" i="28"/>
  <c r="W191" i="28"/>
  <c r="V191" i="28"/>
  <c r="D192" i="28"/>
  <c r="X191" i="28"/>
  <c r="F191" i="28"/>
  <c r="U191" i="28"/>
  <c r="G191" i="28"/>
  <c r="I191" i="28" s="1"/>
  <c r="C192" i="28"/>
  <c r="J190" i="28" l="1"/>
  <c r="Q191" i="28"/>
  <c r="N191" i="28" s="1"/>
  <c r="E192" i="28"/>
  <c r="P191" i="28"/>
  <c r="R190" i="28"/>
  <c r="Y190" i="28"/>
  <c r="B193" i="28"/>
  <c r="A194" i="28"/>
  <c r="K190" i="28"/>
  <c r="L190" i="28"/>
  <c r="M190" i="28" s="1"/>
  <c r="O190" i="28"/>
  <c r="H191" i="28"/>
  <c r="X192" i="28"/>
  <c r="S192" i="28"/>
  <c r="V192" i="28"/>
  <c r="U192" i="28"/>
  <c r="C193" i="28"/>
  <c r="W192" i="28"/>
  <c r="G192" i="28"/>
  <c r="I192" i="28" s="1"/>
  <c r="T192" i="28"/>
  <c r="F192" i="28"/>
  <c r="D193" i="28"/>
  <c r="Q192" i="28" l="1"/>
  <c r="N192" i="28" s="1"/>
  <c r="J191" i="28"/>
  <c r="E193" i="28"/>
  <c r="P192" i="28"/>
  <c r="R191" i="28"/>
  <c r="Y191" i="28"/>
  <c r="B194" i="28"/>
  <c r="A195" i="28"/>
  <c r="L191" i="28"/>
  <c r="M191" i="28" s="1"/>
  <c r="O191" i="28"/>
  <c r="K191" i="28"/>
  <c r="H192" i="28"/>
  <c r="V193" i="28"/>
  <c r="G193" i="28"/>
  <c r="U193" i="28"/>
  <c r="X193" i="28"/>
  <c r="D194" i="28"/>
  <c r="I193" i="28"/>
  <c r="W193" i="28"/>
  <c r="F193" i="28"/>
  <c r="S193" i="28"/>
  <c r="T193" i="28"/>
  <c r="C194" i="28"/>
  <c r="Q193" i="28" l="1"/>
  <c r="N193" i="28" s="1"/>
  <c r="J192" i="28"/>
  <c r="E194" i="28"/>
  <c r="R192" i="28"/>
  <c r="Y192" i="28"/>
  <c r="P193" i="28"/>
  <c r="B195" i="28"/>
  <c r="A196" i="28"/>
  <c r="K192" i="28"/>
  <c r="L192" i="28"/>
  <c r="M192" i="28" s="1"/>
  <c r="O192" i="28"/>
  <c r="H193" i="28"/>
  <c r="X194" i="28"/>
  <c r="F194" i="28"/>
  <c r="W194" i="28"/>
  <c r="G194" i="28"/>
  <c r="C195" i="28"/>
  <c r="I194" i="28"/>
  <c r="T194" i="28"/>
  <c r="S194" i="28"/>
  <c r="U194" i="28"/>
  <c r="D195" i="28"/>
  <c r="V194" i="28"/>
  <c r="J193" i="28" l="1"/>
  <c r="Q194" i="28"/>
  <c r="N194" i="28" s="1"/>
  <c r="E195" i="28"/>
  <c r="P194" i="28"/>
  <c r="R193" i="28"/>
  <c r="Y193" i="28"/>
  <c r="B196" i="28"/>
  <c r="A197" i="28"/>
  <c r="L193" i="28"/>
  <c r="M193" i="28" s="1"/>
  <c r="O193" i="28"/>
  <c r="K193" i="28"/>
  <c r="H194" i="28"/>
  <c r="S195" i="28"/>
  <c r="T195" i="28"/>
  <c r="W195" i="28"/>
  <c r="V195" i="28"/>
  <c r="D196" i="28"/>
  <c r="X195" i="28"/>
  <c r="F195" i="28"/>
  <c r="U195" i="28"/>
  <c r="G195" i="28"/>
  <c r="I195" i="28" s="1"/>
  <c r="C196" i="28"/>
  <c r="J194" i="28" l="1"/>
  <c r="Q195" i="28"/>
  <c r="N195" i="28" s="1"/>
  <c r="E196" i="28"/>
  <c r="P195" i="28"/>
  <c r="R194" i="28"/>
  <c r="Y194" i="28"/>
  <c r="B197" i="28"/>
  <c r="A198" i="28"/>
  <c r="K194" i="28"/>
  <c r="L194" i="28"/>
  <c r="M194" i="28" s="1"/>
  <c r="O194" i="28"/>
  <c r="H195" i="28"/>
  <c r="S196" i="28"/>
  <c r="W196" i="28"/>
  <c r="V196" i="28"/>
  <c r="U196" i="28"/>
  <c r="C197" i="28"/>
  <c r="X196" i="28"/>
  <c r="G196" i="28"/>
  <c r="I196" i="28" s="1"/>
  <c r="T196" i="28"/>
  <c r="F196" i="28"/>
  <c r="D197" i="28"/>
  <c r="Q196" i="28" l="1"/>
  <c r="N196" i="28" s="1"/>
  <c r="J195" i="28"/>
  <c r="E197" i="28"/>
  <c r="P196" i="28"/>
  <c r="R195" i="28"/>
  <c r="Y195" i="28"/>
  <c r="B198" i="28"/>
  <c r="A199" i="28"/>
  <c r="L195" i="28"/>
  <c r="M195" i="28" s="1"/>
  <c r="O195" i="28"/>
  <c r="K195" i="28"/>
  <c r="H196" i="28"/>
  <c r="W197" i="28"/>
  <c r="T197" i="28"/>
  <c r="U197" i="28"/>
  <c r="V197" i="28"/>
  <c r="D198" i="28"/>
  <c r="X197" i="28"/>
  <c r="F197" i="28"/>
  <c r="S197" i="28"/>
  <c r="G197" i="28"/>
  <c r="I197" i="28" s="1"/>
  <c r="C198" i="28"/>
  <c r="J196" i="28" l="1"/>
  <c r="Q197" i="28"/>
  <c r="N197" i="28" s="1"/>
  <c r="E198" i="28"/>
  <c r="P197" i="28"/>
  <c r="R196" i="28"/>
  <c r="Y196" i="28"/>
  <c r="B199" i="28"/>
  <c r="A200" i="28"/>
  <c r="K196" i="28"/>
  <c r="O196" i="28"/>
  <c r="L196" i="28"/>
  <c r="M196" i="28" s="1"/>
  <c r="H197" i="28"/>
  <c r="G198" i="28"/>
  <c r="F198" i="28"/>
  <c r="X198" i="28"/>
  <c r="W198" i="28"/>
  <c r="D199" i="28"/>
  <c r="I198" i="28"/>
  <c r="T198" i="28"/>
  <c r="U198" i="28"/>
  <c r="V198" i="28"/>
  <c r="S198" i="28"/>
  <c r="C199" i="28"/>
  <c r="Q198" i="28" l="1"/>
  <c r="N198" i="28" s="1"/>
  <c r="J197" i="28"/>
  <c r="E199" i="28"/>
  <c r="R197" i="28"/>
  <c r="Y197" i="28"/>
  <c r="P198" i="28"/>
  <c r="B200" i="28"/>
  <c r="A201" i="28"/>
  <c r="K197" i="28"/>
  <c r="L197" i="28"/>
  <c r="M197" i="28" s="1"/>
  <c r="O197" i="28"/>
  <c r="H198" i="28"/>
  <c r="W199" i="28"/>
  <c r="G199" i="28"/>
  <c r="X199" i="28"/>
  <c r="F199" i="28"/>
  <c r="C200" i="28"/>
  <c r="I199" i="28"/>
  <c r="U199" i="28"/>
  <c r="S199" i="28"/>
  <c r="T199" i="28"/>
  <c r="V199" i="28"/>
  <c r="D200" i="28"/>
  <c r="Q199" i="28" l="1"/>
  <c r="N199" i="28" s="1"/>
  <c r="J198" i="28"/>
  <c r="E200" i="28"/>
  <c r="R198" i="28"/>
  <c r="Y198" i="28"/>
  <c r="P199" i="28"/>
  <c r="B201" i="28"/>
  <c r="A202" i="28"/>
  <c r="K198" i="28"/>
  <c r="L198" i="28"/>
  <c r="M198" i="28" s="1"/>
  <c r="O198" i="28"/>
  <c r="H199" i="28"/>
  <c r="X200" i="28"/>
  <c r="S200" i="28"/>
  <c r="V200" i="28"/>
  <c r="U200" i="28"/>
  <c r="C201" i="28"/>
  <c r="W200" i="28"/>
  <c r="G200" i="28"/>
  <c r="I200" i="28" s="1"/>
  <c r="T200" i="28"/>
  <c r="F200" i="28"/>
  <c r="D201" i="28"/>
  <c r="E201" i="28" l="1"/>
  <c r="Q200" i="28"/>
  <c r="N200" i="28" s="1"/>
  <c r="J199" i="28"/>
  <c r="P200" i="28"/>
  <c r="R199" i="28"/>
  <c r="Y199" i="28"/>
  <c r="B202" i="28"/>
  <c r="A203" i="28"/>
  <c r="L199" i="28"/>
  <c r="M199" i="28" s="1"/>
  <c r="O199" i="28"/>
  <c r="K199" i="28"/>
  <c r="H200" i="28"/>
  <c r="T201" i="28"/>
  <c r="S201" i="28"/>
  <c r="V201" i="28"/>
  <c r="W201" i="28"/>
  <c r="D202" i="28"/>
  <c r="X201" i="28"/>
  <c r="U201" i="28"/>
  <c r="G201" i="28"/>
  <c r="I201" i="28" s="1"/>
  <c r="F201" i="28"/>
  <c r="C202" i="28"/>
  <c r="E202" i="28" l="1"/>
  <c r="Q201" i="28"/>
  <c r="N201" i="28" s="1"/>
  <c r="P201" i="28"/>
  <c r="J200" i="28"/>
  <c r="R200" i="28"/>
  <c r="Y200" i="28"/>
  <c r="B203" i="28"/>
  <c r="A204" i="28"/>
  <c r="K200" i="28"/>
  <c r="O200" i="28"/>
  <c r="L200" i="28"/>
  <c r="M200" i="28" s="1"/>
  <c r="H201" i="28"/>
  <c r="T202" i="28"/>
  <c r="S202" i="28"/>
  <c r="X202" i="28"/>
  <c r="U202" i="28"/>
  <c r="D203" i="28"/>
  <c r="W202" i="28"/>
  <c r="G202" i="28"/>
  <c r="I202" i="28" s="1"/>
  <c r="V202" i="28"/>
  <c r="F202" i="28"/>
  <c r="C203" i="28"/>
  <c r="E203" i="28" l="1"/>
  <c r="Q202" i="28"/>
  <c r="N202" i="28" s="1"/>
  <c r="P202" i="28"/>
  <c r="J201" i="28"/>
  <c r="R201" i="28"/>
  <c r="Y201" i="28"/>
  <c r="L201" i="28"/>
  <c r="M201" i="28" s="1"/>
  <c r="O201" i="28"/>
  <c r="K201" i="28"/>
  <c r="B204" i="28"/>
  <c r="A205" i="28"/>
  <c r="H202" i="28"/>
  <c r="S203" i="28"/>
  <c r="T203" i="28"/>
  <c r="W203" i="28"/>
  <c r="V203" i="28"/>
  <c r="D204" i="28"/>
  <c r="X203" i="28"/>
  <c r="F203" i="28"/>
  <c r="U203" i="28"/>
  <c r="G203" i="28"/>
  <c r="I203" i="28" s="1"/>
  <c r="C204" i="28"/>
  <c r="J202" i="28" l="1"/>
  <c r="Q203" i="28"/>
  <c r="N203" i="28" s="1"/>
  <c r="E204" i="28"/>
  <c r="P203" i="28"/>
  <c r="R202" i="28"/>
  <c r="Y202" i="28"/>
  <c r="B205" i="28"/>
  <c r="A206" i="28"/>
  <c r="K202" i="28"/>
  <c r="L202" i="28"/>
  <c r="M202" i="28" s="1"/>
  <c r="O202" i="28"/>
  <c r="H203" i="28"/>
  <c r="G204" i="28"/>
  <c r="W204" i="28"/>
  <c r="V204" i="28"/>
  <c r="U204" i="28"/>
  <c r="C205" i="28"/>
  <c r="I204" i="28"/>
  <c r="X204" i="28"/>
  <c r="S204" i="28"/>
  <c r="T204" i="28"/>
  <c r="F204" i="28"/>
  <c r="D205" i="28"/>
  <c r="Q204" i="28" l="1"/>
  <c r="N204" i="28" s="1"/>
  <c r="J203" i="28"/>
  <c r="E205" i="28"/>
  <c r="R203" i="28"/>
  <c r="Y203" i="28"/>
  <c r="P204" i="28"/>
  <c r="B206" i="28"/>
  <c r="A207" i="28"/>
  <c r="O203" i="28"/>
  <c r="K203" i="28"/>
  <c r="L203" i="28"/>
  <c r="M203" i="28" s="1"/>
  <c r="H204" i="28"/>
  <c r="W205" i="28"/>
  <c r="T205" i="28"/>
  <c r="U205" i="28"/>
  <c r="V205" i="28"/>
  <c r="D206" i="28"/>
  <c r="F205" i="28"/>
  <c r="S205" i="28"/>
  <c r="G205" i="28"/>
  <c r="I205" i="28" s="1"/>
  <c r="C206" i="28"/>
  <c r="X205" i="28"/>
  <c r="J204" i="28" l="1"/>
  <c r="Q205" i="28"/>
  <c r="N205" i="28" s="1"/>
  <c r="E206" i="28"/>
  <c r="P205" i="28"/>
  <c r="R204" i="28"/>
  <c r="Y204" i="28"/>
  <c r="B207" i="28"/>
  <c r="A208" i="28"/>
  <c r="K204" i="28"/>
  <c r="O204" i="28"/>
  <c r="L204" i="28"/>
  <c r="M204" i="28" s="1"/>
  <c r="H205" i="28"/>
  <c r="U206" i="28"/>
  <c r="F206" i="28"/>
  <c r="X206" i="28"/>
  <c r="W206" i="28"/>
  <c r="D207" i="28"/>
  <c r="T206" i="28"/>
  <c r="G206" i="28"/>
  <c r="I206" i="28" s="1"/>
  <c r="V206" i="28"/>
  <c r="S206" i="28"/>
  <c r="C207" i="28"/>
  <c r="J205" i="28" l="1"/>
  <c r="Q206" i="28"/>
  <c r="N206" i="28" s="1"/>
  <c r="E207" i="28"/>
  <c r="R205" i="28"/>
  <c r="Y205" i="28"/>
  <c r="P206" i="28"/>
  <c r="B208" i="28"/>
  <c r="A209" i="28"/>
  <c r="L205" i="28"/>
  <c r="M205" i="28" s="1"/>
  <c r="O205" i="28"/>
  <c r="K205" i="28"/>
  <c r="H206" i="28"/>
  <c r="F207" i="28"/>
  <c r="X207" i="28"/>
  <c r="W207" i="28"/>
  <c r="V207" i="28"/>
  <c r="D208" i="28"/>
  <c r="S207" i="28"/>
  <c r="T207" i="28"/>
  <c r="U207" i="28"/>
  <c r="G207" i="28"/>
  <c r="I207" i="28" s="1"/>
  <c r="C208" i="28"/>
  <c r="J206" i="28" l="1"/>
  <c r="Q207" i="28"/>
  <c r="N207" i="28" s="1"/>
  <c r="E208" i="28"/>
  <c r="P207" i="28"/>
  <c r="R206" i="28"/>
  <c r="Y206" i="28"/>
  <c r="B209" i="28"/>
  <c r="A210" i="28"/>
  <c r="K206" i="28"/>
  <c r="L206" i="28"/>
  <c r="M206" i="28" s="1"/>
  <c r="O206" i="28"/>
  <c r="H207" i="28"/>
  <c r="X208" i="28"/>
  <c r="S208" i="28"/>
  <c r="V208" i="28"/>
  <c r="U208" i="28"/>
  <c r="C209" i="28"/>
  <c r="W208" i="28"/>
  <c r="G208" i="28"/>
  <c r="I208" i="28" s="1"/>
  <c r="T208" i="28"/>
  <c r="F208" i="28"/>
  <c r="D209" i="28"/>
  <c r="Q208" i="28" l="1"/>
  <c r="N208" i="28" s="1"/>
  <c r="J207" i="28"/>
  <c r="E209" i="28"/>
  <c r="P208" i="28"/>
  <c r="R207" i="28"/>
  <c r="Y207" i="28"/>
  <c r="B210" i="28"/>
  <c r="A211" i="28"/>
  <c r="K207" i="28"/>
  <c r="L207" i="28"/>
  <c r="M207" i="28" s="1"/>
  <c r="O207" i="28"/>
  <c r="H208" i="28"/>
  <c r="W209" i="28"/>
  <c r="V209" i="28"/>
  <c r="U209" i="28"/>
  <c r="X209" i="28"/>
  <c r="G209" i="28"/>
  <c r="I209" i="28" s="1"/>
  <c r="F209" i="28"/>
  <c r="S209" i="28"/>
  <c r="T209" i="28"/>
  <c r="C210" i="28"/>
  <c r="D210" i="28"/>
  <c r="Q209" i="28" l="1"/>
  <c r="N209" i="28" s="1"/>
  <c r="J208" i="28"/>
  <c r="E210" i="28"/>
  <c r="R208" i="28"/>
  <c r="Y208" i="28"/>
  <c r="P209" i="28"/>
  <c r="B211" i="28"/>
  <c r="A212" i="28"/>
  <c r="K208" i="28"/>
  <c r="O208" i="28"/>
  <c r="L208" i="28"/>
  <c r="M208" i="28" s="1"/>
  <c r="H209" i="28"/>
  <c r="S210" i="28"/>
  <c r="W210" i="28"/>
  <c r="X210" i="28"/>
  <c r="U210" i="28"/>
  <c r="D211" i="28"/>
  <c r="T210" i="28"/>
  <c r="G210" i="28"/>
  <c r="I210" i="28" s="1"/>
  <c r="V210" i="28"/>
  <c r="C211" i="28"/>
  <c r="F210" i="28"/>
  <c r="Q210" i="28" l="1"/>
  <c r="N210" i="28" s="1"/>
  <c r="J209" i="28"/>
  <c r="E211" i="28"/>
  <c r="P210" i="28"/>
  <c r="R209" i="28"/>
  <c r="Y209" i="28"/>
  <c r="B212" i="28"/>
  <c r="A213" i="28"/>
  <c r="L209" i="28"/>
  <c r="M209" i="28" s="1"/>
  <c r="O209" i="28"/>
  <c r="K209" i="28"/>
  <c r="H210" i="28"/>
  <c r="X211" i="28"/>
  <c r="T211" i="28"/>
  <c r="W211" i="28"/>
  <c r="V211" i="28"/>
  <c r="D212" i="28"/>
  <c r="S211" i="28"/>
  <c r="F211" i="28"/>
  <c r="U211" i="28"/>
  <c r="G211" i="28"/>
  <c r="I211" i="28" s="1"/>
  <c r="C212" i="28"/>
  <c r="J210" i="28" l="1"/>
  <c r="Q211" i="28"/>
  <c r="N211" i="28" s="1"/>
  <c r="E212" i="28"/>
  <c r="P211" i="28"/>
  <c r="R210" i="28"/>
  <c r="Y210" i="28"/>
  <c r="B213" i="28"/>
  <c r="A214" i="28"/>
  <c r="K210" i="28"/>
  <c r="L210" i="28"/>
  <c r="M210" i="28" s="1"/>
  <c r="O210" i="28"/>
  <c r="H211" i="28"/>
  <c r="X212" i="28"/>
  <c r="S212" i="28"/>
  <c r="V212" i="28"/>
  <c r="U212" i="28"/>
  <c r="D213" i="28"/>
  <c r="W212" i="28"/>
  <c r="G212" i="28"/>
  <c r="I212" i="28" s="1"/>
  <c r="T212" i="28"/>
  <c r="F212" i="28"/>
  <c r="C213" i="28"/>
  <c r="Q212" i="28" l="1"/>
  <c r="N212" i="28" s="1"/>
  <c r="J211" i="28"/>
  <c r="E213" i="28"/>
  <c r="P212" i="28"/>
  <c r="R211" i="28"/>
  <c r="Y211" i="28"/>
  <c r="B214" i="28"/>
  <c r="A215" i="28"/>
  <c r="O211" i="28"/>
  <c r="K211" i="28"/>
  <c r="L211" i="28"/>
  <c r="M211" i="28" s="1"/>
  <c r="H212" i="28"/>
  <c r="X213" i="28"/>
  <c r="T213" i="28"/>
  <c r="V213" i="28"/>
  <c r="W213" i="28"/>
  <c r="F213" i="28"/>
  <c r="S213" i="28"/>
  <c r="G213" i="28"/>
  <c r="I213" i="28" s="1"/>
  <c r="D214" i="28"/>
  <c r="U213" i="28"/>
  <c r="C214" i="28"/>
  <c r="E214" i="28" l="1"/>
  <c r="J212" i="28"/>
  <c r="Q213" i="28"/>
  <c r="N213" i="28" s="1"/>
  <c r="P213" i="28"/>
  <c r="R212" i="28"/>
  <c r="Y212" i="28"/>
  <c r="B215" i="28"/>
  <c r="A216" i="28"/>
  <c r="O212" i="28"/>
  <c r="L212" i="28"/>
  <c r="M212" i="28" s="1"/>
  <c r="K212" i="28"/>
  <c r="H213" i="28"/>
  <c r="S214" i="28"/>
  <c r="V214" i="28"/>
  <c r="G214" i="28"/>
  <c r="T214" i="28"/>
  <c r="D215" i="28"/>
  <c r="I214" i="28"/>
  <c r="W214" i="28"/>
  <c r="X214" i="28"/>
  <c r="F214" i="28"/>
  <c r="U214" i="28"/>
  <c r="C215" i="28"/>
  <c r="E215" i="28" l="1"/>
  <c r="Q214" i="28"/>
  <c r="N214" i="28" s="1"/>
  <c r="P214" i="28"/>
  <c r="J213" i="28"/>
  <c r="R213" i="28"/>
  <c r="Y213" i="28"/>
  <c r="B216" i="28"/>
  <c r="A217" i="28"/>
  <c r="K213" i="28"/>
  <c r="L213" i="28"/>
  <c r="M213" i="28" s="1"/>
  <c r="O213" i="28"/>
  <c r="H214" i="28"/>
  <c r="W215" i="28"/>
  <c r="V215" i="28"/>
  <c r="S215" i="28"/>
  <c r="T215" i="28"/>
  <c r="C216" i="28"/>
  <c r="U215" i="28"/>
  <c r="G215" i="28"/>
  <c r="I215" i="28" s="1"/>
  <c r="X215" i="28"/>
  <c r="F215" i="28"/>
  <c r="D216" i="28"/>
  <c r="E216" i="28" l="1"/>
  <c r="Q215" i="28"/>
  <c r="N215" i="28" s="1"/>
  <c r="R214" i="28"/>
  <c r="Y214" i="28"/>
  <c r="P215" i="28"/>
  <c r="J214" i="28"/>
  <c r="O214" i="28"/>
  <c r="L214" i="28"/>
  <c r="M214" i="28" s="1"/>
  <c r="K214" i="28"/>
  <c r="B217" i="28"/>
  <c r="A218" i="28"/>
  <c r="H215" i="28"/>
  <c r="W216" i="28"/>
  <c r="S216" i="28"/>
  <c r="V216" i="28"/>
  <c r="U216" i="28"/>
  <c r="C217" i="28"/>
  <c r="G216" i="28"/>
  <c r="I216" i="28" s="1"/>
  <c r="T216" i="28"/>
  <c r="F216" i="28"/>
  <c r="D217" i="28"/>
  <c r="X216" i="28"/>
  <c r="E217" i="28" l="1"/>
  <c r="Q216" i="28"/>
  <c r="N216" i="28" s="1"/>
  <c r="P216" i="28"/>
  <c r="J215" i="28"/>
  <c r="R215" i="28"/>
  <c r="Y215" i="28"/>
  <c r="B218" i="28"/>
  <c r="A219" i="28"/>
  <c r="O215" i="28"/>
  <c r="K215" i="28"/>
  <c r="L215" i="28"/>
  <c r="M215" i="28" s="1"/>
  <c r="H216" i="28"/>
  <c r="U217" i="28"/>
  <c r="T217" i="28"/>
  <c r="G217" i="28"/>
  <c r="F217" i="28"/>
  <c r="C218" i="28"/>
  <c r="I217" i="28"/>
  <c r="X217" i="28"/>
  <c r="W217" i="28"/>
  <c r="V217" i="28"/>
  <c r="S217" i="28"/>
  <c r="D218" i="28"/>
  <c r="E218" i="28" l="1"/>
  <c r="R216" i="28"/>
  <c r="Y216" i="28"/>
  <c r="Q217" i="28"/>
  <c r="N217" i="28" s="1"/>
  <c r="P217" i="28"/>
  <c r="J216" i="28"/>
  <c r="O216" i="28"/>
  <c r="L216" i="28"/>
  <c r="M216" i="28" s="1"/>
  <c r="K216" i="28"/>
  <c r="B219" i="28"/>
  <c r="A220" i="28"/>
  <c r="H217" i="28"/>
  <c r="T218" i="28"/>
  <c r="S218" i="28"/>
  <c r="X218" i="28"/>
  <c r="U218" i="28"/>
  <c r="D219" i="28"/>
  <c r="W218" i="28"/>
  <c r="G218" i="28"/>
  <c r="I218" i="28" s="1"/>
  <c r="V218" i="28"/>
  <c r="F218" i="28"/>
  <c r="C219" i="28"/>
  <c r="E219" i="28" l="1"/>
  <c r="Q218" i="28"/>
  <c r="N218" i="28" s="1"/>
  <c r="P218" i="28"/>
  <c r="J217" i="28"/>
  <c r="R217" i="28"/>
  <c r="Y217" i="28"/>
  <c r="B220" i="28"/>
  <c r="A221" i="28"/>
  <c r="L217" i="28"/>
  <c r="M217" i="28" s="1"/>
  <c r="O217" i="28"/>
  <c r="K217" i="28"/>
  <c r="H218" i="28"/>
  <c r="S219" i="28"/>
  <c r="T219" i="28"/>
  <c r="W219" i="28"/>
  <c r="V219" i="28"/>
  <c r="D220" i="28"/>
  <c r="F219" i="28"/>
  <c r="U219" i="28"/>
  <c r="G219" i="28"/>
  <c r="I219" i="28" s="1"/>
  <c r="C220" i="28"/>
  <c r="X219" i="28"/>
  <c r="E220" i="28" l="1"/>
  <c r="P219" i="28"/>
  <c r="J218" i="28"/>
  <c r="Q219" i="28"/>
  <c r="N219" i="28" s="1"/>
  <c r="R218" i="28"/>
  <c r="Y218" i="28"/>
  <c r="O218" i="28"/>
  <c r="K218" i="28"/>
  <c r="L218" i="28"/>
  <c r="M218" i="28" s="1"/>
  <c r="B221" i="28"/>
  <c r="A222" i="28"/>
  <c r="H219" i="28"/>
  <c r="G220" i="28"/>
  <c r="W220" i="28"/>
  <c r="V220" i="28"/>
  <c r="U220" i="28"/>
  <c r="C221" i="28"/>
  <c r="I220" i="28"/>
  <c r="X220" i="28"/>
  <c r="S220" i="28"/>
  <c r="F220" i="28"/>
  <c r="D221" i="28"/>
  <c r="T220" i="28"/>
  <c r="E221" i="28" l="1"/>
  <c r="Q220" i="28"/>
  <c r="N220" i="28" s="1"/>
  <c r="R219" i="28"/>
  <c r="Y219" i="28"/>
  <c r="P220" i="28"/>
  <c r="J219" i="28"/>
  <c r="B222" i="28"/>
  <c r="A223" i="28"/>
  <c r="L219" i="28"/>
  <c r="M219" i="28" s="1"/>
  <c r="O219" i="28"/>
  <c r="K219" i="28"/>
  <c r="H220" i="28"/>
  <c r="W221" i="28"/>
  <c r="T221" i="28"/>
  <c r="U221" i="28"/>
  <c r="D222" i="28"/>
  <c r="X221" i="28"/>
  <c r="F221" i="28"/>
  <c r="S221" i="28"/>
  <c r="G221" i="28"/>
  <c r="C222" i="28"/>
  <c r="V221" i="28"/>
  <c r="I221" i="28"/>
  <c r="E222" i="28" l="1"/>
  <c r="P221" i="28"/>
  <c r="J220" i="28"/>
  <c r="R220" i="28"/>
  <c r="Y220" i="28"/>
  <c r="Q221" i="28"/>
  <c r="N221" i="28" s="1"/>
  <c r="O220" i="28"/>
  <c r="L220" i="28"/>
  <c r="M220" i="28" s="1"/>
  <c r="K220" i="28"/>
  <c r="B223" i="28"/>
  <c r="A224" i="28"/>
  <c r="H221" i="28"/>
  <c r="T222" i="28"/>
  <c r="U222" i="28"/>
  <c r="X222" i="28"/>
  <c r="W222" i="28"/>
  <c r="D223" i="28"/>
  <c r="F222" i="28"/>
  <c r="G222" i="28"/>
  <c r="I222" i="28" s="1"/>
  <c r="V222" i="28"/>
  <c r="S222" i="28"/>
  <c r="C223" i="28"/>
  <c r="E223" i="28" l="1"/>
  <c r="R221" i="28"/>
  <c r="Y221" i="28"/>
  <c r="P222" i="28"/>
  <c r="J221" i="28"/>
  <c r="Q222" i="28"/>
  <c r="N222" i="28" s="1"/>
  <c r="B224" i="28"/>
  <c r="A225" i="28"/>
  <c r="K221" i="28"/>
  <c r="L221" i="28"/>
  <c r="M221" i="28" s="1"/>
  <c r="O221" i="28"/>
  <c r="H222" i="28"/>
  <c r="S223" i="28"/>
  <c r="T223" i="28"/>
  <c r="W223" i="28"/>
  <c r="V223" i="28"/>
  <c r="D224" i="28"/>
  <c r="X223" i="28"/>
  <c r="F223" i="28"/>
  <c r="U223" i="28"/>
  <c r="G223" i="28"/>
  <c r="I223" i="28" s="1"/>
  <c r="C224" i="28"/>
  <c r="E224" i="28" l="1"/>
  <c r="P223" i="28"/>
  <c r="J222" i="28"/>
  <c r="Q223" i="28"/>
  <c r="N223" i="28" s="1"/>
  <c r="R222" i="28"/>
  <c r="Y222" i="28"/>
  <c r="B225" i="28"/>
  <c r="A226" i="28"/>
  <c r="O222" i="28"/>
  <c r="L222" i="28"/>
  <c r="M222" i="28" s="1"/>
  <c r="K222" i="28"/>
  <c r="H223" i="28"/>
  <c r="X224" i="28"/>
  <c r="S224" i="28"/>
  <c r="V224" i="28"/>
  <c r="U224" i="28"/>
  <c r="C225" i="28"/>
  <c r="W224" i="28"/>
  <c r="G224" i="28"/>
  <c r="I224" i="28" s="1"/>
  <c r="T224" i="28"/>
  <c r="F224" i="28"/>
  <c r="D225" i="28"/>
  <c r="Q224" i="28" l="1"/>
  <c r="N224" i="28" s="1"/>
  <c r="J223" i="28"/>
  <c r="E225" i="28"/>
  <c r="P224" i="28"/>
  <c r="R223" i="28"/>
  <c r="Y223" i="28"/>
  <c r="B226" i="28"/>
  <c r="A227" i="28"/>
  <c r="L223" i="28"/>
  <c r="M223" i="28" s="1"/>
  <c r="O223" i="28"/>
  <c r="K223" i="28"/>
  <c r="H224" i="28"/>
  <c r="W225" i="28"/>
  <c r="V225" i="28"/>
  <c r="U225" i="28"/>
  <c r="X225" i="28"/>
  <c r="D226" i="28"/>
  <c r="G225" i="28"/>
  <c r="I225" i="28" s="1"/>
  <c r="F225" i="28"/>
  <c r="S225" i="28"/>
  <c r="T225" i="28"/>
  <c r="C226" i="28"/>
  <c r="Q225" i="28" l="1"/>
  <c r="N225" i="28" s="1"/>
  <c r="J224" i="28"/>
  <c r="E226" i="28"/>
  <c r="R224" i="28"/>
  <c r="Y224" i="28"/>
  <c r="P225" i="28"/>
  <c r="B227" i="28"/>
  <c r="A228" i="28"/>
  <c r="O224" i="28"/>
  <c r="L224" i="28"/>
  <c r="M224" i="28" s="1"/>
  <c r="K224" i="28"/>
  <c r="H225" i="28"/>
  <c r="T226" i="28"/>
  <c r="S226" i="28"/>
  <c r="X226" i="28"/>
  <c r="U226" i="28"/>
  <c r="D227" i="28"/>
  <c r="W226" i="28"/>
  <c r="G226" i="28"/>
  <c r="I226" i="28" s="1"/>
  <c r="V226" i="28"/>
  <c r="F226" i="28"/>
  <c r="C227" i="28"/>
  <c r="Q226" i="28" l="1"/>
  <c r="N226" i="28" s="1"/>
  <c r="J225" i="28"/>
  <c r="E227" i="28"/>
  <c r="P226" i="28"/>
  <c r="R225" i="28"/>
  <c r="Y225" i="28"/>
  <c r="B228" i="28"/>
  <c r="A229" i="28"/>
  <c r="L225" i="28"/>
  <c r="M225" i="28" s="1"/>
  <c r="O225" i="28"/>
  <c r="K225" i="28"/>
  <c r="H226" i="28"/>
  <c r="W227" i="28"/>
  <c r="X227" i="28"/>
  <c r="F227" i="28"/>
  <c r="V227" i="28"/>
  <c r="D228" i="28"/>
  <c r="T227" i="28"/>
  <c r="U227" i="28"/>
  <c r="G227" i="28"/>
  <c r="I227" i="28" s="1"/>
  <c r="C228" i="28"/>
  <c r="S227" i="28"/>
  <c r="J226" i="28" l="1"/>
  <c r="Q227" i="28"/>
  <c r="N227" i="28" s="1"/>
  <c r="E228" i="28"/>
  <c r="P227" i="28"/>
  <c r="R226" i="28"/>
  <c r="Y226" i="28"/>
  <c r="B229" i="28"/>
  <c r="A230" i="28"/>
  <c r="O226" i="28"/>
  <c r="K226" i="28"/>
  <c r="L226" i="28"/>
  <c r="M226" i="28" s="1"/>
  <c r="H227" i="28"/>
  <c r="G228" i="28"/>
  <c r="W228" i="28"/>
  <c r="V228" i="28"/>
  <c r="U228" i="28"/>
  <c r="C229" i="28"/>
  <c r="I228" i="28"/>
  <c r="X228" i="28"/>
  <c r="S228" i="28"/>
  <c r="T228" i="28"/>
  <c r="F228" i="28"/>
  <c r="D229" i="28"/>
  <c r="Q228" i="28" l="1"/>
  <c r="N228" i="28" s="1"/>
  <c r="J227" i="28"/>
  <c r="E229" i="28"/>
  <c r="R227" i="28"/>
  <c r="Y227" i="28"/>
  <c r="P228" i="28"/>
  <c r="B230" i="28"/>
  <c r="A231" i="28"/>
  <c r="L227" i="28"/>
  <c r="M227" i="28" s="1"/>
  <c r="O227" i="28"/>
  <c r="K227" i="28"/>
  <c r="H228" i="28"/>
  <c r="D230" i="28"/>
  <c r="X229" i="28"/>
  <c r="F229" i="28"/>
  <c r="S229" i="28"/>
  <c r="G229" i="28"/>
  <c r="C230" i="28"/>
  <c r="W229" i="28"/>
  <c r="T229" i="28"/>
  <c r="U229" i="28"/>
  <c r="V229" i="28"/>
  <c r="I229" i="28"/>
  <c r="J228" i="28" l="1"/>
  <c r="Q229" i="28"/>
  <c r="N229" i="28" s="1"/>
  <c r="E230" i="28"/>
  <c r="P229" i="28"/>
  <c r="R228" i="28"/>
  <c r="Y228" i="28"/>
  <c r="B231" i="28"/>
  <c r="A232" i="28"/>
  <c r="O228" i="28"/>
  <c r="L228" i="28"/>
  <c r="M228" i="28" s="1"/>
  <c r="K228" i="28"/>
  <c r="H229" i="28"/>
  <c r="G230" i="28"/>
  <c r="F230" i="28"/>
  <c r="X230" i="28"/>
  <c r="W230" i="28"/>
  <c r="D231" i="28"/>
  <c r="I230" i="28"/>
  <c r="T230" i="28"/>
  <c r="U230" i="28"/>
  <c r="V230" i="28"/>
  <c r="S230" i="28"/>
  <c r="C231" i="28"/>
  <c r="Q230" i="28" l="1"/>
  <c r="N230" i="28" s="1"/>
  <c r="J229" i="28"/>
  <c r="E231" i="28"/>
  <c r="R229" i="28"/>
  <c r="Y229" i="28"/>
  <c r="P230" i="28"/>
  <c r="B232" i="28"/>
  <c r="A233" i="28"/>
  <c r="O229" i="28"/>
  <c r="K229" i="28"/>
  <c r="L229" i="28"/>
  <c r="M229" i="28" s="1"/>
  <c r="H230" i="28"/>
  <c r="S231" i="28"/>
  <c r="T231" i="28"/>
  <c r="W231" i="28"/>
  <c r="V231" i="28"/>
  <c r="D232" i="28"/>
  <c r="G231" i="28"/>
  <c r="I231" i="28" s="1"/>
  <c r="X231" i="28"/>
  <c r="F231" i="28"/>
  <c r="U231" i="28"/>
  <c r="C232" i="28"/>
  <c r="J230" i="28" l="1"/>
  <c r="Q231" i="28"/>
  <c r="N231" i="28" s="1"/>
  <c r="E232" i="28"/>
  <c r="P231" i="28"/>
  <c r="R230" i="28"/>
  <c r="Y230" i="28"/>
  <c r="D13" i="29"/>
  <c r="F13" i="29"/>
  <c r="E13" i="29"/>
  <c r="G13" i="29"/>
  <c r="B25" i="29"/>
  <c r="D25" i="29"/>
  <c r="F25" i="29"/>
  <c r="A37" i="29"/>
  <c r="B34" i="29"/>
  <c r="D37" i="29"/>
  <c r="C34" i="29"/>
  <c r="E37" i="29"/>
  <c r="F37" i="29"/>
  <c r="G37" i="29"/>
  <c r="A49" i="29"/>
  <c r="B49" i="29"/>
  <c r="C49" i="29"/>
  <c r="D49" i="29"/>
  <c r="E49" i="29"/>
  <c r="F49" i="29"/>
  <c r="G49" i="29"/>
  <c r="A61" i="29"/>
  <c r="C61" i="29"/>
  <c r="E61" i="29"/>
  <c r="G61" i="29"/>
  <c r="B73" i="29"/>
  <c r="B233" i="28"/>
  <c r="B5" i="29"/>
  <c r="A5" i="29"/>
  <c r="C5" i="29"/>
  <c r="C7" i="29"/>
  <c r="C8" i="29" s="1"/>
  <c r="B7" i="29"/>
  <c r="B8" i="29" s="1"/>
  <c r="C11" i="29"/>
  <c r="D11" i="29"/>
  <c r="A9" i="29"/>
  <c r="E4" i="29"/>
  <c r="D7" i="29"/>
  <c r="D8" i="29" s="1"/>
  <c r="E11" i="29"/>
  <c r="C9" i="29"/>
  <c r="E6" i="29"/>
  <c r="F5" i="29"/>
  <c r="F6" i="29"/>
  <c r="B11" i="29"/>
  <c r="G4" i="29"/>
  <c r="F11" i="29"/>
  <c r="G5" i="29"/>
  <c r="G6" i="29"/>
  <c r="A17" i="29"/>
  <c r="A19" i="29"/>
  <c r="A20" i="29" s="1"/>
  <c r="A16" i="29"/>
  <c r="A21" i="29"/>
  <c r="B18" i="29"/>
  <c r="B16" i="29"/>
  <c r="B23" i="29"/>
  <c r="C19" i="29"/>
  <c r="C20" i="29" s="1"/>
  <c r="C17" i="29"/>
  <c r="C23" i="29"/>
  <c r="D19" i="29"/>
  <c r="D20" i="29" s="1"/>
  <c r="D16" i="29"/>
  <c r="D21" i="29"/>
  <c r="E21" i="29"/>
  <c r="E16" i="29"/>
  <c r="E19" i="29"/>
  <c r="E20" i="29" s="1"/>
  <c r="F23" i="29"/>
  <c r="F17" i="29"/>
  <c r="F18" i="29"/>
  <c r="G21" i="29"/>
  <c r="G17" i="29"/>
  <c r="G18" i="29"/>
  <c r="A31" i="29"/>
  <c r="A32" i="29" s="1"/>
  <c r="A33" i="29"/>
  <c r="A29" i="29"/>
  <c r="B28" i="29"/>
  <c r="B30" i="29"/>
  <c r="C30" i="29"/>
  <c r="B29" i="29"/>
  <c r="C31" i="29"/>
  <c r="C32" i="29" s="1"/>
  <c r="B31" i="29"/>
  <c r="B32" i="29" s="1"/>
  <c r="D35" i="29"/>
  <c r="D29" i="29"/>
  <c r="D31" i="29"/>
  <c r="D32" i="29" s="1"/>
  <c r="E30" i="29"/>
  <c r="C13" i="29"/>
  <c r="B13" i="29"/>
  <c r="A13" i="29"/>
  <c r="A12" i="29"/>
  <c r="A25" i="29"/>
  <c r="C25" i="29"/>
  <c r="E25" i="29"/>
  <c r="G25" i="29"/>
  <c r="A34" i="29"/>
  <c r="B37" i="29"/>
  <c r="C37" i="29"/>
  <c r="D34" i="29"/>
  <c r="E34" i="29"/>
  <c r="F34" i="29"/>
  <c r="G34" i="29"/>
  <c r="A46" i="29"/>
  <c r="B46" i="29"/>
  <c r="C46" i="29"/>
  <c r="D46" i="29"/>
  <c r="E46" i="29"/>
  <c r="F46" i="29"/>
  <c r="G46" i="29"/>
  <c r="B61" i="29"/>
  <c r="D61" i="29"/>
  <c r="F61" i="29"/>
  <c r="A73" i="29"/>
  <c r="B4" i="29"/>
  <c r="A4" i="29"/>
  <c r="C6" i="29"/>
  <c r="B6" i="29"/>
  <c r="C4" i="29"/>
  <c r="D5" i="29"/>
  <c r="D4" i="29"/>
  <c r="E5" i="29"/>
  <c r="D6" i="29"/>
  <c r="A6" i="29"/>
  <c r="B9" i="29"/>
  <c r="F4" i="29"/>
  <c r="E7" i="29"/>
  <c r="E8" i="29" s="1"/>
  <c r="D9" i="29"/>
  <c r="F9" i="29"/>
  <c r="A11" i="29"/>
  <c r="G11" i="29"/>
  <c r="B17" i="29"/>
  <c r="B21" i="29"/>
  <c r="C18" i="29"/>
  <c r="D17" i="29"/>
  <c r="D23" i="29"/>
  <c r="E23" i="29"/>
  <c r="F16" i="29"/>
  <c r="F19" i="29"/>
  <c r="F20" i="29" s="1"/>
  <c r="G23" i="29"/>
  <c r="A35" i="29"/>
  <c r="A30" i="29"/>
  <c r="B33" i="29"/>
  <c r="C29" i="29"/>
  <c r="C33" i="29"/>
  <c r="D33" i="29"/>
  <c r="E29" i="29"/>
  <c r="E28" i="29"/>
  <c r="E35" i="29"/>
  <c r="F33" i="29"/>
  <c r="F35" i="29"/>
  <c r="F31" i="29"/>
  <c r="F32" i="29" s="1"/>
  <c r="G33" i="29"/>
  <c r="G28" i="29"/>
  <c r="G35" i="29"/>
  <c r="A42" i="29"/>
  <c r="A40" i="29"/>
  <c r="A45" i="29"/>
  <c r="B47" i="29"/>
  <c r="B40" i="29"/>
  <c r="B45" i="29"/>
  <c r="C47" i="29"/>
  <c r="C45" i="29"/>
  <c r="C42" i="29"/>
  <c r="D41" i="29"/>
  <c r="D42" i="29"/>
  <c r="D40" i="29"/>
  <c r="E47" i="29"/>
  <c r="E45" i="29"/>
  <c r="E42" i="29"/>
  <c r="F41" i="29"/>
  <c r="F43" i="29"/>
  <c r="F44" i="29" s="1"/>
  <c r="F42" i="29"/>
  <c r="G45" i="29"/>
  <c r="G40" i="29"/>
  <c r="G42" i="29"/>
  <c r="A57" i="29"/>
  <c r="A52" i="29"/>
  <c r="A55" i="29"/>
  <c r="A56" i="29" s="1"/>
  <c r="B54" i="29"/>
  <c r="B53" i="29"/>
  <c r="B57" i="29"/>
  <c r="C54" i="29"/>
  <c r="C57" i="29"/>
  <c r="C52" i="29"/>
  <c r="D54" i="29"/>
  <c r="D59" i="29"/>
  <c r="D53" i="29"/>
  <c r="E52" i="29"/>
  <c r="E57" i="29"/>
  <c r="E54" i="29"/>
  <c r="F54" i="29"/>
  <c r="F53" i="29"/>
  <c r="A7" i="29"/>
  <c r="A8" i="29" s="1"/>
  <c r="F7" i="29"/>
  <c r="F8" i="29" s="1"/>
  <c r="E9" i="29"/>
  <c r="G7" i="29"/>
  <c r="G8" i="29" s="1"/>
  <c r="G9" i="29"/>
  <c r="A18" i="29"/>
  <c r="A23" i="29"/>
  <c r="B19" i="29"/>
  <c r="B20" i="29" s="1"/>
  <c r="C16" i="29"/>
  <c r="C21" i="29"/>
  <c r="D18" i="29"/>
  <c r="E17" i="29"/>
  <c r="E18" i="29"/>
  <c r="F21" i="29"/>
  <c r="G16" i="29"/>
  <c r="G19" i="29"/>
  <c r="G20" i="29" s="1"/>
  <c r="A28" i="29"/>
  <c r="C28" i="29"/>
  <c r="C35" i="29"/>
  <c r="B35" i="29"/>
  <c r="D28" i="29"/>
  <c r="D30" i="29"/>
  <c r="E31" i="29"/>
  <c r="E32" i="29" s="1"/>
  <c r="E33" i="29"/>
  <c r="F28" i="29"/>
  <c r="F29" i="29"/>
  <c r="F30" i="29"/>
  <c r="G29" i="29"/>
  <c r="G31" i="29"/>
  <c r="G32" i="29" s="1"/>
  <c r="G30" i="29"/>
  <c r="A41" i="29"/>
  <c r="A43" i="29"/>
  <c r="A44" i="29" s="1"/>
  <c r="A47" i="29"/>
  <c r="B41" i="29"/>
  <c r="B42" i="29"/>
  <c r="B43" i="29"/>
  <c r="B44" i="29" s="1"/>
  <c r="C41" i="29"/>
  <c r="C40" i="29"/>
  <c r="C43" i="29"/>
  <c r="C44" i="29" s="1"/>
  <c r="D47" i="29"/>
  <c r="D43" i="29"/>
  <c r="D44" i="29" s="1"/>
  <c r="D45" i="29"/>
  <c r="E41" i="29"/>
  <c r="E40" i="29"/>
  <c r="E43" i="29"/>
  <c r="E44" i="29" s="1"/>
  <c r="F45" i="29"/>
  <c r="F47" i="29"/>
  <c r="F40" i="29"/>
  <c r="G41" i="29"/>
  <c r="G47" i="29"/>
  <c r="G43" i="29"/>
  <c r="G44" i="29" s="1"/>
  <c r="A53" i="29"/>
  <c r="A54" i="29"/>
  <c r="A59" i="29"/>
  <c r="B52" i="29"/>
  <c r="B55" i="29"/>
  <c r="B56" i="29" s="1"/>
  <c r="B59" i="29"/>
  <c r="C53" i="29"/>
  <c r="C55" i="29"/>
  <c r="C56" i="29" s="1"/>
  <c r="C59" i="29"/>
  <c r="D52" i="29"/>
  <c r="D57" i="29"/>
  <c r="D55" i="29"/>
  <c r="D56" i="29" s="1"/>
  <c r="E53" i="29"/>
  <c r="E55" i="29"/>
  <c r="E56" i="29" s="1"/>
  <c r="E59" i="29"/>
  <c r="F52" i="29"/>
  <c r="F55" i="29"/>
  <c r="F56" i="29" s="1"/>
  <c r="F59" i="29"/>
  <c r="A64" i="29"/>
  <c r="A70" i="29"/>
  <c r="A65" i="29"/>
  <c r="G54" i="29"/>
  <c r="B10" i="29"/>
  <c r="C22" i="29"/>
  <c r="B58" i="29"/>
  <c r="G10" i="29"/>
  <c r="A58" i="29"/>
  <c r="E58" i="29"/>
  <c r="A66" i="29"/>
  <c r="G53" i="29"/>
  <c r="G55" i="29"/>
  <c r="G56" i="29" s="1"/>
  <c r="A22" i="29"/>
  <c r="A10" i="29"/>
  <c r="D22" i="29"/>
  <c r="F57" i="29"/>
  <c r="A67" i="29"/>
  <c r="A68" i="29" s="1"/>
  <c r="G59" i="29"/>
  <c r="G22" i="29"/>
  <c r="F22" i="29"/>
  <c r="G58" i="29"/>
  <c r="G57" i="29"/>
  <c r="E22" i="29"/>
  <c r="B22" i="29"/>
  <c r="C58" i="29"/>
  <c r="B67" i="29"/>
  <c r="B68" i="29" s="1"/>
  <c r="B12" i="29"/>
  <c r="C24" i="29"/>
  <c r="D36" i="29"/>
  <c r="E48" i="29"/>
  <c r="F60" i="29"/>
  <c r="D24" i="29"/>
  <c r="D48" i="29"/>
  <c r="B24" i="29"/>
  <c r="F48" i="29"/>
  <c r="B71" i="29"/>
  <c r="B64" i="29"/>
  <c r="A24" i="29"/>
  <c r="B36" i="29"/>
  <c r="C48" i="29"/>
  <c r="D60" i="29"/>
  <c r="G12" i="29"/>
  <c r="G36" i="29"/>
  <c r="E12" i="29"/>
  <c r="C60" i="29"/>
  <c r="A71" i="29"/>
  <c r="G52" i="29"/>
  <c r="F10" i="29"/>
  <c r="C10" i="29"/>
  <c r="D58" i="29"/>
  <c r="A69" i="29"/>
  <c r="D10" i="29"/>
  <c r="E10" i="29"/>
  <c r="F58" i="29"/>
  <c r="B65" i="29"/>
  <c r="B66" i="29"/>
  <c r="F12" i="29"/>
  <c r="G24" i="29"/>
  <c r="A48" i="29"/>
  <c r="B60" i="29"/>
  <c r="C12" i="29"/>
  <c r="C36" i="29"/>
  <c r="G60" i="29"/>
  <c r="E36" i="29"/>
  <c r="B72" i="29"/>
  <c r="B69" i="29"/>
  <c r="B70" i="29"/>
  <c r="E24" i="29"/>
  <c r="F36" i="29"/>
  <c r="G48" i="29"/>
  <c r="A72" i="29"/>
  <c r="F24" i="29"/>
  <c r="A60" i="29"/>
  <c r="A36" i="29"/>
  <c r="E60" i="29"/>
  <c r="B48" i="29"/>
  <c r="D12" i="29"/>
  <c r="A234" i="28"/>
  <c r="K230" i="28"/>
  <c r="L230" i="28"/>
  <c r="M230" i="28" s="1"/>
  <c r="O230" i="28"/>
  <c r="H231" i="28"/>
  <c r="T232" i="28"/>
  <c r="U232" i="28"/>
  <c r="V232" i="28"/>
  <c r="F232" i="28"/>
  <c r="W232" i="28"/>
  <c r="G232" i="28"/>
  <c r="D233" i="28"/>
  <c r="I232" i="28"/>
  <c r="X232" i="28"/>
  <c r="S232" i="28"/>
  <c r="C233" i="28"/>
  <c r="J231" i="28" l="1"/>
  <c r="Q232" i="28"/>
  <c r="N232" i="28" s="1"/>
  <c r="E233" i="28"/>
  <c r="P232" i="28"/>
  <c r="R231" i="28"/>
  <c r="Y231" i="28"/>
  <c r="B234" i="28"/>
  <c r="A235" i="28"/>
  <c r="L231" i="28"/>
  <c r="M231" i="28" s="1"/>
  <c r="O231" i="28"/>
  <c r="K231" i="28"/>
  <c r="H232" i="28"/>
  <c r="U233" i="28"/>
  <c r="X233" i="28"/>
  <c r="G233" i="28"/>
  <c r="F233" i="28"/>
  <c r="C234" i="28"/>
  <c r="I233" i="28"/>
  <c r="S233" i="28"/>
  <c r="W233" i="28"/>
  <c r="T233" i="28"/>
  <c r="D234" i="28"/>
  <c r="V233" i="28"/>
  <c r="Q233" i="28" l="1"/>
  <c r="N233" i="28" s="1"/>
  <c r="J232" i="28"/>
  <c r="E234" i="28"/>
  <c r="P233" i="28"/>
  <c r="R232" i="28"/>
  <c r="Y232" i="28"/>
  <c r="B235" i="28"/>
  <c r="A236" i="28"/>
  <c r="K232" i="28"/>
  <c r="O232" i="28"/>
  <c r="L232" i="28"/>
  <c r="M232" i="28" s="1"/>
  <c r="H233" i="28"/>
  <c r="T234" i="28"/>
  <c r="S234" i="28"/>
  <c r="X234" i="28"/>
  <c r="U234" i="28"/>
  <c r="D235" i="28"/>
  <c r="W234" i="28"/>
  <c r="G234" i="28"/>
  <c r="I234" i="28" s="1"/>
  <c r="V234" i="28"/>
  <c r="F234" i="28"/>
  <c r="C235" i="28"/>
  <c r="Q234" i="28" l="1"/>
  <c r="N234" i="28" s="1"/>
  <c r="J233" i="28"/>
  <c r="E235" i="28"/>
  <c r="P234" i="28"/>
  <c r="R233" i="28"/>
  <c r="Y233" i="28"/>
  <c r="B236" i="28"/>
  <c r="A237" i="28"/>
  <c r="L233" i="28"/>
  <c r="M233" i="28" s="1"/>
  <c r="O233" i="28"/>
  <c r="K233" i="28"/>
  <c r="H234" i="28"/>
  <c r="G235" i="28"/>
  <c r="U235" i="28"/>
  <c r="S235" i="28"/>
  <c r="T235" i="28"/>
  <c r="D236" i="28"/>
  <c r="I235" i="28"/>
  <c r="V235" i="28"/>
  <c r="W235" i="28"/>
  <c r="X235" i="28"/>
  <c r="F235" i="28"/>
  <c r="C236" i="28"/>
  <c r="Q235" i="28" l="1"/>
  <c r="N235" i="28" s="1"/>
  <c r="P235" i="28"/>
  <c r="K235" i="28" s="1"/>
  <c r="J234" i="28"/>
  <c r="E236" i="28"/>
  <c r="R234" i="28"/>
  <c r="Y234" i="28"/>
  <c r="B237" i="28"/>
  <c r="A238" i="28"/>
  <c r="K234" i="28"/>
  <c r="L234" i="28"/>
  <c r="M234" i="28" s="1"/>
  <c r="O234" i="28"/>
  <c r="H235" i="28"/>
  <c r="O235" i="28"/>
  <c r="L235" i="28"/>
  <c r="M235" i="28" s="1"/>
  <c r="X236" i="28"/>
  <c r="S236" i="28"/>
  <c r="V236" i="28"/>
  <c r="U236" i="28"/>
  <c r="C237" i="28"/>
  <c r="G236" i="28"/>
  <c r="I236" i="28" s="1"/>
  <c r="T236" i="28"/>
  <c r="F236" i="28"/>
  <c r="D237" i="28"/>
  <c r="W236" i="28"/>
  <c r="Q236" i="28" l="1"/>
  <c r="N236" i="28" s="1"/>
  <c r="J235" i="28"/>
  <c r="E237" i="28"/>
  <c r="P236" i="28"/>
  <c r="R235" i="28"/>
  <c r="Y235" i="28"/>
  <c r="B238" i="28"/>
  <c r="A239" i="28"/>
  <c r="H236" i="28"/>
  <c r="G237" i="28"/>
  <c r="W237" i="28"/>
  <c r="T237" i="28"/>
  <c r="U237" i="28"/>
  <c r="V237" i="28"/>
  <c r="D238" i="28"/>
  <c r="I237" i="28"/>
  <c r="X237" i="28"/>
  <c r="F237" i="28"/>
  <c r="S237" i="28"/>
  <c r="C238" i="28"/>
  <c r="J236" i="28" l="1"/>
  <c r="Q237" i="28"/>
  <c r="N237" i="28" s="1"/>
  <c r="E238" i="28"/>
  <c r="P237" i="28"/>
  <c r="R236" i="28"/>
  <c r="Y236" i="28"/>
  <c r="B239" i="28"/>
  <c r="A240" i="28"/>
  <c r="K236" i="28"/>
  <c r="O236" i="28"/>
  <c r="L236" i="28"/>
  <c r="M236" i="28" s="1"/>
  <c r="H237" i="28"/>
  <c r="T238" i="28"/>
  <c r="U238" i="28"/>
  <c r="X238" i="28"/>
  <c r="W238" i="28"/>
  <c r="D239" i="28"/>
  <c r="F238" i="28"/>
  <c r="G238" i="28"/>
  <c r="I238" i="28" s="1"/>
  <c r="V238" i="28"/>
  <c r="S238" i="28"/>
  <c r="C239" i="28"/>
  <c r="J237" i="28" l="1"/>
  <c r="Q238" i="28"/>
  <c r="N238" i="28" s="1"/>
  <c r="E239" i="28"/>
  <c r="R237" i="28"/>
  <c r="Y237" i="28"/>
  <c r="P238" i="28"/>
  <c r="B240" i="28"/>
  <c r="A241" i="28"/>
  <c r="L237" i="28"/>
  <c r="M237" i="28" s="1"/>
  <c r="O237" i="28"/>
  <c r="K237" i="28"/>
  <c r="H238" i="28"/>
  <c r="T239" i="28"/>
  <c r="X239" i="28"/>
  <c r="W239" i="28"/>
  <c r="V239" i="28"/>
  <c r="D240" i="28"/>
  <c r="S239" i="28"/>
  <c r="F239" i="28"/>
  <c r="U239" i="28"/>
  <c r="G239" i="28"/>
  <c r="I239" i="28" s="1"/>
  <c r="C240" i="28"/>
  <c r="J238" i="28" l="1"/>
  <c r="Q239" i="28"/>
  <c r="N239" i="28" s="1"/>
  <c r="E240" i="28"/>
  <c r="P239" i="28"/>
  <c r="R238" i="28"/>
  <c r="Y238" i="28"/>
  <c r="B241" i="28"/>
  <c r="A242" i="28"/>
  <c r="K238" i="28"/>
  <c r="L238" i="28"/>
  <c r="M238" i="28" s="1"/>
  <c r="O238" i="28"/>
  <c r="H239" i="28"/>
  <c r="X240" i="28"/>
  <c r="S240" i="28"/>
  <c r="V240" i="28"/>
  <c r="U240" i="28"/>
  <c r="C241" i="28"/>
  <c r="W240" i="28"/>
  <c r="G240" i="28"/>
  <c r="I240" i="28" s="1"/>
  <c r="T240" i="28"/>
  <c r="F240" i="28"/>
  <c r="D241" i="28"/>
  <c r="Q240" i="28" l="1"/>
  <c r="N240" i="28" s="1"/>
  <c r="J239" i="28"/>
  <c r="E241" i="28"/>
  <c r="P240" i="28"/>
  <c r="R239" i="28"/>
  <c r="Y239" i="28"/>
  <c r="B242" i="28"/>
  <c r="A243" i="28"/>
  <c r="K239" i="28"/>
  <c r="L239" i="28"/>
  <c r="M239" i="28" s="1"/>
  <c r="O239" i="28"/>
  <c r="H240" i="28"/>
  <c r="W241" i="28"/>
  <c r="V241" i="28"/>
  <c r="U241" i="28"/>
  <c r="X241" i="28"/>
  <c r="D242" i="28"/>
  <c r="G241" i="28"/>
  <c r="I241" i="28" s="1"/>
  <c r="F241" i="28"/>
  <c r="S241" i="28"/>
  <c r="T241" i="28"/>
  <c r="C242" i="28"/>
  <c r="Q241" i="28" l="1"/>
  <c r="N241" i="28" s="1"/>
  <c r="J240" i="28"/>
  <c r="E242" i="28"/>
  <c r="R240" i="28"/>
  <c r="Y240" i="28"/>
  <c r="P241" i="28"/>
  <c r="B243" i="28"/>
  <c r="A244" i="28"/>
  <c r="K240" i="28"/>
  <c r="O240" i="28"/>
  <c r="L240" i="28"/>
  <c r="M240" i="28" s="1"/>
  <c r="H241" i="28"/>
  <c r="T242" i="28"/>
  <c r="S242" i="28"/>
  <c r="X242" i="28"/>
  <c r="U242" i="28"/>
  <c r="D243" i="28"/>
  <c r="W242" i="28"/>
  <c r="G242" i="28"/>
  <c r="I242" i="28" s="1"/>
  <c r="V242" i="28"/>
  <c r="F242" i="28"/>
  <c r="C243" i="28"/>
  <c r="Q242" i="28" l="1"/>
  <c r="N242" i="28" s="1"/>
  <c r="J241" i="28"/>
  <c r="E243" i="28"/>
  <c r="P242" i="28"/>
  <c r="R241" i="28"/>
  <c r="Y241" i="28"/>
  <c r="B244" i="28"/>
  <c r="A245" i="28"/>
  <c r="L241" i="28"/>
  <c r="M241" i="28" s="1"/>
  <c r="O241" i="28"/>
  <c r="K241" i="28"/>
  <c r="H242" i="28"/>
  <c r="S243" i="28"/>
  <c r="T243" i="28"/>
  <c r="W243" i="28"/>
  <c r="V243" i="28"/>
  <c r="D244" i="28"/>
  <c r="X243" i="28"/>
  <c r="F243" i="28"/>
  <c r="U243" i="28"/>
  <c r="G243" i="28"/>
  <c r="I243" i="28" s="1"/>
  <c r="C244" i="28"/>
  <c r="J242" i="28" l="1"/>
  <c r="Q243" i="28"/>
  <c r="N243" i="28" s="1"/>
  <c r="E244" i="28"/>
  <c r="P243" i="28"/>
  <c r="R242" i="28"/>
  <c r="Y242" i="28"/>
  <c r="B245" i="28"/>
  <c r="A246" i="28"/>
  <c r="O242" i="28"/>
  <c r="K242" i="28"/>
  <c r="L242" i="28"/>
  <c r="M242" i="28" s="1"/>
  <c r="H243" i="28"/>
  <c r="G244" i="28"/>
  <c r="W244" i="28"/>
  <c r="U244" i="28"/>
  <c r="V244" i="28"/>
  <c r="C245" i="28"/>
  <c r="I244" i="28"/>
  <c r="S244" i="28"/>
  <c r="X244" i="28"/>
  <c r="T244" i="28"/>
  <c r="F244" i="28"/>
  <c r="D245" i="28"/>
  <c r="Q244" i="28" l="1"/>
  <c r="N244" i="28" s="1"/>
  <c r="Y243" i="28"/>
  <c r="R243" i="28"/>
  <c r="P244" i="28"/>
  <c r="O244" i="28" s="1"/>
  <c r="J243" i="28"/>
  <c r="H244" i="28"/>
  <c r="E245" i="28"/>
  <c r="B246" i="28"/>
  <c r="A247" i="28"/>
  <c r="O243" i="28"/>
  <c r="K243" i="28"/>
  <c r="L243" i="28"/>
  <c r="M243" i="28" s="1"/>
  <c r="K244" i="28"/>
  <c r="L244" i="28"/>
  <c r="M244" i="28" s="1"/>
  <c r="F245" i="28"/>
  <c r="U245" i="28"/>
  <c r="W245" i="28"/>
  <c r="T245" i="28"/>
  <c r="S245" i="28"/>
  <c r="G245" i="28"/>
  <c r="I245" i="28" s="1"/>
  <c r="D246" i="28"/>
  <c r="X245" i="28"/>
  <c r="V245" i="28"/>
  <c r="C246" i="28"/>
  <c r="J244" i="28" l="1"/>
  <c r="Q245" i="28"/>
  <c r="N245" i="28" s="1"/>
  <c r="E246" i="28"/>
  <c r="P245" i="28"/>
  <c r="R244" i="28"/>
  <c r="Y244" i="28"/>
  <c r="B247" i="28"/>
  <c r="A248" i="28"/>
  <c r="H245" i="28"/>
  <c r="T246" i="28"/>
  <c r="U246" i="28"/>
  <c r="V246" i="28"/>
  <c r="S246" i="28"/>
  <c r="C247" i="28"/>
  <c r="G246" i="28"/>
  <c r="F246" i="28"/>
  <c r="X246" i="28"/>
  <c r="W246" i="28"/>
  <c r="D247" i="28"/>
  <c r="I246" i="28"/>
  <c r="Q246" i="28" l="1"/>
  <c r="N246" i="28" s="1"/>
  <c r="J245" i="28"/>
  <c r="E247" i="28"/>
  <c r="R245" i="28"/>
  <c r="Y245" i="28"/>
  <c r="P246" i="28"/>
  <c r="B248" i="28"/>
  <c r="A249" i="28"/>
  <c r="L245" i="28"/>
  <c r="M245" i="28" s="1"/>
  <c r="O245" i="28"/>
  <c r="K245" i="28"/>
  <c r="H246" i="28"/>
  <c r="F247" i="28"/>
  <c r="X247" i="28"/>
  <c r="G247" i="28"/>
  <c r="U247" i="28"/>
  <c r="C248" i="28"/>
  <c r="I247" i="28"/>
  <c r="T247" i="28"/>
  <c r="S247" i="28"/>
  <c r="V247" i="28"/>
  <c r="W247" i="28"/>
  <c r="D248" i="28"/>
  <c r="P247" i="28" l="1"/>
  <c r="J246" i="28"/>
  <c r="R246" i="28"/>
  <c r="Y246" i="28"/>
  <c r="Q247" i="28"/>
  <c r="N247" i="28" s="1"/>
  <c r="H247" i="28"/>
  <c r="E248" i="28"/>
  <c r="B249" i="28"/>
  <c r="A250" i="28"/>
  <c r="O246" i="28"/>
  <c r="K246" i="28"/>
  <c r="L246" i="28"/>
  <c r="M246" i="28" s="1"/>
  <c r="O247" i="28"/>
  <c r="K247" i="28"/>
  <c r="L247" i="28"/>
  <c r="M247" i="28" s="1"/>
  <c r="T248" i="28"/>
  <c r="C249" i="28"/>
  <c r="V248" i="28"/>
  <c r="U248" i="28"/>
  <c r="X248" i="28"/>
  <c r="S248" i="28"/>
  <c r="D249" i="28"/>
  <c r="F248" i="28"/>
  <c r="W248" i="28"/>
  <c r="G248" i="28"/>
  <c r="I248" i="28" s="1"/>
  <c r="J247" i="28" l="1"/>
  <c r="Q248" i="28"/>
  <c r="N248" i="28" s="1"/>
  <c r="E249" i="28"/>
  <c r="P248" i="28"/>
  <c r="R247" i="28"/>
  <c r="Y247" i="28"/>
  <c r="B250" i="28"/>
  <c r="A251" i="28"/>
  <c r="H248" i="28"/>
  <c r="V249" i="28"/>
  <c r="W249" i="28"/>
  <c r="X249" i="28"/>
  <c r="U249" i="28"/>
  <c r="D250" i="28"/>
  <c r="F249" i="28"/>
  <c r="G249" i="28"/>
  <c r="T249" i="28"/>
  <c r="S249" i="28"/>
  <c r="C250" i="28"/>
  <c r="I249" i="28"/>
  <c r="Y248" i="28" l="1"/>
  <c r="R248" i="28"/>
  <c r="P249" i="28"/>
  <c r="J248" i="28"/>
  <c r="Q249" i="28"/>
  <c r="N249" i="28" s="1"/>
  <c r="H249" i="28"/>
  <c r="E250" i="28"/>
  <c r="B251" i="28"/>
  <c r="A252" i="28"/>
  <c r="K248" i="28"/>
  <c r="O248" i="28"/>
  <c r="L248" i="28"/>
  <c r="M248" i="28" s="1"/>
  <c r="L249" i="28"/>
  <c r="M249" i="28" s="1"/>
  <c r="O249" i="28"/>
  <c r="K249" i="28"/>
  <c r="W250" i="28"/>
  <c r="G250" i="28"/>
  <c r="V250" i="28"/>
  <c r="F250" i="28"/>
  <c r="C251" i="28"/>
  <c r="T250" i="28"/>
  <c r="S250" i="28"/>
  <c r="X250" i="28"/>
  <c r="U250" i="28"/>
  <c r="D251" i="28"/>
  <c r="I250" i="28"/>
  <c r="Q250" i="28" l="1"/>
  <c r="N250" i="28" s="1"/>
  <c r="J249" i="28"/>
  <c r="E251" i="28"/>
  <c r="P250" i="28"/>
  <c r="R249" i="28"/>
  <c r="Y249" i="28"/>
  <c r="B252" i="28"/>
  <c r="A253" i="28"/>
  <c r="H250" i="28"/>
  <c r="F251" i="28"/>
  <c r="S251" i="28"/>
  <c r="T251" i="28"/>
  <c r="W251" i="28"/>
  <c r="V251" i="28"/>
  <c r="D252" i="28"/>
  <c r="X251" i="28"/>
  <c r="U251" i="28"/>
  <c r="G251" i="28"/>
  <c r="I251" i="28" s="1"/>
  <c r="C252" i="28"/>
  <c r="J250" i="28" l="1"/>
  <c r="Q251" i="28"/>
  <c r="N251" i="28" s="1"/>
  <c r="E252" i="28"/>
  <c r="P251" i="28"/>
  <c r="R250" i="28"/>
  <c r="Y250" i="28"/>
  <c r="B253" i="28"/>
  <c r="A254" i="28"/>
  <c r="K250" i="28"/>
  <c r="L250" i="28"/>
  <c r="M250" i="28" s="1"/>
  <c r="O250" i="28"/>
  <c r="H251" i="28"/>
  <c r="V252" i="28"/>
  <c r="W252" i="28"/>
  <c r="G252" i="28"/>
  <c r="T252" i="28"/>
  <c r="F252" i="28"/>
  <c r="D253" i="28"/>
  <c r="X252" i="28"/>
  <c r="S252" i="28"/>
  <c r="U252" i="28"/>
  <c r="C253" i="28"/>
  <c r="I252" i="28"/>
  <c r="Q252" i="28" l="1"/>
  <c r="N252" i="28" s="1"/>
  <c r="J251" i="28"/>
  <c r="E253" i="28"/>
  <c r="P252" i="28"/>
  <c r="R251" i="28"/>
  <c r="Y251" i="28"/>
  <c r="B254" i="28"/>
  <c r="A255" i="28"/>
  <c r="L251" i="28"/>
  <c r="M251" i="28" s="1"/>
  <c r="O251" i="28"/>
  <c r="K251" i="28"/>
  <c r="H252" i="28"/>
  <c r="G253" i="28"/>
  <c r="D254" i="28"/>
  <c r="V253" i="28"/>
  <c r="U253" i="28"/>
  <c r="T253" i="28"/>
  <c r="W253" i="28"/>
  <c r="C254" i="28"/>
  <c r="S253" i="28"/>
  <c r="F253" i="28"/>
  <c r="X253" i="28"/>
  <c r="I253" i="28"/>
  <c r="Q253" i="28" l="1"/>
  <c r="N253" i="28" s="1"/>
  <c r="Y252" i="28"/>
  <c r="R252" i="28"/>
  <c r="P253" i="28"/>
  <c r="J252" i="28"/>
  <c r="H253" i="28"/>
  <c r="E254" i="28"/>
  <c r="B255" i="28"/>
  <c r="A256" i="28"/>
  <c r="L252" i="28"/>
  <c r="M252" i="28" s="1"/>
  <c r="K252" i="28"/>
  <c r="O252" i="28"/>
  <c r="K253" i="28"/>
  <c r="L253" i="28"/>
  <c r="M253" i="28" s="1"/>
  <c r="O253" i="28"/>
  <c r="V254" i="28"/>
  <c r="T254" i="28"/>
  <c r="U254" i="28"/>
  <c r="S254" i="28"/>
  <c r="D255" i="28"/>
  <c r="F254" i="28"/>
  <c r="G254" i="28"/>
  <c r="I254" i="28"/>
  <c r="X254" i="28"/>
  <c r="W254" i="28"/>
  <c r="C255" i="28"/>
  <c r="J253" i="28" l="1"/>
  <c r="Q254" i="28"/>
  <c r="N254" i="28" s="1"/>
  <c r="E255" i="28"/>
  <c r="R253" i="28"/>
  <c r="Y253" i="28"/>
  <c r="P254" i="28"/>
  <c r="B256" i="28"/>
  <c r="A257" i="28"/>
  <c r="H254" i="28"/>
  <c r="X255" i="28"/>
  <c r="F255" i="28"/>
  <c r="U255" i="28"/>
  <c r="G255" i="28"/>
  <c r="C256" i="28"/>
  <c r="S255" i="28"/>
  <c r="T255" i="28"/>
  <c r="W255" i="28"/>
  <c r="V255" i="28"/>
  <c r="D256" i="28"/>
  <c r="I255" i="28"/>
  <c r="J254" i="28" l="1"/>
  <c r="Q255" i="28"/>
  <c r="N255" i="28" s="1"/>
  <c r="E256" i="28"/>
  <c r="P255" i="28"/>
  <c r="R254" i="28"/>
  <c r="Y254" i="28"/>
  <c r="B257" i="28"/>
  <c r="A258" i="28"/>
  <c r="O254" i="28"/>
  <c r="K254" i="28"/>
  <c r="L254" i="28"/>
  <c r="M254" i="28" s="1"/>
  <c r="H255" i="28"/>
  <c r="U256" i="28"/>
  <c r="T256" i="28"/>
  <c r="X256" i="28"/>
  <c r="S256" i="28"/>
  <c r="D257" i="28"/>
  <c r="V256" i="28"/>
  <c r="F256" i="28"/>
  <c r="W256" i="28"/>
  <c r="G256" i="28"/>
  <c r="I256" i="28" s="1"/>
  <c r="C257" i="28"/>
  <c r="J255" i="28" l="1"/>
  <c r="Q256" i="28"/>
  <c r="N256" i="28" s="1"/>
  <c r="E257" i="28"/>
  <c r="P256" i="28"/>
  <c r="R255" i="28"/>
  <c r="Y255" i="28"/>
  <c r="B258" i="28"/>
  <c r="A259" i="28"/>
  <c r="K255" i="28"/>
  <c r="L255" i="28"/>
  <c r="M255" i="28" s="1"/>
  <c r="O255" i="28"/>
  <c r="H256" i="28"/>
  <c r="T257" i="28"/>
  <c r="S257" i="28"/>
  <c r="W257" i="28"/>
  <c r="V257" i="28"/>
  <c r="C258" i="28"/>
  <c r="U257" i="28"/>
  <c r="X257" i="28"/>
  <c r="G257" i="28"/>
  <c r="I257" i="28" s="1"/>
  <c r="F257" i="28"/>
  <c r="D258" i="28"/>
  <c r="Q257" i="28" l="1"/>
  <c r="N257" i="28" s="1"/>
  <c r="J256" i="28"/>
  <c r="E258" i="28"/>
  <c r="P257" i="28"/>
  <c r="R256" i="28"/>
  <c r="Y256" i="28"/>
  <c r="B259" i="28"/>
  <c r="A260" i="28"/>
  <c r="L256" i="28"/>
  <c r="M256" i="28" s="1"/>
  <c r="K256" i="28"/>
  <c r="O256" i="28"/>
  <c r="H257" i="28"/>
  <c r="G258" i="28"/>
  <c r="W258" i="28"/>
  <c r="F258" i="28"/>
  <c r="V258" i="28"/>
  <c r="C259" i="28"/>
  <c r="I258" i="28"/>
  <c r="S258" i="28"/>
  <c r="T258" i="28"/>
  <c r="U258" i="28"/>
  <c r="X258" i="28"/>
  <c r="D259" i="28"/>
  <c r="Q258" i="28" l="1"/>
  <c r="N258" i="28" s="1"/>
  <c r="Y257" i="28"/>
  <c r="R257" i="28"/>
  <c r="P258" i="28"/>
  <c r="O258" i="28" s="1"/>
  <c r="J257" i="28"/>
  <c r="H258" i="28"/>
  <c r="E259" i="28"/>
  <c r="B260" i="28"/>
  <c r="A261" i="28"/>
  <c r="L257" i="28"/>
  <c r="M257" i="28" s="1"/>
  <c r="O257" i="28"/>
  <c r="K257" i="28"/>
  <c r="K258" i="28"/>
  <c r="T259" i="28"/>
  <c r="W259" i="28"/>
  <c r="V259" i="28"/>
  <c r="X259" i="28"/>
  <c r="C260" i="28"/>
  <c r="S259" i="28"/>
  <c r="F259" i="28"/>
  <c r="U259" i="28"/>
  <c r="G259" i="28"/>
  <c r="D260" i="28"/>
  <c r="I259" i="28"/>
  <c r="L258" i="28" l="1"/>
  <c r="M258" i="28" s="1"/>
  <c r="J258" i="28"/>
  <c r="Q259" i="28"/>
  <c r="N259" i="28" s="1"/>
  <c r="E260" i="28"/>
  <c r="P259" i="28"/>
  <c r="R258" i="28"/>
  <c r="Y258" i="28"/>
  <c r="B261" i="28"/>
  <c r="A262" i="28"/>
  <c r="H259" i="28"/>
  <c r="V260" i="28"/>
  <c r="U260" i="28"/>
  <c r="X260" i="28"/>
  <c r="S260" i="28"/>
  <c r="D261" i="28"/>
  <c r="C261" i="28"/>
  <c r="T260" i="28"/>
  <c r="F260" i="28"/>
  <c r="W260" i="28"/>
  <c r="G260" i="28"/>
  <c r="I260" i="28" s="1"/>
  <c r="J259" i="28" l="1"/>
  <c r="Q260" i="28"/>
  <c r="N260" i="28" s="1"/>
  <c r="E261" i="28"/>
  <c r="P260" i="28"/>
  <c r="R259" i="28"/>
  <c r="Y259" i="28"/>
  <c r="B262" i="28"/>
  <c r="A263" i="28"/>
  <c r="L259" i="28"/>
  <c r="M259" i="28" s="1"/>
  <c r="O259" i="28"/>
  <c r="K259" i="28"/>
  <c r="H260" i="28"/>
  <c r="W261" i="28"/>
  <c r="T261" i="28"/>
  <c r="U261" i="28"/>
  <c r="V261" i="28"/>
  <c r="D262" i="28"/>
  <c r="F261" i="28"/>
  <c r="S261" i="28"/>
  <c r="G261" i="28"/>
  <c r="I261" i="28" s="1"/>
  <c r="C262" i="28"/>
  <c r="X261" i="28"/>
  <c r="J260" i="28" l="1"/>
  <c r="Q261" i="28"/>
  <c r="N261" i="28" s="1"/>
  <c r="E262" i="28"/>
  <c r="P261" i="28"/>
  <c r="R260" i="28"/>
  <c r="Y260" i="28"/>
  <c r="B263" i="28"/>
  <c r="A264" i="28"/>
  <c r="L260" i="28"/>
  <c r="M260" i="28" s="1"/>
  <c r="K260" i="28"/>
  <c r="O260" i="28"/>
  <c r="H261" i="28"/>
  <c r="W262" i="28"/>
  <c r="V262" i="28"/>
  <c r="T262" i="28"/>
  <c r="U262" i="28"/>
  <c r="C263" i="28"/>
  <c r="X262" i="28"/>
  <c r="S262" i="28"/>
  <c r="F262" i="28"/>
  <c r="G262" i="28"/>
  <c r="I262" i="28" s="1"/>
  <c r="D263" i="28"/>
  <c r="J261" i="28" l="1"/>
  <c r="Q262" i="28"/>
  <c r="N262" i="28" s="1"/>
  <c r="E263" i="28"/>
  <c r="P262" i="28"/>
  <c r="R261" i="28"/>
  <c r="Y261" i="28"/>
  <c r="B264" i="28"/>
  <c r="A265" i="28"/>
  <c r="K261" i="28"/>
  <c r="L261" i="28"/>
  <c r="M261" i="28" s="1"/>
  <c r="O261" i="28"/>
  <c r="H262" i="28"/>
  <c r="W263" i="28"/>
  <c r="V263" i="28"/>
  <c r="S263" i="28"/>
  <c r="T263" i="28"/>
  <c r="C264" i="28"/>
  <c r="G263" i="28"/>
  <c r="I263" i="28" s="1"/>
  <c r="F263" i="28"/>
  <c r="U263" i="28"/>
  <c r="X263" i="28"/>
  <c r="D264" i="28"/>
  <c r="Q263" i="28" l="1"/>
  <c r="N263" i="28" s="1"/>
  <c r="J262" i="28"/>
  <c r="E264" i="28"/>
  <c r="R262" i="28"/>
  <c r="Y262" i="28"/>
  <c r="P263" i="28"/>
  <c r="B265" i="28"/>
  <c r="A266" i="28"/>
  <c r="K262" i="28"/>
  <c r="L262" i="28"/>
  <c r="M262" i="28" s="1"/>
  <c r="O262" i="28"/>
  <c r="H263" i="28"/>
  <c r="W264" i="28"/>
  <c r="G264" i="28"/>
  <c r="V264" i="28"/>
  <c r="U264" i="28"/>
  <c r="C265" i="28"/>
  <c r="I264" i="28"/>
  <c r="X264" i="28"/>
  <c r="T264" i="28"/>
  <c r="F264" i="28"/>
  <c r="S264" i="28"/>
  <c r="D265" i="28"/>
  <c r="Q264" i="28" l="1"/>
  <c r="N264" i="28" s="1"/>
  <c r="J263" i="28"/>
  <c r="E265" i="28"/>
  <c r="P264" i="28"/>
  <c r="R263" i="28"/>
  <c r="Y263" i="28"/>
  <c r="B266" i="28"/>
  <c r="A267" i="28"/>
  <c r="K263" i="28"/>
  <c r="L263" i="28"/>
  <c r="M263" i="28" s="1"/>
  <c r="O263" i="28"/>
  <c r="H264" i="28"/>
  <c r="U265" i="28"/>
  <c r="X265" i="28"/>
  <c r="W265" i="28"/>
  <c r="V265" i="28"/>
  <c r="C266" i="28"/>
  <c r="S265" i="28"/>
  <c r="G265" i="28"/>
  <c r="I265" i="28" s="1"/>
  <c r="F265" i="28"/>
  <c r="D266" i="28"/>
  <c r="T265" i="28"/>
  <c r="Q265" i="28" l="1"/>
  <c r="N265" i="28" s="1"/>
  <c r="J264" i="28"/>
  <c r="E266" i="28"/>
  <c r="P265" i="28"/>
  <c r="R264" i="28"/>
  <c r="Y264" i="28"/>
  <c r="B267" i="28"/>
  <c r="A268" i="28"/>
  <c r="L264" i="28"/>
  <c r="M264" i="28" s="1"/>
  <c r="K264" i="28"/>
  <c r="O264" i="28"/>
  <c r="H265" i="28"/>
  <c r="T266" i="28"/>
  <c r="G266" i="28"/>
  <c r="V266" i="28"/>
  <c r="F266" i="28"/>
  <c r="D267" i="28"/>
  <c r="I266" i="28"/>
  <c r="W266" i="28"/>
  <c r="X266" i="28"/>
  <c r="U266" i="28"/>
  <c r="S266" i="28"/>
  <c r="C267" i="28"/>
  <c r="Q266" i="28" l="1"/>
  <c r="N266" i="28" s="1"/>
  <c r="J265" i="28"/>
  <c r="E267" i="28"/>
  <c r="R265" i="28"/>
  <c r="Y265" i="28"/>
  <c r="P266" i="28"/>
  <c r="B268" i="28"/>
  <c r="A269" i="28"/>
  <c r="K265" i="28"/>
  <c r="L265" i="28"/>
  <c r="M265" i="28" s="1"/>
  <c r="O265" i="28"/>
  <c r="H266" i="28"/>
  <c r="W267" i="28"/>
  <c r="V267" i="28"/>
  <c r="S267" i="28"/>
  <c r="T267" i="28"/>
  <c r="C268" i="28"/>
  <c r="U267" i="28"/>
  <c r="G267" i="28"/>
  <c r="I267" i="28" s="1"/>
  <c r="X267" i="28"/>
  <c r="F267" i="28"/>
  <c r="D268" i="28"/>
  <c r="Q267" i="28" l="1"/>
  <c r="N267" i="28" s="1"/>
  <c r="J266" i="28"/>
  <c r="E268" i="28"/>
  <c r="R266" i="28"/>
  <c r="Y266" i="28"/>
  <c r="P267" i="28"/>
  <c r="B269" i="28"/>
  <c r="A270" i="28"/>
  <c r="K266" i="28"/>
  <c r="L266" i="28"/>
  <c r="M266" i="28" s="1"/>
  <c r="O266" i="28"/>
  <c r="H267" i="28"/>
  <c r="X268" i="28"/>
  <c r="S268" i="28"/>
  <c r="V268" i="28"/>
  <c r="U268" i="28"/>
  <c r="C269" i="28"/>
  <c r="W268" i="28"/>
  <c r="G268" i="28"/>
  <c r="I268" i="28" s="1"/>
  <c r="T268" i="28"/>
  <c r="F268" i="28"/>
  <c r="D269" i="28"/>
  <c r="E269" i="28" l="1"/>
  <c r="Q268" i="28"/>
  <c r="N268" i="28" s="1"/>
  <c r="J267" i="28"/>
  <c r="P268" i="28"/>
  <c r="R267" i="28"/>
  <c r="Y267" i="28"/>
  <c r="B270" i="28"/>
  <c r="A271" i="28"/>
  <c r="O267" i="28"/>
  <c r="K267" i="28"/>
  <c r="L267" i="28"/>
  <c r="M267" i="28" s="1"/>
  <c r="H268" i="28"/>
  <c r="G269" i="28"/>
  <c r="S269" i="28"/>
  <c r="F269" i="28"/>
  <c r="W269" i="28"/>
  <c r="D270" i="28"/>
  <c r="I269" i="28"/>
  <c r="V269" i="28"/>
  <c r="U269" i="28"/>
  <c r="X269" i="28"/>
  <c r="T269" i="28"/>
  <c r="C270" i="28"/>
  <c r="E270" i="28" l="1"/>
  <c r="Q269" i="28"/>
  <c r="N269" i="28" s="1"/>
  <c r="R268" i="28"/>
  <c r="Y268" i="28"/>
  <c r="P269" i="28"/>
  <c r="J268" i="28"/>
  <c r="B271" i="28"/>
  <c r="A272" i="28"/>
  <c r="L268" i="28"/>
  <c r="M268" i="28" s="1"/>
  <c r="K268" i="28"/>
  <c r="O268" i="28"/>
  <c r="H269" i="28"/>
  <c r="X270" i="28"/>
  <c r="W270" i="28"/>
  <c r="T270" i="28"/>
  <c r="U270" i="28"/>
  <c r="C271" i="28"/>
  <c r="V270" i="28"/>
  <c r="S270" i="28"/>
  <c r="F270" i="28"/>
  <c r="G270" i="28"/>
  <c r="I270" i="28" s="1"/>
  <c r="D271" i="28"/>
  <c r="E271" i="28" l="1"/>
  <c r="P270" i="28"/>
  <c r="J269" i="28"/>
  <c r="Q270" i="28"/>
  <c r="N270" i="28" s="1"/>
  <c r="R269" i="28"/>
  <c r="Y269" i="28"/>
  <c r="K269" i="28"/>
  <c r="L269" i="28"/>
  <c r="M269" i="28" s="1"/>
  <c r="O269" i="28"/>
  <c r="B272" i="28"/>
  <c r="A273" i="28"/>
  <c r="H270" i="28"/>
  <c r="S271" i="28"/>
  <c r="F271" i="28"/>
  <c r="U271" i="28"/>
  <c r="G271" i="28"/>
  <c r="D272" i="28"/>
  <c r="I271" i="28"/>
  <c r="X271" i="28"/>
  <c r="V271" i="28"/>
  <c r="T271" i="28"/>
  <c r="C272" i="28"/>
  <c r="W271" i="28"/>
  <c r="E272" i="28" l="1"/>
  <c r="P271" i="28"/>
  <c r="J270" i="28"/>
  <c r="Q271" i="28"/>
  <c r="N271" i="28" s="1"/>
  <c r="R270" i="28"/>
  <c r="Y270" i="28"/>
  <c r="B273" i="28"/>
  <c r="A274" i="28"/>
  <c r="O270" i="28"/>
  <c r="K270" i="28"/>
  <c r="L270" i="28"/>
  <c r="M270" i="28" s="1"/>
  <c r="H271" i="28"/>
  <c r="U272" i="28"/>
  <c r="V272" i="28"/>
  <c r="X272" i="28"/>
  <c r="S272" i="28"/>
  <c r="D273" i="28"/>
  <c r="F272" i="28"/>
  <c r="T272" i="28"/>
  <c r="W272" i="28"/>
  <c r="G272" i="28"/>
  <c r="I272" i="28" s="1"/>
  <c r="C273" i="28"/>
  <c r="E273" i="28" l="1"/>
  <c r="P272" i="28"/>
  <c r="J271" i="28"/>
  <c r="R271" i="28"/>
  <c r="Y271" i="28"/>
  <c r="Q272" i="28"/>
  <c r="N272" i="28" s="1"/>
  <c r="B274" i="28"/>
  <c r="A275" i="28"/>
  <c r="K271" i="28"/>
  <c r="L271" i="28"/>
  <c r="M271" i="28" s="1"/>
  <c r="O271" i="28"/>
  <c r="H272" i="28"/>
  <c r="W273" i="28"/>
  <c r="V273" i="28"/>
  <c r="U273" i="28"/>
  <c r="X273" i="28"/>
  <c r="D274" i="28"/>
  <c r="G273" i="28"/>
  <c r="I273" i="28" s="1"/>
  <c r="F273" i="28"/>
  <c r="S273" i="28"/>
  <c r="T273" i="28"/>
  <c r="C274" i="28"/>
  <c r="E274" i="28" l="1"/>
  <c r="R272" i="28"/>
  <c r="Y272" i="28"/>
  <c r="Q273" i="28"/>
  <c r="N273" i="28" s="1"/>
  <c r="P273" i="28"/>
  <c r="J272" i="28"/>
  <c r="B275" i="28"/>
  <c r="A276" i="28"/>
  <c r="K272" i="28"/>
  <c r="O272" i="28"/>
  <c r="L272" i="28"/>
  <c r="M272" i="28" s="1"/>
  <c r="H273" i="28"/>
  <c r="T274" i="28"/>
  <c r="S274" i="28"/>
  <c r="X274" i="28"/>
  <c r="U274" i="28"/>
  <c r="D275" i="28"/>
  <c r="W274" i="28"/>
  <c r="G274" i="28"/>
  <c r="I274" i="28" s="1"/>
  <c r="V274" i="28"/>
  <c r="F274" i="28"/>
  <c r="C275" i="28"/>
  <c r="E275" i="28" l="1"/>
  <c r="Q274" i="28"/>
  <c r="N274" i="28" s="1"/>
  <c r="P274" i="28"/>
  <c r="J273" i="28"/>
  <c r="R273" i="28"/>
  <c r="Y273" i="28"/>
  <c r="L273" i="28"/>
  <c r="M273" i="28" s="1"/>
  <c r="O273" i="28"/>
  <c r="K273" i="28"/>
  <c r="B276" i="28"/>
  <c r="A277" i="28"/>
  <c r="H274" i="28"/>
  <c r="S275" i="28"/>
  <c r="T275" i="28"/>
  <c r="W275" i="28"/>
  <c r="V275" i="28"/>
  <c r="D276" i="28"/>
  <c r="X275" i="28"/>
  <c r="F275" i="28"/>
  <c r="U275" i="28"/>
  <c r="G275" i="28"/>
  <c r="I275" i="28" s="1"/>
  <c r="C276" i="28"/>
  <c r="E276" i="28" l="1"/>
  <c r="P275" i="28"/>
  <c r="J274" i="28"/>
  <c r="Q275" i="28"/>
  <c r="N275" i="28" s="1"/>
  <c r="R274" i="28"/>
  <c r="Y274" i="28"/>
  <c r="B277" i="28"/>
  <c r="A278" i="28"/>
  <c r="K274" i="28"/>
  <c r="L274" i="28"/>
  <c r="M274" i="28" s="1"/>
  <c r="O274" i="28"/>
  <c r="H275" i="28"/>
  <c r="S276" i="28"/>
  <c r="W276" i="28"/>
  <c r="V276" i="28"/>
  <c r="U276" i="28"/>
  <c r="D277" i="28"/>
  <c r="X276" i="28"/>
  <c r="G276" i="28"/>
  <c r="I276" i="28" s="1"/>
  <c r="T276" i="28"/>
  <c r="F276" i="28"/>
  <c r="C277" i="28"/>
  <c r="E277" i="28" l="1"/>
  <c r="Q276" i="28"/>
  <c r="N276" i="28" s="1"/>
  <c r="P276" i="28"/>
  <c r="J275" i="28"/>
  <c r="R275" i="28"/>
  <c r="Y275" i="28"/>
  <c r="B278" i="28"/>
  <c r="A279" i="28"/>
  <c r="O275" i="28"/>
  <c r="K275" i="28"/>
  <c r="L275" i="28"/>
  <c r="M275" i="28" s="1"/>
  <c r="H276" i="28"/>
  <c r="T277" i="28"/>
  <c r="X277" i="28"/>
  <c r="U277" i="28"/>
  <c r="V277" i="28"/>
  <c r="C278" i="28"/>
  <c r="W277" i="28"/>
  <c r="F277" i="28"/>
  <c r="S277" i="28"/>
  <c r="G277" i="28"/>
  <c r="I277" i="28" s="1"/>
  <c r="D278" i="28"/>
  <c r="E278" i="28" l="1"/>
  <c r="P277" i="28"/>
  <c r="J276" i="28"/>
  <c r="R276" i="28"/>
  <c r="Y276" i="28"/>
  <c r="Q277" i="28"/>
  <c r="N277" i="28" s="1"/>
  <c r="K276" i="28"/>
  <c r="O276" i="28"/>
  <c r="L276" i="28"/>
  <c r="M276" i="28" s="1"/>
  <c r="B279" i="28"/>
  <c r="A280" i="28"/>
  <c r="H277" i="28"/>
  <c r="T278" i="28"/>
  <c r="U278" i="28"/>
  <c r="X278" i="28"/>
  <c r="W278" i="28"/>
  <c r="D279" i="28"/>
  <c r="F278" i="28"/>
  <c r="G278" i="28"/>
  <c r="I278" i="28" s="1"/>
  <c r="V278" i="28"/>
  <c r="S278" i="28"/>
  <c r="C279" i="28"/>
  <c r="E279" i="28" l="1"/>
  <c r="R277" i="28"/>
  <c r="Y277" i="28"/>
  <c r="P278" i="28"/>
  <c r="J277" i="28"/>
  <c r="Q278" i="28"/>
  <c r="N278" i="28" s="1"/>
  <c r="B280" i="28"/>
  <c r="A281" i="28"/>
  <c r="L277" i="28"/>
  <c r="M277" i="28" s="1"/>
  <c r="O277" i="28"/>
  <c r="K277" i="28"/>
  <c r="H278" i="28"/>
  <c r="S279" i="28"/>
  <c r="T279" i="28"/>
  <c r="W279" i="28"/>
  <c r="V279" i="28"/>
  <c r="D280" i="28"/>
  <c r="X279" i="28"/>
  <c r="F279" i="28"/>
  <c r="U279" i="28"/>
  <c r="G279" i="28"/>
  <c r="I279" i="28" s="1"/>
  <c r="C280" i="28"/>
  <c r="E280" i="28" l="1"/>
  <c r="P279" i="28"/>
  <c r="J278" i="28"/>
  <c r="Q279" i="28"/>
  <c r="N279" i="28" s="1"/>
  <c r="R278" i="28"/>
  <c r="Y278" i="28"/>
  <c r="B281" i="28"/>
  <c r="A282" i="28"/>
  <c r="K278" i="28"/>
  <c r="L278" i="28"/>
  <c r="M278" i="28" s="1"/>
  <c r="O278" i="28"/>
  <c r="H279" i="28"/>
  <c r="X280" i="28"/>
  <c r="S280" i="28"/>
  <c r="V280" i="28"/>
  <c r="U280" i="28"/>
  <c r="C281" i="28"/>
  <c r="W280" i="28"/>
  <c r="G280" i="28"/>
  <c r="I280" i="28" s="1"/>
  <c r="T280" i="28"/>
  <c r="F280" i="28"/>
  <c r="D281" i="28"/>
  <c r="Q280" i="28" l="1"/>
  <c r="N280" i="28" s="1"/>
  <c r="J279" i="28"/>
  <c r="E281" i="28"/>
  <c r="P280" i="28"/>
  <c r="R279" i="28"/>
  <c r="Y279" i="28"/>
  <c r="B282" i="28"/>
  <c r="A283" i="28"/>
  <c r="K279" i="28"/>
  <c r="L279" i="28"/>
  <c r="M279" i="28" s="1"/>
  <c r="O279" i="28"/>
  <c r="H280" i="28"/>
  <c r="W281" i="28"/>
  <c r="D282" i="28"/>
  <c r="G281" i="28"/>
  <c r="F281" i="28"/>
  <c r="S281" i="28"/>
  <c r="T281" i="28"/>
  <c r="C282" i="28"/>
  <c r="V281" i="28"/>
  <c r="U281" i="28"/>
  <c r="X281" i="28"/>
  <c r="I281" i="28"/>
  <c r="Q281" i="28" l="1"/>
  <c r="N281" i="28" s="1"/>
  <c r="J280" i="28"/>
  <c r="E282" i="28"/>
  <c r="R280" i="28"/>
  <c r="Y280" i="28"/>
  <c r="P281" i="28"/>
  <c r="B283" i="28"/>
  <c r="A284" i="28"/>
  <c r="K280" i="28"/>
  <c r="O280" i="28"/>
  <c r="L280" i="28"/>
  <c r="M280" i="28" s="1"/>
  <c r="H281" i="28"/>
  <c r="T282" i="28"/>
  <c r="S282" i="28"/>
  <c r="X282" i="28"/>
  <c r="U282" i="28"/>
  <c r="D283" i="28"/>
  <c r="W282" i="28"/>
  <c r="G282" i="28"/>
  <c r="I282" i="28" s="1"/>
  <c r="F282" i="28"/>
  <c r="C283" i="28"/>
  <c r="V282" i="28"/>
  <c r="Q282" i="28" l="1"/>
  <c r="N282" i="28" s="1"/>
  <c r="J281" i="28"/>
  <c r="E283" i="28"/>
  <c r="P282" i="28"/>
  <c r="R281" i="28"/>
  <c r="Y281" i="28"/>
  <c r="B284" i="28"/>
  <c r="A285" i="28"/>
  <c r="L281" i="28"/>
  <c r="M281" i="28" s="1"/>
  <c r="O281" i="28"/>
  <c r="K281" i="28"/>
  <c r="H282" i="28"/>
  <c r="S283" i="28"/>
  <c r="T283" i="28"/>
  <c r="W283" i="28"/>
  <c r="V283" i="28"/>
  <c r="D284" i="28"/>
  <c r="X283" i="28"/>
  <c r="F283" i="28"/>
  <c r="U283" i="28"/>
  <c r="G283" i="28"/>
  <c r="I283" i="28" s="1"/>
  <c r="C284" i="28"/>
  <c r="J282" i="28" l="1"/>
  <c r="Q283" i="28"/>
  <c r="N283" i="28" s="1"/>
  <c r="E284" i="28"/>
  <c r="P283" i="28"/>
  <c r="R282" i="28"/>
  <c r="Y282" i="28"/>
  <c r="B285" i="28"/>
  <c r="A286" i="28"/>
  <c r="K282" i="28"/>
  <c r="L282" i="28"/>
  <c r="M282" i="28" s="1"/>
  <c r="O282" i="28"/>
  <c r="H283" i="28"/>
  <c r="X284" i="28"/>
  <c r="S284" i="28"/>
  <c r="V284" i="28"/>
  <c r="U284" i="28"/>
  <c r="C285" i="28"/>
  <c r="G284" i="28"/>
  <c r="I284" i="28" s="1"/>
  <c r="T284" i="28"/>
  <c r="D285" i="28"/>
  <c r="W284" i="28"/>
  <c r="F284" i="28"/>
  <c r="Q284" i="28" l="1"/>
  <c r="N284" i="28" s="1"/>
  <c r="J283" i="28"/>
  <c r="E285" i="28"/>
  <c r="P284" i="28"/>
  <c r="R283" i="28"/>
  <c r="Y283" i="28"/>
  <c r="B286" i="28"/>
  <c r="A287" i="28"/>
  <c r="K283" i="28"/>
  <c r="L283" i="28"/>
  <c r="M283" i="28" s="1"/>
  <c r="O283" i="28"/>
  <c r="H284" i="28"/>
  <c r="U285" i="28"/>
  <c r="V285" i="28"/>
  <c r="X285" i="28"/>
  <c r="F285" i="28"/>
  <c r="C286" i="28"/>
  <c r="S285" i="28"/>
  <c r="W285" i="28"/>
  <c r="T285" i="28"/>
  <c r="G285" i="28"/>
  <c r="I285" i="28" s="1"/>
  <c r="D286" i="28"/>
  <c r="J284" i="28" l="1"/>
  <c r="Q285" i="28"/>
  <c r="N285" i="28" s="1"/>
  <c r="E286" i="28"/>
  <c r="P285" i="28"/>
  <c r="R284" i="28"/>
  <c r="Y284" i="28"/>
  <c r="B287" i="28"/>
  <c r="A288" i="28"/>
  <c r="L284" i="28"/>
  <c r="M284" i="28" s="1"/>
  <c r="K284" i="28"/>
  <c r="O284" i="28"/>
  <c r="H285" i="28"/>
  <c r="X286" i="28"/>
  <c r="W286" i="28"/>
  <c r="F286" i="28"/>
  <c r="G286" i="28"/>
  <c r="D287" i="28"/>
  <c r="I286" i="28"/>
  <c r="V286" i="28"/>
  <c r="T286" i="28"/>
  <c r="U286" i="28"/>
  <c r="S286" i="28"/>
  <c r="C287" i="28"/>
  <c r="J285" i="28" l="1"/>
  <c r="Q286" i="28"/>
  <c r="N286" i="28" s="1"/>
  <c r="E287" i="28"/>
  <c r="R285" i="28"/>
  <c r="Y285" i="28"/>
  <c r="P286" i="28"/>
  <c r="B288" i="28"/>
  <c r="A289" i="28"/>
  <c r="K285" i="28"/>
  <c r="L285" i="28"/>
  <c r="M285" i="28" s="1"/>
  <c r="O285" i="28"/>
  <c r="H286" i="28"/>
  <c r="S287" i="28"/>
  <c r="T287" i="28"/>
  <c r="W287" i="28"/>
  <c r="V287" i="28"/>
  <c r="D288" i="28"/>
  <c r="X287" i="28"/>
  <c r="F287" i="28"/>
  <c r="U287" i="28"/>
  <c r="G287" i="28"/>
  <c r="I287" i="28" s="1"/>
  <c r="C288" i="28"/>
  <c r="J286" i="28" l="1"/>
  <c r="Q287" i="28"/>
  <c r="N287" i="28" s="1"/>
  <c r="E288" i="28"/>
  <c r="P287" i="28"/>
  <c r="R286" i="28"/>
  <c r="Y286" i="28"/>
  <c r="B289" i="28"/>
  <c r="A290" i="28"/>
  <c r="L286" i="28"/>
  <c r="M286" i="28" s="1"/>
  <c r="O286" i="28"/>
  <c r="K286" i="28"/>
  <c r="H287" i="28"/>
  <c r="V288" i="28"/>
  <c r="U288" i="28"/>
  <c r="W288" i="28"/>
  <c r="G288" i="28"/>
  <c r="D289" i="28"/>
  <c r="I288" i="28"/>
  <c r="T288" i="28"/>
  <c r="X288" i="28"/>
  <c r="S288" i="28"/>
  <c r="F288" i="28"/>
  <c r="C289" i="28"/>
  <c r="Q288" i="28" l="1"/>
  <c r="N288" i="28" s="1"/>
  <c r="J287" i="28"/>
  <c r="E289" i="28"/>
  <c r="P288" i="28"/>
  <c r="R287" i="28"/>
  <c r="Y287" i="28"/>
  <c r="B290" i="28"/>
  <c r="A291" i="28"/>
  <c r="L287" i="28"/>
  <c r="M287" i="28" s="1"/>
  <c r="O287" i="28"/>
  <c r="K287" i="28"/>
  <c r="H288" i="28"/>
  <c r="W289" i="28"/>
  <c r="V289" i="28"/>
  <c r="U289" i="28"/>
  <c r="X289" i="28"/>
  <c r="D290" i="28"/>
  <c r="G289" i="28"/>
  <c r="I289" i="28" s="1"/>
  <c r="F289" i="28"/>
  <c r="S289" i="28"/>
  <c r="T289" i="28"/>
  <c r="C290" i="28"/>
  <c r="Q289" i="28" l="1"/>
  <c r="N289" i="28" s="1"/>
  <c r="J288" i="28"/>
  <c r="E290" i="28"/>
  <c r="R288" i="28"/>
  <c r="Y288" i="28"/>
  <c r="P289" i="28"/>
  <c r="B291" i="28"/>
  <c r="A292" i="28"/>
  <c r="L288" i="28"/>
  <c r="M288" i="28" s="1"/>
  <c r="K288" i="28"/>
  <c r="O288" i="28"/>
  <c r="H289" i="28"/>
  <c r="T290" i="28"/>
  <c r="S290" i="28"/>
  <c r="X290" i="28"/>
  <c r="U290" i="28"/>
  <c r="D291" i="28"/>
  <c r="G290" i="28"/>
  <c r="I290" i="28" s="1"/>
  <c r="V290" i="28"/>
  <c r="F290" i="28"/>
  <c r="W290" i="28"/>
  <c r="C291" i="28"/>
  <c r="Q290" i="28" l="1"/>
  <c r="N290" i="28" s="1"/>
  <c r="J289" i="28"/>
  <c r="E291" i="28"/>
  <c r="P290" i="28"/>
  <c r="R289" i="28"/>
  <c r="Y289" i="28"/>
  <c r="B292" i="28"/>
  <c r="A293" i="28"/>
  <c r="L289" i="28"/>
  <c r="M289" i="28" s="1"/>
  <c r="O289" i="28"/>
  <c r="K289" i="28"/>
  <c r="H290" i="28"/>
  <c r="G291" i="28"/>
  <c r="U291" i="28"/>
  <c r="S291" i="28"/>
  <c r="T291" i="28"/>
  <c r="D292" i="28"/>
  <c r="I291" i="28"/>
  <c r="W291" i="28"/>
  <c r="X291" i="28"/>
  <c r="F291" i="28"/>
  <c r="C292" i="28"/>
  <c r="V291" i="28"/>
  <c r="Q291" i="28" l="1"/>
  <c r="N291" i="28" s="1"/>
  <c r="P291" i="28"/>
  <c r="O291" i="28" s="1"/>
  <c r="J290" i="28"/>
  <c r="E292" i="28"/>
  <c r="R290" i="28"/>
  <c r="Y290" i="28"/>
  <c r="B293" i="28"/>
  <c r="A294" i="28"/>
  <c r="L290" i="28"/>
  <c r="M290" i="28" s="1"/>
  <c r="O290" i="28"/>
  <c r="K290" i="28"/>
  <c r="H291" i="28"/>
  <c r="K291" i="28"/>
  <c r="X292" i="28"/>
  <c r="S292" i="28"/>
  <c r="V292" i="28"/>
  <c r="U292" i="28"/>
  <c r="C293" i="28"/>
  <c r="G292" i="28"/>
  <c r="I292" i="28" s="1"/>
  <c r="T292" i="28"/>
  <c r="D293" i="28"/>
  <c r="W292" i="28"/>
  <c r="F292" i="28"/>
  <c r="L291" i="28" l="1"/>
  <c r="M291" i="28" s="1"/>
  <c r="Q292" i="28"/>
  <c r="N292" i="28" s="1"/>
  <c r="J291" i="28"/>
  <c r="E293" i="28"/>
  <c r="P292" i="28"/>
  <c r="R291" i="28"/>
  <c r="Y291" i="28"/>
  <c r="B294" i="28"/>
  <c r="A295" i="28"/>
  <c r="H292" i="28"/>
  <c r="T293" i="28"/>
  <c r="X293" i="28"/>
  <c r="U293" i="28"/>
  <c r="V293" i="28"/>
  <c r="D294" i="28"/>
  <c r="W293" i="28"/>
  <c r="F293" i="28"/>
  <c r="S293" i="28"/>
  <c r="C294" i="28"/>
  <c r="G293" i="28"/>
  <c r="I293" i="28" s="1"/>
  <c r="J292" i="28" l="1"/>
  <c r="Q293" i="28"/>
  <c r="N293" i="28" s="1"/>
  <c r="E294" i="28"/>
  <c r="P293" i="28"/>
  <c r="R292" i="28"/>
  <c r="Y292" i="28"/>
  <c r="B295" i="28"/>
  <c r="A296" i="28"/>
  <c r="L292" i="28"/>
  <c r="M292" i="28" s="1"/>
  <c r="K292" i="28"/>
  <c r="O292" i="28"/>
  <c r="H293" i="28"/>
  <c r="G294" i="28"/>
  <c r="F294" i="28"/>
  <c r="X294" i="28"/>
  <c r="W294" i="28"/>
  <c r="D295" i="28"/>
  <c r="I294" i="28"/>
  <c r="U294" i="28"/>
  <c r="V294" i="28"/>
  <c r="S294" i="28"/>
  <c r="C295" i="28"/>
  <c r="T294" i="28"/>
  <c r="Q294" i="28" l="1"/>
  <c r="N294" i="28" s="1"/>
  <c r="J293" i="28"/>
  <c r="E295" i="28"/>
  <c r="R293" i="28"/>
  <c r="Y293" i="28"/>
  <c r="P294" i="28"/>
  <c r="B296" i="28"/>
  <c r="A297" i="28"/>
  <c r="L293" i="28"/>
  <c r="M293" i="28" s="1"/>
  <c r="O293" i="28"/>
  <c r="K293" i="28"/>
  <c r="H294" i="28"/>
  <c r="T295" i="28"/>
  <c r="X295" i="28"/>
  <c r="W295" i="28"/>
  <c r="V295" i="28"/>
  <c r="D296" i="28"/>
  <c r="S295" i="28"/>
  <c r="F295" i="28"/>
  <c r="U295" i="28"/>
  <c r="C296" i="28"/>
  <c r="G295" i="28"/>
  <c r="I295" i="28" s="1"/>
  <c r="E296" i="28" l="1"/>
  <c r="J294" i="28"/>
  <c r="Q295" i="28"/>
  <c r="N295" i="28" s="1"/>
  <c r="P295" i="28"/>
  <c r="R294" i="28"/>
  <c r="Y294" i="28"/>
  <c r="B297" i="28"/>
  <c r="A298" i="28"/>
  <c r="L294" i="28"/>
  <c r="M294" i="28" s="1"/>
  <c r="O294" i="28"/>
  <c r="K294" i="28"/>
  <c r="H295" i="28"/>
  <c r="F296" i="28"/>
  <c r="T296" i="28"/>
  <c r="S296" i="28"/>
  <c r="X296" i="28"/>
  <c r="C297" i="28"/>
  <c r="U296" i="28"/>
  <c r="V296" i="28"/>
  <c r="W296" i="28"/>
  <c r="G296" i="28"/>
  <c r="I296" i="28" s="1"/>
  <c r="D297" i="28"/>
  <c r="E297" i="28" l="1"/>
  <c r="P296" i="28"/>
  <c r="J295" i="28"/>
  <c r="R295" i="28"/>
  <c r="Y295" i="28"/>
  <c r="Q296" i="28"/>
  <c r="N296" i="28" s="1"/>
  <c r="B298" i="28"/>
  <c r="A299" i="28"/>
  <c r="L295" i="28"/>
  <c r="M295" i="28" s="1"/>
  <c r="O295" i="28"/>
  <c r="K295" i="28"/>
  <c r="H296" i="28"/>
  <c r="W297" i="28"/>
  <c r="V297" i="28"/>
  <c r="U297" i="28"/>
  <c r="X297" i="28"/>
  <c r="D298" i="28"/>
  <c r="G297" i="28"/>
  <c r="I297" i="28" s="1"/>
  <c r="F297" i="28"/>
  <c r="S297" i="28"/>
  <c r="T297" i="28"/>
  <c r="C298" i="28"/>
  <c r="E298" i="28" l="1"/>
  <c r="R296" i="28"/>
  <c r="Y296" i="28"/>
  <c r="Q297" i="28"/>
  <c r="N297" i="28" s="1"/>
  <c r="P297" i="28"/>
  <c r="J296" i="28"/>
  <c r="B299" i="28"/>
  <c r="A300" i="28"/>
  <c r="L296" i="28"/>
  <c r="M296" i="28" s="1"/>
  <c r="K296" i="28"/>
  <c r="O296" i="28"/>
  <c r="H297" i="28"/>
  <c r="W298" i="28"/>
  <c r="T298" i="28"/>
  <c r="X298" i="28"/>
  <c r="U298" i="28"/>
  <c r="D299" i="28"/>
  <c r="G298" i="28"/>
  <c r="I298" i="28" s="1"/>
  <c r="S298" i="28"/>
  <c r="V298" i="28"/>
  <c r="F298" i="28"/>
  <c r="C299" i="28"/>
  <c r="E299" i="28" l="1"/>
  <c r="Q298" i="28"/>
  <c r="N298" i="28" s="1"/>
  <c r="R297" i="28"/>
  <c r="Y297" i="28"/>
  <c r="P298" i="28"/>
  <c r="J297" i="28"/>
  <c r="L297" i="28"/>
  <c r="M297" i="28" s="1"/>
  <c r="O297" i="28"/>
  <c r="K297" i="28"/>
  <c r="B300" i="28"/>
  <c r="A301" i="28"/>
  <c r="H298" i="28"/>
  <c r="S299" i="28"/>
  <c r="T299" i="28"/>
  <c r="W299" i="28"/>
  <c r="V299" i="28"/>
  <c r="D300" i="28"/>
  <c r="F299" i="28"/>
  <c r="U299" i="28"/>
  <c r="G299" i="28"/>
  <c r="I299" i="28" s="1"/>
  <c r="C300" i="28"/>
  <c r="X299" i="28"/>
  <c r="E300" i="28" l="1"/>
  <c r="P299" i="28"/>
  <c r="J298" i="28"/>
  <c r="Q299" i="28"/>
  <c r="N299" i="28" s="1"/>
  <c r="R298" i="28"/>
  <c r="Y298" i="28"/>
  <c r="B301" i="28"/>
  <c r="A302" i="28"/>
  <c r="L298" i="28"/>
  <c r="M298" i="28" s="1"/>
  <c r="O298" i="28"/>
  <c r="K298" i="28"/>
  <c r="H299" i="28"/>
  <c r="X300" i="28"/>
  <c r="S300" i="28"/>
  <c r="V300" i="28"/>
  <c r="U300" i="28"/>
  <c r="C301" i="28"/>
  <c r="W300" i="28"/>
  <c r="G300" i="28"/>
  <c r="I300" i="28" s="1"/>
  <c r="T300" i="28"/>
  <c r="F300" i="28"/>
  <c r="D301" i="28"/>
  <c r="E301" i="28" l="1"/>
  <c r="Q300" i="28"/>
  <c r="N300" i="28" s="1"/>
  <c r="P300" i="28"/>
  <c r="J299" i="28"/>
  <c r="R299" i="28"/>
  <c r="Y299" i="28"/>
  <c r="B302" i="28"/>
  <c r="A303" i="28"/>
  <c r="O299" i="28"/>
  <c r="K299" i="28"/>
  <c r="L299" i="28"/>
  <c r="M299" i="28" s="1"/>
  <c r="H300" i="28"/>
  <c r="X301" i="28"/>
  <c r="F301" i="28"/>
  <c r="S301" i="28"/>
  <c r="G301" i="28"/>
  <c r="C302" i="28"/>
  <c r="W301" i="28"/>
  <c r="T301" i="28"/>
  <c r="U301" i="28"/>
  <c r="V301" i="28"/>
  <c r="D302" i="28"/>
  <c r="I301" i="28"/>
  <c r="E302" i="28" l="1"/>
  <c r="P301" i="28"/>
  <c r="J300" i="28"/>
  <c r="R300" i="28"/>
  <c r="Y300" i="28"/>
  <c r="Q301" i="28"/>
  <c r="N301" i="28" s="1"/>
  <c r="L300" i="28"/>
  <c r="M300" i="28" s="1"/>
  <c r="K300" i="28"/>
  <c r="O300" i="28"/>
  <c r="B303" i="28"/>
  <c r="A304" i="28"/>
  <c r="H301" i="28"/>
  <c r="U302" i="28"/>
  <c r="F302" i="28"/>
  <c r="X302" i="28"/>
  <c r="W302" i="28"/>
  <c r="D303" i="28"/>
  <c r="T302" i="28"/>
  <c r="G302" i="28"/>
  <c r="I302" i="28" s="1"/>
  <c r="V302" i="28"/>
  <c r="S302" i="28"/>
  <c r="C303" i="28"/>
  <c r="E303" i="28" l="1"/>
  <c r="R301" i="28"/>
  <c r="Y301" i="28"/>
  <c r="P302" i="28"/>
  <c r="J301" i="28"/>
  <c r="Q302" i="28"/>
  <c r="N302" i="28" s="1"/>
  <c r="B304" i="28"/>
  <c r="A305" i="28"/>
  <c r="K301" i="28"/>
  <c r="L301" i="28"/>
  <c r="M301" i="28" s="1"/>
  <c r="O301" i="28"/>
  <c r="H302" i="28"/>
  <c r="W303" i="28"/>
  <c r="V303" i="28"/>
  <c r="S303" i="28"/>
  <c r="T303" i="28"/>
  <c r="C304" i="28"/>
  <c r="U303" i="28"/>
  <c r="G303" i="28"/>
  <c r="I303" i="28" s="1"/>
  <c r="X303" i="28"/>
  <c r="F303" i="28"/>
  <c r="D304" i="28"/>
  <c r="E304" i="28" l="1"/>
  <c r="Q303" i="28"/>
  <c r="N303" i="28" s="1"/>
  <c r="R302" i="28"/>
  <c r="Y302" i="28"/>
  <c r="P303" i="28"/>
  <c r="J302" i="28"/>
  <c r="B305" i="28"/>
  <c r="A306" i="28"/>
  <c r="K302" i="28"/>
  <c r="L302" i="28"/>
  <c r="M302" i="28" s="1"/>
  <c r="O302" i="28"/>
  <c r="H303" i="28"/>
  <c r="V304" i="28"/>
  <c r="U304" i="28"/>
  <c r="X304" i="28"/>
  <c r="S304" i="28"/>
  <c r="D305" i="28"/>
  <c r="T304" i="28"/>
  <c r="F304" i="28"/>
  <c r="W304" i="28"/>
  <c r="G304" i="28"/>
  <c r="I304" i="28" s="1"/>
  <c r="C305" i="28"/>
  <c r="E305" i="28" l="1"/>
  <c r="P304" i="28"/>
  <c r="J303" i="28"/>
  <c r="R303" i="28"/>
  <c r="Y303" i="28"/>
  <c r="Q304" i="28"/>
  <c r="N304" i="28" s="1"/>
  <c r="O303" i="28"/>
  <c r="K303" i="28"/>
  <c r="L303" i="28"/>
  <c r="M303" i="28" s="1"/>
  <c r="B306" i="28"/>
  <c r="A307" i="28"/>
  <c r="H304" i="28"/>
  <c r="U305" i="28"/>
  <c r="X305" i="28"/>
  <c r="W305" i="28"/>
  <c r="V305" i="28"/>
  <c r="C306" i="28"/>
  <c r="S305" i="28"/>
  <c r="T305" i="28"/>
  <c r="G305" i="28"/>
  <c r="I305" i="28" s="1"/>
  <c r="F305" i="28"/>
  <c r="D306" i="28"/>
  <c r="E306" i="28" l="1"/>
  <c r="Q305" i="28"/>
  <c r="N305" i="28" s="1"/>
  <c r="P305" i="28"/>
  <c r="J304" i="28"/>
  <c r="R304" i="28"/>
  <c r="Y304" i="28"/>
  <c r="B307" i="28"/>
  <c r="A308" i="28"/>
  <c r="L304" i="28"/>
  <c r="M304" i="28" s="1"/>
  <c r="K304" i="28"/>
  <c r="O304" i="28"/>
  <c r="H305" i="28"/>
  <c r="T306" i="28"/>
  <c r="S306" i="28"/>
  <c r="X306" i="28"/>
  <c r="U306" i="28"/>
  <c r="C307" i="28"/>
  <c r="W306" i="28"/>
  <c r="G306" i="28"/>
  <c r="I306" i="28" s="1"/>
  <c r="V306" i="28"/>
  <c r="F306" i="28"/>
  <c r="D307" i="28"/>
  <c r="E307" i="28" l="1"/>
  <c r="Q306" i="28"/>
  <c r="N306" i="28" s="1"/>
  <c r="P306" i="28"/>
  <c r="J305" i="28"/>
  <c r="R305" i="28"/>
  <c r="Y305" i="28"/>
  <c r="L305" i="28"/>
  <c r="M305" i="28" s="1"/>
  <c r="O305" i="28"/>
  <c r="K305" i="28"/>
  <c r="B308" i="28"/>
  <c r="A309" i="28"/>
  <c r="H306" i="28"/>
  <c r="S307" i="28"/>
  <c r="T307" i="28"/>
  <c r="W307" i="28"/>
  <c r="V307" i="28"/>
  <c r="C308" i="28"/>
  <c r="X307" i="28"/>
  <c r="F307" i="28"/>
  <c r="U307" i="28"/>
  <c r="G307" i="28"/>
  <c r="I307" i="28" s="1"/>
  <c r="D308" i="28"/>
  <c r="E308" i="28" l="1"/>
  <c r="P307" i="28"/>
  <c r="J306" i="28"/>
  <c r="Q307" i="28"/>
  <c r="N307" i="28" s="1"/>
  <c r="R306" i="28"/>
  <c r="Y306" i="28"/>
  <c r="B309" i="28"/>
  <c r="A310" i="28"/>
  <c r="L306" i="28"/>
  <c r="M306" i="28" s="1"/>
  <c r="O306" i="28"/>
  <c r="K306" i="28"/>
  <c r="H307" i="28"/>
  <c r="X308" i="28"/>
  <c r="S308" i="28"/>
  <c r="V308" i="28"/>
  <c r="U308" i="28"/>
  <c r="C309" i="28"/>
  <c r="W308" i="28"/>
  <c r="G308" i="28"/>
  <c r="I308" i="28" s="1"/>
  <c r="T308" i="28"/>
  <c r="F308" i="28"/>
  <c r="D309" i="28"/>
  <c r="E309" i="28" l="1"/>
  <c r="Q308" i="28"/>
  <c r="N308" i="28" s="1"/>
  <c r="P308" i="28"/>
  <c r="J307" i="28"/>
  <c r="R307" i="28"/>
  <c r="Y307" i="28"/>
  <c r="B310" i="28"/>
  <c r="A311" i="28"/>
  <c r="O307" i="28"/>
  <c r="K307" i="28"/>
  <c r="L307" i="28"/>
  <c r="M307" i="28" s="1"/>
  <c r="H308" i="28"/>
  <c r="W309" i="28"/>
  <c r="T309" i="28"/>
  <c r="S309" i="28"/>
  <c r="G309" i="28"/>
  <c r="C310" i="28"/>
  <c r="F309" i="28"/>
  <c r="X309" i="28"/>
  <c r="U309" i="28"/>
  <c r="V309" i="28"/>
  <c r="D310" i="28"/>
  <c r="I309" i="28"/>
  <c r="E310" i="28" l="1"/>
  <c r="P309" i="28"/>
  <c r="J308" i="28"/>
  <c r="R308" i="28"/>
  <c r="Y308" i="28"/>
  <c r="Q309" i="28"/>
  <c r="N309" i="28" s="1"/>
  <c r="L308" i="28"/>
  <c r="M308" i="28" s="1"/>
  <c r="K308" i="28"/>
  <c r="O308" i="28"/>
  <c r="B311" i="28"/>
  <c r="A312" i="28"/>
  <c r="H309" i="28"/>
  <c r="T310" i="28"/>
  <c r="U310" i="28"/>
  <c r="X310" i="28"/>
  <c r="W310" i="28"/>
  <c r="D311" i="28"/>
  <c r="F310" i="28"/>
  <c r="G310" i="28"/>
  <c r="I310" i="28" s="1"/>
  <c r="V310" i="28"/>
  <c r="S310" i="28"/>
  <c r="C311" i="28"/>
  <c r="E311" i="28" l="1"/>
  <c r="R309" i="28"/>
  <c r="Y309" i="28"/>
  <c r="P310" i="28"/>
  <c r="J309" i="28"/>
  <c r="Q310" i="28"/>
  <c r="N310" i="28" s="1"/>
  <c r="B312" i="28"/>
  <c r="A313" i="28"/>
  <c r="O309" i="28"/>
  <c r="K309" i="28"/>
  <c r="L309" i="28"/>
  <c r="M309" i="28" s="1"/>
  <c r="H310" i="28"/>
  <c r="S311" i="28"/>
  <c r="T311" i="28"/>
  <c r="W311" i="28"/>
  <c r="V311" i="28"/>
  <c r="D312" i="28"/>
  <c r="X311" i="28"/>
  <c r="F311" i="28"/>
  <c r="U311" i="28"/>
  <c r="G311" i="28"/>
  <c r="I311" i="28" s="1"/>
  <c r="C312" i="28"/>
  <c r="E312" i="28" l="1"/>
  <c r="P311" i="28"/>
  <c r="J310" i="28"/>
  <c r="Q311" i="28"/>
  <c r="N311" i="28" s="1"/>
  <c r="R310" i="28"/>
  <c r="Y310" i="28"/>
  <c r="B313" i="28"/>
  <c r="A314" i="28"/>
  <c r="L310" i="28"/>
  <c r="M310" i="28" s="1"/>
  <c r="O310" i="28"/>
  <c r="K310" i="28"/>
  <c r="H311" i="28"/>
  <c r="X312" i="28"/>
  <c r="V312" i="28"/>
  <c r="D313" i="28"/>
  <c r="W312" i="28"/>
  <c r="G312" i="28"/>
  <c r="T312" i="28"/>
  <c r="F312" i="28"/>
  <c r="C313" i="28"/>
  <c r="S312" i="28"/>
  <c r="U312" i="28"/>
  <c r="I312" i="28"/>
  <c r="E313" i="28" l="1"/>
  <c r="Q312" i="28"/>
  <c r="N312" i="28" s="1"/>
  <c r="P312" i="28"/>
  <c r="J311" i="28"/>
  <c r="R311" i="28"/>
  <c r="Y311" i="28"/>
  <c r="B314" i="28"/>
  <c r="A315" i="28"/>
  <c r="K311" i="28"/>
  <c r="L311" i="28"/>
  <c r="M311" i="28" s="1"/>
  <c r="O311" i="28"/>
  <c r="H312" i="28"/>
  <c r="W313" i="28"/>
  <c r="V313" i="28"/>
  <c r="U313" i="28"/>
  <c r="X313" i="28"/>
  <c r="C314" i="28"/>
  <c r="G313" i="28"/>
  <c r="I313" i="28" s="1"/>
  <c r="F313" i="28"/>
  <c r="S313" i="28"/>
  <c r="T313" i="28"/>
  <c r="D314" i="28"/>
  <c r="E314" i="28" l="1"/>
  <c r="R312" i="28"/>
  <c r="Y312" i="28"/>
  <c r="Q313" i="28"/>
  <c r="N313" i="28" s="1"/>
  <c r="P313" i="28"/>
  <c r="J312" i="28"/>
  <c r="L312" i="28"/>
  <c r="M312" i="28" s="1"/>
  <c r="K312" i="28"/>
  <c r="O312" i="28"/>
  <c r="B315" i="28"/>
  <c r="A316" i="28"/>
  <c r="H313" i="28"/>
  <c r="W314" i="28"/>
  <c r="S314" i="28"/>
  <c r="X314" i="28"/>
  <c r="U314" i="28"/>
  <c r="D315" i="28"/>
  <c r="T314" i="28"/>
  <c r="G314" i="28"/>
  <c r="I314" i="28" s="1"/>
  <c r="V314" i="28"/>
  <c r="F314" i="28"/>
  <c r="C315" i="28"/>
  <c r="E315" i="28" l="1"/>
  <c r="Q314" i="28"/>
  <c r="N314" i="28" s="1"/>
  <c r="P314" i="28"/>
  <c r="J313" i="28"/>
  <c r="R313" i="28"/>
  <c r="Y313" i="28"/>
  <c r="B316" i="28"/>
  <c r="A317" i="28"/>
  <c r="L313" i="28"/>
  <c r="M313" i="28" s="1"/>
  <c r="O313" i="28"/>
  <c r="K313" i="28"/>
  <c r="H314" i="28"/>
  <c r="S315" i="28"/>
  <c r="T315" i="28"/>
  <c r="W315" i="28"/>
  <c r="V315" i="28"/>
  <c r="D316" i="28"/>
  <c r="X315" i="28"/>
  <c r="F315" i="28"/>
  <c r="U315" i="28"/>
  <c r="G315" i="28"/>
  <c r="I315" i="28" s="1"/>
  <c r="C316" i="28"/>
  <c r="E316" i="28" l="1"/>
  <c r="P315" i="28"/>
  <c r="J314" i="28"/>
  <c r="Q315" i="28"/>
  <c r="N315" i="28" s="1"/>
  <c r="R314" i="28"/>
  <c r="Y314" i="28"/>
  <c r="L314" i="28"/>
  <c r="M314" i="28" s="1"/>
  <c r="O314" i="28"/>
  <c r="K314" i="28"/>
  <c r="B317" i="28"/>
  <c r="A318" i="28"/>
  <c r="H315" i="28"/>
  <c r="X316" i="28"/>
  <c r="S316" i="28"/>
  <c r="V316" i="28"/>
  <c r="U316" i="28"/>
  <c r="C317" i="28"/>
  <c r="W316" i="28"/>
  <c r="G316" i="28"/>
  <c r="I316" i="28" s="1"/>
  <c r="T316" i="28"/>
  <c r="F316" i="28"/>
  <c r="D317" i="28"/>
  <c r="E317" i="28" l="1"/>
  <c r="Q316" i="28"/>
  <c r="N316" i="28" s="1"/>
  <c r="P316" i="28"/>
  <c r="J315" i="28"/>
  <c r="R315" i="28"/>
  <c r="Y315" i="28"/>
  <c r="B318" i="28"/>
  <c r="A319" i="28"/>
  <c r="L315" i="28"/>
  <c r="M315" i="28" s="1"/>
  <c r="O315" i="28"/>
  <c r="K315" i="28"/>
  <c r="H316" i="28"/>
  <c r="W317" i="28"/>
  <c r="T317" i="28"/>
  <c r="U317" i="28"/>
  <c r="V317" i="28"/>
  <c r="D318" i="28"/>
  <c r="F317" i="28"/>
  <c r="S317" i="28"/>
  <c r="G317" i="28"/>
  <c r="I317" i="28" s="1"/>
  <c r="C318" i="28"/>
  <c r="X317" i="28"/>
  <c r="E318" i="28" l="1"/>
  <c r="P317" i="28"/>
  <c r="J316" i="28"/>
  <c r="R316" i="28"/>
  <c r="Y316" i="28"/>
  <c r="Q317" i="28"/>
  <c r="N317" i="28" s="1"/>
  <c r="L316" i="28"/>
  <c r="M316" i="28" s="1"/>
  <c r="K316" i="28"/>
  <c r="O316" i="28"/>
  <c r="B319" i="28"/>
  <c r="A320" i="28"/>
  <c r="H317" i="28"/>
  <c r="T318" i="28"/>
  <c r="U318" i="28"/>
  <c r="X318" i="28"/>
  <c r="W318" i="28"/>
  <c r="D319" i="28"/>
  <c r="F318" i="28"/>
  <c r="G318" i="28"/>
  <c r="I318" i="28" s="1"/>
  <c r="V318" i="28"/>
  <c r="S318" i="28"/>
  <c r="C319" i="28"/>
  <c r="E319" i="28" l="1"/>
  <c r="R317" i="28"/>
  <c r="Y317" i="28"/>
  <c r="P318" i="28"/>
  <c r="J317" i="28"/>
  <c r="Q318" i="28"/>
  <c r="N318" i="28" s="1"/>
  <c r="B320" i="28"/>
  <c r="A321" i="28"/>
  <c r="K317" i="28"/>
  <c r="L317" i="28"/>
  <c r="M317" i="28" s="1"/>
  <c r="O317" i="28"/>
  <c r="H318" i="28"/>
  <c r="S319" i="28"/>
  <c r="T319" i="28"/>
  <c r="W319" i="28"/>
  <c r="V319" i="28"/>
  <c r="D320" i="28"/>
  <c r="X319" i="28"/>
  <c r="F319" i="28"/>
  <c r="U319" i="28"/>
  <c r="G319" i="28"/>
  <c r="I319" i="28" s="1"/>
  <c r="C320" i="28"/>
  <c r="E320" i="28" l="1"/>
  <c r="P319" i="28"/>
  <c r="J318" i="28"/>
  <c r="Q319" i="28"/>
  <c r="N319" i="28" s="1"/>
  <c r="R318" i="28"/>
  <c r="Y318" i="28"/>
  <c r="B321" i="28"/>
  <c r="A322" i="28"/>
  <c r="L318" i="28"/>
  <c r="M318" i="28" s="1"/>
  <c r="O318" i="28"/>
  <c r="K318" i="28"/>
  <c r="H319" i="28"/>
  <c r="X320" i="28"/>
  <c r="S320" i="28"/>
  <c r="V320" i="28"/>
  <c r="U320" i="28"/>
  <c r="D321" i="28"/>
  <c r="W320" i="28"/>
  <c r="G320" i="28"/>
  <c r="I320" i="28" s="1"/>
  <c r="T320" i="28"/>
  <c r="F320" i="28"/>
  <c r="C321" i="28"/>
  <c r="E321" i="28" l="1"/>
  <c r="Q320" i="28"/>
  <c r="N320" i="28" s="1"/>
  <c r="P320" i="28"/>
  <c r="J319" i="28"/>
  <c r="R319" i="28"/>
  <c r="Y319" i="28"/>
  <c r="B322" i="28"/>
  <c r="A323" i="28"/>
  <c r="L319" i="28"/>
  <c r="M319" i="28" s="1"/>
  <c r="O319" i="28"/>
  <c r="K319" i="28"/>
  <c r="H320" i="28"/>
  <c r="G321" i="28"/>
  <c r="F321" i="28"/>
  <c r="S321" i="28"/>
  <c r="T321" i="28"/>
  <c r="C322" i="28"/>
  <c r="W321" i="28"/>
  <c r="V321" i="28"/>
  <c r="U321" i="28"/>
  <c r="X321" i="28"/>
  <c r="D322" i="28"/>
  <c r="I321" i="28"/>
  <c r="E322" i="28" l="1"/>
  <c r="R320" i="28"/>
  <c r="Y320" i="28"/>
  <c r="Q321" i="28"/>
  <c r="N321" i="28" s="1"/>
  <c r="P321" i="28"/>
  <c r="J320" i="28"/>
  <c r="L320" i="28"/>
  <c r="M320" i="28" s="1"/>
  <c r="K320" i="28"/>
  <c r="O320" i="28"/>
  <c r="B323" i="28"/>
  <c r="A324" i="28"/>
  <c r="H321" i="28"/>
  <c r="T322" i="28"/>
  <c r="W322" i="28"/>
  <c r="X322" i="28"/>
  <c r="U322" i="28"/>
  <c r="D323" i="28"/>
  <c r="S322" i="28"/>
  <c r="V322" i="28"/>
  <c r="F322" i="28"/>
  <c r="C323" i="28"/>
  <c r="G322" i="28"/>
  <c r="I322" i="28" s="1"/>
  <c r="E323" i="28" l="1"/>
  <c r="Q322" i="28"/>
  <c r="N322" i="28" s="1"/>
  <c r="R321" i="28"/>
  <c r="Y321" i="28"/>
  <c r="P322" i="28"/>
  <c r="J321" i="28"/>
  <c r="B324" i="28"/>
  <c r="A325" i="28"/>
  <c r="L321" i="28"/>
  <c r="M321" i="28" s="1"/>
  <c r="O321" i="28"/>
  <c r="K321" i="28"/>
  <c r="H322" i="28"/>
  <c r="S323" i="28"/>
  <c r="T323" i="28"/>
  <c r="W323" i="28"/>
  <c r="V323" i="28"/>
  <c r="C324" i="28"/>
  <c r="X323" i="28"/>
  <c r="F323" i="28"/>
  <c r="U323" i="28"/>
  <c r="G323" i="28"/>
  <c r="I323" i="28" s="1"/>
  <c r="D324" i="28"/>
  <c r="E324" i="28" l="1"/>
  <c r="P323" i="28"/>
  <c r="J322" i="28"/>
  <c r="Q323" i="28"/>
  <c r="N323" i="28" s="1"/>
  <c r="R322" i="28"/>
  <c r="Y322" i="28"/>
  <c r="K322" i="28"/>
  <c r="L322" i="28"/>
  <c r="M322" i="28" s="1"/>
  <c r="O322" i="28"/>
  <c r="B325" i="28"/>
  <c r="A326" i="28"/>
  <c r="H323" i="28"/>
  <c r="W324" i="28"/>
  <c r="S324" i="28"/>
  <c r="V324" i="28"/>
  <c r="U324" i="28"/>
  <c r="D325" i="28"/>
  <c r="G324" i="28"/>
  <c r="I324" i="28" s="1"/>
  <c r="T324" i="28"/>
  <c r="F324" i="28"/>
  <c r="C325" i="28"/>
  <c r="X324" i="28"/>
  <c r="E325" i="28" l="1"/>
  <c r="Q324" i="28"/>
  <c r="N324" i="28" s="1"/>
  <c r="P324" i="28"/>
  <c r="J323" i="28"/>
  <c r="R323" i="28"/>
  <c r="Y323" i="28"/>
  <c r="B326" i="28"/>
  <c r="A327" i="28"/>
  <c r="O323" i="28"/>
  <c r="K323" i="28"/>
  <c r="L323" i="28"/>
  <c r="M323" i="28" s="1"/>
  <c r="H324" i="28"/>
  <c r="W325" i="28"/>
  <c r="T325" i="28"/>
  <c r="U325" i="28"/>
  <c r="V325" i="28"/>
  <c r="D326" i="28"/>
  <c r="X325" i="28"/>
  <c r="F325" i="28"/>
  <c r="S325" i="28"/>
  <c r="G325" i="28"/>
  <c r="I325" i="28" s="1"/>
  <c r="C326" i="28"/>
  <c r="E326" i="28" l="1"/>
  <c r="P325" i="28"/>
  <c r="J324" i="28"/>
  <c r="R324" i="28"/>
  <c r="Y324" i="28"/>
  <c r="Q325" i="28"/>
  <c r="N325" i="28" s="1"/>
  <c r="O324" i="28"/>
  <c r="L324" i="28"/>
  <c r="M324" i="28" s="1"/>
  <c r="K324" i="28"/>
  <c r="B327" i="28"/>
  <c r="A328" i="28"/>
  <c r="H325" i="28"/>
  <c r="X326" i="28"/>
  <c r="W326" i="28"/>
  <c r="F326" i="28"/>
  <c r="G326" i="28"/>
  <c r="D327" i="28"/>
  <c r="I326" i="28"/>
  <c r="S326" i="28"/>
  <c r="V326" i="28"/>
  <c r="T326" i="28"/>
  <c r="U326" i="28"/>
  <c r="C327" i="28"/>
  <c r="E327" i="28" l="1"/>
  <c r="R325" i="28"/>
  <c r="Y325" i="28"/>
  <c r="P326" i="28"/>
  <c r="J325" i="28"/>
  <c r="Q326" i="28"/>
  <c r="N326" i="28" s="1"/>
  <c r="B328" i="28"/>
  <c r="A329" i="28"/>
  <c r="L325" i="28"/>
  <c r="M325" i="28" s="1"/>
  <c r="O325" i="28"/>
  <c r="K325" i="28"/>
  <c r="H326" i="28"/>
  <c r="S327" i="28"/>
  <c r="T327" i="28"/>
  <c r="W327" i="28"/>
  <c r="V327" i="28"/>
  <c r="D328" i="28"/>
  <c r="X327" i="28"/>
  <c r="F327" i="28"/>
  <c r="U327" i="28"/>
  <c r="G327" i="28"/>
  <c r="I327" i="28" s="1"/>
  <c r="C328" i="28"/>
  <c r="E328" i="28" l="1"/>
  <c r="P327" i="28"/>
  <c r="J326" i="28"/>
  <c r="Q327" i="28"/>
  <c r="N327" i="28" s="1"/>
  <c r="R326" i="28"/>
  <c r="Y326" i="28"/>
  <c r="B329" i="28"/>
  <c r="A330" i="28"/>
  <c r="K326" i="28"/>
  <c r="L326" i="28"/>
  <c r="M326" i="28" s="1"/>
  <c r="O326" i="28"/>
  <c r="H327" i="28"/>
  <c r="X328" i="28"/>
  <c r="S328" i="28"/>
  <c r="V328" i="28"/>
  <c r="U328" i="28"/>
  <c r="D329" i="28"/>
  <c r="W328" i="28"/>
  <c r="G328" i="28"/>
  <c r="I328" i="28" s="1"/>
  <c r="T328" i="28"/>
  <c r="F328" i="28"/>
  <c r="C329" i="28"/>
  <c r="E329" i="28" l="1"/>
  <c r="Q328" i="28"/>
  <c r="N328" i="28" s="1"/>
  <c r="P328" i="28"/>
  <c r="J327" i="28"/>
  <c r="R327" i="28"/>
  <c r="Y327" i="28"/>
  <c r="B330" i="28"/>
  <c r="A331" i="28"/>
  <c r="L327" i="28"/>
  <c r="M327" i="28" s="1"/>
  <c r="O327" i="28"/>
  <c r="K327" i="28"/>
  <c r="H328" i="28"/>
  <c r="W329" i="28"/>
  <c r="V329" i="28"/>
  <c r="U329" i="28"/>
  <c r="X329" i="28"/>
  <c r="D330" i="28"/>
  <c r="G329" i="28"/>
  <c r="I329" i="28" s="1"/>
  <c r="F329" i="28"/>
  <c r="S329" i="28"/>
  <c r="T329" i="28"/>
  <c r="C330" i="28"/>
  <c r="E330" i="28" l="1"/>
  <c r="R328" i="28"/>
  <c r="Y328" i="28"/>
  <c r="Q329" i="28"/>
  <c r="N329" i="28" s="1"/>
  <c r="P329" i="28"/>
  <c r="J328" i="28"/>
  <c r="K328" i="28"/>
  <c r="O328" i="28"/>
  <c r="L328" i="28"/>
  <c r="M328" i="28" s="1"/>
  <c r="B331" i="28"/>
  <c r="A332" i="28"/>
  <c r="H329" i="28"/>
  <c r="X330" i="28"/>
  <c r="U330" i="28"/>
  <c r="W330" i="28"/>
  <c r="G330" i="28"/>
  <c r="D331" i="28"/>
  <c r="I330" i="28"/>
  <c r="V330" i="28"/>
  <c r="T330" i="28"/>
  <c r="S330" i="28"/>
  <c r="C331" i="28"/>
  <c r="F330" i="28"/>
  <c r="E331" i="28" l="1"/>
  <c r="Q330" i="28"/>
  <c r="N330" i="28" s="1"/>
  <c r="P330" i="28"/>
  <c r="J329" i="28"/>
  <c r="R329" i="28"/>
  <c r="Y329" i="28"/>
  <c r="B332" i="28"/>
  <c r="A333" i="28"/>
  <c r="O329" i="28"/>
  <c r="K329" i="28"/>
  <c r="L329" i="28"/>
  <c r="M329" i="28" s="1"/>
  <c r="H330" i="28"/>
  <c r="S331" i="28"/>
  <c r="T331" i="28"/>
  <c r="W331" i="28"/>
  <c r="V331" i="28"/>
  <c r="D332" i="28"/>
  <c r="X331" i="28"/>
  <c r="F331" i="28"/>
  <c r="U331" i="28"/>
  <c r="G331" i="28"/>
  <c r="I331" i="28" s="1"/>
  <c r="C332" i="28"/>
  <c r="E332" i="28" l="1"/>
  <c r="P331" i="28"/>
  <c r="J330" i="28"/>
  <c r="Q331" i="28"/>
  <c r="N331" i="28" s="1"/>
  <c r="R330" i="28"/>
  <c r="Y330" i="28"/>
  <c r="K330" i="28"/>
  <c r="L330" i="28"/>
  <c r="M330" i="28" s="1"/>
  <c r="O330" i="28"/>
  <c r="B333" i="28"/>
  <c r="A334" i="28"/>
  <c r="H331" i="28"/>
  <c r="X332" i="28"/>
  <c r="S332" i="28"/>
  <c r="V332" i="28"/>
  <c r="U332" i="28"/>
  <c r="D333" i="28"/>
  <c r="G332" i="28"/>
  <c r="I332" i="28" s="1"/>
  <c r="T332" i="28"/>
  <c r="F332" i="28"/>
  <c r="W332" i="28"/>
  <c r="C333" i="28"/>
  <c r="E333" i="28" l="1"/>
  <c r="Q332" i="28"/>
  <c r="N332" i="28" s="1"/>
  <c r="P332" i="28"/>
  <c r="J331" i="28"/>
  <c r="R331" i="28"/>
  <c r="Y331" i="28"/>
  <c r="B334" i="28"/>
  <c r="A335" i="28"/>
  <c r="L331" i="28"/>
  <c r="M331" i="28" s="1"/>
  <c r="O331" i="28"/>
  <c r="K331" i="28"/>
  <c r="H332" i="28"/>
  <c r="T333" i="28"/>
  <c r="X333" i="28"/>
  <c r="F333" i="28"/>
  <c r="S333" i="28"/>
  <c r="G333" i="28"/>
  <c r="C334" i="28"/>
  <c r="W333" i="28"/>
  <c r="U333" i="28"/>
  <c r="V333" i="28"/>
  <c r="D334" i="28"/>
  <c r="I333" i="28"/>
  <c r="E334" i="28" l="1"/>
  <c r="P333" i="28"/>
  <c r="J332" i="28"/>
  <c r="R332" i="28"/>
  <c r="Y332" i="28"/>
  <c r="Q333" i="28"/>
  <c r="N333" i="28" s="1"/>
  <c r="K332" i="28"/>
  <c r="O332" i="28"/>
  <c r="L332" i="28"/>
  <c r="M332" i="28" s="1"/>
  <c r="B335" i="28"/>
  <c r="A336" i="28"/>
  <c r="H333" i="28"/>
  <c r="T334" i="28"/>
  <c r="U334" i="28"/>
  <c r="X334" i="28"/>
  <c r="W334" i="28"/>
  <c r="C335" i="28"/>
  <c r="F334" i="28"/>
  <c r="G334" i="28"/>
  <c r="I334" i="28" s="1"/>
  <c r="V334" i="28"/>
  <c r="S334" i="28"/>
  <c r="D335" i="28"/>
  <c r="E335" i="28" l="1"/>
  <c r="R333" i="28"/>
  <c r="Y333" i="28"/>
  <c r="P334" i="28"/>
  <c r="J333" i="28"/>
  <c r="Q334" i="28"/>
  <c r="N334" i="28" s="1"/>
  <c r="B336" i="28"/>
  <c r="A337" i="28"/>
  <c r="K333" i="28"/>
  <c r="L333" i="28"/>
  <c r="M333" i="28" s="1"/>
  <c r="O333" i="28"/>
  <c r="H334" i="28"/>
  <c r="S335" i="28"/>
  <c r="T335" i="28"/>
  <c r="W335" i="28"/>
  <c r="V335" i="28"/>
  <c r="D336" i="28"/>
  <c r="F335" i="28"/>
  <c r="U335" i="28"/>
  <c r="G335" i="28"/>
  <c r="I335" i="28" s="1"/>
  <c r="C336" i="28"/>
  <c r="X335" i="28"/>
  <c r="E336" i="28" l="1"/>
  <c r="P335" i="28"/>
  <c r="J334" i="28"/>
  <c r="Q335" i="28"/>
  <c r="N335" i="28" s="1"/>
  <c r="R334" i="28"/>
  <c r="Y334" i="28"/>
  <c r="B337" i="28"/>
  <c r="A338" i="28"/>
  <c r="K334" i="28"/>
  <c r="L334" i="28"/>
  <c r="M334" i="28" s="1"/>
  <c r="O334" i="28"/>
  <c r="H335" i="28"/>
  <c r="X336" i="28"/>
  <c r="S336" i="28"/>
  <c r="V336" i="28"/>
  <c r="U336" i="28"/>
  <c r="D337" i="28"/>
  <c r="W336" i="28"/>
  <c r="G336" i="28"/>
  <c r="I336" i="28" s="1"/>
  <c r="T336" i="28"/>
  <c r="F336" i="28"/>
  <c r="C337" i="28"/>
  <c r="Q336" i="28" l="1"/>
  <c r="N336" i="28" s="1"/>
  <c r="J335" i="28"/>
  <c r="E337" i="28"/>
  <c r="P336" i="28"/>
  <c r="R335" i="28"/>
  <c r="Y335" i="28"/>
  <c r="B338" i="28"/>
  <c r="A339" i="28"/>
  <c r="L335" i="28"/>
  <c r="M335" i="28" s="1"/>
  <c r="O335" i="28"/>
  <c r="K335" i="28"/>
  <c r="H336" i="28"/>
  <c r="W337" i="28"/>
  <c r="V337" i="28"/>
  <c r="U337" i="28"/>
  <c r="X337" i="28"/>
  <c r="D338" i="28"/>
  <c r="C338" i="28"/>
  <c r="G337" i="28"/>
  <c r="I337" i="28" s="1"/>
  <c r="F337" i="28"/>
  <c r="S337" i="28"/>
  <c r="T337" i="28"/>
  <c r="Q337" i="28" l="1"/>
  <c r="N337" i="28" s="1"/>
  <c r="J336" i="28"/>
  <c r="E338" i="28"/>
  <c r="R336" i="28"/>
  <c r="Y336" i="28"/>
  <c r="P337" i="28"/>
  <c r="B339" i="28"/>
  <c r="A340" i="28"/>
  <c r="K336" i="28"/>
  <c r="O336" i="28"/>
  <c r="L336" i="28"/>
  <c r="M336" i="28" s="1"/>
  <c r="H337" i="28"/>
  <c r="T338" i="28"/>
  <c r="S338" i="28"/>
  <c r="X338" i="28"/>
  <c r="U338" i="28"/>
  <c r="D339" i="28"/>
  <c r="W338" i="28"/>
  <c r="V338" i="28"/>
  <c r="F338" i="28"/>
  <c r="C339" i="28"/>
  <c r="G338" i="28"/>
  <c r="I338" i="28" s="1"/>
  <c r="Q338" i="28" l="1"/>
  <c r="N338" i="28" s="1"/>
  <c r="J337" i="28"/>
  <c r="E339" i="28"/>
  <c r="P338" i="28"/>
  <c r="R337" i="28"/>
  <c r="Y337" i="28"/>
  <c r="B340" i="28"/>
  <c r="A341" i="28"/>
  <c r="L337" i="28"/>
  <c r="M337" i="28" s="1"/>
  <c r="O337" i="28"/>
  <c r="K337" i="28"/>
  <c r="H338" i="28"/>
  <c r="S339" i="28"/>
  <c r="T339" i="28"/>
  <c r="W339" i="28"/>
  <c r="V339" i="28"/>
  <c r="C340" i="28"/>
  <c r="X339" i="28"/>
  <c r="F339" i="28"/>
  <c r="U339" i="28"/>
  <c r="G339" i="28"/>
  <c r="I339" i="28" s="1"/>
  <c r="D340" i="28"/>
  <c r="J338" i="28" l="1"/>
  <c r="Q339" i="28"/>
  <c r="N339" i="28" s="1"/>
  <c r="E340" i="28"/>
  <c r="P339" i="28"/>
  <c r="R338" i="28"/>
  <c r="Y338" i="28"/>
  <c r="B341" i="28"/>
  <c r="A342" i="28"/>
  <c r="K338" i="28"/>
  <c r="L338" i="28"/>
  <c r="M338" i="28" s="1"/>
  <c r="O338" i="28"/>
  <c r="H339" i="28"/>
  <c r="V340" i="28"/>
  <c r="W340" i="28"/>
  <c r="G340" i="28"/>
  <c r="U340" i="28"/>
  <c r="D341" i="28"/>
  <c r="I340" i="28"/>
  <c r="X340" i="28"/>
  <c r="S340" i="28"/>
  <c r="T340" i="28"/>
  <c r="F340" i="28"/>
  <c r="C341" i="28"/>
  <c r="Q340" i="28" l="1"/>
  <c r="N340" i="28" s="1"/>
  <c r="J339" i="28"/>
  <c r="E341" i="28"/>
  <c r="P340" i="28"/>
  <c r="R339" i="28"/>
  <c r="Y339" i="28"/>
  <c r="B342" i="28"/>
  <c r="A343" i="28"/>
  <c r="O339" i="28"/>
  <c r="K339" i="28"/>
  <c r="L339" i="28"/>
  <c r="M339" i="28" s="1"/>
  <c r="H340" i="28"/>
  <c r="W341" i="28"/>
  <c r="T341" i="28"/>
  <c r="U341" i="28"/>
  <c r="V341" i="28"/>
  <c r="D342" i="28"/>
  <c r="X341" i="28"/>
  <c r="F341" i="28"/>
  <c r="S341" i="28"/>
  <c r="G341" i="28"/>
  <c r="I341" i="28" s="1"/>
  <c r="C342" i="28"/>
  <c r="J340" i="28" l="1"/>
  <c r="Q341" i="28"/>
  <c r="N341" i="28" s="1"/>
  <c r="E342" i="28"/>
  <c r="P341" i="28"/>
  <c r="R340" i="28"/>
  <c r="Y340" i="28"/>
  <c r="B343" i="28"/>
  <c r="A344" i="28"/>
  <c r="K340" i="28"/>
  <c r="O340" i="28"/>
  <c r="L340" i="28"/>
  <c r="M340" i="28" s="1"/>
  <c r="H341" i="28"/>
  <c r="T342" i="28"/>
  <c r="U342" i="28"/>
  <c r="X342" i="28"/>
  <c r="W342" i="28"/>
  <c r="C343" i="28"/>
  <c r="F342" i="28"/>
  <c r="G342" i="28"/>
  <c r="I342" i="28" s="1"/>
  <c r="V342" i="28"/>
  <c r="S342" i="28"/>
  <c r="D343" i="28"/>
  <c r="J341" i="28" l="1"/>
  <c r="Q342" i="28"/>
  <c r="N342" i="28" s="1"/>
  <c r="E343" i="28"/>
  <c r="R341" i="28"/>
  <c r="Y341" i="28"/>
  <c r="P342" i="28"/>
  <c r="B344" i="28"/>
  <c r="A345" i="28"/>
  <c r="L341" i="28"/>
  <c r="M341" i="28" s="1"/>
  <c r="O341" i="28"/>
  <c r="K341" i="28"/>
  <c r="H342" i="28"/>
  <c r="S343" i="28"/>
  <c r="D344" i="28"/>
  <c r="X343" i="28"/>
  <c r="F343" i="28"/>
  <c r="U343" i="28"/>
  <c r="G343" i="28"/>
  <c r="C344" i="28"/>
  <c r="T343" i="28"/>
  <c r="W343" i="28"/>
  <c r="V343" i="28"/>
  <c r="I343" i="28"/>
  <c r="J342" i="28" l="1"/>
  <c r="Q343" i="28"/>
  <c r="N343" i="28" s="1"/>
  <c r="E344" i="28"/>
  <c r="P343" i="28"/>
  <c r="R342" i="28"/>
  <c r="Y342" i="28"/>
  <c r="B345" i="28"/>
  <c r="A346" i="28"/>
  <c r="K342" i="28"/>
  <c r="L342" i="28"/>
  <c r="M342" i="28" s="1"/>
  <c r="O342" i="28"/>
  <c r="H343" i="28"/>
  <c r="X344" i="28"/>
  <c r="S344" i="28"/>
  <c r="V344" i="28"/>
  <c r="U344" i="28"/>
  <c r="D345" i="28"/>
  <c r="W344" i="28"/>
  <c r="G344" i="28"/>
  <c r="I344" i="28" s="1"/>
  <c r="F344" i="28"/>
  <c r="C345" i="28"/>
  <c r="T344" i="28"/>
  <c r="Q344" i="28" l="1"/>
  <c r="N344" i="28" s="1"/>
  <c r="J343" i="28"/>
  <c r="E345" i="28"/>
  <c r="P344" i="28"/>
  <c r="R343" i="28"/>
  <c r="Y343" i="28"/>
  <c r="B346" i="28"/>
  <c r="A347" i="28"/>
  <c r="K343" i="28"/>
  <c r="L343" i="28"/>
  <c r="M343" i="28" s="1"/>
  <c r="O343" i="28"/>
  <c r="H344" i="28"/>
  <c r="W345" i="28"/>
  <c r="V345" i="28"/>
  <c r="U345" i="28"/>
  <c r="X345" i="28"/>
  <c r="D346" i="28"/>
  <c r="G345" i="28"/>
  <c r="I345" i="28" s="1"/>
  <c r="S345" i="28"/>
  <c r="T345" i="28"/>
  <c r="C346" i="28"/>
  <c r="F345" i="28"/>
  <c r="Q345" i="28" l="1"/>
  <c r="N345" i="28" s="1"/>
  <c r="J344" i="28"/>
  <c r="E346" i="28"/>
  <c r="R344" i="28"/>
  <c r="Y344" i="28"/>
  <c r="P345" i="28"/>
  <c r="B347" i="28"/>
  <c r="A348" i="28"/>
  <c r="L344" i="28"/>
  <c r="M344" i="28" s="1"/>
  <c r="K344" i="28"/>
  <c r="O344" i="28"/>
  <c r="H345" i="28"/>
  <c r="X346" i="28"/>
  <c r="U346" i="28"/>
  <c r="T346" i="28"/>
  <c r="S346" i="28"/>
  <c r="D347" i="28"/>
  <c r="V346" i="28"/>
  <c r="F346" i="28"/>
  <c r="W346" i="28"/>
  <c r="G346" i="28"/>
  <c r="I346" i="28" s="1"/>
  <c r="C347" i="28"/>
  <c r="J345" i="28" l="1"/>
  <c r="Q346" i="28"/>
  <c r="N346" i="28" s="1"/>
  <c r="E347" i="28"/>
  <c r="P346" i="28"/>
  <c r="R345" i="28"/>
  <c r="Y345" i="28"/>
  <c r="B348" i="28"/>
  <c r="A349" i="28"/>
  <c r="O345" i="28"/>
  <c r="K345" i="28"/>
  <c r="L345" i="28"/>
  <c r="M345" i="28" s="1"/>
  <c r="H346" i="28"/>
  <c r="G347" i="28"/>
  <c r="U347" i="28"/>
  <c r="F347" i="28"/>
  <c r="T347" i="28"/>
  <c r="D348" i="28"/>
  <c r="I347" i="28"/>
  <c r="V347" i="28"/>
  <c r="W347" i="28"/>
  <c r="X347" i="28"/>
  <c r="S347" i="28"/>
  <c r="C348" i="28"/>
  <c r="Q347" i="28" l="1"/>
  <c r="N347" i="28" s="1"/>
  <c r="P347" i="28"/>
  <c r="K347" i="28" s="1"/>
  <c r="J346" i="28"/>
  <c r="E348" i="28"/>
  <c r="R346" i="28"/>
  <c r="Y346" i="28"/>
  <c r="B349" i="28"/>
  <c r="A350" i="28"/>
  <c r="K346" i="28"/>
  <c r="L346" i="28"/>
  <c r="M346" i="28" s="1"/>
  <c r="O346" i="28"/>
  <c r="H347" i="28"/>
  <c r="O347" i="28"/>
  <c r="L347" i="28"/>
  <c r="M347" i="28" s="1"/>
  <c r="X348" i="28"/>
  <c r="S348" i="28"/>
  <c r="V348" i="28"/>
  <c r="U348" i="28"/>
  <c r="D349" i="28"/>
  <c r="G348" i="28"/>
  <c r="I348" i="28" s="1"/>
  <c r="T348" i="28"/>
  <c r="F348" i="28"/>
  <c r="C349" i="28"/>
  <c r="W348" i="28"/>
  <c r="Q348" i="28" l="1"/>
  <c r="N348" i="28" s="1"/>
  <c r="J347" i="28"/>
  <c r="E349" i="28"/>
  <c r="P348" i="28"/>
  <c r="R347" i="28"/>
  <c r="Y347" i="28"/>
  <c r="B350" i="28"/>
  <c r="A351" i="28"/>
  <c r="H348" i="28"/>
  <c r="X349" i="28"/>
  <c r="W349" i="28"/>
  <c r="T349" i="28"/>
  <c r="U349" i="28"/>
  <c r="V349" i="28"/>
  <c r="D350" i="28"/>
  <c r="F349" i="28"/>
  <c r="S349" i="28"/>
  <c r="G349" i="28"/>
  <c r="I349" i="28" s="1"/>
  <c r="C350" i="28"/>
  <c r="J348" i="28" l="1"/>
  <c r="Q349" i="28"/>
  <c r="N349" i="28" s="1"/>
  <c r="E350" i="28"/>
  <c r="P349" i="28"/>
  <c r="R348" i="28"/>
  <c r="Y348" i="28"/>
  <c r="B351" i="28"/>
  <c r="A352" i="28"/>
  <c r="K348" i="28"/>
  <c r="O348" i="28"/>
  <c r="L348" i="28"/>
  <c r="M348" i="28" s="1"/>
  <c r="H349" i="28"/>
  <c r="F350" i="28"/>
  <c r="G350" i="28"/>
  <c r="V350" i="28"/>
  <c r="S350" i="28"/>
  <c r="D351" i="28"/>
  <c r="T350" i="28"/>
  <c r="U350" i="28"/>
  <c r="X350" i="28"/>
  <c r="W350" i="28"/>
  <c r="C351" i="28"/>
  <c r="I350" i="28"/>
  <c r="J349" i="28" l="1"/>
  <c r="Q350" i="28"/>
  <c r="N350" i="28" s="1"/>
  <c r="E351" i="28"/>
  <c r="R349" i="28"/>
  <c r="Y349" i="28"/>
  <c r="P350" i="28"/>
  <c r="B352" i="28"/>
  <c r="A353" i="28"/>
  <c r="K349" i="28"/>
  <c r="L349" i="28"/>
  <c r="M349" i="28" s="1"/>
  <c r="O349" i="28"/>
  <c r="H350" i="28"/>
  <c r="G351" i="28"/>
  <c r="U351" i="28"/>
  <c r="T351" i="28"/>
  <c r="F351" i="28"/>
  <c r="D352" i="28"/>
  <c r="I351" i="28"/>
  <c r="V351" i="28"/>
  <c r="W351" i="28"/>
  <c r="X351" i="28"/>
  <c r="S351" i="28"/>
  <c r="C352" i="28"/>
  <c r="Y350" i="28" l="1"/>
  <c r="R350" i="28"/>
  <c r="Q351" i="28"/>
  <c r="N351" i="28" s="1"/>
  <c r="P351" i="28"/>
  <c r="K351" i="28" s="1"/>
  <c r="J350" i="28"/>
  <c r="H351" i="28"/>
  <c r="E352" i="28"/>
  <c r="B353" i="28"/>
  <c r="A354" i="28"/>
  <c r="K350" i="28"/>
  <c r="L350" i="28"/>
  <c r="M350" i="28" s="1"/>
  <c r="O350" i="28"/>
  <c r="L351" i="28"/>
  <c r="M351" i="28" s="1"/>
  <c r="W352" i="28"/>
  <c r="G352" i="28"/>
  <c r="T352" i="28"/>
  <c r="F352" i="28"/>
  <c r="C353" i="28"/>
  <c r="X352" i="28"/>
  <c r="S352" i="28"/>
  <c r="V352" i="28"/>
  <c r="U352" i="28"/>
  <c r="D353" i="28"/>
  <c r="I352" i="28"/>
  <c r="O351" i="28" l="1"/>
  <c r="Q352" i="28"/>
  <c r="N352" i="28" s="1"/>
  <c r="J351" i="28"/>
  <c r="E353" i="28"/>
  <c r="P352" i="28"/>
  <c r="R351" i="28"/>
  <c r="Y351" i="28"/>
  <c r="B354" i="28"/>
  <c r="A355" i="28"/>
  <c r="H352" i="28"/>
  <c r="V353" i="28"/>
  <c r="G353" i="28"/>
  <c r="U353" i="28"/>
  <c r="X353" i="28"/>
  <c r="D354" i="28"/>
  <c r="I353" i="28"/>
  <c r="W353" i="28"/>
  <c r="F353" i="28"/>
  <c r="S353" i="28"/>
  <c r="T353" i="28"/>
  <c r="C354" i="28"/>
  <c r="Q353" i="28" l="1"/>
  <c r="N353" i="28" s="1"/>
  <c r="J352" i="28"/>
  <c r="E354" i="28"/>
  <c r="R352" i="28"/>
  <c r="Y352" i="28"/>
  <c r="P353" i="28"/>
  <c r="B355" i="28"/>
  <c r="A356" i="28"/>
  <c r="K352" i="28"/>
  <c r="O352" i="28"/>
  <c r="L352" i="28"/>
  <c r="M352" i="28" s="1"/>
  <c r="H353" i="28"/>
  <c r="T354" i="28"/>
  <c r="S354" i="28"/>
  <c r="X354" i="28"/>
  <c r="U354" i="28"/>
  <c r="D355" i="28"/>
  <c r="G354" i="28"/>
  <c r="I354" i="28" s="1"/>
  <c r="V354" i="28"/>
  <c r="F354" i="28"/>
  <c r="W354" i="28"/>
  <c r="C355" i="28"/>
  <c r="Q354" i="28" l="1"/>
  <c r="N354" i="28" s="1"/>
  <c r="J353" i="28"/>
  <c r="E355" i="28"/>
  <c r="P354" i="28"/>
  <c r="R353" i="28"/>
  <c r="Y353" i="28"/>
  <c r="B356" i="28"/>
  <c r="A357" i="28"/>
  <c r="L353" i="28"/>
  <c r="M353" i="28" s="1"/>
  <c r="O353" i="28"/>
  <c r="K353" i="28"/>
  <c r="H354" i="28"/>
  <c r="X355" i="28"/>
  <c r="S355" i="28"/>
  <c r="W355" i="28"/>
  <c r="V355" i="28"/>
  <c r="C356" i="28"/>
  <c r="F355" i="28"/>
  <c r="T355" i="28"/>
  <c r="U355" i="28"/>
  <c r="G355" i="28"/>
  <c r="I355" i="28" s="1"/>
  <c r="D356" i="28"/>
  <c r="J354" i="28" l="1"/>
  <c r="Q355" i="28"/>
  <c r="N355" i="28" s="1"/>
  <c r="E356" i="28"/>
  <c r="P355" i="28"/>
  <c r="R354" i="28"/>
  <c r="Y354" i="28"/>
  <c r="B357" i="28"/>
  <c r="A358" i="28"/>
  <c r="K354" i="28"/>
  <c r="L354" i="28"/>
  <c r="M354" i="28" s="1"/>
  <c r="O354" i="28"/>
  <c r="H355" i="28"/>
  <c r="F356" i="28"/>
  <c r="T356" i="28"/>
  <c r="G356" i="28"/>
  <c r="X356" i="28"/>
  <c r="D357" i="28"/>
  <c r="I356" i="28"/>
  <c r="U356" i="28"/>
  <c r="V356" i="28"/>
  <c r="W356" i="28"/>
  <c r="S356" i="28"/>
  <c r="C357" i="28"/>
  <c r="Y355" i="28" l="1"/>
  <c r="R355" i="28"/>
  <c r="P356" i="28"/>
  <c r="J355" i="28"/>
  <c r="Q356" i="28"/>
  <c r="N356" i="28" s="1"/>
  <c r="H356" i="28"/>
  <c r="E357" i="28"/>
  <c r="B358" i="28"/>
  <c r="A359" i="28"/>
  <c r="O355" i="28"/>
  <c r="K355" i="28"/>
  <c r="L355" i="28"/>
  <c r="M355" i="28" s="1"/>
  <c r="K356" i="28"/>
  <c r="O356" i="28"/>
  <c r="L356" i="28"/>
  <c r="M356" i="28" s="1"/>
  <c r="X357" i="28"/>
  <c r="F357" i="28"/>
  <c r="S357" i="28"/>
  <c r="G357" i="28"/>
  <c r="C358" i="28"/>
  <c r="W357" i="28"/>
  <c r="T357" i="28"/>
  <c r="U357" i="28"/>
  <c r="V357" i="28"/>
  <c r="D358" i="28"/>
  <c r="I357" i="28"/>
  <c r="J356" i="28" l="1"/>
  <c r="Q357" i="28"/>
  <c r="N357" i="28" s="1"/>
  <c r="E358" i="28"/>
  <c r="P357" i="28"/>
  <c r="R356" i="28"/>
  <c r="Y356" i="28"/>
  <c r="B359" i="28"/>
  <c r="A360" i="28"/>
  <c r="H357" i="28"/>
  <c r="F358" i="28"/>
  <c r="G358" i="28"/>
  <c r="V358" i="28"/>
  <c r="S358" i="28"/>
  <c r="D359" i="28"/>
  <c r="T358" i="28"/>
  <c r="U358" i="28"/>
  <c r="X358" i="28"/>
  <c r="W358" i="28"/>
  <c r="C359" i="28"/>
  <c r="I358" i="28"/>
  <c r="J357" i="28" l="1"/>
  <c r="Q358" i="28"/>
  <c r="N358" i="28" s="1"/>
  <c r="E359" i="28"/>
  <c r="R357" i="28"/>
  <c r="Y357" i="28"/>
  <c r="P358" i="28"/>
  <c r="B360" i="28"/>
  <c r="A361" i="28"/>
  <c r="K357" i="28"/>
  <c r="L357" i="28"/>
  <c r="M357" i="28" s="1"/>
  <c r="O357" i="28"/>
  <c r="H358" i="28"/>
  <c r="F359" i="28"/>
  <c r="X359" i="28"/>
  <c r="G359" i="28"/>
  <c r="W359" i="28"/>
  <c r="C360" i="28"/>
  <c r="I359" i="28"/>
  <c r="S359" i="28"/>
  <c r="U359" i="28"/>
  <c r="V359" i="28"/>
  <c r="D360" i="28"/>
  <c r="T359" i="28"/>
  <c r="P359" i="28" l="1"/>
  <c r="J358" i="28"/>
  <c r="R358" i="28"/>
  <c r="Y358" i="28"/>
  <c r="Q359" i="28"/>
  <c r="N359" i="28" s="1"/>
  <c r="H359" i="28"/>
  <c r="E360" i="28"/>
  <c r="B361" i="28"/>
  <c r="A362" i="28"/>
  <c r="O358" i="28"/>
  <c r="K358" i="28"/>
  <c r="L358" i="28"/>
  <c r="M358" i="28" s="1"/>
  <c r="K359" i="28"/>
  <c r="L359" i="28"/>
  <c r="M359" i="28" s="1"/>
  <c r="O359" i="28"/>
  <c r="V360" i="28"/>
  <c r="F360" i="28"/>
  <c r="W360" i="28"/>
  <c r="G360" i="28"/>
  <c r="D361" i="28"/>
  <c r="T360" i="28"/>
  <c r="U360" i="28"/>
  <c r="X360" i="28"/>
  <c r="S360" i="28"/>
  <c r="C361" i="28"/>
  <c r="I360" i="28"/>
  <c r="J359" i="28" l="1"/>
  <c r="Q360" i="28"/>
  <c r="N360" i="28" s="1"/>
  <c r="E361" i="28"/>
  <c r="P360" i="28"/>
  <c r="R359" i="28"/>
  <c r="Y359" i="28"/>
  <c r="B362" i="28"/>
  <c r="A363" i="28"/>
  <c r="H360" i="28"/>
  <c r="S361" i="28"/>
  <c r="T361" i="28"/>
  <c r="G361" i="28"/>
  <c r="F361" i="28"/>
  <c r="D362" i="28"/>
  <c r="U361" i="28"/>
  <c r="X361" i="28"/>
  <c r="W361" i="28"/>
  <c r="V361" i="28"/>
  <c r="C362" i="28"/>
  <c r="I361" i="28"/>
  <c r="Q361" i="28" l="1"/>
  <c r="N361" i="28" s="1"/>
  <c r="J360" i="28"/>
  <c r="E362" i="28"/>
  <c r="P361" i="28"/>
  <c r="R360" i="28"/>
  <c r="Y360" i="28"/>
  <c r="B363" i="28"/>
  <c r="A364" i="28"/>
  <c r="K360" i="28"/>
  <c r="O360" i="28"/>
  <c r="L360" i="28"/>
  <c r="M360" i="28" s="1"/>
  <c r="H361" i="28"/>
  <c r="S362" i="28"/>
  <c r="W362" i="28"/>
  <c r="X362" i="28"/>
  <c r="C363" i="28"/>
  <c r="T362" i="28"/>
  <c r="G362" i="28"/>
  <c r="V362" i="28"/>
  <c r="F362" i="28"/>
  <c r="D363" i="28"/>
  <c r="U362" i="28"/>
  <c r="I362" i="28"/>
  <c r="Q362" i="28" l="1"/>
  <c r="N362" i="28" s="1"/>
  <c r="J361" i="28"/>
  <c r="E363" i="28"/>
  <c r="P362" i="28"/>
  <c r="R361" i="28"/>
  <c r="Y361" i="28"/>
  <c r="B364" i="28"/>
  <c r="A365" i="28"/>
  <c r="L361" i="28"/>
  <c r="M361" i="28" s="1"/>
  <c r="O361" i="28"/>
  <c r="K361" i="28"/>
  <c r="H362" i="28"/>
  <c r="U363" i="28"/>
  <c r="G363" i="28"/>
  <c r="X363" i="28"/>
  <c r="F363" i="28"/>
  <c r="D364" i="28"/>
  <c r="W363" i="28"/>
  <c r="V363" i="28"/>
  <c r="S363" i="28"/>
  <c r="T363" i="28"/>
  <c r="C364" i="28"/>
  <c r="I363" i="28"/>
  <c r="E364" i="28" l="1"/>
  <c r="Q363" i="28"/>
  <c r="N363" i="28" s="1"/>
  <c r="J362" i="28"/>
  <c r="R362" i="28"/>
  <c r="Y362" i="28"/>
  <c r="P363" i="28"/>
  <c r="B365" i="28"/>
  <c r="A366" i="28"/>
  <c r="O362" i="28"/>
  <c r="K362" i="28"/>
  <c r="L362" i="28"/>
  <c r="M362" i="28" s="1"/>
  <c r="H363" i="28"/>
  <c r="G364" i="28"/>
  <c r="W364" i="28"/>
  <c r="F364" i="28"/>
  <c r="T364" i="28"/>
  <c r="C365" i="28"/>
  <c r="I364" i="28"/>
  <c r="S364" i="28"/>
  <c r="X364" i="28"/>
  <c r="U364" i="28"/>
  <c r="V364" i="28"/>
  <c r="D365" i="28"/>
  <c r="E365" i="28" l="1"/>
  <c r="Q364" i="28"/>
  <c r="N364" i="28" s="1"/>
  <c r="R363" i="28"/>
  <c r="Y363" i="28"/>
  <c r="P364" i="28"/>
  <c r="J363" i="28"/>
  <c r="B366" i="28"/>
  <c r="A367" i="28"/>
  <c r="K363" i="28"/>
  <c r="L363" i="28"/>
  <c r="M363" i="28" s="1"/>
  <c r="O363" i="28"/>
  <c r="H364" i="28"/>
  <c r="W365" i="28"/>
  <c r="U365" i="28"/>
  <c r="V365" i="28"/>
  <c r="T365" i="28"/>
  <c r="D366" i="28"/>
  <c r="X365" i="28"/>
  <c r="G365" i="28"/>
  <c r="I365" i="28" s="1"/>
  <c r="F365" i="28"/>
  <c r="C366" i="28"/>
  <c r="S365" i="28"/>
  <c r="E366" i="28" l="1"/>
  <c r="Q365" i="28"/>
  <c r="N365" i="28" s="1"/>
  <c r="P365" i="28"/>
  <c r="J364" i="28"/>
  <c r="R364" i="28"/>
  <c r="Y364" i="28"/>
  <c r="K364" i="28"/>
  <c r="O364" i="28"/>
  <c r="L364" i="28"/>
  <c r="M364" i="28" s="1"/>
  <c r="B367" i="28"/>
  <c r="A368" i="28"/>
  <c r="H365" i="28"/>
  <c r="T366" i="28"/>
  <c r="U366" i="28"/>
  <c r="X366" i="28"/>
  <c r="W366" i="28"/>
  <c r="C367" i="28"/>
  <c r="G366" i="28"/>
  <c r="I366" i="28" s="1"/>
  <c r="V366" i="28"/>
  <c r="S366" i="28"/>
  <c r="D367" i="28"/>
  <c r="F366" i="28"/>
  <c r="E367" i="28" l="1"/>
  <c r="R365" i="28"/>
  <c r="Y365" i="28"/>
  <c r="P366" i="28"/>
  <c r="J365" i="28"/>
  <c r="Q366" i="28"/>
  <c r="N366" i="28" s="1"/>
  <c r="B368" i="28"/>
  <c r="A369" i="28"/>
  <c r="K365" i="28"/>
  <c r="L365" i="28"/>
  <c r="M365" i="28" s="1"/>
  <c r="O365" i="28"/>
  <c r="H366" i="28"/>
  <c r="S367" i="28"/>
  <c r="T367" i="28"/>
  <c r="W367" i="28"/>
  <c r="V367" i="28"/>
  <c r="D368" i="28"/>
  <c r="X367" i="28"/>
  <c r="F367" i="28"/>
  <c r="U367" i="28"/>
  <c r="G367" i="28"/>
  <c r="I367" i="28" s="1"/>
  <c r="C368" i="28"/>
  <c r="E368" i="28" l="1"/>
  <c r="P367" i="28"/>
  <c r="J366" i="28"/>
  <c r="Q367" i="28"/>
  <c r="N367" i="28" s="1"/>
  <c r="R366" i="28"/>
  <c r="Y366" i="28"/>
  <c r="B369" i="28"/>
  <c r="A370" i="28"/>
  <c r="O366" i="28"/>
  <c r="K366" i="28"/>
  <c r="L366" i="28"/>
  <c r="M366" i="28" s="1"/>
  <c r="H367" i="28"/>
  <c r="F368" i="28"/>
  <c r="C369" i="28"/>
  <c r="V368" i="28"/>
  <c r="U368" i="28"/>
  <c r="W368" i="28"/>
  <c r="G368" i="28"/>
  <c r="D369" i="28"/>
  <c r="T368" i="28"/>
  <c r="X368" i="28"/>
  <c r="S368" i="28"/>
  <c r="I368" i="28"/>
  <c r="E369" i="28" l="1"/>
  <c r="P368" i="28"/>
  <c r="J367" i="28"/>
  <c r="R367" i="28"/>
  <c r="Y367" i="28"/>
  <c r="Q368" i="28"/>
  <c r="N368" i="28" s="1"/>
  <c r="B370" i="28"/>
  <c r="A371" i="28"/>
  <c r="K367" i="28"/>
  <c r="L367" i="28"/>
  <c r="M367" i="28" s="1"/>
  <c r="O367" i="28"/>
  <c r="H368" i="28"/>
  <c r="U369" i="28"/>
  <c r="X369" i="28"/>
  <c r="W369" i="28"/>
  <c r="V369" i="28"/>
  <c r="C370" i="28"/>
  <c r="S369" i="28"/>
  <c r="G369" i="28"/>
  <c r="I369" i="28" s="1"/>
  <c r="F369" i="28"/>
  <c r="D370" i="28"/>
  <c r="T369" i="28"/>
  <c r="E370" i="28" l="1"/>
  <c r="Q369" i="28"/>
  <c r="N369" i="28" s="1"/>
  <c r="P369" i="28"/>
  <c r="J368" i="28"/>
  <c r="R368" i="28"/>
  <c r="Y368" i="28"/>
  <c r="B371" i="28"/>
  <c r="A372" i="28"/>
  <c r="L368" i="28"/>
  <c r="M368" i="28" s="1"/>
  <c r="O368" i="28"/>
  <c r="K368" i="28"/>
  <c r="H369" i="28"/>
  <c r="V370" i="28"/>
  <c r="U370" i="28"/>
  <c r="T370" i="28"/>
  <c r="S370" i="28"/>
  <c r="C371" i="28"/>
  <c r="F370" i="28"/>
  <c r="W370" i="28"/>
  <c r="G370" i="28"/>
  <c r="I370" i="28" s="1"/>
  <c r="D371" i="28"/>
  <c r="X370" i="28"/>
  <c r="E371" i="28" l="1"/>
  <c r="P370" i="28"/>
  <c r="J369" i="28"/>
  <c r="R369" i="28"/>
  <c r="Y369" i="28"/>
  <c r="Q370" i="28"/>
  <c r="N370" i="28" s="1"/>
  <c r="K369" i="28"/>
  <c r="L369" i="28"/>
  <c r="M369" i="28" s="1"/>
  <c r="O369" i="28"/>
  <c r="B372" i="28"/>
  <c r="A373" i="28"/>
  <c r="H370" i="28"/>
  <c r="V371" i="28"/>
  <c r="U371" i="28"/>
  <c r="S371" i="28"/>
  <c r="T371" i="28"/>
  <c r="C372" i="28"/>
  <c r="G371" i="28"/>
  <c r="I371" i="28" s="1"/>
  <c r="X371" i="28"/>
  <c r="D372" i="28"/>
  <c r="W371" i="28"/>
  <c r="F371" i="28"/>
  <c r="E372" i="28" l="1"/>
  <c r="Q371" i="28"/>
  <c r="N371" i="28" s="1"/>
  <c r="R370" i="28"/>
  <c r="Y370" i="28"/>
  <c r="P371" i="28"/>
  <c r="J370" i="28"/>
  <c r="B373" i="28"/>
  <c r="A374" i="28"/>
  <c r="O370" i="28"/>
  <c r="K370" i="28"/>
  <c r="L370" i="28"/>
  <c r="M370" i="28" s="1"/>
  <c r="H371" i="28"/>
  <c r="V372" i="28"/>
  <c r="U372" i="28"/>
  <c r="X372" i="28"/>
  <c r="S372" i="28"/>
  <c r="C373" i="28"/>
  <c r="T372" i="28"/>
  <c r="F372" i="28"/>
  <c r="W372" i="28"/>
  <c r="G372" i="28"/>
  <c r="I372" i="28" s="1"/>
  <c r="D373" i="28"/>
  <c r="E373" i="28" l="1"/>
  <c r="P372" i="28"/>
  <c r="J371" i="28"/>
  <c r="R371" i="28"/>
  <c r="Y371" i="28"/>
  <c r="Q372" i="28"/>
  <c r="N372" i="28" s="1"/>
  <c r="K371" i="28"/>
  <c r="L371" i="28"/>
  <c r="M371" i="28" s="1"/>
  <c r="O371" i="28"/>
  <c r="B374" i="28"/>
  <c r="A375" i="28"/>
  <c r="H372" i="28"/>
  <c r="U373" i="28"/>
  <c r="V373" i="28"/>
  <c r="W373" i="28"/>
  <c r="T373" i="28"/>
  <c r="C374" i="28"/>
  <c r="S373" i="28"/>
  <c r="G373" i="28"/>
  <c r="I373" i="28" s="1"/>
  <c r="F373" i="28"/>
  <c r="D374" i="28"/>
  <c r="X373" i="28"/>
  <c r="E374" i="28" l="1"/>
  <c r="Q373" i="28"/>
  <c r="N373" i="28" s="1"/>
  <c r="P373" i="28"/>
  <c r="J372" i="28"/>
  <c r="R372" i="28"/>
  <c r="Y372" i="28"/>
  <c r="B375" i="28"/>
  <c r="A376" i="28"/>
  <c r="K372" i="28"/>
  <c r="O372" i="28"/>
  <c r="L372" i="28"/>
  <c r="M372" i="28" s="1"/>
  <c r="H373" i="28"/>
  <c r="F374" i="28"/>
  <c r="G374" i="28"/>
  <c r="I374" i="28" s="1"/>
  <c r="V374" i="28"/>
  <c r="S374" i="28"/>
  <c r="D375" i="28"/>
  <c r="T374" i="28"/>
  <c r="U374" i="28"/>
  <c r="X374" i="28"/>
  <c r="W374" i="28"/>
  <c r="C375" i="28"/>
  <c r="E375" i="28" l="1"/>
  <c r="R373" i="28"/>
  <c r="Y373" i="28"/>
  <c r="P374" i="28"/>
  <c r="J373" i="28"/>
  <c r="Q374" i="28"/>
  <c r="N374" i="28" s="1"/>
  <c r="L373" i="28"/>
  <c r="M373" i="28" s="1"/>
  <c r="O373" i="28"/>
  <c r="K373" i="28"/>
  <c r="B376" i="28"/>
  <c r="A377" i="28"/>
  <c r="H374" i="28"/>
  <c r="S375" i="28"/>
  <c r="T375" i="28"/>
  <c r="W375" i="28"/>
  <c r="V375" i="28"/>
  <c r="D376" i="28"/>
  <c r="X375" i="28"/>
  <c r="F375" i="28"/>
  <c r="U375" i="28"/>
  <c r="G375" i="28"/>
  <c r="I375" i="28" s="1"/>
  <c r="C376" i="28"/>
  <c r="E376" i="28" l="1"/>
  <c r="P375" i="28"/>
  <c r="J374" i="28"/>
  <c r="Q375" i="28"/>
  <c r="N375" i="28" s="1"/>
  <c r="R374" i="28"/>
  <c r="Y374" i="28"/>
  <c r="B377" i="28"/>
  <c r="A378" i="28"/>
  <c r="K374" i="28"/>
  <c r="L374" i="28"/>
  <c r="M374" i="28" s="1"/>
  <c r="O374" i="28"/>
  <c r="H375" i="28"/>
  <c r="W376" i="28"/>
  <c r="S376" i="28"/>
  <c r="V376" i="28"/>
  <c r="U376" i="28"/>
  <c r="D377" i="28"/>
  <c r="X376" i="28"/>
  <c r="G376" i="28"/>
  <c r="I376" i="28" s="1"/>
  <c r="F376" i="28"/>
  <c r="C377" i="28"/>
  <c r="T376" i="28"/>
  <c r="E377" i="28" l="1"/>
  <c r="Q376" i="28"/>
  <c r="N376" i="28" s="1"/>
  <c r="P376" i="28"/>
  <c r="J375" i="28"/>
  <c r="R375" i="28"/>
  <c r="Y375" i="28"/>
  <c r="B378" i="28"/>
  <c r="A379" i="28"/>
  <c r="K375" i="28"/>
  <c r="L375" i="28"/>
  <c r="M375" i="28" s="1"/>
  <c r="O375" i="28"/>
  <c r="H376" i="28"/>
  <c r="C378" i="28"/>
  <c r="W377" i="28"/>
  <c r="V377" i="28"/>
  <c r="U377" i="28"/>
  <c r="X377" i="28"/>
  <c r="G377" i="28"/>
  <c r="I377" i="28" s="1"/>
  <c r="F377" i="28"/>
  <c r="S377" i="28"/>
  <c r="T377" i="28"/>
  <c r="D378" i="28"/>
  <c r="R376" i="28" l="1"/>
  <c r="Y376" i="28"/>
  <c r="Q377" i="28"/>
  <c r="N377" i="28" s="1"/>
  <c r="P377" i="28"/>
  <c r="J376" i="28"/>
  <c r="E378" i="28"/>
  <c r="B379" i="28"/>
  <c r="A380" i="28"/>
  <c r="H377" i="28"/>
  <c r="K376" i="28"/>
  <c r="O376" i="28"/>
  <c r="L376" i="28"/>
  <c r="M376" i="28" s="1"/>
  <c r="T378" i="28"/>
  <c r="S378" i="28"/>
  <c r="X378" i="28"/>
  <c r="U378" i="28"/>
  <c r="C379" i="28"/>
  <c r="W378" i="28"/>
  <c r="G378" i="28"/>
  <c r="I378" i="28" s="1"/>
  <c r="V378" i="28"/>
  <c r="F378" i="28"/>
  <c r="D379" i="28"/>
  <c r="E379" i="28" l="1"/>
  <c r="Q378" i="28"/>
  <c r="N378" i="28" s="1"/>
  <c r="P378" i="28"/>
  <c r="J377" i="28"/>
  <c r="R377" i="28"/>
  <c r="Y377" i="28"/>
  <c r="H378" i="28"/>
  <c r="K377" i="28"/>
  <c r="L377" i="28"/>
  <c r="M377" i="28" s="1"/>
  <c r="O377" i="28"/>
  <c r="B380" i="28"/>
  <c r="A381" i="28"/>
  <c r="W379" i="28"/>
  <c r="G379" i="28"/>
  <c r="X379" i="28"/>
  <c r="F379" i="28"/>
  <c r="C380" i="28"/>
  <c r="I379" i="28"/>
  <c r="U379" i="28"/>
  <c r="S379" i="28"/>
  <c r="T379" i="28"/>
  <c r="V379" i="28"/>
  <c r="D380" i="28"/>
  <c r="E380" i="28" l="1"/>
  <c r="Q379" i="28"/>
  <c r="N379" i="28" s="1"/>
  <c r="R378" i="28"/>
  <c r="Y378" i="28"/>
  <c r="P379" i="28"/>
  <c r="J378" i="28"/>
  <c r="B381" i="28"/>
  <c r="A382" i="28"/>
  <c r="K378" i="28"/>
  <c r="L378" i="28"/>
  <c r="M378" i="28" s="1"/>
  <c r="O378" i="28"/>
  <c r="H379" i="28"/>
  <c r="S380" i="28"/>
  <c r="W380" i="28"/>
  <c r="V380" i="28"/>
  <c r="U380" i="28"/>
  <c r="D381" i="28"/>
  <c r="G380" i="28"/>
  <c r="I380" i="28" s="1"/>
  <c r="T380" i="28"/>
  <c r="F380" i="28"/>
  <c r="C381" i="28"/>
  <c r="X380" i="28"/>
  <c r="E381" i="28" l="1"/>
  <c r="Q380" i="28"/>
  <c r="N380" i="28" s="1"/>
  <c r="P380" i="28"/>
  <c r="J379" i="28"/>
  <c r="R379" i="28"/>
  <c r="Y379" i="28"/>
  <c r="L379" i="28"/>
  <c r="M379" i="28" s="1"/>
  <c r="O379" i="28"/>
  <c r="K379" i="28"/>
  <c r="B382" i="28"/>
  <c r="A383" i="28"/>
  <c r="H380" i="28"/>
  <c r="C382" i="28"/>
  <c r="V381" i="28"/>
  <c r="W381" i="28"/>
  <c r="T381" i="28"/>
  <c r="U381" i="28"/>
  <c r="D382" i="28"/>
  <c r="S381" i="28"/>
  <c r="G381" i="28"/>
  <c r="X381" i="28"/>
  <c r="F381" i="28"/>
  <c r="I381" i="28"/>
  <c r="E382" i="28" l="1"/>
  <c r="Q381" i="28"/>
  <c r="N381" i="28" s="1"/>
  <c r="P381" i="28"/>
  <c r="J380" i="28"/>
  <c r="R380" i="28"/>
  <c r="Y380" i="28"/>
  <c r="B383" i="28"/>
  <c r="A384" i="28"/>
  <c r="K380" i="28"/>
  <c r="O380" i="28"/>
  <c r="L380" i="28"/>
  <c r="M380" i="28" s="1"/>
  <c r="H381" i="28"/>
  <c r="G382" i="28"/>
  <c r="F382" i="28"/>
  <c r="X382" i="28"/>
  <c r="W382" i="28"/>
  <c r="C383" i="28"/>
  <c r="I382" i="28"/>
  <c r="U382" i="28"/>
  <c r="S382" i="28"/>
  <c r="T382" i="28"/>
  <c r="V382" i="28"/>
  <c r="D383" i="28"/>
  <c r="E383" i="28" l="1"/>
  <c r="R381" i="28"/>
  <c r="Y381" i="28"/>
  <c r="Q382" i="28"/>
  <c r="N382" i="28" s="1"/>
  <c r="P382" i="28"/>
  <c r="J381" i="28"/>
  <c r="L381" i="28"/>
  <c r="M381" i="28" s="1"/>
  <c r="O381" i="28"/>
  <c r="K381" i="28"/>
  <c r="B384" i="28"/>
  <c r="A385" i="28"/>
  <c r="H382" i="28"/>
  <c r="W383" i="28"/>
  <c r="G383" i="28"/>
  <c r="X383" i="28"/>
  <c r="F383" i="28"/>
  <c r="C384" i="28"/>
  <c r="I383" i="28"/>
  <c r="U383" i="28"/>
  <c r="S383" i="28"/>
  <c r="T383" i="28"/>
  <c r="V383" i="28"/>
  <c r="D384" i="28"/>
  <c r="E384" i="28" l="1"/>
  <c r="Q383" i="28"/>
  <c r="N383" i="28" s="1"/>
  <c r="R382" i="28"/>
  <c r="Y382" i="28"/>
  <c r="P383" i="28"/>
  <c r="J382" i="28"/>
  <c r="B385" i="28"/>
  <c r="A386" i="28"/>
  <c r="K382" i="28"/>
  <c r="L382" i="28"/>
  <c r="M382" i="28" s="1"/>
  <c r="O382" i="28"/>
  <c r="H383" i="28"/>
  <c r="U384" i="28"/>
  <c r="W384" i="28"/>
  <c r="G384" i="28"/>
  <c r="T384" i="28"/>
  <c r="F384" i="28"/>
  <c r="C385" i="28"/>
  <c r="X384" i="28"/>
  <c r="S384" i="28"/>
  <c r="V384" i="28"/>
  <c r="D385" i="28"/>
  <c r="I384" i="28"/>
  <c r="E385" i="28" l="1"/>
  <c r="Q384" i="28"/>
  <c r="N384" i="28" s="1"/>
  <c r="P384" i="28"/>
  <c r="J383" i="28"/>
  <c r="R383" i="28"/>
  <c r="Y383" i="28"/>
  <c r="K383" i="28"/>
  <c r="L383" i="28"/>
  <c r="M383" i="28" s="1"/>
  <c r="O383" i="28"/>
  <c r="B386" i="28"/>
  <c r="A387" i="28"/>
  <c r="H384" i="28"/>
  <c r="U385" i="28"/>
  <c r="X385" i="28"/>
  <c r="G385" i="28"/>
  <c r="F385" i="28"/>
  <c r="D386" i="28"/>
  <c r="I385" i="28"/>
  <c r="S385" i="28"/>
  <c r="W385" i="28"/>
  <c r="V385" i="28"/>
  <c r="T385" i="28"/>
  <c r="C386" i="28"/>
  <c r="E386" i="28" l="1"/>
  <c r="Q385" i="28"/>
  <c r="N385" i="28" s="1"/>
  <c r="P385" i="28"/>
  <c r="J384" i="28"/>
  <c r="R384" i="28"/>
  <c r="Y384" i="28"/>
  <c r="B387" i="28"/>
  <c r="A388" i="28"/>
  <c r="K384" i="28"/>
  <c r="O384" i="28"/>
  <c r="L384" i="28"/>
  <c r="M384" i="28" s="1"/>
  <c r="H385" i="28"/>
  <c r="T386" i="28"/>
  <c r="S386" i="28"/>
  <c r="X386" i="28"/>
  <c r="U386" i="28"/>
  <c r="D387" i="28"/>
  <c r="G386" i="28"/>
  <c r="I386" i="28" s="1"/>
  <c r="V386" i="28"/>
  <c r="F386" i="28"/>
  <c r="C387" i="28"/>
  <c r="W386" i="28"/>
  <c r="E387" i="28" l="1"/>
  <c r="Q386" i="28"/>
  <c r="N386" i="28" s="1"/>
  <c r="P386" i="28"/>
  <c r="J385" i="28"/>
  <c r="R385" i="28"/>
  <c r="Y385" i="28"/>
  <c r="L385" i="28"/>
  <c r="M385" i="28" s="1"/>
  <c r="O385" i="28"/>
  <c r="K385" i="28"/>
  <c r="B388" i="28"/>
  <c r="A389" i="28"/>
  <c r="H386" i="28"/>
  <c r="S387" i="28"/>
  <c r="T387" i="28"/>
  <c r="W387" i="28"/>
  <c r="V387" i="28"/>
  <c r="C388" i="28"/>
  <c r="X387" i="28"/>
  <c r="F387" i="28"/>
  <c r="U387" i="28"/>
  <c r="G387" i="28"/>
  <c r="I387" i="28" s="1"/>
  <c r="D388" i="28"/>
  <c r="E388" i="28" l="1"/>
  <c r="P387" i="28"/>
  <c r="J386" i="28"/>
  <c r="Q387" i="28"/>
  <c r="N387" i="28" s="1"/>
  <c r="R386" i="28"/>
  <c r="Y386" i="28"/>
  <c r="K386" i="28"/>
  <c r="L386" i="28"/>
  <c r="M386" i="28" s="1"/>
  <c r="O386" i="28"/>
  <c r="B389" i="28"/>
  <c r="A390" i="28"/>
  <c r="H387" i="28"/>
  <c r="X388" i="28"/>
  <c r="S388" i="28"/>
  <c r="V388" i="28"/>
  <c r="U388" i="28"/>
  <c r="D389" i="28"/>
  <c r="W388" i="28"/>
  <c r="G388" i="28"/>
  <c r="I388" i="28" s="1"/>
  <c r="T388" i="28"/>
  <c r="F388" i="28"/>
  <c r="C389" i="28"/>
  <c r="E389" i="28" l="1"/>
  <c r="Q388" i="28"/>
  <c r="N388" i="28" s="1"/>
  <c r="P388" i="28"/>
  <c r="J387" i="28"/>
  <c r="R387" i="28"/>
  <c r="Y387" i="28"/>
  <c r="B390" i="28"/>
  <c r="A391" i="28"/>
  <c r="K387" i="28"/>
  <c r="L387" i="28"/>
  <c r="M387" i="28" s="1"/>
  <c r="O387" i="28"/>
  <c r="H388" i="28"/>
  <c r="U389" i="28"/>
  <c r="V389" i="28"/>
  <c r="W389" i="28"/>
  <c r="T389" i="28"/>
  <c r="C390" i="28"/>
  <c r="G389" i="28"/>
  <c r="I389" i="28" s="1"/>
  <c r="X389" i="28"/>
  <c r="F389" i="28"/>
  <c r="D390" i="28"/>
  <c r="S389" i="28"/>
  <c r="E390" i="28" l="1"/>
  <c r="Q389" i="28"/>
  <c r="N389" i="28" s="1"/>
  <c r="P389" i="28"/>
  <c r="J388" i="28"/>
  <c r="R388" i="28"/>
  <c r="Y388" i="28"/>
  <c r="K388" i="28"/>
  <c r="O388" i="28"/>
  <c r="L388" i="28"/>
  <c r="M388" i="28" s="1"/>
  <c r="B391" i="28"/>
  <c r="A392" i="28"/>
  <c r="H389" i="28"/>
  <c r="T390" i="28"/>
  <c r="U390" i="28"/>
  <c r="X390" i="28"/>
  <c r="W390" i="28"/>
  <c r="C391" i="28"/>
  <c r="F390" i="28"/>
  <c r="G390" i="28"/>
  <c r="V390" i="28"/>
  <c r="S390" i="28"/>
  <c r="D391" i="28"/>
  <c r="I390" i="28"/>
  <c r="E391" i="28" l="1"/>
  <c r="R389" i="28"/>
  <c r="Y389" i="28"/>
  <c r="P390" i="28"/>
  <c r="J389" i="28"/>
  <c r="Q390" i="28"/>
  <c r="N390" i="28" s="1"/>
  <c r="B392" i="28"/>
  <c r="A393" i="28"/>
  <c r="K389" i="28"/>
  <c r="L389" i="28"/>
  <c r="M389" i="28" s="1"/>
  <c r="O389" i="28"/>
  <c r="H390" i="28"/>
  <c r="W391" i="28"/>
  <c r="V391" i="28"/>
  <c r="S391" i="28"/>
  <c r="T391" i="28"/>
  <c r="C392" i="28"/>
  <c r="U391" i="28"/>
  <c r="G391" i="28"/>
  <c r="I391" i="28" s="1"/>
  <c r="X391" i="28"/>
  <c r="F391" i="28"/>
  <c r="D392" i="28"/>
  <c r="E392" i="28" l="1"/>
  <c r="Q391" i="28"/>
  <c r="N391" i="28" s="1"/>
  <c r="R390" i="28"/>
  <c r="Y390" i="28"/>
  <c r="P391" i="28"/>
  <c r="J390" i="28"/>
  <c r="B393" i="28"/>
  <c r="A394" i="28"/>
  <c r="K390" i="28"/>
  <c r="L390" i="28"/>
  <c r="M390" i="28" s="1"/>
  <c r="O390" i="28"/>
  <c r="H391" i="28"/>
  <c r="G392" i="28"/>
  <c r="W392" i="28"/>
  <c r="V392" i="28"/>
  <c r="U392" i="28"/>
  <c r="D393" i="28"/>
  <c r="I392" i="28"/>
  <c r="X392" i="28"/>
  <c r="T392" i="28"/>
  <c r="F392" i="28"/>
  <c r="C393" i="28"/>
  <c r="S392" i="28"/>
  <c r="E393" i="28" l="1"/>
  <c r="Q392" i="28"/>
  <c r="N392" i="28" s="1"/>
  <c r="R391" i="28"/>
  <c r="Y391" i="28"/>
  <c r="P392" i="28"/>
  <c r="J391" i="28"/>
  <c r="L391" i="28"/>
  <c r="M391" i="28" s="1"/>
  <c r="O391" i="28"/>
  <c r="K391" i="28"/>
  <c r="B394" i="28"/>
  <c r="A395" i="28"/>
  <c r="H392" i="28"/>
  <c r="W393" i="28"/>
  <c r="V393" i="28"/>
  <c r="U393" i="28"/>
  <c r="D394" i="28"/>
  <c r="G393" i="28"/>
  <c r="F393" i="28"/>
  <c r="S393" i="28"/>
  <c r="T393" i="28"/>
  <c r="C394" i="28"/>
  <c r="X393" i="28"/>
  <c r="I393" i="28"/>
  <c r="E394" i="28" l="1"/>
  <c r="R392" i="28"/>
  <c r="Y392" i="28"/>
  <c r="Q393" i="28"/>
  <c r="N393" i="28" s="1"/>
  <c r="P393" i="28"/>
  <c r="J392" i="28"/>
  <c r="B395" i="28"/>
  <c r="A396" i="28"/>
  <c r="L392" i="28"/>
  <c r="M392" i="28" s="1"/>
  <c r="K392" i="28"/>
  <c r="O392" i="28"/>
  <c r="H393" i="28"/>
  <c r="X394" i="28"/>
  <c r="F394" i="28"/>
  <c r="W394" i="28"/>
  <c r="G394" i="28"/>
  <c r="D395" i="28"/>
  <c r="I394" i="28"/>
  <c r="T394" i="28"/>
  <c r="S394" i="28"/>
  <c r="U394" i="28"/>
  <c r="V394" i="28"/>
  <c r="C395" i="28"/>
  <c r="E395" i="28" l="1"/>
  <c r="P394" i="28"/>
  <c r="J393" i="28"/>
  <c r="R393" i="28"/>
  <c r="Y393" i="28"/>
  <c r="Q394" i="28"/>
  <c r="N394" i="28" s="1"/>
  <c r="O393" i="28"/>
  <c r="K393" i="28"/>
  <c r="L393" i="28"/>
  <c r="M393" i="28" s="1"/>
  <c r="B396" i="28"/>
  <c r="A397" i="28"/>
  <c r="H394" i="28"/>
  <c r="S395" i="28"/>
  <c r="T395" i="28"/>
  <c r="W395" i="28"/>
  <c r="V395" i="28"/>
  <c r="D396" i="28"/>
  <c r="X395" i="28"/>
  <c r="F395" i="28"/>
  <c r="U395" i="28"/>
  <c r="G395" i="28"/>
  <c r="I395" i="28" s="1"/>
  <c r="C396" i="28"/>
  <c r="E396" i="28" l="1"/>
  <c r="P395" i="28"/>
  <c r="J394" i="28"/>
  <c r="Q395" i="28"/>
  <c r="N395" i="28" s="1"/>
  <c r="R394" i="28"/>
  <c r="Y394" i="28"/>
  <c r="B397" i="28"/>
  <c r="A398" i="28"/>
  <c r="K394" i="28"/>
  <c r="L394" i="28"/>
  <c r="M394" i="28" s="1"/>
  <c r="O394" i="28"/>
  <c r="H395" i="28"/>
  <c r="C397" i="28"/>
  <c r="T396" i="28"/>
  <c r="W396" i="28"/>
  <c r="G396" i="28"/>
  <c r="F396" i="28"/>
  <c r="D397" i="28"/>
  <c r="V396" i="28"/>
  <c r="X396" i="28"/>
  <c r="S396" i="28"/>
  <c r="U396" i="28"/>
  <c r="I396" i="28"/>
  <c r="E397" i="28" l="1"/>
  <c r="Q396" i="28"/>
  <c r="N396" i="28" s="1"/>
  <c r="P396" i="28"/>
  <c r="J395" i="28"/>
  <c r="R395" i="28"/>
  <c r="Y395" i="28"/>
  <c r="B398" i="28"/>
  <c r="A399" i="28"/>
  <c r="L395" i="28"/>
  <c r="M395" i="28" s="1"/>
  <c r="O395" i="28"/>
  <c r="K395" i="28"/>
  <c r="H396" i="28"/>
  <c r="W397" i="28"/>
  <c r="X397" i="28"/>
  <c r="F397" i="28"/>
  <c r="S397" i="28"/>
  <c r="G397" i="28"/>
  <c r="C398" i="28"/>
  <c r="T397" i="28"/>
  <c r="U397" i="28"/>
  <c r="V397" i="28"/>
  <c r="D398" i="28"/>
  <c r="I397" i="28"/>
  <c r="E398" i="28" l="1"/>
  <c r="P397" i="28"/>
  <c r="J396" i="28"/>
  <c r="R396" i="28"/>
  <c r="Y396" i="28"/>
  <c r="Q397" i="28"/>
  <c r="N397" i="28" s="1"/>
  <c r="K396" i="28"/>
  <c r="O396" i="28"/>
  <c r="L396" i="28"/>
  <c r="M396" i="28" s="1"/>
  <c r="B399" i="28"/>
  <c r="A400" i="28"/>
  <c r="H397" i="28"/>
  <c r="T398" i="28"/>
  <c r="U398" i="28"/>
  <c r="X398" i="28"/>
  <c r="W398" i="28"/>
  <c r="C399" i="28"/>
  <c r="F398" i="28"/>
  <c r="G398" i="28"/>
  <c r="I398" i="28" s="1"/>
  <c r="V398" i="28"/>
  <c r="S398" i="28"/>
  <c r="D399" i="28"/>
  <c r="E399" i="28" l="1"/>
  <c r="R397" i="28"/>
  <c r="Y397" i="28"/>
  <c r="P398" i="28"/>
  <c r="J397" i="28"/>
  <c r="Q398" i="28"/>
  <c r="N398" i="28" s="1"/>
  <c r="B400" i="28"/>
  <c r="A401" i="28"/>
  <c r="K397" i="28"/>
  <c r="L397" i="28"/>
  <c r="M397" i="28" s="1"/>
  <c r="O397" i="28"/>
  <c r="H398" i="28"/>
  <c r="F399" i="28"/>
  <c r="X399" i="28"/>
  <c r="W399" i="28"/>
  <c r="V399" i="28"/>
  <c r="D400" i="28"/>
  <c r="S399" i="28"/>
  <c r="T399" i="28"/>
  <c r="U399" i="28"/>
  <c r="G399" i="28"/>
  <c r="I399" i="28" s="1"/>
  <c r="C400" i="28"/>
  <c r="E400" i="28" l="1"/>
  <c r="P399" i="28"/>
  <c r="J398" i="28"/>
  <c r="R398" i="28"/>
  <c r="Y398" i="28"/>
  <c r="Q399" i="28"/>
  <c r="N399" i="28" s="1"/>
  <c r="B401" i="28"/>
  <c r="A402" i="28"/>
  <c r="K398" i="28"/>
  <c r="L398" i="28"/>
  <c r="M398" i="28" s="1"/>
  <c r="O398" i="28"/>
  <c r="H399" i="28"/>
  <c r="S400" i="28"/>
  <c r="W400" i="28"/>
  <c r="V400" i="28"/>
  <c r="U400" i="28"/>
  <c r="D401" i="28"/>
  <c r="X400" i="28"/>
  <c r="G400" i="28"/>
  <c r="I400" i="28" s="1"/>
  <c r="T400" i="28"/>
  <c r="F400" i="28"/>
  <c r="C401" i="28"/>
  <c r="E401" i="28" l="1"/>
  <c r="Q400" i="28"/>
  <c r="N400" i="28" s="1"/>
  <c r="P400" i="28"/>
  <c r="J399" i="28"/>
  <c r="R399" i="28"/>
  <c r="Y399" i="28"/>
  <c r="B402" i="28"/>
  <c r="A403" i="28"/>
  <c r="L399" i="28"/>
  <c r="M399" i="28" s="1"/>
  <c r="O399" i="28"/>
  <c r="K399" i="28"/>
  <c r="H400" i="28"/>
  <c r="W401" i="28"/>
  <c r="V401" i="28"/>
  <c r="U401" i="28"/>
  <c r="X401" i="28"/>
  <c r="D402" i="28"/>
  <c r="G401" i="28"/>
  <c r="I401" i="28" s="1"/>
  <c r="S401" i="28"/>
  <c r="T401" i="28"/>
  <c r="C402" i="28"/>
  <c r="F401" i="28"/>
  <c r="E402" i="28" l="1"/>
  <c r="R400" i="28"/>
  <c r="Y400" i="28"/>
  <c r="Q401" i="28"/>
  <c r="N401" i="28" s="1"/>
  <c r="P401" i="28"/>
  <c r="J400" i="28"/>
  <c r="K400" i="28"/>
  <c r="O400" i="28"/>
  <c r="L400" i="28"/>
  <c r="M400" i="28" s="1"/>
  <c r="B403" i="28"/>
  <c r="A404" i="28"/>
  <c r="H401" i="28"/>
  <c r="T402" i="28"/>
  <c r="S402" i="28"/>
  <c r="X402" i="28"/>
  <c r="U402" i="28"/>
  <c r="D403" i="28"/>
  <c r="W402" i="28"/>
  <c r="G402" i="28"/>
  <c r="I402" i="28" s="1"/>
  <c r="F402" i="28"/>
  <c r="C403" i="28"/>
  <c r="V402" i="28"/>
  <c r="E403" i="28" l="1"/>
  <c r="Q402" i="28"/>
  <c r="N402" i="28" s="1"/>
  <c r="P402" i="28"/>
  <c r="J401" i="28"/>
  <c r="R401" i="28"/>
  <c r="Y401" i="28"/>
  <c r="B404" i="28"/>
  <c r="A405" i="28"/>
  <c r="K401" i="28"/>
  <c r="L401" i="28"/>
  <c r="M401" i="28" s="1"/>
  <c r="O401" i="28"/>
  <c r="H402" i="28"/>
  <c r="U403" i="28"/>
  <c r="S403" i="28"/>
  <c r="T403" i="28"/>
  <c r="G403" i="28"/>
  <c r="D404" i="28"/>
  <c r="W403" i="28"/>
  <c r="V403" i="28"/>
  <c r="X403" i="28"/>
  <c r="F403" i="28"/>
  <c r="C404" i="28"/>
  <c r="I403" i="28"/>
  <c r="E404" i="28" l="1"/>
  <c r="P403" i="28"/>
  <c r="J402" i="28"/>
  <c r="Q403" i="28"/>
  <c r="N403" i="28" s="1"/>
  <c r="R402" i="28"/>
  <c r="Y402" i="28"/>
  <c r="K402" i="28"/>
  <c r="L402" i="28"/>
  <c r="M402" i="28" s="1"/>
  <c r="O402" i="28"/>
  <c r="B405" i="28"/>
  <c r="A406" i="28"/>
  <c r="H403" i="28"/>
  <c r="X404" i="28"/>
  <c r="S404" i="28"/>
  <c r="V404" i="28"/>
  <c r="U404" i="28"/>
  <c r="D405" i="28"/>
  <c r="G404" i="28"/>
  <c r="I404" i="28" s="1"/>
  <c r="T404" i="28"/>
  <c r="F404" i="28"/>
  <c r="C405" i="28"/>
  <c r="W404" i="28"/>
  <c r="E405" i="28" l="1"/>
  <c r="Q404" i="28"/>
  <c r="N404" i="28" s="1"/>
  <c r="P404" i="28"/>
  <c r="J403" i="28"/>
  <c r="R403" i="28"/>
  <c r="Y403" i="28"/>
  <c r="B406" i="28"/>
  <c r="A407" i="28"/>
  <c r="O403" i="28"/>
  <c r="K403" i="28"/>
  <c r="L403" i="28"/>
  <c r="M403" i="28" s="1"/>
  <c r="H404" i="28"/>
  <c r="W405" i="28"/>
  <c r="T405" i="28"/>
  <c r="U405" i="28"/>
  <c r="V405" i="28"/>
  <c r="D406" i="28"/>
  <c r="S405" i="28"/>
  <c r="C406" i="28"/>
  <c r="X405" i="28"/>
  <c r="F405" i="28"/>
  <c r="G405" i="28"/>
  <c r="I405" i="28" s="1"/>
  <c r="E406" i="28" l="1"/>
  <c r="P405" i="28"/>
  <c r="J404" i="28"/>
  <c r="R404" i="28"/>
  <c r="Y404" i="28"/>
  <c r="Q405" i="28"/>
  <c r="N405" i="28" s="1"/>
  <c r="K404" i="28"/>
  <c r="L404" i="28"/>
  <c r="M404" i="28" s="1"/>
  <c r="O404" i="28"/>
  <c r="B407" i="28"/>
  <c r="A408" i="28"/>
  <c r="H405" i="28"/>
  <c r="X406" i="28"/>
  <c r="S406" i="28"/>
  <c r="F406" i="28"/>
  <c r="G406" i="28"/>
  <c r="D407" i="28"/>
  <c r="I406" i="28"/>
  <c r="T406" i="28"/>
  <c r="U406" i="28"/>
  <c r="W406" i="28"/>
  <c r="C407" i="28"/>
  <c r="V406" i="28"/>
  <c r="E407" i="28" l="1"/>
  <c r="P406" i="28"/>
  <c r="J405" i="28"/>
  <c r="Q406" i="28"/>
  <c r="N406" i="28" s="1"/>
  <c r="R405" i="28"/>
  <c r="Y405" i="28"/>
  <c r="B408" i="28"/>
  <c r="A409" i="28"/>
  <c r="L405" i="28"/>
  <c r="M405" i="28" s="1"/>
  <c r="O405" i="28"/>
  <c r="K405" i="28"/>
  <c r="H406" i="28"/>
  <c r="S407" i="28"/>
  <c r="X407" i="28"/>
  <c r="F407" i="28"/>
  <c r="U407" i="28"/>
  <c r="G407" i="28"/>
  <c r="C408" i="28"/>
  <c r="T407" i="28"/>
  <c r="W407" i="28"/>
  <c r="V407" i="28"/>
  <c r="D408" i="28"/>
  <c r="I407" i="28"/>
  <c r="E408" i="28" l="1"/>
  <c r="P407" i="28"/>
  <c r="J406" i="28"/>
  <c r="Q407" i="28"/>
  <c r="N407" i="28" s="1"/>
  <c r="R406" i="28"/>
  <c r="Y406" i="28"/>
  <c r="B409" i="28"/>
  <c r="A410" i="28"/>
  <c r="K406" i="28"/>
  <c r="L406" i="28"/>
  <c r="M406" i="28" s="1"/>
  <c r="O406" i="28"/>
  <c r="H407" i="28"/>
  <c r="S408" i="28"/>
  <c r="X408" i="28"/>
  <c r="V408" i="28"/>
  <c r="U408" i="28"/>
  <c r="D409" i="28"/>
  <c r="G408" i="28"/>
  <c r="I408" i="28" s="1"/>
  <c r="W408" i="28"/>
  <c r="T408" i="28"/>
  <c r="F408" i="28"/>
  <c r="C409" i="28"/>
  <c r="E409" i="28" l="1"/>
  <c r="Q408" i="28"/>
  <c r="N408" i="28" s="1"/>
  <c r="P408" i="28"/>
  <c r="J407" i="28"/>
  <c r="R407" i="28"/>
  <c r="Y407" i="28"/>
  <c r="B410" i="28"/>
  <c r="A411" i="28"/>
  <c r="K407" i="28"/>
  <c r="L407" i="28"/>
  <c r="M407" i="28" s="1"/>
  <c r="O407" i="28"/>
  <c r="H408" i="28"/>
  <c r="V409" i="28"/>
  <c r="W409" i="28"/>
  <c r="F409" i="28"/>
  <c r="S409" i="28"/>
  <c r="T409" i="28"/>
  <c r="C410" i="28"/>
  <c r="G409" i="28"/>
  <c r="U409" i="28"/>
  <c r="X409" i="28"/>
  <c r="D410" i="28"/>
  <c r="I409" i="28"/>
  <c r="E410" i="28" l="1"/>
  <c r="R408" i="28"/>
  <c r="Y408" i="28"/>
  <c r="Q409" i="28"/>
  <c r="N409" i="28" s="1"/>
  <c r="P409" i="28"/>
  <c r="J408" i="28"/>
  <c r="K408" i="28"/>
  <c r="O408" i="28"/>
  <c r="L408" i="28"/>
  <c r="M408" i="28" s="1"/>
  <c r="B411" i="28"/>
  <c r="A412" i="28"/>
  <c r="H409" i="28"/>
  <c r="T410" i="28"/>
  <c r="S410" i="28"/>
  <c r="X410" i="28"/>
  <c r="U410" i="28"/>
  <c r="C411" i="28"/>
  <c r="W410" i="28"/>
  <c r="G410" i="28"/>
  <c r="I410" i="28" s="1"/>
  <c r="V410" i="28"/>
  <c r="F410" i="28"/>
  <c r="D411" i="28"/>
  <c r="E411" i="28" l="1"/>
  <c r="Q410" i="28"/>
  <c r="N410" i="28" s="1"/>
  <c r="P410" i="28"/>
  <c r="J409" i="28"/>
  <c r="R409" i="28"/>
  <c r="Y409" i="28"/>
  <c r="B412" i="28"/>
  <c r="A413" i="28"/>
  <c r="O409" i="28"/>
  <c r="K409" i="28"/>
  <c r="L409" i="28"/>
  <c r="M409" i="28" s="1"/>
  <c r="H410" i="28"/>
  <c r="S411" i="28"/>
  <c r="T411" i="28"/>
  <c r="W411" i="28"/>
  <c r="V411" i="28"/>
  <c r="D412" i="28"/>
  <c r="X411" i="28"/>
  <c r="F411" i="28"/>
  <c r="U411" i="28"/>
  <c r="G411" i="28"/>
  <c r="I411" i="28" s="1"/>
  <c r="C412" i="28"/>
  <c r="E412" i="28" l="1"/>
  <c r="P411" i="28"/>
  <c r="J410" i="28"/>
  <c r="Q411" i="28"/>
  <c r="N411" i="28" s="1"/>
  <c r="R410" i="28"/>
  <c r="Y410" i="28"/>
  <c r="K410" i="28"/>
  <c r="L410" i="28"/>
  <c r="M410" i="28" s="1"/>
  <c r="O410" i="28"/>
  <c r="B413" i="28"/>
  <c r="A414" i="28"/>
  <c r="H411" i="28"/>
  <c r="W412" i="28"/>
  <c r="X412" i="28"/>
  <c r="S412" i="28"/>
  <c r="T412" i="28"/>
  <c r="F412" i="28"/>
  <c r="C413" i="28"/>
  <c r="G412" i="28"/>
  <c r="V412" i="28"/>
  <c r="U412" i="28"/>
  <c r="D413" i="28"/>
  <c r="I412" i="28"/>
  <c r="E413" i="28" l="1"/>
  <c r="Q412" i="28"/>
  <c r="N412" i="28" s="1"/>
  <c r="R411" i="28"/>
  <c r="Y411" i="28"/>
  <c r="P412" i="28"/>
  <c r="J411" i="28"/>
  <c r="B414" i="28"/>
  <c r="A415" i="28"/>
  <c r="O411" i="28"/>
  <c r="K411" i="28"/>
  <c r="L411" i="28"/>
  <c r="M411" i="28" s="1"/>
  <c r="H412" i="28"/>
  <c r="W413" i="28"/>
  <c r="T413" i="28"/>
  <c r="U413" i="28"/>
  <c r="V413" i="28"/>
  <c r="D414" i="28"/>
  <c r="X413" i="28"/>
  <c r="F413" i="28"/>
  <c r="G413" i="28"/>
  <c r="I413" i="28" s="1"/>
  <c r="C414" i="28"/>
  <c r="S413" i="28"/>
  <c r="E414" i="28" l="1"/>
  <c r="P413" i="28"/>
  <c r="J412" i="28"/>
  <c r="R412" i="28"/>
  <c r="Y412" i="28"/>
  <c r="Q413" i="28"/>
  <c r="N413" i="28" s="1"/>
  <c r="B415" i="28"/>
  <c r="A416" i="28"/>
  <c r="K412" i="28"/>
  <c r="O412" i="28"/>
  <c r="L412" i="28"/>
  <c r="M412" i="28" s="1"/>
  <c r="H413" i="28"/>
  <c r="T414" i="28"/>
  <c r="U414" i="28"/>
  <c r="X414" i="28"/>
  <c r="W414" i="28"/>
  <c r="C415" i="28"/>
  <c r="F414" i="28"/>
  <c r="G414" i="28"/>
  <c r="I414" i="28" s="1"/>
  <c r="V414" i="28"/>
  <c r="S414" i="28"/>
  <c r="D415" i="28"/>
  <c r="E415" i="28" l="1"/>
  <c r="R413" i="28"/>
  <c r="Y413" i="28"/>
  <c r="P414" i="28"/>
  <c r="J413" i="28"/>
  <c r="Q414" i="28"/>
  <c r="N414" i="28" s="1"/>
  <c r="B416" i="28"/>
  <c r="A417" i="28"/>
  <c r="K413" i="28"/>
  <c r="L413" i="28"/>
  <c r="M413" i="28" s="1"/>
  <c r="O413" i="28"/>
  <c r="H414" i="28"/>
  <c r="X415" i="28"/>
  <c r="S415" i="28"/>
  <c r="F415" i="28"/>
  <c r="U415" i="28"/>
  <c r="G415" i="28"/>
  <c r="C416" i="28"/>
  <c r="T415" i="28"/>
  <c r="W415" i="28"/>
  <c r="V415" i="28"/>
  <c r="D416" i="28"/>
  <c r="I415" i="28"/>
  <c r="E416" i="28" l="1"/>
  <c r="P415" i="28"/>
  <c r="J414" i="28"/>
  <c r="Q415" i="28"/>
  <c r="N415" i="28" s="1"/>
  <c r="R414" i="28"/>
  <c r="Y414" i="28"/>
  <c r="B417" i="28"/>
  <c r="A418" i="28"/>
  <c r="K414" i="28"/>
  <c r="L414" i="28"/>
  <c r="M414" i="28" s="1"/>
  <c r="O414" i="28"/>
  <c r="H415" i="28"/>
  <c r="X416" i="28"/>
  <c r="S416" i="28"/>
  <c r="V416" i="28"/>
  <c r="U416" i="28"/>
  <c r="D417" i="28"/>
  <c r="W416" i="28"/>
  <c r="G416" i="28"/>
  <c r="I416" i="28" s="1"/>
  <c r="T416" i="28"/>
  <c r="F416" i="28"/>
  <c r="C417" i="28"/>
  <c r="E417" i="28" l="1"/>
  <c r="Q416" i="28"/>
  <c r="N416" i="28" s="1"/>
  <c r="P416" i="28"/>
  <c r="J415" i="28"/>
  <c r="R415" i="28"/>
  <c r="Y415" i="28"/>
  <c r="B418" i="28"/>
  <c r="A419" i="28"/>
  <c r="O415" i="28"/>
  <c r="K415" i="28"/>
  <c r="L415" i="28"/>
  <c r="M415" i="28" s="1"/>
  <c r="H416" i="28"/>
  <c r="V417" i="28"/>
  <c r="G417" i="28"/>
  <c r="F417" i="28"/>
  <c r="S417" i="28"/>
  <c r="T417" i="28"/>
  <c r="D418" i="28"/>
  <c r="W417" i="28"/>
  <c r="U417" i="28"/>
  <c r="X417" i="28"/>
  <c r="C418" i="28"/>
  <c r="I417" i="28"/>
  <c r="E418" i="28" l="1"/>
  <c r="R416" i="28"/>
  <c r="Y416" i="28"/>
  <c r="Q417" i="28"/>
  <c r="N417" i="28" s="1"/>
  <c r="P417" i="28"/>
  <c r="J416" i="28"/>
  <c r="L416" i="28"/>
  <c r="M416" i="28" s="1"/>
  <c r="K416" i="28"/>
  <c r="O416" i="28"/>
  <c r="B419" i="28"/>
  <c r="A420" i="28"/>
  <c r="H417" i="28"/>
  <c r="X418" i="28"/>
  <c r="U418" i="28"/>
  <c r="T418" i="28"/>
  <c r="S418" i="28"/>
  <c r="D419" i="28"/>
  <c r="V418" i="28"/>
  <c r="F418" i="28"/>
  <c r="W418" i="28"/>
  <c r="G418" i="28"/>
  <c r="I418" i="28" s="1"/>
  <c r="C419" i="28"/>
  <c r="E419" i="28" l="1"/>
  <c r="P418" i="28"/>
  <c r="J417" i="28"/>
  <c r="R417" i="28"/>
  <c r="Y417" i="28"/>
  <c r="Q418" i="28"/>
  <c r="N418" i="28" s="1"/>
  <c r="B420" i="28"/>
  <c r="A421" i="28"/>
  <c r="K417" i="28"/>
  <c r="L417" i="28"/>
  <c r="M417" i="28" s="1"/>
  <c r="O417" i="28"/>
  <c r="H418" i="28"/>
  <c r="W419" i="28"/>
  <c r="V419" i="28"/>
  <c r="S419" i="28"/>
  <c r="T419" i="28"/>
  <c r="C420" i="28"/>
  <c r="U419" i="28"/>
  <c r="G419" i="28"/>
  <c r="I419" i="28" s="1"/>
  <c r="X419" i="28"/>
  <c r="F419" i="28"/>
  <c r="D420" i="28"/>
  <c r="E420" i="28" l="1"/>
  <c r="Q419" i="28"/>
  <c r="N419" i="28" s="1"/>
  <c r="R418" i="28"/>
  <c r="Y418" i="28"/>
  <c r="P419" i="28"/>
  <c r="J418" i="28"/>
  <c r="B421" i="28"/>
  <c r="A422" i="28"/>
  <c r="O418" i="28"/>
  <c r="K418" i="28"/>
  <c r="L418" i="28"/>
  <c r="M418" i="28" s="1"/>
  <c r="H419" i="28"/>
  <c r="X420" i="28"/>
  <c r="S420" i="28"/>
  <c r="V420" i="28"/>
  <c r="U420" i="28"/>
  <c r="D421" i="28"/>
  <c r="G420" i="28"/>
  <c r="I420" i="28" s="1"/>
  <c r="T420" i="28"/>
  <c r="F420" i="28"/>
  <c r="C421" i="28"/>
  <c r="W420" i="28"/>
  <c r="E421" i="28" l="1"/>
  <c r="Q420" i="28"/>
  <c r="N420" i="28" s="1"/>
  <c r="P420" i="28"/>
  <c r="J419" i="28"/>
  <c r="R419" i="28"/>
  <c r="Y419" i="28"/>
  <c r="L419" i="28"/>
  <c r="M419" i="28" s="1"/>
  <c r="O419" i="28"/>
  <c r="K419" i="28"/>
  <c r="B422" i="28"/>
  <c r="A423" i="28"/>
  <c r="H420" i="28"/>
  <c r="G421" i="28"/>
  <c r="S421" i="28"/>
  <c r="W421" i="28"/>
  <c r="T421" i="28"/>
  <c r="C422" i="28"/>
  <c r="I421" i="28"/>
  <c r="U421" i="28"/>
  <c r="V421" i="28"/>
  <c r="F421" i="28"/>
  <c r="D422" i="28"/>
  <c r="X421" i="28"/>
  <c r="E422" i="28" l="1"/>
  <c r="Q421" i="28"/>
  <c r="N421" i="28" s="1"/>
  <c r="R420" i="28"/>
  <c r="Y420" i="28"/>
  <c r="P421" i="28"/>
  <c r="J420" i="28"/>
  <c r="B423" i="28"/>
  <c r="A424" i="28"/>
  <c r="K420" i="28"/>
  <c r="O420" i="28"/>
  <c r="L420" i="28"/>
  <c r="M420" i="28" s="1"/>
  <c r="H421" i="28"/>
  <c r="V422" i="28"/>
  <c r="F422" i="28"/>
  <c r="G422" i="28"/>
  <c r="W422" i="28"/>
  <c r="D423" i="28"/>
  <c r="I422" i="28"/>
  <c r="T422" i="28"/>
  <c r="U422" i="28"/>
  <c r="X422" i="28"/>
  <c r="S422" i="28"/>
  <c r="C423" i="28"/>
  <c r="E423" i="28" l="1"/>
  <c r="R421" i="28"/>
  <c r="Y421" i="28"/>
  <c r="P422" i="28"/>
  <c r="J421" i="28"/>
  <c r="Q422" i="28"/>
  <c r="N422" i="28" s="1"/>
  <c r="L421" i="28"/>
  <c r="M421" i="28" s="1"/>
  <c r="O421" i="28"/>
  <c r="K421" i="28"/>
  <c r="B424" i="28"/>
  <c r="A425" i="28"/>
  <c r="H422" i="28"/>
  <c r="S423" i="28"/>
  <c r="T423" i="28"/>
  <c r="W423" i="28"/>
  <c r="V423" i="28"/>
  <c r="D424" i="28"/>
  <c r="X423" i="28"/>
  <c r="F423" i="28"/>
  <c r="U423" i="28"/>
  <c r="G423" i="28"/>
  <c r="I423" i="28" s="1"/>
  <c r="C424" i="28"/>
  <c r="E424" i="28" l="1"/>
  <c r="P423" i="28"/>
  <c r="J422" i="28"/>
  <c r="Q423" i="28"/>
  <c r="N423" i="28" s="1"/>
  <c r="R422" i="28"/>
  <c r="Y422" i="28"/>
  <c r="B425" i="28"/>
  <c r="A426" i="28"/>
  <c r="K422" i="28"/>
  <c r="L422" i="28"/>
  <c r="M422" i="28" s="1"/>
  <c r="O422" i="28"/>
  <c r="H423" i="28"/>
  <c r="T424" i="28"/>
  <c r="X424" i="28"/>
  <c r="S424" i="28"/>
  <c r="V424" i="28"/>
  <c r="C425" i="28"/>
  <c r="U424" i="28"/>
  <c r="W424" i="28"/>
  <c r="G424" i="28"/>
  <c r="I424" i="28" s="1"/>
  <c r="F424" i="28"/>
  <c r="D425" i="28"/>
  <c r="E425" i="28" l="1"/>
  <c r="Q424" i="28"/>
  <c r="N424" i="28" s="1"/>
  <c r="P424" i="28"/>
  <c r="J423" i="28"/>
  <c r="R423" i="28"/>
  <c r="Y423" i="28"/>
  <c r="B426" i="28"/>
  <c r="A427" i="28"/>
  <c r="L423" i="28"/>
  <c r="M423" i="28" s="1"/>
  <c r="K423" i="28"/>
  <c r="O423" i="28"/>
  <c r="H424" i="28"/>
  <c r="U425" i="28"/>
  <c r="X425" i="28"/>
  <c r="W425" i="28"/>
  <c r="V425" i="28"/>
  <c r="C426" i="28"/>
  <c r="S425" i="28"/>
  <c r="T425" i="28"/>
  <c r="G425" i="28"/>
  <c r="I425" i="28" s="1"/>
  <c r="F425" i="28"/>
  <c r="D426" i="28"/>
  <c r="E426" i="28" l="1"/>
  <c r="Q425" i="28"/>
  <c r="N425" i="28" s="1"/>
  <c r="P425" i="28"/>
  <c r="J424" i="28"/>
  <c r="R424" i="28"/>
  <c r="Y424" i="28"/>
  <c r="K424" i="28"/>
  <c r="O424" i="28"/>
  <c r="L424" i="28"/>
  <c r="M424" i="28" s="1"/>
  <c r="B427" i="28"/>
  <c r="A428" i="28"/>
  <c r="H425" i="28"/>
  <c r="W426" i="28"/>
  <c r="G426" i="28"/>
  <c r="V426" i="28"/>
  <c r="F426" i="28"/>
  <c r="D427" i="28"/>
  <c r="T426" i="28"/>
  <c r="S426" i="28"/>
  <c r="X426" i="28"/>
  <c r="U426" i="28"/>
  <c r="C427" i="28"/>
  <c r="I426" i="28"/>
  <c r="E427" i="28" l="1"/>
  <c r="Q426" i="28"/>
  <c r="N426" i="28" s="1"/>
  <c r="P426" i="28"/>
  <c r="J425" i="28"/>
  <c r="R425" i="28"/>
  <c r="Y425" i="28"/>
  <c r="B428" i="28"/>
  <c r="A429" i="28"/>
  <c r="O425" i="28"/>
  <c r="K425" i="28"/>
  <c r="L425" i="28"/>
  <c r="M425" i="28" s="1"/>
  <c r="H426" i="28"/>
  <c r="S427" i="28"/>
  <c r="T427" i="28"/>
  <c r="W427" i="28"/>
  <c r="V427" i="28"/>
  <c r="D428" i="28"/>
  <c r="F427" i="28"/>
  <c r="U427" i="28"/>
  <c r="G427" i="28"/>
  <c r="I427" i="28" s="1"/>
  <c r="X427" i="28"/>
  <c r="C428" i="28"/>
  <c r="E428" i="28" l="1"/>
  <c r="P427" i="28"/>
  <c r="J426" i="28"/>
  <c r="Q427" i="28"/>
  <c r="N427" i="28" s="1"/>
  <c r="R426" i="28"/>
  <c r="Y426" i="28"/>
  <c r="K426" i="28"/>
  <c r="L426" i="28"/>
  <c r="M426" i="28" s="1"/>
  <c r="O426" i="28"/>
  <c r="B429" i="28"/>
  <c r="A430" i="28"/>
  <c r="H427" i="28"/>
  <c r="G428" i="28"/>
  <c r="W428" i="28"/>
  <c r="V428" i="28"/>
  <c r="U428" i="28"/>
  <c r="D429" i="28"/>
  <c r="I428" i="28"/>
  <c r="S428" i="28"/>
  <c r="T428" i="28"/>
  <c r="F428" i="28"/>
  <c r="C429" i="28"/>
  <c r="X428" i="28"/>
  <c r="E429" i="28" l="1"/>
  <c r="Q428" i="28"/>
  <c r="N428" i="28" s="1"/>
  <c r="R427" i="28"/>
  <c r="Y427" i="28"/>
  <c r="P428" i="28"/>
  <c r="J427" i="28"/>
  <c r="B430" i="28"/>
  <c r="A431" i="28"/>
  <c r="L427" i="28"/>
  <c r="M427" i="28" s="1"/>
  <c r="O427" i="28"/>
  <c r="K427" i="28"/>
  <c r="H428" i="28"/>
  <c r="T429" i="28"/>
  <c r="X429" i="28"/>
  <c r="U429" i="28"/>
  <c r="V429" i="28"/>
  <c r="D430" i="28"/>
  <c r="W429" i="28"/>
  <c r="F429" i="28"/>
  <c r="S429" i="28"/>
  <c r="G429" i="28"/>
  <c r="C430" i="28"/>
  <c r="I429" i="28"/>
  <c r="E430" i="28" l="1"/>
  <c r="P429" i="28"/>
  <c r="J428" i="28"/>
  <c r="R428" i="28"/>
  <c r="Y428" i="28"/>
  <c r="Q429" i="28"/>
  <c r="N429" i="28" s="1"/>
  <c r="K428" i="28"/>
  <c r="O428" i="28"/>
  <c r="L428" i="28"/>
  <c r="M428" i="28" s="1"/>
  <c r="B431" i="28"/>
  <c r="A432" i="28"/>
  <c r="H429" i="28"/>
  <c r="X430" i="28"/>
  <c r="W430" i="28"/>
  <c r="F430" i="28"/>
  <c r="G430" i="28"/>
  <c r="D431" i="28"/>
  <c r="I430" i="28"/>
  <c r="V430" i="28"/>
  <c r="T430" i="28"/>
  <c r="U430" i="28"/>
  <c r="S430" i="28"/>
  <c r="C431" i="28"/>
  <c r="E431" i="28" l="1"/>
  <c r="R429" i="28"/>
  <c r="Y429" i="28"/>
  <c r="P430" i="28"/>
  <c r="J429" i="28"/>
  <c r="Q430" i="28"/>
  <c r="N430" i="28" s="1"/>
  <c r="B432" i="28"/>
  <c r="A433" i="28"/>
  <c r="K429" i="28"/>
  <c r="O429" i="28"/>
  <c r="L429" i="28"/>
  <c r="M429" i="28" s="1"/>
  <c r="H430" i="28"/>
  <c r="W431" i="28"/>
  <c r="G431" i="28"/>
  <c r="X431" i="28"/>
  <c r="F431" i="28"/>
  <c r="C432" i="28"/>
  <c r="I431" i="28"/>
  <c r="S431" i="28"/>
  <c r="T431" i="28"/>
  <c r="V431" i="28"/>
  <c r="D432" i="28"/>
  <c r="U431" i="28"/>
  <c r="E432" i="28" l="1"/>
  <c r="Q431" i="28"/>
  <c r="N431" i="28" s="1"/>
  <c r="R430" i="28"/>
  <c r="Y430" i="28"/>
  <c r="P431" i="28"/>
  <c r="J430" i="28"/>
  <c r="B433" i="28"/>
  <c r="A434" i="28"/>
  <c r="K430" i="28"/>
  <c r="L430" i="28"/>
  <c r="M430" i="28" s="1"/>
  <c r="O430" i="28"/>
  <c r="H431" i="28"/>
  <c r="X432" i="28"/>
  <c r="S432" i="28"/>
  <c r="V432" i="28"/>
  <c r="U432" i="28"/>
  <c r="D433" i="28"/>
  <c r="W432" i="28"/>
  <c r="G432" i="28"/>
  <c r="I432" i="28" s="1"/>
  <c r="T432" i="28"/>
  <c r="F432" i="28"/>
  <c r="C433" i="28"/>
  <c r="E433" i="28" l="1"/>
  <c r="Q432" i="28"/>
  <c r="N432" i="28" s="1"/>
  <c r="P432" i="28"/>
  <c r="J431" i="28"/>
  <c r="R431" i="28"/>
  <c r="Y431" i="28"/>
  <c r="L431" i="28"/>
  <c r="M431" i="28" s="1"/>
  <c r="O431" i="28"/>
  <c r="K431" i="28"/>
  <c r="B434" i="28"/>
  <c r="A435" i="28"/>
  <c r="H432" i="28"/>
  <c r="W433" i="28"/>
  <c r="V433" i="28"/>
  <c r="U433" i="28"/>
  <c r="X433" i="28"/>
  <c r="D434" i="28"/>
  <c r="G433" i="28"/>
  <c r="I433" i="28" s="1"/>
  <c r="F433" i="28"/>
  <c r="S433" i="28"/>
  <c r="T433" i="28"/>
  <c r="C434" i="28"/>
  <c r="E434" i="28" l="1"/>
  <c r="R432" i="28"/>
  <c r="Y432" i="28"/>
  <c r="Q433" i="28"/>
  <c r="N433" i="28" s="1"/>
  <c r="P433" i="28"/>
  <c r="J432" i="28"/>
  <c r="B435" i="28"/>
  <c r="A436" i="28"/>
  <c r="K432" i="28"/>
  <c r="O432" i="28"/>
  <c r="L432" i="28"/>
  <c r="M432" i="28" s="1"/>
  <c r="H433" i="28"/>
  <c r="T434" i="28"/>
  <c r="S434" i="28"/>
  <c r="X434" i="28"/>
  <c r="U434" i="28"/>
  <c r="D435" i="28"/>
  <c r="W434" i="28"/>
  <c r="G434" i="28"/>
  <c r="I434" i="28" s="1"/>
  <c r="V434" i="28"/>
  <c r="F434" i="28"/>
  <c r="C435" i="28"/>
  <c r="E435" i="28" l="1"/>
  <c r="Q434" i="28"/>
  <c r="N434" i="28" s="1"/>
  <c r="P434" i="28"/>
  <c r="J433" i="28"/>
  <c r="R433" i="28"/>
  <c r="Y433" i="28"/>
  <c r="L433" i="28"/>
  <c r="M433" i="28" s="1"/>
  <c r="O433" i="28"/>
  <c r="K433" i="28"/>
  <c r="B436" i="28"/>
  <c r="A437" i="28"/>
  <c r="H434" i="28"/>
  <c r="S435" i="28"/>
  <c r="T435" i="28"/>
  <c r="W435" i="28"/>
  <c r="V435" i="28"/>
  <c r="C436" i="28"/>
  <c r="X435" i="28"/>
  <c r="F435" i="28"/>
  <c r="U435" i="28"/>
  <c r="G435" i="28"/>
  <c r="I435" i="28" s="1"/>
  <c r="D436" i="28"/>
  <c r="E436" i="28" l="1"/>
  <c r="P435" i="28"/>
  <c r="J434" i="28"/>
  <c r="Q435" i="28"/>
  <c r="N435" i="28" s="1"/>
  <c r="R434" i="28"/>
  <c r="Y434" i="28"/>
  <c r="B437" i="28"/>
  <c r="A438" i="28"/>
  <c r="K434" i="28"/>
  <c r="L434" i="28"/>
  <c r="M434" i="28" s="1"/>
  <c r="O434" i="28"/>
  <c r="H435" i="28"/>
  <c r="X436" i="28"/>
  <c r="S436" i="28"/>
  <c r="V436" i="28"/>
  <c r="U436" i="28"/>
  <c r="D437" i="28"/>
  <c r="W436" i="28"/>
  <c r="G436" i="28"/>
  <c r="I436" i="28" s="1"/>
  <c r="F436" i="28"/>
  <c r="C437" i="28"/>
  <c r="T436" i="28"/>
  <c r="E437" i="28" l="1"/>
  <c r="Q436" i="28"/>
  <c r="N436" i="28" s="1"/>
  <c r="P436" i="28"/>
  <c r="J435" i="28"/>
  <c r="R435" i="28"/>
  <c r="Y435" i="28"/>
  <c r="B438" i="28"/>
  <c r="A439" i="28"/>
  <c r="L435" i="28"/>
  <c r="M435" i="28" s="1"/>
  <c r="O435" i="28"/>
  <c r="K435" i="28"/>
  <c r="H436" i="28"/>
  <c r="W437" i="28"/>
  <c r="V437" i="28"/>
  <c r="X437" i="28"/>
  <c r="F437" i="28"/>
  <c r="S437" i="28"/>
  <c r="G437" i="28"/>
  <c r="I437" i="28" s="1"/>
  <c r="C438" i="28"/>
  <c r="T437" i="28"/>
  <c r="U437" i="28"/>
  <c r="D438" i="28"/>
  <c r="E438" i="28" l="1"/>
  <c r="P437" i="28"/>
  <c r="J436" i="28"/>
  <c r="R436" i="28"/>
  <c r="Y436" i="28"/>
  <c r="Q437" i="28"/>
  <c r="N437" i="28" s="1"/>
  <c r="K436" i="28"/>
  <c r="O436" i="28"/>
  <c r="L436" i="28"/>
  <c r="M436" i="28" s="1"/>
  <c r="B439" i="28"/>
  <c r="A440" i="28"/>
  <c r="H437" i="28"/>
  <c r="U438" i="28"/>
  <c r="F438" i="28"/>
  <c r="X438" i="28"/>
  <c r="W438" i="28"/>
  <c r="C439" i="28"/>
  <c r="T438" i="28"/>
  <c r="G438" i="28"/>
  <c r="I438" i="28" s="1"/>
  <c r="V438" i="28"/>
  <c r="S438" i="28"/>
  <c r="D439" i="28"/>
  <c r="E439" i="28" l="1"/>
  <c r="R437" i="28"/>
  <c r="Y437" i="28"/>
  <c r="P438" i="28"/>
  <c r="J437" i="28"/>
  <c r="Q438" i="28"/>
  <c r="N438" i="28" s="1"/>
  <c r="B440" i="28"/>
  <c r="A441" i="28"/>
  <c r="L437" i="28"/>
  <c r="M437" i="28" s="1"/>
  <c r="O437" i="28"/>
  <c r="K437" i="28"/>
  <c r="H438" i="28"/>
  <c r="S439" i="28"/>
  <c r="T439" i="28"/>
  <c r="W439" i="28"/>
  <c r="V439" i="28"/>
  <c r="D440" i="28"/>
  <c r="F439" i="28"/>
  <c r="G439" i="28"/>
  <c r="I439" i="28" s="1"/>
  <c r="X439" i="28"/>
  <c r="U439" i="28"/>
  <c r="C440" i="28"/>
  <c r="E440" i="28" l="1"/>
  <c r="P439" i="28"/>
  <c r="J438" i="28"/>
  <c r="Q439" i="28"/>
  <c r="N439" i="28" s="1"/>
  <c r="R438" i="28"/>
  <c r="Y438" i="28"/>
  <c r="B441" i="28"/>
  <c r="A442" i="28"/>
  <c r="L438" i="28"/>
  <c r="M438" i="28" s="1"/>
  <c r="O438" i="28"/>
  <c r="K438" i="28"/>
  <c r="H439" i="28"/>
  <c r="V440" i="28"/>
  <c r="U440" i="28"/>
  <c r="W440" i="28"/>
  <c r="G440" i="28"/>
  <c r="C441" i="28"/>
  <c r="I440" i="28"/>
  <c r="T440" i="28"/>
  <c r="X440" i="28"/>
  <c r="S440" i="28"/>
  <c r="F440" i="28"/>
  <c r="D441" i="28"/>
  <c r="E441" i="28" l="1"/>
  <c r="Q440" i="28"/>
  <c r="N440" i="28" s="1"/>
  <c r="P440" i="28"/>
  <c r="J439" i="28"/>
  <c r="R439" i="28"/>
  <c r="Y439" i="28"/>
  <c r="B442" i="28"/>
  <c r="A443" i="28"/>
  <c r="K439" i="28"/>
  <c r="L439" i="28"/>
  <c r="M439" i="28" s="1"/>
  <c r="O439" i="28"/>
  <c r="H440" i="28"/>
  <c r="V441" i="28"/>
  <c r="G441" i="28"/>
  <c r="U441" i="28"/>
  <c r="X441" i="28"/>
  <c r="D442" i="28"/>
  <c r="I441" i="28"/>
  <c r="W441" i="28"/>
  <c r="F441" i="28"/>
  <c r="S441" i="28"/>
  <c r="T441" i="28"/>
  <c r="C442" i="28"/>
  <c r="E442" i="28" l="1"/>
  <c r="R440" i="28"/>
  <c r="Y440" i="28"/>
  <c r="Q441" i="28"/>
  <c r="N441" i="28" s="1"/>
  <c r="P441" i="28"/>
  <c r="J440" i="28"/>
  <c r="K440" i="28"/>
  <c r="O440" i="28"/>
  <c r="L440" i="28"/>
  <c r="M440" i="28" s="1"/>
  <c r="B443" i="28"/>
  <c r="A444" i="28"/>
  <c r="H441" i="28"/>
  <c r="T442" i="28"/>
  <c r="S442" i="28"/>
  <c r="X442" i="28"/>
  <c r="U442" i="28"/>
  <c r="C443" i="28"/>
  <c r="W442" i="28"/>
  <c r="G442" i="28"/>
  <c r="I442" i="28" s="1"/>
  <c r="V442" i="28"/>
  <c r="F442" i="28"/>
  <c r="D443" i="28"/>
  <c r="E443" i="28" l="1"/>
  <c r="Q442" i="28"/>
  <c r="N442" i="28" s="1"/>
  <c r="P442" i="28"/>
  <c r="J441" i="28"/>
  <c r="R441" i="28"/>
  <c r="Y441" i="28"/>
  <c r="B444" i="28"/>
  <c r="A445" i="28"/>
  <c r="O441" i="28"/>
  <c r="K441" i="28"/>
  <c r="L441" i="28"/>
  <c r="M441" i="28" s="1"/>
  <c r="H442" i="28"/>
  <c r="T443" i="28"/>
  <c r="X443" i="28"/>
  <c r="W443" i="28"/>
  <c r="V443" i="28"/>
  <c r="D444" i="28"/>
  <c r="S443" i="28"/>
  <c r="F443" i="28"/>
  <c r="G443" i="28"/>
  <c r="I443" i="28" s="1"/>
  <c r="C444" i="28"/>
  <c r="U443" i="28"/>
  <c r="E444" i="28" l="1"/>
  <c r="P443" i="28"/>
  <c r="J442" i="28"/>
  <c r="Q443" i="28"/>
  <c r="N443" i="28" s="1"/>
  <c r="R442" i="28"/>
  <c r="Y442" i="28"/>
  <c r="K442" i="28"/>
  <c r="L442" i="28"/>
  <c r="M442" i="28" s="1"/>
  <c r="O442" i="28"/>
  <c r="B445" i="28"/>
  <c r="A446" i="28"/>
  <c r="H443" i="28"/>
  <c r="X444" i="28"/>
  <c r="S444" i="28"/>
  <c r="V444" i="28"/>
  <c r="U444" i="28"/>
  <c r="D445" i="28"/>
  <c r="W444" i="28"/>
  <c r="G444" i="28"/>
  <c r="I444" i="28" s="1"/>
  <c r="T444" i="28"/>
  <c r="C445" i="28"/>
  <c r="F444" i="28"/>
  <c r="E445" i="28" l="1"/>
  <c r="Q444" i="28"/>
  <c r="N444" i="28" s="1"/>
  <c r="P444" i="28"/>
  <c r="J443" i="28"/>
  <c r="R443" i="28"/>
  <c r="Y443" i="28"/>
  <c r="B446" i="28"/>
  <c r="A447" i="28"/>
  <c r="O443" i="28"/>
  <c r="K443" i="28"/>
  <c r="L443" i="28"/>
  <c r="M443" i="28" s="1"/>
  <c r="H444" i="28"/>
  <c r="W445" i="28"/>
  <c r="T445" i="28"/>
  <c r="U445" i="28"/>
  <c r="V445" i="28"/>
  <c r="D446" i="28"/>
  <c r="X445" i="28"/>
  <c r="F445" i="28"/>
  <c r="S445" i="28"/>
  <c r="G445" i="28"/>
  <c r="I445" i="28" s="1"/>
  <c r="C446" i="28"/>
  <c r="E446" i="28" l="1"/>
  <c r="P445" i="28"/>
  <c r="J444" i="28"/>
  <c r="R444" i="28"/>
  <c r="Y444" i="28"/>
  <c r="Q445" i="28"/>
  <c r="N445" i="28" s="1"/>
  <c r="K444" i="28"/>
  <c r="O444" i="28"/>
  <c r="L444" i="28"/>
  <c r="M444" i="28" s="1"/>
  <c r="B447" i="28"/>
  <c r="A448" i="28"/>
  <c r="H445" i="28"/>
  <c r="T446" i="28"/>
  <c r="U446" i="28"/>
  <c r="X446" i="28"/>
  <c r="W446" i="28"/>
  <c r="C447" i="28"/>
  <c r="F446" i="28"/>
  <c r="G446" i="28"/>
  <c r="I446" i="28" s="1"/>
  <c r="V446" i="28"/>
  <c r="S446" i="28"/>
  <c r="D447" i="28"/>
  <c r="E447" i="28" l="1"/>
  <c r="R445" i="28"/>
  <c r="Y445" i="28"/>
  <c r="P446" i="28"/>
  <c r="J445" i="28"/>
  <c r="Q446" i="28"/>
  <c r="N446" i="28" s="1"/>
  <c r="B448" i="28"/>
  <c r="A449" i="28"/>
  <c r="K445" i="28"/>
  <c r="L445" i="28"/>
  <c r="M445" i="28" s="1"/>
  <c r="O445" i="28"/>
  <c r="H446" i="28"/>
  <c r="S447" i="28"/>
  <c r="T447" i="28"/>
  <c r="W447" i="28"/>
  <c r="V447" i="28"/>
  <c r="D448" i="28"/>
  <c r="X447" i="28"/>
  <c r="F447" i="28"/>
  <c r="U447" i="28"/>
  <c r="G447" i="28"/>
  <c r="I447" i="28" s="1"/>
  <c r="C448" i="28"/>
  <c r="E448" i="28" l="1"/>
  <c r="P447" i="28"/>
  <c r="J446" i="28"/>
  <c r="Q447" i="28"/>
  <c r="N447" i="28" s="1"/>
  <c r="R446" i="28"/>
  <c r="Y446" i="28"/>
  <c r="B449" i="28"/>
  <c r="A450" i="28"/>
  <c r="K446" i="28"/>
  <c r="L446" i="28"/>
  <c r="M446" i="28" s="1"/>
  <c r="O446" i="28"/>
  <c r="H447" i="28"/>
  <c r="X448" i="28"/>
  <c r="S448" i="28"/>
  <c r="V448" i="28"/>
  <c r="U448" i="28"/>
  <c r="D449" i="28"/>
  <c r="G448" i="28"/>
  <c r="I448" i="28" s="1"/>
  <c r="T448" i="28"/>
  <c r="F448" i="28"/>
  <c r="W448" i="28"/>
  <c r="C449" i="28"/>
  <c r="E449" i="28" l="1"/>
  <c r="Q448" i="28"/>
  <c r="N448" i="28" s="1"/>
  <c r="P448" i="28"/>
  <c r="J447" i="28"/>
  <c r="R447" i="28"/>
  <c r="Y447" i="28"/>
  <c r="B450" i="28"/>
  <c r="A451" i="28"/>
  <c r="K447" i="28"/>
  <c r="L447" i="28"/>
  <c r="M447" i="28" s="1"/>
  <c r="O447" i="28"/>
  <c r="H448" i="28"/>
  <c r="G449" i="28"/>
  <c r="I449" i="28" s="1"/>
  <c r="F449" i="28"/>
  <c r="S449" i="28"/>
  <c r="T449" i="28"/>
  <c r="D450" i="28"/>
  <c r="W449" i="28"/>
  <c r="V449" i="28"/>
  <c r="U449" i="28"/>
  <c r="X449" i="28"/>
  <c r="C450" i="28"/>
  <c r="E450" i="28" l="1"/>
  <c r="R448" i="28"/>
  <c r="Y448" i="28"/>
  <c r="Q449" i="28"/>
  <c r="N449" i="28" s="1"/>
  <c r="P449" i="28"/>
  <c r="J448" i="28"/>
  <c r="L448" i="28"/>
  <c r="M448" i="28" s="1"/>
  <c r="K448" i="28"/>
  <c r="O448" i="28"/>
  <c r="B451" i="28"/>
  <c r="A452" i="28"/>
  <c r="H449" i="28"/>
  <c r="X450" i="28"/>
  <c r="V450" i="28"/>
  <c r="F450" i="28"/>
  <c r="W450" i="28"/>
  <c r="G450" i="28"/>
  <c r="C451" i="28"/>
  <c r="U450" i="28"/>
  <c r="T450" i="28"/>
  <c r="S450" i="28"/>
  <c r="D451" i="28"/>
  <c r="I450" i="28"/>
  <c r="E451" i="28" l="1"/>
  <c r="P450" i="28"/>
  <c r="J449" i="28"/>
  <c r="R449" i="28"/>
  <c r="Y449" i="28"/>
  <c r="Q450" i="28"/>
  <c r="N450" i="28" s="1"/>
  <c r="B452" i="28"/>
  <c r="A453" i="28"/>
  <c r="K449" i="28"/>
  <c r="L449" i="28"/>
  <c r="M449" i="28" s="1"/>
  <c r="O449" i="28"/>
  <c r="H450" i="28"/>
  <c r="S451" i="28"/>
  <c r="U451" i="28"/>
  <c r="G451" i="28"/>
  <c r="T451" i="28"/>
  <c r="C452" i="28"/>
  <c r="I451" i="28"/>
  <c r="V451" i="28"/>
  <c r="X451" i="28"/>
  <c r="F451" i="28"/>
  <c r="D452" i="28"/>
  <c r="W451" i="28"/>
  <c r="E452" i="28" l="1"/>
  <c r="Q451" i="28"/>
  <c r="N451" i="28" s="1"/>
  <c r="P451" i="28"/>
  <c r="J450" i="28"/>
  <c r="R450" i="28"/>
  <c r="Y450" i="28"/>
  <c r="B453" i="28"/>
  <c r="A454" i="28"/>
  <c r="O450" i="28"/>
  <c r="K450" i="28"/>
  <c r="L450" i="28"/>
  <c r="M450" i="28" s="1"/>
  <c r="H451" i="28"/>
  <c r="X452" i="28"/>
  <c r="S452" i="28"/>
  <c r="V452" i="28"/>
  <c r="U452" i="28"/>
  <c r="D453" i="28"/>
  <c r="T452" i="28"/>
  <c r="F452" i="28"/>
  <c r="W452" i="28"/>
  <c r="G452" i="28"/>
  <c r="I452" i="28" s="1"/>
  <c r="C453" i="28"/>
  <c r="E453" i="28" l="1"/>
  <c r="Q452" i="28"/>
  <c r="N452" i="28" s="1"/>
  <c r="P452" i="28"/>
  <c r="J451" i="28"/>
  <c r="R451" i="28"/>
  <c r="Y451" i="28"/>
  <c r="O451" i="28"/>
  <c r="K451" i="28"/>
  <c r="L451" i="28"/>
  <c r="M451" i="28" s="1"/>
  <c r="B454" i="28"/>
  <c r="A455" i="28"/>
  <c r="H452" i="28"/>
  <c r="V453" i="28"/>
  <c r="S453" i="28"/>
  <c r="W453" i="28"/>
  <c r="T453" i="28"/>
  <c r="C454" i="28"/>
  <c r="U453" i="28"/>
  <c r="G453" i="28"/>
  <c r="I453" i="28" s="1"/>
  <c r="X453" i="28"/>
  <c r="F453" i="28"/>
  <c r="D454" i="28"/>
  <c r="E454" i="28" l="1"/>
  <c r="Q453" i="28"/>
  <c r="N453" i="28" s="1"/>
  <c r="P453" i="28"/>
  <c r="J452" i="28"/>
  <c r="R452" i="28"/>
  <c r="Y452" i="28"/>
  <c r="B455" i="28"/>
  <c r="A456" i="28"/>
  <c r="O452" i="28"/>
  <c r="K452" i="28"/>
  <c r="L452" i="28"/>
  <c r="M452" i="28" s="1"/>
  <c r="H453" i="28"/>
  <c r="T454" i="28"/>
  <c r="U454" i="28"/>
  <c r="X454" i="28"/>
  <c r="W454" i="28"/>
  <c r="C455" i="28"/>
  <c r="F454" i="28"/>
  <c r="G454" i="28"/>
  <c r="I454" i="28" s="1"/>
  <c r="V454" i="28"/>
  <c r="D455" i="28"/>
  <c r="S454" i="28"/>
  <c r="E455" i="28" l="1"/>
  <c r="R453" i="28"/>
  <c r="Y453" i="28"/>
  <c r="P454" i="28"/>
  <c r="J453" i="28"/>
  <c r="Q454" i="28"/>
  <c r="N454" i="28" s="1"/>
  <c r="K453" i="28"/>
  <c r="L453" i="28"/>
  <c r="M453" i="28" s="1"/>
  <c r="O453" i="28"/>
  <c r="B456" i="28"/>
  <c r="A457" i="28"/>
  <c r="H454" i="28"/>
  <c r="S455" i="28"/>
  <c r="T455" i="28"/>
  <c r="W455" i="28"/>
  <c r="V455" i="28"/>
  <c r="D456" i="28"/>
  <c r="X455" i="28"/>
  <c r="F455" i="28"/>
  <c r="U455" i="28"/>
  <c r="G455" i="28"/>
  <c r="I455" i="28" s="1"/>
  <c r="C456" i="28"/>
  <c r="E456" i="28" l="1"/>
  <c r="P455" i="28"/>
  <c r="J454" i="28"/>
  <c r="Q455" i="28"/>
  <c r="N455" i="28" s="1"/>
  <c r="R454" i="28"/>
  <c r="Y454" i="28"/>
  <c r="B457" i="28"/>
  <c r="A458" i="28"/>
  <c r="K454" i="28"/>
  <c r="L454" i="28"/>
  <c r="M454" i="28" s="1"/>
  <c r="O454" i="28"/>
  <c r="H455" i="28"/>
  <c r="X456" i="28"/>
  <c r="S456" i="28"/>
  <c r="V456" i="28"/>
  <c r="U456" i="28"/>
  <c r="D457" i="28"/>
  <c r="G456" i="28"/>
  <c r="I456" i="28" s="1"/>
  <c r="T456" i="28"/>
  <c r="C457" i="28"/>
  <c r="W456" i="28"/>
  <c r="F456" i="28"/>
  <c r="E457" i="28" l="1"/>
  <c r="Q456" i="28"/>
  <c r="N456" i="28" s="1"/>
  <c r="P456" i="28"/>
  <c r="J455" i="28"/>
  <c r="R455" i="28"/>
  <c r="Y455" i="28"/>
  <c r="B458" i="28"/>
  <c r="A459" i="28"/>
  <c r="L455" i="28"/>
  <c r="M455" i="28" s="1"/>
  <c r="O455" i="28"/>
  <c r="K455" i="28"/>
  <c r="H456" i="28"/>
  <c r="V457" i="28"/>
  <c r="G457" i="28"/>
  <c r="U457" i="28"/>
  <c r="X457" i="28"/>
  <c r="D458" i="28"/>
  <c r="I457" i="28"/>
  <c r="F457" i="28"/>
  <c r="S457" i="28"/>
  <c r="T457" i="28"/>
  <c r="C458" i="28"/>
  <c r="W457" i="28"/>
  <c r="E458" i="28" l="1"/>
  <c r="R456" i="28"/>
  <c r="Y456" i="28"/>
  <c r="Q457" i="28"/>
  <c r="N457" i="28" s="1"/>
  <c r="P457" i="28"/>
  <c r="J456" i="28"/>
  <c r="K456" i="28"/>
  <c r="O456" i="28"/>
  <c r="L456" i="28"/>
  <c r="M456" i="28" s="1"/>
  <c r="B459" i="28"/>
  <c r="A460" i="28"/>
  <c r="H457" i="28"/>
  <c r="T458" i="28"/>
  <c r="S458" i="28"/>
  <c r="X458" i="28"/>
  <c r="U458" i="28"/>
  <c r="C459" i="28"/>
  <c r="W458" i="28"/>
  <c r="G458" i="28"/>
  <c r="I458" i="28" s="1"/>
  <c r="V458" i="28"/>
  <c r="F458" i="28"/>
  <c r="D459" i="28"/>
  <c r="E459" i="28" l="1"/>
  <c r="Q458" i="28"/>
  <c r="N458" i="28" s="1"/>
  <c r="P458" i="28"/>
  <c r="J457" i="28"/>
  <c r="R457" i="28"/>
  <c r="Y457" i="28"/>
  <c r="B460" i="28"/>
  <c r="A461" i="28"/>
  <c r="O457" i="28"/>
  <c r="K457" i="28"/>
  <c r="L457" i="28"/>
  <c r="M457" i="28" s="1"/>
  <c r="H458" i="28"/>
  <c r="S459" i="28"/>
  <c r="T459" i="28"/>
  <c r="W459" i="28"/>
  <c r="V459" i="28"/>
  <c r="D460" i="28"/>
  <c r="F459" i="28"/>
  <c r="U459" i="28"/>
  <c r="G459" i="28"/>
  <c r="I459" i="28" s="1"/>
  <c r="C460" i="28"/>
  <c r="X459" i="28"/>
  <c r="E460" i="28" l="1"/>
  <c r="P459" i="28"/>
  <c r="J458" i="28"/>
  <c r="Q459" i="28"/>
  <c r="N459" i="28" s="1"/>
  <c r="R458" i="28"/>
  <c r="Y458" i="28"/>
  <c r="K458" i="28"/>
  <c r="L458" i="28"/>
  <c r="M458" i="28" s="1"/>
  <c r="O458" i="28"/>
  <c r="B461" i="28"/>
  <c r="A462" i="28"/>
  <c r="H459" i="28"/>
  <c r="X460" i="28"/>
  <c r="U460" i="28"/>
  <c r="W460" i="28"/>
  <c r="G460" i="28"/>
  <c r="I460" i="28" s="1"/>
  <c r="T460" i="28"/>
  <c r="F460" i="28"/>
  <c r="C461" i="28"/>
  <c r="S460" i="28"/>
  <c r="V460" i="28"/>
  <c r="D461" i="28"/>
  <c r="E461" i="28" l="1"/>
  <c r="Q460" i="28"/>
  <c r="N460" i="28" s="1"/>
  <c r="P460" i="28"/>
  <c r="J459" i="28"/>
  <c r="R459" i="28"/>
  <c r="Y459" i="28"/>
  <c r="B462" i="28"/>
  <c r="A463" i="28"/>
  <c r="B463" i="28" s="1"/>
  <c r="K459" i="28"/>
  <c r="O459" i="28"/>
  <c r="L459" i="28"/>
  <c r="M459" i="28" s="1"/>
  <c r="H460" i="28"/>
  <c r="W461" i="28"/>
  <c r="T461" i="28"/>
  <c r="U461" i="28"/>
  <c r="V461" i="28"/>
  <c r="C463" i="28"/>
  <c r="D462" i="28"/>
  <c r="X461" i="28"/>
  <c r="F461" i="28"/>
  <c r="S461" i="28"/>
  <c r="G461" i="28"/>
  <c r="I461" i="28" s="1"/>
  <c r="D463" i="28"/>
  <c r="C462" i="28"/>
  <c r="E462" i="28" l="1"/>
  <c r="E463" i="28"/>
  <c r="P461" i="28"/>
  <c r="J460" i="28"/>
  <c r="R460" i="28"/>
  <c r="Y460" i="28"/>
  <c r="Q461" i="28"/>
  <c r="N461" i="28" s="1"/>
  <c r="L460" i="28"/>
  <c r="M460" i="28" s="1"/>
  <c r="O460" i="28"/>
  <c r="K460" i="28"/>
  <c r="H461" i="28"/>
  <c r="F462" i="28"/>
  <c r="G462" i="28"/>
  <c r="V462" i="28"/>
  <c r="S462" i="28"/>
  <c r="X463" i="28"/>
  <c r="F463" i="28"/>
  <c r="U463" i="28"/>
  <c r="G463" i="28"/>
  <c r="I463" i="28"/>
  <c r="T462" i="28"/>
  <c r="U462" i="28"/>
  <c r="X462" i="28"/>
  <c r="W462" i="28"/>
  <c r="S463" i="28"/>
  <c r="T463" i="28"/>
  <c r="W463" i="28"/>
  <c r="V463" i="28"/>
  <c r="I462" i="28"/>
  <c r="P463" i="28" l="1"/>
  <c r="J462" i="28"/>
  <c r="J463" i="28"/>
  <c r="Q463" i="28"/>
  <c r="N463" i="28" s="1"/>
  <c r="R463" i="28"/>
  <c r="Y462" i="28"/>
  <c r="R462" i="28"/>
  <c r="Y463" i="28"/>
  <c r="R461" i="28"/>
  <c r="Y461" i="28"/>
  <c r="P462" i="28"/>
  <c r="J461" i="28"/>
  <c r="Q462" i="28"/>
  <c r="N462" i="28" s="1"/>
  <c r="L461" i="28"/>
  <c r="M461" i="28" s="1"/>
  <c r="K461" i="28"/>
  <c r="O461" i="28"/>
  <c r="H463" i="28"/>
  <c r="H462" i="28"/>
  <c r="K462" i="28" l="1"/>
  <c r="L462" i="28"/>
  <c r="M462" i="28" s="1"/>
  <c r="O462" i="28"/>
  <c r="L463" i="28"/>
  <c r="M463" i="28" s="1"/>
  <c r="O463" i="28"/>
  <c r="K463" i="28"/>
</calcChain>
</file>

<file path=xl/comments1.xml><?xml version="1.0" encoding="utf-8"?>
<comments xmlns="http://schemas.openxmlformats.org/spreadsheetml/2006/main">
  <authors>
    <author>Prabhakaran, Sanjay</author>
  </authors>
  <commentList>
    <comment ref="A9" authorId="0" shapeId="0">
      <text>
        <r>
          <rPr>
            <b/>
            <sz val="9"/>
            <color indexed="81"/>
            <rFont val="Tahoma"/>
            <charset val="1"/>
          </rPr>
          <t>Prabhakaran, Sanjay:</t>
        </r>
        <r>
          <rPr>
            <sz val="9"/>
            <color indexed="81"/>
            <rFont val="Tahoma"/>
            <charset val="1"/>
          </rPr>
          <t xml:space="preserve">
Enter Start of month/year here
</t>
        </r>
      </text>
    </comment>
  </commentList>
</comments>
</file>

<file path=xl/sharedStrings.xml><?xml version="1.0" encoding="utf-8"?>
<sst xmlns="http://schemas.openxmlformats.org/spreadsheetml/2006/main" count="156" uniqueCount="89">
  <si>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</si>
  <si>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</si>
  <si>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</si>
  <si>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</si>
  <si>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</si>
  <si>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</si>
  <si>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</si>
  <si>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</si>
  <si>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</si>
  <si>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</si>
  <si>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</si>
  <si>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</si>
  <si>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</si>
  <si>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</si>
  <si>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</si>
  <si>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</si>
  <si>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</si>
  <si>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</si>
  <si>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</si>
  <si>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</si>
  <si>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</si>
  <si>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</si>
  <si>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</si>
  <si>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</si>
  <si>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</si>
  <si>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</si>
  <si>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</si>
  <si>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</si>
  <si>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</si>
  <si>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</si>
  <si>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</si>
  <si>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</si>
  <si>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</si>
  <si>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</si>
  <si>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</si>
  <si>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</si>
  <si>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</si>
  <si>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</si>
  <si>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</si>
  <si>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</si>
  <si>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</si>
  <si>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</si>
  <si>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</si>
  <si>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</si>
  <si>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</si>
  <si>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</si>
  <si>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</si>
  <si>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</si>
  <si>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</si>
  <si>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</si>
  <si>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</si>
  <si>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</si>
  <si>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</si>
  <si>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</si>
  <si>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</si>
  <si>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</si>
  <si>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</si>
  <si>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</si>
  <si>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</si>
  <si>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</si>
  <si>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</si>
  <si>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</si>
  <si>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</si>
  <si>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</si>
  <si>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</si>
  <si>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</si>
  <si>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</si>
  <si>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</si>
  <si>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</si>
  <si>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</si>
  <si>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TithiD</t>
  </si>
  <si>
    <t>Sun Rise</t>
  </si>
  <si>
    <t>Sun Sphuta</t>
  </si>
  <si>
    <t>Moon Sphuta</t>
  </si>
  <si>
    <t>Nakshatra(in Decimal)</t>
  </si>
  <si>
    <t>Nakshatra Ending Time</t>
  </si>
  <si>
    <t>Karana 2</t>
  </si>
  <si>
    <t xml:space="preserve">Calendar for Latitude </t>
  </si>
  <si>
    <t>United Nations</t>
  </si>
  <si>
    <t>YogaNumber</t>
  </si>
  <si>
    <r>
      <rPr>
        <b/>
        <sz val="15"/>
        <rFont val="Arial"/>
        <family val="2"/>
      </rPr>
      <t>S</t>
    </r>
    <r>
      <rPr>
        <sz val="15"/>
        <rFont val="Arial"/>
        <family val="2"/>
      </rPr>
      <t>hukla/</t>
    </r>
    <r>
      <rPr>
        <b/>
        <sz val="15"/>
        <rFont val="Arial"/>
        <family val="2"/>
      </rPr>
      <t>K</t>
    </r>
    <r>
      <rPr>
        <sz val="15"/>
        <rFont val="Arial"/>
        <family val="2"/>
      </rPr>
      <t xml:space="preserve">risha PakshaTithi </t>
    </r>
  </si>
  <si>
    <t>MARs</t>
  </si>
  <si>
    <t>Merc</t>
  </si>
  <si>
    <t>Jup</t>
  </si>
  <si>
    <t>Venu</t>
  </si>
  <si>
    <t>Sat</t>
  </si>
  <si>
    <t>Rah</t>
  </si>
  <si>
    <t>Graha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</si>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</sst>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  <numFmt numFmtId="175" formatCode="dddd"/>
    <numFmt numFmtId="176" formatCode="hh:mm:ss;@"/>
    <numFmt numFmtId="177" formatCode="0.0"/>
    <numFmt numFmtId="178" formatCode="d"/>
    <numFmt numFmtId="179" formatCode="mmmm\ yyyy"/>
    <numFmt numFmtId="180" formatCode="dd/mm/yyyy\ hh:mm"/>
  </numFmts>
  <fonts count="48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22"/>
      <name val="Arial"/>
      <family val="2"/>
    </font>
    <font>
      <sz val="11"/>
      <name val="Arial"/>
      <family val="2"/>
    </font>
    <font>
      <b/>
      <sz val="28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15"/>
      <color rgb="FFFF0000"/>
      <name val="Arial"/>
      <family val="2"/>
    </font>
    <font>
      <b/>
      <sz val="18"/>
      <color rgb="FFFF0000"/>
      <name val="Arial"/>
      <family val="2"/>
    </font>
    <font>
      <b/>
      <sz val="22"/>
      <color rgb="FFFF0000"/>
      <name val="Arial"/>
      <family val="2"/>
    </font>
    <font>
      <b/>
      <sz val="15"/>
      <color rgb="FF002060"/>
      <name val="Arial"/>
      <family val="2"/>
    </font>
    <font>
      <b/>
      <sz val="18"/>
      <color rgb="FF002060"/>
      <name val="Arial"/>
      <family val="2"/>
    </font>
    <font>
      <b/>
      <sz val="22"/>
      <color rgb="FF002060"/>
      <name val="Arial"/>
      <family val="2"/>
    </font>
    <font>
      <sz val="30"/>
      <name val="Arial"/>
      <family val="2"/>
    </font>
    <font>
      <b/>
      <sz val="30"/>
      <color rgb="FFFF0000"/>
      <name val="Arial"/>
      <family val="2"/>
    </font>
    <font>
      <b/>
      <sz val="30"/>
      <color rgb="FF002060"/>
      <name val="Arial"/>
      <family val="2"/>
    </font>
    <font>
      <b/>
      <sz val="30"/>
      <name val="Arial"/>
      <family val="2"/>
    </font>
    <font>
      <sz val="28"/>
      <name val="Arial"/>
      <family val="2"/>
    </font>
    <font>
      <b/>
      <sz val="24"/>
      <color rgb="FFFF0000"/>
      <name val="Arial"/>
      <family val="2"/>
    </font>
    <font>
      <sz val="24"/>
      <name val="Arial"/>
      <family val="2"/>
    </font>
    <font>
      <b/>
      <sz val="24"/>
      <color rgb="FF00206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1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71" fontId="14" fillId="0" borderId="0" xfId="0" applyNumberFormat="1" applyFont="1" applyAlignment="1">
      <alignment horizontal="center"/>
    </xf>
    <xf numFmtId="22" fontId="14" fillId="0" borderId="0" xfId="0" applyNumberFormat="1" applyFont="1" applyAlignment="1">
      <alignment horizontal="center"/>
    </xf>
    <xf numFmtId="2" fontId="14" fillId="0" borderId="0" xfId="0" applyNumberFormat="1" applyFont="1" applyFill="1" applyAlignment="1" applyProtection="1">
      <alignment horizontal="center"/>
      <protection locked="0" hidden="1"/>
    </xf>
    <xf numFmtId="174" fontId="14" fillId="0" borderId="0" xfId="0" applyNumberFormat="1" applyFont="1" applyFill="1" applyAlignment="1" applyProtection="1">
      <alignment horizontal="center"/>
      <protection locked="0" hidden="1"/>
    </xf>
    <xf numFmtId="171" fontId="0" fillId="14" borderId="0" xfId="0" applyNumberFormat="1" applyFill="1" applyAlignment="1">
      <alignment horizontal="center"/>
    </xf>
    <xf numFmtId="0" fontId="25" fillId="0" borderId="0" xfId="0" applyFont="1"/>
    <xf numFmtId="0" fontId="25" fillId="12" borderId="0" xfId="0" applyFont="1" applyFill="1" applyBorder="1"/>
    <xf numFmtId="0" fontId="26" fillId="12" borderId="29" xfId="0" applyFont="1" applyFill="1" applyBorder="1"/>
    <xf numFmtId="0" fontId="27" fillId="0" borderId="0" xfId="0" applyFont="1"/>
    <xf numFmtId="178" fontId="27" fillId="13" borderId="24" xfId="0" applyNumberFormat="1" applyFont="1" applyFill="1" applyBorder="1"/>
    <xf numFmtId="0" fontId="26" fillId="0" borderId="0" xfId="0" applyFont="1"/>
    <xf numFmtId="0" fontId="28" fillId="0" borderId="26" xfId="0" applyFont="1" applyBorder="1" applyAlignment="1">
      <alignment horizontal="left"/>
    </xf>
    <xf numFmtId="0" fontId="28" fillId="0" borderId="27" xfId="0" applyFont="1" applyBorder="1" applyAlignment="1">
      <alignment horizontal="left"/>
    </xf>
    <xf numFmtId="0" fontId="28" fillId="0" borderId="26" xfId="0" applyFont="1" applyBorder="1" applyAlignment="1">
      <alignment horizontal="right"/>
    </xf>
    <xf numFmtId="0" fontId="21" fillId="10" borderId="31" xfId="0" applyFont="1" applyFill="1" applyBorder="1" applyAlignment="1">
      <alignment horizontal="center"/>
    </xf>
    <xf numFmtId="0" fontId="23" fillId="10" borderId="31" xfId="0" applyFont="1" applyFill="1" applyBorder="1" applyAlignment="1" applyProtection="1">
      <alignment horizontal="center"/>
    </xf>
    <xf numFmtId="0" fontId="24" fillId="10" borderId="31" xfId="0" applyFont="1" applyFill="1" applyBorder="1" applyAlignment="1" applyProtection="1">
      <alignment horizontal="center"/>
    </xf>
    <xf numFmtId="0" fontId="23" fillId="10" borderId="31" xfId="0" applyFont="1" applyFill="1" applyBorder="1" applyAlignment="1">
      <alignment horizontal="center"/>
    </xf>
    <xf numFmtId="164" fontId="24" fillId="10" borderId="31" xfId="0" applyNumberFormat="1" applyFont="1" applyFill="1" applyBorder="1" applyAlignment="1" applyProtection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left" vertical="top"/>
    </xf>
    <xf numFmtId="172" fontId="30" fillId="0" borderId="25" xfId="0" applyNumberFormat="1" applyFont="1" applyBorder="1"/>
    <xf numFmtId="172" fontId="31" fillId="0" borderId="25" xfId="0" applyNumberFormat="1" applyFont="1" applyBorder="1"/>
    <xf numFmtId="0" fontId="31" fillId="0" borderId="0" xfId="0" applyFont="1"/>
    <xf numFmtId="2" fontId="30" fillId="0" borderId="25" xfId="0" applyNumberFormat="1" applyFont="1" applyBorder="1"/>
    <xf numFmtId="2" fontId="31" fillId="0" borderId="25" xfId="0" applyNumberFormat="1" applyFont="1" applyBorder="1"/>
    <xf numFmtId="0" fontId="30" fillId="0" borderId="25" xfId="0" applyNumberFormat="1" applyFont="1" applyBorder="1"/>
    <xf numFmtId="0" fontId="31" fillId="0" borderId="25" xfId="0" applyNumberFormat="1" applyFont="1" applyBorder="1"/>
    <xf numFmtId="176" fontId="30" fillId="0" borderId="25" xfId="0" applyNumberFormat="1" applyFont="1" applyBorder="1"/>
    <xf numFmtId="176" fontId="31" fillId="0" borderId="25" xfId="0" applyNumberFormat="1" applyFont="1" applyBorder="1"/>
    <xf numFmtId="177" fontId="30" fillId="0" borderId="25" xfId="0" applyNumberFormat="1" applyFont="1" applyBorder="1"/>
    <xf numFmtId="177" fontId="31" fillId="0" borderId="25" xfId="0" applyNumberFormat="1" applyFont="1" applyBorder="1"/>
    <xf numFmtId="172" fontId="32" fillId="0" borderId="25" xfId="0" applyNumberFormat="1" applyFont="1" applyBorder="1"/>
    <xf numFmtId="2" fontId="32" fillId="0" borderId="25" xfId="0" applyNumberFormat="1" applyFont="1" applyBorder="1"/>
    <xf numFmtId="0" fontId="32" fillId="0" borderId="25" xfId="0" applyNumberFormat="1" applyFont="1" applyBorder="1"/>
    <xf numFmtId="176" fontId="32" fillId="0" borderId="25" xfId="0" applyNumberFormat="1" applyFont="1" applyBorder="1"/>
    <xf numFmtId="177" fontId="32" fillId="0" borderId="25" xfId="0" applyNumberFormat="1" applyFont="1" applyBorder="1"/>
    <xf numFmtId="0" fontId="33" fillId="12" borderId="28" xfId="0" applyFont="1" applyFill="1" applyBorder="1"/>
    <xf numFmtId="178" fontId="34" fillId="13" borderId="24" xfId="0" applyNumberFormat="1" applyFont="1" applyFill="1" applyBorder="1"/>
    <xf numFmtId="172" fontId="35" fillId="0" borderId="25" xfId="0" applyNumberFormat="1" applyFont="1" applyBorder="1"/>
    <xf numFmtId="2" fontId="35" fillId="0" borderId="25" xfId="0" applyNumberFormat="1" applyFont="1" applyBorder="1"/>
    <xf numFmtId="0" fontId="35" fillId="0" borderId="25" xfId="0" applyNumberFormat="1" applyFont="1" applyBorder="1"/>
    <xf numFmtId="176" fontId="35" fillId="0" borderId="25" xfId="0" applyNumberFormat="1" applyFont="1" applyBorder="1"/>
    <xf numFmtId="177" fontId="35" fillId="0" borderId="25" xfId="0" applyNumberFormat="1" applyFont="1" applyBorder="1"/>
    <xf numFmtId="0" fontId="36" fillId="12" borderId="29" xfId="0" applyFont="1" applyFill="1" applyBorder="1"/>
    <xf numFmtId="178" fontId="37" fillId="13" borderId="24" xfId="0" applyNumberFormat="1" applyFont="1" applyFill="1" applyBorder="1"/>
    <xf numFmtId="0" fontId="38" fillId="0" borderId="0" xfId="0" applyFont="1"/>
    <xf numFmtId="178" fontId="39" fillId="13" borderId="24" xfId="0" applyNumberFormat="1" applyFont="1" applyFill="1" applyBorder="1"/>
    <xf numFmtId="178" fontId="38" fillId="13" borderId="24" xfId="0" applyNumberFormat="1" applyFont="1" applyFill="1" applyBorder="1"/>
    <xf numFmtId="178" fontId="40" fillId="13" borderId="24" xfId="0" applyNumberFormat="1" applyFont="1" applyFill="1" applyBorder="1"/>
    <xf numFmtId="178" fontId="41" fillId="13" borderId="24" xfId="0" applyNumberFormat="1" applyFont="1" applyFill="1" applyBorder="1"/>
    <xf numFmtId="0" fontId="42" fillId="0" borderId="0" xfId="0" applyFont="1"/>
    <xf numFmtId="175" fontId="43" fillId="11" borderId="21" xfId="0" applyNumberFormat="1" applyFont="1" applyFill="1" applyBorder="1"/>
    <xf numFmtId="175" fontId="44" fillId="11" borderId="22" xfId="0" applyNumberFormat="1" applyFont="1" applyFill="1" applyBorder="1"/>
    <xf numFmtId="175" fontId="45" fillId="11" borderId="23" xfId="0" applyNumberFormat="1" applyFont="1" applyFill="1" applyBorder="1"/>
    <xf numFmtId="180" fontId="0" fillId="0" borderId="0" xfId="0" applyNumberFormat="1" applyAlignment="1">
      <alignment horizontal="center"/>
    </xf>
    <xf numFmtId="2" fontId="0" fillId="0" borderId="0" xfId="0" applyNumberFormat="1" applyFill="1" applyAlignment="1" applyProtection="1">
      <alignment horizontal="center"/>
      <protection locked="0" hidden="1"/>
    </xf>
    <xf numFmtId="174" fontId="0" fillId="0" borderId="0" xfId="0" applyNumberFormat="1" applyFill="1" applyAlignment="1" applyProtection="1">
      <alignment horizontal="center"/>
      <protection locked="0" hidden="1"/>
    </xf>
    <xf numFmtId="177" fontId="32" fillId="0" borderId="25" xfId="0" applyNumberFormat="1" applyFont="1" applyBorder="1" applyAlignment="1">
      <alignment shrinkToFit="1"/>
    </xf>
    <xf numFmtId="177" fontId="31" fillId="0" borderId="25" xfId="0" applyNumberFormat="1" applyFont="1" applyBorder="1" applyAlignment="1">
      <alignment shrinkToFit="1"/>
    </xf>
    <xf numFmtId="177" fontId="35" fillId="0" borderId="25" xfId="0" applyNumberFormat="1" applyFont="1" applyBorder="1" applyAlignment="1">
      <alignment shrinkToFit="1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179" fontId="29" fillId="11" borderId="30" xfId="0" applyNumberFormat="1" applyFont="1" applyFill="1" applyBorder="1" applyAlignment="1">
      <alignment horizontal="center"/>
    </xf>
    <xf numFmtId="179" fontId="29" fillId="11" borderId="20" xfId="0" applyNumberFormat="1" applyFont="1" applyFill="1" applyBorder="1" applyAlignment="1">
      <alignment horizontal="center"/>
    </xf>
  </cellXfs>
  <cellStyles count="1">
    <cellStyle name="Normal" xfId="0" builtinId="0"/>
  </cellStyles>
  <dxfs count="52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80" formatCode="dd/mm/yyyy\ hh:m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180" formatCode="dd/mm/yyyy\ h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70" formatCode="dd\.mm\.yyyy\ hh:mm:ss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70" formatCode="dd\.mm\.yyyy\ hh:mm:ss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69" formatCode="h:mm:ss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81" formatCode="dd/mm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24"/>
          <bgColor indexed="22"/>
        </patternFill>
      </fill>
      <alignment horizontal="left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scheme val="none"/>
      </font>
      <fill>
        <patternFill patternType="solid">
          <fgColor indexed="24"/>
          <bgColor indexed="20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2" name="Charts" displayName="Charts" ref="A1:X4" totalsRowShown="0" headerRowDxfId="51" dataDxfId="49" headerRowBorderDxfId="50" tableBorderDxfId="48">
  <autoFilter ref="A1:X4"/>
  <tableColumns count="24">
    <tableColumn id="1" name="Name" dataDxfId="47"/>
    <tableColumn id="2" name="Date of Birth" dataDxfId="46"/>
    <tableColumn id="3" name="Time of Birth" dataDxfId="45"/>
    <tableColumn id="4" name="Time Zone"/>
    <tableColumn id="5" name="Latitude">
      <calculatedColumnFormula>10+57/60</calculatedColumnFormula>
    </tableColumn>
    <tableColumn id="6" name="Longitude">
      <calculatedColumnFormula>78+5/60</calculatedColumnFormula>
    </tableColumn>
    <tableColumn id="7" name="GMT Date and Time" dataDxfId="44">
      <calculatedColumnFormula>B2+C2-D2/24</calculatedColumnFormula>
    </tableColumn>
    <tableColumn id="8" name="Sunrise" dataDxfId="43">
      <calculatedColumnFormula>sunrise(E2,F2,G2)+D2/24</calculatedColumnFormula>
    </tableColumn>
    <tableColumn id="9" name="Weekday" dataDxfId="42">
      <calculatedColumnFormula>CHOOSE(WEEKDAY(G2),"Sunday","Monday","Tuesday","Wednesday","Thursday","Friday","Saturday")</calculatedColumnFormula>
    </tableColumn>
    <tableColumn id="10" name="Asdt " dataDxfId="41">
      <calculatedColumnFormula>Asdt(E2,F2,G2)</calculatedColumnFormula>
    </tableColumn>
    <tableColumn id="11" name="Sun " dataDxfId="40">
      <calculatedColumnFormula>Planet(G2,0)</calculatedColumnFormula>
    </tableColumn>
    <tableColumn id="12" name="Moon " dataDxfId="39">
      <calculatedColumnFormula>Planet(G2,1)</calculatedColumnFormula>
    </tableColumn>
    <tableColumn id="13" name="Mars " dataDxfId="38">
      <calculatedColumnFormula>Planet(G2,4)</calculatedColumnFormula>
    </tableColumn>
    <tableColumn id="14" name="Mercury " dataDxfId="37">
      <calculatedColumnFormula>Planet(G2,2)</calculatedColumnFormula>
    </tableColumn>
    <tableColumn id="15" name="Jupiter" dataDxfId="36">
      <calculatedColumnFormula>Planet(G2,5)</calculatedColumnFormula>
    </tableColumn>
    <tableColumn id="16" name="Venus " dataDxfId="35">
      <calculatedColumnFormula>Planet(G2,3)</calculatedColumnFormula>
    </tableColumn>
    <tableColumn id="17" name="Saturn " dataDxfId="34">
      <calculatedColumnFormula>Planet(G2,6)</calculatedColumnFormula>
    </tableColumn>
    <tableColumn id="18" name="Rahu " dataDxfId="33">
      <calculatedColumnFormula>Planet(G2,10)</calculatedColumnFormula>
    </tableColumn>
    <tableColumn id="19" name="Ketu " dataDxfId="32">
      <calculatedColumnFormula>IF(R2&lt;180,R2+180,R2-180)</calculatedColumnFormula>
    </tableColumn>
    <tableColumn id="20" name="Dhooma" dataDxfId="31">
      <calculatedColumnFormula>(K2+133.33)-FLOOR((K2+133.33)/360,1)*360</calculatedColumnFormula>
    </tableColumn>
    <tableColumn id="21" name="Vyati" dataDxfId="30">
      <calculatedColumnFormula>360-T2</calculatedColumnFormula>
    </tableColumn>
    <tableColumn id="22" name="Parivesha" dataDxfId="29">
      <calculatedColumnFormula>(180+U2)-FLOOR((180+U2)/360,1)*360</calculatedColumnFormula>
    </tableColumn>
    <tableColumn id="23" name="I.Chapa" dataDxfId="28">
      <calculatedColumnFormula>360-V2</calculatedColumnFormula>
    </tableColumn>
    <tableColumn id="24" name="Upaketu" dataDxfId="27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P" displayName="P" ref="A2:Y463" totalsRowShown="0" headerRowDxfId="26" dataDxfId="25">
  <tableColumns count="25">
    <tableColumn id="1" name="Date" dataDxfId="24"/>
    <tableColumn id="2" name="GMT" dataDxfId="23">
      <calculatedColumnFormula>A3+TimeZone/24</calculatedColumnFormula>
    </tableColumn>
    <tableColumn id="3" name="SunRise" dataDxfId="22">
      <calculatedColumnFormula>sunrise(Lat,Long,B3)+TimeZone/24+0.00103009259259259</calculatedColumnFormula>
    </tableColumn>
    <tableColumn id="4" name="Sun Set" dataDxfId="21">
      <calculatedColumnFormula>sunset(Lat,Long,B3)+TimeZone/24-0.000277777777777778</calculatedColumnFormula>
    </tableColumn>
    <tableColumn id="5" name="GMT Sun Rise" dataDxfId="20">
      <calculatedColumnFormula>P[[#This Row],[SunRise]]-TimeZone/24</calculatedColumnFormula>
    </tableColumn>
    <tableColumn id="6" name="Sun" dataDxfId="19">
      <calculatedColumnFormula>Planet(E3,0)</calculatedColumnFormula>
    </tableColumn>
    <tableColumn id="7" name="Moon" dataDxfId="18">
      <calculatedColumnFormula>Planet(E3,1)</calculatedColumnFormula>
    </tableColumn>
    <tableColumn id="8" name="Vaara" dataDxfId="17">
      <calculatedColumnFormula>E3</calculatedColumnFormula>
    </tableColumn>
    <tableColumn id="9" name="Nakshatra" dataDxfId="16">
      <calculatedColumnFormula>naks(P[[#This Row],[Moon]])</calculatedColumnFormula>
    </tableColumn>
    <tableColumn id="14" name="Nx Ending" dataDxfId="15">
      <calculatedColumnFormula>(C4-P[[#This Row],[SunRise]])/(G4-P[[#This Row],[Moon]])*(13.3333333333333-MOD(P[[#This Row],[Moon]],13.333333333333))+P[[#This Row],[SunRise]]</calculatedColumnFormula>
    </tableColumn>
    <tableColumn id="10" name="TithiD" dataDxfId="14">
      <calculatedColumnFormula>IF(P[[#This Row],[Tithi]]&gt;15,"K","S")&amp;ROUNDUP(MOD(P[[#This Row],[Tithi]],15),0)&amp;" ("&amp;ROUND(P[[#This Row],[Tithi]],2)&amp;")"</calculatedColumnFormula>
    </tableColumn>
    <tableColumn id="11" name="Karana1" dataDxfId="13">
      <calculatedColumnFormula>IF(AND(P[[#This Row],[Tithi]]&lt;28.5,P[[#This Row],[Tithi]]&gt;0.49999),MOD((P[[#This Row],[Tithi]]-0.5)*2,7),MOD((P[[#This Row],[Tithi]]+30-28.5),30)*2+7)</calculatedColumnFormula>
    </tableColumn>
    <tableColumn id="12" name="Karana2" dataDxfId="12">
      <calculatedColumnFormula>CHOOSE(ROUNDUP(P[[#This Row],[Karana1]],0),"Bhava","Baalava","Kaulava","Taitula","Garija","Vanija","Vishti","Shakuni","Chatushapda","Naaga","Kimstugna")</calculatedColumnFormula>
    </tableColumn>
    <tableColumn id="13" name="Yoga" dataDxfId="11">
      <calculatedColumnFormula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calculatedColumnFormula>
    </tableColumn>
    <tableColumn id="15" name="Column1" dataDxfId="10">
      <calculatedColumnFormula>IF(AND(P[[#This Row],[Tithi]]&lt;28.5,P[[#This Row],[Tithi]]&gt;0.49999),MOD((P[[#This Row],[Tithi]]-0.5)*2,7),MOD((P[[#This Row],[Tithi]]+30-28.5),30)*2+7)</calculatedColumnFormula>
    </tableColumn>
    <tableColumn id="16" name="Tithi" dataDxfId="9">
      <calculatedColumnFormula>ROUNDUP(MOD(360+P[[#This Row],[Moon]]-P[[#This Row],[Sun]],360)/12,4)</calculatedColumnFormula>
    </tableColumn>
    <tableColumn id="17" name="YogaNumber" dataDxfId="8">
      <calculatedColumnFormula>ROUNDUP(MOD(F3+G3,360)/13.333333333,2)</calculatedColumnFormula>
    </tableColumn>
    <tableColumn id="18" name="Graha" dataDxfId="7">
      <calculatedColumnFormula>SIGN(S4-P[[#This Row],[MARs]])*INT(P[[#This Row],[MARs]]/30+1)&amp;"Ma,"&amp;SIGN(T4-P[[#This Row],[Merc]])*INT(P[[#This Row],[Merc]]/30+1)&amp;"Me,"&amp;SIGN(U4-P[[#This Row],[Jup]])*INT(P[[#This Row],[Jup]]/30+1)&amp;"Ju,"&amp;SIGN(V4-P[[#This Row],[Venu]])*INT(P[[#This Row],[Venu]]/30+1)&amp;"Ve,"&amp;SIGN(W4-P[[#This Row],[Sat]])*INT(P[[#This Row],[Sat]]/30+1)&amp;"Sa,"&amp;INT(P[[#This Row],[Rah]]/30+1)&amp;"Ra"</calculatedColumnFormula>
    </tableColumn>
    <tableColumn id="19" name="MARs" dataDxfId="6">
      <calculatedColumnFormula>Planet(P[[#This Row],[GMT Sun Rise]],4)</calculatedColumnFormula>
    </tableColumn>
    <tableColumn id="20" name="Merc" dataDxfId="5">
      <calculatedColumnFormula>Planet(P[[#This Row],[GMT Sun Rise]],2)</calculatedColumnFormula>
    </tableColumn>
    <tableColumn id="21" name="Jup" dataDxfId="4">
      <calculatedColumnFormula>Planet(P[[#This Row],[GMT Sun Rise]],5)</calculatedColumnFormula>
    </tableColumn>
    <tableColumn id="22" name="Venu" dataDxfId="3">
      <calculatedColumnFormula>Planet(P[[#This Row],[GMT Sun Rise]],3)</calculatedColumnFormula>
    </tableColumn>
    <tableColumn id="23" name="Sat" dataDxfId="2">
      <calculatedColumnFormula>Planet(P[[#This Row],[GMT Sun Rise]],6)</calculatedColumnFormula>
    </tableColumn>
    <tableColumn id="24" name="Rah" dataDxfId="1">
      <calculatedColumnFormula>Planet(P[[#This Row],[GMT Sun Rise]],10)</calculatedColumnFormula>
    </tableColumn>
    <tableColumn id="25" name="Column2" dataDxfId="0">
      <calculatedColumnFormula>SIGN(S4-P[[#This Row],[MARs]])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4"/>
  <sheetViews>
    <sheetView topLeftCell="C1" workbookViewId="0">
      <selection activeCell="R2" sqref="R2"/>
    </sheetView>
  </sheetViews>
  <sheetFormatPr defaultColWidth="8" defaultRowHeight="12.75" x14ac:dyDescent="0.2"/>
  <cols>
    <col min="1" max="1" width="19.85546875" bestFit="1" customWidth="1"/>
    <col min="2" max="2" width="12.7109375" customWidth="1"/>
    <col min="3" max="3" width="13.42578125" customWidth="1"/>
    <col min="4" max="4" width="11.5703125" customWidth="1"/>
    <col min="5" max="5" width="9.42578125" customWidth="1"/>
    <col min="6" max="6" width="11" customWidth="1"/>
    <col min="7" max="7" width="18.7109375" customWidth="1"/>
    <col min="8" max="8" width="18.140625" bestFit="1" customWidth="1"/>
    <col min="9" max="9" width="10.7109375" customWidth="1"/>
    <col min="10" max="13" width="8.5703125" bestFit="1" customWidth="1"/>
    <col min="14" max="14" width="10.28515625" customWidth="1"/>
    <col min="15" max="15" width="8.85546875" customWidth="1"/>
    <col min="16" max="16" width="8.7109375" customWidth="1"/>
    <col min="17" max="17" width="9" customWidth="1"/>
    <col min="18" max="19" width="8.5703125" bestFit="1" customWidth="1"/>
    <col min="20" max="20" width="9.85546875" customWidth="1"/>
    <col min="21" max="21" width="8.5703125" bestFit="1" customWidth="1"/>
    <col min="22" max="22" width="11.28515625" customWidth="1"/>
    <col min="23" max="23" width="9.140625" customWidth="1"/>
    <col min="24" max="24" width="9.85546875" customWidth="1"/>
  </cols>
  <sheetData>
    <row r="1" spans="1:24" s="123" customFormat="1" ht="15" x14ac:dyDescent="0.25">
      <c r="A1" s="147" t="s">
        <v>21</v>
      </c>
      <c r="B1" s="148" t="s">
        <v>22</v>
      </c>
      <c r="C1" s="149" t="s">
        <v>23</v>
      </c>
      <c r="D1" s="149" t="s">
        <v>24</v>
      </c>
      <c r="E1" s="148" t="s">
        <v>18</v>
      </c>
      <c r="F1" s="150" t="s">
        <v>19</v>
      </c>
      <c r="G1" s="151" t="s">
        <v>25</v>
      </c>
      <c r="H1" s="151" t="s">
        <v>26</v>
      </c>
      <c r="I1" s="151" t="s">
        <v>20</v>
      </c>
      <c r="J1" s="149" t="s">
        <v>9</v>
      </c>
      <c r="K1" s="149" t="s">
        <v>2</v>
      </c>
      <c r="L1" s="149" t="s">
        <v>3</v>
      </c>
      <c r="M1" s="149" t="s">
        <v>16</v>
      </c>
      <c r="N1" s="149" t="s">
        <v>4</v>
      </c>
      <c r="O1" s="149" t="s">
        <v>44</v>
      </c>
      <c r="P1" s="149" t="s">
        <v>5</v>
      </c>
      <c r="Q1" s="149" t="s">
        <v>6</v>
      </c>
      <c r="R1" s="149" t="s">
        <v>7</v>
      </c>
      <c r="S1" s="149" t="s">
        <v>8</v>
      </c>
      <c r="T1" s="149" t="s">
        <v>11</v>
      </c>
      <c r="U1" s="149" t="s">
        <v>12</v>
      </c>
      <c r="V1" s="149" t="s">
        <v>29</v>
      </c>
      <c r="W1" s="149" t="s">
        <v>13</v>
      </c>
      <c r="X1" s="149" t="s">
        <v>14</v>
      </c>
    </row>
    <row r="2" spans="1:24" ht="13.5" thickBot="1" x14ac:dyDescent="0.25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 x14ac:dyDescent="0.25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1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  <row r="4" spans="1:24" ht="13.5" thickBot="1" x14ac:dyDescent="0.25">
      <c r="A4" s="117" t="s">
        <v>78</v>
      </c>
      <c r="B4" s="114">
        <v>16734</v>
      </c>
      <c r="C4" s="109">
        <v>0.70138888888888884</v>
      </c>
      <c r="D4" s="152">
        <v>-5</v>
      </c>
      <c r="E4" s="152">
        <f>38+53/60+42/3600</f>
        <v>38.894999999999996</v>
      </c>
      <c r="F4" s="152">
        <f>-(77+2/60)</f>
        <v>-77.033333333333331</v>
      </c>
      <c r="G4" s="111">
        <f>B4+C4-D4/24</f>
        <v>16734.909722222223</v>
      </c>
      <c r="H4" s="111">
        <f t="shared" ref="H4" si="0">sunrise(E4,F4,G4)+D4/24</f>
        <v>16734.268389993969</v>
      </c>
      <c r="I4" s="112" t="str">
        <f>CHOOSE(WEEKDAY(G4),"Sunday","Monday","Tuesday","Wednesday","Thursday","Friday","Saturday")</f>
        <v>Wednesday</v>
      </c>
      <c r="J4" s="119">
        <f>Asdt(E4,F4,G4)</f>
        <v>358.96949024622785</v>
      </c>
      <c r="K4" s="119">
        <f>Planet(G4,0)</f>
        <v>188.03022521255693</v>
      </c>
      <c r="L4" s="119">
        <f>Planet(G4,1)</f>
        <v>59.569866521188494</v>
      </c>
      <c r="M4" s="119">
        <f>Planet(G4,4)</f>
        <v>90.885528672031725</v>
      </c>
      <c r="N4" s="119">
        <f>Planet(G4,2)</f>
        <v>202.27872575209327</v>
      </c>
      <c r="O4" s="119">
        <f>Planet(G4,5)</f>
        <v>169.80165606080959</v>
      </c>
      <c r="P4" s="119">
        <f>Planet(G4,3)</f>
        <v>164.00519121102309</v>
      </c>
      <c r="Q4" s="119">
        <f>Planet(G4,6)</f>
        <v>91.65764608686834</v>
      </c>
      <c r="R4" s="119">
        <f>Planet(G4,10)</f>
        <v>69.984138839399407</v>
      </c>
      <c r="S4" s="119">
        <f>IF(R4&lt;180,R4+180,R4-180)</f>
        <v>249.98413883939941</v>
      </c>
      <c r="T4" s="119">
        <f>(K4+133.33)-FLOOR((K4+133.33)/360,1)*360</f>
        <v>321.36022521255694</v>
      </c>
      <c r="U4" s="119">
        <f>360-T4</f>
        <v>38.639774787443059</v>
      </c>
      <c r="V4" s="119">
        <f>(180+U4)-FLOOR((180+U4)/360,1)*360</f>
        <v>218.63977478744306</v>
      </c>
      <c r="W4" s="119">
        <f>360-V4</f>
        <v>141.36022521255694</v>
      </c>
      <c r="X4" s="119">
        <f>(W4+16.67)-FLOOR((W4+16.67)/360,1)*360</f>
        <v>158.03022521255696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"/>
  <sheetViews>
    <sheetView workbookViewId="0">
      <selection activeCell="B1" sqref="B1"/>
    </sheetView>
  </sheetViews>
  <sheetFormatPr defaultRowHeight="12.75" x14ac:dyDescent="0.2"/>
  <cols>
    <col min="1" max="1" width="19" style="12" bestFit="1" customWidth="1"/>
    <col min="2" max="2" width="23.7109375" style="12" bestFit="1" customWidth="1"/>
    <col min="3" max="3" width="16.570312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78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f>VLOOKUP($B$1,Charts[],2)</f>
        <v>16734</v>
      </c>
      <c r="C2" s="25"/>
      <c r="F2" s="26"/>
      <c r="G2" s="27"/>
      <c r="H2" s="25"/>
      <c r="I2" s="27"/>
      <c r="J2" s="28"/>
      <c r="K2" s="29"/>
      <c r="L2" s="196"/>
      <c r="M2" s="196"/>
      <c r="N2" s="195"/>
      <c r="O2" s="195"/>
      <c r="P2" s="195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f>VLOOKUP($B$1,Charts[],3)</f>
        <v>0.70138888888888884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f>VLOOKUP($B$1,Charts[],4)</f>
        <v>-5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f>VLOOKUP($B$1,Charts[],5)</f>
        <v>38.894999999999996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f>VLOOKUP($B$1,Charts[],6)</f>
        <v>-77.033333333333331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16734.909722222223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16734.268389993969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9" t="s">
        <v>20</v>
      </c>
      <c r="B9" s="40" t="str">
        <f>CHOOSE(WEEKDAY(B7),"Sunday","Monday","Tuesday","Wednesday","Thursday","Friday","Saturday")</f>
        <v>Wednesday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 x14ac:dyDescent="0.2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 x14ac:dyDescent="0.2">
      <c r="A12" s="1" t="s">
        <v>9</v>
      </c>
      <c r="B12" s="2">
        <f>degree(F12)</f>
        <v>28</v>
      </c>
      <c r="C12" s="2" t="str">
        <f>Rasi(F12)</f>
        <v>Pi</v>
      </c>
      <c r="D12" s="4">
        <f>Minutes(F12)</f>
        <v>58</v>
      </c>
      <c r="E12" s="4">
        <f>seconds(F12)</f>
        <v>10.16</v>
      </c>
      <c r="F12" s="98">
        <f>Asdt(B5,B6,B7)</f>
        <v>358.96949024622785</v>
      </c>
      <c r="G12" s="3" t="str">
        <f t="shared" ref="G12:G26" si="0">naks(F12)</f>
        <v>Revati</v>
      </c>
      <c r="H12" s="5">
        <f>ROUNDUP(MOD(F12/3.3333333,4),0)</f>
        <v>4</v>
      </c>
      <c r="I12" s="5" t="str">
        <f t="shared" ref="I12:I21" si="1">naksdeity(F12)</f>
        <v>Pushan</v>
      </c>
      <c r="J12" s="5" t="str">
        <f t="shared" ref="J12:J21" si="2">nakslord(F12)</f>
        <v>Mercury</v>
      </c>
      <c r="K12" s="99">
        <f>rasinum(F12)</f>
        <v>12</v>
      </c>
      <c r="L12" s="99">
        <f>HouseNum(F12,$F$12)</f>
        <v>1</v>
      </c>
      <c r="R12" s="7"/>
      <c r="S12" s="16"/>
      <c r="T12" s="16"/>
      <c r="U12" s="17"/>
    </row>
    <row r="13" spans="1:21" x14ac:dyDescent="0.2">
      <c r="A13" s="1" t="s">
        <v>2</v>
      </c>
      <c r="B13" s="2">
        <f t="shared" ref="B13:B26" si="3">degree(F13)</f>
        <v>8</v>
      </c>
      <c r="C13" s="2" t="str">
        <f t="shared" ref="C13:C26" si="4">Rasi(F13)</f>
        <v>Li</v>
      </c>
      <c r="D13" s="4">
        <f t="shared" ref="D13:D26" si="5">Minutes(F13)</f>
        <v>1</v>
      </c>
      <c r="E13" s="4">
        <f t="shared" ref="E13:E26" si="6">seconds(F13)</f>
        <v>48.81</v>
      </c>
      <c r="F13" s="98">
        <f>Planet($B$7,0)</f>
        <v>188.03022521255693</v>
      </c>
      <c r="G13" s="3" t="str">
        <f t="shared" si="0"/>
        <v>Swati</v>
      </c>
      <c r="H13" s="5">
        <f t="shared" ref="H13:H26" si="7">ROUNDUP(MOD(F13/3.3333333,4),0)</f>
        <v>1</v>
      </c>
      <c r="I13" s="5" t="str">
        <f t="shared" si="1"/>
        <v>Vayu</v>
      </c>
      <c r="J13" s="5" t="str">
        <f t="shared" si="2"/>
        <v>Rahu</v>
      </c>
      <c r="K13" s="99">
        <f t="shared" ref="K13:K21" si="8">rasinum(F13)</f>
        <v>7</v>
      </c>
      <c r="L13" s="99">
        <f t="shared" ref="L13:L21" si="9">HouseNum(F13,$F$12)</f>
        <v>8</v>
      </c>
      <c r="R13" s="14"/>
      <c r="S13" s="16"/>
      <c r="T13" s="16"/>
      <c r="U13" s="17"/>
    </row>
    <row r="14" spans="1:21" x14ac:dyDescent="0.2">
      <c r="A14" s="1" t="s">
        <v>3</v>
      </c>
      <c r="B14" s="2">
        <f t="shared" si="3"/>
        <v>29</v>
      </c>
      <c r="C14" s="2" t="str">
        <f t="shared" si="4"/>
        <v>Ta</v>
      </c>
      <c r="D14" s="4">
        <f t="shared" si="5"/>
        <v>34</v>
      </c>
      <c r="E14" s="4">
        <f t="shared" si="6"/>
        <v>11.52</v>
      </c>
      <c r="F14" s="98">
        <f>Planet($B$7,1)</f>
        <v>59.569866521188494</v>
      </c>
      <c r="G14" s="3" t="str">
        <f t="shared" si="0"/>
        <v>Mrigashira</v>
      </c>
      <c r="H14" s="5">
        <f t="shared" si="7"/>
        <v>2</v>
      </c>
      <c r="I14" s="5" t="str">
        <f t="shared" si="1"/>
        <v>Chandra</v>
      </c>
      <c r="J14" s="5" t="str">
        <f t="shared" si="2"/>
        <v>Mars</v>
      </c>
      <c r="K14" s="99">
        <f t="shared" si="8"/>
        <v>2</v>
      </c>
      <c r="L14" s="99">
        <f t="shared" si="9"/>
        <v>3</v>
      </c>
      <c r="R14" s="14"/>
      <c r="S14" s="16"/>
      <c r="T14" s="16"/>
      <c r="U14" s="17"/>
    </row>
    <row r="15" spans="1:21" x14ac:dyDescent="0.2">
      <c r="A15" s="1" t="s">
        <v>16</v>
      </c>
      <c r="B15" s="2">
        <f t="shared" si="3"/>
        <v>0</v>
      </c>
      <c r="C15" s="2" t="str">
        <f t="shared" si="4"/>
        <v>Cn</v>
      </c>
      <c r="D15" s="4">
        <f t="shared" si="5"/>
        <v>53</v>
      </c>
      <c r="E15" s="4">
        <f t="shared" si="6"/>
        <v>7.9</v>
      </c>
      <c r="F15" s="98">
        <f>Planet($B$7,4)</f>
        <v>90.885528672031725</v>
      </c>
      <c r="G15" s="3" t="str">
        <f t="shared" si="0"/>
        <v>Punarvasu</v>
      </c>
      <c r="H15" s="5">
        <f t="shared" si="7"/>
        <v>4</v>
      </c>
      <c r="I15" s="5" t="str">
        <f t="shared" si="1"/>
        <v>Aditi</v>
      </c>
      <c r="J15" s="5" t="str">
        <f t="shared" si="2"/>
        <v>Jupiter</v>
      </c>
      <c r="K15" s="99">
        <f t="shared" si="8"/>
        <v>4</v>
      </c>
      <c r="L15" s="99">
        <f t="shared" si="9"/>
        <v>5</v>
      </c>
      <c r="R15" s="14"/>
      <c r="S15" s="16"/>
      <c r="T15" s="16"/>
      <c r="U15" s="17"/>
    </row>
    <row r="16" spans="1:21" x14ac:dyDescent="0.2">
      <c r="A16" s="1" t="s">
        <v>4</v>
      </c>
      <c r="B16" s="2">
        <f t="shared" si="3"/>
        <v>22</v>
      </c>
      <c r="C16" s="2" t="str">
        <f t="shared" si="4"/>
        <v>Li</v>
      </c>
      <c r="D16" s="4">
        <f t="shared" si="5"/>
        <v>16</v>
      </c>
      <c r="E16" s="4">
        <f t="shared" si="6"/>
        <v>43.41</v>
      </c>
      <c r="F16" s="98">
        <f>Planet($B$7,2)</f>
        <v>202.27872575209327</v>
      </c>
      <c r="G16" s="3" t="str">
        <f t="shared" si="0"/>
        <v>Visakha</v>
      </c>
      <c r="H16" s="5">
        <f t="shared" si="7"/>
        <v>1</v>
      </c>
      <c r="I16" s="5" t="str">
        <f t="shared" si="1"/>
        <v>Indragni</v>
      </c>
      <c r="J16" s="5" t="str">
        <f t="shared" si="2"/>
        <v>Jupiter</v>
      </c>
      <c r="K16" s="99">
        <f t="shared" si="8"/>
        <v>7</v>
      </c>
      <c r="L16" s="99">
        <f t="shared" si="9"/>
        <v>8</v>
      </c>
      <c r="R16" s="14"/>
      <c r="S16" s="16"/>
      <c r="T16" s="16"/>
      <c r="U16" s="17"/>
    </row>
    <row r="17" spans="1:21" x14ac:dyDescent="0.2">
      <c r="A17" s="1" t="s">
        <v>44</v>
      </c>
      <c r="B17" s="2">
        <f t="shared" si="3"/>
        <v>19</v>
      </c>
      <c r="C17" s="2" t="str">
        <f t="shared" si="4"/>
        <v>Vi</v>
      </c>
      <c r="D17" s="4">
        <f t="shared" si="5"/>
        <v>48</v>
      </c>
      <c r="E17" s="4">
        <f t="shared" si="6"/>
        <v>5.96</v>
      </c>
      <c r="F17" s="98">
        <f>Planet($B$7,5)</f>
        <v>169.80165606080959</v>
      </c>
      <c r="G17" s="3" t="str">
        <f t="shared" si="0"/>
        <v>Hasta</v>
      </c>
      <c r="H17" s="5">
        <f t="shared" si="7"/>
        <v>3</v>
      </c>
      <c r="I17" s="5" t="str">
        <f t="shared" si="1"/>
        <v>Aditya</v>
      </c>
      <c r="J17" s="5" t="str">
        <f t="shared" si="2"/>
        <v>Moon</v>
      </c>
      <c r="K17" s="99">
        <f t="shared" si="8"/>
        <v>6</v>
      </c>
      <c r="L17" s="99">
        <f t="shared" si="9"/>
        <v>7</v>
      </c>
      <c r="R17" s="14"/>
      <c r="S17" s="16"/>
      <c r="T17" s="16"/>
      <c r="U17" s="17"/>
    </row>
    <row r="18" spans="1:21" x14ac:dyDescent="0.2">
      <c r="A18" s="1" t="s">
        <v>5</v>
      </c>
      <c r="B18" s="2">
        <f t="shared" si="3"/>
        <v>14</v>
      </c>
      <c r="C18" s="2" t="str">
        <f t="shared" si="4"/>
        <v>Vi</v>
      </c>
      <c r="D18" s="4">
        <f t="shared" si="5"/>
        <v>0</v>
      </c>
      <c r="E18" s="4">
        <f t="shared" si="6"/>
        <v>18.690000000000001</v>
      </c>
      <c r="F18" s="98">
        <f>Planet($B$7,3)</f>
        <v>164.00519121102309</v>
      </c>
      <c r="G18" s="3" t="str">
        <f t="shared" si="0"/>
        <v>Hasta</v>
      </c>
      <c r="H18" s="5">
        <f t="shared" si="7"/>
        <v>2</v>
      </c>
      <c r="I18" s="5" t="str">
        <f t="shared" si="1"/>
        <v>Aditya</v>
      </c>
      <c r="J18" s="5" t="str">
        <f t="shared" si="2"/>
        <v>Moon</v>
      </c>
      <c r="K18" s="99">
        <f t="shared" si="8"/>
        <v>6</v>
      </c>
      <c r="L18" s="99">
        <f t="shared" si="9"/>
        <v>7</v>
      </c>
      <c r="R18" s="14"/>
      <c r="S18" s="16"/>
      <c r="T18" s="16"/>
      <c r="U18" s="17"/>
    </row>
    <row r="19" spans="1:21" x14ac:dyDescent="0.2">
      <c r="A19" s="1" t="s">
        <v>6</v>
      </c>
      <c r="B19" s="2">
        <f t="shared" si="3"/>
        <v>1</v>
      </c>
      <c r="C19" s="2" t="str">
        <f t="shared" si="4"/>
        <v>Cn</v>
      </c>
      <c r="D19" s="4">
        <f t="shared" si="5"/>
        <v>39</v>
      </c>
      <c r="E19" s="4">
        <f t="shared" si="6"/>
        <v>27.53</v>
      </c>
      <c r="F19" s="98">
        <f>Planet($B$7,6)</f>
        <v>91.65764608686834</v>
      </c>
      <c r="G19" s="3" t="str">
        <f t="shared" si="0"/>
        <v>Punarvasu</v>
      </c>
      <c r="H19" s="5">
        <f t="shared" si="7"/>
        <v>4</v>
      </c>
      <c r="I19" s="5" t="str">
        <f t="shared" si="1"/>
        <v>Aditi</v>
      </c>
      <c r="J19" s="5" t="str">
        <f t="shared" si="2"/>
        <v>Jupiter</v>
      </c>
      <c r="K19" s="99">
        <f t="shared" si="8"/>
        <v>4</v>
      </c>
      <c r="L19" s="99">
        <f t="shared" si="9"/>
        <v>5</v>
      </c>
      <c r="R19" s="14"/>
      <c r="S19" s="16"/>
      <c r="T19" s="16"/>
      <c r="U19" s="17"/>
    </row>
    <row r="20" spans="1:21" x14ac:dyDescent="0.2">
      <c r="A20" s="1" t="s">
        <v>7</v>
      </c>
      <c r="B20" s="2">
        <f t="shared" si="3"/>
        <v>9</v>
      </c>
      <c r="C20" s="2" t="str">
        <f t="shared" si="4"/>
        <v>Ge</v>
      </c>
      <c r="D20" s="4">
        <f t="shared" si="5"/>
        <v>59</v>
      </c>
      <c r="E20" s="4">
        <f t="shared" si="6"/>
        <v>2.9</v>
      </c>
      <c r="F20" s="98">
        <f>Planet($B$7,10)</f>
        <v>69.984138839399407</v>
      </c>
      <c r="G20" s="3" t="str">
        <f t="shared" si="0"/>
        <v>Ardra</v>
      </c>
      <c r="H20" s="5">
        <f t="shared" si="7"/>
        <v>1</v>
      </c>
      <c r="I20" s="5" t="str">
        <f t="shared" si="1"/>
        <v>Rudra</v>
      </c>
      <c r="J20" s="5" t="str">
        <f t="shared" si="2"/>
        <v>Rahu</v>
      </c>
      <c r="K20" s="99">
        <f t="shared" si="8"/>
        <v>3</v>
      </c>
      <c r="L20" s="99">
        <f t="shared" si="9"/>
        <v>4</v>
      </c>
      <c r="R20" s="14"/>
      <c r="S20" s="16"/>
      <c r="T20" s="16"/>
      <c r="U20" s="17"/>
    </row>
    <row r="21" spans="1:21" x14ac:dyDescent="0.2">
      <c r="A21" s="1" t="s">
        <v>8</v>
      </c>
      <c r="B21" s="2">
        <f t="shared" si="3"/>
        <v>9</v>
      </c>
      <c r="C21" s="2" t="str">
        <f t="shared" si="4"/>
        <v>Sg</v>
      </c>
      <c r="D21" s="4">
        <f t="shared" si="5"/>
        <v>59</v>
      </c>
      <c r="E21" s="4">
        <f t="shared" si="6"/>
        <v>2.9</v>
      </c>
      <c r="F21" s="98">
        <f>IF(F20&lt;180,F20+180,F20-180)</f>
        <v>249.98413883939941</v>
      </c>
      <c r="G21" s="3" t="str">
        <f t="shared" si="0"/>
        <v>Moola</v>
      </c>
      <c r="H21" s="5">
        <f t="shared" si="7"/>
        <v>3</v>
      </c>
      <c r="I21" s="5" t="str">
        <f t="shared" si="1"/>
        <v>Nirriti</v>
      </c>
      <c r="J21" s="5" t="str">
        <f t="shared" si="2"/>
        <v>Ketu</v>
      </c>
      <c r="K21" s="99">
        <f t="shared" si="8"/>
        <v>9</v>
      </c>
      <c r="L21" s="99">
        <f t="shared" si="9"/>
        <v>10</v>
      </c>
      <c r="R21" s="7"/>
      <c r="S21" s="16"/>
      <c r="T21" s="16"/>
      <c r="U21" s="17"/>
    </row>
    <row r="22" spans="1:21" x14ac:dyDescent="0.2">
      <c r="A22" s="92" t="s">
        <v>11</v>
      </c>
      <c r="B22" s="93">
        <f t="shared" si="3"/>
        <v>21</v>
      </c>
      <c r="C22" s="93" t="str">
        <f t="shared" si="4"/>
        <v>Aq</v>
      </c>
      <c r="D22" s="94">
        <f t="shared" si="5"/>
        <v>21</v>
      </c>
      <c r="E22" s="94">
        <f t="shared" si="6"/>
        <v>36.81</v>
      </c>
      <c r="F22" s="100">
        <f>(F13+133.33)-FLOOR((F13+133.33)/360,1)*360</f>
        <v>321.36022521255694</v>
      </c>
      <c r="G22" s="101" t="str">
        <f t="shared" si="0"/>
        <v>Purva Bhadrapada</v>
      </c>
      <c r="H22" s="5">
        <f t="shared" si="7"/>
        <v>1</v>
      </c>
      <c r="I22" s="102" t="str">
        <f>naksdeity(F22)</f>
        <v>Ajaekapad</v>
      </c>
      <c r="J22" s="102" t="str">
        <f>nakslord(F22)</f>
        <v>Jupiter</v>
      </c>
      <c r="K22" s="103">
        <f>rasinum(F22)</f>
        <v>11</v>
      </c>
      <c r="L22" s="103">
        <f>HouseNum(F22,$F$12)</f>
        <v>12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 x14ac:dyDescent="0.2">
      <c r="A23" s="92" t="s">
        <v>12</v>
      </c>
      <c r="B23" s="93">
        <f t="shared" si="3"/>
        <v>8</v>
      </c>
      <c r="C23" s="93" t="str">
        <f t="shared" si="4"/>
        <v>Ta</v>
      </c>
      <c r="D23" s="94">
        <f t="shared" si="5"/>
        <v>38</v>
      </c>
      <c r="E23" s="94">
        <f t="shared" si="6"/>
        <v>23.19</v>
      </c>
      <c r="F23" s="100">
        <f>360-F22</f>
        <v>38.639774787443059</v>
      </c>
      <c r="G23" s="101" t="str">
        <f t="shared" si="0"/>
        <v>Krittika</v>
      </c>
      <c r="H23" s="5">
        <f t="shared" si="7"/>
        <v>4</v>
      </c>
      <c r="I23" s="102" t="str">
        <f>naksdeity(F23)</f>
        <v>Agni</v>
      </c>
      <c r="J23" s="102" t="str">
        <f>nakslord(F23)</f>
        <v>Sun</v>
      </c>
      <c r="K23" s="103">
        <f>rasinum(F23)</f>
        <v>2</v>
      </c>
      <c r="L23" s="103">
        <f>HouseNum(F23,$F$12)</f>
        <v>3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 x14ac:dyDescent="0.2">
      <c r="A24" s="92" t="s">
        <v>29</v>
      </c>
      <c r="B24" s="93">
        <f t="shared" si="3"/>
        <v>8</v>
      </c>
      <c r="C24" s="93" t="str">
        <f t="shared" si="4"/>
        <v>Sc</v>
      </c>
      <c r="D24" s="94">
        <f t="shared" si="5"/>
        <v>38</v>
      </c>
      <c r="E24" s="94">
        <f t="shared" si="6"/>
        <v>23.19</v>
      </c>
      <c r="F24" s="100">
        <f>(180+F23)-FLOOR((180+F23)/360,1)*360</f>
        <v>218.63977478744306</v>
      </c>
      <c r="G24" s="101" t="str">
        <f t="shared" si="0"/>
        <v>Anuradha</v>
      </c>
      <c r="H24" s="5">
        <f t="shared" si="7"/>
        <v>2</v>
      </c>
      <c r="I24" s="102" t="str">
        <f>naksdeity(F24)</f>
        <v xml:space="preserve">Mitra </v>
      </c>
      <c r="J24" s="102" t="str">
        <f>nakslord(F24)</f>
        <v>Saturn</v>
      </c>
      <c r="K24" s="103">
        <f>rasinum(F24)</f>
        <v>8</v>
      </c>
      <c r="L24" s="103">
        <f>HouseNum(F24,$F$12)</f>
        <v>9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 x14ac:dyDescent="0.2">
      <c r="A25" s="92" t="s">
        <v>13</v>
      </c>
      <c r="B25" s="93">
        <f t="shared" si="3"/>
        <v>21</v>
      </c>
      <c r="C25" s="93" t="str">
        <f t="shared" si="4"/>
        <v>Le</v>
      </c>
      <c r="D25" s="94">
        <f t="shared" si="5"/>
        <v>21</v>
      </c>
      <c r="E25" s="94">
        <f t="shared" si="6"/>
        <v>36.81</v>
      </c>
      <c r="F25" s="100">
        <f>360-F24</f>
        <v>141.36022521255694</v>
      </c>
      <c r="G25" s="101" t="str">
        <f t="shared" si="0"/>
        <v>Purva Phalguni</v>
      </c>
      <c r="H25" s="5">
        <f t="shared" si="7"/>
        <v>3</v>
      </c>
      <c r="I25" s="102" t="str">
        <f>naksdeity(F25)</f>
        <v>Bhaga</v>
      </c>
      <c r="J25" s="102" t="str">
        <f>nakslord(F25)</f>
        <v>Venus</v>
      </c>
      <c r="K25" s="103">
        <f>rasinum(F25)</f>
        <v>5</v>
      </c>
      <c r="L25" s="103">
        <f>HouseNum(F25,$F$12)</f>
        <v>6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 x14ac:dyDescent="0.2">
      <c r="A26" s="92" t="s">
        <v>14</v>
      </c>
      <c r="B26" s="93">
        <f t="shared" si="3"/>
        <v>8</v>
      </c>
      <c r="C26" s="93" t="str">
        <f t="shared" si="4"/>
        <v>Vi</v>
      </c>
      <c r="D26" s="94">
        <f t="shared" si="5"/>
        <v>1</v>
      </c>
      <c r="E26" s="94">
        <f t="shared" si="6"/>
        <v>48.81</v>
      </c>
      <c r="F26" s="100">
        <f>(F25+16.67)-FLOOR((F25+16.67)/360,1)*360</f>
        <v>158.03022521255696</v>
      </c>
      <c r="G26" s="101" t="str">
        <f t="shared" si="0"/>
        <v>Uttara Phalguni</v>
      </c>
      <c r="H26" s="5">
        <f t="shared" si="7"/>
        <v>4</v>
      </c>
      <c r="I26" s="102" t="str">
        <f>naksdeity(F26)</f>
        <v>Aryaman</v>
      </c>
      <c r="J26" s="102" t="str">
        <f>nakslord(F26)</f>
        <v>Sun</v>
      </c>
      <c r="K26" s="103">
        <f>rasinum(F26)</f>
        <v>6</v>
      </c>
      <c r="L26" s="103">
        <f>HouseNum(F26,$F$12)</f>
        <v>7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>
          <x14:formula1>
            <xm:f>Charts!$A$2:$A$4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/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8</v>
      </c>
      <c r="C4" s="66" t="str">
        <f>Rasi(G4)</f>
        <v>Sc</v>
      </c>
      <c r="D4" s="67">
        <f>Minutes(G4)</f>
        <v>42</v>
      </c>
      <c r="E4" s="68">
        <f>seconds(G4)</f>
        <v>17.809999999999999</v>
      </c>
      <c r="F4" s="106">
        <f>Basic!F12</f>
        <v>358.96949024622785</v>
      </c>
      <c r="G4" s="104">
        <f>divplanetlongitude(divplanetlongitude(F4,B2,C2),D2,E2)</f>
        <v>218.70494659260964</v>
      </c>
      <c r="H4" s="99">
        <f>rasinum(G4)</f>
        <v>8</v>
      </c>
      <c r="I4" s="99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16</v>
      </c>
      <c r="C5" s="66" t="str">
        <f t="shared" ref="C5:C13" si="0">Rasi(G5)</f>
        <v>Li</v>
      </c>
      <c r="D5" s="67">
        <f t="shared" ref="D5:D13" si="1">Minutes(G5)</f>
        <v>3</v>
      </c>
      <c r="E5" s="68">
        <f t="shared" ref="E5:E13" si="2">seconds(G5)</f>
        <v>37.619999999999997</v>
      </c>
      <c r="F5" s="106">
        <f>Basic!F13</f>
        <v>188.03022521255693</v>
      </c>
      <c r="G5" s="104">
        <f t="shared" ref="G5:G18" si="3">divplanetlongitude(F5,2,5)</f>
        <v>196.06045042511386</v>
      </c>
      <c r="H5" s="99">
        <f t="shared" ref="H5:H13" si="4">rasinum(G5)</f>
        <v>7</v>
      </c>
      <c r="I5" s="99">
        <f t="shared" ref="I5:I13" si="5">HouseNum(G5,$G$4)</f>
        <v>12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29</v>
      </c>
      <c r="C6" s="66" t="str">
        <f t="shared" si="0"/>
        <v>Li</v>
      </c>
      <c r="D6" s="67">
        <f t="shared" si="1"/>
        <v>8</v>
      </c>
      <c r="E6" s="68">
        <f t="shared" si="2"/>
        <v>23.04</v>
      </c>
      <c r="F6" s="106">
        <f>Basic!F14</f>
        <v>59.569866521188494</v>
      </c>
      <c r="G6" s="104">
        <f t="shared" si="3"/>
        <v>209.139733042377</v>
      </c>
      <c r="H6" s="99">
        <f t="shared" si="4"/>
        <v>7</v>
      </c>
      <c r="I6" s="99">
        <f t="shared" si="5"/>
        <v>12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1</v>
      </c>
      <c r="C7" s="66" t="str">
        <f t="shared" si="0"/>
        <v>Cn</v>
      </c>
      <c r="D7" s="67">
        <f t="shared" si="1"/>
        <v>46</v>
      </c>
      <c r="E7" s="68">
        <f t="shared" si="2"/>
        <v>15.81</v>
      </c>
      <c r="F7" s="106">
        <f>Basic!F15</f>
        <v>90.885528672031725</v>
      </c>
      <c r="G7" s="104">
        <f t="shared" si="3"/>
        <v>91.771057344063451</v>
      </c>
      <c r="H7" s="99">
        <f t="shared" si="4"/>
        <v>4</v>
      </c>
      <c r="I7" s="99">
        <f t="shared" si="5"/>
        <v>9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14</v>
      </c>
      <c r="C8" s="66" t="str">
        <f t="shared" si="0"/>
        <v>Ta</v>
      </c>
      <c r="D8" s="67">
        <f t="shared" si="1"/>
        <v>33</v>
      </c>
      <c r="E8" s="68">
        <f t="shared" si="2"/>
        <v>26.83</v>
      </c>
      <c r="F8" s="106">
        <f>Basic!F16</f>
        <v>202.27872575209327</v>
      </c>
      <c r="G8" s="104">
        <f t="shared" si="3"/>
        <v>44.557451504186517</v>
      </c>
      <c r="H8" s="99">
        <f t="shared" si="4"/>
        <v>2</v>
      </c>
      <c r="I8" s="99">
        <f t="shared" si="5"/>
        <v>7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9</v>
      </c>
      <c r="C9" s="66" t="str">
        <f t="shared" si="0"/>
        <v>Vi</v>
      </c>
      <c r="D9" s="67">
        <f t="shared" si="1"/>
        <v>36</v>
      </c>
      <c r="E9" s="68">
        <f t="shared" si="2"/>
        <v>11.92</v>
      </c>
      <c r="F9" s="106">
        <f>Basic!F17</f>
        <v>169.80165606080959</v>
      </c>
      <c r="G9" s="104">
        <f t="shared" si="3"/>
        <v>159.60331212161918</v>
      </c>
      <c r="H9" s="99">
        <f t="shared" si="4"/>
        <v>6</v>
      </c>
      <c r="I9" s="99">
        <f t="shared" si="5"/>
        <v>11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28</v>
      </c>
      <c r="C10" s="66" t="str">
        <f t="shared" si="0"/>
        <v>Ge</v>
      </c>
      <c r="D10" s="67">
        <f t="shared" si="1"/>
        <v>0</v>
      </c>
      <c r="E10" s="68">
        <f t="shared" si="2"/>
        <v>37.380000000000003</v>
      </c>
      <c r="F10" s="106">
        <f>Basic!F18</f>
        <v>164.00519121102309</v>
      </c>
      <c r="G10" s="104">
        <f t="shared" si="3"/>
        <v>88.010382422046149</v>
      </c>
      <c r="H10" s="99">
        <f t="shared" si="4"/>
        <v>3</v>
      </c>
      <c r="I10" s="99">
        <f t="shared" si="5"/>
        <v>8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3</v>
      </c>
      <c r="C11" s="66" t="str">
        <f t="shared" si="0"/>
        <v>Cn</v>
      </c>
      <c r="D11" s="67">
        <f t="shared" si="1"/>
        <v>18</v>
      </c>
      <c r="E11" s="68">
        <f t="shared" si="2"/>
        <v>55.05</v>
      </c>
      <c r="F11" s="106">
        <f>Basic!F19</f>
        <v>91.65764608686834</v>
      </c>
      <c r="G11" s="104">
        <f t="shared" si="3"/>
        <v>93.31529217373668</v>
      </c>
      <c r="H11" s="99">
        <f t="shared" si="4"/>
        <v>4</v>
      </c>
      <c r="I11" s="99">
        <f t="shared" si="5"/>
        <v>9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19</v>
      </c>
      <c r="C12" s="66" t="str">
        <f t="shared" si="0"/>
        <v>Vi</v>
      </c>
      <c r="D12" s="67">
        <f t="shared" si="1"/>
        <v>58</v>
      </c>
      <c r="E12" s="68">
        <f t="shared" si="2"/>
        <v>5.8</v>
      </c>
      <c r="F12" s="106">
        <f>Basic!F20</f>
        <v>69.984138839399407</v>
      </c>
      <c r="G12" s="104">
        <f t="shared" si="3"/>
        <v>169.96827767879881</v>
      </c>
      <c r="H12" s="99">
        <f t="shared" si="4"/>
        <v>6</v>
      </c>
      <c r="I12" s="99">
        <f t="shared" si="5"/>
        <v>11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19</v>
      </c>
      <c r="C13" s="66" t="str">
        <f t="shared" si="0"/>
        <v>Pi</v>
      </c>
      <c r="D13" s="67">
        <f t="shared" si="1"/>
        <v>58</v>
      </c>
      <c r="E13" s="68">
        <f t="shared" si="2"/>
        <v>5.8</v>
      </c>
      <c r="F13" s="106">
        <f>Basic!F21</f>
        <v>249.98413883939941</v>
      </c>
      <c r="G13" s="104">
        <f t="shared" si="3"/>
        <v>349.96827767879881</v>
      </c>
      <c r="H13" s="99">
        <f t="shared" si="4"/>
        <v>12</v>
      </c>
      <c r="I13" s="99">
        <f t="shared" si="5"/>
        <v>5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21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Aq</v>
      </c>
      <c r="D14" s="96">
        <f>Minutes(G14)</f>
        <v>43</v>
      </c>
      <c r="E14" s="97">
        <f>seconds(G14)</f>
        <v>13.62</v>
      </c>
      <c r="F14" s="107">
        <f>Basic!F22</f>
        <v>321.36022521255694</v>
      </c>
      <c r="G14" s="104">
        <f t="shared" si="3"/>
        <v>282.72045042511382</v>
      </c>
      <c r="H14" s="103">
        <f>rasinum(G14)</f>
        <v>10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8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Ta</v>
      </c>
      <c r="D15" s="96">
        <f>Minutes(G15)</f>
        <v>16</v>
      </c>
      <c r="E15" s="97">
        <f>seconds(G15)</f>
        <v>46.38</v>
      </c>
      <c r="F15" s="107">
        <f>Basic!F23</f>
        <v>38.639774787443059</v>
      </c>
      <c r="G15" s="104">
        <f t="shared" si="3"/>
        <v>47.279549574886119</v>
      </c>
      <c r="H15" s="103">
        <f>rasinum(G15)</f>
        <v>2</v>
      </c>
      <c r="I15" s="103">
        <f>HouseNum(G15,$G$4)</f>
        <v>7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8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Sc</v>
      </c>
      <c r="D16" s="96">
        <f>Minutes(G16)</f>
        <v>16</v>
      </c>
      <c r="E16" s="97">
        <f>seconds(G16)</f>
        <v>46.38</v>
      </c>
      <c r="F16" s="107">
        <f>Basic!F24</f>
        <v>218.63977478744306</v>
      </c>
      <c r="G16" s="104">
        <f t="shared" si="3"/>
        <v>17.279549574886115</v>
      </c>
      <c r="H16" s="103">
        <f>rasinum(G16)</f>
        <v>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21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Le</v>
      </c>
      <c r="D17" s="96">
        <f>Minutes(G17)</f>
        <v>43</v>
      </c>
      <c r="E17" s="97">
        <f>seconds(G17)</f>
        <v>13.62</v>
      </c>
      <c r="F17" s="107">
        <f>Basic!F25</f>
        <v>141.36022521255694</v>
      </c>
      <c r="G17" s="104">
        <f t="shared" si="3"/>
        <v>102.72045042511388</v>
      </c>
      <c r="H17" s="103">
        <f>rasinum(G17)</f>
        <v>4</v>
      </c>
      <c r="I17" s="103">
        <f>HouseNum(G17,$G$4)</f>
        <v>9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8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Vi</v>
      </c>
      <c r="D18" s="96">
        <f>Minutes(G18)</f>
        <v>3</v>
      </c>
      <c r="E18" s="97">
        <f>seconds(G18)</f>
        <v>37.619999999999997</v>
      </c>
      <c r="F18" s="107">
        <f>Basic!F26</f>
        <v>158.03022521255696</v>
      </c>
      <c r="G18" s="104">
        <f t="shared" si="3"/>
        <v>76.060450425113913</v>
      </c>
      <c r="H18" s="103">
        <f>rasinum(G18)</f>
        <v>3</v>
      </c>
      <c r="I18" s="103">
        <f>HouseNum(G18,$G$4)</f>
        <v>8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workbookViewId="0">
      <selection activeCell="I3" sqref="I3"/>
    </sheetView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8">
        <v>1</v>
      </c>
      <c r="D2" s="108">
        <v>1</v>
      </c>
      <c r="H2" s="108">
        <v>9</v>
      </c>
      <c r="I2" s="108">
        <v>1</v>
      </c>
    </row>
    <row r="3" spans="2:13" ht="75" customHeight="1" x14ac:dyDescent="0.2">
      <c r="B3" s="74" t="str">
        <f>RasiContent(12,Basic!$B$7,C2,D2,Basic!$F$12)</f>
        <v xml:space="preserve"> Asdt</v>
      </c>
      <c r="C3" s="75" t="str">
        <f>RasiContent(1,Basic!$B$7,C2,D2,Basic!$F$12)</f>
        <v/>
      </c>
      <c r="D3" s="75" t="str">
        <f>RasiContent(2,Basic!$B$7,C2,D2,Basic!$F$12)</f>
        <v xml:space="preserve"> Moon </v>
      </c>
      <c r="E3" s="76" t="str">
        <f>RasiContent(3,Basic!$B$7,C2,D2,Basic!$F$12)</f>
        <v xml:space="preserve"> Rahu</v>
      </c>
      <c r="F3" s="52"/>
      <c r="G3" s="74" t="str">
        <f>RasiContent(12,Basic!$B$7,H2,I2,Basic!$F$12)</f>
        <v xml:space="preserve"> Asdt</v>
      </c>
      <c r="H3" s="75" t="str">
        <f>RasiContent(1,Basic!$B$7,H2,I2,Basic!$F$12)</f>
        <v xml:space="preserve"> Merc</v>
      </c>
      <c r="I3" s="75" t="str">
        <f>RasiContent(2,Basic!$B$7,H2,I2,Basic!$F$12)</f>
        <v xml:space="preserve"> Venus </v>
      </c>
      <c r="J3" s="76" t="str">
        <f>RasiContent(3,Basic!$B$7,H2,I2,Basic!$F$12)</f>
        <v xml:space="preserve"> Jupiter Ketu</v>
      </c>
    </row>
    <row r="4" spans="2:13" ht="75" customHeight="1" x14ac:dyDescent="0.2">
      <c r="B4" s="77" t="str">
        <f>RasiContent(11,Basic!$B$7,C2,D2,Basic!$F$12)</f>
        <v/>
      </c>
      <c r="C4" s="197" t="str">
        <f>divname(C2,D2)</f>
        <v>Rasi</v>
      </c>
      <c r="D4" s="197"/>
      <c r="E4" s="78" t="str">
        <f>RasiContent(4,Basic!$B$7,C2,D2,Basic!$F$12)</f>
        <v xml:space="preserve"> Mars Saturn </v>
      </c>
      <c r="F4" s="52"/>
      <c r="G4" s="77" t="str">
        <f>RasiContent(11,Basic!$B$7,H2,I2,Basic!$F$12)</f>
        <v/>
      </c>
      <c r="H4" s="197" t="str">
        <f>divname(H2,I2)</f>
        <v>Navamsa</v>
      </c>
      <c r="I4" s="197"/>
      <c r="J4" s="78" t="str">
        <f>RasiContent(4,Basic!$B$7,H2,I2,Basic!$F$12)</f>
        <v xml:space="preserve"> Mars Saturn</v>
      </c>
    </row>
    <row r="5" spans="2:13" ht="75" customHeight="1" x14ac:dyDescent="0.2">
      <c r="B5" s="77" t="str">
        <f>RasiContent(10,Basic!$B$7,C2,D2,Basic!$F$12)</f>
        <v/>
      </c>
      <c r="C5" s="197"/>
      <c r="D5" s="197"/>
      <c r="E5" s="78" t="str">
        <f>RasiContent(5,Basic!$B$7,C2,D2,Basic!$F$12)</f>
        <v/>
      </c>
      <c r="F5" s="52"/>
      <c r="G5" s="77" t="str">
        <f>RasiContent(10,Basic!$B$7,H2,I2,Basic!$F$12)</f>
        <v/>
      </c>
      <c r="H5" s="197"/>
      <c r="I5" s="197"/>
      <c r="J5" s="78" t="str">
        <f>RasiContent(5,Basic!$B$7,H2,I2,Basic!$F$12)</f>
        <v xml:space="preserve"> </v>
      </c>
    </row>
    <row r="6" spans="2:13" ht="75" customHeight="1" thickBot="1" x14ac:dyDescent="0.25">
      <c r="B6" s="79" t="str">
        <f>RasiContent(9,Basic!$B$7,C2,D2,Basic!$F$12)</f>
        <v xml:space="preserve"> Ketu</v>
      </c>
      <c r="C6" s="80" t="str">
        <f>RasiContent(8,Basic!$B$7,C2,D2,Basic!$F$12)</f>
        <v/>
      </c>
      <c r="D6" s="80" t="str">
        <f>RasiContent(7,Basic!$B$7,C2,D2,Basic!$F$12)</f>
        <v xml:space="preserve"> Sun Merc</v>
      </c>
      <c r="E6" s="81" t="str">
        <f>RasiContent(6,Basic!$B$7,C2,D2,Basic!$F$12)</f>
        <v xml:space="preserve"> Venus Jupiter </v>
      </c>
      <c r="F6" s="52"/>
      <c r="G6" s="79" t="str">
        <f>RasiContent(9,Basic!$B$7,H2,I2,Basic!$F$12)</f>
        <v xml:space="preserve"> Sun  Rahu</v>
      </c>
      <c r="H6" s="80" t="str">
        <f>RasiContent(8,Basic!$B$7,H2,I2,Basic!$F$12)</f>
        <v/>
      </c>
      <c r="I6" s="80" t="str">
        <f>RasiContent(7,Basic!$B$7,H2,I2,Basic!$F$12)</f>
        <v/>
      </c>
      <c r="J6" s="81" t="str">
        <f>RasiContent(6,Basic!$B$7,H2,I2,Basic!$F$12)</f>
        <v xml:space="preserve"> Moon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 x14ac:dyDescent="0.2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/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</v>
      </c>
    </row>
    <row r="13" spans="2:13" s="53" customFormat="1" x14ac:dyDescent="0.2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/>
      </c>
      <c r="J13" s="53" t="str">
        <f>IF(B13=Basic!$C$19,Basic!$A$19,"")</f>
        <v/>
      </c>
      <c r="K13" s="53" t="str">
        <f>IF(B13=Basic!$C$20,Basic!$A$20,"")</f>
        <v xml:space="preserve">Rahu </v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Rahu </v>
      </c>
    </row>
    <row r="14" spans="2:13" s="53" customFormat="1" x14ac:dyDescent="0.2">
      <c r="B14" s="53" t="s">
        <v>35</v>
      </c>
      <c r="C14" s="53" t="str">
        <f>IF(B14=Basic!$C$12,Basic!$A$12,"")</f>
        <v/>
      </c>
      <c r="D14" s="53" t="str">
        <f>IF(B14=Basic!$C$13,Basic!$A$13,"")</f>
        <v/>
      </c>
      <c r="E14" s="53" t="str">
        <f>IF(B14=Basic!$C$14,Basic!$A$14,"")</f>
        <v/>
      </c>
      <c r="F14" s="53" t="str">
        <f>IF(B14=Basic!$C$15,Basic!$A$15,"")</f>
        <v xml:space="preserve">Mars </v>
      </c>
      <c r="G14" s="53" t="str">
        <f>IF(B14=Basic!$C$16,Basic!$A$16,"")</f>
        <v/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 xml:space="preserve">Saturn </v>
      </c>
      <c r="K14" s="53" t="str">
        <f>IF(B14=Basic!$C$20,Basic!$A$20,"")</f>
        <v/>
      </c>
      <c r="L14" s="53" t="str">
        <f>IF(B14=Basic!$C$21,Basic!$A$21,"")</f>
        <v/>
      </c>
      <c r="M14" s="53" t="str">
        <f t="shared" si="0"/>
        <v xml:space="preserve">Mars Saturn </v>
      </c>
    </row>
    <row r="15" spans="2:13" s="53" customFormat="1" x14ac:dyDescent="0.2">
      <c r="B15" s="53" t="s">
        <v>36</v>
      </c>
      <c r="C15" s="53" t="str">
        <f>IF(B15=Basic!$C$12,Basic!$A$12,"")</f>
        <v/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/>
      </c>
    </row>
    <row r="16" spans="2:13" s="53" customFormat="1" x14ac:dyDescent="0.2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>Jupiter</v>
      </c>
      <c r="I16" s="53" t="str">
        <f>IF(B16=Basic!$C$18,Basic!$A$18,"")</f>
        <v xml:space="preserve">Venus </v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 xml:space="preserve">JupiterVenus </v>
      </c>
    </row>
    <row r="17" spans="2:13" s="53" customFormat="1" x14ac:dyDescent="0.2">
      <c r="B17" s="53" t="s">
        <v>38</v>
      </c>
      <c r="C17" s="53" t="str">
        <f>IF(B17=Basic!$C$12,Basic!$A$12,"")</f>
        <v/>
      </c>
      <c r="D17" s="53" t="str">
        <f>IF(B17=Basic!$C$13,Basic!$A$13,"")</f>
        <v xml:space="preserve">Sun </v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 xml:space="preserve">Mercury </v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 xml:space="preserve">Sun Mercury </v>
      </c>
    </row>
    <row r="18" spans="2:13" s="53" customFormat="1" x14ac:dyDescent="0.2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/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/>
      </c>
    </row>
    <row r="19" spans="2:13" s="53" customFormat="1" x14ac:dyDescent="0.2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 xml:space="preserve">Ketu </v>
      </c>
      <c r="M19" s="53" t="str">
        <f t="shared" si="0"/>
        <v xml:space="preserve">Ketu </v>
      </c>
    </row>
    <row r="20" spans="2:13" s="53" customFormat="1" x14ac:dyDescent="0.2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/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/>
      </c>
      <c r="L20" s="53" t="str">
        <f>IF(B20=Basic!$C$21,Basic!$A$21,"")</f>
        <v/>
      </c>
      <c r="M20" s="53" t="str">
        <f t="shared" si="0"/>
        <v/>
      </c>
    </row>
    <row r="21" spans="2:13" s="53" customFormat="1" x14ac:dyDescent="0.2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IF(B22=Basic!$C$12,Basic!$A$12,"")</f>
        <v xml:space="preserve">Asdt </v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 xml:space="preserve">Asdt </v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/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/>
      </c>
    </row>
    <row r="26" spans="2:13" s="53" customFormat="1" x14ac:dyDescent="0.2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 xml:space="preserve">Mercury </v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/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Mercury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/>
      </c>
      <c r="E28" s="53" t="str">
        <f>IF(B28=Division!$C$6,Division!$A$6,"")</f>
        <v/>
      </c>
      <c r="F28" s="53" t="str">
        <f>IF(B28=Division!$C$7,Division!$A$7,"")</f>
        <v xml:space="preserve">Mars </v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 xml:space="preserve">Saturn </v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Mars Saturn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/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/>
      </c>
      <c r="M29" s="53" t="str">
        <f t="shared" si="1"/>
        <v/>
      </c>
    </row>
    <row r="30" spans="2:13" s="53" customFormat="1" x14ac:dyDescent="0.2">
      <c r="B30" s="53" t="s">
        <v>37</v>
      </c>
      <c r="C30" s="53" t="str">
        <f>IF(B30=Division!$C$4,Division!$A$4,"")</f>
        <v/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 xml:space="preserve">(Jupiter) </v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 xml:space="preserve">Rahu </v>
      </c>
      <c r="L30" s="53" t="str">
        <f>IF(B30=Division!$C$13,Division!$A$13,"")</f>
        <v/>
      </c>
      <c r="M30" s="53" t="str">
        <f t="shared" si="1"/>
        <v xml:space="preserve">(Jupiter) Rahu </v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 xml:space="preserve">Sun </v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Sun Moon </v>
      </c>
    </row>
    <row r="32" spans="2:13" s="53" customFormat="1" x14ac:dyDescent="0.2">
      <c r="B32" s="53" t="s">
        <v>39</v>
      </c>
      <c r="C32" s="53" t="str">
        <f>IF(B32=Division!$C$4,Division!$A$4,"")</f>
        <v xml:space="preserve">Asdt </v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 xml:space="preserve">Asdt </v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/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/>
      </c>
      <c r="L35" s="53" t="str">
        <f>IF(B35=Division!$C$13,Division!$A$13,"")</f>
        <v/>
      </c>
      <c r="M35" s="53" t="str">
        <f t="shared" si="1"/>
        <v/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 xml:space="preserve">Ketu </v>
      </c>
      <c r="M36" s="53" t="str">
        <f t="shared" si="1"/>
        <v xml:space="preserve">Ketu </v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workbookViewId="0"/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RasiContent(12,Basic!$B$7,C2,D2,Basic!$F$12)</f>
        <v xml:space="preserve"> Asdt</v>
      </c>
      <c r="C3" s="57" t="str">
        <f>RasiContent(1,Basic!$B$7,C2,D2,Basic!$F$12)</f>
        <v/>
      </c>
      <c r="D3" s="57" t="str">
        <f>RasiContent(2,Basic!$B$7,C2,D2,Basic!$F$12)</f>
        <v xml:space="preserve"> Moon </v>
      </c>
      <c r="E3" s="57" t="str">
        <f>RasiContent(3,Basic!$B$7,C2,D2,Basic!$F$12)</f>
        <v xml:space="preserve"> Rahu</v>
      </c>
      <c r="G3" s="57" t="str">
        <f>RasiContent(12,Basic!$B$7,H2,I2,Basic!$F$12)</f>
        <v xml:space="preserve"> Jupiter</v>
      </c>
      <c r="H3" s="57" t="str">
        <f>RasiContent(1,Basic!$B$7,H2,I2,Basic!$F$12)</f>
        <v xml:space="preserve"> Merc</v>
      </c>
      <c r="I3" s="57" t="str">
        <f>RasiContent(2,Basic!$B$7,H2,I2,Basic!$F$12)</f>
        <v/>
      </c>
      <c r="J3" s="57" t="str">
        <f>RasiContent(3,Basic!$B$7,H2,I2,Basic!$F$12)</f>
        <v xml:space="preserve"> Rahu</v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 x14ac:dyDescent="0.2">
      <c r="B4" s="57" t="str">
        <f>RasiContent(11,Basic!$B$7,C2,D2,Basic!$F$12)</f>
        <v/>
      </c>
      <c r="C4" s="198" t="str">
        <f>divname(C2,D2)</f>
        <v>Rasi</v>
      </c>
      <c r="D4" s="198"/>
      <c r="E4" s="57" t="str">
        <f>RasiContent(4,Basic!$B$7,C2,D2,Basic!$F$12)</f>
        <v xml:space="preserve"> Mars Saturn </v>
      </c>
      <c r="G4" s="57" t="str">
        <f>RasiContent(11,Basic!$B$7,H2,I2,Basic!$F$12)</f>
        <v/>
      </c>
      <c r="H4" s="198" t="str">
        <f>divname(H2,I2)</f>
        <v>Hora (1/7 House)</v>
      </c>
      <c r="I4" s="198"/>
      <c r="J4" s="57" t="str">
        <f>RasiContent(4,Basic!$B$7,H2,I2,Basic!$F$12)</f>
        <v xml:space="preserve"> Mars Saturn</v>
      </c>
      <c r="L4" s="57" t="str">
        <f>RasiContent(11,Basic!$B$7,M2,N2,Basic!$F$12)</f>
        <v/>
      </c>
      <c r="M4" s="198" t="str">
        <f>divname(M2,N2)</f>
        <v>Parashara Hora</v>
      </c>
      <c r="N4" s="198"/>
      <c r="O4" s="57" t="str">
        <f>RasiContent(4,Basic!$B$7,M2,N2,Basic!$F$12)</f>
        <v xml:space="preserve"> Merc Venus Mars Saturn </v>
      </c>
    </row>
    <row r="5" spans="2:15" ht="50.1" customHeight="1" x14ac:dyDescent="0.2">
      <c r="B5" s="57" t="str">
        <f>RasiContent(10,Basic!$B$7,C2,D2,Basic!$F$12)</f>
        <v/>
      </c>
      <c r="C5" s="198"/>
      <c r="D5" s="198"/>
      <c r="E5" s="57" t="str">
        <f>RasiContent(5,Basic!$B$7,C2,D2,Basic!$F$12)</f>
        <v/>
      </c>
      <c r="G5" s="57" t="str">
        <f>RasiContent(10,Basic!$B$7,H2,I2,Basic!$F$12)</f>
        <v xml:space="preserve"> </v>
      </c>
      <c r="H5" s="198"/>
      <c r="I5" s="198"/>
      <c r="J5" s="57" t="str">
        <f>RasiContent(5,Basic!$B$7,H2,I2,Basic!$F$12)</f>
        <v/>
      </c>
      <c r="L5" s="57" t="str">
        <f>RasiContent(10,Basic!$B$7,M2,N2,Basic!$F$12)</f>
        <v/>
      </c>
      <c r="M5" s="198"/>
      <c r="N5" s="198"/>
      <c r="O5" s="57" t="str">
        <f>RasiContent(5,Basic!$B$7,M2,N2,Basic!$F$12)</f>
        <v xml:space="preserve"> Sun Moon Jupiter   Rahu Asdt Ketu</v>
      </c>
    </row>
    <row r="6" spans="2:15" ht="50.1" customHeight="1" x14ac:dyDescent="0.2">
      <c r="B6" s="57" t="str">
        <f>RasiContent(9,Basic!$B$7,C2,D2,Basic!$F$12)</f>
        <v xml:space="preserve"> Ketu</v>
      </c>
      <c r="C6" s="57" t="str">
        <f>RasiContent(8,Basic!$B$7,C2,D2,Basic!$F$12)</f>
        <v/>
      </c>
      <c r="D6" s="57" t="str">
        <f>RasiContent(7,Basic!$B$7,C2,D2,Basic!$F$12)</f>
        <v xml:space="preserve"> Sun Merc</v>
      </c>
      <c r="E6" s="57" t="str">
        <f>RasiContent(6,Basic!$B$7,C2,D2,Basic!$F$12)</f>
        <v xml:space="preserve"> Venus Jupiter </v>
      </c>
      <c r="G6" s="57" t="str">
        <f>RasiContent(9,Basic!$B$7,H2,I2,Basic!$F$12)</f>
        <v xml:space="preserve"> Ketu</v>
      </c>
      <c r="H6" s="57" t="str">
        <f>RasiContent(8,Basic!$B$7,H2,I2,Basic!$F$12)</f>
        <v xml:space="preserve"> Moon </v>
      </c>
      <c r="I6" s="57" t="str">
        <f>RasiContent(7,Basic!$B$7,H2,I2,Basic!$F$12)</f>
        <v xml:space="preserve"> Sun</v>
      </c>
      <c r="J6" s="57" t="str">
        <f>RasiContent(6,Basic!$B$7,H2,I2,Basic!$F$12)</f>
        <v xml:space="preserve"> Venus  Asdt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RasiContent(12,Basic!$B$7,C8,D8,Basic!$F$12)</f>
        <v xml:space="preserve"> Jupiter Asdt</v>
      </c>
      <c r="C9" s="57" t="str">
        <f>RasiContent(1,Basic!$B$7,C8,D8,Basic!$F$12)</f>
        <v xml:space="preserve"> Sun</v>
      </c>
      <c r="D9" s="57" t="str">
        <f>RasiContent(2,Basic!$B$7,C8,D8,Basic!$F$12)</f>
        <v xml:space="preserve"> Merc</v>
      </c>
      <c r="E9" s="57" t="str">
        <f>RasiContent(3,Basic!$B$7,C8,D8,Basic!$F$12)</f>
        <v/>
      </c>
      <c r="G9" s="57" t="str">
        <f>RasiContent(12,Basic!$B$7,H8,I8,Basic!$F$12)</f>
        <v xml:space="preserve"> Venus </v>
      </c>
      <c r="H9" s="57" t="str">
        <f>RasiContent(1,Basic!$B$7,H8,I8,Basic!$F$12)</f>
        <v xml:space="preserve"> Merc</v>
      </c>
      <c r="I9" s="57" t="str">
        <f>RasiContent(2,Basic!$B$7,H8,I8,Basic!$F$12)</f>
        <v/>
      </c>
      <c r="J9" s="57" t="str">
        <f>RasiContent(3,Basic!$B$7,H8,I8,Basic!$F$12)</f>
        <v/>
      </c>
      <c r="L9" s="57" t="str">
        <f>RasiContent(12,Basic!$B$7,M8,N8,Basic!$F$12)</f>
        <v xml:space="preserve"> Asdt Ketu</v>
      </c>
      <c r="M9" s="57" t="str">
        <f>RasiContent(1,Basic!$B$7,M8,N8,Basic!$F$12)</f>
        <v/>
      </c>
      <c r="N9" s="57" t="str">
        <f>RasiContent(2,Basic!$B$7,M8,N8,Basic!$F$12)</f>
        <v xml:space="preserve"> Merc</v>
      </c>
      <c r="O9" s="57" t="str">
        <f>RasiContent(3,Basic!$B$7,M8,N8,Basic!$F$12)</f>
        <v xml:space="preserve"> Venus </v>
      </c>
    </row>
    <row r="10" spans="2:15" ht="50.1" customHeight="1" x14ac:dyDescent="0.2">
      <c r="B10" s="57" t="str">
        <f>RasiContent(11,Basic!$B$7,C8,D8,Basic!$F$12)</f>
        <v xml:space="preserve"> Venus </v>
      </c>
      <c r="C10" s="198" t="str">
        <f>divname(C8,D8)</f>
        <v>Parivrittidvaya  Hora</v>
      </c>
      <c r="D10" s="198"/>
      <c r="E10" s="57" t="str">
        <f>RasiContent(4,Basic!$B$7,C8,D8,Basic!$F$12)</f>
        <v xml:space="preserve"> Moon </v>
      </c>
      <c r="G10" s="57" t="str">
        <f>RasiContent(11,Basic!$B$7,H8,I8,Basic!$F$12)</f>
        <v/>
      </c>
      <c r="H10" s="198" t="str">
        <f>divname(H8,I8)</f>
        <v>Jagannath Hora</v>
      </c>
      <c r="I10" s="198"/>
      <c r="J10" s="57" t="str">
        <f>RasiContent(4,Basic!$B$7,H8,I8,Basic!$F$12)</f>
        <v xml:space="preserve"> Mars Saturn</v>
      </c>
      <c r="L10" s="57" t="str">
        <f>RasiContent(11,Basic!$B$7,M8,N8,Basic!$F$12)</f>
        <v/>
      </c>
      <c r="M10" s="198" t="str">
        <f>divname(M8,N8)</f>
        <v>Kashinath Hora</v>
      </c>
      <c r="N10" s="198"/>
      <c r="O10" s="57" t="str">
        <f>RasiContent(4,Basic!$B$7,M8,N8,Basic!$F$12)</f>
        <v xml:space="preserve"> Mars Saturn</v>
      </c>
    </row>
    <row r="11" spans="2:15" ht="50.1" customHeight="1" x14ac:dyDescent="0.2">
      <c r="B11" s="57" t="str">
        <f>RasiContent(10,Basic!$B$7,C8,D8,Basic!$F$12)</f>
        <v/>
      </c>
      <c r="C11" s="198"/>
      <c r="D11" s="198"/>
      <c r="E11" s="57" t="str">
        <f>RasiContent(5,Basic!$B$7,C8,D8,Basic!$F$12)</f>
        <v xml:space="preserve"> Rahu Ketu</v>
      </c>
      <c r="G11" s="57" t="str">
        <f>RasiContent(10,Basic!$B$7,H8,I8,Basic!$F$12)</f>
        <v xml:space="preserve"> </v>
      </c>
      <c r="H11" s="198"/>
      <c r="I11" s="198"/>
      <c r="J11" s="57" t="str">
        <f>RasiContent(5,Basic!$B$7,H8,I8,Basic!$F$12)</f>
        <v/>
      </c>
      <c r="L11" s="57" t="str">
        <f>RasiContent(10,Basic!$B$7,M8,N8,Basic!$F$12)</f>
        <v/>
      </c>
      <c r="M11" s="198"/>
      <c r="N11" s="198"/>
      <c r="O11" s="57" t="str">
        <f>RasiContent(5,Basic!$B$7,M8,N8,Basic!$F$12)</f>
        <v xml:space="preserve"> </v>
      </c>
    </row>
    <row r="12" spans="2:15" ht="50.1" customHeight="1" x14ac:dyDescent="0.2">
      <c r="B12" s="57" t="str">
        <f>RasiContent(9,Basic!$B$7,C8,D8,Basic!$F$12)</f>
        <v/>
      </c>
      <c r="C12" s="57" t="str">
        <f>RasiContent(8,Basic!$B$7,C8,D8,Basic!$F$12)</f>
        <v xml:space="preserve"> </v>
      </c>
      <c r="D12" s="57" t="str">
        <f>RasiContent(7,Basic!$B$7,C8,D8,Basic!$F$12)</f>
        <v xml:space="preserve"> Mars Saturn</v>
      </c>
      <c r="E12" s="57" t="str">
        <f>RasiContent(6,Basic!$B$7,C8,D8,Basic!$F$12)</f>
        <v/>
      </c>
      <c r="G12" s="57" t="str">
        <f>RasiContent(9,Basic!$B$7,H8,I8,Basic!$F$12)</f>
        <v xml:space="preserve"> Rahu Ketu</v>
      </c>
      <c r="H12" s="57" t="str">
        <f>RasiContent(8,Basic!$B$7,H8,I8,Basic!$F$12)</f>
        <v xml:space="preserve"> Moon </v>
      </c>
      <c r="I12" s="57" t="str">
        <f>RasiContent(7,Basic!$B$7,H8,I8,Basic!$F$12)</f>
        <v xml:space="preserve"> Sun</v>
      </c>
      <c r="J12" s="57" t="str">
        <f>RasiContent(6,Basic!$B$7,H8,I8,Basic!$F$12)</f>
        <v xml:space="preserve"> Jupiter Asdt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Sun Moon </v>
      </c>
      <c r="O12" s="57" t="str">
        <f>RasiContent(6,Basic!$B$7,M8,N8,Basic!$F$12)</f>
        <v xml:space="preserve"> Jupiter Rahu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RasiContent(12,Basic!$B$7,C14,D14,Basic!$F$12)</f>
        <v xml:space="preserve"> Asdt</v>
      </c>
      <c r="C15" s="57" t="str">
        <f>RasiContent(1,Basic!$B$7,C14,D14,Basic!$F$12)</f>
        <v/>
      </c>
      <c r="D15" s="57" t="str">
        <f>RasiContent(2,Basic!$B$7,C14,D14,Basic!$F$12)</f>
        <v xml:space="preserve"> Moon </v>
      </c>
      <c r="E15" s="57" t="str">
        <f>RasiContent(3,Basic!$B$7,C14,D14,Basic!$F$12)</f>
        <v xml:space="preserve"> Rahu</v>
      </c>
      <c r="G15" s="57" t="str">
        <f>RasiContent(12,Basic!$B$7,H14,I14,Basic!$F$12)</f>
        <v xml:space="preserve"> Asdt</v>
      </c>
      <c r="H15" s="57" t="str">
        <f>RasiContent(1,Basic!$B$7,H14,I14,Basic!$F$12)</f>
        <v xml:space="preserve"> Ketu</v>
      </c>
      <c r="I15" s="57" t="str">
        <f>RasiContent(2,Basic!$B$7,H14,I14,Basic!$F$12)</f>
        <v xml:space="preserve"> Venus Jupiter </v>
      </c>
      <c r="J15" s="57" t="str">
        <f>RasiContent(3,Basic!$B$7,H14,I14,Basic!$F$12)</f>
        <v xml:space="preserve"> Merc</v>
      </c>
      <c r="L15" s="57" t="str">
        <f>RasiContent(12,Basic!$B$7,M14,N14,Basic!$F$12)</f>
        <v xml:space="preserve"> Asdt</v>
      </c>
      <c r="M15" s="57" t="str">
        <f>RasiContent(1,Basic!$B$7,M14,N14,Basic!$F$12)</f>
        <v xml:space="preserve"> Ketu</v>
      </c>
      <c r="N15" s="57" t="str">
        <f>RasiContent(2,Basic!$B$7,M14,N14,Basic!$F$12)</f>
        <v/>
      </c>
      <c r="O15" s="57" t="str">
        <f>RasiContent(3,Basic!$B$7,M14,N14,Basic!$F$12)</f>
        <v/>
      </c>
    </row>
    <row r="16" spans="2:15" ht="50.1" customHeight="1" x14ac:dyDescent="0.2">
      <c r="B16" s="57" t="str">
        <f>RasiContent(11,Basic!$B$7,C14,D14,Basic!$F$12)</f>
        <v/>
      </c>
      <c r="C16" s="198" t="str">
        <f>divname(C14,D14)</f>
        <v>Parashara Drekkana</v>
      </c>
      <c r="D16" s="198"/>
      <c r="E16" s="57" t="str">
        <f>RasiContent(4,Basic!$B$7,C14,D14,Basic!$F$12)</f>
        <v xml:space="preserve"> Mars Saturn </v>
      </c>
      <c r="G16" s="57" t="str">
        <f>RasiContent(11,Basic!$B$7,H14,I14,Basic!$F$12)</f>
        <v/>
      </c>
      <c r="H16" s="198" t="str">
        <f>divname(H14,I14)</f>
        <v>Jagannath Drekkana</v>
      </c>
      <c r="I16" s="198"/>
      <c r="J16" s="57" t="str">
        <f>RasiContent(4,Basic!$B$7,H14,I14,Basic!$F$12)</f>
        <v xml:space="preserve"> Mars Saturn</v>
      </c>
      <c r="L16" s="57" t="str">
        <f>RasiContent(11,Basic!$B$7,M14,N14,Basic!$F$12)</f>
        <v xml:space="preserve"> </v>
      </c>
      <c r="M16" s="198" t="str">
        <f>divname(M14,N14)</f>
        <v>Parivrittitraya  Drekkana</v>
      </c>
      <c r="N16" s="198"/>
      <c r="O16" s="57" t="str">
        <f>RasiContent(4,Basic!$B$7,M14,N14,Basic!$F$12)</f>
        <v/>
      </c>
    </row>
    <row r="17" spans="2:15" ht="50.1" customHeight="1" x14ac:dyDescent="0.2">
      <c r="B17" s="57" t="str">
        <f>RasiContent(10,Basic!$B$7,C14,D14,Basic!$F$12)</f>
        <v/>
      </c>
      <c r="C17" s="198"/>
      <c r="D17" s="198"/>
      <c r="E17" s="57" t="str">
        <f>RasiContent(5,Basic!$B$7,C14,D14,Basic!$F$12)</f>
        <v/>
      </c>
      <c r="G17" s="57" t="str">
        <f>RasiContent(10,Basic!$B$7,H14,I14,Basic!$F$12)</f>
        <v/>
      </c>
      <c r="H17" s="198"/>
      <c r="I17" s="198"/>
      <c r="J17" s="57" t="str">
        <f>RasiContent(5,Basic!$B$7,H14,I14,Basic!$F$12)</f>
        <v/>
      </c>
      <c r="L17" s="57" t="str">
        <f>RasiContent(10,Basic!$B$7,M14,N14,Basic!$F$12)</f>
        <v xml:space="preserve"> Mars Saturn</v>
      </c>
      <c r="M17" s="198"/>
      <c r="N17" s="198"/>
      <c r="O17" s="57" t="str">
        <f>RasiContent(5,Basic!$B$7,M14,N14,Basic!$F$12)</f>
        <v xml:space="preserve"> Venus Jupiter </v>
      </c>
    </row>
    <row r="18" spans="2:15" ht="50.1" customHeight="1" x14ac:dyDescent="0.2">
      <c r="B18" s="57" t="str">
        <f>RasiContent(9,Basic!$B$7,C14,D14,Basic!$F$12)</f>
        <v xml:space="preserve"> Ketu</v>
      </c>
      <c r="C18" s="57" t="str">
        <f>RasiContent(8,Basic!$B$7,C14,D14,Basic!$F$12)</f>
        <v/>
      </c>
      <c r="D18" s="57" t="str">
        <f>RasiContent(7,Basic!$B$7,C14,D14,Basic!$F$12)</f>
        <v xml:space="preserve"> Sun Merc</v>
      </c>
      <c r="E18" s="57" t="str">
        <f>RasiContent(6,Basic!$B$7,C14,D14,Basic!$F$12)</f>
        <v xml:space="preserve"> Venus Jupiter </v>
      </c>
      <c r="G18" s="57" t="str">
        <f>RasiContent(9,Basic!$B$7,H14,I14,Basic!$F$12)</f>
        <v/>
      </c>
      <c r="H18" s="57" t="str">
        <f>RasiContent(8,Basic!$B$7,H14,I14,Basic!$F$12)</f>
        <v xml:space="preserve"> </v>
      </c>
      <c r="I18" s="57" t="str">
        <f>RasiContent(7,Basic!$B$7,H14,I14,Basic!$F$12)</f>
        <v xml:space="preserve"> Sun Rahu</v>
      </c>
      <c r="J18" s="57" t="str">
        <f>RasiContent(6,Basic!$B$7,H14,I14,Basic!$F$12)</f>
        <v xml:space="preserve"> Moon </v>
      </c>
      <c r="L18" s="57" t="str">
        <f>RasiContent(9,Basic!$B$7,M14,N14,Basic!$F$12)</f>
        <v xml:space="preserve"> Merc</v>
      </c>
      <c r="M18" s="57" t="str">
        <f>RasiContent(8,Basic!$B$7,M14,N14,Basic!$F$12)</f>
        <v/>
      </c>
      <c r="N18" s="57" t="str">
        <f>RasiContent(7,Basic!$B$7,M14,N14,Basic!$F$12)</f>
        <v xml:space="preserve"> Sun Rahu</v>
      </c>
      <c r="O18" s="57" t="str">
        <f>RasiContent(6,Basic!$B$7,M14,N14,Basic!$F$12)</f>
        <v xml:space="preserve"> Moon 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RasiContent(12,Basic!$B$7,C20,D20,Basic!$F$12)</f>
        <v xml:space="preserve"> Merc</v>
      </c>
      <c r="C21" s="57" t="str">
        <f>RasiContent(1,Basic!$B$7,C20,D20,Basic!$F$12)</f>
        <v xml:space="preserve"> Ketu</v>
      </c>
      <c r="D21" s="57" t="str">
        <f>RasiContent(2,Basic!$B$7,C20,D20,Basic!$F$12)</f>
        <v/>
      </c>
      <c r="E21" s="57" t="str">
        <f>RasiContent(3,Basic!$B$7,C20,D20,Basic!$F$12)</f>
        <v/>
      </c>
      <c r="G21" s="57" t="str">
        <f>RasiContent(12,Basic!$B$7,H20,I20,Basic!$F$12)</f>
        <v xml:space="preserve"> Jupiter Ketu</v>
      </c>
      <c r="H21" s="57" t="str">
        <f>RasiContent(1,Basic!$B$7,H20,I20,Basic!$F$12)</f>
        <v xml:space="preserve"> Merc</v>
      </c>
      <c r="I21" s="57" t="str">
        <f>RasiContent(2,Basic!$B$7,H20,I20,Basic!$F$12)</f>
        <v/>
      </c>
      <c r="J21" s="57" t="str">
        <f>RasiContent(3,Basic!$B$7,H20,I20,Basic!$F$12)</f>
        <v/>
      </c>
      <c r="L21" s="57" t="str">
        <f>RasiContent(12,Basic!$B$7,M20,N20,Basic!$F$12)</f>
        <v xml:space="preserve"> Asdt</v>
      </c>
      <c r="M21" s="57" t="str">
        <f>RasiContent(1,Basic!$B$7,M20,N20,Basic!$F$12)</f>
        <v xml:space="preserve"> Mars Saturn</v>
      </c>
      <c r="N21" s="57" t="str">
        <f>RasiContent(2,Basic!$B$7,M20,N20,Basic!$F$12)</f>
        <v xml:space="preserve"> Sun</v>
      </c>
      <c r="O21" s="57" t="str">
        <f>RasiContent(3,Basic!$B$7,M20,N20,Basic!$F$12)</f>
        <v xml:space="preserve"> Merc </v>
      </c>
    </row>
    <row r="22" spans="2:15" ht="50.1" customHeight="1" x14ac:dyDescent="0.2">
      <c r="B22" s="57" t="str">
        <f>RasiContent(11,Basic!$B$7,C20,D20,Basic!$F$12)</f>
        <v/>
      </c>
      <c r="C22" s="198" t="str">
        <f>divname(C20,D20)</f>
        <v>Somnath Drekkana</v>
      </c>
      <c r="D22" s="198"/>
      <c r="E22" s="57" t="str">
        <f>RasiContent(4,Basic!$B$7,C20,D20,Basic!$F$12)</f>
        <v xml:space="preserve"> Rahu</v>
      </c>
      <c r="G22" s="57" t="str">
        <f>RasiContent(11,Basic!$B$7,H20,I20,Basic!$F$12)</f>
        <v xml:space="preserve"> Moon </v>
      </c>
      <c r="H22" s="198" t="str">
        <f>divname(H20,I20)</f>
        <v>Parashara Chaturthamsa</v>
      </c>
      <c r="I22" s="198"/>
      <c r="J22" s="57" t="str">
        <f>RasiContent(4,Basic!$B$7,H20,I20,Basic!$F$12)</f>
        <v xml:space="preserve"> Mars Saturn</v>
      </c>
      <c r="L22" s="57" t="str">
        <f>RasiContent(11,Basic!$B$7,M20,N20,Basic!$F$12)</f>
        <v xml:space="preserve"> Jupiter</v>
      </c>
      <c r="M22" s="198" t="str">
        <f>divname(M20,N20)</f>
        <v>Cyclical Chaturthamsa</v>
      </c>
      <c r="N22" s="198"/>
      <c r="O22" s="57" t="str">
        <f>RasiContent(4,Basic!$B$7,M20,N20,Basic!$F$12)</f>
        <v/>
      </c>
    </row>
    <row r="23" spans="2:15" ht="50.1" customHeight="1" x14ac:dyDescent="0.2">
      <c r="B23" s="57" t="str">
        <f>RasiContent(10,Basic!$B$7,C20,D20,Basic!$F$12)</f>
        <v xml:space="preserve"> Sun Moon </v>
      </c>
      <c r="C23" s="198"/>
      <c r="D23" s="198"/>
      <c r="E23" s="57" t="str">
        <f>RasiContent(5,Basic!$B$7,C20,D20,Basic!$F$12)</f>
        <v xml:space="preserve"> Venus Jupiter </v>
      </c>
      <c r="G23" s="57" t="str">
        <f>RasiContent(10,Basic!$B$7,H20,I20,Basic!$F$12)</f>
        <v xml:space="preserve"> Sun </v>
      </c>
      <c r="H23" s="198"/>
      <c r="I23" s="198"/>
      <c r="J23" s="57" t="str">
        <f>RasiContent(5,Basic!$B$7,H20,I20,Basic!$F$12)</f>
        <v/>
      </c>
      <c r="L23" s="57" t="str">
        <f>RasiContent(10,Basic!$B$7,M20,N20,Basic!$F$12)</f>
        <v xml:space="preserve"> Venus  Rahu Ketu</v>
      </c>
      <c r="M23" s="198"/>
      <c r="N23" s="198"/>
      <c r="O23" s="57" t="str">
        <f>RasiContent(5,Basic!$B$7,M20,N20,Basic!$F$12)</f>
        <v/>
      </c>
    </row>
    <row r="24" spans="2:15" ht="50.1" customHeight="1" x14ac:dyDescent="0.2">
      <c r="B24" s="57" t="str">
        <f>RasiContent(9,Basic!$B$7,C20,D20,Basic!$F$12)</f>
        <v xml:space="preserve"> Mars Saturn</v>
      </c>
      <c r="C24" s="57" t="str">
        <f>RasiContent(8,Basic!$B$7,C20,D20,Basic!$F$12)</f>
        <v xml:space="preserve"> </v>
      </c>
      <c r="D24" s="57" t="str">
        <f>RasiContent(7,Basic!$B$7,C20,D20,Basic!$F$12)</f>
        <v xml:space="preserve"> Asdt</v>
      </c>
      <c r="E24" s="57" t="str">
        <f>RasiContent(6,Basic!$B$7,C20,D20,Basic!$F$12)</f>
        <v/>
      </c>
      <c r="G24" s="57" t="str">
        <f>RasiContent(9,Basic!$B$7,H20,I20,Basic!$F$12)</f>
        <v xml:space="preserve"> Venus  Asdt</v>
      </c>
      <c r="H24" s="57" t="str">
        <f>RasiContent(8,Basic!$B$7,H20,I20,Basic!$F$12)</f>
        <v/>
      </c>
      <c r="I24" s="57" t="str">
        <f>RasiContent(7,Basic!$B$7,H20,I20,Basic!$F$12)</f>
        <v/>
      </c>
      <c r="J24" s="57" t="str">
        <f>RasiContent(6,Basic!$B$7,H20,I20,Basic!$F$12)</f>
        <v xml:space="preserve"> Rahu</v>
      </c>
      <c r="L24" s="57" t="str">
        <f>RasiContent(9,Basic!$B$7,M20,N20,Basic!$F$12)</f>
        <v/>
      </c>
      <c r="M24" s="57" t="str">
        <f>RasiContent(8,Basic!$B$7,M20,N20,Basic!$F$12)</f>
        <v xml:space="preserve"> Moon </v>
      </c>
      <c r="N24" s="57" t="str">
        <f>RasiContent(7,Basic!$B$7,M20,N20,Basic!$F$12)</f>
        <v/>
      </c>
      <c r="O24" s="57" t="str">
        <f>RasiContent(6,Basic!$B$7,M20,N20,Basic!$F$12)</f>
        <v/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RasiContent(12,Basic!$B$7,C26,D26,Basic!$F$12)</f>
        <v xml:space="preserve"> Rahu Asdt</v>
      </c>
      <c r="C27" s="57" t="str">
        <f>RasiContent(1,Basic!$B$7,C26,D26,Basic!$F$12)</f>
        <v/>
      </c>
      <c r="D27" s="57" t="str">
        <f>RasiContent(2,Basic!$B$7,C26,D26,Basic!$F$12)</f>
        <v/>
      </c>
      <c r="E27" s="57" t="str">
        <f>RasiContent(3,Basic!$B$7,C26,D26,Basic!$F$12)</f>
        <v/>
      </c>
      <c r="G27" s="57" t="str">
        <f>RasiContent(12,Basic!$B$7,H26,I26,Basic!$F$12)</f>
        <v xml:space="preserve"> Merc Asdt</v>
      </c>
      <c r="H27" s="57" t="str">
        <f>RasiContent(1,Basic!$B$7,H26,I26,Basic!$F$12)</f>
        <v xml:space="preserve"> </v>
      </c>
      <c r="I27" s="57" t="str">
        <f>RasiContent(2,Basic!$B$7,H26,I26,Basic!$F$12)</f>
        <v xml:space="preserve"> Moon </v>
      </c>
      <c r="J27" s="57" t="str">
        <f>RasiContent(3,Basic!$B$7,H26,I26,Basic!$F$12)</f>
        <v xml:space="preserve"> Venus </v>
      </c>
      <c r="L27" s="57" t="str">
        <f>RasiContent(12,Basic!$B$7,M26,N26,Basic!$F$12)</f>
        <v xml:space="preserve"> Asdt</v>
      </c>
      <c r="M27" s="57" t="str">
        <f>RasiContent(1,Basic!$B$7,M26,N26,Basic!$F$12)</f>
        <v xml:space="preserve"> Merc</v>
      </c>
      <c r="N27" s="57" t="str">
        <f>RasiContent(2,Basic!$B$7,M26,N26,Basic!$F$12)</f>
        <v xml:space="preserve"> Venus </v>
      </c>
      <c r="O27" s="57" t="str">
        <f>RasiContent(3,Basic!$B$7,M26,N26,Basic!$F$12)</f>
        <v xml:space="preserve"> Jupiter Ketu</v>
      </c>
    </row>
    <row r="28" spans="2:15" ht="50.1" customHeight="1" x14ac:dyDescent="0.2">
      <c r="B28" s="57" t="str">
        <f>RasiContent(11,Basic!$B$7,C26,D26,Basic!$F$12)</f>
        <v/>
      </c>
      <c r="C28" s="198" t="str">
        <f>divname(C26,D26)</f>
        <v>Cyclical Panchamsa</v>
      </c>
      <c r="D28" s="198"/>
      <c r="E28" s="57" t="str">
        <f>RasiContent(4,Basic!$B$7,C26,D26,Basic!$F$12)</f>
        <v xml:space="preserve"> Venus Mars Saturn </v>
      </c>
      <c r="G28" s="57" t="str">
        <f>RasiContent(11,Basic!$B$7,H26,I26,Basic!$F$12)</f>
        <v xml:space="preserve"> Ketu</v>
      </c>
      <c r="H28" s="198" t="str">
        <f>divname(H26,I26)</f>
        <v>Saptamsa</v>
      </c>
      <c r="I28" s="198"/>
      <c r="J28" s="57" t="str">
        <f>RasiContent(4,Basic!$B$7,H26,I26,Basic!$F$12)</f>
        <v xml:space="preserve"> Jupiter</v>
      </c>
      <c r="L28" s="57" t="str">
        <f>RasiContent(11,Basic!$B$7,M26,N26,Basic!$F$12)</f>
        <v/>
      </c>
      <c r="M28" s="198" t="str">
        <f>divname(M26,N26)</f>
        <v>Navamsa</v>
      </c>
      <c r="N28" s="198"/>
      <c r="O28" s="57" t="str">
        <f>RasiContent(4,Basic!$B$7,M26,N26,Basic!$F$12)</f>
        <v xml:space="preserve"> Mars Saturn</v>
      </c>
    </row>
    <row r="29" spans="2:15" ht="50.1" customHeight="1" x14ac:dyDescent="0.2">
      <c r="B29" s="57" t="str">
        <f>RasiContent(10,Basic!$B$7,C26,D26,Basic!$F$12)</f>
        <v xml:space="preserve"> Moon Merc</v>
      </c>
      <c r="C29" s="198"/>
      <c r="D29" s="198"/>
      <c r="E29" s="57" t="str">
        <f>RasiContent(5,Basic!$B$7,C26,D26,Basic!$F$12)</f>
        <v xml:space="preserve"> Jupiter</v>
      </c>
      <c r="G29" s="57" t="str">
        <f>RasiContent(10,Basic!$B$7,H26,I26,Basic!$F$12)</f>
        <v xml:space="preserve"> Mars Saturn</v>
      </c>
      <c r="H29" s="198"/>
      <c r="I29" s="198"/>
      <c r="J29" s="57" t="str">
        <f>RasiContent(5,Basic!$B$7,H26,I26,Basic!$F$12)</f>
        <v xml:space="preserve"> Rahu</v>
      </c>
      <c r="L29" s="57" t="str">
        <f>RasiContent(10,Basic!$B$7,M26,N26,Basic!$F$12)</f>
        <v/>
      </c>
      <c r="M29" s="198"/>
      <c r="N29" s="198"/>
      <c r="O29" s="57" t="str">
        <f>RasiContent(5,Basic!$B$7,M26,N26,Basic!$F$12)</f>
        <v xml:space="preserve"> </v>
      </c>
    </row>
    <row r="30" spans="2:15" ht="50.1" customHeight="1" x14ac:dyDescent="0.2">
      <c r="B30" s="57" t="str">
        <f>RasiContent(9,Basic!$B$7,C26,D26,Basic!$F$12)</f>
        <v xml:space="preserve"> </v>
      </c>
      <c r="C30" s="57" t="str">
        <f>RasiContent(8,Basic!$B$7,C26,D26,Basic!$F$12)</f>
        <v xml:space="preserve"> Sun</v>
      </c>
      <c r="D30" s="57" t="str">
        <f>RasiContent(7,Basic!$B$7,C26,D26,Basic!$F$12)</f>
        <v xml:space="preserve"> </v>
      </c>
      <c r="E30" s="57" t="str">
        <f>RasiContent(6,Basic!$B$7,C26,D26,Basic!$F$12)</f>
        <v xml:space="preserve"> Ketu</v>
      </c>
      <c r="G30" s="57" t="str">
        <f>RasiContent(9,Basic!$B$7,H26,I26,Basic!$F$12)</f>
        <v/>
      </c>
      <c r="H30" s="57" t="str">
        <f>RasiContent(8,Basic!$B$7,H26,I26,Basic!$F$12)</f>
        <v xml:space="preserve"> Sun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 xml:space="preserve"> Sun  Rahu</v>
      </c>
      <c r="M30" s="57" t="str">
        <f>RasiContent(8,Basic!$B$7,M26,N26,Basic!$F$12)</f>
        <v/>
      </c>
      <c r="N30" s="57" t="str">
        <f>RasiContent(7,Basic!$B$7,M26,N26,Basic!$F$12)</f>
        <v/>
      </c>
      <c r="O30" s="57" t="str">
        <f>RasiContent(6,Basic!$B$7,M26,N26,Basic!$F$12)</f>
        <v xml:space="preserve"> Moon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RasiContent(12,Basic!$B$7,C32,D32,Basic!$F$12)</f>
        <v xml:space="preserve"> Mars Saturn Ketu</v>
      </c>
      <c r="C33" s="57" t="str">
        <f>RasiContent(1,Basic!$B$7,C32,D32,Basic!$F$12)</f>
        <v/>
      </c>
      <c r="D33" s="57" t="str">
        <f>RasiContent(2,Basic!$B$7,C32,D32,Basic!$F$12)</f>
        <v xml:space="preserve"> Merc</v>
      </c>
      <c r="E33" s="57" t="str">
        <f>RasiContent(3,Basic!$B$7,C32,D32,Basic!$F$12)</f>
        <v/>
      </c>
      <c r="G33" s="57" t="str">
        <f>RasiContent(12,Basic!$B$7,H32,I32,Basic!$F$12)</f>
        <v xml:space="preserve"> Asdt</v>
      </c>
      <c r="H33" s="57" t="str">
        <f>RasiContent(1,Basic!$B$7,H32,I32,Basic!$F$12)</f>
        <v xml:space="preserve"> Venus </v>
      </c>
      <c r="I33" s="57" t="str">
        <f>RasiContent(2,Basic!$B$7,H32,I32,Basic!$F$12)</f>
        <v xml:space="preserve"> Rahu</v>
      </c>
      <c r="J33" s="57" t="str">
        <f>RasiContent(3,Basic!$B$7,H32,I32,Basic!$F$12)</f>
        <v xml:space="preserve"> Merc Jupiter</v>
      </c>
      <c r="L33" s="57" t="str">
        <f>RasiContent(12,Basic!$B$7,M32,N32,Basic!$F$12)</f>
        <v xml:space="preserve"> Ketu</v>
      </c>
      <c r="M33" s="57" t="str">
        <f>RasiContent(1,Basic!$B$7,M32,N32,Basic!$F$12)</f>
        <v xml:space="preserve"> Moon Jupiter</v>
      </c>
      <c r="N33" s="57" t="str">
        <f>RasiContent(2,Basic!$B$7,M32,N32,Basic!$F$12)</f>
        <v/>
      </c>
      <c r="O33" s="57" t="str">
        <f>RasiContent(3,Basic!$B$7,M32,N32,Basic!$F$12)</f>
        <v xml:space="preserve"> Merc</v>
      </c>
    </row>
    <row r="34" spans="2:15" ht="50.1" customHeight="1" x14ac:dyDescent="0.2">
      <c r="B34" s="57" t="str">
        <f>RasiContent(11,Basic!$B$7,C32,D32,Basic!$F$12)</f>
        <v/>
      </c>
      <c r="C34" s="198" t="str">
        <f>divname(C32,D32)</f>
        <v>Dasamsa</v>
      </c>
      <c r="D34" s="198"/>
      <c r="E34" s="57" t="str">
        <f>RasiContent(4,Basic!$B$7,C32,D32,Basic!$F$12)</f>
        <v/>
      </c>
      <c r="G34" s="57" t="str">
        <f>RasiContent(11,Basic!$B$7,H32,I32,Basic!$F$12)</f>
        <v/>
      </c>
      <c r="H34" s="198" t="str">
        <f>divname(H32,I32)</f>
        <v>Rudramsa</v>
      </c>
      <c r="I34" s="198"/>
      <c r="J34" s="57" t="str">
        <f>RasiContent(4,Basic!$B$7,H32,I32,Basic!$F$12)</f>
        <v xml:space="preserve"> </v>
      </c>
      <c r="L34" s="57" t="str">
        <f>RasiContent(11,Basic!$B$7,M32,N32,Basic!$F$12)</f>
        <v xml:space="preserve"> Venus    Asdt</v>
      </c>
      <c r="M34" s="198" t="str">
        <f>divname(M32,N32)</f>
        <v>Dwadasamsa</v>
      </c>
      <c r="N34" s="198"/>
      <c r="O34" s="57" t="str">
        <f>RasiContent(4,Basic!$B$7,M32,N32,Basic!$F$12)</f>
        <v xml:space="preserve"> Mars Saturn</v>
      </c>
    </row>
    <row r="35" spans="2:15" ht="50.1" customHeight="1" x14ac:dyDescent="0.2">
      <c r="B35" s="57" t="str">
        <f>RasiContent(10,Basic!$B$7,C32,D32,Basic!$F$12)</f>
        <v/>
      </c>
      <c r="C35" s="198"/>
      <c r="D35" s="198"/>
      <c r="E35" s="57" t="str">
        <f>RasiContent(5,Basic!$B$7,C32,D32,Basic!$F$12)</f>
        <v xml:space="preserve">  Asdt</v>
      </c>
      <c r="G35" s="57" t="str">
        <f>RasiContent(10,Basic!$B$7,H32,I32,Basic!$F$12)</f>
        <v xml:space="preserve"> Moon Mars Saturn</v>
      </c>
      <c r="H35" s="198"/>
      <c r="I35" s="198"/>
      <c r="J35" s="57" t="str">
        <f>RasiContent(5,Basic!$B$7,H32,I32,Basic!$F$12)</f>
        <v/>
      </c>
      <c r="L35" s="57" t="str">
        <f>RasiContent(10,Basic!$B$7,M32,N32,Basic!$F$12)</f>
        <v xml:space="preserve"> Sun</v>
      </c>
      <c r="M35" s="198"/>
      <c r="N35" s="198"/>
      <c r="O35" s="57" t="str">
        <f>RasiContent(5,Basic!$B$7,M32,N32,Basic!$F$12)</f>
        <v/>
      </c>
    </row>
    <row r="36" spans="2:15" ht="50.1" customHeight="1" x14ac:dyDescent="0.2">
      <c r="B36" s="57" t="str">
        <f>RasiContent(9,Basic!$B$7,C32,D32,Basic!$F$12)</f>
        <v xml:space="preserve"> Sun</v>
      </c>
      <c r="C36" s="57" t="str">
        <f>RasiContent(8,Basic!$B$7,C32,D32,Basic!$F$12)</f>
        <v xml:space="preserve"> Jupiter</v>
      </c>
      <c r="D36" s="57" t="str">
        <f>RasiContent(7,Basic!$B$7,C32,D32,Basic!$F$12)</f>
        <v xml:space="preserve"> Moon</v>
      </c>
      <c r="E36" s="57" t="str">
        <f>RasiContent(6,Basic!$B$7,C32,D32,Basic!$F$12)</f>
        <v xml:space="preserve"> Venus   Rahu</v>
      </c>
      <c r="G36" s="57" t="str">
        <f>RasiContent(9,Basic!$B$7,H32,I32,Basic!$F$12)</f>
        <v xml:space="preserve"> Sun</v>
      </c>
      <c r="H36" s="57" t="str">
        <f>RasiContent(8,Basic!$B$7,H32,I32,Basic!$F$12)</f>
        <v xml:space="preserve">  Ketu</v>
      </c>
      <c r="I36" s="57" t="str">
        <f>RasiContent(7,Basic!$B$7,H32,I32,Basic!$F$12)</f>
        <v/>
      </c>
      <c r="J36" s="57" t="str">
        <f>RasiContent(6,Basic!$B$7,H32,I32,Basic!$F$12)</f>
        <v/>
      </c>
      <c r="L36" s="57" t="str">
        <f>RasiContent(9,Basic!$B$7,M32,N32,Basic!$F$12)</f>
        <v/>
      </c>
      <c r="M36" s="57" t="str">
        <f>RasiContent(8,Basic!$B$7,M32,N32,Basic!$F$12)</f>
        <v/>
      </c>
      <c r="N36" s="57" t="str">
        <f>RasiContent(7,Basic!$B$7,M32,N32,Basic!$F$12)</f>
        <v/>
      </c>
      <c r="O36" s="57" t="str">
        <f>RasiContent(6,Basic!$B$7,M32,N32,Basic!$F$12)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RasiContent(12,Basic!$B$7,C38,D38,Basic!$F$12)</f>
        <v xml:space="preserve"> Merc Asdt</v>
      </c>
      <c r="C39" s="57" t="str">
        <f>RasiContent(1,Basic!$B$7,C38,D38,Basic!$F$12)</f>
        <v xml:space="preserve"> Mars Saturn</v>
      </c>
      <c r="D39" s="57" t="str">
        <f>RasiContent(2,Basic!$B$7,C38,D38,Basic!$F$12)</f>
        <v xml:space="preserve"> Rahu Ketu</v>
      </c>
      <c r="E39" s="57" t="str">
        <f>RasiContent(3,Basic!$B$7,C38,D38,Basic!$F$12)</f>
        <v/>
      </c>
      <c r="G39" s="57" t="str">
        <f>RasiContent(12,Basic!$B$7,H38,I38,Basic!$F$12)</f>
        <v xml:space="preserve">  Asdt</v>
      </c>
      <c r="H39" s="57" t="str">
        <f>RasiContent(1,Basic!$B$7,H38,I38,Basic!$F$12)</f>
        <v xml:space="preserve"> Mars </v>
      </c>
      <c r="I39" s="57" t="str">
        <f>RasiContent(2,Basic!$B$7,H38,I38,Basic!$F$12)</f>
        <v xml:space="preserve"> Venus Saturn </v>
      </c>
      <c r="J39" s="57" t="str">
        <f>RasiContent(3,Basic!$B$7,H38,I38,Basic!$F$12)</f>
        <v xml:space="preserve"> Merc</v>
      </c>
      <c r="L39" s="57" t="str">
        <f>RasiContent(12,Basic!$B$7,M38,N38,Basic!$F$12)</f>
        <v xml:space="preserve"> Rahu Ketu</v>
      </c>
      <c r="M39" s="57" t="str">
        <f>RasiContent(1,Basic!$B$7,M38,N38,Basic!$F$12)</f>
        <v/>
      </c>
      <c r="N39" s="57" t="str">
        <f>RasiContent(2,Basic!$B$7,M38,N38,Basic!$F$12)</f>
        <v/>
      </c>
      <c r="O39" s="57" t="str">
        <f>RasiContent(3,Basic!$B$7,M38,N38,Basic!$F$12)</f>
        <v xml:space="preserve"> Moon Venus  Asdt</v>
      </c>
    </row>
    <row r="40" spans="2:15" ht="50.1" customHeight="1" x14ac:dyDescent="0.2">
      <c r="B40" s="57" t="str">
        <f>RasiContent(11,Basic!$B$7,C38,D38,Basic!$F$12)</f>
        <v/>
      </c>
      <c r="C40" s="198" t="str">
        <f>divname(C38,D38)</f>
        <v>Shodasamsa</v>
      </c>
      <c r="D40" s="198"/>
      <c r="E40" s="57" t="str">
        <f>RasiContent(4,Basic!$B$7,C38,D38,Basic!$F$12)</f>
        <v xml:space="preserve"> Venus </v>
      </c>
      <c r="G40" s="57" t="str">
        <f>RasiContent(11,Basic!$B$7,H38,I38,Basic!$F$12)</f>
        <v xml:space="preserve"> Rahu Ketu</v>
      </c>
      <c r="H40" s="198" t="str">
        <f>divname(H38,I38)</f>
        <v>Vimsamsa</v>
      </c>
      <c r="I40" s="198"/>
      <c r="J40" s="57" t="str">
        <f>RasiContent(4,Basic!$B$7,H38,I38,Basic!$F$12)</f>
        <v xml:space="preserve"> Moon</v>
      </c>
      <c r="L40" s="57" t="str">
        <f>RasiContent(11,Basic!$B$7,M38,N38,Basic!$F$12)</f>
        <v xml:space="preserve"> Sun </v>
      </c>
      <c r="M40" s="198" t="str">
        <f>divname(M38,N38)</f>
        <v>Siddhamsa</v>
      </c>
      <c r="N40" s="198"/>
      <c r="O40" s="57" t="str">
        <f>RasiContent(4,Basic!$B$7,M38,N38,Basic!$F$12)</f>
        <v xml:space="preserve"> Mars</v>
      </c>
    </row>
    <row r="41" spans="2:15" ht="50.1" customHeight="1" x14ac:dyDescent="0.2">
      <c r="B41" s="57" t="str">
        <f>RasiContent(10,Basic!$B$7,C38,D38,Basic!$F$12)</f>
        <v xml:space="preserve"> </v>
      </c>
      <c r="C41" s="198"/>
      <c r="D41" s="198"/>
      <c r="E41" s="57" t="str">
        <f>RasiContent(5,Basic!$B$7,C38,D38,Basic!$F$12)</f>
        <v xml:space="preserve"> Sun </v>
      </c>
      <c r="G41" s="57" t="str">
        <f>RasiContent(10,Basic!$B$7,H38,I38,Basic!$F$12)</f>
        <v/>
      </c>
      <c r="H41" s="198"/>
      <c r="I41" s="198"/>
      <c r="J41" s="57" t="str">
        <f>RasiContent(5,Basic!$B$7,H38,I38,Basic!$F$12)</f>
        <v/>
      </c>
      <c r="L41" s="57" t="str">
        <f>RasiContent(10,Basic!$B$7,M38,N38,Basic!$F$12)</f>
        <v xml:space="preserve"> Merc</v>
      </c>
      <c r="M41" s="198"/>
      <c r="N41" s="198"/>
      <c r="O41" s="57" t="str">
        <f>RasiContent(5,Basic!$B$7,M38,N38,Basic!$F$12)</f>
        <v xml:space="preserve"> Saturn</v>
      </c>
    </row>
    <row r="42" spans="2:15" ht="50.1" customHeight="1" x14ac:dyDescent="0.2">
      <c r="B42" s="57" t="str">
        <f>RasiContent(9,Basic!$B$7,C38,D38,Basic!$F$12)</f>
        <v/>
      </c>
      <c r="C42" s="57" t="str">
        <f>RasiContent(8,Basic!$B$7,C38,D38,Basic!$F$12)</f>
        <v xml:space="preserve"> Moon</v>
      </c>
      <c r="D42" s="57" t="str">
        <f>RasiContent(7,Basic!$B$7,C38,D38,Basic!$F$12)</f>
        <v xml:space="preserve"> Jupiter</v>
      </c>
      <c r="E42" s="57" t="str">
        <f>RasiContent(6,Basic!$B$7,C38,D38,Basic!$F$12)</f>
        <v/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/>
      </c>
      <c r="J42" s="57" t="str">
        <f>RasiContent(6,Basic!$B$7,H38,I38,Basic!$F$12)</f>
        <v xml:space="preserve"> Sun Jupiter</v>
      </c>
      <c r="L42" s="57" t="str">
        <f>RasiContent(9,Basic!$B$7,M38,N38,Basic!$F$12)</f>
        <v/>
      </c>
      <c r="M42" s="57" t="str">
        <f>RasiContent(8,Basic!$B$7,M38,N38,Basic!$F$12)</f>
        <v/>
      </c>
      <c r="N42" s="57" t="str">
        <f>RasiContent(7,Basic!$B$7,M38,N38,Basic!$F$12)</f>
        <v xml:space="preserve"> Jupiter</v>
      </c>
      <c r="O42" s="57" t="str">
        <f>RasiContent(6,Basic!$B$7,M38,N38,Basic!$F$12)</f>
        <v xml:space="preserve"> 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RasiContent(12,Basic!$B$7,C44,D44,Basic!$F$12)</f>
        <v xml:space="preserve"> Asdt</v>
      </c>
      <c r="C45" s="57" t="str">
        <f>RasiContent(1,Basic!$B$7,C44,D44,Basic!$F$12)</f>
        <v xml:space="preserve"> </v>
      </c>
      <c r="D45" s="57" t="str">
        <f>RasiContent(2,Basic!$B$7,C44,D44,Basic!$F$12)</f>
        <v xml:space="preserve"> Sun </v>
      </c>
      <c r="E45" s="57" t="str">
        <f>RasiContent(3,Basic!$B$7,C44,D44,Basic!$F$12)</f>
        <v xml:space="preserve"> Merc Rahu</v>
      </c>
      <c r="G45" s="57" t="str">
        <f>RasiContent(12,Basic!$B$7,H44,I44,Basic!$F$12)</f>
        <v xml:space="preserve"> Venus Jupiter  </v>
      </c>
      <c r="H45" s="57" t="str">
        <f>RasiContent(1,Basic!$B$7,H44,I44,Basic!$F$12)</f>
        <v xml:space="preserve"> Mars Saturn</v>
      </c>
      <c r="I45" s="57" t="str">
        <f>RasiContent(2,Basic!$B$7,H44,I44,Basic!$F$12)</f>
        <v/>
      </c>
      <c r="J45" s="57" t="str">
        <f>RasiContent(3,Basic!$B$7,H44,I44,Basic!$F$12)</f>
        <v xml:space="preserve"> Merc</v>
      </c>
      <c r="L45" s="57" t="str">
        <f>RasiContent(12,Basic!$B$7,M44,N44,Basic!$F$12)</f>
        <v/>
      </c>
      <c r="M45" s="57" t="str">
        <f>RasiContent(1,Basic!$B$7,M44,N44,Basic!$F$12)</f>
        <v xml:space="preserve"> Sun Rahu Ketu</v>
      </c>
      <c r="N45" s="57" t="str">
        <f>RasiContent(2,Basic!$B$7,M44,N44,Basic!$F$12)</f>
        <v/>
      </c>
      <c r="O45" s="57" t="str">
        <f>RasiContent(3,Basic!$B$7,M44,N44,Basic!$F$12)</f>
        <v xml:space="preserve"> Merc</v>
      </c>
    </row>
    <row r="46" spans="2:15" ht="50.1" customHeight="1" x14ac:dyDescent="0.2">
      <c r="B46" s="57" t="str">
        <f>RasiContent(11,Basic!$B$7,C44,D44,Basic!$F$12)</f>
        <v xml:space="preserve"> Saturn</v>
      </c>
      <c r="C46" s="198" t="str">
        <f>divname(C44,D44)</f>
        <v>Nakshatramsa</v>
      </c>
      <c r="D46" s="198"/>
      <c r="E46" s="57" t="str">
        <f>RasiContent(4,Basic!$B$7,C44,D44,Basic!$F$12)</f>
        <v xml:space="preserve"> Venus </v>
      </c>
      <c r="G46" s="57" t="str">
        <f>RasiContent(11,Basic!$B$7,H44,I44,Basic!$F$12)</f>
        <v xml:space="preserve"> Sun Rahu Ketu</v>
      </c>
      <c r="H46" s="198" t="str">
        <f>divname(H44,I44)</f>
        <v>Standard Trimsamsa</v>
      </c>
      <c r="I46" s="198"/>
      <c r="J46" s="57" t="str">
        <f>RasiContent(4,Basic!$B$7,H44,I44,Basic!$F$12)</f>
        <v/>
      </c>
      <c r="L46" s="57" t="str">
        <f>RasiContent(11,Basic!$B$7,M44,N44,Basic!$F$12)</f>
        <v/>
      </c>
      <c r="M46" s="198" t="str">
        <f>divname(M44,N44)</f>
        <v>Parivritti Trimsa Trimsamsa</v>
      </c>
      <c r="N46" s="198"/>
      <c r="O46" s="57" t="str">
        <f>RasiContent(4,Basic!$B$7,M44,N44,Basic!$F$12)</f>
        <v/>
      </c>
    </row>
    <row r="47" spans="2:15" ht="50.1" customHeight="1" x14ac:dyDescent="0.2">
      <c r="B47" s="57" t="str">
        <f>RasiContent(10,Basic!$B$7,C44,D44,Basic!$F$12)</f>
        <v xml:space="preserve"> Mars</v>
      </c>
      <c r="C47" s="198"/>
      <c r="D47" s="198"/>
      <c r="E47" s="57" t="str">
        <f>RasiContent(5,Basic!$B$7,C44,D44,Basic!$F$12)</f>
        <v/>
      </c>
      <c r="G47" s="57" t="str">
        <f>RasiContent(10,Basic!$B$7,H44,I44,Basic!$F$12)</f>
        <v xml:space="preserve"> </v>
      </c>
      <c r="H47" s="198"/>
      <c r="I47" s="198"/>
      <c r="J47" s="57" t="str">
        <f>RasiContent(5,Basic!$B$7,H44,I44,Basic!$F$12)</f>
        <v/>
      </c>
      <c r="L47" s="57" t="str">
        <f>RasiContent(10,Basic!$B$7,M44,N44,Basic!$F$12)</f>
        <v/>
      </c>
      <c r="M47" s="198"/>
      <c r="N47" s="198"/>
      <c r="O47" s="57" t="str">
        <f>RasiContent(5,Basic!$B$7,M44,N44,Basic!$F$12)</f>
        <v/>
      </c>
    </row>
    <row r="48" spans="2:15" ht="50.1" customHeight="1" x14ac:dyDescent="0.2">
      <c r="B48" s="57" t="str">
        <f>RasiContent(9,Basic!$B$7,C44,D44,Basic!$F$12)</f>
        <v xml:space="preserve"> Jupiter Ketu</v>
      </c>
      <c r="C48" s="57" t="str">
        <f>RasiContent(8,Basic!$B$7,C44,D44,Basic!$F$12)</f>
        <v/>
      </c>
      <c r="D48" s="57" t="str">
        <f>RasiContent(7,Basic!$B$7,C44,D44,Basic!$F$12)</f>
        <v/>
      </c>
      <c r="E48" s="57" t="str">
        <f>RasiContent(6,Basic!$B$7,C44,D44,Basic!$F$12)</f>
        <v xml:space="preserve"> Moon</v>
      </c>
      <c r="G48" s="57" t="str">
        <f>RasiContent(9,Basic!$B$7,H44,I44,Basic!$F$12)</f>
        <v/>
      </c>
      <c r="H48" s="57" t="str">
        <f>RasiContent(8,Basic!$B$7,H44,I44,Basic!$F$12)</f>
        <v xml:space="preserve"> Moon Asdt</v>
      </c>
      <c r="I48" s="57" t="str">
        <f>RasiContent(7,Basic!$B$7,H44,I44,Basic!$F$12)</f>
        <v/>
      </c>
      <c r="J48" s="57" t="str">
        <f>RasiContent(6,Basic!$B$7,H44,I44,Basic!$F$12)</f>
        <v/>
      </c>
      <c r="L48" s="57" t="str">
        <f>RasiContent(9,Basic!$B$7,M44,N44,Basic!$F$12)</f>
        <v xml:space="preserve"> Moon  Asdt</v>
      </c>
      <c r="M48" s="57" t="str">
        <f>RasiContent(8,Basic!$B$7,M44,N44,Basic!$F$12)</f>
        <v xml:space="preserve"> Venus Jupiter  </v>
      </c>
      <c r="N48" s="57" t="str">
        <f>RasiContent(7,Basic!$B$7,M44,N44,Basic!$F$12)</f>
        <v xml:space="preserve"> Mars Saturn</v>
      </c>
      <c r="O48" s="57" t="str">
        <f>RasiContent(6,Basic!$B$7,M44,N44,Basic!$F$12)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RasiContent(12,Basic!$B$7,C50,D50,Basic!$F$12)</f>
        <v xml:space="preserve"> Rahu</v>
      </c>
      <c r="C51" s="57" t="str">
        <f>RasiContent(1,Basic!$B$7,C50,D50,Basic!$F$12)</f>
        <v xml:space="preserve"> Jupiter </v>
      </c>
      <c r="D51" s="57" t="str">
        <f>RasiContent(2,Basic!$B$7,C50,D50,Basic!$F$12)</f>
        <v/>
      </c>
      <c r="E51" s="57" t="str">
        <f>RasiContent(3,Basic!$B$7,C50,D50,Basic!$F$12)</f>
        <v xml:space="preserve"> Sun</v>
      </c>
      <c r="G51" s="57" t="str">
        <f>RasiContent(12,Basic!$B$7,H50,I50,Basic!$F$12)</f>
        <v/>
      </c>
      <c r="H51" s="57" t="str">
        <f>RasiContent(1,Basic!$B$7,H50,I50,Basic!$F$12)</f>
        <v xml:space="preserve"> Venus </v>
      </c>
      <c r="I51" s="57" t="str">
        <f>RasiContent(2,Basic!$B$7,H50,I50,Basic!$F$12)</f>
        <v xml:space="preserve">  Rahu Ketu</v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 xml:space="preserve"> Sun Moon</v>
      </c>
      <c r="N51" s="57" t="str">
        <f>RasiContent(2,Basic!$B$7,M50,N50,Basic!$F$12)</f>
        <v xml:space="preserve"> Mars Jupiter</v>
      </c>
      <c r="O51" s="57" t="str">
        <f>RasiContent(3,Basic!$B$7,M50,N50,Basic!$F$12)</f>
        <v xml:space="preserve"> Saturn</v>
      </c>
    </row>
    <row r="52" spans="2:15" ht="50.1" customHeight="1" x14ac:dyDescent="0.2">
      <c r="B52" s="57" t="str">
        <f>RasiContent(11,Basic!$B$7,C50,D50,Basic!$F$12)</f>
        <v/>
      </c>
      <c r="C52" s="198" t="str">
        <f>divname(C50,D50)</f>
        <v>Trimsamsa (Like Shastyamsa)</v>
      </c>
      <c r="D52" s="198"/>
      <c r="E52" s="57" t="str">
        <f>RasiContent(4,Basic!$B$7,C50,D50,Basic!$F$12)</f>
        <v xml:space="preserve"> Mars Asdt</v>
      </c>
      <c r="G52" s="57" t="str">
        <f>RasiContent(11,Basic!$B$7,H50,I50,Basic!$F$12)</f>
        <v xml:space="preserve"> Sun</v>
      </c>
      <c r="H52" s="198" t="str">
        <f>divname(H50,I50)</f>
        <v>Khavedamsa</v>
      </c>
      <c r="I52" s="198"/>
      <c r="J52" s="57" t="str">
        <f>RasiContent(4,Basic!$B$7,H50,I50,Basic!$F$12)</f>
        <v/>
      </c>
      <c r="L52" s="57" t="str">
        <f>RasiContent(11,Basic!$B$7,M50,N50,Basic!$F$12)</f>
        <v xml:space="preserve"> Rahu Ketu</v>
      </c>
      <c r="M52" s="198" t="str">
        <f>divname(M50,N50)</f>
        <v>Akshavedamsa</v>
      </c>
      <c r="N52" s="198"/>
      <c r="O52" s="57" t="str">
        <f>RasiContent(4,Basic!$B$7,M50,N50,Basic!$F$12)</f>
        <v xml:space="preserve">   Asdt</v>
      </c>
    </row>
    <row r="53" spans="2:15" ht="50.1" customHeight="1" x14ac:dyDescent="0.2">
      <c r="B53" s="57" t="str">
        <f>RasiContent(10,Basic!$B$7,C50,D50,Basic!$F$12)</f>
        <v xml:space="preserve"> </v>
      </c>
      <c r="C53" s="198"/>
      <c r="D53" s="198"/>
      <c r="E53" s="57" t="str">
        <f>RasiContent(5,Basic!$B$7,C50,D50,Basic!$F$12)</f>
        <v xml:space="preserve"> Merc Saturn</v>
      </c>
      <c r="G53" s="57" t="str">
        <f>RasiContent(10,Basic!$B$7,H50,I50,Basic!$F$12)</f>
        <v xml:space="preserve"> Moon</v>
      </c>
      <c r="H53" s="198"/>
      <c r="I53" s="198"/>
      <c r="J53" s="57" t="str">
        <f>RasiContent(5,Basic!$B$7,H50,I50,Basic!$F$12)</f>
        <v/>
      </c>
      <c r="L53" s="57" t="str">
        <f>RasiContent(10,Basic!$B$7,M50,N50,Basic!$F$12)</f>
        <v xml:space="preserve"> Merc</v>
      </c>
      <c r="M53" s="198"/>
      <c r="N53" s="198"/>
      <c r="O53" s="57" t="str">
        <f>RasiContent(5,Basic!$B$7,M50,N50,Basic!$F$12)</f>
        <v xml:space="preserve"> </v>
      </c>
    </row>
    <row r="54" spans="2:15" ht="50.1" customHeight="1" x14ac:dyDescent="0.2">
      <c r="B54" s="57" t="str">
        <f>RasiContent(9,Basic!$B$7,C50,D50,Basic!$F$12)</f>
        <v/>
      </c>
      <c r="C54" s="57" t="str">
        <f>RasiContent(8,Basic!$B$7,C50,D50,Basic!$F$12)</f>
        <v xml:space="preserve"> Venus</v>
      </c>
      <c r="D54" s="57" t="str">
        <f>RasiContent(7,Basic!$B$7,C50,D50,Basic!$F$12)</f>
        <v xml:space="preserve"> Moon </v>
      </c>
      <c r="E54" s="57" t="str">
        <f>RasiContent(6,Basic!$B$7,C50,D50,Basic!$F$12)</f>
        <v xml:space="preserve"> Ketu</v>
      </c>
      <c r="G54" s="57" t="str">
        <f>RasiContent(9,Basic!$B$7,H50,I50,Basic!$F$12)</f>
        <v xml:space="preserve"> Jupiter Saturn Asdt</v>
      </c>
      <c r="H54" s="57" t="str">
        <f>RasiContent(8,Basic!$B$7,H50,I50,Basic!$F$12)</f>
        <v xml:space="preserve"> Mars</v>
      </c>
      <c r="I54" s="57" t="str">
        <f>RasiContent(7,Basic!$B$7,H50,I50,Basic!$F$12)</f>
        <v xml:space="preserve"> </v>
      </c>
      <c r="J54" s="57" t="str">
        <f>RasiContent(6,Basic!$B$7,H50,I50,Basic!$F$12)</f>
        <v xml:space="preserve"> Merc</v>
      </c>
      <c r="L54" s="57" t="str">
        <f>RasiContent(9,Basic!$B$7,M50,N50,Basic!$F$12)</f>
        <v/>
      </c>
      <c r="M54" s="57" t="str">
        <f>RasiContent(8,Basic!$B$7,M50,N50,Basic!$F$12)</f>
        <v/>
      </c>
      <c r="N54" s="57" t="str">
        <f>RasiContent(7,Basic!$B$7,M50,N50,Basic!$F$12)</f>
        <v/>
      </c>
      <c r="O54" s="57" t="str">
        <f>RasiContent(6,Basic!$B$7,M50,N50,Basic!$F$12)</f>
        <v xml:space="preserve"> Venus</v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RasiContent(12,Basic!$B$7,C56,D56,Basic!$F$12)</f>
        <v/>
      </c>
      <c r="C57" s="57" t="str">
        <f>RasiContent(1,Basic!$B$7,C56,D56,Basic!$F$12)</f>
        <v xml:space="preserve"> Moon </v>
      </c>
      <c r="D57" s="57" t="str">
        <f>RasiContent(2,Basic!$B$7,C56,D56,Basic!$F$12)</f>
        <v/>
      </c>
      <c r="E57" s="57" t="str">
        <f>RasiContent(3,Basic!$B$7,C56,D56,Basic!$F$12)</f>
        <v xml:space="preserve"> Merc</v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 x14ac:dyDescent="0.2">
      <c r="B58" s="57" t="str">
        <f>RasiContent(11,Basic!$B$7,C56,D56,Basic!$F$12)</f>
        <v xml:space="preserve"> Sun</v>
      </c>
      <c r="C58" s="198" t="str">
        <f>divname(C56,D56)</f>
        <v>Shastyamsa</v>
      </c>
      <c r="D58" s="198"/>
      <c r="E58" s="57" t="str">
        <f>RasiContent(4,Basic!$B$7,C56,D56,Basic!$F$12)</f>
        <v xml:space="preserve"> Ketu</v>
      </c>
      <c r="G58" s="57" t="str">
        <f>RasiContent(11,Basic!$B$7,H56,I56,Basic!$F$12)</f>
        <v/>
      </c>
      <c r="H58" s="198" t="str">
        <f>divname(H56,I56)</f>
        <v/>
      </c>
      <c r="I58" s="198"/>
      <c r="J58" s="57" t="str">
        <f>RasiContent(4,Basic!$B$7,H56,I56,Basic!$F$12)</f>
        <v/>
      </c>
      <c r="L58" s="57" t="str">
        <f>RasiContent(11,Basic!$B$7,M56,N56,Basic!$F$12)</f>
        <v/>
      </c>
      <c r="M58" s="198" t="str">
        <f>divname(M56,N56)</f>
        <v/>
      </c>
      <c r="N58" s="198"/>
      <c r="O58" s="57" t="str">
        <f>RasiContent(4,Basic!$B$7,M56,N56,Basic!$F$12)</f>
        <v/>
      </c>
    </row>
    <row r="59" spans="2:15" ht="50.1" customHeight="1" x14ac:dyDescent="0.2">
      <c r="B59" s="57" t="str">
        <f>RasiContent(10,Basic!$B$7,C56,D56,Basic!$F$12)</f>
        <v xml:space="preserve"> Venus Rahu</v>
      </c>
      <c r="C59" s="198"/>
      <c r="D59" s="198"/>
      <c r="E59" s="57" t="str">
        <f>RasiContent(5,Basic!$B$7,C56,D56,Basic!$F$12)</f>
        <v xml:space="preserve"> Mars </v>
      </c>
      <c r="G59" s="57" t="str">
        <f>RasiContent(10,Basic!$B$7,H56,I56,Basic!$F$12)</f>
        <v/>
      </c>
      <c r="H59" s="198"/>
      <c r="I59" s="198"/>
      <c r="J59" s="57" t="str">
        <f>RasiContent(5,Basic!$B$7,H56,I56,Basic!$F$12)</f>
        <v/>
      </c>
      <c r="L59" s="57" t="str">
        <f>RasiContent(10,Basic!$B$7,M56,N56,Basic!$F$12)</f>
        <v/>
      </c>
      <c r="M59" s="198"/>
      <c r="N59" s="198"/>
      <c r="O59" s="57" t="str">
        <f>RasiContent(5,Basic!$B$7,M56,N56,Basic!$F$12)</f>
        <v/>
      </c>
    </row>
    <row r="60" spans="2:15" ht="50.1" customHeight="1" x14ac:dyDescent="0.2">
      <c r="B60" s="57" t="str">
        <f>RasiContent(9,Basic!$B$7,C56,D56,Basic!$F$12)</f>
        <v xml:space="preserve"> Jupiter  Asdt</v>
      </c>
      <c r="C60" s="57" t="str">
        <f>RasiContent(8,Basic!$B$7,C56,D56,Basic!$F$12)</f>
        <v/>
      </c>
      <c r="D60" s="57" t="str">
        <f>RasiContent(7,Basic!$B$7,C56,D56,Basic!$F$12)</f>
        <v xml:space="preserve"> Saturn</v>
      </c>
      <c r="E60" s="57" t="str">
        <f>RasiContent(6,Basic!$B$7,C56,D56,Basic!$F$12)</f>
        <v/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63"/>
  <sheetViews>
    <sheetView workbookViewId="0">
      <selection activeCell="A10" sqref="A10"/>
    </sheetView>
  </sheetViews>
  <sheetFormatPr defaultRowHeight="12.75" x14ac:dyDescent="0.2"/>
  <cols>
    <col min="1" max="1" width="17.42578125" style="125" bestFit="1" customWidth="1"/>
    <col min="2" max="2" width="17.42578125" style="123" bestFit="1" customWidth="1"/>
    <col min="3" max="4" width="10.5703125" style="123" bestFit="1" customWidth="1"/>
    <col min="5" max="5" width="15.42578125" style="123" bestFit="1" customWidth="1"/>
    <col min="6" max="6" width="8.5703125" style="123" bestFit="1" customWidth="1"/>
    <col min="7" max="7" width="9.140625" style="123"/>
    <col min="8" max="8" width="6.42578125" style="123" bestFit="1" customWidth="1"/>
    <col min="9" max="9" width="16.5703125" style="123" bestFit="1" customWidth="1"/>
    <col min="10" max="10" width="15.140625" style="123" customWidth="1"/>
    <col min="11" max="11" width="9.140625" style="123"/>
    <col min="12" max="13" width="10" style="123" customWidth="1"/>
    <col min="14" max="14" width="18.5703125" style="124" customWidth="1"/>
    <col min="15" max="15" width="9.140625" style="123"/>
    <col min="16" max="16" width="15.42578125" style="123" bestFit="1" customWidth="1"/>
    <col min="17" max="17" width="23.7109375" style="123" customWidth="1"/>
    <col min="18" max="18" width="22.28515625" style="123" bestFit="1" customWidth="1"/>
    <col min="19" max="16384" width="9.140625" style="123"/>
  </cols>
  <sheetData>
    <row r="1" spans="1:25" x14ac:dyDescent="0.2">
      <c r="A1" s="123" t="s">
        <v>53</v>
      </c>
      <c r="C1" s="123">
        <v>13.5</v>
      </c>
      <c r="D1" s="123" t="s">
        <v>54</v>
      </c>
      <c r="F1" s="123">
        <v>80.23</v>
      </c>
      <c r="G1" s="123" t="s">
        <v>55</v>
      </c>
      <c r="H1" s="123">
        <v>5.5</v>
      </c>
      <c r="N1" s="123"/>
      <c r="P1" s="124"/>
    </row>
    <row r="2" spans="1:25" x14ac:dyDescent="0.2">
      <c r="A2" s="125" t="s">
        <v>56</v>
      </c>
      <c r="B2" s="126" t="s">
        <v>57</v>
      </c>
      <c r="C2" s="126" t="s">
        <v>58</v>
      </c>
      <c r="D2" s="126" t="s">
        <v>59</v>
      </c>
      <c r="E2" s="126" t="s">
        <v>62</v>
      </c>
      <c r="F2" s="126" t="s">
        <v>60</v>
      </c>
      <c r="G2" s="126" t="s">
        <v>61</v>
      </c>
      <c r="H2" s="126" t="s">
        <v>67</v>
      </c>
      <c r="I2" s="126" t="s">
        <v>15</v>
      </c>
      <c r="J2" s="126" t="s">
        <v>69</v>
      </c>
      <c r="K2" s="126" t="s">
        <v>70</v>
      </c>
      <c r="L2" s="126" t="s">
        <v>65</v>
      </c>
      <c r="M2" s="126" t="s">
        <v>66</v>
      </c>
      <c r="N2" s="124" t="s">
        <v>64</v>
      </c>
      <c r="O2" s="126" t="s">
        <v>68</v>
      </c>
      <c r="P2" s="126" t="s">
        <v>63</v>
      </c>
      <c r="Q2" s="153" t="s">
        <v>79</v>
      </c>
      <c r="R2" s="153" t="s">
        <v>87</v>
      </c>
      <c r="S2" s="126" t="s">
        <v>81</v>
      </c>
      <c r="T2" s="126" t="s">
        <v>82</v>
      </c>
      <c r="U2" s="126" t="s">
        <v>83</v>
      </c>
      <c r="V2" s="126" t="s">
        <v>84</v>
      </c>
      <c r="W2" s="126" t="s">
        <v>85</v>
      </c>
      <c r="X2" s="126" t="s">
        <v>86</v>
      </c>
      <c r="Y2" s="126" t="s">
        <v>88</v>
      </c>
    </row>
    <row r="3" spans="1:25" hidden="1" x14ac:dyDescent="0.2">
      <c r="A3" s="125">
        <f t="shared" ref="A3:A8" ca="1" si="0">A4-1</f>
        <v>43095</v>
      </c>
      <c r="B3" s="133">
        <f t="shared" ref="B3:B8" ca="1" si="1">A3+TimeZone/24</f>
        <v>43095.229166666664</v>
      </c>
      <c r="C3" s="130">
        <f t="shared" ref="C3:C34" ca="1" si="2">sunrise(Lat,Long,B3)+TimeZone/24+0.00103009259259259</f>
        <v>43095.271537668224</v>
      </c>
      <c r="D3" s="130">
        <f t="shared" ref="D3:D34" ca="1" si="3">sunset(Lat,Long,B3)+TimeZone/24-0.000277777777777778</f>
        <v>43094.74224931006</v>
      </c>
      <c r="E3" s="134">
        <f ca="1">P[[#This Row],[SunRise]]-TimeZone/24</f>
        <v>43095.04237100156</v>
      </c>
      <c r="F3" s="135">
        <f ca="1">Planet(E3,0)</f>
        <v>250.33320297708735</v>
      </c>
      <c r="G3" s="135">
        <f ca="1">Planet(E3,1)</f>
        <v>336.20342957735761</v>
      </c>
      <c r="H3" s="136">
        <f t="shared" ref="H3:H8" ca="1" si="4">E3</f>
        <v>43095.04237100156</v>
      </c>
      <c r="I3" s="131" t="str">
        <f ca="1">naks(P[[#This Row],[Moon]])</f>
        <v>Uttara Bhadrapada</v>
      </c>
      <c r="J3" s="130">
        <f ca="1">(C4-P[[#This Row],[SunRise]])/(G4-P[[#This Row],[Moon]])*(13.3333333333333-MOD(P[[#This Row],[Moon]],13.333333333333))+P[[#This Row],[SunRise]]</f>
        <v>43096.071638437686</v>
      </c>
      <c r="K3" s="131" t="str">
        <f ca="1">IF(P[[#This Row],[Tithi]]&gt;15,"K","S")&amp;ROUNDUP(MOD(P[[#This Row],[Tithi]],15),0)&amp;" ("&amp;ROUND(P[[#This Row],[Tithi]],2)&amp;")"</f>
        <v>S8 (7.16)</v>
      </c>
      <c r="L3" s="131">
        <f ca="1">IF(AND(P[[#This Row],[Tithi]]&lt;28.5,P[[#This Row],[Tithi]]&gt;0.49999),MOD((P[[#This Row],[Tithi]]-0.5)*2,7),MOD((P[[#This Row],[Tithi]]+30-28.5),30)*2+7)</f>
        <v>6.3117999999999999</v>
      </c>
      <c r="M3" s="131" t="str">
        <f ca="1">CHOOSE(ROUNDUP(P[[#This Row],[Karana1]],0),"Bhava","Baalava","Kaulava","Taitula","Garija","Vanija","Vishti","Shakuni","Chatushapda","Naaga","Kimstugna")</f>
        <v>Vishti</v>
      </c>
      <c r="N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(17)</v>
      </c>
      <c r="O3" s="124">
        <f ca="1">IF(AND(P[[#This Row],[Tithi]]&lt;28.5,P[[#This Row],[Tithi]]&gt;0.49999),MOD((P[[#This Row],[Tithi]]-0.5)*2,7),MOD((P[[#This Row],[Tithi]]+30-28.5),30)*2+7)</f>
        <v>6.3117999999999999</v>
      </c>
      <c r="P3" s="131">
        <f ca="1">ROUNDUP(MOD(360+P[[#This Row],[Moon]]-P[[#This Row],[Sun]],360)/12,4)</f>
        <v>7.1558999999999999</v>
      </c>
      <c r="Q3" s="124">
        <f t="shared" ref="Q3:Q34" ca="1" si="5">ROUNDUP(MOD(F3+G3,360)/13.333333333,2)</f>
        <v>17</v>
      </c>
      <c r="R3" s="124" t="str">
        <f ca="1">SIGN(S4-P[[#This Row],[MARs]])*INT(P[[#This Row],[MARs]]/30+1)&amp;"Ma,"&amp;SIGN(T4-P[[#This Row],[Merc]])*INT(P[[#This Row],[Merc]]/30+1)&amp;"Me,"&amp;SIGN(U4-P[[#This Row],[Jup]])*INT(P[[#This Row],[Jup]]/30+1)&amp;"Ju,"&amp;SIGN(V4-P[[#This Row],[Venu]])*INT(P[[#This Row],[Venu]]/30+1)&amp;"Ve,"&amp;SIGN(W4-P[[#This Row],[Sat]])*INT(P[[#This Row],[Sat]]/30+1)&amp;"Sa,"&amp;INT(P[[#This Row],[Rah]]/30+1)&amp;"Ra"</f>
        <v>7Ma,8Me,7Ju,9Ve,9Sa,4Ra</v>
      </c>
      <c r="S3" s="124">
        <f ca="1">Planet(P[[#This Row],[GMT Sun Rise]],4)</f>
        <v>196.3425910203751</v>
      </c>
      <c r="T3" s="124">
        <f ca="1">Planet(P[[#This Row],[GMT Sun Rise]],2)</f>
        <v>229.55213786141184</v>
      </c>
      <c r="U3" s="124">
        <f ca="1">Planet(P[[#This Row],[GMT Sun Rise]],5)</f>
        <v>201.79741593444353</v>
      </c>
      <c r="V3" s="124">
        <f ca="1">Planet(P[[#This Row],[GMT Sun Rise]],3)</f>
        <v>246.92216186935835</v>
      </c>
      <c r="W3" s="124">
        <f ca="1">Planet(P[[#This Row],[GMT Sun Rise]],6)</f>
        <v>246.58463206436321</v>
      </c>
      <c r="X3" s="124">
        <f ca="1">Planet(P[[#This Row],[GMT Sun Rise]],10)</f>
        <v>113.1071418380297</v>
      </c>
      <c r="Y3" s="124">
        <f ca="1">SIGN(S4-P[[#This Row],[MARs]])</f>
        <v>1</v>
      </c>
    </row>
    <row r="4" spans="1:25" hidden="1" x14ac:dyDescent="0.2">
      <c r="A4" s="125">
        <f t="shared" ca="1" si="0"/>
        <v>43096</v>
      </c>
      <c r="B4" s="133">
        <f t="shared" ca="1" si="1"/>
        <v>43096.229166666664</v>
      </c>
      <c r="C4" s="130">
        <f t="shared" ca="1" si="2"/>
        <v>43096.271850632191</v>
      </c>
      <c r="D4" s="130">
        <f t="shared" ca="1" si="3"/>
        <v>43095.742619018114</v>
      </c>
      <c r="E4" s="134">
        <f ca="1">P[[#This Row],[SunRise]]-TimeZone/24</f>
        <v>43096.042683965527</v>
      </c>
      <c r="F4" s="135">
        <f t="shared" ref="F4:F66" ca="1" si="6">Planet(E4,0)</f>
        <v>251.35233664852112</v>
      </c>
      <c r="G4" s="135">
        <f ca="1">Planet(E4,1)</f>
        <v>349.28492144053808</v>
      </c>
      <c r="H4" s="136">
        <f t="shared" ca="1" si="4"/>
        <v>43096.042683965527</v>
      </c>
      <c r="I4" s="131" t="str">
        <f ca="1">naks(P[[#This Row],[Moon]])</f>
        <v>Revati</v>
      </c>
      <c r="J4" s="130">
        <f ca="1">(C5-P[[#This Row],[SunRise]])/(G5-P[[#This Row],[Moon]])*(13.3333333333333-MOD(P[[#This Row],[Moon]],13.333333333333))+P[[#This Row],[SunRise]]</f>
        <v>43096.240914796559</v>
      </c>
      <c r="K4" s="131" t="str">
        <f ca="1">IF(P[[#This Row],[Tithi]]&gt;15,"K","S")&amp;ROUNDUP(MOD(P[[#This Row],[Tithi]],15),0)&amp;" ("&amp;ROUND(P[[#This Row],[Tithi]],2)&amp;")"</f>
        <v>S9 (8.16)</v>
      </c>
      <c r="L4" s="131">
        <f ca="1">IF(AND(P[[#This Row],[Tithi]]&lt;28.5,P[[#This Row],[Tithi]]&gt;0.49999),MOD((P[[#This Row],[Tithi]]-0.5)*2,7),MOD((P[[#This Row],[Tithi]]+30-28.5),30)*2+7)</f>
        <v>1.3221999999999987</v>
      </c>
      <c r="M4" s="131" t="str">
        <f ca="1">CHOOSE(ROUNDUP(P[[#This Row],[Karana1]],0),"Bhava","Baalava","Kaulava","Taitula","Garija","Vanija","Vishti","Shakuni","Chatushapda","Naaga","Kimstugna")</f>
        <v>Baalava</v>
      </c>
      <c r="N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(18.05)</v>
      </c>
      <c r="O4" s="124">
        <f ca="1">IF(AND(P[[#This Row],[Tithi]]&lt;28.5,P[[#This Row],[Tithi]]&gt;0.49999),MOD((P[[#This Row],[Tithi]]-0.5)*2,7),MOD((P[[#This Row],[Tithi]]+30-28.5),30)*2+7)</f>
        <v>1.3221999999999987</v>
      </c>
      <c r="P4" s="131">
        <f ca="1">ROUNDUP(MOD(360+P[[#This Row],[Moon]]-P[[#This Row],[Sun]],360)/12,4)</f>
        <v>8.1610999999999994</v>
      </c>
      <c r="Q4" s="124">
        <f t="shared" ca="1" si="5"/>
        <v>18.05</v>
      </c>
      <c r="R4" s="124" t="str">
        <f ca="1">SIGN(S5-P[[#This Row],[MARs]])*INT(P[[#This Row],[MARs]]/30+1)&amp;"Ma,"&amp;SIGN(T5-P[[#This Row],[Merc]])*INT(P[[#This Row],[Merc]]/30+1)&amp;"Me,"&amp;SIGN(U5-P[[#This Row],[Jup]])*INT(P[[#This Row],[Jup]]/30+1)&amp;"Ju,"&amp;SIGN(V5-P[[#This Row],[Venu]])*INT(P[[#This Row],[Venu]]/30+1)&amp;"Ve,"&amp;SIGN(W5-P[[#This Row],[Sat]])*INT(P[[#This Row],[Sat]]/30+1)&amp;"Sa,"&amp;INT(P[[#This Row],[Rah]]/30+1)&amp;"Ra"</f>
        <v>7Ma,8Me,7Ju,9Ve,9Sa,4Ra</v>
      </c>
      <c r="S4" s="124">
        <f ca="1">Planet(P[[#This Row],[GMT Sun Rise]],4)</f>
        <v>196.96767092006615</v>
      </c>
      <c r="T4" s="124">
        <f ca="1">Planet(P[[#This Row],[GMT Sun Rise]],2)</f>
        <v>230.03460716994138</v>
      </c>
      <c r="U4" s="124">
        <f ca="1">Planet(P[[#This Row],[GMT Sun Rise]],5)</f>
        <v>201.97450977451902</v>
      </c>
      <c r="V4" s="124">
        <f ca="1">Planet(P[[#This Row],[GMT Sun Rise]],3)</f>
        <v>248.18109300288464</v>
      </c>
      <c r="W4" s="124">
        <f ca="1">Planet(P[[#This Row],[GMT Sun Rise]],6)</f>
        <v>246.70252945485041</v>
      </c>
      <c r="X4" s="124">
        <f ca="1">Planet(P[[#This Row],[GMT Sun Rise]],10)</f>
        <v>113.05413325551928</v>
      </c>
      <c r="Y4" s="124">
        <f ca="1">SIGN(S5-P[[#This Row],[MARs]])</f>
        <v>1</v>
      </c>
    </row>
    <row r="5" spans="1:25" hidden="1" x14ac:dyDescent="0.2">
      <c r="A5" s="125">
        <f t="shared" ca="1" si="0"/>
        <v>43097</v>
      </c>
      <c r="B5" s="133">
        <f t="shared" ca="1" si="1"/>
        <v>43097.229166666664</v>
      </c>
      <c r="C5" s="130">
        <f t="shared" ca="1" si="2"/>
        <v>43097.272155649182</v>
      </c>
      <c r="D5" s="130">
        <f t="shared" ca="1" si="3"/>
        <v>43096.742993017237</v>
      </c>
      <c r="E5" s="134">
        <f ca="1">P[[#This Row],[SunRise]]-TimeZone/24</f>
        <v>43097.042988982517</v>
      </c>
      <c r="F5" s="135">
        <f t="shared" ca="1" si="6"/>
        <v>252.37145895375676</v>
      </c>
      <c r="G5" s="135">
        <f t="shared" ref="G5:G8" ca="1" si="7">Planet(E5,1)</f>
        <v>2.8146670516394399</v>
      </c>
      <c r="H5" s="136">
        <f t="shared" ca="1" si="4"/>
        <v>43097.042988982517</v>
      </c>
      <c r="I5" s="131" t="str">
        <f ca="1">naks(P[[#This Row],[Moon]])</f>
        <v>Aswini</v>
      </c>
      <c r="J5" s="130">
        <f ca="1">(C6-P[[#This Row],[SunRise]])/(G6-P[[#This Row],[Moon]])*(13.3333333333333-MOD(P[[#This Row],[Moon]],13.333333333333))+P[[#This Row],[SunRise]]</f>
        <v>43098.023163304082</v>
      </c>
      <c r="K5" s="131" t="str">
        <f ca="1">IF(P[[#This Row],[Tithi]]&gt;15,"K","S")&amp;ROUNDUP(MOD(P[[#This Row],[Tithi]],15),0)&amp;" ("&amp;ROUND(P[[#This Row],[Tithi]],2)&amp;")"</f>
        <v>S10 (9.2)</v>
      </c>
      <c r="L5" s="131">
        <f ca="1">IF(AND(P[[#This Row],[Tithi]]&lt;28.5,P[[#This Row],[Tithi]]&gt;0.49999),MOD((P[[#This Row],[Tithi]]-0.5)*2,7),MOD((P[[#This Row],[Tithi]]+30-28.5),30)*2+7)</f>
        <v>3.4073999999999991</v>
      </c>
      <c r="M5" s="131" t="str">
        <f ca="1">CHOOSE(ROUNDUP(P[[#This Row],[Karana1]],0),"Bhava","Baalava","Kaulava","Taitula","Garija","Vanija","Vishti","Shakuni","Chatushapda","Naaga","Kimstugna")</f>
        <v>Taitula</v>
      </c>
      <c r="N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(19.14)</v>
      </c>
      <c r="O5" s="124">
        <f ca="1">IF(AND(P[[#This Row],[Tithi]]&lt;28.5,P[[#This Row],[Tithi]]&gt;0.49999),MOD((P[[#This Row],[Tithi]]-0.5)*2,7),MOD((P[[#This Row],[Tithi]]+30-28.5),30)*2+7)</f>
        <v>3.4073999999999991</v>
      </c>
      <c r="P5" s="131">
        <f ca="1">ROUNDUP(MOD(360+P[[#This Row],[Moon]]-P[[#This Row],[Sun]],360)/12,4)</f>
        <v>9.2036999999999995</v>
      </c>
      <c r="Q5" s="124">
        <f t="shared" ca="1" si="5"/>
        <v>19.14</v>
      </c>
      <c r="R5" s="124" t="str">
        <f ca="1">SIGN(S6-P[[#This Row],[MARs]])*INT(P[[#This Row],[MARs]]/30+1)&amp;"Ma,"&amp;SIGN(T6-P[[#This Row],[Merc]])*INT(P[[#This Row],[Merc]]/30+1)&amp;"Me,"&amp;SIGN(U6-P[[#This Row],[Jup]])*INT(P[[#This Row],[Jup]]/30+1)&amp;"Ju,"&amp;SIGN(V6-P[[#This Row],[Venu]])*INT(P[[#This Row],[Venu]]/30+1)&amp;"Ve,"&amp;SIGN(W6-P[[#This Row],[Sat]])*INT(P[[#This Row],[Sat]]/30+1)&amp;"Sa,"&amp;INT(P[[#This Row],[Rah]]/30+1)&amp;"Ra"</f>
        <v>7Ma,8Me,7Ju,9Ve,9Sa,4Ra</v>
      </c>
      <c r="S5" s="124">
        <f ca="1">Planet(P[[#This Row],[GMT Sun Rise]],4)</f>
        <v>197.59250609201092</v>
      </c>
      <c r="T5" s="124">
        <f ca="1">Planet(P[[#This Row],[GMT Sun Rise]],2)</f>
        <v>230.62802614435972</v>
      </c>
      <c r="U5" s="124">
        <f ca="1">Planet(P[[#This Row],[GMT Sun Rise]],5)</f>
        <v>202.15012598940655</v>
      </c>
      <c r="V5" s="124">
        <f ca="1">Planet(P[[#This Row],[GMT Sun Rise]],3)</f>
        <v>249.43995313559864</v>
      </c>
      <c r="W5" s="124">
        <f ca="1">Planet(P[[#This Row],[GMT Sun Rise]],6)</f>
        <v>246.82031858118148</v>
      </c>
      <c r="X5" s="124">
        <f ca="1">Planet(P[[#This Row],[GMT Sun Rise]],10)</f>
        <v>113.00112509414075</v>
      </c>
      <c r="Y5" s="124">
        <f ca="1">SIGN(S6-P[[#This Row],[MARs]])</f>
        <v>1</v>
      </c>
    </row>
    <row r="6" spans="1:25" hidden="1" x14ac:dyDescent="0.2">
      <c r="A6" s="125">
        <f t="shared" ca="1" si="0"/>
        <v>43098</v>
      </c>
      <c r="B6" s="133">
        <f t="shared" ca="1" si="1"/>
        <v>43098.229166666664</v>
      </c>
      <c r="C6" s="130">
        <f t="shared" ca="1" si="2"/>
        <v>43098.272452241894</v>
      </c>
      <c r="D6" s="130">
        <f t="shared" ca="1" si="3"/>
        <v>43097.743370831056</v>
      </c>
      <c r="E6" s="134">
        <f ca="1">P[[#This Row],[SunRise]]-TimeZone/24</f>
        <v>43098.04328557523</v>
      </c>
      <c r="F6" s="135">
        <f t="shared" ca="1" si="6"/>
        <v>253.39056085405596</v>
      </c>
      <c r="G6" s="135">
        <f t="shared" ca="1" si="7"/>
        <v>16.824891811353137</v>
      </c>
      <c r="H6" s="136">
        <f t="shared" ca="1" si="4"/>
        <v>43098.04328557523</v>
      </c>
      <c r="I6" s="131" t="str">
        <f ca="1">naks(P[[#This Row],[Moon]])</f>
        <v>Bharani</v>
      </c>
      <c r="J6" s="130">
        <f ca="1">(C7-P[[#This Row],[SunRise]])/(G7-P[[#This Row],[Moon]])*(13.3333333333333-MOD(P[[#This Row],[Moon]],13.333333333333))+P[[#This Row],[SunRise]]</f>
        <v>43098.952288841581</v>
      </c>
      <c r="K6" s="131" t="str">
        <f ca="1">IF(P[[#This Row],[Tithi]]&gt;15,"K","S")&amp;ROUNDUP(MOD(P[[#This Row],[Tithi]],15),0)&amp;" ("&amp;ROUND(P[[#This Row],[Tithi]],2)&amp;")"</f>
        <v>S11 (10.29)</v>
      </c>
      <c r="L6" s="131">
        <f ca="1">IF(AND(P[[#This Row],[Tithi]]&lt;28.5,P[[#This Row],[Tithi]]&gt;0.49999),MOD((P[[#This Row],[Tithi]]-0.5)*2,7),MOD((P[[#This Row],[Tithi]]+30-28.5),30)*2+7)</f>
        <v>5.5723999999999982</v>
      </c>
      <c r="M6" s="131" t="str">
        <f ca="1">CHOOSE(ROUNDUP(P[[#This Row],[Karana1]],0),"Bhava","Baalava","Kaulava","Taitula","Garija","Vanija","Vishti","Shakuni","Chatushapda","Naaga","Kimstugna")</f>
        <v>Vanija</v>
      </c>
      <c r="N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(20.27)</v>
      </c>
      <c r="O6" s="124">
        <f ca="1">IF(AND(P[[#This Row],[Tithi]]&lt;28.5,P[[#This Row],[Tithi]]&gt;0.49999),MOD((P[[#This Row],[Tithi]]-0.5)*2,7),MOD((P[[#This Row],[Tithi]]+30-28.5),30)*2+7)</f>
        <v>5.5723999999999982</v>
      </c>
      <c r="P6" s="131">
        <f ca="1">ROUNDUP(MOD(360+P[[#This Row],[Moon]]-P[[#This Row],[Sun]],360)/12,4)</f>
        <v>10.286199999999999</v>
      </c>
      <c r="Q6" s="124">
        <f t="shared" ca="1" si="5"/>
        <v>20.270000000000003</v>
      </c>
      <c r="R6" s="124" t="str">
        <f ca="1">SIGN(S7-P[[#This Row],[MARs]])*INT(P[[#This Row],[MARs]]/30+1)&amp;"Ma,"&amp;SIGN(T7-P[[#This Row],[Merc]])*INT(P[[#This Row],[Merc]]/30+1)&amp;"Me,"&amp;SIGN(U7-P[[#This Row],[Jup]])*INT(P[[#This Row],[Jup]]/30+1)&amp;"Ju,"&amp;SIGN(V7-P[[#This Row],[Venu]])*INT(P[[#This Row],[Venu]]/30+1)&amp;"Ve,"&amp;SIGN(W7-P[[#This Row],[Sat]])*INT(P[[#This Row],[Sat]]/30+1)&amp;"Sa,"&amp;INT(P[[#This Row],[Rah]]/30+1)&amp;"Ra"</f>
        <v>7Ma,8Me,7Ju,9Ve,9Sa,4Ra</v>
      </c>
      <c r="S6" s="124">
        <f ca="1">Planet(P[[#This Row],[GMT Sun Rise]],4)</f>
        <v>198.21709914771179</v>
      </c>
      <c r="T6" s="124">
        <f ca="1">Planet(P[[#This Row],[GMT Sun Rise]],2)</f>
        <v>231.32063758800066</v>
      </c>
      <c r="U6" s="124">
        <f ca="1">Planet(P[[#This Row],[GMT Sun Rise]],5)</f>
        <v>202.32423939380166</v>
      </c>
      <c r="V6" s="124">
        <f ca="1">Planet(P[[#This Row],[GMT Sun Rise]],3)</f>
        <v>250.69873880949115</v>
      </c>
      <c r="W6" s="124">
        <f ca="1">Planet(P[[#This Row],[GMT Sun Rise]],6)</f>
        <v>246.93798103180504</v>
      </c>
      <c r="X6" s="124">
        <f ca="1">Planet(P[[#This Row],[GMT Sun Rise]],10)</f>
        <v>112.94811737917789</v>
      </c>
      <c r="Y6" s="124">
        <f ca="1">SIGN(S7-P[[#This Row],[MARs]])</f>
        <v>1</v>
      </c>
    </row>
    <row r="7" spans="1:25" hidden="1" x14ac:dyDescent="0.2">
      <c r="A7" s="125">
        <f t="shared" ca="1" si="0"/>
        <v>43099</v>
      </c>
      <c r="B7" s="133">
        <f t="shared" ca="1" si="1"/>
        <v>43099.229166666664</v>
      </c>
      <c r="C7" s="130">
        <f t="shared" ca="1" si="2"/>
        <v>43099.272740251537</v>
      </c>
      <c r="D7" s="130">
        <f t="shared" ca="1" si="3"/>
        <v>43098.743752141992</v>
      </c>
      <c r="E7" s="134">
        <f ca="1">P[[#This Row],[SunRise]]-TimeZone/24</f>
        <v>43099.043573584873</v>
      </c>
      <c r="F7" s="135">
        <f t="shared" ca="1" si="6"/>
        <v>254.409638139245</v>
      </c>
      <c r="G7" s="135">
        <f t="shared" ca="1" si="7"/>
        <v>31.305738217606102</v>
      </c>
      <c r="H7" s="136">
        <f t="shared" ca="1" si="4"/>
        <v>43099.043573584873</v>
      </c>
      <c r="I7" s="131" t="str">
        <f ca="1">naks(P[[#This Row],[Moon]])</f>
        <v>Krittika</v>
      </c>
      <c r="J7" s="130">
        <f ca="1">(C8-P[[#This Row],[SunRise]])/(G8-P[[#This Row],[Moon]])*(13.3333333333333-MOD(P[[#This Row],[Moon]],13.333333333333))+P[[#This Row],[SunRise]]</f>
        <v>43099.856875251186</v>
      </c>
      <c r="K7" s="131" t="str">
        <f ca="1">IF(P[[#This Row],[Tithi]]&gt;15,"K","S")&amp;ROUNDUP(MOD(P[[#This Row],[Tithi]],15),0)&amp;" ("&amp;ROUND(P[[#This Row],[Tithi]],2)&amp;")"</f>
        <v>S12 (11.41)</v>
      </c>
      <c r="L7" s="131">
        <f ca="1">IF(AND(P[[#This Row],[Tithi]]&lt;28.5,P[[#This Row],[Tithi]]&gt;0.49999),MOD((P[[#This Row],[Tithi]]-0.5)*2,7),MOD((P[[#This Row],[Tithi]]+30-28.5),30)*2+7)</f>
        <v>0.81619999999999848</v>
      </c>
      <c r="M7" s="131" t="str">
        <f ca="1">CHOOSE(ROUNDUP(P[[#This Row],[Karana1]],0),"Bhava","Baalava","Kaulava","Taitula","Garija","Vanija","Vishti","Shakuni","Chatushapda","Naaga","Kimstugna")</f>
        <v>Bhava</v>
      </c>
      <c r="N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(21.43)</v>
      </c>
      <c r="O7" s="124">
        <f ca="1">IF(AND(P[[#This Row],[Tithi]]&lt;28.5,P[[#This Row],[Tithi]]&gt;0.49999),MOD((P[[#This Row],[Tithi]]-0.5)*2,7),MOD((P[[#This Row],[Tithi]]+30-28.5),30)*2+7)</f>
        <v>0.81619999999999848</v>
      </c>
      <c r="P7" s="131">
        <f ca="1">ROUNDUP(MOD(360+P[[#This Row],[Moon]]-P[[#This Row],[Sun]],360)/12,4)</f>
        <v>11.408099999999999</v>
      </c>
      <c r="Q7" s="124">
        <f t="shared" ca="1" si="5"/>
        <v>21.430000000000003</v>
      </c>
      <c r="R7" s="124" t="str">
        <f ca="1">SIGN(S8-P[[#This Row],[MARs]])*INT(P[[#This Row],[MARs]]/30+1)&amp;"Ma,"&amp;SIGN(T8-P[[#This Row],[Merc]])*INT(P[[#This Row],[Merc]]/30+1)&amp;"Me,"&amp;SIGN(U8-P[[#This Row],[Jup]])*INT(P[[#This Row],[Jup]]/30+1)&amp;"Ju,"&amp;SIGN(V8-P[[#This Row],[Venu]])*INT(P[[#This Row],[Venu]]/30+1)&amp;"Ve,"&amp;SIGN(W8-P[[#This Row],[Sat]])*INT(P[[#This Row],[Sat]]/30+1)&amp;"Sa,"&amp;INT(P[[#This Row],[Rah]]/30+1)&amp;"Ra"</f>
        <v>7Ma,8Me,7Ju,9Ve,9Sa,4Ra</v>
      </c>
      <c r="S7" s="124">
        <f ca="1">Planet(P[[#This Row],[GMT Sun Rise]],4)</f>
        <v>198.84145450747721</v>
      </c>
      <c r="T7" s="124">
        <f ca="1">Planet(P[[#This Row],[GMT Sun Rise]],2)</f>
        <v>232.10161027215113</v>
      </c>
      <c r="U7" s="124">
        <f ca="1">Planet(P[[#This Row],[GMT Sun Rise]],5)</f>
        <v>202.4968254030081</v>
      </c>
      <c r="V7" s="124">
        <f ca="1">Planet(P[[#This Row],[GMT Sun Rise]],3)</f>
        <v>251.95744940560522</v>
      </c>
      <c r="W7" s="124">
        <f ca="1">Planet(P[[#This Row],[GMT Sun Rise]],6)</f>
        <v>247.0554986930492</v>
      </c>
      <c r="X7" s="124">
        <f ca="1">Planet(P[[#This Row],[GMT Sun Rise]],10)</f>
        <v>112.89511011906436</v>
      </c>
      <c r="Y7" s="124">
        <f ca="1">SIGN(S8-P[[#This Row],[MARs]])</f>
        <v>1</v>
      </c>
    </row>
    <row r="8" spans="1:25" hidden="1" x14ac:dyDescent="0.2">
      <c r="A8" s="125">
        <f t="shared" ca="1" si="0"/>
        <v>43100</v>
      </c>
      <c r="B8" s="133">
        <f t="shared" ca="1" si="1"/>
        <v>43100.229166666664</v>
      </c>
      <c r="C8" s="130">
        <f t="shared" ca="1" si="2"/>
        <v>43100.273019360066</v>
      </c>
      <c r="D8" s="130">
        <f t="shared" ca="1" si="3"/>
        <v>43099.744136472742</v>
      </c>
      <c r="E8" s="134">
        <f ca="1">P[[#This Row],[SunRise]]-TimeZone/24</f>
        <v>43100.043852693401</v>
      </c>
      <c r="F8" s="135">
        <f t="shared" ca="1" si="6"/>
        <v>255.42869148507117</v>
      </c>
      <c r="G8" s="135">
        <f t="shared" ca="1" si="7"/>
        <v>46.193886385806643</v>
      </c>
      <c r="H8" s="136">
        <f t="shared" ca="1" si="4"/>
        <v>43100.043852693401</v>
      </c>
      <c r="I8" s="131" t="str">
        <f ca="1">naks(P[[#This Row],[Moon]])</f>
        <v>Rohini</v>
      </c>
      <c r="J8" s="130">
        <f ca="1">(C9-P[[#This Row],[SunRise]])/(G9-P[[#This Row],[Moon]])*(13.3333333333333-MOD(P[[#This Row],[Moon]],13.333333333333))+P[[#This Row],[SunRise]]</f>
        <v>43100.743564940945</v>
      </c>
      <c r="K8" s="131" t="str">
        <f ca="1">IF(P[[#This Row],[Tithi]]&gt;15,"K","S")&amp;ROUNDUP(MOD(P[[#This Row],[Tithi]],15),0)&amp;" ("&amp;ROUND(P[[#This Row],[Tithi]],2)&amp;")"</f>
        <v>S13 (12.56)</v>
      </c>
      <c r="L8" s="131">
        <f ca="1">IF(AND(P[[#This Row],[Tithi]]&lt;28.5,P[[#This Row],[Tithi]]&gt;0.49999),MOD((P[[#This Row],[Tithi]]-0.5)*2,7),MOD((P[[#This Row],[Tithi]]+30-28.5),30)*2+7)</f>
        <v>3.127600000000001</v>
      </c>
      <c r="M8" s="131" t="str">
        <f ca="1">CHOOSE(ROUNDUP(P[[#This Row],[Karana1]],0),"Bhava","Baalava","Kaulava","Taitula","Garija","Vanija","Vishti","Shakuni","Chatushapda","Naaga","Kimstugna")</f>
        <v>Taitula</v>
      </c>
      <c r="N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(22.63)</v>
      </c>
      <c r="O8" s="124">
        <f ca="1">IF(AND(P[[#This Row],[Tithi]]&lt;28.5,P[[#This Row],[Tithi]]&gt;0.49999),MOD((P[[#This Row],[Tithi]]-0.5)*2,7),MOD((P[[#This Row],[Tithi]]+30-28.5),30)*2+7)</f>
        <v>3.127600000000001</v>
      </c>
      <c r="P8" s="131">
        <f ca="1">ROUNDUP(MOD(360+P[[#This Row],[Moon]]-P[[#This Row],[Sun]],360)/12,4)</f>
        <v>12.563800000000001</v>
      </c>
      <c r="Q8" s="124">
        <f ca="1">ROUNDUP(MOD(F8+G8,360)/13.333333333,2)</f>
        <v>22.630000000000003</v>
      </c>
      <c r="R8" s="124" t="str">
        <f ca="1">SIGN(S9-P[[#This Row],[MARs]])*INT(P[[#This Row],[MARs]]/30+1)&amp;"Ma,"&amp;SIGN(T9-P[[#This Row],[Merc]])*INT(P[[#This Row],[Merc]]/30+1)&amp;"Me,"&amp;SIGN(U9-P[[#This Row],[Jup]])*INT(P[[#This Row],[Jup]]/30+1)&amp;"Ju,"&amp;SIGN(V9-P[[#This Row],[Venu]])*INT(P[[#This Row],[Venu]]/30+1)&amp;"Ve,"&amp;SIGN(W9-P[[#This Row],[Sat]])*INT(P[[#This Row],[Sat]]/30+1)&amp;"Sa,"&amp;INT(P[[#This Row],[Rah]]/30+1)&amp;"Ra"</f>
        <v>7Ma,8Me,7Ju,9Ve,9Sa,4Ra</v>
      </c>
      <c r="S8" s="124">
        <f ca="1">Planet(P[[#This Row],[GMT Sun Rise]],4)</f>
        <v>199.4655776420631</v>
      </c>
      <c r="T8" s="124">
        <f ca="1">Planet(P[[#This Row],[GMT Sun Rise]],2)</f>
        <v>232.96110866941569</v>
      </c>
      <c r="U8" s="124">
        <f ca="1">Planet(P[[#This Row],[GMT Sun Rise]],5)</f>
        <v>202.66785978458728</v>
      </c>
      <c r="V8" s="124">
        <f ca="1">Planet(P[[#This Row],[GMT Sun Rise]],3)</f>
        <v>253.21608681075813</v>
      </c>
      <c r="W8" s="124">
        <f ca="1">Planet(P[[#This Row],[GMT Sun Rise]],6)</f>
        <v>247.17285384474104</v>
      </c>
      <c r="X8" s="124">
        <f ca="1">Planet(P[[#This Row],[GMT Sun Rise]],10)</f>
        <v>112.84210333065072</v>
      </c>
      <c r="Y8" s="124">
        <f ca="1">SIGN(S9-P[[#This Row],[MARs]])</f>
        <v>1</v>
      </c>
    </row>
    <row r="9" spans="1:25" x14ac:dyDescent="0.2">
      <c r="A9" s="137">
        <f ca="1">DATE(YEAR(NOW()),1,1)</f>
        <v>43101</v>
      </c>
      <c r="B9" s="125">
        <f t="shared" ref="B9:B40" ca="1" si="8">A9+TimeZone/24</f>
        <v>43101.229166666664</v>
      </c>
      <c r="C9" s="130">
        <f t="shared" ca="1" si="2"/>
        <v>43101.273289091107</v>
      </c>
      <c r="D9" s="130">
        <f t="shared" ca="1" si="3"/>
        <v>43100.744523664514</v>
      </c>
      <c r="E9" s="134">
        <f ca="1">P[[#This Row],[SunRise]]-TimeZone/24</f>
        <v>43101.044122424442</v>
      </c>
      <c r="F9" s="135">
        <f t="shared" ca="1" si="6"/>
        <v>256.4477264873932</v>
      </c>
      <c r="G9" s="128">
        <f ca="1">Planet(E9,1)</f>
        <v>61.370678960549256</v>
      </c>
      <c r="H9" s="129">
        <f ca="1">E9</f>
        <v>43101.044122424442</v>
      </c>
      <c r="I9" s="124" t="str">
        <f ca="1">naks(P[[#This Row],[Moon]])</f>
        <v>Mrigashira</v>
      </c>
      <c r="J9" s="127">
        <f ca="1">(C10-P[[#This Row],[SunRise]])/(G10-P[[#This Row],[Moon]])*(13.3333333333333-MOD(P[[#This Row],[Moon]],13.333333333333))+P[[#This Row],[SunRise]]</f>
        <v>43101.619443137817</v>
      </c>
      <c r="K9" s="131" t="str">
        <f ca="1">IF(P[[#This Row],[Tithi]]&gt;15,"K","S")&amp;ROUNDUP(MOD(P[[#This Row],[Tithi]],15),0)&amp;" ("&amp;ROUND(P[[#This Row],[Tithi]],2)&amp;")"</f>
        <v>S14 (13.74)</v>
      </c>
      <c r="L9" s="124">
        <f ca="1">IF(AND(P[[#This Row],[Tithi]]&lt;28.5,P[[#This Row],[Tithi]]&gt;0.49999),MOD((P[[#This Row],[Tithi]]-0.5)*2,7),MOD((P[[#This Row],[Tithi]]+30-28.5),30)*2+7)</f>
        <v>5.4871999999999979</v>
      </c>
      <c r="M9" s="124" t="str">
        <f ca="1">CHOOSE(ROUNDUP(P[[#This Row],[Karana1]],0),"Bhava","Baalava","Kaulava","Taitula","Garija","Vanija","Vishti","Shakuni","Chatushapda","Naaga","Kimstugna")</f>
        <v>Vanija</v>
      </c>
      <c r="N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(23.84)</v>
      </c>
      <c r="O9" s="124">
        <f ca="1">IF(AND(P[[#This Row],[Tithi]]&lt;28.5,P[[#This Row],[Tithi]]&gt;0.49999),MOD((P[[#This Row],[Tithi]]-0.5)*2,7),MOD((P[[#This Row],[Tithi]]+30-28.5),30)*2+7)</f>
        <v>5.4871999999999979</v>
      </c>
      <c r="P9" s="124">
        <f ca="1">ROUNDUP(MOD(360+P[[#This Row],[Moon]]-P[[#This Row],[Sun]],360)/12,4)</f>
        <v>13.743599999999999</v>
      </c>
      <c r="Q9" s="124">
        <f t="shared" ca="1" si="5"/>
        <v>23.84</v>
      </c>
      <c r="R9" s="124" t="str">
        <f ca="1">SIGN(S10-P[[#This Row],[MARs]])*INT(P[[#This Row],[MARs]]/30+1)&amp;"Ma,"&amp;SIGN(T10-P[[#This Row],[Merc]])*INT(P[[#This Row],[Merc]]/30+1)&amp;"Me,"&amp;SIGN(U10-P[[#This Row],[Jup]])*INT(P[[#This Row],[Jup]]/30+1)&amp;"Ju,"&amp;SIGN(V10-P[[#This Row],[Venu]])*INT(P[[#This Row],[Venu]]/30+1)&amp;"Ve,"&amp;SIGN(W10-P[[#This Row],[Sat]])*INT(P[[#This Row],[Sat]]/30+1)&amp;"Sa,"&amp;INT(P[[#This Row],[Rah]]/30+1)&amp;"Ra"</f>
        <v>7Ma,8Me,7Ju,9Ve,9Sa,4Ra</v>
      </c>
      <c r="S9" s="124">
        <f ca="1">Planet(P[[#This Row],[GMT Sun Rise]],4)</f>
        <v>200.08947425693825</v>
      </c>
      <c r="T9" s="124">
        <f ca="1">Planet(P[[#This Row],[GMT Sun Rise]],2)</f>
        <v>233.8902979561033</v>
      </c>
      <c r="U9" s="124">
        <f ca="1">Planet(P[[#This Row],[GMT Sun Rise]],5)</f>
        <v>202.83731837015534</v>
      </c>
      <c r="V9" s="124">
        <f ca="1">Planet(P[[#This Row],[GMT Sun Rise]],3)</f>
        <v>254.47465540894356</v>
      </c>
      <c r="W9" s="124">
        <f ca="1">Planet(P[[#This Row],[GMT Sun Rise]],6)</f>
        <v>247.29002918859985</v>
      </c>
      <c r="X9" s="124">
        <f ca="1">Planet(P[[#This Row],[GMT Sun Rise]],10)</f>
        <v>112.78909703917105</v>
      </c>
      <c r="Y9" s="124">
        <f ca="1">SIGN(S10-P[[#This Row],[MARs]])</f>
        <v>1</v>
      </c>
    </row>
    <row r="10" spans="1:25" x14ac:dyDescent="0.2">
      <c r="A10" s="125">
        <f ca="1">A9+1</f>
        <v>43102</v>
      </c>
      <c r="B10" s="125">
        <f t="shared" ca="1" si="8"/>
        <v>43102.229166666664</v>
      </c>
      <c r="C10" s="130">
        <f t="shared" ca="1" si="2"/>
        <v>43102.273549444195</v>
      </c>
      <c r="D10" s="130">
        <f t="shared" ca="1" si="3"/>
        <v>43101.744913081682</v>
      </c>
      <c r="E10" s="134">
        <f ca="1">P[[#This Row],[SunRise]]-TimeZone/24</f>
        <v>43102.044382777531</v>
      </c>
      <c r="F10" s="135">
        <f t="shared" ca="1" si="6"/>
        <v>257.46675351209325</v>
      </c>
      <c r="G10" s="128">
        <f t="shared" ref="G10:G34" ca="1" si="9">Planet(E10,1)</f>
        <v>76.674173411256916</v>
      </c>
      <c r="H10" s="129">
        <f t="shared" ref="H10:H66" ca="1" si="10">E10</f>
        <v>43102.044382777531</v>
      </c>
      <c r="I10" s="124" t="str">
        <f ca="1">naks(P[[#This Row],[Moon]])</f>
        <v>Ardra</v>
      </c>
      <c r="J10" s="130">
        <f ca="1">(C11-P[[#This Row],[SunRise]])/(G11-P[[#This Row],[Moon]])*(13.3333333333333-MOD(P[[#This Row],[Moon]],13.333333333333))+P[[#This Row],[SunRise]]</f>
        <v>43102.491693340788</v>
      </c>
      <c r="K10" s="124" t="str">
        <f ca="1">IF(P[[#This Row],[Tithi]]&gt;15,"K","S")&amp;ROUNDUP(MOD(P[[#This Row],[Tithi]],15),0)&amp;" ("&amp;ROUND(P[[#This Row],[Tithi]],2)&amp;")"</f>
        <v>S15 (14.93)</v>
      </c>
      <c r="L10" s="124">
        <f ca="1">IF(AND(P[[#This Row],[Tithi]]&lt;28.5,P[[#This Row],[Tithi]]&gt;0.49999),MOD((P[[#This Row],[Tithi]]-0.5)*2,7),MOD((P[[#This Row],[Tithi]]+30-28.5),30)*2+7)</f>
        <v>0.86799999999999855</v>
      </c>
      <c r="M10" s="124" t="str">
        <f ca="1">CHOOSE(ROUNDUP(P[[#This Row],[Karana1]],0),"Bhava","Baalava","Kaulava","Taitula","Garija","Vanija","Vishti","Shakuni","Chatushapda","Naaga","Kimstugna")</f>
        <v>Bhava</v>
      </c>
      <c r="N1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(25.07)</v>
      </c>
      <c r="O10" s="124">
        <f ca="1">IF(AND(P[[#This Row],[Tithi]]&lt;28.5,P[[#This Row],[Tithi]]&gt;0.49999),MOD((P[[#This Row],[Tithi]]-0.5)*2,7),MOD((P[[#This Row],[Tithi]]+30-28.5),30)*2+7)</f>
        <v>0.86799999999999855</v>
      </c>
      <c r="P10" s="124">
        <f ca="1">ROUNDUP(MOD(360+P[[#This Row],[Moon]]-P[[#This Row],[Sun]],360)/12,4)</f>
        <v>14.933999999999999</v>
      </c>
      <c r="Q10" s="124">
        <f t="shared" ca="1" si="5"/>
        <v>25.07</v>
      </c>
      <c r="R10" s="124" t="str">
        <f ca="1">SIGN(S11-P[[#This Row],[MARs]])*INT(P[[#This Row],[MARs]]/30+1)&amp;"Ma,"&amp;SIGN(T11-P[[#This Row],[Merc]])*INT(P[[#This Row],[Merc]]/30+1)&amp;"Me,"&amp;SIGN(U11-P[[#This Row],[Jup]])*INT(P[[#This Row],[Jup]]/30+1)&amp;"Ju,"&amp;SIGN(V11-P[[#This Row],[Venu]])*INT(P[[#This Row],[Venu]]/30+1)&amp;"Ve,"&amp;SIGN(W11-P[[#This Row],[Sat]])*INT(P[[#This Row],[Sat]]/30+1)&amp;"Sa,"&amp;INT(P[[#This Row],[Rah]]/30+1)&amp;"Ra"</f>
        <v>7Ma,8Me,7Ju,9Ve,9Sa,4Ra</v>
      </c>
      <c r="S10" s="124">
        <f ca="1">Planet(P[[#This Row],[GMT Sun Rise]],4)</f>
        <v>200.71314953907466</v>
      </c>
      <c r="T10" s="124">
        <f ca="1">Planet(P[[#This Row],[GMT Sun Rise]],2)</f>
        <v>234.88130775892617</v>
      </c>
      <c r="U10" s="124">
        <f ca="1">Planet(P[[#This Row],[GMT Sun Rise]],5)</f>
        <v>203.00517674907167</v>
      </c>
      <c r="V10" s="124">
        <f ca="1">Planet(P[[#This Row],[GMT Sun Rise]],3)</f>
        <v>255.73316242728839</v>
      </c>
      <c r="W10" s="124">
        <f ca="1">Planet(P[[#This Row],[GMT Sun Rise]],6)</f>
        <v>247.40700783065768</v>
      </c>
      <c r="X10" s="124">
        <f ca="1">Planet(P[[#This Row],[GMT Sun Rise]],10)</f>
        <v>112.73609124464205</v>
      </c>
      <c r="Y10" s="124">
        <f ca="1">SIGN(S11-P[[#This Row],[MARs]])</f>
        <v>1</v>
      </c>
    </row>
    <row r="11" spans="1:25" x14ac:dyDescent="0.2">
      <c r="A11" s="125">
        <f t="shared" ref="A11:A74" ca="1" si="11">A10+1</f>
        <v>43103</v>
      </c>
      <c r="B11" s="125">
        <f t="shared" ca="1" si="8"/>
        <v>43103.229166666664</v>
      </c>
      <c r="C11" s="130">
        <f t="shared" ca="1" si="2"/>
        <v>43103.273800101284</v>
      </c>
      <c r="D11" s="130">
        <f t="shared" ca="1" si="3"/>
        <v>43102.745304564989</v>
      </c>
      <c r="E11" s="134">
        <f ca="1">P[[#This Row],[SunRise]]-TimeZone/24</f>
        <v>43103.04463343462</v>
      </c>
      <c r="F11" s="135">
        <f t="shared" ca="1" si="6"/>
        <v>258.48578514552247</v>
      </c>
      <c r="G11" s="128">
        <f t="shared" ca="1" si="9"/>
        <v>91.924016669568317</v>
      </c>
      <c r="H11" s="129">
        <f t="shared" ca="1" si="10"/>
        <v>43103.04463343462</v>
      </c>
      <c r="I11" s="124" t="str">
        <f ca="1">naks(P[[#This Row],[Moon]])</f>
        <v>Punarvasu</v>
      </c>
      <c r="J11" s="130">
        <f ca="1">(C12-P[[#This Row],[SunRise]])/(G12-P[[#This Row],[Moon]])*(13.3333333333333-MOD(P[[#This Row],[Moon]],13.333333333333))+P[[#This Row],[SunRise]]</f>
        <v>43103.367603441926</v>
      </c>
      <c r="K11" s="124" t="str">
        <f ca="1">IF(P[[#This Row],[Tithi]]&gt;15,"K","S")&amp;ROUNDUP(MOD(P[[#This Row],[Tithi]],15),0)&amp;" ("&amp;ROUND(P[[#This Row],[Tithi]],2)&amp;")"</f>
        <v>K2 (16.12)</v>
      </c>
      <c r="L11" s="124">
        <f ca="1">IF(AND(P[[#This Row],[Tithi]]&lt;28.5,P[[#This Row],[Tithi]]&gt;0.49999),MOD((P[[#This Row],[Tithi]]-0.5)*2,7),MOD((P[[#This Row],[Tithi]]+30-28.5),30)*2+7)</f>
        <v>3.2398000000000025</v>
      </c>
      <c r="M11" s="124" t="str">
        <f ca="1">CHOOSE(ROUNDUP(P[[#This Row],[Karana1]],0),"Bhava","Baalava","Kaulava","Taitula","Garija","Vanija","Vishti","Shakuni","Chatushapda","Naaga","Kimstugna")</f>
        <v>Taitula</v>
      </c>
      <c r="N1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(26.29)</v>
      </c>
      <c r="O11" s="124">
        <f ca="1">IF(AND(P[[#This Row],[Tithi]]&lt;28.5,P[[#This Row],[Tithi]]&gt;0.49999),MOD((P[[#This Row],[Tithi]]-0.5)*2,7),MOD((P[[#This Row],[Tithi]]+30-28.5),30)*2+7)</f>
        <v>3.2398000000000025</v>
      </c>
      <c r="P11" s="124">
        <f ca="1">ROUNDUP(MOD(360+P[[#This Row],[Moon]]-P[[#This Row],[Sun]],360)/12,4)</f>
        <v>16.119900000000001</v>
      </c>
      <c r="Q11" s="124">
        <f t="shared" ca="1" si="5"/>
        <v>26.290000000000003</v>
      </c>
      <c r="R11" s="124" t="str">
        <f ca="1">SIGN(S12-P[[#This Row],[MARs]])*INT(P[[#This Row],[MARs]]/30+1)&amp;"Ma,"&amp;SIGN(T12-P[[#This Row],[Merc]])*INT(P[[#This Row],[Merc]]/30+1)&amp;"Me,"&amp;SIGN(U12-P[[#This Row],[Jup]])*INT(P[[#This Row],[Jup]]/30+1)&amp;"Ju,"&amp;SIGN(V12-P[[#This Row],[Venu]])*INT(P[[#This Row],[Venu]]/30+1)&amp;"Ve,"&amp;SIGN(W12-P[[#This Row],[Sat]])*INT(P[[#This Row],[Sat]]/30+1)&amp;"Sa,"&amp;INT(P[[#This Row],[Rah]]/30+1)&amp;"Ra"</f>
        <v>7Ma,8Me,7Ju,9Ve,9Sa,4Ra</v>
      </c>
      <c r="S11" s="124">
        <f ca="1">Planet(P[[#This Row],[GMT Sun Rise]],4)</f>
        <v>201.33660637131635</v>
      </c>
      <c r="T11" s="124">
        <f ca="1">Planet(P[[#This Row],[GMT Sun Rise]],2)</f>
        <v>235.927169639265</v>
      </c>
      <c r="U11" s="124">
        <f ca="1">Planet(P[[#This Row],[GMT Sun Rise]],5)</f>
        <v>203.17140966871034</v>
      </c>
      <c r="V11" s="124">
        <f ca="1">Planet(P[[#This Row],[GMT Sun Rise]],3)</f>
        <v>256.99161599615462</v>
      </c>
      <c r="W11" s="124">
        <f ca="1">Planet(P[[#This Row],[GMT Sun Rise]],6)</f>
        <v>247.52377299081712</v>
      </c>
      <c r="X11" s="124">
        <f ca="1">Planet(P[[#This Row],[GMT Sun Rise]],10)</f>
        <v>112.68308596391408</v>
      </c>
      <c r="Y11" s="124">
        <f ca="1">SIGN(S12-P[[#This Row],[MARs]])</f>
        <v>1</v>
      </c>
    </row>
    <row r="12" spans="1:25" x14ac:dyDescent="0.2">
      <c r="A12" s="125">
        <f t="shared" ca="1" si="11"/>
        <v>43104</v>
      </c>
      <c r="B12" s="125">
        <f t="shared" ca="1" si="8"/>
        <v>43104.229166666664</v>
      </c>
      <c r="C12" s="130">
        <f t="shared" ca="1" si="2"/>
        <v>43104.274040745258</v>
      </c>
      <c r="D12" s="130">
        <f t="shared" ca="1" si="3"/>
        <v>43103.745697637598</v>
      </c>
      <c r="E12" s="134">
        <f ca="1">P[[#This Row],[SunRise]]-TimeZone/24</f>
        <v>43104.044874078594</v>
      </c>
      <c r="F12" s="135">
        <f t="shared" ca="1" si="6"/>
        <v>259.5048341033467</v>
      </c>
      <c r="G12" s="128">
        <f t="shared" ca="1" si="9"/>
        <v>106.9517949729706</v>
      </c>
      <c r="H12" s="129">
        <f t="shared" ca="1" si="10"/>
        <v>43104.044874078594</v>
      </c>
      <c r="I12" s="124" t="str">
        <f ca="1">naks(P[[#This Row],[Moon]])</f>
        <v>Aslesha</v>
      </c>
      <c r="J12" s="130">
        <f ca="1">(C13-P[[#This Row],[SunRise]])/(G13-P[[#This Row],[Moon]])*(13.3333333333333-MOD(P[[#This Row],[Moon]],13.333333333333))+P[[#This Row],[SunRise]]</f>
        <v>43105.163397781595</v>
      </c>
      <c r="K12" s="124" t="str">
        <f ca="1">IF(P[[#This Row],[Tithi]]&gt;15,"K","S")&amp;ROUNDUP(MOD(P[[#This Row],[Tithi]],15),0)&amp;" ("&amp;ROUND(P[[#This Row],[Tithi]],2)&amp;")"</f>
        <v>K3 (17.29)</v>
      </c>
      <c r="L12" s="124">
        <f ca="1">IF(AND(P[[#This Row],[Tithi]]&lt;28.5,P[[#This Row],[Tithi]]&gt;0.49999),MOD((P[[#This Row],[Tithi]]-0.5)*2,7),MOD((P[[#This Row],[Tithi]]+30-28.5),30)*2+7)</f>
        <v>5.5745999999999967</v>
      </c>
      <c r="M12" s="124" t="str">
        <f ca="1">CHOOSE(ROUNDUP(P[[#This Row],[Karana1]],0),"Bhava","Baalava","Kaulava","Taitula","Garija","Vanija","Vishti","Shakuni","Chatushapda","Naaga","Kimstugna")</f>
        <v>Vanija</v>
      </c>
      <c r="N1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(0.49)</v>
      </c>
      <c r="O12" s="124">
        <f ca="1">IF(AND(P[[#This Row],[Tithi]]&lt;28.5,P[[#This Row],[Tithi]]&gt;0.49999),MOD((P[[#This Row],[Tithi]]-0.5)*2,7),MOD((P[[#This Row],[Tithi]]+30-28.5),30)*2+7)</f>
        <v>5.5745999999999967</v>
      </c>
      <c r="P12" s="124">
        <f ca="1">ROUNDUP(MOD(360+P[[#This Row],[Moon]]-P[[#This Row],[Sun]],360)/12,4)</f>
        <v>17.287299999999998</v>
      </c>
      <c r="Q12" s="124">
        <f t="shared" ca="1" si="5"/>
        <v>0.49</v>
      </c>
      <c r="R12" s="124" t="str">
        <f ca="1">SIGN(S13-P[[#This Row],[MARs]])*INT(P[[#This Row],[MARs]]/30+1)&amp;"Ma,"&amp;SIGN(T13-P[[#This Row],[Merc]])*INT(P[[#This Row],[Merc]]/30+1)&amp;"Me,"&amp;SIGN(U13-P[[#This Row],[Jup]])*INT(P[[#This Row],[Jup]]/30+1)&amp;"Ju,"&amp;SIGN(V13-P[[#This Row],[Venu]])*INT(P[[#This Row],[Venu]]/30+1)&amp;"Ve,"&amp;SIGN(W13-P[[#This Row],[Sat]])*INT(P[[#This Row],[Sat]]/30+1)&amp;"Sa,"&amp;INT(P[[#This Row],[Rah]]/30+1)&amp;"Ra"</f>
        <v>7Ma,8Me,7Ju,9Ve,9Sa,4Ra</v>
      </c>
      <c r="S12" s="124">
        <f ca="1">Planet(P[[#This Row],[GMT Sun Rise]],4)</f>
        <v>201.9598444284353</v>
      </c>
      <c r="T12" s="124">
        <f ca="1">Planet(P[[#This Row],[GMT Sun Rise]],2)</f>
        <v>237.02174282497853</v>
      </c>
      <c r="U12" s="124">
        <f ca="1">Planet(P[[#This Row],[GMT Sun Rise]],5)</f>
        <v>203.33599068578883</v>
      </c>
      <c r="V12" s="124">
        <f ca="1">Planet(P[[#This Row],[GMT Sun Rise]],3)</f>
        <v>258.25002431691036</v>
      </c>
      <c r="W12" s="124">
        <f ca="1">Planet(P[[#This Row],[GMT Sun Rise]],6)</f>
        <v>247.64030777517908</v>
      </c>
      <c r="X12" s="124">
        <f ca="1">Planet(P[[#This Row],[GMT Sun Rise]],10)</f>
        <v>112.63008121380466</v>
      </c>
      <c r="Y12" s="124">
        <f ca="1">SIGN(S13-P[[#This Row],[MARs]])</f>
        <v>1</v>
      </c>
    </row>
    <row r="13" spans="1:25" x14ac:dyDescent="0.2">
      <c r="A13" s="125">
        <f t="shared" ca="1" si="11"/>
        <v>43105</v>
      </c>
      <c r="B13" s="125">
        <f t="shared" ca="1" si="8"/>
        <v>43105.229166666664</v>
      </c>
      <c r="C13" s="130">
        <f t="shared" ca="1" si="2"/>
        <v>43105.274271375652</v>
      </c>
      <c r="D13" s="130">
        <f t="shared" ca="1" si="3"/>
        <v>43104.746091981928</v>
      </c>
      <c r="E13" s="134">
        <f ca="1">P[[#This Row],[SunRise]]-TimeZone/24</f>
        <v>43105.045104708988</v>
      </c>
      <c r="F13" s="135">
        <f t="shared" ca="1" si="6"/>
        <v>260.52391105394878</v>
      </c>
      <c r="G13" s="128">
        <f t="shared" ca="1" si="9"/>
        <v>121.62668234262368</v>
      </c>
      <c r="H13" s="129">
        <f t="shared" ca="1" si="10"/>
        <v>43105.045104708988</v>
      </c>
      <c r="I13" s="124" t="str">
        <f ca="1">naks(P[[#This Row],[Moon]])</f>
        <v>Makha</v>
      </c>
      <c r="J13" s="130">
        <f ca="1">(C14-P[[#This Row],[SunRise]])/(G14-P[[#This Row],[Moon]])*(13.3333333333333-MOD(P[[#This Row],[Moon]],13.333333333333))+P[[#This Row],[SunRise]]</f>
        <v>43106.096416056418</v>
      </c>
      <c r="K13" s="124" t="str">
        <f ca="1">IF(P[[#This Row],[Tithi]]&gt;15,"K","S")&amp;ROUNDUP(MOD(P[[#This Row],[Tithi]],15),0)&amp;" ("&amp;ROUND(P[[#This Row],[Tithi]],2)&amp;")"</f>
        <v>K4 (18.43)</v>
      </c>
      <c r="L13" s="124">
        <f ca="1">IF(AND(P[[#This Row],[Tithi]]&lt;28.5,P[[#This Row],[Tithi]]&gt;0.49999),MOD((P[[#This Row],[Tithi]]-0.5)*2,7),MOD((P[[#This Row],[Tithi]]+30-28.5),30)*2+7)</f>
        <v>0.85060000000000002</v>
      </c>
      <c r="M13" s="124" t="str">
        <f ca="1">CHOOSE(ROUNDUP(P[[#This Row],[Karana1]],0),"Bhava","Baalava","Kaulava","Taitula","Garija","Vanija","Vishti","Shakuni","Chatushapda","Naaga","Kimstugna")</f>
        <v>Bhava</v>
      </c>
      <c r="N1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(1.67)</v>
      </c>
      <c r="O13" s="124">
        <f ca="1">IF(AND(P[[#This Row],[Tithi]]&lt;28.5,P[[#This Row],[Tithi]]&gt;0.49999),MOD((P[[#This Row],[Tithi]]-0.5)*2,7),MOD((P[[#This Row],[Tithi]]+30-28.5),30)*2+7)</f>
        <v>0.85060000000000002</v>
      </c>
      <c r="P13" s="124">
        <f ca="1">ROUNDUP(MOD(360+P[[#This Row],[Moon]]-P[[#This Row],[Sun]],360)/12,4)</f>
        <v>18.4253</v>
      </c>
      <c r="Q13" s="124">
        <f t="shared" ca="1" si="5"/>
        <v>1.67</v>
      </c>
      <c r="R13" s="124" t="str">
        <f ca="1">SIGN(S14-P[[#This Row],[MARs]])*INT(P[[#This Row],[MARs]]/30+1)&amp;"Ma,"&amp;SIGN(T14-P[[#This Row],[Merc]])*INT(P[[#This Row],[Merc]]/30+1)&amp;"Me,"&amp;SIGN(U14-P[[#This Row],[Jup]])*INT(P[[#This Row],[Jup]]/30+1)&amp;"Ju,"&amp;SIGN(V14-P[[#This Row],[Venu]])*INT(P[[#This Row],[Venu]]/30+1)&amp;"Ve,"&amp;SIGN(W14-P[[#This Row],[Sat]])*INT(P[[#This Row],[Sat]]/30+1)&amp;"Sa,"&amp;INT(P[[#This Row],[Rah]]/30+1)&amp;"Ra"</f>
        <v>7Ma,8Me,7Ju,9Ve,9Sa,4Ra</v>
      </c>
      <c r="S13" s="124">
        <f ca="1">Planet(P[[#This Row],[GMT Sun Rise]],4)</f>
        <v>202.58285977698313</v>
      </c>
      <c r="T13" s="124">
        <f ca="1">Planet(P[[#This Row],[GMT Sun Rise]],2)</f>
        <v>238.15963576994952</v>
      </c>
      <c r="U13" s="124">
        <f ca="1">Planet(P[[#This Row],[GMT Sun Rise]],5)</f>
        <v>203.49889199479858</v>
      </c>
      <c r="V13" s="124">
        <f ca="1">Planet(P[[#This Row],[GMT Sun Rise]],3)</f>
        <v>259.50839494685039</v>
      </c>
      <c r="W13" s="124">
        <f ca="1">Planet(P[[#This Row],[GMT Sun Rise]],6)</f>
        <v>247.75659495751833</v>
      </c>
      <c r="X13" s="124">
        <f ca="1">Planet(P[[#This Row],[GMT Sun Rise]],10)</f>
        <v>112.5770769943467</v>
      </c>
      <c r="Y13" s="124">
        <f ca="1">SIGN(S14-P[[#This Row],[MARs]])</f>
        <v>1</v>
      </c>
    </row>
    <row r="14" spans="1:25" x14ac:dyDescent="0.2">
      <c r="A14" s="125">
        <f t="shared" ca="1" si="11"/>
        <v>43106</v>
      </c>
      <c r="B14" s="125">
        <f t="shared" ca="1" si="8"/>
        <v>43106.229166666664</v>
      </c>
      <c r="C14" s="130">
        <f t="shared" ca="1" si="2"/>
        <v>43106.274491356373</v>
      </c>
      <c r="D14" s="130">
        <f t="shared" ca="1" si="3"/>
        <v>43105.746487438722</v>
      </c>
      <c r="E14" s="134">
        <f ca="1">P[[#This Row],[SunRise]]-TimeZone/24</f>
        <v>43106.045324689709</v>
      </c>
      <c r="F14" s="135">
        <f t="shared" ca="1" si="6"/>
        <v>261.54302173867563</v>
      </c>
      <c r="G14" s="128">
        <f t="shared" ca="1" si="9"/>
        <v>135.86897631126891</v>
      </c>
      <c r="H14" s="129">
        <f t="shared" ca="1" si="10"/>
        <v>43106.045324689709</v>
      </c>
      <c r="I14" s="124" t="str">
        <f ca="1">naks(P[[#This Row],[Moon]])</f>
        <v>Purva Phalguni</v>
      </c>
      <c r="J14" s="130">
        <f ca="1">(C15-P[[#This Row],[SunRise]])/(G15-P[[#This Row],[Moon]])*(13.3333333333333-MOD(P[[#This Row],[Moon]],13.333333333333))+P[[#This Row],[SunRise]]</f>
        <v>43107.058155235289</v>
      </c>
      <c r="K14" s="124" t="str">
        <f ca="1">IF(P[[#This Row],[Tithi]]&gt;15,"K","S")&amp;ROUNDUP(MOD(P[[#This Row],[Tithi]],15),0)&amp;" ("&amp;ROUND(P[[#This Row],[Tithi]],2)&amp;")"</f>
        <v>K5 (19.53)</v>
      </c>
      <c r="L14" s="124">
        <f ca="1">IF(AND(P[[#This Row],[Tithi]]&lt;28.5,P[[#This Row],[Tithi]]&gt;0.49999),MOD((P[[#This Row],[Tithi]]-0.5)*2,7),MOD((P[[#This Row],[Tithi]]+30-28.5),30)*2+7)</f>
        <v>3.0544000000000011</v>
      </c>
      <c r="M14" s="124" t="str">
        <f ca="1">CHOOSE(ROUNDUP(P[[#This Row],[Karana1]],0),"Bhava","Baalava","Kaulava","Taitula","Garija","Vanija","Vishti","Shakuni","Chatushapda","Naaga","Kimstugna")</f>
        <v>Taitula</v>
      </c>
      <c r="N1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(2.81)</v>
      </c>
      <c r="O14" s="124">
        <f ca="1">IF(AND(P[[#This Row],[Tithi]]&lt;28.5,P[[#This Row],[Tithi]]&gt;0.49999),MOD((P[[#This Row],[Tithi]]-0.5)*2,7),MOD((P[[#This Row],[Tithi]]+30-28.5),30)*2+7)</f>
        <v>3.0544000000000011</v>
      </c>
      <c r="P14" s="124">
        <f ca="1">ROUNDUP(MOD(360+P[[#This Row],[Moon]]-P[[#This Row],[Sun]],360)/12,4)</f>
        <v>19.527200000000001</v>
      </c>
      <c r="Q14" s="124">
        <f t="shared" ca="1" si="5"/>
        <v>2.8099999999999996</v>
      </c>
      <c r="R14" s="124" t="str">
        <f ca="1">SIGN(S15-P[[#This Row],[MARs]])*INT(P[[#This Row],[MARs]]/30+1)&amp;"Ma,"&amp;SIGN(T15-P[[#This Row],[Merc]])*INT(P[[#This Row],[Merc]]/30+1)&amp;"Me,"&amp;SIGN(U15-P[[#This Row],[Jup]])*INT(P[[#This Row],[Jup]]/30+1)&amp;"Ju,"&amp;SIGN(V15-P[[#This Row],[Venu]])*INT(P[[#This Row],[Venu]]/30+1)&amp;"Ve,"&amp;SIGN(W15-P[[#This Row],[Sat]])*INT(P[[#This Row],[Sat]]/30+1)&amp;"Sa,"&amp;INT(P[[#This Row],[Rah]]/30+1)&amp;"Ra"</f>
        <v>7Ma,8Me,7Ju,9Ve,9Sa,4Ra</v>
      </c>
      <c r="S14" s="124">
        <f ca="1">Planet(P[[#This Row],[GMT Sun Rise]],4)</f>
        <v>203.20564433958438</v>
      </c>
      <c r="T14" s="124">
        <f ca="1">Planet(P[[#This Row],[GMT Sun Rise]],2)</f>
        <v>239.33612746374195</v>
      </c>
      <c r="U14" s="124">
        <f ca="1">Planet(P[[#This Row],[GMT Sun Rise]],5)</f>
        <v>203.6600842849785</v>
      </c>
      <c r="V14" s="124">
        <f ca="1">Planet(P[[#This Row],[GMT Sun Rise]],3)</f>
        <v>260.76673314087952</v>
      </c>
      <c r="W14" s="124">
        <f ca="1">Planet(P[[#This Row],[GMT Sun Rise]],6)</f>
        <v>247.87261668746052</v>
      </c>
      <c r="X14" s="124">
        <f ca="1">Planet(P[[#This Row],[GMT Sun Rise]],10)</f>
        <v>112.5240733392247</v>
      </c>
      <c r="Y14" s="124">
        <f ca="1">SIGN(S15-P[[#This Row],[MARs]])</f>
        <v>1</v>
      </c>
    </row>
    <row r="15" spans="1:25" x14ac:dyDescent="0.2">
      <c r="A15" s="125">
        <f t="shared" ca="1" si="11"/>
        <v>43107</v>
      </c>
      <c r="B15" s="125">
        <f t="shared" ca="1" si="8"/>
        <v>43107.229166666664</v>
      </c>
      <c r="C15" s="130">
        <f t="shared" ca="1" si="2"/>
        <v>43107.274701005932</v>
      </c>
      <c r="D15" s="130">
        <f t="shared" ca="1" si="3"/>
        <v>43106.74688353161</v>
      </c>
      <c r="E15" s="134">
        <f ca="1">P[[#This Row],[SunRise]]-TimeZone/24</f>
        <v>43107.045534339268</v>
      </c>
      <c r="F15" s="135">
        <f t="shared" ca="1" si="6"/>
        <v>262.56216769008677</v>
      </c>
      <c r="G15" s="128">
        <f t="shared" ca="1" si="9"/>
        <v>149.65033637776921</v>
      </c>
      <c r="H15" s="129">
        <f t="shared" ca="1" si="10"/>
        <v>43107.045534339268</v>
      </c>
      <c r="I15" s="124" t="str">
        <f ca="1">naks(P[[#This Row],[Moon]])</f>
        <v>Uttara Phalguni</v>
      </c>
      <c r="J15" s="130">
        <f ca="1">(C16-P[[#This Row],[SunRise]])/(G16-P[[#This Row],[Moon]])*(13.3333333333333-MOD(P[[#This Row],[Moon]],13.333333333333))+P[[#This Row],[SunRise]]</f>
        <v>43108.051022845655</v>
      </c>
      <c r="K15" s="124" t="str">
        <f ca="1">IF(P[[#This Row],[Tithi]]&gt;15,"K","S")&amp;ROUNDUP(MOD(P[[#This Row],[Tithi]],15),0)&amp;" ("&amp;ROUND(P[[#This Row],[Tithi]],2)&amp;")"</f>
        <v>K6 (20.59)</v>
      </c>
      <c r="L15" s="124">
        <f ca="1">IF(AND(P[[#This Row],[Tithi]]&lt;28.5,P[[#This Row],[Tithi]]&gt;0.49999),MOD((P[[#This Row],[Tithi]]-0.5)*2,7),MOD((P[[#This Row],[Tithi]]+30-28.5),30)*2+7)</f>
        <v>5.1813999999999965</v>
      </c>
      <c r="M15" s="124" t="str">
        <f ca="1">CHOOSE(ROUNDUP(P[[#This Row],[Karana1]],0),"Bhava","Baalava","Kaulava","Taitula","Garija","Vanija","Vishti","Shakuni","Chatushapda","Naaga","Kimstugna")</f>
        <v>Vanija</v>
      </c>
      <c r="N1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(3.92)</v>
      </c>
      <c r="O15" s="124">
        <f ca="1">IF(AND(P[[#This Row],[Tithi]]&lt;28.5,P[[#This Row],[Tithi]]&gt;0.49999),MOD((P[[#This Row],[Tithi]]-0.5)*2,7),MOD((P[[#This Row],[Tithi]]+30-28.5),30)*2+7)</f>
        <v>5.1813999999999965</v>
      </c>
      <c r="P15" s="124">
        <f ca="1">ROUNDUP(MOD(360+P[[#This Row],[Moon]]-P[[#This Row],[Sun]],360)/12,4)</f>
        <v>20.590699999999998</v>
      </c>
      <c r="Q15" s="124">
        <f t="shared" ca="1" si="5"/>
        <v>3.92</v>
      </c>
      <c r="R15" s="124" t="str">
        <f ca="1">SIGN(S16-P[[#This Row],[MARs]])*INT(P[[#This Row],[MARs]]/30+1)&amp;"Ma,"&amp;SIGN(T16-P[[#This Row],[Merc]])*INT(P[[#This Row],[Merc]]/30+1)&amp;"Me,"&amp;SIGN(U16-P[[#This Row],[Jup]])*INT(P[[#This Row],[Jup]]/30+1)&amp;"Ju,"&amp;SIGN(V16-P[[#This Row],[Venu]])*INT(P[[#This Row],[Venu]]/30+1)&amp;"Ve,"&amp;SIGN(W16-P[[#This Row],[Sat]])*INT(P[[#This Row],[Sat]]/30+1)&amp;"Sa,"&amp;INT(P[[#This Row],[Rah]]/30+1)&amp;"Ra"</f>
        <v>7Ma,9Me,7Ju,9Ve,9Sa,4Ra</v>
      </c>
      <c r="S15" s="124">
        <f ca="1">Planet(P[[#This Row],[GMT Sun Rise]],4)</f>
        <v>203.82818749759306</v>
      </c>
      <c r="T15" s="124">
        <f ca="1">Planet(P[[#This Row],[GMT Sun Rise]],2)</f>
        <v>240.54709597674983</v>
      </c>
      <c r="U15" s="124">
        <f ca="1">Planet(P[[#This Row],[GMT Sun Rise]],5)</f>
        <v>203.81953721549988</v>
      </c>
      <c r="V15" s="124">
        <f ca="1">Planet(P[[#This Row],[GMT Sun Rise]],3)</f>
        <v>262.0250442774518</v>
      </c>
      <c r="W15" s="124">
        <f ca="1">Planet(P[[#This Row],[GMT Sun Rise]],6)</f>
        <v>247.98835460996023</v>
      </c>
      <c r="X15" s="124">
        <f ca="1">Planet(P[[#This Row],[GMT Sun Rise]],10)</f>
        <v>112.47107023158819</v>
      </c>
      <c r="Y15" s="124">
        <f ca="1">SIGN(S16-P[[#This Row],[MARs]])</f>
        <v>1</v>
      </c>
    </row>
    <row r="16" spans="1:25" x14ac:dyDescent="0.2">
      <c r="A16" s="125">
        <f t="shared" ca="1" si="11"/>
        <v>43108</v>
      </c>
      <c r="B16" s="125">
        <f t="shared" ca="1" si="8"/>
        <v>43108.229166666664</v>
      </c>
      <c r="C16" s="130">
        <f t="shared" ca="1" si="2"/>
        <v>43108.274899687771</v>
      </c>
      <c r="D16" s="130">
        <f t="shared" ca="1" si="3"/>
        <v>43107.747279783289</v>
      </c>
      <c r="E16" s="134">
        <f ca="1">P[[#This Row],[SunRise]]-TimeZone/24</f>
        <v>43108.045733021107</v>
      </c>
      <c r="F16" s="135">
        <f t="shared" ca="1" si="6"/>
        <v>263.58134437228824</v>
      </c>
      <c r="G16" s="128">
        <f t="shared" ca="1" si="9"/>
        <v>162.9846513264398</v>
      </c>
      <c r="H16" s="129">
        <f t="shared" ca="1" si="10"/>
        <v>43108.045733021107</v>
      </c>
      <c r="I16" s="124" t="str">
        <f ca="1">naks(P[[#This Row],[Moon]])</f>
        <v>Hasta</v>
      </c>
      <c r="J16" s="130">
        <f ca="1">(C17-P[[#This Row],[SunRise]])/(G17-P[[#This Row],[Moon]])*(13.3333333333333-MOD(P[[#This Row],[Moon]],13.333333333333))+P[[#This Row],[SunRise]]</f>
        <v>43109.075373634972</v>
      </c>
      <c r="K16" s="124" t="str">
        <f ca="1">IF(P[[#This Row],[Tithi]]&gt;15,"K","S")&amp;ROUNDUP(MOD(P[[#This Row],[Tithi]],15),0)&amp;" ("&amp;ROUND(P[[#This Row],[Tithi]],2)&amp;")"</f>
        <v>K7 (21.62)</v>
      </c>
      <c r="L16" s="124">
        <f ca="1">IF(AND(P[[#This Row],[Tithi]]&lt;28.5,P[[#This Row],[Tithi]]&gt;0.49999),MOD((P[[#This Row],[Tithi]]-0.5)*2,7),MOD((P[[#This Row],[Tithi]]+30-28.5),30)*2+7)</f>
        <v>0.23400000000000176</v>
      </c>
      <c r="M16" s="124" t="str">
        <f ca="1">CHOOSE(ROUNDUP(P[[#This Row],[Karana1]],0),"Bhava","Baalava","Kaulava","Taitula","Garija","Vanija","Vishti","Shakuni","Chatushapda","Naaga","Kimstugna")</f>
        <v>Bhava</v>
      </c>
      <c r="N1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(5)</v>
      </c>
      <c r="O16" s="124">
        <f ca="1">IF(AND(P[[#This Row],[Tithi]]&lt;28.5,P[[#This Row],[Tithi]]&gt;0.49999),MOD((P[[#This Row],[Tithi]]-0.5)*2,7),MOD((P[[#This Row],[Tithi]]+30-28.5),30)*2+7)</f>
        <v>0.23400000000000176</v>
      </c>
      <c r="P16" s="124">
        <f ca="1">ROUNDUP(MOD(360+P[[#This Row],[Moon]]-P[[#This Row],[Sun]],360)/12,4)</f>
        <v>21.617000000000001</v>
      </c>
      <c r="Q16" s="124">
        <f t="shared" ca="1" si="5"/>
        <v>5</v>
      </c>
      <c r="R16" s="124" t="str">
        <f ca="1">SIGN(S17-P[[#This Row],[MARs]])*INT(P[[#This Row],[MARs]]/30+1)&amp;"Ma,"&amp;SIGN(T17-P[[#This Row],[Merc]])*INT(P[[#This Row],[Merc]]/30+1)&amp;"Me,"&amp;SIGN(U17-P[[#This Row],[Jup]])*INT(P[[#This Row],[Jup]]/30+1)&amp;"Ju,"&amp;SIGN(V17-P[[#This Row],[Venu]])*INT(P[[#This Row],[Venu]]/30+1)&amp;"Ve,"&amp;SIGN(W17-P[[#This Row],[Sat]])*INT(P[[#This Row],[Sat]]/30+1)&amp;"Sa,"&amp;INT(P[[#This Row],[Rah]]/30+1)&amp;"Ra"</f>
        <v>7Ma,9Me,7Ju,9Ve,9Sa,4Ra</v>
      </c>
      <c r="S16" s="124">
        <f ca="1">Planet(P[[#This Row],[GMT Sun Rise]],4)</f>
        <v>204.45047578361167</v>
      </c>
      <c r="T16" s="124">
        <f ca="1">Planet(P[[#This Row],[GMT Sun Rise]],2)</f>
        <v>241.78894865485105</v>
      </c>
      <c r="U16" s="124">
        <f ca="1">Planet(P[[#This Row],[GMT Sun Rise]],5)</f>
        <v>203.97721942927416</v>
      </c>
      <c r="V16" s="124">
        <f ca="1">Planet(P[[#This Row],[GMT Sun Rise]],3)</f>
        <v>263.28333109167841</v>
      </c>
      <c r="W16" s="124">
        <f ca="1">Planet(P[[#This Row],[GMT Sun Rise]],6)</f>
        <v>248.10378968194959</v>
      </c>
      <c r="X16" s="124">
        <f ca="1">Planet(P[[#This Row],[GMT Sun Rise]],10)</f>
        <v>112.41806770517124</v>
      </c>
      <c r="Y16" s="124">
        <f ca="1">SIGN(S17-P[[#This Row],[MARs]])</f>
        <v>1</v>
      </c>
    </row>
    <row r="17" spans="1:25" x14ac:dyDescent="0.2">
      <c r="A17" s="125">
        <f t="shared" ca="1" si="11"/>
        <v>43109</v>
      </c>
      <c r="B17" s="125">
        <f t="shared" ca="1" si="8"/>
        <v>43109.229166666664</v>
      </c>
      <c r="C17" s="130">
        <f t="shared" ca="1" si="2"/>
        <v>43109.27508724403</v>
      </c>
      <c r="D17" s="130">
        <f t="shared" ca="1" si="3"/>
        <v>43108.747676034967</v>
      </c>
      <c r="E17" s="134">
        <f ca="1">P[[#This Row],[SunRise]]-TimeZone/24</f>
        <v>43109.045920577366</v>
      </c>
      <c r="F17" s="135">
        <f t="shared" ca="1" si="6"/>
        <v>264.60054335738772</v>
      </c>
      <c r="G17" s="128">
        <f t="shared" ca="1" si="9"/>
        <v>175.9152694972673</v>
      </c>
      <c r="H17" s="129">
        <f t="shared" ca="1" si="10"/>
        <v>43109.045920577366</v>
      </c>
      <c r="I17" s="124" t="str">
        <f ca="1">naks(P[[#This Row],[Moon]])</f>
        <v>Chitra</v>
      </c>
      <c r="J17" s="130">
        <f ca="1">(C18-P[[#This Row],[SunRise]])/(G18-P[[#This Row],[Moon]])*(13.3333333333333-MOD(P[[#This Row],[Moon]],13.333333333333))+P[[#This Row],[SunRise]]</f>
        <v>43110.129378096557</v>
      </c>
      <c r="K17" s="124" t="str">
        <f ca="1">IF(P[[#This Row],[Tithi]]&gt;15,"K","S")&amp;ROUNDUP(MOD(P[[#This Row],[Tithi]],15),0)&amp;" ("&amp;ROUND(P[[#This Row],[Tithi]],2)&amp;")"</f>
        <v>K8 (22.61)</v>
      </c>
      <c r="L17" s="124">
        <f ca="1">IF(AND(P[[#This Row],[Tithi]]&lt;28.5,P[[#This Row],[Tithi]]&gt;0.49999),MOD((P[[#This Row],[Tithi]]-0.5)*2,7),MOD((P[[#This Row],[Tithi]]+30-28.5),30)*2+7)</f>
        <v>2.2192000000000007</v>
      </c>
      <c r="M17" s="124" t="str">
        <f ca="1">CHOOSE(ROUNDUP(P[[#This Row],[Karana1]],0),"Bhava","Baalava","Kaulava","Taitula","Garija","Vanija","Vishti","Shakuni","Chatushapda","Naaga","Kimstugna")</f>
        <v>Kaulava</v>
      </c>
      <c r="N1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(6.04)</v>
      </c>
      <c r="O17" s="124">
        <f ca="1">IF(AND(P[[#This Row],[Tithi]]&lt;28.5,P[[#This Row],[Tithi]]&gt;0.49999),MOD((P[[#This Row],[Tithi]]-0.5)*2,7),MOD((P[[#This Row],[Tithi]]+30-28.5),30)*2+7)</f>
        <v>2.2192000000000007</v>
      </c>
      <c r="P17" s="124">
        <f ca="1">ROUNDUP(MOD(360+P[[#This Row],[Moon]]-P[[#This Row],[Sun]],360)/12,4)</f>
        <v>22.6096</v>
      </c>
      <c r="Q17" s="124">
        <f t="shared" ca="1" si="5"/>
        <v>6.04</v>
      </c>
      <c r="R17" s="124" t="str">
        <f ca="1">SIGN(S18-P[[#This Row],[MARs]])*INT(P[[#This Row],[MARs]]/30+1)&amp;"Ma,"&amp;SIGN(T18-P[[#This Row],[Merc]])*INT(P[[#This Row],[Merc]]/30+1)&amp;"Me,"&amp;SIGN(U18-P[[#This Row],[Jup]])*INT(P[[#This Row],[Jup]]/30+1)&amp;"Ju,"&amp;SIGN(V18-P[[#This Row],[Venu]])*INT(P[[#This Row],[Venu]]/30+1)&amp;"Ve,"&amp;SIGN(W18-P[[#This Row],[Sat]])*INT(P[[#This Row],[Sat]]/30+1)&amp;"Sa,"&amp;INT(P[[#This Row],[Rah]]/30+1)&amp;"Ra"</f>
        <v>7Ma,9Me,7Ju,9Ve,9Sa,4Ra</v>
      </c>
      <c r="S17" s="124">
        <f ca="1">Planet(P[[#This Row],[GMT Sun Rise]],4)</f>
        <v>205.07249462318245</v>
      </c>
      <c r="T17" s="124">
        <f ca="1">Planet(P[[#This Row],[GMT Sun Rise]],2)</f>
        <v>243.05856237027848</v>
      </c>
      <c r="U17" s="124">
        <f ca="1">Planet(P[[#This Row],[GMT Sun Rise]],5)</f>
        <v>204.13309910069651</v>
      </c>
      <c r="V17" s="124">
        <f ca="1">Planet(P[[#This Row],[GMT Sun Rise]],3)</f>
        <v>264.54158991721761</v>
      </c>
      <c r="W17" s="124">
        <f ca="1">Planet(P[[#This Row],[GMT Sun Rise]],6)</f>
        <v>248.21890243704976</v>
      </c>
      <c r="X17" s="124">
        <f ca="1">Planet(P[[#This Row],[GMT Sun Rise]],10)</f>
        <v>112.36506576832443</v>
      </c>
      <c r="Y17" s="124">
        <f ca="1">SIGN(S18-P[[#This Row],[MARs]])</f>
        <v>1</v>
      </c>
    </row>
    <row r="18" spans="1:25" x14ac:dyDescent="0.2">
      <c r="A18" s="125">
        <f t="shared" ca="1" si="11"/>
        <v>43110</v>
      </c>
      <c r="B18" s="125">
        <f t="shared" ca="1" si="8"/>
        <v>43110.229166666664</v>
      </c>
      <c r="C18" s="130">
        <f t="shared" ca="1" si="2"/>
        <v>43110.275263673779</v>
      </c>
      <c r="D18" s="130">
        <f t="shared" ca="1" si="3"/>
        <v>43109.748071651018</v>
      </c>
      <c r="E18" s="134">
        <f ca="1">P[[#This Row],[SunRise]]-TimeZone/24</f>
        <v>43110.046097007114</v>
      </c>
      <c r="F18" s="135">
        <f t="shared" ca="1" si="6"/>
        <v>265.61975288499832</v>
      </c>
      <c r="G18" s="128">
        <f t="shared" ca="1" si="9"/>
        <v>188.5026617230491</v>
      </c>
      <c r="H18" s="129">
        <f t="shared" ca="1" si="10"/>
        <v>43110.046097007114</v>
      </c>
      <c r="I18" s="124" t="str">
        <f ca="1">naks(P[[#This Row],[Moon]])</f>
        <v>Swati</v>
      </c>
      <c r="J18" s="130">
        <f ca="1">(C19-P[[#This Row],[SunRise]])/(G19-P[[#This Row],[Moon]])*(13.3333333333333-MOD(P[[#This Row],[Moon]],13.333333333333))+P[[#This Row],[SunRise]]</f>
        <v>43111.209270765881</v>
      </c>
      <c r="K18" s="124" t="str">
        <f ca="1">IF(P[[#This Row],[Tithi]]&gt;15,"K","S")&amp;ROUNDUP(MOD(P[[#This Row],[Tithi]],15),0)&amp;" ("&amp;ROUND(P[[#This Row],[Tithi]],2)&amp;")"</f>
        <v>K9 (23.57)</v>
      </c>
      <c r="L18" s="124">
        <f ca="1">IF(AND(P[[#This Row],[Tithi]]&lt;28.5,P[[#This Row],[Tithi]]&gt;0.49999),MOD((P[[#This Row],[Tithi]]-0.5)*2,7),MOD((P[[#This Row],[Tithi]]+30-28.5),30)*2+7)</f>
        <v>4.147199999999998</v>
      </c>
      <c r="M18" s="124" t="str">
        <f ca="1">CHOOSE(ROUNDUP(P[[#This Row],[Karana1]],0),"Bhava","Baalava","Kaulava","Taitula","Garija","Vanija","Vishti","Shakuni","Chatushapda","Naaga","Kimstugna")</f>
        <v>Garija</v>
      </c>
      <c r="N1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(7.06)</v>
      </c>
      <c r="O18" s="124">
        <f ca="1">IF(AND(P[[#This Row],[Tithi]]&lt;28.5,P[[#This Row],[Tithi]]&gt;0.49999),MOD((P[[#This Row],[Tithi]]-0.5)*2,7),MOD((P[[#This Row],[Tithi]]+30-28.5),30)*2+7)</f>
        <v>4.147199999999998</v>
      </c>
      <c r="P18" s="124">
        <f ca="1">ROUNDUP(MOD(360+P[[#This Row],[Moon]]-P[[#This Row],[Sun]],360)/12,4)</f>
        <v>23.573599999999999</v>
      </c>
      <c r="Q18" s="124">
        <f t="shared" ca="1" si="5"/>
        <v>7.06</v>
      </c>
      <c r="R18" s="124" t="str">
        <f ca="1">SIGN(S19-P[[#This Row],[MARs]])*INT(P[[#This Row],[MARs]]/30+1)&amp;"Ma,"&amp;SIGN(T19-P[[#This Row],[Merc]])*INT(P[[#This Row],[Merc]]/30+1)&amp;"Me,"&amp;SIGN(U19-P[[#This Row],[Jup]])*INT(P[[#This Row],[Jup]]/30+1)&amp;"Ju,"&amp;SIGN(V19-P[[#This Row],[Venu]])*INT(P[[#This Row],[Venu]]/30+1)&amp;"Ve,"&amp;SIGN(W19-P[[#This Row],[Sat]])*INT(P[[#This Row],[Sat]]/30+1)&amp;"Sa,"&amp;INT(P[[#This Row],[Rah]]/30+1)&amp;"Ra"</f>
        <v>7Ma,9Me,7Ju,9Ve,9Sa,4Ra</v>
      </c>
      <c r="S18" s="124">
        <f ca="1">Planet(P[[#This Row],[GMT Sun Rise]],4)</f>
        <v>205.69422876266037</v>
      </c>
      <c r="T18" s="124">
        <f ca="1">Planet(P[[#This Row],[GMT Sun Rise]],2)</f>
        <v>244.35322773245298</v>
      </c>
      <c r="U18" s="124">
        <f ca="1">Planet(P[[#This Row],[GMT Sun Rise]],5)</f>
        <v>204.28714412842916</v>
      </c>
      <c r="V18" s="124">
        <f ca="1">Planet(P[[#This Row],[GMT Sun Rise]],3)</f>
        <v>265.79980565946994</v>
      </c>
      <c r="W18" s="124">
        <f ca="1">Planet(P[[#This Row],[GMT Sun Rise]],6)</f>
        <v>248.333673057868</v>
      </c>
      <c r="X18" s="124">
        <f ca="1">Planet(P[[#This Row],[GMT Sun Rise]],10)</f>
        <v>112.31206442106449</v>
      </c>
      <c r="Y18" s="124">
        <f ca="1">SIGN(S19-P[[#This Row],[MARs]])</f>
        <v>1</v>
      </c>
    </row>
    <row r="19" spans="1:25" x14ac:dyDescent="0.2">
      <c r="A19" s="125">
        <f t="shared" ca="1" si="11"/>
        <v>43111</v>
      </c>
      <c r="B19" s="125">
        <f t="shared" ca="1" si="8"/>
        <v>43111.229166666664</v>
      </c>
      <c r="C19" s="130">
        <f t="shared" ca="1" si="2"/>
        <v>43111.275428500179</v>
      </c>
      <c r="D19" s="130">
        <f t="shared" ca="1" si="3"/>
        <v>43110.748466630976</v>
      </c>
      <c r="E19" s="134">
        <f ca="1">P[[#This Row],[SunRise]]-TimeZone/24</f>
        <v>43111.046261833515</v>
      </c>
      <c r="F19" s="135">
        <f t="shared" ca="1" si="6"/>
        <v>266.63895795207645</v>
      </c>
      <c r="G19" s="128">
        <f t="shared" ca="1" si="9"/>
        <v>200.81438123678893</v>
      </c>
      <c r="H19" s="129">
        <f t="shared" ca="1" si="10"/>
        <v>43111.046261833515</v>
      </c>
      <c r="I19" s="124" t="str">
        <f ca="1">naks(P[[#This Row],[Moon]])</f>
        <v>Visakha</v>
      </c>
      <c r="J19" s="130">
        <f ca="1">(C20-P[[#This Row],[SunRise]])/(G20-P[[#This Row],[Moon]])*(13.3333333333333-MOD(P[[#This Row],[Moon]],13.333333333333))+P[[#This Row],[SunRise]]</f>
        <v>43112.309923846515</v>
      </c>
      <c r="K19" s="124" t="str">
        <f ca="1">IF(P[[#This Row],[Tithi]]&gt;15,"K","S")&amp;ROUNDUP(MOD(P[[#This Row],[Tithi]],15),0)&amp;" ("&amp;ROUND(P[[#This Row],[Tithi]],2)&amp;")"</f>
        <v>K10 (24.51)</v>
      </c>
      <c r="L19" s="124">
        <f ca="1">IF(AND(P[[#This Row],[Tithi]]&lt;28.5,P[[#This Row],[Tithi]]&gt;0.49999),MOD((P[[#This Row],[Tithi]]-0.5)*2,7),MOD((P[[#This Row],[Tithi]]+30-28.5),30)*2+7)</f>
        <v>6.0294000000000025</v>
      </c>
      <c r="M19" s="124" t="str">
        <f ca="1">CHOOSE(ROUNDUP(P[[#This Row],[Karana1]],0),"Bhava","Baalava","Kaulava","Taitula","Garija","Vanija","Vishti","Shakuni","Chatushapda","Naaga","Kimstugna")</f>
        <v>Vishti</v>
      </c>
      <c r="N1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(8.06)</v>
      </c>
      <c r="O19" s="124">
        <f ca="1">IF(AND(P[[#This Row],[Tithi]]&lt;28.5,P[[#This Row],[Tithi]]&gt;0.49999),MOD((P[[#This Row],[Tithi]]-0.5)*2,7),MOD((P[[#This Row],[Tithi]]+30-28.5),30)*2+7)</f>
        <v>6.0294000000000025</v>
      </c>
      <c r="P19" s="124">
        <f ca="1">ROUNDUP(MOD(360+P[[#This Row],[Moon]]-P[[#This Row],[Sun]],360)/12,4)</f>
        <v>24.514700000000001</v>
      </c>
      <c r="Q19" s="124">
        <f t="shared" ca="1" si="5"/>
        <v>8.06</v>
      </c>
      <c r="R19" s="124" t="str">
        <f ca="1">SIGN(S20-P[[#This Row],[MARs]])*INT(P[[#This Row],[MARs]]/30+1)&amp;"Ma,"&amp;SIGN(T20-P[[#This Row],[Merc]])*INT(P[[#This Row],[Merc]]/30+1)&amp;"Me,"&amp;SIGN(U20-P[[#This Row],[Jup]])*INT(P[[#This Row],[Jup]]/30+1)&amp;"Ju,"&amp;SIGN(V20-P[[#This Row],[Venu]])*INT(P[[#This Row],[Venu]]/30+1)&amp;"Ve,"&amp;SIGN(W20-P[[#This Row],[Sat]])*INT(P[[#This Row],[Sat]]/30+1)&amp;"Sa,"&amp;INT(P[[#This Row],[Rah]]/30+1)&amp;"Ra"</f>
        <v>7Ma,9Me,7Ju,9Ve,9Sa,4Ra</v>
      </c>
      <c r="S19" s="124">
        <f ca="1">Planet(P[[#This Row],[GMT Sun Rise]],4)</f>
        <v>206.31566225615251</v>
      </c>
      <c r="T19" s="124">
        <f ca="1">Planet(P[[#This Row],[GMT Sun Rise]],2)</f>
        <v>245.67059856850111</v>
      </c>
      <c r="U19" s="124">
        <f ca="1">Planet(P[[#This Row],[GMT Sun Rise]],5)</f>
        <v>204.43932219645006</v>
      </c>
      <c r="V19" s="124">
        <f ca="1">Planet(P[[#This Row],[GMT Sun Rise]],3)</f>
        <v>267.05796264139536</v>
      </c>
      <c r="W19" s="124">
        <f ca="1">Planet(P[[#This Row],[GMT Sun Rise]],6)</f>
        <v>248.44808139471925</v>
      </c>
      <c r="X19" s="124">
        <f ca="1">Planet(P[[#This Row],[GMT Sun Rise]],10)</f>
        <v>112.25906368869182</v>
      </c>
      <c r="Y19" s="124">
        <f ca="1">SIGN(S20-P[[#This Row],[MARs]])</f>
        <v>1</v>
      </c>
    </row>
    <row r="20" spans="1:25" x14ac:dyDescent="0.2">
      <c r="A20" s="125">
        <f t="shared" ca="1" si="11"/>
        <v>43112</v>
      </c>
      <c r="B20" s="125">
        <f t="shared" ca="1" si="8"/>
        <v>43112.229166666664</v>
      </c>
      <c r="C20" s="130">
        <f t="shared" ca="1" si="2"/>
        <v>43112.275581724163</v>
      </c>
      <c r="D20" s="130">
        <f t="shared" ca="1" si="3"/>
        <v>43111.748860339678</v>
      </c>
      <c r="E20" s="134">
        <f ca="1">P[[#This Row],[SunRise]]-TimeZone/24</f>
        <v>43112.046415057499</v>
      </c>
      <c r="F20" s="135">
        <f t="shared" ca="1" si="6"/>
        <v>267.65814178643848</v>
      </c>
      <c r="G20" s="132">
        <f t="shared" ca="1" si="9"/>
        <v>212.9177419184908</v>
      </c>
      <c r="H20" s="129">
        <f t="shared" ca="1" si="10"/>
        <v>43112.046415057499</v>
      </c>
      <c r="I20" s="124" t="str">
        <f ca="1">naks(P[[#This Row],[Moon]])</f>
        <v>Visakha</v>
      </c>
      <c r="J20" s="130">
        <f ca="1">(C21-P[[#This Row],[SunRise]])/(G21-P[[#This Row],[Moon]])*(13.3333333333333-MOD(P[[#This Row],[Moon]],13.333333333333))+P[[#This Row],[SunRise]]</f>
        <v>43112.310342827215</v>
      </c>
      <c r="K20" s="124" t="str">
        <f ca="1">IF(P[[#This Row],[Tithi]]&gt;15,"K","S")&amp;ROUNDUP(MOD(P[[#This Row],[Tithi]],15),0)&amp;" ("&amp;ROUND(P[[#This Row],[Tithi]],2)&amp;")"</f>
        <v>K11 (25.44)</v>
      </c>
      <c r="L20" s="124">
        <f ca="1">IF(AND(P[[#This Row],[Tithi]]&lt;28.5,P[[#This Row],[Tithi]]&gt;0.49999),MOD((P[[#This Row],[Tithi]]-0.5)*2,7),MOD((P[[#This Row],[Tithi]]+30-28.5),30)*2+7)</f>
        <v>0.87680000000000291</v>
      </c>
      <c r="M20" s="124" t="str">
        <f ca="1">CHOOSE(ROUNDUP(P[[#This Row],[Karana1]],0),"Bhava","Baalava","Kaulava","Taitula","Garija","Vanija","Vishti","Shakuni","Chatushapda","Naaga","Kimstugna")</f>
        <v>Bhava</v>
      </c>
      <c r="N2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(9.05)</v>
      </c>
      <c r="O20" s="124">
        <f ca="1">IF(AND(P[[#This Row],[Tithi]]&lt;28.5,P[[#This Row],[Tithi]]&gt;0.49999),MOD((P[[#This Row],[Tithi]]-0.5)*2,7),MOD((P[[#This Row],[Tithi]]+30-28.5),30)*2+7)</f>
        <v>0.87680000000000291</v>
      </c>
      <c r="P20" s="124">
        <f ca="1">ROUNDUP(MOD(360+P[[#This Row],[Moon]]-P[[#This Row],[Sun]],360)/12,4)</f>
        <v>25.438400000000001</v>
      </c>
      <c r="Q20" s="124">
        <f t="shared" ca="1" si="5"/>
        <v>9.0499999999999989</v>
      </c>
      <c r="R20" s="124" t="str">
        <f ca="1">SIGN(S21-P[[#This Row],[MARs]])*INT(P[[#This Row],[MARs]]/30+1)&amp;"Ma,"&amp;SIGN(T21-P[[#This Row],[Merc]])*INT(P[[#This Row],[Merc]]/30+1)&amp;"Me,"&amp;SIGN(U21-P[[#This Row],[Jup]])*INT(P[[#This Row],[Jup]]/30+1)&amp;"Ju,"&amp;SIGN(V21-P[[#This Row],[Venu]])*INT(P[[#This Row],[Venu]]/30+1)&amp;"Ve,"&amp;SIGN(W21-P[[#This Row],[Sat]])*INT(P[[#This Row],[Sat]]/30+1)&amp;"Sa,"&amp;INT(P[[#This Row],[Rah]]/30+1)&amp;"Ra"</f>
        <v>7Ma,9Me,7Ju,9Ve,9Sa,4Ra</v>
      </c>
      <c r="S20" s="124">
        <f ca="1">Planet(P[[#This Row],[GMT Sun Rise]],4)</f>
        <v>206.93677927651962</v>
      </c>
      <c r="T20" s="124">
        <f ca="1">Planet(P[[#This Row],[GMT Sun Rise]],2)</f>
        <v>247.00864893867015</v>
      </c>
      <c r="U20" s="124">
        <f ca="1">Planet(P[[#This Row],[GMT Sun Rise]],5)</f>
        <v>204.5896010270236</v>
      </c>
      <c r="V20" s="124">
        <f ca="1">Planet(P[[#This Row],[GMT Sun Rise]],3)</f>
        <v>268.31605371828908</v>
      </c>
      <c r="W20" s="124">
        <f ca="1">Planet(P[[#This Row],[GMT Sun Rise]],6)</f>
        <v>248.56210713886904</v>
      </c>
      <c r="X20" s="124">
        <f ca="1">Planet(P[[#This Row],[GMT Sun Rise]],10)</f>
        <v>112.20606357117343</v>
      </c>
      <c r="Y20" s="124">
        <f ca="1">SIGN(S21-P[[#This Row],[MARs]])</f>
        <v>1</v>
      </c>
    </row>
    <row r="21" spans="1:25" x14ac:dyDescent="0.2">
      <c r="A21" s="125">
        <f t="shared" ca="1" si="11"/>
        <v>43113</v>
      </c>
      <c r="B21" s="125">
        <f t="shared" ca="1" si="8"/>
        <v>43113.229166666664</v>
      </c>
      <c r="C21" s="130">
        <f t="shared" ca="1" si="2"/>
        <v>43113.275723185543</v>
      </c>
      <c r="D21" s="130">
        <f t="shared" ca="1" si="3"/>
        <v>43112.749252458612</v>
      </c>
      <c r="E21" s="134">
        <f ca="1">P[[#This Row],[SunRise]]-TimeZone/24</f>
        <v>43113.046556518879</v>
      </c>
      <c r="F21" s="135">
        <f t="shared" ca="1" si="6"/>
        <v>268.67728552734735</v>
      </c>
      <c r="G21" s="128">
        <f t="shared" ca="1" si="9"/>
        <v>224.87507838090886</v>
      </c>
      <c r="H21" s="129">
        <f t="shared" ca="1" si="10"/>
        <v>43113.046556518879</v>
      </c>
      <c r="I21" s="124" t="str">
        <f ca="1">naks(P[[#This Row],[Moon]])</f>
        <v>Anuradha</v>
      </c>
      <c r="J21" s="130">
        <f ca="1">(C22-P[[#This Row],[SunRise]])/(G22-P[[#This Row],[Moon]])*(13.3333333333333-MOD(P[[#This Row],[Moon]],13.333333333333))+P[[#This Row],[SunRise]]</f>
        <v>43113.426724392972</v>
      </c>
      <c r="K21" s="124" t="str">
        <f ca="1">IF(P[[#This Row],[Tithi]]&gt;15,"K","S")&amp;ROUNDUP(MOD(P[[#This Row],[Tithi]],15),0)&amp;" ("&amp;ROUND(P[[#This Row],[Tithi]],2)&amp;")"</f>
        <v>K12 (26.35)</v>
      </c>
      <c r="L21" s="124">
        <f ca="1">IF(AND(P[[#This Row],[Tithi]]&lt;28.5,P[[#This Row],[Tithi]]&gt;0.49999),MOD((P[[#This Row],[Tithi]]-0.5)*2,7),MOD((P[[#This Row],[Tithi]]+30-28.5),30)*2+7)</f>
        <v>2.6997999999999962</v>
      </c>
      <c r="M21" s="124" t="str">
        <f ca="1">CHOOSE(ROUNDUP(P[[#This Row],[Karana1]],0),"Bhava","Baalava","Kaulava","Taitula","Garija","Vanija","Vishti","Shakuni","Chatushapda","Naaga","Kimstugna")</f>
        <v>Kaulava</v>
      </c>
      <c r="N2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(10.02)</v>
      </c>
      <c r="O21" s="124">
        <f ca="1">IF(AND(P[[#This Row],[Tithi]]&lt;28.5,P[[#This Row],[Tithi]]&gt;0.49999),MOD((P[[#This Row],[Tithi]]-0.5)*2,7),MOD((P[[#This Row],[Tithi]]+30-28.5),30)*2+7)</f>
        <v>2.6997999999999962</v>
      </c>
      <c r="P21" s="124">
        <f ca="1">ROUNDUP(MOD(360+P[[#This Row],[Moon]]-P[[#This Row],[Sun]],360)/12,4)</f>
        <v>26.349899999999998</v>
      </c>
      <c r="Q21" s="124">
        <f t="shared" ca="1" si="5"/>
        <v>10.02</v>
      </c>
      <c r="R21" s="124" t="str">
        <f ca="1">SIGN(S22-P[[#This Row],[MARs]])*INT(P[[#This Row],[MARs]]/30+1)&amp;"Ma,"&amp;SIGN(T22-P[[#This Row],[Merc]])*INT(P[[#This Row],[Merc]]/30+1)&amp;"Me,"&amp;SIGN(U22-P[[#This Row],[Jup]])*INT(P[[#This Row],[Jup]]/30+1)&amp;"Ju,"&amp;SIGN(V22-P[[#This Row],[Venu]])*INT(P[[#This Row],[Venu]]/30+1)&amp;"Ve,"&amp;SIGN(W22-P[[#This Row],[Sat]])*INT(P[[#This Row],[Sat]]/30+1)&amp;"Sa,"&amp;INT(P[[#This Row],[Rah]]/30+1)&amp;"Ra"</f>
        <v>7Ma,9Me,7Ju,9Ve,9Sa,4Ra</v>
      </c>
      <c r="S21" s="124">
        <f ca="1">Planet(P[[#This Row],[GMT Sun Rise]],4)</f>
        <v>207.55756386950409</v>
      </c>
      <c r="T21" s="124">
        <f ca="1">Planet(P[[#This Row],[GMT Sun Rise]],2)</f>
        <v>248.3656332417136</v>
      </c>
      <c r="U21" s="124">
        <f ca="1">Planet(P[[#This Row],[GMT Sun Rise]],5)</f>
        <v>204.7379483586725</v>
      </c>
      <c r="V21" s="124">
        <f ca="1">Planet(P[[#This Row],[GMT Sun Rise]],3)</f>
        <v>269.57407337287668</v>
      </c>
      <c r="W21" s="124">
        <f ca="1">Planet(P[[#This Row],[GMT Sun Rise]],6)</f>
        <v>248.67572979747834</v>
      </c>
      <c r="X21" s="124">
        <f ca="1">Planet(P[[#This Row],[GMT Sun Rise]],10)</f>
        <v>112.15306407697584</v>
      </c>
      <c r="Y21" s="124">
        <f ca="1">SIGN(S22-P[[#This Row],[MARs]])</f>
        <v>1</v>
      </c>
    </row>
    <row r="22" spans="1:25" x14ac:dyDescent="0.2">
      <c r="A22" s="125">
        <f t="shared" ca="1" si="11"/>
        <v>43114</v>
      </c>
      <c r="B22" s="125">
        <f t="shared" ca="1" si="8"/>
        <v>43114.229166666664</v>
      </c>
      <c r="C22" s="130">
        <f t="shared" ca="1" si="2"/>
        <v>43114.275852408413</v>
      </c>
      <c r="D22" s="130">
        <f t="shared" ca="1" si="3"/>
        <v>43113.749642511408</v>
      </c>
      <c r="E22" s="134">
        <f ca="1">P[[#This Row],[SunRise]]-TimeZone/24</f>
        <v>43114.046685741749</v>
      </c>
      <c r="F22" s="135">
        <f t="shared" ca="1" si="6"/>
        <v>269.69636834640039</v>
      </c>
      <c r="G22" s="128">
        <f t="shared" ca="1" si="9"/>
        <v>236.74133978677153</v>
      </c>
      <c r="H22" s="129">
        <f t="shared" ca="1" si="10"/>
        <v>43114.046685741749</v>
      </c>
      <c r="I22" s="124" t="str">
        <f ca="1">naks(P[[#This Row],[Moon]])</f>
        <v>Jyestha</v>
      </c>
      <c r="J22" s="130">
        <f ca="1">(C23-P[[#This Row],[SunRise]])/(G23-P[[#This Row],[Moon]])*(13.3333333333333-MOD(P[[#This Row],[Moon]],13.333333333333))+P[[#This Row],[SunRise]]</f>
        <v>43114.551522999463</v>
      </c>
      <c r="K22" s="124" t="str">
        <f ca="1">IF(P[[#This Row],[Tithi]]&gt;15,"K","S")&amp;ROUNDUP(MOD(P[[#This Row],[Tithi]],15),0)&amp;" ("&amp;ROUND(P[[#This Row],[Tithi]],2)&amp;")"</f>
        <v>K13 (27.25)</v>
      </c>
      <c r="L22" s="124">
        <f ca="1">IF(AND(P[[#This Row],[Tithi]]&lt;28.5,P[[#This Row],[Tithi]]&gt;0.49999),MOD((P[[#This Row],[Tithi]]-0.5)*2,7),MOD((P[[#This Row],[Tithi]]+30-28.5),30)*2+7)</f>
        <v>4.5075999999999965</v>
      </c>
      <c r="M22" s="124" t="str">
        <f ca="1">CHOOSE(ROUNDUP(P[[#This Row],[Karana1]],0),"Bhava","Baalava","Kaulava","Taitula","Garija","Vanija","Vishti","Shakuni","Chatushapda","Naaga","Kimstugna")</f>
        <v>Garija</v>
      </c>
      <c r="N2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(10.99)</v>
      </c>
      <c r="O22" s="124">
        <f ca="1">IF(AND(P[[#This Row],[Tithi]]&lt;28.5,P[[#This Row],[Tithi]]&gt;0.49999),MOD((P[[#This Row],[Tithi]]-0.5)*2,7),MOD((P[[#This Row],[Tithi]]+30-28.5),30)*2+7)</f>
        <v>4.5075999999999965</v>
      </c>
      <c r="P22" s="124">
        <f ca="1">ROUNDUP(MOD(360+P[[#This Row],[Moon]]-P[[#This Row],[Sun]],360)/12,4)</f>
        <v>27.253799999999998</v>
      </c>
      <c r="Q22" s="124">
        <f t="shared" ca="1" si="5"/>
        <v>10.99</v>
      </c>
      <c r="R22" s="124" t="str">
        <f ca="1">SIGN(S23-P[[#This Row],[MARs]])*INT(P[[#This Row],[MARs]]/30+1)&amp;"Ma,"&amp;SIGN(T23-P[[#This Row],[Merc]])*INT(P[[#This Row],[Merc]]/30+1)&amp;"Me,"&amp;SIGN(U23-P[[#This Row],[Jup]])*INT(P[[#This Row],[Jup]]/30+1)&amp;"Ju,"&amp;SIGN(V23-P[[#This Row],[Venu]])*INT(P[[#This Row],[Venu]]/30+1)&amp;"Ve,"&amp;SIGN(W23-P[[#This Row],[Sat]])*INT(P[[#This Row],[Sat]]/30+1)&amp;"Sa,"&amp;INT(P[[#This Row],[Rah]]/30+1)&amp;"Ra"</f>
        <v>7Ma,9Me,7Ju,10Ve,9Sa,4Ra</v>
      </c>
      <c r="S22" s="124">
        <f ca="1">Planet(P[[#This Row],[GMT Sun Rise]],4)</f>
        <v>208.17800000791641</v>
      </c>
      <c r="T22" s="124">
        <f ca="1">Planet(P[[#This Row],[GMT Sun Rise]],2)</f>
        <v>249.74005168042046</v>
      </c>
      <c r="U22" s="124">
        <f ca="1">Planet(P[[#This Row],[GMT Sun Rise]],5)</f>
        <v>204.88433200350212</v>
      </c>
      <c r="V22" s="124">
        <f ca="1">Planet(P[[#This Row],[GMT Sun Rise]],3)</f>
        <v>270.83201352049485</v>
      </c>
      <c r="W22" s="124">
        <f ca="1">Planet(P[[#This Row],[GMT Sun Rise]],6)</f>
        <v>248.78892872401292</v>
      </c>
      <c r="X22" s="124">
        <f ca="1">Planet(P[[#This Row],[GMT Sun Rise]],10)</f>
        <v>112.10006523133336</v>
      </c>
      <c r="Y22" s="124">
        <f ca="1">SIGN(S23-P[[#This Row],[MARs]])</f>
        <v>1</v>
      </c>
    </row>
    <row r="23" spans="1:25" x14ac:dyDescent="0.2">
      <c r="A23" s="125">
        <f t="shared" ca="1" si="11"/>
        <v>43115</v>
      </c>
      <c r="B23" s="125">
        <f t="shared" ca="1" si="8"/>
        <v>43115.229166666664</v>
      </c>
      <c r="C23" s="130">
        <f t="shared" ca="1" si="2"/>
        <v>43115.275969551563</v>
      </c>
      <c r="D23" s="130">
        <f t="shared" ca="1" si="3"/>
        <v>43114.750030338808</v>
      </c>
      <c r="E23" s="134">
        <f ca="1">P[[#This Row],[SunRise]]-TimeZone/24</f>
        <v>43115.046802884899</v>
      </c>
      <c r="F23" s="135">
        <f t="shared" ca="1" si="6"/>
        <v>270.71536870650743</v>
      </c>
      <c r="G23" s="128">
        <f t="shared" ca="1" si="9"/>
        <v>248.56357272981663</v>
      </c>
      <c r="H23" s="129">
        <f t="shared" ca="1" si="10"/>
        <v>43115.046802884899</v>
      </c>
      <c r="I23" s="124" t="str">
        <f ca="1">naks(P[[#This Row],[Moon]])</f>
        <v>Moola</v>
      </c>
      <c r="J23" s="130">
        <f ca="1">(C24-P[[#This Row],[SunRise]])/(G24-P[[#This Row],[Moon]])*(13.3333333333333-MOD(P[[#This Row],[Moon]],13.333333333333))+P[[#This Row],[SunRise]]</f>
        <v>43115.679607520426</v>
      </c>
      <c r="K23" s="124" t="str">
        <f ca="1">IF(P[[#This Row],[Tithi]]&gt;15,"K","S")&amp;ROUNDUP(MOD(P[[#This Row],[Tithi]],15),0)&amp;" ("&amp;ROUND(P[[#This Row],[Tithi]],2)&amp;")"</f>
        <v>K14 (28.15)</v>
      </c>
      <c r="L23" s="124">
        <f ca="1">IF(AND(P[[#This Row],[Tithi]]&lt;28.5,P[[#This Row],[Tithi]]&gt;0.49999),MOD((P[[#This Row],[Tithi]]-0.5)*2,7),MOD((P[[#This Row],[Tithi]]+30-28.5),30)*2+7)</f>
        <v>6.3081999999999994</v>
      </c>
      <c r="M23" s="124" t="str">
        <f ca="1">CHOOSE(ROUNDUP(P[[#This Row],[Karana1]],0),"Bhava","Baalava","Kaulava","Taitula","Garija","Vanija","Vishti","Shakuni","Chatushapda","Naaga","Kimstugna")</f>
        <v>Vishti</v>
      </c>
      <c r="N2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(11.95)</v>
      </c>
      <c r="O23" s="124">
        <f ca="1">IF(AND(P[[#This Row],[Tithi]]&lt;28.5,P[[#This Row],[Tithi]]&gt;0.49999),MOD((P[[#This Row],[Tithi]]-0.5)*2,7),MOD((P[[#This Row],[Tithi]]+30-28.5),30)*2+7)</f>
        <v>6.3081999999999994</v>
      </c>
      <c r="P23" s="124">
        <f ca="1">ROUNDUP(MOD(360+P[[#This Row],[Moon]]-P[[#This Row],[Sun]],360)/12,4)</f>
        <v>28.1541</v>
      </c>
      <c r="Q23" s="124">
        <f t="shared" ca="1" si="5"/>
        <v>11.95</v>
      </c>
      <c r="R23" s="124" t="str">
        <f ca="1">SIGN(S24-P[[#This Row],[MARs]])*INT(P[[#This Row],[MARs]]/30+1)&amp;"Ma,"&amp;SIGN(T24-P[[#This Row],[Merc]])*INT(P[[#This Row],[Merc]]/30+1)&amp;"Me,"&amp;SIGN(U24-P[[#This Row],[Jup]])*INT(P[[#This Row],[Jup]]/30+1)&amp;"Ju,"&amp;SIGN(V24-P[[#This Row],[Venu]])*INT(P[[#This Row],[Venu]]/30+1)&amp;"Ve,"&amp;SIGN(W24-P[[#This Row],[Sat]])*INT(P[[#This Row],[Sat]]/30+1)&amp;"Sa,"&amp;INT(P[[#This Row],[Rah]]/30+1)&amp;"Ra"</f>
        <v>7Ma,9Me,7Ju,10Ve,9Sa,4Ra</v>
      </c>
      <c r="S23" s="124">
        <f ca="1">Planet(P[[#This Row],[GMT Sun Rise]],4)</f>
        <v>208.79807234233812</v>
      </c>
      <c r="T23" s="124">
        <f ca="1">Planet(P[[#This Row],[GMT Sun Rise]],2)</f>
        <v>251.13062156912505</v>
      </c>
      <c r="U23" s="124">
        <f ca="1">Planet(P[[#This Row],[GMT Sun Rise]],5)</f>
        <v>205.02872006445011</v>
      </c>
      <c r="V23" s="124">
        <f ca="1">Planet(P[[#This Row],[GMT Sun Rise]],3)</f>
        <v>272.08986475336508</v>
      </c>
      <c r="W23" s="124">
        <f ca="1">Planet(P[[#This Row],[GMT Sun Rise]],6)</f>
        <v>248.90168326925667</v>
      </c>
      <c r="X23" s="124">
        <f ca="1">Planet(P[[#This Row],[GMT Sun Rise]],10)</f>
        <v>112.04706702582908</v>
      </c>
      <c r="Y23" s="124">
        <f ca="1">SIGN(S24-P[[#This Row],[MARs]])</f>
        <v>1</v>
      </c>
    </row>
    <row r="24" spans="1:25" x14ac:dyDescent="0.2">
      <c r="A24" s="125">
        <f t="shared" ca="1" si="11"/>
        <v>43116</v>
      </c>
      <c r="B24" s="125">
        <f t="shared" ca="1" si="8"/>
        <v>43116.229166666664</v>
      </c>
      <c r="C24" s="130">
        <f t="shared" ca="1" si="2"/>
        <v>43116.276074296948</v>
      </c>
      <c r="D24" s="130">
        <f t="shared" ca="1" si="3"/>
        <v>43115.750415464441</v>
      </c>
      <c r="E24" s="134">
        <f ca="1">P[[#This Row],[SunRise]]-TimeZone/24</f>
        <v>43116.046907630283</v>
      </c>
      <c r="F24" s="135">
        <f t="shared" ca="1" si="6"/>
        <v>271.73426353968762</v>
      </c>
      <c r="G24" s="128">
        <f t="shared" ca="1" si="9"/>
        <v>260.38173797168412</v>
      </c>
      <c r="H24" s="129">
        <f t="shared" ca="1" si="10"/>
        <v>43116.046907630283</v>
      </c>
      <c r="I24" s="124" t="str">
        <f ca="1">naks(P[[#This Row],[Moon]])</f>
        <v>Purva Asadha</v>
      </c>
      <c r="J24" s="130">
        <f ca="1">(C25-P[[#This Row],[SunRise]])/(G25-P[[#This Row],[Moon]])*(13.3333333333333-MOD(P[[#This Row],[Moon]],13.333333333333))+P[[#This Row],[SunRise]]</f>
        <v>43116.806552479866</v>
      </c>
      <c r="K24" s="124" t="str">
        <f ca="1">IF(P[[#This Row],[Tithi]]&gt;15,"K","S")&amp;ROUNDUP(MOD(P[[#This Row],[Tithi]],15),0)&amp;" ("&amp;ROUND(P[[#This Row],[Tithi]],2)&amp;")"</f>
        <v>K15 (29.05)</v>
      </c>
      <c r="L24" s="124">
        <f ca="1">IF(AND(P[[#This Row],[Tithi]]&lt;28.5,P[[#This Row],[Tithi]]&gt;0.49999),MOD((P[[#This Row],[Tithi]]-0.5)*2,7),MOD((P[[#This Row],[Tithi]]+30-28.5),30)*2+7)</f>
        <v>8.1080000000000041</v>
      </c>
      <c r="M24" s="124" t="str">
        <f ca="1">CHOOSE(ROUNDUP(P[[#This Row],[Karana1]],0),"Bhava","Baalava","Kaulava","Taitula","Garija","Vanija","Vishti","Shakuni","Chatushapda","Naaga","Kimstugna")</f>
        <v>Chatushapda</v>
      </c>
      <c r="N2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(12.91)</v>
      </c>
      <c r="O24" s="124">
        <f ca="1">IF(AND(P[[#This Row],[Tithi]]&lt;28.5,P[[#This Row],[Tithi]]&gt;0.49999),MOD((P[[#This Row],[Tithi]]-0.5)*2,7),MOD((P[[#This Row],[Tithi]]+30-28.5),30)*2+7)</f>
        <v>8.1080000000000041</v>
      </c>
      <c r="P24" s="124">
        <f ca="1">ROUNDUP(MOD(360+P[[#This Row],[Moon]]-P[[#This Row],[Sun]],360)/12,4)</f>
        <v>29.053999999999998</v>
      </c>
      <c r="Q24" s="124">
        <f t="shared" ca="1" si="5"/>
        <v>12.91</v>
      </c>
      <c r="R24" s="124" t="str">
        <f ca="1">SIGN(S25-P[[#This Row],[MARs]])*INT(P[[#This Row],[MARs]]/30+1)&amp;"Ma,"&amp;SIGN(T25-P[[#This Row],[Merc]])*INT(P[[#This Row],[Merc]]/30+1)&amp;"Me,"&amp;SIGN(U25-P[[#This Row],[Jup]])*INT(P[[#This Row],[Jup]]/30+1)&amp;"Ju,"&amp;SIGN(V25-P[[#This Row],[Venu]])*INT(P[[#This Row],[Venu]]/30+1)&amp;"Ve,"&amp;SIGN(W25-P[[#This Row],[Sat]])*INT(P[[#This Row],[Sat]]/30+1)&amp;"Sa,"&amp;INT(P[[#This Row],[Rah]]/30+1)&amp;"Ra"</f>
        <v>7Ma,9Me,7Ju,10Ve,9Sa,4Ra</v>
      </c>
      <c r="S24" s="124">
        <f ca="1">Planet(P[[#This Row],[GMT Sun Rise]],4)</f>
        <v>209.41776567399199</v>
      </c>
      <c r="T24" s="124">
        <f ca="1">Planet(P[[#This Row],[GMT Sun Rise]],2)</f>
        <v>252.53624963866514</v>
      </c>
      <c r="U24" s="124">
        <f ca="1">Planet(P[[#This Row],[GMT Sun Rise]],5)</f>
        <v>205.17108084791391</v>
      </c>
      <c r="V24" s="124">
        <f ca="1">Planet(P[[#This Row],[GMT Sun Rise]],3)</f>
        <v>273.3476157210527</v>
      </c>
      <c r="W24" s="124">
        <f ca="1">Planet(P[[#This Row],[GMT Sun Rise]],6)</f>
        <v>249.01397270565963</v>
      </c>
      <c r="X24" s="124">
        <f ca="1">Planet(P[[#This Row],[GMT Sun Rise]],10)</f>
        <v>111.99406947728038</v>
      </c>
      <c r="Y24" s="124">
        <f ca="1">SIGN(S25-P[[#This Row],[MARs]])</f>
        <v>1</v>
      </c>
    </row>
    <row r="25" spans="1:25" x14ac:dyDescent="0.2">
      <c r="A25" s="125">
        <f t="shared" ca="1" si="11"/>
        <v>43117</v>
      </c>
      <c r="B25" s="125">
        <f t="shared" ca="1" si="8"/>
        <v>43117.229166666664</v>
      </c>
      <c r="C25" s="130">
        <f t="shared" ca="1" si="2"/>
        <v>43117.27616648531</v>
      </c>
      <c r="D25" s="130">
        <f t="shared" ca="1" si="3"/>
        <v>43116.750797569795</v>
      </c>
      <c r="E25" s="134">
        <f ca="1">P[[#This Row],[SunRise]]-TimeZone/24</f>
        <v>43117.046999818645</v>
      </c>
      <c r="F25" s="135">
        <f t="shared" ca="1" si="6"/>
        <v>272.75302919998313</v>
      </c>
      <c r="G25" s="128">
        <f t="shared" ca="1" si="9"/>
        <v>272.23049687391011</v>
      </c>
      <c r="H25" s="129">
        <f t="shared" ca="1" si="10"/>
        <v>43117.046999818645</v>
      </c>
      <c r="I25" s="124" t="str">
        <f ca="1">naks(P[[#This Row],[Moon]])</f>
        <v>Uttara Asadha</v>
      </c>
      <c r="J25" s="130">
        <f ca="1">(C26-P[[#This Row],[SunRise]])/(G26-P[[#This Row],[Moon]])*(13.3333333333333-MOD(P[[#This Row],[Moon]],13.333333333333))+P[[#This Row],[SunRise]]</f>
        <v>43117.928506698438</v>
      </c>
      <c r="K25" s="124" t="str">
        <f ca="1">IF(P[[#This Row],[Tithi]]&gt;15,"K","S")&amp;ROUNDUP(MOD(P[[#This Row],[Tithi]],15),0)&amp;" ("&amp;ROUND(P[[#This Row],[Tithi]],2)&amp;")"</f>
        <v>K15 (29.96)</v>
      </c>
      <c r="L25" s="124">
        <f ca="1">IF(AND(P[[#This Row],[Tithi]]&lt;28.5,P[[#This Row],[Tithi]]&gt;0.49999),MOD((P[[#This Row],[Tithi]]-0.5)*2,7),MOD((P[[#This Row],[Tithi]]+30-28.5),30)*2+7)</f>
        <v>9.9129999999999967</v>
      </c>
      <c r="M25" s="124" t="str">
        <f ca="1">CHOOSE(ROUNDUP(P[[#This Row],[Karana1]],0),"Bhava","Baalava","Kaulava","Taitula","Garija","Vanija","Vishti","Shakuni","Chatushapda","Naaga","Kimstugna")</f>
        <v>Naaga</v>
      </c>
      <c r="N2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(13.88)</v>
      </c>
      <c r="O25" s="124">
        <f ca="1">IF(AND(P[[#This Row],[Tithi]]&lt;28.5,P[[#This Row],[Tithi]]&gt;0.49999),MOD((P[[#This Row],[Tithi]]-0.5)*2,7),MOD((P[[#This Row],[Tithi]]+30-28.5),30)*2+7)</f>
        <v>9.9129999999999967</v>
      </c>
      <c r="P25" s="124">
        <f ca="1">ROUNDUP(MOD(360+P[[#This Row],[Moon]]-P[[#This Row],[Sun]],360)/12,4)</f>
        <v>29.956499999999998</v>
      </c>
      <c r="Q25" s="124">
        <f t="shared" ca="1" si="5"/>
        <v>13.879999999999999</v>
      </c>
      <c r="R25" s="124" t="str">
        <f ca="1">SIGN(S26-P[[#This Row],[MARs]])*INT(P[[#This Row],[MARs]]/30+1)&amp;"Ma,"&amp;SIGN(T26-P[[#This Row],[Merc]])*INT(P[[#This Row],[Merc]]/30+1)&amp;"Me,"&amp;SIGN(U26-P[[#This Row],[Jup]])*INT(P[[#This Row],[Jup]]/30+1)&amp;"Ju,"&amp;SIGN(V26-P[[#This Row],[Venu]])*INT(P[[#This Row],[Venu]]/30+1)&amp;"Ve,"&amp;SIGN(W26-P[[#This Row],[Sat]])*INT(P[[#This Row],[Sat]]/30+1)&amp;"Sa,"&amp;INT(P[[#This Row],[Rah]]/30+1)&amp;"Ra"</f>
        <v>8Ma,9Me,7Ju,10Ve,9Sa,4Ra</v>
      </c>
      <c r="S25" s="124">
        <f ca="1">Planet(P[[#This Row],[GMT Sun Rise]],4)</f>
        <v>210.03706550249194</v>
      </c>
      <c r="T25" s="124">
        <f ca="1">Planet(P[[#This Row],[GMT Sun Rise]],2)</f>
        <v>253.95601008311954</v>
      </c>
      <c r="U25" s="124">
        <f ca="1">Planet(P[[#This Row],[GMT Sun Rise]],5)</f>
        <v>205.31138302806079</v>
      </c>
      <c r="V25" s="124">
        <f ca="1">Planet(P[[#This Row],[GMT Sun Rise]],3)</f>
        <v>274.60525446848169</v>
      </c>
      <c r="W25" s="124">
        <f ca="1">Planet(P[[#This Row],[GMT Sun Rise]],6)</f>
        <v>249.12577634554918</v>
      </c>
      <c r="X25" s="124">
        <f ca="1">Planet(P[[#This Row],[GMT Sun Rise]],10)</f>
        <v>111.94107259415378</v>
      </c>
      <c r="Y25" s="124">
        <f ca="1">SIGN(S26-P[[#This Row],[MARs]])</f>
        <v>1</v>
      </c>
    </row>
    <row r="26" spans="1:25" x14ac:dyDescent="0.2">
      <c r="A26" s="125">
        <f t="shared" ca="1" si="11"/>
        <v>43118</v>
      </c>
      <c r="B26" s="125">
        <f t="shared" ca="1" si="8"/>
        <v>43118.229166666664</v>
      </c>
      <c r="C26" s="130">
        <f t="shared" ca="1" si="2"/>
        <v>43118.276245958325</v>
      </c>
      <c r="D26" s="130">
        <f t="shared" ca="1" si="3"/>
        <v>43117.751176337755</v>
      </c>
      <c r="E26" s="134">
        <f ca="1">P[[#This Row],[SunRise]]-TimeZone/24</f>
        <v>43118.04707929166</v>
      </c>
      <c r="F26" s="135">
        <f t="shared" ca="1" si="6"/>
        <v>273.77164158329265</v>
      </c>
      <c r="G26" s="128">
        <f t="shared" ca="1" si="9"/>
        <v>284.14164451674719</v>
      </c>
      <c r="H26" s="129">
        <f t="shared" ca="1" si="10"/>
        <v>43118.04707929166</v>
      </c>
      <c r="I26" s="124" t="str">
        <f ca="1">naks(P[[#This Row],[Moon]])</f>
        <v>Sravana</v>
      </c>
      <c r="J26" s="130">
        <f ca="1">(C27-P[[#This Row],[SunRise]])/(G27-P[[#This Row],[Moon]])*(13.3333333333333-MOD(P[[#This Row],[Moon]],13.333333333333))+P[[#This Row],[SunRise]]</f>
        <v>43119.041937434165</v>
      </c>
      <c r="K26" s="124" t="str">
        <f ca="1">IF(P[[#This Row],[Tithi]]&gt;15,"K","S")&amp;ROUNDUP(MOD(P[[#This Row],[Tithi]],15),0)&amp;" ("&amp;ROUND(P[[#This Row],[Tithi]],2)&amp;")"</f>
        <v>S1 (0.86)</v>
      </c>
      <c r="L26" s="124">
        <f ca="1">IF(AND(P[[#This Row],[Tithi]]&lt;28.5,P[[#This Row],[Tithi]]&gt;0.49999),MOD((P[[#This Row],[Tithi]]-0.5)*2,7),MOD((P[[#This Row],[Tithi]]+30-28.5),30)*2+7)</f>
        <v>0.72839999999999994</v>
      </c>
      <c r="M26" s="124" t="str">
        <f ca="1">CHOOSE(ROUNDUP(P[[#This Row],[Karana1]],0),"Bhava","Baalava","Kaulava","Taitula","Garija","Vanija","Vishti","Shakuni","Chatushapda","Naaga","Kimstugna")</f>
        <v>Bhava</v>
      </c>
      <c r="N2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(14.85)</v>
      </c>
      <c r="O26" s="124">
        <f ca="1">IF(AND(P[[#This Row],[Tithi]]&lt;28.5,P[[#This Row],[Tithi]]&gt;0.49999),MOD((P[[#This Row],[Tithi]]-0.5)*2,7),MOD((P[[#This Row],[Tithi]]+30-28.5),30)*2+7)</f>
        <v>0.72839999999999994</v>
      </c>
      <c r="P26" s="124">
        <f ca="1">ROUNDUP(MOD(360+P[[#This Row],[Moon]]-P[[#This Row],[Sun]],360)/12,4)</f>
        <v>0.86419999999999997</v>
      </c>
      <c r="Q26" s="124">
        <f t="shared" ca="1" si="5"/>
        <v>14.85</v>
      </c>
      <c r="R26" s="124" t="str">
        <f ca="1">SIGN(S27-P[[#This Row],[MARs]])*INT(P[[#This Row],[MARs]]/30+1)&amp;"Ma,"&amp;SIGN(T27-P[[#This Row],[Merc]])*INT(P[[#This Row],[Merc]]/30+1)&amp;"Me,"&amp;SIGN(U27-P[[#This Row],[Jup]])*INT(P[[#This Row],[Jup]]/30+1)&amp;"Ju,"&amp;SIGN(V27-P[[#This Row],[Venu]])*INT(P[[#This Row],[Venu]]/30+1)&amp;"Ve,"&amp;SIGN(W27-P[[#This Row],[Sat]])*INT(P[[#This Row],[Sat]]/30+1)&amp;"Sa,"&amp;INT(P[[#This Row],[Rah]]/30+1)&amp;"Ra"</f>
        <v>8Ma,9Me,7Ju,10Ve,9Sa,4Ra</v>
      </c>
      <c r="S26" s="124">
        <f ca="1">Planet(P[[#This Row],[GMT Sun Rise]],4)</f>
        <v>210.65595807645113</v>
      </c>
      <c r="T26" s="124">
        <f ca="1">Planet(P[[#This Row],[GMT Sun Rise]],2)</f>
        <v>255.3891244464111</v>
      </c>
      <c r="U26" s="124">
        <f ca="1">Planet(P[[#This Row],[GMT Sun Rise]],5)</f>
        <v>205.44959569047262</v>
      </c>
      <c r="V26" s="124">
        <f ca="1">Planet(P[[#This Row],[GMT Sun Rise]],3)</f>
        <v>275.86276854937267</v>
      </c>
      <c r="W26" s="124">
        <f ca="1">Planet(P[[#This Row],[GMT Sun Rise]],6)</f>
        <v>249.23707357018765</v>
      </c>
      <c r="X26" s="124">
        <f ca="1">Planet(P[[#This Row],[GMT Sun Rise]],10)</f>
        <v>111.88807638488296</v>
      </c>
      <c r="Y26" s="124">
        <f ca="1">SIGN(S27-P[[#This Row],[MARs]])</f>
        <v>1</v>
      </c>
    </row>
    <row r="27" spans="1:25" x14ac:dyDescent="0.2">
      <c r="A27" s="125">
        <f t="shared" ca="1" si="11"/>
        <v>43119</v>
      </c>
      <c r="B27" s="125">
        <f t="shared" ca="1" si="8"/>
        <v>43119.229166666664</v>
      </c>
      <c r="C27" s="130">
        <f t="shared" ca="1" si="2"/>
        <v>43119.276312556271</v>
      </c>
      <c r="D27" s="130">
        <f t="shared" ca="1" si="3"/>
        <v>43118.751551290552</v>
      </c>
      <c r="E27" s="134">
        <f ca="1">P[[#This Row],[SunRise]]-TimeZone/24</f>
        <v>43119.047145889606</v>
      </c>
      <c r="F27" s="135">
        <f t="shared" ca="1" si="6"/>
        <v>274.79007639284964</v>
      </c>
      <c r="G27" s="128">
        <f t="shared" ca="1" si="9"/>
        <v>296.14687280277377</v>
      </c>
      <c r="H27" s="129">
        <f t="shared" ca="1" si="10"/>
        <v>43119.047145889606</v>
      </c>
      <c r="I27" s="124" t="str">
        <f ca="1">naks(P[[#This Row],[Moon]])</f>
        <v>Dhanistha</v>
      </c>
      <c r="J27" s="130">
        <f ca="1">(C28-P[[#This Row],[SunRise]])/(G28-P[[#This Row],[Moon]])*(13.3333333333333-MOD(P[[#This Row],[Moon]],13.333333333333))+P[[#This Row],[SunRise]]</f>
        <v>43120.143361735325</v>
      </c>
      <c r="K27" s="124" t="str">
        <f ca="1">IF(P[[#This Row],[Tithi]]&gt;15,"K","S")&amp;ROUNDUP(MOD(P[[#This Row],[Tithi]],15),0)&amp;" ("&amp;ROUND(P[[#This Row],[Tithi]],2)&amp;")"</f>
        <v>S2 (1.78)</v>
      </c>
      <c r="L27" s="124">
        <f ca="1">IF(AND(P[[#This Row],[Tithi]]&lt;28.5,P[[#This Row],[Tithi]]&gt;0.49999),MOD((P[[#This Row],[Tithi]]-0.5)*2,7),MOD((P[[#This Row],[Tithi]]+30-28.5),30)*2+7)</f>
        <v>2.5596000000000001</v>
      </c>
      <c r="M27" s="124" t="str">
        <f ca="1">CHOOSE(ROUNDUP(P[[#This Row],[Karana1]],0),"Bhava","Baalava","Kaulava","Taitula","Garija","Vanija","Vishti","Shakuni","Chatushapda","Naaga","Kimstugna")</f>
        <v>Kaulava</v>
      </c>
      <c r="N2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(15.83)</v>
      </c>
      <c r="O27" s="124">
        <f ca="1">IF(AND(P[[#This Row],[Tithi]]&lt;28.5,P[[#This Row],[Tithi]]&gt;0.49999),MOD((P[[#This Row],[Tithi]]-0.5)*2,7),MOD((P[[#This Row],[Tithi]]+30-28.5),30)*2+7)</f>
        <v>2.5596000000000001</v>
      </c>
      <c r="P27" s="124">
        <f ca="1">ROUNDUP(MOD(360+P[[#This Row],[Moon]]-P[[#This Row],[Sun]],360)/12,4)</f>
        <v>1.7798</v>
      </c>
      <c r="Q27" s="124">
        <f t="shared" ca="1" si="5"/>
        <v>15.83</v>
      </c>
      <c r="R27" s="124" t="str">
        <f ca="1">SIGN(S28-P[[#This Row],[MARs]])*INT(P[[#This Row],[MARs]]/30+1)&amp;"Ma,"&amp;SIGN(T28-P[[#This Row],[Merc]])*INT(P[[#This Row],[Merc]]/30+1)&amp;"Me,"&amp;SIGN(U28-P[[#This Row],[Jup]])*INT(P[[#This Row],[Jup]]/30+1)&amp;"Ju,"&amp;SIGN(V28-P[[#This Row],[Venu]])*INT(P[[#This Row],[Venu]]/30+1)&amp;"Ve,"&amp;SIGN(W28-P[[#This Row],[Sat]])*INT(P[[#This Row],[Sat]]/30+1)&amp;"Sa,"&amp;INT(P[[#This Row],[Rah]]/30+1)&amp;"Ra"</f>
        <v>8Ma,9Me,7Ju,10Ve,9Sa,4Ra</v>
      </c>
      <c r="S27" s="124">
        <f ca="1">Planet(P[[#This Row],[GMT Sun Rise]],4)</f>
        <v>211.27443055316601</v>
      </c>
      <c r="T27" s="124">
        <f ca="1">Planet(P[[#This Row],[GMT Sun Rise]],2)</f>
        <v>256.83494428696457</v>
      </c>
      <c r="U27" s="124">
        <f ca="1">Planet(P[[#This Row],[GMT Sun Rise]],5)</f>
        <v>205.5856883989313</v>
      </c>
      <c r="V27" s="124">
        <f ca="1">Planet(P[[#This Row],[GMT Sun Rise]],3)</f>
        <v>277.12014522512362</v>
      </c>
      <c r="W27" s="124">
        <f ca="1">Planet(P[[#This Row],[GMT Sun Rise]],6)</f>
        <v>249.34784387169307</v>
      </c>
      <c r="X27" s="124">
        <f ca="1">Planet(P[[#This Row],[GMT Sun Rise]],10)</f>
        <v>111.83508085786814</v>
      </c>
      <c r="Y27" s="124">
        <f ca="1">SIGN(S28-P[[#This Row],[MARs]])</f>
        <v>1</v>
      </c>
    </row>
    <row r="28" spans="1:25" x14ac:dyDescent="0.2">
      <c r="A28" s="125">
        <f t="shared" ca="1" si="11"/>
        <v>43120</v>
      </c>
      <c r="B28" s="125">
        <f t="shared" ca="1" si="8"/>
        <v>43120.229166666664</v>
      </c>
      <c r="C28" s="130">
        <f t="shared" ca="1" si="2"/>
        <v>43120.276366438869</v>
      </c>
      <c r="D28" s="130">
        <f t="shared" ca="1" si="3"/>
        <v>43119.751922269861</v>
      </c>
      <c r="E28" s="134">
        <f ca="1">P[[#This Row],[SunRise]]-TimeZone/24</f>
        <v>43120.047199772205</v>
      </c>
      <c r="F28" s="135">
        <f t="shared" ca="1" si="6"/>
        <v>275.80830974807805</v>
      </c>
      <c r="G28" s="128">
        <f t="shared" ca="1" si="9"/>
        <v>308.28039527398818</v>
      </c>
      <c r="H28" s="129">
        <f t="shared" ca="1" si="10"/>
        <v>43120.047199772205</v>
      </c>
      <c r="I28" s="124" t="str">
        <f ca="1">naks(P[[#This Row],[Moon]])</f>
        <v>Satabhisaj</v>
      </c>
      <c r="J28" s="130">
        <f ca="1">(C29-P[[#This Row],[SunRise]])/(G29-P[[#This Row],[Moon]])*(13.3333333333333-MOD(P[[#This Row],[Moon]],13.333333333333))+P[[#This Row],[SunRise]]</f>
        <v>43121.229183851246</v>
      </c>
      <c r="K28" s="124" t="str">
        <f ca="1">IF(P[[#This Row],[Tithi]]&gt;15,"K","S")&amp;ROUNDUP(MOD(P[[#This Row],[Tithi]],15),0)&amp;" ("&amp;ROUND(P[[#This Row],[Tithi]],2)&amp;")"</f>
        <v>S3 (2.71)</v>
      </c>
      <c r="L28" s="124">
        <f ca="1">IF(AND(P[[#This Row],[Tithi]]&lt;28.5,P[[#This Row],[Tithi]]&gt;0.49999),MOD((P[[#This Row],[Tithi]]-0.5)*2,7),MOD((P[[#This Row],[Tithi]]+30-28.5),30)*2+7)</f>
        <v>4.4122000000000003</v>
      </c>
      <c r="M28" s="124" t="str">
        <f ca="1">CHOOSE(ROUNDUP(P[[#This Row],[Karana1]],0),"Bhava","Baalava","Kaulava","Taitula","Garija","Vanija","Vishti","Shakuni","Chatushapda","Naaga","Kimstugna")</f>
        <v>Garija</v>
      </c>
      <c r="N2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(16.81)</v>
      </c>
      <c r="O28" s="124">
        <f ca="1">IF(AND(P[[#This Row],[Tithi]]&lt;28.5,P[[#This Row],[Tithi]]&gt;0.49999),MOD((P[[#This Row],[Tithi]]-0.5)*2,7),MOD((P[[#This Row],[Tithi]]+30-28.5),30)*2+7)</f>
        <v>4.4122000000000003</v>
      </c>
      <c r="P28" s="124">
        <f ca="1">ROUNDUP(MOD(360+P[[#This Row],[Moon]]-P[[#This Row],[Sun]],360)/12,4)</f>
        <v>2.7061000000000002</v>
      </c>
      <c r="Q28" s="124">
        <f t="shared" ca="1" si="5"/>
        <v>16.810000000000002</v>
      </c>
      <c r="R28" s="124" t="str">
        <f ca="1">SIGN(S29-P[[#This Row],[MARs]])*INT(P[[#This Row],[MARs]]/30+1)&amp;"Ma,"&amp;SIGN(T29-P[[#This Row],[Merc]])*INT(P[[#This Row],[Merc]]/30+1)&amp;"Me,"&amp;SIGN(U29-P[[#This Row],[Jup]])*INT(P[[#This Row],[Jup]]/30+1)&amp;"Ju,"&amp;SIGN(V29-P[[#This Row],[Venu]])*INT(P[[#This Row],[Venu]]/30+1)&amp;"Ve,"&amp;SIGN(W29-P[[#This Row],[Sat]])*INT(P[[#This Row],[Sat]]/30+1)&amp;"Sa,"&amp;INT(P[[#This Row],[Rah]]/30+1)&amp;"Ra"</f>
        <v>8Ma,9Me,7Ju,10Ve,9Sa,4Ra</v>
      </c>
      <c r="S28" s="124">
        <f ca="1">Planet(P[[#This Row],[GMT Sun Rise]],4)</f>
        <v>211.89247138414905</v>
      </c>
      <c r="T28" s="124">
        <f ca="1">Planet(P[[#This Row],[GMT Sun Rise]],2)</f>
        <v>258.29293656845442</v>
      </c>
      <c r="U28" s="124">
        <f ca="1">Planet(P[[#This Row],[GMT Sun Rise]],5)</f>
        <v>205.71963131209355</v>
      </c>
      <c r="V28" s="124">
        <f ca="1">Planet(P[[#This Row],[GMT Sun Rise]],3)</f>
        <v>278.37737202502876</v>
      </c>
      <c r="W28" s="124">
        <f ca="1">Planet(P[[#This Row],[GMT Sun Rise]],6)</f>
        <v>249.45806694002223</v>
      </c>
      <c r="X28" s="124">
        <f ca="1">Planet(P[[#This Row],[GMT Sun Rise]],10)</f>
        <v>111.78208600467597</v>
      </c>
      <c r="Y28" s="124">
        <f ca="1">SIGN(S29-P[[#This Row],[MARs]])</f>
        <v>1</v>
      </c>
    </row>
    <row r="29" spans="1:25" x14ac:dyDescent="0.2">
      <c r="A29" s="125">
        <f t="shared" ca="1" si="11"/>
        <v>43121</v>
      </c>
      <c r="B29" s="125">
        <f t="shared" ca="1" si="8"/>
        <v>43121.229166666664</v>
      </c>
      <c r="C29" s="130">
        <f t="shared" ca="1" si="2"/>
        <v>43121.276407129284</v>
      </c>
      <c r="D29" s="130">
        <f t="shared" ca="1" si="3"/>
        <v>43120.752288957636</v>
      </c>
      <c r="E29" s="134">
        <f ca="1">P[[#This Row],[SunRise]]-TimeZone/24</f>
        <v>43121.04724046262</v>
      </c>
      <c r="F29" s="135">
        <f t="shared" ca="1" si="6"/>
        <v>276.82631756341959</v>
      </c>
      <c r="G29" s="128">
        <f t="shared" ca="1" si="9"/>
        <v>320.58084386923281</v>
      </c>
      <c r="H29" s="129">
        <f t="shared" ca="1" si="10"/>
        <v>43121.04724046262</v>
      </c>
      <c r="I29" s="124" t="str">
        <f ca="1">naks(P[[#This Row],[Moon]])</f>
        <v>Purva Bhadrapada</v>
      </c>
      <c r="J29" s="130">
        <f ca="1">(C30-P[[#This Row],[SunRise]])/(G30-P[[#This Row],[Moon]])*(13.3333333333333-MOD(P[[#This Row],[Moon]],13.333333333333))+P[[#This Row],[SunRise]]</f>
        <v>43122.29573154376</v>
      </c>
      <c r="K29" s="124" t="str">
        <f ca="1">IF(P[[#This Row],[Tithi]]&gt;15,"K","S")&amp;ROUNDUP(MOD(P[[#This Row],[Tithi]],15),0)&amp;" ("&amp;ROUND(P[[#This Row],[Tithi]],2)&amp;")"</f>
        <v>S4 (3.65)</v>
      </c>
      <c r="L29" s="124">
        <f ca="1">IF(AND(P[[#This Row],[Tithi]]&lt;28.5,P[[#This Row],[Tithi]]&gt;0.49999),MOD((P[[#This Row],[Tithi]]-0.5)*2,7),MOD((P[[#This Row],[Tithi]]+30-28.5),30)*2+7)</f>
        <v>6.2926000000000002</v>
      </c>
      <c r="M29" s="124" t="str">
        <f ca="1">CHOOSE(ROUNDUP(P[[#This Row],[Karana1]],0),"Bhava","Baalava","Kaulava","Taitula","Garija","Vanija","Vishti","Shakuni","Chatushapda","Naaga","Kimstugna")</f>
        <v>Vishti</v>
      </c>
      <c r="N2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(17.81)</v>
      </c>
      <c r="O29" s="124">
        <f ca="1">IF(AND(P[[#This Row],[Tithi]]&lt;28.5,P[[#This Row],[Tithi]]&gt;0.49999),MOD((P[[#This Row],[Tithi]]-0.5)*2,7),MOD((P[[#This Row],[Tithi]]+30-28.5),30)*2+7)</f>
        <v>6.2926000000000002</v>
      </c>
      <c r="P29" s="124">
        <f ca="1">ROUNDUP(MOD(360+P[[#This Row],[Moon]]-P[[#This Row],[Sun]],360)/12,4)</f>
        <v>3.6463000000000001</v>
      </c>
      <c r="Q29" s="124">
        <f t="shared" ca="1" si="5"/>
        <v>17.810000000000002</v>
      </c>
      <c r="R29" s="124" t="str">
        <f ca="1">SIGN(S30-P[[#This Row],[MARs]])*INT(P[[#This Row],[MARs]]/30+1)&amp;"Ma,"&amp;SIGN(T30-P[[#This Row],[Merc]])*INT(P[[#This Row],[Merc]]/30+1)&amp;"Me,"&amp;SIGN(U30-P[[#This Row],[Jup]])*INT(P[[#This Row],[Jup]]/30+1)&amp;"Ju,"&amp;SIGN(V30-P[[#This Row],[Venu]])*INT(P[[#This Row],[Venu]]/30+1)&amp;"Ve,"&amp;SIGN(W30-P[[#This Row],[Sat]])*INT(P[[#This Row],[Sat]]/30+1)&amp;"Sa,"&amp;INT(P[[#This Row],[Rah]]/30+1)&amp;"Ra"</f>
        <v>8Ma,9Me,7Ju,10Ve,9Sa,4Ra</v>
      </c>
      <c r="S29" s="124">
        <f ca="1">Planet(P[[#This Row],[GMT Sun Rise]],4)</f>
        <v>212.51006994810314</v>
      </c>
      <c r="T29" s="124">
        <f ca="1">Planet(P[[#This Row],[GMT Sun Rise]],2)</f>
        <v>259.76266919051653</v>
      </c>
      <c r="U29" s="124">
        <f ca="1">Planet(P[[#This Row],[GMT Sun Rise]],5)</f>
        <v>205.85139513513849</v>
      </c>
      <c r="V29" s="124">
        <f ca="1">Planet(P[[#This Row],[GMT Sun Rise]],3)</f>
        <v>279.63443572533731</v>
      </c>
      <c r="W29" s="124">
        <f ca="1">Planet(P[[#This Row],[GMT Sun Rise]],6)</f>
        <v>249.56772260889721</v>
      </c>
      <c r="X29" s="124">
        <f ca="1">Planet(P[[#This Row],[GMT Sun Rise]],10)</f>
        <v>111.72909185054053</v>
      </c>
      <c r="Y29" s="124">
        <f ca="1">SIGN(S30-P[[#This Row],[MARs]])</f>
        <v>1</v>
      </c>
    </row>
    <row r="30" spans="1:25" x14ac:dyDescent="0.2">
      <c r="A30" s="125">
        <f t="shared" ca="1" si="11"/>
        <v>43122</v>
      </c>
      <c r="B30" s="125">
        <f t="shared" ca="1" si="8"/>
        <v>43122.229166666664</v>
      </c>
      <c r="C30" s="130">
        <f t="shared" ca="1" si="2"/>
        <v>43122.27643494463</v>
      </c>
      <c r="D30" s="130">
        <f t="shared" ca="1" si="3"/>
        <v>43121.752651035829</v>
      </c>
      <c r="E30" s="134">
        <f ca="1">P[[#This Row],[SunRise]]-TimeZone/24</f>
        <v>43122.047268277965</v>
      </c>
      <c r="F30" s="135">
        <f t="shared" ca="1" si="6"/>
        <v>277.84407744765321</v>
      </c>
      <c r="G30" s="128">
        <f t="shared" ca="1" si="9"/>
        <v>333.09191884974416</v>
      </c>
      <c r="H30" s="129">
        <f t="shared" ca="1" si="10"/>
        <v>43122.047268277965</v>
      </c>
      <c r="I30" s="124" t="str">
        <f ca="1">naks(P[[#This Row],[Moon]])</f>
        <v>Purva Bhadrapada</v>
      </c>
      <c r="J30" s="130">
        <f ca="1">(C31-P[[#This Row],[SunRise]])/(G31-P[[#This Row],[Moon]])*(13.3333333333333-MOD(P[[#This Row],[Moon]],13.333333333333))+P[[#This Row],[SunRise]]</f>
        <v>43122.295341051329</v>
      </c>
      <c r="K30" s="124" t="str">
        <f ca="1">IF(P[[#This Row],[Tithi]]&gt;15,"K","S")&amp;ROUNDUP(MOD(P[[#This Row],[Tithi]],15),0)&amp;" ("&amp;ROUND(P[[#This Row],[Tithi]],2)&amp;")"</f>
        <v>S5 (4.6)</v>
      </c>
      <c r="L30" s="124">
        <f ca="1">IF(AND(P[[#This Row],[Tithi]]&lt;28.5,P[[#This Row],[Tithi]]&gt;0.49999),MOD((P[[#This Row],[Tithi]]-0.5)*2,7),MOD((P[[#This Row],[Tithi]]+30-28.5),30)*2+7)</f>
        <v>1.2080000000000002</v>
      </c>
      <c r="M30" s="124" t="str">
        <f ca="1">CHOOSE(ROUNDUP(P[[#This Row],[Karana1]],0),"Bhava","Baalava","Kaulava","Taitula","Garija","Vanija","Vishti","Shakuni","Chatushapda","Naaga","Kimstugna")</f>
        <v>Baalava</v>
      </c>
      <c r="N3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(18.83)</v>
      </c>
      <c r="O30" s="124">
        <f ca="1">IF(AND(P[[#This Row],[Tithi]]&lt;28.5,P[[#This Row],[Tithi]]&gt;0.49999),MOD((P[[#This Row],[Tithi]]-0.5)*2,7),MOD((P[[#This Row],[Tithi]]+30-28.5),30)*2+7)</f>
        <v>1.2080000000000002</v>
      </c>
      <c r="P30" s="124">
        <f ca="1">ROUNDUP(MOD(360+P[[#This Row],[Moon]]-P[[#This Row],[Sun]],360)/12,4)</f>
        <v>4.6040000000000001</v>
      </c>
      <c r="Q30" s="124">
        <f t="shared" ca="1" si="5"/>
        <v>18.830000000000002</v>
      </c>
      <c r="R30" s="124" t="str">
        <f ca="1">SIGN(S31-P[[#This Row],[MARs]])*INT(P[[#This Row],[MARs]]/30+1)&amp;"Ma,"&amp;SIGN(T31-P[[#This Row],[Merc]])*INT(P[[#This Row],[Merc]]/30+1)&amp;"Me,"&amp;SIGN(U31-P[[#This Row],[Jup]])*INT(P[[#This Row],[Jup]]/30+1)&amp;"Ju,"&amp;SIGN(V31-P[[#This Row],[Venu]])*INT(P[[#This Row],[Venu]]/30+1)&amp;"Ve,"&amp;SIGN(W31-P[[#This Row],[Sat]])*INT(P[[#This Row],[Sat]]/30+1)&amp;"Sa,"&amp;INT(P[[#This Row],[Rah]]/30+1)&amp;"Ra"</f>
        <v>8Ma,9Me,7Ju,10Ve,9Sa,4Ra</v>
      </c>
      <c r="S30" s="124">
        <f ca="1">Planet(P[[#This Row],[GMT Sun Rise]],4)</f>
        <v>213.1272176704602</v>
      </c>
      <c r="T30" s="124">
        <f ca="1">Planet(P[[#This Row],[GMT Sun Rise]],2)</f>
        <v>261.24380174688469</v>
      </c>
      <c r="U30" s="124">
        <f ca="1">Planet(P[[#This Row],[GMT Sun Rise]],5)</f>
        <v>205.98095138834134</v>
      </c>
      <c r="V30" s="124">
        <f ca="1">Planet(P[[#This Row],[GMT Sun Rise]],3)</f>
        <v>280.89132436693382</v>
      </c>
      <c r="W30" s="124">
        <f ca="1">Planet(P[[#This Row],[GMT Sun Rise]],6)</f>
        <v>249.67679107543464</v>
      </c>
      <c r="X30" s="124">
        <f ca="1">Planet(P[[#This Row],[GMT Sun Rise]],10)</f>
        <v>111.67609837871093</v>
      </c>
      <c r="Y30" s="124">
        <f ca="1">SIGN(S31-P[[#This Row],[MARs]])</f>
        <v>1</v>
      </c>
    </row>
    <row r="31" spans="1:25" x14ac:dyDescent="0.2">
      <c r="A31" s="125">
        <f t="shared" ca="1" si="11"/>
        <v>43123</v>
      </c>
      <c r="B31" s="125">
        <f t="shared" ca="1" si="8"/>
        <v>43123.229166666664</v>
      </c>
      <c r="C31" s="130">
        <f t="shared" ca="1" si="2"/>
        <v>43123.276449567791</v>
      </c>
      <c r="D31" s="130">
        <f t="shared" ca="1" si="3"/>
        <v>43122.753008186861</v>
      </c>
      <c r="E31" s="134">
        <f ca="1">P[[#This Row],[SunRise]]-TimeZone/24</f>
        <v>43123.047282901127</v>
      </c>
      <c r="F31" s="135">
        <f t="shared" ca="1" si="6"/>
        <v>278.86156777964504</v>
      </c>
      <c r="G31" s="128">
        <f t="shared" ca="1" si="9"/>
        <v>345.86123289770876</v>
      </c>
      <c r="H31" s="129">
        <f t="shared" ca="1" si="10"/>
        <v>43123.047282901127</v>
      </c>
      <c r="I31" s="124" t="str">
        <f ca="1">naks(P[[#This Row],[Moon]])</f>
        <v>Uttara Bhadrapada</v>
      </c>
      <c r="J31" s="130">
        <f ca="1">(C32-P[[#This Row],[SunRise]])/(G32-P[[#This Row],[Moon]])*(13.3333333333333-MOD(P[[#This Row],[Moon]],13.333333333333))+P[[#This Row],[SunRise]]</f>
        <v>43123.338047131328</v>
      </c>
      <c r="K31" s="124" t="str">
        <f ca="1">IF(P[[#This Row],[Tithi]]&gt;15,"K","S")&amp;ROUNDUP(MOD(P[[#This Row],[Tithi]],15),0)&amp;" ("&amp;ROUND(P[[#This Row],[Tithi]],2)&amp;")"</f>
        <v>S6 (5.58)</v>
      </c>
      <c r="L31" s="124">
        <f ca="1">IF(AND(P[[#This Row],[Tithi]]&lt;28.5,P[[#This Row],[Tithi]]&gt;0.49999),MOD((P[[#This Row],[Tithi]]-0.5)*2,7),MOD((P[[#This Row],[Tithi]]+30-28.5),30)*2+7)</f>
        <v>3.1668000000000003</v>
      </c>
      <c r="M31" s="124" t="str">
        <f ca="1">CHOOSE(ROUNDUP(P[[#This Row],[Karana1]],0),"Bhava","Baalava","Kaulava","Taitula","Garija","Vanija","Vishti","Shakuni","Chatushapda","Naaga","Kimstugna")</f>
        <v>Taitula</v>
      </c>
      <c r="N3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(19.86)</v>
      </c>
      <c r="O31" s="124">
        <f ca="1">IF(AND(P[[#This Row],[Tithi]]&lt;28.5,P[[#This Row],[Tithi]]&gt;0.49999),MOD((P[[#This Row],[Tithi]]-0.5)*2,7),MOD((P[[#This Row],[Tithi]]+30-28.5),30)*2+7)</f>
        <v>3.1668000000000003</v>
      </c>
      <c r="P31" s="124">
        <f ca="1">ROUNDUP(MOD(360+P[[#This Row],[Moon]]-P[[#This Row],[Sun]],360)/12,4)</f>
        <v>5.5834000000000001</v>
      </c>
      <c r="Q31" s="124">
        <f t="shared" ca="1" si="5"/>
        <v>19.860000000000003</v>
      </c>
      <c r="R31" s="124" t="str">
        <f ca="1">SIGN(S32-P[[#This Row],[MARs]])*INT(P[[#This Row],[MARs]]/30+1)&amp;"Ma,"&amp;SIGN(T32-P[[#This Row],[Merc]])*INT(P[[#This Row],[Merc]]/30+1)&amp;"Me,"&amp;SIGN(U32-P[[#This Row],[Jup]])*INT(P[[#This Row],[Jup]]/30+1)&amp;"Ju,"&amp;SIGN(V32-P[[#This Row],[Venu]])*INT(P[[#This Row],[Venu]]/30+1)&amp;"Ve,"&amp;SIGN(W32-P[[#This Row],[Sat]])*INT(P[[#This Row],[Sat]]/30+1)&amp;"Sa,"&amp;INT(P[[#This Row],[Rah]]/30+1)&amp;"Ra"</f>
        <v>8Ma,9Me,7Ju,10Ve,9Sa,4Ra</v>
      </c>
      <c r="S31" s="124">
        <f ca="1">Planet(P[[#This Row],[GMT Sun Rise]],4)</f>
        <v>213.74390735450521</v>
      </c>
      <c r="T31" s="124">
        <f ca="1">Planet(P[[#This Row],[GMT Sun Rise]],2)</f>
        <v>262.73607360517087</v>
      </c>
      <c r="U31" s="124">
        <f ca="1">Planet(P[[#This Row],[GMT Sun Rise]],5)</f>
        <v>206.10827228156239</v>
      </c>
      <c r="V31" s="124">
        <f ca="1">Planet(P[[#This Row],[GMT Sun Rise]],3)</f>
        <v>282.14802572908087</v>
      </c>
      <c r="W31" s="124">
        <f ca="1">Planet(P[[#This Row],[GMT Sun Rise]],6)</f>
        <v>249.78525280846208</v>
      </c>
      <c r="X31" s="124">
        <f ca="1">Planet(P[[#This Row],[GMT Sun Rise]],10)</f>
        <v>111.62310560593815</v>
      </c>
      <c r="Y31" s="124">
        <f ca="1">SIGN(S32-P[[#This Row],[MARs]])</f>
        <v>1</v>
      </c>
    </row>
    <row r="32" spans="1:25" x14ac:dyDescent="0.2">
      <c r="A32" s="125">
        <f t="shared" ca="1" si="11"/>
        <v>43124</v>
      </c>
      <c r="B32" s="125">
        <f t="shared" ca="1" si="8"/>
        <v>43124.229166666664</v>
      </c>
      <c r="C32" s="130">
        <f t="shared" ca="1" si="2"/>
        <v>43124.276450839046</v>
      </c>
      <c r="D32" s="130">
        <f t="shared" ca="1" si="3"/>
        <v>43123.75336025194</v>
      </c>
      <c r="E32" s="134">
        <f ca="1">P[[#This Row],[SunRise]]-TimeZone/24</f>
        <v>43124.047284172382</v>
      </c>
      <c r="F32" s="135">
        <f t="shared" ca="1" si="6"/>
        <v>279.87876909442519</v>
      </c>
      <c r="G32" s="128">
        <f t="shared" ca="1" si="9"/>
        <v>358.9369902263208</v>
      </c>
      <c r="H32" s="129">
        <f t="shared" ca="1" si="10"/>
        <v>43124.047284172382</v>
      </c>
      <c r="I32" s="124" t="str">
        <f ca="1">naks(P[[#This Row],[Moon]])</f>
        <v>Revati</v>
      </c>
      <c r="J32" s="130">
        <f ca="1">(C33-P[[#This Row],[SunRise]])/(G33-P[[#This Row],[Moon]])*(13.3333333333333-MOD(P[[#This Row],[Moon]],13.333333333333))+P[[#This Row],[SunRise]]</f>
        <v>43124.27338368824</v>
      </c>
      <c r="K32" s="124" t="str">
        <f ca="1">IF(P[[#This Row],[Tithi]]&gt;15,"K","S")&amp;ROUNDUP(MOD(P[[#This Row],[Tithi]],15),0)&amp;" ("&amp;ROUND(P[[#This Row],[Tithi]],2)&amp;")"</f>
        <v>S7 (6.59)</v>
      </c>
      <c r="L32" s="124">
        <f ca="1">IF(AND(P[[#This Row],[Tithi]]&lt;28.5,P[[#This Row],[Tithi]]&gt;0.49999),MOD((P[[#This Row],[Tithi]]-0.5)*2,7),MOD((P[[#This Row],[Tithi]]+30-28.5),30)*2+7)</f>
        <v>5.1763999999999992</v>
      </c>
      <c r="M32" s="124" t="str">
        <f ca="1">CHOOSE(ROUNDUP(P[[#This Row],[Karana1]],0),"Bhava","Baalava","Kaulava","Taitula","Garija","Vanija","Vishti","Shakuni","Chatushapda","Naaga","Kimstugna")</f>
        <v>Vanija</v>
      </c>
      <c r="N3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(20.92)</v>
      </c>
      <c r="O32" s="124">
        <f ca="1">IF(AND(P[[#This Row],[Tithi]]&lt;28.5,P[[#This Row],[Tithi]]&gt;0.49999),MOD((P[[#This Row],[Tithi]]-0.5)*2,7),MOD((P[[#This Row],[Tithi]]+30-28.5),30)*2+7)</f>
        <v>5.1763999999999992</v>
      </c>
      <c r="P32" s="124">
        <f ca="1">ROUNDUP(MOD(360+P[[#This Row],[Moon]]-P[[#This Row],[Sun]],360)/12,4)</f>
        <v>6.5881999999999996</v>
      </c>
      <c r="Q32" s="124">
        <f t="shared" ca="1" si="5"/>
        <v>20.92</v>
      </c>
      <c r="R32" s="124" t="str">
        <f ca="1">SIGN(S33-P[[#This Row],[MARs]])*INT(P[[#This Row],[MARs]]/30+1)&amp;"Ma,"&amp;SIGN(T33-P[[#This Row],[Merc]])*INT(P[[#This Row],[Merc]]/30+1)&amp;"Me,"&amp;SIGN(U33-P[[#This Row],[Jup]])*INT(P[[#This Row],[Jup]]/30+1)&amp;"Ju,"&amp;SIGN(V33-P[[#This Row],[Venu]])*INT(P[[#This Row],[Venu]]/30+1)&amp;"Ve,"&amp;SIGN(W33-P[[#This Row],[Sat]])*INT(P[[#This Row],[Sat]]/30+1)&amp;"Sa,"&amp;INT(P[[#This Row],[Rah]]/30+1)&amp;"Ra"</f>
        <v>8Ma,9Me,7Ju,10Ve,9Sa,4Ra</v>
      </c>
      <c r="S32" s="124">
        <f ca="1">Planet(P[[#This Row],[GMT Sun Rise]],4)</f>
        <v>214.36013382355688</v>
      </c>
      <c r="T32" s="124">
        <f ca="1">Planet(P[[#This Row],[GMT Sun Rise]],2)</f>
        <v>264.23929650299181</v>
      </c>
      <c r="U32" s="124">
        <f ca="1">Planet(P[[#This Row],[GMT Sun Rise]],5)</f>
        <v>206.23333085427143</v>
      </c>
      <c r="V32" s="124">
        <f ca="1">Planet(P[[#This Row],[GMT Sun Rise]],3)</f>
        <v>283.40452862489985</v>
      </c>
      <c r="W32" s="124">
        <f ca="1">Planet(P[[#This Row],[GMT Sun Rise]],6)</f>
        <v>249.89308869341872</v>
      </c>
      <c r="X32" s="124">
        <f ca="1">Planet(P[[#This Row],[GMT Sun Rise]],10)</f>
        <v>111.57011354072203</v>
      </c>
      <c r="Y32" s="124">
        <f ca="1">SIGN(S33-P[[#This Row],[MARs]])</f>
        <v>1</v>
      </c>
    </row>
    <row r="33" spans="1:25" x14ac:dyDescent="0.2">
      <c r="A33" s="125">
        <f t="shared" ca="1" si="11"/>
        <v>43125</v>
      </c>
      <c r="B33" s="125">
        <f t="shared" ca="1" si="8"/>
        <v>43125.229166666664</v>
      </c>
      <c r="C33" s="130">
        <f t="shared" ca="1" si="2"/>
        <v>43125.276439077374</v>
      </c>
      <c r="D33" s="130">
        <f t="shared" ca="1" si="3"/>
        <v>43124.753706912554</v>
      </c>
      <c r="E33" s="134">
        <f ca="1">P[[#This Row],[SunRise]]-TimeZone/24</f>
        <v>43125.047272410709</v>
      </c>
      <c r="F33" s="135">
        <f t="shared" ca="1" si="6"/>
        <v>280.89566502134176</v>
      </c>
      <c r="G33" s="128">
        <f t="shared" ca="1" si="9"/>
        <v>12.362160063617001</v>
      </c>
      <c r="H33" s="129">
        <f t="shared" ca="1" si="10"/>
        <v>43125.047272410709</v>
      </c>
      <c r="I33" s="124" t="str">
        <f ca="1">naks(P[[#This Row],[Moon]])</f>
        <v>Aswini</v>
      </c>
      <c r="J33" s="130">
        <f ca="1">(C34-P[[#This Row],[SunRise]])/(G34-P[[#This Row],[Moon]])*(13.3333333333333-MOD(P[[#This Row],[Moon]],13.333333333333))+P[[#This Row],[SunRise]]</f>
        <v>43125.346791925607</v>
      </c>
      <c r="K33" s="124" t="str">
        <f ca="1">IF(P[[#This Row],[Tithi]]&gt;15,"K","S")&amp;ROUNDUP(MOD(P[[#This Row],[Tithi]],15),0)&amp;" ("&amp;ROUND(P[[#This Row],[Tithi]],2)&amp;")"</f>
        <v>S8 (7.62)</v>
      </c>
      <c r="L33" s="124">
        <f ca="1">IF(AND(P[[#This Row],[Tithi]]&lt;28.5,P[[#This Row],[Tithi]]&gt;0.49999),MOD((P[[#This Row],[Tithi]]-0.5)*2,7),MOD((P[[#This Row],[Tithi]]+30-28.5),30)*2+7)</f>
        <v>0.24460000000000015</v>
      </c>
      <c r="M33" s="124" t="str">
        <f ca="1">CHOOSE(ROUNDUP(P[[#This Row],[Karana1]],0),"Bhava","Baalava","Kaulava","Taitula","Garija","Vanija","Vishti","Shakuni","Chatushapda","Naaga","Kimstugna")</f>
        <v>Bhava</v>
      </c>
      <c r="N3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(22)</v>
      </c>
      <c r="O33" s="124">
        <f ca="1">IF(AND(P[[#This Row],[Tithi]]&lt;28.5,P[[#This Row],[Tithi]]&gt;0.49999),MOD((P[[#This Row],[Tithi]]-0.5)*2,7),MOD((P[[#This Row],[Tithi]]+30-28.5),30)*2+7)</f>
        <v>0.24460000000000015</v>
      </c>
      <c r="P33" s="124">
        <f ca="1">ROUNDUP(MOD(360+P[[#This Row],[Moon]]-P[[#This Row],[Sun]],360)/12,4)</f>
        <v>7.6223000000000001</v>
      </c>
      <c r="Q33" s="124">
        <f t="shared" ca="1" si="5"/>
        <v>22</v>
      </c>
      <c r="R33" s="124" t="str">
        <f ca="1">SIGN(S34-P[[#This Row],[MARs]])*INT(P[[#This Row],[MARs]]/30+1)&amp;"Ma,"&amp;SIGN(T34-P[[#This Row],[Merc]])*INT(P[[#This Row],[Merc]]/30+1)&amp;"Me,"&amp;SIGN(U34-P[[#This Row],[Jup]])*INT(P[[#This Row],[Jup]]/30+1)&amp;"Ju,"&amp;SIGN(V34-P[[#This Row],[Venu]])*INT(P[[#This Row],[Venu]]/30+1)&amp;"Ve,"&amp;SIGN(W34-P[[#This Row],[Sat]])*INT(P[[#This Row],[Sat]]/30+1)&amp;"Sa,"&amp;INT(P[[#This Row],[Rah]]/30+1)&amp;"Ra"</f>
        <v>8Ma,9Me,7Ju,10Ve,9Sa,4Ra</v>
      </c>
      <c r="S33" s="124">
        <f ca="1">Planet(P[[#This Row],[GMT Sun Rise]],4)</f>
        <v>214.97589419635736</v>
      </c>
      <c r="T33" s="124">
        <f ca="1">Planet(P[[#This Row],[GMT Sun Rise]],2)</f>
        <v>265.75334754307505</v>
      </c>
      <c r="U33" s="124">
        <f ca="1">Planet(P[[#This Row],[GMT Sun Rise]],5)</f>
        <v>206.35610101561684</v>
      </c>
      <c r="V33" s="124">
        <f ca="1">Planet(P[[#This Row],[GMT Sun Rise]],3)</f>
        <v>284.66082362801677</v>
      </c>
      <c r="W33" s="124">
        <f ca="1">Planet(P[[#This Row],[GMT Sun Rise]],6)</f>
        <v>250.00028012176926</v>
      </c>
      <c r="X33" s="124">
        <f ca="1">Planet(P[[#This Row],[GMT Sun Rise]],10)</f>
        <v>111.51712216616231</v>
      </c>
      <c r="Y33" s="124">
        <f ca="1">SIGN(S34-P[[#This Row],[MARs]])</f>
        <v>1</v>
      </c>
    </row>
    <row r="34" spans="1:25" x14ac:dyDescent="0.2">
      <c r="A34" s="125">
        <f t="shared" ca="1" si="11"/>
        <v>43126</v>
      </c>
      <c r="B34" s="125">
        <f t="shared" ca="1" si="8"/>
        <v>43126.229166666664</v>
      </c>
      <c r="C34" s="130">
        <f t="shared" ca="1" si="2"/>
        <v>43126.276414122585</v>
      </c>
      <c r="D34" s="130">
        <f t="shared" ca="1" si="3"/>
        <v>43125.754047851122</v>
      </c>
      <c r="E34" s="134">
        <f ca="1">P[[#This Row],[SunRise]]-TimeZone/24</f>
        <v>43126.047247455921</v>
      </c>
      <c r="F34" s="135">
        <f t="shared" ca="1" si="6"/>
        <v>281.91224197276131</v>
      </c>
      <c r="G34" s="128">
        <f t="shared" ca="1" si="9"/>
        <v>26.166136145464755</v>
      </c>
      <c r="H34" s="129">
        <f t="shared" ca="1" si="10"/>
        <v>43126.047247455921</v>
      </c>
      <c r="I34" s="124" t="str">
        <f ca="1">naks(P[[#This Row],[Moon]])</f>
        <v>Bharani</v>
      </c>
      <c r="J34" s="130">
        <f ca="1">(C35-P[[#This Row],[SunRise]])/(G35-P[[#This Row],[Moon]])*(13.3333333333333-MOD(P[[#This Row],[Moon]],13.333333333333))+P[[#This Row],[SunRise]]</f>
        <v>43126.311689907248</v>
      </c>
      <c r="K34" s="124" t="str">
        <f ca="1">IF(P[[#This Row],[Tithi]]&gt;15,"K","S")&amp;ROUNDUP(MOD(P[[#This Row],[Tithi]],15),0)&amp;" ("&amp;ROUND(P[[#This Row],[Tithi]],2)&amp;")"</f>
        <v>S9 (8.69)</v>
      </c>
      <c r="L34" s="124">
        <f ca="1">IF(AND(P[[#This Row],[Tithi]]&lt;28.5,P[[#This Row],[Tithi]]&gt;0.49999),MOD((P[[#This Row],[Tithi]]-0.5)*2,7),MOD((P[[#This Row],[Tithi]]+30-28.5),30)*2+7)</f>
        <v>2.3757999999999981</v>
      </c>
      <c r="M34" s="124" t="str">
        <f ca="1">CHOOSE(ROUNDUP(P[[#This Row],[Karana1]],0),"Bhava","Baalava","Kaulava","Taitula","Garija","Vanija","Vishti","Shakuni","Chatushapda","Naaga","Kimstugna")</f>
        <v>Kaulava</v>
      </c>
      <c r="N3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(23.11)</v>
      </c>
      <c r="O34" s="124">
        <f ca="1">IF(AND(P[[#This Row],[Tithi]]&lt;28.5,P[[#This Row],[Tithi]]&gt;0.49999),MOD((P[[#This Row],[Tithi]]-0.5)*2,7),MOD((P[[#This Row],[Tithi]]+30-28.5),30)*2+7)</f>
        <v>2.3757999999999981</v>
      </c>
      <c r="P34" s="124">
        <f ca="1">ROUNDUP(MOD(360+P[[#This Row],[Moon]]-P[[#This Row],[Sun]],360)/12,4)</f>
        <v>8.6878999999999991</v>
      </c>
      <c r="Q34" s="124">
        <f t="shared" ca="1" si="5"/>
        <v>23.110000000000003</v>
      </c>
      <c r="R34" s="124" t="str">
        <f ca="1">SIGN(S35-P[[#This Row],[MARs]])*INT(P[[#This Row],[MARs]]/30+1)&amp;"Ma,"&amp;SIGN(T35-P[[#This Row],[Merc]])*INT(P[[#This Row],[Merc]]/30+1)&amp;"Me,"&amp;SIGN(U35-P[[#This Row],[Jup]])*INT(P[[#This Row],[Jup]]/30+1)&amp;"Ju,"&amp;SIGN(V35-P[[#This Row],[Venu]])*INT(P[[#This Row],[Venu]]/30+1)&amp;"Ve,"&amp;SIGN(W35-P[[#This Row],[Sat]])*INT(P[[#This Row],[Sat]]/30+1)&amp;"Sa,"&amp;INT(P[[#This Row],[Rah]]/30+1)&amp;"Ra"</f>
        <v>8Ma,9Me,7Ju,10Ve,9Sa,4Ra</v>
      </c>
      <c r="S34" s="124">
        <f ca="1">Planet(P[[#This Row],[GMT Sun Rise]],4)</f>
        <v>215.59118729293857</v>
      </c>
      <c r="T34" s="124">
        <f ca="1">Planet(P[[#This Row],[GMT Sun Rise]],2)</f>
        <v>267.27816115959939</v>
      </c>
      <c r="U34" s="124">
        <f ca="1">Planet(P[[#This Row],[GMT Sun Rise]],5)</f>
        <v>206.47655739113219</v>
      </c>
      <c r="V34" s="124">
        <f ca="1">Planet(P[[#This Row],[GMT Sun Rise]],3)</f>
        <v>285.91690223444465</v>
      </c>
      <c r="W34" s="124">
        <f ca="1">Planet(P[[#This Row],[GMT Sun Rise]],6)</f>
        <v>250.10680892992639</v>
      </c>
      <c r="X34" s="124">
        <f ca="1">Planet(P[[#This Row],[GMT Sun Rise]],10)</f>
        <v>111.46413149072573</v>
      </c>
      <c r="Y34" s="124">
        <f ca="1">SIGN(S35-P[[#This Row],[MARs]])</f>
        <v>1</v>
      </c>
    </row>
    <row r="35" spans="1:25" x14ac:dyDescent="0.2">
      <c r="A35" s="125">
        <f t="shared" ca="1" si="11"/>
        <v>43127</v>
      </c>
      <c r="B35" s="125">
        <f t="shared" ca="1" si="8"/>
        <v>43127.229166666664</v>
      </c>
      <c r="C35" s="130">
        <f t="shared" ref="C35:C66" ca="1" si="12">sunrise(Lat,Long,B35)+TimeZone/24+0.00103009259259259</f>
        <v>43127.276376134869</v>
      </c>
      <c r="D35" s="130">
        <f t="shared" ref="D35:D66" ca="1" si="13">sunset(Lat,Long,B35)+TimeZone/24-0.000277777777777778</f>
        <v>43126.754383226435</v>
      </c>
      <c r="E35" s="134">
        <f ca="1">P[[#This Row],[SunRise]]-TimeZone/24</f>
        <v>43127.047209468205</v>
      </c>
      <c r="F35" s="135">
        <f t="shared" ca="1" si="6"/>
        <v>282.92849070039858</v>
      </c>
      <c r="G35" s="128">
        <f t="shared" ref="G35:G66" ca="1" si="14">Planet(E35,1)</f>
        <v>40.354665527863489</v>
      </c>
      <c r="H35" s="129">
        <f t="shared" ca="1" si="10"/>
        <v>43127.047209468205</v>
      </c>
      <c r="I35" s="124" t="str">
        <f ca="1">naks(P[[#This Row],[Moon]])</f>
        <v>Rohini</v>
      </c>
      <c r="J35" s="130">
        <f ca="1">(C36-P[[#This Row],[SunRise]])/(G36-P[[#This Row],[Moon]])*(13.3333333333333-MOD(P[[#This Row],[Moon]],13.333333333333))+P[[#This Row],[SunRise]]</f>
        <v>43128.168622978919</v>
      </c>
      <c r="K35" s="124" t="str">
        <f ca="1">IF(P[[#This Row],[Tithi]]&gt;15,"K","S")&amp;ROUNDUP(MOD(P[[#This Row],[Tithi]],15),0)&amp;" ("&amp;ROUND(P[[#This Row],[Tithi]],2)&amp;")"</f>
        <v>S10 (9.79)</v>
      </c>
      <c r="L35" s="124">
        <f ca="1">IF(AND(P[[#This Row],[Tithi]]&lt;28.5,P[[#This Row],[Tithi]]&gt;0.49999),MOD((P[[#This Row],[Tithi]]-0.5)*2,7),MOD((P[[#This Row],[Tithi]]+30-28.5),30)*2+7)</f>
        <v>4.571200000000001</v>
      </c>
      <c r="M35" s="124" t="str">
        <f ca="1">CHOOSE(ROUNDUP(P[[#This Row],[Karana1]],0),"Bhava","Baalava","Kaulava","Taitula","Garija","Vanija","Vishti","Shakuni","Chatushapda","Naaga","Kimstugna")</f>
        <v>Garija</v>
      </c>
      <c r="N3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(24.25)</v>
      </c>
      <c r="O35" s="124">
        <f ca="1">IF(AND(P[[#This Row],[Tithi]]&lt;28.5,P[[#This Row],[Tithi]]&gt;0.49999),MOD((P[[#This Row],[Tithi]]-0.5)*2,7),MOD((P[[#This Row],[Tithi]]+30-28.5),30)*2+7)</f>
        <v>4.571200000000001</v>
      </c>
      <c r="P35" s="124">
        <f ca="1">ROUNDUP(MOD(360+P[[#This Row],[Moon]]-P[[#This Row],[Sun]],360)/12,4)</f>
        <v>9.7856000000000005</v>
      </c>
      <c r="Q35" s="124">
        <f t="shared" ref="Q35:Q66" ca="1" si="15">ROUNDUP(MOD(F35+G35,360)/13.333333333,2)</f>
        <v>24.25</v>
      </c>
      <c r="R35" s="124" t="str">
        <f ca="1">SIGN(S36-P[[#This Row],[MARs]])*INT(P[[#This Row],[MARs]]/30+1)&amp;"Ma,"&amp;SIGN(T36-P[[#This Row],[Merc]])*INT(P[[#This Row],[Merc]]/30+1)&amp;"Me,"&amp;SIGN(U36-P[[#This Row],[Jup]])*INT(P[[#This Row],[Jup]]/30+1)&amp;"Ju,"&amp;SIGN(V36-P[[#This Row],[Venu]])*INT(P[[#This Row],[Venu]]/30+1)&amp;"Ve,"&amp;SIGN(W36-P[[#This Row],[Sat]])*INT(P[[#This Row],[Sat]]/30+1)&amp;"Sa,"&amp;INT(P[[#This Row],[Rah]]/30+1)&amp;"Ra"</f>
        <v>8Ma,9Me,7Ju,10Ve,9Sa,4Ra</v>
      </c>
      <c r="S35" s="124">
        <f ca="1">Planet(P[[#This Row],[GMT Sun Rise]],4)</f>
        <v>216.20601400370617</v>
      </c>
      <c r="T35" s="124">
        <f ca="1">Planet(P[[#This Row],[GMT Sun Rise]],2)</f>
        <v>268.81372451056097</v>
      </c>
      <c r="U35" s="124">
        <f ca="1">Planet(P[[#This Row],[GMT Sun Rise]],5)</f>
        <v>206.59467533848323</v>
      </c>
      <c r="V35" s="124">
        <f ca="1">Planet(P[[#This Row],[GMT Sun Rise]],3)</f>
        <v>287.1727582903743</v>
      </c>
      <c r="W35" s="124">
        <f ca="1">Planet(P[[#This Row],[GMT Sun Rise]],6)</f>
        <v>250.21265752116463</v>
      </c>
      <c r="X35" s="124">
        <f ca="1">Planet(P[[#This Row],[GMT Sun Rise]],10)</f>
        <v>111.41114150596221</v>
      </c>
      <c r="Y35" s="124">
        <f ca="1">SIGN(S36-P[[#This Row],[MARs]])</f>
        <v>1</v>
      </c>
    </row>
    <row r="36" spans="1:25" x14ac:dyDescent="0.2">
      <c r="A36" s="125">
        <f t="shared" ca="1" si="11"/>
        <v>43128</v>
      </c>
      <c r="B36" s="125">
        <f t="shared" ca="1" si="8"/>
        <v>43128.229166666664</v>
      </c>
      <c r="C36" s="130">
        <f t="shared" ca="1" si="12"/>
        <v>43128.276324954037</v>
      </c>
      <c r="D36" s="130">
        <f t="shared" ca="1" si="13"/>
        <v>43127.75471256212</v>
      </c>
      <c r="E36" s="134">
        <f ca="1">P[[#This Row],[SunRise]]-TimeZone/24</f>
        <v>43128.047158287372</v>
      </c>
      <c r="F36" s="135">
        <f t="shared" ca="1" si="6"/>
        <v>283.94440641832659</v>
      </c>
      <c r="G36" s="128">
        <f t="shared" ca="1" si="14"/>
        <v>54.899971720854687</v>
      </c>
      <c r="H36" s="129">
        <f t="shared" ca="1" si="10"/>
        <v>43128.047158287372</v>
      </c>
      <c r="I36" s="124" t="str">
        <f ca="1">naks(P[[#This Row],[Moon]])</f>
        <v>Mrigashira</v>
      </c>
      <c r="J36" s="130">
        <f ca="1">(C37-P[[#This Row],[SunRise]])/(G37-P[[#This Row],[Moon]])*(13.3333333333333-MOD(P[[#This Row],[Moon]],13.333333333333))+P[[#This Row],[SunRise]]</f>
        <v>43129.069478737052</v>
      </c>
      <c r="K36" s="124" t="str">
        <f ca="1">IF(P[[#This Row],[Tithi]]&gt;15,"K","S")&amp;ROUNDUP(MOD(P[[#This Row],[Tithi]],15),0)&amp;" ("&amp;ROUND(P[[#This Row],[Tithi]],2)&amp;")"</f>
        <v>S11 (10.91)</v>
      </c>
      <c r="L36" s="124">
        <f ca="1">IF(AND(P[[#This Row],[Tithi]]&lt;28.5,P[[#This Row],[Tithi]]&gt;0.49999),MOD((P[[#This Row],[Tithi]]-0.5)*2,7),MOD((P[[#This Row],[Tithi]]+30-28.5),30)*2+7)</f>
        <v>6.8260000000000005</v>
      </c>
      <c r="M36" s="124" t="str">
        <f ca="1">CHOOSE(ROUNDUP(P[[#This Row],[Karana1]],0),"Bhava","Baalava","Kaulava","Taitula","Garija","Vanija","Vishti","Shakuni","Chatushapda","Naaga","Kimstugna")</f>
        <v>Vishti</v>
      </c>
      <c r="N3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(25.42)</v>
      </c>
      <c r="O36" s="124">
        <f ca="1">IF(AND(P[[#This Row],[Tithi]]&lt;28.5,P[[#This Row],[Tithi]]&gt;0.49999),MOD((P[[#This Row],[Tithi]]-0.5)*2,7),MOD((P[[#This Row],[Tithi]]+30-28.5),30)*2+7)</f>
        <v>6.8260000000000005</v>
      </c>
      <c r="P36" s="124">
        <f ca="1">ROUNDUP(MOD(360+P[[#This Row],[Moon]]-P[[#This Row],[Sun]],360)/12,4)</f>
        <v>10.913</v>
      </c>
      <c r="Q36" s="124">
        <f t="shared" ca="1" si="15"/>
        <v>25.42</v>
      </c>
      <c r="R36" s="124" t="str">
        <f ca="1">SIGN(S37-P[[#This Row],[MARs]])*INT(P[[#This Row],[MARs]]/30+1)&amp;"Ma,"&amp;SIGN(T37-P[[#This Row],[Merc]])*INT(P[[#This Row],[Merc]]/30+1)&amp;"Me,"&amp;SIGN(U37-P[[#This Row],[Jup]])*INT(P[[#This Row],[Jup]]/30+1)&amp;"Ju,"&amp;SIGN(V37-P[[#This Row],[Venu]])*INT(P[[#This Row],[Venu]]/30+1)&amp;"Ve,"&amp;SIGN(W37-P[[#This Row],[Sat]])*INT(P[[#This Row],[Sat]]/30+1)&amp;"Sa,"&amp;INT(P[[#This Row],[Rah]]/30+1)&amp;"Ra"</f>
        <v>8Ma,10Me,7Ju,10Ve,9Sa,4Ra</v>
      </c>
      <c r="S36" s="124">
        <f ca="1">Planet(P[[#This Row],[GMT Sun Rise]],4)</f>
        <v>216.82037655904011</v>
      </c>
      <c r="T36" s="124">
        <f ca="1">Planet(P[[#This Row],[GMT Sun Rise]],2)</f>
        <v>270.36007131573535</v>
      </c>
      <c r="U36" s="124">
        <f ca="1">Planet(P[[#This Row],[GMT Sun Rise]],5)</f>
        <v>206.71043070955176</v>
      </c>
      <c r="V36" s="124">
        <f ca="1">Planet(P[[#This Row],[GMT Sun Rise]],3)</f>
        <v>288.42838765787911</v>
      </c>
      <c r="W36" s="124">
        <f ca="1">Planet(P[[#This Row],[GMT Sun Rise]],6)</f>
        <v>250.31780880583693</v>
      </c>
      <c r="X36" s="124">
        <f ca="1">Planet(P[[#This Row],[GMT Sun Rise]],10)</f>
        <v>111.35815222028857</v>
      </c>
      <c r="Y36" s="124">
        <f ca="1">SIGN(S37-P[[#This Row],[MARs]])</f>
        <v>1</v>
      </c>
    </row>
    <row r="37" spans="1:25" x14ac:dyDescent="0.2">
      <c r="A37" s="125">
        <f t="shared" ca="1" si="11"/>
        <v>43129</v>
      </c>
      <c r="B37" s="125">
        <f t="shared" ca="1" si="8"/>
        <v>43129.229166666664</v>
      </c>
      <c r="C37" s="130">
        <f t="shared" ca="1" si="12"/>
        <v>43129.276260740276</v>
      </c>
      <c r="D37" s="130">
        <f t="shared" ca="1" si="13"/>
        <v>43128.755035698458</v>
      </c>
      <c r="E37" s="134">
        <f ca="1">P[[#This Row],[SunRise]]-TimeZone/24</f>
        <v>43129.047094073612</v>
      </c>
      <c r="F37" s="135">
        <f t="shared" ca="1" si="6"/>
        <v>284.95999003305133</v>
      </c>
      <c r="G37" s="128">
        <f t="shared" ca="1" si="14"/>
        <v>69.734345097224107</v>
      </c>
      <c r="H37" s="129">
        <f t="shared" ca="1" si="10"/>
        <v>43129.047094073612</v>
      </c>
      <c r="I37" s="124" t="str">
        <f ca="1">naks(P[[#This Row],[Moon]])</f>
        <v>Ardra</v>
      </c>
      <c r="J37" s="130">
        <f ca="1">(C38-P[[#This Row],[SunRise]])/(G38-P[[#This Row],[Moon]])*(13.3333333333333-MOD(P[[#This Row],[Moon]],13.333333333333))+P[[#This Row],[SunRise]]</f>
        <v>43129.959837248454</v>
      </c>
      <c r="K37" s="124" t="str">
        <f ca="1">IF(P[[#This Row],[Tithi]]&gt;15,"K","S")&amp;ROUNDUP(MOD(P[[#This Row],[Tithi]],15),0)&amp;" ("&amp;ROUND(P[[#This Row],[Tithi]],2)&amp;")"</f>
        <v>S13 (12.06)</v>
      </c>
      <c r="L37" s="124">
        <f ca="1">IF(AND(P[[#This Row],[Tithi]]&lt;28.5,P[[#This Row],[Tithi]]&gt;0.49999),MOD((P[[#This Row],[Tithi]]-0.5)*2,7),MOD((P[[#This Row],[Tithi]]+30-28.5),30)*2+7)</f>
        <v>2.1292000000000009</v>
      </c>
      <c r="M37" s="124" t="str">
        <f ca="1">CHOOSE(ROUNDUP(P[[#This Row],[Karana1]],0),"Bhava","Baalava","Kaulava","Taitula","Garija","Vanija","Vishti","Shakuni","Chatushapda","Naaga","Kimstugna")</f>
        <v>Kaulava</v>
      </c>
      <c r="N3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(26.61)</v>
      </c>
      <c r="O37" s="124">
        <f ca="1">IF(AND(P[[#This Row],[Tithi]]&lt;28.5,P[[#This Row],[Tithi]]&gt;0.49999),MOD((P[[#This Row],[Tithi]]-0.5)*2,7),MOD((P[[#This Row],[Tithi]]+30-28.5),30)*2+7)</f>
        <v>2.1292000000000009</v>
      </c>
      <c r="P37" s="124">
        <f ca="1">ROUNDUP(MOD(360+P[[#This Row],[Moon]]-P[[#This Row],[Sun]],360)/12,4)</f>
        <v>12.0646</v>
      </c>
      <c r="Q37" s="124">
        <f t="shared" ca="1" si="15"/>
        <v>26.610000000000003</v>
      </c>
      <c r="R37" s="124" t="str">
        <f ca="1">SIGN(S38-P[[#This Row],[MARs]])*INT(P[[#This Row],[MARs]]/30+1)&amp;"Ma,"&amp;SIGN(T38-P[[#This Row],[Merc]])*INT(P[[#This Row],[Merc]]/30+1)&amp;"Me,"&amp;SIGN(U38-P[[#This Row],[Jup]])*INT(P[[#This Row],[Jup]]/30+1)&amp;"Ju,"&amp;SIGN(V38-P[[#This Row],[Venu]])*INT(P[[#This Row],[Venu]]/30+1)&amp;"Ve,"&amp;SIGN(W38-P[[#This Row],[Sat]])*INT(P[[#This Row],[Sat]]/30+1)&amp;"Sa,"&amp;INT(P[[#This Row],[Rah]]/30+1)&amp;"Ra"</f>
        <v>8Ma,10Me,7Ju,10Ve,9Sa,4Ra</v>
      </c>
      <c r="S37" s="124">
        <f ca="1">Planet(P[[#This Row],[GMT Sun Rise]],4)</f>
        <v>217.4342782425243</v>
      </c>
      <c r="T37" s="124">
        <f ca="1">Planet(P[[#This Row],[GMT Sun Rise]],2)</f>
        <v>271.9172780349711</v>
      </c>
      <c r="U37" s="124">
        <f ca="1">Planet(P[[#This Row],[GMT Sun Rise]],5)</f>
        <v>206.82379965177492</v>
      </c>
      <c r="V37" s="124">
        <f ca="1">Planet(P[[#This Row],[GMT Sun Rise]],3)</f>
        <v>289.6837894137775</v>
      </c>
      <c r="W37" s="124">
        <f ca="1">Planet(P[[#This Row],[GMT Sun Rise]],6)</f>
        <v>250.42224622933389</v>
      </c>
      <c r="X37" s="124">
        <f ca="1">Planet(P[[#This Row],[GMT Sun Rise]],10)</f>
        <v>111.30516362527146</v>
      </c>
      <c r="Y37" s="124">
        <f ca="1">SIGN(S38-P[[#This Row],[MARs]])</f>
        <v>1</v>
      </c>
    </row>
    <row r="38" spans="1:25" x14ac:dyDescent="0.2">
      <c r="A38" s="125">
        <f t="shared" ca="1" si="11"/>
        <v>43130</v>
      </c>
      <c r="B38" s="125">
        <f t="shared" ca="1" si="8"/>
        <v>43130.229166666664</v>
      </c>
      <c r="C38" s="130">
        <f t="shared" ca="1" si="12"/>
        <v>43130.276183810238</v>
      </c>
      <c r="D38" s="130">
        <f t="shared" ca="1" si="13"/>
        <v>43129.755352795168</v>
      </c>
      <c r="E38" s="134">
        <f ca="1">P[[#This Row],[SunRise]]-TimeZone/24</f>
        <v>43130.047017143574</v>
      </c>
      <c r="F38" s="135">
        <f t="shared" ca="1" si="6"/>
        <v>285.97524800722948</v>
      </c>
      <c r="G38" s="128">
        <f t="shared" ca="1" si="14"/>
        <v>84.750755173813744</v>
      </c>
      <c r="H38" s="129">
        <f t="shared" ca="1" si="10"/>
        <v>43130.047017143574</v>
      </c>
      <c r="I38" s="124" t="str">
        <f ca="1">naks(P[[#This Row],[Moon]])</f>
        <v>Punarvasu</v>
      </c>
      <c r="J38" s="130">
        <f ca="1">(C39-P[[#This Row],[SunRise]])/(G39-P[[#This Row],[Moon]])*(13.3333333333333-MOD(P[[#This Row],[Moon]],13.333333333333))+P[[#This Row],[SunRise]]</f>
        <v>43130.845954698809</v>
      </c>
      <c r="K38" s="124" t="str">
        <f ca="1">IF(P[[#This Row],[Tithi]]&gt;15,"K","S")&amp;ROUNDUP(MOD(P[[#This Row],[Tithi]],15),0)&amp;" ("&amp;ROUND(P[[#This Row],[Tithi]],2)&amp;")"</f>
        <v>S14 (13.23)</v>
      </c>
      <c r="L38" s="124">
        <f ca="1">IF(AND(P[[#This Row],[Tithi]]&lt;28.5,P[[#This Row],[Tithi]]&gt;0.49999),MOD((P[[#This Row],[Tithi]]-0.5)*2,7),MOD((P[[#This Row],[Tithi]]+30-28.5),30)*2+7)</f>
        <v>4.4625999999999983</v>
      </c>
      <c r="M38" s="124" t="str">
        <f ca="1">CHOOSE(ROUNDUP(P[[#This Row],[Karana1]],0),"Bhava","Baalava","Kaulava","Taitula","Garija","Vanija","Vishti","Shakuni","Chatushapda","Naaga","Kimstugna")</f>
        <v>Garija</v>
      </c>
      <c r="N3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(0.81)</v>
      </c>
      <c r="O38" s="124">
        <f ca="1">IF(AND(P[[#This Row],[Tithi]]&lt;28.5,P[[#This Row],[Tithi]]&gt;0.49999),MOD((P[[#This Row],[Tithi]]-0.5)*2,7),MOD((P[[#This Row],[Tithi]]+30-28.5),30)*2+7)</f>
        <v>4.4625999999999983</v>
      </c>
      <c r="P38" s="124">
        <f ca="1">ROUNDUP(MOD(360+P[[#This Row],[Moon]]-P[[#This Row],[Sun]],360)/12,4)</f>
        <v>13.231299999999999</v>
      </c>
      <c r="Q38" s="124">
        <f t="shared" ca="1" si="15"/>
        <v>0.81</v>
      </c>
      <c r="R38" s="124" t="str">
        <f ca="1">SIGN(S39-P[[#This Row],[MARs]])*INT(P[[#This Row],[MARs]]/30+1)&amp;"Ma,"&amp;SIGN(T39-P[[#This Row],[Merc]])*INT(P[[#This Row],[Merc]]/30+1)&amp;"Me,"&amp;SIGN(U39-P[[#This Row],[Jup]])*INT(P[[#This Row],[Jup]]/30+1)&amp;"Ju,"&amp;SIGN(V39-P[[#This Row],[Venu]])*INT(P[[#This Row],[Venu]]/30+1)&amp;"Ve,"&amp;SIGN(W39-P[[#This Row],[Sat]])*INT(P[[#This Row],[Sat]]/30+1)&amp;"Sa,"&amp;INT(P[[#This Row],[Rah]]/30+1)&amp;"Ra"</f>
        <v>8Ma,10Me,7Ju,10Ve,9Sa,4Ra</v>
      </c>
      <c r="S38" s="124">
        <f ca="1">Planet(P[[#This Row],[GMT Sun Rise]],4)</f>
        <v>218.04772220390049</v>
      </c>
      <c r="T38" s="124">
        <f ca="1">Planet(P[[#This Row],[GMT Sun Rise]],2)</f>
        <v>273.48545891839592</v>
      </c>
      <c r="U38" s="124">
        <f ca="1">Planet(P[[#This Row],[GMT Sun Rise]],5)</f>
        <v>206.93475819759061</v>
      </c>
      <c r="V38" s="124">
        <f ca="1">Planet(P[[#This Row],[GMT Sun Rise]],3)</f>
        <v>290.93896576788973</v>
      </c>
      <c r="W38" s="124">
        <f ca="1">Planet(P[[#This Row],[GMT Sun Rise]],6)</f>
        <v>250.52595364005819</v>
      </c>
      <c r="X38" s="124">
        <f ca="1">Planet(P[[#This Row],[GMT Sun Rise]],10)</f>
        <v>111.25217570412666</v>
      </c>
      <c r="Y38" s="124">
        <f ca="1">SIGN(S39-P[[#This Row],[MARs]])</f>
        <v>1</v>
      </c>
    </row>
    <row r="39" spans="1:25" x14ac:dyDescent="0.2">
      <c r="A39" s="125">
        <f t="shared" ca="1" si="11"/>
        <v>43131</v>
      </c>
      <c r="B39" s="125">
        <f t="shared" ca="1" si="8"/>
        <v>43131.229166666664</v>
      </c>
      <c r="C39" s="130">
        <f t="shared" ca="1" si="12"/>
        <v>43131.276094006062</v>
      </c>
      <c r="D39" s="130">
        <f t="shared" ca="1" si="13"/>
        <v>43130.755663692995</v>
      </c>
      <c r="E39" s="134">
        <f ca="1">P[[#This Row],[SunRise]]-TimeZone/24</f>
        <v>43131.046927339397</v>
      </c>
      <c r="F39" s="135">
        <f t="shared" ca="1" si="6"/>
        <v>286.9901908737229</v>
      </c>
      <c r="G39" s="128">
        <f t="shared" ca="1" si="14"/>
        <v>99.812611755572661</v>
      </c>
      <c r="H39" s="129">
        <f t="shared" ca="1" si="10"/>
        <v>43131.046927339397</v>
      </c>
      <c r="I39" s="124" t="str">
        <f ca="1">naks(P[[#This Row],[Moon]])</f>
        <v>Pushya</v>
      </c>
      <c r="J39" s="130">
        <f ca="1">(C40-P[[#This Row],[SunRise]])/(G40-P[[#This Row],[Moon]])*(13.3333333333333-MOD(P[[#This Row],[Moon]],13.333333333333))+P[[#This Row],[SunRise]]</f>
        <v>43131.734234841744</v>
      </c>
      <c r="K39" s="124" t="str">
        <f ca="1">IF(P[[#This Row],[Tithi]]&gt;15,"K","S")&amp;ROUNDUP(MOD(P[[#This Row],[Tithi]],15),0)&amp;" ("&amp;ROUND(P[[#This Row],[Tithi]],2)&amp;")"</f>
        <v>S15 (14.4)</v>
      </c>
      <c r="L39" s="124">
        <f ca="1">IF(AND(P[[#This Row],[Tithi]]&lt;28.5,P[[#This Row],[Tithi]]&gt;0.49999),MOD((P[[#This Row],[Tithi]]-0.5)*2,7),MOD((P[[#This Row],[Tithi]]+30-28.5),30)*2+7)</f>
        <v>6.803799999999999</v>
      </c>
      <c r="M39" s="124" t="str">
        <f ca="1">CHOOSE(ROUNDUP(P[[#This Row],[Karana1]],0),"Bhava","Baalava","Kaulava","Taitula","Garija","Vanija","Vishti","Shakuni","Chatushapda","Naaga","Kimstugna")</f>
        <v>Vishti</v>
      </c>
      <c r="N3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(2.02)</v>
      </c>
      <c r="O39" s="124">
        <f ca="1">IF(AND(P[[#This Row],[Tithi]]&lt;28.5,P[[#This Row],[Tithi]]&gt;0.49999),MOD((P[[#This Row],[Tithi]]-0.5)*2,7),MOD((P[[#This Row],[Tithi]]+30-28.5),30)*2+7)</f>
        <v>6.803799999999999</v>
      </c>
      <c r="P39" s="124">
        <f ca="1">ROUNDUP(MOD(360+P[[#This Row],[Moon]]-P[[#This Row],[Sun]],360)/12,4)</f>
        <v>14.401899999999999</v>
      </c>
      <c r="Q39" s="124">
        <f t="shared" ca="1" si="15"/>
        <v>2.0199999999999996</v>
      </c>
      <c r="R39" s="124" t="str">
        <f ca="1">SIGN(S40-P[[#This Row],[MARs]])*INT(P[[#This Row],[MARs]]/30+1)&amp;"Ma,"&amp;SIGN(T40-P[[#This Row],[Merc]])*INT(P[[#This Row],[Merc]]/30+1)&amp;"Me,"&amp;SIGN(U40-P[[#This Row],[Jup]])*INT(P[[#This Row],[Jup]]/30+1)&amp;"Ju,"&amp;SIGN(V40-P[[#This Row],[Venu]])*INT(P[[#This Row],[Venu]]/30+1)&amp;"Ve,"&amp;SIGN(W40-P[[#This Row],[Sat]])*INT(P[[#This Row],[Sat]]/30+1)&amp;"Sa,"&amp;INT(P[[#This Row],[Rah]]/30+1)&amp;"Ra"</f>
        <v>8Ma,10Me,7Ju,10Ve,9Sa,4Ra</v>
      </c>
      <c r="S39" s="124">
        <f ca="1">Planet(P[[#This Row],[GMT Sun Rise]],4)</f>
        <v>218.66070968480162</v>
      </c>
      <c r="T39" s="124">
        <f ca="1">Planet(P[[#This Row],[GMT Sun Rise]],2)</f>
        <v>275.06476016028648</v>
      </c>
      <c r="U39" s="124">
        <f ca="1">Planet(P[[#This Row],[GMT Sun Rise]],5)</f>
        <v>207.04328174371315</v>
      </c>
      <c r="V39" s="124">
        <f ca="1">Planet(P[[#This Row],[GMT Sun Rise]],3)</f>
        <v>292.19392092530046</v>
      </c>
      <c r="W39" s="124">
        <f ca="1">Planet(P[[#This Row],[GMT Sun Rise]],6)</f>
        <v>250.62891501967817</v>
      </c>
      <c r="X39" s="124">
        <f ca="1">Planet(P[[#This Row],[GMT Sun Rise]],10)</f>
        <v>111.19918846518812</v>
      </c>
      <c r="Y39" s="124">
        <f ca="1">SIGN(S40-P[[#This Row],[MARs]])</f>
        <v>1</v>
      </c>
    </row>
    <row r="40" spans="1:25" x14ac:dyDescent="0.2">
      <c r="A40" s="125">
        <f t="shared" ca="1" si="11"/>
        <v>43132</v>
      </c>
      <c r="B40" s="125">
        <f t="shared" ca="1" si="8"/>
        <v>43132.229166666664</v>
      </c>
      <c r="C40" s="130">
        <f t="shared" ca="1" si="12"/>
        <v>43132.275991644863</v>
      </c>
      <c r="D40" s="130">
        <f t="shared" ca="1" si="13"/>
        <v>43131.755968074358</v>
      </c>
      <c r="E40" s="134">
        <f ca="1">P[[#This Row],[SunRise]]-TimeZone/24</f>
        <v>43132.046824978199</v>
      </c>
      <c r="F40" s="135">
        <f t="shared" ca="1" si="6"/>
        <v>288.00483242873219</v>
      </c>
      <c r="G40" s="128">
        <f t="shared" ca="1" si="14"/>
        <v>114.7716653653127</v>
      </c>
      <c r="H40" s="129">
        <f t="shared" ca="1" si="10"/>
        <v>43132.046824978199</v>
      </c>
      <c r="I40" s="124" t="str">
        <f ca="1">naks(P[[#This Row],[Moon]])</f>
        <v>Aslesha</v>
      </c>
      <c r="J40" s="130">
        <f ca="1">(C41-P[[#This Row],[SunRise]])/(G41-P[[#This Row],[Moon]])*(13.3333333333333-MOD(P[[#This Row],[Moon]],13.333333333333))+P[[#This Row],[SunRise]]</f>
        <v>43132.63118789233</v>
      </c>
      <c r="K40" s="124" t="str">
        <f ca="1">IF(P[[#This Row],[Tithi]]&gt;15,"K","S")&amp;ROUNDUP(MOD(P[[#This Row],[Tithi]],15),0)&amp;" ("&amp;ROUND(P[[#This Row],[Tithi]],2)&amp;")"</f>
        <v>K1 (15.56)</v>
      </c>
      <c r="L40" s="124">
        <f ca="1">IF(AND(P[[#This Row],[Tithi]]&lt;28.5,P[[#This Row],[Tithi]]&gt;0.49999),MOD((P[[#This Row],[Tithi]]-0.5)*2,7),MOD((P[[#This Row],[Tithi]]+30-28.5),30)*2+7)</f>
        <v>2.1280000000000001</v>
      </c>
      <c r="M40" s="124" t="str">
        <f ca="1">CHOOSE(ROUNDUP(P[[#This Row],[Karana1]],0),"Bhava","Baalava","Kaulava","Taitula","Garija","Vanija","Vishti","Shakuni","Chatushapda","Naaga","Kimstugna")</f>
        <v>Kaulava</v>
      </c>
      <c r="N4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(3.21)</v>
      </c>
      <c r="O40" s="124">
        <f ca="1">IF(AND(P[[#This Row],[Tithi]]&lt;28.5,P[[#This Row],[Tithi]]&gt;0.49999),MOD((P[[#This Row],[Tithi]]-0.5)*2,7),MOD((P[[#This Row],[Tithi]]+30-28.5),30)*2+7)</f>
        <v>2.1280000000000001</v>
      </c>
      <c r="P40" s="124">
        <f ca="1">ROUNDUP(MOD(360+P[[#This Row],[Moon]]-P[[#This Row],[Sun]],360)/12,4)</f>
        <v>15.564</v>
      </c>
      <c r="Q40" s="124">
        <f t="shared" ca="1" si="15"/>
        <v>3.21</v>
      </c>
      <c r="R40" s="124" t="str">
        <f ca="1">SIGN(S41-P[[#This Row],[MARs]])*INT(P[[#This Row],[MARs]]/30+1)&amp;"Ma,"&amp;SIGN(T41-P[[#This Row],[Merc]])*INT(P[[#This Row],[Merc]]/30+1)&amp;"Me,"&amp;SIGN(U41-P[[#This Row],[Jup]])*INT(P[[#This Row],[Jup]]/30+1)&amp;"Ju,"&amp;SIGN(V41-P[[#This Row],[Venu]])*INT(P[[#This Row],[Venu]]/30+1)&amp;"Ve,"&amp;SIGN(W41-P[[#This Row],[Sat]])*INT(P[[#This Row],[Sat]]/30+1)&amp;"Sa,"&amp;INT(P[[#This Row],[Rah]]/30+1)&amp;"Ra"</f>
        <v>8Ma,10Me,7Ju,10Ve,9Sa,4Ra</v>
      </c>
      <c r="S40" s="124">
        <f ca="1">Planet(P[[#This Row],[GMT Sun Rise]],4)</f>
        <v>219.27323921384445</v>
      </c>
      <c r="T40" s="124">
        <f ca="1">Planet(P[[#This Row],[GMT Sun Rise]],2)</f>
        <v>276.65535632883496</v>
      </c>
      <c r="U40" s="124">
        <f ca="1">Planet(P[[#This Row],[GMT Sun Rise]],5)</f>
        <v>207.14934475644171</v>
      </c>
      <c r="V40" s="124">
        <f ca="1">Planet(P[[#This Row],[GMT Sun Rise]],3)</f>
        <v>293.4486614012452</v>
      </c>
      <c r="W40" s="124">
        <f ca="1">Planet(P[[#This Row],[GMT Sun Rise]],6)</f>
        <v>250.73111432332334</v>
      </c>
      <c r="X40" s="124">
        <f ca="1">Planet(P[[#This Row],[GMT Sun Rise]],10)</f>
        <v>111.14620189168836</v>
      </c>
      <c r="Y40" s="124">
        <f ca="1">SIGN(S41-P[[#This Row],[MARs]])</f>
        <v>1</v>
      </c>
    </row>
    <row r="41" spans="1:25" x14ac:dyDescent="0.2">
      <c r="A41" s="125">
        <f t="shared" ca="1" si="11"/>
        <v>43133</v>
      </c>
      <c r="B41" s="125">
        <f t="shared" ref="B41:B66" ca="1" si="16">A41+TimeZone/24</f>
        <v>43133.229166666664</v>
      </c>
      <c r="C41" s="130">
        <f t="shared" ca="1" si="12"/>
        <v>43133.275876727108</v>
      </c>
      <c r="D41" s="130">
        <f t="shared" ca="1" si="13"/>
        <v>43132.756266097582</v>
      </c>
      <c r="E41" s="134">
        <f ca="1">P[[#This Row],[SunRise]]-TimeZone/24</f>
        <v>43133.046710060444</v>
      </c>
      <c r="F41" s="135">
        <f t="shared" ca="1" si="6"/>
        <v>289.01918657794693</v>
      </c>
      <c r="G41" s="128">
        <f t="shared" ca="1" si="14"/>
        <v>129.48953990234671</v>
      </c>
      <c r="H41" s="129">
        <f t="shared" ca="1" si="10"/>
        <v>43133.046710060444</v>
      </c>
      <c r="I41" s="124" t="str">
        <f ca="1">naks(P[[#This Row],[Moon]])</f>
        <v>Makha</v>
      </c>
      <c r="J41" s="130">
        <f ca="1">(C42-P[[#This Row],[SunRise]])/(G42-P[[#This Row],[Moon]])*(13.3333333333333-MOD(P[[#This Row],[Moon]],13.333333333333))+P[[#This Row],[SunRise]]</f>
        <v>43133.543380575873</v>
      </c>
      <c r="K41" s="124" t="str">
        <f ca="1">IF(P[[#This Row],[Tithi]]&gt;15,"K","S")&amp;ROUNDUP(MOD(P[[#This Row],[Tithi]],15),0)&amp;" ("&amp;ROUND(P[[#This Row],[Tithi]],2)&amp;")"</f>
        <v>K2 (16.71)</v>
      </c>
      <c r="L41" s="124">
        <f ca="1">IF(AND(P[[#This Row],[Tithi]]&lt;28.5,P[[#This Row],[Tithi]]&gt;0.49999),MOD((P[[#This Row],[Tithi]]-0.5)*2,7),MOD((P[[#This Row],[Tithi]]+30-28.5),30)*2+7)</f>
        <v>4.4117999999999995</v>
      </c>
      <c r="M41" s="124" t="str">
        <f ca="1">CHOOSE(ROUNDUP(P[[#This Row],[Karana1]],0),"Bhava","Baalava","Kaulava","Taitula","Garija","Vanija","Vishti","Shakuni","Chatushapda","Naaga","Kimstugna")</f>
        <v>Garija</v>
      </c>
      <c r="N4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(4.39)</v>
      </c>
      <c r="O41" s="124">
        <f ca="1">IF(AND(P[[#This Row],[Tithi]]&lt;28.5,P[[#This Row],[Tithi]]&gt;0.49999),MOD((P[[#This Row],[Tithi]]-0.5)*2,7),MOD((P[[#This Row],[Tithi]]+30-28.5),30)*2+7)</f>
        <v>4.4117999999999995</v>
      </c>
      <c r="P41" s="124">
        <f ca="1">ROUNDUP(MOD(360+P[[#This Row],[Moon]]-P[[#This Row],[Sun]],360)/12,4)</f>
        <v>16.7059</v>
      </c>
      <c r="Q41" s="124">
        <f t="shared" ca="1" si="15"/>
        <v>4.3899999999999997</v>
      </c>
      <c r="R41" s="124" t="str">
        <f ca="1">SIGN(S42-P[[#This Row],[MARs]])*INT(P[[#This Row],[MARs]]/30+1)&amp;"Ma,"&amp;SIGN(T42-P[[#This Row],[Merc]])*INT(P[[#This Row],[Merc]]/30+1)&amp;"Me,"&amp;SIGN(U42-P[[#This Row],[Jup]])*INT(P[[#This Row],[Jup]]/30+1)&amp;"Ju,"&amp;SIGN(V42-P[[#This Row],[Venu]])*INT(P[[#This Row],[Venu]]/30+1)&amp;"Ve,"&amp;SIGN(W42-P[[#This Row],[Sat]])*INT(P[[#This Row],[Sat]]/30+1)&amp;"Sa,"&amp;INT(P[[#This Row],[Rah]]/30+1)&amp;"Ra"</f>
        <v>8Ma,10Me,7Ju,10Ve,9Sa,4Ra</v>
      </c>
      <c r="S41" s="124">
        <f ca="1">Planet(P[[#This Row],[GMT Sun Rise]],4)</f>
        <v>219.88530512068934</v>
      </c>
      <c r="T41" s="124">
        <f ca="1">Planet(P[[#This Row],[GMT Sun Rise]],2)</f>
        <v>278.25744402559513</v>
      </c>
      <c r="U41" s="124">
        <f ca="1">Planet(P[[#This Row],[GMT Sun Rise]],5)</f>
        <v>207.25292045903319</v>
      </c>
      <c r="V41" s="124">
        <f ca="1">Planet(P[[#This Row],[GMT Sun Rise]],3)</f>
        <v>294.70319378420334</v>
      </c>
      <c r="W41" s="124">
        <f ca="1">Planet(P[[#This Row],[GMT Sun Rise]],6)</f>
        <v>250.83253514618212</v>
      </c>
      <c r="X41" s="124">
        <f ca="1">Planet(P[[#This Row],[GMT Sun Rise]],10)</f>
        <v>111.09321598359425</v>
      </c>
      <c r="Y41" s="124">
        <f ca="1">SIGN(S42-P[[#This Row],[MARs]])</f>
        <v>1</v>
      </c>
    </row>
    <row r="42" spans="1:25" x14ac:dyDescent="0.2">
      <c r="A42" s="125">
        <f t="shared" ca="1" si="11"/>
        <v>43134</v>
      </c>
      <c r="B42" s="125">
        <f t="shared" ca="1" si="16"/>
        <v>43134.229166666664</v>
      </c>
      <c r="C42" s="130">
        <f t="shared" ca="1" si="12"/>
        <v>43134.275749570843</v>
      </c>
      <c r="D42" s="130">
        <f t="shared" ca="1" si="13"/>
        <v>43133.756557762666</v>
      </c>
      <c r="E42" s="134">
        <f ca="1">P[[#This Row],[SunRise]]-TimeZone/24</f>
        <v>43134.046582904179</v>
      </c>
      <c r="F42" s="135">
        <f t="shared" ca="1" si="6"/>
        <v>290.03326567046958</v>
      </c>
      <c r="G42" s="128">
        <f t="shared" ca="1" si="14"/>
        <v>143.85682727525051</v>
      </c>
      <c r="H42" s="129">
        <f t="shared" ca="1" si="10"/>
        <v>43134.046582904179</v>
      </c>
      <c r="I42" s="124" t="str">
        <f ca="1">naks(P[[#This Row],[Moon]])</f>
        <v>Purva Phalguni</v>
      </c>
      <c r="J42" s="130">
        <f ca="1">(C43-P[[#This Row],[SunRise]])/(G43-P[[#This Row],[Moon]])*(13.3333333333333-MOD(P[[#This Row],[Moon]],13.333333333333))+P[[#This Row],[SunRise]]</f>
        <v>43134.477173466803</v>
      </c>
      <c r="K42" s="124" t="str">
        <f ca="1">IF(P[[#This Row],[Tithi]]&gt;15,"K","S")&amp;ROUNDUP(MOD(P[[#This Row],[Tithi]],15),0)&amp;" ("&amp;ROUND(P[[#This Row],[Tithi]],2)&amp;")"</f>
        <v>K3 (17.82)</v>
      </c>
      <c r="L42" s="124">
        <f ca="1">IF(AND(P[[#This Row],[Tithi]]&lt;28.5,P[[#This Row],[Tithi]]&gt;0.49999),MOD((P[[#This Row],[Tithi]]-0.5)*2,7),MOD((P[[#This Row],[Tithi]]+30-28.5),30)*2+7)</f>
        <v>6.6373999999999995</v>
      </c>
      <c r="M42" s="124" t="str">
        <f ca="1">CHOOSE(ROUNDUP(P[[#This Row],[Karana1]],0),"Bhava","Baalava","Kaulava","Taitula","Garija","Vanija","Vishti","Shakuni","Chatushapda","Naaga","Kimstugna")</f>
        <v>Vishti</v>
      </c>
      <c r="N4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(5.55)</v>
      </c>
      <c r="O42" s="124">
        <f ca="1">IF(AND(P[[#This Row],[Tithi]]&lt;28.5,P[[#This Row],[Tithi]]&gt;0.49999),MOD((P[[#This Row],[Tithi]]-0.5)*2,7),MOD((P[[#This Row],[Tithi]]+30-28.5),30)*2+7)</f>
        <v>6.6373999999999995</v>
      </c>
      <c r="P42" s="124">
        <f ca="1">ROUNDUP(MOD(360+P[[#This Row],[Moon]]-P[[#This Row],[Sun]],360)/12,4)</f>
        <v>17.8187</v>
      </c>
      <c r="Q42" s="124">
        <f t="shared" ca="1" si="15"/>
        <v>5.55</v>
      </c>
      <c r="R42" s="124" t="str">
        <f ca="1">SIGN(S43-P[[#This Row],[MARs]])*INT(P[[#This Row],[MARs]]/30+1)&amp;"Ma,"&amp;SIGN(T43-P[[#This Row],[Merc]])*INT(P[[#This Row],[Merc]]/30+1)&amp;"Me,"&amp;SIGN(U43-P[[#This Row],[Jup]])*INT(P[[#This Row],[Jup]]/30+1)&amp;"Ju,"&amp;SIGN(V43-P[[#This Row],[Venu]])*INT(P[[#This Row],[Venu]]/30+1)&amp;"Ve,"&amp;SIGN(W43-P[[#This Row],[Sat]])*INT(P[[#This Row],[Sat]]/30+1)&amp;"Sa,"&amp;INT(P[[#This Row],[Rah]]/30+1)&amp;"Ra"</f>
        <v>8Ma,10Me,7Ju,10Ve,9Sa,4Ra</v>
      </c>
      <c r="S42" s="124">
        <f ca="1">Planet(P[[#This Row],[GMT Sun Rise]],4)</f>
        <v>220.49689758658215</v>
      </c>
      <c r="T42" s="124">
        <f ca="1">Planet(P[[#This Row],[GMT Sun Rise]],2)</f>
        <v>279.8712380588575</v>
      </c>
      <c r="U42" s="124">
        <f ca="1">Planet(P[[#This Row],[GMT Sun Rise]],5)</f>
        <v>207.35398091627653</v>
      </c>
      <c r="V42" s="124">
        <f ca="1">Planet(P[[#This Row],[GMT Sun Rise]],3)</f>
        <v>295.95752424835223</v>
      </c>
      <c r="W42" s="124">
        <f ca="1">Planet(P[[#This Row],[GMT Sun Rise]],6)</f>
        <v>250.93316060519314</v>
      </c>
      <c r="X42" s="124">
        <f ca="1">Planet(P[[#This Row],[GMT Sun Rise]],10)</f>
        <v>111.04023072403866</v>
      </c>
      <c r="Y42" s="124">
        <f ca="1">SIGN(S43-P[[#This Row],[MARs]])</f>
        <v>1</v>
      </c>
    </row>
    <row r="43" spans="1:25" x14ac:dyDescent="0.2">
      <c r="A43" s="125">
        <f t="shared" ca="1" si="11"/>
        <v>43135</v>
      </c>
      <c r="B43" s="125">
        <f t="shared" ca="1" si="16"/>
        <v>43135.229166666664</v>
      </c>
      <c r="C43" s="130">
        <f t="shared" ca="1" si="12"/>
        <v>43135.275610334393</v>
      </c>
      <c r="D43" s="130">
        <f t="shared" ca="1" si="13"/>
        <v>43134.756843070543</v>
      </c>
      <c r="E43" s="134">
        <f ca="1">P[[#This Row],[SunRise]]-TimeZone/24</f>
        <v>43135.046443667728</v>
      </c>
      <c r="F43" s="135">
        <f t="shared" ca="1" si="6"/>
        <v>291.04707833857395</v>
      </c>
      <c r="G43" s="128">
        <f t="shared" ca="1" si="14"/>
        <v>157.80476600379288</v>
      </c>
      <c r="H43" s="129">
        <f t="shared" ca="1" si="10"/>
        <v>43135.046443667728</v>
      </c>
      <c r="I43" s="124" t="str">
        <f ca="1">naks(P[[#This Row],[Moon]])</f>
        <v>Uttara Phalguni</v>
      </c>
      <c r="J43" s="130">
        <f ca="1">(C44-P[[#This Row],[SunRise]])/(G44-P[[#This Row],[Moon]])*(13.3333333333333-MOD(P[[#This Row],[Moon]],13.333333333333))+P[[#This Row],[SunRise]]</f>
        <v>43135.438158413897</v>
      </c>
      <c r="K43" s="124" t="str">
        <f ca="1">IF(P[[#This Row],[Tithi]]&gt;15,"K","S")&amp;ROUNDUP(MOD(P[[#This Row],[Tithi]],15),0)&amp;" ("&amp;ROUND(P[[#This Row],[Tithi]],2)&amp;")"</f>
        <v>K4 (18.9)</v>
      </c>
      <c r="L43" s="124">
        <f ca="1">IF(AND(P[[#This Row],[Tithi]]&lt;28.5,P[[#This Row],[Tithi]]&gt;0.49999),MOD((P[[#This Row],[Tithi]]-0.5)*2,7),MOD((P[[#This Row],[Tithi]]+30-28.5),30)*2+7)</f>
        <v>1.7929999999999993</v>
      </c>
      <c r="M43" s="124" t="str">
        <f ca="1">CHOOSE(ROUNDUP(P[[#This Row],[Karana1]],0),"Bhava","Baalava","Kaulava","Taitula","Garija","Vanija","Vishti","Shakuni","Chatushapda","Naaga","Kimstugna")</f>
        <v>Baalava</v>
      </c>
      <c r="N4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(6.67)</v>
      </c>
      <c r="O43" s="124">
        <f ca="1">IF(AND(P[[#This Row],[Tithi]]&lt;28.5,P[[#This Row],[Tithi]]&gt;0.49999),MOD((P[[#This Row],[Tithi]]-0.5)*2,7),MOD((P[[#This Row],[Tithi]]+30-28.5),30)*2+7)</f>
        <v>1.7929999999999993</v>
      </c>
      <c r="P43" s="124">
        <f ca="1">ROUNDUP(MOD(360+P[[#This Row],[Moon]]-P[[#This Row],[Sun]],360)/12,4)</f>
        <v>18.8965</v>
      </c>
      <c r="Q43" s="124">
        <f t="shared" ca="1" si="15"/>
        <v>6.67</v>
      </c>
      <c r="R43" s="124" t="str">
        <f ca="1">SIGN(S44-P[[#This Row],[MARs]])*INT(P[[#This Row],[MARs]]/30+1)&amp;"Ma,"&amp;SIGN(T44-P[[#This Row],[Merc]])*INT(P[[#This Row],[Merc]]/30+1)&amp;"Me,"&amp;SIGN(U44-P[[#This Row],[Jup]])*INT(P[[#This Row],[Jup]]/30+1)&amp;"Ju,"&amp;SIGN(V44-P[[#This Row],[Venu]])*INT(P[[#This Row],[Venu]]/30+1)&amp;"Ve,"&amp;SIGN(W44-P[[#This Row],[Sat]])*INT(P[[#This Row],[Sat]]/30+1)&amp;"Sa,"&amp;INT(P[[#This Row],[Rah]]/30+1)&amp;"Ra"</f>
        <v>8Ma,10Me,7Ju,10Ve,9Sa,4Ra</v>
      </c>
      <c r="S43" s="124">
        <f ca="1">Planet(P[[#This Row],[GMT Sun Rise]],4)</f>
        <v>221.10800269765653</v>
      </c>
      <c r="T43" s="124">
        <f ca="1">Planet(P[[#This Row],[GMT Sun Rise]],2)</f>
        <v>281.49696633386719</v>
      </c>
      <c r="U43" s="124">
        <f ca="1">Planet(P[[#This Row],[GMT Sun Rise]],5)</f>
        <v>207.4524972229145</v>
      </c>
      <c r="V43" s="124">
        <f ca="1">Planet(P[[#This Row],[GMT Sun Rise]],3)</f>
        <v>297.21165696872589</v>
      </c>
      <c r="W43" s="124">
        <f ca="1">Planet(P[[#This Row],[GMT Sun Rise]],6)</f>
        <v>251.03297322583089</v>
      </c>
      <c r="X43" s="124">
        <f ca="1">Planet(P[[#This Row],[GMT Sun Rise]],10)</f>
        <v>110.98724610463778</v>
      </c>
      <c r="Y43" s="124">
        <f ca="1">SIGN(S44-P[[#This Row],[MARs]])</f>
        <v>1</v>
      </c>
    </row>
    <row r="44" spans="1:25" x14ac:dyDescent="0.2">
      <c r="A44" s="125">
        <f t="shared" ca="1" si="11"/>
        <v>43136</v>
      </c>
      <c r="B44" s="125">
        <f t="shared" ca="1" si="16"/>
        <v>43136.229166666664</v>
      </c>
      <c r="C44" s="130">
        <f t="shared" ca="1" si="12"/>
        <v>43136.275459177014</v>
      </c>
      <c r="D44" s="130">
        <f t="shared" ca="1" si="13"/>
        <v>43135.757121861025</v>
      </c>
      <c r="E44" s="134">
        <f ca="1">P[[#This Row],[SunRise]]-TimeZone/24</f>
        <v>43136.046292510349</v>
      </c>
      <c r="F44" s="135">
        <f t="shared" ca="1" si="6"/>
        <v>292.06062890204777</v>
      </c>
      <c r="G44" s="128">
        <f t="shared" ca="1" si="14"/>
        <v>171.30786106974699</v>
      </c>
      <c r="H44" s="129">
        <f t="shared" ca="1" si="10"/>
        <v>43136.046292510349</v>
      </c>
      <c r="I44" s="124" t="str">
        <f ca="1">naks(P[[#This Row],[Moon]])</f>
        <v>Hasta</v>
      </c>
      <c r="J44" s="130">
        <f ca="1">(C45-P[[#This Row],[SunRise]])/(G45-P[[#This Row],[Moon]])*(13.3333333333333-MOD(P[[#This Row],[Moon]],13.333333333333))+P[[#This Row],[SunRise]]</f>
        <v>43136.430390227266</v>
      </c>
      <c r="K44" s="124" t="str">
        <f ca="1">IF(P[[#This Row],[Tithi]]&gt;15,"K","S")&amp;ROUNDUP(MOD(P[[#This Row],[Tithi]],15),0)&amp;" ("&amp;ROUND(P[[#This Row],[Tithi]],2)&amp;")"</f>
        <v>K5 (19.94)</v>
      </c>
      <c r="L44" s="124">
        <f ca="1">IF(AND(P[[#This Row],[Tithi]]&lt;28.5,P[[#This Row],[Tithi]]&gt;0.49999),MOD((P[[#This Row],[Tithi]]-0.5)*2,7),MOD((P[[#This Row],[Tithi]]+30-28.5),30)*2+7)</f>
        <v>3.8746000000000009</v>
      </c>
      <c r="M44" s="124" t="str">
        <f ca="1">CHOOSE(ROUNDUP(P[[#This Row],[Karana1]],0),"Bhava","Baalava","Kaulava","Taitula","Garija","Vanija","Vishti","Shakuni","Chatushapda","Naaga","Kimstugna")</f>
        <v>Taitula</v>
      </c>
      <c r="N4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(7.76)</v>
      </c>
      <c r="O44" s="124">
        <f ca="1">IF(AND(P[[#This Row],[Tithi]]&lt;28.5,P[[#This Row],[Tithi]]&gt;0.49999),MOD((P[[#This Row],[Tithi]]-0.5)*2,7),MOD((P[[#This Row],[Tithi]]+30-28.5),30)*2+7)</f>
        <v>3.8746000000000009</v>
      </c>
      <c r="P44" s="124">
        <f ca="1">ROUNDUP(MOD(360+P[[#This Row],[Moon]]-P[[#This Row],[Sun]],360)/12,4)</f>
        <v>19.9373</v>
      </c>
      <c r="Q44" s="124">
        <f t="shared" ca="1" si="15"/>
        <v>7.76</v>
      </c>
      <c r="R44" s="124" t="str">
        <f ca="1">SIGN(S45-P[[#This Row],[MARs]])*INT(P[[#This Row],[MARs]]/30+1)&amp;"Ma,"&amp;SIGN(T45-P[[#This Row],[Merc]])*INT(P[[#This Row],[Merc]]/30+1)&amp;"Me,"&amp;SIGN(U45-P[[#This Row],[Jup]])*INT(P[[#This Row],[Jup]]/30+1)&amp;"Ju,"&amp;SIGN(V45-P[[#This Row],[Venu]])*INT(P[[#This Row],[Venu]]/30+1)&amp;"Ve,"&amp;SIGN(W45-P[[#This Row],[Sat]])*INT(P[[#This Row],[Sat]]/30+1)&amp;"Sa,"&amp;INT(P[[#This Row],[Rah]]/30+1)&amp;"Ra"</f>
        <v>8Ma,10Me,7Ju,10Ve,9Sa,4Ra</v>
      </c>
      <c r="S44" s="124">
        <f ca="1">Planet(P[[#This Row],[GMT Sun Rise]],4)</f>
        <v>221.71860334747899</v>
      </c>
      <c r="T44" s="124">
        <f ca="1">Planet(P[[#This Row],[GMT Sun Rise]],2)</f>
        <v>283.13486627225296</v>
      </c>
      <c r="U44" s="124">
        <f ca="1">Planet(P[[#This Row],[GMT Sun Rise]],5)</f>
        <v>207.54843988379344</v>
      </c>
      <c r="V44" s="124">
        <f ca="1">Planet(P[[#This Row],[GMT Sun Rise]],3)</f>
        <v>298.46559382229117</v>
      </c>
      <c r="W44" s="124">
        <f ca="1">Planet(P[[#This Row],[GMT Sun Rise]],6)</f>
        <v>251.13195499723554</v>
      </c>
      <c r="X44" s="124">
        <f ca="1">Planet(P[[#This Row],[GMT Sun Rise]],10)</f>
        <v>110.93426211699135</v>
      </c>
      <c r="Y44" s="124">
        <f ca="1">SIGN(S45-P[[#This Row],[MARs]])</f>
        <v>1</v>
      </c>
    </row>
    <row r="45" spans="1:25" x14ac:dyDescent="0.2">
      <c r="A45" s="125">
        <f t="shared" ca="1" si="11"/>
        <v>43137</v>
      </c>
      <c r="B45" s="125">
        <f t="shared" ca="1" si="16"/>
        <v>43137.229166666664</v>
      </c>
      <c r="C45" s="130">
        <f t="shared" ca="1" si="12"/>
        <v>43137.275296098705</v>
      </c>
      <c r="D45" s="130">
        <f t="shared" ca="1" si="13"/>
        <v>43136.757394294298</v>
      </c>
      <c r="E45" s="134">
        <f ca="1">P[[#This Row],[SunRise]]-TimeZone/24</f>
        <v>43137.046129432041</v>
      </c>
      <c r="F45" s="135">
        <f t="shared" ca="1" si="6"/>
        <v>293.07391725811112</v>
      </c>
      <c r="G45" s="128">
        <f t="shared" ca="1" si="14"/>
        <v>184.37910759966161</v>
      </c>
      <c r="H45" s="129">
        <f t="shared" ca="1" si="10"/>
        <v>43137.046129432041</v>
      </c>
      <c r="I45" s="124" t="str">
        <f ca="1">naks(P[[#This Row],[Moon]])</f>
        <v>Chitra</v>
      </c>
      <c r="J45" s="130">
        <f ca="1">(C46-P[[#This Row],[SunRise]])/(G46-P[[#This Row],[Moon]])*(13.3333333333333-MOD(P[[#This Row],[Moon]],13.333333333333))+P[[#This Row],[SunRise]]</f>
        <v>43137.45564188432</v>
      </c>
      <c r="K45" s="124" t="str">
        <f ca="1">IF(P[[#This Row],[Tithi]]&gt;15,"K","S")&amp;ROUNDUP(MOD(P[[#This Row],[Tithi]],15),0)&amp;" ("&amp;ROUND(P[[#This Row],[Tithi]],2)&amp;")"</f>
        <v>K6 (20.94)</v>
      </c>
      <c r="L45" s="124">
        <f ca="1">IF(AND(P[[#This Row],[Tithi]]&lt;28.5,P[[#This Row],[Tithi]]&gt;0.49999),MOD((P[[#This Row],[Tithi]]-0.5)*2,7),MOD((P[[#This Row],[Tithi]]+30-28.5),30)*2+7)</f>
        <v>5.8841999999999999</v>
      </c>
      <c r="M45" s="124" t="str">
        <f ca="1">CHOOSE(ROUNDUP(P[[#This Row],[Karana1]],0),"Bhava","Baalava","Kaulava","Taitula","Garija","Vanija","Vishti","Shakuni","Chatushapda","Naaga","Kimstugna")</f>
        <v>Vanija</v>
      </c>
      <c r="N4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(8.81)</v>
      </c>
      <c r="O45" s="124">
        <f ca="1">IF(AND(P[[#This Row],[Tithi]]&lt;28.5,P[[#This Row],[Tithi]]&gt;0.49999),MOD((P[[#This Row],[Tithi]]-0.5)*2,7),MOD((P[[#This Row],[Tithi]]+30-28.5),30)*2+7)</f>
        <v>5.8841999999999999</v>
      </c>
      <c r="P45" s="124">
        <f ca="1">ROUNDUP(MOD(360+P[[#This Row],[Moon]]-P[[#This Row],[Sun]],360)/12,4)</f>
        <v>20.9421</v>
      </c>
      <c r="Q45" s="124">
        <f t="shared" ca="1" si="15"/>
        <v>8.81</v>
      </c>
      <c r="R45" s="124" t="str">
        <f ca="1">SIGN(S46-P[[#This Row],[MARs]])*INT(P[[#This Row],[MARs]]/30+1)&amp;"Ma,"&amp;SIGN(T46-P[[#This Row],[Merc]])*INT(P[[#This Row],[Merc]]/30+1)&amp;"Me,"&amp;SIGN(U46-P[[#This Row],[Jup]])*INT(P[[#This Row],[Jup]]/30+1)&amp;"Ju,"&amp;SIGN(V46-P[[#This Row],[Venu]])*INT(P[[#This Row],[Venu]]/30+1)&amp;"Ve,"&amp;SIGN(W46-P[[#This Row],[Sat]])*INT(P[[#This Row],[Sat]]/30+1)&amp;"Sa,"&amp;INT(P[[#This Row],[Rah]]/30+1)&amp;"Ra"</f>
        <v>8Ma,10Me,7Ju,10Ve,9Sa,4Ra</v>
      </c>
      <c r="S45" s="124">
        <f ca="1">Planet(P[[#This Row],[GMT Sun Rise]],4)</f>
        <v>222.32868006868293</v>
      </c>
      <c r="T45" s="124">
        <f ca="1">Planet(P[[#This Row],[GMT Sun Rise]],2)</f>
        <v>284.78518101705242</v>
      </c>
      <c r="U45" s="124">
        <f ca="1">Planet(P[[#This Row],[GMT Sun Rise]],5)</f>
        <v>207.64177917208426</v>
      </c>
      <c r="V45" s="124">
        <f ca="1">Planet(P[[#This Row],[GMT Sun Rise]],3)</f>
        <v>299.71933413808</v>
      </c>
      <c r="W45" s="124">
        <f ca="1">Planet(P[[#This Row],[GMT Sun Rise]],6)</f>
        <v>251.23008746121968</v>
      </c>
      <c r="X45" s="124">
        <f ca="1">Planet(P[[#This Row],[GMT Sun Rise]],10)</f>
        <v>110.88127876099988</v>
      </c>
      <c r="Y45" s="124">
        <f ca="1">SIGN(S46-P[[#This Row],[MARs]])</f>
        <v>1</v>
      </c>
    </row>
    <row r="46" spans="1:25" x14ac:dyDescent="0.2">
      <c r="A46" s="125">
        <f t="shared" ca="1" si="11"/>
        <v>43138</v>
      </c>
      <c r="B46" s="125">
        <f t="shared" ca="1" si="16"/>
        <v>43138.229166666664</v>
      </c>
      <c r="C46" s="130">
        <f t="shared" ca="1" si="12"/>
        <v>43138.275121417049</v>
      </c>
      <c r="D46" s="130">
        <f t="shared" ca="1" si="13"/>
        <v>43137.757660210176</v>
      </c>
      <c r="E46" s="134">
        <f ca="1">P[[#This Row],[SunRise]]-TimeZone/24</f>
        <v>43138.045954750385</v>
      </c>
      <c r="F46" s="135">
        <f t="shared" ca="1" si="6"/>
        <v>294.08693987030318</v>
      </c>
      <c r="G46" s="128">
        <f t="shared" ca="1" si="14"/>
        <v>197.06118644405217</v>
      </c>
      <c r="H46" s="129">
        <f t="shared" ca="1" si="10"/>
        <v>43138.045954750385</v>
      </c>
      <c r="I46" s="124" t="str">
        <f ca="1">naks(P[[#This Row],[Moon]])</f>
        <v>Swati</v>
      </c>
      <c r="J46" s="130">
        <f ca="1">(C47-P[[#This Row],[SunRise]])/(G47-P[[#This Row],[Moon]])*(13.3333333333333-MOD(P[[#This Row],[Moon]],13.333333333333))+P[[#This Row],[SunRise]]</f>
        <v>43138.512931792953</v>
      </c>
      <c r="K46" s="124" t="str">
        <f ca="1">IF(P[[#This Row],[Tithi]]&gt;15,"K","S")&amp;ROUNDUP(MOD(P[[#This Row],[Tithi]],15),0)&amp;" ("&amp;ROUND(P[[#This Row],[Tithi]],2)&amp;")"</f>
        <v>K7 (21.91)</v>
      </c>
      <c r="L46" s="124">
        <f ca="1">IF(AND(P[[#This Row],[Tithi]]&lt;28.5,P[[#This Row],[Tithi]]&gt;0.49999),MOD((P[[#This Row],[Tithi]]-0.5)*2,7),MOD((P[[#This Row],[Tithi]]+30-28.5),30)*2+7)</f>
        <v>0.82920000000000016</v>
      </c>
      <c r="M46" s="124" t="str">
        <f ca="1">CHOOSE(ROUNDUP(P[[#This Row],[Karana1]],0),"Bhava","Baalava","Kaulava","Taitula","Garija","Vanija","Vishti","Shakuni","Chatushapda","Naaga","Kimstugna")</f>
        <v>Bhava</v>
      </c>
      <c r="N4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(9.84)</v>
      </c>
      <c r="O46" s="124">
        <f ca="1">IF(AND(P[[#This Row],[Tithi]]&lt;28.5,P[[#This Row],[Tithi]]&gt;0.49999),MOD((P[[#This Row],[Tithi]]-0.5)*2,7),MOD((P[[#This Row],[Tithi]]+30-28.5),30)*2+7)</f>
        <v>0.82920000000000016</v>
      </c>
      <c r="P46" s="124">
        <f ca="1">ROUNDUP(MOD(360+P[[#This Row],[Moon]]-P[[#This Row],[Sun]],360)/12,4)</f>
        <v>21.9146</v>
      </c>
      <c r="Q46" s="124">
        <f t="shared" ca="1" si="15"/>
        <v>9.84</v>
      </c>
      <c r="R46" s="124" t="str">
        <f ca="1">SIGN(S47-P[[#This Row],[MARs]])*INT(P[[#This Row],[MARs]]/30+1)&amp;"Ma,"&amp;SIGN(T47-P[[#This Row],[Merc]])*INT(P[[#This Row],[Merc]]/30+1)&amp;"Me,"&amp;SIGN(U47-P[[#This Row],[Jup]])*INT(P[[#This Row],[Jup]]/30+1)&amp;"Ju,"&amp;SIGN(V47-P[[#This Row],[Venu]])*INT(P[[#This Row],[Venu]]/30+1)&amp;"Ve,"&amp;SIGN(W47-P[[#This Row],[Sat]])*INT(P[[#This Row],[Sat]]/30+1)&amp;"Sa,"&amp;INT(P[[#This Row],[Rah]]/30+1)&amp;"Ra"</f>
        <v>8Ma,10Me,7Ju,11Ve,9Sa,4Ra</v>
      </c>
      <c r="S46" s="124">
        <f ca="1">Planet(P[[#This Row],[GMT Sun Rise]],4)</f>
        <v>222.9382121143139</v>
      </c>
      <c r="T46" s="124">
        <f ca="1">Planet(P[[#This Row],[GMT Sun Rise]],2)</f>
        <v>286.44815664075821</v>
      </c>
      <c r="U46" s="124">
        <f ca="1">Planet(P[[#This Row],[GMT Sun Rise]],5)</f>
        <v>207.73248547686242</v>
      </c>
      <c r="V46" s="124">
        <f ca="1">Planet(P[[#This Row],[GMT Sun Rise]],3)</f>
        <v>300.9728755169823</v>
      </c>
      <c r="W46" s="124">
        <f ca="1">Planet(P[[#This Row],[GMT Sun Rise]],6)</f>
        <v>251.32735188148206</v>
      </c>
      <c r="X46" s="124">
        <f ca="1">Planet(P[[#This Row],[GMT Sun Rise]],10)</f>
        <v>110.82829601992886</v>
      </c>
      <c r="Y46" s="124">
        <f ca="1">SIGN(S47-P[[#This Row],[MARs]])</f>
        <v>1</v>
      </c>
    </row>
    <row r="47" spans="1:25" x14ac:dyDescent="0.2">
      <c r="A47" s="125">
        <f t="shared" ca="1" si="11"/>
        <v>43139</v>
      </c>
      <c r="B47" s="125">
        <f t="shared" ca="1" si="16"/>
        <v>43139.229166666664</v>
      </c>
      <c r="C47" s="130">
        <f t="shared" ca="1" si="12"/>
        <v>43139.274935291767</v>
      </c>
      <c r="D47" s="130">
        <f t="shared" ca="1" si="13"/>
        <v>43138.7579194508</v>
      </c>
      <c r="E47" s="134">
        <f ca="1">P[[#This Row],[SunRise]]-TimeZone/24</f>
        <v>43139.045768625103</v>
      </c>
      <c r="F47" s="135">
        <f t="shared" ca="1" si="6"/>
        <v>295.09968989557285</v>
      </c>
      <c r="G47" s="128">
        <f t="shared" ca="1" si="14"/>
        <v>209.41668841588407</v>
      </c>
      <c r="H47" s="129">
        <f t="shared" ca="1" si="10"/>
        <v>43139.045768625103</v>
      </c>
      <c r="I47" s="124" t="str">
        <f ca="1">naks(P[[#This Row],[Moon]])</f>
        <v>Visakha</v>
      </c>
      <c r="J47" s="130">
        <f ca="1">(C48-P[[#This Row],[SunRise]])/(G48-P[[#This Row],[Moon]])*(13.3333333333333-MOD(P[[#This Row],[Moon]],13.333333333333))+P[[#This Row],[SunRise]]</f>
        <v>43139.598493391612</v>
      </c>
      <c r="K47" s="124" t="str">
        <f ca="1">IF(P[[#This Row],[Tithi]]&gt;15,"K","S")&amp;ROUNDUP(MOD(P[[#This Row],[Tithi]],15),0)&amp;" ("&amp;ROUND(P[[#This Row],[Tithi]],2)&amp;")"</f>
        <v>K8 (22.86)</v>
      </c>
      <c r="L47" s="124">
        <f ca="1">IF(AND(P[[#This Row],[Tithi]]&lt;28.5,P[[#This Row],[Tithi]]&gt;0.49999),MOD((P[[#This Row],[Tithi]]-0.5)*2,7),MOD((P[[#This Row],[Tithi]]+30-28.5),30)*2+7)</f>
        <v>2.7195999999999998</v>
      </c>
      <c r="M47" s="124" t="str">
        <f ca="1">CHOOSE(ROUNDUP(P[[#This Row],[Karana1]],0),"Bhava","Baalava","Kaulava","Taitula","Garija","Vanija","Vishti","Shakuni","Chatushapda","Naaga","Kimstugna")</f>
        <v>Kaulava</v>
      </c>
      <c r="N4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(10.84)</v>
      </c>
      <c r="O47" s="124">
        <f ca="1">IF(AND(P[[#This Row],[Tithi]]&lt;28.5,P[[#This Row],[Tithi]]&gt;0.49999),MOD((P[[#This Row],[Tithi]]-0.5)*2,7),MOD((P[[#This Row],[Tithi]]+30-28.5),30)*2+7)</f>
        <v>2.7195999999999998</v>
      </c>
      <c r="P47" s="124">
        <f ca="1">ROUNDUP(MOD(360+P[[#This Row],[Moon]]-P[[#This Row],[Sun]],360)/12,4)</f>
        <v>22.8598</v>
      </c>
      <c r="Q47" s="124">
        <f t="shared" ca="1" si="15"/>
        <v>10.84</v>
      </c>
      <c r="R47" s="124" t="str">
        <f ca="1">SIGN(S48-P[[#This Row],[MARs]])*INT(P[[#This Row],[MARs]]/30+1)&amp;"Ma,"&amp;SIGN(T48-P[[#This Row],[Merc]])*INT(P[[#This Row],[Merc]]/30+1)&amp;"Me,"&amp;SIGN(U48-P[[#This Row],[Jup]])*INT(P[[#This Row],[Jup]]/30+1)&amp;"Ju,"&amp;SIGN(V48-P[[#This Row],[Venu]])*INT(P[[#This Row],[Venu]]/30+1)&amp;"Ve,"&amp;SIGN(W48-P[[#This Row],[Sat]])*INT(P[[#This Row],[Sat]]/30+1)&amp;"Sa,"&amp;INT(P[[#This Row],[Rah]]/30+1)&amp;"Ra"</f>
        <v>8Ma,10Me,7Ju,11Ve,9Sa,4Ra</v>
      </c>
      <c r="S47" s="124">
        <f ca="1">Planet(P[[#This Row],[GMT Sun Rise]],4)</f>
        <v>223.54717771968322</v>
      </c>
      <c r="T47" s="124">
        <f ca="1">Planet(P[[#This Row],[GMT Sun Rise]],2)</f>
        <v>288.124037403648</v>
      </c>
      <c r="U47" s="124">
        <f ca="1">Planet(P[[#This Row],[GMT Sun Rise]],5)</f>
        <v>207.82052947196459</v>
      </c>
      <c r="V47" s="124">
        <f ca="1">Planet(P[[#This Row],[GMT Sun Rise]],3)</f>
        <v>302.22621353849627</v>
      </c>
      <c r="W47" s="124">
        <f ca="1">Planet(P[[#This Row],[GMT Sun Rise]],6)</f>
        <v>251.42372930288096</v>
      </c>
      <c r="X47" s="124">
        <f ca="1">Planet(P[[#This Row],[GMT Sun Rise]],10)</f>
        <v>110.77531388526199</v>
      </c>
      <c r="Y47" s="124">
        <f ca="1">SIGN(S48-P[[#This Row],[MARs]])</f>
        <v>1</v>
      </c>
    </row>
    <row r="48" spans="1:25" x14ac:dyDescent="0.2">
      <c r="A48" s="125">
        <f t="shared" ca="1" si="11"/>
        <v>43140</v>
      </c>
      <c r="B48" s="125">
        <f t="shared" ca="1" si="16"/>
        <v>43140.229166666664</v>
      </c>
      <c r="C48" s="130">
        <f t="shared" ca="1" si="12"/>
        <v>43140.274737722393</v>
      </c>
      <c r="D48" s="130">
        <f t="shared" ca="1" si="13"/>
        <v>43139.758172333284</v>
      </c>
      <c r="E48" s="134">
        <f ca="1">P[[#This Row],[SunRise]]-TimeZone/24</f>
        <v>43140.045571055729</v>
      </c>
      <c r="F48" s="135">
        <f t="shared" ca="1" si="6"/>
        <v>296.1121576837063</v>
      </c>
      <c r="G48" s="128">
        <f t="shared" ca="1" si="14"/>
        <v>221.51921686503334</v>
      </c>
      <c r="H48" s="129">
        <f t="shared" ca="1" si="10"/>
        <v>43140.045571055729</v>
      </c>
      <c r="I48" s="124" t="str">
        <f ca="1">naks(P[[#This Row],[Moon]])</f>
        <v>Anuradha</v>
      </c>
      <c r="J48" s="130">
        <f ca="1">(C49-P[[#This Row],[SunRise]])/(G49-P[[#This Row],[Moon]])*(13.3333333333333-MOD(P[[#This Row],[Moon]],13.333333333333))+P[[#This Row],[SunRise]]</f>
        <v>43140.706231261574</v>
      </c>
      <c r="K48" s="124" t="str">
        <f ca="1">IF(P[[#This Row],[Tithi]]&gt;15,"K","S")&amp;ROUNDUP(MOD(P[[#This Row],[Tithi]],15),0)&amp;" ("&amp;ROUND(P[[#This Row],[Tithi]],2)&amp;")"</f>
        <v>K9 (23.78)</v>
      </c>
      <c r="L48" s="124">
        <f ca="1">IF(AND(P[[#This Row],[Tithi]]&lt;28.5,P[[#This Row],[Tithi]]&gt;0.49999),MOD((P[[#This Row],[Tithi]]-0.5)*2,7),MOD((P[[#This Row],[Tithi]]+30-28.5),30)*2+7)</f>
        <v>4.5679999999999978</v>
      </c>
      <c r="M48" s="124" t="str">
        <f ca="1">CHOOSE(ROUNDUP(P[[#This Row],[Karana1]],0),"Bhava","Baalava","Kaulava","Taitula","Garija","Vanija","Vishti","Shakuni","Chatushapda","Naaga","Kimstugna")</f>
        <v>Garija</v>
      </c>
      <c r="N4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(11.83)</v>
      </c>
      <c r="O48" s="124">
        <f ca="1">IF(AND(P[[#This Row],[Tithi]]&lt;28.5,P[[#This Row],[Tithi]]&gt;0.49999),MOD((P[[#This Row],[Tithi]]-0.5)*2,7),MOD((P[[#This Row],[Tithi]]+30-28.5),30)*2+7)</f>
        <v>4.5679999999999978</v>
      </c>
      <c r="P48" s="124">
        <f ca="1">ROUNDUP(MOD(360+P[[#This Row],[Moon]]-P[[#This Row],[Sun]],360)/12,4)</f>
        <v>23.783999999999999</v>
      </c>
      <c r="Q48" s="124">
        <f t="shared" ca="1" si="15"/>
        <v>11.83</v>
      </c>
      <c r="R48" s="124" t="str">
        <f ca="1">SIGN(S49-P[[#This Row],[MARs]])*INT(P[[#This Row],[MARs]]/30+1)&amp;"Ma,"&amp;SIGN(T49-P[[#This Row],[Merc]])*INT(P[[#This Row],[Merc]]/30+1)&amp;"Me,"&amp;SIGN(U49-P[[#This Row],[Jup]])*INT(P[[#This Row],[Jup]]/30+1)&amp;"Ju,"&amp;SIGN(V49-P[[#This Row],[Venu]])*INT(P[[#This Row],[Venu]]/30+1)&amp;"Ve,"&amp;SIGN(W49-P[[#This Row],[Sat]])*INT(P[[#This Row],[Sat]]/30+1)&amp;"Sa,"&amp;INT(P[[#This Row],[Rah]]/30+1)&amp;"Ra"</f>
        <v>8Ma,10Me,7Ju,11Ve,9Sa,4Ra</v>
      </c>
      <c r="S48" s="124">
        <f ca="1">Planet(P[[#This Row],[GMT Sun Rise]],4)</f>
        <v>224.15555444597192</v>
      </c>
      <c r="T48" s="124">
        <f ca="1">Planet(P[[#This Row],[GMT Sun Rise]],2)</f>
        <v>289.81306110318769</v>
      </c>
      <c r="U48" s="124">
        <f ca="1">Planet(P[[#This Row],[GMT Sun Rise]],5)</f>
        <v>207.90588226374646</v>
      </c>
      <c r="V48" s="124">
        <f ca="1">Planet(P[[#This Row],[GMT Sun Rise]],3)</f>
        <v>303.47934201394173</v>
      </c>
      <c r="W48" s="124">
        <f ca="1">Planet(P[[#This Row],[GMT Sun Rise]],6)</f>
        <v>251.51920062946442</v>
      </c>
      <c r="X48" s="124">
        <f ca="1">Planet(P[[#This Row],[GMT Sun Rise]],10)</f>
        <v>110.72233235706547</v>
      </c>
      <c r="Y48" s="124">
        <f ca="1">SIGN(S49-P[[#This Row],[MARs]])</f>
        <v>1</v>
      </c>
    </row>
    <row r="49" spans="1:25" x14ac:dyDescent="0.2">
      <c r="A49" s="125">
        <f t="shared" ca="1" si="11"/>
        <v>43141</v>
      </c>
      <c r="B49" s="125">
        <f t="shared" ca="1" si="16"/>
        <v>43141.229166666664</v>
      </c>
      <c r="C49" s="130">
        <f t="shared" ca="1" si="12"/>
        <v>43141.274529026508</v>
      </c>
      <c r="D49" s="130">
        <f t="shared" ca="1" si="13"/>
        <v>43140.758418540514</v>
      </c>
      <c r="E49" s="134">
        <f ca="1">P[[#This Row],[SunRise]]-TimeZone/24</f>
        <v>43141.045362359844</v>
      </c>
      <c r="F49" s="135">
        <f t="shared" ca="1" si="6"/>
        <v>297.12433162959081</v>
      </c>
      <c r="G49" s="128">
        <f t="shared" ca="1" si="14"/>
        <v>233.44610587428755</v>
      </c>
      <c r="H49" s="129">
        <f t="shared" ca="1" si="10"/>
        <v>43141.045362359844</v>
      </c>
      <c r="I49" s="124" t="str">
        <f ca="1">naks(P[[#This Row],[Moon]])</f>
        <v>Jyestha</v>
      </c>
      <c r="J49" s="130">
        <f ca="1">(C50-P[[#This Row],[SunRise]])/(G50-P[[#This Row],[Moon]])*(13.3333333333333-MOD(P[[#This Row],[Moon]],13.333333333333))+P[[#This Row],[SunRise]]</f>
        <v>43141.828562801522</v>
      </c>
      <c r="K49" s="124" t="str">
        <f ca="1">IF(P[[#This Row],[Tithi]]&gt;15,"K","S")&amp;ROUNDUP(MOD(P[[#This Row],[Tithi]],15),0)&amp;" ("&amp;ROUND(P[[#This Row],[Tithi]],2)&amp;")"</f>
        <v>K10 (24.69)</v>
      </c>
      <c r="L49" s="124">
        <f ca="1">IF(AND(P[[#This Row],[Tithi]]&lt;28.5,P[[#This Row],[Tithi]]&gt;0.49999),MOD((P[[#This Row],[Tithi]]-0.5)*2,7),MOD((P[[#This Row],[Tithi]]+30-28.5),30)*2+7)</f>
        <v>6.3870000000000005</v>
      </c>
      <c r="M49" s="124" t="str">
        <f ca="1">CHOOSE(ROUNDUP(P[[#This Row],[Karana1]],0),"Bhava","Baalava","Kaulava","Taitula","Garija","Vanija","Vishti","Shakuni","Chatushapda","Naaga","Kimstugna")</f>
        <v>Vishti</v>
      </c>
      <c r="N4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(12.8)</v>
      </c>
      <c r="O49" s="124">
        <f ca="1">IF(AND(P[[#This Row],[Tithi]]&lt;28.5,P[[#This Row],[Tithi]]&gt;0.49999),MOD((P[[#This Row],[Tithi]]-0.5)*2,7),MOD((P[[#This Row],[Tithi]]+30-28.5),30)*2+7)</f>
        <v>6.3870000000000005</v>
      </c>
      <c r="P49" s="124">
        <f ca="1">ROUNDUP(MOD(360+P[[#This Row],[Moon]]-P[[#This Row],[Sun]],360)/12,4)</f>
        <v>24.6935</v>
      </c>
      <c r="Q49" s="124">
        <f t="shared" ca="1" si="15"/>
        <v>12.799999999999999</v>
      </c>
      <c r="R49" s="124" t="str">
        <f ca="1">SIGN(S50-P[[#This Row],[MARs]])*INT(P[[#This Row],[MARs]]/30+1)&amp;"Ma,"&amp;SIGN(T50-P[[#This Row],[Merc]])*INT(P[[#This Row],[Merc]]/30+1)&amp;"Me,"&amp;SIGN(U50-P[[#This Row],[Jup]])*INT(P[[#This Row],[Jup]]/30+1)&amp;"Ju,"&amp;SIGN(V50-P[[#This Row],[Venu]])*INT(P[[#This Row],[Venu]]/30+1)&amp;"Ve,"&amp;SIGN(W50-P[[#This Row],[Sat]])*INT(P[[#This Row],[Sat]]/30+1)&amp;"Sa,"&amp;INT(P[[#This Row],[Rah]]/30+1)&amp;"Ra"</f>
        <v>8Ma,10Me,7Ju,11Ve,9Sa,4Ra</v>
      </c>
      <c r="S49" s="124">
        <f ca="1">Planet(P[[#This Row],[GMT Sun Rise]],4)</f>
        <v>224.76331969605013</v>
      </c>
      <c r="T49" s="124">
        <f ca="1">Planet(P[[#This Row],[GMT Sun Rise]],2)</f>
        <v>291.51545438439501</v>
      </c>
      <c r="U49" s="124">
        <f ca="1">Planet(P[[#This Row],[GMT Sun Rise]],5)</f>
        <v>207.98851554036108</v>
      </c>
      <c r="V49" s="124">
        <f ca="1">Planet(P[[#This Row],[GMT Sun Rise]],3)</f>
        <v>304.73225377114818</v>
      </c>
      <c r="W49" s="124">
        <f ca="1">Planet(P[[#This Row],[GMT Sun Rise]],6)</f>
        <v>251.6137467307135</v>
      </c>
      <c r="X49" s="124">
        <f ca="1">Planet(P[[#This Row],[GMT Sun Rise]],10)</f>
        <v>110.66935141848884</v>
      </c>
      <c r="Y49" s="124">
        <f ca="1">SIGN(S50-P[[#This Row],[MARs]])</f>
        <v>1</v>
      </c>
    </row>
    <row r="50" spans="1:25" x14ac:dyDescent="0.2">
      <c r="A50" s="125">
        <f t="shared" ca="1" si="11"/>
        <v>43142</v>
      </c>
      <c r="B50" s="125">
        <f t="shared" ca="1" si="16"/>
        <v>43142.229166666664</v>
      </c>
      <c r="C50" s="130">
        <f t="shared" ca="1" si="12"/>
        <v>43142.274309363369</v>
      </c>
      <c r="D50" s="130">
        <f t="shared" ca="1" si="13"/>
        <v>43141.758658230348</v>
      </c>
      <c r="E50" s="134">
        <f ca="1">P[[#This Row],[SunRise]]-TimeZone/24</f>
        <v>43142.045142696705</v>
      </c>
      <c r="F50" s="135">
        <f t="shared" ca="1" si="6"/>
        <v>298.1361979810942</v>
      </c>
      <c r="G50" s="128">
        <f t="shared" ca="1" si="14"/>
        <v>245.27292000055675</v>
      </c>
      <c r="H50" s="129">
        <f t="shared" ca="1" si="10"/>
        <v>43142.045142696705</v>
      </c>
      <c r="I50" s="124" t="str">
        <f ca="1">naks(P[[#This Row],[Moon]])</f>
        <v>Moola</v>
      </c>
      <c r="J50" s="130">
        <f ca="1">(C51-P[[#This Row],[SunRise]])/(G51-P[[#This Row],[Moon]])*(13.3333333333333-MOD(P[[#This Row],[Moon]],13.333333333333))+P[[#This Row],[SunRise]]</f>
        <v>43142.95742608943</v>
      </c>
      <c r="K50" s="124" t="str">
        <f ca="1">IF(P[[#This Row],[Tithi]]&gt;15,"K","S")&amp;ROUNDUP(MOD(P[[#This Row],[Tithi]],15),0)&amp;" ("&amp;ROUND(P[[#This Row],[Tithi]],2)&amp;")"</f>
        <v>K11 (25.59)</v>
      </c>
      <c r="L50" s="124">
        <f ca="1">IF(AND(P[[#This Row],[Tithi]]&lt;28.5,P[[#This Row],[Tithi]]&gt;0.49999),MOD((P[[#This Row],[Tithi]]-0.5)*2,7),MOD((P[[#This Row],[Tithi]]+30-28.5),30)*2+7)</f>
        <v>1.1895999999999987</v>
      </c>
      <c r="M50" s="124" t="str">
        <f ca="1">CHOOSE(ROUNDUP(P[[#This Row],[Karana1]],0),"Bhava","Baalava","Kaulava","Taitula","Garija","Vanija","Vishti","Shakuni","Chatushapda","Naaga","Kimstugna")</f>
        <v>Baalava</v>
      </c>
      <c r="N5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(13.76)</v>
      </c>
      <c r="O50" s="124">
        <f ca="1">IF(AND(P[[#This Row],[Tithi]]&lt;28.5,P[[#This Row],[Tithi]]&gt;0.49999),MOD((P[[#This Row],[Tithi]]-0.5)*2,7),MOD((P[[#This Row],[Tithi]]+30-28.5),30)*2+7)</f>
        <v>1.1895999999999987</v>
      </c>
      <c r="P50" s="124">
        <f ca="1">ROUNDUP(MOD(360+P[[#This Row],[Moon]]-P[[#This Row],[Sun]],360)/12,4)</f>
        <v>25.594799999999999</v>
      </c>
      <c r="Q50" s="124">
        <f t="shared" ca="1" si="15"/>
        <v>13.76</v>
      </c>
      <c r="R50" s="124" t="str">
        <f ca="1">SIGN(S51-P[[#This Row],[MARs]])*INT(P[[#This Row],[MARs]]/30+1)&amp;"Ma,"&amp;SIGN(T51-P[[#This Row],[Merc]])*INT(P[[#This Row],[Merc]]/30+1)&amp;"Me,"&amp;SIGN(U51-P[[#This Row],[Jup]])*INT(P[[#This Row],[Jup]]/30+1)&amp;"Ju,"&amp;SIGN(V51-P[[#This Row],[Venu]])*INT(P[[#This Row],[Venu]]/30+1)&amp;"Ve,"&amp;SIGN(W51-P[[#This Row],[Sat]])*INT(P[[#This Row],[Sat]]/30+1)&amp;"Sa,"&amp;INT(P[[#This Row],[Rah]]/30+1)&amp;"Ra"</f>
        <v>8Ma,10Me,7Ju,11Ve,9Sa,4Ra</v>
      </c>
      <c r="S50" s="124">
        <f ca="1">Planet(P[[#This Row],[GMT Sun Rise]],4)</f>
        <v>225.37045059834253</v>
      </c>
      <c r="T50" s="124">
        <f ca="1">Planet(P[[#This Row],[GMT Sun Rise]],2)</f>
        <v>293.23142544629019</v>
      </c>
      <c r="U50" s="124">
        <f ca="1">Planet(P[[#This Row],[GMT Sun Rise]],5)</f>
        <v>208.06840162351361</v>
      </c>
      <c r="V50" s="124">
        <f ca="1">Planet(P[[#This Row],[GMT Sun Rise]],3)</f>
        <v>305.98494020370225</v>
      </c>
      <c r="W50" s="124">
        <f ca="1">Planet(P[[#This Row],[GMT Sun Rise]],6)</f>
        <v>251.70734844483758</v>
      </c>
      <c r="X50" s="124">
        <f ca="1">Planet(P[[#This Row],[GMT Sun Rise]],10)</f>
        <v>110.61637106106549</v>
      </c>
      <c r="Y50" s="124">
        <f ca="1">SIGN(S51-P[[#This Row],[MARs]])</f>
        <v>1</v>
      </c>
    </row>
    <row r="51" spans="1:25" x14ac:dyDescent="0.2">
      <c r="A51" s="125">
        <f t="shared" ca="1" si="11"/>
        <v>43143</v>
      </c>
      <c r="B51" s="125">
        <f t="shared" ca="1" si="16"/>
        <v>43143.229166666664</v>
      </c>
      <c r="C51" s="130">
        <f t="shared" ca="1" si="12"/>
        <v>43143.274078892231</v>
      </c>
      <c r="D51" s="130">
        <f t="shared" ca="1" si="13"/>
        <v>43142.758891403719</v>
      </c>
      <c r="E51" s="134">
        <f ca="1">P[[#This Row],[SunRise]]-TimeZone/24</f>
        <v>43143.044912225567</v>
      </c>
      <c r="F51" s="135">
        <f t="shared" ca="1" si="6"/>
        <v>299.14774125377852</v>
      </c>
      <c r="G51" s="128">
        <f t="shared" ca="1" si="14"/>
        <v>257.06966766126368</v>
      </c>
      <c r="H51" s="129">
        <f t="shared" ca="1" si="10"/>
        <v>43143.044912225567</v>
      </c>
      <c r="I51" s="124" t="str">
        <f ca="1">naks(P[[#This Row],[Moon]])</f>
        <v>Purva Asadha</v>
      </c>
      <c r="J51" s="130">
        <f ca="1">(C52-P[[#This Row],[SunRise]])/(G52-P[[#This Row],[Moon]])*(13.3333333333333-MOD(P[[#This Row],[Moon]],13.333333333333))+P[[#This Row],[SunRise]]</f>
        <v>43144.085211857258</v>
      </c>
      <c r="K51" s="124" t="str">
        <f ca="1">IF(P[[#This Row],[Tithi]]&gt;15,"K","S")&amp;ROUNDUP(MOD(P[[#This Row],[Tithi]],15),0)&amp;" ("&amp;ROUND(P[[#This Row],[Tithi]],2)&amp;")"</f>
        <v>K12 (26.49)</v>
      </c>
      <c r="L51" s="124">
        <f ca="1">IF(AND(P[[#This Row],[Tithi]]&lt;28.5,P[[#This Row],[Tithi]]&gt;0.49999),MOD((P[[#This Row],[Tithi]]-0.5)*2,7),MOD((P[[#This Row],[Tithi]]+30-28.5),30)*2+7)</f>
        <v>2.9870000000000019</v>
      </c>
      <c r="M51" s="124" t="str">
        <f ca="1">CHOOSE(ROUNDUP(P[[#This Row],[Karana1]],0),"Bhava","Baalava","Kaulava","Taitula","Garija","Vanija","Vishti","Shakuni","Chatushapda","Naaga","Kimstugna")</f>
        <v>Kaulava</v>
      </c>
      <c r="N5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(14.72)</v>
      </c>
      <c r="O51" s="124">
        <f ca="1">IF(AND(P[[#This Row],[Tithi]]&lt;28.5,P[[#This Row],[Tithi]]&gt;0.49999),MOD((P[[#This Row],[Tithi]]-0.5)*2,7),MOD((P[[#This Row],[Tithi]]+30-28.5),30)*2+7)</f>
        <v>2.9870000000000019</v>
      </c>
      <c r="P51" s="124">
        <f ca="1">ROUNDUP(MOD(360+P[[#This Row],[Moon]]-P[[#This Row],[Sun]],360)/12,4)</f>
        <v>26.493500000000001</v>
      </c>
      <c r="Q51" s="124">
        <f t="shared" ca="1" si="15"/>
        <v>14.72</v>
      </c>
      <c r="R51" s="124" t="str">
        <f ca="1">SIGN(S52-P[[#This Row],[MARs]])*INT(P[[#This Row],[MARs]]/30+1)&amp;"Ma,"&amp;SIGN(T52-P[[#This Row],[Merc]])*INT(P[[#This Row],[Merc]]/30+1)&amp;"Me,"&amp;SIGN(U52-P[[#This Row],[Jup]])*INT(P[[#This Row],[Jup]]/30+1)&amp;"Ju,"&amp;SIGN(V52-P[[#This Row],[Venu]])*INT(P[[#This Row],[Venu]]/30+1)&amp;"Ve,"&amp;SIGN(W52-P[[#This Row],[Sat]])*INT(P[[#This Row],[Sat]]/30+1)&amp;"Sa,"&amp;INT(P[[#This Row],[Rah]]/30+1)&amp;"Ra"</f>
        <v>8Ma,10Me,7Ju,11Ve,9Sa,4Ra</v>
      </c>
      <c r="S51" s="124">
        <f ca="1">Planet(P[[#This Row],[GMT Sun Rise]],4)</f>
        <v>225.97692424809625</v>
      </c>
      <c r="T51" s="124">
        <f ca="1">Planet(P[[#This Row],[GMT Sun Rise]],2)</f>
        <v>294.96115667257203</v>
      </c>
      <c r="U51" s="124">
        <f ca="1">Planet(P[[#This Row],[GMT Sun Rise]],5)</f>
        <v>208.1455135641848</v>
      </c>
      <c r="V51" s="124">
        <f ca="1">Planet(P[[#This Row],[GMT Sun Rise]],3)</f>
        <v>307.23739159252932</v>
      </c>
      <c r="W51" s="124">
        <f ca="1">Planet(P[[#This Row],[GMT Sun Rise]],6)</f>
        <v>251.79998663972233</v>
      </c>
      <c r="X51" s="124">
        <f ca="1">Planet(P[[#This Row],[GMT Sun Rise]],10)</f>
        <v>110.56339127639507</v>
      </c>
      <c r="Y51" s="124">
        <f ca="1">SIGN(S52-P[[#This Row],[MARs]])</f>
        <v>1</v>
      </c>
    </row>
    <row r="52" spans="1:25" x14ac:dyDescent="0.2">
      <c r="A52" s="125">
        <f t="shared" ca="1" si="11"/>
        <v>43144</v>
      </c>
      <c r="B52" s="125">
        <f t="shared" ca="1" si="16"/>
        <v>43144.229166666664</v>
      </c>
      <c r="C52" s="130">
        <f t="shared" ca="1" si="12"/>
        <v>43144.273837612629</v>
      </c>
      <c r="D52" s="130">
        <f t="shared" ca="1" si="13"/>
        <v>43143.759117901369</v>
      </c>
      <c r="E52" s="134">
        <f ca="1">P[[#This Row],[SunRise]]-TimeZone/24</f>
        <v>43144.044670945965</v>
      </c>
      <c r="F52" s="135">
        <f t="shared" ca="1" si="6"/>
        <v>300.15894428609494</v>
      </c>
      <c r="G52" s="128">
        <f t="shared" ca="1" si="14"/>
        <v>268.89841073911577</v>
      </c>
      <c r="H52" s="129">
        <f t="shared" ca="1" si="10"/>
        <v>43144.044670945965</v>
      </c>
      <c r="I52" s="124" t="str">
        <f ca="1">naks(P[[#This Row],[Moon]])</f>
        <v>Uttara Asadha</v>
      </c>
      <c r="J52" s="130">
        <f ca="1">(C53-P[[#This Row],[SunRise]])/(G53-P[[#This Row],[Moon]])*(13.3333333333333-MOD(P[[#This Row],[Moon]],13.333333333333))+P[[#This Row],[SunRise]]</f>
        <v>43145.205453817325</v>
      </c>
      <c r="K52" s="124" t="str">
        <f ca="1">IF(P[[#This Row],[Tithi]]&gt;15,"K","S")&amp;ROUNDUP(MOD(P[[#This Row],[Tithi]],15),0)&amp;" ("&amp;ROUND(P[[#This Row],[Tithi]],2)&amp;")"</f>
        <v>K13 (27.4)</v>
      </c>
      <c r="L52" s="124">
        <f ca="1">IF(AND(P[[#This Row],[Tithi]]&lt;28.5,P[[#This Row],[Tithi]]&gt;0.49999),MOD((P[[#This Row],[Tithi]]-0.5)*2,7),MOD((P[[#This Row],[Tithi]]+30-28.5),30)*2+7)</f>
        <v>4.7899999999999991</v>
      </c>
      <c r="M52" s="124" t="str">
        <f ca="1">CHOOSE(ROUNDUP(P[[#This Row],[Karana1]],0),"Bhava","Baalava","Kaulava","Taitula","Garija","Vanija","Vishti","Shakuni","Chatushapda","Naaga","Kimstugna")</f>
        <v>Garija</v>
      </c>
      <c r="N5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(15.68)</v>
      </c>
      <c r="O52" s="124">
        <f ca="1">IF(AND(P[[#This Row],[Tithi]]&lt;28.5,P[[#This Row],[Tithi]]&gt;0.49999),MOD((P[[#This Row],[Tithi]]-0.5)*2,7),MOD((P[[#This Row],[Tithi]]+30-28.5),30)*2+7)</f>
        <v>4.7899999999999991</v>
      </c>
      <c r="P52" s="124">
        <f ca="1">ROUNDUP(MOD(360+P[[#This Row],[Moon]]-P[[#This Row],[Sun]],360)/12,4)</f>
        <v>27.395</v>
      </c>
      <c r="Q52" s="124">
        <f t="shared" ca="1" si="15"/>
        <v>15.68</v>
      </c>
      <c r="R52" s="124" t="str">
        <f ca="1">SIGN(S53-P[[#This Row],[MARs]])*INT(P[[#This Row],[MARs]]/30+1)&amp;"Ma,"&amp;SIGN(T53-P[[#This Row],[Merc]])*INT(P[[#This Row],[Merc]]/30+1)&amp;"Me,"&amp;SIGN(U53-P[[#This Row],[Jup]])*INT(P[[#This Row],[Jup]]/30+1)&amp;"Ju,"&amp;SIGN(V53-P[[#This Row],[Venu]])*INT(P[[#This Row],[Venu]]/30+1)&amp;"Ve,"&amp;SIGN(W53-P[[#This Row],[Sat]])*INT(P[[#This Row],[Sat]]/30+1)&amp;"Sa,"&amp;INT(P[[#This Row],[Rah]]/30+1)&amp;"Ra"</f>
        <v>8Ma,10Me,7Ju,11Ve,9Sa,4Ra</v>
      </c>
      <c r="S52" s="124">
        <f ca="1">Planet(P[[#This Row],[GMT Sun Rise]],4)</f>
        <v>226.58271773901384</v>
      </c>
      <c r="T52" s="124">
        <f ca="1">Planet(P[[#This Row],[GMT Sun Rise]],2)</f>
        <v>296.7047954352239</v>
      </c>
      <c r="U52" s="124">
        <f ca="1">Planet(P[[#This Row],[GMT Sun Rise]],5)</f>
        <v>208.21982520730884</v>
      </c>
      <c r="V52" s="124">
        <f ca="1">Planet(P[[#This Row],[GMT Sun Rise]],3)</f>
        <v>308.48959701151864</v>
      </c>
      <c r="W52" s="124">
        <f ca="1">Planet(P[[#This Row],[GMT Sun Rise]],6)</f>
        <v>251.89164223790686</v>
      </c>
      <c r="X52" s="124">
        <f ca="1">Planet(P[[#This Row],[GMT Sun Rise]],10)</f>
        <v>110.5104120644941</v>
      </c>
      <c r="Y52" s="124">
        <f ca="1">SIGN(S53-P[[#This Row],[MARs]])</f>
        <v>1</v>
      </c>
    </row>
    <row r="53" spans="1:25" x14ac:dyDescent="0.2">
      <c r="A53" s="125">
        <f t="shared" ca="1" si="11"/>
        <v>43145</v>
      </c>
      <c r="B53" s="125">
        <f t="shared" ca="1" si="16"/>
        <v>43145.229166666664</v>
      </c>
      <c r="C53" s="130">
        <f t="shared" ca="1" si="12"/>
        <v>43145.273585842609</v>
      </c>
      <c r="D53" s="130">
        <f t="shared" ca="1" si="13"/>
        <v>43144.759337723299</v>
      </c>
      <c r="E53" s="134">
        <f ca="1">P[[#This Row],[SunRise]]-TimeZone/24</f>
        <v>43145.044419175945</v>
      </c>
      <c r="F53" s="135">
        <f t="shared" ca="1" si="6"/>
        <v>301.16978887877974</v>
      </c>
      <c r="G53" s="128">
        <f t="shared" ca="1" si="14"/>
        <v>280.81189416461558</v>
      </c>
      <c r="H53" s="129">
        <f t="shared" ca="1" si="10"/>
        <v>43145.044419175945</v>
      </c>
      <c r="I53" s="124" t="str">
        <f ca="1">naks(P[[#This Row],[Moon]])</f>
        <v>Sravana</v>
      </c>
      <c r="J53" s="130">
        <f ca="1">(C54-P[[#This Row],[SunRise]])/(G54-P[[#This Row],[Moon]])*(13.3333333333333-MOD(P[[#This Row],[Moon]],13.333333333333))+P[[#This Row],[SunRise]]</f>
        <v>43146.313208439104</v>
      </c>
      <c r="K53" s="124" t="str">
        <f ca="1">IF(P[[#This Row],[Tithi]]&gt;15,"K","S")&amp;ROUNDUP(MOD(P[[#This Row],[Tithi]],15),0)&amp;" ("&amp;ROUND(P[[#This Row],[Tithi]],2)&amp;")"</f>
        <v>K14 (28.3)</v>
      </c>
      <c r="L53" s="124">
        <f ca="1">IF(AND(P[[#This Row],[Tithi]]&lt;28.5,P[[#This Row],[Tithi]]&gt;0.49999),MOD((P[[#This Row],[Tithi]]-0.5)*2,7),MOD((P[[#This Row],[Tithi]]+30-28.5),30)*2+7)</f>
        <v>6.6071999999999989</v>
      </c>
      <c r="M53" s="124" t="str">
        <f ca="1">CHOOSE(ROUNDUP(P[[#This Row],[Karana1]],0),"Bhava","Baalava","Kaulava","Taitula","Garija","Vanija","Vishti","Shakuni","Chatushapda","Naaga","Kimstugna")</f>
        <v>Vishti</v>
      </c>
      <c r="N5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(16.65)</v>
      </c>
      <c r="O53" s="124">
        <f ca="1">IF(AND(P[[#This Row],[Tithi]]&lt;28.5,P[[#This Row],[Tithi]]&gt;0.49999),MOD((P[[#This Row],[Tithi]]-0.5)*2,7),MOD((P[[#This Row],[Tithi]]+30-28.5),30)*2+7)</f>
        <v>6.6071999999999989</v>
      </c>
      <c r="P53" s="124">
        <f ca="1">ROUNDUP(MOD(360+P[[#This Row],[Moon]]-P[[#This Row],[Sun]],360)/12,4)</f>
        <v>28.303599999999999</v>
      </c>
      <c r="Q53" s="124">
        <f t="shared" ca="1" si="15"/>
        <v>16.650000000000002</v>
      </c>
      <c r="R53" s="124" t="str">
        <f ca="1">SIGN(S54-P[[#This Row],[MARs]])*INT(P[[#This Row],[MARs]]/30+1)&amp;"Ma,"&amp;SIGN(T54-P[[#This Row],[Merc]])*INT(P[[#This Row],[Merc]]/30+1)&amp;"Me,"&amp;SIGN(U54-P[[#This Row],[Jup]])*INT(P[[#This Row],[Jup]]/30+1)&amp;"Ju,"&amp;SIGN(V54-P[[#This Row],[Venu]])*INT(P[[#This Row],[Venu]]/30+1)&amp;"Ve,"&amp;SIGN(W54-P[[#This Row],[Sat]])*INT(P[[#This Row],[Sat]]/30+1)&amp;"Sa,"&amp;INT(P[[#This Row],[Rah]]/30+1)&amp;"Ra"</f>
        <v>8Ma,10Me,7Ju,11Ve,9Sa,4Ra</v>
      </c>
      <c r="S53" s="124">
        <f ca="1">Planet(P[[#This Row],[GMT Sun Rise]],4)</f>
        <v>227.18780858364812</v>
      </c>
      <c r="T53" s="124">
        <f ca="1">Planet(P[[#This Row],[GMT Sun Rise]],2)</f>
        <v>298.46244454557745</v>
      </c>
      <c r="U53" s="124">
        <f ca="1">Planet(P[[#This Row],[GMT Sun Rise]],5)</f>
        <v>208.291311305134</v>
      </c>
      <c r="V53" s="124">
        <f ca="1">Planet(P[[#This Row],[GMT Sun Rise]],3)</f>
        <v>309.74154499098228</v>
      </c>
      <c r="W53" s="124">
        <f ca="1">Planet(P[[#This Row],[GMT Sun Rise]],6)</f>
        <v>251.98229629831727</v>
      </c>
      <c r="X53" s="124">
        <f ca="1">Planet(P[[#This Row],[GMT Sun Rise]],10)</f>
        <v>110.45743340847898</v>
      </c>
      <c r="Y53" s="124">
        <f ca="1">SIGN(S54-P[[#This Row],[MARs]])</f>
        <v>1</v>
      </c>
    </row>
    <row r="54" spans="1:25" x14ac:dyDescent="0.2">
      <c r="A54" s="125">
        <f t="shared" ca="1" si="11"/>
        <v>43146</v>
      </c>
      <c r="B54" s="125">
        <f t="shared" ca="1" si="16"/>
        <v>43146.229166666664</v>
      </c>
      <c r="C54" s="130">
        <f t="shared" ca="1" si="12"/>
        <v>43146.273323740963</v>
      </c>
      <c r="D54" s="130">
        <f t="shared" ca="1" si="13"/>
        <v>43145.759551028765</v>
      </c>
      <c r="E54" s="134">
        <f ca="1">P[[#This Row],[SunRise]]-TimeZone/24</f>
        <v>43146.044157074299</v>
      </c>
      <c r="F54" s="135">
        <f t="shared" ca="1" si="6"/>
        <v>302.1802554196226</v>
      </c>
      <c r="G54" s="128">
        <f t="shared" ca="1" si="14"/>
        <v>292.85295341156996</v>
      </c>
      <c r="H54" s="129">
        <f t="shared" ca="1" si="10"/>
        <v>43146.044157074299</v>
      </c>
      <c r="I54" s="124" t="str">
        <f ca="1">naks(P[[#This Row],[Moon]])</f>
        <v>Sravana</v>
      </c>
      <c r="J54" s="130">
        <f ca="1">(C55-P[[#This Row],[SunRise]])/(G55-P[[#This Row],[Moon]])*(13.3333333333333-MOD(P[[#This Row],[Moon]],13.333333333333))+P[[#This Row],[SunRise]]</f>
        <v>43146.31268266921</v>
      </c>
      <c r="K54" s="124" t="str">
        <f ca="1">IF(P[[#This Row],[Tithi]]&gt;15,"K","S")&amp;ROUNDUP(MOD(P[[#This Row],[Tithi]],15),0)&amp;" ("&amp;ROUND(P[[#This Row],[Tithi]],2)&amp;")"</f>
        <v>K15 (29.22)</v>
      </c>
      <c r="L54" s="124">
        <f ca="1">IF(AND(P[[#This Row],[Tithi]]&lt;28.5,P[[#This Row],[Tithi]]&gt;0.49999),MOD((P[[#This Row],[Tithi]]-0.5)*2,7),MOD((P[[#This Row],[Tithi]]+30-28.5),30)*2+7)</f>
        <v>8.4455999999999989</v>
      </c>
      <c r="M54" s="124" t="str">
        <f ca="1">CHOOSE(ROUNDUP(P[[#This Row],[Karana1]],0),"Bhava","Baalava","Kaulava","Taitula","Garija","Vanija","Vishti","Shakuni","Chatushapda","Naaga","Kimstugna")</f>
        <v>Chatushapda</v>
      </c>
      <c r="N5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(17.63)</v>
      </c>
      <c r="O54" s="124">
        <f ca="1">IF(AND(P[[#This Row],[Tithi]]&lt;28.5,P[[#This Row],[Tithi]]&gt;0.49999),MOD((P[[#This Row],[Tithi]]-0.5)*2,7),MOD((P[[#This Row],[Tithi]]+30-28.5),30)*2+7)</f>
        <v>8.4455999999999989</v>
      </c>
      <c r="P54" s="124">
        <f ca="1">ROUNDUP(MOD(360+P[[#This Row],[Moon]]-P[[#This Row],[Sun]],360)/12,4)</f>
        <v>29.222799999999999</v>
      </c>
      <c r="Q54" s="124">
        <f t="shared" ca="1" si="15"/>
        <v>17.630000000000003</v>
      </c>
      <c r="R54" s="124" t="str">
        <f ca="1">SIGN(S55-P[[#This Row],[MARs]])*INT(P[[#This Row],[MARs]]/30+1)&amp;"Ma,"&amp;SIGN(T55-P[[#This Row],[Merc]])*INT(P[[#This Row],[Merc]]/30+1)&amp;"Me,"&amp;SIGN(U55-P[[#This Row],[Jup]])*INT(P[[#This Row],[Jup]]/30+1)&amp;"Ju,"&amp;SIGN(V55-P[[#This Row],[Venu]])*INT(P[[#This Row],[Venu]]/30+1)&amp;"Ve,"&amp;SIGN(W55-P[[#This Row],[Sat]])*INT(P[[#This Row],[Sat]]/30+1)&amp;"Sa,"&amp;INT(P[[#This Row],[Rah]]/30+1)&amp;"Ra"</f>
        <v>8Ma,11Me,7Ju,11Ve,9Sa,4Ra</v>
      </c>
      <c r="S54" s="124">
        <f ca="1">Planet(P[[#This Row],[GMT Sun Rise]],4)</f>
        <v>227.79217460094239</v>
      </c>
      <c r="T54" s="124">
        <f ca="1">Planet(P[[#This Row],[GMT Sun Rise]],2)</f>
        <v>300.23414941883874</v>
      </c>
      <c r="U54" s="124">
        <f ca="1">Planet(P[[#This Row],[GMT Sun Rise]],5)</f>
        <v>208.35994757177167</v>
      </c>
      <c r="V54" s="124">
        <f ca="1">Planet(P[[#This Row],[GMT Sun Rise]],3)</f>
        <v>310.99322294869739</v>
      </c>
      <c r="W54" s="124">
        <f ca="1">Planet(P[[#This Row],[GMT Sun Rise]],6)</f>
        <v>252.07193001439148</v>
      </c>
      <c r="X54" s="124">
        <f ca="1">Planet(P[[#This Row],[GMT Sun Rise]],10)</f>
        <v>110.40445530001554</v>
      </c>
      <c r="Y54" s="124">
        <f ca="1">SIGN(S55-P[[#This Row],[MARs]])</f>
        <v>1</v>
      </c>
    </row>
    <row r="55" spans="1:25" x14ac:dyDescent="0.2">
      <c r="A55" s="125">
        <f t="shared" ca="1" si="11"/>
        <v>43147</v>
      </c>
      <c r="B55" s="125">
        <f t="shared" ca="1" si="16"/>
        <v>43147.229166666664</v>
      </c>
      <c r="C55" s="130">
        <f t="shared" ca="1" si="12"/>
        <v>43147.273051466946</v>
      </c>
      <c r="D55" s="130">
        <f t="shared" ca="1" si="13"/>
        <v>43146.759757816835</v>
      </c>
      <c r="E55" s="134">
        <f ca="1">P[[#This Row],[SunRise]]-TimeZone/24</f>
        <v>43147.043884800281</v>
      </c>
      <c r="F55" s="135">
        <f t="shared" ca="1" si="6"/>
        <v>303.19032316613198</v>
      </c>
      <c r="G55" s="128">
        <f t="shared" ca="1" si="14"/>
        <v>305.05473705150973</v>
      </c>
      <c r="H55" s="129">
        <f t="shared" ca="1" si="10"/>
        <v>43147.043884800281</v>
      </c>
      <c r="I55" s="124" t="str">
        <f ca="1">naks(P[[#This Row],[Moon]])</f>
        <v>Dhanistha</v>
      </c>
      <c r="J55" s="130">
        <f ca="1">(C56-P[[#This Row],[SunRise]])/(G56-P[[#This Row],[Moon]])*(13.3333333333333-MOD(P[[#This Row],[Moon]],13.333333333333))+P[[#This Row],[SunRise]]</f>
        <v>43147.40314495514</v>
      </c>
      <c r="K55" s="124" t="str">
        <f ca="1">IF(P[[#This Row],[Tithi]]&gt;15,"K","S")&amp;ROUNDUP(MOD(P[[#This Row],[Tithi]],15),0)&amp;" ("&amp;ROUND(P[[#This Row],[Tithi]],2)&amp;")"</f>
        <v>S1 (0.16)</v>
      </c>
      <c r="L55" s="124">
        <f ca="1">IF(AND(P[[#This Row],[Tithi]]&lt;28.5,P[[#This Row],[Tithi]]&gt;0.49999),MOD((P[[#This Row],[Tithi]]-0.5)*2,7),MOD((P[[#This Row],[Tithi]]+30-28.5),30)*2+7)</f>
        <v>10.3108</v>
      </c>
      <c r="M55" s="124" t="str">
        <f ca="1">CHOOSE(ROUNDUP(P[[#This Row],[Karana1]],0),"Bhava","Baalava","Kaulava","Taitula","Garija","Vanija","Vishti","Shakuni","Chatushapda","Naaga","Kimstugna")</f>
        <v>Kimstugna</v>
      </c>
      <c r="N5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(18.62)</v>
      </c>
      <c r="O55" s="124">
        <f ca="1">IF(AND(P[[#This Row],[Tithi]]&lt;28.5,P[[#This Row],[Tithi]]&gt;0.49999),MOD((P[[#This Row],[Tithi]]-0.5)*2,7),MOD((P[[#This Row],[Tithi]]+30-28.5),30)*2+7)</f>
        <v>10.3108</v>
      </c>
      <c r="P55" s="124">
        <f ca="1">ROUNDUP(MOD(360+P[[#This Row],[Moon]]-P[[#This Row],[Sun]],360)/12,4)</f>
        <v>0.15539999999999998</v>
      </c>
      <c r="Q55" s="124">
        <f t="shared" ca="1" si="15"/>
        <v>18.62</v>
      </c>
      <c r="R55" s="124" t="str">
        <f ca="1">SIGN(S56-P[[#This Row],[MARs]])*INT(P[[#This Row],[MARs]]/30+1)&amp;"Ma,"&amp;SIGN(T56-P[[#This Row],[Merc]])*INT(P[[#This Row],[Merc]]/30+1)&amp;"Me,"&amp;SIGN(U56-P[[#This Row],[Jup]])*INT(P[[#This Row],[Jup]]/30+1)&amp;"Ju,"&amp;SIGN(V56-P[[#This Row],[Venu]])*INT(P[[#This Row],[Venu]]/30+1)&amp;"Ve,"&amp;SIGN(W56-P[[#This Row],[Sat]])*INT(P[[#This Row],[Sat]]/30+1)&amp;"Sa,"&amp;INT(P[[#This Row],[Rah]]/30+1)&amp;"Ra"</f>
        <v>8Ma,11Me,7Ju,11Ve,9Sa,4Ra</v>
      </c>
      <c r="S55" s="124">
        <f ca="1">Planet(P[[#This Row],[GMT Sun Rise]],4)</f>
        <v>228.39579427366482</v>
      </c>
      <c r="T55" s="124">
        <f ca="1">Planet(P[[#This Row],[GMT Sun Rise]],2)</f>
        <v>302.01988452061903</v>
      </c>
      <c r="U55" s="124">
        <f ca="1">Planet(P[[#This Row],[GMT Sun Rise]],5)</f>
        <v>208.42571080947278</v>
      </c>
      <c r="V55" s="124">
        <f ca="1">Planet(P[[#This Row],[GMT Sun Rise]],3)</f>
        <v>312.24461741492848</v>
      </c>
      <c r="W55" s="124">
        <f ca="1">Planet(P[[#This Row],[GMT Sun Rise]],6)</f>
        <v>252.16052477646096</v>
      </c>
      <c r="X55" s="124">
        <f ca="1">Planet(P[[#This Row],[GMT Sun Rise]],10)</f>
        <v>110.35147773057092</v>
      </c>
      <c r="Y55" s="124">
        <f ca="1">SIGN(S56-P[[#This Row],[MARs]])</f>
        <v>1</v>
      </c>
    </row>
    <row r="56" spans="1:25" x14ac:dyDescent="0.2">
      <c r="A56" s="125">
        <f t="shared" ca="1" si="11"/>
        <v>43148</v>
      </c>
      <c r="B56" s="125">
        <f t="shared" ca="1" si="16"/>
        <v>43148.229166666664</v>
      </c>
      <c r="C56" s="130">
        <f t="shared" ca="1" si="12"/>
        <v>43148.272769179348</v>
      </c>
      <c r="D56" s="130">
        <f t="shared" ca="1" si="13"/>
        <v>43147.759958088442</v>
      </c>
      <c r="E56" s="134">
        <f ca="1">P[[#This Row],[SunRise]]-TimeZone/24</f>
        <v>43148.043602512684</v>
      </c>
      <c r="F56" s="135">
        <f t="shared" ca="1" si="6"/>
        <v>304.19997046046001</v>
      </c>
      <c r="G56" s="128">
        <f t="shared" ca="1" si="14"/>
        <v>317.44178739363736</v>
      </c>
      <c r="H56" s="129">
        <f t="shared" ca="1" si="10"/>
        <v>43148.043602512684</v>
      </c>
      <c r="I56" s="124" t="str">
        <f ca="1">naks(P[[#This Row],[Moon]])</f>
        <v>Satabhisaj</v>
      </c>
      <c r="J56" s="130">
        <f ca="1">(C57-P[[#This Row],[SunRise]])/(G57-P[[#This Row],[Moon]])*(13.3333333333333-MOD(P[[#This Row],[Moon]],13.333333333333))+P[[#This Row],[SunRise]]</f>
        <v>43148.475903232851</v>
      </c>
      <c r="K56" s="124" t="str">
        <f ca="1">IF(P[[#This Row],[Tithi]]&gt;15,"K","S")&amp;ROUNDUP(MOD(P[[#This Row],[Tithi]],15),0)&amp;" ("&amp;ROUND(P[[#This Row],[Tithi]],2)&amp;")"</f>
        <v>S2 (1.1)</v>
      </c>
      <c r="L56" s="124">
        <f ca="1">IF(AND(P[[#This Row],[Tithi]]&lt;28.5,P[[#This Row],[Tithi]]&gt;0.49999),MOD((P[[#This Row],[Tithi]]-0.5)*2,7),MOD((P[[#This Row],[Tithi]]+30-28.5),30)*2+7)</f>
        <v>1.2069999999999999</v>
      </c>
      <c r="M56" s="124" t="str">
        <f ca="1">CHOOSE(ROUNDUP(P[[#This Row],[Karana1]],0),"Bhava","Baalava","Kaulava","Taitula","Garija","Vanija","Vishti","Shakuni","Chatushapda","Naaga","Kimstugna")</f>
        <v>Baalava</v>
      </c>
      <c r="N5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(19.63)</v>
      </c>
      <c r="O56" s="124">
        <f ca="1">IF(AND(P[[#This Row],[Tithi]]&lt;28.5,P[[#This Row],[Tithi]]&gt;0.49999),MOD((P[[#This Row],[Tithi]]-0.5)*2,7),MOD((P[[#This Row],[Tithi]]+30-28.5),30)*2+7)</f>
        <v>1.2069999999999999</v>
      </c>
      <c r="P56" s="124">
        <f ca="1">ROUNDUP(MOD(360+P[[#This Row],[Moon]]-P[[#This Row],[Sun]],360)/12,4)</f>
        <v>1.1034999999999999</v>
      </c>
      <c r="Q56" s="124">
        <f t="shared" ca="1" si="15"/>
        <v>19.630000000000003</v>
      </c>
      <c r="R56" s="124" t="str">
        <f ca="1">SIGN(S57-P[[#This Row],[MARs]])*INT(P[[#This Row],[MARs]]/30+1)&amp;"Ma,"&amp;SIGN(T57-P[[#This Row],[Merc]])*INT(P[[#This Row],[Merc]]/30+1)&amp;"Me,"&amp;SIGN(U57-P[[#This Row],[Jup]])*INT(P[[#This Row],[Jup]]/30+1)&amp;"Ju,"&amp;SIGN(V57-P[[#This Row],[Venu]])*INT(P[[#This Row],[Venu]]/30+1)&amp;"Ve,"&amp;SIGN(W57-P[[#This Row],[Sat]])*INT(P[[#This Row],[Sat]]/30+1)&amp;"Sa,"&amp;INT(P[[#This Row],[Rah]]/30+1)&amp;"Ra"</f>
        <v>8Ma,11Me,7Ju,11Ve,9Sa,4Ra</v>
      </c>
      <c r="S56" s="124">
        <f ca="1">Planet(P[[#This Row],[GMT Sun Rise]],4)</f>
        <v>228.99864710061962</v>
      </c>
      <c r="T56" s="124">
        <f ca="1">Planet(P[[#This Row],[GMT Sun Rise]],2)</f>
        <v>303.81953673788405</v>
      </c>
      <c r="U56" s="124">
        <f ca="1">Planet(P[[#This Row],[GMT Sun Rise]],5)</f>
        <v>208.48857903842816</v>
      </c>
      <c r="V56" s="124">
        <f ca="1">Planet(P[[#This Row],[GMT Sun Rise]],3)</f>
        <v>313.49571409118403</v>
      </c>
      <c r="W56" s="124">
        <f ca="1">Planet(P[[#This Row],[GMT Sun Rise]],6)</f>
        <v>252.24806223895828</v>
      </c>
      <c r="X56" s="124">
        <f ca="1">Planet(P[[#This Row],[GMT Sun Rise]],10)</f>
        <v>110.29850069177785</v>
      </c>
      <c r="Y56" s="124">
        <f ca="1">SIGN(S57-P[[#This Row],[MARs]])</f>
        <v>1</v>
      </c>
    </row>
    <row r="57" spans="1:25" x14ac:dyDescent="0.2">
      <c r="A57" s="125">
        <f t="shared" ca="1" si="11"/>
        <v>43149</v>
      </c>
      <c r="B57" s="125">
        <f t="shared" ca="1" si="16"/>
        <v>43149.229166666664</v>
      </c>
      <c r="C57" s="130">
        <f t="shared" ca="1" si="12"/>
        <v>43149.272477196217</v>
      </c>
      <c r="D57" s="130">
        <f t="shared" ca="1" si="13"/>
        <v>43148.760151684328</v>
      </c>
      <c r="E57" s="134">
        <f ca="1">P[[#This Row],[SunRise]]-TimeZone/24</f>
        <v>43149.043310529552</v>
      </c>
      <c r="F57" s="135">
        <f t="shared" ca="1" si="6"/>
        <v>305.20917528213909</v>
      </c>
      <c r="G57" s="128">
        <f t="shared" ca="1" si="14"/>
        <v>330.03182637187399</v>
      </c>
      <c r="H57" s="129">
        <f t="shared" ca="1" si="10"/>
        <v>43149.043310529552</v>
      </c>
      <c r="I57" s="124" t="str">
        <f ca="1">naks(P[[#This Row],[Moon]])</f>
        <v>Purva Bhadrapada</v>
      </c>
      <c r="J57" s="130">
        <f ca="1">(C58-P[[#This Row],[SunRise]])/(G58-P[[#This Row],[Moon]])*(13.3333333333333-MOD(P[[#This Row],[Moon]],13.333333333333))+P[[#This Row],[SunRise]]</f>
        <v>43149.530208263343</v>
      </c>
      <c r="K57" s="124" t="str">
        <f ca="1">IF(P[[#This Row],[Tithi]]&gt;15,"K","S")&amp;ROUNDUP(MOD(P[[#This Row],[Tithi]],15),0)&amp;" ("&amp;ROUND(P[[#This Row],[Tithi]],2)&amp;")"</f>
        <v>S3 (2.07)</v>
      </c>
      <c r="L57" s="124">
        <f ca="1">IF(AND(P[[#This Row],[Tithi]]&lt;28.5,P[[#This Row],[Tithi]]&gt;0.49999),MOD((P[[#This Row],[Tithi]]-0.5)*2,7),MOD((P[[#This Row],[Tithi]]+30-28.5),30)*2+7)</f>
        <v>3.1372</v>
      </c>
      <c r="M57" s="124" t="str">
        <f ca="1">CHOOSE(ROUNDUP(P[[#This Row],[Karana1]],0),"Bhava","Baalava","Kaulava","Taitula","Garija","Vanija","Vishti","Shakuni","Chatushapda","Naaga","Kimstugna")</f>
        <v>Taitula</v>
      </c>
      <c r="N5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(20.65)</v>
      </c>
      <c r="O57" s="124">
        <f ca="1">IF(AND(P[[#This Row],[Tithi]]&lt;28.5,P[[#This Row],[Tithi]]&gt;0.49999),MOD((P[[#This Row],[Tithi]]-0.5)*2,7),MOD((P[[#This Row],[Tithi]]+30-28.5),30)*2+7)</f>
        <v>3.1372</v>
      </c>
      <c r="P57" s="124">
        <f ca="1">ROUNDUP(MOD(360+P[[#This Row],[Moon]]-P[[#This Row],[Sun]],360)/12,4)</f>
        <v>2.0686</v>
      </c>
      <c r="Q57" s="124">
        <f t="shared" ca="1" si="15"/>
        <v>20.650000000000002</v>
      </c>
      <c r="R57" s="124" t="str">
        <f ca="1">SIGN(S58-P[[#This Row],[MARs]])*INT(P[[#This Row],[MARs]]/30+1)&amp;"Ma,"&amp;SIGN(T58-P[[#This Row],[Merc]])*INT(P[[#This Row],[Merc]]/30+1)&amp;"Me,"&amp;SIGN(U58-P[[#This Row],[Jup]])*INT(P[[#This Row],[Jup]]/30+1)&amp;"Ju,"&amp;SIGN(V58-P[[#This Row],[Venu]])*INT(P[[#This Row],[Venu]]/30+1)&amp;"Ve,"&amp;SIGN(W58-P[[#This Row],[Sat]])*INT(P[[#This Row],[Sat]]/30+1)&amp;"Sa,"&amp;INT(P[[#This Row],[Rah]]/30+1)&amp;"Ra"</f>
        <v>8Ma,11Me,7Ju,11Ve,9Sa,4Ra</v>
      </c>
      <c r="S57" s="124">
        <f ca="1">Planet(P[[#This Row],[GMT Sun Rise]],4)</f>
        <v>229.60071410597939</v>
      </c>
      <c r="T57" s="124">
        <f ca="1">Planet(P[[#This Row],[GMT Sun Rise]],2)</f>
        <v>305.63288276656783</v>
      </c>
      <c r="U57" s="124">
        <f ca="1">Planet(P[[#This Row],[GMT Sun Rise]],5)</f>
        <v>208.54853163536521</v>
      </c>
      <c r="V57" s="124">
        <f ca="1">Planet(P[[#This Row],[GMT Sun Rise]],3)</f>
        <v>314.74649820805064</v>
      </c>
      <c r="W57" s="124">
        <f ca="1">Planet(P[[#This Row],[GMT Sun Rise]],6)</f>
        <v>252.33452441110452</v>
      </c>
      <c r="X57" s="124">
        <f ca="1">Planet(P[[#This Row],[GMT Sun Rise]],10)</f>
        <v>110.24552416676931</v>
      </c>
      <c r="Y57" s="124">
        <f ca="1">SIGN(S58-P[[#This Row],[MARs]])</f>
        <v>1</v>
      </c>
    </row>
    <row r="58" spans="1:25" x14ac:dyDescent="0.2">
      <c r="A58" s="125">
        <f t="shared" ca="1" si="11"/>
        <v>43150</v>
      </c>
      <c r="B58" s="125">
        <f t="shared" ca="1" si="16"/>
        <v>43150.229166666664</v>
      </c>
      <c r="C58" s="130">
        <f t="shared" ca="1" si="12"/>
        <v>43150.272175517086</v>
      </c>
      <c r="D58" s="130">
        <f t="shared" ca="1" si="13"/>
        <v>43149.76033876375</v>
      </c>
      <c r="E58" s="134">
        <f ca="1">P[[#This Row],[SunRise]]-TimeZone/24</f>
        <v>43150.043008850422</v>
      </c>
      <c r="F58" s="135">
        <f t="shared" ca="1" si="6"/>
        <v>306.21791533946083</v>
      </c>
      <c r="G58" s="128">
        <f t="shared" ca="1" si="14"/>
        <v>342.83785322195791</v>
      </c>
      <c r="H58" s="129">
        <f t="shared" ca="1" si="10"/>
        <v>43150.043008850422</v>
      </c>
      <c r="I58" s="124" t="str">
        <f ca="1">naks(P[[#This Row],[Moon]])</f>
        <v>Uttara Bhadrapada</v>
      </c>
      <c r="J58" s="130">
        <f ca="1">(C59-P[[#This Row],[SunRise]])/(G59-P[[#This Row],[Moon]])*(13.3333333333333-MOD(P[[#This Row],[Moon]],13.333333333333))+P[[#This Row],[SunRise]]</f>
        <v>43150.56587941802</v>
      </c>
      <c r="K58" s="124" t="str">
        <f ca="1">IF(P[[#This Row],[Tithi]]&gt;15,"K","S")&amp;ROUNDUP(MOD(P[[#This Row],[Tithi]],15),0)&amp;" ("&amp;ROUND(P[[#This Row],[Tithi]],2)&amp;")"</f>
        <v>S4 (3.05)</v>
      </c>
      <c r="L58" s="124">
        <f ca="1">IF(AND(P[[#This Row],[Tithi]]&lt;28.5,P[[#This Row],[Tithi]]&gt;0.49999),MOD((P[[#This Row],[Tithi]]-0.5)*2,7),MOD((P[[#This Row],[Tithi]]+30-28.5),30)*2+7)</f>
        <v>5.1034000000000006</v>
      </c>
      <c r="M58" s="124" t="str">
        <f ca="1">CHOOSE(ROUNDUP(P[[#This Row],[Karana1]],0),"Bhava","Baalava","Kaulava","Taitula","Garija","Vanija","Vishti","Shakuni","Chatushapda","Naaga","Kimstugna")</f>
        <v>Vanija</v>
      </c>
      <c r="N5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(21.68)</v>
      </c>
      <c r="O58" s="124">
        <f ca="1">IF(AND(P[[#This Row],[Tithi]]&lt;28.5,P[[#This Row],[Tithi]]&gt;0.49999),MOD((P[[#This Row],[Tithi]]-0.5)*2,7),MOD((P[[#This Row],[Tithi]]+30-28.5),30)*2+7)</f>
        <v>5.1034000000000006</v>
      </c>
      <c r="P58" s="124">
        <f ca="1">ROUNDUP(MOD(360+P[[#This Row],[Moon]]-P[[#This Row],[Sun]],360)/12,4)</f>
        <v>3.0517000000000003</v>
      </c>
      <c r="Q58" s="124">
        <f t="shared" ca="1" si="15"/>
        <v>21.680000000000003</v>
      </c>
      <c r="R58" s="124" t="str">
        <f ca="1">SIGN(S59-P[[#This Row],[MARs]])*INT(P[[#This Row],[MARs]]/30+1)&amp;"Ma,"&amp;SIGN(T59-P[[#This Row],[Merc]])*INT(P[[#This Row],[Merc]]/30+1)&amp;"Me,"&amp;SIGN(U59-P[[#This Row],[Jup]])*INT(P[[#This Row],[Jup]]/30+1)&amp;"Ju,"&amp;SIGN(V59-P[[#This Row],[Venu]])*INT(P[[#This Row],[Venu]]/30+1)&amp;"Ve,"&amp;SIGN(W59-P[[#This Row],[Sat]])*INT(P[[#This Row],[Sat]]/30+1)&amp;"Sa,"&amp;INT(P[[#This Row],[Rah]]/30+1)&amp;"Ra"</f>
        <v>8Ma,11Me,7Ju,11Ve,9Sa,4Ra</v>
      </c>
      <c r="S58" s="124">
        <f ca="1">Planet(P[[#This Row],[GMT Sun Rise]],4)</f>
        <v>230.20197795046084</v>
      </c>
      <c r="T58" s="124">
        <f ca="1">Planet(P[[#This Row],[GMT Sun Rise]],2)</f>
        <v>307.45956323842728</v>
      </c>
      <c r="U58" s="124">
        <f ca="1">Planet(P[[#This Row],[GMT Sun Rise]],5)</f>
        <v>208.60554940786156</v>
      </c>
      <c r="V58" s="124">
        <f ca="1">Planet(P[[#This Row],[GMT Sun Rise]],3)</f>
        <v>315.99695418848279</v>
      </c>
      <c r="W58" s="124">
        <f ca="1">Planet(P[[#This Row],[GMT Sun Rise]],6)</f>
        <v>252.41989369946728</v>
      </c>
      <c r="X58" s="124">
        <f ca="1">Planet(P[[#This Row],[GMT Sun Rise]],10)</f>
        <v>110.19254815556192</v>
      </c>
      <c r="Y58" s="124">
        <f ca="1">SIGN(S59-P[[#This Row],[MARs]])</f>
        <v>1</v>
      </c>
    </row>
    <row r="59" spans="1:25" x14ac:dyDescent="0.2">
      <c r="A59" s="125">
        <f t="shared" ca="1" si="11"/>
        <v>43151</v>
      </c>
      <c r="B59" s="125">
        <f t="shared" ca="1" si="16"/>
        <v>43151.229166666664</v>
      </c>
      <c r="C59" s="130">
        <f t="shared" ca="1" si="12"/>
        <v>43151.271864301678</v>
      </c>
      <c r="D59" s="130">
        <f t="shared" ca="1" si="13"/>
        <v>43150.760519485033</v>
      </c>
      <c r="E59" s="134">
        <f ca="1">P[[#This Row],[SunRise]]-TimeZone/24</f>
        <v>43151.042697635014</v>
      </c>
      <c r="F59" s="135">
        <f t="shared" ca="1" si="6"/>
        <v>307.22616925897728</v>
      </c>
      <c r="G59" s="128">
        <f t="shared" ca="1" si="14"/>
        <v>355.87010048470245</v>
      </c>
      <c r="H59" s="129">
        <f t="shared" ca="1" si="10"/>
        <v>43151.042697635014</v>
      </c>
      <c r="I59" s="124" t="str">
        <f ca="1">naks(P[[#This Row],[Moon]])</f>
        <v>Revati</v>
      </c>
      <c r="J59" s="130">
        <f ca="1">(C60-P[[#This Row],[SunRise]])/(G60-P[[#This Row],[Moon]])*(13.3333333333333-MOD(P[[#This Row],[Moon]],13.333333333333))+P[[#This Row],[SunRise]]</f>
        <v>43151.259957218252</v>
      </c>
      <c r="K59" s="124" t="str">
        <f ca="1">IF(P[[#This Row],[Tithi]]&gt;15,"K","S")&amp;ROUNDUP(MOD(P[[#This Row],[Tithi]],15),0)&amp;" ("&amp;ROUND(P[[#This Row],[Tithi]],2)&amp;")"</f>
        <v>S5 (4.05)</v>
      </c>
      <c r="L59" s="124">
        <f ca="1">IF(AND(P[[#This Row],[Tithi]]&lt;28.5,P[[#This Row],[Tithi]]&gt;0.49999),MOD((P[[#This Row],[Tithi]]-0.5)*2,7),MOD((P[[#This Row],[Tithi]]+30-28.5),30)*2+7)</f>
        <v>0.10740000000000016</v>
      </c>
      <c r="M59" s="124" t="str">
        <f ca="1">CHOOSE(ROUNDUP(P[[#This Row],[Karana1]],0),"Bhava","Baalava","Kaulava","Taitula","Garija","Vanija","Vishti","Shakuni","Chatushapda","Naaga","Kimstugna")</f>
        <v>Bhava</v>
      </c>
      <c r="N5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(22.74)</v>
      </c>
      <c r="O59" s="124">
        <f ca="1">IF(AND(P[[#This Row],[Tithi]]&lt;28.5,P[[#This Row],[Tithi]]&gt;0.49999),MOD((P[[#This Row],[Tithi]]-0.5)*2,7),MOD((P[[#This Row],[Tithi]]+30-28.5),30)*2+7)</f>
        <v>0.10740000000000016</v>
      </c>
      <c r="P59" s="124">
        <f ca="1">ROUNDUP(MOD(360+P[[#This Row],[Moon]]-P[[#This Row],[Sun]],360)/12,4)</f>
        <v>4.0537000000000001</v>
      </c>
      <c r="Q59" s="124">
        <f t="shared" ca="1" si="15"/>
        <v>22.740000000000002</v>
      </c>
      <c r="R59" s="124" t="str">
        <f ca="1">SIGN(S60-P[[#This Row],[MARs]])*INT(P[[#This Row],[MARs]]/30+1)&amp;"Ma,"&amp;SIGN(T60-P[[#This Row],[Merc]])*INT(P[[#This Row],[Merc]]/30+1)&amp;"Me,"&amp;SIGN(U60-P[[#This Row],[Jup]])*INT(P[[#This Row],[Jup]]/30+1)&amp;"Ju,"&amp;SIGN(V60-P[[#This Row],[Venu]])*INT(P[[#This Row],[Venu]]/30+1)&amp;"Ve,"&amp;SIGN(W60-P[[#This Row],[Sat]])*INT(P[[#This Row],[Sat]]/30+1)&amp;"Sa,"&amp;INT(P[[#This Row],[Rah]]/30+1)&amp;"Ra"</f>
        <v>8Ma,11Me,7Ju,11Ve,9Sa,4Ra</v>
      </c>
      <c r="S59" s="124">
        <f ca="1">Planet(P[[#This Row],[GMT Sun Rise]],4)</f>
        <v>230.80242353033532</v>
      </c>
      <c r="T59" s="124">
        <f ca="1">Planet(P[[#This Row],[GMT Sun Rise]],2)</f>
        <v>309.29906560874917</v>
      </c>
      <c r="U59" s="124">
        <f ca="1">Planet(P[[#This Row],[GMT Sun Rise]],5)</f>
        <v>208.65961467816538</v>
      </c>
      <c r="V59" s="124">
        <f ca="1">Planet(P[[#This Row],[GMT Sun Rise]],3)</f>
        <v>317.2470666010143</v>
      </c>
      <c r="W59" s="124">
        <f ca="1">Planet(P[[#This Row],[GMT Sun Rise]],6)</f>
        <v>252.50415302507304</v>
      </c>
      <c r="X59" s="124">
        <f ca="1">Planet(P[[#This Row],[GMT Sun Rise]],10)</f>
        <v>110.13957264970553</v>
      </c>
      <c r="Y59" s="124">
        <f ca="1">SIGN(S60-P[[#This Row],[MARs]])</f>
        <v>1</v>
      </c>
    </row>
    <row r="60" spans="1:25" x14ac:dyDescent="0.2">
      <c r="A60" s="125">
        <f t="shared" ca="1" si="11"/>
        <v>43152</v>
      </c>
      <c r="B60" s="125">
        <f t="shared" ca="1" si="16"/>
        <v>43152.229166666664</v>
      </c>
      <c r="C60" s="130">
        <f t="shared" ca="1" si="12"/>
        <v>43152.271543867108</v>
      </c>
      <c r="D60" s="130">
        <f t="shared" ca="1" si="13"/>
        <v>43151.760693848177</v>
      </c>
      <c r="E60" s="134">
        <f ca="1">P[[#This Row],[SunRise]]-TimeZone/24</f>
        <v>43152.042377200443</v>
      </c>
      <c r="F60" s="135">
        <f t="shared" ca="1" si="6"/>
        <v>308.23391732867157</v>
      </c>
      <c r="G60" s="128">
        <f t="shared" ca="1" si="14"/>
        <v>9.1373193087786593</v>
      </c>
      <c r="H60" s="129">
        <f t="shared" ca="1" si="10"/>
        <v>43152.042377200443</v>
      </c>
      <c r="I60" s="124" t="str">
        <f ca="1">naks(P[[#This Row],[Moon]])</f>
        <v>Aswini</v>
      </c>
      <c r="J60" s="130">
        <f ca="1">(C61-P[[#This Row],[SunRise]])/(G61-P[[#This Row],[Moon]])*(13.3333333333333-MOD(P[[#This Row],[Moon]],13.333333333333))+P[[#This Row],[SunRise]]</f>
        <v>43152.582038915709</v>
      </c>
      <c r="K60" s="124" t="str">
        <f ca="1">IF(P[[#This Row],[Tithi]]&gt;15,"K","S")&amp;ROUNDUP(MOD(P[[#This Row],[Tithi]],15),0)&amp;" ("&amp;ROUND(P[[#This Row],[Tithi]],2)&amp;")"</f>
        <v>S6 (5.08)</v>
      </c>
      <c r="L60" s="124">
        <f ca="1">IF(AND(P[[#This Row],[Tithi]]&lt;28.5,P[[#This Row],[Tithi]]&gt;0.49999),MOD((P[[#This Row],[Tithi]]-0.5)*2,7),MOD((P[[#This Row],[Tithi]]+30-28.5),30)*2+7)</f>
        <v>2.150599999999999</v>
      </c>
      <c r="M60" s="124" t="str">
        <f ca="1">CHOOSE(ROUNDUP(P[[#This Row],[Karana1]],0),"Bhava","Baalava","Kaulava","Taitula","Garija","Vanija","Vishti","Shakuni","Chatushapda","Naaga","Kimstugna")</f>
        <v>Kaulava</v>
      </c>
      <c r="N6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(23.81)</v>
      </c>
      <c r="O60" s="124">
        <f ca="1">IF(AND(P[[#This Row],[Tithi]]&lt;28.5,P[[#This Row],[Tithi]]&gt;0.49999),MOD((P[[#This Row],[Tithi]]-0.5)*2,7),MOD((P[[#This Row],[Tithi]]+30-28.5),30)*2+7)</f>
        <v>2.150599999999999</v>
      </c>
      <c r="P60" s="124">
        <f ca="1">ROUNDUP(MOD(360+P[[#This Row],[Moon]]-P[[#This Row],[Sun]],360)/12,4)</f>
        <v>5.0752999999999995</v>
      </c>
      <c r="Q60" s="124">
        <f t="shared" ca="1" si="15"/>
        <v>23.810000000000002</v>
      </c>
      <c r="R60" s="124" t="str">
        <f ca="1">SIGN(S61-P[[#This Row],[MARs]])*INT(P[[#This Row],[MARs]]/30+1)&amp;"Ma,"&amp;SIGN(T61-P[[#This Row],[Merc]])*INT(P[[#This Row],[Merc]]/30+1)&amp;"Me,"&amp;SIGN(U61-P[[#This Row],[Jup]])*INT(P[[#This Row],[Jup]]/30+1)&amp;"Ju,"&amp;SIGN(V61-P[[#This Row],[Venu]])*INT(P[[#This Row],[Venu]]/30+1)&amp;"Ve,"&amp;SIGN(W61-P[[#This Row],[Sat]])*INT(P[[#This Row],[Sat]]/30+1)&amp;"Sa,"&amp;INT(P[[#This Row],[Rah]]/30+1)&amp;"Ra"</f>
        <v>8Ma,11Me,7Ju,11Ve,9Sa,4Ra</v>
      </c>
      <c r="S60" s="124">
        <f ca="1">Planet(P[[#This Row],[GMT Sun Rise]],4)</f>
        <v>231.40203814639671</v>
      </c>
      <c r="T60" s="124">
        <f ca="1">Planet(P[[#This Row],[GMT Sun Rise]],2)</f>
        <v>311.15069350213651</v>
      </c>
      <c r="U60" s="124">
        <f ca="1">Planet(P[[#This Row],[GMT Sun Rise]],5)</f>
        <v>208.71071127897159</v>
      </c>
      <c r="V60" s="124">
        <f ca="1">Planet(P[[#This Row],[GMT Sun Rise]],3)</f>
        <v>318.49682055102437</v>
      </c>
      <c r="W60" s="124">
        <f ca="1">Planet(P[[#This Row],[GMT Sun Rise]],6)</f>
        <v>252.58728587812814</v>
      </c>
      <c r="X60" s="124">
        <f ca="1">Planet(P[[#This Row],[GMT Sun Rise]],10)</f>
        <v>110.08659763241589</v>
      </c>
      <c r="Y60" s="124">
        <f ca="1">SIGN(S61-P[[#This Row],[MARs]])</f>
        <v>1</v>
      </c>
    </row>
    <row r="61" spans="1:25" x14ac:dyDescent="0.2">
      <c r="A61" s="125">
        <f t="shared" ca="1" si="11"/>
        <v>43153</v>
      </c>
      <c r="B61" s="125">
        <f t="shared" ca="1" si="16"/>
        <v>43153.229166666664</v>
      </c>
      <c r="C61" s="130">
        <f t="shared" ca="1" si="12"/>
        <v>43153.271214531422</v>
      </c>
      <c r="D61" s="130">
        <f t="shared" ca="1" si="13"/>
        <v>43152.760861694856</v>
      </c>
      <c r="E61" s="134">
        <f ca="1">P[[#This Row],[SunRise]]-TimeZone/24</f>
        <v>43153.042047864757</v>
      </c>
      <c r="F61" s="135">
        <f t="shared" ca="1" si="6"/>
        <v>309.24114205844461</v>
      </c>
      <c r="G61" s="128">
        <f t="shared" ca="1" si="14"/>
        <v>22.646816952395778</v>
      </c>
      <c r="H61" s="129">
        <f t="shared" ca="1" si="10"/>
        <v>43153.042047864757</v>
      </c>
      <c r="I61" s="124" t="str">
        <f ca="1">naks(P[[#This Row],[Moon]])</f>
        <v>Bharani</v>
      </c>
      <c r="J61" s="130">
        <f ca="1">(C62-P[[#This Row],[SunRise]])/(G62-P[[#This Row],[Moon]])*(13.3333333333333-MOD(P[[#This Row],[Moon]],13.333333333333))+P[[#This Row],[SunRise]]</f>
        <v>43153.563343140268</v>
      </c>
      <c r="K61" s="124" t="str">
        <f ca="1">IF(P[[#This Row],[Tithi]]&gt;15,"K","S")&amp;ROUNDUP(MOD(P[[#This Row],[Tithi]],15),0)&amp;" ("&amp;ROUND(P[[#This Row],[Tithi]],2)&amp;")"</f>
        <v>S7 (6.12)</v>
      </c>
      <c r="L61" s="124">
        <f ca="1">IF(AND(P[[#This Row],[Tithi]]&lt;28.5,P[[#This Row],[Tithi]]&gt;0.49999),MOD((P[[#This Row],[Tithi]]-0.5)*2,7),MOD((P[[#This Row],[Tithi]]+30-28.5),30)*2+7)</f>
        <v>4.2343999999999991</v>
      </c>
      <c r="M61" s="124" t="str">
        <f ca="1">CHOOSE(ROUNDUP(P[[#This Row],[Karana1]],0),"Bhava","Baalava","Kaulava","Taitula","Garija","Vanija","Vishti","Shakuni","Chatushapda","Naaga","Kimstugna")</f>
        <v>Garija</v>
      </c>
      <c r="N6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(24.9)</v>
      </c>
      <c r="O61" s="124">
        <f ca="1">IF(AND(P[[#This Row],[Tithi]]&lt;28.5,P[[#This Row],[Tithi]]&gt;0.49999),MOD((P[[#This Row],[Tithi]]-0.5)*2,7),MOD((P[[#This Row],[Tithi]]+30-28.5),30)*2+7)</f>
        <v>4.2343999999999991</v>
      </c>
      <c r="P61" s="124">
        <f ca="1">ROUNDUP(MOD(360+P[[#This Row],[Moon]]-P[[#This Row],[Sun]],360)/12,4)</f>
        <v>6.1171999999999995</v>
      </c>
      <c r="Q61" s="124">
        <f t="shared" ca="1" si="15"/>
        <v>24.900000000000002</v>
      </c>
      <c r="R61" s="124" t="str">
        <f ca="1">SIGN(S62-P[[#This Row],[MARs]])*INT(P[[#This Row],[MARs]]/30+1)&amp;"Ma,"&amp;SIGN(T62-P[[#This Row],[Merc]])*INT(P[[#This Row],[Merc]]/30+1)&amp;"Me,"&amp;SIGN(U62-P[[#This Row],[Jup]])*INT(P[[#This Row],[Jup]]/30+1)&amp;"Ju,"&amp;SIGN(V62-P[[#This Row],[Venu]])*INT(P[[#This Row],[Venu]]/30+1)&amp;"Ve,"&amp;SIGN(W62-P[[#This Row],[Sat]])*INT(P[[#This Row],[Sat]]/30+1)&amp;"Sa,"&amp;INT(P[[#This Row],[Rah]]/30+1)&amp;"Ra"</f>
        <v>8Ma,11Me,7Ju,11Ve,9Sa,4Ra</v>
      </c>
      <c r="S61" s="124">
        <f ca="1">Planet(P[[#This Row],[GMT Sun Rise]],4)</f>
        <v>232.00081144285994</v>
      </c>
      <c r="T61" s="124">
        <f ca="1">Planet(P[[#This Row],[GMT Sun Rise]],2)</f>
        <v>313.01352710646461</v>
      </c>
      <c r="U61" s="124">
        <f ca="1">Planet(P[[#This Row],[GMT Sun Rise]],5)</f>
        <v>208.75882449062337</v>
      </c>
      <c r="V61" s="124">
        <f ca="1">Planet(P[[#This Row],[GMT Sun Rise]],3)</f>
        <v>319.74620188686589</v>
      </c>
      <c r="W61" s="124">
        <f ca="1">Planet(P[[#This Row],[GMT Sun Rise]],6)</f>
        <v>252.66927634297474</v>
      </c>
      <c r="X61" s="124">
        <f ca="1">Planet(P[[#This Row],[GMT Sun Rise]],10)</f>
        <v>110.03362308679291</v>
      </c>
      <c r="Y61" s="124">
        <f ca="1">SIGN(S62-P[[#This Row],[MARs]])</f>
        <v>1</v>
      </c>
    </row>
    <row r="62" spans="1:25" x14ac:dyDescent="0.2">
      <c r="A62" s="125">
        <f t="shared" ca="1" si="11"/>
        <v>43154</v>
      </c>
      <c r="B62" s="125">
        <f t="shared" ca="1" si="16"/>
        <v>43154.229166666664</v>
      </c>
      <c r="C62" s="130">
        <f t="shared" ca="1" si="12"/>
        <v>43154.270876295086</v>
      </c>
      <c r="D62" s="130">
        <f t="shared" ca="1" si="13"/>
        <v>43153.761023342653</v>
      </c>
      <c r="E62" s="134">
        <f ca="1">P[[#This Row],[SunRise]]-TimeZone/24</f>
        <v>43154.041709628422</v>
      </c>
      <c r="F62" s="135">
        <f t="shared" ca="1" si="6"/>
        <v>310.24782854324201</v>
      </c>
      <c r="G62" s="128">
        <f t="shared" ca="1" si="14"/>
        <v>36.402710532605681</v>
      </c>
      <c r="H62" s="129">
        <f t="shared" ca="1" si="10"/>
        <v>43154.041709628422</v>
      </c>
      <c r="I62" s="124" t="str">
        <f ca="1">naks(P[[#This Row],[Moon]])</f>
        <v>Krittika</v>
      </c>
      <c r="J62" s="130">
        <f ca="1">(C63-P[[#This Row],[SunRise]])/(G63-P[[#This Row],[Moon]])*(13.3333333333333-MOD(P[[#This Row],[Moon]],13.333333333333))+P[[#This Row],[SunRise]]</f>
        <v>43154.52774495248</v>
      </c>
      <c r="K62" s="124" t="str">
        <f ca="1">IF(P[[#This Row],[Tithi]]&gt;15,"K","S")&amp;ROUNDUP(MOD(P[[#This Row],[Tithi]],15),0)&amp;" ("&amp;ROUND(P[[#This Row],[Tithi]],2)&amp;")"</f>
        <v>S8 (7.18)</v>
      </c>
      <c r="L62" s="124">
        <f ca="1">IF(AND(P[[#This Row],[Tithi]]&lt;28.5,P[[#This Row],[Tithi]]&gt;0.49999),MOD((P[[#This Row],[Tithi]]-0.5)*2,7),MOD((P[[#This Row],[Tithi]]+30-28.5),30)*2+7)</f>
        <v>6.3591999999999995</v>
      </c>
      <c r="M62" s="124" t="str">
        <f ca="1">CHOOSE(ROUNDUP(P[[#This Row],[Karana1]],0),"Bhava","Baalava","Kaulava","Taitula","Garija","Vanija","Vishti","Shakuni","Chatushapda","Naaga","Kimstugna")</f>
        <v>Vishti</v>
      </c>
      <c r="N6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(26)</v>
      </c>
      <c r="O62" s="124">
        <f ca="1">IF(AND(P[[#This Row],[Tithi]]&lt;28.5,P[[#This Row],[Tithi]]&gt;0.49999),MOD((P[[#This Row],[Tithi]]-0.5)*2,7),MOD((P[[#This Row],[Tithi]]+30-28.5),30)*2+7)</f>
        <v>6.3591999999999995</v>
      </c>
      <c r="P62" s="124">
        <f ca="1">ROUNDUP(MOD(360+P[[#This Row],[Moon]]-P[[#This Row],[Sun]],360)/12,4)</f>
        <v>7.1795999999999998</v>
      </c>
      <c r="Q62" s="124">
        <f t="shared" ca="1" si="15"/>
        <v>26</v>
      </c>
      <c r="R62" s="124" t="str">
        <f ca="1">SIGN(S63-P[[#This Row],[MARs]])*INT(P[[#This Row],[MARs]]/30+1)&amp;"Ma,"&amp;SIGN(T63-P[[#This Row],[Merc]])*INT(P[[#This Row],[Merc]]/30+1)&amp;"Me,"&amp;SIGN(U63-P[[#This Row],[Jup]])*INT(P[[#This Row],[Jup]]/30+1)&amp;"Ju,"&amp;SIGN(V63-P[[#This Row],[Venu]])*INT(P[[#This Row],[Venu]]/30+1)&amp;"Ve,"&amp;SIGN(W63-P[[#This Row],[Sat]])*INT(P[[#This Row],[Sat]]/30+1)&amp;"Sa,"&amp;INT(P[[#This Row],[Rah]]/30+1)&amp;"Ra"</f>
        <v>8Ma,11Me,7Ju,11Ve,9Sa,4Ra</v>
      </c>
      <c r="S62" s="124">
        <f ca="1">Planet(P[[#This Row],[GMT Sun Rise]],4)</f>
        <v>232.59873513762201</v>
      </c>
      <c r="T62" s="124">
        <f ca="1">Planet(P[[#This Row],[GMT Sun Rise]],2)</f>
        <v>314.88638313885542</v>
      </c>
      <c r="U62" s="124">
        <f ca="1">Planet(P[[#This Row],[GMT Sun Rise]],5)</f>
        <v>208.80394093517785</v>
      </c>
      <c r="V62" s="124">
        <f ca="1">Planet(P[[#This Row],[GMT Sun Rise]],3)</f>
        <v>320.99519720088625</v>
      </c>
      <c r="W62" s="124">
        <f ca="1">Planet(P[[#This Row],[GMT Sun Rise]],6)</f>
        <v>252.75010908488795</v>
      </c>
      <c r="X62" s="124">
        <f ca="1">Planet(P[[#This Row],[GMT Sun Rise]],10)</f>
        <v>109.98064901285312</v>
      </c>
      <c r="Y62" s="124">
        <f ca="1">SIGN(S63-P[[#This Row],[MARs]])</f>
        <v>1</v>
      </c>
    </row>
    <row r="63" spans="1:25" x14ac:dyDescent="0.2">
      <c r="A63" s="125">
        <f t="shared" ca="1" si="11"/>
        <v>43155</v>
      </c>
      <c r="B63" s="125">
        <f t="shared" ca="1" si="16"/>
        <v>43155.229166666664</v>
      </c>
      <c r="C63" s="130">
        <f t="shared" ca="1" si="12"/>
        <v>43155.270529634472</v>
      </c>
      <c r="D63" s="130">
        <f t="shared" ca="1" si="13"/>
        <v>43154.761178950823</v>
      </c>
      <c r="E63" s="134">
        <f ca="1">P[[#This Row],[SunRise]]-TimeZone/24</f>
        <v>43155.041362967808</v>
      </c>
      <c r="F63" s="135">
        <f t="shared" ca="1" si="6"/>
        <v>311.2539659628747</v>
      </c>
      <c r="G63" s="128">
        <f t="shared" ca="1" si="14"/>
        <v>50.402248137894418</v>
      </c>
      <c r="H63" s="129">
        <f t="shared" ca="1" si="10"/>
        <v>43155.041362967808</v>
      </c>
      <c r="I63" s="124" t="str">
        <f ca="1">naks(P[[#This Row],[Moon]])</f>
        <v>Rohini</v>
      </c>
      <c r="J63" s="130">
        <f ca="1">(C64-P[[#This Row],[SunRise]])/(G64-P[[#This Row],[Moon]])*(13.3333333333333-MOD(P[[#This Row],[Moon]],13.333333333333))+P[[#This Row],[SunRise]]</f>
        <v>43155.476459069505</v>
      </c>
      <c r="K63" s="124" t="str">
        <f ca="1">IF(P[[#This Row],[Tithi]]&gt;15,"K","S")&amp;ROUNDUP(MOD(P[[#This Row],[Tithi]],15),0)&amp;" ("&amp;ROUND(P[[#This Row],[Tithi]],2)&amp;")"</f>
        <v>S9 (8.26)</v>
      </c>
      <c r="L63" s="124">
        <f ca="1">IF(AND(P[[#This Row],[Tithi]]&lt;28.5,P[[#This Row],[Tithi]]&gt;0.49999),MOD((P[[#This Row],[Tithi]]-0.5)*2,7),MOD((P[[#This Row],[Tithi]]+30-28.5),30)*2+7)</f>
        <v>1.524799999999999</v>
      </c>
      <c r="M63" s="124" t="str">
        <f ca="1">CHOOSE(ROUNDUP(P[[#This Row],[Karana1]],0),"Bhava","Baalava","Kaulava","Taitula","Garija","Vanija","Vishti","Shakuni","Chatushapda","Naaga","Kimstugna")</f>
        <v>Baalava</v>
      </c>
      <c r="N6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(0.13)</v>
      </c>
      <c r="O63" s="124">
        <f ca="1">IF(AND(P[[#This Row],[Tithi]]&lt;28.5,P[[#This Row],[Tithi]]&gt;0.49999),MOD((P[[#This Row],[Tithi]]-0.5)*2,7),MOD((P[[#This Row],[Tithi]]+30-28.5),30)*2+7)</f>
        <v>1.524799999999999</v>
      </c>
      <c r="P63" s="124">
        <f ca="1">ROUNDUP(MOD(360+P[[#This Row],[Moon]]-P[[#This Row],[Sun]],360)/12,4)</f>
        <v>8.2623999999999995</v>
      </c>
      <c r="Q63" s="124">
        <f t="shared" ca="1" si="15"/>
        <v>0.13</v>
      </c>
      <c r="R63" s="124" t="str">
        <f ca="1">SIGN(S64-P[[#This Row],[MARs]])*INT(P[[#This Row],[MARs]]/30+1)&amp;"Ma,"&amp;SIGN(T64-P[[#This Row],[Merc]])*INT(P[[#This Row],[Merc]]/30+1)&amp;"Me,"&amp;SIGN(U64-P[[#This Row],[Jup]])*INT(P[[#This Row],[Jup]]/30+1)&amp;"Ju,"&amp;SIGN(V64-P[[#This Row],[Venu]])*INT(P[[#This Row],[Venu]]/30+1)&amp;"Ve,"&amp;SIGN(W64-P[[#This Row],[Sat]])*INT(P[[#This Row],[Sat]]/30+1)&amp;"Sa,"&amp;INT(P[[#This Row],[Rah]]/30+1)&amp;"Ra"</f>
        <v>8Ma,11Me,7Ju,11Ve,9Sa,4Ra</v>
      </c>
      <c r="S63" s="124">
        <f ca="1">Planet(P[[#This Row],[GMT Sun Rise]],4)</f>
        <v>233.19580330672417</v>
      </c>
      <c r="T63" s="124">
        <f ca="1">Planet(P[[#This Row],[GMT Sun Rise]],2)</f>
        <v>316.76777317131649</v>
      </c>
      <c r="U63" s="124">
        <f ca="1">Planet(P[[#This Row],[GMT Sun Rise]],5)</f>
        <v>208.84604847825321</v>
      </c>
      <c r="V63" s="124">
        <f ca="1">Planet(P[[#This Row],[GMT Sun Rise]],3)</f>
        <v>322.2437952503833</v>
      </c>
      <c r="W63" s="124">
        <f ca="1">Planet(P[[#This Row],[GMT Sun Rise]],6)</f>
        <v>252.82976941589232</v>
      </c>
      <c r="X63" s="124">
        <f ca="1">Planet(P[[#This Row],[GMT Sun Rise]],10)</f>
        <v>109.92767538531263</v>
      </c>
      <c r="Y63" s="124">
        <f ca="1">SIGN(S64-P[[#This Row],[MARs]])</f>
        <v>1</v>
      </c>
    </row>
    <row r="64" spans="1:25" x14ac:dyDescent="0.2">
      <c r="A64" s="125">
        <f t="shared" ca="1" si="11"/>
        <v>43156</v>
      </c>
      <c r="B64" s="125">
        <f t="shared" ca="1" si="16"/>
        <v>43156.229166666664</v>
      </c>
      <c r="C64" s="130">
        <f t="shared" ca="1" si="12"/>
        <v>43156.27017454958</v>
      </c>
      <c r="D64" s="130">
        <f t="shared" ca="1" si="13"/>
        <v>43155.761328359644</v>
      </c>
      <c r="E64" s="134">
        <f ca="1">P[[#This Row],[SunRise]]-TimeZone/24</f>
        <v>43156.041007882915</v>
      </c>
      <c r="F64" s="135">
        <f t="shared" ca="1" si="6"/>
        <v>312.25954736453838</v>
      </c>
      <c r="G64" s="128">
        <f t="shared" ca="1" si="14"/>
        <v>64.63063860998696</v>
      </c>
      <c r="H64" s="129">
        <f t="shared" ca="1" si="10"/>
        <v>43156.041007882915</v>
      </c>
      <c r="I64" s="124" t="str">
        <f ca="1">naks(P[[#This Row],[Moon]])</f>
        <v>Mrigashira</v>
      </c>
      <c r="J64" s="130">
        <f ca="1">(C65-P[[#This Row],[SunRise]])/(G65-P[[#This Row],[Moon]])*(13.3333333333333-MOD(P[[#This Row],[Moon]],13.333333333333))+P[[#This Row],[SunRise]]</f>
        <v>43156.411269697099</v>
      </c>
      <c r="K64" s="124" t="str">
        <f ca="1">IF(P[[#This Row],[Tithi]]&gt;15,"K","S")&amp;ROUNDUP(MOD(P[[#This Row],[Tithi]],15),0)&amp;" ("&amp;ROUND(P[[#This Row],[Tithi]],2)&amp;")"</f>
        <v>S10 (9.36)</v>
      </c>
      <c r="L64" s="124">
        <f ca="1">IF(AND(P[[#This Row],[Tithi]]&lt;28.5,P[[#This Row],[Tithi]]&gt;0.49999),MOD((P[[#This Row],[Tithi]]-0.5)*2,7),MOD((P[[#This Row],[Tithi]]+30-28.5),30)*2+7)</f>
        <v>3.7286000000000001</v>
      </c>
      <c r="M64" s="124" t="str">
        <f ca="1">CHOOSE(ROUNDUP(P[[#This Row],[Karana1]],0),"Bhava","Baalava","Kaulava","Taitula","Garija","Vanija","Vishti","Shakuni","Chatushapda","Naaga","Kimstugna")</f>
        <v>Taitula</v>
      </c>
      <c r="N6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(1.27)</v>
      </c>
      <c r="O64" s="124">
        <f ca="1">IF(AND(P[[#This Row],[Tithi]]&lt;28.5,P[[#This Row],[Tithi]]&gt;0.49999),MOD((P[[#This Row],[Tithi]]-0.5)*2,7),MOD((P[[#This Row],[Tithi]]+30-28.5),30)*2+7)</f>
        <v>3.7286000000000001</v>
      </c>
      <c r="P64" s="124">
        <f ca="1">ROUNDUP(MOD(360+P[[#This Row],[Moon]]-P[[#This Row],[Sun]],360)/12,4)</f>
        <v>9.3643000000000001</v>
      </c>
      <c r="Q64" s="124">
        <f t="shared" ca="1" si="15"/>
        <v>1.27</v>
      </c>
      <c r="R64" s="124" t="str">
        <f ca="1">SIGN(S65-P[[#This Row],[MARs]])*INT(P[[#This Row],[MARs]]/30+1)&amp;"Ma,"&amp;SIGN(T65-P[[#This Row],[Merc]])*INT(P[[#This Row],[Merc]]/30+1)&amp;"Me,"&amp;SIGN(U65-P[[#This Row],[Jup]])*INT(P[[#This Row],[Jup]]/30+1)&amp;"Ju,"&amp;SIGN(V65-P[[#This Row],[Venu]])*INT(P[[#This Row],[Venu]]/30+1)&amp;"Ve,"&amp;SIGN(W65-P[[#This Row],[Sat]])*INT(P[[#This Row],[Sat]]/30+1)&amp;"Sa,"&amp;INT(P[[#This Row],[Rah]]/30+1)&amp;"Ra"</f>
        <v>8Ma,11Me,7Ju,11Ve,9Sa,4Ra</v>
      </c>
      <c r="S64" s="124">
        <f ca="1">Planet(P[[#This Row],[GMT Sun Rise]],4)</f>
        <v>233.79201144941413</v>
      </c>
      <c r="T64" s="124">
        <f ca="1">Planet(P[[#This Row],[GMT Sun Rise]],2)</f>
        <v>318.65585410420022</v>
      </c>
      <c r="U64" s="124">
        <f ca="1">Planet(P[[#This Row],[GMT Sun Rise]],5)</f>
        <v>208.88513599307538</v>
      </c>
      <c r="V64" s="124">
        <f ca="1">Planet(P[[#This Row],[GMT Sun Rise]],3)</f>
        <v>323.4919862541467</v>
      </c>
      <c r="W64" s="124">
        <f ca="1">Planet(P[[#This Row],[GMT Sun Rise]],6)</f>
        <v>252.90824318946991</v>
      </c>
      <c r="X64" s="124">
        <f ca="1">Planet(P[[#This Row],[GMT Sun Rise]],10)</f>
        <v>109.87470220423755</v>
      </c>
      <c r="Y64" s="124">
        <f ca="1">SIGN(S65-P[[#This Row],[MARs]])</f>
        <v>1</v>
      </c>
    </row>
    <row r="65" spans="1:25" x14ac:dyDescent="0.2">
      <c r="A65" s="125">
        <f t="shared" ca="1" si="11"/>
        <v>43157</v>
      </c>
      <c r="B65" s="125">
        <f t="shared" ca="1" si="16"/>
        <v>43157.229166666664</v>
      </c>
      <c r="C65" s="130">
        <f t="shared" ca="1" si="12"/>
        <v>43157.269811358456</v>
      </c>
      <c r="D65" s="130">
        <f t="shared" ca="1" si="13"/>
        <v>43156.761471887628</v>
      </c>
      <c r="E65" s="134">
        <f ca="1">P[[#This Row],[SunRise]]-TimeZone/24</f>
        <v>43157.040644691791</v>
      </c>
      <c r="F65" s="135">
        <f t="shared" ca="1" si="6"/>
        <v>313.26457115503769</v>
      </c>
      <c r="G65" s="128">
        <f t="shared" ca="1" si="14"/>
        <v>79.055575435818952</v>
      </c>
      <c r="H65" s="129">
        <f t="shared" ca="1" si="10"/>
        <v>43157.040644691791</v>
      </c>
      <c r="I65" s="124" t="str">
        <f ca="1">naks(P[[#This Row],[Moon]])</f>
        <v>Ardra</v>
      </c>
      <c r="J65" s="130">
        <f ca="1">(C66-P[[#This Row],[SunRise]])/(G66-P[[#This Row],[Moon]])*(13.3333333333333-MOD(P[[#This Row],[Moon]],13.333333333333))+P[[#This Row],[SunRise]]</f>
        <v>43157.334618403758</v>
      </c>
      <c r="K65" s="124" t="str">
        <f ca="1">IF(P[[#This Row],[Tithi]]&gt;15,"K","S")&amp;ROUNDUP(MOD(P[[#This Row],[Tithi]],15),0)&amp;" ("&amp;ROUND(P[[#This Row],[Tithi]],2)&amp;")"</f>
        <v>S11 (10.48)</v>
      </c>
      <c r="L65" s="124">
        <f ca="1">IF(AND(P[[#This Row],[Tithi]]&lt;28.5,P[[#This Row],[Tithi]]&gt;0.49999),MOD((P[[#This Row],[Tithi]]-0.5)*2,7),MOD((P[[#This Row],[Tithi]]+30-28.5),30)*2+7)</f>
        <v>5.9651999999999994</v>
      </c>
      <c r="M65" s="124" t="str">
        <f ca="1">CHOOSE(ROUNDUP(P[[#This Row],[Karana1]],0),"Bhava","Baalava","Kaulava","Taitula","Garija","Vanija","Vishti","Shakuni","Chatushapda","Naaga","Kimstugna")</f>
        <v>Vanija</v>
      </c>
      <c r="N6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(2.43)</v>
      </c>
      <c r="O65" s="124">
        <f ca="1">IF(AND(P[[#This Row],[Tithi]]&lt;28.5,P[[#This Row],[Tithi]]&gt;0.49999),MOD((P[[#This Row],[Tithi]]-0.5)*2,7),MOD((P[[#This Row],[Tithi]]+30-28.5),30)*2+7)</f>
        <v>5.9651999999999994</v>
      </c>
      <c r="P65" s="124">
        <f ca="1">ROUNDUP(MOD(360+P[[#This Row],[Moon]]-P[[#This Row],[Sun]],360)/12,4)</f>
        <v>10.4826</v>
      </c>
      <c r="Q65" s="124">
        <f t="shared" ca="1" si="15"/>
        <v>2.4299999999999997</v>
      </c>
      <c r="R65" s="124" t="str">
        <f ca="1">SIGN(S66-P[[#This Row],[MARs]])*INT(P[[#This Row],[MARs]]/30+1)&amp;"Ma,"&amp;SIGN(T66-P[[#This Row],[Merc]])*INT(P[[#This Row],[Merc]]/30+1)&amp;"Me,"&amp;SIGN(U66-P[[#This Row],[Jup]])*INT(P[[#This Row],[Jup]]/30+1)&amp;"Ju,"&amp;SIGN(V66-P[[#This Row],[Venu]])*INT(P[[#This Row],[Venu]]/30+1)&amp;"Ve,"&amp;SIGN(W66-P[[#This Row],[Sat]])*INT(P[[#This Row],[Sat]]/30+1)&amp;"Sa,"&amp;INT(P[[#This Row],[Rah]]/30+1)&amp;"Ra"</f>
        <v>8Ma,11Me,7Ju,11Ve,9Sa,4Ra</v>
      </c>
      <c r="S65" s="124">
        <f ca="1">Planet(P[[#This Row],[GMT Sun Rise]],4)</f>
        <v>234.38735630666517</v>
      </c>
      <c r="T65" s="124">
        <f ca="1">Planet(P[[#This Row],[GMT Sun Rise]],2)</f>
        <v>320.54837810377228</v>
      </c>
      <c r="U65" s="124">
        <f ca="1">Planet(P[[#This Row],[GMT Sun Rise]],5)</f>
        <v>208.92119311959038</v>
      </c>
      <c r="V65" s="124">
        <f ca="1">Planet(P[[#This Row],[GMT Sun Rise]],3)</f>
        <v>324.7397634002441</v>
      </c>
      <c r="W65" s="124">
        <f ca="1">Planet(P[[#This Row],[GMT Sun Rise]],6)</f>
        <v>252.98551680079092</v>
      </c>
      <c r="X65" s="124">
        <f ca="1">Planet(P[[#This Row],[GMT Sun Rise]],10)</f>
        <v>109.82172945271132</v>
      </c>
      <c r="Y65" s="124">
        <f ca="1">SIGN(S66-P[[#This Row],[MARs]])</f>
        <v>1</v>
      </c>
    </row>
    <row r="66" spans="1:25" x14ac:dyDescent="0.2">
      <c r="A66" s="125">
        <f t="shared" ca="1" si="11"/>
        <v>43158</v>
      </c>
      <c r="B66" s="125">
        <f t="shared" ca="1" si="16"/>
        <v>43158.229166666664</v>
      </c>
      <c r="C66" s="130">
        <f t="shared" ca="1" si="12"/>
        <v>43158.269440538403</v>
      </c>
      <c r="D66" s="130">
        <f t="shared" ca="1" si="13"/>
        <v>43157.761609693567</v>
      </c>
      <c r="E66" s="134">
        <f ca="1">P[[#This Row],[SunRise]]-TimeZone/24</f>
        <v>43158.040273871738</v>
      </c>
      <c r="F66" s="135">
        <f t="shared" ca="1" si="6"/>
        <v>314.26904133219182</v>
      </c>
      <c r="G66" s="128">
        <f t="shared" ca="1" si="14"/>
        <v>93.623040257812889</v>
      </c>
      <c r="H66" s="129">
        <f t="shared" ca="1" si="10"/>
        <v>43158.040273871738</v>
      </c>
      <c r="I66" s="124" t="str">
        <f ca="1">naks(P[[#This Row],[Moon]])</f>
        <v>Pushya</v>
      </c>
      <c r="J66" s="130">
        <f ca="1">(C67-P[[#This Row],[SunRise]])/(G67-P[[#This Row],[Moon]])*(13.3333333333333-MOD(P[[#This Row],[Moon]],13.333333333333))+P[[#This Row],[SunRise]]</f>
        <v>43159.160473017313</v>
      </c>
      <c r="K66" s="124" t="str">
        <f ca="1">IF(P[[#This Row],[Tithi]]&gt;15,"K","S")&amp;ROUNDUP(MOD(P[[#This Row],[Tithi]],15),0)&amp;" ("&amp;ROUND(P[[#This Row],[Tithi]],2)&amp;")"</f>
        <v>S12 (11.61)</v>
      </c>
      <c r="L66" s="124">
        <f ca="1">IF(AND(P[[#This Row],[Tithi]]&lt;28.5,P[[#This Row],[Tithi]]&gt;0.49999),MOD((P[[#This Row],[Tithi]]-0.5)*2,7),MOD((P[[#This Row],[Tithi]]+30-28.5),30)*2+7)</f>
        <v>1.2257999999999996</v>
      </c>
      <c r="M66" s="124" t="str">
        <f ca="1">CHOOSE(ROUNDUP(P[[#This Row],[Karana1]],0),"Bhava","Baalava","Kaulava","Taitula","Garija","Vanija","Vishti","Shakuni","Chatushapda","Naaga","Kimstugna")</f>
        <v>Baalava</v>
      </c>
      <c r="N6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(3.6)</v>
      </c>
      <c r="O66" s="124">
        <f ca="1">IF(AND(P[[#This Row],[Tithi]]&lt;28.5,P[[#This Row],[Tithi]]&gt;0.49999),MOD((P[[#This Row],[Tithi]]-0.5)*2,7),MOD((P[[#This Row],[Tithi]]+30-28.5),30)*2+7)</f>
        <v>1.2257999999999996</v>
      </c>
      <c r="P66" s="124">
        <f ca="1">ROUNDUP(MOD(360+P[[#This Row],[Moon]]-P[[#This Row],[Sun]],360)/12,4)</f>
        <v>11.6129</v>
      </c>
      <c r="Q66" s="124">
        <f t="shared" ca="1" si="15"/>
        <v>3.5999999999999996</v>
      </c>
      <c r="R66" s="124" t="str">
        <f ca="1">SIGN(S67-P[[#This Row],[MARs]])*INT(P[[#This Row],[MARs]]/30+1)&amp;"Ma,"&amp;SIGN(T67-P[[#This Row],[Merc]])*INT(P[[#This Row],[Merc]]/30+1)&amp;"Me,"&amp;SIGN(U67-P[[#This Row],[Jup]])*INT(P[[#This Row],[Jup]]/30+1)&amp;"Ju,"&amp;SIGN(V67-P[[#This Row],[Venu]])*INT(P[[#This Row],[Venu]]/30+1)&amp;"Ve,"&amp;SIGN(W67-P[[#This Row],[Sat]])*INT(P[[#This Row],[Sat]]/30+1)&amp;"Sa,"&amp;INT(P[[#This Row],[Rah]]/30+1)&amp;"Ra"</f>
        <v>8Ma,11Me,7Ju,11Ve,9Sa,4Ra</v>
      </c>
      <c r="S66" s="124">
        <f ca="1">Planet(P[[#This Row],[GMT Sun Rise]],4)</f>
        <v>234.98183472426214</v>
      </c>
      <c r="T66" s="124">
        <f ca="1">Planet(P[[#This Row],[GMT Sun Rise]],2)</f>
        <v>322.44263817575251</v>
      </c>
      <c r="U66" s="124">
        <f ca="1">Planet(P[[#This Row],[GMT Sun Rise]],5)</f>
        <v>208.95420990063127</v>
      </c>
      <c r="V66" s="124">
        <f ca="1">Planet(P[[#This Row],[GMT Sun Rise]],3)</f>
        <v>325.98712305244169</v>
      </c>
      <c r="W66" s="124">
        <f ca="1">Planet(P[[#This Row],[GMT Sun Rise]],6)</f>
        <v>253.06157704216184</v>
      </c>
      <c r="X66" s="124">
        <f ca="1">Planet(P[[#This Row],[GMT Sun Rise]],10)</f>
        <v>109.76875710543315</v>
      </c>
      <c r="Y66" s="124">
        <f ca="1">SIGN(S67-P[[#This Row],[MARs]])</f>
        <v>1</v>
      </c>
    </row>
    <row r="67" spans="1:25" x14ac:dyDescent="0.2">
      <c r="A67" s="125">
        <f t="shared" ca="1" si="11"/>
        <v>43159</v>
      </c>
      <c r="B67" s="125">
        <f t="shared" ref="B67:B130" ca="1" si="17">A67+TimeZone/24</f>
        <v>43159.229166666664</v>
      </c>
      <c r="C67" s="127">
        <f t="shared" ref="C67:C130" ca="1" si="18">sunrise(Lat,Long,B67)+TimeZone/24+0.00103009259259259</f>
        <v>43159.26906224728</v>
      </c>
      <c r="D67" s="127">
        <f t="shared" ref="D67:D130" ca="1" si="19">sunset(Lat,Long,B67)+TimeZone/24-0.000277777777777778</f>
        <v>43158.76174177746</v>
      </c>
      <c r="E67" s="189">
        <f ca="1">P[[#This Row],[SunRise]]-TimeZone/24</f>
        <v>43159.039895580616</v>
      </c>
      <c r="F67" s="190">
        <f t="shared" ref="F67:F130" ca="1" si="20">Planet(E67,0)</f>
        <v>315.27296680598818</v>
      </c>
      <c r="G67" s="190">
        <f t="shared" ref="G67:G130" ca="1" si="21">Planet(E67,1)</f>
        <v>108.25628026806729</v>
      </c>
      <c r="H67" s="191">
        <f t="shared" ref="H67:H130" ca="1" si="22">E67</f>
        <v>43159.039895580616</v>
      </c>
      <c r="I67" s="124" t="str">
        <f ca="1">naks(P[[#This Row],[Moon]])</f>
        <v>Aslesha</v>
      </c>
      <c r="J67" s="127">
        <f ca="1">(C68-P[[#This Row],[SunRise]])/(G68-P[[#This Row],[Moon]])*(13.3333333333333-MOD(P[[#This Row],[Moon]],13.333333333333))+P[[#This Row],[SunRise]]</f>
        <v>43160.072929716058</v>
      </c>
      <c r="K67" s="124" t="str">
        <f ca="1">IF(P[[#This Row],[Tithi]]&gt;15,"K","S")&amp;ROUNDUP(MOD(P[[#This Row],[Tithi]],15),0)&amp;" ("&amp;ROUND(P[[#This Row],[Tithi]],2)&amp;")"</f>
        <v>S13 (12.75)</v>
      </c>
      <c r="L67" s="124">
        <f ca="1">IF(AND(P[[#This Row],[Tithi]]&lt;28.5,P[[#This Row],[Tithi]]&gt;0.49999),MOD((P[[#This Row],[Tithi]]-0.5)*2,7),MOD((P[[#This Row],[Tithi]]+30-28.5),30)*2+7)</f>
        <v>3.497399999999999</v>
      </c>
      <c r="M67" s="124" t="str">
        <f ca="1">CHOOSE(ROUNDUP(P[[#This Row],[Karana1]],0),"Bhava","Baalava","Kaulava","Taitula","Garija","Vanija","Vishti","Shakuni","Chatushapda","Naaga","Kimstugna")</f>
        <v>Taitula</v>
      </c>
      <c r="N6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(4.77)</v>
      </c>
      <c r="O67" s="124">
        <f ca="1">IF(AND(P[[#This Row],[Tithi]]&lt;28.5,P[[#This Row],[Tithi]]&gt;0.49999),MOD((P[[#This Row],[Tithi]]-0.5)*2,7),MOD((P[[#This Row],[Tithi]]+30-28.5),30)*2+7)</f>
        <v>3.497399999999999</v>
      </c>
      <c r="P67" s="124">
        <f ca="1">ROUNDUP(MOD(360+P[[#This Row],[Moon]]-P[[#This Row],[Sun]],360)/12,4)</f>
        <v>12.748699999999999</v>
      </c>
      <c r="Q67" s="124">
        <f t="shared" ref="Q67:Q130" ca="1" si="23">ROUNDUP(MOD(F67+G67,360)/13.333333333,2)</f>
        <v>4.7699999999999996</v>
      </c>
      <c r="R67" s="124" t="str">
        <f ca="1">SIGN(S68-P[[#This Row],[MARs]])*INT(P[[#This Row],[MARs]]/30+1)&amp;"Ma,"&amp;SIGN(T68-P[[#This Row],[Merc]])*INT(P[[#This Row],[Merc]]/30+1)&amp;"Me,"&amp;SIGN(U68-P[[#This Row],[Jup]])*INT(P[[#This Row],[Jup]]/30+1)&amp;"Ju,"&amp;SIGN(V68-P[[#This Row],[Venu]])*INT(P[[#This Row],[Venu]]/30+1)&amp;"Ve,"&amp;SIGN(W68-P[[#This Row],[Sat]])*INT(P[[#This Row],[Sat]]/30+1)&amp;"Sa,"&amp;INT(P[[#This Row],[Rah]]/30+1)&amp;"Ra"</f>
        <v>8Ma,11Me,7Ju,11Ve,9Sa,4Ra</v>
      </c>
      <c r="S67" s="124">
        <f ca="1">Planet(P[[#This Row],[GMT Sun Rise]],4)</f>
        <v>235.57544199739354</v>
      </c>
      <c r="T67" s="124">
        <f ca="1">Planet(P[[#This Row],[GMT Sun Rise]],2)</f>
        <v>324.3354124200356</v>
      </c>
      <c r="U67" s="124">
        <f ca="1">Planet(P[[#This Row],[GMT Sun Rise]],5)</f>
        <v>208.98417638228943</v>
      </c>
      <c r="V67" s="124">
        <f ca="1">Planet(P[[#This Row],[GMT Sun Rise]],3)</f>
        <v>327.23406427814479</v>
      </c>
      <c r="W67" s="124">
        <f ca="1">Planet(P[[#This Row],[GMT Sun Rise]],6)</f>
        <v>253.13641088075934</v>
      </c>
      <c r="X67" s="124">
        <f ca="1">Planet(P[[#This Row],[GMT Sun Rise]],10)</f>
        <v>109.71578515408576</v>
      </c>
      <c r="Y67" s="124">
        <f ca="1">SIGN(S68-P[[#This Row],[MARs]])</f>
        <v>1</v>
      </c>
    </row>
    <row r="68" spans="1:25" x14ac:dyDescent="0.2">
      <c r="A68" s="125">
        <f t="shared" ca="1" si="11"/>
        <v>43160</v>
      </c>
      <c r="B68" s="125">
        <f t="shared" ca="1" si="17"/>
        <v>43160.229166666664</v>
      </c>
      <c r="C68" s="127">
        <f t="shared" ca="1" si="18"/>
        <v>43160.268676804066</v>
      </c>
      <c r="D68" s="127">
        <f t="shared" ca="1" si="19"/>
        <v>43159.761868457354</v>
      </c>
      <c r="E68" s="189">
        <f ca="1">P[[#This Row],[SunRise]]-TimeZone/24</f>
        <v>43160.039510137402</v>
      </c>
      <c r="F68" s="190">
        <f t="shared" ca="1" si="20"/>
        <v>316.27636090696927</v>
      </c>
      <c r="G68" s="190">
        <f t="shared" ca="1" si="21"/>
        <v>122.8596740498068</v>
      </c>
      <c r="H68" s="191">
        <f t="shared" ca="1" si="22"/>
        <v>43160.039510137402</v>
      </c>
      <c r="I68" s="124" t="str">
        <f ca="1">naks(P[[#This Row],[Moon]])</f>
        <v>Makha</v>
      </c>
      <c r="J68" s="127">
        <f ca="1">(C69-P[[#This Row],[SunRise]])/(G69-P[[#This Row],[Moon]])*(13.3333333333333-MOD(P[[#This Row],[Moon]],13.333333333333))+P[[#This Row],[SunRise]]</f>
        <v>43160.992291795774</v>
      </c>
      <c r="K68" s="124" t="str">
        <f ca="1">IF(P[[#This Row],[Tithi]]&gt;15,"K","S")&amp;ROUNDUP(MOD(P[[#This Row],[Tithi]],15),0)&amp;" ("&amp;ROUND(P[[#This Row],[Tithi]],2)&amp;")"</f>
        <v>S14 (13.88)</v>
      </c>
      <c r="L68" s="124">
        <f ca="1">IF(AND(P[[#This Row],[Tithi]]&lt;28.5,P[[#This Row],[Tithi]]&gt;0.49999),MOD((P[[#This Row],[Tithi]]-0.5)*2,7),MOD((P[[#This Row],[Tithi]]+30-28.5),30)*2+7)</f>
        <v>5.7639999999999993</v>
      </c>
      <c r="M68" s="124" t="str">
        <f ca="1">CHOOSE(ROUNDUP(P[[#This Row],[Karana1]],0),"Bhava","Baalava","Kaulava","Taitula","Garija","Vanija","Vishti","Shakuni","Chatushapda","Naaga","Kimstugna")</f>
        <v>Vanija</v>
      </c>
      <c r="N6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(5.94)</v>
      </c>
      <c r="O68" s="124">
        <f ca="1">IF(AND(P[[#This Row],[Tithi]]&lt;28.5,P[[#This Row],[Tithi]]&gt;0.49999),MOD((P[[#This Row],[Tithi]]-0.5)*2,7),MOD((P[[#This Row],[Tithi]]+30-28.5),30)*2+7)</f>
        <v>5.7639999999999993</v>
      </c>
      <c r="P68" s="124">
        <f ca="1">ROUNDUP(MOD(360+P[[#This Row],[Moon]]-P[[#This Row],[Sun]],360)/12,4)</f>
        <v>13.882</v>
      </c>
      <c r="Q68" s="124">
        <f t="shared" ca="1" si="23"/>
        <v>5.9399999999999995</v>
      </c>
      <c r="R68" s="124" t="str">
        <f ca="1">SIGN(S69-P[[#This Row],[MARs]])*INT(P[[#This Row],[MARs]]/30+1)&amp;"Ma,"&amp;SIGN(T69-P[[#This Row],[Merc]])*INT(P[[#This Row],[Merc]]/30+1)&amp;"Me,"&amp;SIGN(U69-P[[#This Row],[Jup]])*INT(P[[#This Row],[Jup]]/30+1)&amp;"Ju,"&amp;SIGN(V69-P[[#This Row],[Venu]])*INT(P[[#This Row],[Venu]]/30+1)&amp;"Ve,"&amp;SIGN(W69-P[[#This Row],[Sat]])*INT(P[[#This Row],[Sat]]/30+1)&amp;"Sa,"&amp;INT(P[[#This Row],[Rah]]/30+1)&amp;"Ra"</f>
        <v>8Ma,11Me,7Ju,11Ve,9Sa,4Ra</v>
      </c>
      <c r="S68" s="124">
        <f ca="1">Planet(P[[#This Row],[GMT Sun Rise]],4)</f>
        <v>236.16817068076142</v>
      </c>
      <c r="T68" s="124">
        <f ca="1">Planet(P[[#This Row],[GMT Sun Rise]],2)</f>
        <v>326.22291207723902</v>
      </c>
      <c r="U68" s="124">
        <f ca="1">Planet(P[[#This Row],[GMT Sun Rise]],5)</f>
        <v>209.01108231277158</v>
      </c>
      <c r="V68" s="124">
        <f ca="1">Planet(P[[#This Row],[GMT Sun Rise]],3)</f>
        <v>328.4805891375679</v>
      </c>
      <c r="W68" s="124">
        <f ca="1">Planet(P[[#This Row],[GMT Sun Rise]],6)</f>
        <v>253.21000526833143</v>
      </c>
      <c r="X68" s="124">
        <f ca="1">Planet(P[[#This Row],[GMT Sun Rise]],10)</f>
        <v>109.6628135817357</v>
      </c>
      <c r="Y68" s="124">
        <f ca="1">SIGN(S69-P[[#This Row],[MARs]])</f>
        <v>1</v>
      </c>
    </row>
    <row r="69" spans="1:25" x14ac:dyDescent="0.2">
      <c r="A69" s="125">
        <f t="shared" ca="1" si="11"/>
        <v>43161</v>
      </c>
      <c r="B69" s="125">
        <f t="shared" ca="1" si="17"/>
        <v>43161.229166666664</v>
      </c>
      <c r="C69" s="127">
        <f t="shared" ca="1" si="18"/>
        <v>43161.268284525875</v>
      </c>
      <c r="D69" s="127">
        <f t="shared" ca="1" si="19"/>
        <v>43160.761990050829</v>
      </c>
      <c r="E69" s="189">
        <f ca="1">P[[#This Row],[SunRise]]-TimeZone/24</f>
        <v>43161.039117859211</v>
      </c>
      <c r="F69" s="190">
        <f t="shared" ca="1" si="20"/>
        <v>317.27923956558698</v>
      </c>
      <c r="G69" s="190">
        <f t="shared" ca="1" si="21"/>
        <v>137.32807342707233</v>
      </c>
      <c r="H69" s="191">
        <f t="shared" ca="1" si="22"/>
        <v>43161.039117859211</v>
      </c>
      <c r="I69" s="124" t="str">
        <f ca="1">naks(P[[#This Row],[Moon]])</f>
        <v>Purva Phalguni</v>
      </c>
      <c r="J69" s="127">
        <f ca="1">(C70-P[[#This Row],[SunRise]])/(G70-P[[#This Row],[Moon]])*(13.3333333333333-MOD(P[[#This Row],[Moon]],13.333333333333))+P[[#This Row],[SunRise]]</f>
        <v>43161.92418407595</v>
      </c>
      <c r="K69" s="124" t="str">
        <f ca="1">IF(P[[#This Row],[Tithi]]&gt;15,"K","S")&amp;ROUNDUP(MOD(P[[#This Row],[Tithi]],15),0)&amp;" ("&amp;ROUND(P[[#This Row],[Tithi]],2)&amp;")"</f>
        <v>K1 (15)</v>
      </c>
      <c r="L69" s="124">
        <f ca="1">IF(AND(P[[#This Row],[Tithi]]&lt;28.5,P[[#This Row],[Tithi]]&gt;0.49999),MOD((P[[#This Row],[Tithi]]-0.5)*2,7),MOD((P[[#This Row],[Tithi]]+30-28.5),30)*2+7)</f>
        <v>1.0081999999999987</v>
      </c>
      <c r="M69" s="124" t="str">
        <f ca="1">CHOOSE(ROUNDUP(P[[#This Row],[Karana1]],0),"Bhava","Baalava","Kaulava","Taitula","Garija","Vanija","Vishti","Shakuni","Chatushapda","Naaga","Kimstugna")</f>
        <v>Baalava</v>
      </c>
      <c r="N6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(7.1)</v>
      </c>
      <c r="O69" s="124">
        <f ca="1">IF(AND(P[[#This Row],[Tithi]]&lt;28.5,P[[#This Row],[Tithi]]&gt;0.49999),MOD((P[[#This Row],[Tithi]]-0.5)*2,7),MOD((P[[#This Row],[Tithi]]+30-28.5),30)*2+7)</f>
        <v>1.0081999999999987</v>
      </c>
      <c r="P69" s="124">
        <f ca="1">ROUNDUP(MOD(360+P[[#This Row],[Moon]]-P[[#This Row],[Sun]],360)/12,4)</f>
        <v>15.004099999999999</v>
      </c>
      <c r="Q69" s="124">
        <f t="shared" ca="1" si="23"/>
        <v>7.1</v>
      </c>
      <c r="R69" s="124" t="str">
        <f ca="1">SIGN(S70-P[[#This Row],[MARs]])*INT(P[[#This Row],[MARs]]/30+1)&amp;"Ma,"&amp;SIGN(T70-P[[#This Row],[Merc]])*INT(P[[#This Row],[Merc]]/30+1)&amp;"Me,"&amp;SIGN(U70-P[[#This Row],[Jup]])*INT(P[[#This Row],[Jup]]/30+1)&amp;"Ju,"&amp;SIGN(V70-P[[#This Row],[Venu]])*INT(P[[#This Row],[Venu]]/30+1)&amp;"Ve,"&amp;SIGN(W70-P[[#This Row],[Sat]])*INT(P[[#This Row],[Sat]]/30+1)&amp;"Sa,"&amp;INT(P[[#This Row],[Rah]]/30+1)&amp;"Ra"</f>
        <v>8Ma,11Me,7Ju,11Ve,9Sa,4Ra</v>
      </c>
      <c r="S69" s="124">
        <f ca="1">Planet(P[[#This Row],[GMT Sun Rise]],4)</f>
        <v>236.76000925670908</v>
      </c>
      <c r="T69" s="124">
        <f ca="1">Planet(P[[#This Row],[GMT Sun Rise]],2)</f>
        <v>328.10073396449519</v>
      </c>
      <c r="U69" s="124">
        <f ca="1">Planet(P[[#This Row],[GMT Sun Rise]],5)</f>
        <v>209.03491698012999</v>
      </c>
      <c r="V69" s="124">
        <f ca="1">Planet(P[[#This Row],[GMT Sun Rise]],3)</f>
        <v>329.7267017317202</v>
      </c>
      <c r="W69" s="124">
        <f ca="1">Planet(P[[#This Row],[GMT Sun Rise]],6)</f>
        <v>253.28234691458573</v>
      </c>
      <c r="X69" s="124">
        <f ca="1">Planet(P[[#This Row],[GMT Sun Rise]],10)</f>
        <v>109.60984237159873</v>
      </c>
      <c r="Y69" s="124">
        <f ca="1">SIGN(S70-P[[#This Row],[MARs]])</f>
        <v>1</v>
      </c>
    </row>
    <row r="70" spans="1:25" x14ac:dyDescent="0.2">
      <c r="A70" s="125">
        <f t="shared" ca="1" si="11"/>
        <v>43162</v>
      </c>
      <c r="B70" s="125">
        <f t="shared" ca="1" si="17"/>
        <v>43162.229166666664</v>
      </c>
      <c r="C70" s="127">
        <f t="shared" ca="1" si="18"/>
        <v>43162.26788573122</v>
      </c>
      <c r="D70" s="127">
        <f t="shared" ca="1" si="19"/>
        <v>43161.762106557886</v>
      </c>
      <c r="E70" s="189">
        <f ca="1">P[[#This Row],[SunRise]]-TimeZone/24</f>
        <v>43162.038719064556</v>
      </c>
      <c r="F70" s="190">
        <f t="shared" ca="1" si="20"/>
        <v>318.28161933527434</v>
      </c>
      <c r="G70" s="190">
        <f t="shared" ca="1" si="21"/>
        <v>151.56023604622291</v>
      </c>
      <c r="H70" s="191">
        <f t="shared" ca="1" si="22"/>
        <v>43162.038719064556</v>
      </c>
      <c r="I70" s="124" t="str">
        <f ca="1">naks(P[[#This Row],[Moon]])</f>
        <v>Uttara Phalguni</v>
      </c>
      <c r="J70" s="127">
        <f ca="1">(C71-P[[#This Row],[SunRise]])/(G71-P[[#This Row],[Moon]])*(13.3333333333333-MOD(P[[#This Row],[Moon]],13.333333333333))+P[[#This Row],[SunRise]]</f>
        <v>43162.874262005331</v>
      </c>
      <c r="K70" s="124" t="str">
        <f ca="1">IF(P[[#This Row],[Tithi]]&gt;15,"K","S")&amp;ROUNDUP(MOD(P[[#This Row],[Tithi]],15),0)&amp;" ("&amp;ROUND(P[[#This Row],[Tithi]],2)&amp;")"</f>
        <v>K2 (16.11)</v>
      </c>
      <c r="L70" s="124">
        <f ca="1">IF(AND(P[[#This Row],[Tithi]]&lt;28.5,P[[#This Row],[Tithi]]&gt;0.49999),MOD((P[[#This Row],[Tithi]]-0.5)*2,7),MOD((P[[#This Row],[Tithi]]+30-28.5),30)*2+7)</f>
        <v>3.2132000000000005</v>
      </c>
      <c r="M70" s="124" t="str">
        <f ca="1">CHOOSE(ROUNDUP(P[[#This Row],[Karana1]],0),"Bhava","Baalava","Kaulava","Taitula","Garija","Vanija","Vishti","Shakuni","Chatushapda","Naaga","Kimstugna")</f>
        <v>Taitula</v>
      </c>
      <c r="N7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(8.24)</v>
      </c>
      <c r="O70" s="124">
        <f ca="1">IF(AND(P[[#This Row],[Tithi]]&lt;28.5,P[[#This Row],[Tithi]]&gt;0.49999),MOD((P[[#This Row],[Tithi]]-0.5)*2,7),MOD((P[[#This Row],[Tithi]]+30-28.5),30)*2+7)</f>
        <v>3.2132000000000005</v>
      </c>
      <c r="P70" s="124">
        <f ca="1">ROUNDUP(MOD(360+P[[#This Row],[Moon]]-P[[#This Row],[Sun]],360)/12,4)</f>
        <v>16.1066</v>
      </c>
      <c r="Q70" s="124">
        <f t="shared" ca="1" si="23"/>
        <v>8.24</v>
      </c>
      <c r="R70" s="124" t="str">
        <f ca="1">SIGN(S71-P[[#This Row],[MARs]])*INT(P[[#This Row],[MARs]]/30+1)&amp;"Ma,"&amp;SIGN(T71-P[[#This Row],[Merc]])*INT(P[[#This Row],[Merc]]/30+1)&amp;"Me,"&amp;SIGN(U71-P[[#This Row],[Jup]])*INT(P[[#This Row],[Jup]]/30+1)&amp;"Ju,"&amp;SIGN(V71-P[[#This Row],[Venu]])*INT(P[[#This Row],[Venu]]/30+1)&amp;"Ve,"&amp;SIGN(W71-P[[#This Row],[Sat]])*INT(P[[#This Row],[Sat]]/30+1)&amp;"Sa,"&amp;INT(P[[#This Row],[Rah]]/30+1)&amp;"Ra"</f>
        <v>8Ma,11Me,7Ju,12Ve,9Sa,4Ra</v>
      </c>
      <c r="S70" s="124">
        <f ca="1">Planet(P[[#This Row],[GMT Sun Rise]],4)</f>
        <v>237.35094144303852</v>
      </c>
      <c r="T70" s="124">
        <f ca="1">Planet(P[[#This Row],[GMT Sun Rise]],2)</f>
        <v>329.96382335681409</v>
      </c>
      <c r="U70" s="124">
        <f ca="1">Planet(P[[#This Row],[GMT Sun Rise]],5)</f>
        <v>209.05566927428774</v>
      </c>
      <c r="V70" s="124">
        <f ca="1">Planet(P[[#This Row],[GMT Sun Rise]],3)</f>
        <v>330.97240717542292</v>
      </c>
      <c r="W70" s="124">
        <f ca="1">Planet(P[[#This Row],[GMT Sun Rise]],6)</f>
        <v>253.35342213521298</v>
      </c>
      <c r="X70" s="124">
        <f ca="1">Planet(P[[#This Row],[GMT Sun Rise]],10)</f>
        <v>109.55687150677471</v>
      </c>
      <c r="Y70" s="124">
        <f ca="1">SIGN(S71-P[[#This Row],[MARs]])</f>
        <v>1</v>
      </c>
    </row>
    <row r="71" spans="1:25" x14ac:dyDescent="0.2">
      <c r="A71" s="125">
        <f t="shared" ca="1" si="11"/>
        <v>43163</v>
      </c>
      <c r="B71" s="125">
        <f t="shared" ca="1" si="17"/>
        <v>43163.229166666664</v>
      </c>
      <c r="C71" s="127">
        <f t="shared" ca="1" si="18"/>
        <v>43163.267480578426</v>
      </c>
      <c r="D71" s="127">
        <f t="shared" ca="1" si="19"/>
        <v>43162.762218455828</v>
      </c>
      <c r="E71" s="189">
        <f ca="1">P[[#This Row],[SunRise]]-TimeZone/24</f>
        <v>43163.038313911762</v>
      </c>
      <c r="F71" s="190">
        <f t="shared" ca="1" si="20"/>
        <v>319.28351539992991</v>
      </c>
      <c r="G71" s="190">
        <f t="shared" ca="1" si="21"/>
        <v>165.47295809696587</v>
      </c>
      <c r="H71" s="191">
        <f t="shared" ca="1" si="22"/>
        <v>43163.038313911762</v>
      </c>
      <c r="I71" s="124" t="str">
        <f ca="1">naks(P[[#This Row],[Moon]])</f>
        <v>Hasta</v>
      </c>
      <c r="J71" s="127">
        <f ca="1">(C72-P[[#This Row],[SunRise]])/(G72-P[[#This Row],[Moon]])*(13.3333333333333-MOD(P[[#This Row],[Moon]],13.333333333333))+P[[#This Row],[SunRise]]</f>
        <v>43163.847814221779</v>
      </c>
      <c r="K71" s="124" t="str">
        <f ca="1">IF(P[[#This Row],[Tithi]]&gt;15,"K","S")&amp;ROUNDUP(MOD(P[[#This Row],[Tithi]],15),0)&amp;" ("&amp;ROUND(P[[#This Row],[Tithi]],2)&amp;")"</f>
        <v>K3 (17.18)</v>
      </c>
      <c r="L71" s="124">
        <f ca="1">IF(AND(P[[#This Row],[Tithi]]&lt;28.5,P[[#This Row],[Tithi]]&gt;0.49999),MOD((P[[#This Row],[Tithi]]-0.5)*2,7),MOD((P[[#This Row],[Tithi]]+30-28.5),30)*2+7)</f>
        <v>5.365000000000002</v>
      </c>
      <c r="M71" s="124" t="str">
        <f ca="1">CHOOSE(ROUNDUP(P[[#This Row],[Karana1]],0),"Bhava","Baalava","Kaulava","Taitula","Garija","Vanija","Vishti","Shakuni","Chatushapda","Naaga","Kimstugna")</f>
        <v>Vanija</v>
      </c>
      <c r="N7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(9.36)</v>
      </c>
      <c r="O71" s="124">
        <f ca="1">IF(AND(P[[#This Row],[Tithi]]&lt;28.5,P[[#This Row],[Tithi]]&gt;0.49999),MOD((P[[#This Row],[Tithi]]-0.5)*2,7),MOD((P[[#This Row],[Tithi]]+30-28.5),30)*2+7)</f>
        <v>5.365000000000002</v>
      </c>
      <c r="P71" s="124">
        <f ca="1">ROUNDUP(MOD(360+P[[#This Row],[Moon]]-P[[#This Row],[Sun]],360)/12,4)</f>
        <v>17.182500000000001</v>
      </c>
      <c r="Q71" s="124">
        <f t="shared" ca="1" si="23"/>
        <v>9.36</v>
      </c>
      <c r="R71" s="124" t="str">
        <f ca="1">SIGN(S72-P[[#This Row],[MARs]])*INT(P[[#This Row],[MARs]]/30+1)&amp;"Ma,"&amp;SIGN(T72-P[[#This Row],[Merc]])*INT(P[[#This Row],[Merc]]/30+1)&amp;"Me,"&amp;SIGN(U72-P[[#This Row],[Jup]])*INT(P[[#This Row],[Jup]]/30+1)&amp;"Ju,"&amp;SIGN(V72-P[[#This Row],[Venu]])*INT(P[[#This Row],[Venu]]/30+1)&amp;"Ve,"&amp;SIGN(W72-P[[#This Row],[Sat]])*INT(P[[#This Row],[Sat]]/30+1)&amp;"Sa,"&amp;INT(P[[#This Row],[Rah]]/30+1)&amp;"Ra"</f>
        <v>8Ma,12Me,7Ju,12Ve,9Sa,4Ra</v>
      </c>
      <c r="S71" s="124">
        <f ca="1">Planet(P[[#This Row],[GMT Sun Rise]],4)</f>
        <v>237.94094605877058</v>
      </c>
      <c r="T71" s="124">
        <f ca="1">Planet(P[[#This Row],[GMT Sun Rise]],2)</f>
        <v>331.80645187671496</v>
      </c>
      <c r="U71" s="124">
        <f ca="1">Planet(P[[#This Row],[GMT Sun Rise]],5)</f>
        <v>209.07332793956513</v>
      </c>
      <c r="V71" s="124">
        <f ca="1">Planet(P[[#This Row],[GMT Sun Rise]],3)</f>
        <v>332.21771034147793</v>
      </c>
      <c r="W71" s="124">
        <f ca="1">Planet(P[[#This Row],[GMT Sun Rise]],6)</f>
        <v>253.42321678504732</v>
      </c>
      <c r="X71" s="124">
        <f ca="1">Planet(P[[#This Row],[GMT Sun Rise]],10)</f>
        <v>109.50390097887995</v>
      </c>
      <c r="Y71" s="124">
        <f ca="1">SIGN(S72-P[[#This Row],[MARs]])</f>
        <v>1</v>
      </c>
    </row>
    <row r="72" spans="1:25" x14ac:dyDescent="0.2">
      <c r="A72" s="125">
        <f t="shared" ca="1" si="11"/>
        <v>43164</v>
      </c>
      <c r="B72" s="125">
        <f t="shared" ca="1" si="17"/>
        <v>43164.229166666664</v>
      </c>
      <c r="C72" s="127">
        <f t="shared" ca="1" si="18"/>
        <v>43164.267069704052</v>
      </c>
      <c r="D72" s="127">
        <f t="shared" ca="1" si="19"/>
        <v>43163.762325584932</v>
      </c>
      <c r="E72" s="189">
        <f ca="1">P[[#This Row],[SunRise]]-TimeZone/24</f>
        <v>43164.037903037388</v>
      </c>
      <c r="F72" s="190">
        <f t="shared" ca="1" si="20"/>
        <v>320.28494089978312</v>
      </c>
      <c r="G72" s="190">
        <f t="shared" ca="1" si="21"/>
        <v>179.01197259243909</v>
      </c>
      <c r="H72" s="191">
        <f t="shared" ca="1" si="22"/>
        <v>43164.037903037388</v>
      </c>
      <c r="I72" s="124" t="str">
        <f ca="1">naks(P[[#This Row],[Moon]])</f>
        <v>Chitra</v>
      </c>
      <c r="J72" s="127">
        <f ca="1">(C73-P[[#This Row],[SunRise]])/(G73-P[[#This Row],[Moon]])*(13.3333333333333-MOD(P[[#This Row],[Moon]],13.333333333333))+P[[#This Row],[SunRise]]</f>
        <v>43164.849151166207</v>
      </c>
      <c r="K72" s="124" t="str">
        <f ca="1">IF(P[[#This Row],[Tithi]]&gt;15,"K","S")&amp;ROUNDUP(MOD(P[[#This Row],[Tithi]],15),0)&amp;" ("&amp;ROUND(P[[#This Row],[Tithi]],2)&amp;")"</f>
        <v>K4 (18.23)</v>
      </c>
      <c r="L72" s="124">
        <f ca="1">IF(AND(P[[#This Row],[Tithi]]&lt;28.5,P[[#This Row],[Tithi]]&gt;0.49999),MOD((P[[#This Row],[Tithi]]-0.5)*2,7),MOD((P[[#This Row],[Tithi]]+30-28.5),30)*2+7)</f>
        <v>0.45459999999999923</v>
      </c>
      <c r="M72" s="124" t="str">
        <f ca="1">CHOOSE(ROUNDUP(P[[#This Row],[Karana1]],0),"Bhava","Baalava","Kaulava","Taitula","Garija","Vanija","Vishti","Shakuni","Chatushapda","Naaga","Kimstugna")</f>
        <v>Bhava</v>
      </c>
      <c r="N7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(10.45)</v>
      </c>
      <c r="O72" s="124">
        <f ca="1">IF(AND(P[[#This Row],[Tithi]]&lt;28.5,P[[#This Row],[Tithi]]&gt;0.49999),MOD((P[[#This Row],[Tithi]]-0.5)*2,7),MOD((P[[#This Row],[Tithi]]+30-28.5),30)*2+7)</f>
        <v>0.45459999999999923</v>
      </c>
      <c r="P72" s="124">
        <f ca="1">ROUNDUP(MOD(360+P[[#This Row],[Moon]]-P[[#This Row],[Sun]],360)/12,4)</f>
        <v>18.2273</v>
      </c>
      <c r="Q72" s="124">
        <f t="shared" ca="1" si="23"/>
        <v>10.45</v>
      </c>
      <c r="R72" s="124" t="str">
        <f ca="1">SIGN(S73-P[[#This Row],[MARs]])*INT(P[[#This Row],[MARs]]/30+1)&amp;"Ma,"&amp;SIGN(T73-P[[#This Row],[Merc]])*INT(P[[#This Row],[Merc]]/30+1)&amp;"Me,"&amp;SIGN(U73-P[[#This Row],[Jup]])*INT(P[[#This Row],[Jup]]/30+1)&amp;"Ju,"&amp;SIGN(V73-P[[#This Row],[Venu]])*INT(P[[#This Row],[Venu]]/30+1)&amp;"Ve,"&amp;SIGN(W73-P[[#This Row],[Sat]])*INT(P[[#This Row],[Sat]]/30+1)&amp;"Sa,"&amp;INT(P[[#This Row],[Rah]]/30+1)&amp;"Ra"</f>
        <v>8Ma,12Me,7Ju,12Ve,9Sa,4Ra</v>
      </c>
      <c r="S72" s="124">
        <f ca="1">Planet(P[[#This Row],[GMT Sun Rise]],4)</f>
        <v>238.52999790697251</v>
      </c>
      <c r="T72" s="124">
        <f ca="1">Planet(P[[#This Row],[GMT Sun Rise]],2)</f>
        <v>333.62221754335314</v>
      </c>
      <c r="U72" s="124">
        <f ca="1">Planet(P[[#This Row],[GMT Sun Rise]],5)</f>
        <v>209.08788196066453</v>
      </c>
      <c r="V72" s="124">
        <f ca="1">Planet(P[[#This Row],[GMT Sun Rise]],3)</f>
        <v>333.46261580679635</v>
      </c>
      <c r="W72" s="124">
        <f ca="1">Planet(P[[#This Row],[GMT Sun Rise]],6)</f>
        <v>253.49171633709744</v>
      </c>
      <c r="X72" s="124">
        <f ca="1">Planet(P[[#This Row],[GMT Sun Rise]],10)</f>
        <v>109.4509307541969</v>
      </c>
      <c r="Y72" s="124">
        <f ca="1">SIGN(S73-P[[#This Row],[MARs]])</f>
        <v>1</v>
      </c>
    </row>
    <row r="73" spans="1:25" x14ac:dyDescent="0.2">
      <c r="A73" s="125">
        <f t="shared" ca="1" si="11"/>
        <v>43165</v>
      </c>
      <c r="B73" s="125">
        <f t="shared" ca="1" si="17"/>
        <v>43165.229166666664</v>
      </c>
      <c r="C73" s="127">
        <f t="shared" ca="1" si="18"/>
        <v>43165.266653265957</v>
      </c>
      <c r="D73" s="127">
        <f t="shared" ca="1" si="19"/>
        <v>43164.762428581758</v>
      </c>
      <c r="E73" s="189">
        <f ca="1">P[[#This Row],[SunRise]]-TimeZone/24</f>
        <v>43165.037486599293</v>
      </c>
      <c r="F73" s="190">
        <f t="shared" ca="1" si="20"/>
        <v>321.28590529950651</v>
      </c>
      <c r="G73" s="190">
        <f t="shared" ca="1" si="21"/>
        <v>192.15705084254111</v>
      </c>
      <c r="H73" s="191">
        <f t="shared" ca="1" si="22"/>
        <v>43165.037486599293</v>
      </c>
      <c r="I73" s="124" t="str">
        <f ca="1">naks(P[[#This Row],[Moon]])</f>
        <v>Swati</v>
      </c>
      <c r="J73" s="127">
        <f ca="1">(C74-P[[#This Row],[SunRise]])/(G74-P[[#This Row],[Moon]])*(13.3333333333333-MOD(P[[#This Row],[Moon]],13.333333333333))+P[[#This Row],[SunRise]]</f>
        <v>43165.88084308181</v>
      </c>
      <c r="K73" s="124" t="str">
        <f ca="1">IF(P[[#This Row],[Tithi]]&gt;15,"K","S")&amp;ROUNDUP(MOD(P[[#This Row],[Tithi]],15),0)&amp;" ("&amp;ROUND(P[[#This Row],[Tithi]],2)&amp;")"</f>
        <v>K5 (19.24)</v>
      </c>
      <c r="L73" s="124">
        <f ca="1">IF(AND(P[[#This Row],[Tithi]]&lt;28.5,P[[#This Row],[Tithi]]&gt;0.49999),MOD((P[[#This Row],[Tithi]]-0.5)*2,7),MOD((P[[#This Row],[Tithi]]+30-28.5),30)*2+7)</f>
        <v>2.4786000000000001</v>
      </c>
      <c r="M73" s="124" t="str">
        <f ca="1">CHOOSE(ROUNDUP(P[[#This Row],[Karana1]],0),"Bhava","Baalava","Kaulava","Taitula","Garija","Vanija","Vishti","Shakuni","Chatushapda","Naaga","Kimstugna")</f>
        <v>Kaulava</v>
      </c>
      <c r="N7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(11.51)</v>
      </c>
      <c r="O73" s="124">
        <f ca="1">IF(AND(P[[#This Row],[Tithi]]&lt;28.5,P[[#This Row],[Tithi]]&gt;0.49999),MOD((P[[#This Row],[Tithi]]-0.5)*2,7),MOD((P[[#This Row],[Tithi]]+30-28.5),30)*2+7)</f>
        <v>2.4786000000000001</v>
      </c>
      <c r="P73" s="124">
        <f ca="1">ROUNDUP(MOD(360+P[[#This Row],[Moon]]-P[[#This Row],[Sun]],360)/12,4)</f>
        <v>19.2393</v>
      </c>
      <c r="Q73" s="124">
        <f t="shared" ca="1" si="23"/>
        <v>11.51</v>
      </c>
      <c r="R73" s="124" t="str">
        <f ca="1">SIGN(S74-P[[#This Row],[MARs]])*INT(P[[#This Row],[MARs]]/30+1)&amp;"Ma,"&amp;SIGN(T74-P[[#This Row],[Merc]])*INT(P[[#This Row],[Merc]]/30+1)&amp;"Me,"&amp;SIGN(U74-P[[#This Row],[Jup]])*INT(P[[#This Row],[Jup]]/30+1)&amp;"Ju,"&amp;SIGN(V74-P[[#This Row],[Venu]])*INT(P[[#This Row],[Venu]]/30+1)&amp;"Ve,"&amp;SIGN(W74-P[[#This Row],[Sat]])*INT(P[[#This Row],[Sat]]/30+1)&amp;"Sa,"&amp;INT(P[[#This Row],[Rah]]/30+1)&amp;"Ra"</f>
        <v>8Ma,12Me,7Ju,12Ve,9Sa,4Ra</v>
      </c>
      <c r="S73" s="124">
        <f ca="1">Planet(P[[#This Row],[GMT Sun Rise]],4)</f>
        <v>239.11806800982328</v>
      </c>
      <c r="T73" s="124">
        <f ca="1">Planet(P[[#This Row],[GMT Sun Rise]],2)</f>
        <v>335.40406753160357</v>
      </c>
      <c r="U73" s="124">
        <f ca="1">Planet(P[[#This Row],[GMT Sun Rise]],5)</f>
        <v>209.09932094363754</v>
      </c>
      <c r="V73" s="124">
        <f ca="1">Planet(P[[#This Row],[GMT Sun Rise]],3)</f>
        <v>334.70712613819722</v>
      </c>
      <c r="W73" s="124">
        <f ca="1">Planet(P[[#This Row],[GMT Sun Rise]],6)</f>
        <v>253.55890591202115</v>
      </c>
      <c r="X73" s="124">
        <f ca="1">Planet(P[[#This Row],[GMT Sun Rise]],10)</f>
        <v>109.39796082432504</v>
      </c>
      <c r="Y73" s="124">
        <f ca="1">SIGN(S74-P[[#This Row],[MARs]])</f>
        <v>1</v>
      </c>
    </row>
    <row r="74" spans="1:25" x14ac:dyDescent="0.2">
      <c r="A74" s="125">
        <f t="shared" ca="1" si="11"/>
        <v>43166</v>
      </c>
      <c r="B74" s="125">
        <f t="shared" ca="1" si="17"/>
        <v>43166.229166666664</v>
      </c>
      <c r="C74" s="127">
        <f t="shared" ca="1" si="18"/>
        <v>43166.266231424328</v>
      </c>
      <c r="D74" s="127">
        <f t="shared" ca="1" si="19"/>
        <v>43165.76252728705</v>
      </c>
      <c r="E74" s="189">
        <f ca="1">P[[#This Row],[SunRise]]-TimeZone/24</f>
        <v>43166.037064757664</v>
      </c>
      <c r="F74" s="190">
        <f t="shared" ca="1" si="20"/>
        <v>322.286414732514</v>
      </c>
      <c r="G74" s="190">
        <f t="shared" ca="1" si="21"/>
        <v>204.92124925913453</v>
      </c>
      <c r="H74" s="191">
        <f t="shared" ca="1" si="22"/>
        <v>43166.037064757664</v>
      </c>
      <c r="I74" s="124" t="str">
        <f ca="1">naks(P[[#This Row],[Moon]])</f>
        <v>Visakha</v>
      </c>
      <c r="J74" s="127">
        <f ca="1">(C75-P[[#This Row],[SunRise]])/(G75-P[[#This Row],[Moon]])*(13.3333333333333-MOD(P[[#This Row],[Moon]],13.333333333333))+P[[#This Row],[SunRise]]</f>
        <v>43166.942985322363</v>
      </c>
      <c r="K74" s="124" t="str">
        <f ca="1">IF(P[[#This Row],[Tithi]]&gt;15,"K","S")&amp;ROUNDUP(MOD(P[[#This Row],[Tithi]],15),0)&amp;" ("&amp;ROUND(P[[#This Row],[Tithi]],2)&amp;")"</f>
        <v>K6 (20.22)</v>
      </c>
      <c r="L74" s="124">
        <f ca="1">IF(AND(P[[#This Row],[Tithi]]&lt;28.5,P[[#This Row],[Tithi]]&gt;0.49999),MOD((P[[#This Row],[Tithi]]-0.5)*2,7),MOD((P[[#This Row],[Tithi]]+30-28.5),30)*2+7)</f>
        <v>4.4391999999999996</v>
      </c>
      <c r="M74" s="124" t="str">
        <f ca="1">CHOOSE(ROUNDUP(P[[#This Row],[Karana1]],0),"Bhava","Baalava","Kaulava","Taitula","Garija","Vanija","Vishti","Shakuni","Chatushapda","Naaga","Kimstugna")</f>
        <v>Garija</v>
      </c>
      <c r="N7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(12.55)</v>
      </c>
      <c r="O74" s="124">
        <f ca="1">IF(AND(P[[#This Row],[Tithi]]&lt;28.5,P[[#This Row],[Tithi]]&gt;0.49999),MOD((P[[#This Row],[Tithi]]-0.5)*2,7),MOD((P[[#This Row],[Tithi]]+30-28.5),30)*2+7)</f>
        <v>4.4391999999999996</v>
      </c>
      <c r="P74" s="124">
        <f ca="1">ROUNDUP(MOD(360+P[[#This Row],[Moon]]-P[[#This Row],[Sun]],360)/12,4)</f>
        <v>20.2196</v>
      </c>
      <c r="Q74" s="124">
        <f t="shared" ca="1" si="23"/>
        <v>12.549999999999999</v>
      </c>
      <c r="R74" s="124" t="str">
        <f ca="1">SIGN(S75-P[[#This Row],[MARs]])*INT(P[[#This Row],[MARs]]/30+1)&amp;"Ma,"&amp;SIGN(T75-P[[#This Row],[Merc]])*INT(P[[#This Row],[Merc]]/30+1)&amp;"Me,"&amp;SIGN(U75-P[[#This Row],[Jup]])*INT(P[[#This Row],[Jup]]/30+1)&amp;"Ju,"&amp;SIGN(V75-P[[#This Row],[Venu]])*INT(P[[#This Row],[Venu]]/30+1)&amp;"Ve,"&amp;SIGN(W75-P[[#This Row],[Sat]])*INT(P[[#This Row],[Sat]]/30+1)&amp;"Sa,"&amp;INT(P[[#This Row],[Rah]]/30+1)&amp;"Ra"</f>
        <v>8Ma,12Me,7Ju,12Ve,9Sa,4Ra</v>
      </c>
      <c r="S74" s="124">
        <f ca="1">Planet(P[[#This Row],[GMT Sun Rise]],4)</f>
        <v>239.70512472973462</v>
      </c>
      <c r="T74" s="124">
        <f ca="1">Planet(P[[#This Row],[GMT Sun Rise]],2)</f>
        <v>337.14435301129629</v>
      </c>
      <c r="U74" s="124">
        <f ca="1">Planet(P[[#This Row],[GMT Sun Rise]],5)</f>
        <v>209.10763547579148</v>
      </c>
      <c r="V74" s="124">
        <f ca="1">Planet(P[[#This Row],[GMT Sun Rise]],3)</f>
        <v>335.95124227372798</v>
      </c>
      <c r="W74" s="124">
        <f ca="1">Planet(P[[#This Row],[GMT Sun Rise]],6)</f>
        <v>253.62477043504552</v>
      </c>
      <c r="X74" s="124">
        <f ca="1">Planet(P[[#This Row],[GMT Sun Rise]],10)</f>
        <v>109.34499118083092</v>
      </c>
      <c r="Y74" s="124">
        <f ca="1">SIGN(S75-P[[#This Row],[MARs]])</f>
        <v>1</v>
      </c>
    </row>
    <row r="75" spans="1:25" x14ac:dyDescent="0.2">
      <c r="A75" s="125">
        <f t="shared" ref="A75:A138" ca="1" si="24">A74+1</f>
        <v>43167</v>
      </c>
      <c r="B75" s="125">
        <f t="shared" ca="1" si="17"/>
        <v>43167.229166666664</v>
      </c>
      <c r="C75" s="127">
        <f t="shared" ca="1" si="18"/>
        <v>43167.265804655071</v>
      </c>
      <c r="D75" s="127">
        <f t="shared" ca="1" si="19"/>
        <v>43166.762622177645</v>
      </c>
      <c r="E75" s="189">
        <f ca="1">P[[#This Row],[SunRise]]-TimeZone/24</f>
        <v>43167.036637988407</v>
      </c>
      <c r="F75" s="190">
        <f t="shared" ca="1" si="20"/>
        <v>323.28647249433487</v>
      </c>
      <c r="G75" s="190">
        <f t="shared" ca="1" si="21"/>
        <v>217.34599343825349</v>
      </c>
      <c r="H75" s="191">
        <f t="shared" ca="1" si="22"/>
        <v>43167.036637988407</v>
      </c>
      <c r="I75" s="124" t="str">
        <f ca="1">naks(P[[#This Row],[Moon]])</f>
        <v>Anuradha</v>
      </c>
      <c r="J75" s="127">
        <f ca="1">(C76-P[[#This Row],[SunRise]])/(G76-P[[#This Row],[Moon]])*(13.3333333333333-MOD(P[[#This Row],[Moon]],13.333333333333))+P[[#This Row],[SunRise]]</f>
        <v>43168.032725957164</v>
      </c>
      <c r="K75" s="124" t="str">
        <f ca="1">IF(P[[#This Row],[Tithi]]&gt;15,"K","S")&amp;ROUNDUP(MOD(P[[#This Row],[Tithi]],15),0)&amp;" ("&amp;ROUND(P[[#This Row],[Tithi]],2)&amp;")"</f>
        <v>K7 (21.17)</v>
      </c>
      <c r="L75" s="124">
        <f ca="1">IF(AND(P[[#This Row],[Tithi]]&lt;28.5,P[[#This Row],[Tithi]]&gt;0.49999),MOD((P[[#This Row],[Tithi]]-0.5)*2,7),MOD((P[[#This Row],[Tithi]]+30-28.5),30)*2+7)</f>
        <v>6.3434000000000026</v>
      </c>
      <c r="M75" s="124" t="str">
        <f ca="1">CHOOSE(ROUNDUP(P[[#This Row],[Karana1]],0),"Bhava","Baalava","Kaulava","Taitula","Garija","Vanija","Vishti","Shakuni","Chatushapda","Naaga","Kimstugna")</f>
        <v>Vishti</v>
      </c>
      <c r="N7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(13.55)</v>
      </c>
      <c r="O75" s="124">
        <f ca="1">IF(AND(P[[#This Row],[Tithi]]&lt;28.5,P[[#This Row],[Tithi]]&gt;0.49999),MOD((P[[#This Row],[Tithi]]-0.5)*2,7),MOD((P[[#This Row],[Tithi]]+30-28.5),30)*2+7)</f>
        <v>6.3434000000000026</v>
      </c>
      <c r="P75" s="124">
        <f ca="1">ROUNDUP(MOD(360+P[[#This Row],[Moon]]-P[[#This Row],[Sun]],360)/12,4)</f>
        <v>21.171700000000001</v>
      </c>
      <c r="Q75" s="124">
        <f t="shared" ca="1" si="23"/>
        <v>13.549999999999999</v>
      </c>
      <c r="R75" s="124" t="str">
        <f ca="1">SIGN(S76-P[[#This Row],[MARs]])*INT(P[[#This Row],[MARs]]/30+1)&amp;"Ma,"&amp;SIGN(T76-P[[#This Row],[Merc]])*INT(P[[#This Row],[Merc]]/30+1)&amp;"Me,"&amp;SIGN(U76-P[[#This Row],[Jup]])*INT(P[[#This Row],[Jup]]/30+1)&amp;"Ju,"&amp;SIGN(V76-P[[#This Row],[Venu]])*INT(P[[#This Row],[Venu]]/30+1)&amp;"Ve,"&amp;SIGN(W76-P[[#This Row],[Sat]])*INT(P[[#This Row],[Sat]]/30+1)&amp;"Sa,"&amp;INT(P[[#This Row],[Rah]]/30+1)&amp;"Ra"</f>
        <v>9Ma,12Me,7Ju,12Ve,9Sa,4Ra</v>
      </c>
      <c r="S75" s="124">
        <f ca="1">Planet(P[[#This Row],[GMT Sun Rise]],4)</f>
        <v>240.29113466445764</v>
      </c>
      <c r="T75" s="124">
        <f ca="1">Planet(P[[#This Row],[GMT Sun Rise]],2)</f>
        <v>338.83491476498085</v>
      </c>
      <c r="U75" s="124">
        <f ca="1">Planet(P[[#This Row],[GMT Sun Rise]],5)</f>
        <v>209.11281740022156</v>
      </c>
      <c r="V75" s="124">
        <f ca="1">Planet(P[[#This Row],[GMT Sun Rise]],3)</f>
        <v>337.19496390084896</v>
      </c>
      <c r="W75" s="124">
        <f ca="1">Planet(P[[#This Row],[GMT Sun Rise]],6)</f>
        <v>253.68929477215019</v>
      </c>
      <c r="X75" s="124">
        <f ca="1">Planet(P[[#This Row],[GMT Sun Rise]],10)</f>
        <v>109.29202179848032</v>
      </c>
      <c r="Y75" s="124">
        <f ca="1">SIGN(S76-P[[#This Row],[MARs]])</f>
        <v>1</v>
      </c>
    </row>
    <row r="76" spans="1:25" x14ac:dyDescent="0.2">
      <c r="A76" s="125">
        <f t="shared" ca="1" si="24"/>
        <v>43168</v>
      </c>
      <c r="B76" s="125">
        <f t="shared" ca="1" si="17"/>
        <v>43168.229166666664</v>
      </c>
      <c r="C76" s="127">
        <f t="shared" ca="1" si="18"/>
        <v>43168.265373276234</v>
      </c>
      <c r="D76" s="127">
        <f t="shared" ca="1" si="19"/>
        <v>43167.762713253542</v>
      </c>
      <c r="E76" s="189">
        <f ca="1">P[[#This Row],[SunRise]]-TimeZone/24</f>
        <v>43168.036206609569</v>
      </c>
      <c r="F76" s="190">
        <f t="shared" ca="1" si="20"/>
        <v>324.28607887404218</v>
      </c>
      <c r="G76" s="190">
        <f t="shared" ca="1" si="21"/>
        <v>229.49411406265466</v>
      </c>
      <c r="H76" s="191">
        <f t="shared" ca="1" si="22"/>
        <v>43168.036206609569</v>
      </c>
      <c r="I76" s="124" t="str">
        <f ca="1">naks(P[[#This Row],[Moon]])</f>
        <v>Jyestha</v>
      </c>
      <c r="J76" s="127">
        <f ca="1">(C77-P[[#This Row],[SunRise]])/(G77-P[[#This Row],[Moon]])*(13.3333333333333-MOD(P[[#This Row],[Moon]],13.333333333333))+P[[#This Row],[SunRise]]</f>
        <v>43169.144267009586</v>
      </c>
      <c r="K76" s="124" t="str">
        <f ca="1">IF(P[[#This Row],[Tithi]]&gt;15,"K","S")&amp;ROUNDUP(MOD(P[[#This Row],[Tithi]],15),0)&amp;" ("&amp;ROUND(P[[#This Row],[Tithi]],2)&amp;")"</f>
        <v>K8 (22.1)</v>
      </c>
      <c r="L76" s="124">
        <f ca="1">IF(AND(P[[#This Row],[Tithi]]&lt;28.5,P[[#This Row],[Tithi]]&gt;0.49999),MOD((P[[#This Row],[Tithi]]-0.5)*2,7),MOD((P[[#This Row],[Tithi]]+30-28.5),30)*2+7)</f>
        <v>1.2013999999999996</v>
      </c>
      <c r="M76" s="124" t="str">
        <f ca="1">CHOOSE(ROUNDUP(P[[#This Row],[Karana1]],0),"Bhava","Baalava","Kaulava","Taitula","Garija","Vanija","Vishti","Shakuni","Chatushapda","Naaga","Kimstugna")</f>
        <v>Baalava</v>
      </c>
      <c r="N7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(14.54)</v>
      </c>
      <c r="O76" s="124">
        <f ca="1">IF(AND(P[[#This Row],[Tithi]]&lt;28.5,P[[#This Row],[Tithi]]&gt;0.49999),MOD((P[[#This Row],[Tithi]]-0.5)*2,7),MOD((P[[#This Row],[Tithi]]+30-28.5),30)*2+7)</f>
        <v>1.2013999999999996</v>
      </c>
      <c r="P76" s="124">
        <f ca="1">ROUNDUP(MOD(360+P[[#This Row],[Moon]]-P[[#This Row],[Sun]],360)/12,4)</f>
        <v>22.1007</v>
      </c>
      <c r="Q76" s="124">
        <f t="shared" ca="1" si="23"/>
        <v>14.54</v>
      </c>
      <c r="R76" s="124" t="str">
        <f ca="1">SIGN(S77-P[[#This Row],[MARs]])*INT(P[[#This Row],[MARs]]/30+1)&amp;"Ma,"&amp;SIGN(T77-P[[#This Row],[Merc]])*INT(P[[#This Row],[Merc]]/30+1)&amp;"Me,"&amp;SIGN(U77-P[[#This Row],[Jup]])*INT(P[[#This Row],[Jup]]/30+1)&amp;"Ju,"&amp;SIGN(V77-P[[#This Row],[Venu]])*INT(P[[#This Row],[Venu]]/30+1)&amp;"Ve,"&amp;SIGN(W77-P[[#This Row],[Sat]])*INT(P[[#This Row],[Sat]]/30+1)&amp;"Sa,"&amp;INT(P[[#This Row],[Rah]]/30+1)&amp;"Ra"</f>
        <v>9Ma,12Me,-7Ju,12Ve,9Sa,4Ra</v>
      </c>
      <c r="S76" s="124">
        <f ca="1">Planet(P[[#This Row],[GMT Sun Rise]],4)</f>
        <v>240.87606290723977</v>
      </c>
      <c r="T76" s="124">
        <f ca="1">Planet(P[[#This Row],[GMT Sun Rise]],2)</f>
        <v>340.4671976470828</v>
      </c>
      <c r="U76" s="124">
        <f ca="1">Planet(P[[#This Row],[GMT Sun Rise]],5)</f>
        <v>209.11486001541749</v>
      </c>
      <c r="V76" s="124">
        <f ca="1">Planet(P[[#This Row],[GMT Sun Rise]],3)</f>
        <v>338.4382889582655</v>
      </c>
      <c r="W76" s="124">
        <f ca="1">Planet(P[[#This Row],[GMT Sun Rise]],6)</f>
        <v>253.75246379623317</v>
      </c>
      <c r="X76" s="124">
        <f ca="1">Planet(P[[#This Row],[GMT Sun Rise]],10)</f>
        <v>109.23905266037305</v>
      </c>
      <c r="Y76" s="124">
        <f ca="1">SIGN(S77-P[[#This Row],[MARs]])</f>
        <v>1</v>
      </c>
    </row>
    <row r="77" spans="1:25" x14ac:dyDescent="0.2">
      <c r="A77" s="125">
        <f t="shared" ca="1" si="24"/>
        <v>43169</v>
      </c>
      <c r="B77" s="125">
        <f t="shared" ca="1" si="17"/>
        <v>43169.229166666664</v>
      </c>
      <c r="C77" s="127">
        <f t="shared" ca="1" si="18"/>
        <v>43169.264937288281</v>
      </c>
      <c r="D77" s="127">
        <f t="shared" ca="1" si="19"/>
        <v>43168.762800832788</v>
      </c>
      <c r="E77" s="189">
        <f ca="1">P[[#This Row],[SunRise]]-TimeZone/24</f>
        <v>43169.035770621616</v>
      </c>
      <c r="F77" s="190">
        <f t="shared" ca="1" si="20"/>
        <v>325.28523131077725</v>
      </c>
      <c r="G77" s="190">
        <f t="shared" ca="1" si="21"/>
        <v>241.44243625352661</v>
      </c>
      <c r="H77" s="191">
        <f t="shared" ca="1" si="22"/>
        <v>43169.035770621616</v>
      </c>
      <c r="I77" s="124" t="str">
        <f ca="1">naks(P[[#This Row],[Moon]])</f>
        <v>Moola</v>
      </c>
      <c r="J77" s="127">
        <f ca="1">(C78-P[[#This Row],[SunRise]])/(G78-P[[#This Row],[Moon]])*(13.3333333333333-MOD(P[[#This Row],[Moon]],13.333333333333))+P[[#This Row],[SunRise]]</f>
        <v>43170.269434771588</v>
      </c>
      <c r="K77" s="124" t="str">
        <f ca="1">IF(P[[#This Row],[Tithi]]&gt;15,"K","S")&amp;ROUNDUP(MOD(P[[#This Row],[Tithi]],15),0)&amp;" ("&amp;ROUND(P[[#This Row],[Tithi]],2)&amp;")"</f>
        <v>K9 (23.01)</v>
      </c>
      <c r="L77" s="124">
        <f ca="1">IF(AND(P[[#This Row],[Tithi]]&lt;28.5,P[[#This Row],[Tithi]]&gt;0.49999),MOD((P[[#This Row],[Tithi]]-0.5)*2,7),MOD((P[[#This Row],[Tithi]]+30-28.5),30)*2+7)</f>
        <v>3.0264000000000024</v>
      </c>
      <c r="M77" s="124" t="str">
        <f ca="1">CHOOSE(ROUNDUP(P[[#This Row],[Karana1]],0),"Bhava","Baalava","Kaulava","Taitula","Garija","Vanija","Vishti","Shakuni","Chatushapda","Naaga","Kimstugna")</f>
        <v>Taitula</v>
      </c>
      <c r="N7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(15.51)</v>
      </c>
      <c r="O77" s="124">
        <f ca="1">IF(AND(P[[#This Row],[Tithi]]&lt;28.5,P[[#This Row],[Tithi]]&gt;0.49999),MOD((P[[#This Row],[Tithi]]-0.5)*2,7),MOD((P[[#This Row],[Tithi]]+30-28.5),30)*2+7)</f>
        <v>3.0264000000000024</v>
      </c>
      <c r="P77" s="124">
        <f ca="1">ROUNDUP(MOD(360+P[[#This Row],[Moon]]-P[[#This Row],[Sun]],360)/12,4)</f>
        <v>23.013200000000001</v>
      </c>
      <c r="Q77" s="124">
        <f t="shared" ca="1" si="23"/>
        <v>15.51</v>
      </c>
      <c r="R77" s="124" t="str">
        <f ca="1">SIGN(S78-P[[#This Row],[MARs]])*INT(P[[#This Row],[MARs]]/30+1)&amp;"Ma,"&amp;SIGN(T78-P[[#This Row],[Merc]])*INT(P[[#This Row],[Merc]]/30+1)&amp;"Me,"&amp;SIGN(U78-P[[#This Row],[Jup]])*INT(P[[#This Row],[Jup]]/30+1)&amp;"Ju,"&amp;SIGN(V78-P[[#This Row],[Venu]])*INT(P[[#This Row],[Venu]]/30+1)&amp;"Ve,"&amp;SIGN(W78-P[[#This Row],[Sat]])*INT(P[[#This Row],[Sat]]/30+1)&amp;"Sa,"&amp;INT(P[[#This Row],[Rah]]/30+1)&amp;"Ra"</f>
        <v>9Ma,12Me,-7Ju,12Ve,9Sa,4Ra</v>
      </c>
      <c r="S77" s="124">
        <f ca="1">Planet(P[[#This Row],[GMT Sun Rise]],4)</f>
        <v>241.45987333499315</v>
      </c>
      <c r="T77" s="124">
        <f ca="1">Planet(P[[#This Row],[GMT Sun Rise]],2)</f>
        <v>342.03239192574767</v>
      </c>
      <c r="U77" s="124">
        <f ca="1">Planet(P[[#This Row],[GMT Sun Rise]],5)</f>
        <v>209.1137582285094</v>
      </c>
      <c r="V77" s="124">
        <f ca="1">Planet(P[[#This Row],[GMT Sun Rise]],3)</f>
        <v>339.6812135567875</v>
      </c>
      <c r="W77" s="124">
        <f ca="1">Planet(P[[#This Row],[GMT Sun Rise]],6)</f>
        <v>253.81426245870458</v>
      </c>
      <c r="X77" s="124">
        <f ca="1">Planet(P[[#This Row],[GMT Sun Rise]],10)</f>
        <v>109.18608376650897</v>
      </c>
      <c r="Y77" s="124">
        <f ca="1">SIGN(S78-P[[#This Row],[MARs]])</f>
        <v>1</v>
      </c>
    </row>
    <row r="78" spans="1:25" x14ac:dyDescent="0.2">
      <c r="A78" s="125">
        <f t="shared" ca="1" si="24"/>
        <v>43170</v>
      </c>
      <c r="B78" s="125">
        <f t="shared" ca="1" si="17"/>
        <v>43170.229166666664</v>
      </c>
      <c r="C78" s="127">
        <f t="shared" ca="1" si="18"/>
        <v>43170.264497167584</v>
      </c>
      <c r="D78" s="127">
        <f t="shared" ca="1" si="19"/>
        <v>43169.762885074175</v>
      </c>
      <c r="E78" s="189">
        <f ca="1">P[[#This Row],[SunRise]]-TimeZone/24</f>
        <v>43170.035330500919</v>
      </c>
      <c r="F78" s="190">
        <f t="shared" ca="1" si="20"/>
        <v>326.28392548373745</v>
      </c>
      <c r="G78" s="190">
        <f t="shared" ca="1" si="21"/>
        <v>253.27488366866956</v>
      </c>
      <c r="H78" s="191">
        <f t="shared" ca="1" si="22"/>
        <v>43170.035330500919</v>
      </c>
      <c r="I78" s="124" t="str">
        <f ca="1">naks(P[[#This Row],[Moon]])</f>
        <v>Purva Asadha</v>
      </c>
      <c r="J78" s="127">
        <f ca="1">(C79-P[[#This Row],[SunRise]])/(G79-P[[#This Row],[Moon]])*(13.3333333333333-MOD(P[[#This Row],[Moon]],13.333333333333))+P[[#This Row],[SunRise]]</f>
        <v>43170.269447620747</v>
      </c>
      <c r="K78" s="124" t="str">
        <f ca="1">IF(P[[#This Row],[Tithi]]&gt;15,"K","S")&amp;ROUNDUP(MOD(P[[#This Row],[Tithi]],15),0)&amp;" ("&amp;ROUND(P[[#This Row],[Tithi]],2)&amp;")"</f>
        <v>K9 (23.92)</v>
      </c>
      <c r="L78" s="124">
        <f ca="1">IF(AND(P[[#This Row],[Tithi]]&lt;28.5,P[[#This Row],[Tithi]]&gt;0.49999),MOD((P[[#This Row],[Tithi]]-0.5)*2,7),MOD((P[[#This Row],[Tithi]]+30-28.5),30)*2+7)</f>
        <v>4.8320000000000007</v>
      </c>
      <c r="M78" s="124" t="str">
        <f ca="1">CHOOSE(ROUNDUP(P[[#This Row],[Karana1]],0),"Bhava","Baalava","Kaulava","Taitula","Garija","Vanija","Vishti","Shakuni","Chatushapda","Naaga","Kimstugna")</f>
        <v>Garija</v>
      </c>
      <c r="N7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(16.47)</v>
      </c>
      <c r="O78" s="124">
        <f ca="1">IF(AND(P[[#This Row],[Tithi]]&lt;28.5,P[[#This Row],[Tithi]]&gt;0.49999),MOD((P[[#This Row],[Tithi]]-0.5)*2,7),MOD((P[[#This Row],[Tithi]]+30-28.5),30)*2+7)</f>
        <v>4.8320000000000007</v>
      </c>
      <c r="P78" s="124">
        <f ca="1">ROUNDUP(MOD(360+P[[#This Row],[Moon]]-P[[#This Row],[Sun]],360)/12,4)</f>
        <v>23.916</v>
      </c>
      <c r="Q78" s="124">
        <f t="shared" ca="1" si="23"/>
        <v>16.470000000000002</v>
      </c>
      <c r="R78" s="124" t="str">
        <f ca="1">SIGN(S79-P[[#This Row],[MARs]])*INT(P[[#This Row],[MARs]]/30+1)&amp;"Ma,"&amp;SIGN(T79-P[[#This Row],[Merc]])*INT(P[[#This Row],[Merc]]/30+1)&amp;"Me,"&amp;SIGN(U79-P[[#This Row],[Jup]])*INT(P[[#This Row],[Jup]]/30+1)&amp;"Ju,"&amp;SIGN(V79-P[[#This Row],[Venu]])*INT(P[[#This Row],[Venu]]/30+1)&amp;"Ve,"&amp;SIGN(W79-P[[#This Row],[Sat]])*INT(P[[#This Row],[Sat]]/30+1)&amp;"Sa,"&amp;INT(P[[#This Row],[Rah]]/30+1)&amp;"Ra"</f>
        <v>9Ma,12Me,-7Ju,12Ve,9Sa,4Ra</v>
      </c>
      <c r="S78" s="124">
        <f ca="1">Planet(P[[#This Row],[GMT Sun Rise]],4)</f>
        <v>242.04252933348388</v>
      </c>
      <c r="T78" s="124">
        <f ca="1">Planet(P[[#This Row],[GMT Sun Rise]],2)</f>
        <v>343.52159559632287</v>
      </c>
      <c r="U78" s="124">
        <f ca="1">Planet(P[[#This Row],[GMT Sun Rise]],5)</f>
        <v>209.10950866946425</v>
      </c>
      <c r="V78" s="124">
        <f ca="1">Planet(P[[#This Row],[GMT Sun Rise]],3)</f>
        <v>340.9237330966825</v>
      </c>
      <c r="W78" s="124">
        <f ca="1">Planet(P[[#This Row],[GMT Sun Rise]],6)</f>
        <v>253.87467589937694</v>
      </c>
      <c r="X78" s="124">
        <f ca="1">Planet(P[[#This Row],[GMT Sun Rise]],10)</f>
        <v>109.13311509167056</v>
      </c>
      <c r="Y78" s="124">
        <f ca="1">SIGN(S79-P[[#This Row],[MARs]])</f>
        <v>1</v>
      </c>
    </row>
    <row r="79" spans="1:25" x14ac:dyDescent="0.2">
      <c r="A79" s="125">
        <f t="shared" ca="1" si="24"/>
        <v>43171</v>
      </c>
      <c r="B79" s="125">
        <f t="shared" ca="1" si="17"/>
        <v>43171.229166666664</v>
      </c>
      <c r="C79" s="127">
        <f t="shared" ca="1" si="18"/>
        <v>43171.264053072933</v>
      </c>
      <c r="D79" s="127">
        <f t="shared" ca="1" si="19"/>
        <v>43170.762965977236</v>
      </c>
      <c r="E79" s="189">
        <f ca="1">P[[#This Row],[SunRise]]-TimeZone/24</f>
        <v>43171.034886406269</v>
      </c>
      <c r="F79" s="190">
        <f t="shared" ca="1" si="20"/>
        <v>327.28215477022184</v>
      </c>
      <c r="G79" s="190">
        <f t="shared" ca="1" si="21"/>
        <v>265.07657243284251</v>
      </c>
      <c r="H79" s="191">
        <f t="shared" ca="1" si="22"/>
        <v>43171.034886406269</v>
      </c>
      <c r="I79" s="124" t="str">
        <f ca="1">naks(P[[#This Row],[Moon]])</f>
        <v>Purva Asadha</v>
      </c>
      <c r="J79" s="127">
        <f ca="1">(C80-P[[#This Row],[SunRise]])/(G80-P[[#This Row],[Moon]])*(13.3333333333333-MOD(P[[#This Row],[Moon]],13.333333333333))+P[[#This Row],[SunRise]]</f>
        <v>43171.398150788504</v>
      </c>
      <c r="K79" s="124" t="str">
        <f ca="1">IF(P[[#This Row],[Tithi]]&gt;15,"K","S")&amp;ROUNDUP(MOD(P[[#This Row],[Tithi]],15),0)&amp;" ("&amp;ROUND(P[[#This Row],[Tithi]],2)&amp;")"</f>
        <v>K10 (24.82)</v>
      </c>
      <c r="L79" s="124">
        <f ca="1">IF(AND(P[[#This Row],[Tithi]]&lt;28.5,P[[#This Row],[Tithi]]&gt;0.49999),MOD((P[[#This Row],[Tithi]]-0.5)*2,7),MOD((P[[#This Row],[Tithi]]+30-28.5),30)*2+7)</f>
        <v>6.6325999999999965</v>
      </c>
      <c r="M79" s="124" t="str">
        <f ca="1">CHOOSE(ROUNDUP(P[[#This Row],[Karana1]],0),"Bhava","Baalava","Kaulava","Taitula","Garija","Vanija","Vishti","Shakuni","Chatushapda","Naaga","Kimstugna")</f>
        <v>Vishti</v>
      </c>
      <c r="N7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(17.43)</v>
      </c>
      <c r="O79" s="124">
        <f ca="1">IF(AND(P[[#This Row],[Tithi]]&lt;28.5,P[[#This Row],[Tithi]]&gt;0.49999),MOD((P[[#This Row],[Tithi]]-0.5)*2,7),MOD((P[[#This Row],[Tithi]]+30-28.5),30)*2+7)</f>
        <v>6.6325999999999965</v>
      </c>
      <c r="P79" s="124">
        <f ca="1">ROUNDUP(MOD(360+P[[#This Row],[Moon]]-P[[#This Row],[Sun]],360)/12,4)</f>
        <v>24.816299999999998</v>
      </c>
      <c r="Q79" s="124">
        <f t="shared" ca="1" si="23"/>
        <v>17.430000000000003</v>
      </c>
      <c r="R79" s="124" t="str">
        <f ca="1">SIGN(S80-P[[#This Row],[MARs]])*INT(P[[#This Row],[MARs]]/30+1)&amp;"Ma,"&amp;SIGN(T80-P[[#This Row],[Merc]])*INT(P[[#This Row],[Merc]]/30+1)&amp;"Me,"&amp;SIGN(U80-P[[#This Row],[Jup]])*INT(P[[#This Row],[Jup]]/30+1)&amp;"Ju,"&amp;SIGN(V80-P[[#This Row],[Venu]])*INT(P[[#This Row],[Venu]]/30+1)&amp;"Ve,"&amp;SIGN(W80-P[[#This Row],[Sat]])*INT(P[[#This Row],[Sat]]/30+1)&amp;"Sa,"&amp;INT(P[[#This Row],[Rah]]/30+1)&amp;"Ra"</f>
        <v>9Ma,12Me,-7Ju,12Ve,9Sa,4Ra</v>
      </c>
      <c r="S79" s="124">
        <f ca="1">Planet(P[[#This Row],[GMT Sun Rise]],4)</f>
        <v>242.62399349375985</v>
      </c>
      <c r="T79" s="124">
        <f ca="1">Planet(P[[#This Row],[GMT Sun Rise]],2)</f>
        <v>344.9259849197702</v>
      </c>
      <c r="U79" s="124">
        <f ca="1">Planet(P[[#This Row],[GMT Sun Rise]],5)</f>
        <v>209.10210977726169</v>
      </c>
      <c r="V79" s="124">
        <f ca="1">Planet(P[[#This Row],[GMT Sun Rise]],3)</f>
        <v>342.16584140004608</v>
      </c>
      <c r="W79" s="124">
        <f ca="1">Planet(P[[#This Row],[GMT Sun Rise]],6)</f>
        <v>253.93368944695561</v>
      </c>
      <c r="X79" s="124">
        <f ca="1">Planet(P[[#This Row],[GMT Sun Rise]],10)</f>
        <v>109.08014662740769</v>
      </c>
      <c r="Y79" s="124">
        <f ca="1">SIGN(S80-P[[#This Row],[MARs]])</f>
        <v>1</v>
      </c>
    </row>
    <row r="80" spans="1:25" x14ac:dyDescent="0.2">
      <c r="A80" s="125">
        <f t="shared" ca="1" si="24"/>
        <v>43172</v>
      </c>
      <c r="B80" s="125">
        <f t="shared" ca="1" si="17"/>
        <v>43172.229166666664</v>
      </c>
      <c r="C80" s="127">
        <f t="shared" ca="1" si="18"/>
        <v>43172.263605482098</v>
      </c>
      <c r="D80" s="127">
        <f t="shared" ca="1" si="19"/>
        <v>43171.763044019739</v>
      </c>
      <c r="E80" s="189">
        <f ca="1">P[[#This Row],[SunRise]]-TimeZone/24</f>
        <v>43172.034438815434</v>
      </c>
      <c r="F80" s="190">
        <f t="shared" ca="1" si="20"/>
        <v>328.27991105264874</v>
      </c>
      <c r="G80" s="190">
        <f t="shared" ca="1" si="21"/>
        <v>276.92899300121934</v>
      </c>
      <c r="H80" s="191">
        <f t="shared" ca="1" si="22"/>
        <v>43172.034438815434</v>
      </c>
      <c r="I80" s="124" t="str">
        <f ca="1">naks(P[[#This Row],[Moon]])</f>
        <v>Uttara Asadha</v>
      </c>
      <c r="J80" s="127">
        <f ca="1">(C81-P[[#This Row],[SunRise]])/(G81-P[[#This Row],[Moon]])*(13.3333333333333-MOD(P[[#This Row],[Moon]],13.333333333333))+P[[#This Row],[SunRise]]</f>
        <v>43172.519900769432</v>
      </c>
      <c r="K80" s="124" t="str">
        <f ca="1">IF(P[[#This Row],[Tithi]]&gt;15,"K","S")&amp;ROUNDUP(MOD(P[[#This Row],[Tithi]],15),0)&amp;" ("&amp;ROUND(P[[#This Row],[Tithi]],2)&amp;")"</f>
        <v>K11 (25.72)</v>
      </c>
      <c r="L80" s="124">
        <f ca="1">IF(AND(P[[#This Row],[Tithi]]&lt;28.5,P[[#This Row],[Tithi]]&gt;0.49999),MOD((P[[#This Row],[Tithi]]-0.5)*2,7),MOD((P[[#This Row],[Tithi]]+30-28.5),30)*2+7)</f>
        <v>1.4416000000000011</v>
      </c>
      <c r="M80" s="124" t="str">
        <f ca="1">CHOOSE(ROUNDUP(P[[#This Row],[Karana1]],0),"Bhava","Baalava","Kaulava","Taitula","Garija","Vanija","Vishti","Shakuni","Chatushapda","Naaga","Kimstugna")</f>
        <v>Baalava</v>
      </c>
      <c r="N8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(18.4)</v>
      </c>
      <c r="O80" s="124">
        <f ca="1">IF(AND(P[[#This Row],[Tithi]]&lt;28.5,P[[#This Row],[Tithi]]&gt;0.49999),MOD((P[[#This Row],[Tithi]]-0.5)*2,7),MOD((P[[#This Row],[Tithi]]+30-28.5),30)*2+7)</f>
        <v>1.4416000000000011</v>
      </c>
      <c r="P80" s="124">
        <f ca="1">ROUNDUP(MOD(360+P[[#This Row],[Moon]]-P[[#This Row],[Sun]],360)/12,4)</f>
        <v>25.720800000000001</v>
      </c>
      <c r="Q80" s="124">
        <f t="shared" ca="1" si="23"/>
        <v>18.400000000000002</v>
      </c>
      <c r="R80" s="124" t="str">
        <f ca="1">SIGN(S81-P[[#This Row],[MARs]])*INT(P[[#This Row],[MARs]]/30+1)&amp;"Ma,"&amp;SIGN(T81-P[[#This Row],[Merc]])*INT(P[[#This Row],[Merc]]/30+1)&amp;"Me,"&amp;SIGN(U81-P[[#This Row],[Jup]])*INT(P[[#This Row],[Jup]]/30+1)&amp;"Ju,"&amp;SIGN(V81-P[[#This Row],[Venu]])*INT(P[[#This Row],[Venu]]/30+1)&amp;"Ve,"&amp;SIGN(W81-P[[#This Row],[Sat]])*INT(P[[#This Row],[Sat]]/30+1)&amp;"Sa,"&amp;INT(P[[#This Row],[Rah]]/30+1)&amp;"Ra"</f>
        <v>9Ma,12Me,-7Ju,12Ve,9Sa,4Ra</v>
      </c>
      <c r="S80" s="124">
        <f ca="1">Planet(P[[#This Row],[GMT Sun Rise]],4)</f>
        <v>243.20422807352992</v>
      </c>
      <c r="T80" s="124">
        <f ca="1">Planet(P[[#This Row],[GMT Sun Rise]],2)</f>
        <v>346.23698862980302</v>
      </c>
      <c r="U80" s="124">
        <f ca="1">Planet(P[[#This Row],[GMT Sun Rise]],5)</f>
        <v>209.09156186837447</v>
      </c>
      <c r="V80" s="124">
        <f ca="1">Planet(P[[#This Row],[GMT Sun Rise]],3)</f>
        <v>343.40753158607828</v>
      </c>
      <c r="W80" s="124">
        <f ca="1">Planet(P[[#This Row],[GMT Sun Rise]],6)</f>
        <v>253.9912886916118</v>
      </c>
      <c r="X80" s="124">
        <f ca="1">Planet(P[[#This Row],[GMT Sun Rise]],10)</f>
        <v>109.02717834841974</v>
      </c>
      <c r="Y80" s="124">
        <f ca="1">SIGN(S81-P[[#This Row],[MARs]])</f>
        <v>1</v>
      </c>
    </row>
    <row r="81" spans="1:25" x14ac:dyDescent="0.2">
      <c r="A81" s="125">
        <f t="shared" ca="1" si="24"/>
        <v>43173</v>
      </c>
      <c r="B81" s="125">
        <f t="shared" ca="1" si="17"/>
        <v>43173.229166666664</v>
      </c>
      <c r="C81" s="127">
        <f t="shared" ca="1" si="18"/>
        <v>43173.263154394146</v>
      </c>
      <c r="D81" s="127">
        <f t="shared" ca="1" si="19"/>
        <v>43172.763119041963</v>
      </c>
      <c r="E81" s="189">
        <f ca="1">P[[#This Row],[SunRise]]-TimeZone/24</f>
        <v>43173.033987727482</v>
      </c>
      <c r="F81" s="190">
        <f t="shared" ca="1" si="20"/>
        <v>329.27718397210742</v>
      </c>
      <c r="G81" s="190">
        <f t="shared" ca="1" si="21"/>
        <v>288.9058878418341</v>
      </c>
      <c r="H81" s="191">
        <f t="shared" ca="1" si="22"/>
        <v>43173.033987727482</v>
      </c>
      <c r="I81" s="124" t="str">
        <f ca="1">naks(P[[#This Row],[Moon]])</f>
        <v>Sravana</v>
      </c>
      <c r="J81" s="127">
        <f ca="1">(C82-P[[#This Row],[SunRise]])/(G82-P[[#This Row],[Moon]])*(13.3333333333333-MOD(P[[#This Row],[Moon]],13.333333333333))+P[[#This Row],[SunRise]]</f>
        <v>43173.626981999711</v>
      </c>
      <c r="K81" s="124" t="str">
        <f ca="1">IF(P[[#This Row],[Tithi]]&gt;15,"K","S")&amp;ROUNDUP(MOD(P[[#This Row],[Tithi]],15),0)&amp;" ("&amp;ROUND(P[[#This Row],[Tithi]],2)&amp;")"</f>
        <v>K12 (26.64)</v>
      </c>
      <c r="L81" s="124">
        <f ca="1">IF(AND(P[[#This Row],[Tithi]]&lt;28.5,P[[#This Row],[Tithi]]&gt;0.49999),MOD((P[[#This Row],[Tithi]]-0.5)*2,7),MOD((P[[#This Row],[Tithi]]+30-28.5),30)*2+7)</f>
        <v>3.2715999999999994</v>
      </c>
      <c r="M81" s="124" t="str">
        <f ca="1">CHOOSE(ROUNDUP(P[[#This Row],[Karana1]],0),"Bhava","Baalava","Kaulava","Taitula","Garija","Vanija","Vishti","Shakuni","Chatushapda","Naaga","Kimstugna")</f>
        <v>Taitula</v>
      </c>
      <c r="N8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(19.37)</v>
      </c>
      <c r="O81" s="124">
        <f ca="1">IF(AND(P[[#This Row],[Tithi]]&lt;28.5,P[[#This Row],[Tithi]]&gt;0.49999),MOD((P[[#This Row],[Tithi]]-0.5)*2,7),MOD((P[[#This Row],[Tithi]]+30-28.5),30)*2+7)</f>
        <v>3.2715999999999994</v>
      </c>
      <c r="P81" s="124">
        <f ca="1">ROUNDUP(MOD(360+P[[#This Row],[Moon]]-P[[#This Row],[Sun]],360)/12,4)</f>
        <v>26.6358</v>
      </c>
      <c r="Q81" s="124">
        <f t="shared" ca="1" si="23"/>
        <v>19.37</v>
      </c>
      <c r="R81" s="124" t="str">
        <f ca="1">SIGN(S82-P[[#This Row],[MARs]])*INT(P[[#This Row],[MARs]]/30+1)&amp;"Ma,"&amp;SIGN(T82-P[[#This Row],[Merc]])*INT(P[[#This Row],[Merc]]/30+1)&amp;"Me,"&amp;SIGN(U82-P[[#This Row],[Jup]])*INT(P[[#This Row],[Jup]]/30+1)&amp;"Ju,"&amp;SIGN(V82-P[[#This Row],[Venu]])*INT(P[[#This Row],[Venu]]/30+1)&amp;"Ve,"&amp;SIGN(W82-P[[#This Row],[Sat]])*INT(P[[#This Row],[Sat]]/30+1)&amp;"Sa,"&amp;INT(P[[#This Row],[Rah]]/30+1)&amp;"Ra"</f>
        <v>9Ma,12Me,-7Ju,12Ve,9Sa,4Ra</v>
      </c>
      <c r="S81" s="124">
        <f ca="1">Planet(P[[#This Row],[GMT Sun Rise]],4)</f>
        <v>243.78319461084871</v>
      </c>
      <c r="T81" s="124">
        <f ca="1">Planet(P[[#This Row],[GMT Sun Rise]],2)</f>
        <v>347.44645323939858</v>
      </c>
      <c r="U81" s="124">
        <f ca="1">Planet(P[[#This Row],[GMT Sun Rise]],5)</f>
        <v>209.07786722269088</v>
      </c>
      <c r="V81" s="124">
        <f ca="1">Planet(P[[#This Row],[GMT Sun Rise]],3)</f>
        <v>344.64879509325351</v>
      </c>
      <c r="W81" s="124">
        <f ca="1">Planet(P[[#This Row],[GMT Sun Rise]],6)</f>
        <v>254.04745947154697</v>
      </c>
      <c r="X81" s="124">
        <f ca="1">Planet(P[[#This Row],[GMT Sun Rise]],10)</f>
        <v>108.97421025475639</v>
      </c>
      <c r="Y81" s="124">
        <f ca="1">SIGN(S82-P[[#This Row],[MARs]])</f>
        <v>1</v>
      </c>
    </row>
    <row r="82" spans="1:25" x14ac:dyDescent="0.2">
      <c r="A82" s="125">
        <f t="shared" ca="1" si="24"/>
        <v>43174</v>
      </c>
      <c r="B82" s="125">
        <f t="shared" ca="1" si="17"/>
        <v>43174.229166666664</v>
      </c>
      <c r="C82" s="127">
        <f t="shared" ca="1" si="18"/>
        <v>43174.262700285915</v>
      </c>
      <c r="D82" s="127">
        <f t="shared" ca="1" si="19"/>
        <v>43173.763191521211</v>
      </c>
      <c r="E82" s="189">
        <f ca="1">P[[#This Row],[SunRise]]-TimeZone/24</f>
        <v>43174.033533619251</v>
      </c>
      <c r="F82" s="190">
        <f t="shared" ca="1" si="20"/>
        <v>330.27396181311525</v>
      </c>
      <c r="G82" s="190">
        <f t="shared" ca="1" si="21"/>
        <v>301.06943696347849</v>
      </c>
      <c r="H82" s="191">
        <f t="shared" ca="1" si="22"/>
        <v>43174.033533619251</v>
      </c>
      <c r="I82" s="124" t="str">
        <f ca="1">naks(P[[#This Row],[Moon]])</f>
        <v>Dhanistha</v>
      </c>
      <c r="J82" s="127">
        <f ca="1">(C83-P[[#This Row],[SunRise]])/(G83-P[[#This Row],[Moon]])*(13.3333333333333-MOD(P[[#This Row],[Moon]],13.333333333333))+P[[#This Row],[SunRise]]</f>
        <v>43174.713983749367</v>
      </c>
      <c r="K82" s="124" t="str">
        <f ca="1">IF(P[[#This Row],[Tithi]]&gt;15,"K","S")&amp;ROUNDUP(MOD(P[[#This Row],[Tithi]],15),0)&amp;" ("&amp;ROUND(P[[#This Row],[Tithi]],2)&amp;")"</f>
        <v>K13 (27.57)</v>
      </c>
      <c r="L82" s="124">
        <f ca="1">IF(AND(P[[#This Row],[Tithi]]&lt;28.5,P[[#This Row],[Tithi]]&gt;0.49999),MOD((P[[#This Row],[Tithi]]-0.5)*2,7),MOD((P[[#This Row],[Tithi]]+30-28.5),30)*2+7)</f>
        <v>5.1325999999999965</v>
      </c>
      <c r="M82" s="124" t="str">
        <f ca="1">CHOOSE(ROUNDUP(P[[#This Row],[Karana1]],0),"Bhava","Baalava","Kaulava","Taitula","Garija","Vanija","Vishti","Shakuni","Chatushapda","Naaga","Kimstugna")</f>
        <v>Vanija</v>
      </c>
      <c r="N8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(20.36)</v>
      </c>
      <c r="O82" s="124">
        <f ca="1">IF(AND(P[[#This Row],[Tithi]]&lt;28.5,P[[#This Row],[Tithi]]&gt;0.49999),MOD((P[[#This Row],[Tithi]]-0.5)*2,7),MOD((P[[#This Row],[Tithi]]+30-28.5),30)*2+7)</f>
        <v>5.1325999999999965</v>
      </c>
      <c r="P82" s="124">
        <f ca="1">ROUNDUP(MOD(360+P[[#This Row],[Moon]]-P[[#This Row],[Sun]],360)/12,4)</f>
        <v>27.566299999999998</v>
      </c>
      <c r="Q82" s="124">
        <f t="shared" ca="1" si="23"/>
        <v>20.360000000000003</v>
      </c>
      <c r="R82" s="124" t="str">
        <f ca="1">SIGN(S83-P[[#This Row],[MARs]])*INT(P[[#This Row],[MARs]]/30+1)&amp;"Ma,"&amp;SIGN(T83-P[[#This Row],[Merc]])*INT(P[[#This Row],[Merc]]/30+1)&amp;"Me,"&amp;SIGN(U83-P[[#This Row],[Jup]])*INT(P[[#This Row],[Jup]]/30+1)&amp;"Ju,"&amp;SIGN(V83-P[[#This Row],[Venu]])*INT(P[[#This Row],[Venu]]/30+1)&amp;"Ve,"&amp;SIGN(W83-P[[#This Row],[Sat]])*INT(P[[#This Row],[Sat]]/30+1)&amp;"Sa,"&amp;INT(P[[#This Row],[Rah]]/30+1)&amp;"Ra"</f>
        <v>9Ma,12Me,-7Ju,12Ve,9Sa,4Ra</v>
      </c>
      <c r="S82" s="124">
        <f ca="1">Planet(P[[#This Row],[GMT Sun Rise]],4)</f>
        <v>244.36085463444823</v>
      </c>
      <c r="T82" s="124">
        <f ca="1">Planet(P[[#This Row],[GMT Sun Rise]],2)</f>
        <v>348.54679785072454</v>
      </c>
      <c r="U82" s="124">
        <f ca="1">Planet(P[[#This Row],[GMT Sun Rise]],5)</f>
        <v>209.06103017949229</v>
      </c>
      <c r="V82" s="124">
        <f ca="1">Planet(P[[#This Row],[GMT Sun Rise]],3)</f>
        <v>345.88962279200177</v>
      </c>
      <c r="W82" s="124">
        <f ca="1">Planet(P[[#This Row],[GMT Sun Rise]],6)</f>
        <v>254.10218796489755</v>
      </c>
      <c r="X82" s="124">
        <f ca="1">Planet(P[[#This Row],[GMT Sun Rise]],10)</f>
        <v>108.9212423211338</v>
      </c>
      <c r="Y82" s="124">
        <f ca="1">SIGN(S83-P[[#This Row],[MARs]])</f>
        <v>1</v>
      </c>
    </row>
    <row r="83" spans="1:25" x14ac:dyDescent="0.2">
      <c r="A83" s="125">
        <f t="shared" ca="1" si="24"/>
        <v>43175</v>
      </c>
      <c r="B83" s="125">
        <f t="shared" ca="1" si="17"/>
        <v>43175.229166666664</v>
      </c>
      <c r="C83" s="127">
        <f t="shared" ca="1" si="18"/>
        <v>43175.262243158337</v>
      </c>
      <c r="D83" s="127">
        <f t="shared" ca="1" si="19"/>
        <v>43174.763261457483</v>
      </c>
      <c r="E83" s="189">
        <f ca="1">P[[#This Row],[SunRise]]-TimeZone/24</f>
        <v>43175.033076491673</v>
      </c>
      <c r="F83" s="190">
        <f t="shared" ca="1" si="20"/>
        <v>331.27023043903586</v>
      </c>
      <c r="G83" s="190">
        <f t="shared" ca="1" si="21"/>
        <v>313.46668062130817</v>
      </c>
      <c r="H83" s="191">
        <f t="shared" ca="1" si="22"/>
        <v>43175.033076491673</v>
      </c>
      <c r="I83" s="124" t="str">
        <f ca="1">naks(P[[#This Row],[Moon]])</f>
        <v>Satabhisaj</v>
      </c>
      <c r="J83" s="127">
        <f ca="1">(C84-P[[#This Row],[SunRise]])/(G84-P[[#This Row],[Moon]])*(13.3333333333333-MOD(P[[#This Row],[Moon]],13.333333333333))+P[[#This Row],[SunRise]]</f>
        <v>43175.778064796774</v>
      </c>
      <c r="K83" s="124" t="str">
        <f ca="1">IF(P[[#This Row],[Tithi]]&gt;15,"K","S")&amp;ROUNDUP(MOD(P[[#This Row],[Tithi]],15),0)&amp;" ("&amp;ROUND(P[[#This Row],[Tithi]],2)&amp;")"</f>
        <v>K14 (28.52)</v>
      </c>
      <c r="L83" s="124">
        <f ca="1">IF(AND(P[[#This Row],[Tithi]]&lt;28.5,P[[#This Row],[Tithi]]&gt;0.49999),MOD((P[[#This Row],[Tithi]]-0.5)*2,7),MOD((P[[#This Row],[Tithi]]+30-28.5),30)*2+7)</f>
        <v>7.0328000000000088</v>
      </c>
      <c r="M83" s="124" t="str">
        <f ca="1">CHOOSE(ROUNDUP(P[[#This Row],[Karana1]],0),"Bhava","Baalava","Kaulava","Taitula","Garija","Vanija","Vishti","Shakuni","Chatushapda","Naaga","Kimstugna")</f>
        <v>Shakuni</v>
      </c>
      <c r="N8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(21.36)</v>
      </c>
      <c r="O83" s="124">
        <f ca="1">IF(AND(P[[#This Row],[Tithi]]&lt;28.5,P[[#This Row],[Tithi]]&gt;0.49999),MOD((P[[#This Row],[Tithi]]-0.5)*2,7),MOD((P[[#This Row],[Tithi]]+30-28.5),30)*2+7)</f>
        <v>7.0328000000000088</v>
      </c>
      <c r="P83" s="124">
        <f ca="1">ROUNDUP(MOD(360+P[[#This Row],[Moon]]-P[[#This Row],[Sun]],360)/12,4)</f>
        <v>28.516400000000001</v>
      </c>
      <c r="Q83" s="124">
        <f t="shared" ca="1" si="23"/>
        <v>21.360000000000003</v>
      </c>
      <c r="R83" s="124" t="str">
        <f ca="1">SIGN(S84-P[[#This Row],[MARs]])*INT(P[[#This Row],[MARs]]/30+1)&amp;"Ma,"&amp;SIGN(T84-P[[#This Row],[Merc]])*INT(P[[#This Row],[Merc]]/30+1)&amp;"Me,"&amp;SIGN(U84-P[[#This Row],[Jup]])*INT(P[[#This Row],[Jup]]/30+1)&amp;"Ju,"&amp;SIGN(V84-P[[#This Row],[Venu]])*INT(P[[#This Row],[Venu]]/30+1)&amp;"Ve,"&amp;SIGN(W84-P[[#This Row],[Sat]])*INT(P[[#This Row],[Sat]]/30+1)&amp;"Sa,"&amp;INT(P[[#This Row],[Rah]]/30+1)&amp;"Ra"</f>
        <v>9Ma,12Me,-7Ju,12Ve,9Sa,4Ra</v>
      </c>
      <c r="S83" s="124">
        <f ca="1">Planet(P[[#This Row],[GMT Sun Rise]],4)</f>
        <v>244.93716943664174</v>
      </c>
      <c r="T83" s="124">
        <f ca="1">Planet(P[[#This Row],[GMT Sun Rise]],2)</f>
        <v>349.53115108472593</v>
      </c>
      <c r="U83" s="124">
        <f ca="1">Planet(P[[#This Row],[GMT Sun Rise]],5)</f>
        <v>209.04105729538426</v>
      </c>
      <c r="V83" s="124">
        <f ca="1">Planet(P[[#This Row],[GMT Sun Rise]],3)</f>
        <v>347.13000366267215</v>
      </c>
      <c r="W83" s="124">
        <f ca="1">Planet(P[[#This Row],[GMT Sun Rise]],6)</f>
        <v>254.15546069450031</v>
      </c>
      <c r="X83" s="124">
        <f ca="1">Planet(P[[#This Row],[GMT Sun Rise]],10)</f>
        <v>108.86827454751868</v>
      </c>
      <c r="Y83" s="124">
        <f ca="1">SIGN(S84-P[[#This Row],[MARs]])</f>
        <v>1</v>
      </c>
    </row>
    <row r="84" spans="1:25" x14ac:dyDescent="0.2">
      <c r="A84" s="125">
        <f t="shared" ca="1" si="24"/>
        <v>43176</v>
      </c>
      <c r="B84" s="125">
        <f t="shared" ca="1" si="17"/>
        <v>43176.229166666664</v>
      </c>
      <c r="C84" s="127">
        <f t="shared" ca="1" si="18"/>
        <v>43176.261783487316</v>
      </c>
      <c r="D84" s="127">
        <f t="shared" ca="1" si="19"/>
        <v>43175.763329009569</v>
      </c>
      <c r="E84" s="189">
        <f ca="1">P[[#This Row],[SunRise]]-TimeZone/24</f>
        <v>43176.032616820652</v>
      </c>
      <c r="F84" s="190">
        <f t="shared" ca="1" si="20"/>
        <v>332.2659742224223</v>
      </c>
      <c r="G84" s="190">
        <f t="shared" ca="1" si="21"/>
        <v>326.12670826365314</v>
      </c>
      <c r="H84" s="191">
        <f t="shared" ca="1" si="22"/>
        <v>43176.032616820652</v>
      </c>
      <c r="I84" s="124" t="str">
        <f ca="1">naks(P[[#This Row],[Moon]])</f>
        <v>Purva Bhadrapada</v>
      </c>
      <c r="J84" s="127">
        <f ca="1">(C85-P[[#This Row],[SunRise]])/(G85-P[[#This Row],[Moon]])*(13.3333333333333-MOD(P[[#This Row],[Moon]],13.333333333333))+P[[#This Row],[SunRise]]</f>
        <v>43176.818772651619</v>
      </c>
      <c r="K84" s="124" t="str">
        <f ca="1">IF(P[[#This Row],[Tithi]]&gt;15,"K","S")&amp;ROUNDUP(MOD(P[[#This Row],[Tithi]],15),0)&amp;" ("&amp;ROUND(P[[#This Row],[Tithi]],2)&amp;")"</f>
        <v>K15 (29.49)</v>
      </c>
      <c r="L84" s="124">
        <f ca="1">IF(AND(P[[#This Row],[Tithi]]&lt;28.5,P[[#This Row],[Tithi]]&gt;0.49999),MOD((P[[#This Row],[Tithi]]-0.5)*2,7),MOD((P[[#This Row],[Tithi]]+30-28.5),30)*2+7)</f>
        <v>8.9767999999999972</v>
      </c>
      <c r="M84" s="124" t="str">
        <f ca="1">CHOOSE(ROUNDUP(P[[#This Row],[Karana1]],0),"Bhava","Baalava","Kaulava","Taitula","Garija","Vanija","Vishti","Shakuni","Chatushapda","Naaga","Kimstugna")</f>
        <v>Chatushapda</v>
      </c>
      <c r="N8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(22.38)</v>
      </c>
      <c r="O84" s="124">
        <f ca="1">IF(AND(P[[#This Row],[Tithi]]&lt;28.5,P[[#This Row],[Tithi]]&gt;0.49999),MOD((P[[#This Row],[Tithi]]-0.5)*2,7),MOD((P[[#This Row],[Tithi]]+30-28.5),30)*2+7)</f>
        <v>8.9767999999999972</v>
      </c>
      <c r="P84" s="124">
        <f ca="1">ROUNDUP(MOD(360+P[[#This Row],[Moon]]-P[[#This Row],[Sun]],360)/12,4)</f>
        <v>29.488399999999999</v>
      </c>
      <c r="Q84" s="124">
        <f t="shared" ca="1" si="23"/>
        <v>22.380000000000003</v>
      </c>
      <c r="R84" s="124" t="str">
        <f ca="1">SIGN(S85-P[[#This Row],[MARs]])*INT(P[[#This Row],[MARs]]/30+1)&amp;"Ma,"&amp;SIGN(T85-P[[#This Row],[Merc]])*INT(P[[#This Row],[Merc]]/30+1)&amp;"Me,"&amp;SIGN(U85-P[[#This Row],[Jup]])*INT(P[[#This Row],[Jup]]/30+1)&amp;"Ju,"&amp;SIGN(V85-P[[#This Row],[Venu]])*INT(P[[#This Row],[Venu]]/30+1)&amp;"Ve,"&amp;SIGN(W85-P[[#This Row],[Sat]])*INT(P[[#This Row],[Sat]]/30+1)&amp;"Sa,"&amp;INT(P[[#This Row],[Rah]]/30+1)&amp;"Ra"</f>
        <v>9Ma,12Me,-7Ju,12Ve,9Sa,4Ra</v>
      </c>
      <c r="S84" s="124">
        <f ca="1">Planet(P[[#This Row],[GMT Sun Rise]],4)</f>
        <v>245.51210115328161</v>
      </c>
      <c r="T84" s="124">
        <f ca="1">Planet(P[[#This Row],[GMT Sun Rise]],2)</f>
        <v>350.39347560901882</v>
      </c>
      <c r="U84" s="124">
        <f ca="1">Planet(P[[#This Row],[GMT Sun Rise]],5)</f>
        <v>209.01795750148182</v>
      </c>
      <c r="V84" s="124">
        <f ca="1">Planet(P[[#This Row],[GMT Sun Rise]],3)</f>
        <v>348.36992584804938</v>
      </c>
      <c r="W84" s="124">
        <f ca="1">Planet(P[[#This Row],[GMT Sun Rise]],6)</f>
        <v>254.20726466215234</v>
      </c>
      <c r="X84" s="124">
        <f ca="1">Planet(P[[#This Row],[GMT Sun Rise]],10)</f>
        <v>108.81530690871004</v>
      </c>
      <c r="Y84" s="124">
        <f ca="1">SIGN(S85-P[[#This Row],[MARs]])</f>
        <v>1</v>
      </c>
    </row>
    <row r="85" spans="1:25" x14ac:dyDescent="0.2">
      <c r="A85" s="125">
        <f t="shared" ca="1" si="24"/>
        <v>43177</v>
      </c>
      <c r="B85" s="125">
        <f t="shared" ca="1" si="17"/>
        <v>43177.229166666664</v>
      </c>
      <c r="C85" s="127">
        <f t="shared" ca="1" si="18"/>
        <v>43177.26132143211</v>
      </c>
      <c r="D85" s="127">
        <f t="shared" ca="1" si="19"/>
        <v>43176.76339433626</v>
      </c>
      <c r="E85" s="189">
        <f ca="1">P[[#This Row],[SunRise]]-TimeZone/24</f>
        <v>43177.032154765446</v>
      </c>
      <c r="F85" s="190">
        <f t="shared" ca="1" si="20"/>
        <v>333.26117547923019</v>
      </c>
      <c r="G85" s="190">
        <f t="shared" ca="1" si="21"/>
        <v>339.05926723011612</v>
      </c>
      <c r="H85" s="191">
        <f t="shared" ca="1" si="22"/>
        <v>43177.032154765446</v>
      </c>
      <c r="I85" s="124" t="str">
        <f ca="1">naks(P[[#This Row],[Moon]])</f>
        <v>Uttara Bhadrapada</v>
      </c>
      <c r="J85" s="127">
        <f ca="1">(C86-P[[#This Row],[SunRise]])/(G86-P[[#This Row],[Moon]])*(13.3333333333333-MOD(P[[#This Row],[Moon]],13.333333333333))+P[[#This Row],[SunRise]]</f>
        <v>43177.837540095919</v>
      </c>
      <c r="K85" s="124" t="str">
        <f ca="1">IF(P[[#This Row],[Tithi]]&gt;15,"K","S")&amp;ROUNDUP(MOD(P[[#This Row],[Tithi]],15),0)&amp;" ("&amp;ROUND(P[[#This Row],[Tithi]],2)&amp;")"</f>
        <v>S1 (0.48)</v>
      </c>
      <c r="L85" s="124">
        <f ca="1">IF(AND(P[[#This Row],[Tithi]]&lt;28.5,P[[#This Row],[Tithi]]&gt;0.49999),MOD((P[[#This Row],[Tithi]]-0.5)*2,7),MOD((P[[#This Row],[Tithi]]+30-28.5),30)*2+7)</f>
        <v>10.9664</v>
      </c>
      <c r="M85" s="124" t="str">
        <f ca="1">CHOOSE(ROUNDUP(P[[#This Row],[Karana1]],0),"Bhava","Baalava","Kaulava","Taitula","Garija","Vanija","Vishti","Shakuni","Chatushapda","Naaga","Kimstugna")</f>
        <v>Kimstugna</v>
      </c>
      <c r="N8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(23.43)</v>
      </c>
      <c r="O85" s="124">
        <f ca="1">IF(AND(P[[#This Row],[Tithi]]&lt;28.5,P[[#This Row],[Tithi]]&gt;0.49999),MOD((P[[#This Row],[Tithi]]-0.5)*2,7),MOD((P[[#This Row],[Tithi]]+30-28.5),30)*2+7)</f>
        <v>10.9664</v>
      </c>
      <c r="P85" s="124">
        <f ca="1">ROUNDUP(MOD(360+P[[#This Row],[Moon]]-P[[#This Row],[Sun]],360)/12,4)</f>
        <v>0.48319999999999996</v>
      </c>
      <c r="Q85" s="124">
        <f t="shared" ca="1" si="23"/>
        <v>23.430000000000003</v>
      </c>
      <c r="R85" s="124" t="str">
        <f ca="1">SIGN(S86-P[[#This Row],[MARs]])*INT(P[[#This Row],[MARs]]/30+1)&amp;"Ma,"&amp;SIGN(T86-P[[#This Row],[Merc]])*INT(P[[#This Row],[Merc]]/30+1)&amp;"Me,"&amp;SIGN(U86-P[[#This Row],[Jup]])*INT(P[[#This Row],[Jup]]/30+1)&amp;"Ju,"&amp;SIGN(V86-P[[#This Row],[Venu]])*INT(P[[#This Row],[Venu]]/30+1)&amp;"Ve,"&amp;SIGN(W86-P[[#This Row],[Sat]])*INT(P[[#This Row],[Sat]]/30+1)&amp;"Sa,"&amp;INT(P[[#This Row],[Rah]]/30+1)&amp;"Ra"</f>
        <v>9Ma,12Me,-7Ju,12Ve,9Sa,4Ra</v>
      </c>
      <c r="S85" s="124">
        <f ca="1">Planet(P[[#This Row],[GMT Sun Rise]],4)</f>
        <v>246.08561299397491</v>
      </c>
      <c r="T85" s="124">
        <f ca="1">Planet(P[[#This Row],[GMT Sun Rise]],2)</f>
        <v>351.1286801230583</v>
      </c>
      <c r="U85" s="124">
        <f ca="1">Planet(P[[#This Row],[GMT Sun Rise]],5)</f>
        <v>208.99174228015585</v>
      </c>
      <c r="V85" s="124">
        <f ca="1">Planet(P[[#This Row],[GMT Sun Rise]],3)</f>
        <v>349.60937564888178</v>
      </c>
      <c r="W85" s="124">
        <f ca="1">Planet(P[[#This Row],[GMT Sun Rise]],6)</f>
        <v>254.25758740924951</v>
      </c>
      <c r="X85" s="124">
        <f ca="1">Planet(P[[#This Row],[GMT Sun Rise]],10)</f>
        <v>108.76233939622449</v>
      </c>
      <c r="Y85" s="124">
        <f ca="1">SIGN(S86-P[[#This Row],[MARs]])</f>
        <v>1</v>
      </c>
    </row>
    <row r="86" spans="1:25" x14ac:dyDescent="0.2">
      <c r="A86" s="125">
        <f t="shared" ca="1" si="24"/>
        <v>43178</v>
      </c>
      <c r="B86" s="125">
        <f t="shared" ca="1" si="17"/>
        <v>43178.229166666664</v>
      </c>
      <c r="C86" s="127">
        <f t="shared" ca="1" si="18"/>
        <v>43178.260857151508</v>
      </c>
      <c r="D86" s="127">
        <f t="shared" ca="1" si="19"/>
        <v>43177.763457755602</v>
      </c>
      <c r="E86" s="189">
        <f ca="1">P[[#This Row],[SunRise]]-TimeZone/24</f>
        <v>43178.031690484844</v>
      </c>
      <c r="F86" s="190">
        <f t="shared" ca="1" si="20"/>
        <v>334.25581532355795</v>
      </c>
      <c r="G86" s="190">
        <f t="shared" ca="1" si="21"/>
        <v>352.25541644595501</v>
      </c>
      <c r="H86" s="191">
        <f t="shared" ca="1" si="22"/>
        <v>43178.031690484844</v>
      </c>
      <c r="I86" s="124" t="str">
        <f ca="1">naks(P[[#This Row],[Moon]])</f>
        <v>Revati</v>
      </c>
      <c r="J86" s="127">
        <f ca="1">(C87-P[[#This Row],[SunRise]])/(G87-P[[#This Row],[Moon]])*(13.3333333333333-MOD(P[[#This Row],[Moon]],13.333333333333))+P[[#This Row],[SunRise]]</f>
        <v>43178.238520859319</v>
      </c>
      <c r="K86" s="124" t="str">
        <f ca="1">IF(P[[#This Row],[Tithi]]&gt;15,"K","S")&amp;ROUNDUP(MOD(P[[#This Row],[Tithi]],15),0)&amp;" ("&amp;ROUND(P[[#This Row],[Tithi]],2)&amp;")"</f>
        <v>S2 (1.5)</v>
      </c>
      <c r="L86" s="124">
        <f ca="1">IF(AND(P[[#This Row],[Tithi]]&lt;28.5,P[[#This Row],[Tithi]]&gt;0.49999),MOD((P[[#This Row],[Tithi]]-0.5)*2,7),MOD((P[[#This Row],[Tithi]]+30-28.5),30)*2+7)</f>
        <v>2</v>
      </c>
      <c r="M86" s="124" t="str">
        <f ca="1">CHOOSE(ROUNDUP(P[[#This Row],[Karana1]],0),"Bhava","Baalava","Kaulava","Taitula","Garija","Vanija","Vishti","Shakuni","Chatushapda","Naaga","Kimstugna")</f>
        <v>Baalava</v>
      </c>
      <c r="N8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(24.49)</v>
      </c>
      <c r="O86" s="124">
        <f ca="1">IF(AND(P[[#This Row],[Tithi]]&lt;28.5,P[[#This Row],[Tithi]]&gt;0.49999),MOD((P[[#This Row],[Tithi]]-0.5)*2,7),MOD((P[[#This Row],[Tithi]]+30-28.5),30)*2+7)</f>
        <v>2</v>
      </c>
      <c r="P86" s="124">
        <f ca="1">ROUNDUP(MOD(360+P[[#This Row],[Moon]]-P[[#This Row],[Sun]],360)/12,4)</f>
        <v>1.5</v>
      </c>
      <c r="Q86" s="124">
        <f t="shared" ca="1" si="23"/>
        <v>24.490000000000002</v>
      </c>
      <c r="R86" s="124" t="str">
        <f ca="1">SIGN(S87-P[[#This Row],[MARs]])*INT(P[[#This Row],[MARs]]/30+1)&amp;"Ma,"&amp;SIGN(T87-P[[#This Row],[Merc]])*INT(P[[#This Row],[Merc]]/30+1)&amp;"Me,"&amp;SIGN(U87-P[[#This Row],[Jup]])*INT(P[[#This Row],[Jup]]/30+1)&amp;"Ju,"&amp;SIGN(V87-P[[#This Row],[Venu]])*INT(P[[#This Row],[Venu]]/30+1)&amp;"Ve,"&amp;SIGN(W87-P[[#This Row],[Sat]])*INT(P[[#This Row],[Sat]]/30+1)&amp;"Sa,"&amp;INT(P[[#This Row],[Rah]]/30+1)&amp;"Ra"</f>
        <v>9Ma,12Me,-7Ju,12Ve,9Sa,4Ra</v>
      </c>
      <c r="S86" s="124">
        <f ca="1">Planet(P[[#This Row],[GMT Sun Rise]],4)</f>
        <v>246.65767013737303</v>
      </c>
      <c r="T86" s="124">
        <f ca="1">Planet(P[[#This Row],[GMT Sun Rise]],2)</f>
        <v>351.73272769182807</v>
      </c>
      <c r="U86" s="124">
        <f ca="1">Planet(P[[#This Row],[GMT Sun Rise]],5)</f>
        <v>208.96242576789206</v>
      </c>
      <c r="V86" s="124">
        <f ca="1">Planet(P[[#This Row],[GMT Sun Rise]],3)</f>
        <v>350.84833807062068</v>
      </c>
      <c r="W86" s="124">
        <f ca="1">Planet(P[[#This Row],[GMT Sun Rise]],6)</f>
        <v>254.30641714686348</v>
      </c>
      <c r="X86" s="124">
        <f ca="1">Planet(P[[#This Row],[GMT Sun Rise]],10)</f>
        <v>108.7093720016783</v>
      </c>
      <c r="Y86" s="124">
        <f ca="1">SIGN(S87-P[[#This Row],[MARs]])</f>
        <v>1</v>
      </c>
    </row>
    <row r="87" spans="1:25" x14ac:dyDescent="0.2">
      <c r="A87" s="125">
        <f t="shared" ca="1" si="24"/>
        <v>43179</v>
      </c>
      <c r="B87" s="125">
        <f t="shared" ca="1" si="17"/>
        <v>43179.229166666664</v>
      </c>
      <c r="C87" s="127">
        <f t="shared" ca="1" si="18"/>
        <v>43179.260391122814</v>
      </c>
      <c r="D87" s="127">
        <f t="shared" ca="1" si="19"/>
        <v>43178.763519108339</v>
      </c>
      <c r="E87" s="189">
        <f ca="1">P[[#This Row],[SunRise]]-TimeZone/24</f>
        <v>43179.03122445615</v>
      </c>
      <c r="F87" s="190">
        <f t="shared" ca="1" si="20"/>
        <v>335.24987480329935</v>
      </c>
      <c r="G87" s="190">
        <f t="shared" ca="1" si="21"/>
        <v>5.6905394698492762</v>
      </c>
      <c r="H87" s="191">
        <f t="shared" ca="1" si="22"/>
        <v>43179.03122445615</v>
      </c>
      <c r="I87" s="124" t="str">
        <f ca="1">naks(P[[#This Row],[Moon]])</f>
        <v>Aswini</v>
      </c>
      <c r="J87" s="127">
        <f ca="1">(C88-P[[#This Row],[SunRise]])/(G88-P[[#This Row],[Moon]])*(13.3333333333333-MOD(P[[#This Row],[Moon]],13.333333333333))+P[[#This Row],[SunRise]]</f>
        <v>43179.820490983024</v>
      </c>
      <c r="K87" s="124" t="str">
        <f ca="1">IF(P[[#This Row],[Tithi]]&gt;15,"K","S")&amp;ROUNDUP(MOD(P[[#This Row],[Tithi]],15),0)&amp;" ("&amp;ROUND(P[[#This Row],[Tithi]],2)&amp;")"</f>
        <v>S3 (2.54)</v>
      </c>
      <c r="L87" s="124">
        <f ca="1">IF(AND(P[[#This Row],[Tithi]]&lt;28.5,P[[#This Row],[Tithi]]&gt;0.49999),MOD((P[[#This Row],[Tithi]]-0.5)*2,7),MOD((P[[#This Row],[Tithi]]+30-28.5),30)*2+7)</f>
        <v>4.0736000000000008</v>
      </c>
      <c r="M87" s="124" t="str">
        <f ca="1">CHOOSE(ROUNDUP(P[[#This Row],[Karana1]],0),"Bhava","Baalava","Kaulava","Taitula","Garija","Vanija","Vishti","Shakuni","Chatushapda","Naaga","Kimstugna")</f>
        <v>Garija</v>
      </c>
      <c r="N8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(25.58)</v>
      </c>
      <c r="O87" s="124">
        <f ca="1">IF(AND(P[[#This Row],[Tithi]]&lt;28.5,P[[#This Row],[Tithi]]&gt;0.49999),MOD((P[[#This Row],[Tithi]]-0.5)*2,7),MOD((P[[#This Row],[Tithi]]+30-28.5),30)*2+7)</f>
        <v>4.0736000000000008</v>
      </c>
      <c r="P87" s="124">
        <f ca="1">ROUNDUP(MOD(360+P[[#This Row],[Moon]]-P[[#This Row],[Sun]],360)/12,4)</f>
        <v>2.5368000000000004</v>
      </c>
      <c r="Q87" s="124">
        <f t="shared" ca="1" si="23"/>
        <v>25.580000000000002</v>
      </c>
      <c r="R87" s="124" t="str">
        <f ca="1">SIGN(S88-P[[#This Row],[MARs]])*INT(P[[#This Row],[MARs]]/30+1)&amp;"Ma,"&amp;SIGN(T88-P[[#This Row],[Merc]])*INT(P[[#This Row],[Merc]]/30+1)&amp;"Me,"&amp;SIGN(U88-P[[#This Row],[Jup]])*INT(P[[#This Row],[Jup]]/30+1)&amp;"Ju,"&amp;SIGN(V88-P[[#This Row],[Venu]])*INT(P[[#This Row],[Venu]]/30+1)&amp;"Ve,"&amp;SIGN(W88-P[[#This Row],[Sat]])*INT(P[[#This Row],[Sat]]/30+1)&amp;"Sa,"&amp;INT(P[[#This Row],[Rah]]/30+1)&amp;"Ra"</f>
        <v>9Ma,12Me,-7Ju,12Ve,9Sa,4Ra</v>
      </c>
      <c r="S87" s="124">
        <f ca="1">Planet(P[[#This Row],[GMT Sun Rise]],4)</f>
        <v>247.22824049264108</v>
      </c>
      <c r="T87" s="124">
        <f ca="1">Planet(P[[#This Row],[GMT Sun Rise]],2)</f>
        <v>352.2027451858786</v>
      </c>
      <c r="U87" s="124">
        <f ca="1">Planet(P[[#This Row],[GMT Sun Rise]],5)</f>
        <v>208.93002476468322</v>
      </c>
      <c r="V87" s="124">
        <f ca="1">Planet(P[[#This Row],[GMT Sun Rise]],3)</f>
        <v>352.08679755927147</v>
      </c>
      <c r="W87" s="124">
        <f ca="1">Planet(P[[#This Row],[GMT Sun Rise]],6)</f>
        <v>254.35374285986302</v>
      </c>
      <c r="X87" s="124">
        <f ca="1">Planet(P[[#This Row],[GMT Sun Rise]],10)</f>
        <v>108.65640469978744</v>
      </c>
      <c r="Y87" s="124">
        <f ca="1">SIGN(S88-P[[#This Row],[MARs]])</f>
        <v>1</v>
      </c>
    </row>
    <row r="88" spans="1:25" x14ac:dyDescent="0.2">
      <c r="A88" s="125">
        <f t="shared" ca="1" si="24"/>
        <v>43180</v>
      </c>
      <c r="B88" s="125">
        <f t="shared" ca="1" si="17"/>
        <v>43180.229166666664</v>
      </c>
      <c r="C88" s="127">
        <f t="shared" ca="1" si="18"/>
        <v>43180.259923186306</v>
      </c>
      <c r="D88" s="127">
        <f t="shared" ca="1" si="19"/>
        <v>43179.763578712984</v>
      </c>
      <c r="E88" s="189">
        <f ca="1">P[[#This Row],[SunRise]]-TimeZone/24</f>
        <v>43180.030756519642</v>
      </c>
      <c r="F88" s="190">
        <f t="shared" ca="1" si="20"/>
        <v>336.24333492735354</v>
      </c>
      <c r="G88" s="190">
        <f t="shared" ca="1" si="21"/>
        <v>19.329567193140832</v>
      </c>
      <c r="H88" s="191">
        <f t="shared" ca="1" si="22"/>
        <v>43180.030756519642</v>
      </c>
      <c r="I88" s="124" t="str">
        <f ca="1">naks(P[[#This Row],[Moon]])</f>
        <v>Bharani</v>
      </c>
      <c r="J88" s="127">
        <f ca="1">(C89-P[[#This Row],[SunRise]])/(G89-P[[#This Row],[Moon]])*(13.3333333333333-MOD(P[[#This Row],[Moon]],13.333333333333))+P[[#This Row],[SunRise]]</f>
        <v>43180.791194240133</v>
      </c>
      <c r="K88" s="124" t="str">
        <f ca="1">IF(P[[#This Row],[Tithi]]&gt;15,"K","S")&amp;ROUNDUP(MOD(P[[#This Row],[Tithi]],15),0)&amp;" ("&amp;ROUND(P[[#This Row],[Tithi]],2)&amp;")"</f>
        <v>S4 (3.59)</v>
      </c>
      <c r="L88" s="124">
        <f ca="1">IF(AND(P[[#This Row],[Tithi]]&lt;28.5,P[[#This Row],[Tithi]]&gt;0.49999),MOD((P[[#This Row],[Tithi]]-0.5)*2,7),MOD((P[[#This Row],[Tithi]]+30-28.5),30)*2+7)</f>
        <v>6.1812000000000005</v>
      </c>
      <c r="M88" s="124" t="str">
        <f ca="1">CHOOSE(ROUNDUP(P[[#This Row],[Karana1]],0),"Bhava","Baalava","Kaulava","Taitula","Garija","Vanija","Vishti","Shakuni","Chatushapda","Naaga","Kimstugna")</f>
        <v>Vishti</v>
      </c>
      <c r="N8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(26.67)</v>
      </c>
      <c r="O88" s="124">
        <f ca="1">IF(AND(P[[#This Row],[Tithi]]&lt;28.5,P[[#This Row],[Tithi]]&gt;0.49999),MOD((P[[#This Row],[Tithi]]-0.5)*2,7),MOD((P[[#This Row],[Tithi]]+30-28.5),30)*2+7)</f>
        <v>6.1812000000000005</v>
      </c>
      <c r="P88" s="124">
        <f ca="1">ROUNDUP(MOD(360+P[[#This Row],[Moon]]-P[[#This Row],[Sun]],360)/12,4)</f>
        <v>3.5906000000000002</v>
      </c>
      <c r="Q88" s="124">
        <f t="shared" ca="1" si="23"/>
        <v>26.67</v>
      </c>
      <c r="R88" s="124" t="str">
        <f ca="1">SIGN(S89-P[[#This Row],[MARs]])*INT(P[[#This Row],[MARs]]/30+1)&amp;"Ma,"&amp;SIGN(T89-P[[#This Row],[Merc]])*INT(P[[#This Row],[Merc]]/30+1)&amp;"Me,"&amp;SIGN(U89-P[[#This Row],[Jup]])*INT(P[[#This Row],[Jup]]/30+1)&amp;"Ju,"&amp;SIGN(V89-P[[#This Row],[Venu]])*INT(P[[#This Row],[Venu]]/30+1)&amp;"Ve,"&amp;SIGN(W89-P[[#This Row],[Sat]])*INT(P[[#This Row],[Sat]]/30+1)&amp;"Sa,"&amp;INT(P[[#This Row],[Rah]]/30+1)&amp;"Ra"</f>
        <v>9Ma,12Me,-7Ju,12Ve,9Sa,4Ra</v>
      </c>
      <c r="S88" s="124">
        <f ca="1">Planet(P[[#This Row],[GMT Sun Rise]],4)</f>
        <v>247.79729448800575</v>
      </c>
      <c r="T88" s="124">
        <f ca="1">Planet(P[[#This Row],[GMT Sun Rise]],2)</f>
        <v>352.537138372713</v>
      </c>
      <c r="U88" s="124">
        <f ca="1">Planet(P[[#This Row],[GMT Sun Rise]],5)</f>
        <v>208.89455868450682</v>
      </c>
      <c r="V88" s="124">
        <f ca="1">Planet(P[[#This Row],[GMT Sun Rise]],3)</f>
        <v>353.32473730077368</v>
      </c>
      <c r="W88" s="124">
        <f ca="1">Planet(P[[#This Row],[GMT Sun Rise]],6)</f>
        <v>254.39955432225997</v>
      </c>
      <c r="X88" s="124">
        <f ca="1">Planet(P[[#This Row],[GMT Sun Rise]],10)</f>
        <v>108.60343749896894</v>
      </c>
      <c r="Y88" s="124">
        <f ca="1">SIGN(S89-P[[#This Row],[MARs]])</f>
        <v>1</v>
      </c>
    </row>
    <row r="89" spans="1:25" x14ac:dyDescent="0.2">
      <c r="A89" s="125">
        <f t="shared" ca="1" si="24"/>
        <v>43181</v>
      </c>
      <c r="B89" s="125">
        <f t="shared" ca="1" si="17"/>
        <v>43181.229166666664</v>
      </c>
      <c r="C89" s="127">
        <f t="shared" ca="1" si="18"/>
        <v>43181.259453978542</v>
      </c>
      <c r="D89" s="127">
        <f t="shared" ca="1" si="19"/>
        <v>43180.763636728327</v>
      </c>
      <c r="E89" s="189">
        <f ca="1">P[[#This Row],[SunRise]]-TimeZone/24</f>
        <v>43181.030287311878</v>
      </c>
      <c r="F89" s="190">
        <f t="shared" ca="1" si="20"/>
        <v>337.23617907781085</v>
      </c>
      <c r="G89" s="190">
        <f t="shared" ca="1" si="21"/>
        <v>33.133550671419286</v>
      </c>
      <c r="H89" s="191">
        <f t="shared" ca="1" si="22"/>
        <v>43181.030287311878</v>
      </c>
      <c r="I89" s="124" t="str">
        <f ca="1">naks(P[[#This Row],[Moon]])</f>
        <v>Krittika</v>
      </c>
      <c r="J89" s="127">
        <f ca="1">(C90-P[[#This Row],[SunRise]])/(G90-P[[#This Row],[Moon]])*(13.3333333333333-MOD(P[[#This Row],[Moon]],13.333333333333))+P[[#This Row],[SunRise]]</f>
        <v>43181.752068106543</v>
      </c>
      <c r="K89" s="124" t="str">
        <f ca="1">IF(P[[#This Row],[Tithi]]&gt;15,"K","S")&amp;ROUNDUP(MOD(P[[#This Row],[Tithi]],15),0)&amp;" ("&amp;ROUND(P[[#This Row],[Tithi]],2)&amp;")"</f>
        <v>S5 (4.66)</v>
      </c>
      <c r="L89" s="124">
        <f ca="1">IF(AND(P[[#This Row],[Tithi]]&lt;28.5,P[[#This Row],[Tithi]]&gt;0.49999),MOD((P[[#This Row],[Tithi]]-0.5)*2,7),MOD((P[[#This Row],[Tithi]]+30-28.5),30)*2+7)</f>
        <v>1.3163999999999998</v>
      </c>
      <c r="M89" s="124" t="str">
        <f ca="1">CHOOSE(ROUNDUP(P[[#This Row],[Karana1]],0),"Bhava","Baalava","Kaulava","Taitula","Garija","Vanija","Vishti","Shakuni","Chatushapda","Naaga","Kimstugna")</f>
        <v>Baalava</v>
      </c>
      <c r="N8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(0.78)</v>
      </c>
      <c r="O89" s="124">
        <f ca="1">IF(AND(P[[#This Row],[Tithi]]&lt;28.5,P[[#This Row],[Tithi]]&gt;0.49999),MOD((P[[#This Row],[Tithi]]-0.5)*2,7),MOD((P[[#This Row],[Tithi]]+30-28.5),30)*2+7)</f>
        <v>1.3163999999999998</v>
      </c>
      <c r="P89" s="124">
        <f ca="1">ROUNDUP(MOD(360+P[[#This Row],[Moon]]-P[[#This Row],[Sun]],360)/12,4)</f>
        <v>4.6581999999999999</v>
      </c>
      <c r="Q89" s="124">
        <f t="shared" ca="1" si="23"/>
        <v>0.78</v>
      </c>
      <c r="R89" s="124" t="str">
        <f ca="1">SIGN(S90-P[[#This Row],[MARs]])*INT(P[[#This Row],[MARs]]/30+1)&amp;"Ma,"&amp;SIGN(T90-P[[#This Row],[Merc]])*INT(P[[#This Row],[Merc]]/30+1)&amp;"Me,"&amp;SIGN(U90-P[[#This Row],[Jup]])*INT(P[[#This Row],[Jup]]/30+1)&amp;"Ju,"&amp;SIGN(V90-P[[#This Row],[Venu]])*INT(P[[#This Row],[Venu]]/30+1)&amp;"Ve,"&amp;SIGN(W90-P[[#This Row],[Sat]])*INT(P[[#This Row],[Sat]]/30+1)&amp;"Sa,"&amp;INT(P[[#This Row],[Rah]]/30+1)&amp;"Ra"</f>
        <v>9Ma,12Me,-7Ju,12Ve,9Sa,4Ra</v>
      </c>
      <c r="S89" s="124">
        <f ca="1">Planet(P[[#This Row],[GMT Sun Rise]],4)</f>
        <v>248.36480594349351</v>
      </c>
      <c r="T89" s="124">
        <f ca="1">Planet(P[[#This Row],[GMT Sun Rise]],2)</f>
        <v>352.73571645602044</v>
      </c>
      <c r="U89" s="124">
        <f ca="1">Planet(P[[#This Row],[GMT Sun Rise]],5)</f>
        <v>208.85604934935452</v>
      </c>
      <c r="V89" s="124">
        <f ca="1">Planet(P[[#This Row],[GMT Sun Rise]],3)</f>
        <v>354.56214153672914</v>
      </c>
      <c r="W89" s="124">
        <f ca="1">Planet(P[[#This Row],[GMT Sun Rise]],6)</f>
        <v>254.44384218531732</v>
      </c>
      <c r="X89" s="124">
        <f ca="1">Planet(P[[#This Row],[GMT Sun Rise]],10)</f>
        <v>108.55047036553837</v>
      </c>
      <c r="Y89" s="124">
        <f ca="1">SIGN(S90-P[[#This Row],[MARs]])</f>
        <v>1</v>
      </c>
    </row>
    <row r="90" spans="1:25" x14ac:dyDescent="0.2">
      <c r="A90" s="125">
        <f t="shared" ca="1" si="24"/>
        <v>43182</v>
      </c>
      <c r="B90" s="125">
        <f t="shared" ca="1" si="17"/>
        <v>43182.229166666664</v>
      </c>
      <c r="C90" s="127">
        <f t="shared" ca="1" si="18"/>
        <v>43182.258983499523</v>
      </c>
      <c r="D90" s="127">
        <f t="shared" ca="1" si="19"/>
        <v>43181.763693153902</v>
      </c>
      <c r="E90" s="189">
        <f ca="1">P[[#This Row],[SunRise]]-TimeZone/24</f>
        <v>43182.029816832859</v>
      </c>
      <c r="F90" s="190">
        <f t="shared" ca="1" si="20"/>
        <v>338.22839250971538</v>
      </c>
      <c r="G90" s="190">
        <f t="shared" ca="1" si="21"/>
        <v>47.065791786869148</v>
      </c>
      <c r="H90" s="191">
        <f t="shared" ca="1" si="22"/>
        <v>43182.029816832859</v>
      </c>
      <c r="I90" s="124" t="str">
        <f ca="1">naks(P[[#This Row],[Moon]])</f>
        <v>Rohini</v>
      </c>
      <c r="J90" s="127">
        <f ca="1">(C91-P[[#This Row],[SunRise]])/(G91-P[[#This Row],[Moon]])*(13.3333333333333-MOD(P[[#This Row],[Moon]],13.333333333333))+P[[#This Row],[SunRise]]</f>
        <v>43182.705500595286</v>
      </c>
      <c r="K90" s="124" t="str">
        <f ca="1">IF(P[[#This Row],[Tithi]]&gt;15,"K","S")&amp;ROUNDUP(MOD(P[[#This Row],[Tithi]],15),0)&amp;" ("&amp;ROUND(P[[#This Row],[Tithi]],2)&amp;")"</f>
        <v>S6 (5.74)</v>
      </c>
      <c r="L90" s="124">
        <f ca="1">IF(AND(P[[#This Row],[Tithi]]&lt;28.5,P[[#This Row],[Tithi]]&gt;0.49999),MOD((P[[#This Row],[Tithi]]-0.5)*2,7),MOD((P[[#This Row],[Tithi]]+30-28.5),30)*2+7)</f>
        <v>3.472999999999999</v>
      </c>
      <c r="M90" s="124" t="str">
        <f ca="1">CHOOSE(ROUNDUP(P[[#This Row],[Karana1]],0),"Bhava","Baalava","Kaulava","Taitula","Garija","Vanija","Vishti","Shakuni","Chatushapda","Naaga","Kimstugna")</f>
        <v>Taitula</v>
      </c>
      <c r="N9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(1.9)</v>
      </c>
      <c r="O90" s="124">
        <f ca="1">IF(AND(P[[#This Row],[Tithi]]&lt;28.5,P[[#This Row],[Tithi]]&gt;0.49999),MOD((P[[#This Row],[Tithi]]-0.5)*2,7),MOD((P[[#This Row],[Tithi]]+30-28.5),30)*2+7)</f>
        <v>3.472999999999999</v>
      </c>
      <c r="P90" s="124">
        <f ca="1">ROUNDUP(MOD(360+P[[#This Row],[Moon]]-P[[#This Row],[Sun]],360)/12,4)</f>
        <v>5.7364999999999995</v>
      </c>
      <c r="Q90" s="124">
        <f t="shared" ca="1" si="23"/>
        <v>1.9</v>
      </c>
      <c r="R90" s="124" t="str">
        <f ca="1">SIGN(S91-P[[#This Row],[MARs]])*INT(P[[#This Row],[MARs]]/30+1)&amp;"Ma,"&amp;SIGN(T91-P[[#This Row],[Merc]])*INT(P[[#This Row],[Merc]]/30+1)&amp;"Me,"&amp;SIGN(U91-P[[#This Row],[Jup]])*INT(P[[#This Row],[Jup]]/30+1)&amp;"Ju,"&amp;SIGN(V91-P[[#This Row],[Venu]])*INT(P[[#This Row],[Venu]]/30+1)&amp;"Ve,"&amp;SIGN(W91-P[[#This Row],[Sat]])*INT(P[[#This Row],[Sat]]/30+1)&amp;"Sa,"&amp;INT(P[[#This Row],[Rah]]/30+1)&amp;"Ra"</f>
        <v>9Ma,-12Me,-7Ju,12Ve,9Sa,4Ra</v>
      </c>
      <c r="S90" s="124">
        <f ca="1">Planet(P[[#This Row],[GMT Sun Rise]],4)</f>
        <v>248.93075106959924</v>
      </c>
      <c r="T90" s="124">
        <f ca="1">Planet(P[[#This Row],[GMT Sun Rise]],2)</f>
        <v>352.79982200708389</v>
      </c>
      <c r="U90" s="124">
        <f ca="1">Planet(P[[#This Row],[GMT Sun Rise]],5)</f>
        <v>208.81452082062648</v>
      </c>
      <c r="V90" s="124">
        <f ca="1">Planet(P[[#This Row],[GMT Sun Rise]],3)</f>
        <v>355.79899434587747</v>
      </c>
      <c r="W90" s="124">
        <f ca="1">Planet(P[[#This Row],[GMT Sun Rise]],6)</f>
        <v>254.48659789066977</v>
      </c>
      <c r="X90" s="124">
        <f ca="1">Planet(P[[#This Row],[GMT Sun Rise]],10)</f>
        <v>108.49750329946266</v>
      </c>
      <c r="Y90" s="124">
        <f ca="1">SIGN(S91-P[[#This Row],[MARs]])</f>
        <v>1</v>
      </c>
    </row>
    <row r="91" spans="1:25" x14ac:dyDescent="0.2">
      <c r="A91" s="125">
        <f t="shared" ca="1" si="24"/>
        <v>43183</v>
      </c>
      <c r="B91" s="125">
        <f t="shared" ca="1" si="17"/>
        <v>43183.229166666664</v>
      </c>
      <c r="C91" s="127">
        <f t="shared" ca="1" si="18"/>
        <v>43183.258512066364</v>
      </c>
      <c r="D91" s="127">
        <f t="shared" ca="1" si="19"/>
        <v>43182.763748467012</v>
      </c>
      <c r="E91" s="189">
        <f ca="1">P[[#This Row],[SunRise]]-TimeZone/24</f>
        <v>43183.0293453997</v>
      </c>
      <c r="F91" s="190">
        <f t="shared" ca="1" si="20"/>
        <v>339.21996413887359</v>
      </c>
      <c r="G91" s="190">
        <f t="shared" ca="1" si="21"/>
        <v>61.095684211968134</v>
      </c>
      <c r="H91" s="191">
        <f t="shared" ca="1" si="22"/>
        <v>43183.0293453997</v>
      </c>
      <c r="I91" s="124" t="str">
        <f ca="1">naks(P[[#This Row],[Moon]])</f>
        <v>Mrigashira</v>
      </c>
      <c r="J91" s="127">
        <f ca="1">(C92-P[[#This Row],[SunRise]])/(G92-P[[#This Row],[Moon]])*(13.3333333333333-MOD(P[[#This Row],[Moon]],13.333333333333))+P[[#This Row],[SunRise]]</f>
        <v>43183.65333669963</v>
      </c>
      <c r="K91" s="124" t="str">
        <f ca="1">IF(P[[#This Row],[Tithi]]&gt;15,"K","S")&amp;ROUNDUP(MOD(P[[#This Row],[Tithi]],15),0)&amp;" ("&amp;ROUND(P[[#This Row],[Tithi]],2)&amp;")"</f>
        <v>S7 (6.82)</v>
      </c>
      <c r="L91" s="124">
        <f ca="1">IF(AND(P[[#This Row],[Tithi]]&lt;28.5,P[[#This Row],[Tithi]]&gt;0.49999),MOD((P[[#This Row],[Tithi]]-0.5)*2,7),MOD((P[[#This Row],[Tithi]]+30-28.5),30)*2+7)</f>
        <v>5.645999999999999</v>
      </c>
      <c r="M91" s="124" t="str">
        <f ca="1">CHOOSE(ROUNDUP(P[[#This Row],[Karana1]],0),"Bhava","Baalava","Kaulava","Taitula","Garija","Vanija","Vishti","Shakuni","Chatushapda","Naaga","Kimstugna")</f>
        <v>Vanija</v>
      </c>
      <c r="N9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(3.03)</v>
      </c>
      <c r="O91" s="124">
        <f ca="1">IF(AND(P[[#This Row],[Tithi]]&lt;28.5,P[[#This Row],[Tithi]]&gt;0.49999),MOD((P[[#This Row],[Tithi]]-0.5)*2,7),MOD((P[[#This Row],[Tithi]]+30-28.5),30)*2+7)</f>
        <v>5.645999999999999</v>
      </c>
      <c r="P91" s="124">
        <f ca="1">ROUNDUP(MOD(360+P[[#This Row],[Moon]]-P[[#This Row],[Sun]],360)/12,4)</f>
        <v>6.8229999999999995</v>
      </c>
      <c r="Q91" s="124">
        <f t="shared" ca="1" si="23"/>
        <v>3.03</v>
      </c>
      <c r="R91" s="124" t="str">
        <f ca="1">SIGN(S92-P[[#This Row],[MARs]])*INT(P[[#This Row],[MARs]]/30+1)&amp;"Ma,"&amp;SIGN(T92-P[[#This Row],[Merc]])*INT(P[[#This Row],[Merc]]/30+1)&amp;"Me,"&amp;SIGN(U92-P[[#This Row],[Jup]])*INT(P[[#This Row],[Jup]]/30+1)&amp;"Ju,"&amp;SIGN(V92-P[[#This Row],[Venu]])*INT(P[[#This Row],[Venu]]/30+1)&amp;"Ve,"&amp;SIGN(W92-P[[#This Row],[Sat]])*INT(P[[#This Row],[Sat]]/30+1)&amp;"Sa,"&amp;INT(P[[#This Row],[Rah]]/30+1)&amp;"Ra"</f>
        <v>9Ma,-12Me,-7Ju,12Ve,9Sa,4Ra</v>
      </c>
      <c r="S91" s="124">
        <f ca="1">Planet(P[[#This Row],[GMT Sun Rise]],4)</f>
        <v>249.49510861544593</v>
      </c>
      <c r="T91" s="124">
        <f ca="1">Planet(P[[#This Row],[GMT Sun Rise]],2)</f>
        <v>352.73246185611629</v>
      </c>
      <c r="U91" s="124">
        <f ca="1">Planet(P[[#This Row],[GMT Sun Rise]],5)</f>
        <v>208.76999910946986</v>
      </c>
      <c r="V91" s="124">
        <f ca="1">Planet(P[[#This Row],[GMT Sun Rise]],3)</f>
        <v>357.03528137226323</v>
      </c>
      <c r="W91" s="124">
        <f ca="1">Planet(P[[#This Row],[GMT Sun Rise]],6)</f>
        <v>254.5278136685406</v>
      </c>
      <c r="X91" s="124">
        <f ca="1">Planet(P[[#This Row],[GMT Sun Rise]],10)</f>
        <v>108.44453628397403</v>
      </c>
      <c r="Y91" s="124">
        <f ca="1">SIGN(S92-P[[#This Row],[MARs]])</f>
        <v>1</v>
      </c>
    </row>
    <row r="92" spans="1:25" x14ac:dyDescent="0.2">
      <c r="A92" s="125">
        <f t="shared" ca="1" si="24"/>
        <v>43184</v>
      </c>
      <c r="B92" s="125">
        <f t="shared" ca="1" si="17"/>
        <v>43184.229166666664</v>
      </c>
      <c r="C92" s="127">
        <f t="shared" ca="1" si="18"/>
        <v>43184.258039997578</v>
      </c>
      <c r="D92" s="127">
        <f t="shared" ca="1" si="19"/>
        <v>43183.763802508867</v>
      </c>
      <c r="E92" s="189">
        <f ca="1">P[[#This Row],[SunRise]]-TimeZone/24</f>
        <v>43184.028873330913</v>
      </c>
      <c r="F92" s="190">
        <f t="shared" ca="1" si="20"/>
        <v>340.21088699765937</v>
      </c>
      <c r="G92" s="190">
        <f t="shared" ca="1" si="21"/>
        <v>75.199040736942365</v>
      </c>
      <c r="H92" s="191">
        <f t="shared" ca="1" si="22"/>
        <v>43184.028873330913</v>
      </c>
      <c r="I92" s="124" t="str">
        <f ca="1">naks(P[[#This Row],[Moon]])</f>
        <v>Ardra</v>
      </c>
      <c r="J92" s="127">
        <f ca="1">(C93-P[[#This Row],[SunRise]])/(G93-P[[#This Row],[Moon]])*(13.3333333333333-MOD(P[[#This Row],[Moon]],13.333333333333))+P[[#This Row],[SunRise]]</f>
        <v>43184.597027136595</v>
      </c>
      <c r="K92" s="124" t="str">
        <f ca="1">IF(P[[#This Row],[Tithi]]&gt;15,"K","S")&amp;ROUNDUP(MOD(P[[#This Row],[Tithi]],15),0)&amp;" ("&amp;ROUND(P[[#This Row],[Tithi]],2)&amp;")"</f>
        <v>S8 (7.92)</v>
      </c>
      <c r="L92" s="124">
        <f ca="1">IF(AND(P[[#This Row],[Tithi]]&lt;28.5,P[[#This Row],[Tithi]]&gt;0.49999),MOD((P[[#This Row],[Tithi]]-0.5)*2,7),MOD((P[[#This Row],[Tithi]]+30-28.5),30)*2+7)</f>
        <v>0.83140000000000036</v>
      </c>
      <c r="M92" s="124" t="str">
        <f ca="1">CHOOSE(ROUNDUP(P[[#This Row],[Karana1]],0),"Bhava","Baalava","Kaulava","Taitula","Garija","Vanija","Vishti","Shakuni","Chatushapda","Naaga","Kimstugna")</f>
        <v>Bhava</v>
      </c>
      <c r="N9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(4.16)</v>
      </c>
      <c r="O92" s="124">
        <f ca="1">IF(AND(P[[#This Row],[Tithi]]&lt;28.5,P[[#This Row],[Tithi]]&gt;0.49999),MOD((P[[#This Row],[Tithi]]-0.5)*2,7),MOD((P[[#This Row],[Tithi]]+30-28.5),30)*2+7)</f>
        <v>0.83140000000000036</v>
      </c>
      <c r="P92" s="124">
        <f ca="1">ROUNDUP(MOD(360+P[[#This Row],[Moon]]-P[[#This Row],[Sun]],360)/12,4)</f>
        <v>7.9157000000000002</v>
      </c>
      <c r="Q92" s="124">
        <f t="shared" ca="1" si="23"/>
        <v>4.16</v>
      </c>
      <c r="R92" s="124" t="str">
        <f ca="1">SIGN(S93-P[[#This Row],[MARs]])*INT(P[[#This Row],[MARs]]/30+1)&amp;"Ma,"&amp;SIGN(T93-P[[#This Row],[Merc]])*INT(P[[#This Row],[Merc]]/30+1)&amp;"Me,"&amp;SIGN(U93-P[[#This Row],[Jup]])*INT(P[[#This Row],[Jup]]/30+1)&amp;"Ju,"&amp;SIGN(V93-P[[#This Row],[Venu]])*INT(P[[#This Row],[Venu]]/30+1)&amp;"Ve,"&amp;SIGN(W93-P[[#This Row],[Sat]])*INT(P[[#This Row],[Sat]]/30+1)&amp;"Sa,"&amp;INT(P[[#This Row],[Rah]]/30+1)&amp;"Ra"</f>
        <v>9Ma,-12Me,-7Ju,12Ve,9Sa,4Ra</v>
      </c>
      <c r="S92" s="124">
        <f ca="1">Planet(P[[#This Row],[GMT Sun Rise]],4)</f>
        <v>250.05785907232035</v>
      </c>
      <c r="T92" s="124">
        <f ca="1">Planet(P[[#This Row],[GMT Sun Rise]],2)</f>
        <v>352.53842654458975</v>
      </c>
      <c r="U92" s="124">
        <f ca="1">Planet(P[[#This Row],[GMT Sun Rise]],5)</f>
        <v>208.72251189307656</v>
      </c>
      <c r="V92" s="124">
        <f ca="1">Planet(P[[#This Row],[GMT Sun Rise]],3)</f>
        <v>358.27098999001691</v>
      </c>
      <c r="W92" s="124">
        <f ca="1">Planet(P[[#This Row],[GMT Sun Rise]],6)</f>
        <v>254.56748244510044</v>
      </c>
      <c r="X92" s="124">
        <f ca="1">Planet(P[[#This Row],[GMT Sun Rise]],10)</f>
        <v>108.39156930213944</v>
      </c>
      <c r="Y92" s="124">
        <f ca="1">SIGN(S93-P[[#This Row],[MARs]])</f>
        <v>1</v>
      </c>
    </row>
    <row r="93" spans="1:25" x14ac:dyDescent="0.2">
      <c r="A93" s="125">
        <f t="shared" ca="1" si="24"/>
        <v>43185</v>
      </c>
      <c r="B93" s="125">
        <f t="shared" ca="1" si="17"/>
        <v>43185.229166666664</v>
      </c>
      <c r="C93" s="127">
        <f t="shared" ca="1" si="18"/>
        <v>43185.257567451954</v>
      </c>
      <c r="D93" s="127">
        <f t="shared" ca="1" si="19"/>
        <v>43184.763855596582</v>
      </c>
      <c r="E93" s="189">
        <f ca="1">P[[#This Row],[SunRise]]-TimeZone/24</f>
        <v>43185.02840078529</v>
      </c>
      <c r="F93" s="190">
        <f t="shared" ca="1" si="20"/>
        <v>341.20115872835748</v>
      </c>
      <c r="G93" s="190">
        <f t="shared" ca="1" si="21"/>
        <v>89.355007257336538</v>
      </c>
      <c r="H93" s="191">
        <f t="shared" ca="1" si="22"/>
        <v>43185.02840078529</v>
      </c>
      <c r="I93" s="124" t="str">
        <f ca="1">naks(P[[#This Row],[Moon]])</f>
        <v>Punarvasu</v>
      </c>
      <c r="J93" s="127">
        <f ca="1">(C94-P[[#This Row],[SunRise]])/(G94-P[[#This Row],[Moon]])*(13.3333333333333-MOD(P[[#This Row],[Moon]],13.333333333333))+P[[#This Row],[SunRise]]</f>
        <v>43185.537881063094</v>
      </c>
      <c r="K93" s="124" t="str">
        <f ca="1">IF(P[[#This Row],[Tithi]]&gt;15,"K","S")&amp;ROUNDUP(MOD(P[[#This Row],[Tithi]],15),0)&amp;" ("&amp;ROUND(P[[#This Row],[Tithi]],2)&amp;")"</f>
        <v>S10 (9.01)</v>
      </c>
      <c r="L93" s="124">
        <f ca="1">IF(AND(P[[#This Row],[Tithi]]&lt;28.5,P[[#This Row],[Tithi]]&gt;0.49999),MOD((P[[#This Row],[Tithi]]-0.5)*2,7),MOD((P[[#This Row],[Tithi]]+30-28.5),30)*2+7)</f>
        <v>3.0258000000000003</v>
      </c>
      <c r="M93" s="124" t="str">
        <f ca="1">CHOOSE(ROUNDUP(P[[#This Row],[Karana1]],0),"Bhava","Baalava","Kaulava","Taitula","Garija","Vanija","Vishti","Shakuni","Chatushapda","Naaga","Kimstugna")</f>
        <v>Taitula</v>
      </c>
      <c r="N9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(5.3)</v>
      </c>
      <c r="O93" s="124">
        <f ca="1">IF(AND(P[[#This Row],[Tithi]]&lt;28.5,P[[#This Row],[Tithi]]&gt;0.49999),MOD((P[[#This Row],[Tithi]]-0.5)*2,7),MOD((P[[#This Row],[Tithi]]+30-28.5),30)*2+7)</f>
        <v>3.0258000000000003</v>
      </c>
      <c r="P93" s="124">
        <f ca="1">ROUNDUP(MOD(360+P[[#This Row],[Moon]]-P[[#This Row],[Sun]],360)/12,4)</f>
        <v>9.0129000000000001</v>
      </c>
      <c r="Q93" s="124">
        <f t="shared" ca="1" si="23"/>
        <v>5.3</v>
      </c>
      <c r="R93" s="124" t="str">
        <f ca="1">SIGN(S94-P[[#This Row],[MARs]])*INT(P[[#This Row],[MARs]]/30+1)&amp;"Ma,"&amp;SIGN(T94-P[[#This Row],[Merc]])*INT(P[[#This Row],[Merc]]/30+1)&amp;"Me,"&amp;SIGN(U94-P[[#This Row],[Jup]])*INT(P[[#This Row],[Jup]]/30+1)&amp;"Ju,"&amp;SIGN(V94-P[[#This Row],[Venu]])*INT(P[[#This Row],[Venu]]/30+1)&amp;"Ve,"&amp;SIGN(W94-P[[#This Row],[Sat]])*INT(P[[#This Row],[Sat]]/30+1)&amp;"Sa,"&amp;INT(P[[#This Row],[Rah]]/30+1)&amp;"Ra"</f>
        <v>9Ma,-12Me,-7Ju,-12Ve,9Sa,4Ra</v>
      </c>
      <c r="S93" s="124">
        <f ca="1">Planet(P[[#This Row],[GMT Sun Rise]],4)</f>
        <v>250.61898369150597</v>
      </c>
      <c r="T93" s="124">
        <f ca="1">Planet(P[[#This Row],[GMT Sun Rise]],2)</f>
        <v>352.22438354028856</v>
      </c>
      <c r="U93" s="124">
        <f ca="1">Planet(P[[#This Row],[GMT Sun Rise]],5)</f>
        <v>208.67208819727836</v>
      </c>
      <c r="V93" s="124">
        <f ca="1">Planet(P[[#This Row],[GMT Sun Rise]],3)</f>
        <v>359.5061096543389</v>
      </c>
      <c r="W93" s="124">
        <f ca="1">Planet(P[[#This Row],[GMT Sun Rise]],6)</f>
        <v>254.60559772061853</v>
      </c>
      <c r="X93" s="124">
        <f ca="1">Planet(P[[#This Row],[GMT Sun Rise]],10)</f>
        <v>108.33860234559131</v>
      </c>
      <c r="Y93" s="124">
        <f ca="1">SIGN(S94-P[[#This Row],[MARs]])</f>
        <v>1</v>
      </c>
    </row>
    <row r="94" spans="1:25" x14ac:dyDescent="0.2">
      <c r="A94" s="125">
        <f t="shared" ca="1" si="24"/>
        <v>43186</v>
      </c>
      <c r="B94" s="125">
        <f t="shared" ca="1" si="17"/>
        <v>43186.229166666664</v>
      </c>
      <c r="C94" s="127">
        <f t="shared" ca="1" si="18"/>
        <v>43186.25709490633</v>
      </c>
      <c r="D94" s="127">
        <f t="shared" ca="1" si="19"/>
        <v>43185.76390804867</v>
      </c>
      <c r="E94" s="189">
        <f ca="1">P[[#This Row],[SunRise]]-TimeZone/24</f>
        <v>43186.027928239666</v>
      </c>
      <c r="F94" s="190">
        <f t="shared" ca="1" si="20"/>
        <v>342.19078246015101</v>
      </c>
      <c r="G94" s="190">
        <f t="shared" ca="1" si="21"/>
        <v>103.54071204420755</v>
      </c>
      <c r="H94" s="191">
        <f t="shared" ca="1" si="22"/>
        <v>43186.027928239666</v>
      </c>
      <c r="I94" s="124" t="str">
        <f ca="1">naks(P[[#This Row],[Moon]])</f>
        <v>Pushya</v>
      </c>
      <c r="J94" s="127">
        <f ca="1">(C95-P[[#This Row],[SunRise]])/(G95-P[[#This Row],[Moon]])*(13.3333333333333-MOD(P[[#This Row],[Moon]],13.333333333333))+P[[#This Row],[SunRise]]</f>
        <v>43186.477366268016</v>
      </c>
      <c r="K94" s="124" t="str">
        <f ca="1">IF(P[[#This Row],[Tithi]]&gt;15,"K","S")&amp;ROUNDUP(MOD(P[[#This Row],[Tithi]],15),0)&amp;" ("&amp;ROUND(P[[#This Row],[Tithi]],2)&amp;")"</f>
        <v>S11 (10.11)</v>
      </c>
      <c r="L94" s="124">
        <f ca="1">IF(AND(P[[#This Row],[Tithi]]&lt;28.5,P[[#This Row],[Tithi]]&gt;0.49999),MOD((P[[#This Row],[Tithi]]-0.5)*2,7),MOD((P[[#This Row],[Tithi]]+30-28.5),30)*2+7)</f>
        <v>5.2249999999999979</v>
      </c>
      <c r="M94" s="124" t="str">
        <f ca="1">CHOOSE(ROUNDUP(P[[#This Row],[Karana1]],0),"Bhava","Baalava","Kaulava","Taitula","Garija","Vanija","Vishti","Shakuni","Chatushapda","Naaga","Kimstugna")</f>
        <v>Vanija</v>
      </c>
      <c r="N9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(6.43)</v>
      </c>
      <c r="O94" s="124">
        <f ca="1">IF(AND(P[[#This Row],[Tithi]]&lt;28.5,P[[#This Row],[Tithi]]&gt;0.49999),MOD((P[[#This Row],[Tithi]]-0.5)*2,7),MOD((P[[#This Row],[Tithi]]+30-28.5),30)*2+7)</f>
        <v>5.2249999999999979</v>
      </c>
      <c r="P94" s="124">
        <f ca="1">ROUNDUP(MOD(360+P[[#This Row],[Moon]]-P[[#This Row],[Sun]],360)/12,4)</f>
        <v>10.112499999999999</v>
      </c>
      <c r="Q94" s="124">
        <f t="shared" ca="1" si="23"/>
        <v>6.43</v>
      </c>
      <c r="R94" s="124" t="str">
        <f ca="1">SIGN(S95-P[[#This Row],[MARs]])*INT(P[[#This Row],[MARs]]/30+1)&amp;"Ma,"&amp;SIGN(T95-P[[#This Row],[Merc]])*INT(P[[#This Row],[Merc]]/30+1)&amp;"Me,"&amp;SIGN(U95-P[[#This Row],[Jup]])*INT(P[[#This Row],[Jup]]/30+1)&amp;"Ju,"&amp;SIGN(V95-P[[#This Row],[Venu]])*INT(P[[#This Row],[Venu]]/30+1)&amp;"Ve,"&amp;SIGN(W95-P[[#This Row],[Sat]])*INT(P[[#This Row],[Sat]]/30+1)&amp;"Sa,"&amp;INT(P[[#This Row],[Rah]]/30+1)&amp;"Ra"</f>
        <v>9Ma,-12Me,-7Ju,1Ve,9Sa,4Ra</v>
      </c>
      <c r="S94" s="124">
        <f ca="1">Planet(P[[#This Row],[GMT Sun Rise]],4)</f>
        <v>251.17846355399436</v>
      </c>
      <c r="T94" s="124">
        <f ca="1">Planet(P[[#This Row],[GMT Sun Rise]],2)</f>
        <v>351.79892537347195</v>
      </c>
      <c r="U94" s="124">
        <f ca="1">Planet(P[[#This Row],[GMT Sun Rise]],5)</f>
        <v>208.61875803621248</v>
      </c>
      <c r="V94" s="124">
        <f ca="1">Planet(P[[#This Row],[GMT Sun Rise]],3)</f>
        <v>0.7406329680425725</v>
      </c>
      <c r="W94" s="124">
        <f ca="1">Planet(P[[#This Row],[GMT Sun Rise]],6)</f>
        <v>254.64215343622192</v>
      </c>
      <c r="X94" s="124">
        <f ca="1">Planet(P[[#This Row],[GMT Sun Rise]],10)</f>
        <v>108.28563538904584</v>
      </c>
      <c r="Y94" s="124">
        <f ca="1">SIGN(S95-P[[#This Row],[MARs]])</f>
        <v>1</v>
      </c>
    </row>
    <row r="95" spans="1:25" x14ac:dyDescent="0.2">
      <c r="A95" s="125">
        <f t="shared" ca="1" si="24"/>
        <v>43187</v>
      </c>
      <c r="B95" s="125">
        <f t="shared" ca="1" si="17"/>
        <v>43187.229166666664</v>
      </c>
      <c r="C95" s="127">
        <f t="shared" ca="1" si="18"/>
        <v>43187.256622519497</v>
      </c>
      <c r="D95" s="127">
        <f t="shared" ca="1" si="19"/>
        <v>43186.763959865129</v>
      </c>
      <c r="E95" s="189">
        <f ca="1">P[[#This Row],[SunRise]]-TimeZone/24</f>
        <v>43187.027455852833</v>
      </c>
      <c r="F95" s="190">
        <f t="shared" ca="1" si="20"/>
        <v>343.17976616205493</v>
      </c>
      <c r="G95" s="190">
        <f t="shared" ca="1" si="21"/>
        <v>117.72538833956443</v>
      </c>
      <c r="H95" s="191">
        <f t="shared" ca="1" si="22"/>
        <v>43187.027455852833</v>
      </c>
      <c r="I95" s="124" t="str">
        <f ca="1">naks(P[[#This Row],[Moon]])</f>
        <v>Aslesha</v>
      </c>
      <c r="J95" s="127">
        <f ca="1">(C96-P[[#This Row],[SunRise]])/(G96-P[[#This Row],[Moon]])*(13.3333333333333-MOD(P[[#This Row],[Moon]],13.333333333333))+P[[#This Row],[SunRise]]</f>
        <v>43187.417402024948</v>
      </c>
      <c r="K95" s="124" t="str">
        <f ca="1">IF(P[[#This Row],[Tithi]]&gt;15,"K","S")&amp;ROUNDUP(MOD(P[[#This Row],[Tithi]],15),0)&amp;" ("&amp;ROUND(P[[#This Row],[Tithi]],2)&amp;")"</f>
        <v>S12 (11.21)</v>
      </c>
      <c r="L95" s="124">
        <f ca="1">IF(AND(P[[#This Row],[Tithi]]&lt;28.5,P[[#This Row],[Tithi]]&gt;0.49999),MOD((P[[#This Row],[Tithi]]-0.5)*2,7),MOD((P[[#This Row],[Tithi]]+30-28.5),30)*2+7)</f>
        <v>0.42439999999999856</v>
      </c>
      <c r="M95" s="124" t="str">
        <f ca="1">CHOOSE(ROUNDUP(P[[#This Row],[Karana1]],0),"Bhava","Baalava","Kaulava","Taitula","Garija","Vanija","Vishti","Shakuni","Chatushapda","Naaga","Kimstugna")</f>
        <v>Bhava</v>
      </c>
      <c r="N9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(7.57)</v>
      </c>
      <c r="O95" s="124">
        <f ca="1">IF(AND(P[[#This Row],[Tithi]]&lt;28.5,P[[#This Row],[Tithi]]&gt;0.49999),MOD((P[[#This Row],[Tithi]]-0.5)*2,7),MOD((P[[#This Row],[Tithi]]+30-28.5),30)*2+7)</f>
        <v>0.42439999999999856</v>
      </c>
      <c r="P95" s="124">
        <f ca="1">ROUNDUP(MOD(360+P[[#This Row],[Moon]]-P[[#This Row],[Sun]],360)/12,4)</f>
        <v>11.212199999999999</v>
      </c>
      <c r="Q95" s="124">
        <f t="shared" ca="1" si="23"/>
        <v>7.5699999999999994</v>
      </c>
      <c r="R95" s="124" t="str">
        <f ca="1">SIGN(S96-P[[#This Row],[MARs]])*INT(P[[#This Row],[MARs]]/30+1)&amp;"Ma,"&amp;SIGN(T96-P[[#This Row],[Merc]])*INT(P[[#This Row],[Merc]]/30+1)&amp;"Me,"&amp;SIGN(U96-P[[#This Row],[Jup]])*INT(P[[#This Row],[Jup]]/30+1)&amp;"Ju,"&amp;SIGN(V96-P[[#This Row],[Venu]])*INT(P[[#This Row],[Venu]]/30+1)&amp;"Ve,"&amp;SIGN(W96-P[[#This Row],[Sat]])*INT(P[[#This Row],[Sat]]/30+1)&amp;"Sa,"&amp;INT(P[[#This Row],[Rah]]/30+1)&amp;"Ra"</f>
        <v>9Ma,-12Me,-7Ju,1Ve,9Sa,4Ra</v>
      </c>
      <c r="S95" s="124">
        <f ca="1">Planet(P[[#This Row],[GMT Sun Rise]],4)</f>
        <v>251.73627778099637</v>
      </c>
      <c r="T95" s="124">
        <f ca="1">Planet(P[[#This Row],[GMT Sun Rise]],2)</f>
        <v>351.27255390095183</v>
      </c>
      <c r="U95" s="124">
        <f ca="1">Planet(P[[#This Row],[GMT Sun Rise]],5)</f>
        <v>208.56255214921688</v>
      </c>
      <c r="V95" s="124">
        <f ca="1">Planet(P[[#This Row],[GMT Sun Rise]],3)</f>
        <v>1.974555183992007</v>
      </c>
      <c r="W95" s="124">
        <f ca="1">Planet(P[[#This Row],[GMT Sun Rise]],6)</f>
        <v>254.67714376974138</v>
      </c>
      <c r="X95" s="124">
        <f ca="1">Planet(P[[#This Row],[GMT Sun Rise]],10)</f>
        <v>108.23266842408614</v>
      </c>
      <c r="Y95" s="124">
        <f ca="1">SIGN(S96-P[[#This Row],[MARs]])</f>
        <v>1</v>
      </c>
    </row>
    <row r="96" spans="1:25" x14ac:dyDescent="0.2">
      <c r="A96" s="125">
        <f t="shared" ca="1" si="24"/>
        <v>43188</v>
      </c>
      <c r="B96" s="125">
        <f t="shared" ca="1" si="17"/>
        <v>43188.229166666664</v>
      </c>
      <c r="C96" s="127">
        <f t="shared" ca="1" si="18"/>
        <v>43188.25615045071</v>
      </c>
      <c r="D96" s="127">
        <f t="shared" ca="1" si="19"/>
        <v>43187.764011363543</v>
      </c>
      <c r="E96" s="189">
        <f ca="1">P[[#This Row],[SunRise]]-TimeZone/24</f>
        <v>43188.026983784046</v>
      </c>
      <c r="F96" s="190">
        <f t="shared" ca="1" si="20"/>
        <v>344.16812241334162</v>
      </c>
      <c r="G96" s="190">
        <f t="shared" ca="1" si="21"/>
        <v>131.86610783567647</v>
      </c>
      <c r="H96" s="191">
        <f t="shared" ca="1" si="22"/>
        <v>43188.026983784046</v>
      </c>
      <c r="I96" s="124" t="str">
        <f ca="1">naks(P[[#This Row],[Moon]])</f>
        <v>Makha</v>
      </c>
      <c r="J96" s="127">
        <f ca="1">(C97-P[[#This Row],[SunRise]])/(G97-P[[#This Row],[Moon]])*(13.3333333333333-MOD(P[[#This Row],[Moon]],13.333333333333))+P[[#This Row],[SunRise]]</f>
        <v>43188.360596363535</v>
      </c>
      <c r="K96" s="124" t="str">
        <f ca="1">IF(P[[#This Row],[Tithi]]&gt;15,"K","S")&amp;ROUNDUP(MOD(P[[#This Row],[Tithi]],15),0)&amp;" ("&amp;ROUND(P[[#This Row],[Tithi]],2)&amp;")"</f>
        <v>S13 (12.31)</v>
      </c>
      <c r="L96" s="124">
        <f ca="1">IF(AND(P[[#This Row],[Tithi]]&lt;28.5,P[[#This Row],[Tithi]]&gt;0.49999),MOD((P[[#This Row],[Tithi]]-0.5)*2,7),MOD((P[[#This Row],[Tithi]]+30-28.5),30)*2+7)</f>
        <v>2.6163999999999987</v>
      </c>
      <c r="M96" s="124" t="str">
        <f ca="1">CHOOSE(ROUNDUP(P[[#This Row],[Karana1]],0),"Bhava","Baalava","Kaulava","Taitula","Garija","Vanija","Vishti","Shakuni","Chatushapda","Naaga","Kimstugna")</f>
        <v>Kaulava</v>
      </c>
      <c r="N9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(8.71)</v>
      </c>
      <c r="O96" s="124">
        <f ca="1">IF(AND(P[[#This Row],[Tithi]]&lt;28.5,P[[#This Row],[Tithi]]&gt;0.49999),MOD((P[[#This Row],[Tithi]]-0.5)*2,7),MOD((P[[#This Row],[Tithi]]+30-28.5),30)*2+7)</f>
        <v>2.6163999999999987</v>
      </c>
      <c r="P96" s="124">
        <f ca="1">ROUNDUP(MOD(360+P[[#This Row],[Moon]]-P[[#This Row],[Sun]],360)/12,4)</f>
        <v>12.308199999999999</v>
      </c>
      <c r="Q96" s="124">
        <f t="shared" ca="1" si="23"/>
        <v>8.7099999999999991</v>
      </c>
      <c r="R96" s="124" t="str">
        <f ca="1">SIGN(S97-P[[#This Row],[MARs]])*INT(P[[#This Row],[MARs]]/30+1)&amp;"Ma,"&amp;SIGN(T97-P[[#This Row],[Merc]])*INT(P[[#This Row],[Merc]]/30+1)&amp;"Me,"&amp;SIGN(U97-P[[#This Row],[Jup]])*INT(P[[#This Row],[Jup]]/30+1)&amp;"Ju,"&amp;SIGN(V97-P[[#This Row],[Venu]])*INT(P[[#This Row],[Venu]]/30+1)&amp;"Ve,"&amp;SIGN(W97-P[[#This Row],[Sat]])*INT(P[[#This Row],[Sat]]/30+1)&amp;"Sa,"&amp;INT(P[[#This Row],[Rah]]/30+1)&amp;"Ra"</f>
        <v>9Ma,-12Me,-7Ju,1Ve,9Sa,4Ra</v>
      </c>
      <c r="S96" s="124">
        <f ca="1">Planet(P[[#This Row],[GMT Sun Rise]],4)</f>
        <v>252.29240223852599</v>
      </c>
      <c r="T96" s="124">
        <f ca="1">Planet(P[[#This Row],[GMT Sun Rise]],2)</f>
        <v>350.65758291749853</v>
      </c>
      <c r="U96" s="124">
        <f ca="1">Planet(P[[#This Row],[GMT Sun Rise]],5)</f>
        <v>208.50350179454855</v>
      </c>
      <c r="V96" s="124">
        <f ca="1">Planet(P[[#This Row],[GMT Sun Rise]],3)</f>
        <v>3.2078745979188361</v>
      </c>
      <c r="W96" s="124">
        <f ca="1">Planet(P[[#This Row],[GMT Sun Rise]],6)</f>
        <v>254.71056296521161</v>
      </c>
      <c r="X96" s="124">
        <f ca="1">Planet(P[[#This Row],[GMT Sun Rise]],10)</f>
        <v>108.17970144226199</v>
      </c>
      <c r="Y96" s="124">
        <f ca="1">SIGN(S97-P[[#This Row],[MARs]])</f>
        <v>1</v>
      </c>
    </row>
    <row r="97" spans="1:25" x14ac:dyDescent="0.2">
      <c r="A97" s="125">
        <f t="shared" ca="1" si="24"/>
        <v>43189</v>
      </c>
      <c r="B97" s="125">
        <f t="shared" ca="1" si="17"/>
        <v>43189.229166666664</v>
      </c>
      <c r="C97" s="127">
        <f t="shared" ca="1" si="18"/>
        <v>43189.255679335598</v>
      </c>
      <c r="D97" s="127">
        <f t="shared" ca="1" si="19"/>
        <v>43188.764062702699</v>
      </c>
      <c r="E97" s="189">
        <f ca="1">P[[#This Row],[SunRise]]-TimeZone/24</f>
        <v>43189.026512668934</v>
      </c>
      <c r="F97" s="190">
        <f t="shared" ca="1" si="20"/>
        <v>345.15586782978465</v>
      </c>
      <c r="G97" s="190">
        <f t="shared" ca="1" si="21"/>
        <v>145.90719595416772</v>
      </c>
      <c r="H97" s="191">
        <f t="shared" ca="1" si="22"/>
        <v>43189.026512668934</v>
      </c>
      <c r="I97" s="124" t="str">
        <f ca="1">naks(P[[#This Row],[Moon]])</f>
        <v>Purva Phalguni</v>
      </c>
      <c r="J97" s="127">
        <f ca="1">(C98-P[[#This Row],[SunRise]])/(G98-P[[#This Row],[Moon]])*(13.3333333333333-MOD(P[[#This Row],[Moon]],13.333333333333))+P[[#This Row],[SunRise]]</f>
        <v>43189.310381103838</v>
      </c>
      <c r="K97" s="124" t="str">
        <f ca="1">IF(P[[#This Row],[Tithi]]&gt;15,"K","S")&amp;ROUNDUP(MOD(P[[#This Row],[Tithi]],15),0)&amp;" ("&amp;ROUND(P[[#This Row],[Tithi]],2)&amp;")"</f>
        <v>S14 (13.4)</v>
      </c>
      <c r="L97" s="124">
        <f ca="1">IF(AND(P[[#This Row],[Tithi]]&lt;28.5,P[[#This Row],[Tithi]]&gt;0.49999),MOD((P[[#This Row],[Tithi]]-0.5)*2,7),MOD((P[[#This Row],[Tithi]]+30-28.5),30)*2+7)</f>
        <v>4.791999999999998</v>
      </c>
      <c r="M97" s="124" t="str">
        <f ca="1">CHOOSE(ROUNDUP(P[[#This Row],[Karana1]],0),"Bhava","Baalava","Kaulava","Taitula","Garija","Vanija","Vishti","Shakuni","Chatushapda","Naaga","Kimstugna")</f>
        <v>Garija</v>
      </c>
      <c r="N9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(9.83)</v>
      </c>
      <c r="O97" s="124">
        <f ca="1">IF(AND(P[[#This Row],[Tithi]]&lt;28.5,P[[#This Row],[Tithi]]&gt;0.49999),MOD((P[[#This Row],[Tithi]]-0.5)*2,7),MOD((P[[#This Row],[Tithi]]+30-28.5),30)*2+7)</f>
        <v>4.791999999999998</v>
      </c>
      <c r="P97" s="124">
        <f ca="1">ROUNDUP(MOD(360+P[[#This Row],[Moon]]-P[[#This Row],[Sun]],360)/12,4)</f>
        <v>13.395999999999999</v>
      </c>
      <c r="Q97" s="124">
        <f t="shared" ca="1" si="23"/>
        <v>9.83</v>
      </c>
      <c r="R97" s="124" t="str">
        <f ca="1">SIGN(S98-P[[#This Row],[MARs]])*INT(P[[#This Row],[MARs]]/30+1)&amp;"Ma,"&amp;SIGN(T98-P[[#This Row],[Merc]])*INT(P[[#This Row],[Merc]]/30+1)&amp;"Me,"&amp;SIGN(U98-P[[#This Row],[Jup]])*INT(P[[#This Row],[Jup]]/30+1)&amp;"Ju,"&amp;SIGN(V98-P[[#This Row],[Venu]])*INT(P[[#This Row],[Venu]]/30+1)&amp;"Ve,"&amp;SIGN(W98-P[[#This Row],[Sat]])*INT(P[[#This Row],[Sat]]/30+1)&amp;"Sa,"&amp;INT(P[[#This Row],[Rah]]/30+1)&amp;"Ra"</f>
        <v>9Ma,-12Me,-7Ju,1Ve,9Sa,4Ra</v>
      </c>
      <c r="S97" s="124">
        <f ca="1">Planet(P[[#This Row],[GMT Sun Rise]],4)</f>
        <v>252.84680853333077</v>
      </c>
      <c r="T97" s="124">
        <f ca="1">Planet(P[[#This Row],[GMT Sun Rise]],2)</f>
        <v>349.96794755395604</v>
      </c>
      <c r="U97" s="124">
        <f ca="1">Planet(P[[#This Row],[GMT Sun Rise]],5)</f>
        <v>208.44163867602174</v>
      </c>
      <c r="V97" s="124">
        <f ca="1">Planet(P[[#This Row],[GMT Sun Rise]],3)</f>
        <v>4.4405928054100814</v>
      </c>
      <c r="W97" s="124">
        <f ca="1">Planet(P[[#This Row],[GMT Sun Rise]],6)</f>
        <v>254.74240519473554</v>
      </c>
      <c r="X97" s="124">
        <f ca="1">Planet(P[[#This Row],[GMT Sun Rise]],10)</f>
        <v>108.12673440992226</v>
      </c>
      <c r="Y97" s="124">
        <f ca="1">SIGN(S98-P[[#This Row],[MARs]])</f>
        <v>1</v>
      </c>
    </row>
    <row r="98" spans="1:25" x14ac:dyDescent="0.2">
      <c r="A98" s="125">
        <f t="shared" ca="1" si="24"/>
        <v>43190</v>
      </c>
      <c r="B98" s="125">
        <f t="shared" ca="1" si="17"/>
        <v>43190.229166666664</v>
      </c>
      <c r="C98" s="127">
        <f t="shared" ca="1" si="18"/>
        <v>43190.255209333416</v>
      </c>
      <c r="D98" s="127">
        <f t="shared" ca="1" si="19"/>
        <v>43189.764114360369</v>
      </c>
      <c r="E98" s="189">
        <f ca="1">P[[#This Row],[SunRise]]-TimeZone/24</f>
        <v>43190.026042666752</v>
      </c>
      <c r="F98" s="190">
        <f t="shared" ca="1" si="20"/>
        <v>346.14302075677182</v>
      </c>
      <c r="G98" s="190">
        <f t="shared" ca="1" si="21"/>
        <v>159.78451261147052</v>
      </c>
      <c r="H98" s="191">
        <f t="shared" ca="1" si="22"/>
        <v>43190.026042666752</v>
      </c>
      <c r="I98" s="124" t="str">
        <f ca="1">naks(P[[#This Row],[Moon]])</f>
        <v>Uttara Phalguni</v>
      </c>
      <c r="J98" s="127">
        <f ca="1">(C99-P[[#This Row],[SunRise]])/(G99-P[[#This Row],[Moon]])*(13.3333333333333-MOD(P[[#This Row],[Moon]],13.333333333333))+P[[#This Row],[SunRise]]</f>
        <v>43190.270989105971</v>
      </c>
      <c r="K98" s="124" t="str">
        <f ca="1">IF(P[[#This Row],[Tithi]]&gt;15,"K","S")&amp;ROUNDUP(MOD(P[[#This Row],[Tithi]],15),0)&amp;" ("&amp;ROUND(P[[#This Row],[Tithi]],2)&amp;")"</f>
        <v>S15 (14.47)</v>
      </c>
      <c r="L98" s="124">
        <f ca="1">IF(AND(P[[#This Row],[Tithi]]&lt;28.5,P[[#This Row],[Tithi]]&gt;0.49999),MOD((P[[#This Row],[Tithi]]-0.5)*2,7),MOD((P[[#This Row],[Tithi]]+30-28.5),30)*2+7)</f>
        <v>6.9404000000000003</v>
      </c>
      <c r="M98" s="124" t="str">
        <f ca="1">CHOOSE(ROUNDUP(P[[#This Row],[Karana1]],0),"Bhava","Baalava","Kaulava","Taitula","Garija","Vanija","Vishti","Shakuni","Chatushapda","Naaga","Kimstugna")</f>
        <v>Vishti</v>
      </c>
      <c r="N9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(10.95)</v>
      </c>
      <c r="O98" s="124">
        <f ca="1">IF(AND(P[[#This Row],[Tithi]]&lt;28.5,P[[#This Row],[Tithi]]&gt;0.49999),MOD((P[[#This Row],[Tithi]]-0.5)*2,7),MOD((P[[#This Row],[Tithi]]+30-28.5),30)*2+7)</f>
        <v>6.9404000000000003</v>
      </c>
      <c r="P98" s="124">
        <f ca="1">ROUNDUP(MOD(360+P[[#This Row],[Moon]]-P[[#This Row],[Sun]],360)/12,4)</f>
        <v>14.4702</v>
      </c>
      <c r="Q98" s="124">
        <f t="shared" ca="1" si="23"/>
        <v>10.95</v>
      </c>
      <c r="R98" s="124" t="str">
        <f ca="1">SIGN(S99-P[[#This Row],[MARs]])*INT(P[[#This Row],[MARs]]/30+1)&amp;"Ma,"&amp;SIGN(T99-P[[#This Row],[Merc]])*INT(P[[#This Row],[Merc]]/30+1)&amp;"Me,"&amp;SIGN(U99-P[[#This Row],[Jup]])*INT(P[[#This Row],[Jup]]/30+1)&amp;"Ju,"&amp;SIGN(V99-P[[#This Row],[Venu]])*INT(P[[#This Row],[Venu]]/30+1)&amp;"Ve,"&amp;SIGN(W99-P[[#This Row],[Sat]])*INT(P[[#This Row],[Sat]]/30+1)&amp;"Sa,"&amp;INT(P[[#This Row],[Rah]]/30+1)&amp;"Ra"</f>
        <v>9Ma,-12Me,-7Ju,1Ve,9Sa,4Ra</v>
      </c>
      <c r="S98" s="124">
        <f ca="1">Planet(P[[#This Row],[GMT Sun Rise]],4)</f>
        <v>253.39946263436019</v>
      </c>
      <c r="T98" s="124">
        <f ca="1">Planet(P[[#This Row],[GMT Sun Rise]],2)</f>
        <v>349.21891916574799</v>
      </c>
      <c r="U98" s="124">
        <f ca="1">Planet(P[[#This Row],[GMT Sun Rise]],5)</f>
        <v>208.37699512091467</v>
      </c>
      <c r="V98" s="124">
        <f ca="1">Planet(P[[#This Row],[GMT Sun Rise]],3)</f>
        <v>5.6727129237029059</v>
      </c>
      <c r="W98" s="124">
        <f ca="1">Planet(P[[#This Row],[GMT Sun Rise]],6)</f>
        <v>254.77266442840025</v>
      </c>
      <c r="X98" s="124">
        <f ca="1">Planet(P[[#This Row],[GMT Sun Rise]],10)</f>
        <v>108.07376731860026</v>
      </c>
      <c r="Y98" s="124">
        <f ca="1">SIGN(S99-P[[#This Row],[MARs]])</f>
        <v>1</v>
      </c>
    </row>
    <row r="99" spans="1:25" x14ac:dyDescent="0.2">
      <c r="A99" s="125">
        <f t="shared" ca="1" si="24"/>
        <v>43191</v>
      </c>
      <c r="B99" s="125">
        <f t="shared" ca="1" si="17"/>
        <v>43191.229166666664</v>
      </c>
      <c r="C99" s="127">
        <f t="shared" ca="1" si="18"/>
        <v>43191.254740920071</v>
      </c>
      <c r="D99" s="127">
        <f t="shared" ca="1" si="19"/>
        <v>43190.764166176363</v>
      </c>
      <c r="E99" s="189">
        <f ca="1">P[[#This Row],[SunRise]]-TimeZone/24</f>
        <v>43191.025574253406</v>
      </c>
      <c r="F99" s="190">
        <f t="shared" ca="1" si="20"/>
        <v>347.12960061867977</v>
      </c>
      <c r="G99" s="190">
        <f t="shared" ca="1" si="21"/>
        <v>173.43404086632233</v>
      </c>
      <c r="H99" s="191">
        <f t="shared" ca="1" si="22"/>
        <v>43191.025574253406</v>
      </c>
      <c r="I99" s="124" t="str">
        <f ca="1">naks(P[[#This Row],[Moon]])</f>
        <v>Chitra</v>
      </c>
      <c r="J99" s="127">
        <f ca="1">(C100-P[[#This Row],[SunRise]])/(G100-P[[#This Row],[Moon]])*(13.3333333333333-MOD(P[[#This Row],[Moon]],13.333333333333))+P[[#This Row],[SunRise]]</f>
        <v>43192.244133951303</v>
      </c>
      <c r="K99" s="124" t="str">
        <f ca="1">IF(P[[#This Row],[Tithi]]&gt;15,"K","S")&amp;ROUNDUP(MOD(P[[#This Row],[Tithi]],15),0)&amp;" ("&amp;ROUND(P[[#This Row],[Tithi]],2)&amp;")"</f>
        <v>K1 (15.53)</v>
      </c>
      <c r="L99" s="124">
        <f ca="1">IF(AND(P[[#This Row],[Tithi]]&lt;28.5,P[[#This Row],[Tithi]]&gt;0.49999),MOD((P[[#This Row],[Tithi]]-0.5)*2,7),MOD((P[[#This Row],[Tithi]]+30-28.5),30)*2+7)</f>
        <v>2.0507999999999988</v>
      </c>
      <c r="M99" s="124" t="str">
        <f ca="1">CHOOSE(ROUNDUP(P[[#This Row],[Karana1]],0),"Bhava","Baalava","Kaulava","Taitula","Garija","Vanija","Vishti","Shakuni","Chatushapda","Naaga","Kimstugna")</f>
        <v>Kaulava</v>
      </c>
      <c r="N9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(12.05)</v>
      </c>
      <c r="O99" s="124">
        <f ca="1">IF(AND(P[[#This Row],[Tithi]]&lt;28.5,P[[#This Row],[Tithi]]&gt;0.49999),MOD((P[[#This Row],[Tithi]]-0.5)*2,7),MOD((P[[#This Row],[Tithi]]+30-28.5),30)*2+7)</f>
        <v>2.0507999999999988</v>
      </c>
      <c r="P99" s="124">
        <f ca="1">ROUNDUP(MOD(360+P[[#This Row],[Moon]]-P[[#This Row],[Sun]],360)/12,4)</f>
        <v>15.525399999999999</v>
      </c>
      <c r="Q99" s="124">
        <f t="shared" ca="1" si="23"/>
        <v>12.049999999999999</v>
      </c>
      <c r="R99" s="124" t="str">
        <f ca="1">SIGN(S100-P[[#This Row],[MARs]])*INT(P[[#This Row],[MARs]]/30+1)&amp;"Ma,"&amp;SIGN(T100-P[[#This Row],[Merc]])*INT(P[[#This Row],[Merc]]/30+1)&amp;"Me,"&amp;SIGN(U100-P[[#This Row],[Jup]])*INT(P[[#This Row],[Jup]]/30+1)&amp;"Ju,"&amp;SIGN(V100-P[[#This Row],[Venu]])*INT(P[[#This Row],[Venu]]/30+1)&amp;"Ve,"&amp;SIGN(W100-P[[#This Row],[Sat]])*INT(P[[#This Row],[Sat]]/30+1)&amp;"Sa,"&amp;INT(P[[#This Row],[Rah]]/30+1)&amp;"Ra"</f>
        <v>9Ma,-12Me,-7Ju,1Ve,9Sa,4Ra</v>
      </c>
      <c r="S99" s="124">
        <f ca="1">Planet(P[[#This Row],[GMT Sun Rise]],4)</f>
        <v>253.95032497575912</v>
      </c>
      <c r="T99" s="124">
        <f ca="1">Planet(P[[#This Row],[GMT Sun Rise]],2)</f>
        <v>348.42673217587702</v>
      </c>
      <c r="U99" s="124">
        <f ca="1">Planet(P[[#This Row],[GMT Sun Rise]],5)</f>
        <v>208.30960427861851</v>
      </c>
      <c r="V99" s="124">
        <f ca="1">Planet(P[[#This Row],[GMT Sun Rise]],3)</f>
        <v>6.9042398182394331</v>
      </c>
      <c r="W99" s="124">
        <f ca="1">Planet(P[[#This Row],[GMT Sun Rise]],6)</f>
        <v>254.80133443287721</v>
      </c>
      <c r="X99" s="124">
        <f ca="1">Planet(P[[#This Row],[GMT Sun Rise]],10)</f>
        <v>108.02080014309477</v>
      </c>
      <c r="Y99" s="124">
        <f ca="1">SIGN(S100-P[[#This Row],[MARs]])</f>
        <v>1</v>
      </c>
    </row>
    <row r="100" spans="1:25" x14ac:dyDescent="0.2">
      <c r="A100" s="125">
        <f t="shared" ca="1" si="24"/>
        <v>43192</v>
      </c>
      <c r="B100" s="125">
        <f t="shared" ca="1" si="17"/>
        <v>43192.229166666664</v>
      </c>
      <c r="C100" s="127">
        <f t="shared" ca="1" si="18"/>
        <v>43192.254273937702</v>
      </c>
      <c r="D100" s="127">
        <f t="shared" ca="1" si="19"/>
        <v>43191.764218787706</v>
      </c>
      <c r="E100" s="189">
        <f ca="1">P[[#This Row],[SunRise]]-TimeZone/24</f>
        <v>43192.025107271038</v>
      </c>
      <c r="F100" s="190">
        <f t="shared" ca="1" si="20"/>
        <v>348.11562570018793</v>
      </c>
      <c r="G100" s="190">
        <f t="shared" ca="1" si="21"/>
        <v>186.80228379900387</v>
      </c>
      <c r="H100" s="191">
        <f t="shared" ca="1" si="22"/>
        <v>43192.025107271038</v>
      </c>
      <c r="I100" s="124" t="str">
        <f ca="1">naks(P[[#This Row],[Moon]])</f>
        <v>Swati</v>
      </c>
      <c r="J100" s="127">
        <f ca="1">(C101-P[[#This Row],[SunRise]])/(G101-P[[#This Row],[Moon]])*(13.3333333333333-MOD(P[[#This Row],[Moon]],13.333333333333))+P[[#This Row],[SunRise]]</f>
        <v>43193.264880341485</v>
      </c>
      <c r="K100" s="124" t="str">
        <f ca="1">IF(P[[#This Row],[Tithi]]&gt;15,"K","S")&amp;ROUNDUP(MOD(P[[#This Row],[Tithi]],15),0)&amp;" ("&amp;ROUND(P[[#This Row],[Tithi]],2)&amp;")"</f>
        <v>K2 (16.56)</v>
      </c>
      <c r="L100" s="124">
        <f ca="1">IF(AND(P[[#This Row],[Tithi]]&lt;28.5,P[[#This Row],[Tithi]]&gt;0.49999),MOD((P[[#This Row],[Tithi]]-0.5)*2,7),MOD((P[[#This Row],[Tithi]]+30-28.5),30)*2+7)</f>
        <v>4.1146000000000029</v>
      </c>
      <c r="M100" s="124" t="str">
        <f ca="1">CHOOSE(ROUNDUP(P[[#This Row],[Karana1]],0),"Bhava","Baalava","Kaulava","Taitula","Garija","Vanija","Vishti","Shakuni","Chatushapda","Naaga","Kimstugna")</f>
        <v>Garija</v>
      </c>
      <c r="N10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(13.12)</v>
      </c>
      <c r="O100" s="124">
        <f ca="1">IF(AND(P[[#This Row],[Tithi]]&lt;28.5,P[[#This Row],[Tithi]]&gt;0.49999),MOD((P[[#This Row],[Tithi]]-0.5)*2,7),MOD((P[[#This Row],[Tithi]]+30-28.5),30)*2+7)</f>
        <v>4.1146000000000029</v>
      </c>
      <c r="P100" s="124">
        <f ca="1">ROUNDUP(MOD(360+P[[#This Row],[Moon]]-P[[#This Row],[Sun]],360)/12,4)</f>
        <v>16.557300000000001</v>
      </c>
      <c r="Q100" s="124">
        <f t="shared" ca="1" si="23"/>
        <v>13.12</v>
      </c>
      <c r="R100" s="124" t="str">
        <f ca="1">SIGN(S101-P[[#This Row],[MARs]])*INT(P[[#This Row],[MARs]]/30+1)&amp;"Ma,"&amp;SIGN(T101-P[[#This Row],[Merc]])*INT(P[[#This Row],[Merc]]/30+1)&amp;"Me,"&amp;SIGN(U101-P[[#This Row],[Jup]])*INT(P[[#This Row],[Jup]]/30+1)&amp;"Ju,"&amp;SIGN(V101-P[[#This Row],[Venu]])*INT(P[[#This Row],[Venu]]/30+1)&amp;"Ve,"&amp;SIGN(W101-P[[#This Row],[Sat]])*INT(P[[#This Row],[Sat]]/30+1)&amp;"Sa,"&amp;INT(P[[#This Row],[Rah]]/30+1)&amp;"Ra"</f>
        <v>9Ma,-12Me,-7Ju,1Ve,9Sa,4Ra</v>
      </c>
      <c r="S100" s="124">
        <f ca="1">Planet(P[[#This Row],[GMT Sun Rise]],4)</f>
        <v>254.49935006631557</v>
      </c>
      <c r="T100" s="124">
        <f ca="1">Planet(P[[#This Row],[GMT Sun Rise]],2)</f>
        <v>347.60814505145743</v>
      </c>
      <c r="U100" s="124">
        <f ca="1">Planet(P[[#This Row],[GMT Sun Rise]],5)</f>
        <v>208.23950051183675</v>
      </c>
      <c r="V100" s="124">
        <f ca="1">Planet(P[[#This Row],[GMT Sun Rise]],3)</f>
        <v>8.1351781660178126</v>
      </c>
      <c r="W100" s="124">
        <f ca="1">Planet(P[[#This Row],[GMT Sun Rise]],6)</f>
        <v>254.82840878205579</v>
      </c>
      <c r="X100" s="124">
        <f ca="1">Planet(P[[#This Row],[GMT Sun Rise]],10)</f>
        <v>107.96783289175653</v>
      </c>
      <c r="Y100" s="124">
        <f ca="1">SIGN(S101-P[[#This Row],[MARs]])</f>
        <v>1</v>
      </c>
    </row>
    <row r="101" spans="1:25" x14ac:dyDescent="0.2">
      <c r="A101" s="125">
        <f t="shared" ca="1" si="24"/>
        <v>43193</v>
      </c>
      <c r="B101" s="125">
        <f t="shared" ca="1" si="17"/>
        <v>43193.229166666664</v>
      </c>
      <c r="C101" s="127">
        <f t="shared" ca="1" si="18"/>
        <v>43193.253809180263</v>
      </c>
      <c r="D101" s="127">
        <f t="shared" ca="1" si="19"/>
        <v>43192.764272034212</v>
      </c>
      <c r="E101" s="189">
        <f ca="1">P[[#This Row],[SunRise]]-TimeZone/24</f>
        <v>43193.024642513599</v>
      </c>
      <c r="F101" s="190">
        <f t="shared" ca="1" si="20"/>
        <v>349.10111372557384</v>
      </c>
      <c r="G101" s="190">
        <f t="shared" ca="1" si="21"/>
        <v>199.8554194360419</v>
      </c>
      <c r="H101" s="191">
        <f t="shared" ca="1" si="22"/>
        <v>43193.024642513599</v>
      </c>
      <c r="I101" s="124" t="str">
        <f ca="1">naks(P[[#This Row],[Moon]])</f>
        <v>Swati</v>
      </c>
      <c r="J101" s="127">
        <f ca="1">(C102-P[[#This Row],[SunRise]])/(G102-P[[#This Row],[Moon]])*(13.3333333333333-MOD(P[[#This Row],[Moon]],13.333333333333))+P[[#This Row],[SunRise]]</f>
        <v>43193.265161850613</v>
      </c>
      <c r="K101" s="124" t="str">
        <f ca="1">IF(P[[#This Row],[Tithi]]&gt;15,"K","S")&amp;ROUNDUP(MOD(P[[#This Row],[Tithi]],15),0)&amp;" ("&amp;ROUND(P[[#This Row],[Tithi]],2)&amp;")"</f>
        <v>K3 (17.56)</v>
      </c>
      <c r="L101" s="124">
        <f ca="1">IF(AND(P[[#This Row],[Tithi]]&lt;28.5,P[[#This Row],[Tithi]]&gt;0.49999),MOD((P[[#This Row],[Tithi]]-0.5)*2,7),MOD((P[[#This Row],[Tithi]]+30-28.5),30)*2+7)</f>
        <v>6.1257999999999981</v>
      </c>
      <c r="M101" s="124" t="str">
        <f ca="1">CHOOSE(ROUNDUP(P[[#This Row],[Karana1]],0),"Bhava","Baalava","Kaulava","Taitula","Garija","Vanija","Vishti","Shakuni","Chatushapda","Naaga","Kimstugna")</f>
        <v>Vishti</v>
      </c>
      <c r="N10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(14.18)</v>
      </c>
      <c r="O101" s="124">
        <f ca="1">IF(AND(P[[#This Row],[Tithi]]&lt;28.5,P[[#This Row],[Tithi]]&gt;0.49999),MOD((P[[#This Row],[Tithi]]-0.5)*2,7),MOD((P[[#This Row],[Tithi]]+30-28.5),30)*2+7)</f>
        <v>6.1257999999999981</v>
      </c>
      <c r="P101" s="124">
        <f ca="1">ROUNDUP(MOD(360+P[[#This Row],[Moon]]-P[[#This Row],[Sun]],360)/12,4)</f>
        <v>17.562899999999999</v>
      </c>
      <c r="Q101" s="124">
        <f t="shared" ca="1" si="23"/>
        <v>14.18</v>
      </c>
      <c r="R101" s="124" t="str">
        <f ca="1">SIGN(S102-P[[#This Row],[MARs]])*INT(P[[#This Row],[MARs]]/30+1)&amp;"Ma,"&amp;SIGN(T102-P[[#This Row],[Merc]])*INT(P[[#This Row],[Merc]]/30+1)&amp;"Me,"&amp;SIGN(U102-P[[#This Row],[Jup]])*INT(P[[#This Row],[Jup]]/30+1)&amp;"Ju,"&amp;SIGN(V102-P[[#This Row],[Venu]])*INT(P[[#This Row],[Venu]]/30+1)&amp;"Ve,"&amp;SIGN(W102-P[[#This Row],[Sat]])*INT(P[[#This Row],[Sat]]/30+1)&amp;"Sa,"&amp;INT(P[[#This Row],[Rah]]/30+1)&amp;"Ra"</f>
        <v>9Ma,-12Me,-7Ju,1Ve,9Sa,4Ra</v>
      </c>
      <c r="S101" s="124">
        <f ca="1">Planet(P[[#This Row],[GMT Sun Rise]],4)</f>
        <v>255.04648784183604</v>
      </c>
      <c r="T101" s="124">
        <f ca="1">Planet(P[[#This Row],[GMT Sun Rise]],2)</f>
        <v>346.7799614297308</v>
      </c>
      <c r="U101" s="124">
        <f ca="1">Planet(P[[#This Row],[GMT Sun Rise]],5)</f>
        <v>208.16671962656972</v>
      </c>
      <c r="V101" s="124">
        <f ca="1">Planet(P[[#This Row],[GMT Sun Rise]],3)</f>
        <v>9.3655337380861603</v>
      </c>
      <c r="W101" s="124">
        <f ca="1">Planet(P[[#This Row],[GMT Sun Rise]],6)</f>
        <v>254.85388098263167</v>
      </c>
      <c r="X101" s="124">
        <f ca="1">Planet(P[[#This Row],[GMT Sun Rise]],10)</f>
        <v>107.91486552251742</v>
      </c>
      <c r="Y101" s="124">
        <f ca="1">SIGN(S102-P[[#This Row],[MARs]])</f>
        <v>1</v>
      </c>
    </row>
    <row r="102" spans="1:25" x14ac:dyDescent="0.2">
      <c r="A102" s="125">
        <f t="shared" ca="1" si="24"/>
        <v>43194</v>
      </c>
      <c r="B102" s="125">
        <f t="shared" ca="1" si="17"/>
        <v>43194.229166666664</v>
      </c>
      <c r="C102" s="127">
        <f t="shared" ca="1" si="18"/>
        <v>43194.253346807476</v>
      </c>
      <c r="D102" s="127">
        <f t="shared" ca="1" si="19"/>
        <v>43193.764326552904</v>
      </c>
      <c r="E102" s="189">
        <f ca="1">P[[#This Row],[SunRise]]-TimeZone/24</f>
        <v>43194.024180140812</v>
      </c>
      <c r="F102" s="190">
        <f t="shared" ca="1" si="20"/>
        <v>350.08607964122353</v>
      </c>
      <c r="G102" s="190">
        <f t="shared" ca="1" si="21"/>
        <v>212.58491033044882</v>
      </c>
      <c r="H102" s="191">
        <f t="shared" ca="1" si="22"/>
        <v>43194.024180140812</v>
      </c>
      <c r="I102" s="124" t="str">
        <f ca="1">naks(P[[#This Row],[Moon]])</f>
        <v>Visakha</v>
      </c>
      <c r="J102" s="127">
        <f ca="1">(C103-P[[#This Row],[SunRise]])/(G103-P[[#This Row],[Moon]])*(13.3333333333333-MOD(P[[#This Row],[Moon]],13.333333333333))+P[[#This Row],[SunRise]]</f>
        <v>43194.313558734764</v>
      </c>
      <c r="K102" s="124" t="str">
        <f ca="1">IF(P[[#This Row],[Tithi]]&gt;15,"K","S")&amp;ROUNDUP(MOD(P[[#This Row],[Tithi]],15),0)&amp;" ("&amp;ROUND(P[[#This Row],[Tithi]],2)&amp;")"</f>
        <v>K4 (18.54)</v>
      </c>
      <c r="L102" s="124">
        <f ca="1">IF(AND(P[[#This Row],[Tithi]]&lt;28.5,P[[#This Row],[Tithi]]&gt;0.49999),MOD((P[[#This Row],[Tithi]]-0.5)*2,7),MOD((P[[#This Row],[Tithi]]+30-28.5),30)*2+7)</f>
        <v>1.0831999999999979</v>
      </c>
      <c r="M102" s="124" t="str">
        <f ca="1">CHOOSE(ROUNDUP(P[[#This Row],[Karana1]],0),"Bhava","Baalava","Kaulava","Taitula","Garija","Vanija","Vishti","Shakuni","Chatushapda","Naaga","Kimstugna")</f>
        <v>Baalava</v>
      </c>
      <c r="N10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(15.21)</v>
      </c>
      <c r="O102" s="124">
        <f ca="1">IF(AND(P[[#This Row],[Tithi]]&lt;28.5,P[[#This Row],[Tithi]]&gt;0.49999),MOD((P[[#This Row],[Tithi]]-0.5)*2,7),MOD((P[[#This Row],[Tithi]]+30-28.5),30)*2+7)</f>
        <v>1.0831999999999979</v>
      </c>
      <c r="P102" s="124">
        <f ca="1">ROUNDUP(MOD(360+P[[#This Row],[Moon]]-P[[#This Row],[Sun]],360)/12,4)</f>
        <v>18.541599999999999</v>
      </c>
      <c r="Q102" s="124">
        <f t="shared" ca="1" si="23"/>
        <v>15.209999999999999</v>
      </c>
      <c r="R102" s="124" t="str">
        <f ca="1">SIGN(S103-P[[#This Row],[MARs]])*INT(P[[#This Row],[MARs]]/30+1)&amp;"Ma,"&amp;SIGN(T103-P[[#This Row],[Merc]])*INT(P[[#This Row],[Merc]]/30+1)&amp;"Me,"&amp;SIGN(U103-P[[#This Row],[Jup]])*INT(P[[#This Row],[Jup]]/30+1)&amp;"Ju,"&amp;SIGN(V103-P[[#This Row],[Venu]])*INT(P[[#This Row],[Venu]]/30+1)&amp;"Ve,"&amp;SIGN(W103-P[[#This Row],[Sat]])*INT(P[[#This Row],[Sat]]/30+1)&amp;"Sa,"&amp;INT(P[[#This Row],[Rah]]/30+1)&amp;"Ra"</f>
        <v>9Ma,-12Me,-7Ju,1Ve,9Sa,4Ra</v>
      </c>
      <c r="S102" s="124">
        <f ca="1">Planet(P[[#This Row],[GMT Sun Rise]],4)</f>
        <v>255.59168346913145</v>
      </c>
      <c r="T102" s="124">
        <f ca="1">Planet(P[[#This Row],[GMT Sun Rise]],2)</f>
        <v>345.95855087672425</v>
      </c>
      <c r="U102" s="124">
        <f ca="1">Planet(P[[#This Row],[GMT Sun Rise]],5)</f>
        <v>208.09129929902767</v>
      </c>
      <c r="V102" s="124">
        <f ca="1">Planet(P[[#This Row],[GMT Sun Rise]],3)</f>
        <v>10.595310921788885</v>
      </c>
      <c r="W102" s="124">
        <f ca="1">Planet(P[[#This Row],[GMT Sun Rise]],6)</f>
        <v>254.87774453894593</v>
      </c>
      <c r="X102" s="124">
        <f ca="1">Planet(P[[#This Row],[GMT Sun Rise]],10)</f>
        <v>107.86189802691065</v>
      </c>
      <c r="Y102" s="124">
        <f ca="1">SIGN(S103-P[[#This Row],[MARs]])</f>
        <v>1</v>
      </c>
    </row>
    <row r="103" spans="1:25" x14ac:dyDescent="0.2">
      <c r="A103" s="125">
        <f t="shared" ca="1" si="24"/>
        <v>43195</v>
      </c>
      <c r="B103" s="125">
        <f t="shared" ca="1" si="17"/>
        <v>43195.229166666664</v>
      </c>
      <c r="C103" s="127">
        <f t="shared" ca="1" si="18"/>
        <v>43195.2528869772</v>
      </c>
      <c r="D103" s="127">
        <f t="shared" ca="1" si="19"/>
        <v>43194.764382183595</v>
      </c>
      <c r="E103" s="189">
        <f ca="1">P[[#This Row],[SunRise]]-TimeZone/24</f>
        <v>43195.023720310535</v>
      </c>
      <c r="F103" s="190">
        <f t="shared" ca="1" si="20"/>
        <v>351.07053589876705</v>
      </c>
      <c r="G103" s="190">
        <f t="shared" ca="1" si="21"/>
        <v>225.00900783122793</v>
      </c>
      <c r="H103" s="191">
        <f t="shared" ca="1" si="22"/>
        <v>43195.023720310535</v>
      </c>
      <c r="I103" s="124" t="str">
        <f ca="1">naks(P[[#This Row],[Moon]])</f>
        <v>Anuradha</v>
      </c>
      <c r="J103" s="127">
        <f ca="1">(C104-P[[#This Row],[SunRise]])/(G104-P[[#This Row],[Moon]])*(13.3333333333333-MOD(P[[#This Row],[Moon]],13.333333333333))+P[[#This Row],[SunRise]]</f>
        <v>43195.389126117509</v>
      </c>
      <c r="K103" s="124" t="str">
        <f ca="1">IF(P[[#This Row],[Tithi]]&gt;15,"K","S")&amp;ROUNDUP(MOD(P[[#This Row],[Tithi]],15),0)&amp;" ("&amp;ROUND(P[[#This Row],[Tithi]],2)&amp;")"</f>
        <v>K5 (19.49)</v>
      </c>
      <c r="L103" s="124">
        <f ca="1">IF(AND(P[[#This Row],[Tithi]]&lt;28.5,P[[#This Row],[Tithi]]&gt;0.49999),MOD((P[[#This Row],[Tithi]]-0.5)*2,7),MOD((P[[#This Row],[Tithi]]+30-28.5),30)*2+7)</f>
        <v>2.9898000000000025</v>
      </c>
      <c r="M103" s="124" t="str">
        <f ca="1">CHOOSE(ROUNDUP(P[[#This Row],[Karana1]],0),"Bhava","Baalava","Kaulava","Taitula","Garija","Vanija","Vishti","Shakuni","Chatushapda","Naaga","Kimstugna")</f>
        <v>Kaulava</v>
      </c>
      <c r="N10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(16.21)</v>
      </c>
      <c r="O103" s="124">
        <f ca="1">IF(AND(P[[#This Row],[Tithi]]&lt;28.5,P[[#This Row],[Tithi]]&gt;0.49999),MOD((P[[#This Row],[Tithi]]-0.5)*2,7),MOD((P[[#This Row],[Tithi]]+30-28.5),30)*2+7)</f>
        <v>2.9898000000000025</v>
      </c>
      <c r="P103" s="124">
        <f ca="1">ROUNDUP(MOD(360+P[[#This Row],[Moon]]-P[[#This Row],[Sun]],360)/12,4)</f>
        <v>19.494900000000001</v>
      </c>
      <c r="Q103" s="124">
        <f t="shared" ca="1" si="23"/>
        <v>16.21</v>
      </c>
      <c r="R103" s="124" t="str">
        <f ca="1">SIGN(S104-P[[#This Row],[MARs]])*INT(P[[#This Row],[MARs]]/30+1)&amp;"Ma,"&amp;SIGN(T104-P[[#This Row],[Merc]])*INT(P[[#This Row],[Merc]]/30+1)&amp;"Me,"&amp;SIGN(U104-P[[#This Row],[Jup]])*INT(P[[#This Row],[Jup]]/30+1)&amp;"Ju,"&amp;SIGN(V104-P[[#This Row],[Venu]])*INT(P[[#This Row],[Venu]]/30+1)&amp;"Ve,"&amp;SIGN(W104-P[[#This Row],[Sat]])*INT(P[[#This Row],[Sat]]/30+1)&amp;"Sa,"&amp;INT(P[[#This Row],[Rah]]/30+1)&amp;"Ra"</f>
        <v>9Ma,-12Me,-7Ju,1Ve,9Sa,4Ra</v>
      </c>
      <c r="S103" s="124">
        <f ca="1">Planet(P[[#This Row],[GMT Sun Rise]],4)</f>
        <v>256.13487843592048</v>
      </c>
      <c r="T103" s="124">
        <f ca="1">Planet(P[[#This Row],[GMT Sun Rise]],2)</f>
        <v>345.15940053327938</v>
      </c>
      <c r="U103" s="124">
        <f ca="1">Planet(P[[#This Row],[GMT Sun Rise]],5)</f>
        <v>208.01327929580734</v>
      </c>
      <c r="V103" s="124">
        <f ca="1">Planet(P[[#This Row],[GMT Sun Rise]],3)</f>
        <v>11.824513139478809</v>
      </c>
      <c r="W103" s="124">
        <f ca="1">Planet(P[[#This Row],[GMT Sun Rise]],6)</f>
        <v>254.8999930933166</v>
      </c>
      <c r="X103" s="124">
        <f ca="1">Planet(P[[#This Row],[GMT Sun Rise]],10)</f>
        <v>107.80893039660224</v>
      </c>
      <c r="Y103" s="124">
        <f ca="1">SIGN(S104-P[[#This Row],[MARs]])</f>
        <v>1</v>
      </c>
    </row>
    <row r="104" spans="1:25" x14ac:dyDescent="0.2">
      <c r="A104" s="125">
        <f t="shared" ca="1" si="24"/>
        <v>43196</v>
      </c>
      <c r="B104" s="125">
        <f t="shared" ca="1" si="17"/>
        <v>43196.229166666664</v>
      </c>
      <c r="C104" s="127">
        <f t="shared" ca="1" si="18"/>
        <v>43196.252430008411</v>
      </c>
      <c r="D104" s="127">
        <f t="shared" ca="1" si="19"/>
        <v>43195.764439404054</v>
      </c>
      <c r="E104" s="189">
        <f ca="1">P[[#This Row],[SunRise]]-TimeZone/24</f>
        <v>43196.023263341747</v>
      </c>
      <c r="F104" s="190">
        <f t="shared" ca="1" si="20"/>
        <v>352.05449252909057</v>
      </c>
      <c r="G104" s="190">
        <f t="shared" ca="1" si="21"/>
        <v>237.17072092898212</v>
      </c>
      <c r="H104" s="191">
        <f t="shared" ca="1" si="22"/>
        <v>43196.023263341747</v>
      </c>
      <c r="I104" s="124" t="str">
        <f ca="1">naks(P[[#This Row],[Moon]])</f>
        <v>Jyestha</v>
      </c>
      <c r="J104" s="127">
        <f ca="1">(C105-P[[#This Row],[SunRise]])/(G105-P[[#This Row],[Moon]])*(13.3333333333333-MOD(P[[#This Row],[Moon]],13.333333333333))+P[[#This Row],[SunRise]]</f>
        <v>43196.488831678034</v>
      </c>
      <c r="K104" s="124" t="str">
        <f ca="1">IF(P[[#This Row],[Tithi]]&gt;15,"K","S")&amp;ROUNDUP(MOD(P[[#This Row],[Tithi]],15),0)&amp;" ("&amp;ROUND(P[[#This Row],[Tithi]],2)&amp;")"</f>
        <v>K6 (20.43)</v>
      </c>
      <c r="L104" s="124">
        <f ca="1">IF(AND(P[[#This Row],[Tithi]]&lt;28.5,P[[#This Row],[Tithi]]&gt;0.49999),MOD((P[[#This Row],[Tithi]]-0.5)*2,7),MOD((P[[#This Row],[Tithi]]+30-28.5),30)*2+7)</f>
        <v>4.852800000000002</v>
      </c>
      <c r="M104" s="124" t="str">
        <f ca="1">CHOOSE(ROUNDUP(P[[#This Row],[Karana1]],0),"Bhava","Baalava","Kaulava","Taitula","Garija","Vanija","Vishti","Shakuni","Chatushapda","Naaga","Kimstugna")</f>
        <v>Garija</v>
      </c>
      <c r="N10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(17.2)</v>
      </c>
      <c r="O104" s="124">
        <f ca="1">IF(AND(P[[#This Row],[Tithi]]&lt;28.5,P[[#This Row],[Tithi]]&gt;0.49999),MOD((P[[#This Row],[Tithi]]-0.5)*2,7),MOD((P[[#This Row],[Tithi]]+30-28.5),30)*2+7)</f>
        <v>4.852800000000002</v>
      </c>
      <c r="P104" s="124">
        <f ca="1">ROUNDUP(MOD(360+P[[#This Row],[Moon]]-P[[#This Row],[Sun]],360)/12,4)</f>
        <v>20.426400000000001</v>
      </c>
      <c r="Q104" s="124">
        <f t="shared" ca="1" si="23"/>
        <v>17.200000000000003</v>
      </c>
      <c r="R104" s="124" t="str">
        <f ca="1">SIGN(S105-P[[#This Row],[MARs]])*INT(P[[#This Row],[MARs]]/30+1)&amp;"Ma,"&amp;SIGN(T105-P[[#This Row],[Merc]])*INT(P[[#This Row],[Merc]]/30+1)&amp;"Me,"&amp;SIGN(U105-P[[#This Row],[Jup]])*INT(P[[#This Row],[Jup]]/30+1)&amp;"Ju,"&amp;SIGN(V105-P[[#This Row],[Venu]])*INT(P[[#This Row],[Venu]]/30+1)&amp;"Ve,"&amp;SIGN(W105-P[[#This Row],[Sat]])*INT(P[[#This Row],[Sat]]/30+1)&amp;"Sa,"&amp;INT(P[[#This Row],[Rah]]/30+1)&amp;"Ra"</f>
        <v>9Ma,-12Me,-7Ju,1Ve,9Sa,4Ra</v>
      </c>
      <c r="S104" s="124">
        <f ca="1">Planet(P[[#This Row],[GMT Sun Rise]],4)</f>
        <v>256.67601134186077</v>
      </c>
      <c r="T104" s="124">
        <f ca="1">Planet(P[[#This Row],[GMT Sun Rise]],2)</f>
        <v>344.39673114337307</v>
      </c>
      <c r="U104" s="124">
        <f ca="1">Planet(P[[#This Row],[GMT Sun Rise]],5)</f>
        <v>207.9327016582842</v>
      </c>
      <c r="V104" s="124">
        <f ca="1">Planet(P[[#This Row],[GMT Sun Rise]],3)</f>
        <v>13.053142842812433</v>
      </c>
      <c r="W104" s="124">
        <f ca="1">Planet(P[[#This Row],[GMT Sun Rise]],6)</f>
        <v>254.92062053910391</v>
      </c>
      <c r="X104" s="124">
        <f ca="1">Planet(P[[#This Row],[GMT Sun Rise]],10)</f>
        <v>107.75596261462572</v>
      </c>
      <c r="Y104" s="124">
        <f ca="1">SIGN(S105-P[[#This Row],[MARs]])</f>
        <v>1</v>
      </c>
    </row>
    <row r="105" spans="1:25" x14ac:dyDescent="0.2">
      <c r="A105" s="125">
        <f t="shared" ca="1" si="24"/>
        <v>43197</v>
      </c>
      <c r="B105" s="125">
        <f t="shared" ca="1" si="17"/>
        <v>43197.229166666664</v>
      </c>
      <c r="C105" s="127">
        <f t="shared" ca="1" si="18"/>
        <v>43197.251976377484</v>
      </c>
      <c r="D105" s="127">
        <f t="shared" ca="1" si="19"/>
        <v>43196.764498214281</v>
      </c>
      <c r="E105" s="189">
        <f ca="1">P[[#This Row],[SunRise]]-TimeZone/24</f>
        <v>43197.022809710819</v>
      </c>
      <c r="F105" s="190">
        <f t="shared" ca="1" si="20"/>
        <v>353.03795723176944</v>
      </c>
      <c r="G105" s="190">
        <f t="shared" ca="1" si="21"/>
        <v>249.13339288078063</v>
      </c>
      <c r="H105" s="191">
        <f t="shared" ca="1" si="22"/>
        <v>43197.022809710819</v>
      </c>
      <c r="I105" s="124" t="str">
        <f ca="1">naks(P[[#This Row],[Moon]])</f>
        <v>Moola</v>
      </c>
      <c r="J105" s="127">
        <f ca="1">(C106-P[[#This Row],[SunRise]])/(G106-P[[#This Row],[Moon]])*(13.3333333333333-MOD(P[[#This Row],[Moon]],13.333333333333))+P[[#This Row],[SunRise]]</f>
        <v>43197.606490512379</v>
      </c>
      <c r="K105" s="124" t="str">
        <f ca="1">IF(P[[#This Row],[Tithi]]&gt;15,"K","S")&amp;ROUNDUP(MOD(P[[#This Row],[Tithi]],15),0)&amp;" ("&amp;ROUND(P[[#This Row],[Tithi]],2)&amp;")"</f>
        <v>K7 (21.34)</v>
      </c>
      <c r="L105" s="124">
        <f ca="1">IF(AND(P[[#This Row],[Tithi]]&lt;28.5,P[[#This Row],[Tithi]]&gt;0.49999),MOD((P[[#This Row],[Tithi]]-0.5)*2,7),MOD((P[[#This Row],[Tithi]]+30-28.5),30)*2+7)</f>
        <v>6.6826000000000008</v>
      </c>
      <c r="M105" s="124" t="str">
        <f ca="1">CHOOSE(ROUNDUP(P[[#This Row],[Karana1]],0),"Bhava","Baalava","Kaulava","Taitula","Garija","Vanija","Vishti","Shakuni","Chatushapda","Naaga","Kimstugna")</f>
        <v>Vishti</v>
      </c>
      <c r="N10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(18.17)</v>
      </c>
      <c r="O105" s="124">
        <f ca="1">IF(AND(P[[#This Row],[Tithi]]&lt;28.5,P[[#This Row],[Tithi]]&gt;0.49999),MOD((P[[#This Row],[Tithi]]-0.5)*2,7),MOD((P[[#This Row],[Tithi]]+30-28.5),30)*2+7)</f>
        <v>6.6826000000000008</v>
      </c>
      <c r="P105" s="124">
        <f ca="1">ROUNDUP(MOD(360+P[[#This Row],[Moon]]-P[[#This Row],[Sun]],360)/12,4)</f>
        <v>21.3413</v>
      </c>
      <c r="Q105" s="124">
        <f t="shared" ca="1" si="23"/>
        <v>18.170000000000002</v>
      </c>
      <c r="R105" s="124" t="str">
        <f ca="1">SIGN(S106-P[[#This Row],[MARs]])*INT(P[[#This Row],[MARs]]/30+1)&amp;"Ma,"&amp;SIGN(T106-P[[#This Row],[Merc]])*INT(P[[#This Row],[Merc]]/30+1)&amp;"Me,"&amp;SIGN(U106-P[[#This Row],[Jup]])*INT(P[[#This Row],[Jup]]/30+1)&amp;"Ju,"&amp;SIGN(V106-P[[#This Row],[Venu]])*INT(P[[#This Row],[Venu]]/30+1)&amp;"Ve,"&amp;SIGN(W106-P[[#This Row],[Sat]])*INT(P[[#This Row],[Sat]]/30+1)&amp;"Sa,"&amp;INT(P[[#This Row],[Rah]]/30+1)&amp;"Ra"</f>
        <v>9Ma,-12Me,-7Ju,1Ve,9Sa,4Ra</v>
      </c>
      <c r="S105" s="124">
        <f ca="1">Planet(P[[#This Row],[GMT Sun Rise]],4)</f>
        <v>257.21501847630134</v>
      </c>
      <c r="T105" s="124">
        <f ca="1">Planet(P[[#This Row],[GMT Sun Rise]],2)</f>
        <v>343.68320027652669</v>
      </c>
      <c r="U105" s="124">
        <f ca="1">Planet(P[[#This Row],[GMT Sun Rise]],5)</f>
        <v>207.84961083198439</v>
      </c>
      <c r="V105" s="124">
        <f ca="1">Planet(P[[#This Row],[GMT Sun Rise]],3)</f>
        <v>14.281201426802872</v>
      </c>
      <c r="W105" s="124">
        <f ca="1">Planet(P[[#This Row],[GMT Sun Rise]],6)</f>
        <v>254.93962111916005</v>
      </c>
      <c r="X105" s="124">
        <f ca="1">Planet(P[[#This Row],[GMT Sun Rise]],10)</f>
        <v>107.70299465579636</v>
      </c>
      <c r="Y105" s="124">
        <f ca="1">SIGN(S106-P[[#This Row],[MARs]])</f>
        <v>1</v>
      </c>
    </row>
    <row r="106" spans="1:25" x14ac:dyDescent="0.2">
      <c r="A106" s="125">
        <f t="shared" ca="1" si="24"/>
        <v>43198</v>
      </c>
      <c r="B106" s="125">
        <f t="shared" ca="1" si="17"/>
        <v>43198.229166666664</v>
      </c>
      <c r="C106" s="127">
        <f t="shared" ca="1" si="18"/>
        <v>43198.25152608395</v>
      </c>
      <c r="D106" s="127">
        <f t="shared" ca="1" si="19"/>
        <v>43197.7645587726</v>
      </c>
      <c r="E106" s="189">
        <f ca="1">P[[#This Row],[SunRise]]-TimeZone/24</f>
        <v>43198.022359417286</v>
      </c>
      <c r="F106" s="190">
        <f t="shared" ca="1" si="20"/>
        <v>354.02093495246112</v>
      </c>
      <c r="G106" s="190">
        <f t="shared" ca="1" si="21"/>
        <v>260.97509066736444</v>
      </c>
      <c r="H106" s="191">
        <f t="shared" ca="1" si="22"/>
        <v>43198.022359417286</v>
      </c>
      <c r="I106" s="124" t="str">
        <f ca="1">naks(P[[#This Row],[Moon]])</f>
        <v>Purva Asadha</v>
      </c>
      <c r="J106" s="127">
        <f ca="1">(C107-P[[#This Row],[SunRise]])/(G107-P[[#This Row],[Moon]])*(13.3333333333333-MOD(P[[#This Row],[Moon]],13.333333333333))+P[[#This Row],[SunRise]]</f>
        <v>43198.7333314262</v>
      </c>
      <c r="K106" s="124" t="str">
        <f ca="1">IF(P[[#This Row],[Tithi]]&gt;15,"K","S")&amp;ROUNDUP(MOD(P[[#This Row],[Tithi]],15),0)&amp;" ("&amp;ROUND(P[[#This Row],[Tithi]],2)&amp;")"</f>
        <v>K8 (22.25)</v>
      </c>
      <c r="L106" s="124">
        <f ca="1">IF(AND(P[[#This Row],[Tithi]]&lt;28.5,P[[#This Row],[Tithi]]&gt;0.49999),MOD((P[[#This Row],[Tithi]]-0.5)*2,7),MOD((P[[#This Row],[Tithi]]+30-28.5),30)*2+7)</f>
        <v>1.4923999999999964</v>
      </c>
      <c r="M106" s="124" t="str">
        <f ca="1">CHOOSE(ROUNDUP(P[[#This Row],[Karana1]],0),"Bhava","Baalava","Kaulava","Taitula","Garija","Vanija","Vishti","Shakuni","Chatushapda","Naaga","Kimstugna")</f>
        <v>Baalava</v>
      </c>
      <c r="N10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(19.13)</v>
      </c>
      <c r="O106" s="124">
        <f ca="1">IF(AND(P[[#This Row],[Tithi]]&lt;28.5,P[[#This Row],[Tithi]]&gt;0.49999),MOD((P[[#This Row],[Tithi]]-0.5)*2,7),MOD((P[[#This Row],[Tithi]]+30-28.5),30)*2+7)</f>
        <v>1.4923999999999964</v>
      </c>
      <c r="P106" s="124">
        <f ca="1">ROUNDUP(MOD(360+P[[#This Row],[Moon]]-P[[#This Row],[Sun]],360)/12,4)</f>
        <v>22.246199999999998</v>
      </c>
      <c r="Q106" s="124">
        <f t="shared" ca="1" si="23"/>
        <v>19.130000000000003</v>
      </c>
      <c r="R106" s="124" t="str">
        <f ca="1">SIGN(S107-P[[#This Row],[MARs]])*INT(P[[#This Row],[MARs]]/30+1)&amp;"Ma,"&amp;SIGN(T107-P[[#This Row],[Merc]])*INT(P[[#This Row],[Merc]]/30+1)&amp;"Me,"&amp;SIGN(U107-P[[#This Row],[Jup]])*INT(P[[#This Row],[Jup]]/30+1)&amp;"Ju,"&amp;SIGN(V107-P[[#This Row],[Venu]])*INT(P[[#This Row],[Venu]]/30+1)&amp;"Ve,"&amp;SIGN(W107-P[[#This Row],[Sat]])*INT(P[[#This Row],[Sat]]/30+1)&amp;"Sa,"&amp;INT(P[[#This Row],[Rah]]/30+1)&amp;"Ra"</f>
        <v>9Ma,-12Me,-7Ju,1Ve,9Sa,4Ra</v>
      </c>
      <c r="S106" s="124">
        <f ca="1">Planet(P[[#This Row],[GMT Sun Rise]],4)</f>
        <v>257.75183388964899</v>
      </c>
      <c r="T106" s="124">
        <f ca="1">Planet(P[[#This Row],[GMT Sun Rise]],2)</f>
        <v>343.02970536006416</v>
      </c>
      <c r="U106" s="124">
        <f ca="1">Planet(P[[#This Row],[GMT Sun Rise]],5)</f>
        <v>207.76405378971893</v>
      </c>
      <c r="V106" s="124">
        <f ca="1">Planet(P[[#This Row],[GMT Sun Rise]],3)</f>
        <v>15.50868847315834</v>
      </c>
      <c r="W106" s="124">
        <f ca="1">Planet(P[[#This Row],[GMT Sun Rise]],6)</f>
        <v>254.95698948961322</v>
      </c>
      <c r="X106" s="124">
        <f ca="1">Planet(P[[#This Row],[GMT Sun Rise]],10)</f>
        <v>107.65002652009787</v>
      </c>
      <c r="Y106" s="124">
        <f ca="1">SIGN(S107-P[[#This Row],[MARs]])</f>
        <v>1</v>
      </c>
    </row>
    <row r="107" spans="1:25" x14ac:dyDescent="0.2">
      <c r="A107" s="125">
        <f t="shared" ca="1" si="24"/>
        <v>43199</v>
      </c>
      <c r="B107" s="125">
        <f t="shared" ca="1" si="17"/>
        <v>43199.229166666664</v>
      </c>
      <c r="C107" s="127">
        <f t="shared" ca="1" si="18"/>
        <v>43199.251079446789</v>
      </c>
      <c r="D107" s="127">
        <f t="shared" ca="1" si="19"/>
        <v>43198.764621397058</v>
      </c>
      <c r="E107" s="189">
        <f ca="1">P[[#This Row],[SunRise]]-TimeZone/24</f>
        <v>43199.021912780125</v>
      </c>
      <c r="F107" s="190">
        <f t="shared" ca="1" si="20"/>
        <v>355.00342888296206</v>
      </c>
      <c r="G107" s="190">
        <f t="shared" ca="1" si="21"/>
        <v>272.78283423326218</v>
      </c>
      <c r="H107" s="191">
        <f t="shared" ca="1" si="22"/>
        <v>43199.021912780125</v>
      </c>
      <c r="I107" s="124" t="str">
        <f ca="1">naks(P[[#This Row],[Moon]])</f>
        <v>Uttara Asadha</v>
      </c>
      <c r="J107" s="127">
        <f ca="1">(C108-P[[#This Row],[SunRise]])/(G108-P[[#This Row],[Moon]])*(13.3333333333333-MOD(P[[#This Row],[Moon]],13.333333333333))+P[[#This Row],[SunRise]]</f>
        <v>43199.85912053768</v>
      </c>
      <c r="K107" s="124" t="str">
        <f ca="1">IF(P[[#This Row],[Tithi]]&gt;15,"K","S")&amp;ROUNDUP(MOD(P[[#This Row],[Tithi]],15),0)&amp;" ("&amp;ROUND(P[[#This Row],[Tithi]],2)&amp;")"</f>
        <v>K9 (23.15)</v>
      </c>
      <c r="L107" s="124">
        <f ca="1">IF(AND(P[[#This Row],[Tithi]]&lt;28.5,P[[#This Row],[Tithi]]&gt;0.49999),MOD((P[[#This Row],[Tithi]]-0.5)*2,7),MOD((P[[#This Row],[Tithi]]+30-28.5),30)*2+7)</f>
        <v>3.296599999999998</v>
      </c>
      <c r="M107" s="124" t="str">
        <f ca="1">CHOOSE(ROUNDUP(P[[#This Row],[Karana1]],0),"Bhava","Baalava","Kaulava","Taitula","Garija","Vanija","Vishti","Shakuni","Chatushapda","Naaga","Kimstugna")</f>
        <v>Taitula</v>
      </c>
      <c r="N10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(20.09)</v>
      </c>
      <c r="O107" s="124">
        <f ca="1">IF(AND(P[[#This Row],[Tithi]]&lt;28.5,P[[#This Row],[Tithi]]&gt;0.49999),MOD((P[[#This Row],[Tithi]]-0.5)*2,7),MOD((P[[#This Row],[Tithi]]+30-28.5),30)*2+7)</f>
        <v>3.296599999999998</v>
      </c>
      <c r="P107" s="124">
        <f ca="1">ROUNDUP(MOD(360+P[[#This Row],[Moon]]-P[[#This Row],[Sun]],360)/12,4)</f>
        <v>23.148299999999999</v>
      </c>
      <c r="Q107" s="124">
        <f t="shared" ca="1" si="23"/>
        <v>20.09</v>
      </c>
      <c r="R107" s="124" t="str">
        <f ca="1">SIGN(S108-P[[#This Row],[MARs]])*INT(P[[#This Row],[MARs]]/30+1)&amp;"Ma,"&amp;SIGN(T108-P[[#This Row],[Merc]])*INT(P[[#This Row],[Merc]]/30+1)&amp;"Me,"&amp;SIGN(U108-P[[#This Row],[Jup]])*INT(P[[#This Row],[Jup]]/30+1)&amp;"Ju,"&amp;SIGN(V108-P[[#This Row],[Venu]])*INT(P[[#This Row],[Venu]]/30+1)&amp;"Ve,"&amp;SIGN(W108-P[[#This Row],[Sat]])*INT(P[[#This Row],[Sat]]/30+1)&amp;"Sa,"&amp;INT(P[[#This Row],[Rah]]/30+1)&amp;"Ra"</f>
        <v>9Ma,-12Me,-7Ju,1Ve,9Sa,4Ra</v>
      </c>
      <c r="S107" s="124">
        <f ca="1">Planet(P[[#This Row],[GMT Sun Rise]],4)</f>
        <v>258.28639004884309</v>
      </c>
      <c r="T107" s="124">
        <f ca="1">Planet(P[[#This Row],[GMT Sun Rise]],2)</f>
        <v>342.44528650846257</v>
      </c>
      <c r="U107" s="124">
        <f ca="1">Planet(P[[#This Row],[GMT Sun Rise]],5)</f>
        <v>207.67607999267796</v>
      </c>
      <c r="V107" s="124">
        <f ca="1">Planet(P[[#This Row],[GMT Sun Rise]],3)</f>
        <v>16.735602799505394</v>
      </c>
      <c r="W107" s="124">
        <f ca="1">Planet(P[[#This Row],[GMT Sun Rise]],6)</f>
        <v>254.97272078959915</v>
      </c>
      <c r="X107" s="124">
        <f ca="1">Planet(P[[#This Row],[GMT Sun Rise]],10)</f>
        <v>107.59705819064637</v>
      </c>
      <c r="Y107" s="124">
        <f ca="1">SIGN(S108-P[[#This Row],[MARs]])</f>
        <v>1</v>
      </c>
    </row>
    <row r="108" spans="1:25" x14ac:dyDescent="0.2">
      <c r="A108" s="125">
        <f t="shared" ca="1" si="24"/>
        <v>43200</v>
      </c>
      <c r="B108" s="125">
        <f t="shared" ca="1" si="17"/>
        <v>43200.229166666664</v>
      </c>
      <c r="C108" s="127">
        <f t="shared" ca="1" si="18"/>
        <v>43200.25063678265</v>
      </c>
      <c r="D108" s="127">
        <f t="shared" ca="1" si="19"/>
        <v>43199.764686088121</v>
      </c>
      <c r="E108" s="189">
        <f ca="1">P[[#This Row],[SunRise]]-TimeZone/24</f>
        <v>43200.021470115986</v>
      </c>
      <c r="F108" s="190">
        <f t="shared" ca="1" si="20"/>
        <v>355.98544028810306</v>
      </c>
      <c r="G108" s="190">
        <f t="shared" ca="1" si="21"/>
        <v>284.64711626017476</v>
      </c>
      <c r="H108" s="191">
        <f t="shared" ca="1" si="22"/>
        <v>43200.021470115986</v>
      </c>
      <c r="I108" s="124" t="str">
        <f ca="1">naks(P[[#This Row],[Moon]])</f>
        <v>Sravana</v>
      </c>
      <c r="J108" s="127">
        <f ca="1">(C109-P[[#This Row],[SunRise]])/(G109-P[[#This Row],[Moon]])*(13.3333333333333-MOD(P[[#This Row],[Moon]],13.333333333333))+P[[#This Row],[SunRise]]</f>
        <v>43200.973603332743</v>
      </c>
      <c r="K108" s="124" t="str">
        <f ca="1">IF(P[[#This Row],[Tithi]]&gt;15,"K","S")&amp;ROUNDUP(MOD(P[[#This Row],[Tithi]],15),0)&amp;" ("&amp;ROUND(P[[#This Row],[Tithi]],2)&amp;")"</f>
        <v>K10 (24.06)</v>
      </c>
      <c r="L108" s="124">
        <f ca="1">IF(AND(P[[#This Row],[Tithi]]&lt;28.5,P[[#This Row],[Tithi]]&gt;0.49999),MOD((P[[#This Row],[Tithi]]-0.5)*2,7),MOD((P[[#This Row],[Tithi]]+30-28.5),30)*2+7)</f>
        <v>5.1103999999999985</v>
      </c>
      <c r="M108" s="124" t="str">
        <f ca="1">CHOOSE(ROUNDUP(P[[#This Row],[Karana1]],0),"Bhava","Baalava","Kaulava","Taitula","Garija","Vanija","Vishti","Shakuni","Chatushapda","Naaga","Kimstugna")</f>
        <v>Vanija</v>
      </c>
      <c r="N10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(21.05)</v>
      </c>
      <c r="O108" s="124">
        <f ca="1">IF(AND(P[[#This Row],[Tithi]]&lt;28.5,P[[#This Row],[Tithi]]&gt;0.49999),MOD((P[[#This Row],[Tithi]]-0.5)*2,7),MOD((P[[#This Row],[Tithi]]+30-28.5),30)*2+7)</f>
        <v>5.1103999999999985</v>
      </c>
      <c r="P108" s="124">
        <f ca="1">ROUNDUP(MOD(360+P[[#This Row],[Moon]]-P[[#This Row],[Sun]],360)/12,4)</f>
        <v>24.055199999999999</v>
      </c>
      <c r="Q108" s="124">
        <f t="shared" ca="1" si="23"/>
        <v>21.05</v>
      </c>
      <c r="R108" s="124" t="str">
        <f ca="1">SIGN(S109-P[[#This Row],[MARs]])*INT(P[[#This Row],[MARs]]/30+1)&amp;"Ma,"&amp;SIGN(T109-P[[#This Row],[Merc]])*INT(P[[#This Row],[Merc]]/30+1)&amp;"Me,"&amp;SIGN(U109-P[[#This Row],[Jup]])*INT(P[[#This Row],[Jup]]/30+1)&amp;"Ju,"&amp;SIGN(V109-P[[#This Row],[Venu]])*INT(P[[#This Row],[Venu]]/30+1)&amp;"Ve,"&amp;SIGN(W109-P[[#This Row],[Sat]])*INT(P[[#This Row],[Sat]]/30+1)&amp;"Sa,"&amp;INT(P[[#This Row],[Rah]]/30+1)&amp;"Ra"</f>
        <v>9Ma,-12Me,-7Ju,1Ve,9Sa,4Ra</v>
      </c>
      <c r="S108" s="124">
        <f ca="1">Planet(P[[#This Row],[GMT Sun Rise]],4)</f>
        <v>258.81861773649723</v>
      </c>
      <c r="T108" s="124">
        <f ca="1">Planet(P[[#This Row],[GMT Sun Rise]],2)</f>
        <v>341.93712301860666</v>
      </c>
      <c r="U108" s="124">
        <f ca="1">Planet(P[[#This Row],[GMT Sun Rise]],5)</f>
        <v>207.58574142240201</v>
      </c>
      <c r="V108" s="124">
        <f ca="1">Planet(P[[#This Row],[GMT Sun Rise]],3)</f>
        <v>17.961942129400907</v>
      </c>
      <c r="W108" s="124">
        <f ca="1">Planet(P[[#This Row],[GMT Sun Rise]],6)</f>
        <v>254.98681066883867</v>
      </c>
      <c r="X108" s="124">
        <f ca="1">Planet(P[[#This Row],[GMT Sun Rise]],10)</f>
        <v>107.54408965065784</v>
      </c>
      <c r="Y108" s="124">
        <f ca="1">SIGN(S109-P[[#This Row],[MARs]])</f>
        <v>1</v>
      </c>
    </row>
    <row r="109" spans="1:25" x14ac:dyDescent="0.2">
      <c r="A109" s="125">
        <f t="shared" ca="1" si="24"/>
        <v>43201</v>
      </c>
      <c r="B109" s="125">
        <f t="shared" ca="1" si="17"/>
        <v>43201.229166666664</v>
      </c>
      <c r="C109" s="127">
        <f t="shared" ca="1" si="18"/>
        <v>43201.250198410511</v>
      </c>
      <c r="D109" s="127">
        <f t="shared" ca="1" si="19"/>
        <v>43200.764753162905</v>
      </c>
      <c r="E109" s="189">
        <f ca="1">P[[#This Row],[SunRise]]-TimeZone/24</f>
        <v>43201.021031743847</v>
      </c>
      <c r="F109" s="190">
        <f t="shared" ca="1" si="20"/>
        <v>356.96696851063632</v>
      </c>
      <c r="G109" s="190">
        <f t="shared" ca="1" si="21"/>
        <v>296.65653671879664</v>
      </c>
      <c r="H109" s="191">
        <f t="shared" ca="1" si="22"/>
        <v>43201.021031743847</v>
      </c>
      <c r="I109" s="124" t="str">
        <f ca="1">naks(P[[#This Row],[Moon]])</f>
        <v>Dhanistha</v>
      </c>
      <c r="J109" s="127">
        <f ca="1">(C110-P[[#This Row],[SunRise]])/(G110-P[[#This Row],[Moon]])*(13.3333333333333-MOD(P[[#This Row],[Moon]],13.333333333333))+P[[#This Row],[SunRise]]</f>
        <v>43202.067968254174</v>
      </c>
      <c r="K109" s="124" t="str">
        <f ca="1">IF(P[[#This Row],[Tithi]]&gt;15,"K","S")&amp;ROUNDUP(MOD(P[[#This Row],[Tithi]],15),0)&amp;" ("&amp;ROUND(P[[#This Row],[Tithi]],2)&amp;")"</f>
        <v>K10 (24.97)</v>
      </c>
      <c r="L109" s="124">
        <f ca="1">IF(AND(P[[#This Row],[Tithi]]&lt;28.5,P[[#This Row],[Tithi]]&gt;0.49999),MOD((P[[#This Row],[Tithi]]-0.5)*2,7),MOD((P[[#This Row],[Tithi]]+30-28.5),30)*2+7)</f>
        <v>6.9483999999999995</v>
      </c>
      <c r="M109" s="124" t="str">
        <f ca="1">CHOOSE(ROUNDUP(P[[#This Row],[Karana1]],0),"Bhava","Baalava","Kaulava","Taitula","Garija","Vanija","Vishti","Shakuni","Chatushapda","Naaga","Kimstugna")</f>
        <v>Vishti</v>
      </c>
      <c r="N10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(22.03)</v>
      </c>
      <c r="O109" s="124">
        <f ca="1">IF(AND(P[[#This Row],[Tithi]]&lt;28.5,P[[#This Row],[Tithi]]&gt;0.49999),MOD((P[[#This Row],[Tithi]]-0.5)*2,7),MOD((P[[#This Row],[Tithi]]+30-28.5),30)*2+7)</f>
        <v>6.9483999999999995</v>
      </c>
      <c r="P109" s="124">
        <f ca="1">ROUNDUP(MOD(360+P[[#This Row],[Moon]]-P[[#This Row],[Sun]],360)/12,4)</f>
        <v>24.9742</v>
      </c>
      <c r="Q109" s="124">
        <f t="shared" ca="1" si="23"/>
        <v>22.03</v>
      </c>
      <c r="R109" s="124" t="str">
        <f ca="1">SIGN(S110-P[[#This Row],[MARs]])*INT(P[[#This Row],[MARs]]/30+1)&amp;"Ma,"&amp;SIGN(T110-P[[#This Row],[Merc]])*INT(P[[#This Row],[Merc]]/30+1)&amp;"Me,"&amp;SIGN(U110-P[[#This Row],[Jup]])*INT(P[[#This Row],[Jup]]/30+1)&amp;"Ju,"&amp;SIGN(V110-P[[#This Row],[Venu]])*INT(P[[#This Row],[Venu]]/30+1)&amp;"Ve,"&amp;SIGN(W110-P[[#This Row],[Sat]])*INT(P[[#This Row],[Sat]]/30+1)&amp;"Sa,"&amp;INT(P[[#This Row],[Rah]]/30+1)&amp;"Ra"</f>
        <v>9Ma,-12Me,-7Ju,1Ve,9Sa,4Ra</v>
      </c>
      <c r="S109" s="124">
        <f ca="1">Planet(P[[#This Row],[GMT Sun Rise]],4)</f>
        <v>259.34844606884991</v>
      </c>
      <c r="T109" s="124">
        <f ca="1">Planet(P[[#This Row],[GMT Sun Rise]],2)</f>
        <v>341.51060760267188</v>
      </c>
      <c r="U109" s="124">
        <f ca="1">Planet(P[[#This Row],[GMT Sun Rise]],5)</f>
        <v>207.49309259651875</v>
      </c>
      <c r="V109" s="124">
        <f ca="1">Planet(P[[#This Row],[GMT Sun Rise]],3)</f>
        <v>19.187703095716305</v>
      </c>
      <c r="W109" s="124">
        <f ca="1">Planet(P[[#This Row],[GMT Sun Rise]],6)</f>
        <v>254.9992553172471</v>
      </c>
      <c r="X109" s="124">
        <f ca="1">Planet(P[[#This Row],[GMT Sun Rise]],10)</f>
        <v>107.49112088321552</v>
      </c>
      <c r="Y109" s="124">
        <f ca="1">SIGN(S110-P[[#This Row],[MARs]])</f>
        <v>1</v>
      </c>
    </row>
    <row r="110" spans="1:25" x14ac:dyDescent="0.2">
      <c r="A110" s="125">
        <f t="shared" ca="1" si="24"/>
        <v>43202</v>
      </c>
      <c r="B110" s="125">
        <f t="shared" ca="1" si="17"/>
        <v>43202.229166666664</v>
      </c>
      <c r="C110" s="127">
        <f t="shared" ca="1" si="18"/>
        <v>43202.249764329907</v>
      </c>
      <c r="D110" s="127">
        <f t="shared" ca="1" si="19"/>
        <v>43201.76482278113</v>
      </c>
      <c r="E110" s="189">
        <f ca="1">P[[#This Row],[SunRise]]-TimeZone/24</f>
        <v>43202.020597663242</v>
      </c>
      <c r="F110" s="190">
        <f t="shared" ca="1" si="20"/>
        <v>357.94801048167903</v>
      </c>
      <c r="G110" s="190">
        <f t="shared" ca="1" si="21"/>
        <v>308.89199003387887</v>
      </c>
      <c r="H110" s="191">
        <f t="shared" ca="1" si="22"/>
        <v>43202.020597663242</v>
      </c>
      <c r="I110" s="124" t="str">
        <f ca="1">naks(P[[#This Row],[Moon]])</f>
        <v>Satabhisaj</v>
      </c>
      <c r="J110" s="127">
        <f ca="1">(C111-P[[#This Row],[SunRise]])/(G111-P[[#This Row],[Moon]])*(13.3333333333333-MOD(P[[#This Row],[Moon]],13.333333333333))+P[[#This Row],[SunRise]]</f>
        <v>43203.136029356298</v>
      </c>
      <c r="K110" s="124" t="str">
        <f ca="1">IF(P[[#This Row],[Tithi]]&gt;15,"K","S")&amp;ROUNDUP(MOD(P[[#This Row],[Tithi]],15),0)&amp;" ("&amp;ROUND(P[[#This Row],[Tithi]],2)&amp;")"</f>
        <v>K11 (25.91)</v>
      </c>
      <c r="L110" s="124">
        <f ca="1">IF(AND(P[[#This Row],[Tithi]]&lt;28.5,P[[#This Row],[Tithi]]&gt;0.49999),MOD((P[[#This Row],[Tithi]]-0.5)*2,7),MOD((P[[#This Row],[Tithi]]+30-28.5),30)*2+7)</f>
        <v>1.8239999999999981</v>
      </c>
      <c r="M110" s="124" t="str">
        <f ca="1">CHOOSE(ROUNDUP(P[[#This Row],[Karana1]],0),"Bhava","Baalava","Kaulava","Taitula","Garija","Vanija","Vishti","Shakuni","Chatushapda","Naaga","Kimstugna")</f>
        <v>Baalava</v>
      </c>
      <c r="N11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(23.02)</v>
      </c>
      <c r="O110" s="124">
        <f ca="1">IF(AND(P[[#This Row],[Tithi]]&lt;28.5,P[[#This Row],[Tithi]]&gt;0.49999),MOD((P[[#This Row],[Tithi]]-0.5)*2,7),MOD((P[[#This Row],[Tithi]]+30-28.5),30)*2+7)</f>
        <v>1.8239999999999981</v>
      </c>
      <c r="P110" s="124">
        <f ca="1">ROUNDUP(MOD(360+P[[#This Row],[Moon]]-P[[#This Row],[Sun]],360)/12,4)</f>
        <v>25.911999999999999</v>
      </c>
      <c r="Q110" s="124">
        <f t="shared" ca="1" si="23"/>
        <v>23.020000000000003</v>
      </c>
      <c r="R110" s="124" t="str">
        <f ca="1">SIGN(S111-P[[#This Row],[MARs]])*INT(P[[#This Row],[MARs]]/30+1)&amp;"Ma,"&amp;SIGN(T111-P[[#This Row],[Merc]])*INT(P[[#This Row],[Merc]]/30+1)&amp;"Me,"&amp;SIGN(U111-P[[#This Row],[Jup]])*INT(P[[#This Row],[Jup]]/30+1)&amp;"Ju,"&amp;SIGN(V111-P[[#This Row],[Venu]])*INT(P[[#This Row],[Venu]]/30+1)&amp;"Ve,"&amp;SIGN(W111-P[[#This Row],[Sat]])*INT(P[[#This Row],[Sat]]/30+1)&amp;"Sa,"&amp;INT(P[[#This Row],[Rah]]/30+1)&amp;"Ra"</f>
        <v>9Ma,-12Me,-7Ju,1Ve,9Sa,4Ra</v>
      </c>
      <c r="S110" s="124">
        <f ca="1">Planet(P[[#This Row],[GMT Sun Rise]],4)</f>
        <v>259.87580242591685</v>
      </c>
      <c r="T110" s="124">
        <f ca="1">Planet(P[[#This Row],[GMT Sun Rise]],2)</f>
        <v>341.16948021239989</v>
      </c>
      <c r="U110" s="124">
        <f ca="1">Planet(P[[#This Row],[GMT Sun Rise]],5)</f>
        <v>207.39819064934125</v>
      </c>
      <c r="V110" s="124">
        <f ca="1">Planet(P[[#This Row],[GMT Sun Rise]],3)</f>
        <v>20.412880724534901</v>
      </c>
      <c r="W110" s="124">
        <f ca="1">Planet(P[[#This Row],[GMT Sun Rise]],6)</f>
        <v>255.0100514987067</v>
      </c>
      <c r="X110" s="124">
        <f ca="1">Planet(P[[#This Row],[GMT Sun Rise]],10)</f>
        <v>107.43815188838551</v>
      </c>
      <c r="Y110" s="124">
        <f ca="1">SIGN(S111-P[[#This Row],[MARs]])</f>
        <v>1</v>
      </c>
    </row>
    <row r="111" spans="1:25" x14ac:dyDescent="0.2">
      <c r="A111" s="125">
        <f t="shared" ca="1" si="24"/>
        <v>43203</v>
      </c>
      <c r="B111" s="125">
        <f t="shared" ca="1" si="17"/>
        <v>43203.229166666664</v>
      </c>
      <c r="C111" s="127">
        <f t="shared" ca="1" si="18"/>
        <v>43203.249335017208</v>
      </c>
      <c r="D111" s="127">
        <f t="shared" ca="1" si="19"/>
        <v>43202.764894783541</v>
      </c>
      <c r="E111" s="189">
        <f ca="1">P[[#This Row],[SunRise]]-TimeZone/24</f>
        <v>43203.020168350544</v>
      </c>
      <c r="F111" s="190">
        <f t="shared" ca="1" si="20"/>
        <v>358.92856120298637</v>
      </c>
      <c r="G111" s="190">
        <f t="shared" ca="1" si="21"/>
        <v>321.42011742888764</v>
      </c>
      <c r="H111" s="191">
        <f t="shared" ca="1" si="22"/>
        <v>43203.020168350544</v>
      </c>
      <c r="I111" s="124" t="str">
        <f ca="1">naks(P[[#This Row],[Moon]])</f>
        <v>Purva Bhadrapada</v>
      </c>
      <c r="J111" s="127">
        <f ca="1">(C112-P[[#This Row],[SunRise]])/(G112-P[[#This Row],[Moon]])*(13.3333333333333-MOD(P[[#This Row],[Moon]],13.333333333333))+P[[#This Row],[SunRise]]</f>
        <v>43204.174871325151</v>
      </c>
      <c r="K111" s="124" t="str">
        <f ca="1">IF(P[[#This Row],[Tithi]]&gt;15,"K","S")&amp;ROUNDUP(MOD(P[[#This Row],[Tithi]],15),0)&amp;" ("&amp;ROUND(P[[#This Row],[Tithi]],2)&amp;")"</f>
        <v>K12 (26.87)</v>
      </c>
      <c r="L111" s="124">
        <f ca="1">IF(AND(P[[#This Row],[Tithi]]&lt;28.5,P[[#This Row],[Tithi]]&gt;0.49999),MOD((P[[#This Row],[Tithi]]-0.5)*2,7),MOD((P[[#This Row],[Tithi]]+30-28.5),30)*2+7)</f>
        <v>3.7485999999999962</v>
      </c>
      <c r="M111" s="124" t="str">
        <f ca="1">CHOOSE(ROUNDUP(P[[#This Row],[Karana1]],0),"Bhava","Baalava","Kaulava","Taitula","Garija","Vanija","Vishti","Shakuni","Chatushapda","Naaga","Kimstugna")</f>
        <v>Taitula</v>
      </c>
      <c r="N11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(24.03)</v>
      </c>
      <c r="O111" s="124">
        <f ca="1">IF(AND(P[[#This Row],[Tithi]]&lt;28.5,P[[#This Row],[Tithi]]&gt;0.49999),MOD((P[[#This Row],[Tithi]]-0.5)*2,7),MOD((P[[#This Row],[Tithi]]+30-28.5),30)*2+7)</f>
        <v>3.7485999999999962</v>
      </c>
      <c r="P111" s="124">
        <f ca="1">ROUNDUP(MOD(360+P[[#This Row],[Moon]]-P[[#This Row],[Sun]],360)/12,4)</f>
        <v>26.874299999999998</v>
      </c>
      <c r="Q111" s="124">
        <f t="shared" ca="1" si="23"/>
        <v>24.03</v>
      </c>
      <c r="R111" s="124" t="str">
        <f ca="1">SIGN(S112-P[[#This Row],[MARs]])*INT(P[[#This Row],[MARs]]/30+1)&amp;"Ma,"&amp;SIGN(T112-P[[#This Row],[Merc]])*INT(P[[#This Row],[Merc]]/30+1)&amp;"Me,"&amp;SIGN(U112-P[[#This Row],[Jup]])*INT(P[[#This Row],[Jup]]/30+1)&amp;"Ju,"&amp;SIGN(V112-P[[#This Row],[Venu]])*INT(P[[#This Row],[Venu]]/30+1)&amp;"Ve,"&amp;SIGN(W112-P[[#This Row],[Sat]])*INT(P[[#This Row],[Sat]]/30+1)&amp;"Sa,"&amp;INT(P[[#This Row],[Rah]]/30+1)&amp;"Ra"</f>
        <v>9Ma,-12Me,-7Ju,1Ve,9Sa,4Ra</v>
      </c>
      <c r="S111" s="124">
        <f ca="1">Planet(P[[#This Row],[GMT Sun Rise]],4)</f>
        <v>260.40061320606236</v>
      </c>
      <c r="T111" s="124">
        <f ca="1">Planet(P[[#This Row],[GMT Sun Rise]],2)</f>
        <v>340.91600169367399</v>
      </c>
      <c r="U111" s="124">
        <f ca="1">Planet(P[[#This Row],[GMT Sun Rise]],5)</f>
        <v>207.30109534910852</v>
      </c>
      <c r="V111" s="124">
        <f ca="1">Planet(P[[#This Row],[GMT Sun Rise]],3)</f>
        <v>21.637469161955835</v>
      </c>
      <c r="W111" s="124">
        <f ca="1">Planet(P[[#This Row],[GMT Sun Rise]],6)</f>
        <v>255.01919662096265</v>
      </c>
      <c r="X111" s="124">
        <f ca="1">Planet(P[[#This Row],[GMT Sun Rise]],10)</f>
        <v>107.38518264086755</v>
      </c>
      <c r="Y111" s="124">
        <f ca="1">SIGN(S112-P[[#This Row],[MARs]])</f>
        <v>1</v>
      </c>
    </row>
    <row r="112" spans="1:25" x14ac:dyDescent="0.2">
      <c r="A112" s="125">
        <f t="shared" ca="1" si="24"/>
        <v>43204</v>
      </c>
      <c r="B112" s="125">
        <f t="shared" ca="1" si="17"/>
        <v>43204.229166666664</v>
      </c>
      <c r="C112" s="127">
        <f t="shared" ca="1" si="18"/>
        <v>43204.248910632137</v>
      </c>
      <c r="D112" s="127">
        <f t="shared" ca="1" si="19"/>
        <v>43203.764969488184</v>
      </c>
      <c r="E112" s="189">
        <f ca="1">P[[#This Row],[SunRise]]-TimeZone/24</f>
        <v>43204.019743965473</v>
      </c>
      <c r="F112" s="190">
        <f t="shared" ca="1" si="20"/>
        <v>359.9086126680744</v>
      </c>
      <c r="G112" s="190">
        <f t="shared" ca="1" si="21"/>
        <v>334.28634429785814</v>
      </c>
      <c r="H112" s="191">
        <f t="shared" ca="1" si="22"/>
        <v>43204.019743965473</v>
      </c>
      <c r="I112" s="124" t="str">
        <f ca="1">naks(P[[#This Row],[Moon]])</f>
        <v>Uttara Bhadrapada</v>
      </c>
      <c r="J112" s="127">
        <f ca="1">(C113-P[[#This Row],[SunRise]])/(G113-P[[#This Row],[Moon]])*(13.3333333333333-MOD(P[[#This Row],[Moon]],13.333333333333))+P[[#This Row],[SunRise]]</f>
        <v>43205.184843960196</v>
      </c>
      <c r="K112" s="124" t="str">
        <f ca="1">IF(P[[#This Row],[Tithi]]&gt;15,"K","S")&amp;ROUNDUP(MOD(P[[#This Row],[Tithi]],15),0)&amp;" ("&amp;ROUND(P[[#This Row],[Tithi]],2)&amp;")"</f>
        <v>K13 (27.86)</v>
      </c>
      <c r="L112" s="124">
        <f ca="1">IF(AND(P[[#This Row],[Tithi]]&lt;28.5,P[[#This Row],[Tithi]]&gt;0.49999),MOD((P[[#This Row],[Tithi]]-0.5)*2,7),MOD((P[[#This Row],[Tithi]]+30-28.5),30)*2+7)</f>
        <v>5.7297999999999973</v>
      </c>
      <c r="M112" s="124" t="str">
        <f ca="1">CHOOSE(ROUNDUP(P[[#This Row],[Karana1]],0),"Bhava","Baalava","Kaulava","Taitula","Garija","Vanija","Vishti","Shakuni","Chatushapda","Naaga","Kimstugna")</f>
        <v>Vanija</v>
      </c>
      <c r="N11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(25.07)</v>
      </c>
      <c r="O112" s="124">
        <f ca="1">IF(AND(P[[#This Row],[Tithi]]&lt;28.5,P[[#This Row],[Tithi]]&gt;0.49999),MOD((P[[#This Row],[Tithi]]-0.5)*2,7),MOD((P[[#This Row],[Tithi]]+30-28.5),30)*2+7)</f>
        <v>5.7297999999999973</v>
      </c>
      <c r="P112" s="124">
        <f ca="1">ROUNDUP(MOD(360+P[[#This Row],[Moon]]-P[[#This Row],[Sun]],360)/12,4)</f>
        <v>27.864899999999999</v>
      </c>
      <c r="Q112" s="124">
        <f t="shared" ca="1" si="23"/>
        <v>25.07</v>
      </c>
      <c r="R112" s="124" t="str">
        <f ca="1">SIGN(S113-P[[#This Row],[MARs]])*INT(P[[#This Row],[MARs]]/30+1)&amp;"Ma,"&amp;SIGN(T113-P[[#This Row],[Merc]])*INT(P[[#This Row],[Merc]]/30+1)&amp;"Me,"&amp;SIGN(U113-P[[#This Row],[Jup]])*INT(P[[#This Row],[Jup]]/30+1)&amp;"Ju,"&amp;SIGN(V113-P[[#This Row],[Venu]])*INT(P[[#This Row],[Venu]]/30+1)&amp;"Ve,"&amp;SIGN(W113-P[[#This Row],[Sat]])*INT(P[[#This Row],[Sat]]/30+1)&amp;"Sa,"&amp;INT(P[[#This Row],[Rah]]/30+1)&amp;"Ra"</f>
        <v>9Ma,-12Me,-7Ju,1Ve,9Sa,4Ra</v>
      </c>
      <c r="S112" s="124">
        <f ca="1">Planet(P[[#This Row],[GMT Sun Rise]],4)</f>
        <v>260.92280407203543</v>
      </c>
      <c r="T112" s="124">
        <f ca="1">Planet(P[[#This Row],[GMT Sun Rise]],2)</f>
        <v>340.75115049116795</v>
      </c>
      <c r="U112" s="124">
        <f ca="1">Planet(P[[#This Row],[GMT Sun Rise]],5)</f>
        <v>207.20186928845774</v>
      </c>
      <c r="V112" s="124">
        <f ca="1">Planet(P[[#This Row],[GMT Sun Rise]],3)</f>
        <v>22.861460366889226</v>
      </c>
      <c r="W112" s="124">
        <f ca="1">Planet(P[[#This Row],[GMT Sun Rise]],6)</f>
        <v>255.02668882277794</v>
      </c>
      <c r="X112" s="124">
        <f ca="1">Planet(P[[#This Row],[GMT Sun Rise]],10)</f>
        <v>107.33221313224438</v>
      </c>
      <c r="Y112" s="124">
        <f ca="1">SIGN(S113-P[[#This Row],[MARs]])</f>
        <v>1</v>
      </c>
    </row>
    <row r="113" spans="1:25" x14ac:dyDescent="0.2">
      <c r="A113" s="125">
        <f t="shared" ca="1" si="24"/>
        <v>43205</v>
      </c>
      <c r="B113" s="125">
        <f t="shared" ca="1" si="17"/>
        <v>43205.229166666664</v>
      </c>
      <c r="C113" s="127">
        <f t="shared" ca="1" si="18"/>
        <v>43205.248491174694</v>
      </c>
      <c r="D113" s="127">
        <f t="shared" ca="1" si="19"/>
        <v>43204.765046894594</v>
      </c>
      <c r="E113" s="189">
        <f ca="1">P[[#This Row],[SunRise]]-TimeZone/24</f>
        <v>43205.01932450803</v>
      </c>
      <c r="F113" s="190">
        <f t="shared" ca="1" si="20"/>
        <v>0.88815389800888001</v>
      </c>
      <c r="G113" s="190">
        <f t="shared" ca="1" si="21"/>
        <v>347.50857816793354</v>
      </c>
      <c r="H113" s="191">
        <f t="shared" ca="1" si="22"/>
        <v>43205.01932450803</v>
      </c>
      <c r="I113" s="124" t="str">
        <f ca="1">naks(P[[#This Row],[Moon]])</f>
        <v>Revati</v>
      </c>
      <c r="J113" s="127">
        <f ca="1">(C114-P[[#This Row],[SunRise]])/(G114-P[[#This Row],[Moon]])*(13.3333333333333-MOD(P[[#This Row],[Moon]],13.333333333333))+P[[#This Row],[SunRise]]</f>
        <v>43205.212449101826</v>
      </c>
      <c r="K113" s="124" t="str">
        <f ca="1">IF(P[[#This Row],[Tithi]]&gt;15,"K","S")&amp;ROUNDUP(MOD(P[[#This Row],[Tithi]],15),0)&amp;" ("&amp;ROUND(P[[#This Row],[Tithi]],2)&amp;")"</f>
        <v>K14 (28.89)</v>
      </c>
      <c r="L113" s="124">
        <f ca="1">IF(AND(P[[#This Row],[Tithi]]&lt;28.5,P[[#This Row],[Tithi]]&gt;0.49999),MOD((P[[#This Row],[Tithi]]-0.5)*2,7),MOD((P[[#This Row],[Tithi]]+30-28.5),30)*2+7)</f>
        <v>7.7702000000000027</v>
      </c>
      <c r="M113" s="124" t="str">
        <f ca="1">CHOOSE(ROUNDUP(P[[#This Row],[Karana1]],0),"Bhava","Baalava","Kaulava","Taitula","Garija","Vanija","Vishti","Shakuni","Chatushapda","Naaga","Kimstugna")</f>
        <v>Shakuni</v>
      </c>
      <c r="N11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(26.13)</v>
      </c>
      <c r="O113" s="124">
        <f ca="1">IF(AND(P[[#This Row],[Tithi]]&lt;28.5,P[[#This Row],[Tithi]]&gt;0.49999),MOD((P[[#This Row],[Tithi]]-0.5)*2,7),MOD((P[[#This Row],[Tithi]]+30-28.5),30)*2+7)</f>
        <v>7.7702000000000027</v>
      </c>
      <c r="P113" s="124">
        <f ca="1">ROUNDUP(MOD(360+P[[#This Row],[Moon]]-P[[#This Row],[Sun]],360)/12,4)</f>
        <v>28.885100000000001</v>
      </c>
      <c r="Q113" s="124">
        <f t="shared" ca="1" si="23"/>
        <v>26.130000000000003</v>
      </c>
      <c r="R113" s="124" t="str">
        <f ca="1">SIGN(S114-P[[#This Row],[MARs]])*INT(P[[#This Row],[MARs]]/30+1)&amp;"Ma,"&amp;SIGN(T114-P[[#This Row],[Merc]])*INT(P[[#This Row],[Merc]]/30+1)&amp;"Me,"&amp;SIGN(U114-P[[#This Row],[Jup]])*INT(P[[#This Row],[Jup]]/30+1)&amp;"Ju,"&amp;SIGN(V114-P[[#This Row],[Venu]])*INT(P[[#This Row],[Venu]]/30+1)&amp;"Ve,"&amp;SIGN(W114-P[[#This Row],[Sat]])*INT(P[[#This Row],[Sat]]/30+1)&amp;"Sa,"&amp;INT(P[[#This Row],[Rah]]/30+1)&amp;"Ra"</f>
        <v>9Ma,12Me,-7Ju,1Ve,9Sa,4Ra</v>
      </c>
      <c r="S113" s="124">
        <f ca="1">Planet(P[[#This Row],[GMT Sun Rise]],4)</f>
        <v>261.44230102139761</v>
      </c>
      <c r="T113" s="124">
        <f ca="1">Planet(P[[#This Row],[GMT Sun Rise]],2)</f>
        <v>340.67482633571507</v>
      </c>
      <c r="U113" s="124">
        <f ca="1">Planet(P[[#This Row],[GMT Sun Rise]],5)</f>
        <v>207.10057796652887</v>
      </c>
      <c r="V113" s="124">
        <f ca="1">Planet(P[[#This Row],[GMT Sun Rise]],3)</f>
        <v>24.084843991283773</v>
      </c>
      <c r="W113" s="124">
        <f ca="1">Planet(P[[#This Row],[GMT Sun Rise]],6)</f>
        <v>255.03252709694286</v>
      </c>
      <c r="X113" s="124">
        <f ca="1">Planet(P[[#This Row],[GMT Sun Rise]],10)</f>
        <v>107.27924336249967</v>
      </c>
      <c r="Y113" s="124">
        <f ca="1">SIGN(S114-P[[#This Row],[MARs]])</f>
        <v>1</v>
      </c>
    </row>
    <row r="114" spans="1:25" x14ac:dyDescent="0.2">
      <c r="A114" s="125">
        <f t="shared" ca="1" si="24"/>
        <v>43206</v>
      </c>
      <c r="B114" s="125">
        <f t="shared" ca="1" si="17"/>
        <v>43206.229166666664</v>
      </c>
      <c r="C114" s="127">
        <f t="shared" ca="1" si="18"/>
        <v>43206.248077120785</v>
      </c>
      <c r="D114" s="127">
        <f t="shared" ca="1" si="19"/>
        <v>43205.765127321283</v>
      </c>
      <c r="E114" s="189">
        <f ca="1">P[[#This Row],[SunRise]]-TimeZone/24</f>
        <v>43206.01891045412</v>
      </c>
      <c r="F114" s="190">
        <f t="shared" ca="1" si="20"/>
        <v>1.8671717855600221</v>
      </c>
      <c r="G114" s="190">
        <f t="shared" ca="1" si="21"/>
        <v>1.0731843013854836</v>
      </c>
      <c r="H114" s="191">
        <f t="shared" ca="1" si="22"/>
        <v>43206.01891045412</v>
      </c>
      <c r="I114" s="124" t="str">
        <f ca="1">naks(P[[#This Row],[Moon]])</f>
        <v>Aswini</v>
      </c>
      <c r="J114" s="127">
        <f ca="1">(C115-P[[#This Row],[SunRise]])/(G115-P[[#This Row],[Moon]])*(13.3333333333333-MOD(P[[#This Row],[Moon]],13.333333333333))+P[[#This Row],[SunRise]]</f>
        <v>43207.132160839537</v>
      </c>
      <c r="K114" s="124" t="str">
        <f ca="1">IF(P[[#This Row],[Tithi]]&gt;15,"K","S")&amp;ROUNDUP(MOD(P[[#This Row],[Tithi]],15),0)&amp;" ("&amp;ROUND(P[[#This Row],[Tithi]],2)&amp;")"</f>
        <v>K15 (29.93)</v>
      </c>
      <c r="L114" s="124">
        <f ca="1">IF(AND(P[[#This Row],[Tithi]]&lt;28.5,P[[#This Row],[Tithi]]&gt;0.49999),MOD((P[[#This Row],[Tithi]]-0.5)*2,7),MOD((P[[#This Row],[Tithi]]+30-28.5),30)*2+7)</f>
        <v>9.8678000000000026</v>
      </c>
      <c r="M114" s="124" t="str">
        <f ca="1">CHOOSE(ROUNDUP(P[[#This Row],[Karana1]],0),"Bhava","Baalava","Kaulava","Taitula","Garija","Vanija","Vishti","Shakuni","Chatushapda","Naaga","Kimstugna")</f>
        <v>Naaga</v>
      </c>
      <c r="N11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(0.23)</v>
      </c>
      <c r="O114" s="124">
        <f ca="1">IF(AND(P[[#This Row],[Tithi]]&lt;28.5,P[[#This Row],[Tithi]]&gt;0.49999),MOD((P[[#This Row],[Tithi]]-0.5)*2,7),MOD((P[[#This Row],[Tithi]]+30-28.5),30)*2+7)</f>
        <v>9.8678000000000026</v>
      </c>
      <c r="P114" s="124">
        <f ca="1">ROUNDUP(MOD(360+P[[#This Row],[Moon]]-P[[#This Row],[Sun]],360)/12,4)</f>
        <v>29.933900000000001</v>
      </c>
      <c r="Q114" s="124">
        <f t="shared" ca="1" si="23"/>
        <v>0.23</v>
      </c>
      <c r="R114" s="124" t="str">
        <f ca="1">SIGN(S115-P[[#This Row],[MARs]])*INT(P[[#This Row],[MARs]]/30+1)&amp;"Ma,"&amp;SIGN(T115-P[[#This Row],[Merc]])*INT(P[[#This Row],[Merc]]/30+1)&amp;"Me,"&amp;SIGN(U115-P[[#This Row],[Jup]])*INT(P[[#This Row],[Jup]]/30+1)&amp;"Ju,"&amp;SIGN(V115-P[[#This Row],[Venu]])*INT(P[[#This Row],[Venu]]/30+1)&amp;"Ve,"&amp;SIGN(W115-P[[#This Row],[Sat]])*INT(P[[#This Row],[Sat]]/30+1)&amp;"Sa,"&amp;INT(P[[#This Row],[Rah]]/30+1)&amp;"Ra"</f>
        <v>9Ma,12Me,-7Ju,1Ve,9Sa,4Ra</v>
      </c>
      <c r="S114" s="124">
        <f ca="1">Planet(P[[#This Row],[GMT Sun Rise]],4)</f>
        <v>261.95903187541234</v>
      </c>
      <c r="T114" s="124">
        <f ca="1">Planet(P[[#This Row],[GMT Sun Rise]],2)</f>
        <v>340.68604976103586</v>
      </c>
      <c r="U114" s="124">
        <f ca="1">Planet(P[[#This Row],[GMT Sun Rise]],5)</f>
        <v>206.99728974461519</v>
      </c>
      <c r="V114" s="124">
        <f ca="1">Planet(P[[#This Row],[GMT Sun Rise]],3)</f>
        <v>25.307607985370584</v>
      </c>
      <c r="W114" s="124">
        <f ca="1">Planet(P[[#This Row],[GMT Sun Rise]],6)</f>
        <v>255.03671142226847</v>
      </c>
      <c r="X114" s="124">
        <f ca="1">Planet(P[[#This Row],[GMT Sun Rise]],10)</f>
        <v>107.22627330641565</v>
      </c>
      <c r="Y114" s="124">
        <f ca="1">SIGN(S115-P[[#This Row],[MARs]])</f>
        <v>1</v>
      </c>
    </row>
    <row r="115" spans="1:25" x14ac:dyDescent="0.2">
      <c r="A115" s="125">
        <f t="shared" ca="1" si="24"/>
        <v>43207</v>
      </c>
      <c r="B115" s="125">
        <f t="shared" ca="1" si="17"/>
        <v>43207.229166666664</v>
      </c>
      <c r="C115" s="127">
        <f t="shared" ca="1" si="18"/>
        <v>43207.24766847134</v>
      </c>
      <c r="D115" s="127">
        <f t="shared" ca="1" si="19"/>
        <v>43206.765210449739</v>
      </c>
      <c r="E115" s="189">
        <f ca="1">P[[#This Row],[SunRise]]-TimeZone/24</f>
        <v>43207.018501804676</v>
      </c>
      <c r="F115" s="190">
        <f t="shared" ca="1" si="20"/>
        <v>2.8456508013603936</v>
      </c>
      <c r="G115" s="190">
        <f t="shared" ca="1" si="21"/>
        <v>14.93515084248898</v>
      </c>
      <c r="H115" s="191">
        <f t="shared" ca="1" si="22"/>
        <v>43207.018501804676</v>
      </c>
      <c r="I115" s="124" t="str">
        <f ca="1">naks(P[[#This Row],[Moon]])</f>
        <v>Bharani</v>
      </c>
      <c r="J115" s="127">
        <f ca="1">(C116-P[[#This Row],[SunRise]])/(G116-P[[#This Row],[Moon]])*(13.3333333333333-MOD(P[[#This Row],[Moon]],13.333333333333))+P[[#This Row],[SunRise]]</f>
        <v>43208.080015141088</v>
      </c>
      <c r="K115" s="124" t="str">
        <f ca="1">IF(P[[#This Row],[Tithi]]&gt;15,"K","S")&amp;ROUNDUP(MOD(P[[#This Row],[Tithi]],15),0)&amp;" ("&amp;ROUND(P[[#This Row],[Tithi]],2)&amp;")"</f>
        <v>S2 (1.01)</v>
      </c>
      <c r="L115" s="124">
        <f ca="1">IF(AND(P[[#This Row],[Tithi]]&lt;28.5,P[[#This Row],[Tithi]]&gt;0.49999),MOD((P[[#This Row],[Tithi]]-0.5)*2,7),MOD((P[[#This Row],[Tithi]]+30-28.5),30)*2+7)</f>
        <v>1.0150000000000001</v>
      </c>
      <c r="M115" s="124" t="str">
        <f ca="1">CHOOSE(ROUNDUP(P[[#This Row],[Karana1]],0),"Bhava","Baalava","Kaulava","Taitula","Garija","Vanija","Vishti","Shakuni","Chatushapda","Naaga","Kimstugna")</f>
        <v>Baalava</v>
      </c>
      <c r="N11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(1.34)</v>
      </c>
      <c r="O115" s="124">
        <f ca="1">IF(AND(P[[#This Row],[Tithi]]&lt;28.5,P[[#This Row],[Tithi]]&gt;0.49999),MOD((P[[#This Row],[Tithi]]-0.5)*2,7),MOD((P[[#This Row],[Tithi]]+30-28.5),30)*2+7)</f>
        <v>1.0150000000000001</v>
      </c>
      <c r="P115" s="124">
        <f ca="1">ROUNDUP(MOD(360+P[[#This Row],[Moon]]-P[[#This Row],[Sun]],360)/12,4)</f>
        <v>1.0075000000000001</v>
      </c>
      <c r="Q115" s="124">
        <f t="shared" ca="1" si="23"/>
        <v>1.34</v>
      </c>
      <c r="R115" s="124" t="str">
        <f ca="1">SIGN(S116-P[[#This Row],[MARs]])*INT(P[[#This Row],[MARs]]/30+1)&amp;"Ma,"&amp;SIGN(T116-P[[#This Row],[Merc]])*INT(P[[#This Row],[Merc]]/30+1)&amp;"Me,"&amp;SIGN(U116-P[[#This Row],[Jup]])*INT(P[[#This Row],[Jup]]/30+1)&amp;"Ju,"&amp;SIGN(V116-P[[#This Row],[Venu]])*INT(P[[#This Row],[Venu]]/30+1)&amp;"Ve,"&amp;SIGN(W116-P[[#This Row],[Sat]])*INT(P[[#This Row],[Sat]]/30+1)&amp;"Sa,"&amp;INT(P[[#This Row],[Rah]]/30+1)&amp;"Ra"</f>
        <v>9Ma,12Me,-7Ju,1Ve,9Sa,4Ra</v>
      </c>
      <c r="S115" s="124">
        <f ca="1">Planet(P[[#This Row],[GMT Sun Rise]],4)</f>
        <v>262.47292688369203</v>
      </c>
      <c r="T115" s="124">
        <f ca="1">Planet(P[[#This Row],[GMT Sun Rise]],2)</f>
        <v>340.78314899413635</v>
      </c>
      <c r="U115" s="124">
        <f ca="1">Planet(P[[#This Row],[GMT Sun Rise]],5)</f>
        <v>206.89207584008454</v>
      </c>
      <c r="V115" s="124">
        <f ca="1">Planet(P[[#This Row],[GMT Sun Rise]],3)</f>
        <v>26.52973749978214</v>
      </c>
      <c r="W115" s="124">
        <f ca="1">Planet(P[[#This Row],[GMT Sun Rise]],6)</f>
        <v>255.03924286815482</v>
      </c>
      <c r="X115" s="124">
        <f ca="1">Planet(P[[#This Row],[GMT Sun Rise]],10)</f>
        <v>107.17330296392601</v>
      </c>
      <c r="Y115" s="124">
        <f ca="1">SIGN(S116-P[[#This Row],[MARs]])</f>
        <v>1</v>
      </c>
    </row>
    <row r="116" spans="1:25" x14ac:dyDescent="0.2">
      <c r="A116" s="125">
        <f t="shared" ca="1" si="24"/>
        <v>43208</v>
      </c>
      <c r="B116" s="125">
        <f t="shared" ca="1" si="17"/>
        <v>43208.229166666664</v>
      </c>
      <c r="C116" s="127">
        <f t="shared" ca="1" si="18"/>
        <v>43208.247265543941</v>
      </c>
      <c r="D116" s="127">
        <f t="shared" ca="1" si="19"/>
        <v>43207.765296757265</v>
      </c>
      <c r="E116" s="189">
        <f ca="1">P[[#This Row],[SunRise]]-TimeZone/24</f>
        <v>43208.018098877277</v>
      </c>
      <c r="F116" s="190">
        <f t="shared" ca="1" si="20"/>
        <v>3.8235747800586601</v>
      </c>
      <c r="G116" s="190">
        <f t="shared" ca="1" si="21"/>
        <v>29.023978612476821</v>
      </c>
      <c r="H116" s="191">
        <f t="shared" ca="1" si="22"/>
        <v>43208.018098877277</v>
      </c>
      <c r="I116" s="124" t="str">
        <f ca="1">naks(P[[#This Row],[Moon]])</f>
        <v>Krittika</v>
      </c>
      <c r="J116" s="127">
        <f ca="1">(C117-P[[#This Row],[SunRise]])/(G117-P[[#This Row],[Moon]])*(13.3333333333333-MOD(P[[#This Row],[Moon]],13.333333333333))+P[[#This Row],[SunRise]]</f>
        <v>43209.018230958565</v>
      </c>
      <c r="K116" s="124" t="str">
        <f ca="1">IF(P[[#This Row],[Tithi]]&gt;15,"K","S")&amp;ROUNDUP(MOD(P[[#This Row],[Tithi]],15),0)&amp;" ("&amp;ROUND(P[[#This Row],[Tithi]],2)&amp;")"</f>
        <v>S3 (2.1)</v>
      </c>
      <c r="L116" s="124">
        <f ca="1">IF(AND(P[[#This Row],[Tithi]]&lt;28.5,P[[#This Row],[Tithi]]&gt;0.49999),MOD((P[[#This Row],[Tithi]]-0.5)*2,7),MOD((P[[#This Row],[Tithi]]+30-28.5),30)*2+7)</f>
        <v>3.2002000000000006</v>
      </c>
      <c r="M116" s="124" t="str">
        <f ca="1">CHOOSE(ROUNDUP(P[[#This Row],[Karana1]],0),"Bhava","Baalava","Kaulava","Taitula","Garija","Vanija","Vishti","Shakuni","Chatushapda","Naaga","Kimstugna")</f>
        <v>Taitula</v>
      </c>
      <c r="N11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(2.47)</v>
      </c>
      <c r="O116" s="124">
        <f ca="1">IF(AND(P[[#This Row],[Tithi]]&lt;28.5,P[[#This Row],[Tithi]]&gt;0.49999),MOD((P[[#This Row],[Tithi]]-0.5)*2,7),MOD((P[[#This Row],[Tithi]]+30-28.5),30)*2+7)</f>
        <v>3.2002000000000006</v>
      </c>
      <c r="P116" s="124">
        <f ca="1">ROUNDUP(MOD(360+P[[#This Row],[Moon]]-P[[#This Row],[Sun]],360)/12,4)</f>
        <v>2.1001000000000003</v>
      </c>
      <c r="Q116" s="124">
        <f t="shared" ca="1" si="23"/>
        <v>2.4699999999999998</v>
      </c>
      <c r="R116" s="124" t="str">
        <f ca="1">SIGN(S117-P[[#This Row],[MARs]])*INT(P[[#This Row],[MARs]]/30+1)&amp;"Ma,"&amp;SIGN(T117-P[[#This Row],[Merc]])*INT(P[[#This Row],[Merc]]/30+1)&amp;"Me,"&amp;SIGN(U117-P[[#This Row],[Jup]])*INT(P[[#This Row],[Jup]]/30+1)&amp;"Ju,"&amp;SIGN(V117-P[[#This Row],[Venu]])*INT(P[[#This Row],[Venu]]/30+1)&amp;"Ve,"&amp;SIGN(W117-P[[#This Row],[Sat]])*INT(P[[#This Row],[Sat]]/30+1)&amp;"Sa,"&amp;INT(P[[#This Row],[Rah]]/30+1)&amp;"Ra"</f>
        <v>9Ma,12Me,-7Ju,1Ve,-9Sa,4Ra</v>
      </c>
      <c r="S116" s="124">
        <f ca="1">Planet(P[[#This Row],[GMT Sun Rise]],4)</f>
        <v>262.98391993559989</v>
      </c>
      <c r="T116" s="124">
        <f ca="1">Planet(P[[#This Row],[GMT Sun Rise]],2)</f>
        <v>340.96392848505417</v>
      </c>
      <c r="U116" s="124">
        <f ca="1">Planet(P[[#This Row],[GMT Sun Rise]],5)</f>
        <v>206.78501000714002</v>
      </c>
      <c r="V116" s="124">
        <f ca="1">Planet(P[[#This Row],[GMT Sun Rise]],3)</f>
        <v>27.751216192170091</v>
      </c>
      <c r="W116" s="124">
        <f ca="1">Planet(P[[#This Row],[GMT Sun Rise]],6)</f>
        <v>255.04012366281032</v>
      </c>
      <c r="X116" s="124">
        <f ca="1">Planet(P[[#This Row],[GMT Sun Rise]],10)</f>
        <v>107.12033231824648</v>
      </c>
      <c r="Y116" s="124">
        <f ca="1">SIGN(S117-P[[#This Row],[MARs]])</f>
        <v>1</v>
      </c>
    </row>
    <row r="117" spans="1:25" x14ac:dyDescent="0.2">
      <c r="A117" s="125">
        <f t="shared" ca="1" si="24"/>
        <v>43209</v>
      </c>
      <c r="B117" s="125">
        <f t="shared" ca="1" si="17"/>
        <v>43209.229166666664</v>
      </c>
      <c r="C117" s="127">
        <f t="shared" ca="1" si="18"/>
        <v>43209.246868338589</v>
      </c>
      <c r="D117" s="127">
        <f t="shared" ca="1" si="19"/>
        <v>43208.765385925813</v>
      </c>
      <c r="E117" s="189">
        <f ca="1">P[[#This Row],[SunRise]]-TimeZone/24</f>
        <v>43209.017701671924</v>
      </c>
      <c r="F117" s="190">
        <f t="shared" ca="1" si="20"/>
        <v>4.8009275491935668</v>
      </c>
      <c r="G117" s="190">
        <f t="shared" ca="1" si="21"/>
        <v>43.255047146801971</v>
      </c>
      <c r="H117" s="191">
        <f t="shared" ca="1" si="22"/>
        <v>43209.017701671924</v>
      </c>
      <c r="I117" s="124" t="str">
        <f ca="1">naks(P[[#This Row],[Moon]])</f>
        <v>Rohini</v>
      </c>
      <c r="J117" s="127">
        <f ca="1">(C118-P[[#This Row],[SunRise]])/(G118-P[[#This Row],[Moon]])*(13.3333333333333-MOD(P[[#This Row],[Moon]],13.333333333333))+P[[#This Row],[SunRise]]</f>
        <v>43209.951920833824</v>
      </c>
      <c r="K117" s="124" t="str">
        <f ca="1">IF(P[[#This Row],[Tithi]]&gt;15,"K","S")&amp;ROUNDUP(MOD(P[[#This Row],[Tithi]],15),0)&amp;" ("&amp;ROUND(P[[#This Row],[Tithi]],2)&amp;")"</f>
        <v>S4 (3.2)</v>
      </c>
      <c r="L117" s="124">
        <f ca="1">IF(AND(P[[#This Row],[Tithi]]&lt;28.5,P[[#This Row],[Tithi]]&gt;0.49999),MOD((P[[#This Row],[Tithi]]-0.5)*2,7),MOD((P[[#This Row],[Tithi]]+30-28.5),30)*2+7)</f>
        <v>5.4092000000000002</v>
      </c>
      <c r="M117" s="124" t="str">
        <f ca="1">CHOOSE(ROUNDUP(P[[#This Row],[Karana1]],0),"Bhava","Baalava","Kaulava","Taitula","Garija","Vanija","Vishti","Shakuni","Chatushapda","Naaga","Kimstugna")</f>
        <v>Vanija</v>
      </c>
      <c r="N11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(3.61)</v>
      </c>
      <c r="O117" s="124">
        <f ca="1">IF(AND(P[[#This Row],[Tithi]]&lt;28.5,P[[#This Row],[Tithi]]&gt;0.49999),MOD((P[[#This Row],[Tithi]]-0.5)*2,7),MOD((P[[#This Row],[Tithi]]+30-28.5),30)*2+7)</f>
        <v>5.4092000000000002</v>
      </c>
      <c r="P117" s="124">
        <f ca="1">ROUNDUP(MOD(360+P[[#This Row],[Moon]]-P[[#This Row],[Sun]],360)/12,4)</f>
        <v>3.2046000000000001</v>
      </c>
      <c r="Q117" s="124">
        <f t="shared" ca="1" si="23"/>
        <v>3.61</v>
      </c>
      <c r="R117" s="124" t="str">
        <f ca="1">SIGN(S118-P[[#This Row],[MARs]])*INT(P[[#This Row],[MARs]]/30+1)&amp;"Ma,"&amp;SIGN(T118-P[[#This Row],[Merc]])*INT(P[[#This Row],[Merc]]/30+1)&amp;"Me,"&amp;SIGN(U118-P[[#This Row],[Jup]])*INT(P[[#This Row],[Jup]]/30+1)&amp;"Ju,"&amp;SIGN(V118-P[[#This Row],[Venu]])*INT(P[[#This Row],[Venu]]/30+1)&amp;"Ve,"&amp;SIGN(W118-P[[#This Row],[Sat]])*INT(P[[#This Row],[Sat]]/30+1)&amp;"Sa,"&amp;INT(P[[#This Row],[Rah]]/30+1)&amp;"Ra"</f>
        <v>9Ma,12Me,-7Ju,1Ve,-9Sa,4Ra</v>
      </c>
      <c r="S117" s="124">
        <f ca="1">Planet(P[[#This Row],[GMT Sun Rise]],4)</f>
        <v>263.49194857415347</v>
      </c>
      <c r="T117" s="124">
        <f ca="1">Planet(P[[#This Row],[GMT Sun Rise]],2)</f>
        <v>341.22581615113597</v>
      </c>
      <c r="U117" s="124">
        <f ca="1">Planet(P[[#This Row],[GMT Sun Rise]],5)</f>
        <v>206.67616824225371</v>
      </c>
      <c r="V117" s="124">
        <f ca="1">Planet(P[[#This Row],[GMT Sun Rise]],3)</f>
        <v>28.972026026688965</v>
      </c>
      <c r="W117" s="124">
        <f ca="1">Planet(P[[#This Row],[GMT Sun Rise]],6)</f>
        <v>255.03935719558743</v>
      </c>
      <c r="X117" s="124">
        <f ca="1">Planet(P[[#This Row],[GMT Sun Rise]],10)</f>
        <v>107.06736136932747</v>
      </c>
      <c r="Y117" s="124">
        <f ca="1">SIGN(S118-P[[#This Row],[MARs]])</f>
        <v>1</v>
      </c>
    </row>
    <row r="118" spans="1:25" x14ac:dyDescent="0.2">
      <c r="A118" s="125">
        <f t="shared" ca="1" si="24"/>
        <v>43210</v>
      </c>
      <c r="B118" s="125">
        <f t="shared" ca="1" si="17"/>
        <v>43210.229166666664</v>
      </c>
      <c r="C118" s="127">
        <f t="shared" ca="1" si="18"/>
        <v>43210.246477173328</v>
      </c>
      <c r="D118" s="127">
        <f t="shared" ca="1" si="19"/>
        <v>43209.765478273432</v>
      </c>
      <c r="E118" s="189">
        <f ca="1">P[[#This Row],[SunRise]]-TimeZone/24</f>
        <v>43210.017310506664</v>
      </c>
      <c r="F118" s="190">
        <f t="shared" ca="1" si="20"/>
        <v>5.777694878489724</v>
      </c>
      <c r="G118" s="190">
        <f t="shared" ca="1" si="21"/>
        <v>57.543832704177717</v>
      </c>
      <c r="H118" s="191">
        <f t="shared" ca="1" si="22"/>
        <v>43210.017310506664</v>
      </c>
      <c r="I118" s="124" t="str">
        <f ca="1">naks(P[[#This Row],[Moon]])</f>
        <v>Mrigashira</v>
      </c>
      <c r="J118" s="127">
        <f ca="1">(C119-P[[#This Row],[SunRise]])/(G119-P[[#This Row],[Moon]])*(13.3333333333333-MOD(P[[#This Row],[Moon]],13.333333333333))+P[[#This Row],[SunRise]]</f>
        <v>43210.885317850392</v>
      </c>
      <c r="K118" s="124" t="str">
        <f ca="1">IF(P[[#This Row],[Tithi]]&gt;15,"K","S")&amp;ROUNDUP(MOD(P[[#This Row],[Tithi]],15),0)&amp;" ("&amp;ROUND(P[[#This Row],[Tithi]],2)&amp;")"</f>
        <v>S5 (4.31)</v>
      </c>
      <c r="L118" s="124">
        <f ca="1">IF(AND(P[[#This Row],[Tithi]]&lt;28.5,P[[#This Row],[Tithi]]&gt;0.49999),MOD((P[[#This Row],[Tithi]]-0.5)*2,7),MOD((P[[#This Row],[Tithi]]+30-28.5),30)*2+7)</f>
        <v>0.6277999999999988</v>
      </c>
      <c r="M118" s="124" t="str">
        <f ca="1">CHOOSE(ROUNDUP(P[[#This Row],[Karana1]],0),"Bhava","Baalava","Kaulava","Taitula","Garija","Vanija","Vishti","Shakuni","Chatushapda","Naaga","Kimstugna")</f>
        <v>Bhava</v>
      </c>
      <c r="N11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(4.75)</v>
      </c>
      <c r="O118" s="124">
        <f ca="1">IF(AND(P[[#This Row],[Tithi]]&lt;28.5,P[[#This Row],[Tithi]]&gt;0.49999),MOD((P[[#This Row],[Tithi]]-0.5)*2,7),MOD((P[[#This Row],[Tithi]]+30-28.5),30)*2+7)</f>
        <v>0.6277999999999988</v>
      </c>
      <c r="P118" s="124">
        <f ca="1">ROUNDUP(MOD(360+P[[#This Row],[Moon]]-P[[#This Row],[Sun]],360)/12,4)</f>
        <v>4.3138999999999994</v>
      </c>
      <c r="Q118" s="124">
        <f t="shared" ca="1" si="23"/>
        <v>4.75</v>
      </c>
      <c r="R118" s="124" t="str">
        <f ca="1">SIGN(S119-P[[#This Row],[MARs]])*INT(P[[#This Row],[MARs]]/30+1)&amp;"Ma,"&amp;SIGN(T119-P[[#This Row],[Merc]])*INT(P[[#This Row],[Merc]]/30+1)&amp;"Me,"&amp;SIGN(U119-P[[#This Row],[Jup]])*INT(P[[#This Row],[Jup]]/30+1)&amp;"Ju,"&amp;SIGN(V119-P[[#This Row],[Venu]])*INT(P[[#This Row],[Venu]]/30+1)&amp;"Ve,"&amp;SIGN(W119-P[[#This Row],[Sat]])*INT(P[[#This Row],[Sat]]/30+1)&amp;"Sa,"&amp;INT(P[[#This Row],[Rah]]/30+1)&amp;"Ra"</f>
        <v>9Ma,12Me,-7Ju,2Ve,-9Sa,4Ra</v>
      </c>
      <c r="S118" s="124">
        <f ca="1">Planet(P[[#This Row],[GMT Sun Rise]],4)</f>
        <v>263.99695413475825</v>
      </c>
      <c r="T118" s="124">
        <f ca="1">Planet(P[[#This Row],[GMT Sun Rise]],2)</f>
        <v>341.56598861951312</v>
      </c>
      <c r="U118" s="124">
        <f ca="1">Planet(P[[#This Row],[GMT Sun Rise]],5)</f>
        <v>206.56562827295031</v>
      </c>
      <c r="V118" s="124">
        <f ca="1">Planet(P[[#This Row],[GMT Sun Rise]],3)</f>
        <v>30.192148787041685</v>
      </c>
      <c r="W118" s="124">
        <f ca="1">Planet(P[[#This Row],[GMT Sun Rise]],6)</f>
        <v>255.03694796121903</v>
      </c>
      <c r="X118" s="124">
        <f ca="1">Planet(P[[#This Row],[GMT Sun Rise]],10)</f>
        <v>107.01439010031859</v>
      </c>
      <c r="Y118" s="124">
        <f ca="1">SIGN(S119-P[[#This Row],[MARs]])</f>
        <v>1</v>
      </c>
    </row>
    <row r="119" spans="1:25" x14ac:dyDescent="0.2">
      <c r="A119" s="125">
        <f t="shared" ca="1" si="24"/>
        <v>43211</v>
      </c>
      <c r="B119" s="125">
        <f t="shared" ca="1" si="17"/>
        <v>43211.229166666664</v>
      </c>
      <c r="C119" s="127">
        <f t="shared" ca="1" si="18"/>
        <v>43211.246092206951</v>
      </c>
      <c r="D119" s="127">
        <f t="shared" ca="1" si="19"/>
        <v>43210.765573799654</v>
      </c>
      <c r="E119" s="189">
        <f ca="1">P[[#This Row],[SunRise]]-TimeZone/24</f>
        <v>43211.016925540287</v>
      </c>
      <c r="F119" s="190">
        <f t="shared" ca="1" si="20"/>
        <v>6.7538652741253502</v>
      </c>
      <c r="G119" s="190">
        <f t="shared" ca="1" si="21"/>
        <v>71.81863126599437</v>
      </c>
      <c r="H119" s="191">
        <f t="shared" ca="1" si="22"/>
        <v>43211.016925540287</v>
      </c>
      <c r="I119" s="124" t="str">
        <f ca="1">naks(P[[#This Row],[Moon]])</f>
        <v>Ardra</v>
      </c>
      <c r="J119" s="127">
        <f ca="1">(C120-P[[#This Row],[SunRise]])/(G120-P[[#This Row],[Moon]])*(13.3333333333333-MOD(P[[#This Row],[Moon]],13.333333333333))+P[[#This Row],[SunRise]]</f>
        <v>43211.821647900768</v>
      </c>
      <c r="K119" s="124" t="str">
        <f ca="1">IF(P[[#This Row],[Tithi]]&gt;15,"K","S")&amp;ROUNDUP(MOD(P[[#This Row],[Tithi]],15),0)&amp;" ("&amp;ROUND(P[[#This Row],[Tithi]],2)&amp;")"</f>
        <v>S6 (5.42)</v>
      </c>
      <c r="L119" s="124">
        <f ca="1">IF(AND(P[[#This Row],[Tithi]]&lt;28.5,P[[#This Row],[Tithi]]&gt;0.49999),MOD((P[[#This Row],[Tithi]]-0.5)*2,7),MOD((P[[#This Row],[Tithi]]+30-28.5),30)*2+7)</f>
        <v>2.844199999999999</v>
      </c>
      <c r="M119" s="124" t="str">
        <f ca="1">CHOOSE(ROUNDUP(P[[#This Row],[Karana1]],0),"Bhava","Baalava","Kaulava","Taitula","Garija","Vanija","Vishti","Shakuni","Chatushapda","Naaga","Kimstugna")</f>
        <v>Kaulava</v>
      </c>
      <c r="N11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(5.9)</v>
      </c>
      <c r="O119" s="124">
        <f ca="1">IF(AND(P[[#This Row],[Tithi]]&lt;28.5,P[[#This Row],[Tithi]]&gt;0.49999),MOD((P[[#This Row],[Tithi]]-0.5)*2,7),MOD((P[[#This Row],[Tithi]]+30-28.5),30)*2+7)</f>
        <v>2.844199999999999</v>
      </c>
      <c r="P119" s="124">
        <f ca="1">ROUNDUP(MOD(360+P[[#This Row],[Moon]]-P[[#This Row],[Sun]],360)/12,4)</f>
        <v>5.4220999999999995</v>
      </c>
      <c r="Q119" s="124">
        <f t="shared" ca="1" si="23"/>
        <v>5.8999999999999995</v>
      </c>
      <c r="R119" s="124" t="str">
        <f ca="1">SIGN(S120-P[[#This Row],[MARs]])*INT(P[[#This Row],[MARs]]/30+1)&amp;"Ma,"&amp;SIGN(T120-P[[#This Row],[Merc]])*INT(P[[#This Row],[Merc]]/30+1)&amp;"Me,"&amp;SIGN(U120-P[[#This Row],[Jup]])*INT(P[[#This Row],[Jup]]/30+1)&amp;"Ju,"&amp;SIGN(V120-P[[#This Row],[Venu]])*INT(P[[#This Row],[Venu]]/30+1)&amp;"Ve,"&amp;SIGN(W120-P[[#This Row],[Sat]])*INT(P[[#This Row],[Sat]]/30+1)&amp;"Sa,"&amp;INT(P[[#This Row],[Rah]]/30+1)&amp;"Ra"</f>
        <v>9Ma,12Me,-7Ju,2Ve,-9Sa,4Ra</v>
      </c>
      <c r="S119" s="124">
        <f ca="1">Planet(P[[#This Row],[GMT Sun Rise]],4)</f>
        <v>264.49888080130773</v>
      </c>
      <c r="T119" s="124">
        <f ca="1">Planet(P[[#This Row],[GMT Sun Rise]],2)</f>
        <v>341.98147471952882</v>
      </c>
      <c r="U119" s="124">
        <f ca="1">Planet(P[[#This Row],[GMT Sun Rise]],5)</f>
        <v>206.45346912557611</v>
      </c>
      <c r="V119" s="124">
        <f ca="1">Planet(P[[#This Row],[GMT Sun Rise]],3)</f>
        <v>31.411566314813914</v>
      </c>
      <c r="W119" s="124">
        <f ca="1">Planet(P[[#This Row],[GMT Sun Rise]],6)</f>
        <v>255.03290144851053</v>
      </c>
      <c r="X119" s="124">
        <f ca="1">Planet(P[[#This Row],[GMT Sun Rise]],10)</f>
        <v>106.96141850285242</v>
      </c>
      <c r="Y119" s="124">
        <f ca="1">SIGN(S120-P[[#This Row],[MARs]])</f>
        <v>1</v>
      </c>
    </row>
    <row r="120" spans="1:25" x14ac:dyDescent="0.2">
      <c r="A120" s="125">
        <f t="shared" ca="1" si="24"/>
        <v>43212</v>
      </c>
      <c r="B120" s="125">
        <f t="shared" ca="1" si="17"/>
        <v>43212.229166666664</v>
      </c>
      <c r="C120" s="127">
        <f t="shared" ca="1" si="18"/>
        <v>43212.245713598248</v>
      </c>
      <c r="D120" s="127">
        <f t="shared" ca="1" si="19"/>
        <v>43211.765672504946</v>
      </c>
      <c r="E120" s="189">
        <f ca="1">P[[#This Row],[SunRise]]-TimeZone/24</f>
        <v>43212.016546931583</v>
      </c>
      <c r="F120" s="190">
        <f t="shared" ca="1" si="20"/>
        <v>7.7294312107399072</v>
      </c>
      <c r="G120" s="190">
        <f t="shared" ca="1" si="21"/>
        <v>86.027979352492778</v>
      </c>
      <c r="H120" s="191">
        <f t="shared" ca="1" si="22"/>
        <v>43212.016546931583</v>
      </c>
      <c r="I120" s="124" t="str">
        <f ca="1">naks(P[[#This Row],[Moon]])</f>
        <v>Punarvasu</v>
      </c>
      <c r="J120" s="127">
        <f ca="1">(C121-P[[#This Row],[SunRise]])/(G121-P[[#This Row],[Moon]])*(13.3333333333333-MOD(P[[#This Row],[Moon]],13.333333333333))+P[[#This Row],[SunRise]]</f>
        <v>43212.763142725176</v>
      </c>
      <c r="K120" s="124" t="str">
        <f ca="1">IF(P[[#This Row],[Tithi]]&gt;15,"K","S")&amp;ROUNDUP(MOD(P[[#This Row],[Tithi]],15),0)&amp;" ("&amp;ROUND(P[[#This Row],[Tithi]],2)&amp;")"</f>
        <v>S7 (6.52)</v>
      </c>
      <c r="L120" s="124">
        <f ca="1">IF(AND(P[[#This Row],[Tithi]]&lt;28.5,P[[#This Row],[Tithi]]&gt;0.49999),MOD((P[[#This Row],[Tithi]]-0.5)*2,7),MOD((P[[#This Row],[Tithi]]+30-28.5),30)*2+7)</f>
        <v>5.0497999999999994</v>
      </c>
      <c r="M120" s="124" t="str">
        <f ca="1">CHOOSE(ROUNDUP(P[[#This Row],[Karana1]],0),"Bhava","Baalava","Kaulava","Taitula","Garija","Vanija","Vishti","Shakuni","Chatushapda","Naaga","Kimstugna")</f>
        <v>Vanija</v>
      </c>
      <c r="N12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(7.04)</v>
      </c>
      <c r="O120" s="124">
        <f ca="1">IF(AND(P[[#This Row],[Tithi]]&lt;28.5,P[[#This Row],[Tithi]]&gt;0.49999),MOD((P[[#This Row],[Tithi]]-0.5)*2,7),MOD((P[[#This Row],[Tithi]]+30-28.5),30)*2+7)</f>
        <v>5.0497999999999994</v>
      </c>
      <c r="P120" s="124">
        <f ca="1">ROUNDUP(MOD(360+P[[#This Row],[Moon]]-P[[#This Row],[Sun]],360)/12,4)</f>
        <v>6.5248999999999997</v>
      </c>
      <c r="Q120" s="124">
        <f t="shared" ca="1" si="23"/>
        <v>7.04</v>
      </c>
      <c r="R120" s="124" t="str">
        <f ca="1">SIGN(S121-P[[#This Row],[MARs]])*INT(P[[#This Row],[MARs]]/30+1)&amp;"Ma,"&amp;SIGN(T121-P[[#This Row],[Merc]])*INT(P[[#This Row],[Merc]]/30+1)&amp;"Me,"&amp;SIGN(U121-P[[#This Row],[Jup]])*INT(P[[#This Row],[Jup]]/30+1)&amp;"Ju,"&amp;SIGN(V121-P[[#This Row],[Venu]])*INT(P[[#This Row],[Venu]]/30+1)&amp;"Ve,"&amp;SIGN(W121-P[[#This Row],[Sat]])*INT(P[[#This Row],[Sat]]/30+1)&amp;"Sa,"&amp;INT(P[[#This Row],[Rah]]/30+1)&amp;"Ra"</f>
        <v>9Ma,12Me,-7Ju,2Ve,-9Sa,4Ra</v>
      </c>
      <c r="S120" s="124">
        <f ca="1">Planet(P[[#This Row],[GMT Sun Rise]],4)</f>
        <v>264.99767452493774</v>
      </c>
      <c r="T120" s="124">
        <f ca="1">Planet(P[[#This Row],[GMT Sun Rise]],2)</f>
        <v>342.46923919970453</v>
      </c>
      <c r="U120" s="124">
        <f ca="1">Planet(P[[#This Row],[GMT Sun Rise]],5)</f>
        <v>206.33977063033655</v>
      </c>
      <c r="V120" s="124">
        <f ca="1">Planet(P[[#This Row],[GMT Sun Rise]],3)</f>
        <v>32.630261532169158</v>
      </c>
      <c r="W120" s="124">
        <f ca="1">Planet(P[[#This Row],[GMT Sun Rise]],6)</f>
        <v>255.02722398467469</v>
      </c>
      <c r="X120" s="124">
        <f ca="1">Planet(P[[#This Row],[GMT Sun Rise]],10)</f>
        <v>106.90844656846227</v>
      </c>
      <c r="Y120" s="124">
        <f ca="1">SIGN(S121-P[[#This Row],[MARs]])</f>
        <v>1</v>
      </c>
    </row>
    <row r="121" spans="1:25" x14ac:dyDescent="0.2">
      <c r="A121" s="125">
        <f t="shared" ca="1" si="24"/>
        <v>43213</v>
      </c>
      <c r="B121" s="125">
        <f t="shared" ca="1" si="17"/>
        <v>43213.229166666664</v>
      </c>
      <c r="C121" s="127">
        <f t="shared" ca="1" si="18"/>
        <v>43213.245341506008</v>
      </c>
      <c r="D121" s="127">
        <f t="shared" ca="1" si="19"/>
        <v>43212.765774389307</v>
      </c>
      <c r="E121" s="189">
        <f ca="1">P[[#This Row],[SunRise]]-TimeZone/24</f>
        <v>43213.016174839344</v>
      </c>
      <c r="F121" s="190">
        <f t="shared" ca="1" si="20"/>
        <v>8.7043899103984153</v>
      </c>
      <c r="G121" s="190">
        <f t="shared" ca="1" si="21"/>
        <v>100.14128557214816</v>
      </c>
      <c r="H121" s="191">
        <f t="shared" ca="1" si="22"/>
        <v>43213.016174839344</v>
      </c>
      <c r="I121" s="124" t="str">
        <f ca="1">naks(P[[#This Row],[Moon]])</f>
        <v>Pushya</v>
      </c>
      <c r="J121" s="127">
        <f ca="1">(C122-P[[#This Row],[SunRise]])/(G122-P[[#This Row],[Moon]])*(13.3333333333333-MOD(P[[#This Row],[Moon]],13.333333333333))+P[[#This Row],[SunRise]]</f>
        <v>43213.711185581225</v>
      </c>
      <c r="K121" s="124" t="str">
        <f ca="1">IF(P[[#This Row],[Tithi]]&gt;15,"K","S")&amp;ROUNDUP(MOD(P[[#This Row],[Tithi]],15),0)&amp;" ("&amp;ROUND(P[[#This Row],[Tithi]],2)&amp;")"</f>
        <v>S8 (7.62)</v>
      </c>
      <c r="L121" s="124">
        <f ca="1">IF(AND(P[[#This Row],[Tithi]]&lt;28.5,P[[#This Row],[Tithi]]&gt;0.49999),MOD((P[[#This Row],[Tithi]]-0.5)*2,7),MOD((P[[#This Row],[Tithi]]+30-28.5),30)*2+7)</f>
        <v>0.23959999999999937</v>
      </c>
      <c r="M121" s="124" t="str">
        <f ca="1">CHOOSE(ROUNDUP(P[[#This Row],[Karana1]],0),"Bhava","Baalava","Kaulava","Taitula","Garija","Vanija","Vishti","Shakuni","Chatushapda","Naaga","Kimstugna")</f>
        <v>Bhava</v>
      </c>
      <c r="N12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(8.17)</v>
      </c>
      <c r="O121" s="124">
        <f ca="1">IF(AND(P[[#This Row],[Tithi]]&lt;28.5,P[[#This Row],[Tithi]]&gt;0.49999),MOD((P[[#This Row],[Tithi]]-0.5)*2,7),MOD((P[[#This Row],[Tithi]]+30-28.5),30)*2+7)</f>
        <v>0.23959999999999937</v>
      </c>
      <c r="P121" s="124">
        <f ca="1">ROUNDUP(MOD(360+P[[#This Row],[Moon]]-P[[#This Row],[Sun]],360)/12,4)</f>
        <v>7.6197999999999997</v>
      </c>
      <c r="Q121" s="124">
        <f t="shared" ca="1" si="23"/>
        <v>8.17</v>
      </c>
      <c r="R121" s="124" t="str">
        <f ca="1">SIGN(S122-P[[#This Row],[MARs]])*INT(P[[#This Row],[MARs]]/30+1)&amp;"Ma,"&amp;SIGN(T122-P[[#This Row],[Merc]])*INT(P[[#This Row],[Merc]]/30+1)&amp;"Me,"&amp;SIGN(U122-P[[#This Row],[Jup]])*INT(P[[#This Row],[Jup]]/30+1)&amp;"Ju,"&amp;SIGN(V122-P[[#This Row],[Venu]])*INT(P[[#This Row],[Venu]]/30+1)&amp;"Ve,"&amp;SIGN(W122-P[[#This Row],[Sat]])*INT(P[[#This Row],[Sat]]/30+1)&amp;"Sa,"&amp;INT(P[[#This Row],[Rah]]/30+1)&amp;"Ra"</f>
        <v>9Ma,12Me,-7Ju,2Ve,-9Sa,4Ra</v>
      </c>
      <c r="S121" s="124">
        <f ca="1">Planet(P[[#This Row],[GMT Sun Rise]],4)</f>
        <v>265.49328148632213</v>
      </c>
      <c r="T121" s="124">
        <f ca="1">Planet(P[[#This Row],[GMT Sun Rise]],2)</f>
        <v>343.02624872591167</v>
      </c>
      <c r="U121" s="124">
        <f ca="1">Planet(P[[#This Row],[GMT Sun Rise]],5)</f>
        <v>206.22461299369436</v>
      </c>
      <c r="V121" s="124">
        <f ca="1">Planet(P[[#This Row],[GMT Sun Rise]],3)</f>
        <v>33.848219198297542</v>
      </c>
      <c r="W121" s="124">
        <f ca="1">Planet(P[[#This Row],[GMT Sun Rise]],6)</f>
        <v>255.01992255289707</v>
      </c>
      <c r="X121" s="124">
        <f ca="1">Planet(P[[#This Row],[GMT Sun Rise]],10)</f>
        <v>106.85547428876448</v>
      </c>
      <c r="Y121" s="124">
        <f ca="1">SIGN(S122-P[[#This Row],[MARs]])</f>
        <v>1</v>
      </c>
    </row>
    <row r="122" spans="1:25" x14ac:dyDescent="0.2">
      <c r="A122" s="125">
        <f t="shared" ca="1" si="24"/>
        <v>43214</v>
      </c>
      <c r="B122" s="125">
        <f t="shared" ca="1" si="17"/>
        <v>43214.229166666664</v>
      </c>
      <c r="C122" s="127">
        <f t="shared" ca="1" si="18"/>
        <v>43214.244976248745</v>
      </c>
      <c r="D122" s="127">
        <f t="shared" ca="1" si="19"/>
        <v>43213.765879611528</v>
      </c>
      <c r="E122" s="189">
        <f ca="1">P[[#This Row],[SunRise]]-TimeZone/24</f>
        <v>43214.015809582081</v>
      </c>
      <c r="F122" s="190">
        <f t="shared" ca="1" si="20"/>
        <v>9.6787438800185139</v>
      </c>
      <c r="G122" s="190">
        <f t="shared" ca="1" si="21"/>
        <v>114.14381989360318</v>
      </c>
      <c r="H122" s="191">
        <f t="shared" ca="1" si="22"/>
        <v>43214.015809582081</v>
      </c>
      <c r="I122" s="124" t="str">
        <f ca="1">naks(P[[#This Row],[Moon]])</f>
        <v>Aslesha</v>
      </c>
      <c r="J122" s="127">
        <f ca="1">(C123-P[[#This Row],[SunRise]])/(G123-P[[#This Row],[Moon]])*(13.3333333333333-MOD(P[[#This Row],[Moon]],13.333333333333))+P[[#This Row],[SunRise]]</f>
        <v>43214.66659241412</v>
      </c>
      <c r="K122" s="124" t="str">
        <f ca="1">IF(P[[#This Row],[Tithi]]&gt;15,"K","S")&amp;ROUNDUP(MOD(P[[#This Row],[Tithi]],15),0)&amp;" ("&amp;ROUND(P[[#This Row],[Tithi]],2)&amp;")"</f>
        <v>S9 (8.71)</v>
      </c>
      <c r="L122" s="124">
        <f ca="1">IF(AND(P[[#This Row],[Tithi]]&lt;28.5,P[[#This Row],[Tithi]]&gt;0.49999),MOD((P[[#This Row],[Tithi]]-0.5)*2,7),MOD((P[[#This Row],[Tithi]]+30-28.5),30)*2+7)</f>
        <v>2.4109999999999978</v>
      </c>
      <c r="M122" s="124" t="str">
        <f ca="1">CHOOSE(ROUNDUP(P[[#This Row],[Karana1]],0),"Bhava","Baalava","Kaulava","Taitula","Garija","Vanija","Vishti","Shakuni","Chatushapda","Naaga","Kimstugna")</f>
        <v>Kaulava</v>
      </c>
      <c r="N12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(9.29)</v>
      </c>
      <c r="O122" s="124">
        <f ca="1">IF(AND(P[[#This Row],[Tithi]]&lt;28.5,P[[#This Row],[Tithi]]&gt;0.49999),MOD((P[[#This Row],[Tithi]]-0.5)*2,7),MOD((P[[#This Row],[Tithi]]+30-28.5),30)*2+7)</f>
        <v>2.4109999999999978</v>
      </c>
      <c r="P122" s="124">
        <f ca="1">ROUNDUP(MOD(360+P[[#This Row],[Moon]]-P[[#This Row],[Sun]],360)/12,4)</f>
        <v>8.7054999999999989</v>
      </c>
      <c r="Q122" s="124">
        <f t="shared" ca="1" si="23"/>
        <v>9.2899999999999991</v>
      </c>
      <c r="R122" s="124" t="str">
        <f ca="1">SIGN(S123-P[[#This Row],[MARs]])*INT(P[[#This Row],[MARs]]/30+1)&amp;"Ma,"&amp;SIGN(T123-P[[#This Row],[Merc]])*INT(P[[#This Row],[Merc]]/30+1)&amp;"Me,"&amp;SIGN(U123-P[[#This Row],[Jup]])*INT(P[[#This Row],[Jup]]/30+1)&amp;"Ju,"&amp;SIGN(V123-P[[#This Row],[Venu]])*INT(P[[#This Row],[Venu]]/30+1)&amp;"Ve,"&amp;SIGN(W123-P[[#This Row],[Sat]])*INT(P[[#This Row],[Sat]]/30+1)&amp;"Sa,"&amp;INT(P[[#This Row],[Rah]]/30+1)&amp;"Ra"</f>
        <v>9Ma,12Me,-7Ju,2Ve,-9Sa,4Ra</v>
      </c>
      <c r="S122" s="124">
        <f ca="1">Planet(P[[#This Row],[GMT Sun Rise]],4)</f>
        <v>265.98564641190717</v>
      </c>
      <c r="T122" s="124">
        <f ca="1">Planet(P[[#This Row],[GMT Sun Rise]],2)</f>
        <v>343.64952268747669</v>
      </c>
      <c r="U122" s="124">
        <f ca="1">Planet(P[[#This Row],[GMT Sun Rise]],5)</f>
        <v>206.10807644390499</v>
      </c>
      <c r="V122" s="124">
        <f ca="1">Planet(P[[#This Row],[GMT Sun Rise]],3)</f>
        <v>35.065426700971251</v>
      </c>
      <c r="W122" s="124">
        <f ca="1">Planet(P[[#This Row],[GMT Sun Rise]],6)</f>
        <v>255.01100460052248</v>
      </c>
      <c r="X122" s="124">
        <f ca="1">Planet(P[[#This Row],[GMT Sun Rise]],10)</f>
        <v>106.80250164685891</v>
      </c>
      <c r="Y122" s="124">
        <f ca="1">SIGN(S123-P[[#This Row],[MARs]])</f>
        <v>1</v>
      </c>
    </row>
    <row r="123" spans="1:25" x14ac:dyDescent="0.2">
      <c r="A123" s="125">
        <f t="shared" ca="1" si="24"/>
        <v>43215</v>
      </c>
      <c r="B123" s="125">
        <f t="shared" ca="1" si="17"/>
        <v>43215.229166666664</v>
      </c>
      <c r="C123" s="127">
        <f t="shared" ca="1" si="18"/>
        <v>43215.244617985249</v>
      </c>
      <c r="D123" s="127">
        <f t="shared" ca="1" si="19"/>
        <v>43214.765988171144</v>
      </c>
      <c r="E123" s="189">
        <f ca="1">P[[#This Row],[SunRise]]-TimeZone/24</f>
        <v>43215.015451318584</v>
      </c>
      <c r="F123" s="190">
        <f t="shared" ca="1" si="20"/>
        <v>10.652500529045561</v>
      </c>
      <c r="G123" s="190">
        <f t="shared" ca="1" si="21"/>
        <v>128.0286813661651</v>
      </c>
      <c r="H123" s="191">
        <f t="shared" ca="1" si="22"/>
        <v>43215.015451318584</v>
      </c>
      <c r="I123" s="124" t="str">
        <f ca="1">naks(P[[#This Row],[Moon]])</f>
        <v>Makha</v>
      </c>
      <c r="J123" s="127">
        <f ca="1">(C124-P[[#This Row],[SunRise]])/(G124-P[[#This Row],[Moon]])*(13.3333333333333-MOD(P[[#This Row],[Moon]],13.333333333333))+P[[#This Row],[SunRise]]</f>
        <v>43215.629997307668</v>
      </c>
      <c r="K123" s="124" t="str">
        <f ca="1">IF(P[[#This Row],[Tithi]]&gt;15,"K","S")&amp;ROUNDUP(MOD(P[[#This Row],[Tithi]],15),0)&amp;" ("&amp;ROUND(P[[#This Row],[Tithi]],2)&amp;")"</f>
        <v>S10 (9.78)</v>
      </c>
      <c r="L123" s="124">
        <f ca="1">IF(AND(P[[#This Row],[Tithi]]&lt;28.5,P[[#This Row],[Tithi]]&gt;0.49999),MOD((P[[#This Row],[Tithi]]-0.5)*2,7),MOD((P[[#This Row],[Tithi]]+30-28.5),30)*2+7)</f>
        <v>4.5627999999999993</v>
      </c>
      <c r="M123" s="124" t="str">
        <f ca="1">CHOOSE(ROUNDUP(P[[#This Row],[Karana1]],0),"Bhava","Baalava","Kaulava","Taitula","Garija","Vanija","Vishti","Shakuni","Chatushapda","Naaga","Kimstugna")</f>
        <v>Garija</v>
      </c>
      <c r="N12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(10.41)</v>
      </c>
      <c r="O123" s="124">
        <f ca="1">IF(AND(P[[#This Row],[Tithi]]&lt;28.5,P[[#This Row],[Tithi]]&gt;0.49999),MOD((P[[#This Row],[Tithi]]-0.5)*2,7),MOD((P[[#This Row],[Tithi]]+30-28.5),30)*2+7)</f>
        <v>4.5627999999999993</v>
      </c>
      <c r="P123" s="124">
        <f ca="1">ROUNDUP(MOD(360+P[[#This Row],[Moon]]-P[[#This Row],[Sun]],360)/12,4)</f>
        <v>9.7813999999999997</v>
      </c>
      <c r="Q123" s="124">
        <f t="shared" ca="1" si="23"/>
        <v>10.41</v>
      </c>
      <c r="R123" s="124" t="str">
        <f ca="1">SIGN(S124-P[[#This Row],[MARs]])*INT(P[[#This Row],[MARs]]/30+1)&amp;"Ma,"&amp;SIGN(T124-P[[#This Row],[Merc]])*INT(P[[#This Row],[Merc]]/30+1)&amp;"Me,"&amp;SIGN(U124-P[[#This Row],[Jup]])*INT(P[[#This Row],[Jup]]/30+1)&amp;"Ju,"&amp;SIGN(V124-P[[#This Row],[Venu]])*INT(P[[#This Row],[Venu]]/30+1)&amp;"Ve,"&amp;SIGN(W124-P[[#This Row],[Sat]])*INT(P[[#This Row],[Sat]]/30+1)&amp;"Sa,"&amp;INT(P[[#This Row],[Rah]]/30+1)&amp;"Ra"</f>
        <v>9Ma,12Me,-7Ju,2Ve,-9Sa,4Ra</v>
      </c>
      <c r="S123" s="124">
        <f ca="1">Planet(P[[#This Row],[GMT Sun Rise]],4)</f>
        <v>266.47471063493543</v>
      </c>
      <c r="T123" s="124">
        <f ca="1">Planet(P[[#This Row],[GMT Sun Rise]],2)</f>
        <v>344.33617084177843</v>
      </c>
      <c r="U123" s="124">
        <f ca="1">Planet(P[[#This Row],[GMT Sun Rise]],5)</f>
        <v>205.99024106368853</v>
      </c>
      <c r="V123" s="124">
        <f ca="1">Planet(P[[#This Row],[GMT Sun Rise]],3)</f>
        <v>36.28187402666471</v>
      </c>
      <c r="W123" s="124">
        <f ca="1">Planet(P[[#This Row],[GMT Sun Rise]],6)</f>
        <v>255.00047786480116</v>
      </c>
      <c r="X123" s="124">
        <f ca="1">Planet(P[[#This Row],[GMT Sun Rise]],10)</f>
        <v>106.74952863434498</v>
      </c>
      <c r="Y123" s="124">
        <f ca="1">SIGN(S124-P[[#This Row],[MARs]])</f>
        <v>1</v>
      </c>
    </row>
    <row r="124" spans="1:25" x14ac:dyDescent="0.2">
      <c r="A124" s="125">
        <f t="shared" ca="1" si="24"/>
        <v>43216</v>
      </c>
      <c r="B124" s="125">
        <f t="shared" ca="1" si="17"/>
        <v>43216.229166666664</v>
      </c>
      <c r="C124" s="127">
        <f t="shared" ca="1" si="18"/>
        <v>43216.2442670331</v>
      </c>
      <c r="D124" s="127">
        <f t="shared" ca="1" si="19"/>
        <v>43215.766100227876</v>
      </c>
      <c r="E124" s="189">
        <f ca="1">P[[#This Row],[SunRise]]-TimeZone/24</f>
        <v>43216.015100366436</v>
      </c>
      <c r="F124" s="190">
        <f t="shared" ca="1" si="20"/>
        <v>11.625671986259935</v>
      </c>
      <c r="G124" s="190">
        <f t="shared" ca="1" si="21"/>
        <v>141.78860562689306</v>
      </c>
      <c r="H124" s="191">
        <f t="shared" ca="1" si="22"/>
        <v>43216.015100366436</v>
      </c>
      <c r="I124" s="124" t="str">
        <f ca="1">naks(P[[#This Row],[Moon]])</f>
        <v>Purva Phalguni</v>
      </c>
      <c r="J124" s="127">
        <f ca="1">(C125-P[[#This Row],[SunRise]])/(G125-P[[#This Row],[Moon]])*(13.3333333333333-MOD(P[[#This Row],[Moon]],13.333333333333))+P[[#This Row],[SunRise]]</f>
        <v>43216.602261840097</v>
      </c>
      <c r="K124" s="124" t="str">
        <f ca="1">IF(P[[#This Row],[Tithi]]&gt;15,"K","S")&amp;ROUNDUP(MOD(P[[#This Row],[Tithi]],15),0)&amp;" ("&amp;ROUND(P[[#This Row],[Tithi]],2)&amp;")"</f>
        <v>S11 (10.85)</v>
      </c>
      <c r="L124" s="124">
        <f ca="1">IF(AND(P[[#This Row],[Tithi]]&lt;28.5,P[[#This Row],[Tithi]]&gt;0.49999),MOD((P[[#This Row],[Tithi]]-0.5)*2,7),MOD((P[[#This Row],[Tithi]]+30-28.5),30)*2+7)</f>
        <v>6.6939999999999991</v>
      </c>
      <c r="M124" s="124" t="str">
        <f ca="1">CHOOSE(ROUNDUP(P[[#This Row],[Karana1]],0),"Bhava","Baalava","Kaulava","Taitula","Garija","Vanija","Vishti","Shakuni","Chatushapda","Naaga","Kimstugna")</f>
        <v>Vishti</v>
      </c>
      <c r="N12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(11.51)</v>
      </c>
      <c r="O124" s="124">
        <f ca="1">IF(AND(P[[#This Row],[Tithi]]&lt;28.5,P[[#This Row],[Tithi]]&gt;0.49999),MOD((P[[#This Row],[Tithi]]-0.5)*2,7),MOD((P[[#This Row],[Tithi]]+30-28.5),30)*2+7)</f>
        <v>6.6939999999999991</v>
      </c>
      <c r="P124" s="124">
        <f ca="1">ROUNDUP(MOD(360+P[[#This Row],[Moon]]-P[[#This Row],[Sun]],360)/12,4)</f>
        <v>10.847</v>
      </c>
      <c r="Q124" s="124">
        <f t="shared" ca="1" si="23"/>
        <v>11.51</v>
      </c>
      <c r="R124" s="124" t="str">
        <f ca="1">SIGN(S125-P[[#This Row],[MARs]])*INT(P[[#This Row],[MARs]]/30+1)&amp;"Ma,"&amp;SIGN(T125-P[[#This Row],[Merc]])*INT(P[[#This Row],[Merc]]/30+1)&amp;"Me,"&amp;SIGN(U125-P[[#This Row],[Jup]])*INT(P[[#This Row],[Jup]]/30+1)&amp;"Ju,"&amp;SIGN(V125-P[[#This Row],[Venu]])*INT(P[[#This Row],[Venu]]/30+1)&amp;"Ve,"&amp;SIGN(W125-P[[#This Row],[Sat]])*INT(P[[#This Row],[Sat]]/30+1)&amp;"Sa,"&amp;INT(P[[#This Row],[Rah]]/30+1)&amp;"Ra"</f>
        <v>9Ma,12Me,-7Ju,2Ve,-9Sa,4Ra</v>
      </c>
      <c r="S124" s="124">
        <f ca="1">Planet(P[[#This Row],[GMT Sun Rise]],4)</f>
        <v>266.96041067628187</v>
      </c>
      <c r="T124" s="124">
        <f ca="1">Planet(P[[#This Row],[GMT Sun Rise]],2)</f>
        <v>345.08342078274529</v>
      </c>
      <c r="U124" s="124">
        <f ca="1">Planet(P[[#This Row],[GMT Sun Rise]],5)</f>
        <v>205.87118668658925</v>
      </c>
      <c r="V124" s="124">
        <f ca="1">Planet(P[[#This Row],[GMT Sun Rise]],3)</f>
        <v>37.497554233556031</v>
      </c>
      <c r="W124" s="124">
        <f ca="1">Planet(P[[#This Row],[GMT Sun Rise]],6)</f>
        <v>254.98835023744607</v>
      </c>
      <c r="X124" s="124">
        <f ca="1">Planet(P[[#This Row],[GMT Sun Rise]],10)</f>
        <v>106.69655523442208</v>
      </c>
      <c r="Y124" s="124">
        <f ca="1">SIGN(S125-P[[#This Row],[MARs]])</f>
        <v>1</v>
      </c>
    </row>
    <row r="125" spans="1:25" x14ac:dyDescent="0.2">
      <c r="A125" s="125">
        <f t="shared" ca="1" si="24"/>
        <v>43217</v>
      </c>
      <c r="B125" s="125">
        <f t="shared" ca="1" si="17"/>
        <v>43217.229166666664</v>
      </c>
      <c r="C125" s="127">
        <f t="shared" ca="1" si="18"/>
        <v>43217.2439233923</v>
      </c>
      <c r="D125" s="127">
        <f t="shared" ca="1" si="19"/>
        <v>43216.766215781725</v>
      </c>
      <c r="E125" s="189">
        <f ca="1">P[[#This Row],[SunRise]]-TimeZone/24</f>
        <v>43217.014756725635</v>
      </c>
      <c r="F125" s="190">
        <f t="shared" ca="1" si="20"/>
        <v>12.598273835110245</v>
      </c>
      <c r="G125" s="190">
        <f t="shared" ca="1" si="21"/>
        <v>155.40998963492163</v>
      </c>
      <c r="H125" s="191">
        <f t="shared" ca="1" si="22"/>
        <v>43217.014756725635</v>
      </c>
      <c r="I125" s="124" t="str">
        <f ca="1">naks(P[[#This Row],[Moon]])</f>
        <v>Uttara Phalguni</v>
      </c>
      <c r="J125" s="127">
        <f ca="1">(C126-P[[#This Row],[SunRise]])/(G126-P[[#This Row],[Moon]])*(13.3333333333333-MOD(P[[#This Row],[Moon]],13.333333333333))+P[[#This Row],[SunRise]]</f>
        <v>43217.584800026263</v>
      </c>
      <c r="K125" s="124" t="str">
        <f ca="1">IF(P[[#This Row],[Tithi]]&gt;15,"K","S")&amp;ROUNDUP(MOD(P[[#This Row],[Tithi]],15),0)&amp;" ("&amp;ROUND(P[[#This Row],[Tithi]],2)&amp;")"</f>
        <v>S12 (11.9)</v>
      </c>
      <c r="L125" s="124">
        <f ca="1">IF(AND(P[[#This Row],[Tithi]]&lt;28.5,P[[#This Row],[Tithi]]&gt;0.49999),MOD((P[[#This Row],[Tithi]]-0.5)*2,7),MOD((P[[#This Row],[Tithi]]+30-28.5),30)*2+7)</f>
        <v>1.8019999999999996</v>
      </c>
      <c r="M125" s="124" t="str">
        <f ca="1">CHOOSE(ROUNDUP(P[[#This Row],[Karana1]],0),"Bhava","Baalava","Kaulava","Taitula","Garija","Vanija","Vishti","Shakuni","Chatushapda","Naaga","Kimstugna")</f>
        <v>Baalava</v>
      </c>
      <c r="N12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(12.61)</v>
      </c>
      <c r="O125" s="124">
        <f ca="1">IF(AND(P[[#This Row],[Tithi]]&lt;28.5,P[[#This Row],[Tithi]]&gt;0.49999),MOD((P[[#This Row],[Tithi]]-0.5)*2,7),MOD((P[[#This Row],[Tithi]]+30-28.5),30)*2+7)</f>
        <v>1.8019999999999996</v>
      </c>
      <c r="P125" s="124">
        <f ca="1">ROUNDUP(MOD(360+P[[#This Row],[Moon]]-P[[#This Row],[Sun]],360)/12,4)</f>
        <v>11.901</v>
      </c>
      <c r="Q125" s="124">
        <f t="shared" ca="1" si="23"/>
        <v>12.61</v>
      </c>
      <c r="R125" s="124" t="str">
        <f ca="1">SIGN(S126-P[[#This Row],[MARs]])*INT(P[[#This Row],[MARs]]/30+1)&amp;"Ma,"&amp;SIGN(T126-P[[#This Row],[Merc]])*INT(P[[#This Row],[Merc]]/30+1)&amp;"Me,"&amp;SIGN(U126-P[[#This Row],[Jup]])*INT(P[[#This Row],[Jup]]/30+1)&amp;"Ju,"&amp;SIGN(V126-P[[#This Row],[Venu]])*INT(P[[#This Row],[Venu]]/30+1)&amp;"Ve,"&amp;SIGN(W126-P[[#This Row],[Sat]])*INT(P[[#This Row],[Sat]]/30+1)&amp;"Sa,"&amp;INT(P[[#This Row],[Rah]]/30+1)&amp;"Ra"</f>
        <v>9Ma,12Me,-7Ju,2Ve,-9Sa,4Ra</v>
      </c>
      <c r="S125" s="124">
        <f ca="1">Planet(P[[#This Row],[GMT Sun Rise]],4)</f>
        <v>267.44267680043595</v>
      </c>
      <c r="T125" s="124">
        <f ca="1">Planet(P[[#This Row],[GMT Sun Rise]],2)</f>
        <v>345.88863645467177</v>
      </c>
      <c r="U125" s="124">
        <f ca="1">Planet(P[[#This Row],[GMT Sun Rise]],5)</f>
        <v>205.75099301304536</v>
      </c>
      <c r="V125" s="124">
        <f ca="1">Planet(P[[#This Row],[GMT Sun Rise]],3)</f>
        <v>38.71246270720485</v>
      </c>
      <c r="W125" s="124">
        <f ca="1">Planet(P[[#This Row],[GMT Sun Rise]],6)</f>
        <v>254.97462968277313</v>
      </c>
      <c r="X125" s="124">
        <f ca="1">Planet(P[[#This Row],[GMT Sun Rise]],10)</f>
        <v>106.64358144702389</v>
      </c>
      <c r="Y125" s="124">
        <f ca="1">SIGN(S126-P[[#This Row],[MARs]])</f>
        <v>1</v>
      </c>
    </row>
    <row r="126" spans="1:25" x14ac:dyDescent="0.2">
      <c r="A126" s="125">
        <f t="shared" ca="1" si="24"/>
        <v>43218</v>
      </c>
      <c r="B126" s="125">
        <f t="shared" ca="1" si="17"/>
        <v>43218.229166666664</v>
      </c>
      <c r="C126" s="127">
        <f t="shared" ca="1" si="18"/>
        <v>43218.24358754015</v>
      </c>
      <c r="D126" s="127">
        <f t="shared" ca="1" si="19"/>
        <v>43217.766334991014</v>
      </c>
      <c r="E126" s="189">
        <f ca="1">P[[#This Row],[SunRise]]-TimeZone/24</f>
        <v>43218.014420873486</v>
      </c>
      <c r="F126" s="190">
        <f t="shared" ca="1" si="20"/>
        <v>13.570324934761683</v>
      </c>
      <c r="G126" s="190">
        <f t="shared" ca="1" si="21"/>
        <v>168.87077967755656</v>
      </c>
      <c r="H126" s="191">
        <f t="shared" ca="1" si="22"/>
        <v>43218.014420873486</v>
      </c>
      <c r="I126" s="124" t="str">
        <f ca="1">naks(P[[#This Row],[Moon]])</f>
        <v>Hasta</v>
      </c>
      <c r="J126" s="127">
        <f ca="1">(C127-P[[#This Row],[SunRise]])/(G127-P[[#This Row],[Moon]])*(13.3333333333333-MOD(P[[#This Row],[Moon]],13.333333333333))+P[[#This Row],[SunRise]]</f>
        <v>43218.579719314686</v>
      </c>
      <c r="K126" s="124" t="str">
        <f ca="1">IF(P[[#This Row],[Tithi]]&gt;15,"K","S")&amp;ROUNDUP(MOD(P[[#This Row],[Tithi]],15),0)&amp;" ("&amp;ROUND(P[[#This Row],[Tithi]],2)&amp;")"</f>
        <v>S13 (12.94)</v>
      </c>
      <c r="L126" s="124">
        <f ca="1">IF(AND(P[[#This Row],[Tithi]]&lt;28.5,P[[#This Row],[Tithi]]&gt;0.49999),MOD((P[[#This Row],[Tithi]]-0.5)*2,7),MOD((P[[#This Row],[Tithi]]+30-28.5),30)*2+7)</f>
        <v>3.8836000000000013</v>
      </c>
      <c r="M126" s="124" t="str">
        <f ca="1">CHOOSE(ROUNDUP(P[[#This Row],[Karana1]],0),"Bhava","Baalava","Kaulava","Taitula","Garija","Vanija","Vishti","Shakuni","Chatushapda","Naaga","Kimstugna")</f>
        <v>Taitula</v>
      </c>
      <c r="N12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(13.69)</v>
      </c>
      <c r="O126" s="124">
        <f ca="1">IF(AND(P[[#This Row],[Tithi]]&lt;28.5,P[[#This Row],[Tithi]]&gt;0.49999),MOD((P[[#This Row],[Tithi]]-0.5)*2,7),MOD((P[[#This Row],[Tithi]]+30-28.5),30)*2+7)</f>
        <v>3.8836000000000013</v>
      </c>
      <c r="P126" s="124">
        <f ca="1">ROUNDUP(MOD(360+P[[#This Row],[Moon]]-P[[#This Row],[Sun]],360)/12,4)</f>
        <v>12.941800000000001</v>
      </c>
      <c r="Q126" s="124">
        <f t="shared" ca="1" si="23"/>
        <v>13.69</v>
      </c>
      <c r="R126" s="124" t="str">
        <f ca="1">SIGN(S127-P[[#This Row],[MARs]])*INT(P[[#This Row],[MARs]]/30+1)&amp;"Ma,"&amp;SIGN(T127-P[[#This Row],[Merc]])*INT(P[[#This Row],[Merc]]/30+1)&amp;"Me,"&amp;SIGN(U127-P[[#This Row],[Jup]])*INT(P[[#This Row],[Jup]]/30+1)&amp;"Ju,"&amp;SIGN(V127-P[[#This Row],[Venu]])*INT(P[[#This Row],[Venu]]/30+1)&amp;"Ve,"&amp;SIGN(W127-P[[#This Row],[Sat]])*INT(P[[#This Row],[Sat]]/30+1)&amp;"Sa,"&amp;INT(P[[#This Row],[Rah]]/30+1)&amp;"Ra"</f>
        <v>9Ma,12Me,-7Ju,2Ve,-9Sa,4Ra</v>
      </c>
      <c r="S126" s="124">
        <f ca="1">Planet(P[[#This Row],[GMT Sun Rise]],4)</f>
        <v>267.92143260520425</v>
      </c>
      <c r="T126" s="124">
        <f ca="1">Planet(P[[#This Row],[GMT Sun Rise]],2)</f>
        <v>346.74933110316567</v>
      </c>
      <c r="U126" s="124">
        <f ca="1">Planet(P[[#This Row],[GMT Sun Rise]],5)</f>
        <v>205.62973965786463</v>
      </c>
      <c r="V126" s="124">
        <f ca="1">Planet(P[[#This Row],[GMT Sun Rise]],3)</f>
        <v>39.926597783914936</v>
      </c>
      <c r="W126" s="124">
        <f ca="1">Planet(P[[#This Row],[GMT Sun Rise]],6)</f>
        <v>254.95932420012019</v>
      </c>
      <c r="X126" s="124">
        <f ca="1">Planet(P[[#This Row],[GMT Sun Rise]],10)</f>
        <v>106.59060724689957</v>
      </c>
      <c r="Y126" s="124">
        <f ca="1">SIGN(S127-P[[#This Row],[MARs]])</f>
        <v>1</v>
      </c>
    </row>
    <row r="127" spans="1:25" x14ac:dyDescent="0.2">
      <c r="A127" s="125">
        <f t="shared" ca="1" si="24"/>
        <v>43219</v>
      </c>
      <c r="B127" s="125">
        <f t="shared" ca="1" si="17"/>
        <v>43219.229166666664</v>
      </c>
      <c r="C127" s="127">
        <f t="shared" ca="1" si="18"/>
        <v>43219.243259476185</v>
      </c>
      <c r="D127" s="127">
        <f t="shared" ca="1" si="19"/>
        <v>43218.766457855745</v>
      </c>
      <c r="E127" s="189">
        <f ca="1">P[[#This Row],[SunRise]]-TimeZone/24</f>
        <v>43219.014092809521</v>
      </c>
      <c r="F127" s="190">
        <f t="shared" ca="1" si="20"/>
        <v>14.541845516837826</v>
      </c>
      <c r="G127" s="190">
        <f t="shared" ca="1" si="21"/>
        <v>182.14262718114787</v>
      </c>
      <c r="H127" s="191">
        <f t="shared" ca="1" si="22"/>
        <v>43219.014092809521</v>
      </c>
      <c r="I127" s="124" t="str">
        <f ca="1">naks(P[[#This Row],[Moon]])</f>
        <v>Chitra</v>
      </c>
      <c r="J127" s="127">
        <f ca="1">(C128-P[[#This Row],[SunRise]])/(G128-P[[#This Row],[Moon]])*(13.3333333333333-MOD(P[[#This Row],[Moon]],13.333333333333))+P[[#This Row],[SunRise]]</f>
        <v>43219.58971719299</v>
      </c>
      <c r="K127" s="124" t="str">
        <f ca="1">IF(P[[#This Row],[Tithi]]&gt;15,"K","S")&amp;ROUNDUP(MOD(P[[#This Row],[Tithi]],15),0)&amp;" ("&amp;ROUND(P[[#This Row],[Tithi]],2)&amp;")"</f>
        <v>S14 (13.97)</v>
      </c>
      <c r="L127" s="124">
        <f ca="1">IF(AND(P[[#This Row],[Tithi]]&lt;28.5,P[[#This Row],[Tithi]]&gt;0.49999),MOD((P[[#This Row],[Tithi]]-0.5)*2,7),MOD((P[[#This Row],[Tithi]]+30-28.5),30)*2+7)</f>
        <v>5.9335999999999984</v>
      </c>
      <c r="M127" s="124" t="str">
        <f ca="1">CHOOSE(ROUNDUP(P[[#This Row],[Karana1]],0),"Bhava","Baalava","Kaulava","Taitula","Garija","Vanija","Vishti","Shakuni","Chatushapda","Naaga","Kimstugna")</f>
        <v>Vanija</v>
      </c>
      <c r="N12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(14.76)</v>
      </c>
      <c r="O127" s="124">
        <f ca="1">IF(AND(P[[#This Row],[Tithi]]&lt;28.5,P[[#This Row],[Tithi]]&gt;0.49999),MOD((P[[#This Row],[Tithi]]-0.5)*2,7),MOD((P[[#This Row],[Tithi]]+30-28.5),30)*2+7)</f>
        <v>5.9335999999999984</v>
      </c>
      <c r="P127" s="124">
        <f ca="1">ROUNDUP(MOD(360+P[[#This Row],[Moon]]-P[[#This Row],[Sun]],360)/12,4)</f>
        <v>13.966799999999999</v>
      </c>
      <c r="Q127" s="124">
        <f t="shared" ca="1" si="23"/>
        <v>14.76</v>
      </c>
      <c r="R127" s="124" t="str">
        <f ca="1">SIGN(S128-P[[#This Row],[MARs]])*INT(P[[#This Row],[MARs]]/30+1)&amp;"Ma,"&amp;SIGN(T128-P[[#This Row],[Merc]])*INT(P[[#This Row],[Merc]]/30+1)&amp;"Me,"&amp;SIGN(U128-P[[#This Row],[Jup]])*INT(P[[#This Row],[Jup]]/30+1)&amp;"Ju,"&amp;SIGN(V128-P[[#This Row],[Venu]])*INT(P[[#This Row],[Venu]]/30+1)&amp;"Ve,"&amp;SIGN(W128-P[[#This Row],[Sat]])*INT(P[[#This Row],[Sat]]/30+1)&amp;"Sa,"&amp;INT(P[[#This Row],[Rah]]/30+1)&amp;"Ra"</f>
        <v>9Ma,12Me,-7Ju,2Ve,-9Sa,4Ra</v>
      </c>
      <c r="S127" s="124">
        <f ca="1">Planet(P[[#This Row],[GMT Sun Rise]],4)</f>
        <v>268.39659413971464</v>
      </c>
      <c r="T127" s="124">
        <f ca="1">Planet(P[[#This Row],[GMT Sun Rise]],2)</f>
        <v>347.66317386495911</v>
      </c>
      <c r="U127" s="124">
        <f ca="1">Planet(P[[#This Row],[GMT Sun Rise]],5)</f>
        <v>205.50750645460357</v>
      </c>
      <c r="V127" s="124">
        <f ca="1">Planet(P[[#This Row],[GMT Sun Rise]],3)</f>
        <v>41.139959148475391</v>
      </c>
      <c r="W127" s="124">
        <f ca="1">Planet(P[[#This Row],[GMT Sun Rise]],6)</f>
        <v>254.94244184636966</v>
      </c>
      <c r="X127" s="124">
        <f ca="1">Planet(P[[#This Row],[GMT Sun Rise]],10)</f>
        <v>106.53763263406569</v>
      </c>
      <c r="Y127" s="124">
        <f ca="1">SIGN(S128-P[[#This Row],[MARs]])</f>
        <v>1</v>
      </c>
    </row>
    <row r="128" spans="1:25" x14ac:dyDescent="0.2">
      <c r="A128" s="125">
        <f t="shared" ca="1" si="24"/>
        <v>43220</v>
      </c>
      <c r="B128" s="125">
        <f t="shared" ca="1" si="17"/>
        <v>43220.229166666664</v>
      </c>
      <c r="C128" s="127">
        <f t="shared" ca="1" si="18"/>
        <v>43220.242939518452</v>
      </c>
      <c r="D128" s="127">
        <f t="shared" ca="1" si="19"/>
        <v>43219.766584535639</v>
      </c>
      <c r="E128" s="189">
        <f ca="1">P[[#This Row],[SunRise]]-TimeZone/24</f>
        <v>43220.013772851788</v>
      </c>
      <c r="F128" s="190">
        <f t="shared" ca="1" si="20"/>
        <v>15.512857034009345</v>
      </c>
      <c r="G128" s="190">
        <f t="shared" ca="1" si="21"/>
        <v>195.19643364803736</v>
      </c>
      <c r="H128" s="191">
        <f t="shared" ca="1" si="22"/>
        <v>43220.013772851788</v>
      </c>
      <c r="I128" s="124" t="str">
        <f ca="1">naks(P[[#This Row],[Moon]])</f>
        <v>Swati</v>
      </c>
      <c r="J128" s="127">
        <f ca="1">(C129-P[[#This Row],[SunRise]])/(G129-P[[#This Row],[Moon]])*(13.3333333333333-MOD(P[[#This Row],[Moon]],13.333333333333))+P[[#This Row],[SunRise]]</f>
        <v>43220.617722353774</v>
      </c>
      <c r="K128" s="124" t="str">
        <f ca="1">IF(P[[#This Row],[Tithi]]&gt;15,"K","S")&amp;ROUNDUP(MOD(P[[#This Row],[Tithi]],15),0)&amp;" ("&amp;ROUND(P[[#This Row],[Tithi]],2)&amp;")"</f>
        <v>S15 (14.97)</v>
      </c>
      <c r="L128" s="124">
        <f ca="1">IF(AND(P[[#This Row],[Tithi]]&lt;28.5,P[[#This Row],[Tithi]]&gt;0.49999),MOD((P[[#This Row],[Tithi]]-0.5)*2,7),MOD((P[[#This Row],[Tithi]]+30-28.5),30)*2+7)</f>
        <v>0.94739999999999824</v>
      </c>
      <c r="M128" s="124" t="str">
        <f ca="1">CHOOSE(ROUNDUP(P[[#This Row],[Karana1]],0),"Bhava","Baalava","Kaulava","Taitula","Garija","Vanija","Vishti","Shakuni","Chatushapda","Naaga","Kimstugna")</f>
        <v>Bhava</v>
      </c>
      <c r="N12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(15.81)</v>
      </c>
      <c r="O128" s="124">
        <f ca="1">IF(AND(P[[#This Row],[Tithi]]&lt;28.5,P[[#This Row],[Tithi]]&gt;0.49999),MOD((P[[#This Row],[Tithi]]-0.5)*2,7),MOD((P[[#This Row],[Tithi]]+30-28.5),30)*2+7)</f>
        <v>0.94739999999999824</v>
      </c>
      <c r="P128" s="124">
        <f ca="1">ROUNDUP(MOD(360+P[[#This Row],[Moon]]-P[[#This Row],[Sun]],360)/12,4)</f>
        <v>14.973699999999999</v>
      </c>
      <c r="Q128" s="124">
        <f t="shared" ca="1" si="23"/>
        <v>15.81</v>
      </c>
      <c r="R128" s="124" t="str">
        <f ca="1">SIGN(S129-P[[#This Row],[MARs]])*INT(P[[#This Row],[MARs]]/30+1)&amp;"Ma,"&amp;SIGN(T129-P[[#This Row],[Merc]])*INT(P[[#This Row],[Merc]]/30+1)&amp;"Me,"&amp;SIGN(U129-P[[#This Row],[Jup]])*INT(P[[#This Row],[Jup]]/30+1)&amp;"Ju,"&amp;SIGN(V129-P[[#This Row],[Venu]])*INT(P[[#This Row],[Venu]]/30+1)&amp;"Ve,"&amp;SIGN(W129-P[[#This Row],[Sat]])*INT(P[[#This Row],[Sat]]/30+1)&amp;"Sa,"&amp;INT(P[[#This Row],[Rah]]/30+1)&amp;"Ra"</f>
        <v>9Ma,12Me,-7Ju,2Ve,-9Sa,4Ra</v>
      </c>
      <c r="S128" s="124">
        <f ca="1">Planet(P[[#This Row],[GMT Sun Rise]],4)</f>
        <v>268.86807016998711</v>
      </c>
      <c r="T128" s="124">
        <f ca="1">Planet(P[[#This Row],[GMT Sun Rise]],2)</f>
        <v>348.62799404782544</v>
      </c>
      <c r="U128" s="124">
        <f ca="1">Planet(P[[#This Row],[GMT Sun Rise]],5)</f>
        <v>205.38437356615802</v>
      </c>
      <c r="V128" s="124">
        <f ca="1">Planet(P[[#This Row],[GMT Sun Rise]],3)</f>
        <v>42.352548319060269</v>
      </c>
      <c r="W128" s="124">
        <f ca="1">Planet(P[[#This Row],[GMT Sun Rise]],6)</f>
        <v>254.92399076866957</v>
      </c>
      <c r="X128" s="124">
        <f ca="1">Planet(P[[#This Row],[GMT Sun Rise]],10)</f>
        <v>106.48465759167178</v>
      </c>
      <c r="Y128" s="124">
        <f ca="1">SIGN(S129-P[[#This Row],[MARs]])</f>
        <v>1</v>
      </c>
    </row>
    <row r="129" spans="1:25" x14ac:dyDescent="0.2">
      <c r="A129" s="125">
        <f t="shared" ca="1" si="24"/>
        <v>43221</v>
      </c>
      <c r="B129" s="125">
        <f t="shared" ca="1" si="17"/>
        <v>43221.229166666664</v>
      </c>
      <c r="C129" s="127">
        <f t="shared" ca="1" si="18"/>
        <v>43221.242627825741</v>
      </c>
      <c r="D129" s="127">
        <f t="shared" ca="1" si="19"/>
        <v>43220.76671503023</v>
      </c>
      <c r="E129" s="189">
        <f ca="1">P[[#This Row],[SunRise]]-TimeZone/24</f>
        <v>43221.013461159077</v>
      </c>
      <c r="F129" s="190">
        <f t="shared" ca="1" si="20"/>
        <v>16.483380838358112</v>
      </c>
      <c r="G129" s="190">
        <f t="shared" ca="1" si="21"/>
        <v>208.00937133563258</v>
      </c>
      <c r="H129" s="191">
        <f t="shared" ca="1" si="22"/>
        <v>43221.013461159077</v>
      </c>
      <c r="I129" s="124" t="str">
        <f ca="1">naks(P[[#This Row],[Moon]])</f>
        <v>Visakha</v>
      </c>
      <c r="J129" s="127">
        <f ca="1">(C130-P[[#This Row],[SunRise]])/(G130-P[[#This Row],[Moon]])*(13.3333333333333-MOD(P[[#This Row],[Moon]],13.333333333333))+P[[#This Row],[SunRise]]</f>
        <v>43221.666311373992</v>
      </c>
      <c r="K129" s="124" t="str">
        <f ca="1">IF(P[[#This Row],[Tithi]]&gt;15,"K","S")&amp;ROUNDUP(MOD(P[[#This Row],[Tithi]],15),0)&amp;" ("&amp;ROUND(P[[#This Row],[Tithi]],2)&amp;")"</f>
        <v>K1 (15.96)</v>
      </c>
      <c r="L129" s="124">
        <f ca="1">IF(AND(P[[#This Row],[Tithi]]&lt;28.5,P[[#This Row],[Tithi]]&gt;0.49999),MOD((P[[#This Row],[Tithi]]-0.5)*2,7),MOD((P[[#This Row],[Tithi]]+30-28.5),30)*2+7)</f>
        <v>2.9209999999999994</v>
      </c>
      <c r="M129" s="124" t="str">
        <f ca="1">CHOOSE(ROUNDUP(P[[#This Row],[Karana1]],0),"Bhava","Baalava","Kaulava","Taitula","Garija","Vanija","Vishti","Shakuni","Chatushapda","Naaga","Kimstugna")</f>
        <v>Kaulava</v>
      </c>
      <c r="N12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(16.84)</v>
      </c>
      <c r="O129" s="124">
        <f ca="1">IF(AND(P[[#This Row],[Tithi]]&lt;28.5,P[[#This Row],[Tithi]]&gt;0.49999),MOD((P[[#This Row],[Tithi]]-0.5)*2,7),MOD((P[[#This Row],[Tithi]]+30-28.5),30)*2+7)</f>
        <v>2.9209999999999994</v>
      </c>
      <c r="P129" s="124">
        <f ca="1">ROUNDUP(MOD(360+P[[#This Row],[Moon]]-P[[#This Row],[Sun]],360)/12,4)</f>
        <v>15.9605</v>
      </c>
      <c r="Q129" s="124">
        <f t="shared" ca="1" si="23"/>
        <v>16.84</v>
      </c>
      <c r="R129" s="124" t="str">
        <f ca="1">SIGN(S130-P[[#This Row],[MARs]])*INT(P[[#This Row],[MARs]]/30+1)&amp;"Ma,"&amp;SIGN(T130-P[[#This Row],[Merc]])*INT(P[[#This Row],[Merc]]/30+1)&amp;"Me,"&amp;SIGN(U130-P[[#This Row],[Jup]])*INT(P[[#This Row],[Jup]]/30+1)&amp;"Ju,"&amp;SIGN(V130-P[[#This Row],[Venu]])*INT(P[[#This Row],[Venu]]/30+1)&amp;"Ve,"&amp;SIGN(W130-P[[#This Row],[Sat]])*INT(P[[#This Row],[Sat]]/30+1)&amp;"Sa,"&amp;INT(P[[#This Row],[Rah]]/30+1)&amp;"Ra"</f>
        <v>9Ma,12Me,-7Ju,2Ve,-9Sa,4Ra</v>
      </c>
      <c r="S129" s="124">
        <f ca="1">Planet(P[[#This Row],[GMT Sun Rise]],4)</f>
        <v>269.33576209292642</v>
      </c>
      <c r="T129" s="124">
        <f ca="1">Planet(P[[#This Row],[GMT Sun Rise]],2)</f>
        <v>349.64178155364101</v>
      </c>
      <c r="U129" s="124">
        <f ca="1">Planet(P[[#This Row],[GMT Sun Rise]],5)</f>
        <v>205.26042174788142</v>
      </c>
      <c r="V129" s="124">
        <f ca="1">Planet(P[[#This Row],[GMT Sun Rise]],3)</f>
        <v>43.564367561938951</v>
      </c>
      <c r="W129" s="124">
        <f ca="1">Planet(P[[#This Row],[GMT Sun Rise]],6)</f>
        <v>254.90397928594754</v>
      </c>
      <c r="X129" s="124">
        <f ca="1">Planet(P[[#This Row],[GMT Sun Rise]],10)</f>
        <v>106.43168211130089</v>
      </c>
      <c r="Y129" s="124">
        <f ca="1">SIGN(S130-P[[#This Row],[MARs]])</f>
        <v>1</v>
      </c>
    </row>
    <row r="130" spans="1:25" x14ac:dyDescent="0.2">
      <c r="A130" s="125">
        <f t="shared" ca="1" si="24"/>
        <v>43222</v>
      </c>
      <c r="B130" s="125">
        <f t="shared" ca="1" si="17"/>
        <v>43222.229166666664</v>
      </c>
      <c r="C130" s="127">
        <f t="shared" ca="1" si="18"/>
        <v>43222.242324716564</v>
      </c>
      <c r="D130" s="127">
        <f t="shared" ca="1" si="19"/>
        <v>43221.766849498308</v>
      </c>
      <c r="E130" s="189">
        <f ca="1">P[[#This Row],[SunRise]]-TimeZone/24</f>
        <v>43222.0131580499</v>
      </c>
      <c r="F130" s="190">
        <f t="shared" ca="1" si="20"/>
        <v>17.453437721807553</v>
      </c>
      <c r="G130" s="190">
        <f t="shared" ca="1" si="21"/>
        <v>220.57145517851973</v>
      </c>
      <c r="H130" s="191">
        <f t="shared" ca="1" si="22"/>
        <v>43222.0131580499</v>
      </c>
      <c r="I130" s="124" t="str">
        <f ca="1">naks(P[[#This Row],[Moon]])</f>
        <v>Anuradha</v>
      </c>
      <c r="J130" s="127">
        <f ca="1">(C131-P[[#This Row],[SunRise]])/(G131-P[[#This Row],[Moon]])*(13.3333333333333-MOD(P[[#This Row],[Moon]],13.333333333333))+P[[#This Row],[SunRise]]</f>
        <v>43222.736968083329</v>
      </c>
      <c r="K130" s="124" t="str">
        <f ca="1">IF(P[[#This Row],[Tithi]]&gt;15,"K","S")&amp;ROUNDUP(MOD(P[[#This Row],[Tithi]],15),0)&amp;" ("&amp;ROUND(P[[#This Row],[Tithi]],2)&amp;")"</f>
        <v>K2 (16.93)</v>
      </c>
      <c r="L130" s="124">
        <f ca="1">IF(AND(P[[#This Row],[Tithi]]&lt;28.5,P[[#This Row],[Tithi]]&gt;0.49999),MOD((P[[#This Row],[Tithi]]-0.5)*2,7),MOD((P[[#This Row],[Tithi]]+30-28.5),30)*2+7)</f>
        <v>4.8532000000000011</v>
      </c>
      <c r="M130" s="124" t="str">
        <f ca="1">CHOOSE(ROUNDUP(P[[#This Row],[Karana1]],0),"Bhava","Baalava","Kaulava","Taitula","Garija","Vanija","Vishti","Shakuni","Chatushapda","Naaga","Kimstugna")</f>
        <v>Garija</v>
      </c>
      <c r="N13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(17.86)</v>
      </c>
      <c r="O130" s="124">
        <f ca="1">IF(AND(P[[#This Row],[Tithi]]&lt;28.5,P[[#This Row],[Tithi]]&gt;0.49999),MOD((P[[#This Row],[Tithi]]-0.5)*2,7),MOD((P[[#This Row],[Tithi]]+30-28.5),30)*2+7)</f>
        <v>4.8532000000000011</v>
      </c>
      <c r="P130" s="124">
        <f ca="1">ROUNDUP(MOD(360+P[[#This Row],[Moon]]-P[[#This Row],[Sun]],360)/12,4)</f>
        <v>16.926600000000001</v>
      </c>
      <c r="Q130" s="124">
        <f t="shared" ca="1" si="23"/>
        <v>17.860000000000003</v>
      </c>
      <c r="R130" s="124" t="str">
        <f ca="1">SIGN(S131-P[[#This Row],[MARs]])*INT(P[[#This Row],[MARs]]/30+1)&amp;"Ma,"&amp;SIGN(T131-P[[#This Row],[Merc]])*INT(P[[#This Row],[Merc]]/30+1)&amp;"Me,"&amp;SIGN(U131-P[[#This Row],[Jup]])*INT(P[[#This Row],[Jup]]/30+1)&amp;"Ju,"&amp;SIGN(V131-P[[#This Row],[Venu]])*INT(P[[#This Row],[Venu]]/30+1)&amp;"Ve,"&amp;SIGN(W131-P[[#This Row],[Sat]])*INT(P[[#This Row],[Sat]]/30+1)&amp;"Sa,"&amp;INT(P[[#This Row],[Rah]]/30+1)&amp;"Ra"</f>
        <v>9Ma,12Me,-7Ju,2Ve,-9Sa,4Ra</v>
      </c>
      <c r="S130" s="124">
        <f ca="1">Planet(P[[#This Row],[GMT Sun Rise]],4)</f>
        <v>269.79956447917908</v>
      </c>
      <c r="T130" s="124">
        <f ca="1">Planet(P[[#This Row],[GMT Sun Rise]],2)</f>
        <v>350.70268599962372</v>
      </c>
      <c r="U130" s="124">
        <f ca="1">Planet(P[[#This Row],[GMT Sun Rise]],5)</f>
        <v>205.13573250423943</v>
      </c>
      <c r="V130" s="124">
        <f ca="1">Planet(P[[#This Row],[GMT Sun Rise]],3)</f>
        <v>44.77541976291954</v>
      </c>
      <c r="W130" s="124">
        <f ca="1">Planet(P[[#This Row],[GMT Sun Rise]],6)</f>
        <v>254.88241597147228</v>
      </c>
      <c r="X130" s="124">
        <f ca="1">Planet(P[[#This Row],[GMT Sun Rise]],10)</f>
        <v>106.37870617608594</v>
      </c>
      <c r="Y130" s="124">
        <f ca="1">SIGN(S131-P[[#This Row],[MARs]])</f>
        <v>1</v>
      </c>
    </row>
    <row r="131" spans="1:25" x14ac:dyDescent="0.2">
      <c r="A131" s="125">
        <f t="shared" ca="1" si="24"/>
        <v>43223</v>
      </c>
      <c r="B131" s="125">
        <f t="shared" ref="B131:B194" ca="1" si="25">A131+TimeZone/24</f>
        <v>43223.229166666664</v>
      </c>
      <c r="C131" s="127">
        <f t="shared" ref="C131:C194" ca="1" si="26">sunrise(Lat,Long,B131)+TimeZone/24+0.00103009259259259</f>
        <v>43223.242030348782</v>
      </c>
      <c r="D131" s="127">
        <f t="shared" ref="D131:D194" ca="1" si="27">sunset(Lat,Long,B131)+TimeZone/24-0.000277777777777778</f>
        <v>43222.766987939875</v>
      </c>
      <c r="E131" s="189">
        <f ca="1">P[[#This Row],[SunRise]]-TimeZone/24</f>
        <v>43223.012863682117</v>
      </c>
      <c r="F131" s="190">
        <f t="shared" ref="F131:F194" ca="1" si="28">Planet(E131,0)</f>
        <v>18.42304696850114</v>
      </c>
      <c r="G131" s="190">
        <f t="shared" ref="G131:G194" ca="1" si="29">Planet(E131,1)</f>
        <v>232.89026437253696</v>
      </c>
      <c r="H131" s="191">
        <f t="shared" ref="H131:H194" ca="1" si="30">E131</f>
        <v>43223.012863682117</v>
      </c>
      <c r="I131" s="124" t="str">
        <f ca="1">naks(P[[#This Row],[Moon]])</f>
        <v>Jyestha</v>
      </c>
      <c r="J131" s="127">
        <f ca="1">(C132-P[[#This Row],[SunRise]])/(G132-P[[#This Row],[Moon]])*(13.3333333333333-MOD(P[[#This Row],[Moon]],13.333333333333))+P[[#This Row],[SunRise]]</f>
        <v>43223.829303780993</v>
      </c>
      <c r="K131" s="124" t="str">
        <f ca="1">IF(P[[#This Row],[Tithi]]&gt;15,"K","S")&amp;ROUNDUP(MOD(P[[#This Row],[Tithi]],15),0)&amp;" ("&amp;ROUND(P[[#This Row],[Tithi]],2)&amp;")"</f>
        <v>K3 (17.87)</v>
      </c>
      <c r="L131" s="124">
        <f ca="1">IF(AND(P[[#This Row],[Tithi]]&lt;28.5,P[[#This Row],[Tithi]]&gt;0.49999),MOD((P[[#This Row],[Tithi]]-0.5)*2,7),MOD((P[[#This Row],[Tithi]]+30-28.5),30)*2+7)</f>
        <v>6.7445999999999984</v>
      </c>
      <c r="M131" s="124" t="str">
        <f ca="1">CHOOSE(ROUNDUP(P[[#This Row],[Karana1]],0),"Bhava","Baalava","Kaulava","Taitula","Garija","Vanija","Vishti","Shakuni","Chatushapda","Naaga","Kimstugna")</f>
        <v>Vishti</v>
      </c>
      <c r="N13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(18.85)</v>
      </c>
      <c r="O131" s="124">
        <f ca="1">IF(AND(P[[#This Row],[Tithi]]&lt;28.5,P[[#This Row],[Tithi]]&gt;0.49999),MOD((P[[#This Row],[Tithi]]-0.5)*2,7),MOD((P[[#This Row],[Tithi]]+30-28.5),30)*2+7)</f>
        <v>6.7445999999999984</v>
      </c>
      <c r="P131" s="124">
        <f ca="1">ROUNDUP(MOD(360+P[[#This Row],[Moon]]-P[[#This Row],[Sun]],360)/12,4)</f>
        <v>17.872299999999999</v>
      </c>
      <c r="Q131" s="124">
        <f t="shared" ref="Q131:Q194" ca="1" si="31">ROUNDUP(MOD(F131+G131,360)/13.333333333,2)</f>
        <v>18.850000000000001</v>
      </c>
      <c r="R131" s="124" t="str">
        <f ca="1">SIGN(S132-P[[#This Row],[MARs]])*INT(P[[#This Row],[MARs]]/30+1)&amp;"Ma,"&amp;SIGN(T132-P[[#This Row],[Merc]])*INT(P[[#This Row],[Merc]]/30+1)&amp;"Me,"&amp;SIGN(U132-P[[#This Row],[Jup]])*INT(P[[#This Row],[Jup]]/30+1)&amp;"Ju,"&amp;SIGN(V132-P[[#This Row],[Venu]])*INT(P[[#This Row],[Venu]]/30+1)&amp;"Ve,"&amp;SIGN(W132-P[[#This Row],[Sat]])*INT(P[[#This Row],[Sat]]/30+1)&amp;"Sa,"&amp;INT(P[[#This Row],[Rah]]/30+1)&amp;"Ra"</f>
        <v>10Ma,12Me,-7Ju,2Ve,-9Sa,4Ra</v>
      </c>
      <c r="S131" s="124">
        <f ca="1">Planet(P[[#This Row],[GMT Sun Rise]],4)</f>
        <v>270.25936554221983</v>
      </c>
      <c r="T131" s="124">
        <f ca="1">Planet(P[[#This Row],[GMT Sun Rise]],2)</f>
        <v>351.80901376815149</v>
      </c>
      <c r="U131" s="124">
        <f ca="1">Planet(P[[#This Row],[GMT Sun Rise]],5)</f>
        <v>205.01038829348312</v>
      </c>
      <c r="V131" s="124">
        <f ca="1">Planet(P[[#This Row],[GMT Sun Rise]],3)</f>
        <v>45.985707539271921</v>
      </c>
      <c r="W131" s="124">
        <f ca="1">Planet(P[[#This Row],[GMT Sun Rise]],6)</f>
        <v>254.85930976767958</v>
      </c>
      <c r="X131" s="124">
        <f ca="1">Planet(P[[#This Row],[GMT Sun Rise]],10)</f>
        <v>106.32572977762666</v>
      </c>
      <c r="Y131" s="124">
        <f ca="1">SIGN(S132-P[[#This Row],[MARs]])</f>
        <v>1</v>
      </c>
    </row>
    <row r="132" spans="1:25" x14ac:dyDescent="0.2">
      <c r="A132" s="125">
        <f t="shared" ca="1" si="24"/>
        <v>43224</v>
      </c>
      <c r="B132" s="125">
        <f t="shared" ca="1" si="25"/>
        <v>43224.229166666664</v>
      </c>
      <c r="C132" s="127">
        <f t="shared" ca="1" si="26"/>
        <v>43224.24174488258</v>
      </c>
      <c r="D132" s="127">
        <f t="shared" ca="1" si="27"/>
        <v>43223.767130355394</v>
      </c>
      <c r="E132" s="189">
        <f ca="1">P[[#This Row],[SunRise]]-TimeZone/24</f>
        <v>43224.012578215916</v>
      </c>
      <c r="F132" s="190">
        <f t="shared" ca="1" si="28"/>
        <v>19.392226074029058</v>
      </c>
      <c r="G132" s="190">
        <f t="shared" ca="1" si="29"/>
        <v>244.99315486338014</v>
      </c>
      <c r="H132" s="191">
        <f t="shared" ca="1" si="30"/>
        <v>43224.012578215916</v>
      </c>
      <c r="I132" s="124" t="str">
        <f ca="1">naks(P[[#This Row],[Moon]])</f>
        <v>Moola</v>
      </c>
      <c r="J132" s="127">
        <f ca="1">(C133-P[[#This Row],[SunRise]])/(G133-P[[#This Row],[Moon]])*(13.3333333333333-MOD(P[[#This Row],[Moon]],13.333333333333))+P[[#This Row],[SunRise]]</f>
        <v>43224.940424622822</v>
      </c>
      <c r="K132" s="124" t="str">
        <f ca="1">IF(P[[#This Row],[Tithi]]&gt;15,"K","S")&amp;ROUNDUP(MOD(P[[#This Row],[Tithi]],15),0)&amp;" ("&amp;ROUND(P[[#This Row],[Tithi]],2)&amp;")"</f>
        <v>K4 (18.8)</v>
      </c>
      <c r="L132" s="124">
        <f ca="1">IF(AND(P[[#This Row],[Tithi]]&lt;28.5,P[[#This Row],[Tithi]]&gt;0.49999),MOD((P[[#This Row],[Tithi]]-0.5)*2,7),MOD((P[[#This Row],[Tithi]]+30-28.5),30)*2+7)</f>
        <v>1.600200000000001</v>
      </c>
      <c r="M132" s="124" t="str">
        <f ca="1">CHOOSE(ROUNDUP(P[[#This Row],[Karana1]],0),"Bhava","Baalava","Kaulava","Taitula","Garija","Vanija","Vishti","Shakuni","Chatushapda","Naaga","Kimstugna")</f>
        <v>Baalava</v>
      </c>
      <c r="N13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(19.83)</v>
      </c>
      <c r="O132" s="124">
        <f ca="1">IF(AND(P[[#This Row],[Tithi]]&lt;28.5,P[[#This Row],[Tithi]]&gt;0.49999),MOD((P[[#This Row],[Tithi]]-0.5)*2,7),MOD((P[[#This Row],[Tithi]]+30-28.5),30)*2+7)</f>
        <v>1.600200000000001</v>
      </c>
      <c r="P132" s="124">
        <f ca="1">ROUNDUP(MOD(360+P[[#This Row],[Moon]]-P[[#This Row],[Sun]],360)/12,4)</f>
        <v>18.8001</v>
      </c>
      <c r="Q132" s="124">
        <f t="shared" ca="1" si="31"/>
        <v>19.830000000000002</v>
      </c>
      <c r="R132" s="124" t="str">
        <f ca="1">SIGN(S133-P[[#This Row],[MARs]])*INT(P[[#This Row],[MARs]]/30+1)&amp;"Ma,"&amp;SIGN(T133-P[[#This Row],[Merc]])*INT(P[[#This Row],[Merc]]/30+1)&amp;"Me,"&amp;SIGN(U133-P[[#This Row],[Jup]])*INT(P[[#This Row],[Jup]]/30+1)&amp;"Ju,"&amp;SIGN(V133-P[[#This Row],[Venu]])*INT(P[[#This Row],[Venu]]/30+1)&amp;"Ve,"&amp;SIGN(W133-P[[#This Row],[Sat]])*INT(P[[#This Row],[Sat]]/30+1)&amp;"Sa,"&amp;INT(P[[#This Row],[Rah]]/30+1)&amp;"Ra"</f>
        <v>10Ma,12Me,-7Ju,2Ve,-9Sa,4Ra</v>
      </c>
      <c r="S132" s="124">
        <f ca="1">Planet(P[[#This Row],[GMT Sun Rise]],4)</f>
        <v>270.71504798014956</v>
      </c>
      <c r="T132" s="124">
        <f ca="1">Planet(P[[#This Row],[GMT Sun Rise]],2)</f>
        <v>352.95922452959297</v>
      </c>
      <c r="U132" s="124">
        <f ca="1">Planet(P[[#This Row],[GMT Sun Rise]],5)</f>
        <v>204.88447261762769</v>
      </c>
      <c r="V132" s="124">
        <f ca="1">Planet(P[[#This Row],[GMT Sun Rise]],3)</f>
        <v>47.195233006761477</v>
      </c>
      <c r="W132" s="124">
        <f ca="1">Planet(P[[#This Row],[GMT Sun Rise]],6)</f>
        <v>254.83467009679754</v>
      </c>
      <c r="X132" s="124">
        <f ca="1">Planet(P[[#This Row],[GMT Sun Rise]],10)</f>
        <v>106.27275290745627</v>
      </c>
      <c r="Y132" s="124">
        <f ca="1">SIGN(S133-P[[#This Row],[MARs]])</f>
        <v>1</v>
      </c>
    </row>
    <row r="133" spans="1:25" x14ac:dyDescent="0.2">
      <c r="A133" s="125">
        <f t="shared" ca="1" si="24"/>
        <v>43225</v>
      </c>
      <c r="B133" s="125">
        <f t="shared" ca="1" si="25"/>
        <v>43225.229166666664</v>
      </c>
      <c r="C133" s="127">
        <f t="shared" ca="1" si="26"/>
        <v>43225.241468317028</v>
      </c>
      <c r="D133" s="127">
        <f t="shared" ca="1" si="27"/>
        <v>43224.767276903192</v>
      </c>
      <c r="E133" s="189">
        <f ca="1">P[[#This Row],[SunRise]]-TimeZone/24</f>
        <v>43225.012301650364</v>
      </c>
      <c r="F133" s="190">
        <f t="shared" ca="1" si="28"/>
        <v>20.360990378034618</v>
      </c>
      <c r="G133" s="190">
        <f t="shared" ca="1" si="29"/>
        <v>256.92690846124367</v>
      </c>
      <c r="H133" s="191">
        <f t="shared" ca="1" si="30"/>
        <v>43225.012301650364</v>
      </c>
      <c r="I133" s="124" t="str">
        <f ca="1">naks(P[[#This Row],[Moon]])</f>
        <v>Purva Asadha</v>
      </c>
      <c r="J133" s="127">
        <f ca="1">(C134-P[[#This Row],[SunRise]])/(G134-P[[#This Row],[Moon]])*(13.3333333333333-MOD(P[[#This Row],[Moon]],13.333333333333))+P[[#This Row],[SunRise]]</f>
        <v>43226.064666626815</v>
      </c>
      <c r="K133" s="124" t="str">
        <f ca="1">IF(P[[#This Row],[Tithi]]&gt;15,"K","S")&amp;ROUNDUP(MOD(P[[#This Row],[Tithi]],15),0)&amp;" ("&amp;ROUND(P[[#This Row],[Tithi]],2)&amp;")"</f>
        <v>K5 (19.71)</v>
      </c>
      <c r="L133" s="124">
        <f ca="1">IF(AND(P[[#This Row],[Tithi]]&lt;28.5,P[[#This Row],[Tithi]]&gt;0.49999),MOD((P[[#This Row],[Tithi]]-0.5)*2,7),MOD((P[[#This Row],[Tithi]]+30-28.5),30)*2+7)</f>
        <v>3.4277999999999977</v>
      </c>
      <c r="M133" s="124" t="str">
        <f ca="1">CHOOSE(ROUNDUP(P[[#This Row],[Karana1]],0),"Bhava","Baalava","Kaulava","Taitula","Garija","Vanija","Vishti","Shakuni","Chatushapda","Naaga","Kimstugna")</f>
        <v>Taitula</v>
      </c>
      <c r="N13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(20.8)</v>
      </c>
      <c r="O133" s="124">
        <f ca="1">IF(AND(P[[#This Row],[Tithi]]&lt;28.5,P[[#This Row],[Tithi]]&gt;0.49999),MOD((P[[#This Row],[Tithi]]-0.5)*2,7),MOD((P[[#This Row],[Tithi]]+30-28.5),30)*2+7)</f>
        <v>3.4277999999999977</v>
      </c>
      <c r="P133" s="124">
        <f ca="1">ROUNDUP(MOD(360+P[[#This Row],[Moon]]-P[[#This Row],[Sun]],360)/12,4)</f>
        <v>19.713899999999999</v>
      </c>
      <c r="Q133" s="124">
        <f t="shared" ca="1" si="31"/>
        <v>20.8</v>
      </c>
      <c r="R133" s="124" t="str">
        <f ca="1">SIGN(S134-P[[#This Row],[MARs]])*INT(P[[#This Row],[MARs]]/30+1)&amp;"Ma,"&amp;SIGN(T134-P[[#This Row],[Merc]])*INT(P[[#This Row],[Merc]]/30+1)&amp;"Me,"&amp;SIGN(U134-P[[#This Row],[Jup]])*INT(P[[#This Row],[Jup]]/30+1)&amp;"Ju,"&amp;SIGN(V134-P[[#This Row],[Venu]])*INT(P[[#This Row],[Venu]]/30+1)&amp;"Ve,"&amp;SIGN(W134-P[[#This Row],[Sat]])*INT(P[[#This Row],[Sat]]/30+1)&amp;"Sa,"&amp;INT(P[[#This Row],[Rah]]/30+1)&amp;"Ra"</f>
        <v>10Ma,12Me,-7Ju,2Ve,-9Sa,4Ra</v>
      </c>
      <c r="S133" s="124">
        <f ca="1">Planet(P[[#This Row],[GMT Sun Rise]],4)</f>
        <v>271.16648966538162</v>
      </c>
      <c r="T133" s="124">
        <f ca="1">Planet(P[[#This Row],[GMT Sun Rise]],2)</f>
        <v>354.15192668917842</v>
      </c>
      <c r="U133" s="124">
        <f ca="1">Planet(P[[#This Row],[GMT Sun Rise]],5)</f>
        <v>204.75807008420514</v>
      </c>
      <c r="V133" s="124">
        <f ca="1">Planet(P[[#This Row],[GMT Sun Rise]],3)</f>
        <v>48.403997273286741</v>
      </c>
      <c r="W133" s="124">
        <f ca="1">Planet(P[[#This Row],[GMT Sun Rise]],6)</f>
        <v>254.80850696328699</v>
      </c>
      <c r="X133" s="124">
        <f ca="1">Planet(P[[#This Row],[GMT Sun Rise]],10)</f>
        <v>106.21977556564111</v>
      </c>
      <c r="Y133" s="124">
        <f ca="1">SIGN(S134-P[[#This Row],[MARs]])</f>
        <v>1</v>
      </c>
    </row>
    <row r="134" spans="1:25" x14ac:dyDescent="0.2">
      <c r="A134" s="125">
        <f t="shared" ca="1" si="24"/>
        <v>43226</v>
      </c>
      <c r="B134" s="125">
        <f t="shared" ca="1" si="25"/>
        <v>43226.229166666664</v>
      </c>
      <c r="C134" s="127">
        <f t="shared" ca="1" si="26"/>
        <v>43226.241201128963</v>
      </c>
      <c r="D134" s="127">
        <f t="shared" ca="1" si="27"/>
        <v>43225.767427424944</v>
      </c>
      <c r="E134" s="189">
        <f ca="1">P[[#This Row],[SunRise]]-TimeZone/24</f>
        <v>43226.012034462299</v>
      </c>
      <c r="F134" s="190">
        <f t="shared" ca="1" si="28"/>
        <v>21.329353676467061</v>
      </c>
      <c r="G134" s="190">
        <f t="shared" ca="1" si="29"/>
        <v>268.75535337239484</v>
      </c>
      <c r="H134" s="191">
        <f t="shared" ca="1" si="30"/>
        <v>43226.012034462299</v>
      </c>
      <c r="I134" s="124" t="str">
        <f ca="1">naks(P[[#This Row],[Moon]])</f>
        <v>Uttara Asadha</v>
      </c>
      <c r="J134" s="127">
        <f ca="1">(C135-P[[#This Row],[SunRise]])/(G135-P[[#This Row],[Moon]])*(13.3333333333333-MOD(P[[#This Row],[Moon]],13.333333333333))+P[[#This Row],[SunRise]]</f>
        <v>43227.193857476101</v>
      </c>
      <c r="K134" s="124" t="str">
        <f ca="1">IF(P[[#This Row],[Tithi]]&gt;15,"K","S")&amp;ROUNDUP(MOD(P[[#This Row],[Tithi]],15),0)&amp;" ("&amp;ROUND(P[[#This Row],[Tithi]],2)&amp;")"</f>
        <v>K6 (20.62)</v>
      </c>
      <c r="L134" s="124">
        <f ca="1">IF(AND(P[[#This Row],[Tithi]]&lt;28.5,P[[#This Row],[Tithi]]&gt;0.49999),MOD((P[[#This Row],[Tithi]]-0.5)*2,7),MOD((P[[#This Row],[Tithi]]+30-28.5),30)*2+7)</f>
        <v>5.2378</v>
      </c>
      <c r="M134" s="124" t="str">
        <f ca="1">CHOOSE(ROUNDUP(P[[#This Row],[Karana1]],0),"Bhava","Baalava","Kaulava","Taitula","Garija","Vanija","Vishti","Shakuni","Chatushapda","Naaga","Kimstugna")</f>
        <v>Vanija</v>
      </c>
      <c r="N13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(21.76)</v>
      </c>
      <c r="O134" s="124">
        <f ca="1">IF(AND(P[[#This Row],[Tithi]]&lt;28.5,P[[#This Row],[Tithi]]&gt;0.49999),MOD((P[[#This Row],[Tithi]]-0.5)*2,7),MOD((P[[#This Row],[Tithi]]+30-28.5),30)*2+7)</f>
        <v>5.2378</v>
      </c>
      <c r="P134" s="124">
        <f ca="1">ROUNDUP(MOD(360+P[[#This Row],[Moon]]-P[[#This Row],[Sun]],360)/12,4)</f>
        <v>20.6189</v>
      </c>
      <c r="Q134" s="124">
        <f t="shared" ca="1" si="31"/>
        <v>21.76</v>
      </c>
      <c r="R134" s="124" t="str">
        <f ca="1">SIGN(S135-P[[#This Row],[MARs]])*INT(P[[#This Row],[MARs]]/30+1)&amp;"Ma,"&amp;SIGN(T135-P[[#This Row],[Merc]])*INT(P[[#This Row],[Merc]]/30+1)&amp;"Me,"&amp;SIGN(U135-P[[#This Row],[Jup]])*INT(P[[#This Row],[Jup]]/30+1)&amp;"Ju,"&amp;SIGN(V135-P[[#This Row],[Venu]])*INT(P[[#This Row],[Venu]]/30+1)&amp;"Ve,"&amp;SIGN(W135-P[[#This Row],[Sat]])*INT(P[[#This Row],[Sat]]/30+1)&amp;"Sa,"&amp;INT(P[[#This Row],[Rah]]/30+1)&amp;"Ra"</f>
        <v>10Ma,12Me,-7Ju,2Ve,-9Sa,4Ra</v>
      </c>
      <c r="S134" s="124">
        <f ca="1">Planet(P[[#This Row],[GMT Sun Rise]],4)</f>
        <v>271.61356453976276</v>
      </c>
      <c r="T134" s="124">
        <f ca="1">Planet(P[[#This Row],[GMT Sun Rise]],2)</f>
        <v>355.38587324274863</v>
      </c>
      <c r="U134" s="124">
        <f ca="1">Planet(P[[#This Row],[GMT Sun Rise]],5)</f>
        <v>204.63126629957554</v>
      </c>
      <c r="V134" s="124">
        <f ca="1">Planet(P[[#This Row],[GMT Sun Rise]],3)</f>
        <v>49.612001049575873</v>
      </c>
      <c r="W134" s="124">
        <f ca="1">Planet(P[[#This Row],[GMT Sun Rise]],6)</f>
        <v>254.78083101891696</v>
      </c>
      <c r="X134" s="124">
        <f ca="1">Planet(P[[#This Row],[GMT Sun Rise]],10)</f>
        <v>106.16679772689716</v>
      </c>
      <c r="Y134" s="124">
        <f ca="1">SIGN(S135-P[[#This Row],[MARs]])</f>
        <v>1</v>
      </c>
    </row>
    <row r="135" spans="1:25" x14ac:dyDescent="0.2">
      <c r="A135" s="125">
        <f t="shared" ca="1" si="24"/>
        <v>43227</v>
      </c>
      <c r="B135" s="125">
        <f t="shared" ca="1" si="25"/>
        <v>43227.229166666664</v>
      </c>
      <c r="C135" s="127">
        <f t="shared" ca="1" si="26"/>
        <v>43227.240943160061</v>
      </c>
      <c r="D135" s="127">
        <f t="shared" ca="1" si="27"/>
        <v>43226.767581920183</v>
      </c>
      <c r="E135" s="189">
        <f ca="1">P[[#This Row],[SunRise]]-TimeZone/24</f>
        <v>43227.011776493397</v>
      </c>
      <c r="F135" s="190">
        <f t="shared" ca="1" si="28"/>
        <v>22.297327243597117</v>
      </c>
      <c r="G135" s="190">
        <f t="shared" ca="1" si="29"/>
        <v>280.55577426103793</v>
      </c>
      <c r="H135" s="191">
        <f t="shared" ca="1" si="30"/>
        <v>43227.011776493397</v>
      </c>
      <c r="I135" s="124" t="str">
        <f ca="1">naks(P[[#This Row],[Moon]])</f>
        <v>Sravana</v>
      </c>
      <c r="J135" s="127">
        <f ca="1">(C136-P[[#This Row],[SunRise]])/(G136-P[[#This Row],[Moon]])*(13.3333333333333-MOD(P[[#This Row],[Moon]],13.333333333333))+P[[#This Row],[SunRise]]</f>
        <v>43228.318130098574</v>
      </c>
      <c r="K135" s="124" t="str">
        <f ca="1">IF(P[[#This Row],[Tithi]]&gt;15,"K","S")&amp;ROUNDUP(MOD(P[[#This Row],[Tithi]],15),0)&amp;" ("&amp;ROUND(P[[#This Row],[Tithi]],2)&amp;")"</f>
        <v>K7 (21.52)</v>
      </c>
      <c r="L135" s="124">
        <f ca="1">IF(AND(P[[#This Row],[Tithi]]&lt;28.5,P[[#This Row],[Tithi]]&gt;0.49999),MOD((P[[#This Row],[Tithi]]-0.5)*2,7),MOD((P[[#This Row],[Tithi]]+30-28.5),30)*2+7)</f>
        <v>4.3199999999998795E-2</v>
      </c>
      <c r="M135" s="124" t="str">
        <f ca="1">CHOOSE(ROUNDUP(P[[#This Row],[Karana1]],0),"Bhava","Baalava","Kaulava","Taitula","Garija","Vanija","Vishti","Shakuni","Chatushapda","Naaga","Kimstugna")</f>
        <v>Bhava</v>
      </c>
      <c r="N13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(22.72)</v>
      </c>
      <c r="O135" s="124">
        <f ca="1">IF(AND(P[[#This Row],[Tithi]]&lt;28.5,P[[#This Row],[Tithi]]&gt;0.49999),MOD((P[[#This Row],[Tithi]]-0.5)*2,7),MOD((P[[#This Row],[Tithi]]+30-28.5),30)*2+7)</f>
        <v>4.3199999999998795E-2</v>
      </c>
      <c r="P135" s="124">
        <f ca="1">ROUNDUP(MOD(360+P[[#This Row],[Moon]]-P[[#This Row],[Sun]],360)/12,4)</f>
        <v>21.521599999999999</v>
      </c>
      <c r="Q135" s="124">
        <f t="shared" ca="1" si="31"/>
        <v>22.720000000000002</v>
      </c>
      <c r="R135" s="124" t="str">
        <f ca="1">SIGN(S136-P[[#This Row],[MARs]])*INT(P[[#This Row],[MARs]]/30+1)&amp;"Ma,"&amp;SIGN(T136-P[[#This Row],[Merc]])*INT(P[[#This Row],[Merc]]/30+1)&amp;"Me,"&amp;SIGN(U136-P[[#This Row],[Jup]])*INT(P[[#This Row],[Jup]]/30+1)&amp;"Ju,"&amp;SIGN(V136-P[[#This Row],[Venu]])*INT(P[[#This Row],[Venu]]/30+1)&amp;"Ve,"&amp;SIGN(W136-P[[#This Row],[Sat]])*INT(P[[#This Row],[Sat]]/30+1)&amp;"Sa,"&amp;INT(P[[#This Row],[Rah]]/30+1)&amp;"Ra"</f>
        <v>10Ma,12Me,-7Ju,2Ve,-9Sa,4Ra</v>
      </c>
      <c r="S135" s="124">
        <f ca="1">Planet(P[[#This Row],[GMT Sun Rise]],4)</f>
        <v>272.05614247396727</v>
      </c>
      <c r="T135" s="124">
        <f ca="1">Planet(P[[#This Row],[GMT Sun Rise]],2)</f>
        <v>356.65995505022767</v>
      </c>
      <c r="U135" s="124">
        <f ca="1">Planet(P[[#This Row],[GMT Sun Rise]],5)</f>
        <v>204.50414793844317</v>
      </c>
      <c r="V135" s="124">
        <f ca="1">Planet(P[[#This Row],[GMT Sun Rise]],3)</f>
        <v>50.819243264361589</v>
      </c>
      <c r="W135" s="124">
        <f ca="1">Planet(P[[#This Row],[GMT Sun Rise]],6)</f>
        <v>254.75165364146429</v>
      </c>
      <c r="X135" s="124">
        <f ca="1">Planet(P[[#This Row],[GMT Sun Rise]],10)</f>
        <v>106.11381939960826</v>
      </c>
      <c r="Y135" s="124">
        <f ca="1">SIGN(S136-P[[#This Row],[MARs]])</f>
        <v>1</v>
      </c>
    </row>
    <row r="136" spans="1:25" x14ac:dyDescent="0.2">
      <c r="A136" s="125">
        <f t="shared" ca="1" si="24"/>
        <v>43228</v>
      </c>
      <c r="B136" s="125">
        <f t="shared" ca="1" si="25"/>
        <v>43228.229166666664</v>
      </c>
      <c r="C136" s="127">
        <f t="shared" ca="1" si="26"/>
        <v>43228.240694727901</v>
      </c>
      <c r="D136" s="127">
        <f t="shared" ca="1" si="27"/>
        <v>43227.767740547701</v>
      </c>
      <c r="E136" s="189">
        <f ca="1">P[[#This Row],[SunRise]]-TimeZone/24</f>
        <v>43228.011528061237</v>
      </c>
      <c r="F136" s="190">
        <f t="shared" ca="1" si="28"/>
        <v>23.26492099350094</v>
      </c>
      <c r="G136" s="190">
        <f t="shared" ca="1" si="29"/>
        <v>292.41479729498246</v>
      </c>
      <c r="H136" s="191">
        <f t="shared" ca="1" si="30"/>
        <v>43228.011528061237</v>
      </c>
      <c r="I136" s="124" t="str">
        <f ca="1">naks(P[[#This Row],[Moon]])</f>
        <v>Sravana</v>
      </c>
      <c r="J136" s="127">
        <f ca="1">(C137-P[[#This Row],[SunRise]])/(G137-P[[#This Row],[Moon]])*(13.3333333333333-MOD(P[[#This Row],[Moon]],13.333333333333))+P[[#This Row],[SunRise]]</f>
        <v>43228.31716445549</v>
      </c>
      <c r="K136" s="124" t="str">
        <f ca="1">IF(P[[#This Row],[Tithi]]&gt;15,"K","S")&amp;ROUNDUP(MOD(P[[#This Row],[Tithi]],15),0)&amp;" ("&amp;ROUND(P[[#This Row],[Tithi]],2)&amp;")"</f>
        <v>K8 (22.43)</v>
      </c>
      <c r="L136" s="124">
        <f ca="1">IF(AND(P[[#This Row],[Tithi]]&lt;28.5,P[[#This Row],[Tithi]]&gt;0.49999),MOD((P[[#This Row],[Tithi]]-0.5)*2,7),MOD((P[[#This Row],[Tithi]]+30-28.5),30)*2+7)</f>
        <v>1.8583999999999961</v>
      </c>
      <c r="M136" s="124" t="str">
        <f ca="1">CHOOSE(ROUNDUP(P[[#This Row],[Karana1]],0),"Bhava","Baalava","Kaulava","Taitula","Garija","Vanija","Vishti","Shakuni","Chatushapda","Naaga","Kimstugna")</f>
        <v>Baalava</v>
      </c>
      <c r="N13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(23.68)</v>
      </c>
      <c r="O136" s="124">
        <f ca="1">IF(AND(P[[#This Row],[Tithi]]&lt;28.5,P[[#This Row],[Tithi]]&gt;0.49999),MOD((P[[#This Row],[Tithi]]-0.5)*2,7),MOD((P[[#This Row],[Tithi]]+30-28.5),30)*2+7)</f>
        <v>1.8583999999999961</v>
      </c>
      <c r="P136" s="124">
        <f ca="1">ROUNDUP(MOD(360+P[[#This Row],[Moon]]-P[[#This Row],[Sun]],360)/12,4)</f>
        <v>22.429199999999998</v>
      </c>
      <c r="Q136" s="124">
        <f t="shared" ca="1" si="31"/>
        <v>23.680000000000003</v>
      </c>
      <c r="R136" s="124" t="str">
        <f ca="1">SIGN(S137-P[[#This Row],[MARs]])*INT(P[[#This Row],[MARs]]/30+1)&amp;"Ma,"&amp;SIGN(T137-P[[#This Row],[Merc]])*INT(P[[#This Row],[Merc]]/30+1)&amp;"Me,"&amp;SIGN(U137-P[[#This Row],[Jup]])*INT(P[[#This Row],[Jup]]/30+1)&amp;"Ju,"&amp;SIGN(V137-P[[#This Row],[Venu]])*INT(P[[#This Row],[Venu]]/30+1)&amp;"Ve,"&amp;SIGN(W137-P[[#This Row],[Sat]])*INT(P[[#This Row],[Sat]]/30+1)&amp;"Sa,"&amp;INT(P[[#This Row],[Rah]]/30+1)&amp;"Ra"</f>
        <v>10Ma,12Me,-7Ju,2Ve,-9Sa,4Ra</v>
      </c>
      <c r="S136" s="124">
        <f ca="1">Planet(P[[#This Row],[GMT Sun Rise]],4)</f>
        <v>272.49408989642757</v>
      </c>
      <c r="T136" s="124">
        <f ca="1">Planet(P[[#This Row],[GMT Sun Rise]],2)</f>
        <v>357.97319639026381</v>
      </c>
      <c r="U136" s="124">
        <f ca="1">Planet(P[[#This Row],[GMT Sun Rise]],5)</f>
        <v>204.37680252057507</v>
      </c>
      <c r="V136" s="124">
        <f ca="1">Planet(P[[#This Row],[GMT Sun Rise]],3)</f>
        <v>52.025722425187944</v>
      </c>
      <c r="W136" s="124">
        <f ca="1">Planet(P[[#This Row],[GMT Sun Rise]],6)</f>
        <v>254.72098693733128</v>
      </c>
      <c r="X136" s="124">
        <f ca="1">Planet(P[[#This Row],[GMT Sun Rise]],10)</f>
        <v>106.06084056695711</v>
      </c>
      <c r="Y136" s="124">
        <f ca="1">SIGN(S137-P[[#This Row],[MARs]])</f>
        <v>1</v>
      </c>
    </row>
    <row r="137" spans="1:25" x14ac:dyDescent="0.2">
      <c r="A137" s="125">
        <f t="shared" ca="1" si="24"/>
        <v>43229</v>
      </c>
      <c r="B137" s="125">
        <f t="shared" ca="1" si="25"/>
        <v>43229.229166666664</v>
      </c>
      <c r="C137" s="127">
        <f t="shared" ca="1" si="26"/>
        <v>43229.240455991741</v>
      </c>
      <c r="D137" s="127">
        <f t="shared" ca="1" si="27"/>
        <v>43228.767902990381</v>
      </c>
      <c r="E137" s="189">
        <f ca="1">P[[#This Row],[SunRise]]-TimeZone/24</f>
        <v>43229.011289325077</v>
      </c>
      <c r="F137" s="190">
        <f t="shared" ca="1" si="28"/>
        <v>24.232142831422419</v>
      </c>
      <c r="G137" s="190">
        <f t="shared" ca="1" si="29"/>
        <v>304.423689958404</v>
      </c>
      <c r="H137" s="191">
        <f t="shared" ca="1" si="30"/>
        <v>43229.011289325077</v>
      </c>
      <c r="I137" s="124" t="str">
        <f ca="1">naks(P[[#This Row],[Moon]])</f>
        <v>Dhanistha</v>
      </c>
      <c r="J137" s="127">
        <f ca="1">(C138-P[[#This Row],[SunRise]])/(G138-P[[#This Row],[Moon]])*(13.3333333333333-MOD(P[[#This Row],[Moon]],13.333333333333))+P[[#This Row],[SunRise]]</f>
        <v>43229.423530925553</v>
      </c>
      <c r="K137" s="124" t="str">
        <f ca="1">IF(P[[#This Row],[Tithi]]&gt;15,"K","S")&amp;ROUNDUP(MOD(P[[#This Row],[Tithi]],15),0)&amp;" ("&amp;ROUND(P[[#This Row],[Tithi]],2)&amp;")"</f>
        <v>K9 (23.35)</v>
      </c>
      <c r="L137" s="124">
        <f ca="1">IF(AND(P[[#This Row],[Tithi]]&lt;28.5,P[[#This Row],[Tithi]]&gt;0.49999),MOD((P[[#This Row],[Tithi]]-0.5)*2,7),MOD((P[[#This Row],[Tithi]]+30-28.5),30)*2+7)</f>
        <v>3.698599999999999</v>
      </c>
      <c r="M137" s="124" t="str">
        <f ca="1">CHOOSE(ROUNDUP(P[[#This Row],[Karana1]],0),"Bhava","Baalava","Kaulava","Taitula","Garija","Vanija","Vishti","Shakuni","Chatushapda","Naaga","Kimstugna")</f>
        <v>Taitula</v>
      </c>
      <c r="N13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(24.65)</v>
      </c>
      <c r="O137" s="124">
        <f ca="1">IF(AND(P[[#This Row],[Tithi]]&lt;28.5,P[[#This Row],[Tithi]]&gt;0.49999),MOD((P[[#This Row],[Tithi]]-0.5)*2,7),MOD((P[[#This Row],[Tithi]]+30-28.5),30)*2+7)</f>
        <v>3.698599999999999</v>
      </c>
      <c r="P137" s="124">
        <f ca="1">ROUNDUP(MOD(360+P[[#This Row],[Moon]]-P[[#This Row],[Sun]],360)/12,4)</f>
        <v>23.349299999999999</v>
      </c>
      <c r="Q137" s="124">
        <f t="shared" ca="1" si="31"/>
        <v>24.650000000000002</v>
      </c>
      <c r="R137" s="124" t="str">
        <f ca="1">SIGN(S138-P[[#This Row],[MARs]])*INT(P[[#This Row],[MARs]]/30+1)&amp;"Ma,"&amp;SIGN(T138-P[[#This Row],[Merc]])*INT(P[[#This Row],[Merc]]/30+1)&amp;"Me,"&amp;SIGN(U138-P[[#This Row],[Jup]])*INT(P[[#This Row],[Jup]]/30+1)&amp;"Ju,"&amp;SIGN(V138-P[[#This Row],[Venu]])*INT(P[[#This Row],[Venu]]/30+1)&amp;"Ve,"&amp;SIGN(W138-P[[#This Row],[Sat]])*INT(P[[#This Row],[Sat]]/30+1)&amp;"Sa,"&amp;INT(P[[#This Row],[Rah]]/30+1)&amp;"Ra"</f>
        <v>10Ma,-12Me,-7Ju,2Ve,-9Sa,4Ra</v>
      </c>
      <c r="S137" s="124">
        <f ca="1">Planet(P[[#This Row],[GMT Sun Rise]],4)</f>
        <v>272.92726953282931</v>
      </c>
      <c r="T137" s="124">
        <f ca="1">Planet(P[[#This Row],[GMT Sun Rise]],2)</f>
        <v>359.32474799918879</v>
      </c>
      <c r="U137" s="124">
        <f ca="1">Planet(P[[#This Row],[GMT Sun Rise]],5)</f>
        <v>204.24931842934021</v>
      </c>
      <c r="V137" s="124">
        <f ca="1">Planet(P[[#This Row],[GMT Sun Rise]],3)</f>
        <v>53.231435842717396</v>
      </c>
      <c r="W137" s="124">
        <f ca="1">Planet(P[[#This Row],[GMT Sun Rise]],6)</f>
        <v>254.68884378250152</v>
      </c>
      <c r="X137" s="124">
        <f ca="1">Planet(P[[#This Row],[GMT Sun Rise]],10)</f>
        <v>106.00786122047698</v>
      </c>
      <c r="Y137" s="124">
        <f ca="1">SIGN(S138-P[[#This Row],[MARs]])</f>
        <v>1</v>
      </c>
    </row>
    <row r="138" spans="1:25" x14ac:dyDescent="0.2">
      <c r="A138" s="125">
        <f t="shared" ca="1" si="24"/>
        <v>43230</v>
      </c>
      <c r="B138" s="125">
        <f t="shared" ca="1" si="25"/>
        <v>43230.229166666664</v>
      </c>
      <c r="C138" s="127">
        <f t="shared" ca="1" si="26"/>
        <v>43230.240226950649</v>
      </c>
      <c r="D138" s="127">
        <f t="shared" ca="1" si="27"/>
        <v>43229.76806956534</v>
      </c>
      <c r="E138" s="189">
        <f ca="1">P[[#This Row],[SunRise]]-TimeZone/24</f>
        <v>43230.011060283985</v>
      </c>
      <c r="F138" s="190">
        <f t="shared" ca="1" si="28"/>
        <v>25.198998445732471</v>
      </c>
      <c r="G138" s="190">
        <f t="shared" ca="1" si="29"/>
        <v>316.67257039064339</v>
      </c>
      <c r="H138" s="191">
        <f t="shared" ca="1" si="30"/>
        <v>43230.011060283985</v>
      </c>
      <c r="I138" s="124" t="str">
        <f ca="1">naks(P[[#This Row],[Moon]])</f>
        <v>Satabhisaj</v>
      </c>
      <c r="J138" s="127">
        <f ca="1">(C139-P[[#This Row],[SunRise]])/(G139-P[[#This Row],[Moon]])*(13.3333333333333-MOD(P[[#This Row],[Moon]],13.333333333333))+P[[#This Row],[SunRise]]</f>
        <v>43230.504871323647</v>
      </c>
      <c r="K138" s="124" t="str">
        <f ca="1">IF(P[[#This Row],[Tithi]]&gt;15,"K","S")&amp;ROUNDUP(MOD(P[[#This Row],[Tithi]],15),0)&amp;" ("&amp;ROUND(P[[#This Row],[Tithi]],2)&amp;")"</f>
        <v>K10 (24.29)</v>
      </c>
      <c r="L138" s="124">
        <f ca="1">IF(AND(P[[#This Row],[Tithi]]&lt;28.5,P[[#This Row],[Tithi]]&gt;0.49999),MOD((P[[#This Row],[Tithi]]-0.5)*2,7),MOD((P[[#This Row],[Tithi]]+30-28.5),30)*2+7)</f>
        <v>5.5790000000000006</v>
      </c>
      <c r="M138" s="124" t="str">
        <f ca="1">CHOOSE(ROUNDUP(P[[#This Row],[Karana1]],0),"Bhava","Baalava","Kaulava","Taitula","Garija","Vanija","Vishti","Shakuni","Chatushapda","Naaga","Kimstugna")</f>
        <v>Vanija</v>
      </c>
      <c r="N13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(25.65)</v>
      </c>
      <c r="O138" s="124">
        <f ca="1">IF(AND(P[[#This Row],[Tithi]]&lt;28.5,P[[#This Row],[Tithi]]&gt;0.49999),MOD((P[[#This Row],[Tithi]]-0.5)*2,7),MOD((P[[#This Row],[Tithi]]+30-28.5),30)*2+7)</f>
        <v>5.5790000000000006</v>
      </c>
      <c r="P138" s="124">
        <f ca="1">ROUNDUP(MOD(360+P[[#This Row],[Moon]]-P[[#This Row],[Sun]],360)/12,4)</f>
        <v>24.2895</v>
      </c>
      <c r="Q138" s="124">
        <f t="shared" ca="1" si="31"/>
        <v>25.650000000000002</v>
      </c>
      <c r="R138" s="124" t="str">
        <f ca="1">SIGN(S139-P[[#This Row],[MARs]])*INT(P[[#This Row],[MARs]]/30+1)&amp;"Ma,"&amp;SIGN(T139-P[[#This Row],[Merc]])*INT(P[[#This Row],[Merc]]/30+1)&amp;"Me,"&amp;SIGN(U139-P[[#This Row],[Jup]])*INT(P[[#This Row],[Jup]]/30+1)&amp;"Ju,"&amp;SIGN(V139-P[[#This Row],[Venu]])*INT(P[[#This Row],[Venu]]/30+1)&amp;"Ve,"&amp;SIGN(W139-P[[#This Row],[Sat]])*INT(P[[#This Row],[Sat]]/30+1)&amp;"Sa,"&amp;INT(P[[#This Row],[Rah]]/30+1)&amp;"Ra"</f>
        <v>10Ma,1Me,-7Ju,2Ve,-9Sa,4Ra</v>
      </c>
      <c r="S138" s="124">
        <f ca="1">Planet(P[[#This Row],[GMT Sun Rise]],4)</f>
        <v>273.35554051327483</v>
      </c>
      <c r="T138" s="124">
        <f ca="1">Planet(P[[#This Row],[GMT Sun Rise]],2)</f>
        <v>0.71388048718691854</v>
      </c>
      <c r="U138" s="124">
        <f ca="1">Planet(P[[#This Row],[GMT Sun Rise]],5)</f>
        <v>204.12178488635814</v>
      </c>
      <c r="V138" s="124">
        <f ca="1">Planet(P[[#This Row],[GMT Sun Rise]],3)</f>
        <v>54.436379516668765</v>
      </c>
      <c r="W138" s="124">
        <f ca="1">Planet(P[[#This Row],[GMT Sun Rise]],6)</f>
        <v>254.65523785910301</v>
      </c>
      <c r="X138" s="124">
        <f ca="1">Planet(P[[#This Row],[GMT Sun Rise]],10)</f>
        <v>105.95488136026734</v>
      </c>
      <c r="Y138" s="124">
        <f ca="1">SIGN(S139-P[[#This Row],[MARs]])</f>
        <v>1</v>
      </c>
    </row>
    <row r="139" spans="1:25" x14ac:dyDescent="0.2">
      <c r="A139" s="125">
        <f t="shared" ref="A139:A202" ca="1" si="32">A138+1</f>
        <v>43231</v>
      </c>
      <c r="B139" s="125">
        <f t="shared" ca="1" si="25"/>
        <v>43231.229166666664</v>
      </c>
      <c r="C139" s="127">
        <f t="shared" ca="1" si="26"/>
        <v>43231.240007605556</v>
      </c>
      <c r="D139" s="127">
        <f t="shared" ca="1" si="27"/>
        <v>43230.768239796205</v>
      </c>
      <c r="E139" s="189">
        <f ca="1">P[[#This Row],[SunRise]]-TimeZone/24</f>
        <v>43231.010840938892</v>
      </c>
      <c r="F139" s="190">
        <f t="shared" ca="1" si="28"/>
        <v>26.165491096248669</v>
      </c>
      <c r="G139" s="190">
        <f t="shared" ca="1" si="29"/>
        <v>329.24302377407753</v>
      </c>
      <c r="H139" s="191">
        <f t="shared" ca="1" si="30"/>
        <v>43231.010840938892</v>
      </c>
      <c r="I139" s="124" t="str">
        <f ca="1">naks(P[[#This Row],[Moon]])</f>
        <v>Purva Bhadrapada</v>
      </c>
      <c r="J139" s="127">
        <f ca="1">(C140-P[[#This Row],[SunRise]])/(G140-P[[#This Row],[Moon]])*(13.3333333333333-MOD(P[[#This Row],[Moon]],13.333333333333))+P[[#This Row],[SunRise]]</f>
        <v>43231.55564746559</v>
      </c>
      <c r="K139" s="124" t="str">
        <f ca="1">IF(P[[#This Row],[Tithi]]&gt;15,"K","S")&amp;ROUNDUP(MOD(P[[#This Row],[Tithi]],15),0)&amp;" ("&amp;ROUND(P[[#This Row],[Tithi]],2)&amp;")"</f>
        <v>K11 (25.26)</v>
      </c>
      <c r="L139" s="124">
        <f ca="1">IF(AND(P[[#This Row],[Tithi]]&lt;28.5,P[[#This Row],[Tithi]]&gt;0.49999),MOD((P[[#This Row],[Tithi]]-0.5)*2,7),MOD((P[[#This Row],[Tithi]]+30-28.5),30)*2+7)</f>
        <v>0.51299999999999812</v>
      </c>
      <c r="M139" s="124" t="str">
        <f ca="1">CHOOSE(ROUNDUP(P[[#This Row],[Karana1]],0),"Bhava","Baalava","Kaulava","Taitula","Garija","Vanija","Vishti","Shakuni","Chatushapda","Naaga","Kimstugna")</f>
        <v>Bhava</v>
      </c>
      <c r="N13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(26.66)</v>
      </c>
      <c r="O139" s="124">
        <f ca="1">IF(AND(P[[#This Row],[Tithi]]&lt;28.5,P[[#This Row],[Tithi]]&gt;0.49999),MOD((P[[#This Row],[Tithi]]-0.5)*2,7),MOD((P[[#This Row],[Tithi]]+30-28.5),30)*2+7)</f>
        <v>0.51299999999999812</v>
      </c>
      <c r="P139" s="124">
        <f ca="1">ROUNDUP(MOD(360+P[[#This Row],[Moon]]-P[[#This Row],[Sun]],360)/12,4)</f>
        <v>25.256499999999999</v>
      </c>
      <c r="Q139" s="124">
        <f t="shared" ca="1" si="31"/>
        <v>26.66</v>
      </c>
      <c r="R139" s="124" t="str">
        <f ca="1">SIGN(S140-P[[#This Row],[MARs]])*INT(P[[#This Row],[MARs]]/30+1)&amp;"Ma,"&amp;SIGN(T140-P[[#This Row],[Merc]])*INT(P[[#This Row],[Merc]]/30+1)&amp;"Me,"&amp;SIGN(U140-P[[#This Row],[Jup]])*INT(P[[#This Row],[Jup]]/30+1)&amp;"Ju,"&amp;SIGN(V140-P[[#This Row],[Venu]])*INT(P[[#This Row],[Venu]]/30+1)&amp;"Ve,"&amp;SIGN(W140-P[[#This Row],[Sat]])*INT(P[[#This Row],[Sat]]/30+1)&amp;"Sa,"&amp;INT(P[[#This Row],[Rah]]/30+1)&amp;"Ra"</f>
        <v>10Ma,1Me,-7Ju,2Ve,-9Sa,4Ra</v>
      </c>
      <c r="S139" s="124">
        <f ca="1">Planet(P[[#This Row],[GMT Sun Rise]],4)</f>
        <v>273.77875882310423</v>
      </c>
      <c r="T139" s="124">
        <f ca="1">Planet(P[[#This Row],[GMT Sun Rise]],2)</f>
        <v>2.1399776332682228</v>
      </c>
      <c r="U139" s="124">
        <f ca="1">Planet(P[[#This Row],[GMT Sun Rise]],5)</f>
        <v>203.99429193930277</v>
      </c>
      <c r="V139" s="124">
        <f ca="1">Planet(P[[#This Row],[GMT Sun Rise]],3)</f>
        <v>55.640548071558676</v>
      </c>
      <c r="W139" s="124">
        <f ca="1">Planet(P[[#This Row],[GMT Sun Rise]],6)</f>
        <v>254.62018370882811</v>
      </c>
      <c r="X139" s="124">
        <f ca="1">Planet(P[[#This Row],[GMT Sun Rise]],10)</f>
        <v>105.90190098624527</v>
      </c>
      <c r="Y139" s="124">
        <f ca="1">SIGN(S140-P[[#This Row],[MARs]])</f>
        <v>1</v>
      </c>
    </row>
    <row r="140" spans="1:25" x14ac:dyDescent="0.2">
      <c r="A140" s="125">
        <f t="shared" ca="1" si="32"/>
        <v>43232</v>
      </c>
      <c r="B140" s="125">
        <f t="shared" ca="1" si="25"/>
        <v>43232.229166666664</v>
      </c>
      <c r="C140" s="127">
        <f t="shared" ca="1" si="26"/>
        <v>43232.239798274044</v>
      </c>
      <c r="D140" s="127">
        <f t="shared" ca="1" si="27"/>
        <v>43231.768413841768</v>
      </c>
      <c r="E140" s="189">
        <f ca="1">P[[#This Row],[SunRise]]-TimeZone/24</f>
        <v>43232.01063160738</v>
      </c>
      <c r="F140" s="190">
        <f t="shared" ca="1" si="28"/>
        <v>27.131621456542184</v>
      </c>
      <c r="G140" s="190">
        <f t="shared" ca="1" si="29"/>
        <v>342.19909759854022</v>
      </c>
      <c r="H140" s="191">
        <f t="shared" ca="1" si="30"/>
        <v>43232.01063160738</v>
      </c>
      <c r="I140" s="124" t="str">
        <f ca="1">naks(P[[#This Row],[Moon]])</f>
        <v>Uttara Bhadrapada</v>
      </c>
      <c r="J140" s="127">
        <f ca="1">(C141-P[[#This Row],[SunRise]])/(G141-P[[#This Row],[Moon]])*(13.3333333333333-MOD(P[[#This Row],[Moon]],13.333333333333))+P[[#This Row],[SunRise]]</f>
        <v>43232.573675677035</v>
      </c>
      <c r="K140" s="124" t="str">
        <f ca="1">IF(P[[#This Row],[Tithi]]&gt;15,"K","S")&amp;ROUNDUP(MOD(P[[#This Row],[Tithi]],15),0)&amp;" ("&amp;ROUND(P[[#This Row],[Tithi]],2)&amp;")"</f>
        <v>K12 (26.26)</v>
      </c>
      <c r="L140" s="124">
        <f ca="1">IF(AND(P[[#This Row],[Tithi]]&lt;28.5,P[[#This Row],[Tithi]]&gt;0.49999),MOD((P[[#This Row],[Tithi]]-0.5)*2,7),MOD((P[[#This Row],[Tithi]]+30-28.5),30)*2+7)</f>
        <v>2.5114000000000019</v>
      </c>
      <c r="M140" s="124" t="str">
        <f ca="1">CHOOSE(ROUNDUP(P[[#This Row],[Karana1]],0),"Bhava","Baalava","Kaulava","Taitula","Garija","Vanija","Vishti","Shakuni","Chatushapda","Naaga","Kimstugna")</f>
        <v>Kaulava</v>
      </c>
      <c r="N14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(0.7)</v>
      </c>
      <c r="O140" s="124">
        <f ca="1">IF(AND(P[[#This Row],[Tithi]]&lt;28.5,P[[#This Row],[Tithi]]&gt;0.49999),MOD((P[[#This Row],[Tithi]]-0.5)*2,7),MOD((P[[#This Row],[Tithi]]+30-28.5),30)*2+7)</f>
        <v>2.5114000000000019</v>
      </c>
      <c r="P140" s="124">
        <f ca="1">ROUNDUP(MOD(360+P[[#This Row],[Moon]]-P[[#This Row],[Sun]],360)/12,4)</f>
        <v>26.255700000000001</v>
      </c>
      <c r="Q140" s="124">
        <f t="shared" ca="1" si="31"/>
        <v>0.7</v>
      </c>
      <c r="R140" s="124" t="str">
        <f ca="1">SIGN(S141-P[[#This Row],[MARs]])*INT(P[[#This Row],[MARs]]/30+1)&amp;"Ma,"&amp;SIGN(T141-P[[#This Row],[Merc]])*INT(P[[#This Row],[Merc]]/30+1)&amp;"Me,"&amp;SIGN(U141-P[[#This Row],[Jup]])*INT(P[[#This Row],[Jup]]/30+1)&amp;"Ju,"&amp;SIGN(V141-P[[#This Row],[Venu]])*INT(P[[#This Row],[Venu]]/30+1)&amp;"Ve,"&amp;SIGN(W141-P[[#This Row],[Sat]])*INT(P[[#This Row],[Sat]]/30+1)&amp;"Sa,"&amp;INT(P[[#This Row],[Rah]]/30+1)&amp;"Ra"</f>
        <v>10Ma,1Me,-7Ju,2Ve,-9Sa,4Ra</v>
      </c>
      <c r="S140" s="124">
        <f ca="1">Planet(P[[#This Row],[GMT Sun Rise]],4)</f>
        <v>274.19677823985432</v>
      </c>
      <c r="T140" s="124">
        <f ca="1">Planet(P[[#This Row],[GMT Sun Rise]],2)</f>
        <v>3.6025295801259261</v>
      </c>
      <c r="U140" s="124">
        <f ca="1">Planet(P[[#This Row],[GMT Sun Rise]],5)</f>
        <v>203.86693044078484</v>
      </c>
      <c r="V140" s="124">
        <f ca="1">Planet(P[[#This Row],[GMT Sun Rise]],3)</f>
        <v>56.843934717610061</v>
      </c>
      <c r="W140" s="124">
        <f ca="1">Planet(P[[#This Row],[GMT Sun Rise]],6)</f>
        <v>254.5836968080271</v>
      </c>
      <c r="X140" s="124">
        <f ca="1">Planet(P[[#This Row],[GMT Sun Rise]],10)</f>
        <v>105.84892008156041</v>
      </c>
      <c r="Y140" s="124">
        <f ca="1">SIGN(S141-P[[#This Row],[MARs]])</f>
        <v>1</v>
      </c>
    </row>
    <row r="141" spans="1:25" x14ac:dyDescent="0.2">
      <c r="A141" s="125">
        <f t="shared" ca="1" si="32"/>
        <v>43233</v>
      </c>
      <c r="B141" s="125">
        <f t="shared" ca="1" si="25"/>
        <v>43233.229166666664</v>
      </c>
      <c r="C141" s="127">
        <f t="shared" ca="1" si="26"/>
        <v>43233.239598956112</v>
      </c>
      <c r="D141" s="127">
        <f t="shared" ca="1" si="27"/>
        <v>43232.768591543238</v>
      </c>
      <c r="E141" s="189">
        <f ca="1">P[[#This Row],[SunRise]]-TimeZone/24</f>
        <v>43233.010432289448</v>
      </c>
      <c r="F141" s="190">
        <f t="shared" ca="1" si="28"/>
        <v>28.097386570169736</v>
      </c>
      <c r="G141" s="190">
        <f t="shared" ca="1" si="29"/>
        <v>355.5772973851403</v>
      </c>
      <c r="H141" s="191">
        <f t="shared" ca="1" si="30"/>
        <v>43233.010432289448</v>
      </c>
      <c r="I141" s="124" t="str">
        <f ca="1">naks(P[[#This Row],[Moon]])</f>
        <v>Revati</v>
      </c>
      <c r="J141" s="127">
        <f ca="1">(C142-P[[#This Row],[SunRise]])/(G142-P[[#This Row],[Moon]])*(13.3333333333333-MOD(P[[#This Row],[Moon]],13.333333333333))+P[[#This Row],[SunRise]]</f>
        <v>43233.226826383667</v>
      </c>
      <c r="K141" s="124" t="str">
        <f ca="1">IF(P[[#This Row],[Tithi]]&gt;15,"K","S")&amp;ROUNDUP(MOD(P[[#This Row],[Tithi]],15),0)&amp;" ("&amp;ROUND(P[[#This Row],[Tithi]],2)&amp;")"</f>
        <v>K13 (27.29)</v>
      </c>
      <c r="L141" s="124">
        <f ca="1">IF(AND(P[[#This Row],[Tithi]]&lt;28.5,P[[#This Row],[Tithi]]&gt;0.49999),MOD((P[[#This Row],[Tithi]]-0.5)*2,7),MOD((P[[#This Row],[Tithi]]+30-28.5),30)*2+7)</f>
        <v>4.5799999999999983</v>
      </c>
      <c r="M141" s="124" t="str">
        <f ca="1">CHOOSE(ROUNDUP(P[[#This Row],[Karana1]],0),"Bhava","Baalava","Kaulava","Taitula","Garija","Vanija","Vishti","Shakuni","Chatushapda","Naaga","Kimstugna")</f>
        <v>Garija</v>
      </c>
      <c r="N14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(1.78)</v>
      </c>
      <c r="O141" s="124">
        <f ca="1">IF(AND(P[[#This Row],[Tithi]]&lt;28.5,P[[#This Row],[Tithi]]&gt;0.49999),MOD((P[[#This Row],[Tithi]]-0.5)*2,7),MOD((P[[#This Row],[Tithi]]+30-28.5),30)*2+7)</f>
        <v>4.5799999999999983</v>
      </c>
      <c r="P141" s="124">
        <f ca="1">ROUNDUP(MOD(360+P[[#This Row],[Moon]]-P[[#This Row],[Sun]],360)/12,4)</f>
        <v>27.29</v>
      </c>
      <c r="Q141" s="124">
        <f t="shared" ca="1" si="31"/>
        <v>1.78</v>
      </c>
      <c r="R141" s="124" t="str">
        <f ca="1">SIGN(S142-P[[#This Row],[MARs]])*INT(P[[#This Row],[MARs]]/30+1)&amp;"Ma,"&amp;SIGN(T142-P[[#This Row],[Merc]])*INT(P[[#This Row],[Merc]]/30+1)&amp;"Me,"&amp;SIGN(U142-P[[#This Row],[Jup]])*INT(P[[#This Row],[Jup]]/30+1)&amp;"Ju,"&amp;SIGN(V142-P[[#This Row],[Venu]])*INT(P[[#This Row],[Venu]]/30+1)&amp;"Ve,"&amp;SIGN(W142-P[[#This Row],[Sat]])*INT(P[[#This Row],[Sat]]/30+1)&amp;"Sa,"&amp;INT(P[[#This Row],[Rah]]/30+1)&amp;"Ra"</f>
        <v>10Ma,1Me,-7Ju,2Ve,-9Sa,4Ra</v>
      </c>
      <c r="S141" s="124">
        <f ca="1">Planet(P[[#This Row],[GMT Sun Rise]],4)</f>
        <v>274.60945135292138</v>
      </c>
      <c r="T141" s="124">
        <f ca="1">Planet(P[[#This Row],[GMT Sun Rise]],2)</f>
        <v>5.1011242817646805</v>
      </c>
      <c r="U141" s="124">
        <f ca="1">Planet(P[[#This Row],[GMT Sun Rise]],5)</f>
        <v>203.73979212448123</v>
      </c>
      <c r="V141" s="124">
        <f ca="1">Planet(P[[#This Row],[GMT Sun Rise]],3)</f>
        <v>58.046529954552454</v>
      </c>
      <c r="W141" s="124">
        <f ca="1">Planet(P[[#This Row],[GMT Sun Rise]],6)</f>
        <v>254.54579370411335</v>
      </c>
      <c r="X141" s="124">
        <f ca="1">Planet(P[[#This Row],[GMT Sun Rise]],10)</f>
        <v>105.79593864627891</v>
      </c>
      <c r="Y141" s="124">
        <f ca="1">SIGN(S142-P[[#This Row],[MARs]])</f>
        <v>1</v>
      </c>
    </row>
    <row r="142" spans="1:25" x14ac:dyDescent="0.2">
      <c r="A142" s="125">
        <f t="shared" ca="1" si="32"/>
        <v>43234</v>
      </c>
      <c r="B142" s="125">
        <f t="shared" ca="1" si="25"/>
        <v>43234.229166666664</v>
      </c>
      <c r="C142" s="127">
        <f t="shared" ca="1" si="26"/>
        <v>43234.23940965176</v>
      </c>
      <c r="D142" s="127">
        <f t="shared" ca="1" si="27"/>
        <v>43233.768772741358</v>
      </c>
      <c r="E142" s="189">
        <f ca="1">P[[#This Row],[SunRise]]-TimeZone/24</f>
        <v>43234.010242985096</v>
      </c>
      <c r="F142" s="190">
        <f t="shared" ca="1" si="28"/>
        <v>29.062779922600313</v>
      </c>
      <c r="G142" s="190">
        <f t="shared" ca="1" si="29"/>
        <v>9.3772348973649002</v>
      </c>
      <c r="H142" s="191">
        <f t="shared" ca="1" si="30"/>
        <v>43234.010242985096</v>
      </c>
      <c r="I142" s="124" t="str">
        <f ca="1">naks(P[[#This Row],[Moon]])</f>
        <v>Aswini</v>
      </c>
      <c r="J142" s="127">
        <f ca="1">(C143-P[[#This Row],[SunRise]])/(G143-P[[#This Row],[Moon]])*(13.3333333333333-MOD(P[[#This Row],[Moon]],13.333333333333))+P[[#This Row],[SunRise]]</f>
        <v>43234.518377982262</v>
      </c>
      <c r="K142" s="124" t="str">
        <f ca="1">IF(P[[#This Row],[Tithi]]&gt;15,"K","S")&amp;ROUNDUP(MOD(P[[#This Row],[Tithi]],15),0)&amp;" ("&amp;ROUND(P[[#This Row],[Tithi]],2)&amp;")"</f>
        <v>K14 (28.36)</v>
      </c>
      <c r="L142" s="124">
        <f ca="1">IF(AND(P[[#This Row],[Tithi]]&lt;28.5,P[[#This Row],[Tithi]]&gt;0.49999),MOD((P[[#This Row],[Tithi]]-0.5)*2,7),MOD((P[[#This Row],[Tithi]]+30-28.5),30)*2+7)</f>
        <v>6.7192000000000007</v>
      </c>
      <c r="M142" s="124" t="str">
        <f ca="1">CHOOSE(ROUNDUP(P[[#This Row],[Karana1]],0),"Bhava","Baalava","Kaulava","Taitula","Garija","Vanija","Vishti","Shakuni","Chatushapda","Naaga","Kimstugna")</f>
        <v>Vishti</v>
      </c>
      <c r="N14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(2.89)</v>
      </c>
      <c r="O142" s="124">
        <f ca="1">IF(AND(P[[#This Row],[Tithi]]&lt;28.5,P[[#This Row],[Tithi]]&gt;0.49999),MOD((P[[#This Row],[Tithi]]-0.5)*2,7),MOD((P[[#This Row],[Tithi]]+30-28.5),30)*2+7)</f>
        <v>6.7192000000000007</v>
      </c>
      <c r="P142" s="124">
        <f ca="1">ROUNDUP(MOD(360+P[[#This Row],[Moon]]-P[[#This Row],[Sun]],360)/12,4)</f>
        <v>28.3596</v>
      </c>
      <c r="Q142" s="124">
        <f t="shared" ca="1" si="31"/>
        <v>2.8899999999999997</v>
      </c>
      <c r="R142" s="124" t="str">
        <f ca="1">SIGN(S143-P[[#This Row],[MARs]])*INT(P[[#This Row],[MARs]]/30+1)&amp;"Ma,"&amp;SIGN(T143-P[[#This Row],[Merc]])*INT(P[[#This Row],[Merc]]/30+1)&amp;"Me,"&amp;SIGN(U143-P[[#This Row],[Jup]])*INT(P[[#This Row],[Jup]]/30+1)&amp;"Ju,"&amp;SIGN(V143-P[[#This Row],[Venu]])*INT(P[[#This Row],[Venu]]/30+1)&amp;"Ve,"&amp;SIGN(W143-P[[#This Row],[Sat]])*INT(P[[#This Row],[Sat]]/30+1)&amp;"Sa,"&amp;INT(P[[#This Row],[Rah]]/30+1)&amp;"Ra"</f>
        <v>10Ma,1Me,-7Ju,2Ve,-9Sa,4Ra</v>
      </c>
      <c r="S142" s="124">
        <f ca="1">Planet(P[[#This Row],[GMT Sun Rise]],4)</f>
        <v>275.01663139880225</v>
      </c>
      <c r="T142" s="124">
        <f ca="1">Planet(P[[#This Row],[GMT Sun Rise]],2)</f>
        <v>6.63543987290935</v>
      </c>
      <c r="U142" s="124">
        <f ca="1">Planet(P[[#This Row],[GMT Sun Rise]],5)</f>
        <v>203.61296948317565</v>
      </c>
      <c r="V142" s="124">
        <f ca="1">Planet(P[[#This Row],[GMT Sun Rise]],3)</f>
        <v>59.248321402371317</v>
      </c>
      <c r="W142" s="124">
        <f ca="1">Planet(P[[#This Row],[GMT Sun Rise]],6)</f>
        <v>254.50649212535714</v>
      </c>
      <c r="X142" s="124">
        <f ca="1">Planet(P[[#This Row],[GMT Sun Rise]],10)</f>
        <v>105.7429566803346</v>
      </c>
      <c r="Y142" s="124">
        <f ca="1">SIGN(S143-P[[#This Row],[MARs]])</f>
        <v>1</v>
      </c>
    </row>
    <row r="143" spans="1:25" x14ac:dyDescent="0.2">
      <c r="A143" s="125">
        <f t="shared" ca="1" si="32"/>
        <v>43235</v>
      </c>
      <c r="B143" s="125">
        <f t="shared" ca="1" si="25"/>
        <v>43235.229166666664</v>
      </c>
      <c r="C143" s="127">
        <f t="shared" ca="1" si="26"/>
        <v>43235.239230360989</v>
      </c>
      <c r="D143" s="127">
        <f t="shared" ca="1" si="27"/>
        <v>43234.768957436128</v>
      </c>
      <c r="E143" s="189">
        <f ca="1">P[[#This Row],[SunRise]]-TimeZone/24</f>
        <v>43235.010063694324</v>
      </c>
      <c r="F143" s="190">
        <f t="shared" ca="1" si="28"/>
        <v>30.027791567666256</v>
      </c>
      <c r="G143" s="190">
        <f t="shared" ca="1" si="29"/>
        <v>23.555866345974273</v>
      </c>
      <c r="H143" s="191">
        <f t="shared" ca="1" si="30"/>
        <v>43235.010063694324</v>
      </c>
      <c r="I143" s="124" t="str">
        <f ca="1">naks(P[[#This Row],[Moon]])</f>
        <v>Bharani</v>
      </c>
      <c r="J143" s="127">
        <f ca="1">(C144-P[[#This Row],[SunRise]])/(G144-P[[#This Row],[Moon]])*(13.3333333333333-MOD(P[[#This Row],[Moon]],13.333333333333))+P[[#This Row],[SunRise]]</f>
        <v>43235.454130728744</v>
      </c>
      <c r="K143" s="124" t="str">
        <f ca="1">IF(P[[#This Row],[Tithi]]&gt;15,"K","S")&amp;ROUNDUP(MOD(P[[#This Row],[Tithi]],15),0)&amp;" ("&amp;ROUND(P[[#This Row],[Tithi]],2)&amp;")"</f>
        <v>K15 (29.46)</v>
      </c>
      <c r="L143" s="124">
        <f ca="1">IF(AND(P[[#This Row],[Tithi]]&lt;28.5,P[[#This Row],[Tithi]]&gt;0.49999),MOD((P[[#This Row],[Tithi]]-0.5)*2,7),MOD((P[[#This Row],[Tithi]]+30-28.5),30)*2+7)</f>
        <v>8.9214000000000055</v>
      </c>
      <c r="M143" s="124" t="str">
        <f ca="1">CHOOSE(ROUNDUP(P[[#This Row],[Karana1]],0),"Bhava","Baalava","Kaulava","Taitula","Garija","Vanija","Vishti","Shakuni","Chatushapda","Naaga","Kimstugna")</f>
        <v>Chatushapda</v>
      </c>
      <c r="N14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(4.02)</v>
      </c>
      <c r="O143" s="124">
        <f ca="1">IF(AND(P[[#This Row],[Tithi]]&lt;28.5,P[[#This Row],[Tithi]]&gt;0.49999),MOD((P[[#This Row],[Tithi]]-0.5)*2,7),MOD((P[[#This Row],[Tithi]]+30-28.5),30)*2+7)</f>
        <v>8.9214000000000055</v>
      </c>
      <c r="P143" s="124">
        <f ca="1">ROUNDUP(MOD(360+P[[#This Row],[Moon]]-P[[#This Row],[Sun]],360)/12,4)</f>
        <v>29.460699999999999</v>
      </c>
      <c r="Q143" s="124">
        <f t="shared" ca="1" si="31"/>
        <v>4.0199999999999996</v>
      </c>
      <c r="R143" s="124" t="str">
        <f ca="1">SIGN(S144-P[[#This Row],[MARs]])*INT(P[[#This Row],[MARs]]/30+1)&amp;"Ma,"&amp;SIGN(T144-P[[#This Row],[Merc]])*INT(P[[#This Row],[Merc]]/30+1)&amp;"Me,"&amp;SIGN(U144-P[[#This Row],[Jup]])*INT(P[[#This Row],[Jup]]/30+1)&amp;"Ju,"&amp;SIGN(V144-P[[#This Row],[Venu]])*INT(P[[#This Row],[Venu]]/30+1)&amp;"Ve,"&amp;SIGN(W144-P[[#This Row],[Sat]])*INT(P[[#This Row],[Sat]]/30+1)&amp;"Sa,"&amp;INT(P[[#This Row],[Rah]]/30+1)&amp;"Ra"</f>
        <v>10Ma,1Me,-7Ju,3Ve,-9Sa,4Ra</v>
      </c>
      <c r="S143" s="124">
        <f ca="1">Planet(P[[#This Row],[GMT Sun Rise]],4)</f>
        <v>275.41817414670851</v>
      </c>
      <c r="T143" s="124">
        <f ca="1">Planet(P[[#This Row],[GMT Sun Rise]],2)</f>
        <v>8.2052360478435578</v>
      </c>
      <c r="U143" s="124">
        <f ca="1">Planet(P[[#This Row],[GMT Sun Rise]],5)</f>
        <v>203.48655556937788</v>
      </c>
      <c r="V143" s="124">
        <f ca="1">Planet(P[[#This Row],[GMT Sun Rise]],3)</f>
        <v>60.449293361138793</v>
      </c>
      <c r="W143" s="124">
        <f ca="1">Planet(P[[#This Row],[GMT Sun Rise]],6)</f>
        <v>254.46581108971893</v>
      </c>
      <c r="X143" s="124">
        <f ca="1">Planet(P[[#This Row],[GMT Sun Rise]],10)</f>
        <v>105.68997418376061</v>
      </c>
      <c r="Y143" s="124">
        <f ca="1">SIGN(S144-P[[#This Row],[MARs]])</f>
        <v>1</v>
      </c>
    </row>
    <row r="144" spans="1:25" x14ac:dyDescent="0.2">
      <c r="A144" s="125">
        <f t="shared" ca="1" si="32"/>
        <v>43236</v>
      </c>
      <c r="B144" s="125">
        <f t="shared" ca="1" si="25"/>
        <v>43236.229166666664</v>
      </c>
      <c r="C144" s="127">
        <f t="shared" ca="1" si="26"/>
        <v>43236.239061083797</v>
      </c>
      <c r="D144" s="127">
        <f t="shared" ca="1" si="27"/>
        <v>43235.769145309969</v>
      </c>
      <c r="E144" s="189">
        <f ca="1">P[[#This Row],[SunRise]]-TimeZone/24</f>
        <v>43236.009894417133</v>
      </c>
      <c r="F144" s="190">
        <f t="shared" ca="1" si="28"/>
        <v>30.992408746942179</v>
      </c>
      <c r="G144" s="190">
        <f t="shared" ca="1" si="29"/>
        <v>38.028962719156766</v>
      </c>
      <c r="H144" s="191">
        <f t="shared" ca="1" si="30"/>
        <v>43236.009894417133</v>
      </c>
      <c r="I144" s="124" t="str">
        <f ca="1">naks(P[[#This Row],[Moon]])</f>
        <v>Krittika</v>
      </c>
      <c r="J144" s="127">
        <f ca="1">(C145-P[[#This Row],[SunRise]])/(G145-P[[#This Row],[Moon]])*(13.3333333333333-MOD(P[[#This Row],[Moon]],13.333333333333))+P[[#This Row],[SunRise]]</f>
        <v>43236.3735536241</v>
      </c>
      <c r="K144" s="124" t="str">
        <f ca="1">IF(P[[#This Row],[Tithi]]&gt;15,"K","S")&amp;ROUNDUP(MOD(P[[#This Row],[Tithi]],15),0)&amp;" ("&amp;ROUND(P[[#This Row],[Tithi]],2)&amp;")"</f>
        <v>S1 (0.59)</v>
      </c>
      <c r="L144" s="124">
        <f ca="1">IF(AND(P[[#This Row],[Tithi]]&lt;28.5,P[[#This Row],[Tithi]]&gt;0.49999),MOD((P[[#This Row],[Tithi]]-0.5)*2,7),MOD((P[[#This Row],[Tithi]]+30-28.5),30)*2+7)</f>
        <v>0.17280000000000006</v>
      </c>
      <c r="M144" s="124" t="str">
        <f ca="1">CHOOSE(ROUNDUP(P[[#This Row],[Karana1]],0),"Bhava","Baalava","Kaulava","Taitula","Garija","Vanija","Vishti","Shakuni","Chatushapda","Naaga","Kimstugna")</f>
        <v>Bhava</v>
      </c>
      <c r="N14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(5.18)</v>
      </c>
      <c r="O144" s="124">
        <f ca="1">IF(AND(P[[#This Row],[Tithi]]&lt;28.5,P[[#This Row],[Tithi]]&gt;0.49999),MOD((P[[#This Row],[Tithi]]-0.5)*2,7),MOD((P[[#This Row],[Tithi]]+30-28.5),30)*2+7)</f>
        <v>0.17280000000000006</v>
      </c>
      <c r="P144" s="124">
        <f ca="1">ROUNDUP(MOD(360+P[[#This Row],[Moon]]-P[[#This Row],[Sun]],360)/12,4)</f>
        <v>0.58640000000000003</v>
      </c>
      <c r="Q144" s="124">
        <f t="shared" ca="1" si="31"/>
        <v>5.18</v>
      </c>
      <c r="R144" s="124" t="str">
        <f ca="1">SIGN(S145-P[[#This Row],[MARs]])*INT(P[[#This Row],[MARs]]/30+1)&amp;"Ma,"&amp;SIGN(T145-P[[#This Row],[Merc]])*INT(P[[#This Row],[Merc]]/30+1)&amp;"Me,"&amp;SIGN(U145-P[[#This Row],[Jup]])*INT(P[[#This Row],[Jup]]/30+1)&amp;"Ju,"&amp;SIGN(V145-P[[#This Row],[Venu]])*INT(P[[#This Row],[Venu]]/30+1)&amp;"Ve,"&amp;SIGN(W145-P[[#This Row],[Sat]])*INT(P[[#This Row],[Sat]]/30+1)&amp;"Sa,"&amp;INT(P[[#This Row],[Rah]]/30+1)&amp;"Ra"</f>
        <v>10Ma,1Me,-7Ju,3Ve,-9Sa,4Ra</v>
      </c>
      <c r="S144" s="124">
        <f ca="1">Planet(P[[#This Row],[GMT Sun Rise]],4)</f>
        <v>275.81393962329162</v>
      </c>
      <c r="T144" s="124">
        <f ca="1">Planet(P[[#This Row],[GMT Sun Rise]],2)</f>
        <v>9.8103446181399203</v>
      </c>
      <c r="U144" s="124">
        <f ca="1">Planet(P[[#This Row],[GMT Sun Rise]],5)</f>
        <v>203.36064364448305</v>
      </c>
      <c r="V144" s="124">
        <f ca="1">Planet(P[[#This Row],[GMT Sun Rise]],3)</f>
        <v>61.649426634671094</v>
      </c>
      <c r="W144" s="124">
        <f ca="1">Planet(P[[#This Row],[GMT Sun Rise]],6)</f>
        <v>254.4237709614797</v>
      </c>
      <c r="X144" s="124">
        <f ca="1">Planet(P[[#This Row],[GMT Sun Rise]],10)</f>
        <v>105.63699115654036</v>
      </c>
      <c r="Y144" s="124">
        <f ca="1">SIGN(S145-P[[#This Row],[MARs]])</f>
        <v>1</v>
      </c>
    </row>
    <row r="145" spans="1:25" x14ac:dyDescent="0.2">
      <c r="A145" s="125">
        <f t="shared" ca="1" si="32"/>
        <v>43237</v>
      </c>
      <c r="B145" s="125">
        <f t="shared" ca="1" si="25"/>
        <v>43237.229166666664</v>
      </c>
      <c r="C145" s="127">
        <f t="shared" ca="1" si="26"/>
        <v>43237.238901820187</v>
      </c>
      <c r="D145" s="127">
        <f t="shared" ca="1" si="27"/>
        <v>43236.769336204088</v>
      </c>
      <c r="E145" s="189">
        <f ca="1">P[[#This Row],[SunRise]]-TimeZone/24</f>
        <v>43237.009735153522</v>
      </c>
      <c r="F145" s="190">
        <f t="shared" ca="1" si="28"/>
        <v>31.956617034139654</v>
      </c>
      <c r="G145" s="190">
        <f t="shared" ca="1" si="29"/>
        <v>52.681993748855518</v>
      </c>
      <c r="H145" s="191">
        <f t="shared" ca="1" si="30"/>
        <v>43237.009735153522</v>
      </c>
      <c r="I145" s="124" t="str">
        <f ca="1">naks(P[[#This Row],[Moon]])</f>
        <v>Rohini</v>
      </c>
      <c r="J145" s="127">
        <f ca="1">(C146-P[[#This Row],[SunRise]])/(G146-P[[#This Row],[Moon]])*(13.3333333333333-MOD(P[[#This Row],[Moon]],13.333333333333))+P[[#This Row],[SunRise]]</f>
        <v>43237.283183485648</v>
      </c>
      <c r="K145" s="124" t="str">
        <f ca="1">IF(P[[#This Row],[Tithi]]&gt;15,"K","S")&amp;ROUNDUP(MOD(P[[#This Row],[Tithi]],15),0)&amp;" ("&amp;ROUND(P[[#This Row],[Tithi]],2)&amp;")"</f>
        <v>S2 (1.73)</v>
      </c>
      <c r="L145" s="124">
        <f ca="1">IF(AND(P[[#This Row],[Tithi]]&lt;28.5,P[[#This Row],[Tithi]]&gt;0.49999),MOD((P[[#This Row],[Tithi]]-0.5)*2,7),MOD((P[[#This Row],[Tithi]]+30-28.5),30)*2+7)</f>
        <v>2.4544000000000001</v>
      </c>
      <c r="M145" s="124" t="str">
        <f ca="1">CHOOSE(ROUNDUP(P[[#This Row],[Karana1]],0),"Bhava","Baalava","Kaulava","Taitula","Garija","Vanija","Vishti","Shakuni","Chatushapda","Naaga","Kimstugna")</f>
        <v>Kaulava</v>
      </c>
      <c r="N14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(6.35)</v>
      </c>
      <c r="O145" s="124">
        <f ca="1">IF(AND(P[[#This Row],[Tithi]]&lt;28.5,P[[#This Row],[Tithi]]&gt;0.49999),MOD((P[[#This Row],[Tithi]]-0.5)*2,7),MOD((P[[#This Row],[Tithi]]+30-28.5),30)*2+7)</f>
        <v>2.4544000000000001</v>
      </c>
      <c r="P145" s="124">
        <f ca="1">ROUNDUP(MOD(360+P[[#This Row],[Moon]]-P[[#This Row],[Sun]],360)/12,4)</f>
        <v>1.7272000000000001</v>
      </c>
      <c r="Q145" s="124">
        <f t="shared" ca="1" si="31"/>
        <v>6.35</v>
      </c>
      <c r="R145" s="124" t="str">
        <f ca="1">SIGN(S146-P[[#This Row],[MARs]])*INT(P[[#This Row],[MARs]]/30+1)&amp;"Ma,"&amp;SIGN(T146-P[[#This Row],[Merc]])*INT(P[[#This Row],[Merc]]/30+1)&amp;"Me,"&amp;SIGN(U146-P[[#This Row],[Jup]])*INT(P[[#This Row],[Jup]]/30+1)&amp;"Ju,"&amp;SIGN(V146-P[[#This Row],[Venu]])*INT(P[[#This Row],[Venu]]/30+1)&amp;"Ve,"&amp;SIGN(W146-P[[#This Row],[Sat]])*INT(P[[#This Row],[Sat]]/30+1)&amp;"Sa,"&amp;INT(P[[#This Row],[Rah]]/30+1)&amp;"Ra"</f>
        <v>10Ma,1Me,-7Ju,3Ve,-9Sa,4Ra</v>
      </c>
      <c r="S145" s="124">
        <f ca="1">Planet(P[[#This Row],[GMT Sun Rise]],4)</f>
        <v>276.20379327252908</v>
      </c>
      <c r="T145" s="124">
        <f ca="1">Planet(P[[#This Row],[GMT Sun Rise]],2)</f>
        <v>11.450658813835732</v>
      </c>
      <c r="U145" s="124">
        <f ca="1">Planet(P[[#This Row],[GMT Sun Rise]],5)</f>
        <v>203.23532668083999</v>
      </c>
      <c r="V145" s="124">
        <f ca="1">Planet(P[[#This Row],[GMT Sun Rise]],3)</f>
        <v>62.848698733176668</v>
      </c>
      <c r="W145" s="124">
        <f ca="1">Planet(P[[#This Row],[GMT Sun Rise]],6)</f>
        <v>254.38039343812767</v>
      </c>
      <c r="X145" s="124">
        <f ca="1">Planet(P[[#This Row],[GMT Sun Rise]],10)</f>
        <v>105.58400759867381</v>
      </c>
      <c r="Y145" s="124">
        <f ca="1">SIGN(S146-P[[#This Row],[MARs]])</f>
        <v>1</v>
      </c>
    </row>
    <row r="146" spans="1:25" x14ac:dyDescent="0.2">
      <c r="A146" s="125">
        <f t="shared" ca="1" si="32"/>
        <v>43238</v>
      </c>
      <c r="B146" s="125">
        <f t="shared" ca="1" si="25"/>
        <v>43238.229166666664</v>
      </c>
      <c r="C146" s="127">
        <f t="shared" ca="1" si="26"/>
        <v>43238.238752729412</v>
      </c>
      <c r="D146" s="127">
        <f t="shared" ca="1" si="27"/>
        <v>43237.769529958765</v>
      </c>
      <c r="E146" s="189">
        <f ca="1">P[[#This Row],[SunRise]]-TimeZone/24</f>
        <v>43238.009586062748</v>
      </c>
      <c r="F146" s="190">
        <f t="shared" ca="1" si="28"/>
        <v>32.92040206994141</v>
      </c>
      <c r="G146" s="190">
        <f t="shared" ca="1" si="29"/>
        <v>67.388813578629524</v>
      </c>
      <c r="H146" s="191">
        <f t="shared" ca="1" si="30"/>
        <v>43238.009586062748</v>
      </c>
      <c r="I146" s="124" t="str">
        <f ca="1">naks(P[[#This Row],[Moon]])</f>
        <v>Ardra</v>
      </c>
      <c r="J146" s="127">
        <f ca="1">(C147-P[[#This Row],[SunRise]])/(G147-P[[#This Row],[Moon]])*(13.3333333333333-MOD(P[[#This Row],[Moon]],13.333333333333))+P[[#This Row],[SunRise]]</f>
        <v>43239.099834076143</v>
      </c>
      <c r="K146" s="124" t="str">
        <f ca="1">IF(P[[#This Row],[Tithi]]&gt;15,"K","S")&amp;ROUNDUP(MOD(P[[#This Row],[Tithi]],15),0)&amp;" ("&amp;ROUND(P[[#This Row],[Tithi]],2)&amp;")"</f>
        <v>S3 (2.87)</v>
      </c>
      <c r="L146" s="124">
        <f ca="1">IF(AND(P[[#This Row],[Tithi]]&lt;28.5,P[[#This Row],[Tithi]]&gt;0.49999),MOD((P[[#This Row],[Tithi]]-0.5)*2,7),MOD((P[[#This Row],[Tithi]]+30-28.5),30)*2+7)</f>
        <v>4.7448000000000006</v>
      </c>
      <c r="M146" s="124" t="str">
        <f ca="1">CHOOSE(ROUNDUP(P[[#This Row],[Karana1]],0),"Bhava","Baalava","Kaulava","Taitula","Garija","Vanija","Vishti","Shakuni","Chatushapda","Naaga","Kimstugna")</f>
        <v>Garija</v>
      </c>
      <c r="N14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(7.53)</v>
      </c>
      <c r="O146" s="124">
        <f ca="1">IF(AND(P[[#This Row],[Tithi]]&lt;28.5,P[[#This Row],[Tithi]]&gt;0.49999),MOD((P[[#This Row],[Tithi]]-0.5)*2,7),MOD((P[[#This Row],[Tithi]]+30-28.5),30)*2+7)</f>
        <v>4.7448000000000006</v>
      </c>
      <c r="P146" s="124">
        <f ca="1">ROUNDUP(MOD(360+P[[#This Row],[Moon]]-P[[#This Row],[Sun]],360)/12,4)</f>
        <v>2.8724000000000003</v>
      </c>
      <c r="Q146" s="124">
        <f t="shared" ca="1" si="31"/>
        <v>7.5299999999999994</v>
      </c>
      <c r="R146" s="124" t="str">
        <f ca="1">SIGN(S147-P[[#This Row],[MARs]])*INT(P[[#This Row],[MARs]]/30+1)&amp;"Ma,"&amp;SIGN(T147-P[[#This Row],[Merc]])*INT(P[[#This Row],[Merc]]/30+1)&amp;"Me,"&amp;SIGN(U147-P[[#This Row],[Jup]])*INT(P[[#This Row],[Jup]]/30+1)&amp;"Ju,"&amp;SIGN(V147-P[[#This Row],[Venu]])*INT(P[[#This Row],[Venu]]/30+1)&amp;"Ve,"&amp;SIGN(W147-P[[#This Row],[Sat]])*INT(P[[#This Row],[Sat]]/30+1)&amp;"Sa,"&amp;INT(P[[#This Row],[Rah]]/30+1)&amp;"Ra"</f>
        <v>10Ma,1Me,-7Ju,3Ve,-9Sa,4Ra</v>
      </c>
      <c r="S146" s="124">
        <f ca="1">Planet(P[[#This Row],[GMT Sun Rise]],4)</f>
        <v>276.58760624683612</v>
      </c>
      <c r="T146" s="124">
        <f ca="1">Planet(P[[#This Row],[GMT Sun Rise]],2)</f>
        <v>13.126121029694177</v>
      </c>
      <c r="U146" s="124">
        <f ca="1">Planet(P[[#This Row],[GMT Sun Rise]],5)</f>
        <v>203.11069673894056</v>
      </c>
      <c r="V146" s="124">
        <f ca="1">Planet(P[[#This Row],[GMT Sun Rise]],3)</f>
        <v>64.047084701084401</v>
      </c>
      <c r="W146" s="124">
        <f ca="1">Planet(P[[#This Row],[GMT Sun Rise]],6)</f>
        <v>254.33570143664735</v>
      </c>
      <c r="X146" s="124">
        <f ca="1">Planet(P[[#This Row],[GMT Sun Rise]],10)</f>
        <v>105.53102350176064</v>
      </c>
      <c r="Y146" s="124">
        <f ca="1">SIGN(S147-P[[#This Row],[MARs]])</f>
        <v>1</v>
      </c>
    </row>
    <row r="147" spans="1:25" x14ac:dyDescent="0.2">
      <c r="A147" s="125">
        <f t="shared" ca="1" si="32"/>
        <v>43239</v>
      </c>
      <c r="B147" s="125">
        <f t="shared" ca="1" si="25"/>
        <v>43239.229166666664</v>
      </c>
      <c r="C147" s="127">
        <f t="shared" ca="1" si="26"/>
        <v>43239.238613492962</v>
      </c>
      <c r="D147" s="127">
        <f t="shared" ca="1" si="27"/>
        <v>43238.769726415674</v>
      </c>
      <c r="E147" s="189">
        <f ca="1">P[[#This Row],[SunRise]]-TimeZone/24</f>
        <v>43239.009446826298</v>
      </c>
      <c r="F147" s="190">
        <f t="shared" ca="1" si="28"/>
        <v>33.883750743127919</v>
      </c>
      <c r="G147" s="190">
        <f t="shared" ca="1" si="29"/>
        <v>82.03252933493215</v>
      </c>
      <c r="H147" s="191">
        <f t="shared" ca="1" si="30"/>
        <v>43239.009446826298</v>
      </c>
      <c r="I147" s="124" t="str">
        <f ca="1">naks(P[[#This Row],[Moon]])</f>
        <v>Punarvasu</v>
      </c>
      <c r="J147" s="127">
        <f ca="1">(C148-P[[#This Row],[SunRise]])/(G148-P[[#This Row],[Moon]])*(13.3333333333333-MOD(P[[#This Row],[Moon]],13.333333333333))+P[[#This Row],[SunRise]]</f>
        <v>43240.018458228464</v>
      </c>
      <c r="K147" s="124" t="str">
        <f ca="1">IF(P[[#This Row],[Tithi]]&gt;15,"K","S")&amp;ROUNDUP(MOD(P[[#This Row],[Tithi]],15),0)&amp;" ("&amp;ROUND(P[[#This Row],[Tithi]],2)&amp;")"</f>
        <v>S5 (4.01)</v>
      </c>
      <c r="L147" s="124">
        <f ca="1">IF(AND(P[[#This Row],[Tithi]]&lt;28.5,P[[#This Row],[Tithi]]&gt;0.49999),MOD((P[[#This Row],[Tithi]]-0.5)*2,7),MOD((P[[#This Row],[Tithi]]+30-28.5),30)*2+7)</f>
        <v>2.4799999999999045E-2</v>
      </c>
      <c r="M147" s="124" t="str">
        <f ca="1">CHOOSE(ROUNDUP(P[[#This Row],[Karana1]],0),"Bhava","Baalava","Kaulava","Taitula","Garija","Vanija","Vishti","Shakuni","Chatushapda","Naaga","Kimstugna")</f>
        <v>Bhava</v>
      </c>
      <c r="N14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(8.7)</v>
      </c>
      <c r="O147" s="124">
        <f ca="1">IF(AND(P[[#This Row],[Tithi]]&lt;28.5,P[[#This Row],[Tithi]]&gt;0.49999),MOD((P[[#This Row],[Tithi]]-0.5)*2,7),MOD((P[[#This Row],[Tithi]]+30-28.5),30)*2+7)</f>
        <v>2.4799999999999045E-2</v>
      </c>
      <c r="P147" s="124">
        <f ca="1">ROUNDUP(MOD(360+P[[#This Row],[Moon]]-P[[#This Row],[Sun]],360)/12,4)</f>
        <v>4.0123999999999995</v>
      </c>
      <c r="Q147" s="124">
        <f t="shared" ca="1" si="31"/>
        <v>8.6999999999999993</v>
      </c>
      <c r="R147" s="124" t="str">
        <f ca="1">SIGN(S148-P[[#This Row],[MARs]])*INT(P[[#This Row],[MARs]]/30+1)&amp;"Ma,"&amp;SIGN(T148-P[[#This Row],[Merc]])*INT(P[[#This Row],[Merc]]/30+1)&amp;"Me,"&amp;SIGN(U148-P[[#This Row],[Jup]])*INT(P[[#This Row],[Jup]]/30+1)&amp;"Ju,"&amp;SIGN(V148-P[[#This Row],[Venu]])*INT(P[[#This Row],[Venu]]/30+1)&amp;"Ve,"&amp;SIGN(W148-P[[#This Row],[Sat]])*INT(P[[#This Row],[Sat]]/30+1)&amp;"Sa,"&amp;INT(P[[#This Row],[Rah]]/30+1)&amp;"Ra"</f>
        <v>10Ma,1Me,-7Ju,3Ve,-9Sa,4Ra</v>
      </c>
      <c r="S147" s="124">
        <f ca="1">Planet(P[[#This Row],[GMT Sun Rise]],4)</f>
        <v>276.96525426001972</v>
      </c>
      <c r="T147" s="124">
        <f ca="1">Planet(P[[#This Row],[GMT Sun Rise]],2)</f>
        <v>14.836706755163426</v>
      </c>
      <c r="U147" s="124">
        <f ca="1">Planet(P[[#This Row],[GMT Sun Rise]],5)</f>
        <v>202.98684441313426</v>
      </c>
      <c r="V147" s="124">
        <f ca="1">Planet(P[[#This Row],[GMT Sun Rise]],3)</f>
        <v>65.244557377617838</v>
      </c>
      <c r="W147" s="124">
        <f ca="1">Planet(P[[#This Row],[GMT Sun Rise]],6)</f>
        <v>254.2897189283614</v>
      </c>
      <c r="X147" s="124">
        <f ca="1">Planet(P[[#This Row],[GMT Sun Rise]],10)</f>
        <v>105.47803888263465</v>
      </c>
      <c r="Y147" s="124">
        <f ca="1">SIGN(S148-P[[#This Row],[MARs]])</f>
        <v>1</v>
      </c>
    </row>
    <row r="148" spans="1:25" x14ac:dyDescent="0.2">
      <c r="A148" s="125">
        <f t="shared" ca="1" si="32"/>
        <v>43240</v>
      </c>
      <c r="B148" s="125">
        <f t="shared" ca="1" si="25"/>
        <v>43240.229166666664</v>
      </c>
      <c r="C148" s="127">
        <f t="shared" ca="1" si="26"/>
        <v>43240.238484270092</v>
      </c>
      <c r="D148" s="127">
        <f t="shared" ca="1" si="27"/>
        <v>43239.769925256769</v>
      </c>
      <c r="E148" s="189">
        <f ca="1">P[[#This Row],[SunRise]]-TimeZone/24</f>
        <v>43240.009317603428</v>
      </c>
      <c r="F148" s="190">
        <f t="shared" ca="1" si="28"/>
        <v>34.846653801421809</v>
      </c>
      <c r="G148" s="190">
        <f t="shared" ca="1" si="29"/>
        <v>96.521751563054437</v>
      </c>
      <c r="H148" s="191">
        <f t="shared" ca="1" si="30"/>
        <v>43240.009317603428</v>
      </c>
      <c r="I148" s="124" t="str">
        <f ca="1">naks(P[[#This Row],[Moon]])</f>
        <v>Pushya</v>
      </c>
      <c r="J148" s="127">
        <f ca="1">(C149-P[[#This Row],[SunRise]])/(G149-P[[#This Row],[Moon]])*(13.3333333333333-MOD(P[[#This Row],[Moon]],13.333333333333))+P[[#This Row],[SunRise]]</f>
        <v>43240.949022259119</v>
      </c>
      <c r="K148" s="124" t="str">
        <f ca="1">IF(P[[#This Row],[Tithi]]&gt;15,"K","S")&amp;ROUNDUP(MOD(P[[#This Row],[Tithi]],15),0)&amp;" ("&amp;ROUND(P[[#This Row],[Tithi]],2)&amp;")"</f>
        <v>S6 (5.14)</v>
      </c>
      <c r="L148" s="124">
        <f ca="1">IF(AND(P[[#This Row],[Tithi]]&lt;28.5,P[[#This Row],[Tithi]]&gt;0.49999),MOD((P[[#This Row],[Tithi]]-0.5)*2,7),MOD((P[[#This Row],[Tithi]]+30-28.5),30)*2+7)</f>
        <v>2.2791999999999994</v>
      </c>
      <c r="M148" s="124" t="str">
        <f ca="1">CHOOSE(ROUNDUP(P[[#This Row],[Karana1]],0),"Bhava","Baalava","Kaulava","Taitula","Garija","Vanija","Vishti","Shakuni","Chatushapda","Naaga","Kimstugna")</f>
        <v>Kaulava</v>
      </c>
      <c r="N14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(9.86)</v>
      </c>
      <c r="O148" s="124">
        <f ca="1">IF(AND(P[[#This Row],[Tithi]]&lt;28.5,P[[#This Row],[Tithi]]&gt;0.49999),MOD((P[[#This Row],[Tithi]]-0.5)*2,7),MOD((P[[#This Row],[Tithi]]+30-28.5),30)*2+7)</f>
        <v>2.2791999999999994</v>
      </c>
      <c r="P148" s="124">
        <f ca="1">ROUNDUP(MOD(360+P[[#This Row],[Moon]]-P[[#This Row],[Sun]],360)/12,4)</f>
        <v>5.1395999999999997</v>
      </c>
      <c r="Q148" s="124">
        <f t="shared" ca="1" si="31"/>
        <v>9.86</v>
      </c>
      <c r="R148" s="124" t="str">
        <f ca="1">SIGN(S149-P[[#This Row],[MARs]])*INT(P[[#This Row],[MARs]]/30+1)&amp;"Ma,"&amp;SIGN(T149-P[[#This Row],[Merc]])*INT(P[[#This Row],[Merc]]/30+1)&amp;"Me,"&amp;SIGN(U149-P[[#This Row],[Jup]])*INT(P[[#This Row],[Jup]]/30+1)&amp;"Ju,"&amp;SIGN(V149-P[[#This Row],[Venu]])*INT(P[[#This Row],[Venu]]/30+1)&amp;"Ve,"&amp;SIGN(W149-P[[#This Row],[Sat]])*INT(P[[#This Row],[Sat]]/30+1)&amp;"Sa,"&amp;INT(P[[#This Row],[Rah]]/30+1)&amp;"Ra"</f>
        <v>10Ma,1Me,-7Ju,3Ve,-9Sa,4Ra</v>
      </c>
      <c r="S148" s="124">
        <f ca="1">Planet(P[[#This Row],[GMT Sun Rise]],4)</f>
        <v>277.33661597170385</v>
      </c>
      <c r="T148" s="124">
        <f ca="1">Planet(P[[#This Row],[GMT Sun Rise]],2)</f>
        <v>16.582408059822928</v>
      </c>
      <c r="U148" s="124">
        <f ca="1">Planet(P[[#This Row],[GMT Sun Rise]],5)</f>
        <v>202.86385815345295</v>
      </c>
      <c r="V148" s="124">
        <f ca="1">Planet(P[[#This Row],[GMT Sun Rise]],3)</f>
        <v>66.441089792769475</v>
      </c>
      <c r="W148" s="124">
        <f ca="1">Planet(P[[#This Row],[GMT Sun Rise]],6)</f>
        <v>254.24247064495736</v>
      </c>
      <c r="X148" s="124">
        <f ca="1">Planet(P[[#This Row],[GMT Sun Rise]],10)</f>
        <v>105.42505373286245</v>
      </c>
      <c r="Y148" s="124">
        <f ca="1">SIGN(S149-P[[#This Row],[MARs]])</f>
        <v>1</v>
      </c>
    </row>
    <row r="149" spans="1:25" x14ac:dyDescent="0.2">
      <c r="A149" s="125">
        <f t="shared" ca="1" si="32"/>
        <v>43241</v>
      </c>
      <c r="B149" s="125">
        <f t="shared" ca="1" si="25"/>
        <v>43241.229166666664</v>
      </c>
      <c r="C149" s="127">
        <f t="shared" ca="1" si="26"/>
        <v>43241.238364901546</v>
      </c>
      <c r="D149" s="127">
        <f t="shared" ca="1" si="27"/>
        <v>43240.770126164003</v>
      </c>
      <c r="E149" s="189">
        <f ca="1">P[[#This Row],[SunRise]]-TimeZone/24</f>
        <v>43241.009198234882</v>
      </c>
      <c r="F149" s="190">
        <f t="shared" ca="1" si="28"/>
        <v>35.809106349317481</v>
      </c>
      <c r="G149" s="190">
        <f t="shared" ca="1" si="29"/>
        <v>110.79784133799114</v>
      </c>
      <c r="H149" s="191">
        <f t="shared" ca="1" si="30"/>
        <v>43241.009198234882</v>
      </c>
      <c r="I149" s="124" t="str">
        <f ca="1">naks(P[[#This Row],[Moon]])</f>
        <v>Aslesha</v>
      </c>
      <c r="J149" s="127">
        <f ca="1">(C150-P[[#This Row],[SunRise]])/(G150-P[[#This Row],[Moon]])*(13.3333333333333-MOD(P[[#This Row],[Moon]],13.333333333333))+P[[#This Row],[SunRise]]</f>
        <v>43241.893936943285</v>
      </c>
      <c r="K149" s="124" t="str">
        <f ca="1">IF(P[[#This Row],[Tithi]]&gt;15,"K","S")&amp;ROUNDUP(MOD(P[[#This Row],[Tithi]],15),0)&amp;" ("&amp;ROUND(P[[#This Row],[Tithi]],2)&amp;")"</f>
        <v>S7 (6.25)</v>
      </c>
      <c r="L149" s="124">
        <f ca="1">IF(AND(P[[#This Row],[Tithi]]&lt;28.5,P[[#This Row],[Tithi]]&gt;0.49999),MOD((P[[#This Row],[Tithi]]-0.5)*2,7),MOD((P[[#This Row],[Tithi]]+30-28.5),30)*2+7)</f>
        <v>4.4981999999999989</v>
      </c>
      <c r="M149" s="124" t="str">
        <f ca="1">CHOOSE(ROUNDUP(P[[#This Row],[Karana1]],0),"Bhava","Baalava","Kaulava","Taitula","Garija","Vanija","Vishti","Shakuni","Chatushapda","Naaga","Kimstugna")</f>
        <v>Garija</v>
      </c>
      <c r="N14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(11)</v>
      </c>
      <c r="O149" s="124">
        <f ca="1">IF(AND(P[[#This Row],[Tithi]]&lt;28.5,P[[#This Row],[Tithi]]&gt;0.49999),MOD((P[[#This Row],[Tithi]]-0.5)*2,7),MOD((P[[#This Row],[Tithi]]+30-28.5),30)*2+7)</f>
        <v>4.4981999999999989</v>
      </c>
      <c r="P149" s="124">
        <f ca="1">ROUNDUP(MOD(360+P[[#This Row],[Moon]]-P[[#This Row],[Sun]],360)/12,4)</f>
        <v>6.2490999999999994</v>
      </c>
      <c r="Q149" s="124">
        <f t="shared" ca="1" si="31"/>
        <v>11</v>
      </c>
      <c r="R149" s="124" t="str">
        <f ca="1">SIGN(S150-P[[#This Row],[MARs]])*INT(P[[#This Row],[MARs]]/30+1)&amp;"Ma,"&amp;SIGN(T150-P[[#This Row],[Merc]])*INT(P[[#This Row],[Merc]]/30+1)&amp;"Me,"&amp;SIGN(U150-P[[#This Row],[Jup]])*INT(P[[#This Row],[Jup]]/30+1)&amp;"Ju,"&amp;SIGN(V150-P[[#This Row],[Venu]])*INT(P[[#This Row],[Venu]]/30+1)&amp;"Ve,"&amp;SIGN(W150-P[[#This Row],[Sat]])*INT(P[[#This Row],[Sat]]/30+1)&amp;"Sa,"&amp;INT(P[[#This Row],[Rah]]/30+1)&amp;"Ra"</f>
        <v>10Ma,1Me,-7Ju,3Ve,-9Sa,4Ra</v>
      </c>
      <c r="S149" s="124">
        <f ca="1">Planet(P[[#This Row],[GMT Sun Rise]],4)</f>
        <v>277.70156996309765</v>
      </c>
      <c r="T149" s="124">
        <f ca="1">Planet(P[[#This Row],[GMT Sun Rise]],2)</f>
        <v>18.363210455264856</v>
      </c>
      <c r="U149" s="124">
        <f ca="1">Planet(P[[#This Row],[GMT Sun Rise]],5)</f>
        <v>202.74182396374744</v>
      </c>
      <c r="V149" s="124">
        <f ca="1">Planet(P[[#This Row],[GMT Sun Rise]],3)</f>
        <v>67.63665546336594</v>
      </c>
      <c r="W149" s="124">
        <f ca="1">Planet(P[[#This Row],[GMT Sun Rise]],6)</f>
        <v>254.19398184330811</v>
      </c>
      <c r="X149" s="124">
        <f ca="1">Planet(P[[#This Row],[GMT Sun Rise]],10)</f>
        <v>105.37206806089401</v>
      </c>
      <c r="Y149" s="124">
        <f ca="1">SIGN(S150-P[[#This Row],[MARs]])</f>
        <v>1</v>
      </c>
    </row>
    <row r="150" spans="1:25" x14ac:dyDescent="0.2">
      <c r="A150" s="125">
        <f t="shared" ca="1" si="32"/>
        <v>43242</v>
      </c>
      <c r="B150" s="125">
        <f t="shared" ca="1" si="25"/>
        <v>43242.229166666664</v>
      </c>
      <c r="C150" s="127">
        <f t="shared" ca="1" si="26"/>
        <v>43242.238255547047</v>
      </c>
      <c r="D150" s="127">
        <f t="shared" ca="1" si="27"/>
        <v>43241.770329296633</v>
      </c>
      <c r="E150" s="189">
        <f ca="1">P[[#This Row],[SunRise]]-TimeZone/24</f>
        <v>43242.009088880382</v>
      </c>
      <c r="F150" s="190">
        <f t="shared" ca="1" si="28"/>
        <v>36.771109083589316</v>
      </c>
      <c r="G150" s="190">
        <f t="shared" ca="1" si="29"/>
        <v>124.8331445217206</v>
      </c>
      <c r="H150" s="191">
        <f t="shared" ca="1" si="30"/>
        <v>43242.009088880382</v>
      </c>
      <c r="I150" s="124" t="str">
        <f ca="1">naks(P[[#This Row],[Moon]])</f>
        <v>Makha</v>
      </c>
      <c r="J150" s="127">
        <f ca="1">(C151-P[[#This Row],[SunRise]])/(G151-P[[#This Row],[Moon]])*(13.3333333333333-MOD(P[[#This Row],[Moon]],13.333333333333))+P[[#This Row],[SunRise]]</f>
        <v>43242.854590976123</v>
      </c>
      <c r="K150" s="124" t="str">
        <f ca="1">IF(P[[#This Row],[Tithi]]&gt;15,"K","S")&amp;ROUNDUP(MOD(P[[#This Row],[Tithi]],15),0)&amp;" ("&amp;ROUND(P[[#This Row],[Tithi]],2)&amp;")"</f>
        <v>S8 (7.34)</v>
      </c>
      <c r="L150" s="124">
        <f ca="1">IF(AND(P[[#This Row],[Tithi]]&lt;28.5,P[[#This Row],[Tithi]]&gt;0.49999),MOD((P[[#This Row],[Tithi]]-0.5)*2,7),MOD((P[[#This Row],[Tithi]]+30-28.5),30)*2+7)</f>
        <v>6.6771999999999991</v>
      </c>
      <c r="M150" s="124" t="str">
        <f ca="1">CHOOSE(ROUNDUP(P[[#This Row],[Karana1]],0),"Bhava","Baalava","Kaulava","Taitula","Garija","Vanija","Vishti","Shakuni","Chatushapda","Naaga","Kimstugna")</f>
        <v>Vishti</v>
      </c>
      <c r="N15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(12.13)</v>
      </c>
      <c r="O150" s="124">
        <f ca="1">IF(AND(P[[#This Row],[Tithi]]&lt;28.5,P[[#This Row],[Tithi]]&gt;0.49999),MOD((P[[#This Row],[Tithi]]-0.5)*2,7),MOD((P[[#This Row],[Tithi]]+30-28.5),30)*2+7)</f>
        <v>6.6771999999999991</v>
      </c>
      <c r="P150" s="124">
        <f ca="1">ROUNDUP(MOD(360+P[[#This Row],[Moon]]-P[[#This Row],[Sun]],360)/12,4)</f>
        <v>7.3385999999999996</v>
      </c>
      <c r="Q150" s="124">
        <f t="shared" ca="1" si="31"/>
        <v>12.129999999999999</v>
      </c>
      <c r="R150" s="124" t="str">
        <f ca="1">SIGN(S151-P[[#This Row],[MARs]])*INT(P[[#This Row],[MARs]]/30+1)&amp;"Ma,"&amp;SIGN(T151-P[[#This Row],[Merc]])*INT(P[[#This Row],[Merc]]/30+1)&amp;"Me,"&amp;SIGN(U151-P[[#This Row],[Jup]])*INT(P[[#This Row],[Jup]]/30+1)&amp;"Ju,"&amp;SIGN(V151-P[[#This Row],[Venu]])*INT(P[[#This Row],[Venu]]/30+1)&amp;"Ve,"&amp;SIGN(W151-P[[#This Row],[Sat]])*INT(P[[#This Row],[Sat]]/30+1)&amp;"Sa,"&amp;INT(P[[#This Row],[Rah]]/30+1)&amp;"Ra"</f>
        <v>10Ma,1Me,-7Ju,3Ve,-9Sa,4Ra</v>
      </c>
      <c r="S150" s="124">
        <f ca="1">Planet(P[[#This Row],[GMT Sun Rise]],4)</f>
        <v>278.0599920552599</v>
      </c>
      <c r="T150" s="124">
        <f ca="1">Planet(P[[#This Row],[GMT Sun Rise]],2)</f>
        <v>20.179068128606083</v>
      </c>
      <c r="U150" s="124">
        <f ca="1">Planet(P[[#This Row],[GMT Sun Rise]],5)</f>
        <v>202.62082513891491</v>
      </c>
      <c r="V150" s="124">
        <f ca="1">Planet(P[[#This Row],[GMT Sun Rise]],3)</f>
        <v>68.831230164531505</v>
      </c>
      <c r="W150" s="124">
        <f ca="1">Planet(P[[#This Row],[GMT Sun Rise]],6)</f>
        <v>254.14427803876652</v>
      </c>
      <c r="X150" s="124">
        <f ca="1">Planet(P[[#This Row],[GMT Sun Rise]],10)</f>
        <v>105.31908185829587</v>
      </c>
      <c r="Y150" s="124">
        <f ca="1">SIGN(S151-P[[#This Row],[MARs]])</f>
        <v>1</v>
      </c>
    </row>
    <row r="151" spans="1:25" x14ac:dyDescent="0.2">
      <c r="A151" s="125">
        <f t="shared" ca="1" si="32"/>
        <v>43243</v>
      </c>
      <c r="B151" s="125">
        <f t="shared" ca="1" si="25"/>
        <v>43243.229166666664</v>
      </c>
      <c r="C151" s="127">
        <f t="shared" ca="1" si="26"/>
        <v>43243.238156206127</v>
      </c>
      <c r="D151" s="127">
        <f t="shared" ca="1" si="27"/>
        <v>43242.77053417782</v>
      </c>
      <c r="E151" s="189">
        <f ca="1">P[[#This Row],[SunRise]]-TimeZone/24</f>
        <v>43243.008989539463</v>
      </c>
      <c r="F151" s="190">
        <f t="shared" ca="1" si="28"/>
        <v>37.732667782357495</v>
      </c>
      <c r="G151" s="190">
        <f t="shared" ca="1" si="29"/>
        <v>138.62327241970402</v>
      </c>
      <c r="H151" s="191">
        <f t="shared" ca="1" si="30"/>
        <v>43243.008989539463</v>
      </c>
      <c r="I151" s="124" t="str">
        <f ca="1">naks(P[[#This Row],[Moon]])</f>
        <v>Purva Phalguni</v>
      </c>
      <c r="J151" s="127">
        <f ca="1">(C152-P[[#This Row],[SunRise]])/(G152-P[[#This Row],[Moon]])*(13.3333333333333-MOD(P[[#This Row],[Moon]],13.333333333333))+P[[#This Row],[SunRise]]</f>
        <v>43243.831535531768</v>
      </c>
      <c r="K151" s="124" t="str">
        <f ca="1">IF(P[[#This Row],[Tithi]]&gt;15,"K","S")&amp;ROUNDUP(MOD(P[[#This Row],[Tithi]],15),0)&amp;" ("&amp;ROUND(P[[#This Row],[Tithi]],2)&amp;")"</f>
        <v>S9 (8.41)</v>
      </c>
      <c r="L151" s="124">
        <f ca="1">IF(AND(P[[#This Row],[Tithi]]&lt;28.5,P[[#This Row],[Tithi]]&gt;0.49999),MOD((P[[#This Row],[Tithi]]-0.5)*2,7),MOD((P[[#This Row],[Tithi]]+30-28.5),30)*2+7)</f>
        <v>1.8152000000000008</v>
      </c>
      <c r="M151" s="124" t="str">
        <f ca="1">CHOOSE(ROUNDUP(P[[#This Row],[Karana1]],0),"Bhava","Baalava","Kaulava","Taitula","Garija","Vanija","Vishti","Shakuni","Chatushapda","Naaga","Kimstugna")</f>
        <v>Baalava</v>
      </c>
      <c r="N15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(13.23)</v>
      </c>
      <c r="O151" s="124">
        <f ca="1">IF(AND(P[[#This Row],[Tithi]]&lt;28.5,P[[#This Row],[Tithi]]&gt;0.49999),MOD((P[[#This Row],[Tithi]]-0.5)*2,7),MOD((P[[#This Row],[Tithi]]+30-28.5),30)*2+7)</f>
        <v>1.8152000000000008</v>
      </c>
      <c r="P151" s="124">
        <f ca="1">ROUNDUP(MOD(360+P[[#This Row],[Moon]]-P[[#This Row],[Sun]],360)/12,4)</f>
        <v>8.4076000000000004</v>
      </c>
      <c r="Q151" s="124">
        <f t="shared" ca="1" si="31"/>
        <v>13.23</v>
      </c>
      <c r="R151" s="124" t="str">
        <f ca="1">SIGN(S152-P[[#This Row],[MARs]])*INT(P[[#This Row],[MARs]]/30+1)&amp;"Ma,"&amp;SIGN(T152-P[[#This Row],[Merc]])*INT(P[[#This Row],[Merc]]/30+1)&amp;"Me,"&amp;SIGN(U152-P[[#This Row],[Jup]])*INT(P[[#This Row],[Jup]]/30+1)&amp;"Ju,"&amp;SIGN(V152-P[[#This Row],[Venu]])*INT(P[[#This Row],[Venu]]/30+1)&amp;"Ve,"&amp;SIGN(W152-P[[#This Row],[Sat]])*INT(P[[#This Row],[Sat]]/30+1)&amp;"Sa,"&amp;INT(P[[#This Row],[Rah]]/30+1)&amp;"Ra"</f>
        <v>10Ma,1Me,-7Ju,3Ve,-9Sa,4Ra</v>
      </c>
      <c r="S151" s="124">
        <f ca="1">Planet(P[[#This Row],[GMT Sun Rise]],4)</f>
        <v>278.41175256640184</v>
      </c>
      <c r="T151" s="124">
        <f ca="1">Planet(P[[#This Row],[GMT Sun Rise]],2)</f>
        <v>22.029872891625807</v>
      </c>
      <c r="U151" s="124">
        <f ca="1">Planet(P[[#This Row],[GMT Sun Rise]],5)</f>
        <v>202.50094234249593</v>
      </c>
      <c r="V151" s="124">
        <f ca="1">Planet(P[[#This Row],[GMT Sun Rise]],3)</f>
        <v>70.024791970612895</v>
      </c>
      <c r="W151" s="124">
        <f ca="1">Planet(P[[#This Row],[GMT Sun Rise]],6)</f>
        <v>254.09338486100975</v>
      </c>
      <c r="X151" s="124">
        <f ca="1">Planet(P[[#This Row],[GMT Sun Rise]],10)</f>
        <v>105.26609512503489</v>
      </c>
      <c r="Y151" s="124">
        <f ca="1">SIGN(S152-P[[#This Row],[MARs]])</f>
        <v>1</v>
      </c>
    </row>
    <row r="152" spans="1:25" x14ac:dyDescent="0.2">
      <c r="A152" s="125">
        <f t="shared" ca="1" si="32"/>
        <v>43244</v>
      </c>
      <c r="B152" s="125">
        <f t="shared" ca="1" si="25"/>
        <v>43244.229166666664</v>
      </c>
      <c r="C152" s="127">
        <f t="shared" ca="1" si="26"/>
        <v>43244.238066719532</v>
      </c>
      <c r="D152" s="127">
        <f t="shared" ca="1" si="27"/>
        <v>43243.7707408071</v>
      </c>
      <c r="E152" s="189">
        <f ca="1">P[[#This Row],[SunRise]]-TimeZone/24</f>
        <v>43244.008900052868</v>
      </c>
      <c r="F152" s="190">
        <f t="shared" ca="1" si="28"/>
        <v>38.69379274400363</v>
      </c>
      <c r="G152" s="190">
        <f t="shared" ca="1" si="29"/>
        <v>152.17729111139496</v>
      </c>
      <c r="H152" s="191">
        <f t="shared" ca="1" si="30"/>
        <v>43244.008900052868</v>
      </c>
      <c r="I152" s="124" t="str">
        <f ca="1">naks(P[[#This Row],[Moon]])</f>
        <v>Uttara Phalguni</v>
      </c>
      <c r="J152" s="127">
        <f ca="1">(C153-P[[#This Row],[SunRise]])/(G153-P[[#This Row],[Moon]])*(13.3333333333333-MOD(P[[#This Row],[Moon]],13.333333333333))+P[[#This Row],[SunRise]]</f>
        <v>43244.824803876516</v>
      </c>
      <c r="K152" s="124" t="str">
        <f ca="1">IF(P[[#This Row],[Tithi]]&gt;15,"K","S")&amp;ROUNDUP(MOD(P[[#This Row],[Tithi]],15),0)&amp;" ("&amp;ROUND(P[[#This Row],[Tithi]],2)&amp;")"</f>
        <v>S10 (9.46)</v>
      </c>
      <c r="L152" s="124">
        <f ca="1">IF(AND(P[[#This Row],[Tithi]]&lt;28.5,P[[#This Row],[Tithi]]&gt;0.49999),MOD((P[[#This Row],[Tithi]]-0.5)*2,7),MOD((P[[#This Row],[Tithi]]+30-28.5),30)*2+7)</f>
        <v>3.9139999999999979</v>
      </c>
      <c r="M152" s="124" t="str">
        <f ca="1">CHOOSE(ROUNDUP(P[[#This Row],[Karana1]],0),"Bhava","Baalava","Kaulava","Taitula","Garija","Vanija","Vishti","Shakuni","Chatushapda","Naaga","Kimstugna")</f>
        <v>Taitula</v>
      </c>
      <c r="N15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(14.32)</v>
      </c>
      <c r="O152" s="124">
        <f ca="1">IF(AND(P[[#This Row],[Tithi]]&lt;28.5,P[[#This Row],[Tithi]]&gt;0.49999),MOD((P[[#This Row],[Tithi]]-0.5)*2,7),MOD((P[[#This Row],[Tithi]]+30-28.5),30)*2+7)</f>
        <v>3.9139999999999979</v>
      </c>
      <c r="P152" s="124">
        <f ca="1">ROUNDUP(MOD(360+P[[#This Row],[Moon]]-P[[#This Row],[Sun]],360)/12,4)</f>
        <v>9.456999999999999</v>
      </c>
      <c r="Q152" s="124">
        <f t="shared" ca="1" si="31"/>
        <v>14.32</v>
      </c>
      <c r="R152" s="124" t="str">
        <f ca="1">SIGN(S153-P[[#This Row],[MARs]])*INT(P[[#This Row],[MARs]]/30+1)&amp;"Ma,"&amp;SIGN(T153-P[[#This Row],[Merc]])*INT(P[[#This Row],[Merc]]/30+1)&amp;"Me,"&amp;SIGN(U153-P[[#This Row],[Jup]])*INT(P[[#This Row],[Jup]]/30+1)&amp;"Ju,"&amp;SIGN(V153-P[[#This Row],[Venu]])*INT(P[[#This Row],[Venu]]/30+1)&amp;"Ve,"&amp;SIGN(W153-P[[#This Row],[Sat]])*INT(P[[#This Row],[Sat]]/30+1)&amp;"Sa,"&amp;INT(P[[#This Row],[Rah]]/30+1)&amp;"Ra"</f>
        <v>10Ma,1Me,-7Ju,3Ve,-9Sa,4Ra</v>
      </c>
      <c r="S152" s="124">
        <f ca="1">Planet(P[[#This Row],[GMT Sun Rise]],4)</f>
        <v>278.75671446271383</v>
      </c>
      <c r="T152" s="124">
        <f ca="1">Planet(P[[#This Row],[GMT Sun Rise]],2)</f>
        <v>23.915419551510652</v>
      </c>
      <c r="U152" s="124">
        <f ca="1">Planet(P[[#This Row],[GMT Sun Rise]],5)</f>
        <v>202.38225377211478</v>
      </c>
      <c r="V152" s="124">
        <f ca="1">Planet(P[[#This Row],[GMT Sun Rise]],3)</f>
        <v>71.217321457354998</v>
      </c>
      <c r="W152" s="124">
        <f ca="1">Planet(P[[#This Row],[GMT Sun Rise]],6)</f>
        <v>254.04132796816896</v>
      </c>
      <c r="X152" s="124">
        <f ca="1">Planet(P[[#This Row],[GMT Sun Rise]],10)</f>
        <v>105.21310786957775</v>
      </c>
      <c r="Y152" s="124">
        <f ca="1">SIGN(S153-P[[#This Row],[MARs]])</f>
        <v>1</v>
      </c>
    </row>
    <row r="153" spans="1:25" x14ac:dyDescent="0.2">
      <c r="A153" s="125">
        <f t="shared" ca="1" si="32"/>
        <v>43245</v>
      </c>
      <c r="B153" s="125">
        <f t="shared" ca="1" si="25"/>
        <v>43245.229166666664</v>
      </c>
      <c r="C153" s="127">
        <f t="shared" ca="1" si="26"/>
        <v>43245.237987246517</v>
      </c>
      <c r="D153" s="127">
        <f t="shared" ca="1" si="27"/>
        <v>43244.770948867357</v>
      </c>
      <c r="E153" s="189">
        <f ca="1">P[[#This Row],[SunRise]]-TimeZone/24</f>
        <v>43245.008820579853</v>
      </c>
      <c r="F153" s="190">
        <f t="shared" ca="1" si="28"/>
        <v>39.654498426839893</v>
      </c>
      <c r="G153" s="190">
        <f t="shared" ca="1" si="29"/>
        <v>165.50879245106515</v>
      </c>
      <c r="H153" s="191">
        <f t="shared" ca="1" si="30"/>
        <v>43245.008820579853</v>
      </c>
      <c r="I153" s="124" t="str">
        <f ca="1">naks(P[[#This Row],[Moon]])</f>
        <v>Hasta</v>
      </c>
      <c r="J153" s="127">
        <f ca="1">(C154-P[[#This Row],[SunRise]])/(G154-P[[#This Row],[Moon]])*(13.3333333333333-MOD(P[[#This Row],[Moon]],13.333333333333))+P[[#This Row],[SunRise]]</f>
        <v>43245.834290434366</v>
      </c>
      <c r="K153" s="124" t="str">
        <f ca="1">IF(P[[#This Row],[Tithi]]&gt;15,"K","S")&amp;ROUNDUP(MOD(P[[#This Row],[Tithi]],15),0)&amp;" ("&amp;ROUND(P[[#This Row],[Tithi]],2)&amp;")"</f>
        <v>S11 (10.49)</v>
      </c>
      <c r="L153" s="124">
        <f ca="1">IF(AND(P[[#This Row],[Tithi]]&lt;28.5,P[[#This Row],[Tithi]]&gt;0.49999),MOD((P[[#This Row],[Tithi]]-0.5)*2,7),MOD((P[[#This Row],[Tithi]]+30-28.5),30)*2+7)</f>
        <v>5.9757999999999996</v>
      </c>
      <c r="M153" s="124" t="str">
        <f ca="1">CHOOSE(ROUNDUP(P[[#This Row],[Karana1]],0),"Bhava","Baalava","Kaulava","Taitula","Garija","Vanija","Vishti","Shakuni","Chatushapda","Naaga","Kimstugna")</f>
        <v>Vanija</v>
      </c>
      <c r="N15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(15.39)</v>
      </c>
      <c r="O153" s="124">
        <f ca="1">IF(AND(P[[#This Row],[Tithi]]&lt;28.5,P[[#This Row],[Tithi]]&gt;0.49999),MOD((P[[#This Row],[Tithi]]-0.5)*2,7),MOD((P[[#This Row],[Tithi]]+30-28.5),30)*2+7)</f>
        <v>5.9757999999999996</v>
      </c>
      <c r="P153" s="124">
        <f ca="1">ROUNDUP(MOD(360+P[[#This Row],[Moon]]-P[[#This Row],[Sun]],360)/12,4)</f>
        <v>10.4879</v>
      </c>
      <c r="Q153" s="124">
        <f t="shared" ca="1" si="31"/>
        <v>15.39</v>
      </c>
      <c r="R153" s="124" t="str">
        <f ca="1">SIGN(S154-P[[#This Row],[MARs]])*INT(P[[#This Row],[MARs]]/30+1)&amp;"Ma,"&amp;SIGN(T154-P[[#This Row],[Merc]])*INT(P[[#This Row],[Merc]]/30+1)&amp;"Me,"&amp;SIGN(U154-P[[#This Row],[Jup]])*INT(P[[#This Row],[Jup]]/30+1)&amp;"Ju,"&amp;SIGN(V154-P[[#This Row],[Venu]])*INT(P[[#This Row],[Venu]]/30+1)&amp;"Ve,"&amp;SIGN(W154-P[[#This Row],[Sat]])*INT(P[[#This Row],[Sat]]/30+1)&amp;"Sa,"&amp;INT(P[[#This Row],[Rah]]/30+1)&amp;"Ra"</f>
        <v>10Ma,1Me,-7Ju,3Ve,-9Sa,4Ra</v>
      </c>
      <c r="S153" s="124">
        <f ca="1">Planet(P[[#This Row],[GMT Sun Rise]],4)</f>
        <v>279.09473244444939</v>
      </c>
      <c r="T153" s="124">
        <f ca="1">Planet(P[[#This Row],[GMT Sun Rise]],2)</f>
        <v>25.835367950315771</v>
      </c>
      <c r="U153" s="124">
        <f ca="1">Planet(P[[#This Row],[GMT Sun Rise]],5)</f>
        <v>202.26483533450892</v>
      </c>
      <c r="V153" s="124">
        <f ca="1">Planet(P[[#This Row],[GMT Sun Rise]],3)</f>
        <v>72.408802154991662</v>
      </c>
      <c r="W153" s="124">
        <f ca="1">Planet(P[[#This Row],[GMT Sun Rise]],6)</f>
        <v>253.98813300788839</v>
      </c>
      <c r="X153" s="124">
        <f ca="1">Planet(P[[#This Row],[GMT Sun Rise]],10)</f>
        <v>105.16012008347434</v>
      </c>
      <c r="Y153" s="124">
        <f ca="1">SIGN(S154-P[[#This Row],[MARs]])</f>
        <v>1</v>
      </c>
    </row>
    <row r="154" spans="1:25" x14ac:dyDescent="0.2">
      <c r="A154" s="125">
        <f t="shared" ca="1" si="32"/>
        <v>43246</v>
      </c>
      <c r="B154" s="125">
        <f t="shared" ca="1" si="25"/>
        <v>43246.229166666664</v>
      </c>
      <c r="C154" s="127">
        <f t="shared" ca="1" si="26"/>
        <v>43246.237917628292</v>
      </c>
      <c r="D154" s="127">
        <f t="shared" ca="1" si="27"/>
        <v>43245.77115819887</v>
      </c>
      <c r="E154" s="189">
        <f ca="1">P[[#This Row],[SunRise]]-TimeZone/24</f>
        <v>43246.008750961628</v>
      </c>
      <c r="F154" s="190">
        <f t="shared" ca="1" si="28"/>
        <v>40.614801998273627</v>
      </c>
      <c r="G154" s="190">
        <f t="shared" ca="1" si="29"/>
        <v>178.62962814505539</v>
      </c>
      <c r="H154" s="191">
        <f t="shared" ca="1" si="30"/>
        <v>43246.008750961628</v>
      </c>
      <c r="I154" s="124" t="str">
        <f ca="1">naks(P[[#This Row],[Moon]])</f>
        <v>Chitra</v>
      </c>
      <c r="J154" s="127">
        <f ca="1">(C155-P[[#This Row],[SunRise]])/(G155-P[[#This Row],[Moon]])*(13.3333333333333-MOD(P[[#This Row],[Moon]],13.333333333333))+P[[#This Row],[SunRise]]</f>
        <v>43246.860062185842</v>
      </c>
      <c r="K154" s="124" t="str">
        <f ca="1">IF(P[[#This Row],[Tithi]]&gt;15,"K","S")&amp;ROUNDUP(MOD(P[[#This Row],[Tithi]],15),0)&amp;" ("&amp;ROUND(P[[#This Row],[Tithi]],2)&amp;")"</f>
        <v>S12 (11.5)</v>
      </c>
      <c r="L154" s="124">
        <f ca="1">IF(AND(P[[#This Row],[Tithi]]&lt;28.5,P[[#This Row],[Tithi]]&gt;0.49999),MOD((P[[#This Row],[Tithi]]-0.5)*2,7),MOD((P[[#This Row],[Tithi]]+30-28.5),30)*2+7)</f>
        <v>1.002600000000001</v>
      </c>
      <c r="M154" s="124" t="str">
        <f ca="1">CHOOSE(ROUNDUP(P[[#This Row],[Karana1]],0),"Bhava","Baalava","Kaulava","Taitula","Garija","Vanija","Vishti","Shakuni","Chatushapda","Naaga","Kimstugna")</f>
        <v>Baalava</v>
      </c>
      <c r="N15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(16.45)</v>
      </c>
      <c r="O154" s="124">
        <f ca="1">IF(AND(P[[#This Row],[Tithi]]&lt;28.5,P[[#This Row],[Tithi]]&gt;0.49999),MOD((P[[#This Row],[Tithi]]-0.5)*2,7),MOD((P[[#This Row],[Tithi]]+30-28.5),30)*2+7)</f>
        <v>1.002600000000001</v>
      </c>
      <c r="P154" s="124">
        <f ca="1">ROUNDUP(MOD(360+P[[#This Row],[Moon]]-P[[#This Row],[Sun]],360)/12,4)</f>
        <v>11.501300000000001</v>
      </c>
      <c r="Q154" s="124">
        <f t="shared" ca="1" si="31"/>
        <v>16.450000000000003</v>
      </c>
      <c r="R154" s="124" t="str">
        <f ca="1">SIGN(S155-P[[#This Row],[MARs]])*INT(P[[#This Row],[MARs]]/30+1)&amp;"Ma,"&amp;SIGN(T155-P[[#This Row],[Merc]])*INT(P[[#This Row],[Merc]]/30+1)&amp;"Me,"&amp;SIGN(U155-P[[#This Row],[Jup]])*INT(P[[#This Row],[Jup]]/30+1)&amp;"Ju,"&amp;SIGN(V155-P[[#This Row],[Venu]])*INT(P[[#This Row],[Venu]]/30+1)&amp;"Ve,"&amp;SIGN(W155-P[[#This Row],[Sat]])*INT(P[[#This Row],[Sat]]/30+1)&amp;"Sa,"&amp;INT(P[[#This Row],[Rah]]/30+1)&amp;"Ra"</f>
        <v>10Ma,1Me,-7Ju,3Ve,-9Sa,4Ra</v>
      </c>
      <c r="S154" s="124">
        <f ca="1">Planet(P[[#This Row],[GMT Sun Rise]],4)</f>
        <v>279.42565224507928</v>
      </c>
      <c r="T154" s="124">
        <f ca="1">Planet(P[[#This Row],[GMT Sun Rise]],2)</f>
        <v>27.78919908255644</v>
      </c>
      <c r="U154" s="124">
        <f ca="1">Planet(P[[#This Row],[GMT Sun Rise]],5)</f>
        <v>202.14876095345636</v>
      </c>
      <c r="V154" s="124">
        <f ca="1">Planet(P[[#This Row],[GMT Sun Rise]],3)</f>
        <v>73.599219514620088</v>
      </c>
      <c r="W154" s="124">
        <f ca="1">Planet(P[[#This Row],[GMT Sun Rise]],6)</f>
        <v>253.93382567418826</v>
      </c>
      <c r="X154" s="124">
        <f ca="1">Planet(P[[#This Row],[GMT Sun Rise]],10)</f>
        <v>105.10713177515815</v>
      </c>
      <c r="Y154" s="124">
        <f ca="1">SIGN(S155-P[[#This Row],[MARs]])</f>
        <v>1</v>
      </c>
    </row>
    <row r="155" spans="1:25" x14ac:dyDescent="0.2">
      <c r="A155" s="125">
        <f t="shared" ca="1" si="32"/>
        <v>43247</v>
      </c>
      <c r="B155" s="125">
        <f t="shared" ca="1" si="25"/>
        <v>43247.229166666664</v>
      </c>
      <c r="C155" s="127">
        <f t="shared" ca="1" si="26"/>
        <v>43247.237857864857</v>
      </c>
      <c r="D155" s="127">
        <f t="shared" ca="1" si="27"/>
        <v>43246.771368642847</v>
      </c>
      <c r="E155" s="189">
        <f ca="1">P[[#This Row],[SunRise]]-TimeZone/24</f>
        <v>43247.008691198193</v>
      </c>
      <c r="F155" s="190">
        <f t="shared" ca="1" si="28"/>
        <v>41.574723056359097</v>
      </c>
      <c r="G155" s="190">
        <f t="shared" ca="1" si="29"/>
        <v>191.54713759366032</v>
      </c>
      <c r="H155" s="191">
        <f t="shared" ca="1" si="30"/>
        <v>43247.008691198193</v>
      </c>
      <c r="I155" s="124" t="str">
        <f ca="1">naks(P[[#This Row],[Moon]])</f>
        <v>Swati</v>
      </c>
      <c r="J155" s="127">
        <f ca="1">(C156-P[[#This Row],[SunRise]])/(G156-P[[#This Row],[Moon]])*(13.3333333333333-MOD(P[[#This Row],[Moon]],13.333333333333))+P[[#This Row],[SunRise]]</f>
        <v>43247.902485444436</v>
      </c>
      <c r="K155" s="124" t="str">
        <f ca="1">IF(P[[#This Row],[Tithi]]&gt;15,"K","S")&amp;ROUNDUP(MOD(P[[#This Row],[Tithi]],15),0)&amp;" ("&amp;ROUND(P[[#This Row],[Tithi]],2)&amp;")"</f>
        <v>S13 (12.5)</v>
      </c>
      <c r="L155" s="124">
        <f ca="1">IF(AND(P[[#This Row],[Tithi]]&lt;28.5,P[[#This Row],[Tithi]]&gt;0.49999),MOD((P[[#This Row],[Tithi]]-0.5)*2,7),MOD((P[[#This Row],[Tithi]]+30-28.5),30)*2+7)</f>
        <v>2.9955999999999996</v>
      </c>
      <c r="M155" s="124" t="str">
        <f ca="1">CHOOSE(ROUNDUP(P[[#This Row],[Karana1]],0),"Bhava","Baalava","Kaulava","Taitula","Garija","Vanija","Vishti","Shakuni","Chatushapda","Naaga","Kimstugna")</f>
        <v>Kaulava</v>
      </c>
      <c r="N15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(17.49)</v>
      </c>
      <c r="O155" s="124">
        <f ca="1">IF(AND(P[[#This Row],[Tithi]]&lt;28.5,P[[#This Row],[Tithi]]&gt;0.49999),MOD((P[[#This Row],[Tithi]]-0.5)*2,7),MOD((P[[#This Row],[Tithi]]+30-28.5),30)*2+7)</f>
        <v>2.9955999999999996</v>
      </c>
      <c r="P155" s="124">
        <f ca="1">ROUNDUP(MOD(360+P[[#This Row],[Moon]]-P[[#This Row],[Sun]],360)/12,4)</f>
        <v>12.4978</v>
      </c>
      <c r="Q155" s="124">
        <f t="shared" ca="1" si="31"/>
        <v>17.490000000000002</v>
      </c>
      <c r="R155" s="124" t="str">
        <f ca="1">SIGN(S156-P[[#This Row],[MARs]])*INT(P[[#This Row],[MARs]]/30+1)&amp;"Ma,"&amp;SIGN(T156-P[[#This Row],[Merc]])*INT(P[[#This Row],[Merc]]/30+1)&amp;"Me,"&amp;SIGN(U156-P[[#This Row],[Jup]])*INT(P[[#This Row],[Jup]]/30+1)&amp;"Ju,"&amp;SIGN(V156-P[[#This Row],[Venu]])*INT(P[[#This Row],[Venu]]/30+1)&amp;"Ve,"&amp;SIGN(W156-P[[#This Row],[Sat]])*INT(P[[#This Row],[Sat]]/30+1)&amp;"Sa,"&amp;INT(P[[#This Row],[Rah]]/30+1)&amp;"Ra"</f>
        <v>10Ma,1Me,-7Ju,3Ve,-9Sa,4Ra</v>
      </c>
      <c r="S155" s="124">
        <f ca="1">Planet(P[[#This Row],[GMT Sun Rise]],4)</f>
        <v>279.74931065192368</v>
      </c>
      <c r="T155" s="124">
        <f ca="1">Planet(P[[#This Row],[GMT Sun Rise]],2)</f>
        <v>29.77617031712327</v>
      </c>
      <c r="U155" s="124">
        <f ca="1">Planet(P[[#This Row],[GMT Sun Rise]],5)</f>
        <v>202.03410271641087</v>
      </c>
      <c r="V155" s="124">
        <f ca="1">Planet(P[[#This Row],[GMT Sun Rise]],3)</f>
        <v>74.788561170420039</v>
      </c>
      <c r="W155" s="124">
        <f ca="1">Planet(P[[#This Row],[GMT Sun Rise]],6)</f>
        <v>253.87843172894856</v>
      </c>
      <c r="X155" s="124">
        <f ca="1">Planet(P[[#This Row],[GMT Sun Rise]],10)</f>
        <v>105.05414294461266</v>
      </c>
      <c r="Y155" s="124">
        <f ca="1">SIGN(S156-P[[#This Row],[MARs]])</f>
        <v>1</v>
      </c>
    </row>
    <row r="156" spans="1:25" x14ac:dyDescent="0.2">
      <c r="A156" s="125">
        <f t="shared" ca="1" si="32"/>
        <v>43248</v>
      </c>
      <c r="B156" s="125">
        <f t="shared" ca="1" si="25"/>
        <v>43248.229166666664</v>
      </c>
      <c r="C156" s="127">
        <f t="shared" ca="1" si="26"/>
        <v>43248.237807955746</v>
      </c>
      <c r="D156" s="127">
        <f t="shared" ca="1" si="27"/>
        <v>43247.771580040499</v>
      </c>
      <c r="E156" s="189">
        <f ca="1">P[[#This Row],[SunRise]]-TimeZone/24</f>
        <v>43248.008641289081</v>
      </c>
      <c r="F156" s="190">
        <f t="shared" ca="1" si="28"/>
        <v>42.534282844039673</v>
      </c>
      <c r="G156" s="190">
        <f t="shared" ca="1" si="29"/>
        <v>204.26469670674726</v>
      </c>
      <c r="H156" s="191">
        <f t="shared" ca="1" si="30"/>
        <v>43248.008641289081</v>
      </c>
      <c r="I156" s="124" t="str">
        <f ca="1">naks(P[[#This Row],[Moon]])</f>
        <v>Visakha</v>
      </c>
      <c r="J156" s="127">
        <f ca="1">(C157-P[[#This Row],[SunRise]])/(G157-P[[#This Row],[Moon]])*(13.3333333333333-MOD(P[[#This Row],[Moon]],13.333333333333))+P[[#This Row],[SunRise]]</f>
        <v>43248.962113441863</v>
      </c>
      <c r="K156" s="124" t="str">
        <f ca="1">IF(P[[#This Row],[Tithi]]&gt;15,"K","S")&amp;ROUNDUP(MOD(P[[#This Row],[Tithi]],15),0)&amp;" ("&amp;ROUND(P[[#This Row],[Tithi]],2)&amp;")"</f>
        <v>S14 (13.48)</v>
      </c>
      <c r="L156" s="124">
        <f ca="1">IF(AND(P[[#This Row],[Tithi]]&lt;28.5,P[[#This Row],[Tithi]]&gt;0.49999),MOD((P[[#This Row],[Tithi]]-0.5)*2,7),MOD((P[[#This Row],[Tithi]]+30-28.5),30)*2+7)</f>
        <v>4.9551999999999978</v>
      </c>
      <c r="M156" s="124" t="str">
        <f ca="1">CHOOSE(ROUNDUP(P[[#This Row],[Karana1]],0),"Bhava","Baalava","Kaulava","Taitula","Garija","Vanija","Vishti","Shakuni","Chatushapda","Naaga","Kimstugna")</f>
        <v>Garija</v>
      </c>
      <c r="N15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(18.51)</v>
      </c>
      <c r="O156" s="124">
        <f ca="1">IF(AND(P[[#This Row],[Tithi]]&lt;28.5,P[[#This Row],[Tithi]]&gt;0.49999),MOD((P[[#This Row],[Tithi]]-0.5)*2,7),MOD((P[[#This Row],[Tithi]]+30-28.5),30)*2+7)</f>
        <v>4.9551999999999978</v>
      </c>
      <c r="P156" s="124">
        <f ca="1">ROUNDUP(MOD(360+P[[#This Row],[Moon]]-P[[#This Row],[Sun]],360)/12,4)</f>
        <v>13.477599999999999</v>
      </c>
      <c r="Q156" s="124">
        <f t="shared" ca="1" si="31"/>
        <v>18.510000000000002</v>
      </c>
      <c r="R156" s="124" t="str">
        <f ca="1">SIGN(S157-P[[#This Row],[MARs]])*INT(P[[#This Row],[MARs]]/30+1)&amp;"Ma,"&amp;SIGN(T157-P[[#This Row],[Merc]])*INT(P[[#This Row],[Merc]]/30+1)&amp;"Me,"&amp;SIGN(U157-P[[#This Row],[Jup]])*INT(P[[#This Row],[Jup]]/30+1)&amp;"Ju,"&amp;SIGN(V157-P[[#This Row],[Venu]])*INT(P[[#This Row],[Venu]]/30+1)&amp;"Ve,"&amp;SIGN(W157-P[[#This Row],[Sat]])*INT(P[[#This Row],[Sat]]/30+1)&amp;"Sa,"&amp;INT(P[[#This Row],[Rah]]/30+1)&amp;"Ra"</f>
        <v>10Ma,2Me,-7Ju,3Ve,-9Sa,4Ra</v>
      </c>
      <c r="S156" s="124">
        <f ca="1">Planet(P[[#This Row],[GMT Sun Rise]],4)</f>
        <v>280.06553546675332</v>
      </c>
      <c r="T156" s="124">
        <f ca="1">Planet(P[[#This Row],[GMT Sun Rise]],2)</f>
        <v>31.795267824497838</v>
      </c>
      <c r="U156" s="124">
        <f ca="1">Planet(P[[#This Row],[GMT Sun Rise]],5)</f>
        <v>201.92093106852167</v>
      </c>
      <c r="V156" s="124">
        <f ca="1">Planet(P[[#This Row],[GMT Sun Rise]],3)</f>
        <v>75.976816466528277</v>
      </c>
      <c r="W156" s="124">
        <f ca="1">Planet(P[[#This Row],[GMT Sun Rise]],6)</f>
        <v>253.8219770619078</v>
      </c>
      <c r="X156" s="124">
        <f ca="1">Planet(P[[#This Row],[GMT Sun Rise]],10)</f>
        <v>105.00115359188749</v>
      </c>
      <c r="Y156" s="124">
        <f ca="1">SIGN(S157-P[[#This Row],[MARs]])</f>
        <v>1</v>
      </c>
    </row>
    <row r="157" spans="1:25" x14ac:dyDescent="0.2">
      <c r="A157" s="125">
        <f t="shared" ca="1" si="32"/>
        <v>43249</v>
      </c>
      <c r="B157" s="125">
        <f t="shared" ca="1" si="25"/>
        <v>43249.229166666664</v>
      </c>
      <c r="C157" s="127">
        <f t="shared" ca="1" si="26"/>
        <v>43249.237767901424</v>
      </c>
      <c r="D157" s="127">
        <f t="shared" ca="1" si="27"/>
        <v>43248.771792233034</v>
      </c>
      <c r="E157" s="189">
        <f ca="1">P[[#This Row],[SunRise]]-TimeZone/24</f>
        <v>43249.00860123476</v>
      </c>
      <c r="F157" s="190">
        <f t="shared" ca="1" si="28"/>
        <v>43.49350365088096</v>
      </c>
      <c r="G157" s="190">
        <f t="shared" ca="1" si="29"/>
        <v>216.78465349615357</v>
      </c>
      <c r="H157" s="191">
        <f t="shared" ca="1" si="30"/>
        <v>43249.00860123476</v>
      </c>
      <c r="I157" s="124" t="str">
        <f ca="1">naks(P[[#This Row],[Moon]])</f>
        <v>Anuradha</v>
      </c>
      <c r="J157" s="127">
        <f ca="1">(C158-P[[#This Row],[SunRise]])/(G158-P[[#This Row],[Moon]])*(13.3333333333333-MOD(P[[#This Row],[Moon]],13.333333333333))+P[[#This Row],[SunRise]]</f>
        <v>43250.039351483683</v>
      </c>
      <c r="K157" s="124" t="str">
        <f ca="1">IF(P[[#This Row],[Tithi]]&gt;15,"K","S")&amp;ROUNDUP(MOD(P[[#This Row],[Tithi]],15),0)&amp;" ("&amp;ROUND(P[[#This Row],[Tithi]],2)&amp;")"</f>
        <v>S15 (14.44)</v>
      </c>
      <c r="L157" s="124">
        <f ca="1">IF(AND(P[[#This Row],[Tithi]]&lt;28.5,P[[#This Row],[Tithi]]&gt;0.49999),MOD((P[[#This Row],[Tithi]]-0.5)*2,7),MOD((P[[#This Row],[Tithi]]+30-28.5),30)*2+7)</f>
        <v>6.8819999999999979</v>
      </c>
      <c r="M157" s="124" t="str">
        <f ca="1">CHOOSE(ROUNDUP(P[[#This Row],[Karana1]],0),"Bhava","Baalava","Kaulava","Taitula","Garija","Vanija","Vishti","Shakuni","Chatushapda","Naaga","Kimstugna")</f>
        <v>Vishti</v>
      </c>
      <c r="N15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(19.53)</v>
      </c>
      <c r="O157" s="124">
        <f ca="1">IF(AND(P[[#This Row],[Tithi]]&lt;28.5,P[[#This Row],[Tithi]]&gt;0.49999),MOD((P[[#This Row],[Tithi]]-0.5)*2,7),MOD((P[[#This Row],[Tithi]]+30-28.5),30)*2+7)</f>
        <v>6.8819999999999979</v>
      </c>
      <c r="P157" s="124">
        <f ca="1">ROUNDUP(MOD(360+P[[#This Row],[Moon]]-P[[#This Row],[Sun]],360)/12,4)</f>
        <v>14.440999999999999</v>
      </c>
      <c r="Q157" s="124">
        <f t="shared" ca="1" si="31"/>
        <v>19.53</v>
      </c>
      <c r="R157" s="124" t="str">
        <f ca="1">SIGN(S158-P[[#This Row],[MARs]])*INT(P[[#This Row],[MARs]]/30+1)&amp;"Ma,"&amp;SIGN(T158-P[[#This Row],[Merc]])*INT(P[[#This Row],[Merc]]/30+1)&amp;"Me,"&amp;SIGN(U158-P[[#This Row],[Jup]])*INT(P[[#This Row],[Jup]]/30+1)&amp;"Ju,"&amp;SIGN(V158-P[[#This Row],[Venu]])*INT(P[[#This Row],[Venu]]/30+1)&amp;"Ve,"&amp;SIGN(W158-P[[#This Row],[Sat]])*INT(P[[#This Row],[Sat]]/30+1)&amp;"Sa,"&amp;INT(P[[#This Row],[Rah]]/30+1)&amp;"Ra"</f>
        <v>10Ma,2Me,-7Ju,3Ve,-9Sa,4Ra</v>
      </c>
      <c r="S157" s="124">
        <f ca="1">Planet(P[[#This Row],[GMT Sun Rise]],4)</f>
        <v>280.37414565982817</v>
      </c>
      <c r="T157" s="124">
        <f ca="1">Planet(P[[#This Row],[GMT Sun Rise]],2)</f>
        <v>33.845159784233871</v>
      </c>
      <c r="U157" s="124">
        <f ca="1">Planet(P[[#This Row],[GMT Sun Rise]],5)</f>
        <v>201.80931497766716</v>
      </c>
      <c r="V157" s="124">
        <f ca="1">Planet(P[[#This Row],[GMT Sun Rise]],3)</f>
        <v>77.163976173129853</v>
      </c>
      <c r="W157" s="124">
        <f ca="1">Planet(P[[#This Row],[GMT Sun Rise]],6)</f>
        <v>253.76448774658164</v>
      </c>
      <c r="X157" s="124">
        <f ca="1">Planet(P[[#This Row],[GMT Sun Rise]],10)</f>
        <v>104.94816371693307</v>
      </c>
      <c r="Y157" s="124">
        <f ca="1">SIGN(S158-P[[#This Row],[MARs]])</f>
        <v>1</v>
      </c>
    </row>
    <row r="158" spans="1:25" x14ac:dyDescent="0.2">
      <c r="A158" s="125">
        <f t="shared" ca="1" si="32"/>
        <v>43250</v>
      </c>
      <c r="B158" s="125">
        <f t="shared" ca="1" si="25"/>
        <v>43250.229166666664</v>
      </c>
      <c r="C158" s="127">
        <f t="shared" ca="1" si="26"/>
        <v>43250.237737701893</v>
      </c>
      <c r="D158" s="127">
        <f t="shared" ca="1" si="27"/>
        <v>43249.772004902406</v>
      </c>
      <c r="E158" s="189">
        <f ca="1">P[[#This Row],[SunRise]]-TimeZone/24</f>
        <v>43250.008571035229</v>
      </c>
      <c r="F158" s="190">
        <f t="shared" ca="1" si="28"/>
        <v>44.452408190699813</v>
      </c>
      <c r="G158" s="190">
        <f t="shared" ca="1" si="29"/>
        <v>229.11239442923207</v>
      </c>
      <c r="H158" s="191">
        <f t="shared" ca="1" si="30"/>
        <v>43250.008571035229</v>
      </c>
      <c r="I158" s="124" t="str">
        <f ca="1">naks(P[[#This Row],[Moon]])</f>
        <v>Jyestha</v>
      </c>
      <c r="J158" s="127">
        <f ca="1">(C159-P[[#This Row],[SunRise]])/(G159-P[[#This Row],[Moon]])*(13.3333333333333-MOD(P[[#This Row],[Moon]],13.333333333333))+P[[#This Row],[SunRise]]</f>
        <v>43251.133960289568</v>
      </c>
      <c r="K158" s="124" t="str">
        <f ca="1">IF(P[[#This Row],[Tithi]]&gt;15,"K","S")&amp;ROUNDUP(MOD(P[[#This Row],[Tithi]],15),0)&amp;" ("&amp;ROUND(P[[#This Row],[Tithi]],2)&amp;")"</f>
        <v>K1 (15.39)</v>
      </c>
      <c r="L158" s="124">
        <f ca="1">IF(AND(P[[#This Row],[Tithi]]&lt;28.5,P[[#This Row],[Tithi]]&gt;0.49999),MOD((P[[#This Row],[Tithi]]-0.5)*2,7),MOD((P[[#This Row],[Tithi]]+30-28.5),30)*2+7)</f>
        <v>1.7767999999999979</v>
      </c>
      <c r="M158" s="124" t="str">
        <f ca="1">CHOOSE(ROUNDUP(P[[#This Row],[Karana1]],0),"Bhava","Baalava","Kaulava","Taitula","Garija","Vanija","Vishti","Shakuni","Chatushapda","Naaga","Kimstugna")</f>
        <v>Baalava</v>
      </c>
      <c r="N15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(20.52)</v>
      </c>
      <c r="O158" s="124">
        <f ca="1">IF(AND(P[[#This Row],[Tithi]]&lt;28.5,P[[#This Row],[Tithi]]&gt;0.49999),MOD((P[[#This Row],[Tithi]]-0.5)*2,7),MOD((P[[#This Row],[Tithi]]+30-28.5),30)*2+7)</f>
        <v>1.7767999999999979</v>
      </c>
      <c r="P158" s="124">
        <f ca="1">ROUNDUP(MOD(360+P[[#This Row],[Moon]]-P[[#This Row],[Sun]],360)/12,4)</f>
        <v>15.388399999999999</v>
      </c>
      <c r="Q158" s="124">
        <f t="shared" ca="1" si="31"/>
        <v>20.520000000000003</v>
      </c>
      <c r="R158" s="124" t="str">
        <f ca="1">SIGN(S159-P[[#This Row],[MARs]])*INT(P[[#This Row],[MARs]]/30+1)&amp;"Ma,"&amp;SIGN(T159-P[[#This Row],[Merc]])*INT(P[[#This Row],[Merc]]/30+1)&amp;"Me,"&amp;SIGN(U159-P[[#This Row],[Jup]])*INT(P[[#This Row],[Jup]]/30+1)&amp;"Ju,"&amp;SIGN(V159-P[[#This Row],[Venu]])*INT(P[[#This Row],[Venu]]/30+1)&amp;"Ve,"&amp;SIGN(W159-P[[#This Row],[Sat]])*INT(P[[#This Row],[Sat]]/30+1)&amp;"Sa,"&amp;INT(P[[#This Row],[Rah]]/30+1)&amp;"Ra"</f>
        <v>10Ma,2Me,-7Ju,3Ve,-9Sa,4Ra</v>
      </c>
      <c r="S158" s="124">
        <f ca="1">Planet(P[[#This Row],[GMT Sun Rise]],4)</f>
        <v>280.6749517546138</v>
      </c>
      <c r="T158" s="124">
        <f ca="1">Planet(P[[#This Row],[GMT Sun Rise]],2)</f>
        <v>35.924152914336801</v>
      </c>
      <c r="U158" s="124">
        <f ca="1">Planet(P[[#This Row],[GMT Sun Rise]],5)</f>
        <v>201.69932209427523</v>
      </c>
      <c r="V158" s="124">
        <f ca="1">Planet(P[[#This Row],[GMT Sun Rise]],3)</f>
        <v>78.350032149656357</v>
      </c>
      <c r="W158" s="124">
        <f ca="1">Planet(P[[#This Row],[GMT Sun Rise]],6)</f>
        <v>253.70599011293695</v>
      </c>
      <c r="X158" s="124">
        <f ca="1">Planet(P[[#This Row],[GMT Sun Rise]],10)</f>
        <v>104.89517331971619</v>
      </c>
      <c r="Y158" s="124">
        <f ca="1">SIGN(S159-P[[#This Row],[MARs]])</f>
        <v>1</v>
      </c>
    </row>
    <row r="159" spans="1:25" x14ac:dyDescent="0.2">
      <c r="A159" s="125">
        <f t="shared" ca="1" si="32"/>
        <v>43251</v>
      </c>
      <c r="B159" s="125">
        <f t="shared" ca="1" si="25"/>
        <v>43251.229166666664</v>
      </c>
      <c r="C159" s="127">
        <f t="shared" ca="1" si="26"/>
        <v>43251.237717197895</v>
      </c>
      <c r="D159" s="127">
        <f t="shared" ca="1" si="27"/>
        <v>43250.772218048616</v>
      </c>
      <c r="E159" s="189">
        <f ca="1">P[[#This Row],[SunRise]]-TimeZone/24</f>
        <v>43251.008550531231</v>
      </c>
      <c r="F159" s="190">
        <f t="shared" ca="1" si="28"/>
        <v>45.41101881721935</v>
      </c>
      <c r="G159" s="190">
        <f t="shared" ca="1" si="29"/>
        <v>241.26047291001566</v>
      </c>
      <c r="H159" s="191">
        <f t="shared" ca="1" si="30"/>
        <v>43251.008550531231</v>
      </c>
      <c r="I159" s="124" t="str">
        <f ca="1">naks(P[[#This Row],[Moon]])</f>
        <v>Moola</v>
      </c>
      <c r="J159" s="127">
        <f ca="1">(C160-P[[#This Row],[SunRise]])/(G160-P[[#This Row],[Moon]])*(13.3333333333333-MOD(P[[#This Row],[Moon]],13.333333333333))+P[[#This Row],[SunRise]]</f>
        <v>43252.244484384115</v>
      </c>
      <c r="K159" s="124" t="str">
        <f ca="1">IF(P[[#This Row],[Tithi]]&gt;15,"K","S")&amp;ROUNDUP(MOD(P[[#This Row],[Tithi]],15),0)&amp;" ("&amp;ROUND(P[[#This Row],[Tithi]],2)&amp;")"</f>
        <v>K2 (16.32)</v>
      </c>
      <c r="L159" s="124">
        <f ca="1">IF(AND(P[[#This Row],[Tithi]]&lt;28.5,P[[#This Row],[Tithi]]&gt;0.49999),MOD((P[[#This Row],[Tithi]]-0.5)*2,7),MOD((P[[#This Row],[Tithi]]+30-28.5),30)*2+7)</f>
        <v>3.6415999999999968</v>
      </c>
      <c r="M159" s="124" t="str">
        <f ca="1">CHOOSE(ROUNDUP(P[[#This Row],[Karana1]],0),"Bhava","Baalava","Kaulava","Taitula","Garija","Vanija","Vishti","Shakuni","Chatushapda","Naaga","Kimstugna")</f>
        <v>Taitula</v>
      </c>
      <c r="N15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(21.51)</v>
      </c>
      <c r="O159" s="124">
        <f ca="1">IF(AND(P[[#This Row],[Tithi]]&lt;28.5,P[[#This Row],[Tithi]]&gt;0.49999),MOD((P[[#This Row],[Tithi]]-0.5)*2,7),MOD((P[[#This Row],[Tithi]]+30-28.5),30)*2+7)</f>
        <v>3.6415999999999968</v>
      </c>
      <c r="P159" s="124">
        <f ca="1">ROUNDUP(MOD(360+P[[#This Row],[Moon]]-P[[#This Row],[Sun]],360)/12,4)</f>
        <v>16.320799999999998</v>
      </c>
      <c r="Q159" s="124">
        <f t="shared" ca="1" si="31"/>
        <v>21.51</v>
      </c>
      <c r="R159" s="124" t="str">
        <f ca="1">SIGN(S160-P[[#This Row],[MARs]])*INT(P[[#This Row],[MARs]]/30+1)&amp;"Ma,"&amp;SIGN(T160-P[[#This Row],[Merc]])*INT(P[[#This Row],[Merc]]/30+1)&amp;"Me,"&amp;SIGN(U160-P[[#This Row],[Jup]])*INT(P[[#This Row],[Jup]]/30+1)&amp;"Ju,"&amp;SIGN(V160-P[[#This Row],[Venu]])*INT(P[[#This Row],[Venu]]/30+1)&amp;"Ve,"&amp;SIGN(W160-P[[#This Row],[Sat]])*INT(P[[#This Row],[Sat]]/30+1)&amp;"Sa,"&amp;INT(P[[#This Row],[Rah]]/30+1)&amp;"Ra"</f>
        <v>10Ma,2Me,-7Ju,3Ve,-9Sa,4Ra</v>
      </c>
      <c r="S159" s="124">
        <f ca="1">Planet(P[[#This Row],[GMT Sun Rise]],4)</f>
        <v>280.96775648791635</v>
      </c>
      <c r="T159" s="124">
        <f ca="1">Planet(P[[#This Row],[GMT Sun Rise]],2)</f>
        <v>38.030155554050857</v>
      </c>
      <c r="U159" s="124">
        <f ca="1">Planet(P[[#This Row],[GMT Sun Rise]],5)</f>
        <v>201.59101891326756</v>
      </c>
      <c r="V159" s="124">
        <f ca="1">Planet(P[[#This Row],[GMT Sun Rise]],3)</f>
        <v>79.53497674571102</v>
      </c>
      <c r="W159" s="124">
        <f ca="1">Planet(P[[#This Row],[GMT Sun Rise]],6)</f>
        <v>253.64651083931088</v>
      </c>
      <c r="X159" s="124">
        <f ca="1">Planet(P[[#This Row],[GMT Sun Rise]],10)</f>
        <v>104.84218240875309</v>
      </c>
      <c r="Y159" s="124">
        <f ca="1">SIGN(S160-P[[#This Row],[MARs]])</f>
        <v>1</v>
      </c>
    </row>
    <row r="160" spans="1:25" x14ac:dyDescent="0.2">
      <c r="A160" s="125">
        <f t="shared" ca="1" si="32"/>
        <v>43252</v>
      </c>
      <c r="B160" s="125">
        <f t="shared" ca="1" si="25"/>
        <v>43252.229166666664</v>
      </c>
      <c r="C160" s="127">
        <f t="shared" ca="1" si="26"/>
        <v>43252.237706389431</v>
      </c>
      <c r="D160" s="127">
        <f t="shared" ca="1" si="27"/>
        <v>43251.772431512873</v>
      </c>
      <c r="E160" s="189">
        <f ca="1">P[[#This Row],[SunRise]]-TimeZone/24</f>
        <v>43252.008539722767</v>
      </c>
      <c r="F160" s="190">
        <f t="shared" ca="1" si="28"/>
        <v>46.36935726678994</v>
      </c>
      <c r="G160" s="190">
        <f t="shared" ca="1" si="29"/>
        <v>253.25205358471732</v>
      </c>
      <c r="H160" s="191">
        <f t="shared" ca="1" si="30"/>
        <v>43252.008539722767</v>
      </c>
      <c r="I160" s="124" t="str">
        <f ca="1">naks(P[[#This Row],[Moon]])</f>
        <v>Moola</v>
      </c>
      <c r="J160" s="127">
        <f ca="1">(C161-P[[#This Row],[SunRise]])/(G161-P[[#This Row],[Moon]])*(13.3333333333333-MOD(P[[#This Row],[Moon]],13.333333333333))+P[[#This Row],[SunRise]]</f>
        <v>43252.244553255892</v>
      </c>
      <c r="K160" s="124" t="str">
        <f ca="1">IF(P[[#This Row],[Tithi]]&gt;15,"K","S")&amp;ROUNDUP(MOD(P[[#This Row],[Tithi]],15),0)&amp;" ("&amp;ROUND(P[[#This Row],[Tithi]],2)&amp;")"</f>
        <v>K3 (17.24)</v>
      </c>
      <c r="L160" s="124">
        <f ca="1">IF(AND(P[[#This Row],[Tithi]]&lt;28.5,P[[#This Row],[Tithi]]&gt;0.49999),MOD((P[[#This Row],[Tithi]]-0.5)*2,7),MOD((P[[#This Row],[Tithi]]+30-28.5),30)*2+7)</f>
        <v>5.4806000000000026</v>
      </c>
      <c r="M160" s="124" t="str">
        <f ca="1">CHOOSE(ROUNDUP(P[[#This Row],[Karana1]],0),"Bhava","Baalava","Kaulava","Taitula","Garija","Vanija","Vishti","Shakuni","Chatushapda","Naaga","Kimstugna")</f>
        <v>Vanija</v>
      </c>
      <c r="N16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(22.48)</v>
      </c>
      <c r="O160" s="124">
        <f ca="1">IF(AND(P[[#This Row],[Tithi]]&lt;28.5,P[[#This Row],[Tithi]]&gt;0.49999),MOD((P[[#This Row],[Tithi]]-0.5)*2,7),MOD((P[[#This Row],[Tithi]]+30-28.5),30)*2+7)</f>
        <v>5.4806000000000026</v>
      </c>
      <c r="P160" s="124">
        <f ca="1">ROUNDUP(MOD(360+P[[#This Row],[Moon]]-P[[#This Row],[Sun]],360)/12,4)</f>
        <v>17.240300000000001</v>
      </c>
      <c r="Q160" s="124">
        <f t="shared" ca="1" si="31"/>
        <v>22.48</v>
      </c>
      <c r="R160" s="124" t="str">
        <f ca="1">SIGN(S161-P[[#This Row],[MARs]])*INT(P[[#This Row],[MARs]]/30+1)&amp;"Ma,"&amp;SIGN(T161-P[[#This Row],[Merc]])*INT(P[[#This Row],[Merc]]/30+1)&amp;"Me,"&amp;SIGN(U161-P[[#This Row],[Jup]])*INT(P[[#This Row],[Jup]]/30+1)&amp;"Ju,"&amp;SIGN(V161-P[[#This Row],[Venu]])*INT(P[[#This Row],[Venu]]/30+1)&amp;"Ve,"&amp;SIGN(W161-P[[#This Row],[Sat]])*INT(P[[#This Row],[Sat]]/30+1)&amp;"Sa,"&amp;INT(P[[#This Row],[Rah]]/30+1)&amp;"Ra"</f>
        <v>10Ma,2Me,-7Ju,3Ve,-9Sa,4Ra</v>
      </c>
      <c r="S160" s="124">
        <f ca="1">Planet(P[[#This Row],[GMT Sun Rise]],4)</f>
        <v>281.25235591392544</v>
      </c>
      <c r="T160" s="124">
        <f ca="1">Planet(P[[#This Row],[GMT Sun Rise]],2)</f>
        <v>40.160652770342104</v>
      </c>
      <c r="U160" s="124">
        <f ca="1">Planet(P[[#This Row],[GMT Sun Rise]],5)</f>
        <v>201.48447084437728</v>
      </c>
      <c r="V160" s="124">
        <f ca="1">Planet(P[[#This Row],[GMT Sun Rise]],3)</f>
        <v>80.718802730058513</v>
      </c>
      <c r="W160" s="124">
        <f ca="1">Planet(P[[#This Row],[GMT Sun Rise]],6)</f>
        <v>253.58607702405683</v>
      </c>
      <c r="X160" s="124">
        <f ca="1">Planet(P[[#This Row],[GMT Sun Rise]],10)</f>
        <v>104.78919098401089</v>
      </c>
      <c r="Y160" s="124">
        <f ca="1">SIGN(S161-P[[#This Row],[MARs]])</f>
        <v>1</v>
      </c>
    </row>
    <row r="161" spans="1:25" x14ac:dyDescent="0.2">
      <c r="A161" s="125">
        <f t="shared" ca="1" si="32"/>
        <v>43253</v>
      </c>
      <c r="B161" s="125">
        <f t="shared" ca="1" si="25"/>
        <v>43253.229166666664</v>
      </c>
      <c r="C161" s="127">
        <f t="shared" ca="1" si="26"/>
        <v>43253.237705118176</v>
      </c>
      <c r="D161" s="127">
        <f t="shared" ca="1" si="27"/>
        <v>43252.772644817873</v>
      </c>
      <c r="E161" s="189">
        <f ca="1">P[[#This Row],[SunRise]]-TimeZone/24</f>
        <v>43253.008538451511</v>
      </c>
      <c r="F161" s="190">
        <f t="shared" ca="1" si="28"/>
        <v>47.327443943077455</v>
      </c>
      <c r="G161" s="190">
        <f t="shared" ca="1" si="29"/>
        <v>265.1231256658628</v>
      </c>
      <c r="H161" s="191">
        <f t="shared" ca="1" si="30"/>
        <v>43253.008538451511</v>
      </c>
      <c r="I161" s="124" t="str">
        <f ca="1">naks(P[[#This Row],[Moon]])</f>
        <v>Purva Asadha</v>
      </c>
      <c r="J161" s="127">
        <f ca="1">(C162-P[[#This Row],[SunRise]])/(G162-P[[#This Row],[Moon]])*(13.3333333333333-MOD(P[[#This Row],[Moon]],13.333333333333))+P[[#This Row],[SunRise]]</f>
        <v>43253.368513546426</v>
      </c>
      <c r="K161" s="124" t="str">
        <f ca="1">IF(P[[#This Row],[Tithi]]&gt;15,"K","S")&amp;ROUNDUP(MOD(P[[#This Row],[Tithi]],15),0)&amp;" ("&amp;ROUND(P[[#This Row],[Tithi]],2)&amp;")"</f>
        <v>K4 (18.15)</v>
      </c>
      <c r="L161" s="124">
        <f ca="1">IF(AND(P[[#This Row],[Tithi]]&lt;28.5,P[[#This Row],[Tithi]]&gt;0.49999),MOD((P[[#This Row],[Tithi]]-0.5)*2,7),MOD((P[[#This Row],[Tithi]]+30-28.5),30)*2+7)</f>
        <v>0.29939999999999856</v>
      </c>
      <c r="M161" s="124" t="str">
        <f ca="1">CHOOSE(ROUNDUP(P[[#This Row],[Karana1]],0),"Bhava","Baalava","Kaulava","Taitula","Garija","Vanija","Vishti","Shakuni","Chatushapda","Naaga","Kimstugna")</f>
        <v>Bhava</v>
      </c>
      <c r="N16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(23.44)</v>
      </c>
      <c r="O161" s="124">
        <f ca="1">IF(AND(P[[#This Row],[Tithi]]&lt;28.5,P[[#This Row],[Tithi]]&gt;0.49999),MOD((P[[#This Row],[Tithi]]-0.5)*2,7),MOD((P[[#This Row],[Tithi]]+30-28.5),30)*2+7)</f>
        <v>0.29939999999999856</v>
      </c>
      <c r="P161" s="124">
        <f ca="1">ROUNDUP(MOD(360+P[[#This Row],[Moon]]-P[[#This Row],[Sun]],360)/12,4)</f>
        <v>18.149699999999999</v>
      </c>
      <c r="Q161" s="124">
        <f t="shared" ca="1" si="31"/>
        <v>23.44</v>
      </c>
      <c r="R161" s="124" t="str">
        <f ca="1">SIGN(S162-P[[#This Row],[MARs]])*INT(P[[#This Row],[MARs]]/30+1)&amp;"Ma,"&amp;SIGN(T162-P[[#This Row],[Merc]])*INT(P[[#This Row],[Merc]]/30+1)&amp;"Me,"&amp;SIGN(U162-P[[#This Row],[Jup]])*INT(P[[#This Row],[Jup]]/30+1)&amp;"Ju,"&amp;SIGN(V162-P[[#This Row],[Venu]])*INT(P[[#This Row],[Venu]]/30+1)&amp;"Ve,"&amp;SIGN(W162-P[[#This Row],[Sat]])*INT(P[[#This Row],[Sat]]/30+1)&amp;"Sa,"&amp;INT(P[[#This Row],[Rah]]/30+1)&amp;"Ra"</f>
        <v>10Ma,2Me,-7Ju,3Ve,-9Sa,4Ra</v>
      </c>
      <c r="S161" s="124">
        <f ca="1">Planet(P[[#This Row],[GMT Sun Rise]],4)</f>
        <v>281.52854046377951</v>
      </c>
      <c r="T161" s="124">
        <f ca="1">Planet(P[[#This Row],[GMT Sun Rise]],2)</f>
        <v>42.312695474395454</v>
      </c>
      <c r="U161" s="124">
        <f ca="1">Planet(P[[#This Row],[GMT Sun Rise]],5)</f>
        <v>201.37974229538918</v>
      </c>
      <c r="V161" s="124">
        <f ca="1">Planet(P[[#This Row],[GMT Sun Rise]],3)</f>
        <v>81.901502496689801</v>
      </c>
      <c r="W161" s="124">
        <f ca="1">Planet(P[[#This Row],[GMT Sun Rise]],6)</f>
        <v>253.52471628645475</v>
      </c>
      <c r="X161" s="124">
        <f ca="1">Planet(P[[#This Row],[GMT Sun Rise]],10)</f>
        <v>104.73619905387325</v>
      </c>
      <c r="Y161" s="124">
        <f ca="1">SIGN(S162-P[[#This Row],[MARs]])</f>
        <v>1</v>
      </c>
    </row>
    <row r="162" spans="1:25" x14ac:dyDescent="0.2">
      <c r="A162" s="125">
        <f t="shared" ca="1" si="32"/>
        <v>43254</v>
      </c>
      <c r="B162" s="125">
        <f t="shared" ca="1" si="25"/>
        <v>43254.229166666664</v>
      </c>
      <c r="C162" s="127">
        <f t="shared" ca="1" si="26"/>
        <v>43254.237713383198</v>
      </c>
      <c r="D162" s="127">
        <f t="shared" ca="1" si="27"/>
        <v>43253.772857805292</v>
      </c>
      <c r="E162" s="189">
        <f ca="1">P[[#This Row],[SunRise]]-TimeZone/24</f>
        <v>43254.008546716534</v>
      </c>
      <c r="F162" s="190">
        <f t="shared" ca="1" si="28"/>
        <v>48.285298001795084</v>
      </c>
      <c r="G162" s="190">
        <f t="shared" ca="1" si="29"/>
        <v>276.92323502340633</v>
      </c>
      <c r="H162" s="191">
        <f t="shared" ca="1" si="30"/>
        <v>43254.008546716534</v>
      </c>
      <c r="I162" s="124" t="str">
        <f ca="1">naks(P[[#This Row],[Moon]])</f>
        <v>Uttara Asadha</v>
      </c>
      <c r="J162" s="127">
        <f ca="1">(C163-P[[#This Row],[SunRise]])/(G163-P[[#This Row],[Moon]])*(13.3333333333333-MOD(P[[#This Row],[Moon]],13.333333333333))+P[[#This Row],[SunRise]]</f>
        <v>43254.498646728149</v>
      </c>
      <c r="K162" s="124" t="str">
        <f ca="1">IF(P[[#This Row],[Tithi]]&gt;15,"K","S")&amp;ROUNDUP(MOD(P[[#This Row],[Tithi]],15),0)&amp;" ("&amp;ROUND(P[[#This Row],[Tithi]],2)&amp;")"</f>
        <v>K5 (19.05)</v>
      </c>
      <c r="L162" s="124">
        <f ca="1">IF(AND(P[[#This Row],[Tithi]]&lt;28.5,P[[#This Row],[Tithi]]&gt;0.49999),MOD((P[[#This Row],[Tithi]]-0.5)*2,7),MOD((P[[#This Row],[Tithi]]+30-28.5),30)*2+7)</f>
        <v>2.1064000000000007</v>
      </c>
      <c r="M162" s="124" t="str">
        <f ca="1">CHOOSE(ROUNDUP(P[[#This Row],[Karana1]],0),"Bhava","Baalava","Kaulava","Taitula","Garija","Vanija","Vishti","Shakuni","Chatushapda","Naaga","Kimstugna")</f>
        <v>Kaulava</v>
      </c>
      <c r="N16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(24.4)</v>
      </c>
      <c r="O162" s="124">
        <f ca="1">IF(AND(P[[#This Row],[Tithi]]&lt;28.5,P[[#This Row],[Tithi]]&gt;0.49999),MOD((P[[#This Row],[Tithi]]-0.5)*2,7),MOD((P[[#This Row],[Tithi]]+30-28.5),30)*2+7)</f>
        <v>2.1064000000000007</v>
      </c>
      <c r="P162" s="124">
        <f ca="1">ROUNDUP(MOD(360+P[[#This Row],[Moon]]-P[[#This Row],[Sun]],360)/12,4)</f>
        <v>19.0532</v>
      </c>
      <c r="Q162" s="124">
        <f t="shared" ca="1" si="31"/>
        <v>24.400000000000002</v>
      </c>
      <c r="R162" s="124" t="str">
        <f ca="1">SIGN(S163-P[[#This Row],[MARs]])*INT(P[[#This Row],[MARs]]/30+1)&amp;"Ma,"&amp;SIGN(T163-P[[#This Row],[Merc]])*INT(P[[#This Row],[Merc]]/30+1)&amp;"Me,"&amp;SIGN(U163-P[[#This Row],[Jup]])*INT(P[[#This Row],[Jup]]/30+1)&amp;"Ju,"&amp;SIGN(V163-P[[#This Row],[Venu]])*INT(P[[#This Row],[Venu]]/30+1)&amp;"Ve,"&amp;SIGN(W163-P[[#This Row],[Sat]])*INT(P[[#This Row],[Sat]]/30+1)&amp;"Sa,"&amp;INT(P[[#This Row],[Rah]]/30+1)&amp;"Ra"</f>
        <v>10Ma,2Me,-7Ju,3Ve,-9Sa,4Ra</v>
      </c>
      <c r="S162" s="124">
        <f ca="1">Planet(P[[#This Row],[GMT Sun Rise]],4)</f>
        <v>281.79609612206519</v>
      </c>
      <c r="T162" s="124">
        <f ca="1">Planet(P[[#This Row],[GMT Sun Rise]],2)</f>
        <v>44.482910191197384</v>
      </c>
      <c r="U162" s="124">
        <f ca="1">Planet(P[[#This Row],[GMT Sun Rise]],5)</f>
        <v>201.27689663272403</v>
      </c>
      <c r="V162" s="124">
        <f ca="1">Planet(P[[#This Row],[GMT Sun Rise]],3)</f>
        <v>83.083068132113596</v>
      </c>
      <c r="W162" s="124">
        <f ca="1">Planet(P[[#This Row],[GMT Sun Rise]],6)</f>
        <v>253.46245680775175</v>
      </c>
      <c r="X162" s="124">
        <f ca="1">Planet(P[[#This Row],[GMT Sun Rise]],10)</f>
        <v>104.68320661838985</v>
      </c>
      <c r="Y162" s="124">
        <f ca="1">SIGN(S163-P[[#This Row],[MARs]])</f>
        <v>1</v>
      </c>
    </row>
    <row r="163" spans="1:25" x14ac:dyDescent="0.2">
      <c r="A163" s="125">
        <f t="shared" ca="1" si="32"/>
        <v>43255</v>
      </c>
      <c r="B163" s="125">
        <f t="shared" ca="1" si="25"/>
        <v>43255.229166666664</v>
      </c>
      <c r="C163" s="127">
        <f t="shared" ca="1" si="26"/>
        <v>43255.237731026173</v>
      </c>
      <c r="D163" s="127">
        <f t="shared" ca="1" si="27"/>
        <v>43254.773070315874</v>
      </c>
      <c r="E163" s="189">
        <f ca="1">P[[#This Row],[SunRise]]-TimeZone/24</f>
        <v>43255.008564359508</v>
      </c>
      <c r="F163" s="190">
        <f t="shared" ca="1" si="28"/>
        <v>49.24293697701723</v>
      </c>
      <c r="G163" s="190">
        <f t="shared" ca="1" si="29"/>
        <v>288.71482593889823</v>
      </c>
      <c r="H163" s="191">
        <f t="shared" ca="1" si="30"/>
        <v>43255.008564359508</v>
      </c>
      <c r="I163" s="124" t="str">
        <f ca="1">naks(P[[#This Row],[Moon]])</f>
        <v>Sravana</v>
      </c>
      <c r="J163" s="127">
        <f ca="1">(C164-P[[#This Row],[SunRise]])/(G164-P[[#This Row],[Moon]])*(13.3333333333333-MOD(P[[#This Row],[Moon]],13.333333333333))+P[[#This Row],[SunRise]]</f>
        <v>43255.627269732962</v>
      </c>
      <c r="K163" s="124" t="str">
        <f ca="1">IF(P[[#This Row],[Tithi]]&gt;15,"K","S")&amp;ROUNDUP(MOD(P[[#This Row],[Tithi]],15),0)&amp;" ("&amp;ROUND(P[[#This Row],[Tithi]],2)&amp;")"</f>
        <v>K5 (19.96)</v>
      </c>
      <c r="L163" s="124">
        <f ca="1">IF(AND(P[[#This Row],[Tithi]]&lt;28.5,P[[#This Row],[Tithi]]&gt;0.49999),MOD((P[[#This Row],[Tithi]]-0.5)*2,7),MOD((P[[#This Row],[Tithi]]+30-28.5),30)*2+7)</f>
        <v>3.911999999999999</v>
      </c>
      <c r="M163" s="124" t="str">
        <f ca="1">CHOOSE(ROUNDUP(P[[#This Row],[Karana1]],0),"Bhava","Baalava","Kaulava","Taitula","Garija","Vanija","Vishti","Shakuni","Chatushapda","Naaga","Kimstugna")</f>
        <v>Taitula</v>
      </c>
      <c r="N16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(25.35)</v>
      </c>
      <c r="O163" s="124">
        <f ca="1">IF(AND(P[[#This Row],[Tithi]]&lt;28.5,P[[#This Row],[Tithi]]&gt;0.49999),MOD((P[[#This Row],[Tithi]]-0.5)*2,7),MOD((P[[#This Row],[Tithi]]+30-28.5),30)*2+7)</f>
        <v>3.911999999999999</v>
      </c>
      <c r="P163" s="124">
        <f ca="1">ROUNDUP(MOD(360+P[[#This Row],[Moon]]-P[[#This Row],[Sun]],360)/12,4)</f>
        <v>19.956</v>
      </c>
      <c r="Q163" s="124">
        <f t="shared" ca="1" si="31"/>
        <v>25.35</v>
      </c>
      <c r="R163" s="124" t="str">
        <f ca="1">SIGN(S164-P[[#This Row],[MARs]])*INT(P[[#This Row],[MARs]]/30+1)&amp;"Ma,"&amp;SIGN(T164-P[[#This Row],[Merc]])*INT(P[[#This Row],[Merc]]/30+1)&amp;"Me,"&amp;SIGN(U164-P[[#This Row],[Jup]])*INT(P[[#This Row],[Jup]]/30+1)&amp;"Ju,"&amp;SIGN(V164-P[[#This Row],[Venu]])*INT(P[[#This Row],[Venu]]/30+1)&amp;"Ve,"&amp;SIGN(W164-P[[#This Row],[Sat]])*INT(P[[#This Row],[Sat]]/30+1)&amp;"Sa,"&amp;INT(P[[#This Row],[Rah]]/30+1)&amp;"Ra"</f>
        <v>10Ma,2Me,-7Ju,3Ve,-9Sa,4Ra</v>
      </c>
      <c r="S163" s="124">
        <f ca="1">Planet(P[[#This Row],[GMT Sun Rise]],4)</f>
        <v>282.05480520941796</v>
      </c>
      <c r="T163" s="124">
        <f ca="1">Planet(P[[#This Row],[GMT Sun Rise]],2)</f>
        <v>46.667529553380056</v>
      </c>
      <c r="U163" s="124">
        <f ca="1">Planet(P[[#This Row],[GMT Sun Rise]],5)</f>
        <v>201.1759961786764</v>
      </c>
      <c r="V163" s="124">
        <f ca="1">Planet(P[[#This Row],[GMT Sun Rise]],3)</f>
        <v>84.263490873767012</v>
      </c>
      <c r="W163" s="124">
        <f ca="1">Planet(P[[#This Row],[GMT Sun Rise]],6)</f>
        <v>253.39932738668506</v>
      </c>
      <c r="X163" s="124">
        <f ca="1">Planet(P[[#This Row],[GMT Sun Rise]],10)</f>
        <v>104.6302136859611</v>
      </c>
      <c r="Y163" s="124">
        <f ca="1">SIGN(S164-P[[#This Row],[MARs]])</f>
        <v>1</v>
      </c>
    </row>
    <row r="164" spans="1:25" x14ac:dyDescent="0.2">
      <c r="A164" s="125">
        <f t="shared" ca="1" si="32"/>
        <v>43256</v>
      </c>
      <c r="B164" s="125">
        <f t="shared" ca="1" si="25"/>
        <v>43256.229166666664</v>
      </c>
      <c r="C164" s="127">
        <f t="shared" ca="1" si="26"/>
        <v>43256.2377580471</v>
      </c>
      <c r="D164" s="127">
        <f t="shared" ca="1" si="27"/>
        <v>43255.773282190363</v>
      </c>
      <c r="E164" s="189">
        <f ca="1">P[[#This Row],[SunRise]]-TimeZone/24</f>
        <v>43256.008591380436</v>
      </c>
      <c r="F164" s="190">
        <f t="shared" ca="1" si="28"/>
        <v>50.20037705278618</v>
      </c>
      <c r="G164" s="190">
        <f t="shared" ca="1" si="29"/>
        <v>300.5714966888246</v>
      </c>
      <c r="H164" s="191">
        <f t="shared" ca="1" si="30"/>
        <v>43256.008591380436</v>
      </c>
      <c r="I164" s="124" t="str">
        <f ca="1">naks(P[[#This Row],[Moon]])</f>
        <v>Dhanistha</v>
      </c>
      <c r="J164" s="127">
        <f ca="1">(C165-P[[#This Row],[SunRise]])/(G165-P[[#This Row],[Moon]])*(13.3333333333333-MOD(P[[#This Row],[Moon]],13.333333333333))+P[[#This Row],[SunRise]]</f>
        <v>43256.745550465035</v>
      </c>
      <c r="K164" s="124" t="str">
        <f ca="1">IF(P[[#This Row],[Tithi]]&gt;15,"K","S")&amp;ROUNDUP(MOD(P[[#This Row],[Tithi]],15),0)&amp;" ("&amp;ROUND(P[[#This Row],[Tithi]],2)&amp;")"</f>
        <v>K6 (20.86)</v>
      </c>
      <c r="L164" s="124">
        <f ca="1">IF(AND(P[[#This Row],[Tithi]]&lt;28.5,P[[#This Row],[Tithi]]&gt;0.49999),MOD((P[[#This Row],[Tithi]]-0.5)*2,7),MOD((P[[#This Row],[Tithi]]+30-28.5),30)*2+7)</f>
        <v>5.7286000000000001</v>
      </c>
      <c r="M164" s="124" t="str">
        <f ca="1">CHOOSE(ROUNDUP(P[[#This Row],[Karana1]],0),"Bhava","Baalava","Kaulava","Taitula","Garija","Vanija","Vishti","Shakuni","Chatushapda","Naaga","Kimstugna")</f>
        <v>Vanija</v>
      </c>
      <c r="N16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(26.31)</v>
      </c>
      <c r="O164" s="124">
        <f ca="1">IF(AND(P[[#This Row],[Tithi]]&lt;28.5,P[[#This Row],[Tithi]]&gt;0.49999),MOD((P[[#This Row],[Tithi]]-0.5)*2,7),MOD((P[[#This Row],[Tithi]]+30-28.5),30)*2+7)</f>
        <v>5.7286000000000001</v>
      </c>
      <c r="P164" s="124">
        <f ca="1">ROUNDUP(MOD(360+P[[#This Row],[Moon]]-P[[#This Row],[Sun]],360)/12,4)</f>
        <v>20.8643</v>
      </c>
      <c r="Q164" s="124">
        <f t="shared" ca="1" si="31"/>
        <v>26.310000000000002</v>
      </c>
      <c r="R164" s="124" t="str">
        <f ca="1">SIGN(S165-P[[#This Row],[MARs]])*INT(P[[#This Row],[MARs]]/30+1)&amp;"Ma,"&amp;SIGN(T165-P[[#This Row],[Merc]])*INT(P[[#This Row],[Merc]]/30+1)&amp;"Me,"&amp;SIGN(U165-P[[#This Row],[Jup]])*INT(P[[#This Row],[Jup]]/30+1)&amp;"Ju,"&amp;SIGN(V165-P[[#This Row],[Venu]])*INT(P[[#This Row],[Venu]]/30+1)&amp;"Ve,"&amp;SIGN(W165-P[[#This Row],[Sat]])*INT(P[[#This Row],[Sat]]/30+1)&amp;"Sa,"&amp;INT(P[[#This Row],[Rah]]/30+1)&amp;"Ra"</f>
        <v>10Ma,2Me,-7Ju,3Ve,-9Sa,4Ra</v>
      </c>
      <c r="S164" s="124">
        <f ca="1">Planet(P[[#This Row],[GMT Sun Rise]],4)</f>
        <v>282.30444712037394</v>
      </c>
      <c r="T164" s="124">
        <f ca="1">Planet(P[[#This Row],[GMT Sun Rise]],2)</f>
        <v>48.86244692936458</v>
      </c>
      <c r="U164" s="124">
        <f ca="1">Planet(P[[#This Row],[GMT Sun Rise]],5)</f>
        <v>201.07710214793184</v>
      </c>
      <c r="V164" s="124">
        <f ca="1">Planet(P[[#This Row],[GMT Sun Rise]],3)</f>
        <v>85.442761415039854</v>
      </c>
      <c r="W164" s="124">
        <f ca="1">Planet(P[[#This Row],[GMT Sun Rise]],6)</f>
        <v>253.33535744128883</v>
      </c>
      <c r="X164" s="124">
        <f ca="1">Planet(P[[#This Row],[GMT Sun Rise]],10)</f>
        <v>104.57722025657047</v>
      </c>
      <c r="Y164" s="124">
        <f ca="1">SIGN(S165-P[[#This Row],[MARs]])</f>
        <v>1</v>
      </c>
    </row>
    <row r="165" spans="1:25" x14ac:dyDescent="0.2">
      <c r="A165" s="125">
        <f t="shared" ca="1" si="32"/>
        <v>43257</v>
      </c>
      <c r="B165" s="125">
        <f t="shared" ca="1" si="25"/>
        <v>43257.229166666664</v>
      </c>
      <c r="C165" s="127">
        <f t="shared" ca="1" si="26"/>
        <v>43257.237794127468</v>
      </c>
      <c r="D165" s="127">
        <f t="shared" ca="1" si="27"/>
        <v>43256.773493111177</v>
      </c>
      <c r="E165" s="189">
        <f ca="1">P[[#This Row],[SunRise]]-TimeZone/24</f>
        <v>43257.008627460804</v>
      </c>
      <c r="F165" s="190">
        <f t="shared" ca="1" si="28"/>
        <v>51.15763250827888</v>
      </c>
      <c r="G165" s="190">
        <f t="shared" ca="1" si="29"/>
        <v>312.57520071933908</v>
      </c>
      <c r="H165" s="191">
        <f t="shared" ca="1" si="30"/>
        <v>43257.008627460804</v>
      </c>
      <c r="I165" s="124" t="str">
        <f ca="1">naks(P[[#This Row],[Moon]])</f>
        <v>Satabhisaj</v>
      </c>
      <c r="J165" s="127">
        <f ca="1">(C166-P[[#This Row],[SunRise]])/(G166-P[[#This Row],[Moon]])*(13.3333333333333-MOD(P[[#This Row],[Moon]],13.333333333333))+P[[#This Row],[SunRise]]</f>
        <v>43257.844578734352</v>
      </c>
      <c r="K165" s="124" t="str">
        <f ca="1">IF(P[[#This Row],[Tithi]]&gt;15,"K","S")&amp;ROUNDUP(MOD(P[[#This Row],[Tithi]],15),0)&amp;" ("&amp;ROUND(P[[#This Row],[Tithi]],2)&amp;")"</f>
        <v>K7 (21.78)</v>
      </c>
      <c r="L165" s="124">
        <f ca="1">IF(AND(P[[#This Row],[Tithi]]&lt;28.5,P[[#This Row],[Tithi]]&gt;0.49999),MOD((P[[#This Row],[Tithi]]-0.5)*2,7),MOD((P[[#This Row],[Tithi]]+30-28.5),30)*2+7)</f>
        <v>0.56960000000000122</v>
      </c>
      <c r="M165" s="124" t="str">
        <f ca="1">CHOOSE(ROUNDUP(P[[#This Row],[Karana1]],0),"Bhava","Baalava","Kaulava","Taitula","Garija","Vanija","Vishti","Shakuni","Chatushapda","Naaga","Kimstugna")</f>
        <v>Bhava</v>
      </c>
      <c r="N16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(0.28)</v>
      </c>
      <c r="O165" s="124">
        <f ca="1">IF(AND(P[[#This Row],[Tithi]]&lt;28.5,P[[#This Row],[Tithi]]&gt;0.49999),MOD((P[[#This Row],[Tithi]]-0.5)*2,7),MOD((P[[#This Row],[Tithi]]+30-28.5),30)*2+7)</f>
        <v>0.56960000000000122</v>
      </c>
      <c r="P165" s="124">
        <f ca="1">ROUNDUP(MOD(360+P[[#This Row],[Moon]]-P[[#This Row],[Sun]],360)/12,4)</f>
        <v>21.784800000000001</v>
      </c>
      <c r="Q165" s="124">
        <f t="shared" ca="1" si="31"/>
        <v>0.28000000000000003</v>
      </c>
      <c r="R165" s="124" t="str">
        <f ca="1">SIGN(S166-P[[#This Row],[MARs]])*INT(P[[#This Row],[MARs]]/30+1)&amp;"Ma,"&amp;SIGN(T166-P[[#This Row],[Merc]])*INT(P[[#This Row],[Merc]]/30+1)&amp;"Me,"&amp;SIGN(U166-P[[#This Row],[Jup]])*INT(P[[#This Row],[Jup]]/30+1)&amp;"Ju,"&amp;SIGN(V166-P[[#This Row],[Venu]])*INT(P[[#This Row],[Venu]]/30+1)&amp;"Ve,"&amp;SIGN(W166-P[[#This Row],[Sat]])*INT(P[[#This Row],[Sat]]/30+1)&amp;"Sa,"&amp;INT(P[[#This Row],[Rah]]/30+1)&amp;"Ra"</f>
        <v>10Ma,2Me,-7Ju,3Ve,-9Sa,4Ra</v>
      </c>
      <c r="S165" s="124">
        <f ca="1">Planet(P[[#This Row],[GMT Sun Rise]],4)</f>
        <v>282.54479878633856</v>
      </c>
      <c r="T165" s="124">
        <f ca="1">Planet(P[[#This Row],[GMT Sun Rise]],2)</f>
        <v>51.063321949365836</v>
      </c>
      <c r="U165" s="124">
        <f ca="1">Planet(P[[#This Row],[GMT Sun Rise]],5)</f>
        <v>200.98027468831577</v>
      </c>
      <c r="V165" s="124">
        <f ca="1">Planet(P[[#This Row],[GMT Sun Rise]],3)</f>
        <v>86.620869299374718</v>
      </c>
      <c r="W165" s="124">
        <f ca="1">Planet(P[[#This Row],[GMT Sun Rise]],6)</f>
        <v>253.27057705532937</v>
      </c>
      <c r="X165" s="124">
        <f ca="1">Planet(P[[#This Row],[GMT Sun Rise]],10)</f>
        <v>104.52422634708502</v>
      </c>
      <c r="Y165" s="124">
        <f ca="1">SIGN(S166-P[[#This Row],[MARs]])</f>
        <v>1</v>
      </c>
    </row>
    <row r="166" spans="1:25" x14ac:dyDescent="0.2">
      <c r="A166" s="125">
        <f t="shared" ca="1" si="32"/>
        <v>43258</v>
      </c>
      <c r="B166" s="125">
        <f t="shared" ca="1" si="25"/>
        <v>43258.229166666664</v>
      </c>
      <c r="C166" s="127">
        <f t="shared" ca="1" si="26"/>
        <v>43258.237839268208</v>
      </c>
      <c r="D166" s="127">
        <f t="shared" ca="1" si="27"/>
        <v>43257.773702601946</v>
      </c>
      <c r="E166" s="189">
        <f ca="1">P[[#This Row],[SunRise]]-TimeZone/24</f>
        <v>43258.008672601543</v>
      </c>
      <c r="F166" s="190">
        <f t="shared" ca="1" si="28"/>
        <v>52.11471610022798</v>
      </c>
      <c r="G166" s="190">
        <f t="shared" ca="1" si="29"/>
        <v>324.8120543859369</v>
      </c>
      <c r="H166" s="191">
        <f t="shared" ca="1" si="30"/>
        <v>43258.008672601543</v>
      </c>
      <c r="I166" s="124" t="str">
        <f ca="1">naks(P[[#This Row],[Moon]])</f>
        <v>Purva Bhadrapada</v>
      </c>
      <c r="J166" s="127">
        <f ca="1">(C167-P[[#This Row],[SunRise]])/(G167-P[[#This Row],[Moon]])*(13.3333333333333-MOD(P[[#This Row],[Moon]],13.333333333333))+P[[#This Row],[SunRise]]</f>
        <v>43258.916636882605</v>
      </c>
      <c r="K166" s="124" t="str">
        <f ca="1">IF(P[[#This Row],[Tithi]]&gt;15,"K","S")&amp;ROUNDUP(MOD(P[[#This Row],[Tithi]],15),0)&amp;" ("&amp;ROUND(P[[#This Row],[Tithi]],2)&amp;")"</f>
        <v>K8 (22.72)</v>
      </c>
      <c r="L166" s="124">
        <f ca="1">IF(AND(P[[#This Row],[Tithi]]&lt;28.5,P[[#This Row],[Tithi]]&gt;0.49999),MOD((P[[#This Row],[Tithi]]-0.5)*2,7),MOD((P[[#This Row],[Tithi]]+30-28.5),30)*2+7)</f>
        <v>2.4495999999999967</v>
      </c>
      <c r="M166" s="124" t="str">
        <f ca="1">CHOOSE(ROUNDUP(P[[#This Row],[Karana1]],0),"Bhava","Baalava","Kaulava","Taitula","Garija","Vanija","Vishti","Shakuni","Chatushapda","Naaga","Kimstugna")</f>
        <v>Kaulava</v>
      </c>
      <c r="N16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(1.27)</v>
      </c>
      <c r="O166" s="124">
        <f ca="1">IF(AND(P[[#This Row],[Tithi]]&lt;28.5,P[[#This Row],[Tithi]]&gt;0.49999),MOD((P[[#This Row],[Tithi]]-0.5)*2,7),MOD((P[[#This Row],[Tithi]]+30-28.5),30)*2+7)</f>
        <v>2.4495999999999967</v>
      </c>
      <c r="P166" s="124">
        <f ca="1">ROUNDUP(MOD(360+P[[#This Row],[Moon]]-P[[#This Row],[Sun]],360)/12,4)</f>
        <v>22.724799999999998</v>
      </c>
      <c r="Q166" s="124">
        <f t="shared" ca="1" si="31"/>
        <v>1.27</v>
      </c>
      <c r="R166" s="124" t="str">
        <f ca="1">SIGN(S167-P[[#This Row],[MARs]])*INT(P[[#This Row],[MARs]]/30+1)&amp;"Ma,"&amp;SIGN(T167-P[[#This Row],[Merc]])*INT(P[[#This Row],[Merc]]/30+1)&amp;"Me,"&amp;SIGN(U167-P[[#This Row],[Jup]])*INT(P[[#This Row],[Jup]]/30+1)&amp;"Ju,"&amp;SIGN(V167-P[[#This Row],[Venu]])*INT(P[[#This Row],[Venu]]/30+1)&amp;"Ve,"&amp;SIGN(W167-P[[#This Row],[Sat]])*INT(P[[#This Row],[Sat]]/30+1)&amp;"Sa,"&amp;INT(P[[#This Row],[Rah]]/30+1)&amp;"Ra"</f>
        <v>10Ma,2Me,-7Ju,3Ve,-9Sa,4Ra</v>
      </c>
      <c r="S166" s="124">
        <f ca="1">Planet(P[[#This Row],[GMT Sun Rise]],4)</f>
        <v>282.77563556756382</v>
      </c>
      <c r="T166" s="124">
        <f ca="1">Planet(P[[#This Row],[GMT Sun Rise]],2)</f>
        <v>53.265610466829649</v>
      </c>
      <c r="U166" s="124">
        <f ca="1">Planet(P[[#This Row],[GMT Sun Rise]],5)</f>
        <v>200.88557284391521</v>
      </c>
      <c r="V166" s="124">
        <f ca="1">Planet(P[[#This Row],[GMT Sun Rise]],3)</f>
        <v>87.797803568033572</v>
      </c>
      <c r="W166" s="124">
        <f ca="1">Planet(P[[#This Row],[GMT Sun Rise]],6)</f>
        <v>253.20501696714959</v>
      </c>
      <c r="X166" s="124">
        <f ca="1">Planet(P[[#This Row],[GMT Sun Rise]],10)</f>
        <v>104.47123195750461</v>
      </c>
      <c r="Y166" s="124">
        <f ca="1">SIGN(S167-P[[#This Row],[MARs]])</f>
        <v>1</v>
      </c>
    </row>
    <row r="167" spans="1:25" x14ac:dyDescent="0.2">
      <c r="A167" s="125">
        <f t="shared" ca="1" si="32"/>
        <v>43259</v>
      </c>
      <c r="B167" s="125">
        <f t="shared" ca="1" si="25"/>
        <v>43259.229166666664</v>
      </c>
      <c r="C167" s="127">
        <f t="shared" ca="1" si="26"/>
        <v>43259.237893150806</v>
      </c>
      <c r="D167" s="127">
        <f t="shared" ca="1" si="27"/>
        <v>43258.773910820528</v>
      </c>
      <c r="E167" s="189">
        <f ca="1">P[[#This Row],[SunRise]]-TimeZone/24</f>
        <v>43259.008726484142</v>
      </c>
      <c r="F167" s="190">
        <f t="shared" ca="1" si="28"/>
        <v>53.071638086837702</v>
      </c>
      <c r="G167" s="190">
        <f t="shared" ca="1" si="29"/>
        <v>337.36622062823858</v>
      </c>
      <c r="H167" s="191">
        <f t="shared" ca="1" si="30"/>
        <v>43259.008726484142</v>
      </c>
      <c r="I167" s="124" t="str">
        <f ca="1">naks(P[[#This Row],[Moon]])</f>
        <v>Uttara Bhadrapada</v>
      </c>
      <c r="J167" s="127">
        <f ca="1">(C168-P[[#This Row],[SunRise]])/(G168-P[[#This Row],[Moon]])*(13.3333333333333-MOD(P[[#This Row],[Moon]],13.333333333333))+P[[#This Row],[SunRise]]</f>
        <v>43259.956376007714</v>
      </c>
      <c r="K167" s="124" t="str">
        <f ca="1">IF(P[[#This Row],[Tithi]]&gt;15,"K","S")&amp;ROUNDUP(MOD(P[[#This Row],[Tithi]],15),0)&amp;" ("&amp;ROUND(P[[#This Row],[Tithi]],2)&amp;")"</f>
        <v>K9 (23.69)</v>
      </c>
      <c r="L167" s="124">
        <f ca="1">IF(AND(P[[#This Row],[Tithi]]&lt;28.5,P[[#This Row],[Tithi]]&gt;0.49999),MOD((P[[#This Row],[Tithi]]-0.5)*2,7),MOD((P[[#This Row],[Tithi]]+30-28.5),30)*2+7)</f>
        <v>4.3825999999999965</v>
      </c>
      <c r="M167" s="124" t="str">
        <f ca="1">CHOOSE(ROUNDUP(P[[#This Row],[Karana1]],0),"Bhava","Baalava","Kaulava","Taitula","Garija","Vanija","Vishti","Shakuni","Chatushapda","Naaga","Kimstugna")</f>
        <v>Garija</v>
      </c>
      <c r="N16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(2.29)</v>
      </c>
      <c r="O167" s="124">
        <f ca="1">IF(AND(P[[#This Row],[Tithi]]&lt;28.5,P[[#This Row],[Tithi]]&gt;0.49999),MOD((P[[#This Row],[Tithi]]-0.5)*2,7),MOD((P[[#This Row],[Tithi]]+30-28.5),30)*2+7)</f>
        <v>4.3825999999999965</v>
      </c>
      <c r="P167" s="124">
        <f ca="1">ROUNDUP(MOD(360+P[[#This Row],[Moon]]-P[[#This Row],[Sun]],360)/12,4)</f>
        <v>23.691299999999998</v>
      </c>
      <c r="Q167" s="124">
        <f t="shared" ca="1" si="31"/>
        <v>2.2899999999999996</v>
      </c>
      <c r="R167" s="124" t="str">
        <f ca="1">SIGN(S168-P[[#This Row],[MARs]])*INT(P[[#This Row],[MARs]]/30+1)&amp;"Ma,"&amp;SIGN(T168-P[[#This Row],[Merc]])*INT(P[[#This Row],[Merc]]/30+1)&amp;"Me,"&amp;SIGN(U168-P[[#This Row],[Jup]])*INT(P[[#This Row],[Jup]]/30+1)&amp;"Ju,"&amp;SIGN(V168-P[[#This Row],[Venu]])*INT(P[[#This Row],[Venu]]/30+1)&amp;"Ve,"&amp;SIGN(W168-P[[#This Row],[Sat]])*INT(P[[#This Row],[Sat]]/30+1)&amp;"Sa,"&amp;INT(P[[#This Row],[Rah]]/30+1)&amp;"Ra"</f>
        <v>10Ma,2Me,-7Ju,3Ve,-9Sa,4Ra</v>
      </c>
      <c r="S167" s="124">
        <f ca="1">Planet(P[[#This Row],[GMT Sun Rise]],4)</f>
        <v>282.99673218408509</v>
      </c>
      <c r="T167" s="124">
        <f ca="1">Planet(P[[#This Row],[GMT Sun Rise]],2)</f>
        <v>55.464687302602258</v>
      </c>
      <c r="U167" s="124">
        <f ca="1">Planet(P[[#This Row],[GMT Sun Rise]],5)</f>
        <v>200.79305465898096</v>
      </c>
      <c r="V167" s="124">
        <f ca="1">Planet(P[[#This Row],[GMT Sun Rise]],3)</f>
        <v>88.973551781495857</v>
      </c>
      <c r="W167" s="124">
        <f ca="1">Planet(P[[#This Row],[GMT Sun Rise]],6)</f>
        <v>253.13870865494721</v>
      </c>
      <c r="X167" s="124">
        <f ca="1">Planet(P[[#This Row],[GMT Sun Rise]],10)</f>
        <v>104.41823710466329</v>
      </c>
      <c r="Y167" s="124">
        <f ca="1">SIGN(S168-P[[#This Row],[MARs]])</f>
        <v>1</v>
      </c>
    </row>
    <row r="168" spans="1:25" x14ac:dyDescent="0.2">
      <c r="A168" s="125">
        <f t="shared" ca="1" si="32"/>
        <v>43260</v>
      </c>
      <c r="B168" s="125">
        <f t="shared" ca="1" si="25"/>
        <v>43260.229166666664</v>
      </c>
      <c r="C168" s="127">
        <f t="shared" ca="1" si="26"/>
        <v>43260.237955775265</v>
      </c>
      <c r="D168" s="127">
        <f t="shared" ca="1" si="27"/>
        <v>43259.774117132227</v>
      </c>
      <c r="E168" s="189">
        <f ca="1">P[[#This Row],[SunRise]]-TimeZone/24</f>
        <v>43260.0087891086</v>
      </c>
      <c r="F168" s="190">
        <f t="shared" ca="1" si="28"/>
        <v>54.028406364813499</v>
      </c>
      <c r="G168" s="190">
        <f t="shared" ca="1" si="29"/>
        <v>350.31159348489297</v>
      </c>
      <c r="H168" s="191">
        <f t="shared" ca="1" si="30"/>
        <v>43260.0087891086</v>
      </c>
      <c r="I168" s="124" t="str">
        <f ca="1">naks(P[[#This Row],[Moon]])</f>
        <v>Revati</v>
      </c>
      <c r="J168" s="127">
        <f ca="1">(C169-P[[#This Row],[SunRise]])/(G169-P[[#This Row],[Moon]])*(13.3333333333333-MOD(P[[#This Row],[Moon]],13.333333333333))+P[[#This Row],[SunRise]]</f>
        <v>43260.210001911262</v>
      </c>
      <c r="K168" s="124" t="str">
        <f ca="1">IF(P[[#This Row],[Tithi]]&gt;15,"K","S")&amp;ROUNDUP(MOD(P[[#This Row],[Tithi]],15),0)&amp;" ("&amp;ROUND(P[[#This Row],[Tithi]],2)&amp;")"</f>
        <v>K10 (24.69)</v>
      </c>
      <c r="L168" s="124">
        <f ca="1">IF(AND(P[[#This Row],[Tithi]]&lt;28.5,P[[#This Row],[Tithi]]&gt;0.49999),MOD((P[[#This Row],[Tithi]]-0.5)*2,7),MOD((P[[#This Row],[Tithi]]+30-28.5),30)*2+7)</f>
        <v>6.3806000000000012</v>
      </c>
      <c r="M168" s="124" t="str">
        <f ca="1">CHOOSE(ROUNDUP(P[[#This Row],[Karana1]],0),"Bhava","Baalava","Kaulava","Taitula","Garija","Vanija","Vishti","Shakuni","Chatushapda","Naaga","Kimstugna")</f>
        <v>Vishti</v>
      </c>
      <c r="N16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(3.33)</v>
      </c>
      <c r="O168" s="124">
        <f ca="1">IF(AND(P[[#This Row],[Tithi]]&lt;28.5,P[[#This Row],[Tithi]]&gt;0.49999),MOD((P[[#This Row],[Tithi]]-0.5)*2,7),MOD((P[[#This Row],[Tithi]]+30-28.5),30)*2+7)</f>
        <v>6.3806000000000012</v>
      </c>
      <c r="P168" s="124">
        <f ca="1">ROUNDUP(MOD(360+P[[#This Row],[Moon]]-P[[#This Row],[Sun]],360)/12,4)</f>
        <v>24.690300000000001</v>
      </c>
      <c r="Q168" s="124">
        <f t="shared" ca="1" si="31"/>
        <v>3.3299999999999996</v>
      </c>
      <c r="R168" s="124" t="str">
        <f ca="1">SIGN(S169-P[[#This Row],[MARs]])*INT(P[[#This Row],[MARs]]/30+1)&amp;"Ma,"&amp;SIGN(T169-P[[#This Row],[Merc]])*INT(P[[#This Row],[Merc]]/30+1)&amp;"Me,"&amp;SIGN(U169-P[[#This Row],[Jup]])*INT(P[[#This Row],[Jup]]/30+1)&amp;"Ju,"&amp;SIGN(V169-P[[#This Row],[Venu]])*INT(P[[#This Row],[Venu]]/30+1)&amp;"Ve,"&amp;SIGN(W169-P[[#This Row],[Sat]])*INT(P[[#This Row],[Sat]]/30+1)&amp;"Sa,"&amp;INT(P[[#This Row],[Rah]]/30+1)&amp;"Ra"</f>
        <v>10Ma,2Me,-7Ju,4Ve,-9Sa,4Ra</v>
      </c>
      <c r="S168" s="124">
        <f ca="1">Planet(P[[#This Row],[GMT Sun Rise]],4)</f>
        <v>283.20786444482326</v>
      </c>
      <c r="T168" s="124">
        <f ca="1">Planet(P[[#This Row],[GMT Sun Rise]],2)</f>
        <v>57.656045140327961</v>
      </c>
      <c r="U168" s="124">
        <f ca="1">Planet(P[[#This Row],[GMT Sun Rise]],5)</f>
        <v>200.70277715469496</v>
      </c>
      <c r="V168" s="124">
        <f ca="1">Planet(P[[#This Row],[GMT Sun Rise]],3)</f>
        <v>90.148100385927478</v>
      </c>
      <c r="W168" s="124">
        <f ca="1">Planet(P[[#This Row],[GMT Sun Rise]],6)</f>
        <v>253.07168435910853</v>
      </c>
      <c r="X168" s="124">
        <f ca="1">Planet(P[[#This Row],[GMT Sun Rise]],10)</f>
        <v>104.36524178859408</v>
      </c>
      <c r="Y168" s="124">
        <f ca="1">SIGN(S169-P[[#This Row],[MARs]])</f>
        <v>1</v>
      </c>
    </row>
    <row r="169" spans="1:25" x14ac:dyDescent="0.2">
      <c r="A169" s="125">
        <f t="shared" ca="1" si="32"/>
        <v>43261</v>
      </c>
      <c r="B169" s="125">
        <f t="shared" ca="1" si="25"/>
        <v>43261.229166666664</v>
      </c>
      <c r="C169" s="127">
        <f t="shared" ca="1" si="26"/>
        <v>43261.238026983257</v>
      </c>
      <c r="D169" s="127">
        <f t="shared" ca="1" si="27"/>
        <v>43260.774321377321</v>
      </c>
      <c r="E169" s="189">
        <f ca="1">P[[#This Row],[SunRise]]-TimeZone/24</f>
        <v>43261.008860316593</v>
      </c>
      <c r="F169" s="190">
        <f t="shared" ca="1" si="28"/>
        <v>54.985025469573671</v>
      </c>
      <c r="G169" s="190">
        <f t="shared" ca="1" si="29"/>
        <v>3.7013214222232991</v>
      </c>
      <c r="H169" s="191">
        <f t="shared" ca="1" si="30"/>
        <v>43261.008860316593</v>
      </c>
      <c r="I169" s="124" t="str">
        <f ca="1">naks(P[[#This Row],[Moon]])</f>
        <v>Aswini</v>
      </c>
      <c r="J169" s="127">
        <f ca="1">(C170-P[[#This Row],[SunRise]])/(G170-P[[#This Row],[Moon]])*(13.3333333333333-MOD(P[[#This Row],[Moon]],13.333333333333))+P[[#This Row],[SunRise]]</f>
        <v>43261.933298404256</v>
      </c>
      <c r="K169" s="124" t="str">
        <f ca="1">IF(P[[#This Row],[Tithi]]&gt;15,"K","S")&amp;ROUNDUP(MOD(P[[#This Row],[Tithi]],15),0)&amp;" ("&amp;ROUND(P[[#This Row],[Tithi]],2)&amp;")"</f>
        <v>K11 (25.73)</v>
      </c>
      <c r="L169" s="124">
        <f ca="1">IF(AND(P[[#This Row],[Tithi]]&lt;28.5,P[[#This Row],[Tithi]]&gt;0.49999),MOD((P[[#This Row],[Tithi]]-0.5)*2,7),MOD((P[[#This Row],[Tithi]]+30-28.5),30)*2+7)</f>
        <v>1.4527999999999963</v>
      </c>
      <c r="M169" s="124" t="str">
        <f ca="1">CHOOSE(ROUNDUP(P[[#This Row],[Karana1]],0),"Bhava","Baalava","Kaulava","Taitula","Garija","Vanija","Vishti","Shakuni","Chatushapda","Naaga","Kimstugna")</f>
        <v>Baalava</v>
      </c>
      <c r="N16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(4.41)</v>
      </c>
      <c r="O169" s="124">
        <f ca="1">IF(AND(P[[#This Row],[Tithi]]&lt;28.5,P[[#This Row],[Tithi]]&gt;0.49999),MOD((P[[#This Row],[Tithi]]-0.5)*2,7),MOD((P[[#This Row],[Tithi]]+30-28.5),30)*2+7)</f>
        <v>1.4527999999999963</v>
      </c>
      <c r="P169" s="124">
        <f ca="1">ROUNDUP(MOD(360+P[[#This Row],[Moon]]-P[[#This Row],[Sun]],360)/12,4)</f>
        <v>25.726399999999998</v>
      </c>
      <c r="Q169" s="124">
        <f t="shared" ca="1" si="31"/>
        <v>4.41</v>
      </c>
      <c r="R169" s="124" t="str">
        <f ca="1">SIGN(S170-P[[#This Row],[MARs]])*INT(P[[#This Row],[MARs]]/30+1)&amp;"Ma,"&amp;SIGN(T170-P[[#This Row],[Merc]])*INT(P[[#This Row],[Merc]]/30+1)&amp;"Me,"&amp;SIGN(U170-P[[#This Row],[Jup]])*INT(P[[#This Row],[Jup]]/30+1)&amp;"Ju,"&amp;SIGN(V170-P[[#This Row],[Venu]])*INT(P[[#This Row],[Venu]]/30+1)&amp;"Ve,"&amp;SIGN(W170-P[[#This Row],[Sat]])*INT(P[[#This Row],[Sat]]/30+1)&amp;"Sa,"&amp;INT(P[[#This Row],[Rah]]/30+1)&amp;"Ra"</f>
        <v>10Ma,2Me,-7Ju,4Ve,-9Sa,4Ra</v>
      </c>
      <c r="S169" s="124">
        <f ca="1">Planet(P[[#This Row],[GMT Sun Rise]],4)</f>
        <v>283.40881131657096</v>
      </c>
      <c r="T169" s="124">
        <f ca="1">Planet(P[[#This Row],[GMT Sun Rise]],2)</f>
        <v>59.835303005235346</v>
      </c>
      <c r="U169" s="124">
        <f ca="1">Planet(P[[#This Row],[GMT Sun Rise]],5)</f>
        <v>200.6147963837212</v>
      </c>
      <c r="V169" s="124">
        <f ca="1">Planet(P[[#This Row],[GMT Sun Rise]],3)</f>
        <v>91.321433586601685</v>
      </c>
      <c r="W169" s="124">
        <f ca="1">Planet(P[[#This Row],[GMT Sun Rise]],6)</f>
        <v>253.00397719220578</v>
      </c>
      <c r="X169" s="124">
        <f ca="1">Planet(P[[#This Row],[GMT Sun Rise]],10)</f>
        <v>104.31224601764779</v>
      </c>
      <c r="Y169" s="124">
        <f ca="1">SIGN(S170-P[[#This Row],[MARs]])</f>
        <v>1</v>
      </c>
    </row>
    <row r="170" spans="1:25" x14ac:dyDescent="0.2">
      <c r="A170" s="125">
        <f t="shared" ca="1" si="32"/>
        <v>43262</v>
      </c>
      <c r="B170" s="125">
        <f t="shared" ca="1" si="25"/>
        <v>43262.229166666664</v>
      </c>
      <c r="C170" s="127">
        <f t="shared" ca="1" si="26"/>
        <v>43262.238106297016</v>
      </c>
      <c r="D170" s="127">
        <f t="shared" ca="1" si="27"/>
        <v>43261.774523238695</v>
      </c>
      <c r="E170" s="189">
        <f ca="1">P[[#This Row],[SunRise]]-TimeZone/24</f>
        <v>43262.008939630352</v>
      </c>
      <c r="F170" s="190">
        <f t="shared" ca="1" si="28"/>
        <v>55.941495875055658</v>
      </c>
      <c r="G170" s="190">
        <f t="shared" ca="1" si="29"/>
        <v>17.556019848202737</v>
      </c>
      <c r="H170" s="191">
        <f t="shared" ca="1" si="30"/>
        <v>43262.008939630352</v>
      </c>
      <c r="I170" s="124" t="str">
        <f ca="1">naks(P[[#This Row],[Moon]])</f>
        <v>Bharani</v>
      </c>
      <c r="J170" s="127">
        <f ca="1">(C171-P[[#This Row],[SunRise]])/(G171-P[[#This Row],[Moon]])*(13.3333333333333-MOD(P[[#This Row],[Moon]],13.333333333333))+P[[#This Row],[SunRise]]</f>
        <v>43262.875401359925</v>
      </c>
      <c r="K170" s="124" t="str">
        <f ca="1">IF(P[[#This Row],[Tithi]]&gt;15,"K","S")&amp;ROUNDUP(MOD(P[[#This Row],[Tithi]],15),0)&amp;" ("&amp;ROUND(P[[#This Row],[Tithi]],2)&amp;")"</f>
        <v>K12 (26.8)</v>
      </c>
      <c r="L170" s="124">
        <f ca="1">IF(AND(P[[#This Row],[Tithi]]&lt;28.5,P[[#This Row],[Tithi]]&gt;0.49999),MOD((P[[#This Row],[Tithi]]-0.5)*2,7),MOD((P[[#This Row],[Tithi]]+30-28.5),30)*2+7)</f>
        <v>3.6026000000000025</v>
      </c>
      <c r="M170" s="124" t="str">
        <f ca="1">CHOOSE(ROUNDUP(P[[#This Row],[Karana1]],0),"Bhava","Baalava","Kaulava","Taitula","Garija","Vanija","Vishti","Shakuni","Chatushapda","Naaga","Kimstugna")</f>
        <v>Taitula</v>
      </c>
      <c r="N17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(5.52)</v>
      </c>
      <c r="O170" s="124">
        <f ca="1">IF(AND(P[[#This Row],[Tithi]]&lt;28.5,P[[#This Row],[Tithi]]&gt;0.49999),MOD((P[[#This Row],[Tithi]]-0.5)*2,7),MOD((P[[#This Row],[Tithi]]+30-28.5),30)*2+7)</f>
        <v>3.6026000000000025</v>
      </c>
      <c r="P170" s="124">
        <f ca="1">ROUNDUP(MOD(360+P[[#This Row],[Moon]]-P[[#This Row],[Sun]],360)/12,4)</f>
        <v>26.801300000000001</v>
      </c>
      <c r="Q170" s="124">
        <f t="shared" ca="1" si="31"/>
        <v>5.52</v>
      </c>
      <c r="R170" s="124" t="str">
        <f ca="1">SIGN(S171-P[[#This Row],[MARs]])*INT(P[[#This Row],[MARs]]/30+1)&amp;"Ma,"&amp;SIGN(T171-P[[#This Row],[Merc]])*INT(P[[#This Row],[Merc]]/30+1)&amp;"Me,"&amp;SIGN(U171-P[[#This Row],[Jup]])*INT(P[[#This Row],[Jup]]/30+1)&amp;"Ju,"&amp;SIGN(V171-P[[#This Row],[Venu]])*INT(P[[#This Row],[Venu]]/30+1)&amp;"Ve,"&amp;SIGN(W171-P[[#This Row],[Sat]])*INT(P[[#This Row],[Sat]]/30+1)&amp;"Sa,"&amp;INT(P[[#This Row],[Rah]]/30+1)&amp;"Ra"</f>
        <v>10Ma,3Me,-7Ju,4Ve,-9Sa,4Ra</v>
      </c>
      <c r="S170" s="124">
        <f ca="1">Planet(P[[#This Row],[GMT Sun Rise]],4)</f>
        <v>283.59935771577011</v>
      </c>
      <c r="T170" s="124">
        <f ca="1">Planet(P[[#This Row],[GMT Sun Rise]],2)</f>
        <v>61.998331596664237</v>
      </c>
      <c r="U170" s="124">
        <f ca="1">Planet(P[[#This Row],[GMT Sun Rise]],5)</f>
        <v>200.52916739319764</v>
      </c>
      <c r="V170" s="124">
        <f ca="1">Planet(P[[#This Row],[GMT Sun Rise]],3)</f>
        <v>92.493532410491653</v>
      </c>
      <c r="W170" s="124">
        <f ca="1">Planet(P[[#This Row],[GMT Sun Rise]],6)</f>
        <v>252.93562123481075</v>
      </c>
      <c r="X170" s="124">
        <f ca="1">Planet(P[[#This Row],[GMT Sun Rise]],10)</f>
        <v>104.25924981717462</v>
      </c>
      <c r="Y170" s="124">
        <f ca="1">SIGN(S171-P[[#This Row],[MARs]])</f>
        <v>1</v>
      </c>
    </row>
    <row r="171" spans="1:25" x14ac:dyDescent="0.2">
      <c r="A171" s="125">
        <f t="shared" ca="1" si="32"/>
        <v>43263</v>
      </c>
      <c r="B171" s="125">
        <f t="shared" ca="1" si="25"/>
        <v>43263.229166666664</v>
      </c>
      <c r="C171" s="127">
        <f t="shared" ca="1" si="26"/>
        <v>43263.238193558216</v>
      </c>
      <c r="D171" s="127">
        <f t="shared" ca="1" si="27"/>
        <v>43262.774722397371</v>
      </c>
      <c r="E171" s="189">
        <f ca="1">P[[#This Row],[SunRise]]-TimeZone/24</f>
        <v>43263.009026891552</v>
      </c>
      <c r="F171" s="190">
        <f t="shared" ca="1" si="28"/>
        <v>56.897814186292763</v>
      </c>
      <c r="G171" s="190">
        <f t="shared" ca="1" si="29"/>
        <v>31.853073685093012</v>
      </c>
      <c r="H171" s="191">
        <f t="shared" ca="1" si="30"/>
        <v>43263.009026891552</v>
      </c>
      <c r="I171" s="124" t="str">
        <f ca="1">naks(P[[#This Row],[Moon]])</f>
        <v>Krittika</v>
      </c>
      <c r="J171" s="127">
        <f ca="1">(C172-P[[#This Row],[SunRise]])/(G172-P[[#This Row],[Moon]])*(13.3333333333333-MOD(P[[#This Row],[Moon]],13.333333333333))+P[[#This Row],[SunRise]]</f>
        <v>43263.79366290263</v>
      </c>
      <c r="K171" s="124" t="str">
        <f ca="1">IF(P[[#This Row],[Tithi]]&gt;15,"K","S")&amp;ROUNDUP(MOD(P[[#This Row],[Tithi]],15),0)&amp;" ("&amp;ROUND(P[[#This Row],[Tithi]],2)&amp;")"</f>
        <v>K13 (27.91)</v>
      </c>
      <c r="L171" s="124">
        <f ca="1">IF(AND(P[[#This Row],[Tithi]]&lt;28.5,P[[#This Row],[Tithi]]&gt;0.49999),MOD((P[[#This Row],[Tithi]]-0.5)*2,7),MOD((P[[#This Row],[Tithi]]+30-28.5),30)*2+7)</f>
        <v>5.8260000000000005</v>
      </c>
      <c r="M171" s="124" t="str">
        <f ca="1">CHOOSE(ROUNDUP(P[[#This Row],[Karana1]],0),"Bhava","Baalava","Kaulava","Taitula","Garija","Vanija","Vishti","Shakuni","Chatushapda","Naaga","Kimstugna")</f>
        <v>Vanija</v>
      </c>
      <c r="N17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(6.66)</v>
      </c>
      <c r="O171" s="124">
        <f ca="1">IF(AND(P[[#This Row],[Tithi]]&lt;28.5,P[[#This Row],[Tithi]]&gt;0.49999),MOD((P[[#This Row],[Tithi]]-0.5)*2,7),MOD((P[[#This Row],[Tithi]]+30-28.5),30)*2+7)</f>
        <v>5.8260000000000005</v>
      </c>
      <c r="P171" s="124">
        <f ca="1">ROUNDUP(MOD(360+P[[#This Row],[Moon]]-P[[#This Row],[Sun]],360)/12,4)</f>
        <v>27.913</v>
      </c>
      <c r="Q171" s="124">
        <f t="shared" ca="1" si="31"/>
        <v>6.66</v>
      </c>
      <c r="R171" s="124" t="str">
        <f ca="1">SIGN(S172-P[[#This Row],[MARs]])*INT(P[[#This Row],[MARs]]/30+1)&amp;"Ma,"&amp;SIGN(T172-P[[#This Row],[Merc]])*INT(P[[#This Row],[Merc]]/30+1)&amp;"Me,"&amp;SIGN(U172-P[[#This Row],[Jup]])*INT(P[[#This Row],[Jup]]/30+1)&amp;"Ju,"&amp;SIGN(V172-P[[#This Row],[Venu]])*INT(P[[#This Row],[Venu]]/30+1)&amp;"Ve,"&amp;SIGN(W172-P[[#This Row],[Sat]])*INT(P[[#This Row],[Sat]]/30+1)&amp;"Sa,"&amp;INT(P[[#This Row],[Rah]]/30+1)&amp;"Ra"</f>
        <v>10Ma,3Me,-7Ju,4Ve,-9Sa,4Ra</v>
      </c>
      <c r="S171" s="124">
        <f ca="1">Planet(P[[#This Row],[GMT Sun Rise]],4)</f>
        <v>283.77929799796914</v>
      </c>
      <c r="T171" s="124">
        <f ca="1">Planet(P[[#This Row],[GMT Sun Rise]],2)</f>
        <v>64.141329693484352</v>
      </c>
      <c r="U171" s="124">
        <f ca="1">Planet(P[[#This Row],[GMT Sun Rise]],5)</f>
        <v>200.44594402452239</v>
      </c>
      <c r="V171" s="124">
        <f ca="1">Planet(P[[#This Row],[GMT Sun Rise]],3)</f>
        <v>93.664374568041254</v>
      </c>
      <c r="W171" s="124">
        <f ca="1">Planet(P[[#This Row],[GMT Sun Rise]],6)</f>
        <v>252.86665156815997</v>
      </c>
      <c r="X171" s="124">
        <f ca="1">Planet(P[[#This Row],[GMT Sun Rise]],10)</f>
        <v>104.20625319554171</v>
      </c>
      <c r="Y171" s="124">
        <f ca="1">SIGN(S172-P[[#This Row],[MARs]])</f>
        <v>1</v>
      </c>
    </row>
    <row r="172" spans="1:25" x14ac:dyDescent="0.2">
      <c r="A172" s="125">
        <f t="shared" ca="1" si="32"/>
        <v>43264</v>
      </c>
      <c r="B172" s="125">
        <f t="shared" ca="1" si="25"/>
        <v>43264.229166666664</v>
      </c>
      <c r="C172" s="127">
        <f t="shared" ca="1" si="26"/>
        <v>43264.238288607601</v>
      </c>
      <c r="D172" s="127">
        <f t="shared" ca="1" si="27"/>
        <v>43263.774918536699</v>
      </c>
      <c r="E172" s="189">
        <f ca="1">P[[#This Row],[SunRise]]-TimeZone/24</f>
        <v>43264.009121940937</v>
      </c>
      <c r="F172" s="190">
        <f t="shared" ca="1" si="28"/>
        <v>57.853972764209558</v>
      </c>
      <c r="G172" s="190">
        <f t="shared" ca="1" si="29"/>
        <v>46.521211102878766</v>
      </c>
      <c r="H172" s="191">
        <f t="shared" ca="1" si="30"/>
        <v>43264.009121940937</v>
      </c>
      <c r="I172" s="124" t="str">
        <f ca="1">naks(P[[#This Row],[Moon]])</f>
        <v>Rohini</v>
      </c>
      <c r="J172" s="127">
        <f ca="1">(C173-P[[#This Row],[SunRise]])/(G173-P[[#This Row],[Moon]])*(13.3333333333333-MOD(P[[#This Row],[Moon]],13.333333333333))+P[[#This Row],[SunRise]]</f>
        <v>43264.694802683669</v>
      </c>
      <c r="K172" s="124" t="str">
        <f ca="1">IF(P[[#This Row],[Tithi]]&gt;15,"K","S")&amp;ROUNDUP(MOD(P[[#This Row],[Tithi]],15),0)&amp;" ("&amp;ROUND(P[[#This Row],[Tithi]],2)&amp;")"</f>
        <v>K15 (29.06)</v>
      </c>
      <c r="L172" s="124">
        <f ca="1">IF(AND(P[[#This Row],[Tithi]]&lt;28.5,P[[#This Row],[Tithi]]&gt;0.49999),MOD((P[[#This Row],[Tithi]]-0.5)*2,7),MOD((P[[#This Row],[Tithi]]+30-28.5),30)*2+7)</f>
        <v>8.1114000000000033</v>
      </c>
      <c r="M172" s="124" t="str">
        <f ca="1">CHOOSE(ROUNDUP(P[[#This Row],[Karana1]],0),"Bhava","Baalava","Kaulava","Taitula","Garija","Vanija","Vishti","Shakuni","Chatushapda","Naaga","Kimstugna")</f>
        <v>Chatushapda</v>
      </c>
      <c r="N17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(7.83)</v>
      </c>
      <c r="O172" s="124">
        <f ca="1">IF(AND(P[[#This Row],[Tithi]]&lt;28.5,P[[#This Row],[Tithi]]&gt;0.49999),MOD((P[[#This Row],[Tithi]]-0.5)*2,7),MOD((P[[#This Row],[Tithi]]+30-28.5),30)*2+7)</f>
        <v>8.1114000000000033</v>
      </c>
      <c r="P172" s="124">
        <f ca="1">ROUNDUP(MOD(360+P[[#This Row],[Moon]]-P[[#This Row],[Sun]],360)/12,4)</f>
        <v>29.055699999999998</v>
      </c>
      <c r="Q172" s="124">
        <f t="shared" ca="1" si="31"/>
        <v>7.83</v>
      </c>
      <c r="R172" s="124" t="str">
        <f ca="1">SIGN(S173-P[[#This Row],[MARs]])*INT(P[[#This Row],[MARs]]/30+1)&amp;"Ma,"&amp;SIGN(T173-P[[#This Row],[Merc]])*INT(P[[#This Row],[Merc]]/30+1)&amp;"Me,"&amp;SIGN(U173-P[[#This Row],[Jup]])*INT(P[[#This Row],[Jup]]/30+1)&amp;"Ju,"&amp;SIGN(V173-P[[#This Row],[Venu]])*INT(P[[#This Row],[Venu]]/30+1)&amp;"Ve,"&amp;SIGN(W173-P[[#This Row],[Sat]])*INT(P[[#This Row],[Sat]]/30+1)&amp;"Sa,"&amp;INT(P[[#This Row],[Rah]]/30+1)&amp;"Ra"</f>
        <v>10Ma,3Me,-7Ju,4Ve,-9Sa,4Ra</v>
      </c>
      <c r="S172" s="124">
        <f ca="1">Planet(P[[#This Row],[GMT Sun Rise]],4)</f>
        <v>283.94843943877021</v>
      </c>
      <c r="T172" s="124">
        <f ca="1">Planet(P[[#This Row],[GMT Sun Rise]],2)</f>
        <v>66.260876603310777</v>
      </c>
      <c r="U172" s="124">
        <f ca="1">Planet(P[[#This Row],[GMT Sun Rise]],5)</f>
        <v>200.36517866350442</v>
      </c>
      <c r="V172" s="124">
        <f ca="1">Planet(P[[#This Row],[GMT Sun Rise]],3)</f>
        <v>94.833933197893273</v>
      </c>
      <c r="W172" s="124">
        <f ca="1">Planet(P[[#This Row],[GMT Sun Rise]],6)</f>
        <v>252.79710433209922</v>
      </c>
      <c r="X172" s="124">
        <f ca="1">Planet(P[[#This Row],[GMT Sun Rise]],10)</f>
        <v>104.15325616119931</v>
      </c>
      <c r="Y172" s="124">
        <f ca="1">SIGN(S173-P[[#This Row],[MARs]])</f>
        <v>1</v>
      </c>
    </row>
    <row r="173" spans="1:25" x14ac:dyDescent="0.2">
      <c r="A173" s="125">
        <f t="shared" ca="1" si="32"/>
        <v>43265</v>
      </c>
      <c r="B173" s="125">
        <f t="shared" ca="1" si="25"/>
        <v>43265.229166666664</v>
      </c>
      <c r="C173" s="127">
        <f t="shared" ca="1" si="26"/>
        <v>43265.23839112759</v>
      </c>
      <c r="D173" s="127">
        <f t="shared" ca="1" si="27"/>
        <v>43264.775111337702</v>
      </c>
      <c r="E173" s="189">
        <f ca="1">P[[#This Row],[SunRise]]-TimeZone/24</f>
        <v>43265.009224460926</v>
      </c>
      <c r="F173" s="190">
        <f t="shared" ca="1" si="28"/>
        <v>58.8099601099875</v>
      </c>
      <c r="G173" s="190">
        <f t="shared" ca="1" si="29"/>
        <v>61.444782940543405</v>
      </c>
      <c r="H173" s="191">
        <f t="shared" ca="1" si="30"/>
        <v>43265.009224460926</v>
      </c>
      <c r="I173" s="124" t="str">
        <f ca="1">naks(P[[#This Row],[Moon]])</f>
        <v>Mrigashira</v>
      </c>
      <c r="J173" s="127">
        <f ca="1">(C174-P[[#This Row],[SunRise]])/(G174-P[[#This Row],[Moon]])*(13.3333333333333-MOD(P[[#This Row],[Moon]],13.333333333333))+P[[#This Row],[SunRise]]</f>
        <v>43265.58575637795</v>
      </c>
      <c r="K173" s="124" t="str">
        <f ca="1">IF(P[[#This Row],[Tithi]]&gt;15,"K","S")&amp;ROUNDUP(MOD(P[[#This Row],[Tithi]],15),0)&amp;" ("&amp;ROUND(P[[#This Row],[Tithi]],2)&amp;")"</f>
        <v>S1 (0.22)</v>
      </c>
      <c r="L173" s="124">
        <f ca="1">IF(AND(P[[#This Row],[Tithi]]&lt;28.5,P[[#This Row],[Tithi]]&gt;0.49999),MOD((P[[#This Row],[Tithi]]-0.5)*2,7),MOD((P[[#This Row],[Tithi]]+30-28.5),30)*2+7)</f>
        <v>10.4392</v>
      </c>
      <c r="M173" s="124" t="str">
        <f ca="1">CHOOSE(ROUNDUP(P[[#This Row],[Karana1]],0),"Bhava","Baalava","Kaulava","Taitula","Garija","Vanija","Vishti","Shakuni","Chatushapda","Naaga","Kimstugna")</f>
        <v>Kimstugna</v>
      </c>
      <c r="N17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(9.02)</v>
      </c>
      <c r="O173" s="124">
        <f ca="1">IF(AND(P[[#This Row],[Tithi]]&lt;28.5,P[[#This Row],[Tithi]]&gt;0.49999),MOD((P[[#This Row],[Tithi]]-0.5)*2,7),MOD((P[[#This Row],[Tithi]]+30-28.5),30)*2+7)</f>
        <v>10.4392</v>
      </c>
      <c r="P173" s="124">
        <f ca="1">ROUNDUP(MOD(360+P[[#This Row],[Moon]]-P[[#This Row],[Sun]],360)/12,4)</f>
        <v>0.21959999999999999</v>
      </c>
      <c r="Q173" s="124">
        <f t="shared" ca="1" si="31"/>
        <v>9.02</v>
      </c>
      <c r="R173" s="124" t="str">
        <f ca="1">SIGN(S174-P[[#This Row],[MARs]])*INT(P[[#This Row],[MARs]]/30+1)&amp;"Ma,"&amp;SIGN(T174-P[[#This Row],[Merc]])*INT(P[[#This Row],[Merc]]/30+1)&amp;"Me,"&amp;SIGN(U174-P[[#This Row],[Jup]])*INT(P[[#This Row],[Jup]]/30+1)&amp;"Ju,"&amp;SIGN(V174-P[[#This Row],[Venu]])*INT(P[[#This Row],[Venu]]/30+1)&amp;"Ve,"&amp;SIGN(W174-P[[#This Row],[Sat]])*INT(P[[#This Row],[Sat]]/30+1)&amp;"Sa,"&amp;INT(P[[#This Row],[Rah]]/30+1)&amp;"Ra"</f>
        <v>10Ma,3Me,-7Ju,4Ve,-9Sa,4Ra</v>
      </c>
      <c r="S173" s="124">
        <f ca="1">Planet(P[[#This Row],[GMT Sun Rise]],4)</f>
        <v>284.10660526590533</v>
      </c>
      <c r="T173" s="124">
        <f ca="1">Planet(P[[#This Row],[GMT Sun Rise]],2)</f>
        <v>68.353962355196884</v>
      </c>
      <c r="U173" s="124">
        <f ca="1">Planet(P[[#This Row],[GMT Sun Rise]],5)</f>
        <v>200.2869218154637</v>
      </c>
      <c r="V173" s="124">
        <f ca="1">Planet(P[[#This Row],[GMT Sun Rise]],3)</f>
        <v>96.002176063053284</v>
      </c>
      <c r="W173" s="124">
        <f ca="1">Planet(P[[#This Row],[GMT Sun Rise]],6)</f>
        <v>252.72701669302506</v>
      </c>
      <c r="X173" s="124">
        <f ca="1">Planet(P[[#This Row],[GMT Sun Rise]],10)</f>
        <v>104.10025873098115</v>
      </c>
      <c r="Y173" s="124">
        <f ca="1">SIGN(S174-P[[#This Row],[MARs]])</f>
        <v>1</v>
      </c>
    </row>
    <row r="174" spans="1:25" x14ac:dyDescent="0.2">
      <c r="A174" s="125">
        <f t="shared" ca="1" si="32"/>
        <v>43266</v>
      </c>
      <c r="B174" s="125">
        <f t="shared" ca="1" si="25"/>
        <v>43266.229166666664</v>
      </c>
      <c r="C174" s="127">
        <f t="shared" ca="1" si="26"/>
        <v>43266.238500959393</v>
      </c>
      <c r="D174" s="127">
        <f t="shared" ca="1" si="27"/>
        <v>43265.775300483263</v>
      </c>
      <c r="E174" s="189">
        <f ca="1">P[[#This Row],[SunRise]]-TimeZone/24</f>
        <v>43266.009334292728</v>
      </c>
      <c r="F174" s="190">
        <f t="shared" ca="1" si="28"/>
        <v>59.765762473601676</v>
      </c>
      <c r="G174" s="190">
        <f t="shared" ca="1" si="29"/>
        <v>76.479266814844763</v>
      </c>
      <c r="H174" s="191">
        <f t="shared" ca="1" si="30"/>
        <v>43266.009334292728</v>
      </c>
      <c r="I174" s="124" t="str">
        <f ca="1">naks(P[[#This Row],[Moon]])</f>
        <v>Ardra</v>
      </c>
      <c r="J174" s="127">
        <f ca="1">(C175-P[[#This Row],[SunRise]])/(G175-P[[#This Row],[Moon]])*(13.3333333333333-MOD(P[[#This Row],[Moon]],13.333333333333))+P[[#This Row],[SunRise]]</f>
        <v>43266.473319734476</v>
      </c>
      <c r="K174" s="124" t="str">
        <f ca="1">IF(P[[#This Row],[Tithi]]&gt;15,"K","S")&amp;ROUNDUP(MOD(P[[#This Row],[Tithi]],15),0)&amp;" ("&amp;ROUND(P[[#This Row],[Tithi]],2)&amp;")"</f>
        <v>S2 (1.39)</v>
      </c>
      <c r="L174" s="124">
        <f ca="1">IF(AND(P[[#This Row],[Tithi]]&lt;28.5,P[[#This Row],[Tithi]]&gt;0.49999),MOD((P[[#This Row],[Tithi]]-0.5)*2,7),MOD((P[[#This Row],[Tithi]]+30-28.5),30)*2+7)</f>
        <v>1.7856000000000001</v>
      </c>
      <c r="M174" s="124" t="str">
        <f ca="1">CHOOSE(ROUNDUP(P[[#This Row],[Karana1]],0),"Bhava","Baalava","Kaulava","Taitula","Garija","Vanija","Vishti","Shakuni","Chatushapda","Naaga","Kimstugna")</f>
        <v>Baalava</v>
      </c>
      <c r="N17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(10.22)</v>
      </c>
      <c r="O174" s="124">
        <f ca="1">IF(AND(P[[#This Row],[Tithi]]&lt;28.5,P[[#This Row],[Tithi]]&gt;0.49999),MOD((P[[#This Row],[Tithi]]-0.5)*2,7),MOD((P[[#This Row],[Tithi]]+30-28.5),30)*2+7)</f>
        <v>1.7856000000000001</v>
      </c>
      <c r="P174" s="124">
        <f ca="1">ROUNDUP(MOD(360+P[[#This Row],[Moon]]-P[[#This Row],[Sun]],360)/12,4)</f>
        <v>1.3928</v>
      </c>
      <c r="Q174" s="124">
        <f t="shared" ca="1" si="31"/>
        <v>10.220000000000001</v>
      </c>
      <c r="R174" s="124" t="str">
        <f ca="1">SIGN(S175-P[[#This Row],[MARs]])*INT(P[[#This Row],[MARs]]/30+1)&amp;"Ma,"&amp;SIGN(T175-P[[#This Row],[Merc]])*INT(P[[#This Row],[Merc]]/30+1)&amp;"Me,"&amp;SIGN(U175-P[[#This Row],[Jup]])*INT(P[[#This Row],[Jup]]/30+1)&amp;"Ju,"&amp;SIGN(V175-P[[#This Row],[Venu]])*INT(P[[#This Row],[Venu]]/30+1)&amp;"Ve,"&amp;SIGN(W175-P[[#This Row],[Sat]])*INT(P[[#This Row],[Sat]]/30+1)&amp;"Sa,"&amp;INT(P[[#This Row],[Rah]]/30+1)&amp;"Ra"</f>
        <v>10Ma,3Me,-7Ju,4Ve,-9Sa,4Ra</v>
      </c>
      <c r="S174" s="124">
        <f ca="1">Planet(P[[#This Row],[GMT Sun Rise]],4)</f>
        <v>284.25363639839571</v>
      </c>
      <c r="T174" s="124">
        <f ca="1">Planet(P[[#This Row],[GMT Sun Rise]],2)</f>
        <v>70.417997464888415</v>
      </c>
      <c r="U174" s="124">
        <f ca="1">Planet(P[[#This Row],[GMT Sun Rise]],5)</f>
        <v>200.2112215178482</v>
      </c>
      <c r="V174" s="124">
        <f ca="1">Planet(P[[#This Row],[GMT Sun Rise]],3)</f>
        <v>97.16906586626574</v>
      </c>
      <c r="W174" s="124">
        <f ca="1">Planet(P[[#This Row],[GMT Sun Rise]],6)</f>
        <v>252.65642666675421</v>
      </c>
      <c r="X174" s="124">
        <f ca="1">Planet(P[[#This Row],[GMT Sun Rise]],10)</f>
        <v>104.04726091330437</v>
      </c>
      <c r="Y174" s="124">
        <f ca="1">SIGN(S175-P[[#This Row],[MARs]])</f>
        <v>1</v>
      </c>
    </row>
    <row r="175" spans="1:25" x14ac:dyDescent="0.2">
      <c r="A175" s="125">
        <f t="shared" ca="1" si="32"/>
        <v>43267</v>
      </c>
      <c r="B175" s="125">
        <f t="shared" ca="1" si="25"/>
        <v>43267.229166666664</v>
      </c>
      <c r="C175" s="127">
        <f t="shared" ca="1" si="26"/>
        <v>43267.23861746645</v>
      </c>
      <c r="D175" s="127">
        <f t="shared" ca="1" si="27"/>
        <v>43266.77548549608</v>
      </c>
      <c r="E175" s="189">
        <f ca="1">P[[#This Row],[SunRise]]-TimeZone/24</f>
        <v>43267.009450799786</v>
      </c>
      <c r="F175" s="190">
        <f t="shared" ca="1" si="28"/>
        <v>60.721365225941462</v>
      </c>
      <c r="G175" s="190">
        <f t="shared" ca="1" si="29"/>
        <v>91.474419456363236</v>
      </c>
      <c r="H175" s="191">
        <f t="shared" ca="1" si="30"/>
        <v>43267.009450799786</v>
      </c>
      <c r="I175" s="124" t="str">
        <f ca="1">naks(P[[#This Row],[Moon]])</f>
        <v>Punarvasu</v>
      </c>
      <c r="J175" s="127">
        <f ca="1">(C176-P[[#This Row],[SunRise]])/(G176-P[[#This Row],[Moon]])*(13.3333333333333-MOD(P[[#This Row],[Moon]],13.333333333333))+P[[#This Row],[SunRise]]</f>
        <v>43267.364038163054</v>
      </c>
      <c r="K175" s="124" t="str">
        <f ca="1">IF(P[[#This Row],[Tithi]]&gt;15,"K","S")&amp;ROUNDUP(MOD(P[[#This Row],[Tithi]],15),0)&amp;" ("&amp;ROUND(P[[#This Row],[Tithi]],2)&amp;")"</f>
        <v>S3 (2.56)</v>
      </c>
      <c r="L175" s="124">
        <f ca="1">IF(AND(P[[#This Row],[Tithi]]&lt;28.5,P[[#This Row],[Tithi]]&gt;0.49999),MOD((P[[#This Row],[Tithi]]-0.5)*2,7),MOD((P[[#This Row],[Tithi]]+30-28.5),30)*2+7)</f>
        <v>4.1256000000000004</v>
      </c>
      <c r="M175" s="124" t="str">
        <f ca="1">CHOOSE(ROUNDUP(P[[#This Row],[Karana1]],0),"Bhava","Baalava","Kaulava","Taitula","Garija","Vanija","Vishti","Shakuni","Chatushapda","Naaga","Kimstugna")</f>
        <v>Garija</v>
      </c>
      <c r="N17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(11.42)</v>
      </c>
      <c r="O175" s="124">
        <f ca="1">IF(AND(P[[#This Row],[Tithi]]&lt;28.5,P[[#This Row],[Tithi]]&gt;0.49999),MOD((P[[#This Row],[Tithi]]-0.5)*2,7),MOD((P[[#This Row],[Tithi]]+30-28.5),30)*2+7)</f>
        <v>4.1256000000000004</v>
      </c>
      <c r="P175" s="124">
        <f ca="1">ROUNDUP(MOD(360+P[[#This Row],[Moon]]-P[[#This Row],[Sun]],360)/12,4)</f>
        <v>2.5628000000000002</v>
      </c>
      <c r="Q175" s="124">
        <f t="shared" ca="1" si="31"/>
        <v>11.42</v>
      </c>
      <c r="R175" s="124" t="str">
        <f ca="1">SIGN(S176-P[[#This Row],[MARs]])*INT(P[[#This Row],[MARs]]/30+1)&amp;"Ma,"&amp;SIGN(T176-P[[#This Row],[Merc]])*INT(P[[#This Row],[Merc]]/30+1)&amp;"Me,"&amp;SIGN(U176-P[[#This Row],[Jup]])*INT(P[[#This Row],[Jup]]/30+1)&amp;"Ju,"&amp;SIGN(V176-P[[#This Row],[Venu]])*INT(P[[#This Row],[Venu]]/30+1)&amp;"Ve,"&amp;SIGN(W176-P[[#This Row],[Sat]])*INT(P[[#This Row],[Sat]]/30+1)&amp;"Sa,"&amp;INT(P[[#This Row],[Rah]]/30+1)&amp;"Ra"</f>
        <v>10Ma,3Me,-7Ju,4Ve,-9Sa,4Ra</v>
      </c>
      <c r="S175" s="124">
        <f ca="1">Planet(P[[#This Row],[GMT Sun Rise]],4)</f>
        <v>284.38939096086477</v>
      </c>
      <c r="T175" s="124">
        <f ca="1">Planet(P[[#This Row],[GMT Sun Rise]],2)</f>
        <v>72.450802165967886</v>
      </c>
      <c r="U175" s="124">
        <f ca="1">Planet(P[[#This Row],[GMT Sun Rise]],5)</f>
        <v>200.13812280206093</v>
      </c>
      <c r="V175" s="124">
        <f ca="1">Planet(P[[#This Row],[GMT Sun Rise]],3)</f>
        <v>98.334560200885861</v>
      </c>
      <c r="W175" s="124">
        <f ca="1">Planet(P[[#This Row],[GMT Sun Rise]],6)</f>
        <v>252.58537289556784</v>
      </c>
      <c r="X175" s="124">
        <f ca="1">Planet(P[[#This Row],[GMT Sun Rise]],10)</f>
        <v>103.99426274190292</v>
      </c>
      <c r="Y175" s="124">
        <f ca="1">SIGN(S176-P[[#This Row],[MARs]])</f>
        <v>1</v>
      </c>
    </row>
    <row r="176" spans="1:25" x14ac:dyDescent="0.2">
      <c r="A176" s="125">
        <f t="shared" ca="1" si="32"/>
        <v>43268</v>
      </c>
      <c r="B176" s="125">
        <f t="shared" ca="1" si="25"/>
        <v>43268.229166666664</v>
      </c>
      <c r="C176" s="127">
        <f t="shared" ca="1" si="26"/>
        <v>43268.238740490437</v>
      </c>
      <c r="D176" s="127">
        <f t="shared" ca="1" si="27"/>
        <v>43267.775665899317</v>
      </c>
      <c r="E176" s="189">
        <f ca="1">P[[#This Row],[SunRise]]-TimeZone/24</f>
        <v>43268.009573823772</v>
      </c>
      <c r="F176" s="190">
        <f t="shared" ca="1" si="28"/>
        <v>61.676756053289019</v>
      </c>
      <c r="G176" s="190">
        <f t="shared" ca="1" si="29"/>
        <v>106.29767126668551</v>
      </c>
      <c r="H176" s="191">
        <f t="shared" ca="1" si="30"/>
        <v>43268.009573823772</v>
      </c>
      <c r="I176" s="124" t="str">
        <f ca="1">naks(P[[#This Row],[Moon]])</f>
        <v>Pushya</v>
      </c>
      <c r="J176" s="127">
        <f ca="1">(C177-P[[#This Row],[SunRise]])/(G177-P[[#This Row],[Moon]])*(13.3333333333333-MOD(P[[#This Row],[Moon]],13.333333333333))+P[[#This Row],[SunRise]]</f>
        <v>43268.264099458574</v>
      </c>
      <c r="K176" s="124" t="str">
        <f ca="1">IF(P[[#This Row],[Tithi]]&gt;15,"K","S")&amp;ROUNDUP(MOD(P[[#This Row],[Tithi]],15),0)&amp;" ("&amp;ROUND(P[[#This Row],[Tithi]],2)&amp;")"</f>
        <v>S4 (3.72)</v>
      </c>
      <c r="L176" s="124">
        <f ca="1">IF(AND(P[[#This Row],[Tithi]]&lt;28.5,P[[#This Row],[Tithi]]&gt;0.49999),MOD((P[[#This Row],[Tithi]]-0.5)*2,7),MOD((P[[#This Row],[Tithi]]+30-28.5),30)*2+7)</f>
        <v>6.4370000000000003</v>
      </c>
      <c r="M176" s="124" t="str">
        <f ca="1">CHOOSE(ROUNDUP(P[[#This Row],[Karana1]],0),"Bhava","Baalava","Kaulava","Taitula","Garija","Vanija","Vishti","Shakuni","Chatushapda","Naaga","Kimstugna")</f>
        <v>Vishti</v>
      </c>
      <c r="N17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(12.6)</v>
      </c>
      <c r="O176" s="124">
        <f ca="1">IF(AND(P[[#This Row],[Tithi]]&lt;28.5,P[[#This Row],[Tithi]]&gt;0.49999),MOD((P[[#This Row],[Tithi]]-0.5)*2,7),MOD((P[[#This Row],[Tithi]]+30-28.5),30)*2+7)</f>
        <v>6.4370000000000003</v>
      </c>
      <c r="P176" s="124">
        <f ca="1">ROUNDUP(MOD(360+P[[#This Row],[Moon]]-P[[#This Row],[Sun]],360)/12,4)</f>
        <v>3.7185000000000001</v>
      </c>
      <c r="Q176" s="124">
        <f t="shared" ca="1" si="31"/>
        <v>12.6</v>
      </c>
      <c r="R176" s="124" t="str">
        <f ca="1">SIGN(S177-P[[#This Row],[MARs]])*INT(P[[#This Row],[MARs]]/30+1)&amp;"Ma,"&amp;SIGN(T177-P[[#This Row],[Merc]])*INT(P[[#This Row],[Merc]]/30+1)&amp;"Me,"&amp;SIGN(U177-P[[#This Row],[Jup]])*INT(P[[#This Row],[Jup]]/30+1)&amp;"Ju,"&amp;SIGN(V177-P[[#This Row],[Venu]])*INT(P[[#This Row],[Venu]]/30+1)&amp;"Ve,"&amp;SIGN(W177-P[[#This Row],[Sat]])*INT(P[[#This Row],[Sat]]/30+1)&amp;"Sa,"&amp;INT(P[[#This Row],[Rah]]/30+1)&amp;"Ra"</f>
        <v>10Ma,3Me,-7Ju,4Ve,-9Sa,4Ra</v>
      </c>
      <c r="S176" s="124">
        <f ca="1">Planet(P[[#This Row],[GMT Sun Rise]],4)</f>
        <v>284.5137418497934</v>
      </c>
      <c r="T176" s="124">
        <f ca="1">Planet(P[[#This Row],[GMT Sun Rise]],2)</f>
        <v>74.450584198697001</v>
      </c>
      <c r="U176" s="124">
        <f ca="1">Planet(P[[#This Row],[GMT Sun Rise]],5)</f>
        <v>200.06766715458443</v>
      </c>
      <c r="V176" s="124">
        <f ca="1">Planet(P[[#This Row],[GMT Sun Rise]],3)</f>
        <v>99.498614077228936</v>
      </c>
      <c r="W176" s="124">
        <f ca="1">Planet(P[[#This Row],[GMT Sun Rise]],6)</f>
        <v>252.51389423572363</v>
      </c>
      <c r="X176" s="124">
        <f ca="1">Planet(P[[#This Row],[GMT Sun Rise]],10)</f>
        <v>103.94126422512757</v>
      </c>
      <c r="Y176" s="124">
        <f ca="1">SIGN(S177-P[[#This Row],[MARs]])</f>
        <v>1</v>
      </c>
    </row>
    <row r="177" spans="1:25" x14ac:dyDescent="0.2">
      <c r="A177" s="125">
        <f t="shared" ca="1" si="32"/>
        <v>43269</v>
      </c>
      <c r="B177" s="125">
        <f t="shared" ca="1" si="25"/>
        <v>43269.229166666664</v>
      </c>
      <c r="C177" s="127">
        <f t="shared" ca="1" si="26"/>
        <v>43269.238869872097</v>
      </c>
      <c r="D177" s="127">
        <f t="shared" ca="1" si="27"/>
        <v>43268.775841534181</v>
      </c>
      <c r="E177" s="189">
        <f ca="1">P[[#This Row],[SunRise]]-TimeZone/24</f>
        <v>43269.009703205433</v>
      </c>
      <c r="F177" s="190">
        <f t="shared" ca="1" si="28"/>
        <v>62.631926516289397</v>
      </c>
      <c r="G177" s="190">
        <f t="shared" ca="1" si="29"/>
        <v>120.85043773780168</v>
      </c>
      <c r="H177" s="191">
        <f t="shared" ca="1" si="30"/>
        <v>43269.009703205433</v>
      </c>
      <c r="I177" s="124" t="str">
        <f ca="1">naks(P[[#This Row],[Moon]])</f>
        <v>Makha</v>
      </c>
      <c r="J177" s="127">
        <f ca="1">(C178-P[[#This Row],[SunRise]])/(G178-P[[#This Row],[Moon]])*(13.3333333333333-MOD(P[[#This Row],[Moon]],13.333333333333))+P[[#This Row],[SunRise]]</f>
        <v>43270.116608103897</v>
      </c>
      <c r="K177" s="124" t="str">
        <f ca="1">IF(P[[#This Row],[Tithi]]&gt;15,"K","S")&amp;ROUNDUP(MOD(P[[#This Row],[Tithi]],15),0)&amp;" ("&amp;ROUND(P[[#This Row],[Tithi]],2)&amp;")"</f>
        <v>S5 (4.85)</v>
      </c>
      <c r="L177" s="124">
        <f ca="1">IF(AND(P[[#This Row],[Tithi]]&lt;28.5,P[[#This Row],[Tithi]]&gt;0.49999),MOD((P[[#This Row],[Tithi]]-0.5)*2,7),MOD((P[[#This Row],[Tithi]]+30-28.5),30)*2+7)</f>
        <v>1.7031999999999989</v>
      </c>
      <c r="M177" s="124" t="str">
        <f ca="1">CHOOSE(ROUNDUP(P[[#This Row],[Karana1]],0),"Bhava","Baalava","Kaulava","Taitula","Garija","Vanija","Vishti","Shakuni","Chatushapda","Naaga","Kimstugna")</f>
        <v>Baalava</v>
      </c>
      <c r="N17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(13.77)</v>
      </c>
      <c r="O177" s="124">
        <f ca="1">IF(AND(P[[#This Row],[Tithi]]&lt;28.5,P[[#This Row],[Tithi]]&gt;0.49999),MOD((P[[#This Row],[Tithi]]-0.5)*2,7),MOD((P[[#This Row],[Tithi]]+30-28.5),30)*2+7)</f>
        <v>1.7031999999999989</v>
      </c>
      <c r="P177" s="124">
        <f ca="1">ROUNDUP(MOD(360+P[[#This Row],[Moon]]-P[[#This Row],[Sun]],360)/12,4)</f>
        <v>4.8515999999999995</v>
      </c>
      <c r="Q177" s="124">
        <f t="shared" ca="1" si="31"/>
        <v>13.77</v>
      </c>
      <c r="R177" s="124" t="str">
        <f ca="1">SIGN(S178-P[[#This Row],[MARs]])*INT(P[[#This Row],[MARs]]/30+1)&amp;"Ma,"&amp;SIGN(T178-P[[#This Row],[Merc]])*INT(P[[#This Row],[Merc]]/30+1)&amp;"Me,"&amp;SIGN(U178-P[[#This Row],[Jup]])*INT(P[[#This Row],[Jup]]/30+1)&amp;"Ju,"&amp;SIGN(V178-P[[#This Row],[Venu]])*INT(P[[#This Row],[Venu]]/30+1)&amp;"Ve,"&amp;SIGN(W178-P[[#This Row],[Sat]])*INT(P[[#This Row],[Sat]]/30+1)&amp;"Sa,"&amp;INT(P[[#This Row],[Rah]]/30+1)&amp;"Ra"</f>
        <v>10Ma,3Me,-7Ju,4Ve,-9Sa,4Ra</v>
      </c>
      <c r="S177" s="124">
        <f ca="1">Planet(P[[#This Row],[GMT Sun Rise]],4)</f>
        <v>284.62657259455216</v>
      </c>
      <c r="T177" s="124">
        <f ca="1">Planet(P[[#This Row],[GMT Sun Rise]],2)</f>
        <v>76.41590293867047</v>
      </c>
      <c r="U177" s="124">
        <f ca="1">Planet(P[[#This Row],[GMT Sun Rise]],5)</f>
        <v>199.99989233399214</v>
      </c>
      <c r="V177" s="124">
        <f ca="1">Planet(P[[#This Row],[GMT Sun Rise]],3)</f>
        <v>100.66118117186339</v>
      </c>
      <c r="W177" s="124">
        <f ca="1">Planet(P[[#This Row],[GMT Sun Rise]],6)</f>
        <v>252.4420294490771</v>
      </c>
      <c r="X177" s="124">
        <f ca="1">Planet(P[[#This Row],[GMT Sun Rise]],10)</f>
        <v>103.88826537147797</v>
      </c>
      <c r="Y177" s="124">
        <f ca="1">SIGN(S178-P[[#This Row],[MARs]])</f>
        <v>1</v>
      </c>
    </row>
    <row r="178" spans="1:25" x14ac:dyDescent="0.2">
      <c r="A178" s="125">
        <f t="shared" ca="1" si="32"/>
        <v>43270</v>
      </c>
      <c r="B178" s="125">
        <f t="shared" ca="1" si="25"/>
        <v>43270.229166666664</v>
      </c>
      <c r="C178" s="127">
        <f t="shared" ca="1" si="26"/>
        <v>43270.239005135059</v>
      </c>
      <c r="D178" s="127">
        <f t="shared" ca="1" si="27"/>
        <v>43269.776012083094</v>
      </c>
      <c r="E178" s="189">
        <f ca="1">P[[#This Row],[SunRise]]-TimeZone/24</f>
        <v>43270.009838468395</v>
      </c>
      <c r="F178" s="190">
        <f t="shared" ca="1" si="28"/>
        <v>63.586873014199135</v>
      </c>
      <c r="G178" s="190">
        <f t="shared" ca="1" si="29"/>
        <v>135.07402242014612</v>
      </c>
      <c r="H178" s="191">
        <f t="shared" ca="1" si="30"/>
        <v>43270.009838468395</v>
      </c>
      <c r="I178" s="124" t="str">
        <f ca="1">naks(P[[#This Row],[Moon]])</f>
        <v>Purva Phalguni</v>
      </c>
      <c r="J178" s="127">
        <f ca="1">(C179-P[[#This Row],[SunRise]])/(G179-P[[#This Row],[Moon]])*(13.3333333333333-MOD(P[[#This Row],[Moon]],13.333333333333))+P[[#This Row],[SunRise]]</f>
        <v>43271.074785416902</v>
      </c>
      <c r="K178" s="124" t="str">
        <f ca="1">IF(P[[#This Row],[Tithi]]&gt;15,"K","S")&amp;ROUNDUP(MOD(P[[#This Row],[Tithi]],15),0)&amp;" ("&amp;ROUND(P[[#This Row],[Tithi]],2)&amp;")"</f>
        <v>S6 (5.96)</v>
      </c>
      <c r="L178" s="124">
        <f ca="1">IF(AND(P[[#This Row],[Tithi]]&lt;28.5,P[[#This Row],[Tithi]]&gt;0.49999),MOD((P[[#This Row],[Tithi]]-0.5)*2,7),MOD((P[[#This Row],[Tithi]]+30-28.5),30)*2+7)</f>
        <v>3.9146000000000001</v>
      </c>
      <c r="M178" s="124" t="str">
        <f ca="1">CHOOSE(ROUNDUP(P[[#This Row],[Karana1]],0),"Bhava","Baalava","Kaulava","Taitula","Garija","Vanija","Vishti","Shakuni","Chatushapda","Naaga","Kimstugna")</f>
        <v>Taitula</v>
      </c>
      <c r="N17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(14.9)</v>
      </c>
      <c r="O178" s="124">
        <f ca="1">IF(AND(P[[#This Row],[Tithi]]&lt;28.5,P[[#This Row],[Tithi]]&gt;0.49999),MOD((P[[#This Row],[Tithi]]-0.5)*2,7),MOD((P[[#This Row],[Tithi]]+30-28.5),30)*2+7)</f>
        <v>3.9146000000000001</v>
      </c>
      <c r="P178" s="124">
        <f ca="1">ROUNDUP(MOD(360+P[[#This Row],[Moon]]-P[[#This Row],[Sun]],360)/12,4)</f>
        <v>5.9573</v>
      </c>
      <c r="Q178" s="124">
        <f t="shared" ca="1" si="31"/>
        <v>14.9</v>
      </c>
      <c r="R178" s="124" t="str">
        <f ca="1">SIGN(S179-P[[#This Row],[MARs]])*INT(P[[#This Row],[MARs]]/30+1)&amp;"Ma,"&amp;SIGN(T179-P[[#This Row],[Merc]])*INT(P[[#This Row],[Merc]]/30+1)&amp;"Me,"&amp;SIGN(U179-P[[#This Row],[Jup]])*INT(P[[#This Row],[Jup]]/30+1)&amp;"Ju,"&amp;SIGN(V179-P[[#This Row],[Venu]])*INT(P[[#This Row],[Venu]]/30+1)&amp;"Ve,"&amp;SIGN(W179-P[[#This Row],[Sat]])*INT(P[[#This Row],[Sat]]/30+1)&amp;"Sa,"&amp;INT(P[[#This Row],[Rah]]/30+1)&amp;"Ra"</f>
        <v>10Ma,3Me,-7Ju,4Ve,-9Sa,4Ra</v>
      </c>
      <c r="S178" s="124">
        <f ca="1">Planet(P[[#This Row],[GMT Sun Rise]],4)</f>
        <v>284.72777303286063</v>
      </c>
      <c r="T178" s="124">
        <f ca="1">Planet(P[[#This Row],[GMT Sun Rise]],2)</f>
        <v>78.345627091763646</v>
      </c>
      <c r="U178" s="124">
        <f ca="1">Planet(P[[#This Row],[GMT Sun Rise]],5)</f>
        <v>199.93483246321924</v>
      </c>
      <c r="V178" s="124">
        <f ca="1">Planet(P[[#This Row],[GMT Sun Rise]],3)</f>
        <v>101.82221519736092</v>
      </c>
      <c r="W178" s="124">
        <f ca="1">Planet(P[[#This Row],[GMT Sun Rise]],6)</f>
        <v>252.36981695694413</v>
      </c>
      <c r="X178" s="124">
        <f ca="1">Planet(P[[#This Row],[GMT Sun Rise]],10)</f>
        <v>103.83526620615538</v>
      </c>
      <c r="Y178" s="124">
        <f ca="1">SIGN(S179-P[[#This Row],[MARs]])</f>
        <v>1</v>
      </c>
    </row>
    <row r="179" spans="1:25" x14ac:dyDescent="0.2">
      <c r="A179" s="125">
        <f t="shared" ca="1" si="32"/>
        <v>43271</v>
      </c>
      <c r="B179" s="125">
        <f t="shared" ca="1" si="25"/>
        <v>43271.229166666664</v>
      </c>
      <c r="C179" s="127">
        <f t="shared" ca="1" si="26"/>
        <v>43271.239145960812</v>
      </c>
      <c r="D179" s="127">
        <f t="shared" ca="1" si="27"/>
        <v>43270.776177227541</v>
      </c>
      <c r="E179" s="189">
        <f ca="1">P[[#This Row],[SunRise]]-TimeZone/24</f>
        <v>43271.009979294147</v>
      </c>
      <c r="F179" s="190">
        <f t="shared" ca="1" si="28"/>
        <v>64.541597563241794</v>
      </c>
      <c r="G179" s="190">
        <f t="shared" ca="1" si="29"/>
        <v>148.9464205147232</v>
      </c>
      <c r="H179" s="191">
        <f t="shared" ca="1" si="30"/>
        <v>43271.009979294147</v>
      </c>
      <c r="I179" s="124" t="str">
        <f ca="1">naks(P[[#This Row],[Moon]])</f>
        <v>Uttara Phalguni</v>
      </c>
      <c r="J179" s="127">
        <f ca="1">(C180-P[[#This Row],[SunRise]])/(G180-P[[#This Row],[Moon]])*(13.3333333333333-MOD(P[[#This Row],[Moon]],13.333333333333))+P[[#This Row],[SunRise]]</f>
        <v>43272.05639055268</v>
      </c>
      <c r="K179" s="124" t="str">
        <f ca="1">IF(P[[#This Row],[Tithi]]&gt;15,"K","S")&amp;ROUNDUP(MOD(P[[#This Row],[Tithi]],15),0)&amp;" ("&amp;ROUND(P[[#This Row],[Tithi]],2)&amp;")"</f>
        <v>S8 (7.03)</v>
      </c>
      <c r="L179" s="124">
        <f ca="1">IF(AND(P[[#This Row],[Tithi]]&lt;28.5,P[[#This Row],[Tithi]]&gt;0.49999),MOD((P[[#This Row],[Tithi]]-0.5)*2,7),MOD((P[[#This Row],[Tithi]]+30-28.5),30)*2+7)</f>
        <v>6.0675999999999988</v>
      </c>
      <c r="M179" s="124" t="str">
        <f ca="1">CHOOSE(ROUNDUP(P[[#This Row],[Karana1]],0),"Bhava","Baalava","Kaulava","Taitula","Garija","Vanija","Vishti","Shakuni","Chatushapda","Naaga","Kimstugna")</f>
        <v>Vishti</v>
      </c>
      <c r="N17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(16.02)</v>
      </c>
      <c r="O179" s="124">
        <f ca="1">IF(AND(P[[#This Row],[Tithi]]&lt;28.5,P[[#This Row],[Tithi]]&gt;0.49999),MOD((P[[#This Row],[Tithi]]-0.5)*2,7),MOD((P[[#This Row],[Tithi]]+30-28.5),30)*2+7)</f>
        <v>6.0675999999999988</v>
      </c>
      <c r="P179" s="124">
        <f ca="1">ROUNDUP(MOD(360+P[[#This Row],[Moon]]-P[[#This Row],[Sun]],360)/12,4)</f>
        <v>7.0337999999999994</v>
      </c>
      <c r="Q179" s="124">
        <f t="shared" ca="1" si="31"/>
        <v>16.020000000000003</v>
      </c>
      <c r="R179" s="124" t="str">
        <f ca="1">SIGN(S180-P[[#This Row],[MARs]])*INT(P[[#This Row],[MARs]]/30+1)&amp;"Ma,"&amp;SIGN(T180-P[[#This Row],[Merc]])*INT(P[[#This Row],[Merc]]/30+1)&amp;"Me,"&amp;SIGN(U180-P[[#This Row],[Jup]])*INT(P[[#This Row],[Jup]]/30+1)&amp;"Ju,"&amp;SIGN(V180-P[[#This Row],[Venu]])*INT(P[[#This Row],[Venu]]/30+1)&amp;"Ve,"&amp;SIGN(W180-P[[#This Row],[Sat]])*INT(P[[#This Row],[Sat]]/30+1)&amp;"Sa,"&amp;INT(P[[#This Row],[Rah]]/30+1)&amp;"Ra"</f>
        <v>10Ma,3Me,-7Ju,4Ve,-9Sa,4Ra</v>
      </c>
      <c r="S179" s="124">
        <f ca="1">Planet(P[[#This Row],[GMT Sun Rise]],4)</f>
        <v>284.81723606953045</v>
      </c>
      <c r="T179" s="124">
        <f ca="1">Planet(P[[#This Row],[GMT Sun Rise]],2)</f>
        <v>80.238890469037699</v>
      </c>
      <c r="U179" s="124">
        <f ca="1">Planet(P[[#This Row],[GMT Sun Rise]],5)</f>
        <v>199.87251830652752</v>
      </c>
      <c r="V179" s="124">
        <f ca="1">Planet(P[[#This Row],[GMT Sun Rise]],3)</f>
        <v>102.98167171503043</v>
      </c>
      <c r="W179" s="124">
        <f ca="1">Planet(P[[#This Row],[GMT Sun Rise]],6)</f>
        <v>252.2972946623828</v>
      </c>
      <c r="X179" s="124">
        <f ca="1">Planet(P[[#This Row],[GMT Sun Rise]],10)</f>
        <v>103.78226674605989</v>
      </c>
      <c r="Y179" s="124">
        <f ca="1">SIGN(S180-P[[#This Row],[MARs]])</f>
        <v>1</v>
      </c>
    </row>
    <row r="180" spans="1:25" x14ac:dyDescent="0.2">
      <c r="A180" s="125">
        <f t="shared" ca="1" si="32"/>
        <v>43272</v>
      </c>
      <c r="B180" s="125">
        <f t="shared" ca="1" si="25"/>
        <v>43272.229166666664</v>
      </c>
      <c r="C180" s="127">
        <f t="shared" ca="1" si="26"/>
        <v>43272.239292349819</v>
      </c>
      <c r="D180" s="127">
        <f t="shared" ca="1" si="27"/>
        <v>43271.776336491152</v>
      </c>
      <c r="E180" s="189">
        <f ca="1">P[[#This Row],[SunRise]]-TimeZone/24</f>
        <v>43272.010125683155</v>
      </c>
      <c r="F180" s="190">
        <f t="shared" ca="1" si="28"/>
        <v>65.496107496392966</v>
      </c>
      <c r="G180" s="190">
        <f t="shared" ca="1" si="29"/>
        <v>162.47382432727929</v>
      </c>
      <c r="H180" s="191">
        <f t="shared" ca="1" si="30"/>
        <v>43272.010125683155</v>
      </c>
      <c r="I180" s="124" t="str">
        <f ca="1">naks(P[[#This Row],[Moon]])</f>
        <v>Hasta</v>
      </c>
      <c r="J180" s="127">
        <f ca="1">(C181-P[[#This Row],[SunRise]])/(G181-P[[#This Row],[Moon]])*(13.3333333333333-MOD(P[[#This Row],[Moon]],13.333333333333))+P[[#This Row],[SunRise]]</f>
        <v>43273.06168652005</v>
      </c>
      <c r="K180" s="124" t="str">
        <f ca="1">IF(P[[#This Row],[Tithi]]&gt;15,"K","S")&amp;ROUNDUP(MOD(P[[#This Row],[Tithi]],15),0)&amp;" ("&amp;ROUND(P[[#This Row],[Tithi]],2)&amp;")"</f>
        <v>S9 (8.08)</v>
      </c>
      <c r="L180" s="124">
        <f ca="1">IF(AND(P[[#This Row],[Tithi]]&lt;28.5,P[[#This Row],[Tithi]]&gt;0.49999),MOD((P[[#This Row],[Tithi]]-0.5)*2,7),MOD((P[[#This Row],[Tithi]]+30-28.5),30)*2+7)</f>
        <v>1.1630000000000003</v>
      </c>
      <c r="M180" s="124" t="str">
        <f ca="1">CHOOSE(ROUNDUP(P[[#This Row],[Karana1]],0),"Bhava","Baalava","Kaulava","Taitula","Garija","Vanija","Vishti","Shakuni","Chatushapda","Naaga","Kimstugna")</f>
        <v>Baalava</v>
      </c>
      <c r="N18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(17.1)</v>
      </c>
      <c r="O180" s="124">
        <f ca="1">IF(AND(P[[#This Row],[Tithi]]&lt;28.5,P[[#This Row],[Tithi]]&gt;0.49999),MOD((P[[#This Row],[Tithi]]-0.5)*2,7),MOD((P[[#This Row],[Tithi]]+30-28.5),30)*2+7)</f>
        <v>1.1630000000000003</v>
      </c>
      <c r="P180" s="124">
        <f ca="1">ROUNDUP(MOD(360+P[[#This Row],[Moon]]-P[[#This Row],[Sun]],360)/12,4)</f>
        <v>8.0815000000000001</v>
      </c>
      <c r="Q180" s="124">
        <f t="shared" ca="1" si="31"/>
        <v>17.100000000000001</v>
      </c>
      <c r="R180" s="124" t="str">
        <f ca="1">SIGN(S181-P[[#This Row],[MARs]])*INT(P[[#This Row],[MARs]]/30+1)&amp;"Ma,"&amp;SIGN(T181-P[[#This Row],[Merc]])*INT(P[[#This Row],[Merc]]/30+1)&amp;"Me,"&amp;SIGN(U181-P[[#This Row],[Jup]])*INT(P[[#This Row],[Jup]]/30+1)&amp;"Ju,"&amp;SIGN(V181-P[[#This Row],[Venu]])*INT(P[[#This Row],[Venu]]/30+1)&amp;"Ve,"&amp;SIGN(W181-P[[#This Row],[Sat]])*INT(P[[#This Row],[Sat]]/30+1)&amp;"Sa,"&amp;INT(P[[#This Row],[Rah]]/30+1)&amp;"Ra"</f>
        <v>10Ma,3Me,-7Ju,4Ve,-9Sa,4Ra</v>
      </c>
      <c r="S180" s="124">
        <f ca="1">Planet(P[[#This Row],[GMT Sun Rise]],4)</f>
        <v>284.89485603913755</v>
      </c>
      <c r="T180" s="124">
        <f ca="1">Planet(P[[#This Row],[GMT Sun Rise]],2)</f>
        <v>82.095046383585697</v>
      </c>
      <c r="U180" s="124">
        <f ca="1">Planet(P[[#This Row],[GMT Sun Rise]],5)</f>
        <v>199.81297768920035</v>
      </c>
      <c r="V180" s="124">
        <f ca="1">Planet(P[[#This Row],[GMT Sun Rise]],3)</f>
        <v>104.13950893249284</v>
      </c>
      <c r="W180" s="124">
        <f ca="1">Planet(P[[#This Row],[GMT Sun Rise]],6)</f>
        <v>252.2244999109962</v>
      </c>
      <c r="X180" s="124">
        <f ca="1">Planet(P[[#This Row],[GMT Sun Rise]],10)</f>
        <v>103.72926699115844</v>
      </c>
      <c r="Y180" s="124">
        <f ca="1">SIGN(S181-P[[#This Row],[MARs]])</f>
        <v>1</v>
      </c>
    </row>
    <row r="181" spans="1:25" x14ac:dyDescent="0.2">
      <c r="A181" s="125">
        <f t="shared" ca="1" si="32"/>
        <v>43273</v>
      </c>
      <c r="B181" s="125">
        <f t="shared" ca="1" si="25"/>
        <v>43273.229166666664</v>
      </c>
      <c r="C181" s="127">
        <f t="shared" ca="1" si="26"/>
        <v>43273.239443825245</v>
      </c>
      <c r="D181" s="127">
        <f t="shared" ca="1" si="27"/>
        <v>43272.776489873926</v>
      </c>
      <c r="E181" s="189">
        <f ca="1">P[[#This Row],[SunRise]]-TimeZone/24</f>
        <v>43273.010277158581</v>
      </c>
      <c r="F181" s="190">
        <f t="shared" ca="1" si="28"/>
        <v>66.450413850383143</v>
      </c>
      <c r="G181" s="190">
        <f t="shared" ca="1" si="29"/>
        <v>175.6805740197602</v>
      </c>
      <c r="H181" s="191">
        <f t="shared" ca="1" si="30"/>
        <v>43273.010277158581</v>
      </c>
      <c r="I181" s="124" t="str">
        <f ca="1">naks(P[[#This Row],[Moon]])</f>
        <v>Chitra</v>
      </c>
      <c r="J181" s="127">
        <f ca="1">(C182-P[[#This Row],[SunRise]])/(G182-P[[#This Row],[Moon]])*(13.3333333333333-MOD(P[[#This Row],[Moon]],13.333333333333))+P[[#This Row],[SunRise]]</f>
        <v>43274.089925348089</v>
      </c>
      <c r="K181" s="124" t="str">
        <f ca="1">IF(P[[#This Row],[Tithi]]&gt;15,"K","S")&amp;ROUNDUP(MOD(P[[#This Row],[Tithi]],15),0)&amp;" ("&amp;ROUND(P[[#This Row],[Tithi]],2)&amp;")"</f>
        <v>S10 (9.1)</v>
      </c>
      <c r="L181" s="124">
        <f ca="1">IF(AND(P[[#This Row],[Tithi]]&lt;28.5,P[[#This Row],[Tithi]]&gt;0.49999),MOD((P[[#This Row],[Tithi]]-0.5)*2,7),MOD((P[[#This Row],[Tithi]]+30-28.5),30)*2+7)</f>
        <v>3.2051999999999978</v>
      </c>
      <c r="M181" s="124" t="str">
        <f ca="1">CHOOSE(ROUNDUP(P[[#This Row],[Karana1]],0),"Bhava","Baalava","Kaulava","Taitula","Garija","Vanija","Vishti","Shakuni","Chatushapda","Naaga","Kimstugna")</f>
        <v>Taitula</v>
      </c>
      <c r="N18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(18.16)</v>
      </c>
      <c r="O181" s="124">
        <f ca="1">IF(AND(P[[#This Row],[Tithi]]&lt;28.5,P[[#This Row],[Tithi]]&gt;0.49999),MOD((P[[#This Row],[Tithi]]-0.5)*2,7),MOD((P[[#This Row],[Tithi]]+30-28.5),30)*2+7)</f>
        <v>3.2051999999999978</v>
      </c>
      <c r="P181" s="124">
        <f ca="1">ROUNDUP(MOD(360+P[[#This Row],[Moon]]-P[[#This Row],[Sun]],360)/12,4)</f>
        <v>9.1025999999999989</v>
      </c>
      <c r="Q181" s="124">
        <f t="shared" ca="1" si="31"/>
        <v>18.16</v>
      </c>
      <c r="R181" s="124" t="str">
        <f ca="1">SIGN(S182-P[[#This Row],[MARs]])*INT(P[[#This Row],[MARs]]/30+1)&amp;"Ma,"&amp;SIGN(T182-P[[#This Row],[Merc]])*INT(P[[#This Row],[Merc]]/30+1)&amp;"Me,"&amp;SIGN(U182-P[[#This Row],[Jup]])*INT(P[[#This Row],[Jup]]/30+1)&amp;"Ju,"&amp;SIGN(V182-P[[#This Row],[Venu]])*INT(P[[#This Row],[Venu]]/30+1)&amp;"Ve,"&amp;SIGN(W182-P[[#This Row],[Sat]])*INT(P[[#This Row],[Sat]]/30+1)&amp;"Sa,"&amp;INT(P[[#This Row],[Rah]]/30+1)&amp;"Ra"</f>
        <v>10Ma,3Me,-7Ju,4Ve,-9Sa,4Ra</v>
      </c>
      <c r="S181" s="124">
        <f ca="1">Planet(P[[#This Row],[GMT Sun Rise]],4)</f>
        <v>284.96052858242842</v>
      </c>
      <c r="T181" s="124">
        <f ca="1">Planet(P[[#This Row],[GMT Sun Rise]],2)</f>
        <v>83.913621743311182</v>
      </c>
      <c r="U181" s="124">
        <f ca="1">Planet(P[[#This Row],[GMT Sun Rise]],5)</f>
        <v>199.75623596585714</v>
      </c>
      <c r="V181" s="124">
        <f ca="1">Planet(P[[#This Row],[GMT Sun Rise]],3)</f>
        <v>105.29568684774077</v>
      </c>
      <c r="W181" s="124">
        <f ca="1">Planet(P[[#This Row],[GMT Sun Rise]],6)</f>
        <v>252.15146959838378</v>
      </c>
      <c r="X181" s="124">
        <f ca="1">Planet(P[[#This Row],[GMT Sun Rise]],10)</f>
        <v>103.67626696673499</v>
      </c>
      <c r="Y181" s="124">
        <f ca="1">SIGN(S182-P[[#This Row],[MARs]])</f>
        <v>1</v>
      </c>
    </row>
    <row r="182" spans="1:25" x14ac:dyDescent="0.2">
      <c r="A182" s="125">
        <f t="shared" ca="1" si="32"/>
        <v>43274</v>
      </c>
      <c r="B182" s="125">
        <f t="shared" ca="1" si="25"/>
        <v>43274.229166666664</v>
      </c>
      <c r="C182" s="127">
        <f t="shared" ca="1" si="26"/>
        <v>43274.239600227833</v>
      </c>
      <c r="D182" s="127">
        <f t="shared" ca="1" si="27"/>
        <v>43273.776636898561</v>
      </c>
      <c r="E182" s="189">
        <f ca="1">P[[#This Row],[SunRise]]-TimeZone/24</f>
        <v>43274.010433561169</v>
      </c>
      <c r="F182" s="190">
        <f t="shared" ca="1" si="28"/>
        <v>67.404531241205916</v>
      </c>
      <c r="G182" s="190">
        <f t="shared" ca="1" si="29"/>
        <v>188.60009149908944</v>
      </c>
      <c r="H182" s="191">
        <f t="shared" ca="1" si="30"/>
        <v>43274.010433561169</v>
      </c>
      <c r="I182" s="124" t="str">
        <f ca="1">naks(P[[#This Row],[Moon]])</f>
        <v>Swati</v>
      </c>
      <c r="J182" s="127">
        <f ca="1">(C183-P[[#This Row],[SunRise]])/(G183-P[[#This Row],[Moon]])*(13.3333333333333-MOD(P[[#This Row],[Moon]],13.333333333333))+P[[#This Row],[SunRise]]</f>
        <v>43275.139641601352</v>
      </c>
      <c r="K182" s="124" t="str">
        <f ca="1">IF(P[[#This Row],[Tithi]]&gt;15,"K","S")&amp;ROUNDUP(MOD(P[[#This Row],[Tithi]],15),0)&amp;" ("&amp;ROUND(P[[#This Row],[Tithi]],2)&amp;")"</f>
        <v>S11 (10.1)</v>
      </c>
      <c r="L182" s="124">
        <f ca="1">IF(AND(P[[#This Row],[Tithi]]&lt;28.5,P[[#This Row],[Tithi]]&gt;0.49999),MOD((P[[#This Row],[Tithi]]-0.5)*2,7),MOD((P[[#This Row],[Tithi]]+30-28.5),30)*2+7)</f>
        <v>5.1994000000000007</v>
      </c>
      <c r="M182" s="124" t="str">
        <f ca="1">CHOOSE(ROUNDUP(P[[#This Row],[Karana1]],0),"Bhava","Baalava","Kaulava","Taitula","Garija","Vanija","Vishti","Shakuni","Chatushapda","Naaga","Kimstugna")</f>
        <v>Vanija</v>
      </c>
      <c r="N18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(19.21)</v>
      </c>
      <c r="O182" s="124">
        <f ca="1">IF(AND(P[[#This Row],[Tithi]]&lt;28.5,P[[#This Row],[Tithi]]&gt;0.49999),MOD((P[[#This Row],[Tithi]]-0.5)*2,7),MOD((P[[#This Row],[Tithi]]+30-28.5),30)*2+7)</f>
        <v>5.1994000000000007</v>
      </c>
      <c r="P182" s="124">
        <f ca="1">ROUNDUP(MOD(360+P[[#This Row],[Moon]]-P[[#This Row],[Sun]],360)/12,4)</f>
        <v>10.0997</v>
      </c>
      <c r="Q182" s="124">
        <f t="shared" ca="1" si="31"/>
        <v>19.21</v>
      </c>
      <c r="R182" s="124" t="str">
        <f ca="1">SIGN(S183-P[[#This Row],[MARs]])*INT(P[[#This Row],[MARs]]/30+1)&amp;"Ma,"&amp;SIGN(T183-P[[#This Row],[Merc]])*INT(P[[#This Row],[Merc]]/30+1)&amp;"Me,"&amp;SIGN(U183-P[[#This Row],[Jup]])*INT(P[[#This Row],[Jup]]/30+1)&amp;"Ju,"&amp;SIGN(V183-P[[#This Row],[Venu]])*INT(P[[#This Row],[Venu]]/30+1)&amp;"Ve,"&amp;SIGN(W183-P[[#This Row],[Sat]])*INT(P[[#This Row],[Sat]]/30+1)&amp;"Sa,"&amp;INT(P[[#This Row],[Rah]]/30+1)&amp;"Ra"</f>
        <v>10Ma,3Me,-7Ju,4Ve,-9Sa,4Ra</v>
      </c>
      <c r="S182" s="124">
        <f ca="1">Planet(P[[#This Row],[GMT Sun Rise]],4)</f>
        <v>285.01415168075368</v>
      </c>
      <c r="T182" s="124">
        <f ca="1">Planet(P[[#This Row],[GMT Sun Rise]],2)</f>
        <v>85.694277082713356</v>
      </c>
      <c r="U182" s="124">
        <f ca="1">Planet(P[[#This Row],[GMT Sun Rise]],5)</f>
        <v>199.70231631561978</v>
      </c>
      <c r="V182" s="124">
        <f ca="1">Planet(P[[#This Row],[GMT Sun Rise]],3)</f>
        <v>106.45016793863523</v>
      </c>
      <c r="W182" s="124">
        <f ca="1">Planet(P[[#This Row],[GMT Sun Rise]],6)</f>
        <v>252.07824019178318</v>
      </c>
      <c r="X182" s="124">
        <f ca="1">Planet(P[[#This Row],[GMT Sun Rise]],10)</f>
        <v>103.6232666811899</v>
      </c>
      <c r="Y182" s="124">
        <f ca="1">SIGN(S183-P[[#This Row],[MARs]])</f>
        <v>1</v>
      </c>
    </row>
    <row r="183" spans="1:25" x14ac:dyDescent="0.2">
      <c r="A183" s="125">
        <f t="shared" ca="1" si="32"/>
        <v>43275</v>
      </c>
      <c r="B183" s="125">
        <f t="shared" ca="1" si="25"/>
        <v>43275.229166666664</v>
      </c>
      <c r="C183" s="127">
        <f t="shared" ca="1" si="26"/>
        <v>43275.239761240002</v>
      </c>
      <c r="D183" s="127">
        <f t="shared" ca="1" si="27"/>
        <v>43274.776777406732</v>
      </c>
      <c r="E183" s="189">
        <f ca="1">P[[#This Row],[SunRise]]-TimeZone/24</f>
        <v>43275.010594573338</v>
      </c>
      <c r="F183" s="190">
        <f t="shared" ca="1" si="28"/>
        <v>68.3584766995682</v>
      </c>
      <c r="G183" s="190">
        <f t="shared" ca="1" si="29"/>
        <v>201.26811361489891</v>
      </c>
      <c r="H183" s="191">
        <f t="shared" ca="1" si="30"/>
        <v>43275.010594573338</v>
      </c>
      <c r="I183" s="124" t="str">
        <f ca="1">naks(P[[#This Row],[Moon]])</f>
        <v>Visakha</v>
      </c>
      <c r="J183" s="127">
        <f ca="1">(C184-P[[#This Row],[SunRise]])/(G184-P[[#This Row],[Moon]])*(13.3333333333333-MOD(P[[#This Row],[Moon]],13.333333333333))+P[[#This Row],[SunRise]]</f>
        <v>43276.208964063655</v>
      </c>
      <c r="K183" s="124" t="str">
        <f ca="1">IF(P[[#This Row],[Tithi]]&gt;15,"K","S")&amp;ROUNDUP(MOD(P[[#This Row],[Tithi]],15),0)&amp;" ("&amp;ROUND(P[[#This Row],[Tithi]],2)&amp;")"</f>
        <v>S12 (11.08)</v>
      </c>
      <c r="L183" s="124">
        <f ca="1">IF(AND(P[[#This Row],[Tithi]]&lt;28.5,P[[#This Row],[Tithi]]&gt;0.49999),MOD((P[[#This Row],[Tithi]]-0.5)*2,7),MOD((P[[#This Row],[Tithi]]+30-28.5),30)*2+7)</f>
        <v>0.15179999999999794</v>
      </c>
      <c r="M183" s="124" t="str">
        <f ca="1">CHOOSE(ROUNDUP(P[[#This Row],[Karana1]],0),"Bhava","Baalava","Kaulava","Taitula","Garija","Vanija","Vishti","Shakuni","Chatushapda","Naaga","Kimstugna")</f>
        <v>Bhava</v>
      </c>
      <c r="N18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(20.23)</v>
      </c>
      <c r="O183" s="124">
        <f ca="1">IF(AND(P[[#This Row],[Tithi]]&lt;28.5,P[[#This Row],[Tithi]]&gt;0.49999),MOD((P[[#This Row],[Tithi]]-0.5)*2,7),MOD((P[[#This Row],[Tithi]]+30-28.5),30)*2+7)</f>
        <v>0.15179999999999794</v>
      </c>
      <c r="P183" s="124">
        <f ca="1">ROUNDUP(MOD(360+P[[#This Row],[Moon]]-P[[#This Row],[Sun]],360)/12,4)</f>
        <v>11.075899999999999</v>
      </c>
      <c r="Q183" s="124">
        <f t="shared" ca="1" si="31"/>
        <v>20.23</v>
      </c>
      <c r="R183" s="124" t="str">
        <f ca="1">SIGN(S184-P[[#This Row],[MARs]])*INT(P[[#This Row],[MARs]]/30+1)&amp;"Ma,"&amp;SIGN(T184-P[[#This Row],[Merc]])*INT(P[[#This Row],[Merc]]/30+1)&amp;"Me,"&amp;SIGN(U184-P[[#This Row],[Jup]])*INT(P[[#This Row],[Jup]]/30+1)&amp;"Ju,"&amp;SIGN(V184-P[[#This Row],[Venu]])*INT(P[[#This Row],[Venu]]/30+1)&amp;"Ve,"&amp;SIGN(W184-P[[#This Row],[Sat]])*INT(P[[#This Row],[Sat]]/30+1)&amp;"Sa,"&amp;INT(P[[#This Row],[Rah]]/30+1)&amp;"Ra"</f>
        <v>10Ma,3Me,-7Ju,4Ve,-9Sa,4Ra</v>
      </c>
      <c r="S183" s="124">
        <f ca="1">Planet(P[[#This Row],[GMT Sun Rise]],4)</f>
        <v>285.0556270048944</v>
      </c>
      <c r="T183" s="124">
        <f ca="1">Planet(P[[#This Row],[GMT Sun Rise]],2)</f>
        <v>87.436768076153456</v>
      </c>
      <c r="U183" s="124">
        <f ca="1">Planet(P[[#This Row],[GMT Sun Rise]],5)</f>
        <v>199.65124002438134</v>
      </c>
      <c r="V183" s="124">
        <f ca="1">Planet(P[[#This Row],[GMT Sun Rise]],3)</f>
        <v>107.60291632036078</v>
      </c>
      <c r="W183" s="124">
        <f ca="1">Planet(P[[#This Row],[GMT Sun Rise]],6)</f>
        <v>252.00484783879696</v>
      </c>
      <c r="X183" s="124">
        <f ca="1">Planet(P[[#This Row],[GMT Sun Rise]],10)</f>
        <v>103.57026615135709</v>
      </c>
      <c r="Y183" s="124">
        <f ca="1">SIGN(S184-P[[#This Row],[MARs]])</f>
        <v>1</v>
      </c>
    </row>
    <row r="184" spans="1:25" x14ac:dyDescent="0.2">
      <c r="A184" s="125">
        <f t="shared" ca="1" si="32"/>
        <v>43276</v>
      </c>
      <c r="B184" s="125">
        <f t="shared" ca="1" si="25"/>
        <v>43276.229166666664</v>
      </c>
      <c r="C184" s="127">
        <f t="shared" ca="1" si="26"/>
        <v>43276.23992654324</v>
      </c>
      <c r="D184" s="127">
        <f t="shared" ca="1" si="27"/>
        <v>43275.776911079927</v>
      </c>
      <c r="E184" s="189">
        <f ca="1">P[[#This Row],[SunRise]]-TimeZone/24</f>
        <v>43276.010759876575</v>
      </c>
      <c r="F184" s="190">
        <f t="shared" ca="1" si="28"/>
        <v>69.312269290429469</v>
      </c>
      <c r="G184" s="190">
        <f t="shared" ca="1" si="29"/>
        <v>213.71877290293838</v>
      </c>
      <c r="H184" s="191">
        <f t="shared" ca="1" si="30"/>
        <v>43276.010759876575</v>
      </c>
      <c r="I184" s="124" t="str">
        <f ca="1">naks(P[[#This Row],[Moon]])</f>
        <v>Anuradha</v>
      </c>
      <c r="J184" s="127">
        <f ca="1">(C185-P[[#This Row],[SunRise]])/(G185-P[[#This Row],[Moon]])*(13.3333333333333-MOD(P[[#This Row],[Moon]],13.333333333333))+P[[#This Row],[SunRise]]</f>
        <v>43277.295823863176</v>
      </c>
      <c r="K184" s="124" t="str">
        <f ca="1">IF(P[[#This Row],[Tithi]]&gt;15,"K","S")&amp;ROUNDUP(MOD(P[[#This Row],[Tithi]],15),0)&amp;" ("&amp;ROUND(P[[#This Row],[Tithi]],2)&amp;")"</f>
        <v>S13 (12.03)</v>
      </c>
      <c r="L184" s="124">
        <f ca="1">IF(AND(P[[#This Row],[Tithi]]&lt;28.5,P[[#This Row],[Tithi]]&gt;0.49999),MOD((P[[#This Row],[Tithi]]-0.5)*2,7),MOD((P[[#This Row],[Tithi]]+30-28.5),30)*2+7)</f>
        <v>2.0677999999999983</v>
      </c>
      <c r="M184" s="124" t="str">
        <f ca="1">CHOOSE(ROUNDUP(P[[#This Row],[Karana1]],0),"Bhava","Baalava","Kaulava","Taitula","Garija","Vanija","Vishti","Shakuni","Chatushapda","Naaga","Kimstugna")</f>
        <v>Kaulava</v>
      </c>
      <c r="N18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(21.23)</v>
      </c>
      <c r="O184" s="124">
        <f ca="1">IF(AND(P[[#This Row],[Tithi]]&lt;28.5,P[[#This Row],[Tithi]]&gt;0.49999),MOD((P[[#This Row],[Tithi]]-0.5)*2,7),MOD((P[[#This Row],[Tithi]]+30-28.5),30)*2+7)</f>
        <v>2.0677999999999983</v>
      </c>
      <c r="P184" s="124">
        <f ca="1">ROUNDUP(MOD(360+P[[#This Row],[Moon]]-P[[#This Row],[Sun]],360)/12,4)</f>
        <v>12.033899999999999</v>
      </c>
      <c r="Q184" s="124">
        <f t="shared" ca="1" si="31"/>
        <v>21.23</v>
      </c>
      <c r="R184" s="124" t="str">
        <f ca="1">SIGN(S185-P[[#This Row],[MARs]])*INT(P[[#This Row],[MARs]]/30+1)&amp;"Ma,"&amp;SIGN(T185-P[[#This Row],[Merc]])*INT(P[[#This Row],[Merc]]/30+1)&amp;"Me,"&amp;SIGN(U185-P[[#This Row],[Jup]])*INT(P[[#This Row],[Jup]]/30+1)&amp;"Ju,"&amp;SIGN(V185-P[[#This Row],[Venu]])*INT(P[[#This Row],[Venu]]/30+1)&amp;"Ve,"&amp;SIGN(W185-P[[#This Row],[Sat]])*INT(P[[#This Row],[Sat]]/30+1)&amp;"Sa,"&amp;INT(P[[#This Row],[Rah]]/30+1)&amp;"Ra"</f>
        <v>10Ma,3Me,-7Ju,4Ve,-9Sa,4Ra</v>
      </c>
      <c r="S184" s="124">
        <f ca="1">Planet(P[[#This Row],[GMT Sun Rise]],4)</f>
        <v>285.08486139634698</v>
      </c>
      <c r="T184" s="124">
        <f ca="1">Planet(P[[#This Row],[GMT Sun Rise]],2)</f>
        <v>89.140912430096307</v>
      </c>
      <c r="U184" s="124">
        <f ca="1">Planet(P[[#This Row],[GMT Sun Rise]],5)</f>
        <v>199.60302667399563</v>
      </c>
      <c r="V184" s="124">
        <f ca="1">Planet(P[[#This Row],[GMT Sun Rise]],3)</f>
        <v>108.75389769065362</v>
      </c>
      <c r="W184" s="124">
        <f ca="1">Planet(P[[#This Row],[GMT Sun Rise]],6)</f>
        <v>251.93132841167255</v>
      </c>
      <c r="X184" s="124">
        <f ca="1">Planet(P[[#This Row],[GMT Sun Rise]],10)</f>
        <v>103.51726539416994</v>
      </c>
      <c r="Y184" s="124">
        <f ca="1">SIGN(S185-P[[#This Row],[MARs]])</f>
        <v>1</v>
      </c>
    </row>
    <row r="185" spans="1:25" x14ac:dyDescent="0.2">
      <c r="A185" s="125">
        <f t="shared" ca="1" si="32"/>
        <v>43277</v>
      </c>
      <c r="B185" s="125">
        <f t="shared" ca="1" si="25"/>
        <v>43277.229166666664</v>
      </c>
      <c r="C185" s="127">
        <f t="shared" ca="1" si="26"/>
        <v>43277.240095979687</v>
      </c>
      <c r="D185" s="127">
        <f t="shared" ca="1" si="27"/>
        <v>43276.777037759821</v>
      </c>
      <c r="E185" s="189">
        <f ca="1">P[[#This Row],[SunRise]]-TimeZone/24</f>
        <v>43277.010929313023</v>
      </c>
      <c r="F185" s="190">
        <f t="shared" ca="1" si="28"/>
        <v>70.265929824834856</v>
      </c>
      <c r="G185" s="190">
        <f t="shared" ca="1" si="29"/>
        <v>225.98330598233534</v>
      </c>
      <c r="H185" s="191">
        <f t="shared" ca="1" si="30"/>
        <v>43277.010929313023</v>
      </c>
      <c r="I185" s="124" t="str">
        <f ca="1">naks(P[[#This Row],[Moon]])</f>
        <v>Anuradha</v>
      </c>
      <c r="J185" s="127">
        <f ca="1">(C186-P[[#This Row],[SunRise]])/(G186-P[[#This Row],[Moon]])*(13.3333333333333-MOD(P[[#This Row],[Moon]],13.333333333333))+P[[#This Row],[SunRise]]</f>
        <v>43277.2965476104</v>
      </c>
      <c r="K185" s="124" t="str">
        <f ca="1">IF(P[[#This Row],[Tithi]]&gt;15,"K","S")&amp;ROUNDUP(MOD(P[[#This Row],[Tithi]],15),0)&amp;" ("&amp;ROUND(P[[#This Row],[Tithi]],2)&amp;")"</f>
        <v>S13 (12.98)</v>
      </c>
      <c r="L185" s="124">
        <f ca="1">IF(AND(P[[#This Row],[Tithi]]&lt;28.5,P[[#This Row],[Tithi]]&gt;0.49999),MOD((P[[#This Row],[Tithi]]-0.5)*2,7),MOD((P[[#This Row],[Tithi]]+30-28.5),30)*2+7)</f>
        <v>3.9529999999999994</v>
      </c>
      <c r="M185" s="124" t="str">
        <f ca="1">CHOOSE(ROUNDUP(P[[#This Row],[Karana1]],0),"Bhava","Baalava","Kaulava","Taitula","Garija","Vanija","Vishti","Shakuni","Chatushapda","Naaga","Kimstugna")</f>
        <v>Taitula</v>
      </c>
      <c r="N18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(22.22)</v>
      </c>
      <c r="O185" s="124">
        <f ca="1">IF(AND(P[[#This Row],[Tithi]]&lt;28.5,P[[#This Row],[Tithi]]&gt;0.49999),MOD((P[[#This Row],[Tithi]]-0.5)*2,7),MOD((P[[#This Row],[Tithi]]+30-28.5),30)*2+7)</f>
        <v>3.9529999999999994</v>
      </c>
      <c r="P185" s="124">
        <f ca="1">ROUNDUP(MOD(360+P[[#This Row],[Moon]]-P[[#This Row],[Sun]],360)/12,4)</f>
        <v>12.9765</v>
      </c>
      <c r="Q185" s="124">
        <f t="shared" ca="1" si="31"/>
        <v>22.220000000000002</v>
      </c>
      <c r="R185" s="124" t="str">
        <f ca="1">SIGN(S186-P[[#This Row],[MARs]])*INT(P[[#This Row],[MARs]]/30+1)&amp;"Ma,"&amp;SIGN(T186-P[[#This Row],[Merc]])*INT(P[[#This Row],[Merc]]/30+1)&amp;"Me,"&amp;SIGN(U186-P[[#This Row],[Jup]])*INT(P[[#This Row],[Jup]]/30+1)&amp;"Ju,"&amp;SIGN(V186-P[[#This Row],[Venu]])*INT(P[[#This Row],[Venu]]/30+1)&amp;"Ve,"&amp;SIGN(W186-P[[#This Row],[Sat]])*INT(P[[#This Row],[Sat]]/30+1)&amp;"Sa,"&amp;INT(P[[#This Row],[Rah]]/30+1)&amp;"Ra"</f>
        <v>10Ma,4Me,-7Ju,4Ve,-9Sa,4Ra</v>
      </c>
      <c r="S185" s="124">
        <f ca="1">Planet(P[[#This Row],[GMT Sun Rise]],4)</f>
        <v>285.10176840897731</v>
      </c>
      <c r="T185" s="124">
        <f ca="1">Planet(P[[#This Row],[GMT Sun Rise]],2)</f>
        <v>90.806560926321637</v>
      </c>
      <c r="U185" s="124">
        <f ca="1">Planet(P[[#This Row],[GMT Sun Rise]],5)</f>
        <v>199.55769431031405</v>
      </c>
      <c r="V185" s="124">
        <f ca="1">Planet(P[[#This Row],[GMT Sun Rise]],3)</f>
        <v>109.90307933123529</v>
      </c>
      <c r="W185" s="124">
        <f ca="1">Planet(P[[#This Row],[GMT Sun Rise]],6)</f>
        <v>251.85771755164626</v>
      </c>
      <c r="X185" s="124">
        <f ca="1">Planet(P[[#This Row],[GMT Sun Rise]],10)</f>
        <v>103.4642644179458</v>
      </c>
      <c r="Y185" s="124">
        <f ca="1">SIGN(S186-P[[#This Row],[MARs]])</f>
        <v>1</v>
      </c>
    </row>
    <row r="186" spans="1:25" x14ac:dyDescent="0.2">
      <c r="A186" s="125">
        <f t="shared" ca="1" si="32"/>
        <v>43278</v>
      </c>
      <c r="B186" s="125">
        <f t="shared" ca="1" si="25"/>
        <v>43278.229166666664</v>
      </c>
      <c r="C186" s="127">
        <f t="shared" ca="1" si="26"/>
        <v>43278.240269389156</v>
      </c>
      <c r="D186" s="127">
        <f t="shared" ca="1" si="27"/>
        <v>43277.777157287157</v>
      </c>
      <c r="E186" s="189">
        <f ca="1">P[[#This Row],[SunRise]]-TimeZone/24</f>
        <v>43278.011102722492</v>
      </c>
      <c r="F186" s="190">
        <f t="shared" ca="1" si="28"/>
        <v>71.219480246349917</v>
      </c>
      <c r="G186" s="190">
        <f t="shared" ca="1" si="29"/>
        <v>238.09064773568801</v>
      </c>
      <c r="H186" s="191">
        <f t="shared" ca="1" si="30"/>
        <v>43278.011102722492</v>
      </c>
      <c r="I186" s="124" t="str">
        <f ca="1">naks(P[[#This Row],[Moon]])</f>
        <v>Jyestha</v>
      </c>
      <c r="J186" s="127">
        <f ca="1">(C187-P[[#This Row],[SunRise]])/(G187-P[[#This Row],[Moon]])*(13.3333333333333-MOD(P[[#This Row],[Moon]],13.333333333333))+P[[#This Row],[SunRise]]</f>
        <v>43278.399696383691</v>
      </c>
      <c r="K186" s="124" t="str">
        <f ca="1">IF(P[[#This Row],[Tithi]]&gt;15,"K","S")&amp;ROUNDUP(MOD(P[[#This Row],[Tithi]],15),0)&amp;" ("&amp;ROUND(P[[#This Row],[Tithi]],2)&amp;")"</f>
        <v>S14 (13.91)</v>
      </c>
      <c r="L186" s="124">
        <f ca="1">IF(AND(P[[#This Row],[Tithi]]&lt;28.5,P[[#This Row],[Tithi]]&gt;0.49999),MOD((P[[#This Row],[Tithi]]-0.5)*2,7),MOD((P[[#This Row],[Tithi]]+30-28.5),30)*2+7)</f>
        <v>5.8120000000000012</v>
      </c>
      <c r="M186" s="124" t="str">
        <f ca="1">CHOOSE(ROUNDUP(P[[#This Row],[Karana1]],0),"Bhava","Baalava","Kaulava","Taitula","Garija","Vanija","Vishti","Shakuni","Chatushapda","Naaga","Kimstugna")</f>
        <v>Vanija</v>
      </c>
      <c r="N18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(23.2)</v>
      </c>
      <c r="O186" s="124">
        <f ca="1">IF(AND(P[[#This Row],[Tithi]]&lt;28.5,P[[#This Row],[Tithi]]&gt;0.49999),MOD((P[[#This Row],[Tithi]]-0.5)*2,7),MOD((P[[#This Row],[Tithi]]+30-28.5),30)*2+7)</f>
        <v>5.8120000000000012</v>
      </c>
      <c r="P186" s="124">
        <f ca="1">ROUNDUP(MOD(360+P[[#This Row],[Moon]]-P[[#This Row],[Sun]],360)/12,4)</f>
        <v>13.906000000000001</v>
      </c>
      <c r="Q186" s="124">
        <f t="shared" ca="1" si="31"/>
        <v>23.200000000000003</v>
      </c>
      <c r="R186" s="124" t="str">
        <f ca="1">SIGN(S187-P[[#This Row],[MARs]])*INT(P[[#This Row],[MARs]]/30+1)&amp;"Ma,"&amp;SIGN(T187-P[[#This Row],[Merc]])*INT(P[[#This Row],[Merc]]/30+1)&amp;"Me,"&amp;SIGN(U187-P[[#This Row],[Jup]])*INT(P[[#This Row],[Jup]]/30+1)&amp;"Ju,"&amp;SIGN(V187-P[[#This Row],[Venu]])*INT(P[[#This Row],[Venu]]/30+1)&amp;"Ve,"&amp;SIGN(W187-P[[#This Row],[Sat]])*INT(P[[#This Row],[Sat]]/30+1)&amp;"Sa,"&amp;INT(P[[#This Row],[Rah]]/30+1)&amp;"Ra"</f>
        <v>-10Ma,4Me,-7Ju,4Ve,-9Sa,4Ra</v>
      </c>
      <c r="S186" s="124">
        <f ca="1">Planet(P[[#This Row],[GMT Sun Rise]],4)</f>
        <v>285.10627006910443</v>
      </c>
      <c r="T186" s="124">
        <f ca="1">Planet(P[[#This Row],[GMT Sun Rise]],2)</f>
        <v>92.433571781312494</v>
      </c>
      <c r="U186" s="124">
        <f ca="1">Planet(P[[#This Row],[GMT Sun Rise]],5)</f>
        <v>199.51525961655574</v>
      </c>
      <c r="V186" s="124">
        <f ca="1">Planet(P[[#This Row],[GMT Sun Rise]],3)</f>
        <v>111.05042971274401</v>
      </c>
      <c r="W186" s="124">
        <f ca="1">Planet(P[[#This Row],[GMT Sun Rise]],6)</f>
        <v>251.78405073497933</v>
      </c>
      <c r="X186" s="124">
        <f ca="1">Planet(P[[#This Row],[GMT Sun Rise]],10)</f>
        <v>103.4112632312012</v>
      </c>
      <c r="Y186" s="124">
        <f ca="1">SIGN(S187-P[[#This Row],[MARs]])</f>
        <v>-1</v>
      </c>
    </row>
    <row r="187" spans="1:25" x14ac:dyDescent="0.2">
      <c r="A187" s="125">
        <f t="shared" ca="1" si="32"/>
        <v>43279</v>
      </c>
      <c r="B187" s="125">
        <f t="shared" ca="1" si="25"/>
        <v>43279.229166666664</v>
      </c>
      <c r="C187" s="127">
        <f t="shared" ca="1" si="26"/>
        <v>43279.240446295742</v>
      </c>
      <c r="D187" s="127">
        <f t="shared" ca="1" si="27"/>
        <v>43278.77726950268</v>
      </c>
      <c r="E187" s="189">
        <f ca="1">P[[#This Row],[SunRise]]-TimeZone/24</f>
        <v>43279.011279629078</v>
      </c>
      <c r="F187" s="190">
        <f t="shared" ca="1" si="28"/>
        <v>72.17294283936242</v>
      </c>
      <c r="G187" s="190">
        <f t="shared" ca="1" si="29"/>
        <v>250.06910876629516</v>
      </c>
      <c r="H187" s="191">
        <f t="shared" ca="1" si="30"/>
        <v>43279.011279629078</v>
      </c>
      <c r="I187" s="124" t="str">
        <f ca="1">naks(P[[#This Row],[Moon]])</f>
        <v>Moola</v>
      </c>
      <c r="J187" s="127">
        <f ca="1">(C188-P[[#This Row],[SunRise]])/(G188-P[[#This Row],[Moon]])*(13.3333333333333-MOD(P[[#This Row],[Moon]],13.333333333333))+P[[#This Row],[SunRise]]</f>
        <v>43279.515273687131</v>
      </c>
      <c r="K187" s="124" t="str">
        <f ca="1">IF(P[[#This Row],[Tithi]]&gt;15,"K","S")&amp;ROUNDUP(MOD(P[[#This Row],[Tithi]],15),0)&amp;" ("&amp;ROUND(P[[#This Row],[Tithi]],2)&amp;")"</f>
        <v>S15 (14.82)</v>
      </c>
      <c r="L187" s="124">
        <f ca="1">IF(AND(P[[#This Row],[Tithi]]&lt;28.5,P[[#This Row],[Tithi]]&gt;0.49999),MOD((P[[#This Row],[Tithi]]-0.5)*2,7),MOD((P[[#This Row],[Tithi]]+30-28.5),30)*2+7)</f>
        <v>0.64939999999999998</v>
      </c>
      <c r="M187" s="124" t="str">
        <f ca="1">CHOOSE(ROUNDUP(P[[#This Row],[Karana1]],0),"Bhava","Baalava","Kaulava","Taitula","Garija","Vanija","Vishti","Shakuni","Chatushapda","Naaga","Kimstugna")</f>
        <v>Bhava</v>
      </c>
      <c r="N18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(24.17)</v>
      </c>
      <c r="O187" s="124">
        <f ca="1">IF(AND(P[[#This Row],[Tithi]]&lt;28.5,P[[#This Row],[Tithi]]&gt;0.49999),MOD((P[[#This Row],[Tithi]]-0.5)*2,7),MOD((P[[#This Row],[Tithi]]+30-28.5),30)*2+7)</f>
        <v>0.64939999999999998</v>
      </c>
      <c r="P187" s="124">
        <f ca="1">ROUNDUP(MOD(360+P[[#This Row],[Moon]]-P[[#This Row],[Sun]],360)/12,4)</f>
        <v>14.8247</v>
      </c>
      <c r="Q187" s="124">
        <f t="shared" ca="1" si="31"/>
        <v>24.17</v>
      </c>
      <c r="R187" s="124" t="str">
        <f ca="1">SIGN(S188-P[[#This Row],[MARs]])*INT(P[[#This Row],[MARs]]/30+1)&amp;"Ma,"&amp;SIGN(T188-P[[#This Row],[Merc]])*INT(P[[#This Row],[Merc]]/30+1)&amp;"Me,"&amp;SIGN(U188-P[[#This Row],[Jup]])*INT(P[[#This Row],[Jup]]/30+1)&amp;"Ju,"&amp;SIGN(V188-P[[#This Row],[Venu]])*INT(P[[#This Row],[Venu]]/30+1)&amp;"Ve,"&amp;SIGN(W188-P[[#This Row],[Sat]])*INT(P[[#This Row],[Sat]]/30+1)&amp;"Sa,"&amp;INT(P[[#This Row],[Rah]]/30+1)&amp;"Ra"</f>
        <v>-10Ma,4Me,-7Ju,4Ve,-9Sa,4Ra</v>
      </c>
      <c r="S187" s="124">
        <f ca="1">Planet(P[[#This Row],[GMT Sun Rise]],4)</f>
        <v>285.09829899955406</v>
      </c>
      <c r="T187" s="124">
        <f ca="1">Planet(P[[#This Row],[GMT Sun Rise]],2)</f>
        <v>94.021788287565727</v>
      </c>
      <c r="U187" s="124">
        <f ca="1">Planet(P[[#This Row],[GMT Sun Rise]],5)</f>
        <v>199.47573807447489</v>
      </c>
      <c r="V187" s="124">
        <f ca="1">Planet(P[[#This Row],[GMT Sun Rise]],3)</f>
        <v>112.19591786049189</v>
      </c>
      <c r="W187" s="124">
        <f ca="1">Planet(P[[#This Row],[GMT Sun Rise]],6)</f>
        <v>251.71036335958863</v>
      </c>
      <c r="X187" s="124">
        <f ca="1">Planet(P[[#This Row],[GMT Sun Rise]],10)</f>
        <v>103.35826185913719</v>
      </c>
      <c r="Y187" s="124">
        <f ca="1">SIGN(S188-P[[#This Row],[MARs]])</f>
        <v>-1</v>
      </c>
    </row>
    <row r="188" spans="1:25" x14ac:dyDescent="0.2">
      <c r="A188" s="125">
        <f t="shared" ca="1" si="32"/>
        <v>43280</v>
      </c>
      <c r="B188" s="125">
        <f t="shared" ca="1" si="25"/>
        <v>43280.229166666664</v>
      </c>
      <c r="C188" s="127">
        <f t="shared" ca="1" si="26"/>
        <v>43280.240626540188</v>
      </c>
      <c r="D188" s="127">
        <f t="shared" ca="1" si="27"/>
        <v>43279.777373930017</v>
      </c>
      <c r="E188" s="189">
        <f ca="1">P[[#This Row],[SunRise]]-TimeZone/24</f>
        <v>43280.011459873524</v>
      </c>
      <c r="F188" s="190">
        <f t="shared" ca="1" si="28"/>
        <v>73.126340337723335</v>
      </c>
      <c r="G188" s="190">
        <f t="shared" ca="1" si="29"/>
        <v>261.94861214793792</v>
      </c>
      <c r="H188" s="191">
        <f t="shared" ca="1" si="30"/>
        <v>43280.011459873524</v>
      </c>
      <c r="I188" s="124" t="str">
        <f ca="1">naks(P[[#This Row],[Moon]])</f>
        <v>Purva Asadha</v>
      </c>
      <c r="J188" s="127">
        <f ca="1">(C189-P[[#This Row],[SunRise]])/(G189-P[[#This Row],[Moon]])*(13.3333333333333-MOD(P[[#This Row],[Moon]],13.333333333333))+P[[#This Row],[SunRise]]</f>
        <v>43280.640043838015</v>
      </c>
      <c r="K188" s="124" t="str">
        <f ca="1">IF(P[[#This Row],[Tithi]]&gt;15,"K","S")&amp;ROUNDUP(MOD(P[[#This Row],[Tithi]],15),0)&amp;" ("&amp;ROUND(P[[#This Row],[Tithi]],2)&amp;")"</f>
        <v>K1 (15.74)</v>
      </c>
      <c r="L188" s="124">
        <f ca="1">IF(AND(P[[#This Row],[Tithi]]&lt;28.5,P[[#This Row],[Tithi]]&gt;0.49999),MOD((P[[#This Row],[Tithi]]-0.5)*2,7),MOD((P[[#This Row],[Tithi]]+30-28.5),30)*2+7)</f>
        <v>2.4703999999999979</v>
      </c>
      <c r="M188" s="124" t="str">
        <f ca="1">CHOOSE(ROUNDUP(P[[#This Row],[Karana1]],0),"Bhava","Baalava","Kaulava","Taitula","Garija","Vanija","Vishti","Shakuni","Chatushapda","Naaga","Kimstugna")</f>
        <v>Kaulava</v>
      </c>
      <c r="N18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(25.14)</v>
      </c>
      <c r="O188" s="124">
        <f ca="1">IF(AND(P[[#This Row],[Tithi]]&lt;28.5,P[[#This Row],[Tithi]]&gt;0.49999),MOD((P[[#This Row],[Tithi]]-0.5)*2,7),MOD((P[[#This Row],[Tithi]]+30-28.5),30)*2+7)</f>
        <v>2.4703999999999979</v>
      </c>
      <c r="P188" s="124">
        <f ca="1">ROUNDUP(MOD(360+P[[#This Row],[Moon]]-P[[#This Row],[Sun]],360)/12,4)</f>
        <v>15.735199999999999</v>
      </c>
      <c r="Q188" s="124">
        <f t="shared" ca="1" si="31"/>
        <v>25.14</v>
      </c>
      <c r="R188" s="124" t="str">
        <f ca="1">SIGN(S189-P[[#This Row],[MARs]])*INT(P[[#This Row],[MARs]]/30+1)&amp;"Ma,"&amp;SIGN(T189-P[[#This Row],[Merc]])*INT(P[[#This Row],[Merc]]/30+1)&amp;"Me,"&amp;SIGN(U189-P[[#This Row],[Jup]])*INT(P[[#This Row],[Jup]]/30+1)&amp;"Ju,"&amp;SIGN(V189-P[[#This Row],[Venu]])*INT(P[[#This Row],[Venu]]/30+1)&amp;"Ve,"&amp;SIGN(W189-P[[#This Row],[Sat]])*INT(P[[#This Row],[Sat]]/30+1)&amp;"Sa,"&amp;INT(P[[#This Row],[Rah]]/30+1)&amp;"Ra"</f>
        <v>-10Ma,4Me,-7Ju,4Ve,-9Sa,4Ra</v>
      </c>
      <c r="S188" s="124">
        <f ca="1">Planet(P[[#This Row],[GMT Sun Rise]],4)</f>
        <v>285.07780087294998</v>
      </c>
      <c r="T188" s="124">
        <f ca="1">Planet(P[[#This Row],[GMT Sun Rise]],2)</f>
        <v>95.571021008950865</v>
      </c>
      <c r="U188" s="124">
        <f ca="1">Planet(P[[#This Row],[GMT Sun Rise]],5)</f>
        <v>199.439144055691</v>
      </c>
      <c r="V188" s="124">
        <f ca="1">Planet(P[[#This Row],[GMT Sun Rise]],3)</f>
        <v>113.33951372964816</v>
      </c>
      <c r="W188" s="124">
        <f ca="1">Planet(P[[#This Row],[GMT Sun Rise]],6)</f>
        <v>251.63669076288363</v>
      </c>
      <c r="X188" s="124">
        <f ca="1">Planet(P[[#This Row],[GMT Sun Rise]],10)</f>
        <v>103.30526031017085</v>
      </c>
      <c r="Y188" s="124">
        <f ca="1">SIGN(S189-P[[#This Row],[MARs]])</f>
        <v>-1</v>
      </c>
    </row>
    <row r="189" spans="1:25" x14ac:dyDescent="0.2">
      <c r="A189" s="125">
        <f t="shared" ca="1" si="32"/>
        <v>43281</v>
      </c>
      <c r="B189" s="125">
        <f t="shared" ca="1" si="25"/>
        <v>43281.229166666664</v>
      </c>
      <c r="C189" s="127">
        <f t="shared" ca="1" si="26"/>
        <v>43281.240809963703</v>
      </c>
      <c r="D189" s="127">
        <f t="shared" ca="1" si="27"/>
        <v>43280.77747072796</v>
      </c>
      <c r="E189" s="189">
        <f ca="1">P[[#This Row],[SunRise]]-TimeZone/24</f>
        <v>43281.011643297039</v>
      </c>
      <c r="F189" s="190">
        <f t="shared" ca="1" si="28"/>
        <v>74.079695197616047</v>
      </c>
      <c r="G189" s="190">
        <f t="shared" ca="1" si="29"/>
        <v>273.76312280276471</v>
      </c>
      <c r="H189" s="191">
        <f t="shared" ca="1" si="30"/>
        <v>43281.011643297039</v>
      </c>
      <c r="I189" s="124" t="str">
        <f ca="1">naks(P[[#This Row],[Moon]])</f>
        <v>Uttara Asadha</v>
      </c>
      <c r="J189" s="127">
        <f ca="1">(C190-P[[#This Row],[SunRise]])/(G190-P[[#This Row],[Moon]])*(13.3333333333333-MOD(P[[#This Row],[Moon]],13.333333333333))+P[[#This Row],[SunRise]]</f>
        <v>43281.769915946374</v>
      </c>
      <c r="K189" s="124" t="str">
        <f ca="1">IF(P[[#This Row],[Tithi]]&gt;15,"K","S")&amp;ROUNDUP(MOD(P[[#This Row],[Tithi]],15),0)&amp;" ("&amp;ROUND(P[[#This Row],[Tithi]],2)&amp;")"</f>
        <v>K2 (16.64)</v>
      </c>
      <c r="L189" s="124">
        <f ca="1">IF(AND(P[[#This Row],[Tithi]]&lt;28.5,P[[#This Row],[Tithi]]&gt;0.49999),MOD((P[[#This Row],[Tithi]]-0.5)*2,7),MOD((P[[#This Row],[Tithi]]+30-28.5),30)*2+7)</f>
        <v>4.2805999999999997</v>
      </c>
      <c r="M189" s="124" t="str">
        <f ca="1">CHOOSE(ROUNDUP(P[[#This Row],[Karana1]],0),"Bhava","Baalava","Kaulava","Taitula","Garija","Vanija","Vishti","Shakuni","Chatushapda","Naaga","Kimstugna")</f>
        <v>Garija</v>
      </c>
      <c r="N18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(26.09)</v>
      </c>
      <c r="O189" s="124">
        <f ca="1">IF(AND(P[[#This Row],[Tithi]]&lt;28.5,P[[#This Row],[Tithi]]&gt;0.49999),MOD((P[[#This Row],[Tithi]]-0.5)*2,7),MOD((P[[#This Row],[Tithi]]+30-28.5),30)*2+7)</f>
        <v>4.2805999999999997</v>
      </c>
      <c r="P189" s="124">
        <f ca="1">ROUNDUP(MOD(360+P[[#This Row],[Moon]]-P[[#This Row],[Sun]],360)/12,4)</f>
        <v>16.6403</v>
      </c>
      <c r="Q189" s="124">
        <f t="shared" ca="1" si="31"/>
        <v>26.09</v>
      </c>
      <c r="R189" s="124" t="str">
        <f ca="1">SIGN(S190-P[[#This Row],[MARs]])*INT(P[[#This Row],[MARs]]/30+1)&amp;"Ma,"&amp;SIGN(T190-P[[#This Row],[Merc]])*INT(P[[#This Row],[Merc]]/30+1)&amp;"Me,"&amp;SIGN(U190-P[[#This Row],[Jup]])*INT(P[[#This Row],[Jup]]/30+1)&amp;"Ju,"&amp;SIGN(V190-P[[#This Row],[Venu]])*INT(P[[#This Row],[Venu]]/30+1)&amp;"Ve,"&amp;SIGN(W190-P[[#This Row],[Sat]])*INT(P[[#This Row],[Sat]]/30+1)&amp;"Sa,"&amp;INT(P[[#This Row],[Rah]]/30+1)&amp;"Ra"</f>
        <v>-10Ma,4Me,-7Ju,4Ve,-9Sa,4Ra</v>
      </c>
      <c r="S189" s="124">
        <f ca="1">Planet(P[[#This Row],[GMT Sun Rise]],4)</f>
        <v>285.04473701986882</v>
      </c>
      <c r="T189" s="124">
        <f ca="1">Planet(P[[#This Row],[GMT Sun Rise]],2)</f>
        <v>97.081031036508961</v>
      </c>
      <c r="U189" s="124">
        <f ca="1">Planet(P[[#This Row],[GMT Sun Rise]],5)</f>
        <v>199.405490917533</v>
      </c>
      <c r="V189" s="124">
        <f ca="1">Planet(P[[#This Row],[GMT Sun Rise]],3)</f>
        <v>114.48118746990932</v>
      </c>
      <c r="W189" s="124">
        <f ca="1">Planet(P[[#This Row],[GMT Sun Rise]],6)</f>
        <v>251.56306829990345</v>
      </c>
      <c r="X189" s="124">
        <f ca="1">Planet(P[[#This Row],[GMT Sun Rise]],10)</f>
        <v>103.2522585927687</v>
      </c>
      <c r="Y189" s="124">
        <f ca="1">SIGN(S190-P[[#This Row],[MARs]])</f>
        <v>-1</v>
      </c>
    </row>
    <row r="190" spans="1:25" x14ac:dyDescent="0.2">
      <c r="A190" s="125">
        <f t="shared" ca="1" si="32"/>
        <v>43282</v>
      </c>
      <c r="B190" s="125">
        <f t="shared" ca="1" si="25"/>
        <v>43282.229166666664</v>
      </c>
      <c r="C190" s="127">
        <f t="shared" ca="1" si="26"/>
        <v>43282.240996248242</v>
      </c>
      <c r="D190" s="127">
        <f t="shared" ca="1" si="27"/>
        <v>43281.777559419672</v>
      </c>
      <c r="E190" s="189">
        <f ca="1">P[[#This Row],[SunRise]]-TimeZone/24</f>
        <v>43282.011829581577</v>
      </c>
      <c r="F190" s="190">
        <f t="shared" ca="1" si="28"/>
        <v>75.03302913077934</v>
      </c>
      <c r="G190" s="190">
        <f t="shared" ca="1" si="29"/>
        <v>285.55289505134175</v>
      </c>
      <c r="H190" s="191">
        <f t="shared" ca="1" si="30"/>
        <v>43282.011829581577</v>
      </c>
      <c r="I190" s="124" t="str">
        <f ca="1">naks(P[[#This Row],[Moon]])</f>
        <v>Sravana</v>
      </c>
      <c r="J190" s="127">
        <f ca="1">(C191-P[[#This Row],[SunRise]])/(G191-P[[#This Row],[Moon]])*(13.3333333333333-MOD(P[[#This Row],[Moon]],13.333333333333))+P[[#This Row],[SunRise]]</f>
        <v>43282.899743447451</v>
      </c>
      <c r="K190" s="124" t="str">
        <f ca="1">IF(P[[#This Row],[Tithi]]&gt;15,"K","S")&amp;ROUNDUP(MOD(P[[#This Row],[Tithi]],15),0)&amp;" ("&amp;ROUND(P[[#This Row],[Tithi]],2)&amp;")"</f>
        <v>K3 (17.54)</v>
      </c>
      <c r="L190" s="124">
        <f ca="1">IF(AND(P[[#This Row],[Tithi]]&lt;28.5,P[[#This Row],[Tithi]]&gt;0.49999),MOD((P[[#This Row],[Tithi]]-0.5)*2,7),MOD((P[[#This Row],[Tithi]]+30-28.5),30)*2+7)</f>
        <v>6.0867999999999967</v>
      </c>
      <c r="M190" s="124" t="str">
        <f ca="1">CHOOSE(ROUNDUP(P[[#This Row],[Karana1]],0),"Bhava","Baalava","Kaulava","Taitula","Garija","Vanija","Vishti","Shakuni","Chatushapda","Naaga","Kimstugna")</f>
        <v>Vishti</v>
      </c>
      <c r="N19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(0.05)</v>
      </c>
      <c r="O190" s="124">
        <f ca="1">IF(AND(P[[#This Row],[Tithi]]&lt;28.5,P[[#This Row],[Tithi]]&gt;0.49999),MOD((P[[#This Row],[Tithi]]-0.5)*2,7),MOD((P[[#This Row],[Tithi]]+30-28.5),30)*2+7)</f>
        <v>6.0867999999999967</v>
      </c>
      <c r="P190" s="124">
        <f ca="1">ROUNDUP(MOD(360+P[[#This Row],[Moon]]-P[[#This Row],[Sun]],360)/12,4)</f>
        <v>17.543399999999998</v>
      </c>
      <c r="Q190" s="124">
        <f t="shared" ca="1" si="31"/>
        <v>0.05</v>
      </c>
      <c r="R190" s="124" t="str">
        <f ca="1">SIGN(S191-P[[#This Row],[MARs]])*INT(P[[#This Row],[MARs]]/30+1)&amp;"Ma,"&amp;SIGN(T191-P[[#This Row],[Merc]])*INT(P[[#This Row],[Merc]]/30+1)&amp;"Me,"&amp;SIGN(U191-P[[#This Row],[Jup]])*INT(P[[#This Row],[Jup]]/30+1)&amp;"Ju,"&amp;SIGN(V191-P[[#This Row],[Venu]])*INT(P[[#This Row],[Venu]]/30+1)&amp;"Ve,"&amp;SIGN(W191-P[[#This Row],[Sat]])*INT(P[[#This Row],[Sat]]/30+1)&amp;"Sa,"&amp;INT(P[[#This Row],[Rah]]/30+1)&amp;"Ra"</f>
        <v>-10Ma,4Me,-7Ju,4Ve,-9Sa,4Ra</v>
      </c>
      <c r="S190" s="124">
        <f ca="1">Planet(P[[#This Row],[GMT Sun Rise]],4)</f>
        <v>284.99908702415172</v>
      </c>
      <c r="T190" s="124">
        <f ca="1">Planet(P[[#This Row],[GMT Sun Rise]],2)</f>
        <v>98.551515789669679</v>
      </c>
      <c r="U190" s="124">
        <f ca="1">Planet(P[[#This Row],[GMT Sun Rise]],5)</f>
        <v>199.37479105427644</v>
      </c>
      <c r="V190" s="124">
        <f ca="1">Planet(P[[#This Row],[GMT Sun Rise]],3)</f>
        <v>115.62090891575248</v>
      </c>
      <c r="W190" s="124">
        <f ca="1">Planet(P[[#This Row],[GMT Sun Rise]],6)</f>
        <v>251.48953139528467</v>
      </c>
      <c r="X190" s="124">
        <f ca="1">Planet(P[[#This Row],[GMT Sun Rise]],10)</f>
        <v>103.19925672374812</v>
      </c>
      <c r="Y190" s="124">
        <f ca="1">SIGN(S191-P[[#This Row],[MARs]])</f>
        <v>-1</v>
      </c>
    </row>
    <row r="191" spans="1:25" x14ac:dyDescent="0.2">
      <c r="A191" s="125">
        <f t="shared" ca="1" si="32"/>
        <v>43283</v>
      </c>
      <c r="B191" s="125">
        <f t="shared" ca="1" si="25"/>
        <v>43283.229166666664</v>
      </c>
      <c r="C191" s="127">
        <f t="shared" ca="1" si="26"/>
        <v>43283.241185234547</v>
      </c>
      <c r="D191" s="127">
        <f t="shared" ca="1" si="27"/>
        <v>43282.777640163942</v>
      </c>
      <c r="E191" s="189">
        <f ca="1">P[[#This Row],[SunRise]]-TimeZone/24</f>
        <v>43283.012018567882</v>
      </c>
      <c r="F191" s="190">
        <f t="shared" ca="1" si="28"/>
        <v>75.986363192286291</v>
      </c>
      <c r="G191" s="190">
        <f t="shared" ca="1" si="29"/>
        <v>297.3660893808447</v>
      </c>
      <c r="H191" s="191">
        <f t="shared" ca="1" si="30"/>
        <v>43283.012018567882</v>
      </c>
      <c r="I191" s="124" t="str">
        <f ca="1">naks(P[[#This Row],[Moon]])</f>
        <v>Dhanistha</v>
      </c>
      <c r="J191" s="127">
        <f ca="1">(C192-P[[#This Row],[SunRise]])/(G192-P[[#This Row],[Moon]])*(13.3333333333333-MOD(P[[#This Row],[Moon]],13.333333333333))+P[[#This Row],[SunRise]]</f>
        <v>43284.023336029633</v>
      </c>
      <c r="K191" s="124" t="str">
        <f ca="1">IF(P[[#This Row],[Tithi]]&gt;15,"K","S")&amp;ROUNDUP(MOD(P[[#This Row],[Tithi]],15),0)&amp;" ("&amp;ROUND(P[[#This Row],[Tithi]],2)&amp;")"</f>
        <v>K4 (18.45)</v>
      </c>
      <c r="L191" s="124">
        <f ca="1">IF(AND(P[[#This Row],[Tithi]]&lt;28.5,P[[#This Row],[Tithi]]&gt;0.49999),MOD((P[[#This Row],[Tithi]]-0.5)*2,7),MOD((P[[#This Row],[Tithi]]+30-28.5),30)*2+7)</f>
        <v>0.89679999999999893</v>
      </c>
      <c r="M191" s="124" t="str">
        <f ca="1">CHOOSE(ROUNDUP(P[[#This Row],[Karana1]],0),"Bhava","Baalava","Kaulava","Taitula","Garija","Vanija","Vishti","Shakuni","Chatushapda","Naaga","Kimstugna")</f>
        <v>Bhava</v>
      </c>
      <c r="N19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(1.01)</v>
      </c>
      <c r="O191" s="124">
        <f ca="1">IF(AND(P[[#This Row],[Tithi]]&lt;28.5,P[[#This Row],[Tithi]]&gt;0.49999),MOD((P[[#This Row],[Tithi]]-0.5)*2,7),MOD((P[[#This Row],[Tithi]]+30-28.5),30)*2+7)</f>
        <v>0.89679999999999893</v>
      </c>
      <c r="P191" s="124">
        <f ca="1">ROUNDUP(MOD(360+P[[#This Row],[Moon]]-P[[#This Row],[Sun]],360)/12,4)</f>
        <v>18.448399999999999</v>
      </c>
      <c r="Q191" s="124">
        <f t="shared" ca="1" si="31"/>
        <v>1.01</v>
      </c>
      <c r="R191" s="124" t="str">
        <f ca="1">SIGN(S192-P[[#This Row],[MARs]])*INT(P[[#This Row],[MARs]]/30+1)&amp;"Ma,"&amp;SIGN(T192-P[[#This Row],[Merc]])*INT(P[[#This Row],[Merc]]/30+1)&amp;"Me,"&amp;SIGN(U192-P[[#This Row],[Jup]])*INT(P[[#This Row],[Jup]]/30+1)&amp;"Ju,"&amp;SIGN(V192-P[[#This Row],[Venu]])*INT(P[[#This Row],[Venu]]/30+1)&amp;"Ve,"&amp;SIGN(W192-P[[#This Row],[Sat]])*INT(P[[#This Row],[Sat]]/30+1)&amp;"Sa,"&amp;INT(P[[#This Row],[Rah]]/30+1)&amp;"Ra"</f>
        <v>-10Ma,4Me,-7Ju,4Ve,-9Sa,4Ra</v>
      </c>
      <c r="S191" s="124">
        <f ca="1">Planet(P[[#This Row],[GMT Sun Rise]],4)</f>
        <v>284.94085114900315</v>
      </c>
      <c r="T191" s="124">
        <f ca="1">Planet(P[[#This Row],[GMT Sun Rise]],2)</f>
        <v>99.982097421690185</v>
      </c>
      <c r="U191" s="124">
        <f ca="1">Planet(P[[#This Row],[GMT Sun Rise]],5)</f>
        <v>199.34705592083682</v>
      </c>
      <c r="V191" s="124">
        <f ca="1">Planet(P[[#This Row],[GMT Sun Rise]],3)</f>
        <v>116.75864770954405</v>
      </c>
      <c r="W191" s="124">
        <f ca="1">Planet(P[[#This Row],[GMT Sun Rise]],6)</f>
        <v>251.41611554539298</v>
      </c>
      <c r="X191" s="124">
        <f ca="1">Planet(P[[#This Row],[GMT Sun Rise]],10)</f>
        <v>103.14625471155918</v>
      </c>
      <c r="Y191" s="124">
        <f ca="1">SIGN(S192-P[[#This Row],[MARs]])</f>
        <v>-1</v>
      </c>
    </row>
    <row r="192" spans="1:25" x14ac:dyDescent="0.2">
      <c r="A192" s="125">
        <f t="shared" ca="1" si="32"/>
        <v>43284</v>
      </c>
      <c r="B192" s="125">
        <f t="shared" ca="1" si="25"/>
        <v>43284.229166666664</v>
      </c>
      <c r="C192" s="127">
        <f t="shared" ca="1" si="26"/>
        <v>43284.241376446247</v>
      </c>
      <c r="D192" s="127">
        <f t="shared" ca="1" si="27"/>
        <v>43283.777712325609</v>
      </c>
      <c r="E192" s="189">
        <f ca="1">P[[#This Row],[SunRise]]-TimeZone/24</f>
        <v>43284.012209779583</v>
      </c>
      <c r="F192" s="190">
        <f t="shared" ca="1" si="28"/>
        <v>76.939717153478952</v>
      </c>
      <c r="G192" s="190">
        <f t="shared" ca="1" si="29"/>
        <v>309.25939144411291</v>
      </c>
      <c r="H192" s="191">
        <f t="shared" ca="1" si="30"/>
        <v>43284.012209779583</v>
      </c>
      <c r="I192" s="124" t="str">
        <f ca="1">naks(P[[#This Row],[Moon]])</f>
        <v>Satabhisaj</v>
      </c>
      <c r="J192" s="127">
        <f ca="1">(C193-P[[#This Row],[SunRise]])/(G193-P[[#This Row],[Moon]])*(13.3333333333333-MOD(P[[#This Row],[Moon]],13.333333333333))+P[[#This Row],[SunRise]]</f>
        <v>43285.133769809763</v>
      </c>
      <c r="K192" s="124" t="str">
        <f ca="1">IF(P[[#This Row],[Tithi]]&gt;15,"K","S")&amp;ROUNDUP(MOD(P[[#This Row],[Tithi]],15),0)&amp;" ("&amp;ROUND(P[[#This Row],[Tithi]],2)&amp;")"</f>
        <v>K5 (19.36)</v>
      </c>
      <c r="L192" s="124">
        <f ca="1">IF(AND(P[[#This Row],[Tithi]]&lt;28.5,P[[#This Row],[Tithi]]&gt;0.49999),MOD((P[[#This Row],[Tithi]]-0.5)*2,7),MOD((P[[#This Row],[Tithi]]+30-28.5),30)*2+7)</f>
        <v>2.7199999999999989</v>
      </c>
      <c r="M192" s="124" t="str">
        <f ca="1">CHOOSE(ROUNDUP(P[[#This Row],[Karana1]],0),"Bhava","Baalava","Kaulava","Taitula","Garija","Vanija","Vishti","Shakuni","Chatushapda","Naaga","Kimstugna")</f>
        <v>Kaulava</v>
      </c>
      <c r="N19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(1.97)</v>
      </c>
      <c r="O192" s="124">
        <f ca="1">IF(AND(P[[#This Row],[Tithi]]&lt;28.5,P[[#This Row],[Tithi]]&gt;0.49999),MOD((P[[#This Row],[Tithi]]-0.5)*2,7),MOD((P[[#This Row],[Tithi]]+30-28.5),30)*2+7)</f>
        <v>2.7199999999999989</v>
      </c>
      <c r="P192" s="124">
        <f ca="1">ROUNDUP(MOD(360+P[[#This Row],[Moon]]-P[[#This Row],[Sun]],360)/12,4)</f>
        <v>19.36</v>
      </c>
      <c r="Q192" s="124">
        <f t="shared" ca="1" si="31"/>
        <v>1.97</v>
      </c>
      <c r="R192" s="124" t="str">
        <f ca="1">SIGN(S193-P[[#This Row],[MARs]])*INT(P[[#This Row],[MARs]]/30+1)&amp;"Ma,"&amp;SIGN(T193-P[[#This Row],[Merc]])*INT(P[[#This Row],[Merc]]/30+1)&amp;"Me,"&amp;SIGN(U193-P[[#This Row],[Jup]])*INT(P[[#This Row],[Jup]]/30+1)&amp;"Ju,"&amp;SIGN(V193-P[[#This Row],[Venu]])*INT(P[[#This Row],[Venu]]/30+1)&amp;"Ve,"&amp;SIGN(W193-P[[#This Row],[Sat]])*INT(P[[#This Row],[Sat]]/30+1)&amp;"Sa,"&amp;INT(P[[#This Row],[Rah]]/30+1)&amp;"Ra"</f>
        <v>-10Ma,4Me,-7Ju,4Ve,-9Sa,4Ra</v>
      </c>
      <c r="S192" s="124">
        <f ca="1">Planet(P[[#This Row],[GMT Sun Rise]],4)</f>
        <v>284.87005268183708</v>
      </c>
      <c r="T192" s="124">
        <f ca="1">Planet(P[[#This Row],[GMT Sun Rise]],2)</f>
        <v>101.37231160982167</v>
      </c>
      <c r="U192" s="124">
        <f ca="1">Planet(P[[#This Row],[GMT Sun Rise]],5)</f>
        <v>199.32229608396469</v>
      </c>
      <c r="V192" s="124">
        <f ca="1">Planet(P[[#This Row],[GMT Sun Rise]],3)</f>
        <v>117.89437260517722</v>
      </c>
      <c r="W192" s="124">
        <f ca="1">Planet(P[[#This Row],[GMT Sun Rise]],6)</f>
        <v>251.34285637358852</v>
      </c>
      <c r="X192" s="124">
        <f ca="1">Planet(P[[#This Row],[GMT Sun Rise]],10)</f>
        <v>103.09325258141953</v>
      </c>
      <c r="Y192" s="124">
        <f ca="1">SIGN(S193-P[[#This Row],[MARs]])</f>
        <v>-1</v>
      </c>
    </row>
    <row r="193" spans="1:25" x14ac:dyDescent="0.2">
      <c r="A193" s="125">
        <f t="shared" ca="1" si="32"/>
        <v>43285</v>
      </c>
      <c r="B193" s="125">
        <f t="shared" ca="1" si="25"/>
        <v>43285.229166666664</v>
      </c>
      <c r="C193" s="127">
        <f t="shared" ca="1" si="26"/>
        <v>43285.241569724087</v>
      </c>
      <c r="D193" s="127">
        <f t="shared" ca="1" si="27"/>
        <v>43284.777776221788</v>
      </c>
      <c r="E193" s="189">
        <f ca="1">P[[#This Row],[SunRise]]-TimeZone/24</f>
        <v>43285.012403057422</v>
      </c>
      <c r="F193" s="190">
        <f t="shared" ca="1" si="28"/>
        <v>77.893109894112072</v>
      </c>
      <c r="G193" s="190">
        <f t="shared" ca="1" si="29"/>
        <v>321.29745102263155</v>
      </c>
      <c r="H193" s="191">
        <f t="shared" ca="1" si="30"/>
        <v>43285.012403057422</v>
      </c>
      <c r="I193" s="124" t="str">
        <f ca="1">naks(P[[#This Row],[Moon]])</f>
        <v>Purva Bhadrapada</v>
      </c>
      <c r="J193" s="127">
        <f ca="1">(C194-P[[#This Row],[SunRise]])/(G194-P[[#This Row],[Moon]])*(13.3333333333333-MOD(P[[#This Row],[Moon]],13.333333333333))+P[[#This Row],[SunRise]]</f>
        <v>43286.224004792159</v>
      </c>
      <c r="K193" s="124" t="str">
        <f ca="1">IF(P[[#This Row],[Tithi]]&gt;15,"K","S")&amp;ROUNDUP(MOD(P[[#This Row],[Tithi]],15),0)&amp;" ("&amp;ROUND(P[[#This Row],[Tithi]],2)&amp;")"</f>
        <v>K6 (20.28)</v>
      </c>
      <c r="L193" s="124">
        <f ca="1">IF(AND(P[[#This Row],[Tithi]]&lt;28.5,P[[#This Row],[Tithi]]&gt;0.49999),MOD((P[[#This Row],[Tithi]]-0.5)*2,7),MOD((P[[#This Row],[Tithi]]+30-28.5),30)*2+7)</f>
        <v>4.5673999999999992</v>
      </c>
      <c r="M193" s="124" t="str">
        <f ca="1">CHOOSE(ROUNDUP(P[[#This Row],[Karana1]],0),"Bhava","Baalava","Kaulava","Taitula","Garija","Vanija","Vishti","Shakuni","Chatushapda","Naaga","Kimstugna")</f>
        <v>Garija</v>
      </c>
      <c r="N19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(2.94)</v>
      </c>
      <c r="O193" s="124">
        <f ca="1">IF(AND(P[[#This Row],[Tithi]]&lt;28.5,P[[#This Row],[Tithi]]&gt;0.49999),MOD((P[[#This Row],[Tithi]]-0.5)*2,7),MOD((P[[#This Row],[Tithi]]+30-28.5),30)*2+7)</f>
        <v>4.5673999999999992</v>
      </c>
      <c r="P193" s="124">
        <f ca="1">ROUNDUP(MOD(360+P[[#This Row],[Moon]]-P[[#This Row],[Sun]],360)/12,4)</f>
        <v>20.2837</v>
      </c>
      <c r="Q193" s="124">
        <f t="shared" ca="1" si="31"/>
        <v>2.94</v>
      </c>
      <c r="R193" s="124" t="str">
        <f ca="1">SIGN(S194-P[[#This Row],[MARs]])*INT(P[[#This Row],[MARs]]/30+1)&amp;"Ma,"&amp;SIGN(T194-P[[#This Row],[Merc]])*INT(P[[#This Row],[Merc]]/30+1)&amp;"Me,"&amp;SIGN(U194-P[[#This Row],[Jup]])*INT(P[[#This Row],[Jup]]/30+1)&amp;"Ju,"&amp;SIGN(V194-P[[#This Row],[Venu]])*INT(P[[#This Row],[Venu]]/30+1)&amp;"Ve,"&amp;SIGN(W194-P[[#This Row],[Sat]])*INT(P[[#This Row],[Sat]]/30+1)&amp;"Sa,"&amp;INT(P[[#This Row],[Rah]]/30+1)&amp;"Ra"</f>
        <v>-10Ma,4Me,-7Ju,4Ve,-9Sa,4Ra</v>
      </c>
      <c r="S193" s="124">
        <f ca="1">Planet(P[[#This Row],[GMT Sun Rise]],4)</f>
        <v>284.78674024680123</v>
      </c>
      <c r="T193" s="124">
        <f ca="1">Planet(P[[#This Row],[GMT Sun Rise]],2)</f>
        <v>102.72159913942419</v>
      </c>
      <c r="U193" s="124">
        <f ca="1">Planet(P[[#This Row],[GMT Sun Rise]],5)</f>
        <v>199.30052125982903</v>
      </c>
      <c r="V193" s="124">
        <f ca="1">Planet(P[[#This Row],[GMT Sun Rise]],3)</f>
        <v>119.02805206065996</v>
      </c>
      <c r="W193" s="124">
        <f ca="1">Planet(P[[#This Row],[GMT Sun Rise]],6)</f>
        <v>251.26978960603327</v>
      </c>
      <c r="X193" s="124">
        <f ca="1">Planet(P[[#This Row],[GMT Sun Rise]],10)</f>
        <v>103.04025034182924</v>
      </c>
      <c r="Y193" s="124">
        <f ca="1">SIGN(S194-P[[#This Row],[MARs]])</f>
        <v>-1</v>
      </c>
    </row>
    <row r="194" spans="1:25" x14ac:dyDescent="0.2">
      <c r="A194" s="125">
        <f t="shared" ca="1" si="32"/>
        <v>43286</v>
      </c>
      <c r="B194" s="125">
        <f t="shared" ca="1" si="25"/>
        <v>43286.229166666664</v>
      </c>
      <c r="C194" s="127">
        <f t="shared" ca="1" si="26"/>
        <v>43286.241764909741</v>
      </c>
      <c r="D194" s="127">
        <f t="shared" ca="1" si="27"/>
        <v>43285.777831375643</v>
      </c>
      <c r="E194" s="189">
        <f ca="1">P[[#This Row],[SunRise]]-TimeZone/24</f>
        <v>43286.012598243076</v>
      </c>
      <c r="F194" s="190">
        <f t="shared" ca="1" si="28"/>
        <v>78.846558812732468</v>
      </c>
      <c r="G194" s="190">
        <f t="shared" ca="1" si="29"/>
        <v>333.55091380451466</v>
      </c>
      <c r="H194" s="191">
        <f t="shared" ca="1" si="30"/>
        <v>43286.012598243076</v>
      </c>
      <c r="I194" s="124" t="str">
        <f ca="1">naks(P[[#This Row],[Moon]])</f>
        <v>Uttara Bhadrapada</v>
      </c>
      <c r="J194" s="127">
        <f ca="1">(C195-P[[#This Row],[SunRise]])/(G195-P[[#This Row],[Moon]])*(13.3333333333333-MOD(P[[#This Row],[Moon]],13.333333333333))+P[[#This Row],[SunRise]]</f>
        <v>43287.287731988923</v>
      </c>
      <c r="K194" s="124" t="str">
        <f ca="1">IF(P[[#This Row],[Tithi]]&gt;15,"K","S")&amp;ROUNDUP(MOD(P[[#This Row],[Tithi]],15),0)&amp;" ("&amp;ROUND(P[[#This Row],[Tithi]],2)&amp;")"</f>
        <v>K7 (21.23)</v>
      </c>
      <c r="L194" s="124">
        <f ca="1">IF(AND(P[[#This Row],[Tithi]]&lt;28.5,P[[#This Row],[Tithi]]&gt;0.49999),MOD((P[[#This Row],[Tithi]]-0.5)*2,7),MOD((P[[#This Row],[Tithi]]+30-28.5),30)*2+7)</f>
        <v>6.450800000000001</v>
      </c>
      <c r="M194" s="124" t="str">
        <f ca="1">CHOOSE(ROUNDUP(P[[#This Row],[Karana1]],0),"Bhava","Baalava","Kaulava","Taitula","Garija","Vanija","Vishti","Shakuni","Chatushapda","Naaga","Kimstugna")</f>
        <v>Vishti</v>
      </c>
      <c r="N19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(3.93)</v>
      </c>
      <c r="O194" s="124">
        <f ca="1">IF(AND(P[[#This Row],[Tithi]]&lt;28.5,P[[#This Row],[Tithi]]&gt;0.49999),MOD((P[[#This Row],[Tithi]]-0.5)*2,7),MOD((P[[#This Row],[Tithi]]+30-28.5),30)*2+7)</f>
        <v>6.450800000000001</v>
      </c>
      <c r="P194" s="124">
        <f ca="1">ROUNDUP(MOD(360+P[[#This Row],[Moon]]-P[[#This Row],[Sun]],360)/12,4)</f>
        <v>21.2254</v>
      </c>
      <c r="Q194" s="124">
        <f t="shared" ca="1" si="31"/>
        <v>3.9299999999999997</v>
      </c>
      <c r="R194" s="124" t="str">
        <f ca="1">SIGN(S195-P[[#This Row],[MARs]])*INT(P[[#This Row],[MARs]]/30+1)&amp;"Ma,"&amp;SIGN(T195-P[[#This Row],[Merc]])*INT(P[[#This Row],[Merc]]/30+1)&amp;"Me,"&amp;SIGN(U195-P[[#This Row],[Jup]])*INT(P[[#This Row],[Jup]]/30+1)&amp;"Ju,"&amp;SIGN(V195-P[[#This Row],[Venu]])*INT(P[[#This Row],[Venu]]/30+1)&amp;"Ve,"&amp;SIGN(W195-P[[#This Row],[Sat]])*INT(P[[#This Row],[Sat]]/30+1)&amp;"Sa,"&amp;INT(P[[#This Row],[Rah]]/30+1)&amp;"Ra"</f>
        <v>-10Ma,4Me,-7Ju,5Ve,-9Sa,4Ra</v>
      </c>
      <c r="S194" s="124">
        <f ca="1">Planet(P[[#This Row],[GMT Sun Rise]],4)</f>
        <v>284.69099036800094</v>
      </c>
      <c r="T194" s="124">
        <f ca="1">Planet(P[[#This Row],[GMT Sun Rise]],2)</f>
        <v>104.02929701706772</v>
      </c>
      <c r="U194" s="124">
        <f ca="1">Planet(P[[#This Row],[GMT Sun Rise]],5)</f>
        <v>199.28174038784923</v>
      </c>
      <c r="V194" s="124">
        <f ca="1">Planet(P[[#This Row],[GMT Sun Rise]],3)</f>
        <v>120.1596537163739</v>
      </c>
      <c r="W194" s="124">
        <f ca="1">Planet(P[[#This Row],[GMT Sun Rise]],6)</f>
        <v>251.19695112383516</v>
      </c>
      <c r="X194" s="124">
        <f ca="1">Planet(P[[#This Row],[GMT Sun Rise]],10)</f>
        <v>102.9872480011221</v>
      </c>
      <c r="Y194" s="124">
        <f ca="1">SIGN(S195-P[[#This Row],[MARs]])</f>
        <v>-1</v>
      </c>
    </row>
    <row r="195" spans="1:25" x14ac:dyDescent="0.2">
      <c r="A195" s="125">
        <f t="shared" ca="1" si="32"/>
        <v>43287</v>
      </c>
      <c r="B195" s="125">
        <f t="shared" ref="B195:B258" ca="1" si="33">A195+TimeZone/24</f>
        <v>43287.229166666664</v>
      </c>
      <c r="C195" s="127">
        <f t="shared" ref="C195:C258" ca="1" si="34">sunrise(Lat,Long,B195)+TimeZone/24+0.00103009259259259</f>
        <v>43287.241961684231</v>
      </c>
      <c r="D195" s="127">
        <f t="shared" ref="D195:D258" ca="1" si="35">sunset(Lat,Long,B195)+TimeZone/24-0.000277777777777778</f>
        <v>43286.777877628847</v>
      </c>
      <c r="E195" s="189">
        <f ca="1">P[[#This Row],[SunRise]]-TimeZone/24</f>
        <v>43287.012795017567</v>
      </c>
      <c r="F195" s="190">
        <f t="shared" ref="F195:F258" ca="1" si="36">Planet(E195,0)</f>
        <v>79.800079297763176</v>
      </c>
      <c r="G195" s="190">
        <f t="shared" ref="G195:G258" ca="1" si="37">Planet(E195,1)</f>
        <v>346.09273655284255</v>
      </c>
      <c r="H195" s="191">
        <f t="shared" ref="H195:H258" ca="1" si="38">E195</f>
        <v>43287.012795017567</v>
      </c>
      <c r="I195" s="124" t="str">
        <f ca="1">naks(P[[#This Row],[Moon]])</f>
        <v>Uttara Bhadrapada</v>
      </c>
      <c r="J195" s="127">
        <f ca="1">(C196-P[[#This Row],[SunRise]])/(G196-P[[#This Row],[Moon]])*(13.3333333333333-MOD(P[[#This Row],[Moon]],13.333333333333))+P[[#This Row],[SunRise]]</f>
        <v>43287.286462394906</v>
      </c>
      <c r="K195" s="124" t="str">
        <f ca="1">IF(P[[#This Row],[Tithi]]&gt;15,"K","S")&amp;ROUNDUP(MOD(P[[#This Row],[Tithi]],15),0)&amp;" ("&amp;ROUND(P[[#This Row],[Tithi]],2)&amp;")"</f>
        <v>K8 (22.19)</v>
      </c>
      <c r="L195" s="124">
        <f ca="1">IF(AND(P[[#This Row],[Tithi]]&lt;28.5,P[[#This Row],[Tithi]]&gt;0.49999),MOD((P[[#This Row],[Tithi]]-0.5)*2,7),MOD((P[[#This Row],[Tithi]]+30-28.5),30)*2+7)</f>
        <v>1.3821999999999974</v>
      </c>
      <c r="M195" s="124" t="str">
        <f ca="1">CHOOSE(ROUNDUP(P[[#This Row],[Karana1]],0),"Bhava","Baalava","Kaulava","Taitula","Garija","Vanija","Vishti","Shakuni","Chatushapda","Naaga","Kimstugna")</f>
        <v>Baalava</v>
      </c>
      <c r="N19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(4.95)</v>
      </c>
      <c r="O195" s="124">
        <f ca="1">IF(AND(P[[#This Row],[Tithi]]&lt;28.5,P[[#This Row],[Tithi]]&gt;0.49999),MOD((P[[#This Row],[Tithi]]-0.5)*2,7),MOD((P[[#This Row],[Tithi]]+30-28.5),30)*2+7)</f>
        <v>1.3821999999999974</v>
      </c>
      <c r="P195" s="124">
        <f ca="1">ROUNDUP(MOD(360+P[[#This Row],[Moon]]-P[[#This Row],[Sun]],360)/12,4)</f>
        <v>22.191099999999999</v>
      </c>
      <c r="Q195" s="124">
        <f t="shared" ref="Q195:Q258" ca="1" si="39">ROUNDUP(MOD(F195+G195,360)/13.333333333,2)</f>
        <v>4.95</v>
      </c>
      <c r="R195" s="124" t="str">
        <f ca="1">SIGN(S196-P[[#This Row],[MARs]])*INT(P[[#This Row],[MARs]]/30+1)&amp;"Ma,"&amp;SIGN(T196-P[[#This Row],[Merc]])*INT(P[[#This Row],[Merc]]/30+1)&amp;"Me,"&amp;SIGN(U196-P[[#This Row],[Jup]])*INT(P[[#This Row],[Jup]]/30+1)&amp;"Ju,"&amp;SIGN(V196-P[[#This Row],[Venu]])*INT(P[[#This Row],[Venu]]/30+1)&amp;"Ve,"&amp;SIGN(W196-P[[#This Row],[Sat]])*INT(P[[#This Row],[Sat]]/30+1)&amp;"Sa,"&amp;INT(P[[#This Row],[Rah]]/30+1)&amp;"Ra"</f>
        <v>-10Ma,4Me,-7Ju,5Ve,-9Sa,4Ra</v>
      </c>
      <c r="S195" s="124">
        <f ca="1">Planet(P[[#This Row],[GMT Sun Rise]],4)</f>
        <v>284.58291033016377</v>
      </c>
      <c r="T195" s="124">
        <f ca="1">Planet(P[[#This Row],[GMT Sun Rise]],2)</f>
        <v>105.2946305079475</v>
      </c>
      <c r="U195" s="124">
        <f ca="1">Planet(P[[#This Row],[GMT Sun Rise]],5)</f>
        <v>199.26596169343486</v>
      </c>
      <c r="V195" s="124">
        <f ca="1">Planet(P[[#This Row],[GMT Sun Rise]],3)</f>
        <v>121.28914395536955</v>
      </c>
      <c r="W195" s="124">
        <f ca="1">Planet(P[[#This Row],[GMT Sun Rise]],6)</f>
        <v>251.12437701610514</v>
      </c>
      <c r="X195" s="124">
        <f ca="1">Planet(P[[#This Row],[GMT Sun Rise]],10)</f>
        <v>102.93424557624807</v>
      </c>
      <c r="Y195" s="124">
        <f ca="1">SIGN(S196-P[[#This Row],[MARs]])</f>
        <v>-1</v>
      </c>
    </row>
    <row r="196" spans="1:25" x14ac:dyDescent="0.2">
      <c r="A196" s="125">
        <f t="shared" ca="1" si="32"/>
        <v>43288</v>
      </c>
      <c r="B196" s="125">
        <f t="shared" ca="1" si="33"/>
        <v>43288.229166666664</v>
      </c>
      <c r="C196" s="127">
        <f t="shared" ca="1" si="34"/>
        <v>43288.242159730908</v>
      </c>
      <c r="D196" s="127">
        <f t="shared" ca="1" si="35"/>
        <v>43287.777914981401</v>
      </c>
      <c r="E196" s="189">
        <f ca="1">P[[#This Row],[SunRise]]-TimeZone/24</f>
        <v>43288.012993064243</v>
      </c>
      <c r="F196" s="190">
        <f t="shared" ca="1" si="36"/>
        <v>80.753684447338358</v>
      </c>
      <c r="G196" s="190">
        <f t="shared" ca="1" si="37"/>
        <v>358.99239073975423</v>
      </c>
      <c r="H196" s="191">
        <f t="shared" ca="1" si="38"/>
        <v>43288.012993064243</v>
      </c>
      <c r="I196" s="124" t="str">
        <f ca="1">naks(P[[#This Row],[Moon]])</f>
        <v>Revati</v>
      </c>
      <c r="J196" s="127">
        <f ca="1">(C197-P[[#This Row],[SunRise]])/(G197-P[[#This Row],[Moon]])*(13.3333333333333-MOD(P[[#This Row],[Moon]],13.333333333333))+P[[#This Row],[SunRise]]</f>
        <v>43288.239252738917</v>
      </c>
      <c r="K196" s="124" t="str">
        <f ca="1">IF(P[[#This Row],[Tithi]]&gt;15,"K","S")&amp;ROUNDUP(MOD(P[[#This Row],[Tithi]],15),0)&amp;" ("&amp;ROUND(P[[#This Row],[Tithi]],2)&amp;")"</f>
        <v>K9 (23.19)</v>
      </c>
      <c r="L196" s="124">
        <f ca="1">IF(AND(P[[#This Row],[Tithi]]&lt;28.5,P[[#This Row],[Tithi]]&gt;0.49999),MOD((P[[#This Row],[Tithi]]-0.5)*2,7),MOD((P[[#This Row],[Tithi]]+30-28.5),30)*2+7)</f>
        <v>3.3731999999999971</v>
      </c>
      <c r="M196" s="124" t="str">
        <f ca="1">CHOOSE(ROUNDUP(P[[#This Row],[Karana1]],0),"Bhava","Baalava","Kaulava","Taitula","Garija","Vanija","Vishti","Shakuni","Chatushapda","Naaga","Kimstugna")</f>
        <v>Taitula</v>
      </c>
      <c r="N19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(5.99)</v>
      </c>
      <c r="O196" s="124">
        <f ca="1">IF(AND(P[[#This Row],[Tithi]]&lt;28.5,P[[#This Row],[Tithi]]&gt;0.49999),MOD((P[[#This Row],[Tithi]]-0.5)*2,7),MOD((P[[#This Row],[Tithi]]+30-28.5),30)*2+7)</f>
        <v>3.3731999999999971</v>
      </c>
      <c r="P196" s="124">
        <f ca="1">ROUNDUP(MOD(360+P[[#This Row],[Moon]]-P[[#This Row],[Sun]],360)/12,4)</f>
        <v>23.186599999999999</v>
      </c>
      <c r="Q196" s="124">
        <f t="shared" ca="1" si="39"/>
        <v>5.99</v>
      </c>
      <c r="R196" s="124" t="str">
        <f ca="1">SIGN(S197-P[[#This Row],[MARs]])*INT(P[[#This Row],[MARs]]/30+1)&amp;"Ma,"&amp;SIGN(T197-P[[#This Row],[Merc]])*INT(P[[#This Row],[Merc]]/30+1)&amp;"Me,"&amp;SIGN(U197-P[[#This Row],[Jup]])*INT(P[[#This Row],[Jup]]/30+1)&amp;"Ju,"&amp;SIGN(V197-P[[#This Row],[Venu]])*INT(P[[#This Row],[Venu]]/30+1)&amp;"Ve,"&amp;SIGN(W197-P[[#This Row],[Sat]])*INT(P[[#This Row],[Sat]]/30+1)&amp;"Sa,"&amp;INT(P[[#This Row],[Rah]]/30+1)&amp;"Ra"</f>
        <v>-10Ma,4Me,-7Ju,5Ve,-9Sa,4Ra</v>
      </c>
      <c r="S196" s="124">
        <f ca="1">Planet(P[[#This Row],[GMT Sun Rise]],4)</f>
        <v>284.46264129996814</v>
      </c>
      <c r="T196" s="124">
        <f ca="1">Planet(P[[#This Row],[GMT Sun Rise]],2)</f>
        <v>106.51670610701531</v>
      </c>
      <c r="U196" s="124">
        <f ca="1">Planet(P[[#This Row],[GMT Sun Rise]],5)</f>
        <v>199.25319272221532</v>
      </c>
      <c r="V196" s="124">
        <f ca="1">Planet(P[[#This Row],[GMT Sun Rise]],3)</f>
        <v>122.41648771630199</v>
      </c>
      <c r="W196" s="124">
        <f ca="1">Planet(P[[#This Row],[GMT Sun Rise]],6)</f>
        <v>251.05210361031482</v>
      </c>
      <c r="X196" s="124">
        <f ca="1">Planet(P[[#This Row],[GMT Sun Rise]],10)</f>
        <v>102.88124308394171</v>
      </c>
      <c r="Y196" s="124">
        <f ca="1">SIGN(S197-P[[#This Row],[MARs]])</f>
        <v>-1</v>
      </c>
    </row>
    <row r="197" spans="1:25" x14ac:dyDescent="0.2">
      <c r="A197" s="125">
        <f t="shared" ca="1" si="32"/>
        <v>43289</v>
      </c>
      <c r="B197" s="125">
        <f t="shared" ca="1" si="33"/>
        <v>43289.229166666664</v>
      </c>
      <c r="C197" s="127">
        <f t="shared" ca="1" si="34"/>
        <v>43289.242358730793</v>
      </c>
      <c r="D197" s="127">
        <f t="shared" ca="1" si="35"/>
        <v>43288.777943114794</v>
      </c>
      <c r="E197" s="189">
        <f ca="1">P[[#This Row],[SunRise]]-TimeZone/24</f>
        <v>43289.013192064129</v>
      </c>
      <c r="F197" s="190">
        <f t="shared" ca="1" si="36"/>
        <v>81.707384562032772</v>
      </c>
      <c r="G197" s="190">
        <f t="shared" ca="1" si="37"/>
        <v>12.307646275357866</v>
      </c>
      <c r="H197" s="191">
        <f t="shared" ca="1" si="38"/>
        <v>43289.013192064129</v>
      </c>
      <c r="I197" s="124" t="str">
        <f ca="1">naks(P[[#This Row],[Moon]])</f>
        <v>Aswini</v>
      </c>
      <c r="J197" s="127">
        <f ca="1">(C198-P[[#This Row],[SunRise]])/(G198-P[[#This Row],[Moon]])*(13.3333333333333-MOD(P[[#This Row],[Moon]],13.333333333333))+P[[#This Row],[SunRise]]</f>
        <v>43289.316880009341</v>
      </c>
      <c r="K197" s="124" t="str">
        <f ca="1">IF(P[[#This Row],[Tithi]]&gt;15,"K","S")&amp;ROUNDUP(MOD(P[[#This Row],[Tithi]],15),0)&amp;" ("&amp;ROUND(P[[#This Row],[Tithi]],2)&amp;")"</f>
        <v>K10 (24.22)</v>
      </c>
      <c r="L197" s="124">
        <f ca="1">IF(AND(P[[#This Row],[Tithi]]&lt;28.5,P[[#This Row],[Tithi]]&gt;0.49999),MOD((P[[#This Row],[Tithi]]-0.5)*2,7),MOD((P[[#This Row],[Tithi]]+30-28.5),30)*2+7)</f>
        <v>5.4333999999999989</v>
      </c>
      <c r="M197" s="124" t="str">
        <f ca="1">CHOOSE(ROUNDUP(P[[#This Row],[Karana1]],0),"Bhava","Baalava","Kaulava","Taitula","Garija","Vanija","Vishti","Shakuni","Chatushapda","Naaga","Kimstugna")</f>
        <v>Vanija</v>
      </c>
      <c r="N19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(7.06)</v>
      </c>
      <c r="O197" s="124">
        <f ca="1">IF(AND(P[[#This Row],[Tithi]]&lt;28.5,P[[#This Row],[Tithi]]&gt;0.49999),MOD((P[[#This Row],[Tithi]]-0.5)*2,7),MOD((P[[#This Row],[Tithi]]+30-28.5),30)*2+7)</f>
        <v>5.4333999999999989</v>
      </c>
      <c r="P197" s="124">
        <f ca="1">ROUNDUP(MOD(360+P[[#This Row],[Moon]]-P[[#This Row],[Sun]],360)/12,4)</f>
        <v>24.216699999999999</v>
      </c>
      <c r="Q197" s="124">
        <f t="shared" ca="1" si="39"/>
        <v>7.06</v>
      </c>
      <c r="R197" s="124" t="str">
        <f ca="1">SIGN(S198-P[[#This Row],[MARs]])*INT(P[[#This Row],[MARs]]/30+1)&amp;"Ma,"&amp;SIGN(T198-P[[#This Row],[Merc]])*INT(P[[#This Row],[Merc]]/30+1)&amp;"Me,"&amp;SIGN(U198-P[[#This Row],[Jup]])*INT(P[[#This Row],[Jup]]/30+1)&amp;"Ju,"&amp;SIGN(V198-P[[#This Row],[Venu]])*INT(P[[#This Row],[Venu]]/30+1)&amp;"Ve,"&amp;SIGN(W198-P[[#This Row],[Sat]])*INT(P[[#This Row],[Sat]]/30+1)&amp;"Sa,"&amp;INT(P[[#This Row],[Rah]]/30+1)&amp;"Ra"</f>
        <v>-10Ma,4Me,-7Ju,5Ve,-9Sa,4Ra</v>
      </c>
      <c r="S197" s="124">
        <f ca="1">Planet(P[[#This Row],[GMT Sun Rise]],4)</f>
        <v>284.33036176152206</v>
      </c>
      <c r="T197" s="124">
        <f ca="1">Planet(P[[#This Row],[GMT Sun Rise]],2)</f>
        <v>107.69450465915577</v>
      </c>
      <c r="U197" s="124">
        <f ca="1">Planet(P[[#This Row],[GMT Sun Rise]],5)</f>
        <v>199.24344035151017</v>
      </c>
      <c r="V197" s="124">
        <f ca="1">Planet(P[[#This Row],[GMT Sun Rise]],3)</f>
        <v>123.54164796294303</v>
      </c>
      <c r="W197" s="124">
        <f ca="1">Planet(P[[#This Row],[GMT Sun Rise]],6)</f>
        <v>250.98016751430185</v>
      </c>
      <c r="X197" s="124">
        <f ca="1">Planet(P[[#This Row],[GMT Sun Rise]],10)</f>
        <v>102.82824054113632</v>
      </c>
      <c r="Y197" s="124">
        <f ca="1">SIGN(S198-P[[#This Row],[MARs]])</f>
        <v>-1</v>
      </c>
    </row>
    <row r="198" spans="1:25" x14ac:dyDescent="0.2">
      <c r="A198" s="125">
        <f t="shared" ca="1" si="32"/>
        <v>43290</v>
      </c>
      <c r="B198" s="125">
        <f t="shared" ca="1" si="33"/>
        <v>43290.229166666664</v>
      </c>
      <c r="C198" s="127">
        <f t="shared" ca="1" si="34"/>
        <v>43290.242558684353</v>
      </c>
      <c r="D198" s="127">
        <f t="shared" ca="1" si="35"/>
        <v>43289.777962029024</v>
      </c>
      <c r="E198" s="189">
        <f ca="1">P[[#This Row],[SunRise]]-TimeZone/24</f>
        <v>43290.013392017689</v>
      </c>
      <c r="F198" s="190">
        <f t="shared" ca="1" si="36"/>
        <v>82.661186849625409</v>
      </c>
      <c r="G198" s="190">
        <f t="shared" ca="1" si="37"/>
        <v>26.074078733090381</v>
      </c>
      <c r="H198" s="191">
        <f t="shared" ca="1" si="38"/>
        <v>43290.013392017689</v>
      </c>
      <c r="I198" s="124" t="str">
        <f ca="1">naks(P[[#This Row],[Moon]])</f>
        <v>Bharani</v>
      </c>
      <c r="J198" s="127">
        <f ca="1">(C199-P[[#This Row],[SunRise]])/(G199-P[[#This Row],[Moon]])*(13.3333333333333-MOD(P[[#This Row],[Moon]],13.333333333333))+P[[#This Row],[SunRise]]</f>
        <v>43290.284241603542</v>
      </c>
      <c r="K198" s="124" t="str">
        <f ca="1">IF(P[[#This Row],[Tithi]]&gt;15,"K","S")&amp;ROUNDUP(MOD(P[[#This Row],[Tithi]],15),0)&amp;" ("&amp;ROUND(P[[#This Row],[Tithi]],2)&amp;")"</f>
        <v>K11 (25.28)</v>
      </c>
      <c r="L198" s="124">
        <f ca="1">IF(AND(P[[#This Row],[Tithi]]&lt;28.5,P[[#This Row],[Tithi]]&gt;0.49999),MOD((P[[#This Row],[Tithi]]-0.5)*2,7),MOD((P[[#This Row],[Tithi]]+30-28.5),30)*2+7)</f>
        <v>0.56900000000000261</v>
      </c>
      <c r="M198" s="124" t="str">
        <f ca="1">CHOOSE(ROUNDUP(P[[#This Row],[Karana1]],0),"Bhava","Baalava","Kaulava","Taitula","Garija","Vanija","Vishti","Shakuni","Chatushapda","Naaga","Kimstugna")</f>
        <v>Bhava</v>
      </c>
      <c r="N19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(8.16)</v>
      </c>
      <c r="O198" s="124">
        <f ca="1">IF(AND(P[[#This Row],[Tithi]]&lt;28.5,P[[#This Row],[Tithi]]&gt;0.49999),MOD((P[[#This Row],[Tithi]]-0.5)*2,7),MOD((P[[#This Row],[Tithi]]+30-28.5),30)*2+7)</f>
        <v>0.56900000000000261</v>
      </c>
      <c r="P198" s="124">
        <f ca="1">ROUNDUP(MOD(360+P[[#This Row],[Moon]]-P[[#This Row],[Sun]],360)/12,4)</f>
        <v>25.284500000000001</v>
      </c>
      <c r="Q198" s="124">
        <f t="shared" ca="1" si="39"/>
        <v>8.16</v>
      </c>
      <c r="R198" s="124" t="str">
        <f ca="1">SIGN(S199-P[[#This Row],[MARs]])*INT(P[[#This Row],[MARs]]/30+1)&amp;"Ma,"&amp;SIGN(T199-P[[#This Row],[Merc]])*INT(P[[#This Row],[Merc]]/30+1)&amp;"Me,"&amp;SIGN(U199-P[[#This Row],[Jup]])*INT(P[[#This Row],[Jup]]/30+1)&amp;"Ju,"&amp;SIGN(V199-P[[#This Row],[Venu]])*INT(P[[#This Row],[Venu]]/30+1)&amp;"Ve,"&amp;SIGN(W199-P[[#This Row],[Sat]])*INT(P[[#This Row],[Sat]]/30+1)&amp;"Sa,"&amp;INT(P[[#This Row],[Rah]]/30+1)&amp;"Ra"</f>
        <v>-10Ma,4Me,-7Ju,5Ve,-9Sa,4Ra</v>
      </c>
      <c r="S198" s="124">
        <f ca="1">Planet(P[[#This Row],[GMT Sun Rise]],4)</f>
        <v>284.18629127822311</v>
      </c>
      <c r="T198" s="124">
        <f ca="1">Planet(P[[#This Row],[GMT Sun Rise]],2)</f>
        <v>108.82687513370169</v>
      </c>
      <c r="U198" s="124">
        <f ca="1">Planet(P[[#This Row],[GMT Sun Rise]],5)</f>
        <v>199.23671075988648</v>
      </c>
      <c r="V198" s="124">
        <f ca="1">Planet(P[[#This Row],[GMT Sun Rise]],3)</f>
        <v>124.66458529255456</v>
      </c>
      <c r="W198" s="124">
        <f ca="1">Planet(P[[#This Row],[GMT Sun Rise]],6)</f>
        <v>250.90860564163145</v>
      </c>
      <c r="X198" s="124">
        <f ca="1">Planet(P[[#This Row],[GMT Sun Rise]],10)</f>
        <v>102.7752379477822</v>
      </c>
      <c r="Y198" s="124">
        <f ca="1">SIGN(S199-P[[#This Row],[MARs]])</f>
        <v>-1</v>
      </c>
    </row>
    <row r="199" spans="1:25" x14ac:dyDescent="0.2">
      <c r="A199" s="125">
        <f t="shared" ca="1" si="32"/>
        <v>43291</v>
      </c>
      <c r="B199" s="125">
        <f t="shared" ca="1" si="33"/>
        <v>43291.229166666664</v>
      </c>
      <c r="C199" s="127">
        <f t="shared" ca="1" si="34"/>
        <v>43291.242758955959</v>
      </c>
      <c r="D199" s="127">
        <f t="shared" ca="1" si="35"/>
        <v>43290.777971406977</v>
      </c>
      <c r="E199" s="189">
        <f ca="1">P[[#This Row],[SunRise]]-TimeZone/24</f>
        <v>43291.013592289295</v>
      </c>
      <c r="F199" s="190">
        <f t="shared" ca="1" si="36"/>
        <v>83.615093821126209</v>
      </c>
      <c r="G199" s="190">
        <f t="shared" ca="1" si="37"/>
        <v>40.293490992469408</v>
      </c>
      <c r="H199" s="191">
        <f t="shared" ca="1" si="38"/>
        <v>43291.013592289295</v>
      </c>
      <c r="I199" s="124" t="str">
        <f ca="1">naks(P[[#This Row],[Moon]])</f>
        <v>Rohini</v>
      </c>
      <c r="J199" s="127">
        <f ca="1">(C200-P[[#This Row],[SunRise]])/(G200-P[[#This Row],[Moon]])*(13.3333333333333-MOD(P[[#This Row],[Moon]],13.333333333333))+P[[#This Row],[SunRise]]</f>
        <v>43292.134203565634</v>
      </c>
      <c r="K199" s="124" t="str">
        <f ca="1">IF(P[[#This Row],[Tithi]]&gt;15,"K","S")&amp;ROUNDUP(MOD(P[[#This Row],[Tithi]],15),0)&amp;" ("&amp;ROUND(P[[#This Row],[Tithi]],2)&amp;")"</f>
        <v>K12 (26.39)</v>
      </c>
      <c r="L199" s="124">
        <f ca="1">IF(AND(P[[#This Row],[Tithi]]&lt;28.5,P[[#This Row],[Tithi]]&gt;0.49999),MOD((P[[#This Row],[Tithi]]-0.5)*2,7),MOD((P[[#This Row],[Tithi]]+30-28.5),30)*2+7)</f>
        <v>2.7798000000000016</v>
      </c>
      <c r="M199" s="124" t="str">
        <f ca="1">CHOOSE(ROUNDUP(P[[#This Row],[Karana1]],0),"Bhava","Baalava","Kaulava","Taitula","Garija","Vanija","Vishti","Shakuni","Chatushapda","Naaga","Kimstugna")</f>
        <v>Kaulava</v>
      </c>
      <c r="N19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(9.3)</v>
      </c>
      <c r="O199" s="124">
        <f ca="1">IF(AND(P[[#This Row],[Tithi]]&lt;28.5,P[[#This Row],[Tithi]]&gt;0.49999),MOD((P[[#This Row],[Tithi]]-0.5)*2,7),MOD((P[[#This Row],[Tithi]]+30-28.5),30)*2+7)</f>
        <v>2.7798000000000016</v>
      </c>
      <c r="P199" s="124">
        <f ca="1">ROUNDUP(MOD(360+P[[#This Row],[Moon]]-P[[#This Row],[Sun]],360)/12,4)</f>
        <v>26.389900000000001</v>
      </c>
      <c r="Q199" s="124">
        <f t="shared" ca="1" si="39"/>
        <v>9.2999999999999989</v>
      </c>
      <c r="R199" s="124" t="str">
        <f ca="1">SIGN(S200-P[[#This Row],[MARs]])*INT(P[[#This Row],[MARs]]/30+1)&amp;"Ma,"&amp;SIGN(T200-P[[#This Row],[Merc]])*INT(P[[#This Row],[Merc]]/30+1)&amp;"Me,"&amp;SIGN(U200-P[[#This Row],[Jup]])*INT(P[[#This Row],[Jup]]/30+1)&amp;"Ju,"&amp;SIGN(V200-P[[#This Row],[Venu]])*INT(P[[#This Row],[Venu]]/30+1)&amp;"Ve,"&amp;SIGN(W200-P[[#This Row],[Sat]])*INT(P[[#This Row],[Sat]]/30+1)&amp;"Sa,"&amp;INT(P[[#This Row],[Rah]]/30+1)&amp;"Ra"</f>
        <v>-10Ma,4Me,-7Ju,5Ve,-9Sa,4Ra</v>
      </c>
      <c r="S199" s="124">
        <f ca="1">Planet(P[[#This Row],[GMT Sun Rise]],4)</f>
        <v>284.03069483114103</v>
      </c>
      <c r="T199" s="124">
        <f ca="1">Planet(P[[#This Row],[GMT Sun Rise]],2)</f>
        <v>109.91252720827299</v>
      </c>
      <c r="U199" s="124">
        <f ca="1">Planet(P[[#This Row],[GMT Sun Rise]],5)</f>
        <v>199.23300933868202</v>
      </c>
      <c r="V199" s="124">
        <f ca="1">Planet(P[[#This Row],[GMT Sun Rise]],3)</f>
        <v>125.78525578615394</v>
      </c>
      <c r="W199" s="124">
        <f ca="1">Planet(P[[#This Row],[GMT Sun Rise]],6)</f>
        <v>250.83745531825124</v>
      </c>
      <c r="X199" s="124">
        <f ca="1">Planet(P[[#This Row],[GMT Sun Rise]],10)</f>
        <v>102.7222353375802</v>
      </c>
      <c r="Y199" s="124">
        <f ca="1">SIGN(S200-P[[#This Row],[MARs]])</f>
        <v>-1</v>
      </c>
    </row>
    <row r="200" spans="1:25" x14ac:dyDescent="0.2">
      <c r="A200" s="125">
        <f t="shared" ca="1" si="32"/>
        <v>43292</v>
      </c>
      <c r="B200" s="125">
        <f t="shared" ca="1" si="33"/>
        <v>43292.229166666664</v>
      </c>
      <c r="C200" s="127">
        <f t="shared" ca="1" si="34"/>
        <v>43292.242959545612</v>
      </c>
      <c r="D200" s="127">
        <f t="shared" ca="1" si="35"/>
        <v>43291.777971406977</v>
      </c>
      <c r="E200" s="189">
        <f ca="1">P[[#This Row],[SunRise]]-TimeZone/24</f>
        <v>43292.013792878948</v>
      </c>
      <c r="F200" s="190">
        <f t="shared" ca="1" si="36"/>
        <v>84.569103874152859</v>
      </c>
      <c r="G200" s="190">
        <f t="shared" ca="1" si="37"/>
        <v>54.92419026053097</v>
      </c>
      <c r="H200" s="191">
        <f t="shared" ca="1" si="38"/>
        <v>43292.013792878948</v>
      </c>
      <c r="I200" s="124" t="str">
        <f ca="1">naks(P[[#This Row],[Moon]])</f>
        <v>Mrigashira</v>
      </c>
      <c r="J200" s="127">
        <f ca="1">(C201-P[[#This Row],[SunRise]])/(G201-P[[#This Row],[Moon]])*(13.3333333333333-MOD(P[[#This Row],[Moon]],13.333333333333))+P[[#This Row],[SunRise]]</f>
        <v>43293.028404118675</v>
      </c>
      <c r="K200" s="124" t="str">
        <f ca="1">IF(P[[#This Row],[Tithi]]&gt;15,"K","S")&amp;ROUNDUP(MOD(P[[#This Row],[Tithi]],15),0)&amp;" ("&amp;ROUND(P[[#This Row],[Tithi]],2)&amp;")"</f>
        <v>K13 (27.53)</v>
      </c>
      <c r="L200" s="124">
        <f ca="1">IF(AND(P[[#This Row],[Tithi]]&lt;28.5,P[[#This Row],[Tithi]]&gt;0.49999),MOD((P[[#This Row],[Tithi]]-0.5)*2,7),MOD((P[[#This Row],[Tithi]]+30-28.5),30)*2+7)</f>
        <v>5.059199999999997</v>
      </c>
      <c r="M200" s="124" t="str">
        <f ca="1">CHOOSE(ROUNDUP(P[[#This Row],[Karana1]],0),"Bhava","Baalava","Kaulava","Taitula","Garija","Vanija","Vishti","Shakuni","Chatushapda","Naaga","Kimstugna")</f>
        <v>Vanija</v>
      </c>
      <c r="N20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(10.47)</v>
      </c>
      <c r="O200" s="124">
        <f ca="1">IF(AND(P[[#This Row],[Tithi]]&lt;28.5,P[[#This Row],[Tithi]]&gt;0.49999),MOD((P[[#This Row],[Tithi]]-0.5)*2,7),MOD((P[[#This Row],[Tithi]]+30-28.5),30)*2+7)</f>
        <v>5.059199999999997</v>
      </c>
      <c r="P200" s="124">
        <f ca="1">ROUNDUP(MOD(360+P[[#This Row],[Moon]]-P[[#This Row],[Sun]],360)/12,4)</f>
        <v>27.529599999999999</v>
      </c>
      <c r="Q200" s="124">
        <f t="shared" ca="1" si="39"/>
        <v>10.47</v>
      </c>
      <c r="R200" s="124" t="str">
        <f ca="1">SIGN(S201-P[[#This Row],[MARs]])*INT(P[[#This Row],[MARs]]/30+1)&amp;"Ma,"&amp;SIGN(T201-P[[#This Row],[Merc]])*INT(P[[#This Row],[Merc]]/30+1)&amp;"Me,"&amp;SIGN(U201-P[[#This Row],[Jup]])*INT(P[[#This Row],[Jup]]/30+1)&amp;"Ju,"&amp;SIGN(V201-P[[#This Row],[Venu]])*INT(P[[#This Row],[Venu]]/30+1)&amp;"Ve,"&amp;SIGN(W201-P[[#This Row],[Sat]])*INT(P[[#This Row],[Sat]]/30+1)&amp;"Sa,"&amp;INT(P[[#This Row],[Rah]]/30+1)&amp;"Ra"</f>
        <v>-10Ma,4Me,7Ju,5Ve,-9Sa,4Ra</v>
      </c>
      <c r="S200" s="124">
        <f ca="1">Planet(P[[#This Row],[GMT Sun Rise]],4)</f>
        <v>283.86388686683551</v>
      </c>
      <c r="T200" s="124">
        <f ca="1">Planet(P[[#This Row],[GMT Sun Rise]],2)</f>
        <v>110.95002679220796</v>
      </c>
      <c r="U200" s="124">
        <f ca="1">Planet(P[[#This Row],[GMT Sun Rise]],5)</f>
        <v>199.23234047766664</v>
      </c>
      <c r="V200" s="124">
        <f ca="1">Planet(P[[#This Row],[GMT Sun Rise]],3)</f>
        <v>126.90361102833656</v>
      </c>
      <c r="W200" s="124">
        <f ca="1">Planet(P[[#This Row],[GMT Sun Rise]],6)</f>
        <v>250.76675420138349</v>
      </c>
      <c r="X200" s="124">
        <f ca="1">Planet(P[[#This Row],[GMT Sun Rise]],10)</f>
        <v>102.6692327104973</v>
      </c>
      <c r="Y200" s="124">
        <f ca="1">SIGN(S201-P[[#This Row],[MARs]])</f>
        <v>-1</v>
      </c>
    </row>
    <row r="201" spans="1:25" x14ac:dyDescent="0.2">
      <c r="A201" s="125">
        <f t="shared" ca="1" si="32"/>
        <v>43293</v>
      </c>
      <c r="B201" s="125">
        <f t="shared" ca="1" si="33"/>
        <v>43293.229166666664</v>
      </c>
      <c r="C201" s="127">
        <f t="shared" ca="1" si="34"/>
        <v>43293.243159817219</v>
      </c>
      <c r="D201" s="127">
        <f t="shared" ca="1" si="35"/>
        <v>43292.777961393396</v>
      </c>
      <c r="E201" s="189">
        <f ca="1">P[[#This Row],[SunRise]]-TimeZone/24</f>
        <v>43293.013993150555</v>
      </c>
      <c r="F201" s="190">
        <f t="shared" ca="1" si="36"/>
        <v>85.523209840321854</v>
      </c>
      <c r="G201" s="190">
        <f t="shared" ca="1" si="37"/>
        <v>69.877286244092232</v>
      </c>
      <c r="H201" s="191">
        <f t="shared" ca="1" si="38"/>
        <v>43293.013993150555</v>
      </c>
      <c r="I201" s="124" t="str">
        <f ca="1">naks(P[[#This Row],[Moon]])</f>
        <v>Ardra</v>
      </c>
      <c r="J201" s="127">
        <f ca="1">(C202-P[[#This Row],[SunRise]])/(G202-P[[#This Row],[Moon]])*(13.3333333333333-MOD(P[[#This Row],[Moon]],13.333333333333))+P[[#This Row],[SunRise]]</f>
        <v>43293.911658304671</v>
      </c>
      <c r="K201" s="124" t="str">
        <f ca="1">IF(P[[#This Row],[Tithi]]&gt;15,"K","S")&amp;ROUNDUP(MOD(P[[#This Row],[Tithi]],15),0)&amp;" ("&amp;ROUND(P[[#This Row],[Tithi]],2)&amp;")"</f>
        <v>K14 (28.7)</v>
      </c>
      <c r="L201" s="124">
        <f ca="1">IF(AND(P[[#This Row],[Tithi]]&lt;28.5,P[[#This Row],[Tithi]]&gt;0.49999),MOD((P[[#This Row],[Tithi]]-0.5)*2,7),MOD((P[[#This Row],[Tithi]]+30-28.5),30)*2+7)</f>
        <v>7.3924000000000092</v>
      </c>
      <c r="M201" s="124" t="str">
        <f ca="1">CHOOSE(ROUNDUP(P[[#This Row],[Karana1]],0),"Bhava","Baalava","Kaulava","Taitula","Garija","Vanija","Vishti","Shakuni","Chatushapda","Naaga","Kimstugna")</f>
        <v>Shakuni</v>
      </c>
      <c r="N20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(11.66)</v>
      </c>
      <c r="O201" s="124">
        <f ca="1">IF(AND(P[[#This Row],[Tithi]]&lt;28.5,P[[#This Row],[Tithi]]&gt;0.49999),MOD((P[[#This Row],[Tithi]]-0.5)*2,7),MOD((P[[#This Row],[Tithi]]+30-28.5),30)*2+7)</f>
        <v>7.3924000000000092</v>
      </c>
      <c r="P201" s="124">
        <f ca="1">ROUNDUP(MOD(360+P[[#This Row],[Moon]]-P[[#This Row],[Sun]],360)/12,4)</f>
        <v>28.696200000000001</v>
      </c>
      <c r="Q201" s="124">
        <f t="shared" ca="1" si="39"/>
        <v>11.66</v>
      </c>
      <c r="R201" s="124" t="str">
        <f ca="1">SIGN(S202-P[[#This Row],[MARs]])*INT(P[[#This Row],[MARs]]/30+1)&amp;"Ma,"&amp;SIGN(T202-P[[#This Row],[Merc]])*INT(P[[#This Row],[Merc]]/30+1)&amp;"Me,"&amp;SIGN(U202-P[[#This Row],[Jup]])*INT(P[[#This Row],[Jup]]/30+1)&amp;"Ju,"&amp;SIGN(V202-P[[#This Row],[Venu]])*INT(P[[#This Row],[Venu]]/30+1)&amp;"Ve,"&amp;SIGN(W202-P[[#This Row],[Sat]])*INT(P[[#This Row],[Sat]]/30+1)&amp;"Sa,"&amp;INT(P[[#This Row],[Rah]]/30+1)&amp;"Ra"</f>
        <v>-10Ma,4Me,7Ju,5Ve,-9Sa,4Ra</v>
      </c>
      <c r="S201" s="124">
        <f ca="1">Planet(P[[#This Row],[GMT Sun Rise]],4)</f>
        <v>283.68623478305267</v>
      </c>
      <c r="T201" s="124">
        <f ca="1">Planet(P[[#This Row],[GMT Sun Rise]],2)</f>
        <v>111.93778962017703</v>
      </c>
      <c r="U201" s="124">
        <f ca="1">Planet(P[[#This Row],[GMT Sun Rise]],5)</f>
        <v>199.23470721370094</v>
      </c>
      <c r="V201" s="124">
        <f ca="1">Planet(P[[#This Row],[GMT Sun Rise]],3)</f>
        <v>128.01959513856883</v>
      </c>
      <c r="W201" s="124">
        <f ca="1">Planet(P[[#This Row],[GMT Sun Rise]],6)</f>
        <v>250.69654030679783</v>
      </c>
      <c r="X201" s="124">
        <f ca="1">Planet(P[[#This Row],[GMT Sun Rise]],10)</f>
        <v>102.61623010031717</v>
      </c>
      <c r="Y201" s="124">
        <f ca="1">SIGN(S202-P[[#This Row],[MARs]])</f>
        <v>-1</v>
      </c>
    </row>
    <row r="202" spans="1:25" x14ac:dyDescent="0.2">
      <c r="A202" s="125">
        <f t="shared" ca="1" si="32"/>
        <v>43294</v>
      </c>
      <c r="B202" s="125">
        <f t="shared" ca="1" si="33"/>
        <v>43294.229166666664</v>
      </c>
      <c r="C202" s="127">
        <f t="shared" ca="1" si="34"/>
        <v>43294.243359770779</v>
      </c>
      <c r="D202" s="127">
        <f t="shared" ca="1" si="35"/>
        <v>43293.777941684282</v>
      </c>
      <c r="E202" s="189">
        <f ca="1">P[[#This Row],[SunRise]]-TimeZone/24</f>
        <v>43294.014193104114</v>
      </c>
      <c r="F202" s="190">
        <f t="shared" ca="1" si="36"/>
        <v>86.477400741320352</v>
      </c>
      <c r="G202" s="190">
        <f t="shared" ca="1" si="37"/>
        <v>85.022777249082409</v>
      </c>
      <c r="H202" s="191">
        <f t="shared" ca="1" si="38"/>
        <v>43294.014193104114</v>
      </c>
      <c r="I202" s="124" t="str">
        <f ca="1">naks(P[[#This Row],[Moon]])</f>
        <v>Punarvasu</v>
      </c>
      <c r="J202" s="127">
        <f ca="1">(C203-P[[#This Row],[SunRise]])/(G203-P[[#This Row],[Moon]])*(13.3333333333333-MOD(P[[#This Row],[Moon]],13.333333333333))+P[[#This Row],[SunRise]]</f>
        <v>43294.790822385803</v>
      </c>
      <c r="K202" s="124" t="str">
        <f ca="1">IF(P[[#This Row],[Tithi]]&gt;15,"K","S")&amp;ROUNDUP(MOD(P[[#This Row],[Tithi]],15),0)&amp;" ("&amp;ROUND(P[[#This Row],[Tithi]],2)&amp;")"</f>
        <v>K15 (29.88)</v>
      </c>
      <c r="L202" s="124">
        <f ca="1">IF(AND(P[[#This Row],[Tithi]]&lt;28.5,P[[#This Row],[Tithi]]&gt;0.49999),MOD((P[[#This Row],[Tithi]]-0.5)*2,7),MOD((P[[#This Row],[Tithi]]+30-28.5),30)*2+7)</f>
        <v>9.7575999999999965</v>
      </c>
      <c r="M202" s="124" t="str">
        <f ca="1">CHOOSE(ROUNDUP(P[[#This Row],[Karana1]],0),"Bhava","Baalava","Kaulava","Taitula","Garija","Vanija","Vishti","Shakuni","Chatushapda","Naaga","Kimstugna")</f>
        <v>Naaga</v>
      </c>
      <c r="N20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(12.87)</v>
      </c>
      <c r="O202" s="124">
        <f ca="1">IF(AND(P[[#This Row],[Tithi]]&lt;28.5,P[[#This Row],[Tithi]]&gt;0.49999),MOD((P[[#This Row],[Tithi]]-0.5)*2,7),MOD((P[[#This Row],[Tithi]]+30-28.5),30)*2+7)</f>
        <v>9.7575999999999965</v>
      </c>
      <c r="P202" s="124">
        <f ca="1">ROUNDUP(MOD(360+P[[#This Row],[Moon]]-P[[#This Row],[Sun]],360)/12,4)</f>
        <v>29.878799999999998</v>
      </c>
      <c r="Q202" s="124">
        <f t="shared" ca="1" si="39"/>
        <v>12.87</v>
      </c>
      <c r="R202" s="124" t="str">
        <f ca="1">SIGN(S203-P[[#This Row],[MARs]])*INT(P[[#This Row],[MARs]]/30+1)&amp;"Ma,"&amp;SIGN(T203-P[[#This Row],[Merc]])*INT(P[[#This Row],[Merc]]/30+1)&amp;"Me,"&amp;SIGN(U203-P[[#This Row],[Jup]])*INT(P[[#This Row],[Jup]]/30+1)&amp;"Ju,"&amp;SIGN(V203-P[[#This Row],[Venu]])*INT(P[[#This Row],[Venu]]/30+1)&amp;"Ve,"&amp;SIGN(W203-P[[#This Row],[Sat]])*INT(P[[#This Row],[Sat]]/30+1)&amp;"Sa,"&amp;INT(P[[#This Row],[Rah]]/30+1)&amp;"Ra"</f>
        <v>-10Ma,4Me,7Ju,5Ve,-9Sa,4Ra</v>
      </c>
      <c r="S202" s="124">
        <f ca="1">Planet(P[[#This Row],[GMT Sun Rise]],4)</f>
        <v>283.498159641641</v>
      </c>
      <c r="T202" s="124">
        <f ca="1">Planet(P[[#This Row],[GMT Sun Rise]],2)</f>
        <v>112.87407927076865</v>
      </c>
      <c r="U202" s="124">
        <f ca="1">Planet(P[[#This Row],[GMT Sun Rise]],5)</f>
        <v>199.24011074859578</v>
      </c>
      <c r="V202" s="124">
        <f ca="1">Planet(P[[#This Row],[GMT Sun Rise]],3)</f>
        <v>129.13314496105494</v>
      </c>
      <c r="W202" s="124">
        <f ca="1">Planet(P[[#This Row],[GMT Sun Rise]],6)</f>
        <v>250.62685174224256</v>
      </c>
      <c r="X202" s="124">
        <f ca="1">Planet(P[[#This Row],[GMT Sun Rise]],10)</f>
        <v>102.56322750699015</v>
      </c>
      <c r="Y202" s="124">
        <f ca="1">SIGN(S203-P[[#This Row],[MARs]])</f>
        <v>-1</v>
      </c>
    </row>
    <row r="203" spans="1:25" x14ac:dyDescent="0.2">
      <c r="A203" s="125">
        <f t="shared" ref="A203:A266" ca="1" si="40">A202+1</f>
        <v>43295</v>
      </c>
      <c r="B203" s="125">
        <f t="shared" ca="1" si="33"/>
        <v>43295.229166666664</v>
      </c>
      <c r="C203" s="127">
        <f t="shared" ca="1" si="34"/>
        <v>43295.243559088711</v>
      </c>
      <c r="D203" s="127">
        <f t="shared" ca="1" si="35"/>
        <v>43294.777911643541</v>
      </c>
      <c r="E203" s="189">
        <f ca="1">P[[#This Row],[SunRise]]-TimeZone/24</f>
        <v>43295.014392422047</v>
      </c>
      <c r="F203" s="190">
        <f t="shared" ca="1" si="36"/>
        <v>87.431662402117325</v>
      </c>
      <c r="G203" s="190">
        <f t="shared" ca="1" si="37"/>
        <v>100.20593733895718</v>
      </c>
      <c r="H203" s="191">
        <f t="shared" ca="1" si="38"/>
        <v>43295.014392422047</v>
      </c>
      <c r="I203" s="124" t="str">
        <f ca="1">naks(P[[#This Row],[Moon]])</f>
        <v>Pushya</v>
      </c>
      <c r="J203" s="127">
        <f ca="1">(C204-P[[#This Row],[SunRise]])/(G204-P[[#This Row],[Moon]])*(13.3333333333333-MOD(P[[#This Row],[Moon]],13.333333333333))+P[[#This Row],[SunRise]]</f>
        <v>43295.672520435473</v>
      </c>
      <c r="K203" s="124" t="str">
        <f ca="1">IF(P[[#This Row],[Tithi]]&gt;15,"K","S")&amp;ROUNDUP(MOD(P[[#This Row],[Tithi]],15),0)&amp;" ("&amp;ROUND(P[[#This Row],[Tithi]],2)&amp;")"</f>
        <v>S2 (1.06)</v>
      </c>
      <c r="L203" s="124">
        <f ca="1">IF(AND(P[[#This Row],[Tithi]]&lt;28.5,P[[#This Row],[Tithi]]&gt;0.49999),MOD((P[[#This Row],[Tithi]]-0.5)*2,7),MOD((P[[#This Row],[Tithi]]+30-28.5),30)*2+7)</f>
        <v>1.1292</v>
      </c>
      <c r="M203" s="124" t="str">
        <f ca="1">CHOOSE(ROUNDUP(P[[#This Row],[Karana1]],0),"Bhava","Baalava","Kaulava","Taitula","Garija","Vanija","Vishti","Shakuni","Chatushapda","Naaga","Kimstugna")</f>
        <v>Baalava</v>
      </c>
      <c r="N20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(14.08)</v>
      </c>
      <c r="O203" s="124">
        <f ca="1">IF(AND(P[[#This Row],[Tithi]]&lt;28.5,P[[#This Row],[Tithi]]&gt;0.49999),MOD((P[[#This Row],[Tithi]]-0.5)*2,7),MOD((P[[#This Row],[Tithi]]+30-28.5),30)*2+7)</f>
        <v>1.1292</v>
      </c>
      <c r="P203" s="124">
        <f ca="1">ROUNDUP(MOD(360+P[[#This Row],[Moon]]-P[[#This Row],[Sun]],360)/12,4)</f>
        <v>1.0646</v>
      </c>
      <c r="Q203" s="124">
        <f t="shared" ca="1" si="39"/>
        <v>14.08</v>
      </c>
      <c r="R203" s="124" t="str">
        <f ca="1">SIGN(S204-P[[#This Row],[MARs]])*INT(P[[#This Row],[MARs]]/30+1)&amp;"Ma,"&amp;SIGN(T204-P[[#This Row],[Merc]])*INT(P[[#This Row],[Merc]]/30+1)&amp;"Me,"&amp;SIGN(U204-P[[#This Row],[Jup]])*INT(P[[#This Row],[Jup]]/30+1)&amp;"Ju,"&amp;SIGN(V204-P[[#This Row],[Venu]])*INT(P[[#This Row],[Venu]]/30+1)&amp;"Ve,"&amp;SIGN(W204-P[[#This Row],[Sat]])*INT(P[[#This Row],[Sat]]/30+1)&amp;"Sa,"&amp;INT(P[[#This Row],[Rah]]/30+1)&amp;"Ra"</f>
        <v>-10Ma,4Me,7Ju,5Ve,-9Sa,4Ra</v>
      </c>
      <c r="S203" s="124">
        <f ca="1">Planet(P[[#This Row],[GMT Sun Rise]],4)</f>
        <v>283.300133702084</v>
      </c>
      <c r="T203" s="124">
        <f ca="1">Planet(P[[#This Row],[GMT Sun Rise]],2)</f>
        <v>113.75700560179379</v>
      </c>
      <c r="U203" s="124">
        <f ca="1">Planet(P[[#This Row],[GMT Sun Rise]],5)</f>
        <v>199.24854993640133</v>
      </c>
      <c r="V203" s="124">
        <f ca="1">Planet(P[[#This Row],[GMT Sun Rise]],3)</f>
        <v>130.24418859564932</v>
      </c>
      <c r="W203" s="124">
        <f ca="1">Planet(P[[#This Row],[GMT Sun Rise]],6)</f>
        <v>250.55772647600793</v>
      </c>
      <c r="X203" s="124">
        <f ca="1">Planet(P[[#This Row],[GMT Sun Rise]],10)</f>
        <v>102.51022494733363</v>
      </c>
      <c r="Y203" s="124">
        <f ca="1">SIGN(S204-P[[#This Row],[MARs]])</f>
        <v>-1</v>
      </c>
    </row>
    <row r="204" spans="1:25" x14ac:dyDescent="0.2">
      <c r="A204" s="125">
        <f t="shared" ca="1" si="40"/>
        <v>43296</v>
      </c>
      <c r="B204" s="125">
        <f t="shared" ca="1" si="33"/>
        <v>43296.229166666664</v>
      </c>
      <c r="C204" s="127">
        <f t="shared" ca="1" si="34"/>
        <v>43296.243757135388</v>
      </c>
      <c r="D204" s="127">
        <f t="shared" ca="1" si="35"/>
        <v>43295.77787158922</v>
      </c>
      <c r="E204" s="189">
        <f ca="1">P[[#This Row],[SunRise]]-TimeZone/24</f>
        <v>43296.014590468723</v>
      </c>
      <c r="F204" s="190">
        <f t="shared" ca="1" si="36"/>
        <v>88.385979772667639</v>
      </c>
      <c r="G204" s="190">
        <f t="shared" ca="1" si="37"/>
        <v>115.27025234640347</v>
      </c>
      <c r="H204" s="191">
        <f t="shared" ca="1" si="38"/>
        <v>43296.014590468723</v>
      </c>
      <c r="I204" s="124" t="str">
        <f ca="1">naks(P[[#This Row],[Moon]])</f>
        <v>Aslesha</v>
      </c>
      <c r="J204" s="127">
        <f ca="1">(C205-P[[#This Row],[SunRise]])/(G205-P[[#This Row],[Moon]])*(13.3333333333333-MOD(P[[#This Row],[Moon]],13.333333333333))+P[[#This Row],[SunRise]]</f>
        <v>43296.563184209132</v>
      </c>
      <c r="K204" s="124" t="str">
        <f ca="1">IF(P[[#This Row],[Tithi]]&gt;15,"K","S")&amp;ROUNDUP(MOD(P[[#This Row],[Tithi]],15),0)&amp;" ("&amp;ROUND(P[[#This Row],[Tithi]],2)&amp;")"</f>
        <v>S3 (2.24)</v>
      </c>
      <c r="L204" s="124">
        <f ca="1">IF(AND(P[[#This Row],[Tithi]]&lt;28.5,P[[#This Row],[Tithi]]&gt;0.49999),MOD((P[[#This Row],[Tithi]]-0.5)*2,7),MOD((P[[#This Row],[Tithi]]+30-28.5),30)*2+7)</f>
        <v>3.4808000000000003</v>
      </c>
      <c r="M204" s="124" t="str">
        <f ca="1">CHOOSE(ROUNDUP(P[[#This Row],[Karana1]],0),"Bhava","Baalava","Kaulava","Taitula","Garija","Vanija","Vishti","Shakuni","Chatushapda","Naaga","Kimstugna")</f>
        <v>Taitula</v>
      </c>
      <c r="N20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(15.28)</v>
      </c>
      <c r="O204" s="124">
        <f ca="1">IF(AND(P[[#This Row],[Tithi]]&lt;28.5,P[[#This Row],[Tithi]]&gt;0.49999),MOD((P[[#This Row],[Tithi]]-0.5)*2,7),MOD((P[[#This Row],[Tithi]]+30-28.5),30)*2+7)</f>
        <v>3.4808000000000003</v>
      </c>
      <c r="P204" s="124">
        <f ca="1">ROUNDUP(MOD(360+P[[#This Row],[Moon]]-P[[#This Row],[Sun]],360)/12,4)</f>
        <v>2.2404000000000002</v>
      </c>
      <c r="Q204" s="124">
        <f t="shared" ca="1" si="39"/>
        <v>15.28</v>
      </c>
      <c r="R204" s="124" t="str">
        <f ca="1">SIGN(S205-P[[#This Row],[MARs]])*INT(P[[#This Row],[MARs]]/30+1)&amp;"Ma,"&amp;SIGN(T205-P[[#This Row],[Merc]])*INT(P[[#This Row],[Merc]]/30+1)&amp;"Me,"&amp;SIGN(U205-P[[#This Row],[Jup]])*INT(P[[#This Row],[Jup]]/30+1)&amp;"Ju,"&amp;SIGN(V205-P[[#This Row],[Venu]])*INT(P[[#This Row],[Venu]]/30+1)&amp;"Ve,"&amp;SIGN(W205-P[[#This Row],[Sat]])*INT(P[[#This Row],[Sat]]/30+1)&amp;"Sa,"&amp;INT(P[[#This Row],[Rah]]/30+1)&amp;"Ra"</f>
        <v>-10Ma,4Me,7Ju,5Ve,-9Sa,4Ra</v>
      </c>
      <c r="S204" s="124">
        <f ca="1">Planet(P[[#This Row],[GMT Sun Rise]],4)</f>
        <v>283.09267413318059</v>
      </c>
      <c r="T204" s="124">
        <f ca="1">Planet(P[[#This Row],[GMT Sun Rise]],2)</f>
        <v>114.58452781534606</v>
      </c>
      <c r="U204" s="124">
        <f ca="1">Planet(P[[#This Row],[GMT Sun Rise]],5)</f>
        <v>199.26002089185229</v>
      </c>
      <c r="V204" s="124">
        <f ca="1">Planet(P[[#This Row],[GMT Sun Rise]],3)</f>
        <v>131.35264616514837</v>
      </c>
      <c r="W204" s="124">
        <f ca="1">Planet(P[[#This Row],[GMT Sun Rise]],6)</f>
        <v>250.48920196251137</v>
      </c>
      <c r="X204" s="124">
        <f ca="1">Planet(P[[#This Row],[GMT Sun Rise]],10)</f>
        <v>102.4572224550484</v>
      </c>
      <c r="Y204" s="124">
        <f ca="1">SIGN(S205-P[[#This Row],[MARs]])</f>
        <v>-1</v>
      </c>
    </row>
    <row r="205" spans="1:25" x14ac:dyDescent="0.2">
      <c r="A205" s="125">
        <f t="shared" ca="1" si="40"/>
        <v>43297</v>
      </c>
      <c r="B205" s="125">
        <f t="shared" ca="1" si="33"/>
        <v>43297.229166666664</v>
      </c>
      <c r="C205" s="127">
        <f t="shared" ca="1" si="34"/>
        <v>43297.243953909878</v>
      </c>
      <c r="D205" s="127">
        <f t="shared" ca="1" si="35"/>
        <v>43296.777820885225</v>
      </c>
      <c r="E205" s="189">
        <f ca="1">P[[#This Row],[SunRise]]-TimeZone/24</f>
        <v>43297.014787243214</v>
      </c>
      <c r="F205" s="190">
        <f t="shared" ca="1" si="36"/>
        <v>89.340340381352604</v>
      </c>
      <c r="G205" s="190">
        <f t="shared" ca="1" si="37"/>
        <v>130.08013771977801</v>
      </c>
      <c r="H205" s="191">
        <f t="shared" ca="1" si="38"/>
        <v>43297.014787243214</v>
      </c>
      <c r="I205" s="124" t="str">
        <f ca="1">naks(P[[#This Row],[Moon]])</f>
        <v>Makha</v>
      </c>
      <c r="J205" s="127">
        <f ca="1">(C206-P[[#This Row],[SunRise]])/(G206-P[[#This Row],[Moon]])*(13.3333333333333-MOD(P[[#This Row],[Moon]],13.333333333333))+P[[#This Row],[SunRise]]</f>
        <v>43297.469025632534</v>
      </c>
      <c r="K205" s="124" t="str">
        <f ca="1">IF(P[[#This Row],[Tithi]]&gt;15,"K","S")&amp;ROUNDUP(MOD(P[[#This Row],[Tithi]],15),0)&amp;" ("&amp;ROUND(P[[#This Row],[Tithi]],2)&amp;")"</f>
        <v>S4 (3.4)</v>
      </c>
      <c r="L205" s="124">
        <f ca="1">IF(AND(P[[#This Row],[Tithi]]&lt;28.5,P[[#This Row],[Tithi]]&gt;0.49999),MOD((P[[#This Row],[Tithi]]-0.5)*2,7),MOD((P[[#This Row],[Tithi]]+30-28.5),30)*2+7)</f>
        <v>5.79</v>
      </c>
      <c r="M205" s="124" t="str">
        <f ca="1">CHOOSE(ROUNDUP(P[[#This Row],[Karana1]],0),"Bhava","Baalava","Kaulava","Taitula","Garija","Vanija","Vishti","Shakuni","Chatushapda","Naaga","Kimstugna")</f>
        <v>Vanija</v>
      </c>
      <c r="N20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(16.46)</v>
      </c>
      <c r="O205" s="124">
        <f ca="1">IF(AND(P[[#This Row],[Tithi]]&lt;28.5,P[[#This Row],[Tithi]]&gt;0.49999),MOD((P[[#This Row],[Tithi]]-0.5)*2,7),MOD((P[[#This Row],[Tithi]]+30-28.5),30)*2+7)</f>
        <v>5.79</v>
      </c>
      <c r="P205" s="124">
        <f ca="1">ROUNDUP(MOD(360+P[[#This Row],[Moon]]-P[[#This Row],[Sun]],360)/12,4)</f>
        <v>3.395</v>
      </c>
      <c r="Q205" s="124">
        <f t="shared" ca="1" si="39"/>
        <v>16.46</v>
      </c>
      <c r="R205" s="124" t="str">
        <f ca="1">SIGN(S206-P[[#This Row],[MARs]])*INT(P[[#This Row],[MARs]]/30+1)&amp;"Ma,"&amp;SIGN(T206-P[[#This Row],[Merc]])*INT(P[[#This Row],[Merc]]/30+1)&amp;"Me,"&amp;SIGN(U206-P[[#This Row],[Jup]])*INT(P[[#This Row],[Jup]]/30+1)&amp;"Ju,"&amp;SIGN(V206-P[[#This Row],[Venu]])*INT(P[[#This Row],[Venu]]/30+1)&amp;"Ve,"&amp;SIGN(W206-P[[#This Row],[Sat]])*INT(P[[#This Row],[Sat]]/30+1)&amp;"Sa,"&amp;INT(P[[#This Row],[Rah]]/30+1)&amp;"Ra"</f>
        <v>-10Ma,4Me,7Ju,5Ve,-9Sa,4Ra</v>
      </c>
      <c r="S205" s="124">
        <f ca="1">Planet(P[[#This Row],[GMT Sun Rise]],4)</f>
        <v>282.87633413109182</v>
      </c>
      <c r="T205" s="124">
        <f ca="1">Planet(P[[#This Row],[GMT Sun Rise]],2)</f>
        <v>115.35446223422638</v>
      </c>
      <c r="U205" s="124">
        <f ca="1">Planet(P[[#This Row],[GMT Sun Rise]],5)</f>
        <v>199.27451688007255</v>
      </c>
      <c r="V205" s="124">
        <f ca="1">Planet(P[[#This Row],[GMT Sun Rise]],3)</f>
        <v>132.45843269537633</v>
      </c>
      <c r="W205" s="124">
        <f ca="1">Planet(P[[#This Row],[GMT Sun Rise]],6)</f>
        <v>250.4213147201184</v>
      </c>
      <c r="X205" s="124">
        <f ca="1">Planet(P[[#This Row],[GMT Sun Rise]],10)</f>
        <v>102.40422003020086</v>
      </c>
      <c r="Y205" s="124">
        <f ca="1">SIGN(S206-P[[#This Row],[MARs]])</f>
        <v>-1</v>
      </c>
    </row>
    <row r="206" spans="1:25" x14ac:dyDescent="0.2">
      <c r="A206" s="125">
        <f t="shared" ca="1" si="40"/>
        <v>43298</v>
      </c>
      <c r="B206" s="125">
        <f t="shared" ca="1" si="33"/>
        <v>43298.229166666664</v>
      </c>
      <c r="C206" s="127">
        <f t="shared" ca="1" si="34"/>
        <v>43298.244148936275</v>
      </c>
      <c r="D206" s="127">
        <f t="shared" ca="1" si="35"/>
        <v>43297.777759850069</v>
      </c>
      <c r="E206" s="189">
        <f ca="1">P[[#This Row],[SunRise]]-TimeZone/24</f>
        <v>43298.014982269611</v>
      </c>
      <c r="F206" s="190">
        <f t="shared" ca="1" si="36"/>
        <v>90.294735334223645</v>
      </c>
      <c r="G206" s="190">
        <f t="shared" ca="1" si="37"/>
        <v>144.5369963341621</v>
      </c>
      <c r="H206" s="191">
        <f t="shared" ca="1" si="38"/>
        <v>43298.014982269611</v>
      </c>
      <c r="I206" s="124" t="str">
        <f ca="1">naks(P[[#This Row],[Moon]])</f>
        <v>Purva Phalguni</v>
      </c>
      <c r="J206" s="127">
        <f ca="1">(C207-P[[#This Row],[SunRise]])/(G207-P[[#This Row],[Moon]])*(13.3333333333333-MOD(P[[#This Row],[Moon]],13.333333333333))+P[[#This Row],[SunRise]]</f>
        <v>43298.395771563017</v>
      </c>
      <c r="K206" s="124" t="str">
        <f ca="1">IF(P[[#This Row],[Tithi]]&gt;15,"K","S")&amp;ROUNDUP(MOD(P[[#This Row],[Tithi]],15),0)&amp;" ("&amp;ROUND(P[[#This Row],[Tithi]],2)&amp;")"</f>
        <v>S5 (4.52)</v>
      </c>
      <c r="L206" s="124">
        <f ca="1">IF(AND(P[[#This Row],[Tithi]]&lt;28.5,P[[#This Row],[Tithi]]&gt;0.49999),MOD((P[[#This Row],[Tithi]]-0.5)*2,7),MOD((P[[#This Row],[Tithi]]+30-28.5),30)*2+7)</f>
        <v>1.0404</v>
      </c>
      <c r="M206" s="124" t="str">
        <f ca="1">CHOOSE(ROUNDUP(P[[#This Row],[Karana1]],0),"Bhava","Baalava","Kaulava","Taitula","Garija","Vanija","Vishti","Shakuni","Chatushapda","Naaga","Kimstugna")</f>
        <v>Baalava</v>
      </c>
      <c r="N20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(17.62)</v>
      </c>
      <c r="O206" s="124">
        <f ca="1">IF(AND(P[[#This Row],[Tithi]]&lt;28.5,P[[#This Row],[Tithi]]&gt;0.49999),MOD((P[[#This Row],[Tithi]]-0.5)*2,7),MOD((P[[#This Row],[Tithi]]+30-28.5),30)*2+7)</f>
        <v>1.0404</v>
      </c>
      <c r="P206" s="124">
        <f ca="1">ROUNDUP(MOD(360+P[[#This Row],[Moon]]-P[[#This Row],[Sun]],360)/12,4)</f>
        <v>4.5202</v>
      </c>
      <c r="Q206" s="124">
        <f t="shared" ca="1" si="39"/>
        <v>17.62</v>
      </c>
      <c r="R206" s="124" t="str">
        <f ca="1">SIGN(S207-P[[#This Row],[MARs]])*INT(P[[#This Row],[MARs]]/30+1)&amp;"Ma,"&amp;SIGN(T207-P[[#This Row],[Merc]])*INT(P[[#This Row],[Merc]]/30+1)&amp;"Me,"&amp;SIGN(U207-P[[#This Row],[Jup]])*INT(P[[#This Row],[Jup]]/30+1)&amp;"Ju,"&amp;SIGN(V207-P[[#This Row],[Venu]])*INT(P[[#This Row],[Venu]]/30+1)&amp;"Ve,"&amp;SIGN(W207-P[[#This Row],[Sat]])*INT(P[[#This Row],[Sat]]/30+1)&amp;"Sa,"&amp;INT(P[[#This Row],[Rah]]/30+1)&amp;"Ra"</f>
        <v>-10Ma,4Me,7Ju,5Ve,-9Sa,4Ra</v>
      </c>
      <c r="S206" s="124">
        <f ca="1">Planet(P[[#This Row],[GMT Sun Rise]],4)</f>
        <v>282.65169430590583</v>
      </c>
      <c r="T206" s="124">
        <f ca="1">Planet(P[[#This Row],[GMT Sun Rise]],2)</f>
        <v>116.06449241676458</v>
      </c>
      <c r="U206" s="124">
        <f ca="1">Planet(P[[#This Row],[GMT Sun Rise]],5)</f>
        <v>199.29202849113912</v>
      </c>
      <c r="V206" s="124">
        <f ca="1">Planet(P[[#This Row],[GMT Sun Rise]],3)</f>
        <v>133.56145922695538</v>
      </c>
      <c r="W206" s="124">
        <f ca="1">Planet(P[[#This Row],[GMT Sun Rise]],6)</f>
        <v>250.35410015521944</v>
      </c>
      <c r="X206" s="124">
        <f ca="1">Planet(P[[#This Row],[GMT Sun Rise]],10)</f>
        <v>102.35121769797558</v>
      </c>
      <c r="Y206" s="124">
        <f ca="1">SIGN(S207-P[[#This Row],[MARs]])</f>
        <v>-1</v>
      </c>
    </row>
    <row r="207" spans="1:25" x14ac:dyDescent="0.2">
      <c r="A207" s="125">
        <f t="shared" ca="1" si="40"/>
        <v>43299</v>
      </c>
      <c r="B207" s="125">
        <f t="shared" ca="1" si="33"/>
        <v>43299.229166666664</v>
      </c>
      <c r="C207" s="127">
        <f t="shared" ca="1" si="34"/>
        <v>43299.244342055325</v>
      </c>
      <c r="D207" s="127">
        <f t="shared" ca="1" si="35"/>
        <v>43298.777688006914</v>
      </c>
      <c r="E207" s="189">
        <f ca="1">P[[#This Row],[SunRise]]-TimeZone/24</f>
        <v>43299.01517538866</v>
      </c>
      <c r="F207" s="190">
        <f t="shared" ca="1" si="36"/>
        <v>91.24916115810008</v>
      </c>
      <c r="G207" s="190">
        <f t="shared" ca="1" si="37"/>
        <v>158.58556981028556</v>
      </c>
      <c r="H207" s="191">
        <f t="shared" ca="1" si="38"/>
        <v>43299.01517538866</v>
      </c>
      <c r="I207" s="124" t="str">
        <f ca="1">naks(P[[#This Row],[Moon]])</f>
        <v>Uttara Phalguni</v>
      </c>
      <c r="J207" s="127">
        <f ca="1">(C208-P[[#This Row],[SunRise]])/(G208-P[[#This Row],[Moon]])*(13.3333333333333-MOD(P[[#This Row],[Moon]],13.333333333333))+P[[#This Row],[SunRise]]</f>
        <v>43299.348167213051</v>
      </c>
      <c r="K207" s="124" t="str">
        <f ca="1">IF(P[[#This Row],[Tithi]]&gt;15,"K","S")&amp;ROUNDUP(MOD(P[[#This Row],[Tithi]],15),0)&amp;" ("&amp;ROUND(P[[#This Row],[Tithi]],2)&amp;")"</f>
        <v>S6 (5.61)</v>
      </c>
      <c r="L207" s="124">
        <f ca="1">IF(AND(P[[#This Row],[Tithi]]&lt;28.5,P[[#This Row],[Tithi]]&gt;0.49999),MOD((P[[#This Row],[Tithi]]-0.5)*2,7),MOD((P[[#This Row],[Tithi]]+30-28.5),30)*2+7)</f>
        <v>3.2227999999999994</v>
      </c>
      <c r="M207" s="124" t="str">
        <f ca="1">CHOOSE(ROUNDUP(P[[#This Row],[Karana1]],0),"Bhava","Baalava","Kaulava","Taitula","Garija","Vanija","Vishti","Shakuni","Chatushapda","Naaga","Kimstugna")</f>
        <v>Taitula</v>
      </c>
      <c r="N20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(18.74)</v>
      </c>
      <c r="O207" s="124">
        <f ca="1">IF(AND(P[[#This Row],[Tithi]]&lt;28.5,P[[#This Row],[Tithi]]&gt;0.49999),MOD((P[[#This Row],[Tithi]]-0.5)*2,7),MOD((P[[#This Row],[Tithi]]+30-28.5),30)*2+7)</f>
        <v>3.2227999999999994</v>
      </c>
      <c r="P207" s="124">
        <f ca="1">ROUNDUP(MOD(360+P[[#This Row],[Moon]]-P[[#This Row],[Sun]],360)/12,4)</f>
        <v>5.6113999999999997</v>
      </c>
      <c r="Q207" s="124">
        <f t="shared" ca="1" si="39"/>
        <v>18.740000000000002</v>
      </c>
      <c r="R207" s="124" t="str">
        <f ca="1">SIGN(S208-P[[#This Row],[MARs]])*INT(P[[#This Row],[MARs]]/30+1)&amp;"Ma,"&amp;SIGN(T208-P[[#This Row],[Merc]])*INT(P[[#This Row],[Merc]]/30+1)&amp;"Me,"&amp;SIGN(U208-P[[#This Row],[Jup]])*INT(P[[#This Row],[Jup]]/30+1)&amp;"Ju,"&amp;SIGN(V208-P[[#This Row],[Venu]])*INT(P[[#This Row],[Venu]]/30+1)&amp;"Ve,"&amp;SIGN(W208-P[[#This Row],[Sat]])*INT(P[[#This Row],[Sat]]/30+1)&amp;"Sa,"&amp;INT(P[[#This Row],[Rah]]/30+1)&amp;"Ra"</f>
        <v>-10Ma,4Me,7Ju,5Ve,-9Sa,4Ra</v>
      </c>
      <c r="S207" s="124">
        <f ca="1">Planet(P[[#This Row],[GMT Sun Rise]],4)</f>
        <v>282.41935555839837</v>
      </c>
      <c r="T207" s="124">
        <f ca="1">Planet(P[[#This Row],[GMT Sun Rise]],2)</f>
        <v>116.71218501557796</v>
      </c>
      <c r="U207" s="124">
        <f ca="1">Planet(P[[#This Row],[GMT Sun Rise]],5)</f>
        <v>199.31254407462913</v>
      </c>
      <c r="V207" s="124">
        <f ca="1">Planet(P[[#This Row],[GMT Sun Rise]],3)</f>
        <v>134.66163584694132</v>
      </c>
      <c r="W207" s="124">
        <f ca="1">Planet(P[[#This Row],[GMT Sun Rise]],6)</f>
        <v>250.28759241186947</v>
      </c>
      <c r="X207" s="124">
        <f ca="1">Planet(P[[#This Row],[GMT Sun Rise]],10)</f>
        <v>102.29821546678944</v>
      </c>
      <c r="Y207" s="124">
        <f ca="1">SIGN(S208-P[[#This Row],[MARs]])</f>
        <v>-1</v>
      </c>
    </row>
    <row r="208" spans="1:25" x14ac:dyDescent="0.2">
      <c r="A208" s="125">
        <f t="shared" ca="1" si="40"/>
        <v>43300</v>
      </c>
      <c r="B208" s="125">
        <f t="shared" ca="1" si="33"/>
        <v>43300.229166666664</v>
      </c>
      <c r="C208" s="127">
        <f t="shared" ca="1" si="34"/>
        <v>43300.244533108234</v>
      </c>
      <c r="D208" s="127">
        <f t="shared" ca="1" si="35"/>
        <v>43299.777605514086</v>
      </c>
      <c r="E208" s="189">
        <f ca="1">P[[#This Row],[SunRise]]-TimeZone/24</f>
        <v>43300.01536644157</v>
      </c>
      <c r="F208" s="190">
        <f t="shared" ca="1" si="36"/>
        <v>92.203619568282747</v>
      </c>
      <c r="G208" s="190">
        <f t="shared" ca="1" si="37"/>
        <v>172.21136582787861</v>
      </c>
      <c r="H208" s="191">
        <f t="shared" ca="1" si="38"/>
        <v>43300.01536644157</v>
      </c>
      <c r="I208" s="124" t="str">
        <f ca="1">naks(P[[#This Row],[Moon]])</f>
        <v>Hasta</v>
      </c>
      <c r="J208" s="127">
        <f ca="1">(C209-P[[#This Row],[SunRise]])/(G209-P[[#This Row],[Moon]])*(13.3333333333333-MOD(P[[#This Row],[Moon]],13.333333333333))+P[[#This Row],[SunRise]]</f>
        <v>43300.329411214581</v>
      </c>
      <c r="K208" s="124" t="str">
        <f ca="1">IF(P[[#This Row],[Tithi]]&gt;15,"K","S")&amp;ROUNDUP(MOD(P[[#This Row],[Tithi]],15),0)&amp;" ("&amp;ROUND(P[[#This Row],[Tithi]],2)&amp;")"</f>
        <v>S7 (6.67)</v>
      </c>
      <c r="L208" s="124">
        <f ca="1">IF(AND(P[[#This Row],[Tithi]]&lt;28.5,P[[#This Row],[Tithi]]&gt;0.49999),MOD((P[[#This Row],[Tithi]]-0.5)*2,7),MOD((P[[#This Row],[Tithi]]+30-28.5),30)*2+7)</f>
        <v>5.3347999999999995</v>
      </c>
      <c r="M208" s="124" t="str">
        <f ca="1">CHOOSE(ROUNDUP(P[[#This Row],[Karana1]],0),"Bhava","Baalava","Kaulava","Taitula","Garija","Vanija","Vishti","Shakuni","Chatushapda","Naaga","Kimstugna")</f>
        <v>Vanija</v>
      </c>
      <c r="N20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(19.84)</v>
      </c>
      <c r="O208" s="124">
        <f ca="1">IF(AND(P[[#This Row],[Tithi]]&lt;28.5,P[[#This Row],[Tithi]]&gt;0.49999),MOD((P[[#This Row],[Tithi]]-0.5)*2,7),MOD((P[[#This Row],[Tithi]]+30-28.5),30)*2+7)</f>
        <v>5.3347999999999995</v>
      </c>
      <c r="P208" s="124">
        <f ca="1">ROUNDUP(MOD(360+P[[#This Row],[Moon]]-P[[#This Row],[Sun]],360)/12,4)</f>
        <v>6.6673999999999998</v>
      </c>
      <c r="Q208" s="124">
        <f t="shared" ca="1" si="39"/>
        <v>19.84</v>
      </c>
      <c r="R208" s="124" t="str">
        <f ca="1">SIGN(S209-P[[#This Row],[MARs]])*INT(P[[#This Row],[MARs]]/30+1)&amp;"Ma,"&amp;SIGN(T209-P[[#This Row],[Merc]])*INT(P[[#This Row],[Merc]]/30+1)&amp;"Me,"&amp;SIGN(U209-P[[#This Row],[Jup]])*INT(P[[#This Row],[Jup]]/30+1)&amp;"Ju,"&amp;SIGN(V209-P[[#This Row],[Venu]])*INT(P[[#This Row],[Venu]]/30+1)&amp;"Ve,"&amp;SIGN(W209-P[[#This Row],[Sat]])*INT(P[[#This Row],[Sat]]/30+1)&amp;"Sa,"&amp;INT(P[[#This Row],[Rah]]/30+1)&amp;"Ra"</f>
        <v>-10Ma,4Me,7Ju,5Ve,-9Sa,4Ra</v>
      </c>
      <c r="S208" s="124">
        <f ca="1">Planet(P[[#This Row],[GMT Sun Rise]],4)</f>
        <v>282.1799349773496</v>
      </c>
      <c r="T208" s="124">
        <f ca="1">Planet(P[[#This Row],[GMT Sun Rise]],2)</f>
        <v>117.29500945852591</v>
      </c>
      <c r="U208" s="124">
        <f ca="1">Planet(P[[#This Row],[GMT Sun Rise]],5)</f>
        <v>199.33605025107425</v>
      </c>
      <c r="V208" s="124">
        <f ca="1">Planet(P[[#This Row],[GMT Sun Rise]],3)</f>
        <v>135.75887278704991</v>
      </c>
      <c r="W208" s="124">
        <f ca="1">Planet(P[[#This Row],[GMT Sun Rise]],6)</f>
        <v>250.22182443577569</v>
      </c>
      <c r="X208" s="124">
        <f ca="1">Planet(P[[#This Row],[GMT Sun Rise]],10)</f>
        <v>102.24521334514229</v>
      </c>
      <c r="Y208" s="124">
        <f ca="1">SIGN(S209-P[[#This Row],[MARs]])</f>
        <v>-1</v>
      </c>
    </row>
    <row r="209" spans="1:25" x14ac:dyDescent="0.2">
      <c r="A209" s="125">
        <f t="shared" ca="1" si="40"/>
        <v>43301</v>
      </c>
      <c r="B209" s="125">
        <f t="shared" ca="1" si="33"/>
        <v>43301.229166666664</v>
      </c>
      <c r="C209" s="127">
        <f t="shared" ca="1" si="34"/>
        <v>43301.244721935749</v>
      </c>
      <c r="D209" s="127">
        <f t="shared" ca="1" si="35"/>
        <v>43300.777512212793</v>
      </c>
      <c r="E209" s="189">
        <f ca="1">P[[#This Row],[SunRise]]-TimeZone/24</f>
        <v>43301.015555269085</v>
      </c>
      <c r="F209" s="190">
        <f t="shared" ca="1" si="36"/>
        <v>93.158116855026591</v>
      </c>
      <c r="G209" s="190">
        <f t="shared" ca="1" si="37"/>
        <v>185.43243557219824</v>
      </c>
      <c r="H209" s="191">
        <f t="shared" ca="1" si="38"/>
        <v>43301.015555269085</v>
      </c>
      <c r="I209" s="124" t="str">
        <f ca="1">naks(P[[#This Row],[Moon]])</f>
        <v>Chitra</v>
      </c>
      <c r="J209" s="127">
        <f ca="1">(C210-P[[#This Row],[SunRise]])/(G210-P[[#This Row],[Moon]])*(13.3333333333333-MOD(P[[#This Row],[Moon]],13.333333333333))+P[[#This Row],[SunRise]]</f>
        <v>43301.340739257721</v>
      </c>
      <c r="K209" s="124" t="str">
        <f ca="1">IF(P[[#This Row],[Tithi]]&gt;15,"K","S")&amp;ROUNDUP(MOD(P[[#This Row],[Tithi]],15),0)&amp;" ("&amp;ROUND(P[[#This Row],[Tithi]],2)&amp;")"</f>
        <v>S8 (7.69)</v>
      </c>
      <c r="L209" s="124">
        <f ca="1">IF(AND(P[[#This Row],[Tithi]]&lt;28.5,P[[#This Row],[Tithi]]&gt;0.49999),MOD((P[[#This Row],[Tithi]]-0.5)*2,7),MOD((P[[#This Row],[Tithi]]+30-28.5),30)*2+7)</f>
        <v>0.37919999999999909</v>
      </c>
      <c r="M209" s="124" t="str">
        <f ca="1">CHOOSE(ROUNDUP(P[[#This Row],[Karana1]],0),"Bhava","Baalava","Kaulava","Taitula","Garija","Vanija","Vishti","Shakuni","Chatushapda","Naaga","Kimstugna")</f>
        <v>Bhava</v>
      </c>
      <c r="N20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(20.9)</v>
      </c>
      <c r="O209" s="124">
        <f ca="1">IF(AND(P[[#This Row],[Tithi]]&lt;28.5,P[[#This Row],[Tithi]]&gt;0.49999),MOD((P[[#This Row],[Tithi]]-0.5)*2,7),MOD((P[[#This Row],[Tithi]]+30-28.5),30)*2+7)</f>
        <v>0.37919999999999909</v>
      </c>
      <c r="P209" s="124">
        <f ca="1">ROUNDUP(MOD(360+P[[#This Row],[Moon]]-P[[#This Row],[Sun]],360)/12,4)</f>
        <v>7.6895999999999995</v>
      </c>
      <c r="Q209" s="124">
        <f t="shared" ca="1" si="39"/>
        <v>20.900000000000002</v>
      </c>
      <c r="R209" s="124" t="str">
        <f ca="1">SIGN(S210-P[[#This Row],[MARs]])*INT(P[[#This Row],[MARs]]/30+1)&amp;"Ma,"&amp;SIGN(T210-P[[#This Row],[Merc]])*INT(P[[#This Row],[Merc]]/30+1)&amp;"Me,"&amp;SIGN(U210-P[[#This Row],[Jup]])*INT(P[[#This Row],[Jup]]/30+1)&amp;"Ju,"&amp;SIGN(V210-P[[#This Row],[Venu]])*INT(P[[#This Row],[Venu]]/30+1)&amp;"Ve,"&amp;SIGN(W210-P[[#This Row],[Sat]])*INT(P[[#This Row],[Sat]]/30+1)&amp;"Sa,"&amp;INT(P[[#This Row],[Rah]]/30+1)&amp;"Ra"</f>
        <v>-10Ma,4Me,7Ju,5Ve,-9Sa,4Ra</v>
      </c>
      <c r="S209" s="124">
        <f ca="1">Planet(P[[#This Row],[GMT Sun Rise]],4)</f>
        <v>281.93406404278841</v>
      </c>
      <c r="T209" s="124">
        <f ca="1">Planet(P[[#This Row],[GMT Sun Rise]],2)</f>
        <v>117.81036387762663</v>
      </c>
      <c r="U209" s="124">
        <f ca="1">Planet(P[[#This Row],[GMT Sun Rise]],5)</f>
        <v>199.36253237938305</v>
      </c>
      <c r="V209" s="124">
        <f ca="1">Planet(P[[#This Row],[GMT Sun Rise]],3)</f>
        <v>136.85308105278907</v>
      </c>
      <c r="W209" s="124">
        <f ca="1">Planet(P[[#This Row],[GMT Sun Rise]],6)</f>
        <v>250.15682809276547</v>
      </c>
      <c r="X209" s="124">
        <f ca="1">Planet(P[[#This Row],[GMT Sun Rise]],10)</f>
        <v>102.19221134140139</v>
      </c>
      <c r="Y209" s="124">
        <f ca="1">SIGN(S210-P[[#This Row],[MARs]])</f>
        <v>-1</v>
      </c>
    </row>
    <row r="210" spans="1:25" x14ac:dyDescent="0.2">
      <c r="A210" s="125">
        <f t="shared" ca="1" si="40"/>
        <v>43302</v>
      </c>
      <c r="B210" s="125">
        <f t="shared" ca="1" si="33"/>
        <v>43302.229166666664</v>
      </c>
      <c r="C210" s="127">
        <f t="shared" ca="1" si="34"/>
        <v>43302.244908061031</v>
      </c>
      <c r="D210" s="127">
        <f t="shared" ca="1" si="35"/>
        <v>43301.777408103502</v>
      </c>
      <c r="E210" s="189">
        <f ca="1">P[[#This Row],[SunRise]]-TimeZone/24</f>
        <v>43302.015741394367</v>
      </c>
      <c r="F210" s="190">
        <f t="shared" ca="1" si="36"/>
        <v>94.112662730196305</v>
      </c>
      <c r="G210" s="190">
        <f t="shared" ca="1" si="37"/>
        <v>198.28908258851084</v>
      </c>
      <c r="H210" s="191">
        <f t="shared" ca="1" si="38"/>
        <v>43302.015741394367</v>
      </c>
      <c r="I210" s="124" t="str">
        <f ca="1">naks(P[[#This Row],[Moon]])</f>
        <v>Swati</v>
      </c>
      <c r="J210" s="127">
        <f ca="1">(C211-P[[#This Row],[SunRise]])/(G211-P[[#This Row],[Moon]])*(13.3333333333333-MOD(P[[#This Row],[Moon]],13.333333333333))+P[[#This Row],[SunRise]]</f>
        <v>43302.381314631246</v>
      </c>
      <c r="K210" s="124" t="str">
        <f ca="1">IF(P[[#This Row],[Tithi]]&gt;15,"K","S")&amp;ROUNDUP(MOD(P[[#This Row],[Tithi]],15),0)&amp;" ("&amp;ROUND(P[[#This Row],[Tithi]],2)&amp;")"</f>
        <v>S9 (8.68)</v>
      </c>
      <c r="L210" s="124">
        <f ca="1">IF(AND(P[[#This Row],[Tithi]]&lt;28.5,P[[#This Row],[Tithi]]&gt;0.49999),MOD((P[[#This Row],[Tithi]]-0.5)*2,7),MOD((P[[#This Row],[Tithi]]+30-28.5),30)*2+7)</f>
        <v>2.3628</v>
      </c>
      <c r="M210" s="124" t="str">
        <f ca="1">CHOOSE(ROUNDUP(P[[#This Row],[Karana1]],0),"Bhava","Baalava","Kaulava","Taitula","Garija","Vanija","Vishti","Shakuni","Chatushapda","Naaga","Kimstugna")</f>
        <v>Kaulava</v>
      </c>
      <c r="N21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(21.94)</v>
      </c>
      <c r="O210" s="124">
        <f ca="1">IF(AND(P[[#This Row],[Tithi]]&lt;28.5,P[[#This Row],[Tithi]]&gt;0.49999),MOD((P[[#This Row],[Tithi]]-0.5)*2,7),MOD((P[[#This Row],[Tithi]]+30-28.5),30)*2+7)</f>
        <v>2.3628</v>
      </c>
      <c r="P210" s="124">
        <f ca="1">ROUNDUP(MOD(360+P[[#This Row],[Moon]]-P[[#This Row],[Sun]],360)/12,4)</f>
        <v>8.6814</v>
      </c>
      <c r="Q210" s="124">
        <f t="shared" ca="1" si="39"/>
        <v>21.94</v>
      </c>
      <c r="R210" s="124" t="str">
        <f ca="1">SIGN(S211-P[[#This Row],[MARs]])*INT(P[[#This Row],[MARs]]/30+1)&amp;"Ma,"&amp;SIGN(T211-P[[#This Row],[Merc]])*INT(P[[#This Row],[Merc]]/30+1)&amp;"Me,"&amp;SIGN(U211-P[[#This Row],[Jup]])*INT(P[[#This Row],[Jup]]/30+1)&amp;"Ju,"&amp;SIGN(V211-P[[#This Row],[Venu]])*INT(P[[#This Row],[Venu]]/30+1)&amp;"Ve,"&amp;SIGN(W211-P[[#This Row],[Sat]])*INT(P[[#This Row],[Sat]]/30+1)&amp;"Sa,"&amp;INT(P[[#This Row],[Rah]]/30+1)&amp;"Ra"</f>
        <v>-10Ma,4Me,7Ju,5Ve,-9Sa,4Ra</v>
      </c>
      <c r="S210" s="124">
        <f ca="1">Planet(P[[#This Row],[GMT Sun Rise]],4)</f>
        <v>281.68238814074942</v>
      </c>
      <c r="T210" s="124">
        <f ca="1">Planet(P[[#This Row],[GMT Sun Rise]],2)</f>
        <v>118.25560870527329</v>
      </c>
      <c r="U210" s="124">
        <f ca="1">Planet(P[[#This Row],[GMT Sun Rise]],5)</f>
        <v>199.39197489987512</v>
      </c>
      <c r="V210" s="124">
        <f ca="1">Planet(P[[#This Row],[GMT Sun Rise]],3)</f>
        <v>137.94417209886501</v>
      </c>
      <c r="W210" s="124">
        <f ca="1">Planet(P[[#This Row],[GMT Sun Rise]],6)</f>
        <v>250.09263432758331</v>
      </c>
      <c r="X210" s="124">
        <f ca="1">Planet(P[[#This Row],[GMT Sun Rise]],10)</f>
        <v>102.13920948088374</v>
      </c>
      <c r="Y210" s="124">
        <f ca="1">SIGN(S211-P[[#This Row],[MARs]])</f>
        <v>-1</v>
      </c>
    </row>
    <row r="211" spans="1:25" x14ac:dyDescent="0.2">
      <c r="A211" s="125">
        <f t="shared" ca="1" si="40"/>
        <v>43303</v>
      </c>
      <c r="B211" s="125">
        <f t="shared" ca="1" si="33"/>
        <v>43303.229166666664</v>
      </c>
      <c r="C211" s="127">
        <f t="shared" ca="1" si="34"/>
        <v>43303.245091484547</v>
      </c>
      <c r="D211" s="127">
        <f t="shared" ca="1" si="35"/>
        <v>43302.777293185747</v>
      </c>
      <c r="E211" s="189">
        <f ca="1">P[[#This Row],[SunRise]]-TimeZone/24</f>
        <v>43303.015924817882</v>
      </c>
      <c r="F211" s="190">
        <f t="shared" ca="1" si="36"/>
        <v>95.067270330691144</v>
      </c>
      <c r="G211" s="190">
        <f t="shared" ca="1" si="37"/>
        <v>210.8341618414164</v>
      </c>
      <c r="H211" s="191">
        <f t="shared" ca="1" si="38"/>
        <v>43303.015924817882</v>
      </c>
      <c r="I211" s="124" t="str">
        <f ca="1">naks(P[[#This Row],[Moon]])</f>
        <v>Visakha</v>
      </c>
      <c r="J211" s="127">
        <f ca="1">(C212-P[[#This Row],[SunRise]])/(G212-P[[#This Row],[Moon]])*(13.3333333333333-MOD(P[[#This Row],[Moon]],13.333333333333))+P[[#This Row],[SunRise]]</f>
        <v>43303.448458339393</v>
      </c>
      <c r="K211" s="124" t="str">
        <f ca="1">IF(P[[#This Row],[Tithi]]&gt;15,"K","S")&amp;ROUNDUP(MOD(P[[#This Row],[Tithi]],15),0)&amp;" ("&amp;ROUND(P[[#This Row],[Tithi]],2)&amp;")"</f>
        <v>S10 (9.65)</v>
      </c>
      <c r="L211" s="124">
        <f ca="1">IF(AND(P[[#This Row],[Tithi]]&lt;28.5,P[[#This Row],[Tithi]]&gt;0.49999),MOD((P[[#This Row],[Tithi]]-0.5)*2,7),MOD((P[[#This Row],[Tithi]]+30-28.5),30)*2+7)</f>
        <v>4.2945999999999991</v>
      </c>
      <c r="M211" s="124" t="str">
        <f ca="1">CHOOSE(ROUNDUP(P[[#This Row],[Karana1]],0),"Bhava","Baalava","Kaulava","Taitula","Garija","Vanija","Vishti","Shakuni","Chatushapda","Naaga","Kimstugna")</f>
        <v>Garija</v>
      </c>
      <c r="N21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(22.95)</v>
      </c>
      <c r="O211" s="124">
        <f ca="1">IF(AND(P[[#This Row],[Tithi]]&lt;28.5,P[[#This Row],[Tithi]]&gt;0.49999),MOD((P[[#This Row],[Tithi]]-0.5)*2,7),MOD((P[[#This Row],[Tithi]]+30-28.5),30)*2+7)</f>
        <v>4.2945999999999991</v>
      </c>
      <c r="P211" s="124">
        <f ca="1">ROUNDUP(MOD(360+P[[#This Row],[Moon]]-P[[#This Row],[Sun]],360)/12,4)</f>
        <v>9.6472999999999995</v>
      </c>
      <c r="Q211" s="124">
        <f t="shared" ca="1" si="39"/>
        <v>22.950000000000003</v>
      </c>
      <c r="R211" s="124" t="str">
        <f ca="1">SIGN(S212-P[[#This Row],[MARs]])*INT(P[[#This Row],[MARs]]/30+1)&amp;"Ma,"&amp;SIGN(T212-P[[#This Row],[Merc]])*INT(P[[#This Row],[Merc]]/30+1)&amp;"Me,"&amp;SIGN(U212-P[[#This Row],[Jup]])*INT(P[[#This Row],[Jup]]/30+1)&amp;"Ju,"&amp;SIGN(V212-P[[#This Row],[Venu]])*INT(P[[#This Row],[Venu]]/30+1)&amp;"Ve,"&amp;SIGN(W212-P[[#This Row],[Sat]])*INT(P[[#This Row],[Sat]]/30+1)&amp;"Sa,"&amp;INT(P[[#This Row],[Rah]]/30+1)&amp;"Ra"</f>
        <v>-10Ma,4Me,7Ju,5Ve,-9Sa,4Ra</v>
      </c>
      <c r="S211" s="124">
        <f ca="1">Planet(P[[#This Row],[GMT Sun Rise]],4)</f>
        <v>281.42556597279645</v>
      </c>
      <c r="T211" s="124">
        <f ca="1">Planet(P[[#This Row],[GMT Sun Rise]],2)</f>
        <v>118.62811066177677</v>
      </c>
      <c r="U211" s="124">
        <f ca="1">Planet(P[[#This Row],[GMT Sun Rise]],5)</f>
        <v>199.4243615937385</v>
      </c>
      <c r="V211" s="124">
        <f ca="1">Planet(P[[#This Row],[GMT Sun Rise]],3)</f>
        <v>139.03205845252646</v>
      </c>
      <c r="W211" s="124">
        <f ca="1">Planet(P[[#This Row],[GMT Sun Rise]],6)</f>
        <v>250.02927322399526</v>
      </c>
      <c r="X211" s="124">
        <f ca="1">Planet(P[[#This Row],[GMT Sun Rise]],10)</f>
        <v>102.08620776352323</v>
      </c>
      <c r="Y211" s="124">
        <f ca="1">SIGN(S212-P[[#This Row],[MARs]])</f>
        <v>-1</v>
      </c>
    </row>
    <row r="212" spans="1:25" x14ac:dyDescent="0.2">
      <c r="A212" s="125">
        <f t="shared" ca="1" si="40"/>
        <v>43304</v>
      </c>
      <c r="B212" s="125">
        <f t="shared" ca="1" si="33"/>
        <v>43304.229166666664</v>
      </c>
      <c r="C212" s="127">
        <f t="shared" ca="1" si="34"/>
        <v>43304.245272047039</v>
      </c>
      <c r="D212" s="127">
        <f t="shared" ca="1" si="35"/>
        <v>43303.777167459528</v>
      </c>
      <c r="E212" s="189">
        <f ca="1">P[[#This Row],[SunRise]]-TimeZone/24</f>
        <v>43304.016105380375</v>
      </c>
      <c r="F212" s="190">
        <f t="shared" ca="1" si="36"/>
        <v>96.021955047325775</v>
      </c>
      <c r="G212" s="190">
        <f t="shared" ca="1" si="37"/>
        <v>223.12536214746217</v>
      </c>
      <c r="H212" s="191">
        <f t="shared" ca="1" si="38"/>
        <v>43304.016105380375</v>
      </c>
      <c r="I212" s="124" t="str">
        <f ca="1">naks(P[[#This Row],[Moon]])</f>
        <v>Anuradha</v>
      </c>
      <c r="J212" s="127">
        <f ca="1">(C213-P[[#This Row],[SunRise]])/(G213-P[[#This Row],[Moon]])*(13.3333333333333-MOD(P[[#This Row],[Moon]],13.333333333333))+P[[#This Row],[SunRise]]</f>
        <v>43304.538124825311</v>
      </c>
      <c r="K212" s="124" t="str">
        <f ca="1">IF(P[[#This Row],[Tithi]]&gt;15,"K","S")&amp;ROUNDUP(MOD(P[[#This Row],[Tithi]],15),0)&amp;" ("&amp;ROUND(P[[#This Row],[Tithi]],2)&amp;")"</f>
        <v>S11 (10.59)</v>
      </c>
      <c r="L212" s="124">
        <f ca="1">IF(AND(P[[#This Row],[Tithi]]&lt;28.5,P[[#This Row],[Tithi]]&gt;0.49999),MOD((P[[#This Row],[Tithi]]-0.5)*2,7),MOD((P[[#This Row],[Tithi]]+30-28.5),30)*2+7)</f>
        <v>6.1840000000000011</v>
      </c>
      <c r="M212" s="124" t="str">
        <f ca="1">CHOOSE(ROUNDUP(P[[#This Row],[Karana1]],0),"Bhava","Baalava","Kaulava","Taitula","Garija","Vanija","Vishti","Shakuni","Chatushapda","Naaga","Kimstugna")</f>
        <v>Vishti</v>
      </c>
      <c r="N21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(23.94)</v>
      </c>
      <c r="O212" s="124">
        <f ca="1">IF(AND(P[[#This Row],[Tithi]]&lt;28.5,P[[#This Row],[Tithi]]&gt;0.49999),MOD((P[[#This Row],[Tithi]]-0.5)*2,7),MOD((P[[#This Row],[Tithi]]+30-28.5),30)*2+7)</f>
        <v>6.1840000000000011</v>
      </c>
      <c r="P212" s="124">
        <f ca="1">ROUNDUP(MOD(360+P[[#This Row],[Moon]]-P[[#This Row],[Sun]],360)/12,4)</f>
        <v>10.592000000000001</v>
      </c>
      <c r="Q212" s="124">
        <f t="shared" ca="1" si="39"/>
        <v>23.94</v>
      </c>
      <c r="R212" s="124" t="str">
        <f ca="1">SIGN(S213-P[[#This Row],[MARs]])*INT(P[[#This Row],[MARs]]/30+1)&amp;"Ma,"&amp;SIGN(T213-P[[#This Row],[Merc]])*INT(P[[#This Row],[Merc]]/30+1)&amp;"Me,"&amp;SIGN(U213-P[[#This Row],[Jup]])*INT(P[[#This Row],[Jup]]/30+1)&amp;"Ju,"&amp;SIGN(V213-P[[#This Row],[Venu]])*INT(P[[#This Row],[Venu]]/30+1)&amp;"Ve,"&amp;SIGN(W213-P[[#This Row],[Sat]])*INT(P[[#This Row],[Sat]]/30+1)&amp;"Sa,"&amp;INT(P[[#This Row],[Rah]]/30+1)&amp;"Ra"</f>
        <v>-10Ma,4Me,7Ju,5Ve,-9Sa,4Ra</v>
      </c>
      <c r="S212" s="124">
        <f ca="1">Planet(P[[#This Row],[GMT Sun Rise]],4)</f>
        <v>281.16426899569382</v>
      </c>
      <c r="T212" s="124">
        <f ca="1">Planet(P[[#This Row],[GMT Sun Rise]],2)</f>
        <v>118.92529790132089</v>
      </c>
      <c r="U212" s="124">
        <f ca="1">Planet(P[[#This Row],[GMT Sun Rise]],5)</f>
        <v>199.45967572974774</v>
      </c>
      <c r="V212" s="124">
        <f ca="1">Planet(P[[#This Row],[GMT Sun Rise]],3)</f>
        <v>140.11665273882539</v>
      </c>
      <c r="W212" s="124">
        <f ca="1">Planet(P[[#This Row],[GMT Sun Rise]],6)</f>
        <v>249.96677413242486</v>
      </c>
      <c r="X212" s="124">
        <f ca="1">Planet(P[[#This Row],[GMT Sun Rise]],10)</f>
        <v>102.03320619778644</v>
      </c>
      <c r="Y212" s="124">
        <f ca="1">SIGN(S213-P[[#This Row],[MARs]])</f>
        <v>-1</v>
      </c>
    </row>
    <row r="213" spans="1:25" x14ac:dyDescent="0.2">
      <c r="A213" s="125">
        <f t="shared" ca="1" si="40"/>
        <v>43305</v>
      </c>
      <c r="B213" s="125">
        <f t="shared" ca="1" si="33"/>
        <v>43305.229166666664</v>
      </c>
      <c r="C213" s="127">
        <f t="shared" ca="1" si="34"/>
        <v>43305.245449748043</v>
      </c>
      <c r="D213" s="127">
        <f t="shared" ca="1" si="35"/>
        <v>43304.77703092531</v>
      </c>
      <c r="E213" s="189">
        <f ca="1">P[[#This Row],[SunRise]]-TimeZone/24</f>
        <v>43305.016283081379</v>
      </c>
      <c r="F213" s="190">
        <f t="shared" ca="1" si="36"/>
        <v>96.976734399681405</v>
      </c>
      <c r="G213" s="190">
        <f t="shared" ca="1" si="37"/>
        <v>235.21995053916504</v>
      </c>
      <c r="H213" s="191">
        <f t="shared" ca="1" si="38"/>
        <v>43305.016283081379</v>
      </c>
      <c r="I213" s="124" t="str">
        <f ca="1">naks(P[[#This Row],[Moon]])</f>
        <v>Jyestha</v>
      </c>
      <c r="J213" s="127">
        <f ca="1">(C214-P[[#This Row],[SunRise]])/(G214-P[[#This Row],[Moon]])*(13.3333333333333-MOD(P[[#This Row],[Moon]],13.333333333333))+P[[#This Row],[SunRise]]</f>
        <v>43305.64546365659</v>
      </c>
      <c r="K213" s="124" t="str">
        <f ca="1">IF(P[[#This Row],[Tithi]]&gt;15,"K","S")&amp;ROUNDUP(MOD(P[[#This Row],[Tithi]],15),0)&amp;" ("&amp;ROUND(P[[#This Row],[Tithi]],2)&amp;")"</f>
        <v>S12 (11.52)</v>
      </c>
      <c r="L213" s="124">
        <f ca="1">IF(AND(P[[#This Row],[Tithi]]&lt;28.5,P[[#This Row],[Tithi]]&gt;0.49999),MOD((P[[#This Row],[Tithi]]-0.5)*2,7),MOD((P[[#This Row],[Tithi]]+30-28.5),30)*2+7)</f>
        <v>1.0406000000000013</v>
      </c>
      <c r="M213" s="124" t="str">
        <f ca="1">CHOOSE(ROUNDUP(P[[#This Row],[Karana1]],0),"Bhava","Baalava","Kaulava","Taitula","Garija","Vanija","Vishti","Shakuni","Chatushapda","Naaga","Kimstugna")</f>
        <v>Baalava</v>
      </c>
      <c r="N21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(24.92)</v>
      </c>
      <c r="O213" s="124">
        <f ca="1">IF(AND(P[[#This Row],[Tithi]]&lt;28.5,P[[#This Row],[Tithi]]&gt;0.49999),MOD((P[[#This Row],[Tithi]]-0.5)*2,7),MOD((P[[#This Row],[Tithi]]+30-28.5),30)*2+7)</f>
        <v>1.0406000000000013</v>
      </c>
      <c r="P213" s="124">
        <f ca="1">ROUNDUP(MOD(360+P[[#This Row],[Moon]]-P[[#This Row],[Sun]],360)/12,4)</f>
        <v>11.520300000000001</v>
      </c>
      <c r="Q213" s="124">
        <f t="shared" ca="1" si="39"/>
        <v>24.92</v>
      </c>
      <c r="R213" s="124" t="str">
        <f ca="1">SIGN(S214-P[[#This Row],[MARs]])*INT(P[[#This Row],[MARs]]/30+1)&amp;"Ma,"&amp;SIGN(T214-P[[#This Row],[Merc]])*INT(P[[#This Row],[Merc]]/30+1)&amp;"Me,"&amp;SIGN(U214-P[[#This Row],[Jup]])*INT(P[[#This Row],[Jup]]/30+1)&amp;"Ju,"&amp;SIGN(V214-P[[#This Row],[Venu]])*INT(P[[#This Row],[Venu]]/30+1)&amp;"Ve,"&amp;SIGN(W214-P[[#This Row],[Sat]])*INT(P[[#This Row],[Sat]]/30+1)&amp;"Sa,"&amp;INT(P[[#This Row],[Rah]]/30+1)&amp;"Ra"</f>
        <v>-10Ma,4Me,7Ju,5Ve,-9Sa,4Ra</v>
      </c>
      <c r="S213" s="124">
        <f ca="1">Planet(P[[#This Row],[GMT Sun Rise]],4)</f>
        <v>280.89918031814494</v>
      </c>
      <c r="T213" s="124">
        <f ca="1">Planet(P[[#This Row],[GMT Sun Rise]],2)</f>
        <v>119.14472926488206</v>
      </c>
      <c r="U213" s="124">
        <f ca="1">Planet(P[[#This Row],[GMT Sun Rise]],5)</f>
        <v>199.49790020141708</v>
      </c>
      <c r="V213" s="124">
        <f ca="1">Planet(P[[#This Row],[GMT Sun Rise]],3)</f>
        <v>141.19786778712813</v>
      </c>
      <c r="W213" s="124">
        <f ca="1">Planet(P[[#This Row],[GMT Sun Rise]],6)</f>
        <v>249.90516571779122</v>
      </c>
      <c r="X213" s="124">
        <f ca="1">Planet(P[[#This Row],[GMT Sun Rise]],10)</f>
        <v>101.98020478368994</v>
      </c>
      <c r="Y213" s="124">
        <f ca="1">SIGN(S214-P[[#This Row],[MARs]])</f>
        <v>-1</v>
      </c>
    </row>
    <row r="214" spans="1:25" x14ac:dyDescent="0.2">
      <c r="A214" s="125">
        <f t="shared" ca="1" si="40"/>
        <v>43306</v>
      </c>
      <c r="B214" s="125">
        <f t="shared" ca="1" si="33"/>
        <v>43306.229166666664</v>
      </c>
      <c r="C214" s="127">
        <f t="shared" ca="1" si="34"/>
        <v>43306.245624270443</v>
      </c>
      <c r="D214" s="127">
        <f t="shared" ca="1" si="35"/>
        <v>43305.776883741419</v>
      </c>
      <c r="E214" s="189">
        <f ca="1">P[[#This Row],[SunRise]]-TimeZone/24</f>
        <v>43306.016457603779</v>
      </c>
      <c r="F214" s="190">
        <f t="shared" ca="1" si="36"/>
        <v>97.931627196119592</v>
      </c>
      <c r="G214" s="190">
        <f t="shared" ca="1" si="37"/>
        <v>247.1717441753037</v>
      </c>
      <c r="H214" s="191">
        <f t="shared" ca="1" si="38"/>
        <v>43306.016457603779</v>
      </c>
      <c r="I214" s="124" t="str">
        <f ca="1">naks(P[[#This Row],[Moon]])</f>
        <v>Moola</v>
      </c>
      <c r="J214" s="127">
        <f ca="1">(C215-P[[#This Row],[SunRise]])/(G215-P[[#This Row],[Moon]])*(13.3333333333333-MOD(P[[#This Row],[Moon]],13.333333333333))+P[[#This Row],[SunRise]]</f>
        <v>43306.76532480889</v>
      </c>
      <c r="K214" s="124" t="str">
        <f ca="1">IF(P[[#This Row],[Tithi]]&gt;15,"K","S")&amp;ROUNDUP(MOD(P[[#This Row],[Tithi]],15),0)&amp;" ("&amp;ROUND(P[[#This Row],[Tithi]],2)&amp;")"</f>
        <v>S13 (12.44)</v>
      </c>
      <c r="L214" s="124">
        <f ca="1">IF(AND(P[[#This Row],[Tithi]]&lt;28.5,P[[#This Row],[Tithi]]&gt;0.49999),MOD((P[[#This Row],[Tithi]]-0.5)*2,7),MOD((P[[#This Row],[Tithi]]+30-28.5),30)*2+7)</f>
        <v>2.8734000000000002</v>
      </c>
      <c r="M214" s="124" t="str">
        <f ca="1">CHOOSE(ROUNDUP(P[[#This Row],[Karana1]],0),"Bhava","Baalava","Kaulava","Taitula","Garija","Vanija","Vishti","Shakuni","Chatushapda","Naaga","Kimstugna")</f>
        <v>Kaulava</v>
      </c>
      <c r="N21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(25.89)</v>
      </c>
      <c r="O214" s="124">
        <f ca="1">IF(AND(P[[#This Row],[Tithi]]&lt;28.5,P[[#This Row],[Tithi]]&gt;0.49999),MOD((P[[#This Row],[Tithi]]-0.5)*2,7),MOD((P[[#This Row],[Tithi]]+30-28.5),30)*2+7)</f>
        <v>2.8734000000000002</v>
      </c>
      <c r="P214" s="124">
        <f ca="1">ROUNDUP(MOD(360+P[[#This Row],[Moon]]-P[[#This Row],[Sun]],360)/12,4)</f>
        <v>12.4367</v>
      </c>
      <c r="Q214" s="124">
        <f t="shared" ca="1" si="39"/>
        <v>25.89</v>
      </c>
      <c r="R214" s="124" t="str">
        <f ca="1">SIGN(S215-P[[#This Row],[MARs]])*INT(P[[#This Row],[MARs]]/30+1)&amp;"Ma,"&amp;SIGN(T215-P[[#This Row],[Merc]])*INT(P[[#This Row],[Merc]]/30+1)&amp;"Me,"&amp;SIGN(U215-P[[#This Row],[Jup]])*INT(P[[#This Row],[Jup]]/30+1)&amp;"Ju,"&amp;SIGN(V215-P[[#This Row],[Venu]])*INT(P[[#This Row],[Venu]]/30+1)&amp;"Ve,"&amp;SIGN(W215-P[[#This Row],[Sat]])*INT(P[[#This Row],[Sat]]/30+1)&amp;"Sa,"&amp;INT(P[[#This Row],[Rah]]/30+1)&amp;"Ra"</f>
        <v>-10Ma,4Me,7Ju,5Ve,-9Sa,4Ra</v>
      </c>
      <c r="S214" s="124">
        <f ca="1">Planet(P[[#This Row],[GMT Sun Rise]],4)</f>
        <v>280.63099368838203</v>
      </c>
      <c r="T214" s="124">
        <f ca="1">Planet(P[[#This Row],[GMT Sun Rise]],2)</f>
        <v>119.2841784471555</v>
      </c>
      <c r="U214" s="124">
        <f ca="1">Planet(P[[#This Row],[GMT Sun Rise]],5)</f>
        <v>199.53901761384154</v>
      </c>
      <c r="V214" s="124">
        <f ca="1">Planet(P[[#This Row],[GMT Sun Rise]],3)</f>
        <v>142.27561587628088</v>
      </c>
      <c r="W214" s="124">
        <f ca="1">Planet(P[[#This Row],[GMT Sun Rise]],6)</f>
        <v>249.84447604867086</v>
      </c>
      <c r="X214" s="124">
        <f ca="1">Planet(P[[#This Row],[GMT Sun Rise]],10)</f>
        <v>101.92720353801796</v>
      </c>
      <c r="Y214" s="124">
        <f ca="1">SIGN(S215-P[[#This Row],[MARs]])</f>
        <v>-1</v>
      </c>
    </row>
    <row r="215" spans="1:25" x14ac:dyDescent="0.2">
      <c r="A215" s="125">
        <f t="shared" ca="1" si="40"/>
        <v>43307</v>
      </c>
      <c r="B215" s="125">
        <f t="shared" ca="1" si="33"/>
        <v>43307.229166666664</v>
      </c>
      <c r="C215" s="127">
        <f t="shared" ca="1" si="34"/>
        <v>43307.245795454983</v>
      </c>
      <c r="D215" s="127">
        <f t="shared" ca="1" si="35"/>
        <v>43306.776725908319</v>
      </c>
      <c r="E215" s="189">
        <f ca="1">P[[#This Row],[SunRise]]-TimeZone/24</f>
        <v>43307.016628788318</v>
      </c>
      <c r="F215" s="190">
        <f t="shared" ca="1" si="36"/>
        <v>98.886653599553128</v>
      </c>
      <c r="G215" s="190">
        <f t="shared" ca="1" si="37"/>
        <v>259.02981141004028</v>
      </c>
      <c r="H215" s="191">
        <f t="shared" ca="1" si="38"/>
        <v>43307.016628788318</v>
      </c>
      <c r="I215" s="124" t="str">
        <f ca="1">naks(P[[#This Row],[Moon]])</f>
        <v>Purva Asadha</v>
      </c>
      <c r="J215" s="127">
        <f ca="1">(C216-P[[#This Row],[SunRise]])/(G216-P[[#This Row],[Moon]])*(13.3333333333333-MOD(P[[#This Row],[Moon]],13.333333333333))+P[[#This Row],[SunRise]]</f>
        <v>43307.892623708511</v>
      </c>
      <c r="K215" s="124" t="str">
        <f ca="1">IF(P[[#This Row],[Tithi]]&gt;15,"K","S")&amp;ROUNDUP(MOD(P[[#This Row],[Tithi]],15),0)&amp;" ("&amp;ROUND(P[[#This Row],[Tithi]],2)&amp;")"</f>
        <v>S14 (13.35)</v>
      </c>
      <c r="L215" s="124">
        <f ca="1">IF(AND(P[[#This Row],[Tithi]]&lt;28.5,P[[#This Row],[Tithi]]&gt;0.49999),MOD((P[[#This Row],[Tithi]]-0.5)*2,7),MOD((P[[#This Row],[Tithi]]+30-28.5),30)*2+7)</f>
        <v>4.6905999999999999</v>
      </c>
      <c r="M215" s="124" t="str">
        <f ca="1">CHOOSE(ROUNDUP(P[[#This Row],[Karana1]],0),"Bhava","Baalava","Kaulava","Taitula","Garija","Vanija","Vishti","Shakuni","Chatushapda","Naaga","Kimstugna")</f>
        <v>Garija</v>
      </c>
      <c r="N21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(26.85)</v>
      </c>
      <c r="O215" s="124">
        <f ca="1">IF(AND(P[[#This Row],[Tithi]]&lt;28.5,P[[#This Row],[Tithi]]&gt;0.49999),MOD((P[[#This Row],[Tithi]]-0.5)*2,7),MOD((P[[#This Row],[Tithi]]+30-28.5),30)*2+7)</f>
        <v>4.6905999999999999</v>
      </c>
      <c r="P215" s="124">
        <f ca="1">ROUNDUP(MOD(360+P[[#This Row],[Moon]]-P[[#This Row],[Sun]],360)/12,4)</f>
        <v>13.3453</v>
      </c>
      <c r="Q215" s="124">
        <f t="shared" ca="1" si="39"/>
        <v>26.85</v>
      </c>
      <c r="R215" s="124" t="str">
        <f ca="1">SIGN(S216-P[[#This Row],[MARs]])*INT(P[[#This Row],[MARs]]/30+1)&amp;"Ma,"&amp;SIGN(T216-P[[#This Row],[Merc]])*INT(P[[#This Row],[Merc]]/30+1)&amp;"Me,"&amp;SIGN(U216-P[[#This Row],[Jup]])*INT(P[[#This Row],[Jup]]/30+1)&amp;"Ju,"&amp;SIGN(V216-P[[#This Row],[Venu]])*INT(P[[#This Row],[Venu]]/30+1)&amp;"Ve,"&amp;SIGN(W216-P[[#This Row],[Sat]])*INT(P[[#This Row],[Sat]]/30+1)&amp;"Sa,"&amp;INT(P[[#This Row],[Rah]]/30+1)&amp;"Ra"</f>
        <v>-10Ma,-4Me,7Ju,5Ve,-9Sa,4Ra</v>
      </c>
      <c r="S215" s="124">
        <f ca="1">Planet(P[[#This Row],[GMT Sun Rise]],4)</f>
        <v>280.36041220667954</v>
      </c>
      <c r="T215" s="124">
        <f ca="1">Planet(P[[#This Row],[GMT Sun Rise]],2)</f>
        <v>119.34173471392191</v>
      </c>
      <c r="U215" s="124">
        <f ca="1">Planet(P[[#This Row],[GMT Sun Rise]],5)</f>
        <v>199.58301038622784</v>
      </c>
      <c r="V215" s="124">
        <f ca="1">Planet(P[[#This Row],[GMT Sun Rise]],3)</f>
        <v>143.34980895933782</v>
      </c>
      <c r="W215" s="124">
        <f ca="1">Planet(P[[#This Row],[GMT Sun Rise]],6)</f>
        <v>249.78473262486858</v>
      </c>
      <c r="X215" s="124">
        <f ca="1">Planet(P[[#This Row],[GMT Sun Rise]],10)</f>
        <v>101.87420246925366</v>
      </c>
      <c r="Y215" s="124">
        <f ca="1">SIGN(S216-P[[#This Row],[MARs]])</f>
        <v>-1</v>
      </c>
    </row>
    <row r="216" spans="1:25" x14ac:dyDescent="0.2">
      <c r="A216" s="125">
        <f t="shared" ca="1" si="40"/>
        <v>43308</v>
      </c>
      <c r="B216" s="125">
        <f t="shared" ca="1" si="33"/>
        <v>43308.229166666664</v>
      </c>
      <c r="C216" s="127">
        <f t="shared" ca="1" si="34"/>
        <v>43308.245963301662</v>
      </c>
      <c r="D216" s="127">
        <f t="shared" ca="1" si="35"/>
        <v>43307.776557266756</v>
      </c>
      <c r="E216" s="189">
        <f ca="1">P[[#This Row],[SunRise]]-TimeZone/24</f>
        <v>43308.016796634998</v>
      </c>
      <c r="F216" s="190">
        <f t="shared" ca="1" si="36"/>
        <v>99.84183476663236</v>
      </c>
      <c r="G216" s="190">
        <f t="shared" ca="1" si="37"/>
        <v>270.83841289850182</v>
      </c>
      <c r="H216" s="191">
        <f t="shared" ca="1" si="38"/>
        <v>43308.016796634998</v>
      </c>
      <c r="I216" s="124" t="str">
        <f ca="1">naks(P[[#This Row],[Moon]])</f>
        <v>Uttara Asadha</v>
      </c>
      <c r="J216" s="127">
        <f ca="1">(C217-P[[#This Row],[SunRise]])/(G217-P[[#This Row],[Moon]])*(13.3333333333333-MOD(P[[#This Row],[Moon]],13.333333333333))+P[[#This Row],[SunRise]]</f>
        <v>43309.022528686437</v>
      </c>
      <c r="K216" s="124" t="str">
        <f ca="1">IF(P[[#This Row],[Tithi]]&gt;15,"K","S")&amp;ROUNDUP(MOD(P[[#This Row],[Tithi]],15),0)&amp;" ("&amp;ROUND(P[[#This Row],[Tithi]],2)&amp;")"</f>
        <v>S15 (14.25)</v>
      </c>
      <c r="L216" s="124">
        <f ca="1">IF(AND(P[[#This Row],[Tithi]]&lt;28.5,P[[#This Row],[Tithi]]&gt;0.49999),MOD((P[[#This Row],[Tithi]]-0.5)*2,7),MOD((P[[#This Row],[Tithi]]+30-28.5),30)*2+7)</f>
        <v>6.4996000000000009</v>
      </c>
      <c r="M216" s="124" t="str">
        <f ca="1">CHOOSE(ROUNDUP(P[[#This Row],[Karana1]],0),"Bhava","Baalava","Kaulava","Taitula","Garija","Vanija","Vishti","Shakuni","Chatushapda","Naaga","Kimstugna")</f>
        <v>Vishti</v>
      </c>
      <c r="N21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(0.81)</v>
      </c>
      <c r="O216" s="124">
        <f ca="1">IF(AND(P[[#This Row],[Tithi]]&lt;28.5,P[[#This Row],[Tithi]]&gt;0.49999),MOD((P[[#This Row],[Tithi]]-0.5)*2,7),MOD((P[[#This Row],[Tithi]]+30-28.5),30)*2+7)</f>
        <v>6.4996000000000009</v>
      </c>
      <c r="P216" s="124">
        <f ca="1">ROUNDUP(MOD(360+P[[#This Row],[Moon]]-P[[#This Row],[Sun]],360)/12,4)</f>
        <v>14.2498</v>
      </c>
      <c r="Q216" s="124">
        <f t="shared" ca="1" si="39"/>
        <v>0.81</v>
      </c>
      <c r="R216" s="124" t="str">
        <f ca="1">SIGN(S217-P[[#This Row],[MARs]])*INT(P[[#This Row],[MARs]]/30+1)&amp;"Ma,"&amp;SIGN(T217-P[[#This Row],[Merc]])*INT(P[[#This Row],[Merc]]/30+1)&amp;"Me,"&amp;SIGN(U217-P[[#This Row],[Jup]])*INT(P[[#This Row],[Jup]]/30+1)&amp;"Ju,"&amp;SIGN(V217-P[[#This Row],[Venu]])*INT(P[[#This Row],[Venu]]/30+1)&amp;"Ve,"&amp;SIGN(W217-P[[#This Row],[Sat]])*INT(P[[#This Row],[Sat]]/30+1)&amp;"Sa,"&amp;INT(P[[#This Row],[Rah]]/30+1)&amp;"Ra"</f>
        <v>-10Ma,-4Me,7Ju,5Ve,-9Sa,4Ra</v>
      </c>
      <c r="S216" s="124">
        <f ca="1">Planet(P[[#This Row],[GMT Sun Rise]],4)</f>
        <v>280.08814707010913</v>
      </c>
      <c r="T216" s="124">
        <f ca="1">Planet(P[[#This Row],[GMT Sun Rise]],2)</f>
        <v>119.31592037037136</v>
      </c>
      <c r="U216" s="124">
        <f ca="1">Planet(P[[#This Row],[GMT Sun Rise]],5)</f>
        <v>199.62986081718512</v>
      </c>
      <c r="V216" s="124">
        <f ca="1">Planet(P[[#This Row],[GMT Sun Rise]],3)</f>
        <v>144.42035834044967</v>
      </c>
      <c r="W216" s="124">
        <f ca="1">Planet(P[[#This Row],[GMT Sun Rise]],6)</f>
        <v>249.72596243260338</v>
      </c>
      <c r="X216" s="124">
        <f ca="1">Planet(P[[#This Row],[GMT Sun Rise]],10)</f>
        <v>101.82120157734727</v>
      </c>
      <c r="Y216" s="124">
        <f ca="1">SIGN(S217-P[[#This Row],[MARs]])</f>
        <v>-1</v>
      </c>
    </row>
    <row r="217" spans="1:25" x14ac:dyDescent="0.2">
      <c r="A217" s="125">
        <f t="shared" ca="1" si="40"/>
        <v>43309</v>
      </c>
      <c r="B217" s="125">
        <f t="shared" ca="1" si="33"/>
        <v>43309.229166666664</v>
      </c>
      <c r="C217" s="127">
        <f t="shared" ca="1" si="34"/>
        <v>43309.246127810482</v>
      </c>
      <c r="D217" s="127">
        <f t="shared" ca="1" si="35"/>
        <v>43308.776378294031</v>
      </c>
      <c r="E217" s="189">
        <f ca="1">P[[#This Row],[SunRise]]-TimeZone/24</f>
        <v>43309.016961143818</v>
      </c>
      <c r="F217" s="190">
        <f t="shared" ca="1" si="36"/>
        <v>100.79719237568762</v>
      </c>
      <c r="G217" s="190">
        <f t="shared" ca="1" si="37"/>
        <v>282.63792707079102</v>
      </c>
      <c r="H217" s="191">
        <f t="shared" ca="1" si="38"/>
        <v>43309.016961143818</v>
      </c>
      <c r="I217" s="124" t="str">
        <f ca="1">naks(P[[#This Row],[Moon]])</f>
        <v>Sravana</v>
      </c>
      <c r="J217" s="127">
        <f ca="1">(C218-P[[#This Row],[SunRise]])/(G218-P[[#This Row],[Moon]])*(13.3333333333333-MOD(P[[#This Row],[Moon]],13.333333333333))+P[[#This Row],[SunRise]]</f>
        <v>43310.150468764805</v>
      </c>
      <c r="K217" s="124" t="str">
        <f ca="1">IF(P[[#This Row],[Tithi]]&gt;15,"K","S")&amp;ROUNDUP(MOD(P[[#This Row],[Tithi]],15),0)&amp;" ("&amp;ROUND(P[[#This Row],[Tithi]],2)&amp;")"</f>
        <v>K1 (15.15)</v>
      </c>
      <c r="L217" s="124">
        <f ca="1">IF(AND(P[[#This Row],[Tithi]]&lt;28.5,P[[#This Row],[Tithi]]&gt;0.49999),MOD((P[[#This Row],[Tithi]]-0.5)*2,7),MOD((P[[#This Row],[Tithi]]+30-28.5),30)*2+7)</f>
        <v>1.3067999999999991</v>
      </c>
      <c r="M217" s="124" t="str">
        <f ca="1">CHOOSE(ROUNDUP(P[[#This Row],[Karana1]],0),"Bhava","Baalava","Kaulava","Taitula","Garija","Vanija","Vishti","Shakuni","Chatushapda","Naaga","Kimstugna")</f>
        <v>Baalava</v>
      </c>
      <c r="N21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(1.76)</v>
      </c>
      <c r="O217" s="124">
        <f ca="1">IF(AND(P[[#This Row],[Tithi]]&lt;28.5,P[[#This Row],[Tithi]]&gt;0.49999),MOD((P[[#This Row],[Tithi]]-0.5)*2,7),MOD((P[[#This Row],[Tithi]]+30-28.5),30)*2+7)</f>
        <v>1.3067999999999991</v>
      </c>
      <c r="P217" s="124">
        <f ca="1">ROUNDUP(MOD(360+P[[#This Row],[Moon]]-P[[#This Row],[Sun]],360)/12,4)</f>
        <v>15.1534</v>
      </c>
      <c r="Q217" s="124">
        <f t="shared" ca="1" si="39"/>
        <v>1.76</v>
      </c>
      <c r="R217" s="124" t="str">
        <f ca="1">SIGN(S218-P[[#This Row],[MARs]])*INT(P[[#This Row],[MARs]]/30+1)&amp;"Ma,"&amp;SIGN(T218-P[[#This Row],[Merc]])*INT(P[[#This Row],[Merc]]/30+1)&amp;"Me,"&amp;SIGN(U218-P[[#This Row],[Jup]])*INT(P[[#This Row],[Jup]]/30+1)&amp;"Ju,"&amp;SIGN(V218-P[[#This Row],[Venu]])*INT(P[[#This Row],[Venu]]/30+1)&amp;"Ve,"&amp;SIGN(W218-P[[#This Row],[Sat]])*INT(P[[#This Row],[Sat]]/30+1)&amp;"Sa,"&amp;INT(P[[#This Row],[Rah]]/30+1)&amp;"Ra"</f>
        <v>-10Ma,-4Me,7Ju,5Ve,-9Sa,4Ra</v>
      </c>
      <c r="S217" s="124">
        <f ca="1">Planet(P[[#This Row],[GMT Sun Rise]],4)</f>
        <v>279.81491618300475</v>
      </c>
      <c r="T217" s="124">
        <f ca="1">Planet(P[[#This Row],[GMT Sun Rise]],2)</f>
        <v>119.20582495580497</v>
      </c>
      <c r="U217" s="124">
        <f ca="1">Planet(P[[#This Row],[GMT Sun Rise]],5)</f>
        <v>199.67955112736115</v>
      </c>
      <c r="V217" s="124">
        <f ca="1">Planet(P[[#This Row],[GMT Sun Rise]],3)</f>
        <v>145.48717418052399</v>
      </c>
      <c r="W217" s="124">
        <f ca="1">Planet(P[[#This Row],[GMT Sun Rise]],6)</f>
        <v>249.66819199403554</v>
      </c>
      <c r="X217" s="124">
        <f ca="1">Planet(P[[#This Row],[GMT Sun Rise]],10)</f>
        <v>101.76820086233207</v>
      </c>
      <c r="Y217" s="124">
        <f ca="1">SIGN(S218-P[[#This Row],[MARs]])</f>
        <v>-1</v>
      </c>
    </row>
    <row r="218" spans="1:25" x14ac:dyDescent="0.2">
      <c r="A218" s="125">
        <f t="shared" ca="1" si="40"/>
        <v>43310</v>
      </c>
      <c r="B218" s="125">
        <f t="shared" ca="1" si="33"/>
        <v>43310.229166666664</v>
      </c>
      <c r="C218" s="127">
        <f t="shared" ca="1" si="34"/>
        <v>43310.24628866386</v>
      </c>
      <c r="D218" s="127">
        <f t="shared" ca="1" si="35"/>
        <v>43309.776188671633</v>
      </c>
      <c r="E218" s="189">
        <f ca="1">P[[#This Row],[SunRise]]-TimeZone/24</f>
        <v>43310.017121997196</v>
      </c>
      <c r="F218" s="190">
        <f t="shared" ca="1" si="36"/>
        <v>101.75274805692081</v>
      </c>
      <c r="G218" s="190">
        <f t="shared" ca="1" si="37"/>
        <v>294.46657046418898</v>
      </c>
      <c r="H218" s="191">
        <f t="shared" ca="1" si="38"/>
        <v>43310.017121997196</v>
      </c>
      <c r="I218" s="124" t="str">
        <f ca="1">naks(P[[#This Row],[Moon]])</f>
        <v>Dhanistha</v>
      </c>
      <c r="J218" s="127">
        <f ca="1">(C219-P[[#This Row],[SunRise]])/(G219-P[[#This Row],[Moon]])*(13.3333333333333-MOD(P[[#This Row],[Moon]],13.333333333333))+P[[#This Row],[SunRise]]</f>
        <v>43311.272013486385</v>
      </c>
      <c r="K218" s="124" t="str">
        <f ca="1">IF(P[[#This Row],[Tithi]]&gt;15,"K","S")&amp;ROUNDUP(MOD(P[[#This Row],[Tithi]],15),0)&amp;" ("&amp;ROUND(P[[#This Row],[Tithi]],2)&amp;")"</f>
        <v>K2 (16.06)</v>
      </c>
      <c r="L218" s="124">
        <f ca="1">IF(AND(P[[#This Row],[Tithi]]&lt;28.5,P[[#This Row],[Tithi]]&gt;0.49999),MOD((P[[#This Row],[Tithi]]-0.5)*2,7),MOD((P[[#This Row],[Tithi]]+30-28.5),30)*2+7)</f>
        <v>3.1189999999999998</v>
      </c>
      <c r="M218" s="124" t="str">
        <f ca="1">CHOOSE(ROUNDUP(P[[#This Row],[Karana1]],0),"Bhava","Baalava","Kaulava","Taitula","Garija","Vanija","Vishti","Shakuni","Chatushapda","Naaga","Kimstugna")</f>
        <v>Taitula</v>
      </c>
      <c r="N21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(2.72)</v>
      </c>
      <c r="O218" s="124">
        <f ca="1">IF(AND(P[[#This Row],[Tithi]]&lt;28.5,P[[#This Row],[Tithi]]&gt;0.49999),MOD((P[[#This Row],[Tithi]]-0.5)*2,7),MOD((P[[#This Row],[Tithi]]+30-28.5),30)*2+7)</f>
        <v>3.1189999999999998</v>
      </c>
      <c r="P218" s="124">
        <f ca="1">ROUNDUP(MOD(360+P[[#This Row],[Moon]]-P[[#This Row],[Sun]],360)/12,4)</f>
        <v>16.0595</v>
      </c>
      <c r="Q218" s="124">
        <f t="shared" ca="1" si="39"/>
        <v>2.7199999999999998</v>
      </c>
      <c r="R218" s="124" t="str">
        <f ca="1">SIGN(S219-P[[#This Row],[MARs]])*INT(P[[#This Row],[MARs]]/30+1)&amp;"Ma,"&amp;SIGN(T219-P[[#This Row],[Merc]])*INT(P[[#This Row],[Merc]]/30+1)&amp;"Me,"&amp;SIGN(U219-P[[#This Row],[Jup]])*INT(P[[#This Row],[Jup]]/30+1)&amp;"Ju,"&amp;SIGN(V219-P[[#This Row],[Venu]])*INT(P[[#This Row],[Venu]]/30+1)&amp;"Ve,"&amp;SIGN(W219-P[[#This Row],[Sat]])*INT(P[[#This Row],[Sat]]/30+1)&amp;"Sa,"&amp;INT(P[[#This Row],[Rah]]/30+1)&amp;"Ra"</f>
        <v>-10Ma,-4Me,7Ju,5Ve,-9Sa,4Ra</v>
      </c>
      <c r="S218" s="124">
        <f ca="1">Planet(P[[#This Row],[GMT Sun Rise]],4)</f>
        <v>279.5414426213286</v>
      </c>
      <c r="T218" s="124">
        <f ca="1">Planet(P[[#This Row],[GMT Sun Rise]],2)</f>
        <v>119.0112546478191</v>
      </c>
      <c r="U218" s="124">
        <f ca="1">Planet(P[[#This Row],[GMT Sun Rise]],5)</f>
        <v>199.73206348168631</v>
      </c>
      <c r="V218" s="124">
        <f ca="1">Planet(P[[#This Row],[GMT Sun Rise]],3)</f>
        <v>146.55016488859314</v>
      </c>
      <c r="W218" s="124">
        <f ca="1">Planet(P[[#This Row],[GMT Sun Rise]],6)</f>
        <v>249.61144742600766</v>
      </c>
      <c r="X218" s="124">
        <f ca="1">Planet(P[[#This Row],[GMT Sun Rise]],10)</f>
        <v>101.71520034104205</v>
      </c>
      <c r="Y218" s="124">
        <f ca="1">SIGN(S219-P[[#This Row],[MARs]])</f>
        <v>-1</v>
      </c>
    </row>
    <row r="219" spans="1:25" x14ac:dyDescent="0.2">
      <c r="A219" s="125">
        <f t="shared" ca="1" si="40"/>
        <v>43311</v>
      </c>
      <c r="B219" s="125">
        <f t="shared" ca="1" si="33"/>
        <v>43311.229166666664</v>
      </c>
      <c r="C219" s="127">
        <f t="shared" ca="1" si="34"/>
        <v>43311.246446020123</v>
      </c>
      <c r="D219" s="127">
        <f t="shared" ca="1" si="35"/>
        <v>43310.775988876863</v>
      </c>
      <c r="E219" s="189">
        <f ca="1">P[[#This Row],[SunRise]]-TimeZone/24</f>
        <v>43311.017279353458</v>
      </c>
      <c r="F219" s="190">
        <f t="shared" ca="1" si="36"/>
        <v>102.70852390280011</v>
      </c>
      <c r="G219" s="190">
        <f t="shared" ca="1" si="37"/>
        <v>306.36256410311324</v>
      </c>
      <c r="H219" s="191">
        <f t="shared" ca="1" si="38"/>
        <v>43311.017279353458</v>
      </c>
      <c r="I219" s="124" t="str">
        <f ca="1">naks(P[[#This Row],[Moon]])</f>
        <v>Dhanistha</v>
      </c>
      <c r="J219" s="127">
        <f ca="1">(C220-P[[#This Row],[SunRise]])/(G220-P[[#This Row],[Moon]])*(13.3333333333333-MOD(P[[#This Row],[Moon]],13.333333333333))+P[[#This Row],[SunRise]]</f>
        <v>43311.271784220589</v>
      </c>
      <c r="K219" s="124" t="str">
        <f ca="1">IF(P[[#This Row],[Tithi]]&gt;15,"K","S")&amp;ROUNDUP(MOD(P[[#This Row],[Tithi]],15),0)&amp;" ("&amp;ROUND(P[[#This Row],[Tithi]],2)&amp;")"</f>
        <v>K2 (16.97)</v>
      </c>
      <c r="L219" s="124">
        <f ca="1">IF(AND(P[[#This Row],[Tithi]]&lt;28.5,P[[#This Row],[Tithi]]&gt;0.49999),MOD((P[[#This Row],[Tithi]]-0.5)*2,7),MOD((P[[#This Row],[Tithi]]+30-28.5),30)*2+7)</f>
        <v>4.9423999999999992</v>
      </c>
      <c r="M219" s="124" t="str">
        <f ca="1">CHOOSE(ROUNDUP(P[[#This Row],[Karana1]],0),"Bhava","Baalava","Kaulava","Taitula","Garija","Vanija","Vishti","Shakuni","Chatushapda","Naaga","Kimstugna")</f>
        <v>Garija</v>
      </c>
      <c r="N21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(3.69)</v>
      </c>
      <c r="O219" s="124">
        <f ca="1">IF(AND(P[[#This Row],[Tithi]]&lt;28.5,P[[#This Row],[Tithi]]&gt;0.49999),MOD((P[[#This Row],[Tithi]]-0.5)*2,7),MOD((P[[#This Row],[Tithi]]+30-28.5),30)*2+7)</f>
        <v>4.9423999999999992</v>
      </c>
      <c r="P219" s="124">
        <f ca="1">ROUNDUP(MOD(360+P[[#This Row],[Moon]]-P[[#This Row],[Sun]],360)/12,4)</f>
        <v>16.9712</v>
      </c>
      <c r="Q219" s="124">
        <f t="shared" ca="1" si="39"/>
        <v>3.69</v>
      </c>
      <c r="R219" s="124" t="str">
        <f ca="1">SIGN(S220-P[[#This Row],[MARs]])*INT(P[[#This Row],[MARs]]/30+1)&amp;"Ma,"&amp;SIGN(T220-P[[#This Row],[Merc]])*INT(P[[#This Row],[Merc]]/30+1)&amp;"Me,"&amp;SIGN(U220-P[[#This Row],[Jup]])*INT(P[[#This Row],[Jup]]/30+1)&amp;"Ju,"&amp;SIGN(V220-P[[#This Row],[Venu]])*INT(P[[#This Row],[Venu]]/30+1)&amp;"Ve,"&amp;SIGN(W220-P[[#This Row],[Sat]])*INT(P[[#This Row],[Sat]]/30+1)&amp;"Sa,"&amp;INT(P[[#This Row],[Rah]]/30+1)&amp;"Ra"</f>
        <v>-10Ma,-4Me,7Ju,5Ve,-9Sa,4Ra</v>
      </c>
      <c r="S219" s="124">
        <f ca="1">Planet(P[[#This Row],[GMT Sun Rise]],4)</f>
        <v>279.26845270387315</v>
      </c>
      <c r="T219" s="124">
        <f ca="1">Planet(P[[#This Row],[GMT Sun Rise]],2)</f>
        <v>118.73289305308148</v>
      </c>
      <c r="U219" s="124">
        <f ca="1">Planet(P[[#This Row],[GMT Sun Rise]],5)</f>
        <v>199.78738007375964</v>
      </c>
      <c r="V219" s="124">
        <f ca="1">Planet(P[[#This Row],[GMT Sun Rise]],3)</f>
        <v>147.60923774455449</v>
      </c>
      <c r="W219" s="124">
        <f ca="1">Planet(P[[#This Row],[GMT Sun Rise]],6)</f>
        <v>249.5557544291901</v>
      </c>
      <c r="X219" s="124">
        <f ca="1">Planet(P[[#This Row],[GMT Sun Rise]],10)</f>
        <v>101.66220000505993</v>
      </c>
      <c r="Y219" s="124">
        <f ca="1">SIGN(S220-P[[#This Row],[MARs]])</f>
        <v>-1</v>
      </c>
    </row>
    <row r="220" spans="1:25" x14ac:dyDescent="0.2">
      <c r="A220" s="125">
        <f t="shared" ca="1" si="40"/>
        <v>43312</v>
      </c>
      <c r="B220" s="125">
        <f t="shared" ca="1" si="33"/>
        <v>43312.229166666664</v>
      </c>
      <c r="C220" s="127">
        <f t="shared" ca="1" si="34"/>
        <v>43312.246599561688</v>
      </c>
      <c r="D220" s="127">
        <f t="shared" ca="1" si="35"/>
        <v>43311.775778591676</v>
      </c>
      <c r="E220" s="189">
        <f ca="1">P[[#This Row],[SunRise]]-TimeZone/24</f>
        <v>43312.017432895023</v>
      </c>
      <c r="F220" s="190">
        <f t="shared" ca="1" si="36"/>
        <v>103.66454128462765</v>
      </c>
      <c r="G220" s="190">
        <f t="shared" ca="1" si="37"/>
        <v>318.36614961039538</v>
      </c>
      <c r="H220" s="191">
        <f t="shared" ca="1" si="38"/>
        <v>43312.017432895023</v>
      </c>
      <c r="I220" s="124" t="str">
        <f ca="1">naks(P[[#This Row],[Moon]])</f>
        <v>Satabhisaj</v>
      </c>
      <c r="J220" s="127">
        <f ca="1">(C221-P[[#This Row],[SunRise]])/(G221-P[[#This Row],[Moon]])*(13.3333333333333-MOD(P[[#This Row],[Moon]],13.333333333333))+P[[#This Row],[SunRise]]</f>
        <v>43312.38103970766</v>
      </c>
      <c r="K220" s="124" t="str">
        <f ca="1">IF(P[[#This Row],[Tithi]]&gt;15,"K","S")&amp;ROUNDUP(MOD(P[[#This Row],[Tithi]],15),0)&amp;" ("&amp;ROUND(P[[#This Row],[Tithi]],2)&amp;")"</f>
        <v>K3 (17.89)</v>
      </c>
      <c r="L220" s="124">
        <f ca="1">IF(AND(P[[#This Row],[Tithi]]&lt;28.5,P[[#This Row],[Tithi]]&gt;0.49999),MOD((P[[#This Row],[Tithi]]-0.5)*2,7),MOD((P[[#This Row],[Tithi]]+30-28.5),30)*2+7)</f>
        <v>6.7837999999999994</v>
      </c>
      <c r="M220" s="124" t="str">
        <f ca="1">CHOOSE(ROUNDUP(P[[#This Row],[Karana1]],0),"Bhava","Baalava","Kaulava","Taitula","Garija","Vanija","Vishti","Shakuni","Chatushapda","Naaga","Kimstugna")</f>
        <v>Vishti</v>
      </c>
      <c r="N22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(4.66)</v>
      </c>
      <c r="O220" s="124">
        <f ca="1">IF(AND(P[[#This Row],[Tithi]]&lt;28.5,P[[#This Row],[Tithi]]&gt;0.49999),MOD((P[[#This Row],[Tithi]]-0.5)*2,7),MOD((P[[#This Row],[Tithi]]+30-28.5),30)*2+7)</f>
        <v>6.7837999999999994</v>
      </c>
      <c r="P220" s="124">
        <f ca="1">ROUNDUP(MOD(360+P[[#This Row],[Moon]]-P[[#This Row],[Sun]],360)/12,4)</f>
        <v>17.8919</v>
      </c>
      <c r="Q220" s="124">
        <f t="shared" ca="1" si="39"/>
        <v>4.66</v>
      </c>
      <c r="R220" s="124" t="str">
        <f ca="1">SIGN(S221-P[[#This Row],[MARs]])*INT(P[[#This Row],[MARs]]/30+1)&amp;"Ma,"&amp;SIGN(T221-P[[#This Row],[Merc]])*INT(P[[#This Row],[Merc]]/30+1)&amp;"Me,"&amp;SIGN(U221-P[[#This Row],[Jup]])*INT(P[[#This Row],[Jup]]/30+1)&amp;"Ju,"&amp;SIGN(V221-P[[#This Row],[Venu]])*INT(P[[#This Row],[Venu]]/30+1)&amp;"Ve,"&amp;SIGN(W221-P[[#This Row],[Sat]])*INT(P[[#This Row],[Sat]]/30+1)&amp;"Sa,"&amp;INT(P[[#This Row],[Rah]]/30+1)&amp;"Ra"</f>
        <v>-10Ma,-4Me,7Ju,5Ve,-9Sa,4Ra</v>
      </c>
      <c r="S220" s="124">
        <f ca="1">Planet(P[[#This Row],[GMT Sun Rise]],4)</f>
        <v>278.99667461019379</v>
      </c>
      <c r="T220" s="124">
        <f ca="1">Planet(P[[#This Row],[GMT Sun Rise]],2)</f>
        <v>118.37246803667824</v>
      </c>
      <c r="U220" s="124">
        <f ca="1">Planet(P[[#This Row],[GMT Sun Rise]],5)</f>
        <v>199.84548312319063</v>
      </c>
      <c r="V220" s="124">
        <f ca="1">Planet(P[[#This Row],[GMT Sun Rise]],3)</f>
        <v>148.66429768029204</v>
      </c>
      <c r="W220" s="124">
        <f ca="1">Planet(P[[#This Row],[GMT Sun Rise]],6)</f>
        <v>249.50113838372928</v>
      </c>
      <c r="X220" s="124">
        <f ca="1">Planet(P[[#This Row],[GMT Sun Rise]],10)</f>
        <v>101.60919987121989</v>
      </c>
      <c r="Y220" s="124">
        <f ca="1">SIGN(S221-P[[#This Row],[MARs]])</f>
        <v>-1</v>
      </c>
    </row>
    <row r="221" spans="1:25" x14ac:dyDescent="0.2">
      <c r="A221" s="125">
        <f t="shared" ca="1" si="40"/>
        <v>43313</v>
      </c>
      <c r="B221" s="125">
        <f t="shared" ca="1" si="33"/>
        <v>43313.229166666664</v>
      </c>
      <c r="C221" s="127">
        <f t="shared" ca="1" si="34"/>
        <v>43313.246749447346</v>
      </c>
      <c r="D221" s="127">
        <f t="shared" ca="1" si="35"/>
        <v>43312.775558292909</v>
      </c>
      <c r="E221" s="189">
        <f ca="1">P[[#This Row],[SunRise]]-TimeZone/24</f>
        <v>43313.017582780682</v>
      </c>
      <c r="F221" s="190">
        <f t="shared" ca="1" si="36"/>
        <v>104.62082141884734</v>
      </c>
      <c r="G221" s="190">
        <f t="shared" ca="1" si="37"/>
        <v>330.52096593064556</v>
      </c>
      <c r="H221" s="191">
        <f t="shared" ca="1" si="38"/>
        <v>43313.017582780682</v>
      </c>
      <c r="I221" s="124" t="str">
        <f ca="1">naks(P[[#This Row],[Moon]])</f>
        <v>Purva Bhadrapada</v>
      </c>
      <c r="J221" s="127">
        <f ca="1">(C222-P[[#This Row],[SunRise]])/(G222-P[[#This Row],[Moon]])*(13.3333333333333-MOD(P[[#This Row],[Moon]],13.333333333333))+P[[#This Row],[SunRise]]</f>
        <v>43313.474441036269</v>
      </c>
      <c r="K221" s="124" t="str">
        <f ca="1">IF(P[[#This Row],[Tithi]]&gt;15,"K","S")&amp;ROUNDUP(MOD(P[[#This Row],[Tithi]],15),0)&amp;" ("&amp;ROUND(P[[#This Row],[Tithi]],2)&amp;")"</f>
        <v>K4 (18.83)</v>
      </c>
      <c r="L221" s="124">
        <f ca="1">IF(AND(P[[#This Row],[Tithi]]&lt;28.5,P[[#This Row],[Tithi]]&gt;0.49999),MOD((P[[#This Row],[Tithi]]-0.5)*2,7),MOD((P[[#This Row],[Tithi]]+30-28.5),30)*2+7)</f>
        <v>1.6501999999999981</v>
      </c>
      <c r="M221" s="124" t="str">
        <f ca="1">CHOOSE(ROUNDUP(P[[#This Row],[Karana1]],0),"Bhava","Baalava","Kaulava","Taitula","Garija","Vanija","Vishti","Shakuni","Chatushapda","Naaga","Kimstugna")</f>
        <v>Baalava</v>
      </c>
      <c r="N22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(5.64)</v>
      </c>
      <c r="O221" s="124">
        <f ca="1">IF(AND(P[[#This Row],[Tithi]]&lt;28.5,P[[#This Row],[Tithi]]&gt;0.49999),MOD((P[[#This Row],[Tithi]]-0.5)*2,7),MOD((P[[#This Row],[Tithi]]+30-28.5),30)*2+7)</f>
        <v>1.6501999999999981</v>
      </c>
      <c r="P221" s="124">
        <f ca="1">ROUNDUP(MOD(360+P[[#This Row],[Moon]]-P[[#This Row],[Sun]],360)/12,4)</f>
        <v>18.825099999999999</v>
      </c>
      <c r="Q221" s="124">
        <f t="shared" ca="1" si="39"/>
        <v>5.64</v>
      </c>
      <c r="R221" s="124" t="str">
        <f ca="1">SIGN(S222-P[[#This Row],[MARs]])*INT(P[[#This Row],[MARs]]/30+1)&amp;"Ma,"&amp;SIGN(T222-P[[#This Row],[Merc]])*INT(P[[#This Row],[Merc]]/30+1)&amp;"Me,"&amp;SIGN(U222-P[[#This Row],[Jup]])*INT(P[[#This Row],[Jup]]/30+1)&amp;"Ju,"&amp;SIGN(V222-P[[#This Row],[Venu]])*INT(P[[#This Row],[Venu]]/30+1)&amp;"Ve,"&amp;SIGN(W222-P[[#This Row],[Sat]])*INT(P[[#This Row],[Sat]]/30+1)&amp;"Sa,"&amp;INT(P[[#This Row],[Rah]]/30+1)&amp;"Ra"</f>
        <v>-10Ma,-4Me,7Ju,5Ve,-9Sa,4Ra</v>
      </c>
      <c r="S221" s="124">
        <f ca="1">Planet(P[[#This Row],[GMT Sun Rise]],4)</f>
        <v>278.72683666948114</v>
      </c>
      <c r="T221" s="124">
        <f ca="1">Planet(P[[#This Row],[GMT Sun Rise]],2)</f>
        <v>117.93291540143949</v>
      </c>
      <c r="U221" s="124">
        <f ca="1">Planet(P[[#This Row],[GMT Sun Rise]],5)</f>
        <v>199.90635497312007</v>
      </c>
      <c r="V221" s="124">
        <f ca="1">Planet(P[[#This Row],[GMT Sun Rise]],3)</f>
        <v>149.71524802847793</v>
      </c>
      <c r="W221" s="124">
        <f ca="1">Planet(P[[#This Row],[GMT Sun Rise]],6)</f>
        <v>249.44762434161396</v>
      </c>
      <c r="X221" s="124">
        <f ca="1">Planet(P[[#This Row],[GMT Sun Rise]],10)</f>
        <v>101.55619993113802</v>
      </c>
      <c r="Y221" s="124">
        <f ca="1">SIGN(S222-P[[#This Row],[MARs]])</f>
        <v>-1</v>
      </c>
    </row>
    <row r="222" spans="1:25" x14ac:dyDescent="0.2">
      <c r="A222" s="125">
        <f t="shared" ca="1" si="40"/>
        <v>43314</v>
      </c>
      <c r="B222" s="125">
        <f t="shared" ca="1" si="33"/>
        <v>43314.229166666664</v>
      </c>
      <c r="C222" s="127">
        <f t="shared" ca="1" si="34"/>
        <v>43314.246895677563</v>
      </c>
      <c r="D222" s="127">
        <f t="shared" ca="1" si="35"/>
        <v>43313.775327980562</v>
      </c>
      <c r="E222" s="189">
        <f ca="1">P[[#This Row],[SunRise]]-TimeZone/24</f>
        <v>43314.017729010899</v>
      </c>
      <c r="F222" s="190">
        <f t="shared" ca="1" si="36"/>
        <v>105.57738435415442</v>
      </c>
      <c r="G222" s="190">
        <f t="shared" ca="1" si="37"/>
        <v>342.87442469944597</v>
      </c>
      <c r="H222" s="191">
        <f t="shared" ca="1" si="38"/>
        <v>43314.017729010899</v>
      </c>
      <c r="I222" s="124" t="str">
        <f ca="1">naks(P[[#This Row],[Moon]])</f>
        <v>Uttara Bhadrapada</v>
      </c>
      <c r="J222" s="127">
        <f ca="1">(C223-P[[#This Row],[SunRise]])/(G223-P[[#This Row],[Moon]])*(13.3333333333333-MOD(P[[#This Row],[Moon]],13.333333333333))+P[[#This Row],[SunRise]]</f>
        <v>43314.547851111151</v>
      </c>
      <c r="K222" s="124" t="str">
        <f ca="1">IF(P[[#This Row],[Tithi]]&gt;15,"K","S")&amp;ROUNDUP(MOD(P[[#This Row],[Tithi]],15),0)&amp;" ("&amp;ROUND(P[[#This Row],[Tithi]],2)&amp;")"</f>
        <v>K5 (19.77)</v>
      </c>
      <c r="L222" s="124">
        <f ca="1">IF(AND(P[[#This Row],[Tithi]]&lt;28.5,P[[#This Row],[Tithi]]&gt;0.49999),MOD((P[[#This Row],[Tithi]]-0.5)*2,7),MOD((P[[#This Row],[Tithi]]+30-28.5),30)*2+7)</f>
        <v>3.5495999999999981</v>
      </c>
      <c r="M222" s="124" t="str">
        <f ca="1">CHOOSE(ROUNDUP(P[[#This Row],[Karana1]],0),"Bhava","Baalava","Kaulava","Taitula","Garija","Vanija","Vishti","Shakuni","Chatushapda","Naaga","Kimstugna")</f>
        <v>Taitula</v>
      </c>
      <c r="N22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(6.64)</v>
      </c>
      <c r="O222" s="124">
        <f ca="1">IF(AND(P[[#This Row],[Tithi]]&lt;28.5,P[[#This Row],[Tithi]]&gt;0.49999),MOD((P[[#This Row],[Tithi]]-0.5)*2,7),MOD((P[[#This Row],[Tithi]]+30-28.5),30)*2+7)</f>
        <v>3.5495999999999981</v>
      </c>
      <c r="P222" s="124">
        <f ca="1">ROUNDUP(MOD(360+P[[#This Row],[Moon]]-P[[#This Row],[Sun]],360)/12,4)</f>
        <v>19.774799999999999</v>
      </c>
      <c r="Q222" s="124">
        <f t="shared" ca="1" si="39"/>
        <v>6.64</v>
      </c>
      <c r="R222" s="124" t="str">
        <f ca="1">SIGN(S223-P[[#This Row],[MARs]])*INT(P[[#This Row],[MARs]]/30+1)&amp;"Ma,"&amp;SIGN(T223-P[[#This Row],[Merc]])*INT(P[[#This Row],[Merc]]/30+1)&amp;"Me,"&amp;SIGN(U223-P[[#This Row],[Jup]])*INT(P[[#This Row],[Jup]]/30+1)&amp;"Ju,"&amp;SIGN(V223-P[[#This Row],[Venu]])*INT(P[[#This Row],[Venu]]/30+1)&amp;"Ve,"&amp;SIGN(W223-P[[#This Row],[Sat]])*INT(P[[#This Row],[Sat]]/30+1)&amp;"Sa,"&amp;INT(P[[#This Row],[Rah]]/30+1)&amp;"Ra"</f>
        <v>-10Ma,-4Me,7Ju,6Ve,-9Sa,4Ra</v>
      </c>
      <c r="S222" s="124">
        <f ca="1">Planet(P[[#This Row],[GMT Sun Rise]],4)</f>
        <v>278.45966627643196</v>
      </c>
      <c r="T222" s="124">
        <f ca="1">Planet(P[[#This Row],[GMT Sun Rise]],2)</f>
        <v>117.41852933642602</v>
      </c>
      <c r="U222" s="124">
        <f ca="1">Planet(P[[#This Row],[GMT Sun Rise]],5)</f>
        <v>199.96997808736296</v>
      </c>
      <c r="V222" s="124">
        <f ca="1">Planet(P[[#This Row],[GMT Sun Rise]],3)</f>
        <v>150.76198949503885</v>
      </c>
      <c r="W222" s="124">
        <f ca="1">Planet(P[[#This Row],[GMT Sun Rise]],6)</f>
        <v>249.39523711334778</v>
      </c>
      <c r="X222" s="124">
        <f ca="1">Planet(P[[#This Row],[GMT Sun Rise]],10)</f>
        <v>101.50320018476455</v>
      </c>
      <c r="Y222" s="124">
        <f ca="1">SIGN(S223-P[[#This Row],[MARs]])</f>
        <v>-1</v>
      </c>
    </row>
    <row r="223" spans="1:25" x14ac:dyDescent="0.2">
      <c r="A223" s="125">
        <f t="shared" ca="1" si="40"/>
        <v>43315</v>
      </c>
      <c r="B223" s="125">
        <f t="shared" ca="1" si="33"/>
        <v>43315.229166666664</v>
      </c>
      <c r="C223" s="127">
        <f t="shared" ca="1" si="34"/>
        <v>43315.247037933827</v>
      </c>
      <c r="D223" s="127">
        <f t="shared" ca="1" si="35"/>
        <v>43314.77508781389</v>
      </c>
      <c r="E223" s="189">
        <f ca="1">P[[#This Row],[SunRise]]-TimeZone/24</f>
        <v>43315.017871267162</v>
      </c>
      <c r="F223" s="190">
        <f t="shared" ca="1" si="36"/>
        <v>106.53424836493319</v>
      </c>
      <c r="G223" s="190">
        <f t="shared" ca="1" si="37"/>
        <v>355.4768934178561</v>
      </c>
      <c r="H223" s="191">
        <f t="shared" ca="1" si="38"/>
        <v>43315.017871267162</v>
      </c>
      <c r="I223" s="124" t="str">
        <f ca="1">naks(P[[#This Row],[Moon]])</f>
        <v>Revati</v>
      </c>
      <c r="J223" s="127">
        <f ca="1">(C224-P[[#This Row],[SunRise]])/(G224-P[[#This Row],[Moon]])*(13.3333333333333-MOD(P[[#This Row],[Moon]],13.333333333333))+P[[#This Row],[SunRise]]</f>
        <v>43315.234004904145</v>
      </c>
      <c r="K223" s="124" t="str">
        <f ca="1">IF(P[[#This Row],[Tithi]]&gt;15,"K","S")&amp;ROUNDUP(MOD(P[[#This Row],[Tithi]],15),0)&amp;" ("&amp;ROUND(P[[#This Row],[Tithi]],2)&amp;")"</f>
        <v>K6 (20.75)</v>
      </c>
      <c r="L223" s="124">
        <f ca="1">IF(AND(P[[#This Row],[Tithi]]&lt;28.5,P[[#This Row],[Tithi]]&gt;0.49999),MOD((P[[#This Row],[Tithi]]-0.5)*2,7),MOD((P[[#This Row],[Tithi]]+30-28.5),30)*2+7)</f>
        <v>5.4906000000000006</v>
      </c>
      <c r="M223" s="124" t="str">
        <f ca="1">CHOOSE(ROUNDUP(P[[#This Row],[Karana1]],0),"Bhava","Baalava","Kaulava","Taitula","Garija","Vanija","Vishti","Shakuni","Chatushapda","Naaga","Kimstugna")</f>
        <v>Vanija</v>
      </c>
      <c r="N22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(7.66)</v>
      </c>
      <c r="O223" s="124">
        <f ca="1">IF(AND(P[[#This Row],[Tithi]]&lt;28.5,P[[#This Row],[Tithi]]&gt;0.49999),MOD((P[[#This Row],[Tithi]]-0.5)*2,7),MOD((P[[#This Row],[Tithi]]+30-28.5),30)*2+7)</f>
        <v>5.4906000000000006</v>
      </c>
      <c r="P223" s="124">
        <f ca="1">ROUNDUP(MOD(360+P[[#This Row],[Moon]]-P[[#This Row],[Sun]],360)/12,4)</f>
        <v>20.7453</v>
      </c>
      <c r="Q223" s="124">
        <f t="shared" ca="1" si="39"/>
        <v>7.66</v>
      </c>
      <c r="R223" s="124" t="str">
        <f ca="1">SIGN(S224-P[[#This Row],[MARs]])*INT(P[[#This Row],[MARs]]/30+1)&amp;"Ma,"&amp;SIGN(T224-P[[#This Row],[Merc]])*INT(P[[#This Row],[Merc]]/30+1)&amp;"Me,"&amp;SIGN(U224-P[[#This Row],[Jup]])*INT(P[[#This Row],[Jup]]/30+1)&amp;"Ju,"&amp;SIGN(V224-P[[#This Row],[Venu]])*INT(P[[#This Row],[Venu]]/30+1)&amp;"Ve,"&amp;SIGN(W224-P[[#This Row],[Sat]])*INT(P[[#This Row],[Sat]]/30+1)&amp;"Sa,"&amp;INT(P[[#This Row],[Rah]]/30+1)&amp;"Ra"</f>
        <v>-10Ma,-4Me,7Ju,6Ve,-9Sa,4Ra</v>
      </c>
      <c r="S223" s="124">
        <f ca="1">Planet(P[[#This Row],[GMT Sun Rise]],4)</f>
        <v>278.19588876419596</v>
      </c>
      <c r="T223" s="124">
        <f ca="1">Planet(P[[#This Row],[GMT Sun Rise]],2)</f>
        <v>116.83508614866621</v>
      </c>
      <c r="U223" s="124">
        <f ca="1">Planet(P[[#This Row],[GMT Sun Rise]],5)</f>
        <v>200.03633504420773</v>
      </c>
      <c r="V223" s="124">
        <f ca="1">Planet(P[[#This Row],[GMT Sun Rise]],3)</f>
        <v>151.80441951297325</v>
      </c>
      <c r="W223" s="124">
        <f ca="1">Planet(P[[#This Row],[GMT Sun Rise]],6)</f>
        <v>249.34400131892443</v>
      </c>
      <c r="X223" s="124">
        <f ca="1">Planet(P[[#This Row],[GMT Sun Rise]],10)</f>
        <v>101.45020064896671</v>
      </c>
      <c r="Y223" s="124">
        <f ca="1">SIGN(S224-P[[#This Row],[MARs]])</f>
        <v>-1</v>
      </c>
    </row>
    <row r="224" spans="1:25" x14ac:dyDescent="0.2">
      <c r="A224" s="125">
        <f t="shared" ca="1" si="40"/>
        <v>43316</v>
      </c>
      <c r="B224" s="125">
        <f t="shared" ca="1" si="33"/>
        <v>43316.229166666664</v>
      </c>
      <c r="C224" s="127">
        <f t="shared" ca="1" si="34"/>
        <v>43316.247176375393</v>
      </c>
      <c r="D224" s="127">
        <f t="shared" ca="1" si="35"/>
        <v>43315.774837633173</v>
      </c>
      <c r="E224" s="189">
        <f ca="1">P[[#This Row],[SunRise]]-TimeZone/24</f>
        <v>43316.018009708729</v>
      </c>
      <c r="F224" s="190">
        <f t="shared" ca="1" si="36"/>
        <v>107.49143026037936</v>
      </c>
      <c r="G224" s="190">
        <f t="shared" ca="1" si="37"/>
        <v>8.3793359826780698</v>
      </c>
      <c r="H224" s="191">
        <f t="shared" ca="1" si="38"/>
        <v>43316.018009708729</v>
      </c>
      <c r="I224" s="124" t="str">
        <f ca="1">naks(P[[#This Row],[Moon]])</f>
        <v>Aswini</v>
      </c>
      <c r="J224" s="127">
        <f ca="1">(C225-P[[#This Row],[SunRise]])/(G225-P[[#This Row],[Moon]])*(13.3333333333333-MOD(P[[#This Row],[Moon]],13.333333333333))+P[[#This Row],[SunRise]]</f>
        <v>43316.621126939448</v>
      </c>
      <c r="K224" s="124" t="str">
        <f ca="1">IF(P[[#This Row],[Tithi]]&gt;15,"K","S")&amp;ROUNDUP(MOD(P[[#This Row],[Tithi]],15),0)&amp;" ("&amp;ROUND(P[[#This Row],[Tithi]],2)&amp;")"</f>
        <v>K7 (21.74)</v>
      </c>
      <c r="L224" s="124">
        <f ca="1">IF(AND(P[[#This Row],[Tithi]]&lt;28.5,P[[#This Row],[Tithi]]&gt;0.49999),MOD((P[[#This Row],[Tithi]]-0.5)*2,7),MOD((P[[#This Row],[Tithi]]+30-28.5),30)*2+7)</f>
        <v>0.48140000000000072</v>
      </c>
      <c r="M224" s="124" t="str">
        <f ca="1">CHOOSE(ROUNDUP(P[[#This Row],[Karana1]],0),"Bhava","Baalava","Kaulava","Taitula","Garija","Vanija","Vishti","Shakuni","Chatushapda","Naaga","Kimstugna")</f>
        <v>Bhava</v>
      </c>
      <c r="N22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(8.7)</v>
      </c>
      <c r="O224" s="124">
        <f ca="1">IF(AND(P[[#This Row],[Tithi]]&lt;28.5,P[[#This Row],[Tithi]]&gt;0.49999),MOD((P[[#This Row],[Tithi]]-0.5)*2,7),MOD((P[[#This Row],[Tithi]]+30-28.5),30)*2+7)</f>
        <v>0.48140000000000072</v>
      </c>
      <c r="P224" s="124">
        <f ca="1">ROUNDUP(MOD(360+P[[#This Row],[Moon]]-P[[#This Row],[Sun]],360)/12,4)</f>
        <v>21.7407</v>
      </c>
      <c r="Q224" s="124">
        <f t="shared" ca="1" si="39"/>
        <v>8.6999999999999993</v>
      </c>
      <c r="R224" s="124" t="str">
        <f ca="1">SIGN(S225-P[[#This Row],[MARs]])*INT(P[[#This Row],[MARs]]/30+1)&amp;"Ma,"&amp;SIGN(T225-P[[#This Row],[Merc]])*INT(P[[#This Row],[Merc]]/30+1)&amp;"Me,"&amp;SIGN(U225-P[[#This Row],[Jup]])*INT(P[[#This Row],[Jup]]/30+1)&amp;"Ju,"&amp;SIGN(V225-P[[#This Row],[Venu]])*INT(P[[#This Row],[Venu]]/30+1)&amp;"Ve,"&amp;SIGN(W225-P[[#This Row],[Sat]])*INT(P[[#This Row],[Sat]]/30+1)&amp;"Sa,"&amp;INT(P[[#This Row],[Rah]]/30+1)&amp;"Ra"</f>
        <v>-10Ma,-4Me,7Ju,6Ve,-9Sa,4Ra</v>
      </c>
      <c r="S224" s="124">
        <f ca="1">Planet(P[[#This Row],[GMT Sun Rise]],4)</f>
        <v>277.93622598479612</v>
      </c>
      <c r="T224" s="124">
        <f ca="1">Planet(P[[#This Row],[GMT Sun Rise]],2)</f>
        <v>116.18992637270009</v>
      </c>
      <c r="U224" s="124">
        <f ca="1">Planet(P[[#This Row],[GMT Sun Rise]],5)</f>
        <v>200.10540857046595</v>
      </c>
      <c r="V224" s="124">
        <f ca="1">Planet(P[[#This Row],[GMT Sun Rise]],3)</f>
        <v>152.84243248940697</v>
      </c>
      <c r="W224" s="124">
        <f ca="1">Planet(P[[#This Row],[GMT Sun Rise]],6)</f>
        <v>249.29394138097956</v>
      </c>
      <c r="X224" s="124">
        <f ca="1">Planet(P[[#This Row],[GMT Sun Rise]],10)</f>
        <v>101.39720131534392</v>
      </c>
      <c r="Y224" s="124">
        <f ca="1">SIGN(S225-P[[#This Row],[MARs]])</f>
        <v>-1</v>
      </c>
    </row>
    <row r="225" spans="1:25" x14ac:dyDescent="0.2">
      <c r="A225" s="125">
        <f t="shared" ca="1" si="40"/>
        <v>43317</v>
      </c>
      <c r="B225" s="125">
        <f t="shared" ca="1" si="33"/>
        <v>43317.229166666664</v>
      </c>
      <c r="C225" s="127">
        <f t="shared" ca="1" si="34"/>
        <v>43317.247311002728</v>
      </c>
      <c r="D225" s="127">
        <f t="shared" ca="1" si="35"/>
        <v>43316.774577915712</v>
      </c>
      <c r="E225" s="189">
        <f ca="1">P[[#This Row],[SunRise]]-TimeZone/24</f>
        <v>43317.018144336063</v>
      </c>
      <c r="F225" s="190">
        <f t="shared" ca="1" si="36"/>
        <v>108.44894431087101</v>
      </c>
      <c r="G225" s="190">
        <f t="shared" ca="1" si="37"/>
        <v>21.628852818284564</v>
      </c>
      <c r="H225" s="191">
        <f t="shared" ca="1" si="38"/>
        <v>43317.018144336063</v>
      </c>
      <c r="I225" s="124" t="str">
        <f ca="1">naks(P[[#This Row],[Moon]])</f>
        <v>Bharani</v>
      </c>
      <c r="J225" s="127">
        <f ca="1">(C226-P[[#This Row],[SunRise]])/(G226-P[[#This Row],[Moon]])*(13.3333333333333-MOD(P[[#This Row],[Moon]],13.333333333333))+P[[#This Row],[SunRise]]</f>
        <v>43317.616891897327</v>
      </c>
      <c r="K225" s="124" t="str">
        <f ca="1">IF(P[[#This Row],[Tithi]]&gt;15,"K","S")&amp;ROUNDUP(MOD(P[[#This Row],[Tithi]],15),0)&amp;" ("&amp;ROUND(P[[#This Row],[Tithi]],2)&amp;")"</f>
        <v>K8 (22.77)</v>
      </c>
      <c r="L225" s="124">
        <f ca="1">IF(AND(P[[#This Row],[Tithi]]&lt;28.5,P[[#This Row],[Tithi]]&gt;0.49999),MOD((P[[#This Row],[Tithi]]-0.5)*2,7),MOD((P[[#This Row],[Tithi]]+30-28.5),30)*2+7)</f>
        <v>2.5300000000000011</v>
      </c>
      <c r="M225" s="124" t="str">
        <f ca="1">CHOOSE(ROUNDUP(P[[#This Row],[Karana1]],0),"Bhava","Baalava","Kaulava","Taitula","Garija","Vanija","Vishti","Shakuni","Chatushapda","Naaga","Kimstugna")</f>
        <v>Kaulava</v>
      </c>
      <c r="N22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(9.76)</v>
      </c>
      <c r="O225" s="124">
        <f ca="1">IF(AND(P[[#This Row],[Tithi]]&lt;28.5,P[[#This Row],[Tithi]]&gt;0.49999),MOD((P[[#This Row],[Tithi]]-0.5)*2,7),MOD((P[[#This Row],[Tithi]]+30-28.5),30)*2+7)</f>
        <v>2.5300000000000011</v>
      </c>
      <c r="P225" s="124">
        <f ca="1">ROUNDUP(MOD(360+P[[#This Row],[Moon]]-P[[#This Row],[Sun]],360)/12,4)</f>
        <v>22.765000000000001</v>
      </c>
      <c r="Q225" s="124">
        <f t="shared" ca="1" si="39"/>
        <v>9.76</v>
      </c>
      <c r="R225" s="124" t="str">
        <f ca="1">SIGN(S226-P[[#This Row],[MARs]])*INT(P[[#This Row],[MARs]]/30+1)&amp;"Ma,"&amp;SIGN(T226-P[[#This Row],[Merc]])*INT(P[[#This Row],[Merc]]/30+1)&amp;"Me,"&amp;SIGN(U226-P[[#This Row],[Jup]])*INT(P[[#This Row],[Jup]]/30+1)&amp;"Ju,"&amp;SIGN(V226-P[[#This Row],[Venu]])*INT(P[[#This Row],[Venu]]/30+1)&amp;"Ve,"&amp;SIGN(W226-P[[#This Row],[Sat]])*INT(P[[#This Row],[Sat]]/30+1)&amp;"Sa,"&amp;INT(P[[#This Row],[Rah]]/30+1)&amp;"Ra"</f>
        <v>-10Ma,-4Me,7Ju,6Ve,-9Sa,4Ra</v>
      </c>
      <c r="S225" s="124">
        <f ca="1">Planet(P[[#This Row],[GMT Sun Rise]],4)</f>
        <v>277.68139523195231</v>
      </c>
      <c r="T225" s="124">
        <f ca="1">Planet(P[[#This Row],[GMT Sun Rise]],2)</f>
        <v>115.49198230769393</v>
      </c>
      <c r="U225" s="124">
        <f ca="1">Planet(P[[#This Row],[GMT Sun Rise]],5)</f>
        <v>200.17718145981553</v>
      </c>
      <c r="V225" s="124">
        <f ca="1">Planet(P[[#This Row],[GMT Sun Rise]],3)</f>
        <v>153.87591844896698</v>
      </c>
      <c r="W225" s="124">
        <f ca="1">Planet(P[[#This Row],[GMT Sun Rise]],6)</f>
        <v>249.24508158497051</v>
      </c>
      <c r="X225" s="124">
        <f ca="1">Planet(P[[#This Row],[GMT Sun Rise]],10)</f>
        <v>101.34420218383003</v>
      </c>
      <c r="Y225" s="124">
        <f ca="1">SIGN(S226-P[[#This Row],[MARs]])</f>
        <v>-1</v>
      </c>
    </row>
    <row r="226" spans="1:25" x14ac:dyDescent="0.2">
      <c r="A226" s="125">
        <f t="shared" ca="1" si="40"/>
        <v>43318</v>
      </c>
      <c r="B226" s="125">
        <f t="shared" ca="1" si="33"/>
        <v>43318.229166666664</v>
      </c>
      <c r="C226" s="127">
        <f t="shared" ca="1" si="34"/>
        <v>43318.247441656109</v>
      </c>
      <c r="D226" s="127">
        <f t="shared" ca="1" si="35"/>
        <v>43317.774308661974</v>
      </c>
      <c r="E226" s="189">
        <f ca="1">P[[#This Row],[SunRise]]-TimeZone/24</f>
        <v>43318.018274989445</v>
      </c>
      <c r="F226" s="190">
        <f t="shared" ca="1" si="36"/>
        <v>109.40680170234459</v>
      </c>
      <c r="G226" s="190">
        <f t="shared" ca="1" si="37"/>
        <v>35.261787121368656</v>
      </c>
      <c r="H226" s="191">
        <f t="shared" ca="1" si="38"/>
        <v>43318.018274989445</v>
      </c>
      <c r="I226" s="124" t="str">
        <f ca="1">naks(P[[#This Row],[Moon]])</f>
        <v>Krittika</v>
      </c>
      <c r="J226" s="127">
        <f ca="1">(C227-P[[#This Row],[SunRise]])/(G227-P[[#This Row],[Moon]])*(13.3333333333333-MOD(P[[#This Row],[Moon]],13.333333333333))+P[[#This Row],[SunRise]]</f>
        <v>43318.585134152949</v>
      </c>
      <c r="K226" s="124" t="str">
        <f ca="1">IF(P[[#This Row],[Tithi]]&gt;15,"K","S")&amp;ROUNDUP(MOD(P[[#This Row],[Tithi]],15),0)&amp;" ("&amp;ROUND(P[[#This Row],[Tithi]],2)&amp;")"</f>
        <v>K9 (23.82)</v>
      </c>
      <c r="L226" s="124">
        <f ca="1">IF(AND(P[[#This Row],[Tithi]]&lt;28.5,P[[#This Row],[Tithi]]&gt;0.49999),MOD((P[[#This Row],[Tithi]]-0.5)*2,7),MOD((P[[#This Row],[Tithi]]+30-28.5),30)*2+7)</f>
        <v>4.6426000000000016</v>
      </c>
      <c r="M226" s="124" t="str">
        <f ca="1">CHOOSE(ROUNDUP(P[[#This Row],[Karana1]],0),"Bhava","Baalava","Kaulava","Taitula","Garija","Vanija","Vishti","Shakuni","Chatushapda","Naaga","Kimstugna")</f>
        <v>Garija</v>
      </c>
      <c r="N22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(10.86)</v>
      </c>
      <c r="O226" s="124">
        <f ca="1">IF(AND(P[[#This Row],[Tithi]]&lt;28.5,P[[#This Row],[Tithi]]&gt;0.49999),MOD((P[[#This Row],[Tithi]]-0.5)*2,7),MOD((P[[#This Row],[Tithi]]+30-28.5),30)*2+7)</f>
        <v>4.6426000000000016</v>
      </c>
      <c r="P226" s="124">
        <f ca="1">ROUNDUP(MOD(360+P[[#This Row],[Moon]]-P[[#This Row],[Sun]],360)/12,4)</f>
        <v>23.821300000000001</v>
      </c>
      <c r="Q226" s="124">
        <f t="shared" ca="1" si="39"/>
        <v>10.86</v>
      </c>
      <c r="R226" s="124" t="str">
        <f ca="1">SIGN(S227-P[[#This Row],[MARs]])*INT(P[[#This Row],[MARs]]/30+1)&amp;"Ma,"&amp;SIGN(T227-P[[#This Row],[Merc]])*INT(P[[#This Row],[Merc]]/30+1)&amp;"Me,"&amp;SIGN(U227-P[[#This Row],[Jup]])*INT(P[[#This Row],[Jup]]/30+1)&amp;"Ju,"&amp;SIGN(V227-P[[#This Row],[Venu]])*INT(P[[#This Row],[Venu]]/30+1)&amp;"Ve,"&amp;SIGN(W227-P[[#This Row],[Sat]])*INT(P[[#This Row],[Sat]]/30+1)&amp;"Sa,"&amp;INT(P[[#This Row],[Rah]]/30+1)&amp;"Ra"</f>
        <v>-10Ma,-4Me,7Ju,6Ve,-9Sa,4Ra</v>
      </c>
      <c r="S226" s="124">
        <f ca="1">Planet(P[[#This Row],[GMT Sun Rise]],4)</f>
        <v>277.432108097249</v>
      </c>
      <c r="T226" s="124">
        <f ca="1">Planet(P[[#This Row],[GMT Sun Rise]],2)</f>
        <v>114.75173734362205</v>
      </c>
      <c r="U226" s="124">
        <f ca="1">Planet(P[[#This Row],[GMT Sun Rise]],5)</f>
        <v>200.25163650783156</v>
      </c>
      <c r="V226" s="124">
        <f ca="1">Planet(P[[#This Row],[GMT Sun Rise]],3)</f>
        <v>154.90476216369663</v>
      </c>
      <c r="W226" s="124">
        <f ca="1">Planet(P[[#This Row],[GMT Sun Rise]],6)</f>
        <v>249.19744610001038</v>
      </c>
      <c r="X226" s="124">
        <f ca="1">Planet(P[[#This Row],[GMT Sun Rise]],10)</f>
        <v>101.29120326292464</v>
      </c>
      <c r="Y226" s="124">
        <f ca="1">SIGN(S227-P[[#This Row],[MARs]])</f>
        <v>-1</v>
      </c>
    </row>
    <row r="227" spans="1:25" x14ac:dyDescent="0.2">
      <c r="A227" s="125">
        <f t="shared" ca="1" si="40"/>
        <v>43319</v>
      </c>
      <c r="B227" s="125">
        <f t="shared" ca="1" si="33"/>
        <v>43319.229166666664</v>
      </c>
      <c r="C227" s="127">
        <f t="shared" ca="1" si="34"/>
        <v>43319.247568176746</v>
      </c>
      <c r="D227" s="127">
        <f t="shared" ca="1" si="35"/>
        <v>43318.774030029817</v>
      </c>
      <c r="E227" s="189">
        <f ca="1">P[[#This Row],[SunRise]]-TimeZone/24</f>
        <v>43319.018401510082</v>
      </c>
      <c r="F227" s="190">
        <f t="shared" ca="1" si="36"/>
        <v>110.3650099909156</v>
      </c>
      <c r="G227" s="190">
        <f t="shared" ca="1" si="37"/>
        <v>49.294708802122024</v>
      </c>
      <c r="H227" s="191">
        <f t="shared" ca="1" si="38"/>
        <v>43319.018401510082</v>
      </c>
      <c r="I227" s="124" t="str">
        <f ca="1">naks(P[[#This Row],[Moon]])</f>
        <v>Rohini</v>
      </c>
      <c r="J227" s="127">
        <f ca="1">(C228-P[[#This Row],[SunRise]])/(G228-P[[#This Row],[Moon]])*(13.3333333333333-MOD(P[[#This Row],[Moon]],13.333333333333))+P[[#This Row],[SunRise]]</f>
        <v>43319.527674709316</v>
      </c>
      <c r="K227" s="124" t="str">
        <f ca="1">IF(P[[#This Row],[Tithi]]&gt;15,"K","S")&amp;ROUNDUP(MOD(P[[#This Row],[Tithi]],15),0)&amp;" ("&amp;ROUND(P[[#This Row],[Tithi]],2)&amp;")"</f>
        <v>K10 (24.91)</v>
      </c>
      <c r="L227" s="124">
        <f ca="1">IF(AND(P[[#This Row],[Tithi]]&lt;28.5,P[[#This Row],[Tithi]]&gt;0.49999),MOD((P[[#This Row],[Tithi]]-0.5)*2,7),MOD((P[[#This Row],[Tithi]]+30-28.5),30)*2+7)</f>
        <v>6.8217999999999961</v>
      </c>
      <c r="M227" s="124" t="str">
        <f ca="1">CHOOSE(ROUNDUP(P[[#This Row],[Karana1]],0),"Bhava","Baalava","Kaulava","Taitula","Garija","Vanija","Vishti","Shakuni","Chatushapda","Naaga","Kimstugna")</f>
        <v>Vishti</v>
      </c>
      <c r="N22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(11.98)</v>
      </c>
      <c r="O227" s="124">
        <f ca="1">IF(AND(P[[#This Row],[Tithi]]&lt;28.5,P[[#This Row],[Tithi]]&gt;0.49999),MOD((P[[#This Row],[Tithi]]-0.5)*2,7),MOD((P[[#This Row],[Tithi]]+30-28.5),30)*2+7)</f>
        <v>6.8217999999999961</v>
      </c>
      <c r="P227" s="124">
        <f ca="1">ROUNDUP(MOD(360+P[[#This Row],[Moon]]-P[[#This Row],[Sun]],360)/12,4)</f>
        <v>24.910899999999998</v>
      </c>
      <c r="Q227" s="124">
        <f t="shared" ca="1" si="39"/>
        <v>11.98</v>
      </c>
      <c r="R227" s="124" t="str">
        <f ca="1">SIGN(S228-P[[#This Row],[MARs]])*INT(P[[#This Row],[MARs]]/30+1)&amp;"Ma,"&amp;SIGN(T228-P[[#This Row],[Merc]])*INT(P[[#This Row],[Merc]]/30+1)&amp;"Me,"&amp;SIGN(U228-P[[#This Row],[Jup]])*INT(P[[#This Row],[Jup]]/30+1)&amp;"Ju,"&amp;SIGN(V228-P[[#This Row],[Venu]])*INT(P[[#This Row],[Venu]]/30+1)&amp;"Ve,"&amp;SIGN(W228-P[[#This Row],[Sat]])*INT(P[[#This Row],[Sat]]/30+1)&amp;"Sa,"&amp;INT(P[[#This Row],[Rah]]/30+1)&amp;"Ra"</f>
        <v>-10Ma,-4Me,7Ju,6Ve,-9Sa,4Ra</v>
      </c>
      <c r="S227" s="124">
        <f ca="1">Planet(P[[#This Row],[GMT Sun Rise]],4)</f>
        <v>277.18906950008306</v>
      </c>
      <c r="T227" s="124">
        <f ca="1">Planet(P[[#This Row],[GMT Sun Rise]],2)</f>
        <v>113.98110841219136</v>
      </c>
      <c r="U227" s="124">
        <f ca="1">Planet(P[[#This Row],[GMT Sun Rise]],5)</f>
        <v>200.32875641574827</v>
      </c>
      <c r="V227" s="124">
        <f ca="1">Planet(P[[#This Row],[GMT Sun Rise]],3)</f>
        <v>155.92884208662525</v>
      </c>
      <c r="W227" s="124">
        <f ca="1">Planet(P[[#This Row],[GMT Sun Rise]],6)</f>
        <v>249.15105898398096</v>
      </c>
      <c r="X227" s="124">
        <f ca="1">Planet(P[[#This Row],[GMT Sun Rise]],10)</f>
        <v>101.23820456097877</v>
      </c>
      <c r="Y227" s="124">
        <f ca="1">SIGN(S228-P[[#This Row],[MARs]])</f>
        <v>-1</v>
      </c>
    </row>
    <row r="228" spans="1:25" x14ac:dyDescent="0.2">
      <c r="A228" s="125">
        <f t="shared" ca="1" si="40"/>
        <v>43320</v>
      </c>
      <c r="B228" s="125">
        <f t="shared" ca="1" si="33"/>
        <v>43320.229166666664</v>
      </c>
      <c r="C228" s="127">
        <f t="shared" ca="1" si="34"/>
        <v>43320.247690882687</v>
      </c>
      <c r="D228" s="127">
        <f t="shared" ca="1" si="35"/>
        <v>43319.773742020174</v>
      </c>
      <c r="E228" s="189">
        <f ca="1">P[[#This Row],[SunRise]]-TimeZone/24</f>
        <v>43320.018524216022</v>
      </c>
      <c r="F228" s="190">
        <f t="shared" ca="1" si="36"/>
        <v>111.3235727281679</v>
      </c>
      <c r="G228" s="190">
        <f t="shared" ca="1" si="37"/>
        <v>63.714651305218688</v>
      </c>
      <c r="H228" s="191">
        <f t="shared" ca="1" si="38"/>
        <v>43320.018524216022</v>
      </c>
      <c r="I228" s="124" t="str">
        <f ca="1">naks(P[[#This Row],[Moon]])</f>
        <v>Mrigashira</v>
      </c>
      <c r="J228" s="127">
        <f ca="1">(C229-P[[#This Row],[SunRise]])/(G229-P[[#This Row],[Moon]])*(13.3333333333333-MOD(P[[#This Row],[Moon]],13.333333333333))+P[[#This Row],[SunRise]]</f>
        <v>43320.447764035081</v>
      </c>
      <c r="K228" s="124" t="str">
        <f ca="1">IF(P[[#This Row],[Tithi]]&gt;15,"K","S")&amp;ROUNDUP(MOD(P[[#This Row],[Tithi]],15),0)&amp;" ("&amp;ROUND(P[[#This Row],[Tithi]],2)&amp;")"</f>
        <v>K12 (26.03)</v>
      </c>
      <c r="L228" s="124">
        <f ca="1">IF(AND(P[[#This Row],[Tithi]]&lt;28.5,P[[#This Row],[Tithi]]&gt;0.49999),MOD((P[[#This Row],[Tithi]]-0.5)*2,7),MOD((P[[#This Row],[Tithi]]+30-28.5),30)*2+7)</f>
        <v>2.0651999999999973</v>
      </c>
      <c r="M228" s="124" t="str">
        <f ca="1">CHOOSE(ROUNDUP(P[[#This Row],[Karana1]],0),"Bhava","Baalava","Kaulava","Taitula","Garija","Vanija","Vishti","Shakuni","Chatushapda","Naaga","Kimstugna")</f>
        <v>Kaulava</v>
      </c>
      <c r="N22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(13.13)</v>
      </c>
      <c r="O228" s="124">
        <f ca="1">IF(AND(P[[#This Row],[Tithi]]&lt;28.5,P[[#This Row],[Tithi]]&gt;0.49999),MOD((P[[#This Row],[Tithi]]-0.5)*2,7),MOD((P[[#This Row],[Tithi]]+30-28.5),30)*2+7)</f>
        <v>2.0651999999999973</v>
      </c>
      <c r="P228" s="124">
        <f ca="1">ROUNDUP(MOD(360+P[[#This Row],[Moon]]-P[[#This Row],[Sun]],360)/12,4)</f>
        <v>26.032599999999999</v>
      </c>
      <c r="Q228" s="124">
        <f t="shared" ca="1" si="39"/>
        <v>13.129999999999999</v>
      </c>
      <c r="R228" s="124" t="str">
        <f ca="1">SIGN(S229-P[[#This Row],[MARs]])*INT(P[[#This Row],[MARs]]/30+1)&amp;"Ma,"&amp;SIGN(T229-P[[#This Row],[Merc]])*INT(P[[#This Row],[Merc]]/30+1)&amp;"Me,"&amp;SIGN(U229-P[[#This Row],[Jup]])*INT(P[[#This Row],[Jup]]/30+1)&amp;"Ju,"&amp;SIGN(V229-P[[#This Row],[Venu]])*INT(P[[#This Row],[Venu]]/30+1)&amp;"Ve,"&amp;SIGN(W229-P[[#This Row],[Sat]])*INT(P[[#This Row],[Sat]]/30+1)&amp;"Sa,"&amp;INT(P[[#This Row],[Rah]]/30+1)&amp;"Ra"</f>
        <v>-10Ma,-4Me,7Ju,6Ve,-9Sa,4Ra</v>
      </c>
      <c r="S228" s="124">
        <f ca="1">Planet(P[[#This Row],[GMT Sun Rise]],4)</f>
        <v>276.95297658263894</v>
      </c>
      <c r="T228" s="124">
        <f ca="1">Planet(P[[#This Row],[GMT Sun Rise]],2)</f>
        <v>113.19324875548057</v>
      </c>
      <c r="U228" s="124">
        <f ca="1">Planet(P[[#This Row],[GMT Sun Rise]],5)</f>
        <v>200.40852364190647</v>
      </c>
      <c r="V228" s="124">
        <f ca="1">Planet(P[[#This Row],[GMT Sun Rise]],3)</f>
        <v>156.94802904532574</v>
      </c>
      <c r="W228" s="124">
        <f ca="1">Planet(P[[#This Row],[GMT Sun Rise]],6)</f>
        <v>249.10594415261647</v>
      </c>
      <c r="X228" s="124">
        <f ca="1">Planet(P[[#This Row],[GMT Sun Rise]],10)</f>
        <v>101.18520606120798</v>
      </c>
      <c r="Y228" s="124">
        <f ca="1">SIGN(S229-P[[#This Row],[MARs]])</f>
        <v>-1</v>
      </c>
    </row>
    <row r="229" spans="1:25" x14ac:dyDescent="0.2">
      <c r="A229" s="125">
        <f t="shared" ca="1" si="40"/>
        <v>43321</v>
      </c>
      <c r="B229" s="125">
        <f t="shared" ca="1" si="33"/>
        <v>43321.229166666664</v>
      </c>
      <c r="C229" s="127">
        <f t="shared" ca="1" si="34"/>
        <v>43321.247809297558</v>
      </c>
      <c r="D229" s="127">
        <f t="shared" ca="1" si="35"/>
        <v>43320.773444791834</v>
      </c>
      <c r="E229" s="189">
        <f ca="1">P[[#This Row],[SunRise]]-TimeZone/24</f>
        <v>43321.018642630894</v>
      </c>
      <c r="F229" s="190">
        <f t="shared" ca="1" si="36"/>
        <v>112.28248752496717</v>
      </c>
      <c r="G229" s="190">
        <f t="shared" ca="1" si="37"/>
        <v>78.471078585214698</v>
      </c>
      <c r="H229" s="191">
        <f t="shared" ca="1" si="38"/>
        <v>43321.018642630894</v>
      </c>
      <c r="I229" s="124" t="str">
        <f ca="1">naks(P[[#This Row],[Moon]])</f>
        <v>Ardra</v>
      </c>
      <c r="J229" s="127">
        <f ca="1">(C230-P[[#This Row],[SunRise]])/(G230-P[[#This Row],[Moon]])*(13.3333333333333-MOD(P[[#This Row],[Moon]],13.333333333333))+P[[#This Row],[SunRise]]</f>
        <v>43321.349736634846</v>
      </c>
      <c r="K229" s="124" t="str">
        <f ca="1">IF(P[[#This Row],[Tithi]]&gt;15,"K","S")&amp;ROUNDUP(MOD(P[[#This Row],[Tithi]],15),0)&amp;" ("&amp;ROUND(P[[#This Row],[Tithi]],2)&amp;")"</f>
        <v>K13 (27.18)</v>
      </c>
      <c r="L229" s="124">
        <f ca="1">IF(AND(P[[#This Row],[Tithi]]&lt;28.5,P[[#This Row],[Tithi]]&gt;0.49999),MOD((P[[#This Row],[Tithi]]-0.5)*2,7),MOD((P[[#This Row],[Tithi]]+30-28.5),30)*2+7)</f>
        <v>4.3648000000000025</v>
      </c>
      <c r="M229" s="124" t="str">
        <f ca="1">CHOOSE(ROUNDUP(P[[#This Row],[Karana1]],0),"Bhava","Baalava","Kaulava","Taitula","Garija","Vanija","Vishti","Shakuni","Chatushapda","Naaga","Kimstugna")</f>
        <v>Garija</v>
      </c>
      <c r="N22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(14.31)</v>
      </c>
      <c r="O229" s="124">
        <f ca="1">IF(AND(P[[#This Row],[Tithi]]&lt;28.5,P[[#This Row],[Tithi]]&gt;0.49999),MOD((P[[#This Row],[Tithi]]-0.5)*2,7),MOD((P[[#This Row],[Tithi]]+30-28.5),30)*2+7)</f>
        <v>4.3648000000000025</v>
      </c>
      <c r="P229" s="124">
        <f ca="1">ROUNDUP(MOD(360+P[[#This Row],[Moon]]-P[[#This Row],[Sun]],360)/12,4)</f>
        <v>27.182400000000001</v>
      </c>
      <c r="Q229" s="124">
        <f t="shared" ca="1" si="39"/>
        <v>14.31</v>
      </c>
      <c r="R229" s="124" t="str">
        <f ca="1">SIGN(S230-P[[#This Row],[MARs]])*INT(P[[#This Row],[MARs]]/30+1)&amp;"Ma,"&amp;SIGN(T230-P[[#This Row],[Merc]])*INT(P[[#This Row],[Merc]]/30+1)&amp;"Me,"&amp;SIGN(U230-P[[#This Row],[Jup]])*INT(P[[#This Row],[Jup]]/30+1)&amp;"Ju,"&amp;SIGN(V230-P[[#This Row],[Venu]])*INT(P[[#This Row],[Venu]]/30+1)&amp;"Ve,"&amp;SIGN(W230-P[[#This Row],[Sat]])*INT(P[[#This Row],[Sat]]/30+1)&amp;"Sa,"&amp;INT(P[[#This Row],[Rah]]/30+1)&amp;"Ra"</f>
        <v>-10Ma,-4Me,7Ju,6Ve,-9Sa,4Ra</v>
      </c>
      <c r="S229" s="124">
        <f ca="1">Planet(P[[#This Row],[GMT Sun Rise]],4)</f>
        <v>276.72451707856942</v>
      </c>
      <c r="T229" s="124">
        <f ca="1">Planet(P[[#This Row],[GMT Sun Rise]],2)</f>
        <v>112.40227792417771</v>
      </c>
      <c r="U229" s="124">
        <f ca="1">Planet(P[[#This Row],[GMT Sun Rise]],5)</f>
        <v>200.49091999661314</v>
      </c>
      <c r="V229" s="124">
        <f ca="1">Planet(P[[#This Row],[GMT Sun Rise]],3)</f>
        <v>157.96218260873025</v>
      </c>
      <c r="W229" s="124">
        <f ca="1">Planet(P[[#This Row],[GMT Sun Rise]],6)</f>
        <v>249.06212536202995</v>
      </c>
      <c r="X229" s="124">
        <f ca="1">Planet(P[[#This Row],[GMT Sun Rise]],10)</f>
        <v>101.13220778884646</v>
      </c>
      <c r="Y229" s="124">
        <f ca="1">SIGN(S230-P[[#This Row],[MARs]])</f>
        <v>-1</v>
      </c>
    </row>
    <row r="230" spans="1:25" x14ac:dyDescent="0.2">
      <c r="A230" s="125">
        <f t="shared" ca="1" si="40"/>
        <v>43322</v>
      </c>
      <c r="B230" s="125">
        <f t="shared" ca="1" si="33"/>
        <v>43322.229166666664</v>
      </c>
      <c r="C230" s="127">
        <f t="shared" ca="1" si="34"/>
        <v>43322.247923738476</v>
      </c>
      <c r="D230" s="127">
        <f t="shared" ca="1" si="35"/>
        <v>43321.773138662378</v>
      </c>
      <c r="E230" s="189">
        <f ca="1">P[[#This Row],[SunRise]]-TimeZone/24</f>
        <v>43322.018757071812</v>
      </c>
      <c r="F230" s="190">
        <f t="shared" ca="1" si="36"/>
        <v>113.24174736864208</v>
      </c>
      <c r="G230" s="190">
        <f t="shared" ca="1" si="37"/>
        <v>93.472906618900907</v>
      </c>
      <c r="H230" s="191">
        <f t="shared" ca="1" si="38"/>
        <v>43322.018757071812</v>
      </c>
      <c r="I230" s="124" t="str">
        <f ca="1">naks(P[[#This Row],[Moon]])</f>
        <v>Pushya</v>
      </c>
      <c r="J230" s="127">
        <f ca="1">(C231-P[[#This Row],[SunRise]])/(G231-P[[#This Row],[Moon]])*(13.3333333333333-MOD(P[[#This Row],[Moon]],13.333333333333))+P[[#This Row],[SunRise]]</f>
        <v>43323.120592255676</v>
      </c>
      <c r="K230" s="124" t="str">
        <f ca="1">IF(P[[#This Row],[Tithi]]&gt;15,"K","S")&amp;ROUNDUP(MOD(P[[#This Row],[Tithi]],15),0)&amp;" ("&amp;ROUND(P[[#This Row],[Tithi]],2)&amp;")"</f>
        <v>K14 (28.35)</v>
      </c>
      <c r="L230" s="124">
        <f ca="1">IF(AND(P[[#This Row],[Tithi]]&lt;28.5,P[[#This Row],[Tithi]]&gt;0.49999),MOD((P[[#This Row],[Tithi]]-0.5)*2,7),MOD((P[[#This Row],[Tithi]]+30-28.5),30)*2+7)</f>
        <v>6.7051999999999978</v>
      </c>
      <c r="M230" s="124" t="str">
        <f ca="1">CHOOSE(ROUNDUP(P[[#This Row],[Karana1]],0),"Bhava","Baalava","Kaulava","Taitula","Garija","Vanija","Vishti","Shakuni","Chatushapda","Naaga","Kimstugna")</f>
        <v>Vishti</v>
      </c>
      <c r="N23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(15.51)</v>
      </c>
      <c r="O230" s="124">
        <f ca="1">IF(AND(P[[#This Row],[Tithi]]&lt;28.5,P[[#This Row],[Tithi]]&gt;0.49999),MOD((P[[#This Row],[Tithi]]-0.5)*2,7),MOD((P[[#This Row],[Tithi]]+30-28.5),30)*2+7)</f>
        <v>6.7051999999999978</v>
      </c>
      <c r="P230" s="124">
        <f ca="1">ROUNDUP(MOD(360+P[[#This Row],[Moon]]-P[[#This Row],[Sun]],360)/12,4)</f>
        <v>28.352599999999999</v>
      </c>
      <c r="Q230" s="124">
        <f t="shared" ca="1" si="39"/>
        <v>15.51</v>
      </c>
      <c r="R230" s="124" t="str">
        <f ca="1">SIGN(S231-P[[#This Row],[MARs]])*INT(P[[#This Row],[MARs]]/30+1)&amp;"Ma,"&amp;SIGN(T231-P[[#This Row],[Merc]])*INT(P[[#This Row],[Merc]]/30+1)&amp;"Me,"&amp;SIGN(U231-P[[#This Row],[Jup]])*INT(P[[#This Row],[Jup]]/30+1)&amp;"Ju,"&amp;SIGN(V231-P[[#This Row],[Venu]])*INT(P[[#This Row],[Venu]]/30+1)&amp;"Ve,"&amp;SIGN(W231-P[[#This Row],[Sat]])*INT(P[[#This Row],[Sat]]/30+1)&amp;"Sa,"&amp;INT(P[[#This Row],[Rah]]/30+1)&amp;"Ra"</f>
        <v>-10Ma,-4Me,7Ju,6Ve,-9Sa,4Ra</v>
      </c>
      <c r="S230" s="124">
        <f ca="1">Planet(P[[#This Row],[GMT Sun Rise]],4)</f>
        <v>276.50436489499248</v>
      </c>
      <c r="T230" s="124">
        <f ca="1">Planet(P[[#This Row],[GMT Sun Rise]],2)</f>
        <v>111.62294904609067</v>
      </c>
      <c r="U230" s="124">
        <f ca="1">Planet(P[[#This Row],[GMT Sun Rise]],5)</f>
        <v>200.57592635983667</v>
      </c>
      <c r="V230" s="124">
        <f ca="1">Planet(P[[#This Row],[GMT Sun Rise]],3)</f>
        <v>158.97115017347355</v>
      </c>
      <c r="W230" s="124">
        <f ca="1">Planet(P[[#This Row],[GMT Sun Rise]],6)</f>
        <v>249.0196259664572</v>
      </c>
      <c r="X230" s="124">
        <f ca="1">Planet(P[[#This Row],[GMT Sun Rise]],10)</f>
        <v>101.07920972707717</v>
      </c>
      <c r="Y230" s="124">
        <f ca="1">SIGN(S231-P[[#This Row],[MARs]])</f>
        <v>-1</v>
      </c>
    </row>
    <row r="231" spans="1:25" x14ac:dyDescent="0.2">
      <c r="A231" s="125">
        <f t="shared" ca="1" si="40"/>
        <v>43323</v>
      </c>
      <c r="B231" s="125">
        <f t="shared" ca="1" si="33"/>
        <v>43323.229166666664</v>
      </c>
      <c r="C231" s="127">
        <f t="shared" ca="1" si="34"/>
        <v>43323.248033887859</v>
      </c>
      <c r="D231" s="127">
        <f t="shared" ca="1" si="35"/>
        <v>43322.772823314226</v>
      </c>
      <c r="E231" s="189">
        <f ca="1">P[[#This Row],[SunRise]]-TimeZone/24</f>
        <v>43323.018867221195</v>
      </c>
      <c r="F231" s="190">
        <f t="shared" ca="1" si="36"/>
        <v>114.20133995747825</v>
      </c>
      <c r="G231" s="190">
        <f t="shared" ca="1" si="37"/>
        <v>108.59343987086413</v>
      </c>
      <c r="H231" s="191">
        <f t="shared" ca="1" si="38"/>
        <v>43323.018867221195</v>
      </c>
      <c r="I231" s="124" t="str">
        <f ca="1">naks(P[[#This Row],[Moon]])</f>
        <v>Aslesha</v>
      </c>
      <c r="J231" s="127">
        <f ca="1">(C232-P[[#This Row],[SunRise]])/(G232-P[[#This Row],[Moon]])*(13.3333333333333-MOD(P[[#This Row],[Moon]],13.333333333333))+P[[#This Row],[SunRise]]</f>
        <v>43324.003973167943</v>
      </c>
      <c r="K231" s="124" t="str">
        <f ca="1">IF(P[[#This Row],[Tithi]]&gt;15,"K","S")&amp;ROUNDUP(MOD(P[[#This Row],[Tithi]],15),0)&amp;" ("&amp;ROUND(P[[#This Row],[Tithi]],2)&amp;")"</f>
        <v>K15 (29.53)</v>
      </c>
      <c r="L231" s="124">
        <f ca="1">IF(AND(P[[#This Row],[Tithi]]&lt;28.5,P[[#This Row],[Tithi]]&gt;0.49999),MOD((P[[#This Row],[Tithi]]-0.5)*2,7),MOD((P[[#This Row],[Tithi]]+30-28.5),30)*2+7)</f>
        <v>9.0653999999999968</v>
      </c>
      <c r="M231" s="124" t="str">
        <f ca="1">CHOOSE(ROUNDUP(P[[#This Row],[Karana1]],0),"Bhava","Baalava","Kaulava","Taitula","Garija","Vanija","Vishti","Shakuni","Chatushapda","Naaga","Kimstugna")</f>
        <v>Naaga</v>
      </c>
      <c r="N23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(16.71)</v>
      </c>
      <c r="O231" s="124">
        <f ca="1">IF(AND(P[[#This Row],[Tithi]]&lt;28.5,P[[#This Row],[Tithi]]&gt;0.49999),MOD((P[[#This Row],[Tithi]]-0.5)*2,7),MOD((P[[#This Row],[Tithi]]+30-28.5),30)*2+7)</f>
        <v>9.0653999999999968</v>
      </c>
      <c r="P231" s="124">
        <f ca="1">ROUNDUP(MOD(360+P[[#This Row],[Moon]]-P[[#This Row],[Sun]],360)/12,4)</f>
        <v>29.532699999999998</v>
      </c>
      <c r="Q231" s="124">
        <f t="shared" ca="1" si="39"/>
        <v>16.71</v>
      </c>
      <c r="R231" s="124" t="str">
        <f ca="1">SIGN(S232-P[[#This Row],[MARs]])*INT(P[[#This Row],[MARs]]/30+1)&amp;"Ma,"&amp;SIGN(T232-P[[#This Row],[Merc]])*INT(P[[#This Row],[Merc]]/30+1)&amp;"Me,"&amp;SIGN(U232-P[[#This Row],[Jup]])*INT(P[[#This Row],[Jup]]/30+1)&amp;"Ju,"&amp;SIGN(V232-P[[#This Row],[Venu]])*INT(P[[#This Row],[Venu]]/30+1)&amp;"Ve,"&amp;SIGN(W232-P[[#This Row],[Sat]])*INT(P[[#This Row],[Sat]]/30+1)&amp;"Sa,"&amp;INT(P[[#This Row],[Rah]]/30+1)&amp;"Ra"</f>
        <v>-10Ma,-4Me,7Ju,6Ve,-9Sa,4Ra</v>
      </c>
      <c r="S231" s="124">
        <f ca="1">Planet(P[[#This Row],[GMT Sun Rise]],4)</f>
        <v>276.29317354898109</v>
      </c>
      <c r="T231" s="124">
        <f ca="1">Planet(P[[#This Row],[GMT Sun Rise]],2)</f>
        <v>110.87027872953965</v>
      </c>
      <c r="U231" s="124">
        <f ca="1">Planet(P[[#This Row],[GMT Sun Rise]],5)</f>
        <v>200.66352213101209</v>
      </c>
      <c r="V231" s="124">
        <f ca="1">Planet(P[[#This Row],[GMT Sun Rise]],3)</f>
        <v>159.97476347865529</v>
      </c>
      <c r="W231" s="124">
        <f ca="1">Planet(P[[#This Row],[GMT Sun Rise]],6)</f>
        <v>248.97846870744939</v>
      </c>
      <c r="X231" s="124">
        <f ca="1">Planet(P[[#This Row],[GMT Sun Rise]],10)</f>
        <v>101.02621189271721</v>
      </c>
      <c r="Y231" s="124">
        <f ca="1">SIGN(S232-P[[#This Row],[MARs]])</f>
        <v>-1</v>
      </c>
    </row>
    <row r="232" spans="1:25" x14ac:dyDescent="0.2">
      <c r="A232" s="125">
        <f t="shared" ca="1" si="40"/>
        <v>43324</v>
      </c>
      <c r="B232" s="125">
        <f t="shared" ca="1" si="33"/>
        <v>43324.229166666664</v>
      </c>
      <c r="C232" s="127">
        <f t="shared" ca="1" si="34"/>
        <v>43324.248139745709</v>
      </c>
      <c r="D232" s="127">
        <f t="shared" ca="1" si="35"/>
        <v>43323.772499223749</v>
      </c>
      <c r="E232" s="189">
        <f ca="1">P[[#This Row],[SunRise]]-TimeZone/24</f>
        <v>43324.018973079044</v>
      </c>
      <c r="F232" s="190">
        <f t="shared" ca="1" si="36"/>
        <v>115.1612503244264</v>
      </c>
      <c r="G232" s="190">
        <f t="shared" ca="1" si="37"/>
        <v>123.68429161461786</v>
      </c>
      <c r="H232" s="191">
        <f t="shared" ca="1" si="38"/>
        <v>43324.018973079044</v>
      </c>
      <c r="I232" s="124" t="str">
        <f ca="1">naks(P[[#This Row],[Moon]])</f>
        <v>Makha</v>
      </c>
      <c r="J232" s="127">
        <f ca="1">(C233-P[[#This Row],[SunRise]])/(G233-P[[#This Row],[Moon]])*(13.3333333333333-MOD(P[[#This Row],[Moon]],13.333333333333))+P[[#This Row],[SunRise]]</f>
        <v>43324.895287169544</v>
      </c>
      <c r="K232" s="124" t="str">
        <f ca="1">IF(P[[#This Row],[Tithi]]&gt;15,"K","S")&amp;ROUNDUP(MOD(P[[#This Row],[Tithi]],15),0)&amp;" ("&amp;ROUND(P[[#This Row],[Tithi]],2)&amp;")"</f>
        <v>S1 (0.71)</v>
      </c>
      <c r="L232" s="124">
        <f ca="1">IF(AND(P[[#This Row],[Tithi]]&lt;28.5,P[[#This Row],[Tithi]]&gt;0.49999),MOD((P[[#This Row],[Tithi]]-0.5)*2,7),MOD((P[[#This Row],[Tithi]]+30-28.5),30)*2+7)</f>
        <v>0.42060000000000008</v>
      </c>
      <c r="M232" s="124" t="str">
        <f ca="1">CHOOSE(ROUNDUP(P[[#This Row],[Karana1]],0),"Bhava","Baalava","Kaulava","Taitula","Garija","Vanija","Vishti","Shakuni","Chatushapda","Naaga","Kimstugna")</f>
        <v>Bhava</v>
      </c>
      <c r="N23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(17.92)</v>
      </c>
      <c r="O232" s="124">
        <f ca="1">IF(AND(P[[#This Row],[Tithi]]&lt;28.5,P[[#This Row],[Tithi]]&gt;0.49999),MOD((P[[#This Row],[Tithi]]-0.5)*2,7),MOD((P[[#This Row],[Tithi]]+30-28.5),30)*2+7)</f>
        <v>0.42060000000000008</v>
      </c>
      <c r="P232" s="124">
        <f ca="1">ROUNDUP(MOD(360+P[[#This Row],[Moon]]-P[[#This Row],[Sun]],360)/12,4)</f>
        <v>0.71030000000000004</v>
      </c>
      <c r="Q232" s="124">
        <f t="shared" ca="1" si="39"/>
        <v>17.920000000000002</v>
      </c>
      <c r="R232" s="124" t="str">
        <f ca="1">SIGN(S233-P[[#This Row],[MARs]])*INT(P[[#This Row],[MARs]]/30+1)&amp;"Ma,"&amp;SIGN(T233-P[[#This Row],[Merc]])*INT(P[[#This Row],[Merc]]/30+1)&amp;"Me,"&amp;SIGN(U233-P[[#This Row],[Jup]])*INT(P[[#This Row],[Jup]]/30+1)&amp;"Ju,"&amp;SIGN(V233-P[[#This Row],[Venu]])*INT(P[[#This Row],[Venu]]/30+1)&amp;"Ve,"&amp;SIGN(W233-P[[#This Row],[Sat]])*INT(P[[#This Row],[Sat]]/30+1)&amp;"Sa,"&amp;INT(P[[#This Row],[Rah]]/30+1)&amp;"Ra"</f>
        <v>-10Ma,-4Me,7Ju,6Ve,-9Sa,4Ra</v>
      </c>
      <c r="S232" s="124">
        <f ca="1">Planet(P[[#This Row],[GMT Sun Rise]],4)</f>
        <v>276.09156665118309</v>
      </c>
      <c r="T232" s="124">
        <f ca="1">Planet(P[[#This Row],[GMT Sun Rise]],2)</f>
        <v>110.15916042040371</v>
      </c>
      <c r="U232" s="124">
        <f ca="1">Planet(P[[#This Row],[GMT Sun Rise]],5)</f>
        <v>200.75368498187834</v>
      </c>
      <c r="V232" s="124">
        <f ca="1">Planet(P[[#This Row],[GMT Sun Rise]],3)</f>
        <v>160.97283874872238</v>
      </c>
      <c r="W232" s="124">
        <f ca="1">Planet(P[[#This Row],[GMT Sun Rise]],6)</f>
        <v>248.93867534018102</v>
      </c>
      <c r="X232" s="124">
        <f ca="1">Planet(P[[#This Row],[GMT Sun Rise]],10)</f>
        <v>100.97321428578326</v>
      </c>
      <c r="Y232" s="124">
        <f ca="1">SIGN(S233-P[[#This Row],[MARs]])</f>
        <v>-1</v>
      </c>
    </row>
    <row r="233" spans="1:25" x14ac:dyDescent="0.2">
      <c r="A233" s="125">
        <f t="shared" ca="1" si="40"/>
        <v>43325</v>
      </c>
      <c r="B233" s="125">
        <f t="shared" ca="1" si="33"/>
        <v>43325.229166666664</v>
      </c>
      <c r="C233" s="127">
        <f t="shared" ca="1" si="34"/>
        <v>43325.248241312023</v>
      </c>
      <c r="D233" s="127">
        <f t="shared" ca="1" si="35"/>
        <v>43324.772166391413</v>
      </c>
      <c r="E233" s="189">
        <f ca="1">P[[#This Row],[SunRise]]-TimeZone/24</f>
        <v>43325.019074645359</v>
      </c>
      <c r="F233" s="190">
        <f t="shared" ca="1" si="36"/>
        <v>116.12146292103186</v>
      </c>
      <c r="G233" s="190">
        <f t="shared" ca="1" si="37"/>
        <v>138.59591975516699</v>
      </c>
      <c r="H233" s="191">
        <f t="shared" ca="1" si="38"/>
        <v>43325.019074645359</v>
      </c>
      <c r="I233" s="124" t="str">
        <f ca="1">naks(P[[#This Row],[Moon]])</f>
        <v>Purva Phalguni</v>
      </c>
      <c r="J233" s="127">
        <f ca="1">(C234-P[[#This Row],[SunRise]])/(G234-P[[#This Row],[Moon]])*(13.3333333333333-MOD(P[[#This Row],[Moon]],13.333333333333))+P[[#This Row],[SunRise]]</f>
        <v>43325.800954360253</v>
      </c>
      <c r="K233" s="124" t="str">
        <f ca="1">IF(P[[#This Row],[Tithi]]&gt;15,"K","S")&amp;ROUNDUP(MOD(P[[#This Row],[Tithi]],15),0)&amp;" ("&amp;ROUND(P[[#This Row],[Tithi]],2)&amp;")"</f>
        <v>S2 (1.87)</v>
      </c>
      <c r="L233" s="124">
        <f ca="1">IF(AND(P[[#This Row],[Tithi]]&lt;28.5,P[[#This Row],[Tithi]]&gt;0.49999),MOD((P[[#This Row],[Tithi]]-0.5)*2,7),MOD((P[[#This Row],[Tithi]]+30-28.5),30)*2+7)</f>
        <v>2.7458</v>
      </c>
      <c r="M233" s="124" t="str">
        <f ca="1">CHOOSE(ROUNDUP(P[[#This Row],[Karana1]],0),"Bhava","Baalava","Kaulava","Taitula","Garija","Vanija","Vishti","Shakuni","Chatushapda","Naaga","Kimstugna")</f>
        <v>Kaulava</v>
      </c>
      <c r="N23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(19.11)</v>
      </c>
      <c r="O233" s="124">
        <f ca="1">IF(AND(P[[#This Row],[Tithi]]&lt;28.5,P[[#This Row],[Tithi]]&gt;0.49999),MOD((P[[#This Row],[Tithi]]-0.5)*2,7),MOD((P[[#This Row],[Tithi]]+30-28.5),30)*2+7)</f>
        <v>2.7458</v>
      </c>
      <c r="P233" s="124">
        <f ca="1">ROUNDUP(MOD(360+P[[#This Row],[Moon]]-P[[#This Row],[Sun]],360)/12,4)</f>
        <v>1.8729</v>
      </c>
      <c r="Q233" s="124">
        <f t="shared" ca="1" si="39"/>
        <v>19.110000000000003</v>
      </c>
      <c r="R233" s="124" t="str">
        <f ca="1">SIGN(S234-P[[#This Row],[MARs]])*INT(P[[#This Row],[MARs]]/30+1)&amp;"Ma,"&amp;SIGN(T234-P[[#This Row],[Merc]])*INT(P[[#This Row],[Merc]]/30+1)&amp;"Me,"&amp;SIGN(U234-P[[#This Row],[Jup]])*INT(P[[#This Row],[Jup]]/30+1)&amp;"Ju,"&amp;SIGN(V234-P[[#This Row],[Venu]])*INT(P[[#This Row],[Venu]]/30+1)&amp;"Ve,"&amp;SIGN(W234-P[[#This Row],[Sat]])*INT(P[[#This Row],[Sat]]/30+1)&amp;"Sa,"&amp;INT(P[[#This Row],[Rah]]/30+1)&amp;"Ra"</f>
        <v>-10Ma,-4Me,7Ju,6Ve,-9Sa,4Ra</v>
      </c>
      <c r="S233" s="124">
        <f ca="1">Planet(P[[#This Row],[GMT Sun Rise]],4)</f>
        <v>275.90012801350366</v>
      </c>
      <c r="T233" s="124">
        <f ca="1">Planet(P[[#This Row],[GMT Sun Rise]],2)</f>
        <v>109.50398989682758</v>
      </c>
      <c r="U233" s="124">
        <f ca="1">Planet(P[[#This Row],[GMT Sun Rise]],5)</f>
        <v>200.84639073506224</v>
      </c>
      <c r="V233" s="124">
        <f ca="1">Planet(P[[#This Row],[GMT Sun Rise]],3)</f>
        <v>161.96517710989747</v>
      </c>
      <c r="W233" s="124">
        <f ca="1">Planet(P[[#This Row],[GMT Sun Rise]],6)</f>
        <v>248.90026634208417</v>
      </c>
      <c r="X233" s="124">
        <f ca="1">Planet(P[[#This Row],[GMT Sun Rise]],10)</f>
        <v>100.92021690622558</v>
      </c>
      <c r="Y233" s="124">
        <f ca="1">SIGN(S234-P[[#This Row],[MARs]])</f>
        <v>-1</v>
      </c>
    </row>
    <row r="234" spans="1:25" x14ac:dyDescent="0.2">
      <c r="A234" s="125">
        <f t="shared" ca="1" si="40"/>
        <v>43326</v>
      </c>
      <c r="B234" s="125">
        <f t="shared" ca="1" si="33"/>
        <v>43326.229166666664</v>
      </c>
      <c r="C234" s="127">
        <f t="shared" ca="1" si="34"/>
        <v>43326.248338427547</v>
      </c>
      <c r="D234" s="127">
        <f t="shared" ca="1" si="35"/>
        <v>43325.771824817217</v>
      </c>
      <c r="E234" s="189">
        <f ca="1">P[[#This Row],[SunRise]]-TimeZone/24</f>
        <v>43326.019171760883</v>
      </c>
      <c r="F234" s="190">
        <f t="shared" ca="1" si="36"/>
        <v>117.08196388675053</v>
      </c>
      <c r="G234" s="190">
        <f t="shared" ca="1" si="37"/>
        <v>153.19939389459003</v>
      </c>
      <c r="H234" s="191">
        <f t="shared" ca="1" si="38"/>
        <v>43326.019171760883</v>
      </c>
      <c r="I234" s="124" t="str">
        <f ca="1">naks(P[[#This Row],[Moon]])</f>
        <v>Uttara Phalguni</v>
      </c>
      <c r="J234" s="127">
        <f ca="1">(C235-P[[#This Row],[SunRise]])/(G235-P[[#This Row],[Moon]])*(13.3333333333333-MOD(P[[#This Row],[Moon]],13.333333333333))+P[[#This Row],[SunRise]]</f>
        <v>43326.727172782834</v>
      </c>
      <c r="K234" s="124" t="str">
        <f ca="1">IF(P[[#This Row],[Tithi]]&gt;15,"K","S")&amp;ROUNDUP(MOD(P[[#This Row],[Tithi]],15),0)&amp;" ("&amp;ROUND(P[[#This Row],[Tithi]],2)&amp;")"</f>
        <v>S4 (3.01)</v>
      </c>
      <c r="L234" s="124">
        <f ca="1">IF(AND(P[[#This Row],[Tithi]]&lt;28.5,P[[#This Row],[Tithi]]&gt;0.49999),MOD((P[[#This Row],[Tithi]]-0.5)*2,7),MOD((P[[#This Row],[Tithi]]+30-28.5),30)*2+7)</f>
        <v>5.0196000000000005</v>
      </c>
      <c r="M234" s="124" t="str">
        <f ca="1">CHOOSE(ROUNDUP(P[[#This Row],[Karana1]],0),"Bhava","Baalava","Kaulava","Taitula","Garija","Vanija","Vishti","Shakuni","Chatushapda","Naaga","Kimstugna")</f>
        <v>Vanija</v>
      </c>
      <c r="N23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(20.28)</v>
      </c>
      <c r="O234" s="124">
        <f ca="1">IF(AND(P[[#This Row],[Tithi]]&lt;28.5,P[[#This Row],[Tithi]]&gt;0.49999),MOD((P[[#This Row],[Tithi]]-0.5)*2,7),MOD((P[[#This Row],[Tithi]]+30-28.5),30)*2+7)</f>
        <v>5.0196000000000005</v>
      </c>
      <c r="P234" s="124">
        <f ca="1">ROUNDUP(MOD(360+P[[#This Row],[Moon]]-P[[#This Row],[Sun]],360)/12,4)</f>
        <v>3.0098000000000003</v>
      </c>
      <c r="Q234" s="124">
        <f t="shared" ca="1" si="39"/>
        <v>20.28</v>
      </c>
      <c r="R234" s="124" t="str">
        <f ca="1">SIGN(S235-P[[#This Row],[MARs]])*INT(P[[#This Row],[MARs]]/30+1)&amp;"Ma,"&amp;SIGN(T235-P[[#This Row],[Merc]])*INT(P[[#This Row],[Merc]]/30+1)&amp;"Me,"&amp;SIGN(U235-P[[#This Row],[Jup]])*INT(P[[#This Row],[Jup]]/30+1)&amp;"Ju,"&amp;SIGN(V235-P[[#This Row],[Venu]])*INT(P[[#This Row],[Venu]]/30+1)&amp;"Ve,"&amp;SIGN(W235-P[[#This Row],[Sat]])*INT(P[[#This Row],[Sat]]/30+1)&amp;"Sa,"&amp;INT(P[[#This Row],[Rah]]/30+1)&amp;"Ra"</f>
        <v>-10Ma,-4Me,7Ju,6Ve,-9Sa,4Ra</v>
      </c>
      <c r="S234" s="124">
        <f ca="1">Planet(P[[#This Row],[GMT Sun Rise]],4)</f>
        <v>275.71939336450868</v>
      </c>
      <c r="T234" s="124">
        <f ca="1">Planet(P[[#This Row],[GMT Sun Rise]],2)</f>
        <v>108.91832512214937</v>
      </c>
      <c r="U234" s="124">
        <f ca="1">Planet(P[[#This Row],[GMT Sun Rise]],5)</f>
        <v>200.94161352440085</v>
      </c>
      <c r="V234" s="124">
        <f ca="1">Planet(P[[#This Row],[GMT Sun Rise]],3)</f>
        <v>162.95156647008452</v>
      </c>
      <c r="W234" s="124">
        <f ca="1">Planet(P[[#This Row],[GMT Sun Rise]],6)</f>
        <v>248.86326072445337</v>
      </c>
      <c r="X234" s="124">
        <f ca="1">Planet(P[[#This Row],[GMT Sun Rise]],10)</f>
        <v>100.86721976259363</v>
      </c>
      <c r="Y234" s="124">
        <f ca="1">SIGN(S235-P[[#This Row],[MARs]])</f>
        <v>-1</v>
      </c>
    </row>
    <row r="235" spans="1:25" x14ac:dyDescent="0.2">
      <c r="A235" s="125">
        <f t="shared" ca="1" si="40"/>
        <v>43327</v>
      </c>
      <c r="B235" s="125">
        <f t="shared" ca="1" si="33"/>
        <v>43327.229166666664</v>
      </c>
      <c r="C235" s="127">
        <f t="shared" ca="1" si="34"/>
        <v>43327.248431252003</v>
      </c>
      <c r="D235" s="127">
        <f t="shared" ca="1" si="35"/>
        <v>43326.771474659487</v>
      </c>
      <c r="E235" s="189">
        <f ca="1">P[[#This Row],[SunRise]]-TimeZone/24</f>
        <v>43327.019264585339</v>
      </c>
      <c r="F235" s="190">
        <f t="shared" ca="1" si="36"/>
        <v>118.04274333186218</v>
      </c>
      <c r="G235" s="190">
        <f t="shared" ca="1" si="37"/>
        <v>167.4031311430322</v>
      </c>
      <c r="H235" s="191">
        <f t="shared" ca="1" si="38"/>
        <v>43327.019264585339</v>
      </c>
      <c r="I235" s="124" t="str">
        <f ca="1">naks(P[[#This Row],[Moon]])</f>
        <v>Hasta</v>
      </c>
      <c r="J235" s="127">
        <f ca="1">(C236-P[[#This Row],[SunRise]])/(G236-P[[#This Row],[Moon]])*(13.3333333333333-MOD(P[[#This Row],[Moon]],13.333333333333))+P[[#This Row],[SunRise]]</f>
        <v>43327.679526746811</v>
      </c>
      <c r="K235" s="124" t="str">
        <f ca="1">IF(P[[#This Row],[Tithi]]&gt;15,"K","S")&amp;ROUNDUP(MOD(P[[#This Row],[Tithi]],15),0)&amp;" ("&amp;ROUND(P[[#This Row],[Tithi]],2)&amp;")"</f>
        <v>S5 (4.11)</v>
      </c>
      <c r="L235" s="124">
        <f ca="1">IF(AND(P[[#This Row],[Tithi]]&lt;28.5,P[[#This Row],[Tithi]]&gt;0.49999),MOD((P[[#This Row],[Tithi]]-0.5)*2,7),MOD((P[[#This Row],[Tithi]]+30-28.5),30)*2+7)</f>
        <v>0.226799999999999</v>
      </c>
      <c r="M235" s="124" t="str">
        <f ca="1">CHOOSE(ROUNDUP(P[[#This Row],[Karana1]],0),"Bhava","Baalava","Kaulava","Taitula","Garija","Vanija","Vishti","Shakuni","Chatushapda","Naaga","Kimstugna")</f>
        <v>Bhava</v>
      </c>
      <c r="N23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(21.41)</v>
      </c>
      <c r="O235" s="124">
        <f ca="1">IF(AND(P[[#This Row],[Tithi]]&lt;28.5,P[[#This Row],[Tithi]]&gt;0.49999),MOD((P[[#This Row],[Tithi]]-0.5)*2,7),MOD((P[[#This Row],[Tithi]]+30-28.5),30)*2+7)</f>
        <v>0.226799999999999</v>
      </c>
      <c r="P235" s="124">
        <f ca="1">ROUNDUP(MOD(360+P[[#This Row],[Moon]]-P[[#This Row],[Sun]],360)/12,4)</f>
        <v>4.1133999999999995</v>
      </c>
      <c r="Q235" s="124">
        <f t="shared" ca="1" si="39"/>
        <v>21.41</v>
      </c>
      <c r="R235" s="124" t="str">
        <f ca="1">SIGN(S236-P[[#This Row],[MARs]])*INT(P[[#This Row],[MARs]]/30+1)&amp;"Ma,"&amp;SIGN(T236-P[[#This Row],[Merc]])*INT(P[[#This Row],[Merc]]/30+1)&amp;"Me,"&amp;SIGN(U236-P[[#This Row],[Jup]])*INT(P[[#This Row],[Jup]]/30+1)&amp;"Ju,"&amp;SIGN(V236-P[[#This Row],[Venu]])*INT(P[[#This Row],[Venu]]/30+1)&amp;"Ve,"&amp;SIGN(W236-P[[#This Row],[Sat]])*INT(P[[#This Row],[Sat]]/30+1)&amp;"Sa,"&amp;INT(P[[#This Row],[Rah]]/30+1)&amp;"Ra"</f>
        <v>-10Ma,-4Me,7Ju,6Ve,-9Sa,4Ra</v>
      </c>
      <c r="S235" s="124">
        <f ca="1">Planet(P[[#This Row],[GMT Sun Rise]],4)</f>
        <v>275.54984535673606</v>
      </c>
      <c r="T235" s="124">
        <f ca="1">Planet(P[[#This Row],[GMT Sun Rise]],2)</f>
        <v>108.41459893792695</v>
      </c>
      <c r="U235" s="124">
        <f ca="1">Planet(P[[#This Row],[GMT Sun Rise]],5)</f>
        <v>201.03932622572464</v>
      </c>
      <c r="V235" s="124">
        <f ca="1">Planet(P[[#This Row],[GMT Sun Rise]],3)</f>
        <v>163.93178457941926</v>
      </c>
      <c r="W235" s="124">
        <f ca="1">Planet(P[[#This Row],[GMT Sun Rise]],6)</f>
        <v>248.82767597059089</v>
      </c>
      <c r="X235" s="124">
        <f ca="1">Planet(P[[#This Row],[GMT Sun Rise]],10)</f>
        <v>100.81422284632141</v>
      </c>
      <c r="Y235" s="124">
        <f ca="1">SIGN(S236-P[[#This Row],[MARs]])</f>
        <v>-1</v>
      </c>
    </row>
    <row r="236" spans="1:25" x14ac:dyDescent="0.2">
      <c r="A236" s="125">
        <f t="shared" ca="1" si="40"/>
        <v>43328</v>
      </c>
      <c r="B236" s="125">
        <f t="shared" ca="1" si="33"/>
        <v>43328.229166666664</v>
      </c>
      <c r="C236" s="127">
        <f t="shared" ca="1" si="34"/>
        <v>43328.248519625668</v>
      </c>
      <c r="D236" s="127">
        <f t="shared" ca="1" si="35"/>
        <v>43327.7711162372</v>
      </c>
      <c r="E236" s="189">
        <f ca="1">P[[#This Row],[SunRise]]-TimeZone/24</f>
        <v>43328.019352959003</v>
      </c>
      <c r="F236" s="190">
        <f t="shared" ca="1" si="36"/>
        <v>119.00379560954674</v>
      </c>
      <c r="G236" s="190">
        <f t="shared" ca="1" si="37"/>
        <v>181.16046875250598</v>
      </c>
      <c r="H236" s="191">
        <f t="shared" ca="1" si="38"/>
        <v>43328.019352959003</v>
      </c>
      <c r="I236" s="124" t="str">
        <f ca="1">naks(P[[#This Row],[Moon]])</f>
        <v>Chitra</v>
      </c>
      <c r="J236" s="127">
        <f ca="1">(C237-P[[#This Row],[SunRise]])/(G237-P[[#This Row],[Moon]])*(13.3333333333333-MOD(P[[#This Row],[Moon]],13.333333333333))+P[[#This Row],[SunRise]]</f>
        <v>43328.662323269222</v>
      </c>
      <c r="K236" s="124" t="str">
        <f ca="1">IF(P[[#This Row],[Tithi]]&gt;15,"K","S")&amp;ROUNDUP(MOD(P[[#This Row],[Tithi]],15),0)&amp;" ("&amp;ROUND(P[[#This Row],[Tithi]],2)&amp;")"</f>
        <v>S6 (5.18)</v>
      </c>
      <c r="L236" s="124">
        <f ca="1">IF(AND(P[[#This Row],[Tithi]]&lt;28.5,P[[#This Row],[Tithi]]&gt;0.49999),MOD((P[[#This Row],[Tithi]]-0.5)*2,7),MOD((P[[#This Row],[Tithi]]+30-28.5),30)*2+7)</f>
        <v>2.3596000000000004</v>
      </c>
      <c r="M236" s="124" t="str">
        <f ca="1">CHOOSE(ROUNDUP(P[[#This Row],[Karana1]],0),"Bhava","Baalava","Kaulava","Taitula","Garija","Vanija","Vishti","Shakuni","Chatushapda","Naaga","Kimstugna")</f>
        <v>Kaulava</v>
      </c>
      <c r="N23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(22.52)</v>
      </c>
      <c r="O236" s="124">
        <f ca="1">IF(AND(P[[#This Row],[Tithi]]&lt;28.5,P[[#This Row],[Tithi]]&gt;0.49999),MOD((P[[#This Row],[Tithi]]-0.5)*2,7),MOD((P[[#This Row],[Tithi]]+30-28.5),30)*2+7)</f>
        <v>2.3596000000000004</v>
      </c>
      <c r="P236" s="124">
        <f ca="1">ROUNDUP(MOD(360+P[[#This Row],[Moon]]-P[[#This Row],[Sun]],360)/12,4)</f>
        <v>5.1798000000000002</v>
      </c>
      <c r="Q236" s="124">
        <f t="shared" ca="1" si="39"/>
        <v>22.520000000000003</v>
      </c>
      <c r="R236" s="124" t="str">
        <f ca="1">SIGN(S237-P[[#This Row],[MARs]])*INT(P[[#This Row],[MARs]]/30+1)&amp;"Ma,"&amp;SIGN(T237-P[[#This Row],[Merc]])*INT(P[[#This Row],[Merc]]/30+1)&amp;"Me,"&amp;SIGN(U237-P[[#This Row],[Jup]])*INT(P[[#This Row],[Jup]]/30+1)&amp;"Ju,"&amp;SIGN(V237-P[[#This Row],[Venu]])*INT(P[[#This Row],[Venu]]/30+1)&amp;"Ve,"&amp;SIGN(W237-P[[#This Row],[Sat]])*INT(P[[#This Row],[Sat]]/30+1)&amp;"Sa,"&amp;INT(P[[#This Row],[Rah]]/30+1)&amp;"Ra"</f>
        <v>-10Ma,-4Me,7Ju,6Ve,-9Sa,4Ra</v>
      </c>
      <c r="S236" s="124">
        <f ca="1">Planet(P[[#This Row],[GMT Sun Rise]],4)</f>
        <v>275.39191258640869</v>
      </c>
      <c r="T236" s="124">
        <f ca="1">Planet(P[[#This Row],[GMT Sun Rise]],2)</f>
        <v>108.00389825556111</v>
      </c>
      <c r="U236" s="124">
        <f ca="1">Planet(P[[#This Row],[GMT Sun Rise]],5)</f>
        <v>201.13950086657036</v>
      </c>
      <c r="V236" s="124">
        <f ca="1">Planet(P[[#This Row],[GMT Sun Rise]],3)</f>
        <v>164.90560069065839</v>
      </c>
      <c r="W236" s="124">
        <f ca="1">Planet(P[[#This Row],[GMT Sun Rise]],6)</f>
        <v>248.79352814990585</v>
      </c>
      <c r="X236" s="124">
        <f ca="1">Planet(P[[#This Row],[GMT Sun Rise]],10)</f>
        <v>100.76122616590874</v>
      </c>
      <c r="Y236" s="124">
        <f ca="1">SIGN(S237-P[[#This Row],[MARs]])</f>
        <v>-1</v>
      </c>
    </row>
    <row r="237" spans="1:25" x14ac:dyDescent="0.2">
      <c r="A237" s="125">
        <f t="shared" ca="1" si="40"/>
        <v>43329</v>
      </c>
      <c r="B237" s="125">
        <f t="shared" ca="1" si="33"/>
        <v>43329.229166666664</v>
      </c>
      <c r="C237" s="127">
        <f t="shared" ca="1" si="34"/>
        <v>43329.248603708264</v>
      </c>
      <c r="D237" s="127">
        <f t="shared" ca="1" si="35"/>
        <v>43328.770749390169</v>
      </c>
      <c r="E237" s="189">
        <f ca="1">P[[#This Row],[SunRise]]-TimeZone/24</f>
        <v>43329.019437041599</v>
      </c>
      <c r="F237" s="190">
        <f t="shared" ca="1" si="36"/>
        <v>119.96511996114491</v>
      </c>
      <c r="G237" s="190">
        <f t="shared" ca="1" si="37"/>
        <v>194.46789360325843</v>
      </c>
      <c r="H237" s="191">
        <f t="shared" ca="1" si="38"/>
        <v>43329.019437041599</v>
      </c>
      <c r="I237" s="124" t="str">
        <f ca="1">naks(P[[#This Row],[Moon]])</f>
        <v>Swati</v>
      </c>
      <c r="J237" s="127">
        <f ca="1">(C238-P[[#This Row],[SunRise]])/(G238-P[[#This Row],[Moon]])*(13.3333333333333-MOD(P[[#This Row],[Moon]],13.333333333333))+P[[#This Row],[SunRise]]</f>
        <v>43329.677850137901</v>
      </c>
      <c r="K237" s="124" t="str">
        <f ca="1">IF(P[[#This Row],[Tithi]]&gt;15,"K","S")&amp;ROUNDUP(MOD(P[[#This Row],[Tithi]],15),0)&amp;" ("&amp;ROUND(P[[#This Row],[Tithi]],2)&amp;")"</f>
        <v>S7 (6.21)</v>
      </c>
      <c r="L237" s="124">
        <f ca="1">IF(AND(P[[#This Row],[Tithi]]&lt;28.5,P[[#This Row],[Tithi]]&gt;0.49999),MOD((P[[#This Row],[Tithi]]-0.5)*2,7),MOD((P[[#This Row],[Tithi]]+30-28.5),30)*2+7)</f>
        <v>4.4171999999999993</v>
      </c>
      <c r="M237" s="124" t="str">
        <f ca="1">CHOOSE(ROUNDUP(P[[#This Row],[Karana1]],0),"Bhava","Baalava","Kaulava","Taitula","Garija","Vanija","Vishti","Shakuni","Chatushapda","Naaga","Kimstugna")</f>
        <v>Garija</v>
      </c>
      <c r="N23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(23.59)</v>
      </c>
      <c r="O237" s="124">
        <f ca="1">IF(AND(P[[#This Row],[Tithi]]&lt;28.5,P[[#This Row],[Tithi]]&gt;0.49999),MOD((P[[#This Row],[Tithi]]-0.5)*2,7),MOD((P[[#This Row],[Tithi]]+30-28.5),30)*2+7)</f>
        <v>4.4171999999999993</v>
      </c>
      <c r="P237" s="124">
        <f ca="1">ROUNDUP(MOD(360+P[[#This Row],[Moon]]-P[[#This Row],[Sun]],360)/12,4)</f>
        <v>6.2085999999999997</v>
      </c>
      <c r="Q237" s="124">
        <f t="shared" ca="1" si="39"/>
        <v>23.59</v>
      </c>
      <c r="R237" s="124" t="str">
        <f ca="1">SIGN(S238-P[[#This Row],[MARs]])*INT(P[[#This Row],[MARs]]/30+1)&amp;"Ma,"&amp;SIGN(T238-P[[#This Row],[Merc]])*INT(P[[#This Row],[Merc]]/30+1)&amp;"Me,"&amp;SIGN(U238-P[[#This Row],[Jup]])*INT(P[[#This Row],[Jup]]/30+1)&amp;"Ju,"&amp;SIGN(V238-P[[#This Row],[Venu]])*INT(P[[#This Row],[Venu]]/30+1)&amp;"Ve,"&amp;SIGN(W238-P[[#This Row],[Sat]])*INT(P[[#This Row],[Sat]]/30+1)&amp;"Sa,"&amp;INT(P[[#This Row],[Rah]]/30+1)&amp;"Ra"</f>
        <v>-10Ma,-4Me,7Ju,6Ve,-9Sa,4Ra</v>
      </c>
      <c r="S237" s="124">
        <f ca="1">Planet(P[[#This Row],[GMT Sun Rise]],4)</f>
        <v>275.24597131996126</v>
      </c>
      <c r="T237" s="124">
        <f ca="1">Planet(P[[#This Row],[GMT Sun Rise]],2)</f>
        <v>107.69581415449007</v>
      </c>
      <c r="U237" s="124">
        <f ca="1">Planet(P[[#This Row],[GMT Sun Rise]],5)</f>
        <v>201.24210911930834</v>
      </c>
      <c r="V237" s="124">
        <f ca="1">Planet(P[[#This Row],[GMT Sun Rise]],3)</f>
        <v>165.87277765953289</v>
      </c>
      <c r="W237" s="124">
        <f ca="1">Planet(P[[#This Row],[GMT Sun Rise]],6)</f>
        <v>248.76083205807049</v>
      </c>
      <c r="X237" s="124">
        <f ca="1">Planet(P[[#This Row],[GMT Sun Rise]],10)</f>
        <v>100.70822971290535</v>
      </c>
      <c r="Y237" s="124">
        <f ca="1">SIGN(S238-P[[#This Row],[MARs]])</f>
        <v>-1</v>
      </c>
    </row>
    <row r="238" spans="1:25" x14ac:dyDescent="0.2">
      <c r="A238" s="125">
        <f t="shared" ca="1" si="40"/>
        <v>43330</v>
      </c>
      <c r="B238" s="125">
        <f t="shared" ca="1" si="33"/>
        <v>43330.229166666664</v>
      </c>
      <c r="C238" s="127">
        <f t="shared" ca="1" si="34"/>
        <v>43330.248683340069</v>
      </c>
      <c r="D238" s="127">
        <f t="shared" ca="1" si="35"/>
        <v>43329.770374437372</v>
      </c>
      <c r="E238" s="189">
        <f ca="1">P[[#This Row],[SunRise]]-TimeZone/24</f>
        <v>43330.019516673405</v>
      </c>
      <c r="F238" s="190">
        <f t="shared" ca="1" si="36"/>
        <v>120.92671941296079</v>
      </c>
      <c r="G238" s="190">
        <f t="shared" ca="1" si="37"/>
        <v>207.35686960025834</v>
      </c>
      <c r="H238" s="191">
        <f t="shared" ca="1" si="38"/>
        <v>43330.019516673405</v>
      </c>
      <c r="I238" s="124" t="str">
        <f ca="1">naks(P[[#This Row],[Moon]])</f>
        <v>Visakha</v>
      </c>
      <c r="J238" s="127">
        <f ca="1">(C239-P[[#This Row],[SunRise]])/(G239-P[[#This Row],[Moon]])*(13.3333333333333-MOD(P[[#This Row],[Moon]],13.333333333333))+P[[#This Row],[SunRise]]</f>
        <v>43330.72583127494</v>
      </c>
      <c r="K238" s="124" t="str">
        <f ca="1">IF(P[[#This Row],[Tithi]]&gt;15,"K","S")&amp;ROUNDUP(MOD(P[[#This Row],[Tithi]],15),0)&amp;" ("&amp;ROUND(P[[#This Row],[Tithi]],2)&amp;")"</f>
        <v>S8 (7.2)</v>
      </c>
      <c r="L238" s="124">
        <f ca="1">IF(AND(P[[#This Row],[Tithi]]&lt;28.5,P[[#This Row],[Tithi]]&gt;0.49999),MOD((P[[#This Row],[Tithi]]-0.5)*2,7),MOD((P[[#This Row],[Tithi]]+30-28.5),30)*2+7)</f>
        <v>6.4051999999999989</v>
      </c>
      <c r="M238" s="124" t="str">
        <f ca="1">CHOOSE(ROUNDUP(P[[#This Row],[Karana1]],0),"Bhava","Baalava","Kaulava","Taitula","Garija","Vanija","Vishti","Shakuni","Chatushapda","Naaga","Kimstugna")</f>
        <v>Vishti</v>
      </c>
      <c r="N23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(24.63)</v>
      </c>
      <c r="O238" s="124">
        <f ca="1">IF(AND(P[[#This Row],[Tithi]]&lt;28.5,P[[#This Row],[Tithi]]&gt;0.49999),MOD((P[[#This Row],[Tithi]]-0.5)*2,7),MOD((P[[#This Row],[Tithi]]+30-28.5),30)*2+7)</f>
        <v>6.4051999999999989</v>
      </c>
      <c r="P238" s="124">
        <f ca="1">ROUNDUP(MOD(360+P[[#This Row],[Moon]]-P[[#This Row],[Sun]],360)/12,4)</f>
        <v>7.2025999999999994</v>
      </c>
      <c r="Q238" s="124">
        <f t="shared" ca="1" si="39"/>
        <v>24.630000000000003</v>
      </c>
      <c r="R238" s="124" t="str">
        <f ca="1">SIGN(S239-P[[#This Row],[MARs]])*INT(P[[#This Row],[MARs]]/30+1)&amp;"Ma,"&amp;SIGN(T239-P[[#This Row],[Merc]])*INT(P[[#This Row],[Merc]]/30+1)&amp;"Me,"&amp;SIGN(U239-P[[#This Row],[Jup]])*INT(P[[#This Row],[Jup]]/30+1)&amp;"Ju,"&amp;SIGN(V239-P[[#This Row],[Venu]])*INT(P[[#This Row],[Venu]]/30+1)&amp;"Ve,"&amp;SIGN(W239-P[[#This Row],[Sat]])*INT(P[[#This Row],[Sat]]/30+1)&amp;"Sa,"&amp;INT(P[[#This Row],[Rah]]/30+1)&amp;"Ra"</f>
        <v>-10Ma,-4Me,7Ju,6Ve,-9Sa,4Ra</v>
      </c>
      <c r="S238" s="124">
        <f ca="1">Planet(P[[#This Row],[GMT Sun Rise]],4)</f>
        <v>275.11234893172593</v>
      </c>
      <c r="T238" s="124">
        <f ca="1">Planet(P[[#This Row],[GMT Sun Rise]],2)</f>
        <v>107.49836296789198</v>
      </c>
      <c r="U238" s="124">
        <f ca="1">Planet(P[[#This Row],[GMT Sun Rise]],5)</f>
        <v>201.34712256035976</v>
      </c>
      <c r="V238" s="124">
        <f ca="1">Planet(P[[#This Row],[GMT Sun Rise]],3)</f>
        <v>166.8330719110474</v>
      </c>
      <c r="W238" s="124">
        <f ca="1">Planet(P[[#This Row],[GMT Sun Rise]],6)</f>
        <v>248.72960142063923</v>
      </c>
      <c r="X238" s="124">
        <f ca="1">Planet(P[[#This Row],[GMT Sun Rise]],10)</f>
        <v>100.65523349576155</v>
      </c>
      <c r="Y238" s="124">
        <f ca="1">SIGN(S239-P[[#This Row],[MARs]])</f>
        <v>-1</v>
      </c>
    </row>
    <row r="239" spans="1:25" x14ac:dyDescent="0.2">
      <c r="A239" s="125">
        <f t="shared" ca="1" si="40"/>
        <v>43331</v>
      </c>
      <c r="B239" s="125">
        <f t="shared" ca="1" si="33"/>
        <v>43331.229166666664</v>
      </c>
      <c r="C239" s="127">
        <f t="shared" ca="1" si="34"/>
        <v>43331.24875868034</v>
      </c>
      <c r="D239" s="127">
        <f t="shared" ca="1" si="35"/>
        <v>43330.769991695925</v>
      </c>
      <c r="E239" s="189">
        <f ca="1">P[[#This Row],[SunRise]]-TimeZone/24</f>
        <v>43331.019592013676</v>
      </c>
      <c r="F239" s="190">
        <f t="shared" ca="1" si="36"/>
        <v>121.88860074403611</v>
      </c>
      <c r="G239" s="190">
        <f t="shared" ca="1" si="37"/>
        <v>219.88320276590338</v>
      </c>
      <c r="H239" s="191">
        <f t="shared" ca="1" si="38"/>
        <v>43331.019592013676</v>
      </c>
      <c r="I239" s="124" t="str">
        <f ca="1">naks(P[[#This Row],[Moon]])</f>
        <v>Anuradha</v>
      </c>
      <c r="J239" s="127">
        <f ca="1">(C240-P[[#This Row],[SunRise]])/(G240-P[[#This Row],[Moon]])*(13.3333333333333-MOD(P[[#This Row],[Moon]],13.333333333333))+P[[#This Row],[SunRise]]</f>
        <v>43331.803292420482</v>
      </c>
      <c r="K239" s="124" t="str">
        <f ca="1">IF(P[[#This Row],[Tithi]]&gt;15,"K","S")&amp;ROUNDUP(MOD(P[[#This Row],[Tithi]],15),0)&amp;" ("&amp;ROUND(P[[#This Row],[Tithi]],2)&amp;")"</f>
        <v>S9 (8.17)</v>
      </c>
      <c r="L239" s="124">
        <f ca="1">IF(AND(P[[#This Row],[Tithi]]&lt;28.5,P[[#This Row],[Tithi]]&gt;0.49999),MOD((P[[#This Row],[Tithi]]-0.5)*2,7),MOD((P[[#This Row],[Tithi]]+30-28.5),30)*2+7)</f>
        <v>1.3325999999999993</v>
      </c>
      <c r="M239" s="124" t="str">
        <f ca="1">CHOOSE(ROUNDUP(P[[#This Row],[Karana1]],0),"Bhava","Baalava","Kaulava","Taitula","Garija","Vanija","Vishti","Shakuni","Chatushapda","Naaga","Kimstugna")</f>
        <v>Baalava</v>
      </c>
      <c r="N23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(25.64)</v>
      </c>
      <c r="O239" s="124">
        <f ca="1">IF(AND(P[[#This Row],[Tithi]]&lt;28.5,P[[#This Row],[Tithi]]&gt;0.49999),MOD((P[[#This Row],[Tithi]]-0.5)*2,7),MOD((P[[#This Row],[Tithi]]+30-28.5),30)*2+7)</f>
        <v>1.3325999999999993</v>
      </c>
      <c r="P239" s="124">
        <f ca="1">ROUNDUP(MOD(360+P[[#This Row],[Moon]]-P[[#This Row],[Sun]],360)/12,4)</f>
        <v>8.1662999999999997</v>
      </c>
      <c r="Q239" s="124">
        <f t="shared" ca="1" si="39"/>
        <v>25.64</v>
      </c>
      <c r="R239" s="124" t="str">
        <f ca="1">SIGN(S240-P[[#This Row],[MARs]])*INT(P[[#This Row],[MARs]]/30+1)&amp;"Ma,"&amp;SIGN(T240-P[[#This Row],[Merc]])*INT(P[[#This Row],[Merc]]/30+1)&amp;"Me,"&amp;SIGN(U240-P[[#This Row],[Jup]])*INT(P[[#This Row],[Jup]]/30+1)&amp;"Ju,"&amp;SIGN(V240-P[[#This Row],[Venu]])*INT(P[[#This Row],[Venu]]/30+1)&amp;"Ve,"&amp;SIGN(W240-P[[#This Row],[Sat]])*INT(P[[#This Row],[Sat]]/30+1)&amp;"Sa,"&amp;INT(P[[#This Row],[Rah]]/30+1)&amp;"Ra"</f>
        <v>-10Ma,4Me,7Ju,6Ve,-9Sa,4Ra</v>
      </c>
      <c r="S239" s="124">
        <f ca="1">Planet(P[[#This Row],[GMT Sun Rise]],4)</f>
        <v>274.99132746696029</v>
      </c>
      <c r="T239" s="124">
        <f ca="1">Planet(P[[#This Row],[GMT Sun Rise]],2)</f>
        <v>107.41796991408391</v>
      </c>
      <c r="U239" s="124">
        <f ca="1">Planet(P[[#This Row],[GMT Sun Rise]],5)</f>
        <v>201.45451294675127</v>
      </c>
      <c r="V239" s="124">
        <f ca="1">Planet(P[[#This Row],[GMT Sun Rise]],3)</f>
        <v>167.78623401472248</v>
      </c>
      <c r="W239" s="124">
        <f ca="1">Planet(P[[#This Row],[GMT Sun Rise]],6)</f>
        <v>248.6998490240025</v>
      </c>
      <c r="X239" s="124">
        <f ca="1">Planet(P[[#This Row],[GMT Sun Rise]],10)</f>
        <v>100.602237505994</v>
      </c>
      <c r="Y239" s="124">
        <f ca="1">SIGN(S240-P[[#This Row],[MARs]])</f>
        <v>-1</v>
      </c>
    </row>
    <row r="240" spans="1:25" x14ac:dyDescent="0.2">
      <c r="A240" s="125">
        <f t="shared" ca="1" si="40"/>
        <v>43332</v>
      </c>
      <c r="B240" s="125">
        <f t="shared" ca="1" si="33"/>
        <v>43332.229166666664</v>
      </c>
      <c r="C240" s="127">
        <f t="shared" ca="1" si="34"/>
        <v>43332.248829887867</v>
      </c>
      <c r="D240" s="127">
        <f t="shared" ca="1" si="35"/>
        <v>43331.769601325548</v>
      </c>
      <c r="E240" s="189">
        <f ca="1">P[[#This Row],[SunRise]]-TimeZone/24</f>
        <v>43332.019663221203</v>
      </c>
      <c r="F240" s="190">
        <f t="shared" ca="1" si="36"/>
        <v>122.8507735857108</v>
      </c>
      <c r="G240" s="190">
        <f t="shared" ca="1" si="37"/>
        <v>232.11680812372097</v>
      </c>
      <c r="H240" s="191">
        <f t="shared" ca="1" si="38"/>
        <v>43332.019663221203</v>
      </c>
      <c r="I240" s="124" t="str">
        <f ca="1">naks(P[[#This Row],[Moon]])</f>
        <v>Jyestha</v>
      </c>
      <c r="J240" s="127">
        <f ca="1">(C241-P[[#This Row],[SunRise]])/(G241-P[[#This Row],[Moon]])*(13.3333333333333-MOD(P[[#This Row],[Moon]],13.333333333333))+P[[#This Row],[SunRise]]</f>
        <v>43332.90490706222</v>
      </c>
      <c r="K240" s="124" t="str">
        <f ca="1">IF(P[[#This Row],[Tithi]]&gt;15,"K","S")&amp;ROUNDUP(MOD(P[[#This Row],[Tithi]],15),0)&amp;" ("&amp;ROUND(P[[#This Row],[Tithi]],2)&amp;")"</f>
        <v>S10 (9.11)</v>
      </c>
      <c r="L240" s="124">
        <f ca="1">IF(AND(P[[#This Row],[Tithi]]&lt;28.5,P[[#This Row],[Tithi]]&gt;0.49999),MOD((P[[#This Row],[Tithi]]-0.5)*2,7),MOD((P[[#This Row],[Tithi]]+30-28.5),30)*2+7)</f>
        <v>3.2111999999999981</v>
      </c>
      <c r="M240" s="124" t="str">
        <f ca="1">CHOOSE(ROUNDUP(P[[#This Row],[Karana1]],0),"Bhava","Baalava","Kaulava","Taitula","Garija","Vanija","Vishti","Shakuni","Chatushapda","Naaga","Kimstugna")</f>
        <v>Taitula</v>
      </c>
      <c r="N24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(26.63)</v>
      </c>
      <c r="O240" s="124">
        <f ca="1">IF(AND(P[[#This Row],[Tithi]]&lt;28.5,P[[#This Row],[Tithi]]&gt;0.49999),MOD((P[[#This Row],[Tithi]]-0.5)*2,7),MOD((P[[#This Row],[Tithi]]+30-28.5),30)*2+7)</f>
        <v>3.2111999999999981</v>
      </c>
      <c r="P240" s="124">
        <f ca="1">ROUNDUP(MOD(360+P[[#This Row],[Moon]]-P[[#This Row],[Sun]],360)/12,4)</f>
        <v>9.105599999999999</v>
      </c>
      <c r="Q240" s="124">
        <f t="shared" ca="1" si="39"/>
        <v>26.630000000000003</v>
      </c>
      <c r="R240" s="124" t="str">
        <f ca="1">SIGN(S241-P[[#This Row],[MARs]])*INT(P[[#This Row],[MARs]]/30+1)&amp;"Ma,"&amp;SIGN(T241-P[[#This Row],[Merc]])*INT(P[[#This Row],[Merc]]/30+1)&amp;"Me,"&amp;SIGN(U241-P[[#This Row],[Jup]])*INT(P[[#This Row],[Jup]]/30+1)&amp;"Ju,"&amp;SIGN(V241-P[[#This Row],[Venu]])*INT(P[[#This Row],[Venu]]/30+1)&amp;"Ve,"&amp;SIGN(W241-P[[#This Row],[Sat]])*INT(P[[#This Row],[Sat]]/30+1)&amp;"Sa,"&amp;INT(P[[#This Row],[Rah]]/30+1)&amp;"Ra"</f>
        <v>-10Ma,4Me,7Ju,6Ve,-9Sa,4Ra</v>
      </c>
      <c r="S240" s="124">
        <f ca="1">Planet(P[[#This Row],[GMT Sun Rise]],4)</f>
        <v>274.88314710290979</v>
      </c>
      <c r="T240" s="124">
        <f ca="1">Planet(P[[#This Row],[GMT Sun Rise]],2)</f>
        <v>107.45950399820885</v>
      </c>
      <c r="U240" s="124">
        <f ca="1">Planet(P[[#This Row],[GMT Sun Rise]],5)</f>
        <v>201.56425231144624</v>
      </c>
      <c r="V240" s="124">
        <f ca="1">Planet(P[[#This Row],[GMT Sun Rise]],3)</f>
        <v>168.73200800378115</v>
      </c>
      <c r="W240" s="124">
        <f ca="1">Planet(P[[#This Row],[GMT Sun Rise]],6)</f>
        <v>248.67158684577726</v>
      </c>
      <c r="X240" s="124">
        <f ca="1">Planet(P[[#This Row],[GMT Sun Rise]],10)</f>
        <v>100.54924173526861</v>
      </c>
      <c r="Y240" s="124">
        <f ca="1">SIGN(S241-P[[#This Row],[MARs]])</f>
        <v>-1</v>
      </c>
    </row>
    <row r="241" spans="1:25" x14ac:dyDescent="0.2">
      <c r="A241" s="125">
        <f t="shared" ca="1" si="40"/>
        <v>43333</v>
      </c>
      <c r="B241" s="125">
        <f t="shared" ca="1" si="33"/>
        <v>43333.229166666664</v>
      </c>
      <c r="C241" s="127">
        <f t="shared" ca="1" si="34"/>
        <v>43333.248896963116</v>
      </c>
      <c r="D241" s="127">
        <f t="shared" ca="1" si="35"/>
        <v>43332.769203325312</v>
      </c>
      <c r="E241" s="189">
        <f ca="1">P[[#This Row],[SunRise]]-TimeZone/24</f>
        <v>43333.019730296452</v>
      </c>
      <c r="F241" s="190">
        <f t="shared" ca="1" si="36"/>
        <v>123.81324978823876</v>
      </c>
      <c r="G241" s="190">
        <f t="shared" ca="1" si="37"/>
        <v>244.13326129648931</v>
      </c>
      <c r="H241" s="191">
        <f t="shared" ca="1" si="38"/>
        <v>43333.019730296452</v>
      </c>
      <c r="I241" s="124" t="str">
        <f ca="1">naks(P[[#This Row],[Moon]])</f>
        <v>Moola</v>
      </c>
      <c r="J241" s="127">
        <f ca="1">(C242-P[[#This Row],[SunRise]])/(G242-P[[#This Row],[Moon]])*(13.3333333333333-MOD(P[[#This Row],[Moon]],13.333333333333))+P[[#This Row],[SunRise]]</f>
        <v>43334.023739570359</v>
      </c>
      <c r="K241" s="124" t="str">
        <f ca="1">IF(P[[#This Row],[Tithi]]&gt;15,"K","S")&amp;ROUNDUP(MOD(P[[#This Row],[Tithi]],15),0)&amp;" ("&amp;ROUND(P[[#This Row],[Tithi]],2)&amp;")"</f>
        <v>S11 (10.03)</v>
      </c>
      <c r="L241" s="124">
        <f ca="1">IF(AND(P[[#This Row],[Tithi]]&lt;28.5,P[[#This Row],[Tithi]]&gt;0.49999),MOD((P[[#This Row],[Tithi]]-0.5)*2,7),MOD((P[[#This Row],[Tithi]]+30-28.5),30)*2+7)</f>
        <v>5.0533999999999999</v>
      </c>
      <c r="M241" s="124" t="str">
        <f ca="1">CHOOSE(ROUNDUP(P[[#This Row],[Karana1]],0),"Bhava","Baalava","Kaulava","Taitula","Garija","Vanija","Vishti","Shakuni","Chatushapda","Naaga","Kimstugna")</f>
        <v>Vanija</v>
      </c>
      <c r="N24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(0.6)</v>
      </c>
      <c r="O241" s="124">
        <f ca="1">IF(AND(P[[#This Row],[Tithi]]&lt;28.5,P[[#This Row],[Tithi]]&gt;0.49999),MOD((P[[#This Row],[Tithi]]-0.5)*2,7),MOD((P[[#This Row],[Tithi]]+30-28.5),30)*2+7)</f>
        <v>5.0533999999999999</v>
      </c>
      <c r="P241" s="124">
        <f ca="1">ROUNDUP(MOD(360+P[[#This Row],[Moon]]-P[[#This Row],[Sun]],360)/12,4)</f>
        <v>10.0267</v>
      </c>
      <c r="Q241" s="124">
        <f t="shared" ca="1" si="39"/>
        <v>0.6</v>
      </c>
      <c r="R241" s="124" t="str">
        <f ca="1">SIGN(S242-P[[#This Row],[MARs]])*INT(P[[#This Row],[MARs]]/30+1)&amp;"Ma,"&amp;SIGN(T242-P[[#This Row],[Merc]])*INT(P[[#This Row],[Merc]]/30+1)&amp;"Me,"&amp;SIGN(U242-P[[#This Row],[Jup]])*INT(P[[#This Row],[Jup]]/30+1)&amp;"Ju,"&amp;SIGN(V242-P[[#This Row],[Venu]])*INT(P[[#This Row],[Venu]]/30+1)&amp;"Ve,"&amp;SIGN(W242-P[[#This Row],[Sat]])*INT(P[[#This Row],[Sat]]/30+1)&amp;"Sa,"&amp;INT(P[[#This Row],[Rah]]/30+1)&amp;"Ra"</f>
        <v>-10Ma,4Me,7Ju,6Ve,-9Sa,4Ra</v>
      </c>
      <c r="S241" s="124">
        <f ca="1">Planet(P[[#This Row],[GMT Sun Rise]],4)</f>
        <v>274.78800924196105</v>
      </c>
      <c r="T241" s="124">
        <f ca="1">Planet(P[[#This Row],[GMT Sun Rise]],2)</f>
        <v>107.62634905925282</v>
      </c>
      <c r="U241" s="124">
        <f ca="1">Planet(P[[#This Row],[GMT Sun Rise]],5)</f>
        <v>201.67631302314703</v>
      </c>
      <c r="V241" s="124">
        <f ca="1">Planet(P[[#This Row],[GMT Sun Rise]],3)</f>
        <v>169.67013072632537</v>
      </c>
      <c r="W241" s="124">
        <f ca="1">Planet(P[[#This Row],[GMT Sun Rise]],6)</f>
        <v>248.64482614847074</v>
      </c>
      <c r="X241" s="124">
        <f ca="1">Planet(P[[#This Row],[GMT Sun Rise]],10)</f>
        <v>100.49624618351903</v>
      </c>
      <c r="Y241" s="124">
        <f ca="1">SIGN(S242-P[[#This Row],[MARs]])</f>
        <v>-1</v>
      </c>
    </row>
    <row r="242" spans="1:25" x14ac:dyDescent="0.2">
      <c r="A242" s="125">
        <f t="shared" ca="1" si="40"/>
        <v>43334</v>
      </c>
      <c r="B242" s="125">
        <f t="shared" ca="1" si="33"/>
        <v>43334.229166666664</v>
      </c>
      <c r="C242" s="127">
        <f t="shared" ca="1" si="34"/>
        <v>43334.248960064411</v>
      </c>
      <c r="D242" s="127">
        <f t="shared" ca="1" si="35"/>
        <v>43333.768798172518</v>
      </c>
      <c r="E242" s="189">
        <f ca="1">P[[#This Row],[SunRise]]-TimeZone/24</f>
        <v>43334.019793397747</v>
      </c>
      <c r="F242" s="190">
        <f t="shared" ca="1" si="36"/>
        <v>124.77604331482259</v>
      </c>
      <c r="G242" s="190">
        <f t="shared" ca="1" si="37"/>
        <v>256.00748257356429</v>
      </c>
      <c r="H242" s="191">
        <f t="shared" ca="1" si="38"/>
        <v>43334.019793397747</v>
      </c>
      <c r="I242" s="124" t="str">
        <f ca="1">naks(P[[#This Row],[Moon]])</f>
        <v>Purva Asadha</v>
      </c>
      <c r="J242" s="127">
        <f ca="1">(C243-P[[#This Row],[SunRise]])/(G243-P[[#This Row],[Moon]])*(13.3333333333333-MOD(P[[#This Row],[Moon]],13.333333333333))+P[[#This Row],[SunRise]]</f>
        <v>43335.152185397237</v>
      </c>
      <c r="K242" s="124" t="str">
        <f ca="1">IF(P[[#This Row],[Tithi]]&gt;15,"K","S")&amp;ROUNDUP(MOD(P[[#This Row],[Tithi]],15),0)&amp;" ("&amp;ROUND(P[[#This Row],[Tithi]],2)&amp;")"</f>
        <v>S11 (10.94)</v>
      </c>
      <c r="L242" s="124">
        <f ca="1">IF(AND(P[[#This Row],[Tithi]]&lt;28.5,P[[#This Row],[Tithi]]&gt;0.49999),MOD((P[[#This Row],[Tithi]]-0.5)*2,7),MOD((P[[#This Row],[Tithi]]+30-28.5),30)*2+7)</f>
        <v>6.8719999999999999</v>
      </c>
      <c r="M242" s="124" t="str">
        <f ca="1">CHOOSE(ROUNDUP(P[[#This Row],[Karana1]],0),"Bhava","Baalava","Kaulava","Taitula","Garija","Vanija","Vishti","Shakuni","Chatushapda","Naaga","Kimstugna")</f>
        <v>Vishti</v>
      </c>
      <c r="N24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(1.56)</v>
      </c>
      <c r="O242" s="124">
        <f ca="1">IF(AND(P[[#This Row],[Tithi]]&lt;28.5,P[[#This Row],[Tithi]]&gt;0.49999),MOD((P[[#This Row],[Tithi]]-0.5)*2,7),MOD((P[[#This Row],[Tithi]]+30-28.5),30)*2+7)</f>
        <v>6.8719999999999999</v>
      </c>
      <c r="P242" s="124">
        <f ca="1">ROUNDUP(MOD(360+P[[#This Row],[Moon]]-P[[#This Row],[Sun]],360)/12,4)</f>
        <v>10.936</v>
      </c>
      <c r="Q242" s="124">
        <f t="shared" ca="1" si="39"/>
        <v>1.56</v>
      </c>
      <c r="R242" s="124" t="str">
        <f ca="1">SIGN(S243-P[[#This Row],[MARs]])*INT(P[[#This Row],[MARs]]/30+1)&amp;"Ma,"&amp;SIGN(T243-P[[#This Row],[Merc]])*INT(P[[#This Row],[Merc]]/30+1)&amp;"Me,"&amp;SIGN(U243-P[[#This Row],[Jup]])*INT(P[[#This Row],[Jup]]/30+1)&amp;"Ju,"&amp;SIGN(V243-P[[#This Row],[Venu]])*INT(P[[#This Row],[Venu]]/30+1)&amp;"Ve,"&amp;SIGN(W243-P[[#This Row],[Sat]])*INT(P[[#This Row],[Sat]]/30+1)&amp;"Sa,"&amp;INT(P[[#This Row],[Rah]]/30+1)&amp;"Ra"</f>
        <v>-10Ma,4Me,7Ju,6Ve,-9Sa,4Ra</v>
      </c>
      <c r="S242" s="124">
        <f ca="1">Planet(P[[#This Row],[GMT Sun Rise]],4)</f>
        <v>274.70607932284139</v>
      </c>
      <c r="T242" s="124">
        <f ca="1">Planet(P[[#This Row],[GMT Sun Rise]],2)</f>
        <v>107.92049635967328</v>
      </c>
      <c r="U242" s="124">
        <f ca="1">Planet(P[[#This Row],[GMT Sun Rise]],5)</f>
        <v>201.79066786554256</v>
      </c>
      <c r="V242" s="124">
        <f ca="1">Planet(P[[#This Row],[GMT Sun Rise]],3)</f>
        <v>170.60033155069775</v>
      </c>
      <c r="W242" s="124">
        <f ca="1">Planet(P[[#This Row],[GMT Sun Rise]],6)</f>
        <v>248.61957754113729</v>
      </c>
      <c r="X242" s="124">
        <f ca="1">Planet(P[[#This Row],[GMT Sun Rise]],10)</f>
        <v>100.44325084236158</v>
      </c>
      <c r="Y242" s="124">
        <f ca="1">SIGN(S243-P[[#This Row],[MARs]])</f>
        <v>-1</v>
      </c>
    </row>
    <row r="243" spans="1:25" x14ac:dyDescent="0.2">
      <c r="A243" s="125">
        <f t="shared" ca="1" si="40"/>
        <v>43335</v>
      </c>
      <c r="B243" s="125">
        <f t="shared" ca="1" si="33"/>
        <v>43335.229166666664</v>
      </c>
      <c r="C243" s="127">
        <f t="shared" ca="1" si="34"/>
        <v>43335.249019192219</v>
      </c>
      <c r="D243" s="127">
        <f t="shared" ca="1" si="35"/>
        <v>43334.768386026422</v>
      </c>
      <c r="E243" s="189">
        <f ca="1">P[[#This Row],[SunRise]]-TimeZone/24</f>
        <v>43335.019852525555</v>
      </c>
      <c r="F243" s="190">
        <f t="shared" ca="1" si="36"/>
        <v>125.73916958975394</v>
      </c>
      <c r="G243" s="190">
        <f t="shared" ca="1" si="37"/>
        <v>267.80942607522786</v>
      </c>
      <c r="H243" s="191">
        <f t="shared" ca="1" si="38"/>
        <v>43335.019852525555</v>
      </c>
      <c r="I243" s="124" t="str">
        <f ca="1">naks(P[[#This Row],[Moon]])</f>
        <v>Uttara Asadha</v>
      </c>
      <c r="J243" s="127">
        <f ca="1">(C244-P[[#This Row],[SunRise]])/(G244-P[[#This Row],[Moon]])*(13.3333333333333-MOD(P[[#This Row],[Moon]],13.333333333333))+P[[#This Row],[SunRise]]</f>
        <v>43336.28287386099</v>
      </c>
      <c r="K243" s="124" t="str">
        <f ca="1">IF(P[[#This Row],[Tithi]]&gt;15,"K","S")&amp;ROUNDUP(MOD(P[[#This Row],[Tithi]],15),0)&amp;" ("&amp;ROUND(P[[#This Row],[Tithi]],2)&amp;")"</f>
        <v>S12 (11.84)</v>
      </c>
      <c r="L243" s="124">
        <f ca="1">IF(AND(P[[#This Row],[Tithi]]&lt;28.5,P[[#This Row],[Tithi]]&gt;0.49999),MOD((P[[#This Row],[Tithi]]-0.5)*2,7),MOD((P[[#This Row],[Tithi]]+30-28.5),30)*2+7)</f>
        <v>1.6783999999999999</v>
      </c>
      <c r="M243" s="124" t="str">
        <f ca="1">CHOOSE(ROUNDUP(P[[#This Row],[Karana1]],0),"Bhava","Baalava","Kaulava","Taitula","Garija","Vanija","Vishti","Shakuni","Chatushapda","Naaga","Kimstugna")</f>
        <v>Baalava</v>
      </c>
      <c r="N24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(2.52)</v>
      </c>
      <c r="O243" s="124">
        <f ca="1">IF(AND(P[[#This Row],[Tithi]]&lt;28.5,P[[#This Row],[Tithi]]&gt;0.49999),MOD((P[[#This Row],[Tithi]]-0.5)*2,7),MOD((P[[#This Row],[Tithi]]+30-28.5),30)*2+7)</f>
        <v>1.6783999999999999</v>
      </c>
      <c r="P243" s="124">
        <f ca="1">ROUNDUP(MOD(360+P[[#This Row],[Moon]]-P[[#This Row],[Sun]],360)/12,4)</f>
        <v>11.8392</v>
      </c>
      <c r="Q243" s="124">
        <f t="shared" ca="1" si="39"/>
        <v>2.5199999999999996</v>
      </c>
      <c r="R243" s="124" t="str">
        <f ca="1">SIGN(S244-P[[#This Row],[MARs]])*INT(P[[#This Row],[MARs]]/30+1)&amp;"Ma,"&amp;SIGN(T244-P[[#This Row],[Merc]])*INT(P[[#This Row],[Merc]]/30+1)&amp;"Me,"&amp;SIGN(U244-P[[#This Row],[Jup]])*INT(P[[#This Row],[Jup]]/30+1)&amp;"Ju,"&amp;SIGN(V244-P[[#This Row],[Venu]])*INT(P[[#This Row],[Venu]]/30+1)&amp;"Ve,"&amp;SIGN(W244-P[[#This Row],[Sat]])*INT(P[[#This Row],[Sat]]/30+1)&amp;"Sa,"&amp;INT(P[[#This Row],[Rah]]/30+1)&amp;"Ra"</f>
        <v>-10Ma,4Me,7Ju,6Ve,-9Sa,4Ra</v>
      </c>
      <c r="S243" s="124">
        <f ca="1">Planet(P[[#This Row],[GMT Sun Rise]],4)</f>
        <v>274.63748948839589</v>
      </c>
      <c r="T243" s="124">
        <f ca="1">Planet(P[[#This Row],[GMT Sun Rise]],2)</f>
        <v>108.34264543367004</v>
      </c>
      <c r="U243" s="124">
        <f ca="1">Planet(P[[#This Row],[GMT Sun Rise]],5)</f>
        <v>201.90729002153759</v>
      </c>
      <c r="V243" s="124">
        <f ca="1">Planet(P[[#This Row],[GMT Sun Rise]],3)</f>
        <v>171.52233140810881</v>
      </c>
      <c r="W243" s="124">
        <f ca="1">Planet(P[[#This Row],[GMT Sun Rise]],6)</f>
        <v>248.59585104266006</v>
      </c>
      <c r="X243" s="124">
        <f ca="1">Planet(P[[#This Row],[GMT Sun Rise]],10)</f>
        <v>100.39025571177972</v>
      </c>
      <c r="Y243" s="124">
        <f ca="1">SIGN(S244-P[[#This Row],[MARs]])</f>
        <v>-1</v>
      </c>
    </row>
    <row r="244" spans="1:25" x14ac:dyDescent="0.2">
      <c r="A244" s="125">
        <f t="shared" ca="1" si="40"/>
        <v>43336</v>
      </c>
      <c r="B244" s="125">
        <f t="shared" ca="1" si="33"/>
        <v>43336.229166666664</v>
      </c>
      <c r="C244" s="127">
        <f t="shared" ca="1" si="34"/>
        <v>43336.24907466412</v>
      </c>
      <c r="D244" s="127">
        <f t="shared" ca="1" si="35"/>
        <v>43335.767967045351</v>
      </c>
      <c r="E244" s="189">
        <f ca="1">P[[#This Row],[SunRise]]-TimeZone/24</f>
        <v>43336.019907997455</v>
      </c>
      <c r="F244" s="190">
        <f t="shared" ca="1" si="36"/>
        <v>126.70264568174326</v>
      </c>
      <c r="G244" s="190">
        <f t="shared" ca="1" si="37"/>
        <v>279.60146080438875</v>
      </c>
      <c r="H244" s="191">
        <f t="shared" ca="1" si="38"/>
        <v>43336.019907997455</v>
      </c>
      <c r="I244" s="124" t="str">
        <f ca="1">naks(P[[#This Row],[Moon]])</f>
        <v>Uttara Asadha</v>
      </c>
      <c r="J244" s="127">
        <f ca="1">(C245-P[[#This Row],[SunRise]])/(G245-P[[#This Row],[Moon]])*(13.3333333333333-MOD(P[[#This Row],[Moon]],13.333333333333))+P[[#This Row],[SunRise]]</f>
        <v>43336.282749419457</v>
      </c>
      <c r="K244" s="124" t="str">
        <f ca="1">IF(P[[#This Row],[Tithi]]&gt;15,"K","S")&amp;ROUNDUP(MOD(P[[#This Row],[Tithi]],15),0)&amp;" ("&amp;ROUND(P[[#This Row],[Tithi]],2)&amp;")"</f>
        <v>S13 (12.74)</v>
      </c>
      <c r="L244" s="124">
        <f ca="1">IF(AND(P[[#This Row],[Tithi]]&lt;28.5,P[[#This Row],[Tithi]]&gt;0.49999),MOD((P[[#This Row],[Tithi]]-0.5)*2,7),MOD((P[[#This Row],[Tithi]]+30-28.5),30)*2+7)</f>
        <v>3.4832000000000001</v>
      </c>
      <c r="M244" s="124" t="str">
        <f ca="1">CHOOSE(ROUNDUP(P[[#This Row],[Karana1]],0),"Bhava","Baalava","Kaulava","Taitula","Garija","Vanija","Vishti","Shakuni","Chatushapda","Naaga","Kimstugna")</f>
        <v>Taitula</v>
      </c>
      <c r="N24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(3.48)</v>
      </c>
      <c r="O244" s="124">
        <f ca="1">IF(AND(P[[#This Row],[Tithi]]&lt;28.5,P[[#This Row],[Tithi]]&gt;0.49999),MOD((P[[#This Row],[Tithi]]-0.5)*2,7),MOD((P[[#This Row],[Tithi]]+30-28.5),30)*2+7)</f>
        <v>3.4832000000000001</v>
      </c>
      <c r="P244" s="124">
        <f ca="1">ROUNDUP(MOD(360+P[[#This Row],[Moon]]-P[[#This Row],[Sun]],360)/12,4)</f>
        <v>12.7416</v>
      </c>
      <c r="Q244" s="124">
        <f t="shared" ca="1" si="39"/>
        <v>3.48</v>
      </c>
      <c r="R244" s="124" t="str">
        <f ca="1">SIGN(S245-P[[#This Row],[MARs]])*INT(P[[#This Row],[MARs]]/30+1)&amp;"Ma,"&amp;SIGN(T245-P[[#This Row],[Merc]])*INT(P[[#This Row],[Merc]]/30+1)&amp;"Me,"&amp;SIGN(U245-P[[#This Row],[Jup]])*INT(P[[#This Row],[Jup]]/30+1)&amp;"Ju,"&amp;SIGN(V245-P[[#This Row],[Venu]])*INT(P[[#This Row],[Venu]]/30+1)&amp;"Ve,"&amp;SIGN(W245-P[[#This Row],[Sat]])*INT(P[[#This Row],[Sat]]/30+1)&amp;"Sa,"&amp;INT(P[[#This Row],[Rah]]/30+1)&amp;"Ra"</f>
        <v>-10Ma,4Me,7Ju,6Ve,-9Sa,4Ra</v>
      </c>
      <c r="S244" s="124">
        <f ca="1">Planet(P[[#This Row],[GMT Sun Rise]],4)</f>
        <v>274.58234097448366</v>
      </c>
      <c r="T244" s="124">
        <f ca="1">Planet(P[[#This Row],[GMT Sun Rise]],2)</f>
        <v>108.89230328894503</v>
      </c>
      <c r="U244" s="124">
        <f ca="1">Planet(P[[#This Row],[GMT Sun Rise]],5)</f>
        <v>202.02615313598349</v>
      </c>
      <c r="V244" s="124">
        <f ca="1">Planet(P[[#This Row],[GMT Sun Rise]],3)</f>
        <v>172.4358425618839</v>
      </c>
      <c r="W244" s="124">
        <f ca="1">Planet(P[[#This Row],[GMT Sun Rise]],6)</f>
        <v>248.57365611306295</v>
      </c>
      <c r="X244" s="124">
        <f ca="1">Planet(P[[#This Row],[GMT Sun Rise]],10)</f>
        <v>100.33726077490621</v>
      </c>
      <c r="Y244" s="124">
        <f ca="1">SIGN(S245-P[[#This Row],[MARs]])</f>
        <v>-1</v>
      </c>
    </row>
    <row r="245" spans="1:25" x14ac:dyDescent="0.2">
      <c r="A245" s="125">
        <f t="shared" ca="1" si="40"/>
        <v>43337</v>
      </c>
      <c r="B245" s="125">
        <f t="shared" ca="1" si="33"/>
        <v>43337.229166666664</v>
      </c>
      <c r="C245" s="127">
        <f t="shared" ca="1" si="34"/>
        <v>43337.249126480579</v>
      </c>
      <c r="D245" s="127">
        <f t="shared" ca="1" si="35"/>
        <v>43336.767541547815</v>
      </c>
      <c r="E245" s="189">
        <f ca="1">P[[#This Row],[SunRise]]-TimeZone/24</f>
        <v>43337.019959813915</v>
      </c>
      <c r="F245" s="190">
        <f t="shared" ca="1" si="36"/>
        <v>127.66648950489129</v>
      </c>
      <c r="G245" s="190">
        <f t="shared" ca="1" si="37"/>
        <v>291.43702850304163</v>
      </c>
      <c r="H245" s="191">
        <f t="shared" ca="1" si="38"/>
        <v>43337.019959813915</v>
      </c>
      <c r="I245" s="124" t="str">
        <f ca="1">naks(P[[#This Row],[Moon]])</f>
        <v>Sravana</v>
      </c>
      <c r="J245" s="127">
        <f ca="1">(C246-P[[#This Row],[SunRise]])/(G246-P[[#This Row],[Moon]])*(13.3333333333333-MOD(P[[#This Row],[Moon]],13.333333333333))+P[[#This Row],[SunRise]]</f>
        <v>43337.408175817269</v>
      </c>
      <c r="K245" s="124" t="str">
        <f ca="1">IF(P[[#This Row],[Tithi]]&gt;15,"K","S")&amp;ROUNDUP(MOD(P[[#This Row],[Tithi]],15),0)&amp;" ("&amp;ROUND(P[[#This Row],[Tithi]],2)&amp;")"</f>
        <v>S14 (13.65)</v>
      </c>
      <c r="L245" s="124">
        <f ca="1">IF(AND(P[[#This Row],[Tithi]]&lt;28.5,P[[#This Row],[Tithi]]&gt;0.49999),MOD((P[[#This Row],[Tithi]]-0.5)*2,7),MOD((P[[#This Row],[Tithi]]+30-28.5),30)*2+7)</f>
        <v>5.2952000000000012</v>
      </c>
      <c r="M245" s="124" t="str">
        <f ca="1">CHOOSE(ROUNDUP(P[[#This Row],[Karana1]],0),"Bhava","Baalava","Kaulava","Taitula","Garija","Vanija","Vishti","Shakuni","Chatushapda","Naaga","Kimstugna")</f>
        <v>Vanija</v>
      </c>
      <c r="N24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(4.44)</v>
      </c>
      <c r="O245" s="124">
        <f ca="1">IF(AND(P[[#This Row],[Tithi]]&lt;28.5,P[[#This Row],[Tithi]]&gt;0.49999),MOD((P[[#This Row],[Tithi]]-0.5)*2,7),MOD((P[[#This Row],[Tithi]]+30-28.5),30)*2+7)</f>
        <v>5.2952000000000012</v>
      </c>
      <c r="P245" s="124">
        <f ca="1">ROUNDUP(MOD(360+P[[#This Row],[Moon]]-P[[#This Row],[Sun]],360)/12,4)</f>
        <v>13.647600000000001</v>
      </c>
      <c r="Q245" s="124">
        <f t="shared" ca="1" si="39"/>
        <v>4.4399999999999995</v>
      </c>
      <c r="R245" s="124" t="str">
        <f ca="1">SIGN(S246-P[[#This Row],[MARs]])*INT(P[[#This Row],[MARs]]/30+1)&amp;"Ma,"&amp;SIGN(T246-P[[#This Row],[Merc]])*INT(P[[#This Row],[Merc]]/30+1)&amp;"Me,"&amp;SIGN(U246-P[[#This Row],[Jup]])*INT(P[[#This Row],[Jup]]/30+1)&amp;"Ju,"&amp;SIGN(V246-P[[#This Row],[Venu]])*INT(P[[#This Row],[Venu]]/30+1)&amp;"Ve,"&amp;SIGN(W246-P[[#This Row],[Sat]])*INT(P[[#This Row],[Sat]]/30+1)&amp;"Sa,"&amp;INT(P[[#This Row],[Rah]]/30+1)&amp;"Ra"</f>
        <v>-10Ma,4Me,7Ju,6Ve,-9Sa,4Ra</v>
      </c>
      <c r="S245" s="124">
        <f ca="1">Planet(P[[#This Row],[GMT Sun Rise]],4)</f>
        <v>274.54070640910908</v>
      </c>
      <c r="T245" s="124">
        <f ca="1">Planet(P[[#This Row],[GMT Sun Rise]],2)</f>
        <v>109.56787464922297</v>
      </c>
      <c r="U245" s="124">
        <f ca="1">Planet(P[[#This Row],[GMT Sun Rise]],5)</f>
        <v>202.14723124995982</v>
      </c>
      <c r="V245" s="124">
        <f ca="1">Planet(P[[#This Row],[GMT Sun Rise]],3)</f>
        <v>173.34056744514456</v>
      </c>
      <c r="W245" s="124">
        <f ca="1">Planet(P[[#This Row],[GMT Sun Rise]],6)</f>
        <v>248.55300170541639</v>
      </c>
      <c r="X245" s="124">
        <f ca="1">Planet(P[[#This Row],[GMT Sun Rise]],10)</f>
        <v>100.28426603175782</v>
      </c>
      <c r="Y245" s="124">
        <f ca="1">SIGN(S246-P[[#This Row],[MARs]])</f>
        <v>-1</v>
      </c>
    </row>
    <row r="246" spans="1:25" x14ac:dyDescent="0.2">
      <c r="A246" s="125">
        <f t="shared" ca="1" si="40"/>
        <v>43338</v>
      </c>
      <c r="B246" s="125">
        <f t="shared" ca="1" si="33"/>
        <v>43338.229166666664</v>
      </c>
      <c r="C246" s="127">
        <f t="shared" ca="1" si="34"/>
        <v>43338.249174641132</v>
      </c>
      <c r="D246" s="127">
        <f t="shared" ca="1" si="35"/>
        <v>43337.767109851397</v>
      </c>
      <c r="E246" s="189">
        <f ca="1">P[[#This Row],[SunRise]]-TimeZone/24</f>
        <v>43338.020007974468</v>
      </c>
      <c r="F246" s="190">
        <f t="shared" ca="1" si="36"/>
        <v>128.63071999758805</v>
      </c>
      <c r="G246" s="190">
        <f t="shared" ca="1" si="37"/>
        <v>303.36034863043466</v>
      </c>
      <c r="H246" s="191">
        <f t="shared" ca="1" si="38"/>
        <v>43338.020007974468</v>
      </c>
      <c r="I246" s="124" t="str">
        <f ca="1">naks(P[[#This Row],[Moon]])</f>
        <v>Dhanistha</v>
      </c>
      <c r="J246" s="127">
        <f ca="1">(C247-P[[#This Row],[SunRise]])/(G247-P[[#This Row],[Moon]])*(13.3333333333333-MOD(P[[#This Row],[Moon]],13.333333333333))+P[[#This Row],[SunRise]]</f>
        <v>43338.523644469184</v>
      </c>
      <c r="K246" s="124" t="str">
        <f ca="1">IF(P[[#This Row],[Tithi]]&gt;15,"K","S")&amp;ROUNDUP(MOD(P[[#This Row],[Tithi]],15),0)&amp;" ("&amp;ROUND(P[[#This Row],[Tithi]],2)&amp;")"</f>
        <v>S15 (14.56)</v>
      </c>
      <c r="L246" s="124">
        <f ca="1">IF(AND(P[[#This Row],[Tithi]]&lt;28.5,P[[#This Row],[Tithi]]&gt;0.49999),MOD((P[[#This Row],[Tithi]]-0.5)*2,7),MOD((P[[#This Row],[Tithi]]+30-28.5),30)*2+7)</f>
        <v>0.12180000000000035</v>
      </c>
      <c r="M246" s="124" t="str">
        <f ca="1">CHOOSE(ROUNDUP(P[[#This Row],[Karana1]],0),"Bhava","Baalava","Kaulava","Taitula","Garija","Vanija","Vishti","Shakuni","Chatushapda","Naaga","Kimstugna")</f>
        <v>Bhava</v>
      </c>
      <c r="N24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(5.4)</v>
      </c>
      <c r="O246" s="124">
        <f ca="1">IF(AND(P[[#This Row],[Tithi]]&lt;28.5,P[[#This Row],[Tithi]]&gt;0.49999),MOD((P[[#This Row],[Tithi]]-0.5)*2,7),MOD((P[[#This Row],[Tithi]]+30-28.5),30)*2+7)</f>
        <v>0.12180000000000035</v>
      </c>
      <c r="P246" s="124">
        <f ca="1">ROUNDUP(MOD(360+P[[#This Row],[Moon]]-P[[#This Row],[Sun]],360)/12,4)</f>
        <v>14.5609</v>
      </c>
      <c r="Q246" s="124">
        <f t="shared" ca="1" si="39"/>
        <v>5.3999999999999995</v>
      </c>
      <c r="R246" s="124" t="str">
        <f ca="1">SIGN(S247-P[[#This Row],[MARs]])*INT(P[[#This Row],[MARs]]/30+1)&amp;"Ma,"&amp;SIGN(T247-P[[#This Row],[Merc]])*INT(P[[#This Row],[Merc]]/30+1)&amp;"Me,"&amp;SIGN(U247-P[[#This Row],[Jup]])*INT(P[[#This Row],[Jup]]/30+1)&amp;"Ju,"&amp;SIGN(V247-P[[#This Row],[Venu]])*INT(P[[#This Row],[Venu]]/30+1)&amp;"Ve,"&amp;SIGN(W247-P[[#This Row],[Sat]])*INT(P[[#This Row],[Sat]]/30+1)&amp;"Sa,"&amp;INT(P[[#This Row],[Rah]]/30+1)&amp;"Ra"</f>
        <v>-10Ma,4Me,7Ju,6Ve,-9Sa,4Ra</v>
      </c>
      <c r="S246" s="124">
        <f ca="1">Planet(P[[#This Row],[GMT Sun Rise]],4)</f>
        <v>274.51263204079015</v>
      </c>
      <c r="T246" s="124">
        <f ca="1">Planet(P[[#This Row],[GMT Sun Rise]],2)</f>
        <v>110.36674115084028</v>
      </c>
      <c r="U246" s="124">
        <f ca="1">Planet(P[[#This Row],[GMT Sun Rise]],5)</f>
        <v>202.27049886135694</v>
      </c>
      <c r="V246" s="124">
        <f ca="1">Planet(P[[#This Row],[GMT Sun Rise]],3)</f>
        <v>174.23619854100528</v>
      </c>
      <c r="W246" s="124">
        <f ca="1">Planet(P[[#This Row],[GMT Sun Rise]],6)</f>
        <v>248.533896296937</v>
      </c>
      <c r="X246" s="124">
        <f ca="1">Planet(P[[#This Row],[GMT Sun Rise]],10)</f>
        <v>100.231271482351</v>
      </c>
      <c r="Y246" s="124">
        <f ca="1">SIGN(S247-P[[#This Row],[MARs]])</f>
        <v>-1</v>
      </c>
    </row>
    <row r="247" spans="1:25" x14ac:dyDescent="0.2">
      <c r="A247" s="125">
        <f t="shared" ca="1" si="40"/>
        <v>43339</v>
      </c>
      <c r="B247" s="125">
        <f t="shared" ca="1" si="33"/>
        <v>43339.229166666664</v>
      </c>
      <c r="C247" s="127">
        <f t="shared" ca="1" si="34"/>
        <v>43339.249219622616</v>
      </c>
      <c r="D247" s="127">
        <f t="shared" ca="1" si="35"/>
        <v>43338.766672114885</v>
      </c>
      <c r="E247" s="189">
        <f ca="1">P[[#This Row],[SunRise]]-TimeZone/24</f>
        <v>43339.020052955952</v>
      </c>
      <c r="F247" s="190">
        <f t="shared" ca="1" si="36"/>
        <v>129.59535743408421</v>
      </c>
      <c r="G247" s="190">
        <f t="shared" ca="1" si="37"/>
        <v>315.40708900531786</v>
      </c>
      <c r="H247" s="191">
        <f t="shared" ca="1" si="38"/>
        <v>43339.020052955952</v>
      </c>
      <c r="I247" s="124" t="str">
        <f ca="1">naks(P[[#This Row],[Moon]])</f>
        <v>Satabhisaj</v>
      </c>
      <c r="J247" s="127">
        <f ca="1">(C248-P[[#This Row],[SunRise]])/(G248-P[[#This Row],[Moon]])*(13.3333333333333-MOD(P[[#This Row],[Moon]],13.333333333333))+P[[#This Row],[SunRise]]</f>
        <v>43339.625740525029</v>
      </c>
      <c r="K247" s="124" t="str">
        <f ca="1">IF(P[[#This Row],[Tithi]]&gt;15,"K","S")&amp;ROUNDUP(MOD(P[[#This Row],[Tithi]],15),0)&amp;" ("&amp;ROUND(P[[#This Row],[Tithi]],2)&amp;")"</f>
        <v>K1 (15.48)</v>
      </c>
      <c r="L247" s="124">
        <f ca="1">IF(AND(P[[#This Row],[Tithi]]&lt;28.5,P[[#This Row],[Tithi]]&gt;0.49999),MOD((P[[#This Row],[Tithi]]-0.5)*2,7),MOD((P[[#This Row],[Tithi]]+30-28.5),30)*2+7)</f>
        <v>1.9687999999999981</v>
      </c>
      <c r="M247" s="124" t="str">
        <f ca="1">CHOOSE(ROUNDUP(P[[#This Row],[Karana1]],0),"Bhava","Baalava","Kaulava","Taitula","Garija","Vanija","Vishti","Shakuni","Chatushapda","Naaga","Kimstugna")</f>
        <v>Baalava</v>
      </c>
      <c r="N24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(6.38)</v>
      </c>
      <c r="O247" s="124">
        <f ca="1">IF(AND(P[[#This Row],[Tithi]]&lt;28.5,P[[#This Row],[Tithi]]&gt;0.49999),MOD((P[[#This Row],[Tithi]]-0.5)*2,7),MOD((P[[#This Row],[Tithi]]+30-28.5),30)*2+7)</f>
        <v>1.9687999999999981</v>
      </c>
      <c r="P247" s="124">
        <f ca="1">ROUNDUP(MOD(360+P[[#This Row],[Moon]]-P[[#This Row],[Sun]],360)/12,4)</f>
        <v>15.484399999999999</v>
      </c>
      <c r="Q247" s="124">
        <f t="shared" ca="1" si="39"/>
        <v>6.38</v>
      </c>
      <c r="R247" s="124" t="str">
        <f ca="1">SIGN(S248-P[[#This Row],[MARs]])*INT(P[[#This Row],[MARs]]/30+1)&amp;"Ma,"&amp;SIGN(T248-P[[#This Row],[Merc]])*INT(P[[#This Row],[Merc]]/30+1)&amp;"Me,"&amp;SIGN(U248-P[[#This Row],[Jup]])*INT(P[[#This Row],[Jup]]/30+1)&amp;"Ju,"&amp;SIGN(V248-P[[#This Row],[Venu]])*INT(P[[#This Row],[Venu]]/30+1)&amp;"Ve,"&amp;SIGN(W248-P[[#This Row],[Sat]])*INT(P[[#This Row],[Sat]]/30+1)&amp;"Sa,"&amp;INT(P[[#This Row],[Rah]]/30+1)&amp;"Ra"</f>
        <v>-10Ma,4Me,7Ju,6Ve,-9Sa,4Ra</v>
      </c>
      <c r="S247" s="124">
        <f ca="1">Planet(P[[#This Row],[GMT Sun Rise]],4)</f>
        <v>274.49814019516242</v>
      </c>
      <c r="T247" s="124">
        <f ca="1">Planet(P[[#This Row],[GMT Sun Rise]],2)</f>
        <v>111.28533011288086</v>
      </c>
      <c r="U247" s="124">
        <f ca="1">Planet(P[[#This Row],[GMT Sun Rise]],5)</f>
        <v>202.395931025858</v>
      </c>
      <c r="V247" s="124">
        <f ca="1">Planet(P[[#This Row],[GMT Sun Rise]],3)</f>
        <v>175.122418503863</v>
      </c>
      <c r="W247" s="124">
        <f ca="1">Planet(P[[#This Row],[GMT Sun Rise]],6)</f>
        <v>248.516347932245</v>
      </c>
      <c r="X247" s="124">
        <f ca="1">Planet(P[[#This Row],[GMT Sun Rise]],10)</f>
        <v>100.1782771014184</v>
      </c>
      <c r="Y247" s="124">
        <f ca="1">SIGN(S248-P[[#This Row],[MARs]])</f>
        <v>-1</v>
      </c>
    </row>
    <row r="248" spans="1:25" x14ac:dyDescent="0.2">
      <c r="A248" s="125">
        <f t="shared" ca="1" si="40"/>
        <v>43340</v>
      </c>
      <c r="B248" s="125">
        <f t="shared" ca="1" si="33"/>
        <v>43340.229166666664</v>
      </c>
      <c r="C248" s="127">
        <f t="shared" ca="1" si="34"/>
        <v>43340.249261425495</v>
      </c>
      <c r="D248" s="127">
        <f t="shared" ca="1" si="35"/>
        <v>43339.766228656328</v>
      </c>
      <c r="E248" s="189">
        <f ca="1">P[[#This Row],[SunRise]]-TimeZone/24</f>
        <v>43340.020094758831</v>
      </c>
      <c r="F248" s="190">
        <f t="shared" ca="1" si="36"/>
        <v>130.56042225161886</v>
      </c>
      <c r="G248" s="190">
        <f t="shared" ca="1" si="37"/>
        <v>327.60588849320499</v>
      </c>
      <c r="H248" s="191">
        <f t="shared" ca="1" si="38"/>
        <v>43340.020094758831</v>
      </c>
      <c r="I248" s="124" t="str">
        <f ca="1">naks(P[[#This Row],[Moon]])</f>
        <v>Purva Bhadrapada</v>
      </c>
      <c r="J248" s="127">
        <f ca="1">(C249-P[[#This Row],[SunRise]])/(G249-P[[#This Row],[Moon]])*(13.3333333333333-MOD(P[[#This Row],[Moon]],13.333333333333))+P[[#This Row],[SunRise]]</f>
        <v>43340.712118690171</v>
      </c>
      <c r="K248" s="124" t="str">
        <f ca="1">IF(P[[#This Row],[Tithi]]&gt;15,"K","S")&amp;ROUNDUP(MOD(P[[#This Row],[Tithi]],15),0)&amp;" ("&amp;ROUND(P[[#This Row],[Tithi]],2)&amp;")"</f>
        <v>K2 (16.42)</v>
      </c>
      <c r="L248" s="124">
        <f ca="1">IF(AND(P[[#This Row],[Tithi]]&lt;28.5,P[[#This Row],[Tithi]]&gt;0.49999),MOD((P[[#This Row],[Tithi]]-0.5)*2,7),MOD((P[[#This Row],[Tithi]]+30-28.5),30)*2+7)</f>
        <v>3.8410000000000011</v>
      </c>
      <c r="M248" s="124" t="str">
        <f ca="1">CHOOSE(ROUNDUP(P[[#This Row],[Karana1]],0),"Bhava","Baalava","Kaulava","Taitula","Garija","Vanija","Vishti","Shakuni","Chatushapda","Naaga","Kimstugna")</f>
        <v>Taitula</v>
      </c>
      <c r="N24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(7.37)</v>
      </c>
      <c r="O248" s="124">
        <f ca="1">IF(AND(P[[#This Row],[Tithi]]&lt;28.5,P[[#This Row],[Tithi]]&gt;0.49999),MOD((P[[#This Row],[Tithi]]-0.5)*2,7),MOD((P[[#This Row],[Tithi]]+30-28.5),30)*2+7)</f>
        <v>3.8410000000000011</v>
      </c>
      <c r="P248" s="124">
        <f ca="1">ROUNDUP(MOD(360+P[[#This Row],[Moon]]-P[[#This Row],[Sun]],360)/12,4)</f>
        <v>16.420500000000001</v>
      </c>
      <c r="Q248" s="124">
        <f t="shared" ca="1" si="39"/>
        <v>7.37</v>
      </c>
      <c r="R248" s="124" t="str">
        <f ca="1">SIGN(S249-P[[#This Row],[MARs]])*INT(P[[#This Row],[MARs]]/30+1)&amp;"Ma,"&amp;SIGN(T249-P[[#This Row],[Merc]])*INT(P[[#This Row],[Merc]]/30+1)&amp;"Me,"&amp;SIGN(U249-P[[#This Row],[Jup]])*INT(P[[#This Row],[Jup]]/30+1)&amp;"Ju,"&amp;SIGN(V249-P[[#This Row],[Venu]])*INT(P[[#This Row],[Venu]]/30+1)&amp;"Ve,"&amp;SIGN(W249-P[[#This Row],[Sat]])*INT(P[[#This Row],[Sat]]/30+1)&amp;"Sa,"&amp;INT(P[[#This Row],[Rah]]/30+1)&amp;"Ra"</f>
        <v>10Ma,4Me,7Ju,6Ve,-9Sa,4Ra</v>
      </c>
      <c r="S248" s="124">
        <f ca="1">Planet(P[[#This Row],[GMT Sun Rise]],4)</f>
        <v>274.49723207034782</v>
      </c>
      <c r="T248" s="124">
        <f ca="1">Planet(P[[#This Row],[GMT Sun Rise]],2)</f>
        <v>112.31917475998031</v>
      </c>
      <c r="U248" s="124">
        <f ca="1">Planet(P[[#This Row],[GMT Sun Rise]],5)</f>
        <v>202.52350328652335</v>
      </c>
      <c r="V248" s="124">
        <f ca="1">Planet(P[[#This Row],[GMT Sun Rise]],3)</f>
        <v>175.99889898881858</v>
      </c>
      <c r="W248" s="124">
        <f ca="1">Planet(P[[#This Row],[GMT Sun Rise]],6)</f>
        <v>248.50036430636109</v>
      </c>
      <c r="X248" s="124">
        <f ca="1">Planet(P[[#This Row],[GMT Sun Rise]],10)</f>
        <v>100.12528288892683</v>
      </c>
      <c r="Y248" s="124">
        <f ca="1">SIGN(S249-P[[#This Row],[MARs]])</f>
        <v>1</v>
      </c>
    </row>
    <row r="249" spans="1:25" x14ac:dyDescent="0.2">
      <c r="A249" s="125">
        <f t="shared" ca="1" si="40"/>
        <v>43341</v>
      </c>
      <c r="B249" s="125">
        <f t="shared" ca="1" si="33"/>
        <v>43341.229166666664</v>
      </c>
      <c r="C249" s="127">
        <f t="shared" ca="1" si="34"/>
        <v>43341.249300049305</v>
      </c>
      <c r="D249" s="127">
        <f t="shared" ca="1" si="35"/>
        <v>43340.765779634516</v>
      </c>
      <c r="E249" s="189">
        <f ca="1">P[[#This Row],[SunRise]]-TimeZone/24</f>
        <v>43341.020133382641</v>
      </c>
      <c r="F249" s="190">
        <f t="shared" ca="1" si="36"/>
        <v>131.52593510234269</v>
      </c>
      <c r="G249" s="190">
        <f t="shared" ca="1" si="37"/>
        <v>339.98047239403053</v>
      </c>
      <c r="H249" s="191">
        <f t="shared" ca="1" si="38"/>
        <v>43341.020133382641</v>
      </c>
      <c r="I249" s="124" t="str">
        <f ca="1">naks(P[[#This Row],[Moon]])</f>
        <v>Uttara Bhadrapada</v>
      </c>
      <c r="J249" s="127">
        <f ca="1">(C250-P[[#This Row],[SunRise]])/(G250-P[[#This Row],[Moon]])*(13.3333333333333-MOD(P[[#This Row],[Moon]],13.333333333333))+P[[#This Row],[SunRise]]</f>
        <v>43341.781174105992</v>
      </c>
      <c r="K249" s="124" t="str">
        <f ca="1">IF(P[[#This Row],[Tithi]]&gt;15,"K","S")&amp;ROUNDUP(MOD(P[[#This Row],[Tithi]],15),0)&amp;" ("&amp;ROUND(P[[#This Row],[Tithi]],2)&amp;")"</f>
        <v>K3 (17.37)</v>
      </c>
      <c r="L249" s="124">
        <f ca="1">IF(AND(P[[#This Row],[Tithi]]&lt;28.5,P[[#This Row],[Tithi]]&gt;0.49999),MOD((P[[#This Row],[Tithi]]-0.5)*2,7),MOD((P[[#This Row],[Tithi]]+30-28.5),30)*2+7)</f>
        <v>5.742600000000003</v>
      </c>
      <c r="M249" s="124" t="str">
        <f ca="1">CHOOSE(ROUNDUP(P[[#This Row],[Karana1]],0),"Bhava","Baalava","Kaulava","Taitula","Garija","Vanija","Vishti","Shakuni","Chatushapda","Naaga","Kimstugna")</f>
        <v>Vanija</v>
      </c>
      <c r="N24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(8.37)</v>
      </c>
      <c r="O249" s="124">
        <f ca="1">IF(AND(P[[#This Row],[Tithi]]&lt;28.5,P[[#This Row],[Tithi]]&gt;0.49999),MOD((P[[#This Row],[Tithi]]-0.5)*2,7),MOD((P[[#This Row],[Tithi]]+30-28.5),30)*2+7)</f>
        <v>5.742600000000003</v>
      </c>
      <c r="P249" s="124">
        <f ca="1">ROUNDUP(MOD(360+P[[#This Row],[Moon]]-P[[#This Row],[Sun]],360)/12,4)</f>
        <v>17.371300000000002</v>
      </c>
      <c r="Q249" s="124">
        <f t="shared" ca="1" si="39"/>
        <v>8.3699999999999992</v>
      </c>
      <c r="R249" s="124" t="str">
        <f ca="1">SIGN(S250-P[[#This Row],[MARs]])*INT(P[[#This Row],[MARs]]/30+1)&amp;"Ma,"&amp;SIGN(T250-P[[#This Row],[Merc]])*INT(P[[#This Row],[Merc]]/30+1)&amp;"Me,"&amp;SIGN(U250-P[[#This Row],[Jup]])*INT(P[[#This Row],[Jup]]/30+1)&amp;"Ju,"&amp;SIGN(V250-P[[#This Row],[Venu]])*INT(P[[#This Row],[Venu]]/30+1)&amp;"Ve,"&amp;SIGN(W250-P[[#This Row],[Sat]])*INT(P[[#This Row],[Sat]]/30+1)&amp;"Sa,"&amp;INT(P[[#This Row],[Rah]]/30+1)&amp;"Ra"</f>
        <v>10Ma,4Me,7Ju,6Ve,-9Sa,4Ra</v>
      </c>
      <c r="S249" s="124">
        <f ca="1">Planet(P[[#This Row],[GMT Sun Rise]],4)</f>
        <v>274.50989071115174</v>
      </c>
      <c r="T249" s="124">
        <f ca="1">Planet(P[[#This Row],[GMT Sun Rise]],2)</f>
        <v>113.46297389213896</v>
      </c>
      <c r="U249" s="124">
        <f ca="1">Planet(P[[#This Row],[GMT Sun Rise]],5)</f>
        <v>202.65319176085924</v>
      </c>
      <c r="V249" s="124">
        <f ca="1">Planet(P[[#This Row],[GMT Sun Rise]],3)</f>
        <v>176.86530057947024</v>
      </c>
      <c r="W249" s="124">
        <f ca="1">Planet(P[[#This Row],[GMT Sun Rise]],6)</f>
        <v>248.48595282479488</v>
      </c>
      <c r="X249" s="124">
        <f ca="1">Planet(P[[#This Row],[GMT Sun Rise]],10)</f>
        <v>100.07228884489285</v>
      </c>
      <c r="Y249" s="124">
        <f ca="1">SIGN(S250-P[[#This Row],[MARs]])</f>
        <v>1</v>
      </c>
    </row>
    <row r="250" spans="1:25" x14ac:dyDescent="0.2">
      <c r="A250" s="125">
        <f t="shared" ca="1" si="40"/>
        <v>43342</v>
      </c>
      <c r="B250" s="125">
        <f t="shared" ca="1" si="33"/>
        <v>43342.229166666664</v>
      </c>
      <c r="C250" s="127">
        <f t="shared" ca="1" si="34"/>
        <v>43342.249335970882</v>
      </c>
      <c r="D250" s="127">
        <f t="shared" ca="1" si="35"/>
        <v>43341.765325526751</v>
      </c>
      <c r="E250" s="189">
        <f ca="1">P[[#This Row],[SunRise]]-TimeZone/24</f>
        <v>43342.020169304218</v>
      </c>
      <c r="F250" s="190">
        <f t="shared" ca="1" si="36"/>
        <v>132.49191677941567</v>
      </c>
      <c r="G250" s="190">
        <f t="shared" ca="1" si="37"/>
        <v>352.55193431666908</v>
      </c>
      <c r="H250" s="191">
        <f t="shared" ca="1" si="38"/>
        <v>43342.020169304218</v>
      </c>
      <c r="I250" s="124" t="str">
        <f ca="1">naks(P[[#This Row],[Moon]])</f>
        <v>Revati</v>
      </c>
      <c r="J250" s="127">
        <f ca="1">(C251-P[[#This Row],[SunRise]])/(G251-P[[#This Row],[Moon]])*(13.3333333333333-MOD(P[[#This Row],[Moon]],13.333333333333))+P[[#This Row],[SunRise]]</f>
        <v>43342.22788414493</v>
      </c>
      <c r="K250" s="124" t="str">
        <f ca="1">IF(P[[#This Row],[Tithi]]&gt;15,"K","S")&amp;ROUNDUP(MOD(P[[#This Row],[Tithi]],15),0)&amp;" ("&amp;ROUND(P[[#This Row],[Tithi]],2)&amp;")"</f>
        <v>K4 (18.34)</v>
      </c>
      <c r="L250" s="124">
        <f ca="1">IF(AND(P[[#This Row],[Tithi]]&lt;28.5,P[[#This Row],[Tithi]]&gt;0.49999),MOD((P[[#This Row],[Tithi]]-0.5)*2,7),MOD((P[[#This Row],[Tithi]]+30-28.5),30)*2+7)</f>
        <v>0.67680000000000007</v>
      </c>
      <c r="M250" s="124" t="str">
        <f ca="1">CHOOSE(ROUNDUP(P[[#This Row],[Karana1]],0),"Bhava","Baalava","Kaulava","Taitula","Garija","Vanija","Vishti","Shakuni","Chatushapda","Naaga","Kimstugna")</f>
        <v>Bhava</v>
      </c>
      <c r="N25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(9.38)</v>
      </c>
      <c r="O250" s="124">
        <f ca="1">IF(AND(P[[#This Row],[Tithi]]&lt;28.5,P[[#This Row],[Tithi]]&gt;0.49999),MOD((P[[#This Row],[Tithi]]-0.5)*2,7),MOD((P[[#This Row],[Tithi]]+30-28.5),30)*2+7)</f>
        <v>0.67680000000000007</v>
      </c>
      <c r="P250" s="124">
        <f ca="1">ROUNDUP(MOD(360+P[[#This Row],[Moon]]-P[[#This Row],[Sun]],360)/12,4)</f>
        <v>18.3384</v>
      </c>
      <c r="Q250" s="124">
        <f t="shared" ca="1" si="39"/>
        <v>9.379999999999999</v>
      </c>
      <c r="R250" s="124" t="str">
        <f ca="1">SIGN(S251-P[[#This Row],[MARs]])*INT(P[[#This Row],[MARs]]/30+1)&amp;"Ma,"&amp;SIGN(T251-P[[#This Row],[Merc]])*INT(P[[#This Row],[Merc]]/30+1)&amp;"Me,"&amp;SIGN(U251-P[[#This Row],[Jup]])*INT(P[[#This Row],[Jup]]/30+1)&amp;"Ju,"&amp;SIGN(V251-P[[#This Row],[Venu]])*INT(P[[#This Row],[Venu]]/30+1)&amp;"Ve,"&amp;SIGN(W251-P[[#This Row],[Sat]])*INT(P[[#This Row],[Sat]]/30+1)&amp;"Sa,"&amp;INT(P[[#This Row],[Rah]]/30+1)&amp;"Ra"</f>
        <v>10Ma,4Me,7Ju,6Ve,-9Sa,4Ra</v>
      </c>
      <c r="S250" s="124">
        <f ca="1">Planet(P[[#This Row],[GMT Sun Rise]],4)</f>
        <v>274.53608401102281</v>
      </c>
      <c r="T250" s="124">
        <f ca="1">Planet(P[[#This Row],[GMT Sun Rise]],2)</f>
        <v>114.71065720788131</v>
      </c>
      <c r="U250" s="124">
        <f ca="1">Planet(P[[#This Row],[GMT Sun Rise]],5)</f>
        <v>202.78497320162518</v>
      </c>
      <c r="V250" s="124">
        <f ca="1">Planet(P[[#This Row],[GMT Sun Rise]],3)</f>
        <v>177.72127238850186</v>
      </c>
      <c r="W250" s="124">
        <f ca="1">Planet(P[[#This Row],[GMT Sun Rise]],6)</f>
        <v>248.47312066267091</v>
      </c>
      <c r="X250" s="124">
        <f ca="1">Planet(P[[#This Row],[GMT Sun Rise]],10)</f>
        <v>100.01929494404907</v>
      </c>
      <c r="Y250" s="124">
        <f ca="1">SIGN(S251-P[[#This Row],[MARs]])</f>
        <v>1</v>
      </c>
    </row>
    <row r="251" spans="1:25" x14ac:dyDescent="0.2">
      <c r="A251" s="125">
        <f t="shared" ca="1" si="40"/>
        <v>43343</v>
      </c>
      <c r="B251" s="125">
        <f t="shared" ca="1" si="33"/>
        <v>43343.229166666664</v>
      </c>
      <c r="C251" s="127">
        <f t="shared" ca="1" si="34"/>
        <v>43343.249369190693</v>
      </c>
      <c r="D251" s="127">
        <f t="shared" ca="1" si="35"/>
        <v>43342.764866332567</v>
      </c>
      <c r="E251" s="189">
        <f ca="1">P[[#This Row],[SunRise]]-TimeZone/24</f>
        <v>43343.020202524029</v>
      </c>
      <c r="F251" s="190">
        <f t="shared" ca="1" si="36"/>
        <v>133.45838669864452</v>
      </c>
      <c r="G251" s="190">
        <f t="shared" ca="1" si="37"/>
        <v>5.3407867256581811</v>
      </c>
      <c r="H251" s="191">
        <f t="shared" ca="1" si="38"/>
        <v>43343.020202524029</v>
      </c>
      <c r="I251" s="124" t="str">
        <f ca="1">naks(P[[#This Row],[Moon]])</f>
        <v>Aswini</v>
      </c>
      <c r="J251" s="127">
        <f ca="1">(C252-P[[#This Row],[SunRise]])/(G252-P[[#This Row],[Moon]])*(13.3333333333333-MOD(P[[#This Row],[Moon]],13.333333333333))+P[[#This Row],[SunRise]]</f>
        <v>43343.86289707118</v>
      </c>
      <c r="K251" s="124" t="str">
        <f ca="1">IF(P[[#This Row],[Tithi]]&gt;15,"K","S")&amp;ROUNDUP(MOD(P[[#This Row],[Tithi]],15),0)&amp;" ("&amp;ROUND(P[[#This Row],[Tithi]],2)&amp;")"</f>
        <v>K5 (19.32)</v>
      </c>
      <c r="L251" s="124">
        <f ca="1">IF(AND(P[[#This Row],[Tithi]]&lt;28.5,P[[#This Row],[Tithi]]&gt;0.49999),MOD((P[[#This Row],[Tithi]]-0.5)*2,7),MOD((P[[#This Row],[Tithi]]+30-28.5),30)*2+7)</f>
        <v>2.647199999999998</v>
      </c>
      <c r="M251" s="124" t="str">
        <f ca="1">CHOOSE(ROUNDUP(P[[#This Row],[Karana1]],0),"Bhava","Baalava","Kaulava","Taitula","Garija","Vanija","Vishti","Shakuni","Chatushapda","Naaga","Kimstugna")</f>
        <v>Kaulava</v>
      </c>
      <c r="N25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(10.41)</v>
      </c>
      <c r="O251" s="124">
        <f ca="1">IF(AND(P[[#This Row],[Tithi]]&lt;28.5,P[[#This Row],[Tithi]]&gt;0.49999),MOD((P[[#This Row],[Tithi]]-0.5)*2,7),MOD((P[[#This Row],[Tithi]]+30-28.5),30)*2+7)</f>
        <v>2.647199999999998</v>
      </c>
      <c r="P251" s="124">
        <f ca="1">ROUNDUP(MOD(360+P[[#This Row],[Moon]]-P[[#This Row],[Sun]],360)/12,4)</f>
        <v>19.323599999999999</v>
      </c>
      <c r="Q251" s="124">
        <f t="shared" ca="1" si="39"/>
        <v>10.41</v>
      </c>
      <c r="R251" s="124" t="str">
        <f ca="1">SIGN(S252-P[[#This Row],[MARs]])*INT(P[[#This Row],[MARs]]/30+1)&amp;"Ma,"&amp;SIGN(T252-P[[#This Row],[Merc]])*INT(P[[#This Row],[Merc]]/30+1)&amp;"Me,"&amp;SIGN(U252-P[[#This Row],[Jup]])*INT(P[[#This Row],[Jup]]/30+1)&amp;"Ju,"&amp;SIGN(V252-P[[#This Row],[Venu]])*INT(P[[#This Row],[Venu]]/30+1)&amp;"Ve,"&amp;SIGN(W252-P[[#This Row],[Sat]])*INT(P[[#This Row],[Sat]]/30+1)&amp;"Sa,"&amp;INT(P[[#This Row],[Rah]]/30+1)&amp;"Ra"</f>
        <v>10Ma,4Me,7Ju,6Ve,-9Sa,4Ra</v>
      </c>
      <c r="S251" s="124">
        <f ca="1">Planet(P[[#This Row],[GMT Sun Rise]],4)</f>
        <v>274.575767404864</v>
      </c>
      <c r="T251" s="124">
        <f ca="1">Planet(P[[#This Row],[GMT Sun Rise]],2)</f>
        <v>116.05546117206153</v>
      </c>
      <c r="U251" s="124">
        <f ca="1">Planet(P[[#This Row],[GMT Sun Rise]],5)</f>
        <v>202.91882482910191</v>
      </c>
      <c r="V251" s="124">
        <f ca="1">Planet(P[[#This Row],[GMT Sun Rise]],3)</f>
        <v>178.56645010968612</v>
      </c>
      <c r="W251" s="124">
        <f ca="1">Planet(P[[#This Row],[GMT Sun Rise]],6)</f>
        <v>248.46187482355737</v>
      </c>
      <c r="X251" s="124">
        <f ca="1">Planet(P[[#This Row],[GMT Sun Rise]],10)</f>
        <v>99.966301186395583</v>
      </c>
      <c r="Y251" s="124">
        <f ca="1">SIGN(S252-P[[#This Row],[MARs]])</f>
        <v>1</v>
      </c>
    </row>
    <row r="252" spans="1:25" x14ac:dyDescent="0.2">
      <c r="A252" s="125">
        <f t="shared" ca="1" si="40"/>
        <v>43344</v>
      </c>
      <c r="B252" s="125">
        <f t="shared" ca="1" si="33"/>
        <v>43344.229166666664</v>
      </c>
      <c r="C252" s="127">
        <f t="shared" ca="1" si="34"/>
        <v>43344.249399867062</v>
      </c>
      <c r="D252" s="127">
        <f t="shared" ca="1" si="35"/>
        <v>43343.764402528803</v>
      </c>
      <c r="E252" s="189">
        <f ca="1">P[[#This Row],[SunRise]]-TimeZone/24</f>
        <v>43344.020233200397</v>
      </c>
      <c r="F252" s="190">
        <f t="shared" ca="1" si="36"/>
        <v>134.42536293497284</v>
      </c>
      <c r="G252" s="190">
        <f t="shared" ca="1" si="37"/>
        <v>18.368380163779118</v>
      </c>
      <c r="H252" s="191">
        <f t="shared" ca="1" si="38"/>
        <v>43344.020233200397</v>
      </c>
      <c r="I252" s="124" t="str">
        <f ca="1">naks(P[[#This Row],[Moon]])</f>
        <v>Bharani</v>
      </c>
      <c r="J252" s="127">
        <f ca="1">(C253-P[[#This Row],[SunRise]])/(G253-P[[#This Row],[Moon]])*(13.3333333333333-MOD(P[[#This Row],[Moon]],13.333333333333))+P[[#This Row],[SunRise]]</f>
        <v>43344.873884500361</v>
      </c>
      <c r="K252" s="124" t="str">
        <f ca="1">IF(P[[#This Row],[Tithi]]&gt;15,"K","S")&amp;ROUNDUP(MOD(P[[#This Row],[Tithi]],15),0)&amp;" ("&amp;ROUND(P[[#This Row],[Tithi]],2)&amp;")"</f>
        <v>K6 (20.33)</v>
      </c>
      <c r="L252" s="124">
        <f ca="1">IF(AND(P[[#This Row],[Tithi]]&lt;28.5,P[[#This Row],[Tithi]]&gt;0.49999),MOD((P[[#This Row],[Tithi]]-0.5)*2,7),MOD((P[[#This Row],[Tithi]]+30-28.5),30)*2+7)</f>
        <v>4.657199999999996</v>
      </c>
      <c r="M252" s="124" t="str">
        <f ca="1">CHOOSE(ROUNDUP(P[[#This Row],[Karana1]],0),"Bhava","Baalava","Kaulava","Taitula","Garija","Vanija","Vishti","Shakuni","Chatushapda","Naaga","Kimstugna")</f>
        <v>Garija</v>
      </c>
      <c r="N25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(11.46)</v>
      </c>
      <c r="O252" s="124">
        <f ca="1">IF(AND(P[[#This Row],[Tithi]]&lt;28.5,P[[#This Row],[Tithi]]&gt;0.49999),MOD((P[[#This Row],[Tithi]]-0.5)*2,7),MOD((P[[#This Row],[Tithi]]+30-28.5),30)*2+7)</f>
        <v>4.657199999999996</v>
      </c>
      <c r="P252" s="124">
        <f ca="1">ROUNDUP(MOD(360+P[[#This Row],[Moon]]-P[[#This Row],[Sun]],360)/12,4)</f>
        <v>20.328599999999998</v>
      </c>
      <c r="Q252" s="124">
        <f t="shared" ca="1" si="39"/>
        <v>11.459999999999999</v>
      </c>
      <c r="R252" s="124" t="str">
        <f ca="1">SIGN(S253-P[[#This Row],[MARs]])*INT(P[[#This Row],[MARs]]/30+1)&amp;"Ma,"&amp;SIGN(T253-P[[#This Row],[Merc]])*INT(P[[#This Row],[Merc]]/30+1)&amp;"Me,"&amp;SIGN(U253-P[[#This Row],[Jup]])*INT(P[[#This Row],[Jup]]/30+1)&amp;"Ju,"&amp;SIGN(V253-P[[#This Row],[Venu]])*INT(P[[#This Row],[Venu]]/30+1)&amp;"Ve,"&amp;SIGN(W253-P[[#This Row],[Sat]])*INT(P[[#This Row],[Sat]]/30+1)&amp;"Sa,"&amp;INT(P[[#This Row],[Rah]]/30+1)&amp;"Ra"</f>
        <v>10Ma,4Me,7Ju,6Ve,-9Sa,4Ra</v>
      </c>
      <c r="S252" s="124">
        <f ca="1">Planet(P[[#This Row],[GMT Sun Rise]],4)</f>
        <v>274.6288861441285</v>
      </c>
      <c r="T252" s="124">
        <f ca="1">Planet(P[[#This Row],[GMT Sun Rise]],2)</f>
        <v>117.4900245647102</v>
      </c>
      <c r="U252" s="124">
        <f ca="1">Planet(P[[#This Row],[GMT Sun Rise]],5)</f>
        <v>203.05472433920173</v>
      </c>
      <c r="V252" s="124">
        <f ca="1">Planet(P[[#This Row],[GMT Sun Rise]],3)</f>
        <v>179.40045522062962</v>
      </c>
      <c r="W252" s="124">
        <f ca="1">Planet(P[[#This Row],[GMT Sun Rise]],6)</f>
        <v>248.45222215715407</v>
      </c>
      <c r="X252" s="124">
        <f ca="1">Planet(P[[#This Row],[GMT Sun Rise]],10)</f>
        <v>99.913307563531873</v>
      </c>
      <c r="Y252" s="124">
        <f ca="1">SIGN(S253-P[[#This Row],[MARs]])</f>
        <v>1</v>
      </c>
    </row>
    <row r="253" spans="1:25" x14ac:dyDescent="0.2">
      <c r="A253" s="125">
        <f t="shared" ca="1" si="40"/>
        <v>43345</v>
      </c>
      <c r="B253" s="125">
        <f t="shared" ca="1" si="33"/>
        <v>43345.229166666664</v>
      </c>
      <c r="C253" s="127">
        <f t="shared" ca="1" si="34"/>
        <v>43345.249428318501</v>
      </c>
      <c r="D253" s="127">
        <f t="shared" ca="1" si="35"/>
        <v>43344.763934274713</v>
      </c>
      <c r="E253" s="189">
        <f ca="1">P[[#This Row],[SunRise]]-TimeZone/24</f>
        <v>43345.020261651836</v>
      </c>
      <c r="F253" s="190">
        <f t="shared" ca="1" si="36"/>
        <v>135.39286168255106</v>
      </c>
      <c r="G253" s="190">
        <f t="shared" ca="1" si="37"/>
        <v>31.656973923413069</v>
      </c>
      <c r="H253" s="191">
        <f t="shared" ca="1" si="38"/>
        <v>43345.020261651836</v>
      </c>
      <c r="I253" s="124" t="str">
        <f ca="1">naks(P[[#This Row],[Moon]])</f>
        <v>Krittika</v>
      </c>
      <c r="J253" s="127">
        <f ca="1">(C254-P[[#This Row],[SunRise]])/(G254-P[[#This Row],[Moon]])*(13.3333333333333-MOD(P[[#This Row],[Moon]],13.333333333333))+P[[#This Row],[SunRise]]</f>
        <v>43345.864228685517</v>
      </c>
      <c r="K253" s="124" t="str">
        <f ca="1">IF(P[[#This Row],[Tithi]]&gt;15,"K","S")&amp;ROUNDUP(MOD(P[[#This Row],[Tithi]],15),0)&amp;" ("&amp;ROUND(P[[#This Row],[Tithi]],2)&amp;")"</f>
        <v>K7 (21.36)</v>
      </c>
      <c r="L253" s="124">
        <f ca="1">IF(AND(P[[#This Row],[Tithi]]&lt;28.5,P[[#This Row],[Tithi]]&gt;0.49999),MOD((P[[#This Row],[Tithi]]-0.5)*2,7),MOD((P[[#This Row],[Tithi]]+30-28.5),30)*2+7)</f>
        <v>6.710799999999999</v>
      </c>
      <c r="M253" s="124" t="str">
        <f ca="1">CHOOSE(ROUNDUP(P[[#This Row],[Karana1]],0),"Bhava","Baalava","Kaulava","Taitula","Garija","Vanija","Vishti","Shakuni","Chatushapda","Naaga","Kimstugna")</f>
        <v>Vishti</v>
      </c>
      <c r="N25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(12.53)</v>
      </c>
      <c r="O253" s="124">
        <f ca="1">IF(AND(P[[#This Row],[Tithi]]&lt;28.5,P[[#This Row],[Tithi]]&gt;0.49999),MOD((P[[#This Row],[Tithi]]-0.5)*2,7),MOD((P[[#This Row],[Tithi]]+30-28.5),30)*2+7)</f>
        <v>6.710799999999999</v>
      </c>
      <c r="P253" s="124">
        <f ca="1">ROUNDUP(MOD(360+P[[#This Row],[Moon]]-P[[#This Row],[Sun]],360)/12,4)</f>
        <v>21.355399999999999</v>
      </c>
      <c r="Q253" s="124">
        <f t="shared" ca="1" si="39"/>
        <v>12.53</v>
      </c>
      <c r="R253" s="124" t="str">
        <f ca="1">SIGN(S254-P[[#This Row],[MARs]])*INT(P[[#This Row],[MARs]]/30+1)&amp;"Ma,"&amp;SIGN(T254-P[[#This Row],[Merc]])*INT(P[[#This Row],[Merc]]/30+1)&amp;"Me,"&amp;SIGN(U254-P[[#This Row],[Jup]])*INT(P[[#This Row],[Jup]]/30+1)&amp;"Ju,"&amp;SIGN(V254-P[[#This Row],[Venu]])*INT(P[[#This Row],[Venu]]/30+1)&amp;"Ve,"&amp;SIGN(W254-P[[#This Row],[Sat]])*INT(P[[#This Row],[Sat]]/30+1)&amp;"Sa,"&amp;INT(P[[#This Row],[Rah]]/30+1)&amp;"Ra"</f>
        <v>10Ma,4Me,7Ju,7Ve,-9Sa,4Ra</v>
      </c>
      <c r="S253" s="124">
        <f ca="1">Planet(P[[#This Row],[GMT Sun Rise]],4)</f>
        <v>274.69537717520029</v>
      </c>
      <c r="T253" s="124">
        <f ca="1">Planet(P[[#This Row],[GMT Sun Rise]],2)</f>
        <v>119.00650423232624</v>
      </c>
      <c r="U253" s="124">
        <f ca="1">Planet(P[[#This Row],[GMT Sun Rise]],5)</f>
        <v>203.19264980911461</v>
      </c>
      <c r="V253" s="124">
        <f ca="1">Planet(P[[#This Row],[GMT Sun Rise]],3)</f>
        <v>180.22289347273741</v>
      </c>
      <c r="W253" s="124">
        <f ca="1">Planet(P[[#This Row],[GMT Sun Rise]],6)</f>
        <v>248.44416936765646</v>
      </c>
      <c r="X253" s="124">
        <f ca="1">Planet(P[[#This Row],[GMT Sun Rise]],10)</f>
        <v>99.860314058574332</v>
      </c>
      <c r="Y253" s="124">
        <f ca="1">SIGN(S254-P[[#This Row],[MARs]])</f>
        <v>1</v>
      </c>
    </row>
    <row r="254" spans="1:25" x14ac:dyDescent="0.2">
      <c r="A254" s="125">
        <f t="shared" ca="1" si="40"/>
        <v>43346</v>
      </c>
      <c r="B254" s="125">
        <f t="shared" ca="1" si="33"/>
        <v>43346.229166666664</v>
      </c>
      <c r="C254" s="127">
        <f t="shared" ca="1" si="34"/>
        <v>43346.249454385754</v>
      </c>
      <c r="D254" s="127">
        <f t="shared" ca="1" si="35"/>
        <v>43345.763462047136</v>
      </c>
      <c r="E254" s="189">
        <f ca="1">P[[#This Row],[SunRise]]-TimeZone/24</f>
        <v>43346.02028771909</v>
      </c>
      <c r="F254" s="190">
        <f t="shared" ca="1" si="36"/>
        <v>136.36089608241454</v>
      </c>
      <c r="G254" s="190">
        <f t="shared" ca="1" si="37"/>
        <v>45.227628730935244</v>
      </c>
      <c r="H254" s="191">
        <f t="shared" ca="1" si="38"/>
        <v>43346.02028771909</v>
      </c>
      <c r="I254" s="124" t="str">
        <f ca="1">naks(P[[#This Row],[Moon]])</f>
        <v>Rohini</v>
      </c>
      <c r="J254" s="127">
        <f ca="1">(C255-P[[#This Row],[SunRise]])/(G255-P[[#This Row],[Moon]])*(13.3333333333333-MOD(P[[#This Row],[Moon]],13.333333333333))+P[[#This Row],[SunRise]]</f>
        <v>43346.833965182603</v>
      </c>
      <c r="K254" s="124" t="str">
        <f ca="1">IF(P[[#This Row],[Tithi]]&gt;15,"K","S")&amp;ROUNDUP(MOD(P[[#This Row],[Tithi]],15),0)&amp;" ("&amp;ROUND(P[[#This Row],[Tithi]],2)&amp;")"</f>
        <v>K8 (22.41)</v>
      </c>
      <c r="L254" s="124">
        <f ca="1">IF(AND(P[[#This Row],[Tithi]]&lt;28.5,P[[#This Row],[Tithi]]&gt;0.49999),MOD((P[[#This Row],[Tithi]]-0.5)*2,7),MOD((P[[#This Row],[Tithi]]+30-28.5),30)*2+7)</f>
        <v>1.8111999999999995</v>
      </c>
      <c r="M254" s="124" t="str">
        <f ca="1">CHOOSE(ROUNDUP(P[[#This Row],[Karana1]],0),"Bhava","Baalava","Kaulava","Taitula","Garija","Vanija","Vishti","Shakuni","Chatushapda","Naaga","Kimstugna")</f>
        <v>Baalava</v>
      </c>
      <c r="N25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(13.62)</v>
      </c>
      <c r="O254" s="124">
        <f ca="1">IF(AND(P[[#This Row],[Tithi]]&lt;28.5,P[[#This Row],[Tithi]]&gt;0.49999),MOD((P[[#This Row],[Tithi]]-0.5)*2,7),MOD((P[[#This Row],[Tithi]]+30-28.5),30)*2+7)</f>
        <v>1.8111999999999995</v>
      </c>
      <c r="P254" s="124">
        <f ca="1">ROUNDUP(MOD(360+P[[#This Row],[Moon]]-P[[#This Row],[Sun]],360)/12,4)</f>
        <v>22.4056</v>
      </c>
      <c r="Q254" s="124">
        <f t="shared" ca="1" si="39"/>
        <v>13.62</v>
      </c>
      <c r="R254" s="124" t="str">
        <f ca="1">SIGN(S255-P[[#This Row],[MARs]])*INT(P[[#This Row],[MARs]]/30+1)&amp;"Ma,"&amp;SIGN(T255-P[[#This Row],[Merc]])*INT(P[[#This Row],[Merc]]/30+1)&amp;"Me,"&amp;SIGN(U255-P[[#This Row],[Jup]])*INT(P[[#This Row],[Jup]]/30+1)&amp;"Ju,"&amp;SIGN(V255-P[[#This Row],[Venu]])*INT(P[[#This Row],[Venu]]/30+1)&amp;"Ve,"&amp;SIGN(W255-P[[#This Row],[Sat]])*INT(P[[#This Row],[Sat]]/30+1)&amp;"Sa,"&amp;INT(P[[#This Row],[Rah]]/30+1)&amp;"Ra"</f>
        <v>10Ma,5Me,7Ju,7Ve,-9Sa,4Ra</v>
      </c>
      <c r="S254" s="124">
        <f ca="1">Planet(P[[#This Row],[GMT Sun Rise]],4)</f>
        <v>274.77517071749429</v>
      </c>
      <c r="T254" s="124">
        <f ca="1">Planet(P[[#This Row],[GMT Sun Rise]],2)</f>
        <v>120.5967100719801</v>
      </c>
      <c r="U254" s="124">
        <f ca="1">Planet(P[[#This Row],[GMT Sun Rise]],5)</f>
        <v>203.33257950161104</v>
      </c>
      <c r="V254" s="124">
        <f ca="1">Planet(P[[#This Row],[GMT Sun Rise]],3)</f>
        <v>181.03335268658066</v>
      </c>
      <c r="W254" s="124">
        <f ca="1">Planet(P[[#This Row],[GMT Sun Rise]],6)</f>
        <v>248.43772301702589</v>
      </c>
      <c r="X254" s="124">
        <f ca="1">Planet(P[[#This Row],[GMT Sun Rise]],10)</f>
        <v>99.807320679956561</v>
      </c>
      <c r="Y254" s="124">
        <f ca="1">SIGN(S255-P[[#This Row],[MARs]])</f>
        <v>1</v>
      </c>
    </row>
    <row r="255" spans="1:25" x14ac:dyDescent="0.2">
      <c r="A255" s="125">
        <f t="shared" ca="1" si="40"/>
        <v>43347</v>
      </c>
      <c r="B255" s="125">
        <f t="shared" ca="1" si="33"/>
        <v>43347.229166666664</v>
      </c>
      <c r="C255" s="127">
        <f t="shared" ca="1" si="34"/>
        <v>43347.249478704449</v>
      </c>
      <c r="D255" s="127">
        <f t="shared" ca="1" si="35"/>
        <v>43346.762985845606</v>
      </c>
      <c r="E255" s="189">
        <f ca="1">P[[#This Row],[SunRise]]-TimeZone/24</f>
        <v>43347.020312037785</v>
      </c>
      <c r="F255" s="190">
        <f t="shared" ca="1" si="36"/>
        <v>137.32947679026046</v>
      </c>
      <c r="G255" s="190">
        <f t="shared" ca="1" si="37"/>
        <v>59.095467898722156</v>
      </c>
      <c r="H255" s="191">
        <f t="shared" ca="1" si="38"/>
        <v>43347.020312037785</v>
      </c>
      <c r="I255" s="124" t="str">
        <f ca="1">naks(P[[#This Row],[Moon]])</f>
        <v>Mrigashira</v>
      </c>
      <c r="J255" s="127">
        <f ca="1">(C256-P[[#This Row],[SunRise]])/(G256-P[[#This Row],[Moon]])*(13.3333333333333-MOD(P[[#This Row],[Moon]],13.333333333333))+P[[#This Row],[SunRise]]</f>
        <v>43347.7839136658</v>
      </c>
      <c r="K255" s="124" t="str">
        <f ca="1">IF(P[[#This Row],[Tithi]]&gt;15,"K","S")&amp;ROUNDUP(MOD(P[[#This Row],[Tithi]],15),0)&amp;" ("&amp;ROUND(P[[#This Row],[Tithi]],2)&amp;")"</f>
        <v>K9 (23.48)</v>
      </c>
      <c r="L255" s="124">
        <f ca="1">IF(AND(P[[#This Row],[Tithi]]&lt;28.5,P[[#This Row],[Tithi]]&gt;0.49999),MOD((P[[#This Row],[Tithi]]-0.5)*2,7),MOD((P[[#This Row],[Tithi]]+30-28.5),30)*2+7)</f>
        <v>3.9609999999999985</v>
      </c>
      <c r="M255" s="124" t="str">
        <f ca="1">CHOOSE(ROUNDUP(P[[#This Row],[Karana1]],0),"Bhava","Baalava","Kaulava","Taitula","Garija","Vanija","Vishti","Shakuni","Chatushapda","Naaga","Kimstugna")</f>
        <v>Taitula</v>
      </c>
      <c r="N25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(14.74)</v>
      </c>
      <c r="O255" s="124">
        <f ca="1">IF(AND(P[[#This Row],[Tithi]]&lt;28.5,P[[#This Row],[Tithi]]&gt;0.49999),MOD((P[[#This Row],[Tithi]]-0.5)*2,7),MOD((P[[#This Row],[Tithi]]+30-28.5),30)*2+7)</f>
        <v>3.9609999999999985</v>
      </c>
      <c r="P255" s="124">
        <f ca="1">ROUNDUP(MOD(360+P[[#This Row],[Moon]]-P[[#This Row],[Sun]],360)/12,4)</f>
        <v>23.480499999999999</v>
      </c>
      <c r="Q255" s="124">
        <f t="shared" ca="1" si="39"/>
        <v>14.74</v>
      </c>
      <c r="R255" s="124" t="str">
        <f ca="1">SIGN(S256-P[[#This Row],[MARs]])*INT(P[[#This Row],[MARs]]/30+1)&amp;"Ma,"&amp;SIGN(T256-P[[#This Row],[Merc]])*INT(P[[#This Row],[Merc]]/30+1)&amp;"Me,"&amp;SIGN(U256-P[[#This Row],[Jup]])*INT(P[[#This Row],[Jup]]/30+1)&amp;"Ju,"&amp;SIGN(V256-P[[#This Row],[Venu]])*INT(P[[#This Row],[Venu]]/30+1)&amp;"Ve,"&amp;SIGN(W256-P[[#This Row],[Sat]])*INT(P[[#This Row],[Sat]]/30+1)&amp;"Sa,"&amp;INT(P[[#This Row],[Rah]]/30+1)&amp;"Ra"</f>
        <v>10Ma,5Me,7Ju,7Ve,-9Sa,4Ra</v>
      </c>
      <c r="S255" s="124">
        <f ca="1">Planet(P[[#This Row],[GMT Sun Rise]],4)</f>
        <v>274.86819181247262</v>
      </c>
      <c r="T255" s="124">
        <f ca="1">Planet(P[[#This Row],[GMT Sun Rise]],2)</f>
        <v>122.2522589939568</v>
      </c>
      <c r="U255" s="124">
        <f ca="1">Planet(P[[#This Row],[GMT Sun Rise]],5)</f>
        <v>203.47449190477138</v>
      </c>
      <c r="V255" s="124">
        <f ca="1">Planet(P[[#This Row],[GMT Sun Rise]],3)</f>
        <v>181.83140172787742</v>
      </c>
      <c r="W255" s="124">
        <f ca="1">Planet(P[[#This Row],[GMT Sun Rise]],6)</f>
        <v>248.43288949977205</v>
      </c>
      <c r="X255" s="124">
        <f ca="1">Planet(P[[#This Row],[GMT Sun Rise]],10)</f>
        <v>99.754327393977547</v>
      </c>
      <c r="Y255" s="124">
        <f ca="1">SIGN(S256-P[[#This Row],[MARs]])</f>
        <v>1</v>
      </c>
    </row>
    <row r="256" spans="1:25" x14ac:dyDescent="0.2">
      <c r="A256" s="125">
        <f t="shared" ca="1" si="40"/>
        <v>43348</v>
      </c>
      <c r="B256" s="125">
        <f t="shared" ca="1" si="33"/>
        <v>43348.229166666664</v>
      </c>
      <c r="C256" s="127">
        <f t="shared" ca="1" si="34"/>
        <v>43348.249500956539</v>
      </c>
      <c r="D256" s="127">
        <f t="shared" ca="1" si="35"/>
        <v>43347.762505988634</v>
      </c>
      <c r="E256" s="189">
        <f ca="1">P[[#This Row],[SunRise]]-TimeZone/24</f>
        <v>43348.020334289875</v>
      </c>
      <c r="F256" s="190">
        <f t="shared" ca="1" si="36"/>
        <v>138.29860947986154</v>
      </c>
      <c r="G256" s="190">
        <f t="shared" ca="1" si="37"/>
        <v>73.262518691619036</v>
      </c>
      <c r="H256" s="191">
        <f t="shared" ca="1" si="38"/>
        <v>43348.020334289875</v>
      </c>
      <c r="I256" s="124" t="str">
        <f ca="1">naks(P[[#This Row],[Moon]])</f>
        <v>Ardra</v>
      </c>
      <c r="J256" s="127">
        <f ca="1">(C257-P[[#This Row],[SunRise]])/(G257-P[[#This Row],[Moon]])*(13.3333333333333-MOD(P[[#This Row],[Moon]],13.333333333333))+P[[#This Row],[SunRise]]</f>
        <v>43348.715873864356</v>
      </c>
      <c r="K256" s="124" t="str">
        <f ca="1">IF(P[[#This Row],[Tithi]]&gt;15,"K","S")&amp;ROUNDUP(MOD(P[[#This Row],[Tithi]],15),0)&amp;" ("&amp;ROUND(P[[#This Row],[Tithi]],2)&amp;")"</f>
        <v>K10 (24.58)</v>
      </c>
      <c r="L256" s="124">
        <f ca="1">IF(AND(P[[#This Row],[Tithi]]&lt;28.5,P[[#This Row],[Tithi]]&gt;0.49999),MOD((P[[#This Row],[Tithi]]-0.5)*2,7),MOD((P[[#This Row],[Tithi]]+30-28.5),30)*2+7)</f>
        <v>6.1608000000000018</v>
      </c>
      <c r="M256" s="124" t="str">
        <f ca="1">CHOOSE(ROUNDUP(P[[#This Row],[Karana1]],0),"Bhava","Baalava","Kaulava","Taitula","Garija","Vanija","Vishti","Shakuni","Chatushapda","Naaga","Kimstugna")</f>
        <v>Vishti</v>
      </c>
      <c r="N25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(15.87)</v>
      </c>
      <c r="O256" s="124">
        <f ca="1">IF(AND(P[[#This Row],[Tithi]]&lt;28.5,P[[#This Row],[Tithi]]&gt;0.49999),MOD((P[[#This Row],[Tithi]]-0.5)*2,7),MOD((P[[#This Row],[Tithi]]+30-28.5),30)*2+7)</f>
        <v>6.1608000000000018</v>
      </c>
      <c r="P256" s="124">
        <f ca="1">ROUNDUP(MOD(360+P[[#This Row],[Moon]]-P[[#This Row],[Sun]],360)/12,4)</f>
        <v>24.580400000000001</v>
      </c>
      <c r="Q256" s="124">
        <f t="shared" ca="1" si="39"/>
        <v>15.87</v>
      </c>
      <c r="R256" s="124" t="str">
        <f ca="1">SIGN(S257-P[[#This Row],[MARs]])*INT(P[[#This Row],[MARs]]/30+1)&amp;"Ma,"&amp;SIGN(T257-P[[#This Row],[Merc]])*INT(P[[#This Row],[Merc]]/30+1)&amp;"Me,"&amp;SIGN(U257-P[[#This Row],[Jup]])*INT(P[[#This Row],[Jup]]/30+1)&amp;"Ju,"&amp;SIGN(V257-P[[#This Row],[Venu]])*INT(P[[#This Row],[Venu]]/30+1)&amp;"Ve,"&amp;SIGN(W257-P[[#This Row],[Sat]])*INT(P[[#This Row],[Sat]]/30+1)&amp;"Sa,"&amp;INT(P[[#This Row],[Rah]]/30+1)&amp;"Ra"</f>
        <v>10Ma,5Me,7Ju,7Ve,-9Sa,4Ra</v>
      </c>
      <c r="S256" s="124">
        <f ca="1">Planet(P[[#This Row],[GMT Sun Rise]],4)</f>
        <v>274.97436126206281</v>
      </c>
      <c r="T256" s="124">
        <f ca="1">Planet(P[[#This Row],[GMT Sun Rise]],2)</f>
        <v>123.96473272940884</v>
      </c>
      <c r="U256" s="124">
        <f ca="1">Planet(P[[#This Row],[GMT Sun Rise]],5)</f>
        <v>203.61836529715157</v>
      </c>
      <c r="V256" s="124">
        <f ca="1">Planet(P[[#This Row],[GMT Sun Rise]],3)</f>
        <v>182.61658637743753</v>
      </c>
      <c r="W256" s="124">
        <f ca="1">Planet(P[[#This Row],[GMT Sun Rise]],6)</f>
        <v>248.42967501408404</v>
      </c>
      <c r="X256" s="124">
        <f ca="1">Planet(P[[#This Row],[GMT Sun Rise]],10)</f>
        <v>99.701334217521051</v>
      </c>
      <c r="Y256" s="124">
        <f ca="1">SIGN(S257-P[[#This Row],[MARs]])</f>
        <v>1</v>
      </c>
    </row>
    <row r="257" spans="1:25" x14ac:dyDescent="0.2">
      <c r="A257" s="125">
        <f t="shared" ca="1" si="40"/>
        <v>43349</v>
      </c>
      <c r="B257" s="125">
        <f t="shared" ca="1" si="33"/>
        <v>43349.229166666664</v>
      </c>
      <c r="C257" s="127">
        <f t="shared" ca="1" si="34"/>
        <v>43349.249521778584</v>
      </c>
      <c r="D257" s="127">
        <f t="shared" ca="1" si="35"/>
        <v>43348.762022793337</v>
      </c>
      <c r="E257" s="189">
        <f ca="1">P[[#This Row],[SunRise]]-TimeZone/24</f>
        <v>43349.020355111919</v>
      </c>
      <c r="F257" s="190">
        <f t="shared" ca="1" si="36"/>
        <v>139.26829587429887</v>
      </c>
      <c r="G257" s="190">
        <f t="shared" ca="1" si="37"/>
        <v>87.709373308577469</v>
      </c>
      <c r="H257" s="191">
        <f t="shared" ca="1" si="38"/>
        <v>43349.020355111919</v>
      </c>
      <c r="I257" s="124" t="str">
        <f ca="1">naks(P[[#This Row],[Moon]])</f>
        <v>Punarvasu</v>
      </c>
      <c r="J257" s="127">
        <f ca="1">(C258-P[[#This Row],[SunRise]])/(G258-P[[#This Row],[Moon]])*(13.3333333333333-MOD(P[[#This Row],[Moon]],13.333333333333))+P[[#This Row],[SunRise]]</f>
        <v>43349.632679536626</v>
      </c>
      <c r="K257" s="124" t="str">
        <f ca="1">IF(P[[#This Row],[Tithi]]&gt;15,"K","S")&amp;ROUNDUP(MOD(P[[#This Row],[Tithi]],15),0)&amp;" ("&amp;ROUND(P[[#This Row],[Tithi]],2)&amp;")"</f>
        <v>K11 (25.7)</v>
      </c>
      <c r="L257" s="124">
        <f ca="1">IF(AND(P[[#This Row],[Tithi]]&lt;28.5,P[[#This Row],[Tithi]]&gt;0.49999),MOD((P[[#This Row],[Tithi]]-0.5)*2,7),MOD((P[[#This Row],[Tithi]]+30-28.5),30)*2+7)</f>
        <v>1.4069999999999965</v>
      </c>
      <c r="M257" s="124" t="str">
        <f ca="1">CHOOSE(ROUNDUP(P[[#This Row],[Karana1]],0),"Bhava","Baalava","Kaulava","Taitula","Garija","Vanija","Vishti","Shakuni","Chatushapda","Naaga","Kimstugna")</f>
        <v>Baalava</v>
      </c>
      <c r="N25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(17.03)</v>
      </c>
      <c r="O257" s="124">
        <f ca="1">IF(AND(P[[#This Row],[Tithi]]&lt;28.5,P[[#This Row],[Tithi]]&gt;0.49999),MOD((P[[#This Row],[Tithi]]-0.5)*2,7),MOD((P[[#This Row],[Tithi]]+30-28.5),30)*2+7)</f>
        <v>1.4069999999999965</v>
      </c>
      <c r="P257" s="124">
        <f ca="1">ROUNDUP(MOD(360+P[[#This Row],[Moon]]-P[[#This Row],[Sun]],360)/12,4)</f>
        <v>25.703499999999998</v>
      </c>
      <c r="Q257" s="124">
        <f t="shared" ca="1" si="39"/>
        <v>17.03</v>
      </c>
      <c r="R257" s="124" t="str">
        <f ca="1">SIGN(S258-P[[#This Row],[MARs]])*INT(P[[#This Row],[MARs]]/30+1)&amp;"Ma,"&amp;SIGN(T258-P[[#This Row],[Merc]])*INT(P[[#This Row],[Merc]]/30+1)&amp;"Me,"&amp;SIGN(U258-P[[#This Row],[Jup]])*INT(P[[#This Row],[Jup]]/30+1)&amp;"Ju,"&amp;SIGN(V258-P[[#This Row],[Venu]])*INT(P[[#This Row],[Venu]]/30+1)&amp;"Ve,"&amp;SIGN(W258-P[[#This Row],[Sat]])*INT(P[[#This Row],[Sat]]/30+1)&amp;"Sa,"&amp;INT(P[[#This Row],[Rah]]/30+1)&amp;"Ra"</f>
        <v>10Ma,5Me,7Ju,7Ve,9Sa,4Ra</v>
      </c>
      <c r="S257" s="124">
        <f ca="1">Planet(P[[#This Row],[GMT Sun Rise]],4)</f>
        <v>275.09359600307914</v>
      </c>
      <c r="T257" s="124">
        <f ca="1">Planet(P[[#This Row],[GMT Sun Rise]],2)</f>
        <v>125.72584097987315</v>
      </c>
      <c r="U257" s="124">
        <f ca="1">Planet(P[[#This Row],[GMT Sun Rise]],5)</f>
        <v>203.76417775351956</v>
      </c>
      <c r="V257" s="124">
        <f ca="1">Planet(P[[#This Row],[GMT Sun Rise]],3)</f>
        <v>183.38842734113493</v>
      </c>
      <c r="W257" s="124">
        <f ca="1">Planet(P[[#This Row],[GMT Sun Rise]],6)</f>
        <v>248.42808545894511</v>
      </c>
      <c r="X257" s="124">
        <f ca="1">Planet(P[[#This Row],[GMT Sun Rise]],10)</f>
        <v>99.648341116869361</v>
      </c>
      <c r="Y257" s="124">
        <f ca="1">SIGN(S258-P[[#This Row],[MARs]])</f>
        <v>1</v>
      </c>
    </row>
    <row r="258" spans="1:25" x14ac:dyDescent="0.2">
      <c r="A258" s="125">
        <f t="shared" ca="1" si="40"/>
        <v>43350</v>
      </c>
      <c r="B258" s="125">
        <f t="shared" ca="1" si="33"/>
        <v>43350.229166666664</v>
      </c>
      <c r="C258" s="127">
        <f t="shared" ca="1" si="34"/>
        <v>43350.24954085207</v>
      </c>
      <c r="D258" s="127">
        <f t="shared" ca="1" si="35"/>
        <v>43349.761536419435</v>
      </c>
      <c r="E258" s="189">
        <f ca="1">P[[#This Row],[SunRise]]-TimeZone/24</f>
        <v>43350.020374185406</v>
      </c>
      <c r="F258" s="190">
        <f t="shared" ca="1" si="36"/>
        <v>140.23853134962638</v>
      </c>
      <c r="G258" s="190">
        <f t="shared" ca="1" si="37"/>
        <v>102.38757615127166</v>
      </c>
      <c r="H258" s="191">
        <f t="shared" ca="1" si="38"/>
        <v>43350.020374185406</v>
      </c>
      <c r="I258" s="124" t="str">
        <f ca="1">naks(P[[#This Row],[Moon]])</f>
        <v>Pushya</v>
      </c>
      <c r="J258" s="127">
        <f ca="1">(C259-P[[#This Row],[SunRise]])/(G259-P[[#This Row],[Moon]])*(13.3333333333333-MOD(P[[#This Row],[Moon]],13.333333333333))+P[[#This Row],[SunRise]]</f>
        <v>43350.538125299863</v>
      </c>
      <c r="K258" s="124" t="str">
        <f ca="1">IF(P[[#This Row],[Tithi]]&gt;15,"K","S")&amp;ROUNDUP(MOD(P[[#This Row],[Tithi]],15),0)&amp;" ("&amp;ROUND(P[[#This Row],[Tithi]],2)&amp;")"</f>
        <v>K12 (26.85)</v>
      </c>
      <c r="L258" s="124">
        <f ca="1">IF(AND(P[[#This Row],[Tithi]]&lt;28.5,P[[#This Row],[Tithi]]&gt;0.49999),MOD((P[[#This Row],[Tithi]]-0.5)*2,7),MOD((P[[#This Row],[Tithi]]+30-28.5),30)*2+7)</f>
        <v>3.6916000000000011</v>
      </c>
      <c r="M258" s="124" t="str">
        <f ca="1">CHOOSE(ROUNDUP(P[[#This Row],[Karana1]],0),"Bhava","Baalava","Kaulava","Taitula","Garija","Vanija","Vishti","Shakuni","Chatushapda","Naaga","Kimstugna")</f>
        <v>Taitula</v>
      </c>
      <c r="N25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(18.2)</v>
      </c>
      <c r="O258" s="124">
        <f ca="1">IF(AND(P[[#This Row],[Tithi]]&lt;28.5,P[[#This Row],[Tithi]]&gt;0.49999),MOD((P[[#This Row],[Tithi]]-0.5)*2,7),MOD((P[[#This Row],[Tithi]]+30-28.5),30)*2+7)</f>
        <v>3.6916000000000011</v>
      </c>
      <c r="P258" s="124">
        <f ca="1">ROUNDUP(MOD(360+P[[#This Row],[Moon]]-P[[#This Row],[Sun]],360)/12,4)</f>
        <v>26.845800000000001</v>
      </c>
      <c r="Q258" s="124">
        <f t="shared" ca="1" si="39"/>
        <v>18.200000000000003</v>
      </c>
      <c r="R258" s="124" t="str">
        <f ca="1">SIGN(S259-P[[#This Row],[MARs]])*INT(P[[#This Row],[MARs]]/30+1)&amp;"Ma,"&amp;SIGN(T259-P[[#This Row],[Merc]])*INT(P[[#This Row],[Merc]]/30+1)&amp;"Me,"&amp;SIGN(U259-P[[#This Row],[Jup]])*INT(P[[#This Row],[Jup]]/30+1)&amp;"Ju,"&amp;SIGN(V259-P[[#This Row],[Venu]])*INT(P[[#This Row],[Venu]]/30+1)&amp;"Ve,"&amp;SIGN(W259-P[[#This Row],[Sat]])*INT(P[[#This Row],[Sat]]/30+1)&amp;"Sa,"&amp;INT(P[[#This Row],[Rah]]/30+1)&amp;"Ra"</f>
        <v>10Ma,5Me,7Ju,7Ve,9Sa,4Ra</v>
      </c>
      <c r="S258" s="124">
        <f ca="1">Planet(P[[#This Row],[GMT Sun Rise]],4)</f>
        <v>275.22580764073922</v>
      </c>
      <c r="T258" s="124">
        <f ca="1">Planet(P[[#This Row],[GMT Sun Rise]],2)</f>
        <v>127.5275679332624</v>
      </c>
      <c r="U258" s="124">
        <f ca="1">Planet(P[[#This Row],[GMT Sun Rise]],5)</f>
        <v>203.91190654483401</v>
      </c>
      <c r="V258" s="124">
        <f ca="1">Planet(P[[#This Row],[GMT Sun Rise]],3)</f>
        <v>184.14641467033042</v>
      </c>
      <c r="W258" s="124">
        <f ca="1">Planet(P[[#This Row],[GMT Sun Rise]],6)</f>
        <v>248.42812627867377</v>
      </c>
      <c r="X258" s="124">
        <f ca="1">Planet(P[[#This Row],[GMT Sun Rise]],10)</f>
        <v>99.595348108889638</v>
      </c>
      <c r="Y258" s="124">
        <f ca="1">SIGN(S259-P[[#This Row],[MARs]])</f>
        <v>1</v>
      </c>
    </row>
    <row r="259" spans="1:25" x14ac:dyDescent="0.2">
      <c r="A259" s="125">
        <f t="shared" ca="1" si="40"/>
        <v>43351</v>
      </c>
      <c r="B259" s="125">
        <f t="shared" ref="B259:B322" ca="1" si="41">A259+TimeZone/24</f>
        <v>43351.229166666664</v>
      </c>
      <c r="C259" s="127">
        <f t="shared" ref="C259:C322" ca="1" si="42">sunrise(Lat,Long,B259)+TimeZone/24+0.00103009259259259</f>
        <v>43351.249558495045</v>
      </c>
      <c r="D259" s="127">
        <f t="shared" ref="D259:D322" ca="1" si="43">sunset(Lat,Long,B259)+TimeZone/24-0.000277777777777778</f>
        <v>43350.761047184511</v>
      </c>
      <c r="E259" s="189">
        <f ca="1">P[[#This Row],[SunRise]]-TimeZone/24</f>
        <v>43351.020391828381</v>
      </c>
      <c r="F259" s="190">
        <f t="shared" ref="F259:F322" ca="1" si="44">Planet(E259,0)</f>
        <v>141.20930656023796</v>
      </c>
      <c r="G259" s="190">
        <f t="shared" ref="G259:G322" ca="1" si="45">Planet(E259,1)</f>
        <v>117.21570027224054</v>
      </c>
      <c r="H259" s="191">
        <f t="shared" ref="H259:H322" ca="1" si="46">E259</f>
        <v>43351.020391828381</v>
      </c>
      <c r="I259" s="124" t="str">
        <f ca="1">naks(P[[#This Row],[Moon]])</f>
        <v>Aslesha</v>
      </c>
      <c r="J259" s="127">
        <f ca="1">(C260-P[[#This Row],[SunRise]])/(G260-P[[#This Row],[Moon]])*(13.3333333333333-MOD(P[[#This Row],[Moon]],13.333333333333))+P[[#This Row],[SunRise]]</f>
        <v>43351.436848819947</v>
      </c>
      <c r="K259" s="124" t="str">
        <f ca="1">IF(P[[#This Row],[Tithi]]&gt;15,"K","S")&amp;ROUNDUP(MOD(P[[#This Row],[Tithi]],15),0)&amp;" ("&amp;ROUND(P[[#This Row],[Tithi]],2)&amp;")"</f>
        <v>K14 (28)</v>
      </c>
      <c r="L259" s="124">
        <f ca="1">IF(AND(P[[#This Row],[Tithi]]&lt;28.5,P[[#This Row],[Tithi]]&gt;0.49999),MOD((P[[#This Row],[Tithi]]-0.5)*2,7),MOD((P[[#This Row],[Tithi]]+30-28.5),30)*2+7)</f>
        <v>6.0011999999999972</v>
      </c>
      <c r="M259" s="124" t="str">
        <f ca="1">CHOOSE(ROUNDUP(P[[#This Row],[Karana1]],0),"Bhava","Baalava","Kaulava","Taitula","Garija","Vanija","Vishti","Shakuni","Chatushapda","Naaga","Kimstugna")</f>
        <v>Vishti</v>
      </c>
      <c r="N25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(19.39)</v>
      </c>
      <c r="O259" s="124">
        <f ca="1">IF(AND(P[[#This Row],[Tithi]]&lt;28.5,P[[#This Row],[Tithi]]&gt;0.49999),MOD((P[[#This Row],[Tithi]]-0.5)*2,7),MOD((P[[#This Row],[Tithi]]+30-28.5),30)*2+7)</f>
        <v>6.0011999999999972</v>
      </c>
      <c r="P259" s="124">
        <f ca="1">ROUNDUP(MOD(360+P[[#This Row],[Moon]]-P[[#This Row],[Sun]],360)/12,4)</f>
        <v>28.000599999999999</v>
      </c>
      <c r="Q259" s="124">
        <f t="shared" ref="Q259:Q322" ca="1" si="47">ROUNDUP(MOD(F259+G259,360)/13.333333333,2)</f>
        <v>19.39</v>
      </c>
      <c r="R259" s="124" t="str">
        <f ca="1">SIGN(S260-P[[#This Row],[MARs]])*INT(P[[#This Row],[MARs]]/30+1)&amp;"Ma,"&amp;SIGN(T260-P[[#This Row],[Merc]])*INT(P[[#This Row],[Merc]]/30+1)&amp;"Me,"&amp;SIGN(U260-P[[#This Row],[Jup]])*INT(P[[#This Row],[Jup]]/30+1)&amp;"Ju,"&amp;SIGN(V260-P[[#This Row],[Venu]])*INT(P[[#This Row],[Venu]]/30+1)&amp;"Ve,"&amp;SIGN(W260-P[[#This Row],[Sat]])*INT(P[[#This Row],[Sat]]/30+1)&amp;"Sa,"&amp;INT(P[[#This Row],[Rah]]/30+1)&amp;"Ra"</f>
        <v>10Ma,5Me,7Ju,7Ve,9Sa,4Ra</v>
      </c>
      <c r="S259" s="124">
        <f ca="1">Planet(P[[#This Row],[GMT Sun Rise]],4)</f>
        <v>275.37089968199047</v>
      </c>
      <c r="T259" s="124">
        <f ca="1">Planet(P[[#This Row],[GMT Sun Rise]],2)</f>
        <v>129.36230606176619</v>
      </c>
      <c r="U259" s="124">
        <f ca="1">Planet(P[[#This Row],[GMT Sun Rise]],5)</f>
        <v>204.06152804204962</v>
      </c>
      <c r="V259" s="124">
        <f ca="1">Planet(P[[#This Row],[GMT Sun Rise]],3)</f>
        <v>184.89000503573956</v>
      </c>
      <c r="W259" s="124">
        <f ca="1">Planet(P[[#This Row],[GMT Sun Rise]],6)</f>
        <v>248.42980222946679</v>
      </c>
      <c r="X259" s="124">
        <f ca="1">Planet(P[[#This Row],[GMT Sun Rise]],10)</f>
        <v>99.542355176714779</v>
      </c>
      <c r="Y259" s="124">
        <f ca="1">SIGN(S260-P[[#This Row],[MARs]])</f>
        <v>1</v>
      </c>
    </row>
    <row r="260" spans="1:25" x14ac:dyDescent="0.2">
      <c r="A260" s="125">
        <f t="shared" ca="1" si="40"/>
        <v>43352</v>
      </c>
      <c r="B260" s="125">
        <f t="shared" ca="1" si="41"/>
        <v>43352.229166666664</v>
      </c>
      <c r="C260" s="127">
        <f t="shared" ca="1" si="42"/>
        <v>43352.249574866299</v>
      </c>
      <c r="D260" s="127">
        <f t="shared" ca="1" si="43"/>
        <v>43351.76055524782</v>
      </c>
      <c r="E260" s="189">
        <f ca="1">P[[#This Row],[SunRise]]-TimeZone/24</f>
        <v>43352.020408199634</v>
      </c>
      <c r="F260" s="190">
        <f t="shared" ca="1" si="44"/>
        <v>142.18060759580777</v>
      </c>
      <c r="G260" s="190">
        <f t="shared" ca="1" si="45"/>
        <v>132.08216660822154</v>
      </c>
      <c r="H260" s="191">
        <f t="shared" ca="1" si="46"/>
        <v>43352.020408199634</v>
      </c>
      <c r="I260" s="124" t="str">
        <f ca="1">naks(P[[#This Row],[Moon]])</f>
        <v>Makha</v>
      </c>
      <c r="J260" s="127">
        <f ca="1">(C261-P[[#This Row],[SunRise]])/(G261-P[[#This Row],[Moon]])*(13.3333333333333-MOD(P[[#This Row],[Moon]],13.333333333333))+P[[#This Row],[SunRise]]</f>
        <v>43352.33426055259</v>
      </c>
      <c r="K260" s="124" t="str">
        <f ca="1">IF(P[[#This Row],[Tithi]]&gt;15,"K","S")&amp;ROUNDUP(MOD(P[[#This Row],[Tithi]],15),0)&amp;" ("&amp;ROUND(P[[#This Row],[Tithi]],2)&amp;")"</f>
        <v>K15 (29.16)</v>
      </c>
      <c r="L260" s="124">
        <f ca="1">IF(AND(P[[#This Row],[Tithi]]&lt;28.5,P[[#This Row],[Tithi]]&gt;0.49999),MOD((P[[#This Row],[Tithi]]-0.5)*2,7),MOD((P[[#This Row],[Tithi]]+30-28.5),30)*2+7)</f>
        <v>8.3170000000000073</v>
      </c>
      <c r="M260" s="124" t="str">
        <f ca="1">CHOOSE(ROUNDUP(P[[#This Row],[Karana1]],0),"Bhava","Baalava","Kaulava","Taitula","Garija","Vanija","Vishti","Shakuni","Chatushapda","Naaga","Kimstugna")</f>
        <v>Chatushapda</v>
      </c>
      <c r="N26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(20.57)</v>
      </c>
      <c r="O260" s="124">
        <f ca="1">IF(AND(P[[#This Row],[Tithi]]&lt;28.5,P[[#This Row],[Tithi]]&gt;0.49999),MOD((P[[#This Row],[Tithi]]-0.5)*2,7),MOD((P[[#This Row],[Tithi]]+30-28.5),30)*2+7)</f>
        <v>8.3170000000000073</v>
      </c>
      <c r="P260" s="124">
        <f ca="1">ROUNDUP(MOD(360+P[[#This Row],[Moon]]-P[[#This Row],[Sun]],360)/12,4)</f>
        <v>29.1585</v>
      </c>
      <c r="Q260" s="124">
        <f t="shared" ca="1" si="47"/>
        <v>20.57</v>
      </c>
      <c r="R260" s="124" t="str">
        <f ca="1">SIGN(S261-P[[#This Row],[MARs]])*INT(P[[#This Row],[MARs]]/30+1)&amp;"Ma,"&amp;SIGN(T261-P[[#This Row],[Merc]])*INT(P[[#This Row],[Merc]]/30+1)&amp;"Me,"&amp;SIGN(U261-P[[#This Row],[Jup]])*INT(P[[#This Row],[Jup]]/30+1)&amp;"Ju,"&amp;SIGN(V261-P[[#This Row],[Venu]])*INT(P[[#This Row],[Venu]]/30+1)&amp;"Ve,"&amp;SIGN(W261-P[[#This Row],[Sat]])*INT(P[[#This Row],[Sat]]/30+1)&amp;"Sa,"&amp;INT(P[[#This Row],[Rah]]/30+1)&amp;"Ra"</f>
        <v>10Ma,5Me,7Ju,7Ve,9Sa,4Ra</v>
      </c>
      <c r="S260" s="124">
        <f ca="1">Planet(P[[#This Row],[GMT Sun Rise]],4)</f>
        <v>275.52876328016896</v>
      </c>
      <c r="T260" s="124">
        <f ca="1">Planet(P[[#This Row],[GMT Sun Rise]],2)</f>
        <v>131.22296061374945</v>
      </c>
      <c r="U260" s="124">
        <f ca="1">Planet(P[[#This Row],[GMT Sun Rise]],5)</f>
        <v>204.2130173650142</v>
      </c>
      <c r="V260" s="124">
        <f ca="1">Planet(P[[#This Row],[GMT Sun Rise]],3)</f>
        <v>185.61861817192613</v>
      </c>
      <c r="W260" s="124">
        <f ca="1">Planet(P[[#This Row],[GMT Sun Rise]],6)</f>
        <v>248.43311712533864</v>
      </c>
      <c r="X260" s="124">
        <f ca="1">Planet(P[[#This Row],[GMT Sun Rise]],10)</f>
        <v>99.489362311894737</v>
      </c>
      <c r="Y260" s="124">
        <f ca="1">SIGN(S261-P[[#This Row],[MARs]])</f>
        <v>1</v>
      </c>
    </row>
    <row r="261" spans="1:25" x14ac:dyDescent="0.2">
      <c r="A261" s="125">
        <f t="shared" ca="1" si="40"/>
        <v>43353</v>
      </c>
      <c r="B261" s="125">
        <f t="shared" ca="1" si="41"/>
        <v>43353.229166666664</v>
      </c>
      <c r="C261" s="127">
        <f t="shared" ca="1" si="42"/>
        <v>43353.249589966297</v>
      </c>
      <c r="D261" s="127">
        <f t="shared" ca="1" si="43"/>
        <v>43352.760060767687</v>
      </c>
      <c r="E261" s="189">
        <f ca="1">P[[#This Row],[SunRise]]-TimeZone/24</f>
        <v>43353.020423299633</v>
      </c>
      <c r="F261" s="190">
        <f t="shared" ca="1" si="44"/>
        <v>143.15241767720372</v>
      </c>
      <c r="G261" s="190">
        <f t="shared" ca="1" si="45"/>
        <v>146.85663054090676</v>
      </c>
      <c r="H261" s="191">
        <f t="shared" ca="1" si="46"/>
        <v>43353.020423299633</v>
      </c>
      <c r="I261" s="124" t="str">
        <f ca="1">naks(P[[#This Row],[Moon]])</f>
        <v>Uttara Phalguni</v>
      </c>
      <c r="J261" s="127">
        <f ca="1">(C262-P[[#This Row],[SunRise]])/(G262-P[[#This Row],[Moon]])*(13.3333333333333-MOD(P[[#This Row],[Moon]],13.333333333333))+P[[#This Row],[SunRise]]</f>
        <v>43354.152815436355</v>
      </c>
      <c r="K261" s="124" t="str">
        <f ca="1">IF(P[[#This Row],[Tithi]]&gt;15,"K","S")&amp;ROUNDUP(MOD(P[[#This Row],[Tithi]],15),0)&amp;" ("&amp;ROUND(P[[#This Row],[Tithi]],2)&amp;")"</f>
        <v>S1 (0.31)</v>
      </c>
      <c r="L261" s="124">
        <f ca="1">IF(AND(P[[#This Row],[Tithi]]&lt;28.5,P[[#This Row],[Tithi]]&gt;0.49999),MOD((P[[#This Row],[Tithi]]-0.5)*2,7),MOD((P[[#This Row],[Tithi]]+30-28.5),30)*2+7)</f>
        <v>10.617400000000004</v>
      </c>
      <c r="M261" s="124" t="str">
        <f ca="1">CHOOSE(ROUNDUP(P[[#This Row],[Karana1]],0),"Bhava","Baalava","Kaulava","Taitula","Garija","Vanija","Vishti","Shakuni","Chatushapda","Naaga","Kimstugna")</f>
        <v>Kimstugna</v>
      </c>
      <c r="N26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(21.76)</v>
      </c>
      <c r="O261" s="124">
        <f ca="1">IF(AND(P[[#This Row],[Tithi]]&lt;28.5,P[[#This Row],[Tithi]]&gt;0.49999),MOD((P[[#This Row],[Tithi]]-0.5)*2,7),MOD((P[[#This Row],[Tithi]]+30-28.5),30)*2+7)</f>
        <v>10.617400000000004</v>
      </c>
      <c r="P261" s="124">
        <f ca="1">ROUNDUP(MOD(360+P[[#This Row],[Moon]]-P[[#This Row],[Sun]],360)/12,4)</f>
        <v>0.30869999999999997</v>
      </c>
      <c r="Q261" s="124">
        <f t="shared" ca="1" si="47"/>
        <v>21.76</v>
      </c>
      <c r="R261" s="124" t="str">
        <f ca="1">SIGN(S262-P[[#This Row],[MARs]])*INT(P[[#This Row],[MARs]]/30+1)&amp;"Ma,"&amp;SIGN(T262-P[[#This Row],[Merc]])*INT(P[[#This Row],[Merc]]/30+1)&amp;"Me,"&amp;SIGN(U262-P[[#This Row],[Jup]])*INT(P[[#This Row],[Jup]]/30+1)&amp;"Ju,"&amp;SIGN(V262-P[[#This Row],[Venu]])*INT(P[[#This Row],[Venu]]/30+1)&amp;"Ve,"&amp;SIGN(W262-P[[#This Row],[Sat]])*INT(P[[#This Row],[Sat]]/30+1)&amp;"Sa,"&amp;INT(P[[#This Row],[Rah]]/30+1)&amp;"Ra"</f>
        <v>10Ma,5Me,7Ju,7Ve,9Sa,4Ra</v>
      </c>
      <c r="S261" s="124">
        <f ca="1">Planet(P[[#This Row],[GMT Sun Rise]],4)</f>
        <v>275.69927293811389</v>
      </c>
      <c r="T261" s="124">
        <f ca="1">Planet(P[[#This Row],[GMT Sun Rise]],2)</f>
        <v>133.10302658073954</v>
      </c>
      <c r="U261" s="124">
        <f ca="1">Planet(P[[#This Row],[GMT Sun Rise]],5)</f>
        <v>204.3663483165659</v>
      </c>
      <c r="V261" s="124">
        <f ca="1">Planet(P[[#This Row],[GMT Sun Rise]],3)</f>
        <v>186.33163571089349</v>
      </c>
      <c r="W261" s="124">
        <f ca="1">Planet(P[[#This Row],[GMT Sun Rise]],6)</f>
        <v>248.43807361602165</v>
      </c>
      <c r="X261" s="124">
        <f ca="1">Planet(P[[#This Row],[GMT Sun Rise]],10)</f>
        <v>99.436369514479225</v>
      </c>
      <c r="Y261" s="124">
        <f ca="1">SIGN(S262-P[[#This Row],[MARs]])</f>
        <v>1</v>
      </c>
    </row>
    <row r="262" spans="1:25" x14ac:dyDescent="0.2">
      <c r="A262" s="125">
        <f t="shared" ca="1" si="40"/>
        <v>43354</v>
      </c>
      <c r="B262" s="125">
        <f t="shared" ca="1" si="41"/>
        <v>43354.229166666664</v>
      </c>
      <c r="C262" s="127">
        <f t="shared" ca="1" si="42"/>
        <v>43354.249603953365</v>
      </c>
      <c r="D262" s="127">
        <f t="shared" ca="1" si="43"/>
        <v>43353.759564062158</v>
      </c>
      <c r="E262" s="189">
        <f ca="1">P[[#This Row],[SunRise]]-TimeZone/24</f>
        <v>43354.020437286701</v>
      </c>
      <c r="F262" s="190">
        <f t="shared" ca="1" si="44"/>
        <v>144.12471956488727</v>
      </c>
      <c r="G262" s="190">
        <f t="shared" ca="1" si="45"/>
        <v>161.40842711003546</v>
      </c>
      <c r="H262" s="191">
        <f t="shared" ca="1" si="46"/>
        <v>43354.020437286701</v>
      </c>
      <c r="I262" s="124" t="str">
        <f ca="1">naks(P[[#This Row],[Moon]])</f>
        <v>Hasta</v>
      </c>
      <c r="J262" s="127">
        <f ca="1">(C263-P[[#This Row],[SunRise]])/(G263-P[[#This Row],[Moon]])*(13.3333333333333-MOD(P[[#This Row],[Moon]],13.333333333333))+P[[#This Row],[SunRise]]</f>
        <v>43355.088302448712</v>
      </c>
      <c r="K262" s="124" t="str">
        <f ca="1">IF(P[[#This Row],[Tithi]]&gt;15,"K","S")&amp;ROUNDUP(MOD(P[[#This Row],[Tithi]],15),0)&amp;" ("&amp;ROUND(P[[#This Row],[Tithi]],2)&amp;")"</f>
        <v>S2 (1.44)</v>
      </c>
      <c r="L262" s="124">
        <f ca="1">IF(AND(P[[#This Row],[Tithi]]&lt;28.5,P[[#This Row],[Tithi]]&gt;0.49999),MOD((P[[#This Row],[Tithi]]-0.5)*2,7),MOD((P[[#This Row],[Tithi]]+30-28.5),30)*2+7)</f>
        <v>1.8807999999999998</v>
      </c>
      <c r="M262" s="124" t="str">
        <f ca="1">CHOOSE(ROUNDUP(P[[#This Row],[Karana1]],0),"Bhava","Baalava","Kaulava","Taitula","Garija","Vanija","Vishti","Shakuni","Chatushapda","Naaga","Kimstugna")</f>
        <v>Baalava</v>
      </c>
      <c r="N26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(22.92)</v>
      </c>
      <c r="O262" s="124">
        <f ca="1">IF(AND(P[[#This Row],[Tithi]]&lt;28.5,P[[#This Row],[Tithi]]&gt;0.49999),MOD((P[[#This Row],[Tithi]]-0.5)*2,7),MOD((P[[#This Row],[Tithi]]+30-28.5),30)*2+7)</f>
        <v>1.8807999999999998</v>
      </c>
      <c r="P262" s="124">
        <f ca="1">ROUNDUP(MOD(360+P[[#This Row],[Moon]]-P[[#This Row],[Sun]],360)/12,4)</f>
        <v>1.4403999999999999</v>
      </c>
      <c r="Q262" s="124">
        <f t="shared" ca="1" si="47"/>
        <v>22.92</v>
      </c>
      <c r="R262" s="124" t="str">
        <f ca="1">SIGN(S263-P[[#This Row],[MARs]])*INT(P[[#This Row],[MARs]]/30+1)&amp;"Ma,"&amp;SIGN(T263-P[[#This Row],[Merc]])*INT(P[[#This Row],[Merc]]/30+1)&amp;"Me,"&amp;SIGN(U263-P[[#This Row],[Jup]])*INT(P[[#This Row],[Jup]]/30+1)&amp;"Ju,"&amp;SIGN(V263-P[[#This Row],[Venu]])*INT(P[[#This Row],[Venu]]/30+1)&amp;"Ve,"&amp;SIGN(W263-P[[#This Row],[Sat]])*INT(P[[#This Row],[Sat]]/30+1)&amp;"Sa,"&amp;INT(P[[#This Row],[Rah]]/30+1)&amp;"Ra"</f>
        <v>10Ma,5Me,7Ju,7Ve,9Sa,4Ra</v>
      </c>
      <c r="S262" s="124">
        <f ca="1">Planet(P[[#This Row],[GMT Sun Rise]],4)</f>
        <v>275.88228343144453</v>
      </c>
      <c r="T262" s="124">
        <f ca="1">Planet(P[[#This Row],[GMT Sun Rise]],2)</f>
        <v>134.99663650794739</v>
      </c>
      <c r="U262" s="124">
        <f ca="1">Planet(P[[#This Row],[GMT Sun Rise]],5)</f>
        <v>204.5214935670551</v>
      </c>
      <c r="V262" s="124">
        <f ca="1">Planet(P[[#This Row],[GMT Sun Rise]],3)</f>
        <v>187.02840217188674</v>
      </c>
      <c r="W262" s="124">
        <f ca="1">Planet(P[[#This Row],[GMT Sun Rise]],6)</f>
        <v>248.44467305957048</v>
      </c>
      <c r="X262" s="124">
        <f ca="1">Planet(P[[#This Row],[GMT Sun Rise]],10)</f>
        <v>99.383376776018196</v>
      </c>
      <c r="Y262" s="124">
        <f ca="1">SIGN(S263-P[[#This Row],[MARs]])</f>
        <v>1</v>
      </c>
    </row>
    <row r="263" spans="1:25" x14ac:dyDescent="0.2">
      <c r="A263" s="125">
        <f t="shared" ca="1" si="40"/>
        <v>43355</v>
      </c>
      <c r="B263" s="125">
        <f t="shared" ca="1" si="41"/>
        <v>43355.229166666664</v>
      </c>
      <c r="C263" s="127">
        <f t="shared" ca="1" si="42"/>
        <v>43355.249616987225</v>
      </c>
      <c r="D263" s="127">
        <f t="shared" ca="1" si="43"/>
        <v>43354.759065290491</v>
      </c>
      <c r="E263" s="189">
        <f ca="1">P[[#This Row],[SunRise]]-TimeZone/24</f>
        <v>43355.02045032056</v>
      </c>
      <c r="F263" s="190">
        <f t="shared" ca="1" si="44"/>
        <v>145.09749739982868</v>
      </c>
      <c r="G263" s="190">
        <f t="shared" ca="1" si="45"/>
        <v>175.62695941575501</v>
      </c>
      <c r="H263" s="191">
        <f t="shared" ca="1" si="46"/>
        <v>43355.02045032056</v>
      </c>
      <c r="I263" s="124" t="str">
        <f ca="1">naks(P[[#This Row],[Moon]])</f>
        <v>Chitra</v>
      </c>
      <c r="J263" s="127">
        <f ca="1">(C264-P[[#This Row],[SunRise]])/(G264-P[[#This Row],[Moon]])*(13.3333333333333-MOD(P[[#This Row],[Moon]],13.333333333333))+P[[#This Row],[SunRise]]</f>
        <v>43356.048987974267</v>
      </c>
      <c r="K263" s="124" t="str">
        <f ca="1">IF(P[[#This Row],[Tithi]]&gt;15,"K","S")&amp;ROUNDUP(MOD(P[[#This Row],[Tithi]],15),0)&amp;" ("&amp;ROUND(P[[#This Row],[Tithi]],2)&amp;")"</f>
        <v>S3 (2.54)</v>
      </c>
      <c r="L263" s="124">
        <f ca="1">IF(AND(P[[#This Row],[Tithi]]&lt;28.5,P[[#This Row],[Tithi]]&gt;0.49999),MOD((P[[#This Row],[Tithi]]-0.5)*2,7),MOD((P[[#This Row],[Tithi]]+30-28.5),30)*2+7)</f>
        <v>4.0884</v>
      </c>
      <c r="M263" s="124" t="str">
        <f ca="1">CHOOSE(ROUNDUP(P[[#This Row],[Karana1]],0),"Bhava","Baalava","Kaulava","Taitula","Garija","Vanija","Vishti","Shakuni","Chatushapda","Naaga","Kimstugna")</f>
        <v>Garija</v>
      </c>
      <c r="N26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(24.06)</v>
      </c>
      <c r="O263" s="124">
        <f ca="1">IF(AND(P[[#This Row],[Tithi]]&lt;28.5,P[[#This Row],[Tithi]]&gt;0.49999),MOD((P[[#This Row],[Tithi]]-0.5)*2,7),MOD((P[[#This Row],[Tithi]]+30-28.5),30)*2+7)</f>
        <v>4.0884</v>
      </c>
      <c r="P263" s="124">
        <f ca="1">ROUNDUP(MOD(360+P[[#This Row],[Moon]]-P[[#This Row],[Sun]],360)/12,4)</f>
        <v>2.5442</v>
      </c>
      <c r="Q263" s="124">
        <f t="shared" ca="1" si="47"/>
        <v>24.060000000000002</v>
      </c>
      <c r="R263" s="124" t="str">
        <f ca="1">SIGN(S264-P[[#This Row],[MARs]])*INT(P[[#This Row],[MARs]]/30+1)&amp;"Ma,"&amp;SIGN(T264-P[[#This Row],[Merc]])*INT(P[[#This Row],[Merc]]/30+1)&amp;"Me,"&amp;SIGN(U264-P[[#This Row],[Jup]])*INT(P[[#This Row],[Jup]]/30+1)&amp;"Ju,"&amp;SIGN(V264-P[[#This Row],[Venu]])*INT(P[[#This Row],[Venu]]/30+1)&amp;"Ve,"&amp;SIGN(W264-P[[#This Row],[Sat]])*INT(P[[#This Row],[Sat]]/30+1)&amp;"Sa,"&amp;INT(P[[#This Row],[Rah]]/30+1)&amp;"Ra"</f>
        <v>10Ma,5Me,7Ju,7Ve,9Sa,4Ra</v>
      </c>
      <c r="S263" s="124">
        <f ca="1">Planet(P[[#This Row],[GMT Sun Rise]],4)</f>
        <v>276.07762870504757</v>
      </c>
      <c r="T263" s="124">
        <f ca="1">Planet(P[[#This Row],[GMT Sun Rise]],2)</f>
        <v>136.89857930981788</v>
      </c>
      <c r="U263" s="124">
        <f ca="1">Planet(P[[#This Row],[GMT Sun Rise]],5)</f>
        <v>204.67842492928858</v>
      </c>
      <c r="V263" s="124">
        <f ca="1">Planet(P[[#This Row],[GMT Sun Rise]],3)</f>
        <v>187.70822706811697</v>
      </c>
      <c r="W263" s="124">
        <f ca="1">Planet(P[[#This Row],[GMT Sun Rise]],6)</f>
        <v>248.45291551143561</v>
      </c>
      <c r="X263" s="124">
        <f ca="1">Planet(P[[#This Row],[GMT Sun Rise]],10)</f>
        <v>99.330384088111131</v>
      </c>
      <c r="Y263" s="124">
        <f ca="1">SIGN(S264-P[[#This Row],[MARs]])</f>
        <v>1</v>
      </c>
    </row>
    <row r="264" spans="1:25" x14ac:dyDescent="0.2">
      <c r="A264" s="125">
        <f t="shared" ca="1" si="40"/>
        <v>43356</v>
      </c>
      <c r="B264" s="125">
        <f t="shared" ca="1" si="41"/>
        <v>43356.229166666664</v>
      </c>
      <c r="C264" s="127">
        <f t="shared" ca="1" si="42"/>
        <v>43356.249629225735</v>
      </c>
      <c r="D264" s="127">
        <f t="shared" ca="1" si="43"/>
        <v>43355.758564611475</v>
      </c>
      <c r="E264" s="189">
        <f ca="1">P[[#This Row],[SunRise]]-TimeZone/24</f>
        <v>43356.02046255907</v>
      </c>
      <c r="F264" s="190">
        <f t="shared" ca="1" si="44"/>
        <v>146.07073818007979</v>
      </c>
      <c r="G264" s="190">
        <f t="shared" ca="1" si="45"/>
        <v>189.43762122288686</v>
      </c>
      <c r="H264" s="191">
        <f t="shared" ca="1" si="46"/>
        <v>43356.02046255907</v>
      </c>
      <c r="I264" s="124" t="str">
        <f ca="1">naks(P[[#This Row],[Moon]])</f>
        <v>Swati</v>
      </c>
      <c r="J264" s="127">
        <f ca="1">(C265-P[[#This Row],[SunRise]])/(G265-P[[#This Row],[Moon]])*(13.3333333333333-MOD(P[[#This Row],[Moon]],13.333333333333))+P[[#This Row],[SunRise]]</f>
        <v>43357.039563284176</v>
      </c>
      <c r="K264" s="124" t="str">
        <f ca="1">IF(P[[#This Row],[Tithi]]&gt;15,"K","S")&amp;ROUNDUP(MOD(P[[#This Row],[Tithi]],15),0)&amp;" ("&amp;ROUND(P[[#This Row],[Tithi]],2)&amp;")"</f>
        <v>S4 (3.61)</v>
      </c>
      <c r="L264" s="124">
        <f ca="1">IF(AND(P[[#This Row],[Tithi]]&lt;28.5,P[[#This Row],[Tithi]]&gt;0.49999),MOD((P[[#This Row],[Tithi]]-0.5)*2,7),MOD((P[[#This Row],[Tithi]]+30-28.5),30)*2+7)</f>
        <v>6.2280000000000006</v>
      </c>
      <c r="M264" s="124" t="str">
        <f ca="1">CHOOSE(ROUNDUP(P[[#This Row],[Karana1]],0),"Bhava","Baalava","Kaulava","Taitula","Garija","Vanija","Vishti","Shakuni","Chatushapda","Naaga","Kimstugna")</f>
        <v>Vishti</v>
      </c>
      <c r="N26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(25.17)</v>
      </c>
      <c r="O264" s="124">
        <f ca="1">IF(AND(P[[#This Row],[Tithi]]&lt;28.5,P[[#This Row],[Tithi]]&gt;0.49999),MOD((P[[#This Row],[Tithi]]-0.5)*2,7),MOD((P[[#This Row],[Tithi]]+30-28.5),30)*2+7)</f>
        <v>6.2280000000000006</v>
      </c>
      <c r="P264" s="124">
        <f ca="1">ROUNDUP(MOD(360+P[[#This Row],[Moon]]-P[[#This Row],[Sun]],360)/12,4)</f>
        <v>3.6140000000000003</v>
      </c>
      <c r="Q264" s="124">
        <f t="shared" ca="1" si="47"/>
        <v>25.17</v>
      </c>
      <c r="R264" s="124" t="str">
        <f ca="1">SIGN(S265-P[[#This Row],[MARs]])*INT(P[[#This Row],[MARs]]/30+1)&amp;"Ma,"&amp;SIGN(T265-P[[#This Row],[Merc]])*INT(P[[#This Row],[Merc]]/30+1)&amp;"Me,"&amp;SIGN(U265-P[[#This Row],[Jup]])*INT(P[[#This Row],[Jup]]/30+1)&amp;"Ju,"&amp;SIGN(V265-P[[#This Row],[Venu]])*INT(P[[#This Row],[Venu]]/30+1)&amp;"Ve,"&amp;SIGN(W265-P[[#This Row],[Sat]])*INT(P[[#This Row],[Sat]]/30+1)&amp;"Sa,"&amp;INT(P[[#This Row],[Rah]]/30+1)&amp;"Ra"</f>
        <v>10Ma,5Me,7Ju,7Ve,9Sa,4Ra</v>
      </c>
      <c r="S264" s="124">
        <f ca="1">Planet(P[[#This Row],[GMT Sun Rise]],4)</f>
        <v>276.28512297200973</v>
      </c>
      <c r="T264" s="124">
        <f ca="1">Planet(P[[#This Row],[GMT Sun Rise]],2)</f>
        <v>138.80429493348444</v>
      </c>
      <c r="U264" s="124">
        <f ca="1">Planet(P[[#This Row],[GMT Sun Rise]],5)</f>
        <v>204.83711373328495</v>
      </c>
      <c r="V264" s="124">
        <f ca="1">Planet(P[[#This Row],[GMT Sun Rise]],3)</f>
        <v>188.37038775870209</v>
      </c>
      <c r="W264" s="124">
        <f ca="1">Planet(P[[#This Row],[GMT Sun Rise]],6)</f>
        <v>248.46279982288243</v>
      </c>
      <c r="X264" s="124">
        <f ca="1">Planet(P[[#This Row],[GMT Sun Rise]],10)</f>
        <v>99.277391442324642</v>
      </c>
      <c r="Y264" s="124">
        <f ca="1">SIGN(S265-P[[#This Row],[MARs]])</f>
        <v>1</v>
      </c>
    </row>
    <row r="265" spans="1:25" x14ac:dyDescent="0.2">
      <c r="A265" s="125">
        <f t="shared" ca="1" si="40"/>
        <v>43357</v>
      </c>
      <c r="B265" s="125">
        <f t="shared" ca="1" si="41"/>
        <v>43357.229166666664</v>
      </c>
      <c r="C265" s="127">
        <f t="shared" ca="1" si="42"/>
        <v>43357.249640669826</v>
      </c>
      <c r="D265" s="127">
        <f t="shared" ca="1" si="43"/>
        <v>43356.758062183901</v>
      </c>
      <c r="E265" s="189">
        <f ca="1">P[[#This Row],[SunRise]]-TimeZone/24</f>
        <v>43357.020474003162</v>
      </c>
      <c r="F265" s="190">
        <f t="shared" ca="1" si="44"/>
        <v>147.04443240682886</v>
      </c>
      <c r="G265" s="190">
        <f t="shared" ca="1" si="45"/>
        <v>202.80899006190356</v>
      </c>
      <c r="H265" s="191">
        <f t="shared" ca="1" si="46"/>
        <v>43357.020474003162</v>
      </c>
      <c r="I265" s="124" t="str">
        <f ca="1">naks(P[[#This Row],[Moon]])</f>
        <v>Visakha</v>
      </c>
      <c r="J265" s="127">
        <f ca="1">(C266-P[[#This Row],[SunRise]])/(G266-P[[#This Row],[Moon]])*(13.3333333333333-MOD(P[[#This Row],[Moon]],13.333333333333))+P[[#This Row],[SunRise]]</f>
        <v>43358.0628340435</v>
      </c>
      <c r="K265" s="124" t="str">
        <f ca="1">IF(P[[#This Row],[Tithi]]&gt;15,"K","S")&amp;ROUNDUP(MOD(P[[#This Row],[Tithi]],15),0)&amp;" ("&amp;ROUND(P[[#This Row],[Tithi]],2)&amp;")"</f>
        <v>S5 (4.65)</v>
      </c>
      <c r="L265" s="124">
        <f ca="1">IF(AND(P[[#This Row],[Tithi]]&lt;28.5,P[[#This Row],[Tithi]]&gt;0.49999),MOD((P[[#This Row],[Tithi]]-0.5)*2,7),MOD((P[[#This Row],[Tithi]]+30-28.5),30)*2+7)</f>
        <v>1.2942</v>
      </c>
      <c r="M265" s="124" t="str">
        <f ca="1">CHOOSE(ROUNDUP(P[[#This Row],[Karana1]],0),"Bhava","Baalava","Kaulava","Taitula","Garija","Vanija","Vishti","Shakuni","Chatushapda","Naaga","Kimstugna")</f>
        <v>Baalava</v>
      </c>
      <c r="N26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(26.24)</v>
      </c>
      <c r="O265" s="124">
        <f ca="1">IF(AND(P[[#This Row],[Tithi]]&lt;28.5,P[[#This Row],[Tithi]]&gt;0.49999),MOD((P[[#This Row],[Tithi]]-0.5)*2,7),MOD((P[[#This Row],[Tithi]]+30-28.5),30)*2+7)</f>
        <v>1.2942</v>
      </c>
      <c r="P265" s="124">
        <f ca="1">ROUNDUP(MOD(360+P[[#This Row],[Moon]]-P[[#This Row],[Sun]],360)/12,4)</f>
        <v>4.6471</v>
      </c>
      <c r="Q265" s="124">
        <f t="shared" ca="1" si="47"/>
        <v>26.240000000000002</v>
      </c>
      <c r="R265" s="124" t="str">
        <f ca="1">SIGN(S266-P[[#This Row],[MARs]])*INT(P[[#This Row],[MARs]]/30+1)&amp;"Ma,"&amp;SIGN(T266-P[[#This Row],[Merc]])*INT(P[[#This Row],[Merc]]/30+1)&amp;"Me,"&amp;SIGN(U266-P[[#This Row],[Jup]])*INT(P[[#This Row],[Jup]]/30+1)&amp;"Ju,"&amp;SIGN(V266-P[[#This Row],[Venu]])*INT(P[[#This Row],[Venu]]/30+1)&amp;"Ve,"&amp;SIGN(W266-P[[#This Row],[Sat]])*INT(P[[#This Row],[Sat]]/30+1)&amp;"Sa,"&amp;INT(P[[#This Row],[Rah]]/30+1)&amp;"Ra"</f>
        <v>10Ma,5Me,7Ju,7Ve,9Sa,4Ra</v>
      </c>
      <c r="S265" s="124">
        <f ca="1">Planet(P[[#This Row],[GMT Sun Rise]],4)</f>
        <v>276.50456342243564</v>
      </c>
      <c r="T265" s="124">
        <f ca="1">Planet(P[[#This Row],[GMT Sun Rise]],2)</f>
        <v>140.70984922358807</v>
      </c>
      <c r="U265" s="124">
        <f ca="1">Planet(P[[#This Row],[GMT Sun Rise]],5)</f>
        <v>204.9975311675191</v>
      </c>
      <c r="V265" s="124">
        <f ca="1">Planet(P[[#This Row],[GMT Sun Rise]],3)</f>
        <v>189.01413203461905</v>
      </c>
      <c r="W265" s="124">
        <f ca="1">Planet(P[[#This Row],[GMT Sun Rise]],6)</f>
        <v>248.47432380020919</v>
      </c>
      <c r="X265" s="124">
        <f ca="1">Planet(P[[#This Row],[GMT Sun Rise]],10)</f>
        <v>99.22439883862549</v>
      </c>
      <c r="Y265" s="124">
        <f ca="1">SIGN(S266-P[[#This Row],[MARs]])</f>
        <v>1</v>
      </c>
    </row>
    <row r="266" spans="1:25" x14ac:dyDescent="0.2">
      <c r="A266" s="125">
        <f t="shared" ca="1" si="40"/>
        <v>43358</v>
      </c>
      <c r="B266" s="125">
        <f t="shared" ca="1" si="41"/>
        <v>43358.229166666664</v>
      </c>
      <c r="C266" s="127">
        <f t="shared" ca="1" si="42"/>
        <v>43358.249651637081</v>
      </c>
      <c r="D266" s="127">
        <f t="shared" ca="1" si="43"/>
        <v>43357.757558485071</v>
      </c>
      <c r="E266" s="189">
        <f ca="1">P[[#This Row],[SunRise]]-TimeZone/24</f>
        <v>43358.020484970417</v>
      </c>
      <c r="F266" s="190">
        <f t="shared" ca="1" si="44"/>
        <v>148.01857472793023</v>
      </c>
      <c r="G266" s="190">
        <f t="shared" ca="1" si="45"/>
        <v>215.75112539560899</v>
      </c>
      <c r="H266" s="191">
        <f t="shared" ca="1" si="46"/>
        <v>43358.020484970417</v>
      </c>
      <c r="I266" s="124" t="str">
        <f ca="1">naks(P[[#This Row],[Moon]])</f>
        <v>Anuradha</v>
      </c>
      <c r="J266" s="127">
        <f ca="1">(C267-P[[#This Row],[SunRise]])/(G267-P[[#This Row],[Moon]])*(13.3333333333333-MOD(P[[#This Row],[Moon]],13.333333333333))+P[[#This Row],[SunRise]]</f>
        <v>43359.118954709884</v>
      </c>
      <c r="K266" s="124" t="str">
        <f ca="1">IF(P[[#This Row],[Tithi]]&gt;15,"K","S")&amp;ROUNDUP(MOD(P[[#This Row],[Tithi]],15),0)&amp;" ("&amp;ROUND(P[[#This Row],[Tithi]],2)&amp;")"</f>
        <v>S6 (5.64)</v>
      </c>
      <c r="L266" s="124">
        <f ca="1">IF(AND(P[[#This Row],[Tithi]]&lt;28.5,P[[#This Row],[Tithi]]&gt;0.49999),MOD((P[[#This Row],[Tithi]]-0.5)*2,7),MOD((P[[#This Row],[Tithi]]+30-28.5),30)*2+7)</f>
        <v>3.2888000000000002</v>
      </c>
      <c r="M266" s="124" t="str">
        <f ca="1">CHOOSE(ROUNDUP(P[[#This Row],[Karana1]],0),"Bhava","Baalava","Kaulava","Taitula","Garija","Vanija","Vishti","Shakuni","Chatushapda","Naaga","Kimstugna")</f>
        <v>Taitula</v>
      </c>
      <c r="N26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(0.29)</v>
      </c>
      <c r="O266" s="124">
        <f ca="1">IF(AND(P[[#This Row],[Tithi]]&lt;28.5,P[[#This Row],[Tithi]]&gt;0.49999),MOD((P[[#This Row],[Tithi]]-0.5)*2,7),MOD((P[[#This Row],[Tithi]]+30-28.5),30)*2+7)</f>
        <v>3.2888000000000002</v>
      </c>
      <c r="P266" s="124">
        <f ca="1">ROUNDUP(MOD(360+P[[#This Row],[Moon]]-P[[#This Row],[Sun]],360)/12,4)</f>
        <v>5.6444000000000001</v>
      </c>
      <c r="Q266" s="124">
        <f t="shared" ca="1" si="47"/>
        <v>0.29000000000000004</v>
      </c>
      <c r="R266" s="124" t="str">
        <f ca="1">SIGN(S267-P[[#This Row],[MARs]])*INT(P[[#This Row],[MARs]]/30+1)&amp;"Ma,"&amp;SIGN(T267-P[[#This Row],[Merc]])*INT(P[[#This Row],[Merc]]/30+1)&amp;"Me,"&amp;SIGN(U267-P[[#This Row],[Jup]])*INT(P[[#This Row],[Jup]]/30+1)&amp;"Ju,"&amp;SIGN(V267-P[[#This Row],[Venu]])*INT(P[[#This Row],[Venu]]/30+1)&amp;"Ve,"&amp;SIGN(W267-P[[#This Row],[Sat]])*INT(P[[#This Row],[Sat]]/30+1)&amp;"Sa,"&amp;INT(P[[#This Row],[Rah]]/30+1)&amp;"Ra"</f>
        <v>10Ma,5Me,7Ju,7Ve,9Sa,4Ra</v>
      </c>
      <c r="S266" s="124">
        <f ca="1">Planet(P[[#This Row],[GMT Sun Rise]],4)</f>
        <v>276.73573387597531</v>
      </c>
      <c r="T266" s="124">
        <f ca="1">Planet(P[[#This Row],[GMT Sun Rise]],2)</f>
        <v>142.61189580667821</v>
      </c>
      <c r="U266" s="124">
        <f ca="1">Planet(P[[#This Row],[GMT Sun Rise]],5)</f>
        <v>205.15964864813913</v>
      </c>
      <c r="V266" s="124">
        <f ca="1">Planet(P[[#This Row],[GMT Sun Rise]],3)</f>
        <v>189.63868047618939</v>
      </c>
      <c r="W266" s="124">
        <f ca="1">Planet(P[[#This Row],[GMT Sun Rise]],6)</f>
        <v>248.48748439531821</v>
      </c>
      <c r="X266" s="124">
        <f ca="1">Planet(P[[#This Row],[GMT Sun Rise]],10)</f>
        <v>99.171406260229645</v>
      </c>
      <c r="Y266" s="124">
        <f ca="1">SIGN(S267-P[[#This Row],[MARs]])</f>
        <v>1</v>
      </c>
    </row>
    <row r="267" spans="1:25" x14ac:dyDescent="0.2">
      <c r="A267" s="125">
        <f t="shared" ref="A267:A330" ca="1" si="48">A266+1</f>
        <v>43359</v>
      </c>
      <c r="B267" s="125">
        <f t="shared" ca="1" si="41"/>
        <v>43359.229166666664</v>
      </c>
      <c r="C267" s="127">
        <f t="shared" ca="1" si="42"/>
        <v>43359.249662286755</v>
      </c>
      <c r="D267" s="127">
        <f t="shared" ca="1" si="43"/>
        <v>43358.757053673311</v>
      </c>
      <c r="E267" s="189">
        <f ca="1">P[[#This Row],[SunRise]]-TimeZone/24</f>
        <v>43359.020495620091</v>
      </c>
      <c r="F267" s="190">
        <f t="shared" ca="1" si="44"/>
        <v>148.99316325701676</v>
      </c>
      <c r="G267" s="190">
        <f t="shared" ca="1" si="45"/>
        <v>228.30791699056323</v>
      </c>
      <c r="H267" s="191">
        <f t="shared" ca="1" si="46"/>
        <v>43359.020495620091</v>
      </c>
      <c r="I267" s="124" t="str">
        <f ca="1">naks(P[[#This Row],[Moon]])</f>
        <v>Jyestha</v>
      </c>
      <c r="J267" s="127">
        <f ca="1">(C268-P[[#This Row],[SunRise]])/(G268-P[[#This Row],[Moon]])*(13.3333333333333-MOD(P[[#This Row],[Moon]],13.333333333333))+P[[#This Row],[SunRise]]</f>
        <v>43360.204970215505</v>
      </c>
      <c r="K267" s="124" t="str">
        <f ca="1">IF(P[[#This Row],[Tithi]]&gt;15,"K","S")&amp;ROUNDUP(MOD(P[[#This Row],[Tithi]],15),0)&amp;" ("&amp;ROUND(P[[#This Row],[Tithi]],2)&amp;")"</f>
        <v>S7 (6.61)</v>
      </c>
      <c r="L267" s="124">
        <f ca="1">IF(AND(P[[#This Row],[Tithi]]&lt;28.5,P[[#This Row],[Tithi]]&gt;0.49999),MOD((P[[#This Row],[Tithi]]-0.5)*2,7),MOD((P[[#This Row],[Tithi]]+30-28.5),30)*2+7)</f>
        <v>5.219199999999999</v>
      </c>
      <c r="M267" s="124" t="str">
        <f ca="1">CHOOSE(ROUNDUP(P[[#This Row],[Karana1]],0),"Bhava","Baalava","Kaulava","Taitula","Garija","Vanija","Vishti","Shakuni","Chatushapda","Naaga","Kimstugna")</f>
        <v>Vanija</v>
      </c>
      <c r="N26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(1.3)</v>
      </c>
      <c r="O267" s="124">
        <f ca="1">IF(AND(P[[#This Row],[Tithi]]&lt;28.5,P[[#This Row],[Tithi]]&gt;0.49999),MOD((P[[#This Row],[Tithi]]-0.5)*2,7),MOD((P[[#This Row],[Tithi]]+30-28.5),30)*2+7)</f>
        <v>5.219199999999999</v>
      </c>
      <c r="P267" s="124">
        <f ca="1">ROUNDUP(MOD(360+P[[#This Row],[Moon]]-P[[#This Row],[Sun]],360)/12,4)</f>
        <v>6.6095999999999995</v>
      </c>
      <c r="Q267" s="124">
        <f t="shared" ca="1" si="47"/>
        <v>1.3</v>
      </c>
      <c r="R267" s="124" t="str">
        <f ca="1">SIGN(S268-P[[#This Row],[MARs]])*INT(P[[#This Row],[MARs]]/30+1)&amp;"Ma,"&amp;SIGN(T268-P[[#This Row],[Merc]])*INT(P[[#This Row],[Merc]]/30+1)&amp;"Me,"&amp;SIGN(U268-P[[#This Row],[Jup]])*INT(P[[#This Row],[Jup]]/30+1)&amp;"Ju,"&amp;SIGN(V268-P[[#This Row],[Venu]])*INT(P[[#This Row],[Venu]]/30+1)&amp;"Ve,"&amp;SIGN(W268-P[[#This Row],[Sat]])*INT(P[[#This Row],[Sat]]/30+1)&amp;"Sa,"&amp;INT(P[[#This Row],[Rah]]/30+1)&amp;"Ra"</f>
        <v>10Ma,5Me,7Ju,7Ve,9Sa,4Ra</v>
      </c>
      <c r="S267" s="124">
        <f ca="1">Planet(P[[#This Row],[GMT Sun Rise]],4)</f>
        <v>276.97840828584361</v>
      </c>
      <c r="T267" s="124">
        <f ca="1">Planet(P[[#This Row],[GMT Sun Rise]],2)</f>
        <v>144.50762705319366</v>
      </c>
      <c r="U267" s="124">
        <f ca="1">Planet(P[[#This Row],[GMT Sun Rise]],5)</f>
        <v>205.32343794853458</v>
      </c>
      <c r="V267" s="124">
        <f ca="1">Planet(P[[#This Row],[GMT Sun Rise]],3)</f>
        <v>190.2432274930766</v>
      </c>
      <c r="W267" s="124">
        <f ca="1">Planet(P[[#This Row],[GMT Sun Rise]],6)</f>
        <v>248.50227786549166</v>
      </c>
      <c r="X267" s="124">
        <f ca="1">Planet(P[[#This Row],[GMT Sun Rise]],10)</f>
        <v>99.11841369865364</v>
      </c>
      <c r="Y267" s="124">
        <f ca="1">SIGN(S268-P[[#This Row],[MARs]])</f>
        <v>1</v>
      </c>
    </row>
    <row r="268" spans="1:25" x14ac:dyDescent="0.2">
      <c r="A268" s="125">
        <f t="shared" ca="1" si="48"/>
        <v>43360</v>
      </c>
      <c r="B268" s="125">
        <f t="shared" ca="1" si="41"/>
        <v>43360.229166666664</v>
      </c>
      <c r="C268" s="127">
        <f t="shared" ca="1" si="42"/>
        <v>43360.249672777172</v>
      </c>
      <c r="D268" s="127">
        <f t="shared" ca="1" si="43"/>
        <v>43359.756547908342</v>
      </c>
      <c r="E268" s="189">
        <f ca="1">P[[#This Row],[SunRise]]-TimeZone/24</f>
        <v>43360.020506110508</v>
      </c>
      <c r="F268" s="190">
        <f t="shared" ca="1" si="44"/>
        <v>149.96819930671407</v>
      </c>
      <c r="G268" s="190">
        <f t="shared" ca="1" si="45"/>
        <v>240.54711789365371</v>
      </c>
      <c r="H268" s="191">
        <f t="shared" ca="1" si="46"/>
        <v>43360.020506110508</v>
      </c>
      <c r="I268" s="124" t="str">
        <f ca="1">naks(P[[#This Row],[Moon]])</f>
        <v>Moola</v>
      </c>
      <c r="J268" s="127">
        <f ca="1">(C269-P[[#This Row],[SunRise]])/(G269-P[[#This Row],[Moon]])*(13.3333333333333-MOD(P[[#This Row],[Moon]],13.333333333333))+P[[#This Row],[SunRise]]</f>
        <v>43361.314898279881</v>
      </c>
      <c r="K268" s="124" t="str">
        <f ca="1">IF(P[[#This Row],[Tithi]]&gt;15,"K","S")&amp;ROUNDUP(MOD(P[[#This Row],[Tithi]],15),0)&amp;" ("&amp;ROUND(P[[#This Row],[Tithi]],2)&amp;")"</f>
        <v>S8 (7.55)</v>
      </c>
      <c r="L268" s="124">
        <f ca="1">IF(AND(P[[#This Row],[Tithi]]&lt;28.5,P[[#This Row],[Tithi]]&gt;0.49999),MOD((P[[#This Row],[Tithi]]-0.5)*2,7),MOD((P[[#This Row],[Tithi]]+30-28.5),30)*2+7)</f>
        <v>9.6599999999998687E-2</v>
      </c>
      <c r="M268" s="124" t="str">
        <f ca="1">CHOOSE(ROUNDUP(P[[#This Row],[Karana1]],0),"Bhava","Baalava","Kaulava","Taitula","Garija","Vanija","Vishti","Shakuni","Chatushapda","Naaga","Kimstugna")</f>
        <v>Bhava</v>
      </c>
      <c r="N26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(2.29)</v>
      </c>
      <c r="O268" s="124">
        <f ca="1">IF(AND(P[[#This Row],[Tithi]]&lt;28.5,P[[#This Row],[Tithi]]&gt;0.49999),MOD((P[[#This Row],[Tithi]]-0.5)*2,7),MOD((P[[#This Row],[Tithi]]+30-28.5),30)*2+7)</f>
        <v>9.6599999999998687E-2</v>
      </c>
      <c r="P268" s="124">
        <f ca="1">ROUNDUP(MOD(360+P[[#This Row],[Moon]]-P[[#This Row],[Sun]],360)/12,4)</f>
        <v>7.5482999999999993</v>
      </c>
      <c r="Q268" s="124">
        <f t="shared" ca="1" si="47"/>
        <v>2.2899999999999996</v>
      </c>
      <c r="R268" s="124" t="str">
        <f ca="1">SIGN(S269-P[[#This Row],[MARs]])*INT(P[[#This Row],[MARs]]/30+1)&amp;"Ma,"&amp;SIGN(T269-P[[#This Row],[Merc]])*INT(P[[#This Row],[Merc]]/30+1)&amp;"Me,"&amp;SIGN(U269-P[[#This Row],[Jup]])*INT(P[[#This Row],[Jup]]/30+1)&amp;"Ju,"&amp;SIGN(V269-P[[#This Row],[Venu]])*INT(P[[#This Row],[Venu]]/30+1)&amp;"Ve,"&amp;SIGN(W269-P[[#This Row],[Sat]])*INT(P[[#This Row],[Sat]]/30+1)&amp;"Sa,"&amp;INT(P[[#This Row],[Rah]]/30+1)&amp;"Ra"</f>
        <v>10Ma,5Me,7Ju,7Ve,9Sa,4Ra</v>
      </c>
      <c r="S268" s="124">
        <f ca="1">Planet(P[[#This Row],[GMT Sun Rise]],4)</f>
        <v>277.23235396621487</v>
      </c>
      <c r="T268" s="124">
        <f ca="1">Planet(P[[#This Row],[GMT Sun Rise]],2)</f>
        <v>146.39472142352565</v>
      </c>
      <c r="U268" s="124">
        <f ca="1">Planet(P[[#This Row],[GMT Sun Rise]],5)</f>
        <v>205.48887134633699</v>
      </c>
      <c r="V268" s="124">
        <f ca="1">Planet(P[[#This Row],[GMT Sun Rise]],3)</f>
        <v>190.82694225371549</v>
      </c>
      <c r="W268" s="124">
        <f ca="1">Planet(P[[#This Row],[GMT Sun Rise]],6)</f>
        <v>248.51869991398499</v>
      </c>
      <c r="X268" s="124">
        <f ca="1">Planet(P[[#This Row],[GMT Sun Rise]],10)</f>
        <v>99.065421145513938</v>
      </c>
      <c r="Y268" s="124">
        <f ca="1">SIGN(S269-P[[#This Row],[MARs]])</f>
        <v>1</v>
      </c>
    </row>
    <row r="269" spans="1:25" x14ac:dyDescent="0.2">
      <c r="A269" s="125">
        <f t="shared" ca="1" si="48"/>
        <v>43361</v>
      </c>
      <c r="B269" s="125">
        <f t="shared" ca="1" si="41"/>
        <v>43361.229166666664</v>
      </c>
      <c r="C269" s="127">
        <f t="shared" ca="1" si="42"/>
        <v>43361.249683108334</v>
      </c>
      <c r="D269" s="127">
        <f t="shared" ca="1" si="43"/>
        <v>43360.756041666071</v>
      </c>
      <c r="E269" s="189">
        <f ca="1">P[[#This Row],[SunRise]]-TimeZone/24</f>
        <v>43361.020516441669</v>
      </c>
      <c r="F269" s="190">
        <f t="shared" ca="1" si="44"/>
        <v>150.94368676520264</v>
      </c>
      <c r="G269" s="190">
        <f t="shared" ca="1" si="45"/>
        <v>252.55053642200912</v>
      </c>
      <c r="H269" s="191">
        <f t="shared" ca="1" si="46"/>
        <v>43361.020516441669</v>
      </c>
      <c r="I269" s="124" t="str">
        <f ca="1">naks(P[[#This Row],[Moon]])</f>
        <v>Moola</v>
      </c>
      <c r="J269" s="127">
        <f ca="1">(C270-P[[#This Row],[SunRise]])/(G270-P[[#This Row],[Moon]])*(13.3333333333333-MOD(P[[#This Row],[Moon]],13.333333333333))+P[[#This Row],[SunRise]]</f>
        <v>43361.315714512544</v>
      </c>
      <c r="K269" s="124" t="str">
        <f ca="1">IF(P[[#This Row],[Tithi]]&gt;15,"K","S")&amp;ROUNDUP(MOD(P[[#This Row],[Tithi]],15),0)&amp;" ("&amp;ROUND(P[[#This Row],[Tithi]],2)&amp;")"</f>
        <v>S9 (8.47)</v>
      </c>
      <c r="L269" s="124">
        <f ca="1">IF(AND(P[[#This Row],[Tithi]]&lt;28.5,P[[#This Row],[Tithi]]&gt;0.49999),MOD((P[[#This Row],[Tithi]]-0.5)*2,7),MOD((P[[#This Row],[Tithi]]+30-28.5),30)*2+7)</f>
        <v>1.9345999999999997</v>
      </c>
      <c r="M269" s="124" t="str">
        <f ca="1">CHOOSE(ROUNDUP(P[[#This Row],[Karana1]],0),"Bhava","Baalava","Kaulava","Taitula","Garija","Vanija","Vishti","Shakuni","Chatushapda","Naaga","Kimstugna")</f>
        <v>Baalava</v>
      </c>
      <c r="N26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(3.27)</v>
      </c>
      <c r="O269" s="124">
        <f ca="1">IF(AND(P[[#This Row],[Tithi]]&lt;28.5,P[[#This Row],[Tithi]]&gt;0.49999),MOD((P[[#This Row],[Tithi]]-0.5)*2,7),MOD((P[[#This Row],[Tithi]]+30-28.5),30)*2+7)</f>
        <v>1.9345999999999997</v>
      </c>
      <c r="P269" s="124">
        <f ca="1">ROUNDUP(MOD(360+P[[#This Row],[Moon]]-P[[#This Row],[Sun]],360)/12,4)</f>
        <v>8.4672999999999998</v>
      </c>
      <c r="Q269" s="124">
        <f t="shared" ca="1" si="47"/>
        <v>3.2699999999999996</v>
      </c>
      <c r="R269" s="124" t="str">
        <f ca="1">SIGN(S270-P[[#This Row],[MARs]])*INT(P[[#This Row],[MARs]]/30+1)&amp;"Ma,"&amp;SIGN(T270-P[[#This Row],[Merc]])*INT(P[[#This Row],[Merc]]/30+1)&amp;"Me,"&amp;SIGN(U270-P[[#This Row],[Jup]])*INT(P[[#This Row],[Jup]]/30+1)&amp;"Ju,"&amp;SIGN(V270-P[[#This Row],[Venu]])*INT(P[[#This Row],[Venu]]/30+1)&amp;"Ve,"&amp;SIGN(W270-P[[#This Row],[Sat]])*INT(P[[#This Row],[Sat]]/30+1)&amp;"Sa,"&amp;INT(P[[#This Row],[Rah]]/30+1)&amp;"Ra"</f>
        <v>10Ma,5Me,7Ju,7Ve,9Sa,4Ra</v>
      </c>
      <c r="S269" s="124">
        <f ca="1">Planet(P[[#This Row],[GMT Sun Rise]],4)</f>
        <v>277.49733415530011</v>
      </c>
      <c r="T269" s="124">
        <f ca="1">Planet(P[[#This Row],[GMT Sun Rise]],2)</f>
        <v>148.27128881977023</v>
      </c>
      <c r="U269" s="124">
        <f ca="1">Planet(P[[#This Row],[GMT Sun Rise]],5)</f>
        <v>205.65592165497799</v>
      </c>
      <c r="V269" s="124">
        <f ca="1">Planet(P[[#This Row],[GMT Sun Rise]],3)</f>
        <v>191.38896913674003</v>
      </c>
      <c r="W269" s="124">
        <f ca="1">Planet(P[[#This Row],[GMT Sun Rise]],6)</f>
        <v>248.53674578713355</v>
      </c>
      <c r="X269" s="124">
        <f ca="1">Planet(P[[#This Row],[GMT Sun Rise]],10)</f>
        <v>99.01242860082688</v>
      </c>
      <c r="Y269" s="124">
        <f ca="1">SIGN(S270-P[[#This Row],[MARs]])</f>
        <v>1</v>
      </c>
    </row>
    <row r="270" spans="1:25" x14ac:dyDescent="0.2">
      <c r="A270" s="125">
        <f t="shared" ca="1" si="48"/>
        <v>43362</v>
      </c>
      <c r="B270" s="125">
        <f t="shared" ca="1" si="41"/>
        <v>43362.229166666664</v>
      </c>
      <c r="C270" s="127">
        <f t="shared" ca="1" si="42"/>
        <v>43362.249693758007</v>
      </c>
      <c r="D270" s="127">
        <f t="shared" ca="1" si="43"/>
        <v>43361.755534946962</v>
      </c>
      <c r="E270" s="189">
        <f ca="1">P[[#This Row],[SunRise]]-TimeZone/24</f>
        <v>43362.020527091343</v>
      </c>
      <c r="F270" s="190">
        <f t="shared" ca="1" si="44"/>
        <v>151.91963227669262</v>
      </c>
      <c r="G270" s="190">
        <f t="shared" ca="1" si="45"/>
        <v>264.40558111205382</v>
      </c>
      <c r="H270" s="191">
        <f t="shared" ca="1" si="46"/>
        <v>43362.020527091343</v>
      </c>
      <c r="I270" s="124" t="str">
        <f ca="1">naks(P[[#This Row],[Moon]])</f>
        <v>Purva Asadha</v>
      </c>
      <c r="J270" s="127">
        <f ca="1">(C271-P[[#This Row],[SunRise]])/(G271-P[[#This Row],[Moon]])*(13.3333333333333-MOD(P[[#This Row],[Moon]],13.333333333333))+P[[#This Row],[SunRise]]</f>
        <v>43362.441427545062</v>
      </c>
      <c r="K270" s="124" t="str">
        <f ca="1">IF(P[[#This Row],[Tithi]]&gt;15,"K","S")&amp;ROUNDUP(MOD(P[[#This Row],[Tithi]],15),0)&amp;" ("&amp;ROUND(P[[#This Row],[Tithi]],2)&amp;")"</f>
        <v>S10 (9.37)</v>
      </c>
      <c r="L270" s="124">
        <f ca="1">IF(AND(P[[#This Row],[Tithi]]&lt;28.5,P[[#This Row],[Tithi]]&gt;0.49999),MOD((P[[#This Row],[Tithi]]-0.5)*2,7),MOD((P[[#This Row],[Tithi]]+30-28.5),30)*2+7)</f>
        <v>3.747799999999998</v>
      </c>
      <c r="M270" s="124" t="str">
        <f ca="1">CHOOSE(ROUNDUP(P[[#This Row],[Karana1]],0),"Bhava","Baalava","Kaulava","Taitula","Garija","Vanija","Vishti","Shakuni","Chatushapda","Naaga","Kimstugna")</f>
        <v>Taitula</v>
      </c>
      <c r="N27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(4.23)</v>
      </c>
      <c r="O270" s="124">
        <f ca="1">IF(AND(P[[#This Row],[Tithi]]&lt;28.5,P[[#This Row],[Tithi]]&gt;0.49999),MOD((P[[#This Row],[Tithi]]-0.5)*2,7),MOD((P[[#This Row],[Tithi]]+30-28.5),30)*2+7)</f>
        <v>3.747799999999998</v>
      </c>
      <c r="P270" s="124">
        <f ca="1">ROUNDUP(MOD(360+P[[#This Row],[Moon]]-P[[#This Row],[Sun]],360)/12,4)</f>
        <v>9.373899999999999</v>
      </c>
      <c r="Q270" s="124">
        <f t="shared" ca="1" si="47"/>
        <v>4.2299999999999995</v>
      </c>
      <c r="R270" s="124" t="str">
        <f ca="1">SIGN(S271-P[[#This Row],[MARs]])*INT(P[[#This Row],[MARs]]/30+1)&amp;"Ma,"&amp;SIGN(T271-P[[#This Row],[Merc]])*INT(P[[#This Row],[Merc]]/30+1)&amp;"Me,"&amp;SIGN(U271-P[[#This Row],[Jup]])*INT(P[[#This Row],[Jup]]/30+1)&amp;"Ju,"&amp;SIGN(V271-P[[#This Row],[Venu]])*INT(P[[#This Row],[Venu]]/30+1)&amp;"Ve,"&amp;SIGN(W271-P[[#This Row],[Sat]])*INT(P[[#This Row],[Sat]]/30+1)&amp;"Sa,"&amp;INT(P[[#This Row],[Rah]]/30+1)&amp;"Ra"</f>
        <v>10Ma,6Me,7Ju,7Ve,9Sa,4Ra</v>
      </c>
      <c r="S270" s="124">
        <f ca="1">Planet(P[[#This Row],[GMT Sun Rise]],4)</f>
        <v>277.77311018392783</v>
      </c>
      <c r="T270" s="124">
        <f ca="1">Planet(P[[#This Row],[GMT Sun Rise]],2)</f>
        <v>150.13581871140727</v>
      </c>
      <c r="U270" s="124">
        <f ca="1">Planet(P[[#This Row],[GMT Sun Rise]],5)</f>
        <v>205.82456234601815</v>
      </c>
      <c r="V270" s="124">
        <f ca="1">Planet(P[[#This Row],[GMT Sun Rise]],3)</f>
        <v>191.9284285532004</v>
      </c>
      <c r="W270" s="124">
        <f ca="1">Planet(P[[#This Row],[GMT Sun Rise]],6)</f>
        <v>248.55641035727382</v>
      </c>
      <c r="X270" s="124">
        <f ca="1">Planet(P[[#This Row],[GMT Sun Rise]],10)</f>
        <v>98.959436039242291</v>
      </c>
      <c r="Y270" s="124">
        <f ca="1">SIGN(S271-P[[#This Row],[MARs]])</f>
        <v>1</v>
      </c>
    </row>
    <row r="271" spans="1:25" x14ac:dyDescent="0.2">
      <c r="A271" s="125">
        <f t="shared" ca="1" si="48"/>
        <v>43363</v>
      </c>
      <c r="B271" s="125">
        <f t="shared" ca="1" si="41"/>
        <v>43363.229166666664</v>
      </c>
      <c r="C271" s="127">
        <f t="shared" ca="1" si="42"/>
        <v>43363.249704884052</v>
      </c>
      <c r="D271" s="127">
        <f t="shared" ca="1" si="43"/>
        <v>43362.755028228319</v>
      </c>
      <c r="E271" s="189">
        <f ca="1">P[[#This Row],[SunRise]]-TimeZone/24</f>
        <v>43363.020538217388</v>
      </c>
      <c r="F271" s="190">
        <f t="shared" ca="1" si="44"/>
        <v>152.8960441006391</v>
      </c>
      <c r="G271" s="190">
        <f t="shared" ca="1" si="45"/>
        <v>276.19855065757827</v>
      </c>
      <c r="H271" s="191">
        <f t="shared" ca="1" si="46"/>
        <v>43363.020538217388</v>
      </c>
      <c r="I271" s="124" t="str">
        <f ca="1">naks(P[[#This Row],[Moon]])</f>
        <v>Uttara Asadha</v>
      </c>
      <c r="J271" s="127">
        <f ca="1">(C272-P[[#This Row],[SunRise]])/(G272-P[[#This Row],[Moon]])*(13.3333333333333-MOD(P[[#This Row],[Moon]],13.333333333333))+P[[#This Row],[SunRise]]</f>
        <v>43363.571562748548</v>
      </c>
      <c r="K271" s="124" t="str">
        <f ca="1">IF(P[[#This Row],[Tithi]]&gt;15,"K","S")&amp;ROUNDUP(MOD(P[[#This Row],[Tithi]],15),0)&amp;" ("&amp;ROUND(P[[#This Row],[Tithi]],2)&amp;")"</f>
        <v>S11 (10.28)</v>
      </c>
      <c r="L271" s="124">
        <f ca="1">IF(AND(P[[#This Row],[Tithi]]&lt;28.5,P[[#This Row],[Tithi]]&gt;0.49999),MOD((P[[#This Row],[Tithi]]-0.5)*2,7),MOD((P[[#This Row],[Tithi]]+30-28.5),30)*2+7)</f>
        <v>5.5505999999999993</v>
      </c>
      <c r="M271" s="124" t="str">
        <f ca="1">CHOOSE(ROUNDUP(P[[#This Row],[Karana1]],0),"Bhava","Baalava","Kaulava","Taitula","Garija","Vanija","Vishti","Shakuni","Chatushapda","Naaga","Kimstugna")</f>
        <v>Vanija</v>
      </c>
      <c r="N27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(5.19)</v>
      </c>
      <c r="O271" s="124">
        <f ca="1">IF(AND(P[[#This Row],[Tithi]]&lt;28.5,P[[#This Row],[Tithi]]&gt;0.49999),MOD((P[[#This Row],[Tithi]]-0.5)*2,7),MOD((P[[#This Row],[Tithi]]+30-28.5),30)*2+7)</f>
        <v>5.5505999999999993</v>
      </c>
      <c r="P271" s="124">
        <f ca="1">ROUNDUP(MOD(360+P[[#This Row],[Moon]]-P[[#This Row],[Sun]],360)/12,4)</f>
        <v>10.2753</v>
      </c>
      <c r="Q271" s="124">
        <f t="shared" ca="1" si="47"/>
        <v>5.1899999999999995</v>
      </c>
      <c r="R271" s="124" t="str">
        <f ca="1">SIGN(S272-P[[#This Row],[MARs]])*INT(P[[#This Row],[MARs]]/30+1)&amp;"Ma,"&amp;SIGN(T272-P[[#This Row],[Merc]])*INT(P[[#This Row],[Merc]]/30+1)&amp;"Me,"&amp;SIGN(U272-P[[#This Row],[Jup]])*INT(P[[#This Row],[Jup]]/30+1)&amp;"Ju,"&amp;SIGN(V272-P[[#This Row],[Venu]])*INT(P[[#This Row],[Venu]]/30+1)&amp;"Ve,"&amp;SIGN(W272-P[[#This Row],[Sat]])*INT(P[[#This Row],[Sat]]/30+1)&amp;"Sa,"&amp;INT(P[[#This Row],[Rah]]/30+1)&amp;"Ra"</f>
        <v>10Ma,6Me,7Ju,7Ve,9Sa,4Ra</v>
      </c>
      <c r="S271" s="124">
        <f ca="1">Planet(P[[#This Row],[GMT Sun Rise]],4)</f>
        <v>278.05944271310887</v>
      </c>
      <c r="T271" s="124">
        <f ca="1">Planet(P[[#This Row],[GMT Sun Rise]],2)</f>
        <v>151.98712943777639</v>
      </c>
      <c r="U271" s="124">
        <f ca="1">Planet(P[[#This Row],[GMT Sun Rise]],5)</f>
        <v>205.9947674018384</v>
      </c>
      <c r="V271" s="124">
        <f ca="1">Planet(P[[#This Row],[GMT Sun Rise]],3)</f>
        <v>192.44441710089845</v>
      </c>
      <c r="W271" s="124">
        <f ca="1">Planet(P[[#This Row],[GMT Sun Rise]],6)</f>
        <v>248.57768815495621</v>
      </c>
      <c r="X271" s="124">
        <f ca="1">Planet(P[[#This Row],[GMT Sun Rise]],10)</f>
        <v>98.906443452426117</v>
      </c>
      <c r="Y271" s="124">
        <f ca="1">SIGN(S272-P[[#This Row],[MARs]])</f>
        <v>1</v>
      </c>
    </row>
    <row r="272" spans="1:25" x14ac:dyDescent="0.2">
      <c r="A272" s="125">
        <f t="shared" ca="1" si="48"/>
        <v>43364</v>
      </c>
      <c r="B272" s="125">
        <f t="shared" ca="1" si="41"/>
        <v>43364.229166666664</v>
      </c>
      <c r="C272" s="127">
        <f t="shared" ca="1" si="42"/>
        <v>43364.249716646191</v>
      </c>
      <c r="D272" s="127">
        <f t="shared" ca="1" si="43"/>
        <v>43363.754521827257</v>
      </c>
      <c r="E272" s="189">
        <f ca="1">P[[#This Row],[SunRise]]-TimeZone/24</f>
        <v>43364.020549979527</v>
      </c>
      <c r="F272" s="190">
        <f t="shared" ca="1" si="44"/>
        <v>153.87293219155742</v>
      </c>
      <c r="G272" s="190">
        <f t="shared" ca="1" si="45"/>
        <v>288.00964640808729</v>
      </c>
      <c r="H272" s="191">
        <f t="shared" ca="1" si="46"/>
        <v>43364.020549979527</v>
      </c>
      <c r="I272" s="124" t="str">
        <f ca="1">naks(P[[#This Row],[Moon]])</f>
        <v>Sravana</v>
      </c>
      <c r="J272" s="127">
        <f ca="1">(C273-P[[#This Row],[SunRise]])/(G273-P[[#This Row],[Moon]])*(13.3333333333333-MOD(P[[#This Row],[Moon]],13.333333333333))+P[[#This Row],[SunRise]]</f>
        <v>43364.697106060557</v>
      </c>
      <c r="K272" s="124" t="str">
        <f ca="1">IF(P[[#This Row],[Tithi]]&gt;15,"K","S")&amp;ROUNDUP(MOD(P[[#This Row],[Tithi]],15),0)&amp;" ("&amp;ROUND(P[[#This Row],[Tithi]],2)&amp;")"</f>
        <v>S12 (11.18)</v>
      </c>
      <c r="L272" s="124">
        <f ca="1">IF(AND(P[[#This Row],[Tithi]]&lt;28.5,P[[#This Row],[Tithi]]&gt;0.49999),MOD((P[[#This Row],[Tithi]]-0.5)*2,7),MOD((P[[#This Row],[Tithi]]+30-28.5),30)*2+7)</f>
        <v>0.35620000000000118</v>
      </c>
      <c r="M272" s="124" t="str">
        <f ca="1">CHOOSE(ROUNDUP(P[[#This Row],[Karana1]],0),"Bhava","Baalava","Kaulava","Taitula","Garija","Vanija","Vishti","Shakuni","Chatushapda","Naaga","Kimstugna")</f>
        <v>Bhava</v>
      </c>
      <c r="N27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(6.15)</v>
      </c>
      <c r="O272" s="124">
        <f ca="1">IF(AND(P[[#This Row],[Tithi]]&lt;28.5,P[[#This Row],[Tithi]]&gt;0.49999),MOD((P[[#This Row],[Tithi]]-0.5)*2,7),MOD((P[[#This Row],[Tithi]]+30-28.5),30)*2+7)</f>
        <v>0.35620000000000118</v>
      </c>
      <c r="P272" s="124">
        <f ca="1">ROUNDUP(MOD(360+P[[#This Row],[Moon]]-P[[#This Row],[Sun]],360)/12,4)</f>
        <v>11.178100000000001</v>
      </c>
      <c r="Q272" s="124">
        <f t="shared" ca="1" si="47"/>
        <v>6.1499999999999995</v>
      </c>
      <c r="R272" s="124" t="str">
        <f ca="1">SIGN(S273-P[[#This Row],[MARs]])*INT(P[[#This Row],[MARs]]/30+1)&amp;"Ma,"&amp;SIGN(T273-P[[#This Row],[Merc]])*INT(P[[#This Row],[Merc]]/30+1)&amp;"Me,"&amp;SIGN(U273-P[[#This Row],[Jup]])*INT(P[[#This Row],[Jup]]/30+1)&amp;"Ju,"&amp;SIGN(V273-P[[#This Row],[Venu]])*INT(P[[#This Row],[Venu]]/30+1)&amp;"Ve,"&amp;SIGN(W273-P[[#This Row],[Sat]])*INT(P[[#This Row],[Sat]]/30+1)&amp;"Sa,"&amp;INT(P[[#This Row],[Rah]]/30+1)&amp;"Ra"</f>
        <v>10Ma,6Me,7Ju,7Ve,9Sa,4Ra</v>
      </c>
      <c r="S272" s="124">
        <f ca="1">Planet(P[[#This Row],[GMT Sun Rise]],4)</f>
        <v>278.35609281850026</v>
      </c>
      <c r="T272" s="124">
        <f ca="1">Planet(P[[#This Row],[GMT Sun Rise]],2)</f>
        <v>153.82432363748384</v>
      </c>
      <c r="U272" s="124">
        <f ca="1">Planet(P[[#This Row],[GMT Sun Rise]],5)</f>
        <v>206.16651134996556</v>
      </c>
      <c r="V272" s="124">
        <f ca="1">Planet(P[[#This Row],[GMT Sun Rise]],3)</f>
        <v>192.93600877853677</v>
      </c>
      <c r="W272" s="124">
        <f ca="1">Planet(P[[#This Row],[GMT Sun Rise]],6)</f>
        <v>248.60057340069571</v>
      </c>
      <c r="X272" s="124">
        <f ca="1">Planet(P[[#This Row],[GMT Sun Rise]],10)</f>
        <v>98.853450831911601</v>
      </c>
      <c r="Y272" s="124">
        <f ca="1">SIGN(S273-P[[#This Row],[MARs]])</f>
        <v>1</v>
      </c>
    </row>
    <row r="273" spans="1:25" x14ac:dyDescent="0.2">
      <c r="A273" s="125">
        <f t="shared" ca="1" si="48"/>
        <v>43365</v>
      </c>
      <c r="B273" s="125">
        <f t="shared" ca="1" si="41"/>
        <v>43365.229166666664</v>
      </c>
      <c r="C273" s="127">
        <f t="shared" ca="1" si="42"/>
        <v>43365.249729202747</v>
      </c>
      <c r="D273" s="127">
        <f t="shared" ca="1" si="43"/>
        <v>43364.754015903032</v>
      </c>
      <c r="E273" s="189">
        <f ca="1">P[[#This Row],[SunRise]]-TimeZone/24</f>
        <v>43365.020562536083</v>
      </c>
      <c r="F273" s="190">
        <f t="shared" ca="1" si="44"/>
        <v>154.85030810167223</v>
      </c>
      <c r="G273" s="190">
        <f t="shared" ca="1" si="45"/>
        <v>299.90924349609054</v>
      </c>
      <c r="H273" s="191">
        <f t="shared" ca="1" si="46"/>
        <v>43365.020562536083</v>
      </c>
      <c r="I273" s="124" t="str">
        <f ca="1">naks(P[[#This Row],[Moon]])</f>
        <v>Dhanistha</v>
      </c>
      <c r="J273" s="127">
        <f ca="1">(C274-P[[#This Row],[SunRise]])/(G274-P[[#This Row],[Moon]])*(13.3333333333333-MOD(P[[#This Row],[Moon]],13.333333333333))+P[[#This Row],[SunRise]]</f>
        <v>43365.810719647074</v>
      </c>
      <c r="K273" s="124" t="str">
        <f ca="1">IF(P[[#This Row],[Tithi]]&gt;15,"K","S")&amp;ROUNDUP(MOD(P[[#This Row],[Tithi]],15),0)&amp;" ("&amp;ROUND(P[[#This Row],[Tithi]],2)&amp;")"</f>
        <v>S13 (12.09)</v>
      </c>
      <c r="L273" s="124">
        <f ca="1">IF(AND(P[[#This Row],[Tithi]]&lt;28.5,P[[#This Row],[Tithi]]&gt;0.49999),MOD((P[[#This Row],[Tithi]]-0.5)*2,7),MOD((P[[#This Row],[Tithi]]+30-28.5),30)*2+7)</f>
        <v>2.1766000000000005</v>
      </c>
      <c r="M273" s="124" t="str">
        <f ca="1">CHOOSE(ROUNDUP(P[[#This Row],[Karana1]],0),"Bhava","Baalava","Kaulava","Taitula","Garija","Vanija","Vishti","Shakuni","Chatushapda","Naaga","Kimstugna")</f>
        <v>Kaulava</v>
      </c>
      <c r="N27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(7.11)</v>
      </c>
      <c r="O273" s="124">
        <f ca="1">IF(AND(P[[#This Row],[Tithi]]&lt;28.5,P[[#This Row],[Tithi]]&gt;0.49999),MOD((P[[#This Row],[Tithi]]-0.5)*2,7),MOD((P[[#This Row],[Tithi]]+30-28.5),30)*2+7)</f>
        <v>2.1766000000000005</v>
      </c>
      <c r="P273" s="124">
        <f ca="1">ROUNDUP(MOD(360+P[[#This Row],[Moon]]-P[[#This Row],[Sun]],360)/12,4)</f>
        <v>12.0883</v>
      </c>
      <c r="Q273" s="124">
        <f t="shared" ca="1" si="47"/>
        <v>7.1099999999999994</v>
      </c>
      <c r="R273" s="124" t="str">
        <f ca="1">SIGN(S274-P[[#This Row],[MARs]])*INT(P[[#This Row],[MARs]]/30+1)&amp;"Ma,"&amp;SIGN(T274-P[[#This Row],[Merc]])*INT(P[[#This Row],[Merc]]/30+1)&amp;"Me,"&amp;SIGN(U274-P[[#This Row],[Jup]])*INT(P[[#This Row],[Jup]]/30+1)&amp;"Ju,"&amp;SIGN(V274-P[[#This Row],[Venu]])*INT(P[[#This Row],[Venu]]/30+1)&amp;"Ve,"&amp;SIGN(W274-P[[#This Row],[Sat]])*INT(P[[#This Row],[Sat]]/30+1)&amp;"Sa,"&amp;INT(P[[#This Row],[Rah]]/30+1)&amp;"Ra"</f>
        <v>10Ma,6Me,7Ju,7Ve,9Sa,4Ra</v>
      </c>
      <c r="S273" s="124">
        <f ca="1">Planet(P[[#This Row],[GMT Sun Rise]],4)</f>
        <v>278.66282274252865</v>
      </c>
      <c r="T273" s="124">
        <f ca="1">Planet(P[[#This Row],[GMT Sun Rise]],2)</f>
        <v>155.64673109371947</v>
      </c>
      <c r="U273" s="124">
        <f ca="1">Planet(P[[#This Row],[GMT Sun Rise]],5)</f>
        <v>206.339769253273</v>
      </c>
      <c r="V273" s="124">
        <f ca="1">Planet(P[[#This Row],[GMT Sun Rise]],3)</f>
        <v>193.40225671046639</v>
      </c>
      <c r="W273" s="124">
        <f ca="1">Planet(P[[#This Row],[GMT Sun Rise]],6)</f>
        <v>248.62506003016466</v>
      </c>
      <c r="X273" s="124">
        <f ca="1">Planet(P[[#This Row],[GMT Sun Rise]],10)</f>
        <v>98.800458169314979</v>
      </c>
      <c r="Y273" s="124">
        <f ca="1">SIGN(S274-P[[#This Row],[MARs]])</f>
        <v>1</v>
      </c>
    </row>
    <row r="274" spans="1:25" x14ac:dyDescent="0.2">
      <c r="A274" s="125">
        <f t="shared" ca="1" si="48"/>
        <v>43366</v>
      </c>
      <c r="B274" s="125">
        <f t="shared" ca="1" si="41"/>
        <v>43366.229166666664</v>
      </c>
      <c r="C274" s="127">
        <f t="shared" ca="1" si="42"/>
        <v>43366.249742872234</v>
      </c>
      <c r="D274" s="127">
        <f t="shared" ca="1" si="43"/>
        <v>43365.753510773226</v>
      </c>
      <c r="E274" s="189">
        <f ca="1">P[[#This Row],[SunRise]]-TimeZone/24</f>
        <v>43366.02057620557</v>
      </c>
      <c r="F274" s="190">
        <f t="shared" ca="1" si="44"/>
        <v>155.82818515887348</v>
      </c>
      <c r="G274" s="190">
        <f t="shared" ca="1" si="45"/>
        <v>311.95493092170159</v>
      </c>
      <c r="H274" s="191">
        <f t="shared" ca="1" si="46"/>
        <v>43366.02057620557</v>
      </c>
      <c r="I274" s="124" t="str">
        <f ca="1">naks(P[[#This Row],[Moon]])</f>
        <v>Satabhisaj</v>
      </c>
      <c r="J274" s="127">
        <f ca="1">(C275-P[[#This Row],[SunRise]])/(G275-P[[#This Row],[Moon]])*(13.3333333333333-MOD(P[[#This Row],[Moon]],13.333333333333))+P[[#This Row],[SunRise]]</f>
        <v>43366.907334377713</v>
      </c>
      <c r="K274" s="124" t="str">
        <f ca="1">IF(P[[#This Row],[Tithi]]&gt;15,"K","S")&amp;ROUNDUP(MOD(P[[#This Row],[Tithi]],15),0)&amp;" ("&amp;ROUND(P[[#This Row],[Tithi]],2)&amp;")"</f>
        <v>S14 (13.01)</v>
      </c>
      <c r="L274" s="124">
        <f ca="1">IF(AND(P[[#This Row],[Tithi]]&lt;28.5,P[[#This Row],[Tithi]]&gt;0.49999),MOD((P[[#This Row],[Tithi]]-0.5)*2,7),MOD((P[[#This Row],[Tithi]]+30-28.5),30)*2+7)</f>
        <v>4.0212000000000003</v>
      </c>
      <c r="M274" s="124" t="str">
        <f ca="1">CHOOSE(ROUNDUP(P[[#This Row],[Karana1]],0),"Bhava","Baalava","Kaulava","Taitula","Garija","Vanija","Vishti","Shakuni","Chatushapda","Naaga","Kimstugna")</f>
        <v>Garija</v>
      </c>
      <c r="N27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(8.09)</v>
      </c>
      <c r="O274" s="124">
        <f ca="1">IF(AND(P[[#This Row],[Tithi]]&lt;28.5,P[[#This Row],[Tithi]]&gt;0.49999),MOD((P[[#This Row],[Tithi]]-0.5)*2,7),MOD((P[[#This Row],[Tithi]]+30-28.5),30)*2+7)</f>
        <v>4.0212000000000003</v>
      </c>
      <c r="P274" s="124">
        <f ca="1">ROUNDUP(MOD(360+P[[#This Row],[Moon]]-P[[#This Row],[Sun]],360)/12,4)</f>
        <v>13.0106</v>
      </c>
      <c r="Q274" s="124">
        <f t="shared" ca="1" si="47"/>
        <v>8.09</v>
      </c>
      <c r="R274" s="124" t="str">
        <f ca="1">SIGN(S275-P[[#This Row],[MARs]])*INT(P[[#This Row],[MARs]]/30+1)&amp;"Ma,"&amp;SIGN(T275-P[[#This Row],[Merc]])*INT(P[[#This Row],[Merc]]/30+1)&amp;"Me,"&amp;SIGN(U275-P[[#This Row],[Jup]])*INT(P[[#This Row],[Jup]]/30+1)&amp;"Ju,"&amp;SIGN(V275-P[[#This Row],[Venu]])*INT(P[[#This Row],[Venu]]/30+1)&amp;"Ve,"&amp;SIGN(W275-P[[#This Row],[Sat]])*INT(P[[#This Row],[Sat]]/30+1)&amp;"Sa,"&amp;INT(P[[#This Row],[Rah]]/30+1)&amp;"Ra"</f>
        <v>10Ma,6Me,7Ju,7Ve,9Sa,4Ra</v>
      </c>
      <c r="S274" s="124">
        <f ca="1">Planet(P[[#This Row],[GMT Sun Rise]],4)</f>
        <v>278.9793967012717</v>
      </c>
      <c r="T274" s="124">
        <f ca="1">Planet(P[[#This Row],[GMT Sun Rise]],2)</f>
        <v>157.45387674656772</v>
      </c>
      <c r="U274" s="124">
        <f ca="1">Planet(P[[#This Row],[GMT Sun Rise]],5)</f>
        <v>206.51451675813541</v>
      </c>
      <c r="V274" s="124">
        <f ca="1">Planet(P[[#This Row],[GMT Sun Rise]],3)</f>
        <v>193.84219587761629</v>
      </c>
      <c r="W274" s="124">
        <f ca="1">Planet(P[[#This Row],[GMT Sun Rise]],6)</f>
        <v>248.65114173403046</v>
      </c>
      <c r="X274" s="124">
        <f ca="1">Planet(P[[#This Row],[GMT Sun Rise]],10)</f>
        <v>98.74746544773609</v>
      </c>
      <c r="Y274" s="124">
        <f ca="1">SIGN(S275-P[[#This Row],[MARs]])</f>
        <v>1</v>
      </c>
    </row>
    <row r="275" spans="1:25" x14ac:dyDescent="0.2">
      <c r="A275" s="125">
        <f t="shared" ca="1" si="48"/>
        <v>43367</v>
      </c>
      <c r="B275" s="125">
        <f t="shared" ca="1" si="41"/>
        <v>43367.229166666664</v>
      </c>
      <c r="C275" s="127">
        <f t="shared" ca="1" si="42"/>
        <v>43367.249757812977</v>
      </c>
      <c r="D275" s="127">
        <f t="shared" ca="1" si="43"/>
        <v>43366.753006756349</v>
      </c>
      <c r="E275" s="189">
        <f ca="1">P[[#This Row],[SunRise]]-TimeZone/24</f>
        <v>43367.020591146313</v>
      </c>
      <c r="F275" s="190">
        <f t="shared" ca="1" si="44"/>
        <v>156.80657818585613</v>
      </c>
      <c r="G275" s="190">
        <f t="shared" ca="1" si="45"/>
        <v>324.18925756762616</v>
      </c>
      <c r="H275" s="191">
        <f t="shared" ca="1" si="46"/>
        <v>43367.020591146313</v>
      </c>
      <c r="I275" s="124" t="str">
        <f ca="1">naks(P[[#This Row],[Moon]])</f>
        <v>Purva Bhadrapada</v>
      </c>
      <c r="J275" s="127">
        <f ca="1">(C276-P[[#This Row],[SunRise]])/(G276-P[[#This Row],[Moon]])*(13.3333333333333-MOD(P[[#This Row],[Moon]],13.333333333333))+P[[#This Row],[SunRise]]</f>
        <v>43367.984269256718</v>
      </c>
      <c r="K275" s="124" t="str">
        <f ca="1">IF(P[[#This Row],[Tithi]]&gt;15,"K","S")&amp;ROUNDUP(MOD(P[[#This Row],[Tithi]],15),0)&amp;" ("&amp;ROUND(P[[#This Row],[Tithi]],2)&amp;")"</f>
        <v>S14 (13.95)</v>
      </c>
      <c r="L275" s="124">
        <f ca="1">IF(AND(P[[#This Row],[Tithi]]&lt;28.5,P[[#This Row],[Tithi]]&gt;0.49999),MOD((P[[#This Row],[Tithi]]-0.5)*2,7),MOD((P[[#This Row],[Tithi]]+30-28.5),30)*2+7)</f>
        <v>5.897199999999998</v>
      </c>
      <c r="M275" s="124" t="str">
        <f ca="1">CHOOSE(ROUNDUP(P[[#This Row],[Karana1]],0),"Bhava","Baalava","Kaulava","Taitula","Garija","Vanija","Vishti","Shakuni","Chatushapda","Naaga","Kimstugna")</f>
        <v>Vanija</v>
      </c>
      <c r="N27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(9.08)</v>
      </c>
      <c r="O275" s="124">
        <f ca="1">IF(AND(P[[#This Row],[Tithi]]&lt;28.5,P[[#This Row],[Tithi]]&gt;0.49999),MOD((P[[#This Row],[Tithi]]-0.5)*2,7),MOD((P[[#This Row],[Tithi]]+30-28.5),30)*2+7)</f>
        <v>5.897199999999998</v>
      </c>
      <c r="P275" s="124">
        <f ca="1">ROUNDUP(MOD(360+P[[#This Row],[Moon]]-P[[#This Row],[Sun]],360)/12,4)</f>
        <v>13.948599999999999</v>
      </c>
      <c r="Q275" s="124">
        <f t="shared" ca="1" si="47"/>
        <v>9.08</v>
      </c>
      <c r="R275" s="124" t="str">
        <f ca="1">SIGN(S276-P[[#This Row],[MARs]])*INT(P[[#This Row],[MARs]]/30+1)&amp;"Ma,"&amp;SIGN(T276-P[[#This Row],[Merc]])*INT(P[[#This Row],[Merc]]/30+1)&amp;"Me,"&amp;SIGN(U276-P[[#This Row],[Jup]])*INT(P[[#This Row],[Jup]]/30+1)&amp;"Ju,"&amp;SIGN(V276-P[[#This Row],[Venu]])*INT(P[[#This Row],[Venu]]/30+1)&amp;"Ve,"&amp;SIGN(W276-P[[#This Row],[Sat]])*INT(P[[#This Row],[Sat]]/30+1)&amp;"Sa,"&amp;INT(P[[#This Row],[Rah]]/30+1)&amp;"Ra"</f>
        <v>10Ma,6Me,7Ju,7Ve,9Sa,4Ra</v>
      </c>
      <c r="S275" s="124">
        <f ca="1">Planet(P[[#This Row],[GMT Sun Rise]],4)</f>
        <v>279.30558177407613</v>
      </c>
      <c r="T275" s="124">
        <f ca="1">Planet(P[[#This Row],[GMT Sun Rise]],2)</f>
        <v>159.24546947782505</v>
      </c>
      <c r="U275" s="124">
        <f ca="1">Planet(P[[#This Row],[GMT Sun Rise]],5)</f>
        <v>206.69073008287657</v>
      </c>
      <c r="V275" s="124">
        <f ca="1">Planet(P[[#This Row],[GMT Sun Rise]],3)</f>
        <v>194.25484659804349</v>
      </c>
      <c r="W275" s="124">
        <f ca="1">Planet(P[[#This Row],[GMT Sun Rise]],6)</f>
        <v>248.67881200264432</v>
      </c>
      <c r="X275" s="124">
        <f ca="1">Planet(P[[#This Row],[GMT Sun Rise]],10)</f>
        <v>98.694472658774615</v>
      </c>
      <c r="Y275" s="124">
        <f ca="1">SIGN(S276-P[[#This Row],[MARs]])</f>
        <v>1</v>
      </c>
    </row>
    <row r="276" spans="1:25" x14ac:dyDescent="0.2">
      <c r="A276" s="125">
        <f t="shared" ca="1" si="48"/>
        <v>43368</v>
      </c>
      <c r="B276" s="125">
        <f t="shared" ca="1" si="41"/>
        <v>43368.229166666664</v>
      </c>
      <c r="C276" s="127">
        <f t="shared" ca="1" si="42"/>
        <v>43368.249774502277</v>
      </c>
      <c r="D276" s="127">
        <f t="shared" ca="1" si="43"/>
        <v>43367.752504169985</v>
      </c>
      <c r="E276" s="189">
        <f ca="1">P[[#This Row],[SunRise]]-TimeZone/24</f>
        <v>43368.020607835613</v>
      </c>
      <c r="F276" s="190">
        <f t="shared" ca="1" si="44"/>
        <v>157.78550388251023</v>
      </c>
      <c r="G276" s="190">
        <f t="shared" ca="1" si="45"/>
        <v>336.63865975444907</v>
      </c>
      <c r="H276" s="191">
        <f t="shared" ca="1" si="46"/>
        <v>43368.020607835613</v>
      </c>
      <c r="I276" s="124" t="str">
        <f ca="1">naks(P[[#This Row],[Moon]])</f>
        <v>Uttara Bhadrapada</v>
      </c>
      <c r="J276" s="127">
        <f ca="1">(C277-P[[#This Row],[SunRise]])/(G277-P[[#This Row],[Moon]])*(13.3333333333333-MOD(P[[#This Row],[Moon]],13.333333333333))+P[[#This Row],[SunRise]]</f>
        <v>43369.040927097456</v>
      </c>
      <c r="K276" s="124" t="str">
        <f ca="1">IF(P[[#This Row],[Tithi]]&gt;15,"K","S")&amp;ROUNDUP(MOD(P[[#This Row],[Tithi]],15),0)&amp;" ("&amp;ROUND(P[[#This Row],[Tithi]],2)&amp;")"</f>
        <v>S15 (14.9)</v>
      </c>
      <c r="L276" s="124">
        <f ca="1">IF(AND(P[[#This Row],[Tithi]]&lt;28.5,P[[#This Row],[Tithi]]&gt;0.49999),MOD((P[[#This Row],[Tithi]]-0.5)*2,7),MOD((P[[#This Row],[Tithi]]+30-28.5),30)*2+7)</f>
        <v>0.80900000000000105</v>
      </c>
      <c r="M276" s="124" t="str">
        <f ca="1">CHOOSE(ROUNDUP(P[[#This Row],[Karana1]],0),"Bhava","Baalava","Kaulava","Taitula","Garija","Vanija","Vishti","Shakuni","Chatushapda","Naaga","Kimstugna")</f>
        <v>Bhava</v>
      </c>
      <c r="N27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(10.09)</v>
      </c>
      <c r="O276" s="124">
        <f ca="1">IF(AND(P[[#This Row],[Tithi]]&lt;28.5,P[[#This Row],[Tithi]]&gt;0.49999),MOD((P[[#This Row],[Tithi]]-0.5)*2,7),MOD((P[[#This Row],[Tithi]]+30-28.5),30)*2+7)</f>
        <v>0.80900000000000105</v>
      </c>
      <c r="P276" s="124">
        <f ca="1">ROUNDUP(MOD(360+P[[#This Row],[Moon]]-P[[#This Row],[Sun]],360)/12,4)</f>
        <v>14.904500000000001</v>
      </c>
      <c r="Q276" s="124">
        <f t="shared" ca="1" si="47"/>
        <v>10.09</v>
      </c>
      <c r="R276" s="124" t="str">
        <f ca="1">SIGN(S277-P[[#This Row],[MARs]])*INT(P[[#This Row],[MARs]]/30+1)&amp;"Ma,"&amp;SIGN(T277-P[[#This Row],[Merc]])*INT(P[[#This Row],[Merc]]/30+1)&amp;"Me,"&amp;SIGN(U277-P[[#This Row],[Jup]])*INT(P[[#This Row],[Jup]]/30+1)&amp;"Ju,"&amp;SIGN(V277-P[[#This Row],[Venu]])*INT(P[[#This Row],[Venu]]/30+1)&amp;"Ve,"&amp;SIGN(W277-P[[#This Row],[Sat]])*INT(P[[#This Row],[Sat]]/30+1)&amp;"Sa,"&amp;INT(P[[#This Row],[Rah]]/30+1)&amp;"Ra"</f>
        <v>10Ma,6Me,7Ju,7Ve,9Sa,4Ra</v>
      </c>
      <c r="S276" s="124">
        <f ca="1">Planet(P[[#This Row],[GMT Sun Rise]],4)</f>
        <v>279.64114938172162</v>
      </c>
      <c r="T276" s="124">
        <f ca="1">Planet(P[[#This Row],[GMT Sun Rise]],2)</f>
        <v>161.0213560948377</v>
      </c>
      <c r="U276" s="124">
        <f ca="1">Planet(P[[#This Row],[GMT Sun Rise]],5)</f>
        <v>206.86838615438586</v>
      </c>
      <c r="V276" s="124">
        <f ca="1">Planet(P[[#This Row],[GMT Sun Rise]],3)</f>
        <v>194.63921913165538</v>
      </c>
      <c r="W276" s="124">
        <f ca="1">Planet(P[[#This Row],[GMT Sun Rise]],6)</f>
        <v>248.70806421198228</v>
      </c>
      <c r="X276" s="124">
        <f ca="1">Planet(P[[#This Row],[GMT Sun Rise]],10)</f>
        <v>98.641479777162957</v>
      </c>
      <c r="Y276" s="124">
        <f ca="1">SIGN(S277-P[[#This Row],[MARs]])</f>
        <v>1</v>
      </c>
    </row>
    <row r="277" spans="1:25" x14ac:dyDescent="0.2">
      <c r="A277" s="125">
        <f t="shared" ca="1" si="48"/>
        <v>43369</v>
      </c>
      <c r="B277" s="125">
        <f t="shared" ca="1" si="41"/>
        <v>43369.229166666664</v>
      </c>
      <c r="C277" s="127">
        <f t="shared" ca="1" si="42"/>
        <v>43369.24979278088</v>
      </c>
      <c r="D277" s="127">
        <f t="shared" ca="1" si="43"/>
        <v>43368.752003332178</v>
      </c>
      <c r="E277" s="189">
        <f ca="1">P[[#This Row],[SunRise]]-TimeZone/24</f>
        <v>43369.020626114216</v>
      </c>
      <c r="F277" s="190">
        <f t="shared" ca="1" si="44"/>
        <v>158.76497958989714</v>
      </c>
      <c r="G277" s="190">
        <f t="shared" ca="1" si="45"/>
        <v>349.31407821516473</v>
      </c>
      <c r="H277" s="191">
        <f t="shared" ca="1" si="46"/>
        <v>43369.020626114216</v>
      </c>
      <c r="I277" s="124" t="str">
        <f ca="1">naks(P[[#This Row],[Moon]])</f>
        <v>Revati</v>
      </c>
      <c r="J277" s="127">
        <f ca="1">(C278-P[[#This Row],[SunRise]])/(G278-P[[#This Row],[Moon]])*(13.3333333333333-MOD(P[[#This Row],[Moon]],13.333333333333))+P[[#This Row],[SunRise]]</f>
        <v>43369.219005915882</v>
      </c>
      <c r="K277" s="124" t="str">
        <f ca="1">IF(P[[#This Row],[Tithi]]&gt;15,"K","S")&amp;ROUNDUP(MOD(P[[#This Row],[Tithi]],15),0)&amp;" ("&amp;ROUND(P[[#This Row],[Tithi]],2)&amp;")"</f>
        <v>K1 (15.88)</v>
      </c>
      <c r="L277" s="124">
        <f ca="1">IF(AND(P[[#This Row],[Tithi]]&lt;28.5,P[[#This Row],[Tithi]]&gt;0.49999),MOD((P[[#This Row],[Tithi]]-0.5)*2,7),MOD((P[[#This Row],[Tithi]]+30-28.5),30)*2+7)</f>
        <v>2.7581999999999987</v>
      </c>
      <c r="M277" s="124" t="str">
        <f ca="1">CHOOSE(ROUNDUP(P[[#This Row],[Karana1]],0),"Bhava","Baalava","Kaulava","Taitula","Garija","Vanija","Vishti","Shakuni","Chatushapda","Naaga","Kimstugna")</f>
        <v>Kaulava</v>
      </c>
      <c r="N27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(11.11)</v>
      </c>
      <c r="O277" s="124">
        <f ca="1">IF(AND(P[[#This Row],[Tithi]]&lt;28.5,P[[#This Row],[Tithi]]&gt;0.49999),MOD((P[[#This Row],[Tithi]]-0.5)*2,7),MOD((P[[#This Row],[Tithi]]+30-28.5),30)*2+7)</f>
        <v>2.7581999999999987</v>
      </c>
      <c r="P277" s="124">
        <f ca="1">ROUNDUP(MOD(360+P[[#This Row],[Moon]]-P[[#This Row],[Sun]],360)/12,4)</f>
        <v>15.879099999999999</v>
      </c>
      <c r="Q277" s="124">
        <f t="shared" ca="1" si="47"/>
        <v>11.11</v>
      </c>
      <c r="R277" s="124" t="str">
        <f ca="1">SIGN(S278-P[[#This Row],[MARs]])*INT(P[[#This Row],[MARs]]/30+1)&amp;"Ma,"&amp;SIGN(T278-P[[#This Row],[Merc]])*INT(P[[#This Row],[Merc]]/30+1)&amp;"Me,"&amp;SIGN(U278-P[[#This Row],[Jup]])*INT(P[[#This Row],[Jup]]/30+1)&amp;"Ju,"&amp;SIGN(V278-P[[#This Row],[Venu]])*INT(P[[#This Row],[Venu]]/30+1)&amp;"Ve,"&amp;SIGN(W278-P[[#This Row],[Sat]])*INT(P[[#This Row],[Sat]]/30+1)&amp;"Sa,"&amp;INT(P[[#This Row],[Rah]]/30+1)&amp;"Ra"</f>
        <v>10Ma,6Me,7Ju,7Ve,9Sa,4Ra</v>
      </c>
      <c r="S277" s="124">
        <f ca="1">Planet(P[[#This Row],[GMT Sun Rise]],4)</f>
        <v>279.98587653139174</v>
      </c>
      <c r="T277" s="124">
        <f ca="1">Planet(P[[#This Row],[GMT Sun Rise]],2)</f>
        <v>162.78149317052163</v>
      </c>
      <c r="U277" s="124">
        <f ca="1">Planet(P[[#This Row],[GMT Sun Rise]],5)</f>
        <v>207.04746247050366</v>
      </c>
      <c r="V277" s="124">
        <f ca="1">Planet(P[[#This Row],[GMT Sun Rise]],3)</f>
        <v>194.99431816702327</v>
      </c>
      <c r="W277" s="124">
        <f ca="1">Planet(P[[#This Row],[GMT Sun Rise]],6)</f>
        <v>248.73889167703962</v>
      </c>
      <c r="X277" s="124">
        <f ca="1">Planet(P[[#This Row],[GMT Sun Rise]],10)</f>
        <v>98.588486811334803</v>
      </c>
      <c r="Y277" s="124">
        <f ca="1">SIGN(S278-P[[#This Row],[MARs]])</f>
        <v>1</v>
      </c>
    </row>
    <row r="278" spans="1:25" x14ac:dyDescent="0.2">
      <c r="A278" s="125">
        <f t="shared" ca="1" si="48"/>
        <v>43370</v>
      </c>
      <c r="B278" s="125">
        <f t="shared" ca="1" si="41"/>
        <v>43370.229166666664</v>
      </c>
      <c r="C278" s="127">
        <f t="shared" ca="1" si="42"/>
        <v>43370.249813126087</v>
      </c>
      <c r="D278" s="127">
        <f t="shared" ca="1" si="43"/>
        <v>43369.751504719301</v>
      </c>
      <c r="E278" s="189">
        <f ca="1">P[[#This Row],[SunRise]]-TimeZone/24</f>
        <v>43370.020646459423</v>
      </c>
      <c r="F278" s="190">
        <f t="shared" ca="1" si="44"/>
        <v>159.74502399545804</v>
      </c>
      <c r="G278" s="190">
        <f t="shared" ca="1" si="45"/>
        <v>2.2134821409526064</v>
      </c>
      <c r="H278" s="191">
        <f t="shared" ca="1" si="46"/>
        <v>43370.020646459423</v>
      </c>
      <c r="I278" s="124" t="str">
        <f ca="1">naks(P[[#This Row],[Moon]])</f>
        <v>Aswini</v>
      </c>
      <c r="J278" s="127">
        <f ca="1">(C279-P[[#This Row],[SunRise]])/(G279-P[[#This Row],[Moon]])*(13.3333333333333-MOD(P[[#This Row],[Moon]],13.333333333333))+P[[#This Row],[SunRise]]</f>
        <v>43371.09786682095</v>
      </c>
      <c r="K278" s="124" t="str">
        <f ca="1">IF(P[[#This Row],[Tithi]]&gt;15,"K","S")&amp;ROUNDUP(MOD(P[[#This Row],[Tithi]],15),0)&amp;" ("&amp;ROUND(P[[#This Row],[Tithi]],2)&amp;")"</f>
        <v>K2 (16.87)</v>
      </c>
      <c r="L278" s="124">
        <f ca="1">IF(AND(P[[#This Row],[Tithi]]&lt;28.5,P[[#This Row],[Tithi]]&gt;0.49999),MOD((P[[#This Row],[Tithi]]-0.5)*2,7),MOD((P[[#This Row],[Tithi]]+30-28.5),30)*2+7)</f>
        <v>4.7447999999999979</v>
      </c>
      <c r="M278" s="124" t="str">
        <f ca="1">CHOOSE(ROUNDUP(P[[#This Row],[Karana1]],0),"Bhava","Baalava","Kaulava","Taitula","Garija","Vanija","Vishti","Shakuni","Chatushapda","Naaga","Kimstugna")</f>
        <v>Garija</v>
      </c>
      <c r="N27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(12.15)</v>
      </c>
      <c r="O278" s="124">
        <f ca="1">IF(AND(P[[#This Row],[Tithi]]&lt;28.5,P[[#This Row],[Tithi]]&gt;0.49999),MOD((P[[#This Row],[Tithi]]-0.5)*2,7),MOD((P[[#This Row],[Tithi]]+30-28.5),30)*2+7)</f>
        <v>4.7447999999999979</v>
      </c>
      <c r="P278" s="124">
        <f ca="1">ROUNDUP(MOD(360+P[[#This Row],[Moon]]-P[[#This Row],[Sun]],360)/12,4)</f>
        <v>16.872399999999999</v>
      </c>
      <c r="Q278" s="124">
        <f t="shared" ca="1" si="47"/>
        <v>12.15</v>
      </c>
      <c r="R278" s="124" t="str">
        <f ca="1">SIGN(S279-P[[#This Row],[MARs]])*INT(P[[#This Row],[MARs]]/30+1)&amp;"Ma,"&amp;SIGN(T279-P[[#This Row],[Merc]])*INT(P[[#This Row],[Merc]]/30+1)&amp;"Me,"&amp;SIGN(U279-P[[#This Row],[Jup]])*INT(P[[#This Row],[Jup]]/30+1)&amp;"Ju,"&amp;SIGN(V279-P[[#This Row],[Venu]])*INT(P[[#This Row],[Venu]]/30+1)&amp;"Ve,"&amp;SIGN(W279-P[[#This Row],[Sat]])*INT(P[[#This Row],[Sat]]/30+1)&amp;"Sa,"&amp;INT(P[[#This Row],[Rah]]/30+1)&amp;"Ra"</f>
        <v>10Ma,6Me,7Ju,7Ve,9Sa,4Ra</v>
      </c>
      <c r="S278" s="124">
        <f ca="1">Planet(P[[#This Row],[GMT Sun Rise]],4)</f>
        <v>280.33954779920822</v>
      </c>
      <c r="T278" s="124">
        <f ca="1">Planet(P[[#This Row],[GMT Sun Rise]],2)</f>
        <v>164.52592976241476</v>
      </c>
      <c r="U278" s="124">
        <f ca="1">Planet(P[[#This Row],[GMT Sun Rise]],5)</f>
        <v>207.22793731365147</v>
      </c>
      <c r="V278" s="124">
        <f ca="1">Planet(P[[#This Row],[GMT Sun Rise]],3)</f>
        <v>195.3191483524904</v>
      </c>
      <c r="W278" s="124">
        <f ca="1">Planet(P[[#This Row],[GMT Sun Rise]],6)</f>
        <v>248.77128775588145</v>
      </c>
      <c r="X278" s="124">
        <f ca="1">Planet(P[[#This Row],[GMT Sun Rise]],10)</f>
        <v>98.535493736006103</v>
      </c>
      <c r="Y278" s="124">
        <f ca="1">SIGN(S279-P[[#This Row],[MARs]])</f>
        <v>1</v>
      </c>
    </row>
    <row r="279" spans="1:25" x14ac:dyDescent="0.2">
      <c r="A279" s="125">
        <f t="shared" ca="1" si="48"/>
        <v>43371</v>
      </c>
      <c r="B279" s="125">
        <f t="shared" ca="1" si="41"/>
        <v>43371.229166666664</v>
      </c>
      <c r="C279" s="127">
        <f t="shared" ca="1" si="42"/>
        <v>43371.24983585548</v>
      </c>
      <c r="D279" s="127">
        <f t="shared" ca="1" si="43"/>
        <v>43370.751008331819</v>
      </c>
      <c r="E279" s="189">
        <f ca="1">P[[#This Row],[SunRise]]-TimeZone/24</f>
        <v>43371.020669188816</v>
      </c>
      <c r="F279" s="190">
        <f t="shared" ca="1" si="44"/>
        <v>160.72565564666738</v>
      </c>
      <c r="G279" s="190">
        <f t="shared" ca="1" si="45"/>
        <v>15.325981982869507</v>
      </c>
      <c r="H279" s="191">
        <f t="shared" ca="1" si="46"/>
        <v>43371.020669188816</v>
      </c>
      <c r="I279" s="124" t="str">
        <f ca="1">naks(P[[#This Row],[Moon]])</f>
        <v>Bharani</v>
      </c>
      <c r="J279" s="127">
        <f ca="1">(C280-P[[#This Row],[SunRise]])/(G280-P[[#This Row],[Moon]])*(13.3333333333333-MOD(P[[#This Row],[Moon]],13.333333333333))+P[[#This Row],[SunRise]]</f>
        <v>43372.101839219315</v>
      </c>
      <c r="K279" s="124" t="str">
        <f ca="1">IF(P[[#This Row],[Tithi]]&gt;15,"K","S")&amp;ROUNDUP(MOD(P[[#This Row],[Tithi]],15),0)&amp;" ("&amp;ROUND(P[[#This Row],[Tithi]],2)&amp;")"</f>
        <v>K3 (17.88)</v>
      </c>
      <c r="L279" s="124">
        <f ca="1">IF(AND(P[[#This Row],[Tithi]]&lt;28.5,P[[#This Row],[Tithi]]&gt;0.49999),MOD((P[[#This Row],[Tithi]]-0.5)*2,7),MOD((P[[#This Row],[Tithi]]+30-28.5),30)*2+7)</f>
        <v>6.7667999999999964</v>
      </c>
      <c r="M279" s="124" t="str">
        <f ca="1">CHOOSE(ROUNDUP(P[[#This Row],[Karana1]],0),"Bhava","Baalava","Kaulava","Taitula","Garija","Vanija","Vishti","Shakuni","Chatushapda","Naaga","Kimstugna")</f>
        <v>Vishti</v>
      </c>
      <c r="N27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(13.21)</v>
      </c>
      <c r="O279" s="124">
        <f ca="1">IF(AND(P[[#This Row],[Tithi]]&lt;28.5,P[[#This Row],[Tithi]]&gt;0.49999),MOD((P[[#This Row],[Tithi]]-0.5)*2,7),MOD((P[[#This Row],[Tithi]]+30-28.5),30)*2+7)</f>
        <v>6.7667999999999964</v>
      </c>
      <c r="P279" s="124">
        <f ca="1">ROUNDUP(MOD(360+P[[#This Row],[Moon]]-P[[#This Row],[Sun]],360)/12,4)</f>
        <v>17.883399999999998</v>
      </c>
      <c r="Q279" s="124">
        <f t="shared" ca="1" si="47"/>
        <v>13.209999999999999</v>
      </c>
      <c r="R279" s="124" t="str">
        <f ca="1">SIGN(S280-P[[#This Row],[MARs]])*INT(P[[#This Row],[MARs]]/30+1)&amp;"Ma,"&amp;SIGN(T280-P[[#This Row],[Merc]])*INT(P[[#This Row],[Merc]]/30+1)&amp;"Me,"&amp;SIGN(U280-P[[#This Row],[Jup]])*INT(P[[#This Row],[Jup]]/30+1)&amp;"Ju,"&amp;SIGN(V280-P[[#This Row],[Venu]])*INT(P[[#This Row],[Venu]]/30+1)&amp;"Ve,"&amp;SIGN(W280-P[[#This Row],[Sat]])*INT(P[[#This Row],[Sat]]/30+1)&amp;"Sa,"&amp;INT(P[[#This Row],[Rah]]/30+1)&amp;"Ra"</f>
        <v>10Ma,6Me,7Ju,7Ve,9Sa,4Ra</v>
      </c>
      <c r="S279" s="124">
        <f ca="1">Planet(P[[#This Row],[GMT Sun Rise]],4)</f>
        <v>280.70195634587225</v>
      </c>
      <c r="T279" s="124">
        <f ca="1">Planet(P[[#This Row],[GMT Sun Rise]],2)</f>
        <v>166.25478778336233</v>
      </c>
      <c r="U279" s="124">
        <f ca="1">Planet(P[[#This Row],[GMT Sun Rise]],5)</f>
        <v>207.40978954453496</v>
      </c>
      <c r="V279" s="124">
        <f ca="1">Planet(P[[#This Row],[GMT Sun Rise]],3)</f>
        <v>195.6127191523332</v>
      </c>
      <c r="W279" s="124">
        <f ca="1">Planet(P[[#This Row],[GMT Sun Rise]],6)</f>
        <v>248.80524587065415</v>
      </c>
      <c r="X279" s="124">
        <f ca="1">Planet(P[[#This Row],[GMT Sun Rise]],10)</f>
        <v>98.482500534309764</v>
      </c>
      <c r="Y279" s="124">
        <f ca="1">SIGN(S280-P[[#This Row],[MARs]])</f>
        <v>1</v>
      </c>
    </row>
    <row r="280" spans="1:25" x14ac:dyDescent="0.2">
      <c r="A280" s="125">
        <f t="shared" ca="1" si="48"/>
        <v>43372</v>
      </c>
      <c r="B280" s="125">
        <f t="shared" ca="1" si="41"/>
        <v>43372.229166666664</v>
      </c>
      <c r="C280" s="127">
        <f t="shared" ca="1" si="42"/>
        <v>43372.24986112785</v>
      </c>
      <c r="D280" s="127">
        <f t="shared" ca="1" si="43"/>
        <v>43371.75051464657</v>
      </c>
      <c r="E280" s="189">
        <f ca="1">P[[#This Row],[SunRise]]-TimeZone/24</f>
        <v>43372.020694461185</v>
      </c>
      <c r="F280" s="190">
        <f t="shared" ca="1" si="44"/>
        <v>161.70689217884365</v>
      </c>
      <c r="G280" s="190">
        <f t="shared" ca="1" si="45"/>
        <v>28.636928595540983</v>
      </c>
      <c r="H280" s="191">
        <f t="shared" ca="1" si="46"/>
        <v>43372.020694461185</v>
      </c>
      <c r="I280" s="124" t="str">
        <f ca="1">naks(P[[#This Row],[Moon]])</f>
        <v>Krittika</v>
      </c>
      <c r="J280" s="127">
        <f ca="1">(C281-P[[#This Row],[SunRise]])/(G281-P[[#This Row],[Moon]])*(13.3333333333333-MOD(P[[#This Row],[Moon]],13.333333333333))+P[[#This Row],[SunRise]]</f>
        <v>43373.091843876624</v>
      </c>
      <c r="K280" s="124" t="str">
        <f ca="1">IF(P[[#This Row],[Tithi]]&gt;15,"K","S")&amp;ROUNDUP(MOD(P[[#This Row],[Tithi]],15),0)&amp;" ("&amp;ROUND(P[[#This Row],[Tithi]],2)&amp;")"</f>
        <v>K4 (18.91)</v>
      </c>
      <c r="L280" s="124">
        <f ca="1">IF(AND(P[[#This Row],[Tithi]]&lt;28.5,P[[#This Row],[Tithi]]&gt;0.49999),MOD((P[[#This Row],[Tithi]]-0.5)*2,7),MOD((P[[#This Row],[Tithi]]+30-28.5),30)*2+7)</f>
        <v>1.8217999999999961</v>
      </c>
      <c r="M280" s="124" t="str">
        <f ca="1">CHOOSE(ROUNDUP(P[[#This Row],[Karana1]],0),"Bhava","Baalava","Kaulava","Taitula","Garija","Vanija","Vishti","Shakuni","Chatushapda","Naaga","Kimstugna")</f>
        <v>Baalava</v>
      </c>
      <c r="N28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(14.28)</v>
      </c>
      <c r="O280" s="124">
        <f ca="1">IF(AND(P[[#This Row],[Tithi]]&lt;28.5,P[[#This Row],[Tithi]]&gt;0.49999),MOD((P[[#This Row],[Tithi]]-0.5)*2,7),MOD((P[[#This Row],[Tithi]]+30-28.5),30)*2+7)</f>
        <v>1.8217999999999961</v>
      </c>
      <c r="P280" s="124">
        <f ca="1">ROUNDUP(MOD(360+P[[#This Row],[Moon]]-P[[#This Row],[Sun]],360)/12,4)</f>
        <v>18.910899999999998</v>
      </c>
      <c r="Q280" s="124">
        <f t="shared" ca="1" si="47"/>
        <v>14.28</v>
      </c>
      <c r="R280" s="124" t="str">
        <f ca="1">SIGN(S281-P[[#This Row],[MARs]])*INT(P[[#This Row],[MARs]]/30+1)&amp;"Ma,"&amp;SIGN(T281-P[[#This Row],[Merc]])*INT(P[[#This Row],[Merc]]/30+1)&amp;"Me,"&amp;SIGN(U281-P[[#This Row],[Jup]])*INT(P[[#This Row],[Jup]]/30+1)&amp;"Ju,"&amp;SIGN(V281-P[[#This Row],[Venu]])*INT(P[[#This Row],[Venu]]/30+1)&amp;"Ve,"&amp;SIGN(W281-P[[#This Row],[Sat]])*INT(P[[#This Row],[Sat]]/30+1)&amp;"Sa,"&amp;INT(P[[#This Row],[Rah]]/30+1)&amp;"Ra"</f>
        <v>10Ma,6Me,7Ju,7Ve,9Sa,4Ra</v>
      </c>
      <c r="S280" s="124">
        <f ca="1">Planet(P[[#This Row],[GMT Sun Rise]],4)</f>
        <v>281.07290475343405</v>
      </c>
      <c r="T280" s="124">
        <f ca="1">Planet(P[[#This Row],[GMT Sun Rise]],2)</f>
        <v>167.96824598617269</v>
      </c>
      <c r="U280" s="124">
        <f ca="1">Planet(P[[#This Row],[GMT Sun Rise]],5)</f>
        <v>207.59299849143875</v>
      </c>
      <c r="V280" s="124">
        <f ca="1">Planet(P[[#This Row],[GMT Sun Rise]],3)</f>
        <v>195.87405034989484</v>
      </c>
      <c r="W280" s="124">
        <f ca="1">Planet(P[[#This Row],[GMT Sun Rise]],6)</f>
        <v>248.84075951988373</v>
      </c>
      <c r="X280" s="124">
        <f ca="1">Planet(P[[#This Row],[GMT Sun Rise]],10)</f>
        <v>98.429507197895134</v>
      </c>
      <c r="Y280" s="124">
        <f ca="1">SIGN(S281-P[[#This Row],[MARs]])</f>
        <v>1</v>
      </c>
    </row>
    <row r="281" spans="1:25" x14ac:dyDescent="0.2">
      <c r="A281" s="125">
        <f t="shared" ca="1" si="48"/>
        <v>43373</v>
      </c>
      <c r="B281" s="125">
        <f t="shared" ca="1" si="41"/>
        <v>43373.229166666664</v>
      </c>
      <c r="C281" s="127">
        <f t="shared" ca="1" si="42"/>
        <v>43373.249889101986</v>
      </c>
      <c r="D281" s="127">
        <f t="shared" ca="1" si="43"/>
        <v>43372.750023981134</v>
      </c>
      <c r="E281" s="189">
        <f ca="1">P[[#This Row],[SunRise]]-TimeZone/24</f>
        <v>43373.020722435322</v>
      </c>
      <c r="F281" s="190">
        <f t="shared" ca="1" si="44"/>
        <v>162.68874971281079</v>
      </c>
      <c r="G281" s="190">
        <f t="shared" ca="1" si="45"/>
        <v>42.132916836526114</v>
      </c>
      <c r="H281" s="191">
        <f t="shared" ca="1" si="46"/>
        <v>43373.020722435322</v>
      </c>
      <c r="I281" s="124" t="str">
        <f ca="1">naks(P[[#This Row],[Moon]])</f>
        <v>Rohini</v>
      </c>
      <c r="J281" s="127">
        <f ca="1">(C282-P[[#This Row],[SunRise]])/(G282-P[[#This Row],[Moon]])*(13.3333333333333-MOD(P[[#This Row],[Moon]],13.333333333333))+P[[#This Row],[SunRise]]</f>
        <v>43374.069119765234</v>
      </c>
      <c r="K281" s="124" t="str">
        <f ca="1">IF(P[[#This Row],[Tithi]]&gt;15,"K","S")&amp;ROUNDUP(MOD(P[[#This Row],[Tithi]],15),0)&amp;" ("&amp;ROUND(P[[#This Row],[Tithi]],2)&amp;")"</f>
        <v>K5 (19.95)</v>
      </c>
      <c r="L281" s="124">
        <f ca="1">IF(AND(P[[#This Row],[Tithi]]&lt;28.5,P[[#This Row],[Tithi]]&gt;0.49999),MOD((P[[#This Row],[Tithi]]-0.5)*2,7),MOD((P[[#This Row],[Tithi]]+30-28.5),30)*2+7)</f>
        <v>3.9074000000000026</v>
      </c>
      <c r="M281" s="124" t="str">
        <f ca="1">CHOOSE(ROUNDUP(P[[#This Row],[Karana1]],0),"Bhava","Baalava","Kaulava","Taitula","Garija","Vanija","Vishti","Shakuni","Chatushapda","Naaga","Kimstugna")</f>
        <v>Taitula</v>
      </c>
      <c r="N28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(15.37)</v>
      </c>
      <c r="O281" s="124">
        <f ca="1">IF(AND(P[[#This Row],[Tithi]]&lt;28.5,P[[#This Row],[Tithi]]&gt;0.49999),MOD((P[[#This Row],[Tithi]]-0.5)*2,7),MOD((P[[#This Row],[Tithi]]+30-28.5),30)*2+7)</f>
        <v>3.9074000000000026</v>
      </c>
      <c r="P281" s="124">
        <f ca="1">ROUNDUP(MOD(360+P[[#This Row],[Moon]]-P[[#This Row],[Sun]],360)/12,4)</f>
        <v>19.953700000000001</v>
      </c>
      <c r="Q281" s="124">
        <f t="shared" ca="1" si="47"/>
        <v>15.37</v>
      </c>
      <c r="R281" s="124" t="str">
        <f ca="1">SIGN(S282-P[[#This Row],[MARs]])*INT(P[[#This Row],[MARs]]/30+1)&amp;"Ma,"&amp;SIGN(T282-P[[#This Row],[Merc]])*INT(P[[#This Row],[Merc]]/30+1)&amp;"Me,"&amp;SIGN(U282-P[[#This Row],[Jup]])*INT(P[[#This Row],[Jup]]/30+1)&amp;"Ju,"&amp;SIGN(V282-P[[#This Row],[Venu]])*INT(P[[#This Row],[Venu]]/30+1)&amp;"Ve,"&amp;SIGN(W282-P[[#This Row],[Sat]])*INT(P[[#This Row],[Sat]]/30+1)&amp;"Sa,"&amp;INT(P[[#This Row],[Rah]]/30+1)&amp;"Ra"</f>
        <v>10Ma,6Me,7Ju,7Ve,9Sa,4Ra</v>
      </c>
      <c r="S281" s="124">
        <f ca="1">Planet(P[[#This Row],[GMT Sun Rise]],4)</f>
        <v>281.45220549785603</v>
      </c>
      <c r="T281" s="124">
        <f ca="1">Planet(P[[#This Row],[GMT Sun Rise]],2)</f>
        <v>169.66652647418877</v>
      </c>
      <c r="U281" s="124">
        <f ca="1">Planet(P[[#This Row],[GMT Sun Rise]],5)</f>
        <v>207.77754384138004</v>
      </c>
      <c r="V281" s="124">
        <f ca="1">Planet(P[[#This Row],[GMT Sun Rise]],3)</f>
        <v>196.10217814388088</v>
      </c>
      <c r="W281" s="124">
        <f ca="1">Planet(P[[#This Row],[GMT Sun Rise]],6)</f>
        <v>248.87782226733466</v>
      </c>
      <c r="X281" s="124">
        <f ca="1">Planet(P[[#This Row],[GMT Sun Rise]],10)</f>
        <v>98.37651371829574</v>
      </c>
      <c r="Y281" s="124">
        <f ca="1">SIGN(S282-P[[#This Row],[MARs]])</f>
        <v>1</v>
      </c>
    </row>
    <row r="282" spans="1:25" x14ac:dyDescent="0.2">
      <c r="A282" s="125">
        <f t="shared" ca="1" si="48"/>
        <v>43374</v>
      </c>
      <c r="B282" s="125">
        <f t="shared" ca="1" si="41"/>
        <v>43374.229166666664</v>
      </c>
      <c r="C282" s="127">
        <f t="shared" ca="1" si="42"/>
        <v>43374.249920096401</v>
      </c>
      <c r="D282" s="127">
        <f t="shared" ca="1" si="43"/>
        <v>43373.749536494768</v>
      </c>
      <c r="E282" s="189">
        <f ca="1">P[[#This Row],[SunRise]]-TimeZone/24</f>
        <v>43374.020753429737</v>
      </c>
      <c r="F282" s="190">
        <f t="shared" ca="1" si="44"/>
        <v>163.67124226108143</v>
      </c>
      <c r="G282" s="190">
        <f t="shared" ca="1" si="45"/>
        <v>55.805212259142024</v>
      </c>
      <c r="H282" s="191">
        <f t="shared" ca="1" si="46"/>
        <v>43374.020753429737</v>
      </c>
      <c r="I282" s="124" t="str">
        <f ca="1">naks(P[[#This Row],[Moon]])</f>
        <v>Mrigashira</v>
      </c>
      <c r="J282" s="127">
        <f ca="1">(C283-P[[#This Row],[SunRise]])/(G283-P[[#This Row],[Moon]])*(13.3333333333333-MOD(P[[#This Row],[Moon]],13.333333333333))+P[[#This Row],[SunRise]]</f>
        <v>43375.034452851214</v>
      </c>
      <c r="K282" s="124" t="str">
        <f ca="1">IF(P[[#This Row],[Tithi]]&gt;15,"K","S")&amp;ROUNDUP(MOD(P[[#This Row],[Tithi]],15),0)&amp;" ("&amp;ROUND(P[[#This Row],[Tithi]],2)&amp;")"</f>
        <v>K7 (21.01)</v>
      </c>
      <c r="L282" s="124">
        <f ca="1">IF(AND(P[[#This Row],[Tithi]]&lt;28.5,P[[#This Row],[Tithi]]&gt;0.49999),MOD((P[[#This Row],[Tithi]]-0.5)*2,7),MOD((P[[#This Row],[Tithi]]+30-28.5),30)*2+7)</f>
        <v>6.0223999999999975</v>
      </c>
      <c r="M282" s="124" t="str">
        <f ca="1">CHOOSE(ROUNDUP(P[[#This Row],[Karana1]],0),"Bhava","Baalava","Kaulava","Taitula","Garija","Vanija","Vishti","Shakuni","Chatushapda","Naaga","Kimstugna")</f>
        <v>Vishti</v>
      </c>
      <c r="N28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(16.47)</v>
      </c>
      <c r="O282" s="124">
        <f ca="1">IF(AND(P[[#This Row],[Tithi]]&lt;28.5,P[[#This Row],[Tithi]]&gt;0.49999),MOD((P[[#This Row],[Tithi]]-0.5)*2,7),MOD((P[[#This Row],[Tithi]]+30-28.5),30)*2+7)</f>
        <v>6.0223999999999975</v>
      </c>
      <c r="P282" s="124">
        <f ca="1">ROUNDUP(MOD(360+P[[#This Row],[Moon]]-P[[#This Row],[Sun]],360)/12,4)</f>
        <v>21.011199999999999</v>
      </c>
      <c r="Q282" s="124">
        <f t="shared" ca="1" si="47"/>
        <v>16.470000000000002</v>
      </c>
      <c r="R282" s="124" t="str">
        <f ca="1">SIGN(S283-P[[#This Row],[MARs]])*INT(P[[#This Row],[MARs]]/30+1)&amp;"Ma,"&amp;SIGN(T283-P[[#This Row],[Merc]])*INT(P[[#This Row],[Merc]]/30+1)&amp;"Me,"&amp;SIGN(U283-P[[#This Row],[Jup]])*INT(P[[#This Row],[Jup]]/30+1)&amp;"Ju,"&amp;SIGN(V283-P[[#This Row],[Venu]])*INT(P[[#This Row],[Venu]]/30+1)&amp;"Ve,"&amp;SIGN(W283-P[[#This Row],[Sat]])*INT(P[[#This Row],[Sat]]/30+1)&amp;"Sa,"&amp;INT(P[[#This Row],[Rah]]/30+1)&amp;"Ra"</f>
        <v>10Ma,6Me,7Ju,7Ve,9Sa,4Ra</v>
      </c>
      <c r="S282" s="124">
        <f ca="1">Planet(P[[#This Row],[GMT Sun Rise]],4)</f>
        <v>281.83968109480378</v>
      </c>
      <c r="T282" s="124">
        <f ca="1">Planet(P[[#This Row],[GMT Sun Rise]],2)</f>
        <v>171.34988317514242</v>
      </c>
      <c r="U282" s="124">
        <f ca="1">Planet(P[[#This Row],[GMT Sun Rise]],5)</f>
        <v>207.96340551164005</v>
      </c>
      <c r="V282" s="124">
        <f ca="1">Planet(P[[#This Row],[GMT Sun Rise]],3)</f>
        <v>196.29616191245333</v>
      </c>
      <c r="W282" s="124">
        <f ca="1">Planet(P[[#This Row],[GMT Sun Rise]],6)</f>
        <v>248.91642771279663</v>
      </c>
      <c r="X282" s="124">
        <f ca="1">Planet(P[[#This Row],[GMT Sun Rise]],10)</f>
        <v>98.323520078660863</v>
      </c>
      <c r="Y282" s="124">
        <f ca="1">SIGN(S283-P[[#This Row],[MARs]])</f>
        <v>1</v>
      </c>
    </row>
    <row r="283" spans="1:25" x14ac:dyDescent="0.2">
      <c r="A283" s="125">
        <f t="shared" ca="1" si="48"/>
        <v>43375</v>
      </c>
      <c r="B283" s="125">
        <f t="shared" ca="1" si="41"/>
        <v>43375.229166666664</v>
      </c>
      <c r="C283" s="127">
        <f t="shared" ca="1" si="42"/>
        <v>43375.249954269886</v>
      </c>
      <c r="D283" s="127">
        <f t="shared" ca="1" si="43"/>
        <v>43374.749052822634</v>
      </c>
      <c r="E283" s="189">
        <f ca="1">P[[#This Row],[SunRise]]-TimeZone/24</f>
        <v>43375.020787603222</v>
      </c>
      <c r="F283" s="190">
        <f t="shared" ca="1" si="44"/>
        <v>164.65438063845261</v>
      </c>
      <c r="G283" s="190">
        <f t="shared" ca="1" si="45"/>
        <v>69.650173498401685</v>
      </c>
      <c r="H283" s="191">
        <f t="shared" ca="1" si="46"/>
        <v>43375.020787603222</v>
      </c>
      <c r="I283" s="124" t="str">
        <f ca="1">naks(P[[#This Row],[Moon]])</f>
        <v>Ardra</v>
      </c>
      <c r="J283" s="127">
        <f ca="1">(C284-P[[#This Row],[SunRise]])/(G284-P[[#This Row],[Moon]])*(13.3333333333333-MOD(P[[#This Row],[Moon]],13.333333333333))+P[[#This Row],[SunRise]]</f>
        <v>43375.988420233763</v>
      </c>
      <c r="K283" s="124" t="str">
        <f ca="1">IF(P[[#This Row],[Tithi]]&gt;15,"K","S")&amp;ROUNDUP(MOD(P[[#This Row],[Tithi]],15),0)&amp;" ("&amp;ROUND(P[[#This Row],[Tithi]],2)&amp;")"</f>
        <v>K8 (22.08)</v>
      </c>
      <c r="L283" s="124">
        <f ca="1">IF(AND(P[[#This Row],[Tithi]]&lt;28.5,P[[#This Row],[Tithi]]&gt;0.49999),MOD((P[[#This Row],[Tithi]]-0.5)*2,7),MOD((P[[#This Row],[Tithi]]+30-28.5),30)*2+7)</f>
        <v>1.1659999999999968</v>
      </c>
      <c r="M283" s="124" t="str">
        <f ca="1">CHOOSE(ROUNDUP(P[[#This Row],[Karana1]],0),"Bhava","Baalava","Kaulava","Taitula","Garija","Vanija","Vishti","Shakuni","Chatushapda","Naaga","Kimstugna")</f>
        <v>Baalava</v>
      </c>
      <c r="N28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(17.58)</v>
      </c>
      <c r="O283" s="124">
        <f ca="1">IF(AND(P[[#This Row],[Tithi]]&lt;28.5,P[[#This Row],[Tithi]]&gt;0.49999),MOD((P[[#This Row],[Tithi]]-0.5)*2,7),MOD((P[[#This Row],[Tithi]]+30-28.5),30)*2+7)</f>
        <v>1.1659999999999968</v>
      </c>
      <c r="P283" s="124">
        <f ca="1">ROUNDUP(MOD(360+P[[#This Row],[Moon]]-P[[#This Row],[Sun]],360)/12,4)</f>
        <v>22.082999999999998</v>
      </c>
      <c r="Q283" s="124">
        <f t="shared" ca="1" si="47"/>
        <v>17.580000000000002</v>
      </c>
      <c r="R283" s="124" t="str">
        <f ca="1">SIGN(S284-P[[#This Row],[MARs]])*INT(P[[#This Row],[MARs]]/30+1)&amp;"Ma,"&amp;SIGN(T284-P[[#This Row],[Merc]])*INT(P[[#This Row],[Merc]]/30+1)&amp;"Me,"&amp;SIGN(U284-P[[#This Row],[Jup]])*INT(P[[#This Row],[Jup]]/30+1)&amp;"Ju,"&amp;SIGN(V284-P[[#This Row],[Venu]])*INT(P[[#This Row],[Venu]]/30+1)&amp;"Ve,"&amp;SIGN(W284-P[[#This Row],[Sat]])*INT(P[[#This Row],[Sat]]/30+1)&amp;"Sa,"&amp;INT(P[[#This Row],[Rah]]/30+1)&amp;"Ra"</f>
        <v>10Ma,6Me,7Ju,7Ve,9Sa,4Ra</v>
      </c>
      <c r="S283" s="124">
        <f ca="1">Planet(P[[#This Row],[GMT Sun Rise]],4)</f>
        <v>282.23516377423459</v>
      </c>
      <c r="T283" s="124">
        <f ca="1">Planet(P[[#This Row],[GMT Sun Rise]],2)</f>
        <v>173.01859115196001</v>
      </c>
      <c r="U283" s="124">
        <f ca="1">Planet(P[[#This Row],[GMT Sun Rise]],5)</f>
        <v>208.15056341241342</v>
      </c>
      <c r="V283" s="124">
        <f ca="1">Planet(P[[#This Row],[GMT Sun Rise]],3)</f>
        <v>196.45509153177457</v>
      </c>
      <c r="W283" s="124">
        <f ca="1">Planet(P[[#This Row],[GMT Sun Rise]],6)</f>
        <v>248.95656942279987</v>
      </c>
      <c r="X283" s="124">
        <f ca="1">Planet(P[[#This Row],[GMT Sun Rise]],10)</f>
        <v>98.27052627055707</v>
      </c>
      <c r="Y283" s="124">
        <f ca="1">SIGN(S284-P[[#This Row],[MARs]])</f>
        <v>1</v>
      </c>
    </row>
    <row r="284" spans="1:25" x14ac:dyDescent="0.2">
      <c r="A284" s="125">
        <f t="shared" ca="1" si="48"/>
        <v>43376</v>
      </c>
      <c r="B284" s="125">
        <f t="shared" ca="1" si="41"/>
        <v>43376.229166666664</v>
      </c>
      <c r="C284" s="127">
        <f t="shared" ca="1" si="42"/>
        <v>43376.249991940022</v>
      </c>
      <c r="D284" s="127">
        <f t="shared" ca="1" si="43"/>
        <v>43375.748572806871</v>
      </c>
      <c r="E284" s="189">
        <f ca="1">P[[#This Row],[SunRise]]-TimeZone/24</f>
        <v>43376.020825273357</v>
      </c>
      <c r="F284" s="190">
        <f t="shared" ca="1" si="44"/>
        <v>165.63817195851246</v>
      </c>
      <c r="G284" s="190">
        <f t="shared" ca="1" si="45"/>
        <v>83.666007520824948</v>
      </c>
      <c r="H284" s="191">
        <f t="shared" ca="1" si="46"/>
        <v>43376.020825273357</v>
      </c>
      <c r="I284" s="124" t="str">
        <f ca="1">naks(P[[#This Row],[Moon]])</f>
        <v>Punarvasu</v>
      </c>
      <c r="J284" s="127">
        <f ca="1">(C285-P[[#This Row],[SunRise]])/(G285-P[[#This Row],[Moon]])*(13.3333333333333-MOD(P[[#This Row],[Moon]],13.333333333333))+P[[#This Row],[SunRise]]</f>
        <v>43376.931765731708</v>
      </c>
      <c r="K284" s="124" t="str">
        <f ca="1">IF(P[[#This Row],[Tithi]]&gt;15,"K","S")&amp;ROUNDUP(MOD(P[[#This Row],[Tithi]],15),0)&amp;" ("&amp;ROUND(P[[#This Row],[Tithi]],2)&amp;")"</f>
        <v>K9 (23.17)</v>
      </c>
      <c r="L284" s="124">
        <f ca="1">IF(AND(P[[#This Row],[Tithi]]&lt;28.5,P[[#This Row],[Tithi]]&gt;0.49999),MOD((P[[#This Row],[Tithi]]-0.5)*2,7),MOD((P[[#This Row],[Tithi]]+30-28.5),30)*2+7)</f>
        <v>3.338000000000001</v>
      </c>
      <c r="M284" s="124" t="str">
        <f ca="1">CHOOSE(ROUNDUP(P[[#This Row],[Karana1]],0),"Bhava","Baalava","Kaulava","Taitula","Garija","Vanija","Vishti","Shakuni","Chatushapda","Naaga","Kimstugna")</f>
        <v>Taitula</v>
      </c>
      <c r="N28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(18.7)</v>
      </c>
      <c r="O284" s="124">
        <f ca="1">IF(AND(P[[#This Row],[Tithi]]&lt;28.5,P[[#This Row],[Tithi]]&gt;0.49999),MOD((P[[#This Row],[Tithi]]-0.5)*2,7),MOD((P[[#This Row],[Tithi]]+30-28.5),30)*2+7)</f>
        <v>3.338000000000001</v>
      </c>
      <c r="P284" s="124">
        <f ca="1">ROUNDUP(MOD(360+P[[#This Row],[Moon]]-P[[#This Row],[Sun]],360)/12,4)</f>
        <v>23.169</v>
      </c>
      <c r="Q284" s="124">
        <f t="shared" ca="1" si="47"/>
        <v>18.700000000000003</v>
      </c>
      <c r="R284" s="124" t="str">
        <f ca="1">SIGN(S285-P[[#This Row],[MARs]])*INT(P[[#This Row],[MARs]]/30+1)&amp;"Ma,"&amp;SIGN(T285-P[[#This Row],[Merc]])*INT(P[[#This Row],[Merc]]/30+1)&amp;"Me,"&amp;SIGN(U285-P[[#This Row],[Jup]])*INT(P[[#This Row],[Jup]]/30+1)&amp;"Ju,"&amp;SIGN(V285-P[[#This Row],[Venu]])*INT(P[[#This Row],[Venu]]/30+1)&amp;"Ve,"&amp;SIGN(W285-P[[#This Row],[Sat]])*INT(P[[#This Row],[Sat]]/30+1)&amp;"Sa,"&amp;INT(P[[#This Row],[Rah]]/30+1)&amp;"Ra"</f>
        <v>10Ma,6Me,7Ju,7Ve,9Sa,4Ra</v>
      </c>
      <c r="S284" s="124">
        <f ca="1">Planet(P[[#This Row],[GMT Sun Rise]],4)</f>
        <v>282.63849501573435</v>
      </c>
      <c r="T284" s="124">
        <f ca="1">Planet(P[[#This Row],[GMT Sun Rise]],2)</f>
        <v>174.67293832025285</v>
      </c>
      <c r="U284" s="124">
        <f ca="1">Planet(P[[#This Row],[GMT Sun Rise]],5)</f>
        <v>208.33899729526735</v>
      </c>
      <c r="V284" s="124">
        <f ca="1">Planet(P[[#This Row],[GMT Sun Rise]],3)</f>
        <v>196.57809537694101</v>
      </c>
      <c r="W284" s="124">
        <f ca="1">Planet(P[[#This Row],[GMT Sun Rise]],6)</f>
        <v>248.99824085803158</v>
      </c>
      <c r="X284" s="124">
        <f ca="1">Planet(P[[#This Row],[GMT Sun Rise]],10)</f>
        <v>98.217532277133955</v>
      </c>
      <c r="Y284" s="124">
        <f ca="1">SIGN(S285-P[[#This Row],[MARs]])</f>
        <v>1</v>
      </c>
    </row>
    <row r="285" spans="1:25" x14ac:dyDescent="0.2">
      <c r="A285" s="125">
        <f t="shared" ca="1" si="48"/>
        <v>43377</v>
      </c>
      <c r="B285" s="125">
        <f t="shared" ca="1" si="41"/>
        <v>43377.229166666664</v>
      </c>
      <c r="C285" s="127">
        <f t="shared" ca="1" si="42"/>
        <v>43377.250033106808</v>
      </c>
      <c r="D285" s="127">
        <f t="shared" ca="1" si="43"/>
        <v>43376.748097082178</v>
      </c>
      <c r="E285" s="189">
        <f ca="1">P[[#This Row],[SunRise]]-TimeZone/24</f>
        <v>43377.020866440143</v>
      </c>
      <c r="F285" s="190">
        <f t="shared" ca="1" si="44"/>
        <v>166.6226183886007</v>
      </c>
      <c r="G285" s="190">
        <f t="shared" ca="1" si="45"/>
        <v>97.846258951983629</v>
      </c>
      <c r="H285" s="191">
        <f t="shared" ca="1" si="46"/>
        <v>43377.020866440143</v>
      </c>
      <c r="I285" s="124" t="str">
        <f ca="1">naks(P[[#This Row],[Moon]])</f>
        <v>Pushya</v>
      </c>
      <c r="J285" s="127">
        <f ca="1">(C286-P[[#This Row],[SunRise]])/(G286-P[[#This Row],[Moon]])*(13.3333333333333-MOD(P[[#This Row],[Moon]],13.333333333333))+P[[#This Row],[SunRise]]</f>
        <v>43377.865785752139</v>
      </c>
      <c r="K285" s="124" t="str">
        <f ca="1">IF(P[[#This Row],[Tithi]]&gt;15,"K","S")&amp;ROUNDUP(MOD(P[[#This Row],[Tithi]],15),0)&amp;" ("&amp;ROUND(P[[#This Row],[Tithi]],2)&amp;")"</f>
        <v>K10 (24.27)</v>
      </c>
      <c r="L285" s="124">
        <f ca="1">IF(AND(P[[#This Row],[Tithi]]&lt;28.5,P[[#This Row],[Tithi]]&gt;0.49999),MOD((P[[#This Row],[Tithi]]-0.5)*2,7),MOD((P[[#This Row],[Tithi]]+30-28.5),30)*2+7)</f>
        <v>5.5373999999999981</v>
      </c>
      <c r="M285" s="124" t="str">
        <f ca="1">CHOOSE(ROUNDUP(P[[#This Row],[Karana1]],0),"Bhava","Baalava","Kaulava","Taitula","Garija","Vanija","Vishti","Shakuni","Chatushapda","Naaga","Kimstugna")</f>
        <v>Vanija</v>
      </c>
      <c r="N28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(19.84)</v>
      </c>
      <c r="O285" s="124">
        <f ca="1">IF(AND(P[[#This Row],[Tithi]]&lt;28.5,P[[#This Row],[Tithi]]&gt;0.49999),MOD((P[[#This Row],[Tithi]]-0.5)*2,7),MOD((P[[#This Row],[Tithi]]+30-28.5),30)*2+7)</f>
        <v>5.5373999999999981</v>
      </c>
      <c r="P285" s="124">
        <f ca="1">ROUNDUP(MOD(360+P[[#This Row],[Moon]]-P[[#This Row],[Sun]],360)/12,4)</f>
        <v>24.268699999999999</v>
      </c>
      <c r="Q285" s="124">
        <f t="shared" ca="1" si="47"/>
        <v>19.84</v>
      </c>
      <c r="R285" s="124" t="str">
        <f ca="1">SIGN(S286-P[[#This Row],[MARs]])*INT(P[[#This Row],[MARs]]/30+1)&amp;"Ma,"&amp;SIGN(T286-P[[#This Row],[Merc]])*INT(P[[#This Row],[Merc]]/30+1)&amp;"Me,"&amp;SIGN(U286-P[[#This Row],[Jup]])*INT(P[[#This Row],[Jup]]/30+1)&amp;"Ju,"&amp;SIGN(V286-P[[#This Row],[Venu]])*INT(P[[#This Row],[Venu]]/30+1)&amp;"Ve,"&amp;SIGN(W286-P[[#This Row],[Sat]])*INT(P[[#This Row],[Sat]]/30+1)&amp;"Sa,"&amp;INT(P[[#This Row],[Rah]]/30+1)&amp;"Ra"</f>
        <v>10Ma,6Me,7Ju,7Ve,9Sa,4Ra</v>
      </c>
      <c r="S285" s="124">
        <f ca="1">Planet(P[[#This Row],[GMT Sun Rise]],4)</f>
        <v>283.04952417915729</v>
      </c>
      <c r="T285" s="124">
        <f ca="1">Planet(P[[#This Row],[GMT Sun Rise]],2)</f>
        <v>176.3132169395393</v>
      </c>
      <c r="U285" s="124">
        <f ca="1">Planet(P[[#This Row],[GMT Sun Rise]],5)</f>
        <v>208.52868642370277</v>
      </c>
      <c r="V285" s="124">
        <f ca="1">Planet(P[[#This Row],[GMT Sun Rise]],3)</f>
        <v>196.66434884601512</v>
      </c>
      <c r="W285" s="124">
        <f ca="1">Planet(P[[#This Row],[GMT Sun Rise]],6)</f>
        <v>249.04143523023214</v>
      </c>
      <c r="X285" s="124">
        <f ca="1">Planet(P[[#This Row],[GMT Sun Rise]],10)</f>
        <v>98.164538098441213</v>
      </c>
      <c r="Y285" s="124">
        <f ca="1">SIGN(S286-P[[#This Row],[MARs]])</f>
        <v>1</v>
      </c>
    </row>
    <row r="286" spans="1:25" x14ac:dyDescent="0.2">
      <c r="A286" s="125">
        <f t="shared" ca="1" si="48"/>
        <v>43378</v>
      </c>
      <c r="B286" s="125">
        <f t="shared" ca="1" si="41"/>
        <v>43378.229166666664</v>
      </c>
      <c r="C286" s="127">
        <f t="shared" ca="1" si="42"/>
        <v>43378.250078088757</v>
      </c>
      <c r="D286" s="127">
        <f t="shared" ca="1" si="43"/>
        <v>43377.747625808275</v>
      </c>
      <c r="E286" s="189">
        <f ca="1">P[[#This Row],[SunRise]]-TimeZone/24</f>
        <v>43378.020911422092</v>
      </c>
      <c r="F286" s="190">
        <f t="shared" ca="1" si="44"/>
        <v>167.60771722837231</v>
      </c>
      <c r="G286" s="190">
        <f t="shared" ca="1" si="45"/>
        <v>112.17149903120557</v>
      </c>
      <c r="H286" s="191">
        <f t="shared" ca="1" si="46"/>
        <v>43378.020911422092</v>
      </c>
      <c r="I286" s="124" t="str">
        <f ca="1">naks(P[[#This Row],[Moon]])</f>
        <v>Aslesha</v>
      </c>
      <c r="J286" s="127">
        <f ca="1">(C287-P[[#This Row],[SunRise]])/(G287-P[[#This Row],[Moon]])*(13.3333333333333-MOD(P[[#This Row],[Moon]],13.333333333333))+P[[#This Row],[SunRise]]</f>
        <v>43378.792620243039</v>
      </c>
      <c r="K286" s="124" t="str">
        <f ca="1">IF(P[[#This Row],[Tithi]]&gt;15,"K","S")&amp;ROUNDUP(MOD(P[[#This Row],[Tithi]],15),0)&amp;" ("&amp;ROUND(P[[#This Row],[Tithi]],2)&amp;")"</f>
        <v>K11 (25.38)</v>
      </c>
      <c r="L286" s="124">
        <f ca="1">IF(AND(P[[#This Row],[Tithi]]&lt;28.5,P[[#This Row],[Tithi]]&gt;0.49999),MOD((P[[#This Row],[Tithi]]-0.5)*2,7),MOD((P[[#This Row],[Tithi]]+30-28.5),30)*2+7)</f>
        <v>0.76079999999999615</v>
      </c>
      <c r="M286" s="124" t="str">
        <f ca="1">CHOOSE(ROUNDUP(P[[#This Row],[Karana1]],0),"Bhava","Baalava","Kaulava","Taitula","Garija","Vanija","Vishti","Shakuni","Chatushapda","Naaga","Kimstugna")</f>
        <v>Bhava</v>
      </c>
      <c r="N28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(20.99)</v>
      </c>
      <c r="O286" s="124">
        <f ca="1">IF(AND(P[[#This Row],[Tithi]]&lt;28.5,P[[#This Row],[Tithi]]&gt;0.49999),MOD((P[[#This Row],[Tithi]]-0.5)*2,7),MOD((P[[#This Row],[Tithi]]+30-28.5),30)*2+7)</f>
        <v>0.76079999999999615</v>
      </c>
      <c r="P286" s="124">
        <f ca="1">ROUNDUP(MOD(360+P[[#This Row],[Moon]]-P[[#This Row],[Sun]],360)/12,4)</f>
        <v>25.380399999999998</v>
      </c>
      <c r="Q286" s="124">
        <f t="shared" ca="1" si="47"/>
        <v>20.990000000000002</v>
      </c>
      <c r="R286" s="124" t="str">
        <f ca="1">SIGN(S287-P[[#This Row],[MARs]])*INT(P[[#This Row],[MARs]]/30+1)&amp;"Ma,"&amp;SIGN(T287-P[[#This Row],[Merc]])*INT(P[[#This Row],[Merc]]/30+1)&amp;"Me,"&amp;SIGN(U287-P[[#This Row],[Jup]])*INT(P[[#This Row],[Jup]]/30+1)&amp;"Ju,"&amp;SIGN(V287-P[[#This Row],[Venu]])*INT(P[[#This Row],[Venu]]/30+1)&amp;"Ve,"&amp;SIGN(W287-P[[#This Row],[Sat]])*INT(P[[#This Row],[Sat]]/30+1)&amp;"Sa,"&amp;INT(P[[#This Row],[Rah]]/30+1)&amp;"Ra"</f>
        <v>10Ma,6Me,7Ju,7Ve,9Sa,4Ra</v>
      </c>
      <c r="S286" s="124">
        <f ca="1">Planet(P[[#This Row],[GMT Sun Rise]],4)</f>
        <v>283.46810683959967</v>
      </c>
      <c r="T286" s="124">
        <f ca="1">Planet(P[[#This Row],[GMT Sun Rise]],2)</f>
        <v>177.93971795025169</v>
      </c>
      <c r="U286" s="124">
        <f ca="1">Planet(P[[#This Row],[GMT Sun Rise]],5)</f>
        <v>208.71960944685222</v>
      </c>
      <c r="V286" s="124">
        <f ca="1">Planet(P[[#This Row],[GMT Sun Rise]],3)</f>
        <v>196.71308417691492</v>
      </c>
      <c r="W286" s="124">
        <f ca="1">Planet(P[[#This Row],[GMT Sun Rise]],6)</f>
        <v>249.08614536682688</v>
      </c>
      <c r="X286" s="124">
        <f ca="1">Planet(P[[#This Row],[GMT Sun Rise]],10)</f>
        <v>98.111543717595112</v>
      </c>
      <c r="Y286" s="124">
        <f ca="1">SIGN(S287-P[[#This Row],[MARs]])</f>
        <v>1</v>
      </c>
    </row>
    <row r="287" spans="1:25" x14ac:dyDescent="0.2">
      <c r="A287" s="125">
        <f t="shared" ca="1" si="48"/>
        <v>43379</v>
      </c>
      <c r="B287" s="125">
        <f t="shared" ca="1" si="41"/>
        <v>43379.229166666664</v>
      </c>
      <c r="C287" s="127">
        <f t="shared" ca="1" si="42"/>
        <v>43379.250127202984</v>
      </c>
      <c r="D287" s="127">
        <f t="shared" ca="1" si="43"/>
        <v>43378.747159302278</v>
      </c>
      <c r="E287" s="189">
        <f ca="1">P[[#This Row],[SunRise]]-TimeZone/24</f>
        <v>43379.02096053632</v>
      </c>
      <c r="F287" s="190">
        <f t="shared" ca="1" si="44"/>
        <v>168.59346048229821</v>
      </c>
      <c r="G287" s="190">
        <f t="shared" ca="1" si="45"/>
        <v>126.60150303694996</v>
      </c>
      <c r="H287" s="191">
        <f t="shared" ca="1" si="46"/>
        <v>43379.02096053632</v>
      </c>
      <c r="I287" s="124" t="str">
        <f ca="1">naks(P[[#This Row],[Moon]])</f>
        <v>Makha</v>
      </c>
      <c r="J287" s="127">
        <f ca="1">(C288-P[[#This Row],[SunRise]])/(G288-P[[#This Row],[Moon]])*(13.3333333333333-MOD(P[[#This Row],[Moon]],13.333333333333))+P[[#This Row],[SunRise]]</f>
        <v>43379.715396096755</v>
      </c>
      <c r="K287" s="124" t="str">
        <f ca="1">IF(P[[#This Row],[Tithi]]&gt;15,"K","S")&amp;ROUNDUP(MOD(P[[#This Row],[Tithi]],15),0)&amp;" ("&amp;ROUND(P[[#This Row],[Tithi]],2)&amp;")"</f>
        <v>K12 (26.5)</v>
      </c>
      <c r="L287" s="124">
        <f ca="1">IF(AND(P[[#This Row],[Tithi]]&lt;28.5,P[[#This Row],[Tithi]]&gt;0.49999),MOD((P[[#This Row],[Tithi]]-0.5)*2,7),MOD((P[[#This Row],[Tithi]]+30-28.5),30)*2+7)</f>
        <v>3.0013999999999967</v>
      </c>
      <c r="M287" s="124" t="str">
        <f ca="1">CHOOSE(ROUNDUP(P[[#This Row],[Karana1]],0),"Bhava","Baalava","Kaulava","Taitula","Garija","Vanija","Vishti","Shakuni","Chatushapda","Naaga","Kimstugna")</f>
        <v>Taitula</v>
      </c>
      <c r="N28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(22.14)</v>
      </c>
      <c r="O287" s="124">
        <f ca="1">IF(AND(P[[#This Row],[Tithi]]&lt;28.5,P[[#This Row],[Tithi]]&gt;0.49999),MOD((P[[#This Row],[Tithi]]-0.5)*2,7),MOD((P[[#This Row],[Tithi]]+30-28.5),30)*2+7)</f>
        <v>3.0013999999999967</v>
      </c>
      <c r="P287" s="124">
        <f ca="1">ROUNDUP(MOD(360+P[[#This Row],[Moon]]-P[[#This Row],[Sun]],360)/12,4)</f>
        <v>26.500699999999998</v>
      </c>
      <c r="Q287" s="124">
        <f t="shared" ca="1" si="47"/>
        <v>22.14</v>
      </c>
      <c r="R287" s="124" t="str">
        <f ca="1">SIGN(S288-P[[#This Row],[MARs]])*INT(P[[#This Row],[MARs]]/30+1)&amp;"Ma,"&amp;SIGN(T288-P[[#This Row],[Merc]])*INT(P[[#This Row],[Merc]]/30+1)&amp;"Me,"&amp;SIGN(U288-P[[#This Row],[Jup]])*INT(P[[#This Row],[Jup]]/30+1)&amp;"Ju,"&amp;SIGN(V288-P[[#This Row],[Venu]])*INT(P[[#This Row],[Venu]]/30+1)&amp;"Ve,"&amp;SIGN(W288-P[[#This Row],[Sat]])*INT(P[[#This Row],[Sat]]/30+1)&amp;"Sa,"&amp;INT(P[[#This Row],[Rah]]/30+1)&amp;"Ra"</f>
        <v>10Ma,6Me,7Ju,-7Ve,9Sa,4Ra</v>
      </c>
      <c r="S287" s="124">
        <f ca="1">Planet(P[[#This Row],[GMT Sun Rise]],4)</f>
        <v>283.89410203933562</v>
      </c>
      <c r="T287" s="124">
        <f ca="1">Planet(P[[#This Row],[GMT Sun Rise]],2)</f>
        <v>179.55272467188055</v>
      </c>
      <c r="U287" s="124">
        <f ca="1">Planet(P[[#This Row],[GMT Sun Rise]],5)</f>
        <v>208.91174412661923</v>
      </c>
      <c r="V287" s="124">
        <f ca="1">Planet(P[[#This Row],[GMT Sun Rise]],3)</f>
        <v>196.72360218605425</v>
      </c>
      <c r="W287" s="124">
        <f ca="1">Planet(P[[#This Row],[GMT Sun Rise]],6)</f>
        <v>249.13236351552317</v>
      </c>
      <c r="X287" s="124">
        <f ca="1">Planet(P[[#This Row],[GMT Sun Rise]],10)</f>
        <v>98.058549117761885</v>
      </c>
      <c r="Y287" s="124">
        <f ca="1">SIGN(S288-P[[#This Row],[MARs]])</f>
        <v>1</v>
      </c>
    </row>
    <row r="288" spans="1:25" x14ac:dyDescent="0.2">
      <c r="A288" s="125">
        <f t="shared" ca="1" si="48"/>
        <v>43380</v>
      </c>
      <c r="B288" s="125">
        <f t="shared" ca="1" si="41"/>
        <v>43380.229166666664</v>
      </c>
      <c r="C288" s="127">
        <f t="shared" ca="1" si="42"/>
        <v>43380.250180290699</v>
      </c>
      <c r="D288" s="127">
        <f t="shared" ca="1" si="43"/>
        <v>43379.746697565119</v>
      </c>
      <c r="E288" s="189">
        <f ca="1">P[[#This Row],[SunRise]]-TimeZone/24</f>
        <v>43380.021013624035</v>
      </c>
      <c r="F288" s="190">
        <f t="shared" ca="1" si="44"/>
        <v>169.5798348597913</v>
      </c>
      <c r="G288" s="190">
        <f t="shared" ca="1" si="45"/>
        <v>141.07095879458217</v>
      </c>
      <c r="H288" s="191">
        <f t="shared" ca="1" si="46"/>
        <v>43380.021013624035</v>
      </c>
      <c r="I288" s="124" t="str">
        <f ca="1">naks(P[[#This Row],[Moon]])</f>
        <v>Purva Phalguni</v>
      </c>
      <c r="J288" s="127">
        <f ca="1">(C289-P[[#This Row],[SunRise]])/(G289-P[[#This Row],[Moon]])*(13.3333333333333-MOD(P[[#This Row],[Moon]],13.333333333333))+P[[#This Row],[SunRise]]</f>
        <v>43380.638235162878</v>
      </c>
      <c r="K288" s="124" t="str">
        <f ca="1">IF(P[[#This Row],[Tithi]]&gt;15,"K","S")&amp;ROUNDUP(MOD(P[[#This Row],[Tithi]],15),0)&amp;" ("&amp;ROUND(P[[#This Row],[Tithi]],2)&amp;")"</f>
        <v>K13 (27.62)</v>
      </c>
      <c r="L288" s="124">
        <f ca="1">IF(AND(P[[#This Row],[Tithi]]&lt;28.5,P[[#This Row],[Tithi]]&gt;0.49999),MOD((P[[#This Row],[Tithi]]-0.5)*2,7),MOD((P[[#This Row],[Tithi]]+30-28.5),30)*2+7)</f>
        <v>5.2485999999999962</v>
      </c>
      <c r="M288" s="124" t="str">
        <f ca="1">CHOOSE(ROUNDUP(P[[#This Row],[Karana1]],0),"Bhava","Baalava","Kaulava","Taitula","Garija","Vanija","Vishti","Shakuni","Chatushapda","Naaga","Kimstugna")</f>
        <v>Vanija</v>
      </c>
      <c r="N28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(23.3)</v>
      </c>
      <c r="O288" s="124">
        <f ca="1">IF(AND(P[[#This Row],[Tithi]]&lt;28.5,P[[#This Row],[Tithi]]&gt;0.49999),MOD((P[[#This Row],[Tithi]]-0.5)*2,7),MOD((P[[#This Row],[Tithi]]+30-28.5),30)*2+7)</f>
        <v>5.2485999999999962</v>
      </c>
      <c r="P288" s="124">
        <f ca="1">ROUNDUP(MOD(360+P[[#This Row],[Moon]]-P[[#This Row],[Sun]],360)/12,4)</f>
        <v>27.624299999999998</v>
      </c>
      <c r="Q288" s="124">
        <f t="shared" ca="1" si="47"/>
        <v>23.3</v>
      </c>
      <c r="R288" s="124" t="str">
        <f ca="1">SIGN(S289-P[[#This Row],[MARs]])*INT(P[[#This Row],[MARs]]/30+1)&amp;"Ma,"&amp;SIGN(T289-P[[#This Row],[Merc]])*INT(P[[#This Row],[Merc]]/30+1)&amp;"Me,"&amp;SIGN(U289-P[[#This Row],[Jup]])*INT(P[[#This Row],[Jup]]/30+1)&amp;"Ju,"&amp;SIGN(V289-P[[#This Row],[Venu]])*INT(P[[#This Row],[Venu]]/30+1)&amp;"Ve,"&amp;SIGN(W289-P[[#This Row],[Sat]])*INT(P[[#This Row],[Sat]]/30+1)&amp;"Sa,"&amp;INT(P[[#This Row],[Rah]]/30+1)&amp;"Ra"</f>
        <v>10Ma,7Me,7Ju,-7Ve,9Sa,4Ra</v>
      </c>
      <c r="S288" s="124">
        <f ca="1">Planet(P[[#This Row],[GMT Sun Rise]],4)</f>
        <v>284.32736908528307</v>
      </c>
      <c r="T288" s="124">
        <f ca="1">Planet(P[[#This Row],[GMT Sun Rise]],2)</f>
        <v>181.15250720034311</v>
      </c>
      <c r="U288" s="124">
        <f ca="1">Planet(P[[#This Row],[GMT Sun Rise]],5)</f>
        <v>209.10506712110285</v>
      </c>
      <c r="V288" s="124">
        <f ca="1">Planet(P[[#This Row],[GMT Sun Rise]],3)</f>
        <v>196.6952871510675</v>
      </c>
      <c r="W288" s="124">
        <f ca="1">Planet(P[[#This Row],[GMT Sun Rise]],6)</f>
        <v>249.18008114388903</v>
      </c>
      <c r="X288" s="124">
        <f ca="1">Planet(P[[#This Row],[GMT Sun Rise]],10)</f>
        <v>98.005554307341882</v>
      </c>
      <c r="Y288" s="124">
        <f ca="1">SIGN(S289-P[[#This Row],[MARs]])</f>
        <v>1</v>
      </c>
    </row>
    <row r="289" spans="1:25" x14ac:dyDescent="0.2">
      <c r="A289" s="125">
        <f t="shared" ca="1" si="48"/>
        <v>43381</v>
      </c>
      <c r="B289" s="125">
        <f t="shared" ca="1" si="41"/>
        <v>43381.229166666664</v>
      </c>
      <c r="C289" s="127">
        <f t="shared" ca="1" si="42"/>
        <v>43381.250237511158</v>
      </c>
      <c r="D289" s="127">
        <f t="shared" ca="1" si="43"/>
        <v>43380.746241231958</v>
      </c>
      <c r="E289" s="189">
        <f ca="1">P[[#This Row],[SunRise]]-TimeZone/24</f>
        <v>43381.021070844494</v>
      </c>
      <c r="F289" s="190">
        <f t="shared" ca="1" si="44"/>
        <v>170.56682359250067</v>
      </c>
      <c r="G289" s="190">
        <f t="shared" ca="1" si="45"/>
        <v>155.49167210657347</v>
      </c>
      <c r="H289" s="191">
        <f t="shared" ca="1" si="46"/>
        <v>43381.021070844494</v>
      </c>
      <c r="I289" s="124" t="str">
        <f ca="1">naks(P[[#This Row],[Moon]])</f>
        <v>Uttara Phalguni</v>
      </c>
      <c r="J289" s="127">
        <f ca="1">(C290-P[[#This Row],[SunRise]])/(G290-P[[#This Row],[Moon]])*(13.3333333333333-MOD(P[[#This Row],[Moon]],13.333333333333))+P[[#This Row],[SunRise]]</f>
        <v>43381.566170686216</v>
      </c>
      <c r="K289" s="124" t="str">
        <f ca="1">IF(P[[#This Row],[Tithi]]&gt;15,"K","S")&amp;ROUNDUP(MOD(P[[#This Row],[Tithi]],15),0)&amp;" ("&amp;ROUND(P[[#This Row],[Tithi]],2)&amp;")"</f>
        <v>K14 (28.74)</v>
      </c>
      <c r="L289" s="124">
        <f ca="1">IF(AND(P[[#This Row],[Tithi]]&lt;28.5,P[[#This Row],[Tithi]]&gt;0.49999),MOD((P[[#This Row],[Tithi]]-0.5)*2,7),MOD((P[[#This Row],[Tithi]]+30-28.5),30)*2+7)</f>
        <v>7.4876000000000005</v>
      </c>
      <c r="M289" s="124" t="str">
        <f ca="1">CHOOSE(ROUNDUP(P[[#This Row],[Karana1]],0),"Bhava","Baalava","Kaulava","Taitula","Garija","Vanija","Vishti","Shakuni","Chatushapda","Naaga","Kimstugna")</f>
        <v>Shakuni</v>
      </c>
      <c r="N28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(24.46)</v>
      </c>
      <c r="O289" s="124">
        <f ca="1">IF(AND(P[[#This Row],[Tithi]]&lt;28.5,P[[#This Row],[Tithi]]&gt;0.49999),MOD((P[[#This Row],[Tithi]]-0.5)*2,7),MOD((P[[#This Row],[Tithi]]+30-28.5),30)*2+7)</f>
        <v>7.4876000000000005</v>
      </c>
      <c r="P289" s="124">
        <f ca="1">ROUNDUP(MOD(360+P[[#This Row],[Moon]]-P[[#This Row],[Sun]],360)/12,4)</f>
        <v>28.7438</v>
      </c>
      <c r="Q289" s="124">
        <f t="shared" ca="1" si="47"/>
        <v>24.46</v>
      </c>
      <c r="R289" s="124" t="str">
        <f ca="1">SIGN(S290-P[[#This Row],[MARs]])*INT(P[[#This Row],[MARs]]/30+1)&amp;"Ma,"&amp;SIGN(T290-P[[#This Row],[Merc]])*INT(P[[#This Row],[Merc]]/30+1)&amp;"Me,"&amp;SIGN(U290-P[[#This Row],[Jup]])*INT(P[[#This Row],[Jup]]/30+1)&amp;"Ju,"&amp;SIGN(V290-P[[#This Row],[Venu]])*INT(P[[#This Row],[Venu]]/30+1)&amp;"Ve,"&amp;SIGN(W290-P[[#This Row],[Sat]])*INT(P[[#This Row],[Sat]]/30+1)&amp;"Sa,"&amp;INT(P[[#This Row],[Rah]]/30+1)&amp;"Ra"</f>
        <v>10Ma,7Me,7Ju,-7Ve,9Sa,4Ra</v>
      </c>
      <c r="S289" s="124">
        <f ca="1">Planet(P[[#This Row],[GMT Sun Rise]],4)</f>
        <v>284.7677650230371</v>
      </c>
      <c r="T289" s="124">
        <f ca="1">Planet(P[[#This Row],[GMT Sun Rise]],2)</f>
        <v>182.73931964296324</v>
      </c>
      <c r="U289" s="124">
        <f ca="1">Planet(P[[#This Row],[GMT Sun Rise]],5)</f>
        <v>209.29955412870456</v>
      </c>
      <c r="V289" s="124">
        <f ca="1">Planet(P[[#This Row],[GMT Sun Rise]],3)</f>
        <v>196.62762546043584</v>
      </c>
      <c r="W289" s="124">
        <f ca="1">Planet(P[[#This Row],[GMT Sun Rise]],6)</f>
        <v>249.22928884215162</v>
      </c>
      <c r="X289" s="124">
        <f ca="1">Planet(P[[#This Row],[GMT Sun Rise]],10)</f>
        <v>97.952559277951266</v>
      </c>
      <c r="Y289" s="124">
        <f ca="1">SIGN(S290-P[[#This Row],[MARs]])</f>
        <v>1</v>
      </c>
    </row>
    <row r="290" spans="1:25" x14ac:dyDescent="0.2">
      <c r="A290" s="125">
        <f t="shared" ca="1" si="48"/>
        <v>43382</v>
      </c>
      <c r="B290" s="125">
        <f t="shared" ca="1" si="41"/>
        <v>43382.229166666664</v>
      </c>
      <c r="C290" s="127">
        <f t="shared" ca="1" si="42"/>
        <v>43382.250299181942</v>
      </c>
      <c r="D290" s="127">
        <f t="shared" ca="1" si="43"/>
        <v>43381.745790144007</v>
      </c>
      <c r="E290" s="189">
        <f ca="1">P[[#This Row],[SunRise]]-TimeZone/24</f>
        <v>43382.021132515278</v>
      </c>
      <c r="F290" s="190">
        <f t="shared" ca="1" si="44"/>
        <v>171.55440772132516</v>
      </c>
      <c r="G290" s="190">
        <f t="shared" ca="1" si="45"/>
        <v>169.76243023349258</v>
      </c>
      <c r="H290" s="191">
        <f t="shared" ca="1" si="46"/>
        <v>43382.021132515278</v>
      </c>
      <c r="I290" s="124" t="str">
        <f ca="1">naks(P[[#This Row],[Moon]])</f>
        <v>Hasta</v>
      </c>
      <c r="J290" s="127">
        <f ca="1">(C291-P[[#This Row],[SunRise]])/(G291-P[[#This Row],[Moon]])*(13.3333333333333-MOD(P[[#This Row],[Moon]],13.333333333333))+P[[#This Row],[SunRise]]</f>
        <v>43382.504978268676</v>
      </c>
      <c r="K290" s="124" t="str">
        <f ca="1">IF(P[[#This Row],[Tithi]]&gt;15,"K","S")&amp;ROUNDUP(MOD(P[[#This Row],[Tithi]],15),0)&amp;" ("&amp;ROUND(P[[#This Row],[Tithi]],2)&amp;")"</f>
        <v>K15 (29.85)</v>
      </c>
      <c r="L290" s="124">
        <f ca="1">IF(AND(P[[#This Row],[Tithi]]&lt;28.5,P[[#This Row],[Tithi]]&gt;0.49999),MOD((P[[#This Row],[Tithi]]-0.5)*2,7),MOD((P[[#This Row],[Tithi]]+30-28.5),30)*2+7)</f>
        <v>9.7014000000000067</v>
      </c>
      <c r="M290" s="124" t="str">
        <f ca="1">CHOOSE(ROUNDUP(P[[#This Row],[Karana1]],0),"Bhava","Baalava","Kaulava","Taitula","Garija","Vanija","Vishti","Shakuni","Chatushapda","Naaga","Kimstugna")</f>
        <v>Naaga</v>
      </c>
      <c r="N29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(25.6)</v>
      </c>
      <c r="O290" s="124">
        <f ca="1">IF(AND(P[[#This Row],[Tithi]]&lt;28.5,P[[#This Row],[Tithi]]&gt;0.49999),MOD((P[[#This Row],[Tithi]]-0.5)*2,7),MOD((P[[#This Row],[Tithi]]+30-28.5),30)*2+7)</f>
        <v>9.7014000000000067</v>
      </c>
      <c r="P290" s="124">
        <f ca="1">ROUNDUP(MOD(360+P[[#This Row],[Moon]]-P[[#This Row],[Sun]],360)/12,4)</f>
        <v>29.8507</v>
      </c>
      <c r="Q290" s="124">
        <f t="shared" ca="1" si="47"/>
        <v>25.6</v>
      </c>
      <c r="R290" s="124" t="str">
        <f ca="1">SIGN(S291-P[[#This Row],[MARs]])*INT(P[[#This Row],[MARs]]/30+1)&amp;"Ma,"&amp;SIGN(T291-P[[#This Row],[Merc]])*INT(P[[#This Row],[Merc]]/30+1)&amp;"Me,"&amp;SIGN(U291-P[[#This Row],[Jup]])*INT(P[[#This Row],[Jup]]/30+1)&amp;"Ju,"&amp;SIGN(V291-P[[#This Row],[Venu]])*INT(P[[#This Row],[Venu]]/30+1)&amp;"Ve,"&amp;SIGN(W291-P[[#This Row],[Sat]])*INT(P[[#This Row],[Sat]]/30+1)&amp;"Sa,"&amp;INT(P[[#This Row],[Rah]]/30+1)&amp;"Ra"</f>
        <v>10Ma,7Me,7Ju,-7Ve,9Sa,4Ra</v>
      </c>
      <c r="S290" s="124">
        <f ca="1">Planet(P[[#This Row],[GMT Sun Rise]],4)</f>
        <v>285.21514236359593</v>
      </c>
      <c r="T290" s="124">
        <f ca="1">Planet(P[[#This Row],[GMT Sun Rise]],2)</f>
        <v>184.31339640423062</v>
      </c>
      <c r="U290" s="124">
        <f ca="1">Planet(P[[#This Row],[GMT Sun Rise]],5)</f>
        <v>209.49517997848068</v>
      </c>
      <c r="V290" s="124">
        <f ca="1">Planet(P[[#This Row],[GMT Sun Rise]],3)</f>
        <v>196.52022805162545</v>
      </c>
      <c r="W290" s="124">
        <f ca="1">Planet(P[[#This Row],[GMT Sun Rise]],6)</f>
        <v>249.27997625202846</v>
      </c>
      <c r="X290" s="124">
        <f ca="1">Planet(P[[#This Row],[GMT Sun Rise]],10)</f>
        <v>97.899564012723033</v>
      </c>
      <c r="Y290" s="124">
        <f ca="1">SIGN(S291-P[[#This Row],[MARs]])</f>
        <v>1</v>
      </c>
    </row>
    <row r="291" spans="1:25" x14ac:dyDescent="0.2">
      <c r="A291" s="125">
        <f t="shared" ca="1" si="48"/>
        <v>43383</v>
      </c>
      <c r="B291" s="125">
        <f t="shared" ca="1" si="41"/>
        <v>43383.229166666664</v>
      </c>
      <c r="C291" s="127">
        <f t="shared" ca="1" si="42"/>
        <v>43383.250365462307</v>
      </c>
      <c r="D291" s="127">
        <f t="shared" ca="1" si="43"/>
        <v>43382.745344778101</v>
      </c>
      <c r="E291" s="189">
        <f ca="1">P[[#This Row],[SunRise]]-TimeZone/24</f>
        <v>43383.021198795643</v>
      </c>
      <c r="F291" s="190">
        <f t="shared" ca="1" si="44"/>
        <v>172.54256737408133</v>
      </c>
      <c r="G291" s="190">
        <f t="shared" ca="1" si="45"/>
        <v>183.78454656193855</v>
      </c>
      <c r="H291" s="191">
        <f t="shared" ca="1" si="46"/>
        <v>43383.021198795643</v>
      </c>
      <c r="I291" s="124" t="str">
        <f ca="1">naks(P[[#This Row],[Moon]])</f>
        <v>Chitra</v>
      </c>
      <c r="J291" s="127">
        <f ca="1">(C292-P[[#This Row],[SunRise]])/(G292-P[[#This Row],[Moon]])*(13.3333333333333-MOD(P[[#This Row],[Moon]],13.333333333333))+P[[#This Row],[SunRise]]</f>
        <v>43383.460849562187</v>
      </c>
      <c r="K291" s="124" t="str">
        <f ca="1">IF(P[[#This Row],[Tithi]]&gt;15,"K","S")&amp;ROUNDUP(MOD(P[[#This Row],[Tithi]],15),0)&amp;" ("&amp;ROUND(P[[#This Row],[Tithi]],2)&amp;")"</f>
        <v>S1 (0.94)</v>
      </c>
      <c r="L291" s="124">
        <f ca="1">IF(AND(P[[#This Row],[Tithi]]&lt;28.5,P[[#This Row],[Tithi]]&gt;0.49999),MOD((P[[#This Row],[Tithi]]-0.5)*2,7),MOD((P[[#This Row],[Tithi]]+30-28.5),30)*2+7)</f>
        <v>0.87379999999999991</v>
      </c>
      <c r="M291" s="124" t="str">
        <f ca="1">CHOOSE(ROUNDUP(P[[#This Row],[Karana1]],0),"Bhava","Baalava","Kaulava","Taitula","Garija","Vanija","Vishti","Shakuni","Chatushapda","Naaga","Kimstugna")</f>
        <v>Bhava</v>
      </c>
      <c r="N29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(26.73)</v>
      </c>
      <c r="O291" s="124">
        <f ca="1">IF(AND(P[[#This Row],[Tithi]]&lt;28.5,P[[#This Row],[Tithi]]&gt;0.49999),MOD((P[[#This Row],[Tithi]]-0.5)*2,7),MOD((P[[#This Row],[Tithi]]+30-28.5),30)*2+7)</f>
        <v>0.87379999999999991</v>
      </c>
      <c r="P291" s="124">
        <f ca="1">ROUNDUP(MOD(360+P[[#This Row],[Moon]]-P[[#This Row],[Sun]],360)/12,4)</f>
        <v>0.93689999999999996</v>
      </c>
      <c r="Q291" s="124">
        <f t="shared" ca="1" si="47"/>
        <v>26.73</v>
      </c>
      <c r="R291" s="124" t="str">
        <f ca="1">SIGN(S292-P[[#This Row],[MARs]])*INT(P[[#This Row],[MARs]]/30+1)&amp;"Ma,"&amp;SIGN(T292-P[[#This Row],[Merc]])*INT(P[[#This Row],[Merc]]/30+1)&amp;"Me,"&amp;SIGN(U292-P[[#This Row],[Jup]])*INT(P[[#This Row],[Jup]]/30+1)&amp;"Ju,"&amp;SIGN(V292-P[[#This Row],[Venu]])*INT(P[[#This Row],[Venu]]/30+1)&amp;"Ve,"&amp;SIGN(W292-P[[#This Row],[Sat]])*INT(P[[#This Row],[Sat]]/30+1)&amp;"Sa,"&amp;INT(P[[#This Row],[Rah]]/30+1)&amp;"Ra"</f>
        <v>10Ma,7Me,7Ju,-7Ve,9Sa,4Ra</v>
      </c>
      <c r="S291" s="124">
        <f ca="1">Planet(P[[#This Row],[GMT Sun Rise]],4)</f>
        <v>285.66934771399337</v>
      </c>
      <c r="T291" s="124">
        <f ca="1">Planet(P[[#This Row],[GMT Sun Rise]],2)</f>
        <v>185.87494858495643</v>
      </c>
      <c r="U291" s="124">
        <f ca="1">Planet(P[[#This Row],[GMT Sun Rise]],5)</f>
        <v>209.69191878685504</v>
      </c>
      <c r="V291" s="124">
        <f ca="1">Planet(P[[#This Row],[GMT Sun Rise]],3)</f>
        <v>196.37285618716089</v>
      </c>
      <c r="W291" s="124">
        <f ca="1">Planet(P[[#This Row],[GMT Sun Rise]],6)</f>
        <v>249.33213206247257</v>
      </c>
      <c r="X291" s="124">
        <f ca="1">Planet(P[[#This Row],[GMT Sun Rise]],10)</f>
        <v>97.846568503240192</v>
      </c>
      <c r="Y291" s="124">
        <f ca="1">SIGN(S292-P[[#This Row],[MARs]])</f>
        <v>1</v>
      </c>
    </row>
    <row r="292" spans="1:25" x14ac:dyDescent="0.2">
      <c r="A292" s="125">
        <f t="shared" ca="1" si="48"/>
        <v>43384</v>
      </c>
      <c r="B292" s="125">
        <f t="shared" ca="1" si="41"/>
        <v>43384.229166666664</v>
      </c>
      <c r="C292" s="127">
        <f t="shared" ca="1" si="42"/>
        <v>43384.250436193463</v>
      </c>
      <c r="D292" s="127">
        <f t="shared" ca="1" si="43"/>
        <v>43383.744905134241</v>
      </c>
      <c r="E292" s="189">
        <f ca="1">P[[#This Row],[SunRise]]-TimeZone/24</f>
        <v>43384.021269526798</v>
      </c>
      <c r="F292" s="190">
        <f t="shared" ca="1" si="44"/>
        <v>173.53128309646132</v>
      </c>
      <c r="G292" s="190">
        <f t="shared" ca="1" si="45"/>
        <v>197.47833132795373</v>
      </c>
      <c r="H292" s="191">
        <f t="shared" ca="1" si="46"/>
        <v>43384.021269526798</v>
      </c>
      <c r="I292" s="124" t="str">
        <f ca="1">naks(P[[#This Row],[Moon]])</f>
        <v>Swati</v>
      </c>
      <c r="J292" s="127">
        <f ca="1">(C293-P[[#This Row],[SunRise]])/(G293-P[[#This Row],[Moon]])*(13.3333333333333-MOD(P[[#This Row],[Moon]],13.333333333333))+P[[#This Row],[SunRise]]</f>
        <v>43384.43980677236</v>
      </c>
      <c r="K292" s="124" t="str">
        <f ca="1">IF(P[[#This Row],[Tithi]]&gt;15,"K","S")&amp;ROUNDUP(MOD(P[[#This Row],[Tithi]],15),0)&amp;" ("&amp;ROUND(P[[#This Row],[Tithi]],2)&amp;")"</f>
        <v>S2 (2)</v>
      </c>
      <c r="L292" s="124">
        <f ca="1">IF(AND(P[[#This Row],[Tithi]]&lt;28.5,P[[#This Row],[Tithi]]&gt;0.49999),MOD((P[[#This Row],[Tithi]]-0.5)*2,7),MOD((P[[#This Row],[Tithi]]+30-28.5),30)*2+7)</f>
        <v>2.9912000000000001</v>
      </c>
      <c r="M292" s="124" t="str">
        <f ca="1">CHOOSE(ROUNDUP(P[[#This Row],[Karana1]],0),"Bhava","Baalava","Kaulava","Taitula","Garija","Vanija","Vishti","Shakuni","Chatushapda","Naaga","Kimstugna")</f>
        <v>Kaulava</v>
      </c>
      <c r="N29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(0.83)</v>
      </c>
      <c r="O292" s="124">
        <f ca="1">IF(AND(P[[#This Row],[Tithi]]&lt;28.5,P[[#This Row],[Tithi]]&gt;0.49999),MOD((P[[#This Row],[Tithi]]-0.5)*2,7),MOD((P[[#This Row],[Tithi]]+30-28.5),30)*2+7)</f>
        <v>2.9912000000000001</v>
      </c>
      <c r="P292" s="124">
        <f ca="1">ROUNDUP(MOD(360+P[[#This Row],[Moon]]-P[[#This Row],[Sun]],360)/12,4)</f>
        <v>1.9956</v>
      </c>
      <c r="Q292" s="124">
        <f t="shared" ca="1" si="47"/>
        <v>0.83</v>
      </c>
      <c r="R292" s="124" t="str">
        <f ca="1">SIGN(S293-P[[#This Row],[MARs]])*INT(P[[#This Row],[MARs]]/30+1)&amp;"Ma,"&amp;SIGN(T293-P[[#This Row],[Merc]])*INT(P[[#This Row],[Merc]]/30+1)&amp;"Me,"&amp;SIGN(U293-P[[#This Row],[Jup]])*INT(P[[#This Row],[Jup]]/30+1)&amp;"Ju,"&amp;SIGN(V293-P[[#This Row],[Venu]])*INT(P[[#This Row],[Venu]]/30+1)&amp;"Ve,"&amp;SIGN(W293-P[[#This Row],[Sat]])*INT(P[[#This Row],[Sat]]/30+1)&amp;"Sa,"&amp;INT(P[[#This Row],[Rah]]/30+1)&amp;"Ra"</f>
        <v>10Ma,7Me,7Ju,-7Ve,9Sa,4Ra</v>
      </c>
      <c r="S292" s="124">
        <f ca="1">Planet(P[[#This Row],[GMT Sun Rise]],4)</f>
        <v>286.13022154696881</v>
      </c>
      <c r="T292" s="124">
        <f ca="1">Planet(P[[#This Row],[GMT Sun Rise]],2)</f>
        <v>187.42416076158176</v>
      </c>
      <c r="U292" s="124">
        <f ca="1">Planet(P[[#This Row],[GMT Sun Rise]],5)</f>
        <v>209.88974420238719</v>
      </c>
      <c r="V292" s="124">
        <f ca="1">Planet(P[[#This Row],[GMT Sun Rise]],3)</f>
        <v>196.18544946542835</v>
      </c>
      <c r="W292" s="124">
        <f ca="1">Planet(P[[#This Row],[GMT Sun Rise]],6)</f>
        <v>249.38574408077548</v>
      </c>
      <c r="X292" s="124">
        <f ca="1">Planet(P[[#This Row],[GMT Sun Rise]],10)</f>
        <v>97.793572757870024</v>
      </c>
      <c r="Y292" s="124">
        <f ca="1">SIGN(S293-P[[#This Row],[MARs]])</f>
        <v>1</v>
      </c>
    </row>
    <row r="293" spans="1:25" x14ac:dyDescent="0.2">
      <c r="A293" s="125">
        <f t="shared" ca="1" si="48"/>
        <v>43385</v>
      </c>
      <c r="B293" s="125">
        <f t="shared" ca="1" si="41"/>
        <v>43385.229166666664</v>
      </c>
      <c r="C293" s="127">
        <f t="shared" ca="1" si="42"/>
        <v>43385.250511692524</v>
      </c>
      <c r="D293" s="127">
        <f t="shared" ca="1" si="43"/>
        <v>43384.744471689264</v>
      </c>
      <c r="E293" s="189">
        <f ca="1">P[[#This Row],[SunRise]]-TimeZone/24</f>
        <v>43385.02134502586</v>
      </c>
      <c r="F293" s="190">
        <f t="shared" ca="1" si="44"/>
        <v>174.52053782694014</v>
      </c>
      <c r="G293" s="190">
        <f t="shared" ca="1" si="45"/>
        <v>210.79538971319764</v>
      </c>
      <c r="H293" s="191">
        <f t="shared" ca="1" si="46"/>
        <v>43385.02134502586</v>
      </c>
      <c r="I293" s="124" t="str">
        <f ca="1">naks(P[[#This Row],[Moon]])</f>
        <v>Visakha</v>
      </c>
      <c r="J293" s="127">
        <f ca="1">(C294-P[[#This Row],[SunRise]])/(G294-P[[#This Row],[Moon]])*(13.3333333333333-MOD(P[[#This Row],[Moon]],13.333333333333))+P[[#This Row],[SunRise]]</f>
        <v>43385.446833589776</v>
      </c>
      <c r="K293" s="124" t="str">
        <f ca="1">IF(P[[#This Row],[Tithi]]&gt;15,"K","S")&amp;ROUNDUP(MOD(P[[#This Row],[Tithi]],15),0)&amp;" ("&amp;ROUND(P[[#This Row],[Tithi]],2)&amp;")"</f>
        <v>S4 (3.02)</v>
      </c>
      <c r="L293" s="124">
        <f ca="1">IF(AND(P[[#This Row],[Tithi]]&lt;28.5,P[[#This Row],[Tithi]]&gt;0.49999),MOD((P[[#This Row],[Tithi]]-0.5)*2,7),MOD((P[[#This Row],[Tithi]]+30-28.5),30)*2+7)</f>
        <v>5.0460000000000003</v>
      </c>
      <c r="M293" s="124" t="str">
        <f ca="1">CHOOSE(ROUNDUP(P[[#This Row],[Karana1]],0),"Bhava","Baalava","Kaulava","Taitula","Garija","Vanija","Vishti","Shakuni","Chatushapda","Naaga","Kimstugna")</f>
        <v>Vanija</v>
      </c>
      <c r="N29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(1.9)</v>
      </c>
      <c r="O293" s="124">
        <f ca="1">IF(AND(P[[#This Row],[Tithi]]&lt;28.5,P[[#This Row],[Tithi]]&gt;0.49999),MOD((P[[#This Row],[Tithi]]-0.5)*2,7),MOD((P[[#This Row],[Tithi]]+30-28.5),30)*2+7)</f>
        <v>5.0460000000000003</v>
      </c>
      <c r="P293" s="124">
        <f ca="1">ROUNDUP(MOD(360+P[[#This Row],[Moon]]-P[[#This Row],[Sun]],360)/12,4)</f>
        <v>3.0230000000000001</v>
      </c>
      <c r="Q293" s="124">
        <f t="shared" ca="1" si="47"/>
        <v>1.9</v>
      </c>
      <c r="R293" s="124" t="str">
        <f ca="1">SIGN(S294-P[[#This Row],[MARs]])*INT(P[[#This Row],[MARs]]/30+1)&amp;"Ma,"&amp;SIGN(T294-P[[#This Row],[Merc]])*INT(P[[#This Row],[Merc]]/30+1)&amp;"Me,"&amp;SIGN(U294-P[[#This Row],[Jup]])*INT(P[[#This Row],[Jup]]/30+1)&amp;"Ju,"&amp;SIGN(V294-P[[#This Row],[Venu]])*INT(P[[#This Row],[Venu]]/30+1)&amp;"Ve,"&amp;SIGN(W294-P[[#This Row],[Sat]])*INT(P[[#This Row],[Sat]]/30+1)&amp;"Sa,"&amp;INT(P[[#This Row],[Rah]]/30+1)&amp;"Ra"</f>
        <v>10Ma,7Me,8Ju,-7Ve,9Sa,4Ra</v>
      </c>
      <c r="S293" s="124">
        <f ca="1">Planet(P[[#This Row],[GMT Sun Rise]],4)</f>
        <v>286.59759935792215</v>
      </c>
      <c r="T293" s="124">
        <f ca="1">Planet(P[[#This Row],[GMT Sun Rise]],2)</f>
        <v>188.96118913887946</v>
      </c>
      <c r="U293" s="124">
        <f ca="1">Planet(P[[#This Row],[GMT Sun Rise]],5)</f>
        <v>210.08862984927845</v>
      </c>
      <c r="V293" s="124">
        <f ca="1">Planet(P[[#This Row],[GMT Sun Rise]],3)</f>
        <v>195.95815448684866</v>
      </c>
      <c r="W293" s="124">
        <f ca="1">Planet(P[[#This Row],[GMT Sun Rise]],6)</f>
        <v>249.44079940699564</v>
      </c>
      <c r="X293" s="124">
        <f ca="1">Planet(P[[#This Row],[GMT Sun Rise]],10)</f>
        <v>97.740576759861497</v>
      </c>
      <c r="Y293" s="124">
        <f ca="1">SIGN(S294-P[[#This Row],[MARs]])</f>
        <v>1</v>
      </c>
    </row>
    <row r="294" spans="1:25" x14ac:dyDescent="0.2">
      <c r="A294" s="125">
        <f t="shared" ca="1" si="48"/>
        <v>43386</v>
      </c>
      <c r="B294" s="125">
        <f t="shared" ca="1" si="41"/>
        <v>43386.229166666664</v>
      </c>
      <c r="C294" s="127">
        <f t="shared" ca="1" si="42"/>
        <v>43386.250592119213</v>
      </c>
      <c r="D294" s="127">
        <f t="shared" ca="1" si="43"/>
        <v>43385.744044601961</v>
      </c>
      <c r="E294" s="189">
        <f ca="1">P[[#This Row],[SunRise]]-TimeZone/24</f>
        <v>43386.021425452549</v>
      </c>
      <c r="F294" s="190">
        <f t="shared" ca="1" si="44"/>
        <v>175.51031706283672</v>
      </c>
      <c r="G294" s="190">
        <f t="shared" ca="1" si="45"/>
        <v>223.72389017095196</v>
      </c>
      <c r="H294" s="191">
        <f t="shared" ca="1" si="46"/>
        <v>43386.021425452549</v>
      </c>
      <c r="I294" s="124" t="str">
        <f ca="1">naks(P[[#This Row],[Moon]])</f>
        <v>Anuradha</v>
      </c>
      <c r="J294" s="127">
        <f ca="1">(C295-P[[#This Row],[SunRise]])/(G295-P[[#This Row],[Moon]])*(13.3333333333333-MOD(P[[#This Row],[Moon]],13.333333333333))+P[[#This Row],[SunRise]]</f>
        <v>43386.484849344029</v>
      </c>
      <c r="K294" s="124" t="str">
        <f ca="1">IF(P[[#This Row],[Tithi]]&gt;15,"K","S")&amp;ROUNDUP(MOD(P[[#This Row],[Tithi]],15),0)&amp;" ("&amp;ROUND(P[[#This Row],[Tithi]],2)&amp;")"</f>
        <v>S5 (4.02)</v>
      </c>
      <c r="L294" s="124">
        <f ca="1">IF(AND(P[[#This Row],[Tithi]]&lt;28.5,P[[#This Row],[Tithi]]&gt;0.49999),MOD((P[[#This Row],[Tithi]]-0.5)*2,7),MOD((P[[#This Row],[Tithi]]+30-28.5),30)*2+7)</f>
        <v>3.5599999999998744E-2</v>
      </c>
      <c r="M294" s="124" t="str">
        <f ca="1">CHOOSE(ROUNDUP(P[[#This Row],[Karana1]],0),"Bhava","Baalava","Kaulava","Taitula","Garija","Vanija","Vishti","Shakuni","Chatushapda","Naaga","Kimstugna")</f>
        <v>Bhava</v>
      </c>
      <c r="N29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(2.95)</v>
      </c>
      <c r="O294" s="124">
        <f ca="1">IF(AND(P[[#This Row],[Tithi]]&lt;28.5,P[[#This Row],[Tithi]]&gt;0.49999),MOD((P[[#This Row],[Tithi]]-0.5)*2,7),MOD((P[[#This Row],[Tithi]]+30-28.5),30)*2+7)</f>
        <v>3.5599999999998744E-2</v>
      </c>
      <c r="P294" s="124">
        <f ca="1">ROUNDUP(MOD(360+P[[#This Row],[Moon]]-P[[#This Row],[Sun]],360)/12,4)</f>
        <v>4.0177999999999994</v>
      </c>
      <c r="Q294" s="124">
        <f t="shared" ca="1" si="47"/>
        <v>2.9499999999999997</v>
      </c>
      <c r="R294" s="124" t="str">
        <f ca="1">SIGN(S295-P[[#This Row],[MARs]])*INT(P[[#This Row],[MARs]]/30+1)&amp;"Ma,"&amp;SIGN(T295-P[[#This Row],[Merc]])*INT(P[[#This Row],[Merc]]/30+1)&amp;"Me,"&amp;SIGN(U295-P[[#This Row],[Jup]])*INT(P[[#This Row],[Jup]]/30+1)&amp;"Ju,"&amp;SIGN(V295-P[[#This Row],[Venu]])*INT(P[[#This Row],[Venu]]/30+1)&amp;"Ve,"&amp;SIGN(W295-P[[#This Row],[Sat]])*INT(P[[#This Row],[Sat]]/30+1)&amp;"Sa,"&amp;INT(P[[#This Row],[Rah]]/30+1)&amp;"Ra"</f>
        <v>10Ma,7Me,8Ju,-7Ve,9Sa,4Ra</v>
      </c>
      <c r="S294" s="124">
        <f ca="1">Planet(P[[#This Row],[GMT Sun Rise]],4)</f>
        <v>287.07131284815227</v>
      </c>
      <c r="T294" s="124">
        <f ca="1">Planet(P[[#This Row],[GMT Sun Rise]],2)</f>
        <v>190.48615723609905</v>
      </c>
      <c r="U294" s="124">
        <f ca="1">Planet(P[[#This Row],[GMT Sun Rise]],5)</f>
        <v>210.28854946239281</v>
      </c>
      <c r="V294" s="124">
        <f ca="1">Planet(P[[#This Row],[GMT Sun Rise]],3)</f>
        <v>195.6913531902517</v>
      </c>
      <c r="W294" s="124">
        <f ca="1">Planet(P[[#This Row],[GMT Sun Rise]],6)</f>
        <v>249.49728455600706</v>
      </c>
      <c r="X294" s="124">
        <f ca="1">Planet(P[[#This Row],[GMT Sun Rise]],10)</f>
        <v>97.687580500731272</v>
      </c>
      <c r="Y294" s="124">
        <f ca="1">SIGN(S295-P[[#This Row],[MARs]])</f>
        <v>1</v>
      </c>
    </row>
    <row r="295" spans="1:25" x14ac:dyDescent="0.2">
      <c r="A295" s="125">
        <f t="shared" ca="1" si="48"/>
        <v>43387</v>
      </c>
      <c r="B295" s="125">
        <f t="shared" ca="1" si="41"/>
        <v>43387.229166666664</v>
      </c>
      <c r="C295" s="127">
        <f t="shared" ca="1" si="42"/>
        <v>43387.250677473065</v>
      </c>
      <c r="D295" s="127">
        <f t="shared" ca="1" si="43"/>
        <v>43386.743624031587</v>
      </c>
      <c r="E295" s="189">
        <f ca="1">P[[#This Row],[SunRise]]-TimeZone/24</f>
        <v>43387.0215108064</v>
      </c>
      <c r="F295" s="190">
        <f t="shared" ca="1" si="44"/>
        <v>176.50060922104362</v>
      </c>
      <c r="G295" s="190">
        <f t="shared" ca="1" si="45"/>
        <v>236.28712135960455</v>
      </c>
      <c r="H295" s="191">
        <f t="shared" ca="1" si="46"/>
        <v>43387.0215108064</v>
      </c>
      <c r="I295" s="124" t="str">
        <f ca="1">naks(P[[#This Row],[Moon]])</f>
        <v>Jyestha</v>
      </c>
      <c r="J295" s="127">
        <f ca="1">(C296-P[[#This Row],[SunRise]])/(G296-P[[#This Row],[Moon]])*(13.3333333333333-MOD(P[[#This Row],[Moon]],13.333333333333))+P[[#This Row],[SunRise]]</f>
        <v>43387.553786261647</v>
      </c>
      <c r="K295" s="124" t="str">
        <f ca="1">IF(P[[#This Row],[Tithi]]&gt;15,"K","S")&amp;ROUNDUP(MOD(P[[#This Row],[Tithi]],15),0)&amp;" ("&amp;ROUND(P[[#This Row],[Tithi]],2)&amp;")"</f>
        <v>S5 (4.98)</v>
      </c>
      <c r="L295" s="124">
        <f ca="1">IF(AND(P[[#This Row],[Tithi]]&lt;28.5,P[[#This Row],[Tithi]]&gt;0.49999),MOD((P[[#This Row],[Tithi]]-0.5)*2,7),MOD((P[[#This Row],[Tithi]]+30-28.5),30)*2+7)</f>
        <v>1.964599999999999</v>
      </c>
      <c r="M295" s="124" t="str">
        <f ca="1">CHOOSE(ROUNDUP(P[[#This Row],[Karana1]],0),"Bhava","Baalava","Kaulava","Taitula","Garija","Vanija","Vishti","Shakuni","Chatushapda","Naaga","Kimstugna")</f>
        <v>Baalava</v>
      </c>
      <c r="N29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(3.96)</v>
      </c>
      <c r="O295" s="124">
        <f ca="1">IF(AND(P[[#This Row],[Tithi]]&lt;28.5,P[[#This Row],[Tithi]]&gt;0.49999),MOD((P[[#This Row],[Tithi]]-0.5)*2,7),MOD((P[[#This Row],[Tithi]]+30-28.5),30)*2+7)</f>
        <v>1.964599999999999</v>
      </c>
      <c r="P295" s="124">
        <f ca="1">ROUNDUP(MOD(360+P[[#This Row],[Moon]]-P[[#This Row],[Sun]],360)/12,4)</f>
        <v>4.9822999999999995</v>
      </c>
      <c r="Q295" s="124">
        <f t="shared" ca="1" si="47"/>
        <v>3.96</v>
      </c>
      <c r="R295" s="124" t="str">
        <f ca="1">SIGN(S296-P[[#This Row],[MARs]])*INT(P[[#This Row],[MARs]]/30+1)&amp;"Ma,"&amp;SIGN(T296-P[[#This Row],[Merc]])*INT(P[[#This Row],[Merc]]/30+1)&amp;"Me,"&amp;SIGN(U296-P[[#This Row],[Jup]])*INT(P[[#This Row],[Jup]]/30+1)&amp;"Ju,"&amp;SIGN(V296-P[[#This Row],[Venu]])*INT(P[[#This Row],[Venu]]/30+1)&amp;"Ve,"&amp;SIGN(W296-P[[#This Row],[Sat]])*INT(P[[#This Row],[Sat]]/30+1)&amp;"Sa,"&amp;INT(P[[#This Row],[Rah]]/30+1)&amp;"Ra"</f>
        <v>10Ma,7Me,8Ju,-7Ve,9Sa,4Ra</v>
      </c>
      <c r="S295" s="124">
        <f ca="1">Planet(P[[#This Row],[GMT Sun Rise]],4)</f>
        <v>287.551191720654</v>
      </c>
      <c r="T295" s="124">
        <f ca="1">Planet(P[[#This Row],[GMT Sun Rise]],2)</f>
        <v>191.99915218274168</v>
      </c>
      <c r="U295" s="124">
        <f ca="1">Planet(P[[#This Row],[GMT Sun Rise]],5)</f>
        <v>210.48947708433766</v>
      </c>
      <c r="V295" s="124">
        <f ca="1">Planet(P[[#This Row],[GMT Sun Rise]],3)</f>
        <v>195.3856892695658</v>
      </c>
      <c r="W295" s="124">
        <f ca="1">Planet(P[[#This Row],[GMT Sun Rise]],6)</f>
        <v>249.55518561074788</v>
      </c>
      <c r="X295" s="124">
        <f ca="1">Planet(P[[#This Row],[GMT Sun Rise]],10)</f>
        <v>97.634583980512645</v>
      </c>
      <c r="Y295" s="124">
        <f ca="1">SIGN(S296-P[[#This Row],[MARs]])</f>
        <v>1</v>
      </c>
    </row>
    <row r="296" spans="1:25" x14ac:dyDescent="0.2">
      <c r="A296" s="125">
        <f t="shared" ca="1" si="48"/>
        <v>43388</v>
      </c>
      <c r="B296" s="125">
        <f t="shared" ca="1" si="41"/>
        <v>43388.229166666664</v>
      </c>
      <c r="C296" s="127">
        <f t="shared" ca="1" si="42"/>
        <v>43388.250767912868</v>
      </c>
      <c r="D296" s="127">
        <f t="shared" ca="1" si="43"/>
        <v>43387.743210136934</v>
      </c>
      <c r="E296" s="189">
        <f ca="1">P[[#This Row],[SunRise]]-TimeZone/24</f>
        <v>43388.021601246204</v>
      </c>
      <c r="F296" s="190">
        <f t="shared" ca="1" si="44"/>
        <v>177.4914059553706</v>
      </c>
      <c r="G296" s="190">
        <f t="shared" ca="1" si="45"/>
        <v>248.53755609559477</v>
      </c>
      <c r="H296" s="191">
        <f t="shared" ca="1" si="46"/>
        <v>43388.021601246204</v>
      </c>
      <c r="I296" s="124" t="str">
        <f ca="1">naks(P[[#This Row],[Moon]])</f>
        <v>Moola</v>
      </c>
      <c r="J296" s="127">
        <f ca="1">(C297-P[[#This Row],[SunRise]])/(G297-P[[#This Row],[Moon]])*(13.3333333333333-MOD(P[[#This Row],[Moon]],13.333333333333))+P[[#This Row],[SunRise]]</f>
        <v>43388.650077560866</v>
      </c>
      <c r="K296" s="124" t="str">
        <f ca="1">IF(P[[#This Row],[Tithi]]&gt;15,"K","S")&amp;ROUNDUP(MOD(P[[#This Row],[Tithi]],15),0)&amp;" ("&amp;ROUND(P[[#This Row],[Tithi]],2)&amp;")"</f>
        <v>S6 (5.92)</v>
      </c>
      <c r="L296" s="124">
        <f ca="1">IF(AND(P[[#This Row],[Tithi]]&lt;28.5,P[[#This Row],[Tithi]]&gt;0.49999),MOD((P[[#This Row],[Tithi]]-0.5)*2,7),MOD((P[[#This Row],[Tithi]]+30-28.5),30)*2+7)</f>
        <v>3.8411999999999988</v>
      </c>
      <c r="M296" s="124" t="str">
        <f ca="1">CHOOSE(ROUNDUP(P[[#This Row],[Karana1]],0),"Bhava","Baalava","Kaulava","Taitula","Garija","Vanija","Vishti","Shakuni","Chatushapda","Naaga","Kimstugna")</f>
        <v>Taitula</v>
      </c>
      <c r="N29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(4.96)</v>
      </c>
      <c r="O296" s="124">
        <f ca="1">IF(AND(P[[#This Row],[Tithi]]&lt;28.5,P[[#This Row],[Tithi]]&gt;0.49999),MOD((P[[#This Row],[Tithi]]-0.5)*2,7),MOD((P[[#This Row],[Tithi]]+30-28.5),30)*2+7)</f>
        <v>3.8411999999999988</v>
      </c>
      <c r="P296" s="124">
        <f ca="1">ROUNDUP(MOD(360+P[[#This Row],[Moon]]-P[[#This Row],[Sun]],360)/12,4)</f>
        <v>5.9205999999999994</v>
      </c>
      <c r="Q296" s="124">
        <f t="shared" ca="1" si="47"/>
        <v>4.96</v>
      </c>
      <c r="R296" s="124" t="str">
        <f ca="1">SIGN(S297-P[[#This Row],[MARs]])*INT(P[[#This Row],[MARs]]/30+1)&amp;"Ma,"&amp;SIGN(T297-P[[#This Row],[Merc]])*INT(P[[#This Row],[Merc]]/30+1)&amp;"Me,"&amp;SIGN(U297-P[[#This Row],[Jup]])*INT(P[[#This Row],[Jup]]/30+1)&amp;"Ju,"&amp;SIGN(V297-P[[#This Row],[Venu]])*INT(P[[#This Row],[Venu]]/30+1)&amp;"Ve,"&amp;SIGN(W297-P[[#This Row],[Sat]])*INT(P[[#This Row],[Sat]]/30+1)&amp;"Sa,"&amp;INT(P[[#This Row],[Rah]]/30+1)&amp;"Ra"</f>
        <v>10Ma,7Me,8Ju,-7Ve,9Sa,4Ra</v>
      </c>
      <c r="S296" s="124">
        <f ca="1">Planet(P[[#This Row],[GMT Sun Rise]],4)</f>
        <v>288.03706563311613</v>
      </c>
      <c r="T296" s="124">
        <f ca="1">Planet(P[[#This Row],[GMT Sun Rise]],2)</f>
        <v>193.50022101530527</v>
      </c>
      <c r="U296" s="124">
        <f ca="1">Planet(P[[#This Row],[GMT Sun Rise]],5)</f>
        <v>210.69138726122262</v>
      </c>
      <c r="V296" s="124">
        <f ca="1">Planet(P[[#This Row],[GMT Sun Rise]],3)</f>
        <v>195.04209147238222</v>
      </c>
      <c r="W296" s="124">
        <f ca="1">Planet(P[[#This Row],[GMT Sun Rise]],6)</f>
        <v>249.61448837591996</v>
      </c>
      <c r="X296" s="124">
        <f ca="1">Planet(P[[#This Row],[GMT Sun Rise]],10)</f>
        <v>97.581587190755329</v>
      </c>
      <c r="Y296" s="124">
        <f ca="1">SIGN(S297-P[[#This Row],[MARs]])</f>
        <v>1</v>
      </c>
    </row>
    <row r="297" spans="1:25" x14ac:dyDescent="0.2">
      <c r="A297" s="125">
        <f t="shared" ca="1" si="48"/>
        <v>43389</v>
      </c>
      <c r="B297" s="125">
        <f t="shared" ca="1" si="41"/>
        <v>43389.229166666664</v>
      </c>
      <c r="C297" s="127">
        <f t="shared" ca="1" si="42"/>
        <v>43389.250863598347</v>
      </c>
      <c r="D297" s="127">
        <f t="shared" ca="1" si="43"/>
        <v>43388.742803394838</v>
      </c>
      <c r="E297" s="189">
        <f ca="1">P[[#This Row],[SunRise]]-TimeZone/24</f>
        <v>43389.021696931683</v>
      </c>
      <c r="F297" s="190">
        <f t="shared" ca="1" si="44"/>
        <v>178.48270174271136</v>
      </c>
      <c r="G297" s="190">
        <f t="shared" ca="1" si="45"/>
        <v>260.54887650336877</v>
      </c>
      <c r="H297" s="191">
        <f t="shared" ca="1" si="46"/>
        <v>43389.021696931683</v>
      </c>
      <c r="I297" s="124" t="str">
        <f ca="1">naks(P[[#This Row],[Moon]])</f>
        <v>Purva Asadha</v>
      </c>
      <c r="J297" s="127">
        <f ca="1">(C298-P[[#This Row],[SunRise]])/(G298-P[[#This Row],[Moon]])*(13.3333333333333-MOD(P[[#This Row],[Moon]],13.333333333333))+P[[#This Row],[SunRise]]</f>
        <v>43389.766797235963</v>
      </c>
      <c r="K297" s="124" t="str">
        <f ca="1">IF(P[[#This Row],[Tithi]]&gt;15,"K","S")&amp;ROUNDUP(MOD(P[[#This Row],[Tithi]],15),0)&amp;" ("&amp;ROUND(P[[#This Row],[Tithi]],2)&amp;")"</f>
        <v>S7 (6.84)</v>
      </c>
      <c r="L297" s="124">
        <f ca="1">IF(AND(P[[#This Row],[Tithi]]&lt;28.5,P[[#This Row],[Tithi]]&gt;0.49999),MOD((P[[#This Row],[Tithi]]-0.5)*2,7),MOD((P[[#This Row],[Tithi]]+30-28.5),30)*2+7)</f>
        <v>5.6777999999999995</v>
      </c>
      <c r="M297" s="124" t="str">
        <f ca="1">CHOOSE(ROUNDUP(P[[#This Row],[Karana1]],0),"Bhava","Baalava","Kaulava","Taitula","Garija","Vanija","Vishti","Shakuni","Chatushapda","Naaga","Kimstugna")</f>
        <v>Vanija</v>
      </c>
      <c r="N29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(5.93)</v>
      </c>
      <c r="O297" s="124">
        <f ca="1">IF(AND(P[[#This Row],[Tithi]]&lt;28.5,P[[#This Row],[Tithi]]&gt;0.49999),MOD((P[[#This Row],[Tithi]]-0.5)*2,7),MOD((P[[#This Row],[Tithi]]+30-28.5),30)*2+7)</f>
        <v>5.6777999999999995</v>
      </c>
      <c r="P297" s="124">
        <f ca="1">ROUNDUP(MOD(360+P[[#This Row],[Moon]]-P[[#This Row],[Sun]],360)/12,4)</f>
        <v>6.8388999999999998</v>
      </c>
      <c r="Q297" s="124">
        <f t="shared" ca="1" si="47"/>
        <v>5.93</v>
      </c>
      <c r="R297" s="124" t="str">
        <f ca="1">SIGN(S298-P[[#This Row],[MARs]])*INT(P[[#This Row],[MARs]]/30+1)&amp;"Ma,"&amp;SIGN(T298-P[[#This Row],[Merc]])*INT(P[[#This Row],[Merc]]/30+1)&amp;"Me,"&amp;SIGN(U298-P[[#This Row],[Jup]])*INT(P[[#This Row],[Jup]]/30+1)&amp;"Ju,"&amp;SIGN(V298-P[[#This Row],[Venu]])*INT(P[[#This Row],[Venu]]/30+1)&amp;"Ve,"&amp;SIGN(W298-P[[#This Row],[Sat]])*INT(P[[#This Row],[Sat]]/30+1)&amp;"Sa,"&amp;INT(P[[#This Row],[Rah]]/30+1)&amp;"Ra"</f>
        <v>10Ma,7Me,8Ju,-7Ve,9Sa,4Ra</v>
      </c>
      <c r="S297" s="124">
        <f ca="1">Planet(P[[#This Row],[GMT Sun Rise]],4)</f>
        <v>288.52876564754939</v>
      </c>
      <c r="T297" s="124">
        <f ca="1">Planet(P[[#This Row],[GMT Sun Rise]],2)</f>
        <v>194.98936566099547</v>
      </c>
      <c r="U297" s="124">
        <f ca="1">Planet(P[[#This Row],[GMT Sun Rise]],5)</f>
        <v>210.89425507012334</v>
      </c>
      <c r="V297" s="124">
        <f ca="1">Planet(P[[#This Row],[GMT Sun Rise]],3)</f>
        <v>194.66179312252382</v>
      </c>
      <c r="W297" s="124">
        <f ca="1">Planet(P[[#This Row],[GMT Sun Rise]],6)</f>
        <v>249.67517847004345</v>
      </c>
      <c r="X297" s="124">
        <f ca="1">Planet(P[[#This Row],[GMT Sun Rise]],10)</f>
        <v>97.528590123042562</v>
      </c>
      <c r="Y297" s="124">
        <f ca="1">SIGN(S298-P[[#This Row],[MARs]])</f>
        <v>1</v>
      </c>
    </row>
    <row r="298" spans="1:25" x14ac:dyDescent="0.2">
      <c r="A298" s="125">
        <f t="shared" ca="1" si="48"/>
        <v>43390</v>
      </c>
      <c r="B298" s="125">
        <f t="shared" ca="1" si="41"/>
        <v>43390.229166666664</v>
      </c>
      <c r="C298" s="127">
        <f t="shared" ca="1" si="42"/>
        <v>43390.250964687824</v>
      </c>
      <c r="D298" s="127">
        <f t="shared" ca="1" si="43"/>
        <v>43389.742403964556</v>
      </c>
      <c r="E298" s="189">
        <f ca="1">P[[#This Row],[SunRise]]-TimeZone/24</f>
        <v>43390.02179802116</v>
      </c>
      <c r="F298" s="190">
        <f t="shared" ca="1" si="44"/>
        <v>179.47449351587343</v>
      </c>
      <c r="G298" s="190">
        <f t="shared" ca="1" si="45"/>
        <v>272.40778269100753</v>
      </c>
      <c r="H298" s="191">
        <f t="shared" ca="1" si="46"/>
        <v>43390.02179802116</v>
      </c>
      <c r="I298" s="124" t="str">
        <f ca="1">naks(P[[#This Row],[Moon]])</f>
        <v>Uttara Asadha</v>
      </c>
      <c r="J298" s="127">
        <f ca="1">(C299-P[[#This Row],[SunRise]])/(G299-P[[#This Row],[Moon]])*(13.3333333333333-MOD(P[[#This Row],[Moon]],13.333333333333))+P[[#This Row],[SunRise]]</f>
        <v>43390.894503968062</v>
      </c>
      <c r="K298" s="124" t="str">
        <f ca="1">IF(P[[#This Row],[Tithi]]&gt;15,"K","S")&amp;ROUNDUP(MOD(P[[#This Row],[Tithi]],15),0)&amp;" ("&amp;ROUND(P[[#This Row],[Tithi]],2)&amp;")"</f>
        <v>S8 (7.74)</v>
      </c>
      <c r="L298" s="124">
        <f ca="1">IF(AND(P[[#This Row],[Tithi]]&lt;28.5,P[[#This Row],[Tithi]]&gt;0.49999),MOD((P[[#This Row],[Tithi]]-0.5)*2,7),MOD((P[[#This Row],[Tithi]]+30-28.5),30)*2+7)</f>
        <v>0.48899999999999899</v>
      </c>
      <c r="M298" s="124" t="str">
        <f ca="1">CHOOSE(ROUNDUP(P[[#This Row],[Karana1]],0),"Bhava","Baalava","Kaulava","Taitula","Garija","Vanija","Vishti","Shakuni","Chatushapda","Naaga","Kimstugna")</f>
        <v>Bhava</v>
      </c>
      <c r="N29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(6.9)</v>
      </c>
      <c r="O298" s="124">
        <f ca="1">IF(AND(P[[#This Row],[Tithi]]&lt;28.5,P[[#This Row],[Tithi]]&gt;0.49999),MOD((P[[#This Row],[Tithi]]-0.5)*2,7),MOD((P[[#This Row],[Tithi]]+30-28.5),30)*2+7)</f>
        <v>0.48899999999999899</v>
      </c>
      <c r="P298" s="124">
        <f ca="1">ROUNDUP(MOD(360+P[[#This Row],[Moon]]-P[[#This Row],[Sun]],360)/12,4)</f>
        <v>7.7444999999999995</v>
      </c>
      <c r="Q298" s="124">
        <f t="shared" ca="1" si="47"/>
        <v>6.8999999999999995</v>
      </c>
      <c r="R298" s="124" t="str">
        <f ca="1">SIGN(S299-P[[#This Row],[MARs]])*INT(P[[#This Row],[MARs]]/30+1)&amp;"Ma,"&amp;SIGN(T299-P[[#This Row],[Merc]])*INT(P[[#This Row],[Merc]]/30+1)&amp;"Me,"&amp;SIGN(U299-P[[#This Row],[Jup]])*INT(P[[#This Row],[Jup]]/30+1)&amp;"Ju,"&amp;SIGN(V299-P[[#This Row],[Venu]])*INT(P[[#This Row],[Venu]]/30+1)&amp;"Ve,"&amp;SIGN(W299-P[[#This Row],[Sat]])*INT(P[[#This Row],[Sat]]/30+1)&amp;"Sa,"&amp;INT(P[[#This Row],[Rah]]/30+1)&amp;"Ra"</f>
        <v>10Ma,7Me,8Ju,-7Ve,9Sa,4Ra</v>
      </c>
      <c r="S298" s="124">
        <f ca="1">Planet(P[[#This Row],[GMT Sun Rise]],4)</f>
        <v>289.02612531144956</v>
      </c>
      <c r="T298" s="124">
        <f ca="1">Planet(P[[#This Row],[GMT Sun Rise]],2)</f>
        <v>196.46653753772043</v>
      </c>
      <c r="U298" s="124">
        <f ca="1">Planet(P[[#This Row],[GMT Sun Rise]],5)</f>
        <v>211.09805612804738</v>
      </c>
      <c r="V298" s="124">
        <f ca="1">Planet(P[[#This Row],[GMT Sun Rise]],3)</f>
        <v>194.24634706310607</v>
      </c>
      <c r="W298" s="124">
        <f ca="1">Planet(P[[#This Row],[GMT Sun Rise]],6)</f>
        <v>249.73724139158037</v>
      </c>
      <c r="X298" s="124">
        <f ca="1">Planet(P[[#This Row],[GMT Sun Rise]],10)</f>
        <v>97.475592768957384</v>
      </c>
      <c r="Y298" s="124">
        <f ca="1">SIGN(S299-P[[#This Row],[MARs]])</f>
        <v>1</v>
      </c>
    </row>
    <row r="299" spans="1:25" x14ac:dyDescent="0.2">
      <c r="A299" s="125">
        <f t="shared" ca="1" si="48"/>
        <v>43391</v>
      </c>
      <c r="B299" s="125">
        <f t="shared" ca="1" si="41"/>
        <v>43391.229166666664</v>
      </c>
      <c r="C299" s="127">
        <f t="shared" ca="1" si="42"/>
        <v>43391.251071499348</v>
      </c>
      <c r="D299" s="127">
        <f t="shared" ca="1" si="43"/>
        <v>43390.742012004412</v>
      </c>
      <c r="E299" s="189">
        <f ca="1">P[[#This Row],[SunRise]]-TimeZone/24</f>
        <v>43391.021904832684</v>
      </c>
      <c r="F299" s="190">
        <f t="shared" ca="1" si="44"/>
        <v>180.46678047682622</v>
      </c>
      <c r="G299" s="190">
        <f t="shared" ca="1" si="45"/>
        <v>284.20664016326265</v>
      </c>
      <c r="H299" s="191">
        <f t="shared" ca="1" si="46"/>
        <v>43391.021904832684</v>
      </c>
      <c r="I299" s="124" t="str">
        <f ca="1">naks(P[[#This Row],[Moon]])</f>
        <v>Sravana</v>
      </c>
      <c r="J299" s="127">
        <f ca="1">(C300-P[[#This Row],[SunRise]])/(G300-P[[#This Row],[Moon]])*(13.3333333333333-MOD(P[[#This Row],[Moon]],13.333333333333))+P[[#This Row],[SunRise]]</f>
        <v>43392.022603536599</v>
      </c>
      <c r="K299" s="124" t="str">
        <f ca="1">IF(P[[#This Row],[Tithi]]&gt;15,"K","S")&amp;ROUNDUP(MOD(P[[#This Row],[Tithi]],15),0)&amp;" ("&amp;ROUND(P[[#This Row],[Tithi]],2)&amp;")"</f>
        <v>S9 (8.65)</v>
      </c>
      <c r="L299" s="124">
        <f ca="1">IF(AND(P[[#This Row],[Tithi]]&lt;28.5,P[[#This Row],[Tithi]]&gt;0.49999),MOD((P[[#This Row],[Tithi]]-0.5)*2,7),MOD((P[[#This Row],[Tithi]]+30-28.5),30)*2+7)</f>
        <v>2.2899999999999991</v>
      </c>
      <c r="M299" s="124" t="str">
        <f ca="1">CHOOSE(ROUNDUP(P[[#This Row],[Karana1]],0),"Bhava","Baalava","Kaulava","Taitula","Garija","Vanija","Vishti","Shakuni","Chatushapda","Naaga","Kimstugna")</f>
        <v>Kaulava</v>
      </c>
      <c r="N29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(7.86)</v>
      </c>
      <c r="O299" s="124">
        <f ca="1">IF(AND(P[[#This Row],[Tithi]]&lt;28.5,P[[#This Row],[Tithi]]&gt;0.49999),MOD((P[[#This Row],[Tithi]]-0.5)*2,7),MOD((P[[#This Row],[Tithi]]+30-28.5),30)*2+7)</f>
        <v>2.2899999999999991</v>
      </c>
      <c r="P299" s="124">
        <f ca="1">ROUNDUP(MOD(360+P[[#This Row],[Moon]]-P[[#This Row],[Sun]],360)/12,4)</f>
        <v>8.6449999999999996</v>
      </c>
      <c r="Q299" s="124">
        <f t="shared" ca="1" si="47"/>
        <v>7.8599999999999994</v>
      </c>
      <c r="R299" s="124" t="str">
        <f ca="1">SIGN(S300-P[[#This Row],[MARs]])*INT(P[[#This Row],[MARs]]/30+1)&amp;"Ma,"&amp;SIGN(T300-P[[#This Row],[Merc]])*INT(P[[#This Row],[Merc]]/30+1)&amp;"Me,"&amp;SIGN(U300-P[[#This Row],[Jup]])*INT(P[[#This Row],[Jup]]/30+1)&amp;"Ju,"&amp;SIGN(V300-P[[#This Row],[Venu]])*INT(P[[#This Row],[Venu]]/30+1)&amp;"Ve,"&amp;SIGN(W300-P[[#This Row],[Sat]])*INT(P[[#This Row],[Sat]]/30+1)&amp;"Sa,"&amp;INT(P[[#This Row],[Rah]]/30+1)&amp;"Ra"</f>
        <v>10Ma,7Me,8Ju,-7Ve,9Sa,4Ra</v>
      </c>
      <c r="S299" s="124">
        <f ca="1">Planet(P[[#This Row],[GMT Sun Rise]],4)</f>
        <v>289.52898134849346</v>
      </c>
      <c r="T299" s="124">
        <f ca="1">Planet(P[[#This Row],[GMT Sun Rise]],2)</f>
        <v>197.93163172732318</v>
      </c>
      <c r="U299" s="124">
        <f ca="1">Planet(P[[#This Row],[GMT Sun Rise]],5)</f>
        <v>211.30276660352487</v>
      </c>
      <c r="V299" s="124">
        <f ca="1">Planet(P[[#This Row],[GMT Sun Rise]],3)</f>
        <v>193.79763549389401</v>
      </c>
      <c r="W299" s="124">
        <f ca="1">Planet(P[[#This Row],[GMT Sun Rise]],6)</f>
        <v>249.80066256232436</v>
      </c>
      <c r="X299" s="124">
        <f ca="1">Planet(P[[#This Row],[GMT Sun Rise]],10)</f>
        <v>97.422595111665771</v>
      </c>
      <c r="Y299" s="124">
        <f ca="1">SIGN(S300-P[[#This Row],[MARs]])</f>
        <v>1</v>
      </c>
    </row>
    <row r="300" spans="1:25" x14ac:dyDescent="0.2">
      <c r="A300" s="125">
        <f t="shared" ca="1" si="48"/>
        <v>43392</v>
      </c>
      <c r="B300" s="125">
        <f t="shared" ca="1" si="41"/>
        <v>43392.229166666664</v>
      </c>
      <c r="C300" s="127">
        <f t="shared" ca="1" si="42"/>
        <v>43392.251183874127</v>
      </c>
      <c r="D300" s="127">
        <f t="shared" ca="1" si="43"/>
        <v>43391.741627991243</v>
      </c>
      <c r="E300" s="189">
        <f ca="1">P[[#This Row],[SunRise]]-TimeZone/24</f>
        <v>43392.022017207462</v>
      </c>
      <c r="F300" s="190">
        <f t="shared" ca="1" si="44"/>
        <v>181.45956324703434</v>
      </c>
      <c r="G300" s="190">
        <f t="shared" ca="1" si="45"/>
        <v>296.03728145804877</v>
      </c>
      <c r="H300" s="191">
        <f t="shared" ca="1" si="46"/>
        <v>43392.022017207462</v>
      </c>
      <c r="I300" s="124" t="str">
        <f ca="1">naks(P[[#This Row],[Moon]])</f>
        <v>Dhanistha</v>
      </c>
      <c r="J300" s="127">
        <f ca="1">(C301-P[[#This Row],[SunRise]])/(G301-P[[#This Row],[Moon]])*(13.3333333333333-MOD(P[[#This Row],[Moon]],13.333333333333))+P[[#This Row],[SunRise]]</f>
        <v>43393.140900225299</v>
      </c>
      <c r="K300" s="124" t="str">
        <f ca="1">IF(P[[#This Row],[Tithi]]&gt;15,"K","S")&amp;ROUNDUP(MOD(P[[#This Row],[Tithi]],15),0)&amp;" ("&amp;ROUND(P[[#This Row],[Tithi]],2)&amp;")"</f>
        <v>S10 (9.55)</v>
      </c>
      <c r="L300" s="124">
        <f ca="1">IF(AND(P[[#This Row],[Tithi]]&lt;28.5,P[[#This Row],[Tithi]]&gt;0.49999),MOD((P[[#This Row],[Tithi]]-0.5)*2,7),MOD((P[[#This Row],[Tithi]]+30-28.5),30)*2+7)</f>
        <v>4.0963999999999992</v>
      </c>
      <c r="M300" s="124" t="str">
        <f ca="1">CHOOSE(ROUNDUP(P[[#This Row],[Karana1]],0),"Bhava","Baalava","Kaulava","Taitula","Garija","Vanija","Vishti","Shakuni","Chatushapda","Naaga","Kimstugna")</f>
        <v>Garija</v>
      </c>
      <c r="N30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(8.82)</v>
      </c>
      <c r="O300" s="124">
        <f ca="1">IF(AND(P[[#This Row],[Tithi]]&lt;28.5,P[[#This Row],[Tithi]]&gt;0.49999),MOD((P[[#This Row],[Tithi]]-0.5)*2,7),MOD((P[[#This Row],[Tithi]]+30-28.5),30)*2+7)</f>
        <v>4.0963999999999992</v>
      </c>
      <c r="P300" s="124">
        <f ca="1">ROUNDUP(MOD(360+P[[#This Row],[Moon]]-P[[#This Row],[Sun]],360)/12,4)</f>
        <v>9.5481999999999996</v>
      </c>
      <c r="Q300" s="124">
        <f t="shared" ca="1" si="47"/>
        <v>8.82</v>
      </c>
      <c r="R300" s="124" t="str">
        <f ca="1">SIGN(S301-P[[#This Row],[MARs]])*INT(P[[#This Row],[MARs]]/30+1)&amp;"Ma,"&amp;SIGN(T301-P[[#This Row],[Merc]])*INT(P[[#This Row],[Merc]]/30+1)&amp;"Me,"&amp;SIGN(U301-P[[#This Row],[Jup]])*INT(P[[#This Row],[Jup]]/30+1)&amp;"Ju,"&amp;SIGN(V301-P[[#This Row],[Venu]])*INT(P[[#This Row],[Venu]]/30+1)&amp;"Ve,"&amp;SIGN(W301-P[[#This Row],[Sat]])*INT(P[[#This Row],[Sat]]/30+1)&amp;"Sa,"&amp;INT(P[[#This Row],[Rah]]/30+1)&amp;"Ra"</f>
        <v>10Ma,7Me,8Ju,-7Ve,9Sa,4Ra</v>
      </c>
      <c r="S300" s="124">
        <f ca="1">Planet(P[[#This Row],[GMT Sun Rise]],4)</f>
        <v>290.03717357390155</v>
      </c>
      <c r="T300" s="124">
        <f ca="1">Planet(P[[#This Row],[GMT Sun Rise]],2)</f>
        <v>199.38447932796564</v>
      </c>
      <c r="U300" s="124">
        <f ca="1">Planet(P[[#This Row],[GMT Sun Rise]],5)</f>
        <v>211.50836306058255</v>
      </c>
      <c r="V300" s="124">
        <f ca="1">Planet(P[[#This Row],[GMT Sun Rise]],3)</f>
        <v>193.31787470902827</v>
      </c>
      <c r="W300" s="124">
        <f ca="1">Planet(P[[#This Row],[GMT Sun Rise]],6)</f>
        <v>249.86542730447837</v>
      </c>
      <c r="X300" s="124">
        <f ca="1">Planet(P[[#This Row],[GMT Sun Rise]],10)</f>
        <v>97.369597159535047</v>
      </c>
      <c r="Y300" s="124">
        <f ca="1">SIGN(S301-P[[#This Row],[MARs]])</f>
        <v>1</v>
      </c>
    </row>
    <row r="301" spans="1:25" x14ac:dyDescent="0.2">
      <c r="A301" s="125">
        <f t="shared" ca="1" si="48"/>
        <v>43393</v>
      </c>
      <c r="B301" s="125">
        <f t="shared" ca="1" si="41"/>
        <v>43393.229166666664</v>
      </c>
      <c r="C301" s="127">
        <f t="shared" ca="1" si="42"/>
        <v>43393.251301970486</v>
      </c>
      <c r="D301" s="127">
        <f t="shared" ca="1" si="43"/>
        <v>43392.741251925981</v>
      </c>
      <c r="E301" s="189">
        <f ca="1">P[[#This Row],[SunRise]]-TimeZone/24</f>
        <v>43393.022135303821</v>
      </c>
      <c r="F301" s="190">
        <f t="shared" ca="1" si="44"/>
        <v>182.45284460975563</v>
      </c>
      <c r="G301" s="190">
        <f t="shared" ca="1" si="45"/>
        <v>307.98562936272663</v>
      </c>
      <c r="H301" s="191">
        <f t="shared" ca="1" si="46"/>
        <v>43393.022135303821</v>
      </c>
      <c r="I301" s="124" t="str">
        <f ca="1">naks(P[[#This Row],[Moon]])</f>
        <v>Satabhisaj</v>
      </c>
      <c r="J301" s="127">
        <f ca="1">(C302-P[[#This Row],[SunRise]])/(G302-P[[#This Row],[Moon]])*(13.3333333333333-MOD(P[[#This Row],[Moon]],13.333333333333))+P[[#This Row],[SunRise]]</f>
        <v>43394.241008366836</v>
      </c>
      <c r="K301" s="124" t="str">
        <f ca="1">IF(P[[#This Row],[Tithi]]&gt;15,"K","S")&amp;ROUNDUP(MOD(P[[#This Row],[Tithi]],15),0)&amp;" ("&amp;ROUND(P[[#This Row],[Tithi]],2)&amp;")"</f>
        <v>S11 (10.46)</v>
      </c>
      <c r="L301" s="124">
        <f ca="1">IF(AND(P[[#This Row],[Tithi]]&lt;28.5,P[[#This Row],[Tithi]]&gt;0.49999),MOD((P[[#This Row],[Tithi]]-0.5)*2,7),MOD((P[[#This Row],[Tithi]]+30-28.5),30)*2+7)</f>
        <v>5.9222000000000001</v>
      </c>
      <c r="M301" s="124" t="str">
        <f ca="1">CHOOSE(ROUNDUP(P[[#This Row],[Karana1]],0),"Bhava","Baalava","Kaulava","Taitula","Garija","Vanija","Vishti","Shakuni","Chatushapda","Naaga","Kimstugna")</f>
        <v>Vanija</v>
      </c>
      <c r="N30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(9.79)</v>
      </c>
      <c r="O301" s="124">
        <f ca="1">IF(AND(P[[#This Row],[Tithi]]&lt;28.5,P[[#This Row],[Tithi]]&gt;0.49999),MOD((P[[#This Row],[Tithi]]-0.5)*2,7),MOD((P[[#This Row],[Tithi]]+30-28.5),30)*2+7)</f>
        <v>5.9222000000000001</v>
      </c>
      <c r="P301" s="124">
        <f ca="1">ROUNDUP(MOD(360+P[[#This Row],[Moon]]-P[[#This Row],[Sun]],360)/12,4)</f>
        <v>10.4611</v>
      </c>
      <c r="Q301" s="124">
        <f t="shared" ca="1" si="47"/>
        <v>9.7899999999999991</v>
      </c>
      <c r="R301" s="124" t="str">
        <f ca="1">SIGN(S302-P[[#This Row],[MARs]])*INT(P[[#This Row],[MARs]]/30+1)&amp;"Ma,"&amp;SIGN(T302-P[[#This Row],[Merc]])*INT(P[[#This Row],[Merc]]/30+1)&amp;"Me,"&amp;SIGN(U302-P[[#This Row],[Jup]])*INT(P[[#This Row],[Jup]]/30+1)&amp;"Ju,"&amp;SIGN(V302-P[[#This Row],[Venu]])*INT(P[[#This Row],[Venu]]/30+1)&amp;"Ve,"&amp;SIGN(W302-P[[#This Row],[Sat]])*INT(P[[#This Row],[Sat]]/30+1)&amp;"Sa,"&amp;INT(P[[#This Row],[Rah]]/30+1)&amp;"Ra"</f>
        <v>10Ma,7Me,8Ju,-7Ve,9Sa,4Ra</v>
      </c>
      <c r="S301" s="124">
        <f ca="1">Planet(P[[#This Row],[GMT Sun Rise]],4)</f>
        <v>290.55054534081853</v>
      </c>
      <c r="T301" s="124">
        <f ca="1">Planet(P[[#This Row],[GMT Sun Rise]],2)</f>
        <v>200.82484121901135</v>
      </c>
      <c r="U301" s="124">
        <f ca="1">Planet(P[[#This Row],[GMT Sun Rise]],5)</f>
        <v>211.71482261408445</v>
      </c>
      <c r="V301" s="124">
        <f ca="1">Planet(P[[#This Row],[GMT Sun Rise]],3)</f>
        <v>192.80961325566662</v>
      </c>
      <c r="W301" s="124">
        <f ca="1">Planet(P[[#This Row],[GMT Sun Rise]],6)</f>
        <v>249.93152090573702</v>
      </c>
      <c r="X301" s="124">
        <f ca="1">Planet(P[[#This Row],[GMT Sun Rise]],10)</f>
        <v>97.316598904247641</v>
      </c>
      <c r="Y301" s="124">
        <f ca="1">SIGN(S302-P[[#This Row],[MARs]])</f>
        <v>1</v>
      </c>
    </row>
    <row r="302" spans="1:25" x14ac:dyDescent="0.2">
      <c r="A302" s="125">
        <f t="shared" ca="1" si="48"/>
        <v>43394</v>
      </c>
      <c r="B302" s="125">
        <f t="shared" ca="1" si="41"/>
        <v>43394.229166666664</v>
      </c>
      <c r="C302" s="127">
        <f t="shared" ca="1" si="42"/>
        <v>43394.251426266193</v>
      </c>
      <c r="D302" s="127">
        <f t="shared" ca="1" si="43"/>
        <v>43393.740884284533</v>
      </c>
      <c r="E302" s="189">
        <f ca="1">P[[#This Row],[SunRise]]-TimeZone/24</f>
        <v>43394.022259599529</v>
      </c>
      <c r="F302" s="190">
        <f t="shared" ca="1" si="44"/>
        <v>183.44662963286714</v>
      </c>
      <c r="G302" s="190">
        <f t="shared" ca="1" si="45"/>
        <v>320.12646629806648</v>
      </c>
      <c r="H302" s="191">
        <f t="shared" ca="1" si="46"/>
        <v>43394.022259599529</v>
      </c>
      <c r="I302" s="124" t="str">
        <f ca="1">naks(P[[#This Row],[Moon]])</f>
        <v>Purva Bhadrapada</v>
      </c>
      <c r="J302" s="127">
        <f ca="1">(C303-P[[#This Row],[SunRise]])/(G303-P[[#This Row],[Moon]])*(13.3333333333333-MOD(P[[#This Row],[Moon]],13.333333333333))+P[[#This Row],[SunRise]]</f>
        <v>43395.317354322673</v>
      </c>
      <c r="K302" s="124" t="str">
        <f ca="1">IF(P[[#This Row],[Tithi]]&gt;15,"K","S")&amp;ROUNDUP(MOD(P[[#This Row],[Tithi]],15),0)&amp;" ("&amp;ROUND(P[[#This Row],[Tithi]],2)&amp;")"</f>
        <v>S12 (11.39)</v>
      </c>
      <c r="L302" s="124">
        <f ca="1">IF(AND(P[[#This Row],[Tithi]]&lt;28.5,P[[#This Row],[Tithi]]&gt;0.49999),MOD((P[[#This Row],[Tithi]]-0.5)*2,7),MOD((P[[#This Row],[Tithi]]+30-28.5),30)*2+7)</f>
        <v>0.78000000000000114</v>
      </c>
      <c r="M302" s="124" t="str">
        <f ca="1">CHOOSE(ROUNDUP(P[[#This Row],[Karana1]],0),"Bhava","Baalava","Kaulava","Taitula","Garija","Vanija","Vishti","Shakuni","Chatushapda","Naaga","Kimstugna")</f>
        <v>Bhava</v>
      </c>
      <c r="N30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(10.77)</v>
      </c>
      <c r="O302" s="124">
        <f ca="1">IF(AND(P[[#This Row],[Tithi]]&lt;28.5,P[[#This Row],[Tithi]]&gt;0.49999),MOD((P[[#This Row],[Tithi]]-0.5)*2,7),MOD((P[[#This Row],[Tithi]]+30-28.5),30)*2+7)</f>
        <v>0.78000000000000114</v>
      </c>
      <c r="P302" s="124">
        <f ca="1">ROUNDUP(MOD(360+P[[#This Row],[Moon]]-P[[#This Row],[Sun]],360)/12,4)</f>
        <v>11.39</v>
      </c>
      <c r="Q302" s="124">
        <f t="shared" ca="1" si="47"/>
        <v>10.77</v>
      </c>
      <c r="R302" s="124" t="str">
        <f ca="1">SIGN(S303-P[[#This Row],[MARs]])*INT(P[[#This Row],[MARs]]/30+1)&amp;"Ma,"&amp;SIGN(T303-P[[#This Row],[Merc]])*INT(P[[#This Row],[Merc]]/30+1)&amp;"Me,"&amp;SIGN(U303-P[[#This Row],[Jup]])*INT(P[[#This Row],[Jup]]/30+1)&amp;"Ju,"&amp;SIGN(V303-P[[#This Row],[Venu]])*INT(P[[#This Row],[Venu]]/30+1)&amp;"Ve,"&amp;SIGN(W303-P[[#This Row],[Sat]])*INT(P[[#This Row],[Sat]]/30+1)&amp;"Sa,"&amp;INT(P[[#This Row],[Rah]]/30+1)&amp;"Ra"</f>
        <v>10Ma,7Me,8Ju,-7Ve,9Sa,4Ra</v>
      </c>
      <c r="S302" s="124">
        <f ca="1">Planet(P[[#This Row],[GMT Sun Rise]],4)</f>
        <v>291.06894363892377</v>
      </c>
      <c r="T302" s="124">
        <f ca="1">Planet(P[[#This Row],[GMT Sun Rise]],2)</f>
        <v>202.25239988247981</v>
      </c>
      <c r="U302" s="124">
        <f ca="1">Planet(P[[#This Row],[GMT Sun Rise]],5)</f>
        <v>211.92212295310975</v>
      </c>
      <c r="V302" s="124">
        <f ca="1">Planet(P[[#This Row],[GMT Sun Rise]],3)</f>
        <v>192.27572382209544</v>
      </c>
      <c r="W302" s="124">
        <f ca="1">Planet(P[[#This Row],[GMT Sun Rise]],6)</f>
        <v>249.99892864816735</v>
      </c>
      <c r="X302" s="124">
        <f ca="1">Planet(P[[#This Row],[GMT Sun Rise]],10)</f>
        <v>97.263600320420139</v>
      </c>
      <c r="Y302" s="124">
        <f ca="1">SIGN(S303-P[[#This Row],[MARs]])</f>
        <v>1</v>
      </c>
    </row>
    <row r="303" spans="1:25" x14ac:dyDescent="0.2">
      <c r="A303" s="125">
        <f t="shared" ca="1" si="48"/>
        <v>43395</v>
      </c>
      <c r="B303" s="125">
        <f t="shared" ca="1" si="41"/>
        <v>43395.229166666664</v>
      </c>
      <c r="C303" s="127">
        <f t="shared" ca="1" si="42"/>
        <v>43395.251556601528</v>
      </c>
      <c r="D303" s="127">
        <f t="shared" ca="1" si="43"/>
        <v>43394.740525384943</v>
      </c>
      <c r="E303" s="189">
        <f ca="1">P[[#This Row],[SunRise]]-TimeZone/24</f>
        <v>43395.022389934864</v>
      </c>
      <c r="F303" s="190">
        <f t="shared" ca="1" si="44"/>
        <v>184.44092491448924</v>
      </c>
      <c r="G303" s="190">
        <f t="shared" ca="1" si="45"/>
        <v>332.51809843162255</v>
      </c>
      <c r="H303" s="191">
        <f t="shared" ca="1" si="46"/>
        <v>43395.022389934864</v>
      </c>
      <c r="I303" s="124" t="str">
        <f ca="1">naks(P[[#This Row],[Moon]])</f>
        <v>Purva Bhadrapada</v>
      </c>
      <c r="J303" s="127">
        <f ca="1">(C304-P[[#This Row],[SunRise]])/(G304-P[[#This Row],[Moon]])*(13.3333333333333-MOD(P[[#This Row],[Moon]],13.333333333333))+P[[#This Row],[SunRise]]</f>
        <v>43395.315861348696</v>
      </c>
      <c r="K303" s="124" t="str">
        <f ca="1">IF(P[[#This Row],[Tithi]]&gt;15,"K","S")&amp;ROUNDUP(MOD(P[[#This Row],[Tithi]],15),0)&amp;" ("&amp;ROUND(P[[#This Row],[Tithi]],2)&amp;")"</f>
        <v>S13 (12.34)</v>
      </c>
      <c r="L303" s="124">
        <f ca="1">IF(AND(P[[#This Row],[Tithi]]&lt;28.5,P[[#This Row],[Tithi]]&gt;0.49999),MOD((P[[#This Row],[Tithi]]-0.5)*2,7),MOD((P[[#This Row],[Tithi]]+30-28.5),30)*2+7)</f>
        <v>2.6796000000000006</v>
      </c>
      <c r="M303" s="124" t="str">
        <f ca="1">CHOOSE(ROUNDUP(P[[#This Row],[Karana1]],0),"Bhava","Baalava","Kaulava","Taitula","Garija","Vanija","Vishti","Shakuni","Chatushapda","Naaga","Kimstugna")</f>
        <v>Kaulava</v>
      </c>
      <c r="N30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(11.78)</v>
      </c>
      <c r="O303" s="124">
        <f ca="1">IF(AND(P[[#This Row],[Tithi]]&lt;28.5,P[[#This Row],[Tithi]]&gt;0.49999),MOD((P[[#This Row],[Tithi]]-0.5)*2,7),MOD((P[[#This Row],[Tithi]]+30-28.5),30)*2+7)</f>
        <v>2.6796000000000006</v>
      </c>
      <c r="P303" s="124">
        <f ca="1">ROUNDUP(MOD(360+P[[#This Row],[Moon]]-P[[#This Row],[Sun]],360)/12,4)</f>
        <v>12.3398</v>
      </c>
      <c r="Q303" s="124">
        <f t="shared" ca="1" si="47"/>
        <v>11.78</v>
      </c>
      <c r="R303" s="124" t="str">
        <f ca="1">SIGN(S304-P[[#This Row],[MARs]])*INT(P[[#This Row],[MARs]]/30+1)&amp;"Ma,"&amp;SIGN(T304-P[[#This Row],[Merc]])*INT(P[[#This Row],[Merc]]/30+1)&amp;"Me,"&amp;SIGN(U304-P[[#This Row],[Jup]])*INT(P[[#This Row],[Jup]]/30+1)&amp;"Ju,"&amp;SIGN(V304-P[[#This Row],[Venu]])*INT(P[[#This Row],[Venu]]/30+1)&amp;"Ve,"&amp;SIGN(W304-P[[#This Row],[Sat]])*INT(P[[#This Row],[Sat]]/30+1)&amp;"Sa,"&amp;INT(P[[#This Row],[Rah]]/30+1)&amp;"Ra"</f>
        <v>10Ma,7Me,8Ju,-7Ve,9Sa,4Ra</v>
      </c>
      <c r="S303" s="124">
        <f ca="1">Planet(P[[#This Row],[GMT Sun Rise]],4)</f>
        <v>291.59221892009839</v>
      </c>
      <c r="T303" s="124">
        <f ca="1">Planet(P[[#This Row],[GMT Sun Rise]],2)</f>
        <v>203.66674892161186</v>
      </c>
      <c r="U303" s="124">
        <f ca="1">Planet(P[[#This Row],[GMT Sun Rise]],5)</f>
        <v>212.13024219076314</v>
      </c>
      <c r="V303" s="124">
        <f ca="1">Planet(P[[#This Row],[GMT Sun Rise]],3)</f>
        <v>191.71938835042349</v>
      </c>
      <c r="W303" s="124">
        <f ca="1">Planet(P[[#This Row],[GMT Sun Rise]],6)</f>
        <v>250.06763579401999</v>
      </c>
      <c r="X303" s="124">
        <f ca="1">Planet(P[[#This Row],[GMT Sun Rise]],10)</f>
        <v>97.210601416568991</v>
      </c>
      <c r="Y303" s="124">
        <f ca="1">SIGN(S304-P[[#This Row],[MARs]])</f>
        <v>1</v>
      </c>
    </row>
    <row r="304" spans="1:25" x14ac:dyDescent="0.2">
      <c r="A304" s="125">
        <f t="shared" ca="1" si="48"/>
        <v>43396</v>
      </c>
      <c r="B304" s="125">
        <f t="shared" ca="1" si="41"/>
        <v>43396.229166666664</v>
      </c>
      <c r="C304" s="127">
        <f t="shared" ca="1" si="42"/>
        <v>43396.251693136212</v>
      </c>
      <c r="D304" s="127">
        <f t="shared" ca="1" si="43"/>
        <v>43395.740175227678</v>
      </c>
      <c r="E304" s="189">
        <f ca="1">P[[#This Row],[SunRise]]-TimeZone/24</f>
        <v>43396.022526469547</v>
      </c>
      <c r="F304" s="190">
        <f t="shared" ca="1" si="44"/>
        <v>185.43573968607126</v>
      </c>
      <c r="G304" s="190">
        <f t="shared" ca="1" si="45"/>
        <v>345.19750773579193</v>
      </c>
      <c r="H304" s="191">
        <f t="shared" ca="1" si="46"/>
        <v>43396.022526469547</v>
      </c>
      <c r="I304" s="124" t="str">
        <f ca="1">naks(P[[#This Row],[Moon]])</f>
        <v>Uttara Bhadrapada</v>
      </c>
      <c r="J304" s="127">
        <f ca="1">(C305-P[[#This Row],[SunRise]])/(G305-P[[#This Row],[Moon]])*(13.3333333333333-MOD(P[[#This Row],[Moon]],13.333333333333))+P[[#This Row],[SunRise]]</f>
        <v>43396.364899204178</v>
      </c>
      <c r="K304" s="124" t="str">
        <f ca="1">IF(P[[#This Row],[Tithi]]&gt;15,"K","S")&amp;ROUNDUP(MOD(P[[#This Row],[Tithi]],15),0)&amp;" ("&amp;ROUND(P[[#This Row],[Tithi]],2)&amp;")"</f>
        <v>S14 (13.31)</v>
      </c>
      <c r="L304" s="124">
        <f ca="1">IF(AND(P[[#This Row],[Tithi]]&lt;28.5,P[[#This Row],[Tithi]]&gt;0.49999),MOD((P[[#This Row],[Tithi]]-0.5)*2,7),MOD((P[[#This Row],[Tithi]]+30-28.5),30)*2+7)</f>
        <v>4.6269999999999989</v>
      </c>
      <c r="M304" s="124" t="str">
        <f ca="1">CHOOSE(ROUNDUP(P[[#This Row],[Karana1]],0),"Bhava","Baalava","Kaulava","Taitula","Garija","Vanija","Vishti","Shakuni","Chatushapda","Naaga","Kimstugna")</f>
        <v>Garija</v>
      </c>
      <c r="N30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(12.8)</v>
      </c>
      <c r="O304" s="124">
        <f ca="1">IF(AND(P[[#This Row],[Tithi]]&lt;28.5,P[[#This Row],[Tithi]]&gt;0.49999),MOD((P[[#This Row],[Tithi]]-0.5)*2,7),MOD((P[[#This Row],[Tithi]]+30-28.5),30)*2+7)</f>
        <v>4.6269999999999989</v>
      </c>
      <c r="P304" s="124">
        <f ca="1">ROUNDUP(MOD(360+P[[#This Row],[Moon]]-P[[#This Row],[Sun]],360)/12,4)</f>
        <v>13.313499999999999</v>
      </c>
      <c r="Q304" s="124">
        <f t="shared" ca="1" si="47"/>
        <v>12.799999999999999</v>
      </c>
      <c r="R304" s="124" t="str">
        <f ca="1">SIGN(S305-P[[#This Row],[MARs]])*INT(P[[#This Row],[MARs]]/30+1)&amp;"Ma,"&amp;SIGN(T305-P[[#This Row],[Merc]])*INT(P[[#This Row],[Merc]]/30+1)&amp;"Me,"&amp;SIGN(U305-P[[#This Row],[Jup]])*INT(P[[#This Row],[Jup]]/30+1)&amp;"Ju,"&amp;SIGN(V305-P[[#This Row],[Venu]])*INT(P[[#This Row],[Venu]]/30+1)&amp;"Ve,"&amp;SIGN(W305-P[[#This Row],[Sat]])*INT(P[[#This Row],[Sat]]/30+1)&amp;"Sa,"&amp;INT(P[[#This Row],[Rah]]/30+1)&amp;"Ra"</f>
        <v>10Ma,7Me,8Ju,-7Ve,9Sa,4Ra</v>
      </c>
      <c r="S304" s="124">
        <f ca="1">Planet(P[[#This Row],[GMT Sun Rise]],4)</f>
        <v>292.12022624931723</v>
      </c>
      <c r="T304" s="124">
        <f ca="1">Planet(P[[#This Row],[GMT Sun Rise]],2)</f>
        <v>205.06738409026568</v>
      </c>
      <c r="U304" s="124">
        <f ca="1">Planet(P[[#This Row],[GMT Sun Rise]],5)</f>
        <v>212.33915911881238</v>
      </c>
      <c r="V304" s="124">
        <f ca="1">Planet(P[[#This Row],[GMT Sun Rise]],3)</f>
        <v>191.14407399351802</v>
      </c>
      <c r="W304" s="124">
        <f ca="1">Planet(P[[#This Row],[GMT Sun Rise]],6)</f>
        <v>250.13762771495931</v>
      </c>
      <c r="X304" s="124">
        <f ca="1">Planet(P[[#This Row],[GMT Sun Rise]],10)</f>
        <v>97.157602184177748</v>
      </c>
      <c r="Y304" s="124">
        <f ca="1">SIGN(S305-P[[#This Row],[MARs]])</f>
        <v>1</v>
      </c>
    </row>
    <row r="305" spans="1:25" x14ac:dyDescent="0.2">
      <c r="A305" s="125">
        <f t="shared" ca="1" si="48"/>
        <v>43397</v>
      </c>
      <c r="B305" s="125">
        <f t="shared" ca="1" si="41"/>
        <v>43397.229166666664</v>
      </c>
      <c r="C305" s="127">
        <f t="shared" ca="1" si="42"/>
        <v>43397.251836187359</v>
      </c>
      <c r="D305" s="127">
        <f t="shared" ca="1" si="43"/>
        <v>43396.739834129854</v>
      </c>
      <c r="E305" s="189">
        <f ca="1">P[[#This Row],[SunRise]]-TimeZone/24</f>
        <v>43397.022669520695</v>
      </c>
      <c r="F305" s="190">
        <f t="shared" ca="1" si="44"/>
        <v>186.43108562130658</v>
      </c>
      <c r="G305" s="190">
        <f t="shared" ca="1" si="45"/>
        <v>358.17710434310777</v>
      </c>
      <c r="H305" s="191">
        <f t="shared" ca="1" si="46"/>
        <v>43397.022669520695</v>
      </c>
      <c r="I305" s="124" t="str">
        <f ca="1">naks(P[[#This Row],[Moon]])</f>
        <v>Revati</v>
      </c>
      <c r="J305" s="127">
        <f ca="1">(C306-P[[#This Row],[SunRise]])/(G306-P[[#This Row],[Moon]])*(13.3333333333333-MOD(P[[#This Row],[Moon]],13.333333333333))+P[[#This Row],[SunRise]]</f>
        <v>43397.24657805125</v>
      </c>
      <c r="K305" s="124" t="str">
        <f ca="1">IF(P[[#This Row],[Tithi]]&gt;15,"K","S")&amp;ROUNDUP(MOD(P[[#This Row],[Tithi]],15),0)&amp;" ("&amp;ROUND(P[[#This Row],[Tithi]],2)&amp;")"</f>
        <v>S15 (14.31)</v>
      </c>
      <c r="L305" s="124">
        <f ca="1">IF(AND(P[[#This Row],[Tithi]]&lt;28.5,P[[#This Row],[Tithi]]&gt;0.49999),MOD((P[[#This Row],[Tithi]]-0.5)*2,7),MOD((P[[#This Row],[Tithi]]+30-28.5),30)*2+7)</f>
        <v>6.6243999999999978</v>
      </c>
      <c r="M305" s="124" t="str">
        <f ca="1">CHOOSE(ROUNDUP(P[[#This Row],[Karana1]],0),"Bhava","Baalava","Kaulava","Taitula","Garija","Vanija","Vishti","Shakuni","Chatushapda","Naaga","Kimstugna")</f>
        <v>Vishti</v>
      </c>
      <c r="N30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(13.85)</v>
      </c>
      <c r="O305" s="124">
        <f ca="1">IF(AND(P[[#This Row],[Tithi]]&lt;28.5,P[[#This Row],[Tithi]]&gt;0.49999),MOD((P[[#This Row],[Tithi]]-0.5)*2,7),MOD((P[[#This Row],[Tithi]]+30-28.5),30)*2+7)</f>
        <v>6.6243999999999978</v>
      </c>
      <c r="P305" s="124">
        <f ca="1">ROUNDUP(MOD(360+P[[#This Row],[Moon]]-P[[#This Row],[Sun]],360)/12,4)</f>
        <v>14.312199999999999</v>
      </c>
      <c r="Q305" s="124">
        <f t="shared" ca="1" si="47"/>
        <v>13.85</v>
      </c>
      <c r="R305" s="124" t="str">
        <f ca="1">SIGN(S306-P[[#This Row],[MARs]])*INT(P[[#This Row],[MARs]]/30+1)&amp;"Ma,"&amp;SIGN(T306-P[[#This Row],[Merc]])*INT(P[[#This Row],[Merc]]/30+1)&amp;"Me,"&amp;SIGN(U306-P[[#This Row],[Jup]])*INT(P[[#This Row],[Jup]]/30+1)&amp;"Ju,"&amp;SIGN(V306-P[[#This Row],[Venu]])*INT(P[[#This Row],[Venu]]/30+1)&amp;"Ve,"&amp;SIGN(W306-P[[#This Row],[Sat]])*INT(P[[#This Row],[Sat]]/30+1)&amp;"Sa,"&amp;INT(P[[#This Row],[Rah]]/30+1)&amp;"Ra"</f>
        <v>10Ma,7Me,8Ju,-7Ve,9Sa,4Ra</v>
      </c>
      <c r="S305" s="124">
        <f ca="1">Planet(P[[#This Row],[GMT Sun Rise]],4)</f>
        <v>292.6528261915185</v>
      </c>
      <c r="T305" s="124">
        <f ca="1">Planet(P[[#This Row],[GMT Sun Rise]],2)</f>
        <v>206.45369111123065</v>
      </c>
      <c r="U305" s="124">
        <f ca="1">Planet(P[[#This Row],[GMT Sun Rise]],5)</f>
        <v>212.5488532145593</v>
      </c>
      <c r="V305" s="124">
        <f ca="1">Planet(P[[#This Row],[GMT Sun Rise]],3)</f>
        <v>190.55350086751099</v>
      </c>
      <c r="W305" s="124">
        <f ca="1">Planet(P[[#This Row],[GMT Sun Rise]],6)</f>
        <v>250.20888996138643</v>
      </c>
      <c r="X305" s="124">
        <f ca="1">Planet(P[[#This Row],[GMT Sun Rise]],10)</f>
        <v>97.104602606478835</v>
      </c>
      <c r="Y305" s="124">
        <f ca="1">SIGN(S306-P[[#This Row],[MARs]])</f>
        <v>1</v>
      </c>
    </row>
    <row r="306" spans="1:25" x14ac:dyDescent="0.2">
      <c r="A306" s="125">
        <f t="shared" ca="1" si="48"/>
        <v>43398</v>
      </c>
      <c r="B306" s="125">
        <f t="shared" ca="1" si="41"/>
        <v>43398.229166666664</v>
      </c>
      <c r="C306" s="127">
        <f t="shared" ca="1" si="42"/>
        <v>43398.251985754971</v>
      </c>
      <c r="D306" s="127">
        <f t="shared" ca="1" si="43"/>
        <v>43397.739502569239</v>
      </c>
      <c r="E306" s="189">
        <f ca="1">P[[#This Row],[SunRise]]-TimeZone/24</f>
        <v>43398.022819088306</v>
      </c>
      <c r="F306" s="190">
        <f t="shared" ca="1" si="44"/>
        <v>187.42697606835429</v>
      </c>
      <c r="G306" s="190">
        <f t="shared" ca="1" si="45"/>
        <v>11.444295558156478</v>
      </c>
      <c r="H306" s="191">
        <f t="shared" ca="1" si="46"/>
        <v>43398.022819088306</v>
      </c>
      <c r="I306" s="124" t="str">
        <f ca="1">naks(P[[#This Row],[Moon]])</f>
        <v>Aswini</v>
      </c>
      <c r="J306" s="127">
        <f ca="1">(C307-P[[#This Row],[SunRise]])/(G307-P[[#This Row],[Moon]])*(13.3333333333333-MOD(P[[#This Row],[Moon]],13.333333333333))+P[[#This Row],[SunRise]]</f>
        <v>43398.391724971909</v>
      </c>
      <c r="K306" s="124" t="str">
        <f ca="1">IF(P[[#This Row],[Tithi]]&gt;15,"K","S")&amp;ROUNDUP(MOD(P[[#This Row],[Tithi]],15),0)&amp;" ("&amp;ROUND(P[[#This Row],[Tithi]],2)&amp;")"</f>
        <v>K1 (15.33)</v>
      </c>
      <c r="L306" s="124">
        <f ca="1">IF(AND(P[[#This Row],[Tithi]]&lt;28.5,P[[#This Row],[Tithi]]&gt;0.49999),MOD((P[[#This Row],[Tithi]]-0.5)*2,7),MOD((P[[#This Row],[Tithi]]+30-28.5),30)*2+7)</f>
        <v>1.6695999999999991</v>
      </c>
      <c r="M306" s="124" t="str">
        <f ca="1">CHOOSE(ROUNDUP(P[[#This Row],[Karana1]],0),"Bhava","Baalava","Kaulava","Taitula","Garija","Vanija","Vishti","Shakuni","Chatushapda","Naaga","Kimstugna")</f>
        <v>Baalava</v>
      </c>
      <c r="N30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(14.92)</v>
      </c>
      <c r="O306" s="124">
        <f ca="1">IF(AND(P[[#This Row],[Tithi]]&lt;28.5,P[[#This Row],[Tithi]]&gt;0.49999),MOD((P[[#This Row],[Tithi]]-0.5)*2,7),MOD((P[[#This Row],[Tithi]]+30-28.5),30)*2+7)</f>
        <v>1.6695999999999991</v>
      </c>
      <c r="P306" s="124">
        <f ca="1">ROUNDUP(MOD(360+P[[#This Row],[Moon]]-P[[#This Row],[Sun]],360)/12,4)</f>
        <v>15.3348</v>
      </c>
      <c r="Q306" s="124">
        <f t="shared" ca="1" si="47"/>
        <v>14.92</v>
      </c>
      <c r="R306" s="124" t="str">
        <f ca="1">SIGN(S307-P[[#This Row],[MARs]])*INT(P[[#This Row],[MARs]]/30+1)&amp;"Ma,"&amp;SIGN(T307-P[[#This Row],[Merc]])*INT(P[[#This Row],[Merc]]/30+1)&amp;"Me,"&amp;SIGN(U307-P[[#This Row],[Jup]])*INT(P[[#This Row],[Jup]]/30+1)&amp;"Ju,"&amp;SIGN(V307-P[[#This Row],[Venu]])*INT(P[[#This Row],[Venu]]/30+1)&amp;"Ve,"&amp;SIGN(W307-P[[#This Row],[Sat]])*INT(P[[#This Row],[Sat]]/30+1)&amp;"Sa,"&amp;INT(P[[#This Row],[Rah]]/30+1)&amp;"Ra"</f>
        <v>10Ma,7Me,8Ju,-7Ve,9Sa,4Ra</v>
      </c>
      <c r="S306" s="124">
        <f ca="1">Planet(P[[#This Row],[GMT Sun Rise]],4)</f>
        <v>293.18988568405126</v>
      </c>
      <c r="T306" s="124">
        <f ca="1">Planet(P[[#This Row],[GMT Sun Rise]],2)</f>
        <v>207.82493114752762</v>
      </c>
      <c r="U306" s="124">
        <f ca="1">Planet(P[[#This Row],[GMT Sun Rise]],5)</f>
        <v>212.75930454068529</v>
      </c>
      <c r="V306" s="124">
        <f ca="1">Planet(P[[#This Row],[GMT Sun Rise]],3)</f>
        <v>189.95160119155818</v>
      </c>
      <c r="W306" s="124">
        <f ca="1">Planet(P[[#This Row],[GMT Sun Rise]],6)</f>
        <v>250.2814082958069</v>
      </c>
      <c r="X306" s="124">
        <f ca="1">Planet(P[[#This Row],[GMT Sun Rise]],10)</f>
        <v>97.051602683472296</v>
      </c>
      <c r="Y306" s="124">
        <f ca="1">SIGN(S307-P[[#This Row],[MARs]])</f>
        <v>1</v>
      </c>
    </row>
    <row r="307" spans="1:25" x14ac:dyDescent="0.2">
      <c r="A307" s="125">
        <f t="shared" ca="1" si="48"/>
        <v>43399</v>
      </c>
      <c r="B307" s="125">
        <f t="shared" ca="1" si="41"/>
        <v>43399.229166666664</v>
      </c>
      <c r="C307" s="127">
        <f t="shared" ca="1" si="42"/>
        <v>43399.252142157558</v>
      </c>
      <c r="D307" s="127">
        <f t="shared" ca="1" si="43"/>
        <v>43398.739180862947</v>
      </c>
      <c r="E307" s="189">
        <f ca="1">P[[#This Row],[SunRise]]-TimeZone/24</f>
        <v>43399.022975490894</v>
      </c>
      <c r="F307" s="190">
        <f t="shared" ca="1" si="44"/>
        <v>188.42342609283898</v>
      </c>
      <c r="G307" s="190">
        <f t="shared" ca="1" si="45"/>
        <v>24.964717863473005</v>
      </c>
      <c r="H307" s="191">
        <f t="shared" ca="1" si="46"/>
        <v>43399.022975490894</v>
      </c>
      <c r="I307" s="124" t="str">
        <f ca="1">naks(P[[#This Row],[Moon]])</f>
        <v>Bharani</v>
      </c>
      <c r="J307" s="127">
        <f ca="1">(C308-P[[#This Row],[SunRise]])/(G308-P[[#This Row],[Moon]])*(13.3333333333333-MOD(P[[#This Row],[Moon]],13.333333333333))+P[[#This Row],[SunRise]]</f>
        <v>43399.376170920725</v>
      </c>
      <c r="K307" s="124" t="str">
        <f ca="1">IF(P[[#This Row],[Tithi]]&gt;15,"K","S")&amp;ROUNDUP(MOD(P[[#This Row],[Tithi]],15),0)&amp;" ("&amp;ROUND(P[[#This Row],[Tithi]],2)&amp;")"</f>
        <v>K2 (16.38)</v>
      </c>
      <c r="L307" s="124">
        <f ca="1">IF(AND(P[[#This Row],[Tithi]]&lt;28.5,P[[#This Row],[Tithi]]&gt;0.49999),MOD((P[[#This Row],[Tithi]]-0.5)*2,7),MOD((P[[#This Row],[Tithi]]+30-28.5),30)*2+7)</f>
        <v>3.7569999999999979</v>
      </c>
      <c r="M307" s="124" t="str">
        <f ca="1">CHOOSE(ROUNDUP(P[[#This Row],[Karana1]],0),"Bhava","Baalava","Kaulava","Taitula","Garija","Vanija","Vishti","Shakuni","Chatushapda","Naaga","Kimstugna")</f>
        <v>Taitula</v>
      </c>
      <c r="N30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(16.01)</v>
      </c>
      <c r="O307" s="124">
        <f ca="1">IF(AND(P[[#This Row],[Tithi]]&lt;28.5,P[[#This Row],[Tithi]]&gt;0.49999),MOD((P[[#This Row],[Tithi]]-0.5)*2,7),MOD((P[[#This Row],[Tithi]]+30-28.5),30)*2+7)</f>
        <v>3.7569999999999979</v>
      </c>
      <c r="P307" s="124">
        <f ca="1">ROUNDUP(MOD(360+P[[#This Row],[Moon]]-P[[#This Row],[Sun]],360)/12,4)</f>
        <v>16.378499999999999</v>
      </c>
      <c r="Q307" s="124">
        <f t="shared" ca="1" si="47"/>
        <v>16.010000000000002</v>
      </c>
      <c r="R307" s="124" t="str">
        <f ca="1">SIGN(S308-P[[#This Row],[MARs]])*INT(P[[#This Row],[MARs]]/30+1)&amp;"Ma,"&amp;SIGN(T308-P[[#This Row],[Merc]])*INT(P[[#This Row],[Merc]]/30+1)&amp;"Me,"&amp;SIGN(U308-P[[#This Row],[Jup]])*INT(P[[#This Row],[Jup]]/30+1)&amp;"Ju,"&amp;SIGN(V308-P[[#This Row],[Venu]])*INT(P[[#This Row],[Venu]]/30+1)&amp;"Ve,"&amp;SIGN(W308-P[[#This Row],[Sat]])*INT(P[[#This Row],[Sat]]/30+1)&amp;"Sa,"&amp;INT(P[[#This Row],[Rah]]/30+1)&amp;"Ra"</f>
        <v>10Ma,7Me,8Ju,-7Ve,9Sa,4Ra</v>
      </c>
      <c r="S307" s="124">
        <f ca="1">Planet(P[[#This Row],[GMT Sun Rise]],4)</f>
        <v>293.73127944804685</v>
      </c>
      <c r="T307" s="124">
        <f ca="1">Planet(P[[#This Row],[GMT Sun Rise]],2)</f>
        <v>209.1802255636733</v>
      </c>
      <c r="U307" s="124">
        <f ca="1">Planet(P[[#This Row],[GMT Sun Rise]],5)</f>
        <v>212.97049381878173</v>
      </c>
      <c r="V307" s="124">
        <f ca="1">Planet(P[[#This Row],[GMT Sun Rise]],3)</f>
        <v>189.34246966567108</v>
      </c>
      <c r="W307" s="124">
        <f ca="1">Planet(P[[#This Row],[GMT Sun Rise]],6)</f>
        <v>250.35516878174278</v>
      </c>
      <c r="X307" s="124">
        <f ca="1">Planet(P[[#This Row],[GMT Sun Rise]],10)</f>
        <v>96.998602398257802</v>
      </c>
      <c r="Y307" s="124">
        <f ca="1">SIGN(S308-P[[#This Row],[MARs]])</f>
        <v>1</v>
      </c>
    </row>
    <row r="308" spans="1:25" x14ac:dyDescent="0.2">
      <c r="A308" s="125">
        <f t="shared" ca="1" si="48"/>
        <v>43400</v>
      </c>
      <c r="B308" s="125">
        <f t="shared" ca="1" si="41"/>
        <v>43400.229166666664</v>
      </c>
      <c r="C308" s="127">
        <f t="shared" ca="1" si="42"/>
        <v>43400.252305235867</v>
      </c>
      <c r="D308" s="127">
        <f t="shared" ca="1" si="43"/>
        <v>43399.738868852655</v>
      </c>
      <c r="E308" s="189">
        <f ca="1">P[[#This Row],[SunRise]]-TimeZone/24</f>
        <v>43400.023138569202</v>
      </c>
      <c r="F308" s="190">
        <f t="shared" ca="1" si="44"/>
        <v>189.42045085011435</v>
      </c>
      <c r="G308" s="190">
        <f t="shared" ca="1" si="45"/>
        <v>38.68916621486526</v>
      </c>
      <c r="H308" s="191">
        <f t="shared" ca="1" si="46"/>
        <v>43400.023138569202</v>
      </c>
      <c r="I308" s="124" t="str">
        <f ca="1">naks(P[[#This Row],[Moon]])</f>
        <v>Krittika</v>
      </c>
      <c r="J308" s="127">
        <f ca="1">(C309-P[[#This Row],[SunRise]])/(G309-P[[#This Row],[Moon]])*(13.3333333333333-MOD(P[[#This Row],[Moon]],13.333333333333))+P[[#This Row],[SunRise]]</f>
        <v>43400.346802810716</v>
      </c>
      <c r="K308" s="124" t="str">
        <f ca="1">IF(P[[#This Row],[Tithi]]&gt;15,"K","S")&amp;ROUNDUP(MOD(P[[#This Row],[Tithi]],15),0)&amp;" ("&amp;ROUND(P[[#This Row],[Tithi]],2)&amp;")"</f>
        <v>K3 (17.44)</v>
      </c>
      <c r="L308" s="124">
        <f ca="1">IF(AND(P[[#This Row],[Tithi]]&lt;28.5,P[[#This Row],[Tithi]]&gt;0.49999),MOD((P[[#This Row],[Tithi]]-0.5)*2,7),MOD((P[[#This Row],[Tithi]]+30-28.5),30)*2+7)</f>
        <v>5.8781999999999996</v>
      </c>
      <c r="M308" s="124" t="str">
        <f ca="1">CHOOSE(ROUNDUP(P[[#This Row],[Karana1]],0),"Bhava","Baalava","Kaulava","Taitula","Garija","Vanija","Vishti","Shakuni","Chatushapda","Naaga","Kimstugna")</f>
        <v>Vanija</v>
      </c>
      <c r="N30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(17.11)</v>
      </c>
      <c r="O308" s="124">
        <f ca="1">IF(AND(P[[#This Row],[Tithi]]&lt;28.5,P[[#This Row],[Tithi]]&gt;0.49999),MOD((P[[#This Row],[Tithi]]-0.5)*2,7),MOD((P[[#This Row],[Tithi]]+30-28.5),30)*2+7)</f>
        <v>5.8781999999999996</v>
      </c>
      <c r="P308" s="124">
        <f ca="1">ROUNDUP(MOD(360+P[[#This Row],[Moon]]-P[[#This Row],[Sun]],360)/12,4)</f>
        <v>17.4391</v>
      </c>
      <c r="Q308" s="124">
        <f t="shared" ca="1" si="47"/>
        <v>17.110000000000003</v>
      </c>
      <c r="R308" s="124" t="str">
        <f ca="1">SIGN(S309-P[[#This Row],[MARs]])*INT(P[[#This Row],[MARs]]/30+1)&amp;"Ma,"&amp;SIGN(T309-P[[#This Row],[Merc]])*INT(P[[#This Row],[Merc]]/30+1)&amp;"Me,"&amp;SIGN(U309-P[[#This Row],[Jup]])*INT(P[[#This Row],[Jup]]/30+1)&amp;"Ju,"&amp;SIGN(V309-P[[#This Row],[Venu]])*INT(P[[#This Row],[Venu]]/30+1)&amp;"Ve,"&amp;SIGN(W309-P[[#This Row],[Sat]])*INT(P[[#This Row],[Sat]]/30+1)&amp;"Sa,"&amp;INT(P[[#This Row],[Rah]]/30+1)&amp;"Ra"</f>
        <v>10Ma,8Me,8Ju,-7Ve,9Sa,4Ra</v>
      </c>
      <c r="S308" s="124">
        <f ca="1">Planet(P[[#This Row],[GMT Sun Rise]],4)</f>
        <v>294.27689039157821</v>
      </c>
      <c r="T308" s="124">
        <f ca="1">Planet(P[[#This Row],[GMT Sun Rise]],2)</f>
        <v>210.51853622340147</v>
      </c>
      <c r="U308" s="124">
        <f ca="1">Planet(P[[#This Row],[GMT Sun Rise]],5)</f>
        <v>213.18240214096855</v>
      </c>
      <c r="V308" s="124">
        <f ca="1">Planet(P[[#This Row],[GMT Sun Rise]],3)</f>
        <v>188.73030810112633</v>
      </c>
      <c r="W308" s="124">
        <f ca="1">Planet(P[[#This Row],[GMT Sun Rise]],6)</f>
        <v>250.43015773456045</v>
      </c>
      <c r="X308" s="124">
        <f ca="1">Planet(P[[#This Row],[GMT Sun Rise]],10)</f>
        <v>96.945601759285566</v>
      </c>
      <c r="Y308" s="124">
        <f ca="1">SIGN(S309-P[[#This Row],[MARs]])</f>
        <v>1</v>
      </c>
    </row>
    <row r="309" spans="1:25" x14ac:dyDescent="0.2">
      <c r="A309" s="125">
        <f t="shared" ca="1" si="48"/>
        <v>43401</v>
      </c>
      <c r="B309" s="125">
        <f t="shared" ca="1" si="41"/>
        <v>43401.229166666664</v>
      </c>
      <c r="C309" s="127">
        <f t="shared" ca="1" si="42"/>
        <v>43401.252475466732</v>
      </c>
      <c r="D309" s="127">
        <f t="shared" ca="1" si="43"/>
        <v>43400.738567332781</v>
      </c>
      <c r="E309" s="189">
        <f ca="1">P[[#This Row],[SunRise]]-TimeZone/24</f>
        <v>43401.023308800068</v>
      </c>
      <c r="F309" s="190">
        <f t="shared" ca="1" si="44"/>
        <v>190.41806569393401</v>
      </c>
      <c r="G309" s="190">
        <f t="shared" ca="1" si="45"/>
        <v>52.563140564073208</v>
      </c>
      <c r="H309" s="191">
        <f t="shared" ca="1" si="46"/>
        <v>43401.023308800068</v>
      </c>
      <c r="I309" s="124" t="str">
        <f ca="1">naks(P[[#This Row],[Moon]])</f>
        <v>Rohini</v>
      </c>
      <c r="J309" s="127">
        <f ca="1">(C310-P[[#This Row],[SunRise]])/(G310-P[[#This Row],[Moon]])*(13.3333333333333-MOD(P[[#This Row],[Moon]],13.333333333333))+P[[#This Row],[SunRise]]</f>
        <v>43401.307603756191</v>
      </c>
      <c r="K309" s="124" t="str">
        <f ca="1">IF(P[[#This Row],[Tithi]]&gt;15,"K","S")&amp;ROUNDUP(MOD(P[[#This Row],[Tithi]],15),0)&amp;" ("&amp;ROUND(P[[#This Row],[Tithi]],2)&amp;")"</f>
        <v>K4 (18.51)</v>
      </c>
      <c r="L309" s="124">
        <f ca="1">IF(AND(P[[#This Row],[Tithi]]&lt;28.5,P[[#This Row],[Tithi]]&gt;0.49999),MOD((P[[#This Row],[Tithi]]-0.5)*2,7),MOD((P[[#This Row],[Tithi]]+30-28.5),30)*2+7)</f>
        <v>1.0242000000000004</v>
      </c>
      <c r="M309" s="124" t="str">
        <f ca="1">CHOOSE(ROUNDUP(P[[#This Row],[Karana1]],0),"Bhava","Baalava","Kaulava","Taitula","Garija","Vanija","Vishti","Shakuni","Chatushapda","Naaga","Kimstugna")</f>
        <v>Baalava</v>
      </c>
      <c r="N30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(18.23)</v>
      </c>
      <c r="O309" s="124">
        <f ca="1">IF(AND(P[[#This Row],[Tithi]]&lt;28.5,P[[#This Row],[Tithi]]&gt;0.49999),MOD((P[[#This Row],[Tithi]]-0.5)*2,7),MOD((P[[#This Row],[Tithi]]+30-28.5),30)*2+7)</f>
        <v>1.0242000000000004</v>
      </c>
      <c r="P309" s="124">
        <f ca="1">ROUNDUP(MOD(360+P[[#This Row],[Moon]]-P[[#This Row],[Sun]],360)/12,4)</f>
        <v>18.5121</v>
      </c>
      <c r="Q309" s="124">
        <f t="shared" ca="1" si="47"/>
        <v>18.23</v>
      </c>
      <c r="R309" s="124" t="str">
        <f ca="1">SIGN(S310-P[[#This Row],[MARs]])*INT(P[[#This Row],[MARs]]/30+1)&amp;"Ma,"&amp;SIGN(T310-P[[#This Row],[Merc]])*INT(P[[#This Row],[Merc]]/30+1)&amp;"Me,"&amp;SIGN(U310-P[[#This Row],[Jup]])*INT(P[[#This Row],[Jup]]/30+1)&amp;"Ju,"&amp;SIGN(V310-P[[#This Row],[Venu]])*INT(P[[#This Row],[Venu]]/30+1)&amp;"Ve,"&amp;SIGN(W310-P[[#This Row],[Sat]])*INT(P[[#This Row],[Sat]]/30+1)&amp;"Sa,"&amp;INT(P[[#This Row],[Rah]]/30+1)&amp;"Ra"</f>
        <v>10Ma,8Me,8Ju,-7Ve,9Sa,4Ra</v>
      </c>
      <c r="S309" s="124">
        <f ca="1">Planet(P[[#This Row],[GMT Sun Rise]],4)</f>
        <v>294.82661069361819</v>
      </c>
      <c r="T309" s="124">
        <f ca="1">Planet(P[[#This Row],[GMT Sun Rise]],2)</f>
        <v>211.83864562494909</v>
      </c>
      <c r="U309" s="124">
        <f ca="1">Planet(P[[#This Row],[GMT Sun Rise]],5)</f>
        <v>213.39501103698942</v>
      </c>
      <c r="V309" s="124">
        <f ca="1">Planet(P[[#This Row],[GMT Sun Rise]],3)</f>
        <v>188.11936438258357</v>
      </c>
      <c r="W309" s="124">
        <f ca="1">Planet(P[[#This Row],[GMT Sun Rise]],6)</f>
        <v>250.50636177447635</v>
      </c>
      <c r="X309" s="124">
        <f ca="1">Planet(P[[#This Row],[GMT Sun Rise]],10)</f>
        <v>96.892600741304676</v>
      </c>
      <c r="Y309" s="124">
        <f ca="1">SIGN(S310-P[[#This Row],[MARs]])</f>
        <v>1</v>
      </c>
    </row>
    <row r="310" spans="1:25" x14ac:dyDescent="0.2">
      <c r="A310" s="125">
        <f t="shared" ca="1" si="48"/>
        <v>43402</v>
      </c>
      <c r="B310" s="125">
        <f t="shared" ca="1" si="41"/>
        <v>43402.229166666664</v>
      </c>
      <c r="C310" s="127">
        <f t="shared" ca="1" si="42"/>
        <v>43402.252652691364</v>
      </c>
      <c r="D310" s="127">
        <f t="shared" ca="1" si="43"/>
        <v>43401.738276144068</v>
      </c>
      <c r="E310" s="189">
        <f ca="1">P[[#This Row],[SunRise]]-TimeZone/24</f>
        <v>43402.0234860247</v>
      </c>
      <c r="F310" s="190">
        <f t="shared" ca="1" si="44"/>
        <v>191.4162837986614</v>
      </c>
      <c r="G310" s="190">
        <f t="shared" ca="1" si="45"/>
        <v>66.536533787328452</v>
      </c>
      <c r="H310" s="191">
        <f t="shared" ca="1" si="46"/>
        <v>43402.0234860247</v>
      </c>
      <c r="I310" s="124" t="str">
        <f ca="1">naks(P[[#This Row],[Moon]])</f>
        <v>Mrigashira</v>
      </c>
      <c r="J310" s="127">
        <f ca="1">(C311-P[[#This Row],[SunRise]])/(G311-P[[#This Row],[Moon]])*(13.3333333333333-MOD(P[[#This Row],[Moon]],13.333333333333))+P[[#This Row],[SunRise]]</f>
        <v>43402.261927061154</v>
      </c>
      <c r="K310" s="124" t="str">
        <f ca="1">IF(P[[#This Row],[Tithi]]&gt;15,"K","S")&amp;ROUNDUP(MOD(P[[#This Row],[Tithi]],15),0)&amp;" ("&amp;ROUND(P[[#This Row],[Tithi]],2)&amp;")"</f>
        <v>K5 (19.59)</v>
      </c>
      <c r="L310" s="124">
        <f ca="1">IF(AND(P[[#This Row],[Tithi]]&lt;28.5,P[[#This Row],[Tithi]]&gt;0.49999),MOD((P[[#This Row],[Tithi]]-0.5)*2,7),MOD((P[[#This Row],[Tithi]]+30-28.5),30)*2+7)</f>
        <v>3.1867999999999981</v>
      </c>
      <c r="M310" s="124" t="str">
        <f ca="1">CHOOSE(ROUNDUP(P[[#This Row],[Karana1]],0),"Bhava","Baalava","Kaulava","Taitula","Garija","Vanija","Vishti","Shakuni","Chatushapda","Naaga","Kimstugna")</f>
        <v>Taitula</v>
      </c>
      <c r="N31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(19.35)</v>
      </c>
      <c r="O310" s="124">
        <f ca="1">IF(AND(P[[#This Row],[Tithi]]&lt;28.5,P[[#This Row],[Tithi]]&gt;0.49999),MOD((P[[#This Row],[Tithi]]-0.5)*2,7),MOD((P[[#This Row],[Tithi]]+30-28.5),30)*2+7)</f>
        <v>3.1867999999999981</v>
      </c>
      <c r="P310" s="124">
        <f ca="1">ROUNDUP(MOD(360+P[[#This Row],[Moon]]-P[[#This Row],[Sun]],360)/12,4)</f>
        <v>19.593399999999999</v>
      </c>
      <c r="Q310" s="124">
        <f t="shared" ca="1" si="47"/>
        <v>19.350000000000001</v>
      </c>
      <c r="R310" s="124" t="str">
        <f ca="1">SIGN(S311-P[[#This Row],[MARs]])*INT(P[[#This Row],[MARs]]/30+1)&amp;"Ma,"&amp;SIGN(T311-P[[#This Row],[Merc]])*INT(P[[#This Row],[Merc]]/30+1)&amp;"Me,"&amp;SIGN(U311-P[[#This Row],[Jup]])*INT(P[[#This Row],[Jup]]/30+1)&amp;"Ju,"&amp;SIGN(V311-P[[#This Row],[Venu]])*INT(P[[#This Row],[Venu]]/30+1)&amp;"Ve,"&amp;SIGN(W311-P[[#This Row],[Sat]])*INT(P[[#This Row],[Sat]]/30+1)&amp;"Sa,"&amp;INT(P[[#This Row],[Rah]]/30+1)&amp;"Ra"</f>
        <v>10Ma,8Me,8Ju,-7Ve,9Sa,4Ra</v>
      </c>
      <c r="S310" s="124">
        <f ca="1">Planet(P[[#This Row],[GMT Sun Rise]],4)</f>
        <v>295.38034115991246</v>
      </c>
      <c r="T310" s="124">
        <f ca="1">Planet(P[[#This Row],[GMT Sun Rise]],2)</f>
        <v>213.13913074375381</v>
      </c>
      <c r="U310" s="124">
        <f ca="1">Planet(P[[#This Row],[GMT Sun Rise]],5)</f>
        <v>213.60830199124075</v>
      </c>
      <c r="V310" s="124">
        <f ca="1">Planet(P[[#This Row],[GMT Sun Rise]],3)</f>
        <v>187.51387079651786</v>
      </c>
      <c r="W310" s="124">
        <f ca="1">Planet(P[[#This Row],[GMT Sun Rise]],6)</f>
        <v>250.58376765970084</v>
      </c>
      <c r="X310" s="124">
        <f ca="1">Planet(P[[#This Row],[GMT Sun Rise]],10)</f>
        <v>96.839599352699011</v>
      </c>
      <c r="Y310" s="124">
        <f ca="1">SIGN(S311-P[[#This Row],[MARs]])</f>
        <v>1</v>
      </c>
    </row>
    <row r="311" spans="1:25" x14ac:dyDescent="0.2">
      <c r="A311" s="125">
        <f t="shared" ca="1" si="48"/>
        <v>43403</v>
      </c>
      <c r="B311" s="125">
        <f t="shared" ca="1" si="41"/>
        <v>43403.229166666664</v>
      </c>
      <c r="C311" s="127">
        <f t="shared" ca="1" si="42"/>
        <v>43403.252837068554</v>
      </c>
      <c r="D311" s="127">
        <f t="shared" ca="1" si="43"/>
        <v>43402.737995763819</v>
      </c>
      <c r="E311" s="189">
        <f ca="1">P[[#This Row],[SunRise]]-TimeZone/24</f>
        <v>43403.02367040189</v>
      </c>
      <c r="F311" s="190">
        <f t="shared" ca="1" si="44"/>
        <v>192.41511597120362</v>
      </c>
      <c r="G311" s="190">
        <f t="shared" ca="1" si="45"/>
        <v>80.570573381039935</v>
      </c>
      <c r="H311" s="191">
        <f t="shared" ca="1" si="46"/>
        <v>43403.02367040189</v>
      </c>
      <c r="I311" s="124" t="str">
        <f ca="1">naks(P[[#This Row],[Moon]])</f>
        <v>Punarvasu</v>
      </c>
      <c r="J311" s="127">
        <f ca="1">(C312-P[[#This Row],[SunRise]])/(G312-P[[#This Row],[Moon]])*(13.3333333333333-MOD(P[[#This Row],[Moon]],13.333333333333))+P[[#This Row],[SunRise]]</f>
        <v>43404.1601467078</v>
      </c>
      <c r="K311" s="124" t="str">
        <f ca="1">IF(P[[#This Row],[Tithi]]&gt;15,"K","S")&amp;ROUNDUP(MOD(P[[#This Row],[Tithi]],15),0)&amp;" ("&amp;ROUND(P[[#This Row],[Tithi]],2)&amp;")"</f>
        <v>K6 (20.68)</v>
      </c>
      <c r="L311" s="124">
        <f ca="1">IF(AND(P[[#This Row],[Tithi]]&lt;28.5,P[[#This Row],[Tithi]]&gt;0.49999),MOD((P[[#This Row],[Tithi]]-0.5)*2,7),MOD((P[[#This Row],[Tithi]]+30-28.5),30)*2+7)</f>
        <v>5.3594000000000008</v>
      </c>
      <c r="M311" s="124" t="str">
        <f ca="1">CHOOSE(ROUNDUP(P[[#This Row],[Karana1]],0),"Bhava","Baalava","Kaulava","Taitula","Garija","Vanija","Vishti","Shakuni","Chatushapda","Naaga","Kimstugna")</f>
        <v>Vanija</v>
      </c>
      <c r="N31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(20.48)</v>
      </c>
      <c r="O311" s="124">
        <f ca="1">IF(AND(P[[#This Row],[Tithi]]&lt;28.5,P[[#This Row],[Tithi]]&gt;0.49999),MOD((P[[#This Row],[Tithi]]-0.5)*2,7),MOD((P[[#This Row],[Tithi]]+30-28.5),30)*2+7)</f>
        <v>5.3594000000000008</v>
      </c>
      <c r="P311" s="124">
        <f ca="1">ROUNDUP(MOD(360+P[[#This Row],[Moon]]-P[[#This Row],[Sun]],360)/12,4)</f>
        <v>20.6797</v>
      </c>
      <c r="Q311" s="124">
        <f t="shared" ca="1" si="47"/>
        <v>20.48</v>
      </c>
      <c r="R311" s="124" t="str">
        <f ca="1">SIGN(S312-P[[#This Row],[MARs]])*INT(P[[#This Row],[MARs]]/30+1)&amp;"Ma,"&amp;SIGN(T312-P[[#This Row],[Merc]])*INT(P[[#This Row],[Merc]]/30+1)&amp;"Me,"&amp;SIGN(U312-P[[#This Row],[Jup]])*INT(P[[#This Row],[Jup]]/30+1)&amp;"Ju,"&amp;SIGN(V312-P[[#This Row],[Venu]])*INT(P[[#This Row],[Venu]]/30+1)&amp;"Ve,"&amp;SIGN(W312-P[[#This Row],[Sat]])*INT(P[[#This Row],[Sat]]/30+1)&amp;"Sa,"&amp;INT(P[[#This Row],[Rah]]/30+1)&amp;"Ra"</f>
        <v>10Ma,8Me,8Ju,-7Ve,9Sa,4Ra</v>
      </c>
      <c r="S311" s="124">
        <f ca="1">Planet(P[[#This Row],[GMT Sun Rise]],4)</f>
        <v>295.93799132259181</v>
      </c>
      <c r="T311" s="124">
        <f ca="1">Planet(P[[#This Row],[GMT Sun Rise]],2)</f>
        <v>214.41833636389822</v>
      </c>
      <c r="U311" s="124">
        <f ca="1">Planet(P[[#This Row],[GMT Sun Rise]],5)</f>
        <v>213.82225640535421</v>
      </c>
      <c r="V311" s="124">
        <f ca="1">Planet(P[[#This Row],[GMT Sun Rise]],3)</f>
        <v>186.91798149115226</v>
      </c>
      <c r="W311" s="124">
        <f ca="1">Planet(P[[#This Row],[GMT Sun Rise]],6)</f>
        <v>250.66236225431061</v>
      </c>
      <c r="X311" s="124">
        <f ca="1">Planet(P[[#This Row],[GMT Sun Rise]],10)</f>
        <v>96.786597585051624</v>
      </c>
      <c r="Y311" s="124">
        <f ca="1">SIGN(S312-P[[#This Row],[MARs]])</f>
        <v>1</v>
      </c>
    </row>
    <row r="312" spans="1:25" x14ac:dyDescent="0.2">
      <c r="A312" s="125">
        <f t="shared" ca="1" si="48"/>
        <v>43404</v>
      </c>
      <c r="B312" s="125">
        <f t="shared" ca="1" si="41"/>
        <v>43404.229166666664</v>
      </c>
      <c r="C312" s="127">
        <f t="shared" ca="1" si="42"/>
        <v>43404.253028915882</v>
      </c>
      <c r="D312" s="127">
        <f t="shared" ca="1" si="43"/>
        <v>43403.737726350824</v>
      </c>
      <c r="E312" s="189">
        <f ca="1">P[[#This Row],[SunRise]]-TimeZone/24</f>
        <v>43404.023862249218</v>
      </c>
      <c r="F312" s="190">
        <f t="shared" ca="1" si="44"/>
        <v>193.4145694198844</v>
      </c>
      <c r="G312" s="190">
        <f t="shared" ca="1" si="45"/>
        <v>94.639870015324561</v>
      </c>
      <c r="H312" s="191">
        <f t="shared" ca="1" si="46"/>
        <v>43404.023862249218</v>
      </c>
      <c r="I312" s="124" t="str">
        <f ca="1">naks(P[[#This Row],[Moon]])</f>
        <v>Pushya</v>
      </c>
      <c r="J312" s="127">
        <f ca="1">(C313-P[[#This Row],[SunRise]])/(G313-P[[#This Row],[Moon]])*(13.3333333333333-MOD(P[[#This Row],[Moon]],13.333333333333))+P[[#This Row],[SunRise]]</f>
        <v>43405.106802369468</v>
      </c>
      <c r="K312" s="124" t="str">
        <f ca="1">IF(P[[#This Row],[Tithi]]&gt;15,"K","S")&amp;ROUNDUP(MOD(P[[#This Row],[Tithi]],15),0)&amp;" ("&amp;ROUND(P[[#This Row],[Tithi]],2)&amp;")"</f>
        <v>K7 (21.77)</v>
      </c>
      <c r="L312" s="124">
        <f ca="1">IF(AND(P[[#This Row],[Tithi]]&lt;28.5,P[[#This Row],[Tithi]]&gt;0.49999),MOD((P[[#This Row],[Tithi]]-0.5)*2,7),MOD((P[[#This Row],[Tithi]]+30-28.5),30)*2+7)</f>
        <v>0.53759999999999764</v>
      </c>
      <c r="M312" s="124" t="str">
        <f ca="1">CHOOSE(ROUNDUP(P[[#This Row],[Karana1]],0),"Bhava","Baalava","Kaulava","Taitula","Garija","Vanija","Vishti","Shakuni","Chatushapda","Naaga","Kimstugna")</f>
        <v>Bhava</v>
      </c>
      <c r="N31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(21.61)</v>
      </c>
      <c r="O312" s="124">
        <f ca="1">IF(AND(P[[#This Row],[Tithi]]&lt;28.5,P[[#This Row],[Tithi]]&gt;0.49999),MOD((P[[#This Row],[Tithi]]-0.5)*2,7),MOD((P[[#This Row],[Tithi]]+30-28.5),30)*2+7)</f>
        <v>0.53759999999999764</v>
      </c>
      <c r="P312" s="124">
        <f ca="1">ROUNDUP(MOD(360+P[[#This Row],[Moon]]-P[[#This Row],[Sun]],360)/12,4)</f>
        <v>21.768799999999999</v>
      </c>
      <c r="Q312" s="124">
        <f t="shared" ca="1" si="47"/>
        <v>21.610000000000003</v>
      </c>
      <c r="R312" s="124" t="str">
        <f ca="1">SIGN(S313-P[[#This Row],[MARs]])*INT(P[[#This Row],[MARs]]/30+1)&amp;"Ma,"&amp;SIGN(T313-P[[#This Row],[Merc]])*INT(P[[#This Row],[Merc]]/30+1)&amp;"Me,"&amp;SIGN(U313-P[[#This Row],[Jup]])*INT(P[[#This Row],[Jup]]/30+1)&amp;"Ju,"&amp;SIGN(V313-P[[#This Row],[Venu]])*INT(P[[#This Row],[Venu]]/30+1)&amp;"Ve,"&amp;SIGN(W313-P[[#This Row],[Sat]])*INT(P[[#This Row],[Sat]]/30+1)&amp;"Sa,"&amp;INT(P[[#This Row],[Rah]]/30+1)&amp;"Ra"</f>
        <v>10Ma,8Me,8Ju,-7Ve,9Sa,4Ra</v>
      </c>
      <c r="S312" s="124">
        <f ca="1">Planet(P[[#This Row],[GMT Sun Rise]],4)</f>
        <v>296.49947841487557</v>
      </c>
      <c r="T312" s="124">
        <f ca="1">Planet(P[[#This Row],[GMT Sun Rise]],2)</f>
        <v>215.67434296162966</v>
      </c>
      <c r="U312" s="124">
        <f ca="1">Planet(P[[#This Row],[GMT Sun Rise]],5)</f>
        <v>214.0368553135207</v>
      </c>
      <c r="V312" s="124">
        <f ca="1">Planet(P[[#This Row],[GMT Sun Rise]],3)</f>
        <v>186.33571380601151</v>
      </c>
      <c r="W312" s="124">
        <f ca="1">Planet(P[[#This Row],[GMT Sun Rise]],6)</f>
        <v>250.74213237844489</v>
      </c>
      <c r="X312" s="124">
        <f ca="1">Planet(P[[#This Row],[GMT Sun Rise]],10)</f>
        <v>96.733595421561617</v>
      </c>
      <c r="Y312" s="124">
        <f ca="1">SIGN(S313-P[[#This Row],[MARs]])</f>
        <v>1</v>
      </c>
    </row>
    <row r="313" spans="1:25" x14ac:dyDescent="0.2">
      <c r="A313" s="125">
        <f t="shared" ca="1" si="48"/>
        <v>43405</v>
      </c>
      <c r="B313" s="125">
        <f t="shared" ca="1" si="41"/>
        <v>43405.229166666664</v>
      </c>
      <c r="C313" s="127">
        <f t="shared" ca="1" si="42"/>
        <v>43405.253227915768</v>
      </c>
      <c r="D313" s="127">
        <f t="shared" ca="1" si="43"/>
        <v>43404.737468223131</v>
      </c>
      <c r="E313" s="189">
        <f ca="1">P[[#This Row],[SunRise]]-TimeZone/24</f>
        <v>43405.024061249103</v>
      </c>
      <c r="F313" s="190">
        <f t="shared" ca="1" si="44"/>
        <v>194.41464609715655</v>
      </c>
      <c r="G313" s="190">
        <f t="shared" ca="1" si="45"/>
        <v>108.72931017297681</v>
      </c>
      <c r="H313" s="191">
        <f t="shared" ca="1" si="46"/>
        <v>43405.024061249103</v>
      </c>
      <c r="I313" s="124" t="str">
        <f ca="1">naks(P[[#This Row],[Moon]])</f>
        <v>Aslesha</v>
      </c>
      <c r="J313" s="127">
        <f ca="1">(C314-P[[#This Row],[SunRise]])/(G314-P[[#This Row],[Moon]])*(13.3333333333333-MOD(P[[#This Row],[Moon]],13.333333333333))+P[[#This Row],[SunRise]]</f>
        <v>43406.052847960047</v>
      </c>
      <c r="K313" s="124" t="str">
        <f ca="1">IF(P[[#This Row],[Tithi]]&gt;15,"K","S")&amp;ROUNDUP(MOD(P[[#This Row],[Tithi]],15),0)&amp;" ("&amp;ROUND(P[[#This Row],[Tithi]],2)&amp;")"</f>
        <v>K8 (22.86)</v>
      </c>
      <c r="L313" s="124">
        <f ca="1">IF(AND(P[[#This Row],[Tithi]]&lt;28.5,P[[#This Row],[Tithi]]&gt;0.49999),MOD((P[[#This Row],[Tithi]]-0.5)*2,7),MOD((P[[#This Row],[Tithi]]+30-28.5),30)*2+7)</f>
        <v>2.7192000000000007</v>
      </c>
      <c r="M313" s="124" t="str">
        <f ca="1">CHOOSE(ROUNDUP(P[[#This Row],[Karana1]],0),"Bhava","Baalava","Kaulava","Taitula","Garija","Vanija","Vishti","Shakuni","Chatushapda","Naaga","Kimstugna")</f>
        <v>Kaulava</v>
      </c>
      <c r="N31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(22.74)</v>
      </c>
      <c r="O313" s="124">
        <f ca="1">IF(AND(P[[#This Row],[Tithi]]&lt;28.5,P[[#This Row],[Tithi]]&gt;0.49999),MOD((P[[#This Row],[Tithi]]-0.5)*2,7),MOD((P[[#This Row],[Tithi]]+30-28.5),30)*2+7)</f>
        <v>2.7192000000000007</v>
      </c>
      <c r="P313" s="124">
        <f ca="1">ROUNDUP(MOD(360+P[[#This Row],[Moon]]-P[[#This Row],[Sun]],360)/12,4)</f>
        <v>22.8596</v>
      </c>
      <c r="Q313" s="124">
        <f t="shared" ca="1" si="47"/>
        <v>22.740000000000002</v>
      </c>
      <c r="R313" s="124" t="str">
        <f ca="1">SIGN(S314-P[[#This Row],[MARs]])*INT(P[[#This Row],[MARs]]/30+1)&amp;"Ma,"&amp;SIGN(T314-P[[#This Row],[Merc]])*INT(P[[#This Row],[Merc]]/30+1)&amp;"Me,"&amp;SIGN(U314-P[[#This Row],[Jup]])*INT(P[[#This Row],[Jup]]/30+1)&amp;"Ju,"&amp;SIGN(V314-P[[#This Row],[Venu]])*INT(P[[#This Row],[Venu]]/30+1)&amp;"Ve,"&amp;SIGN(W314-P[[#This Row],[Sat]])*INT(P[[#This Row],[Sat]]/30+1)&amp;"Sa,"&amp;INT(P[[#This Row],[Rah]]/30+1)&amp;"Ra"</f>
        <v>10Ma,8Me,8Ju,-7Ve,9Sa,4Ra</v>
      </c>
      <c r="S313" s="124">
        <f ca="1">Planet(P[[#This Row],[GMT Sun Rise]],4)</f>
        <v>297.06472546920986</v>
      </c>
      <c r="T313" s="124">
        <f ca="1">Planet(P[[#This Row],[GMT Sun Rise]],2)</f>
        <v>216.90492948214171</v>
      </c>
      <c r="U313" s="124">
        <f ca="1">Planet(P[[#This Row],[GMT Sun Rise]],5)</f>
        <v>214.25207897751127</v>
      </c>
      <c r="V313" s="124">
        <f ca="1">Planet(P[[#This Row],[GMT Sun Rise]],3)</f>
        <v>185.77089575124327</v>
      </c>
      <c r="W313" s="124">
        <f ca="1">Planet(P[[#This Row],[GMT Sun Rise]],6)</f>
        <v>250.82306458281062</v>
      </c>
      <c r="X313" s="124">
        <f ca="1">Planet(P[[#This Row],[GMT Sun Rise]],10)</f>
        <v>96.68059287906307</v>
      </c>
      <c r="Y313" s="124">
        <f ca="1">SIGN(S314-P[[#This Row],[MARs]])</f>
        <v>1</v>
      </c>
    </row>
    <row r="314" spans="1:25" x14ac:dyDescent="0.2">
      <c r="A314" s="125">
        <f t="shared" ca="1" si="48"/>
        <v>43406</v>
      </c>
      <c r="B314" s="125">
        <f t="shared" ca="1" si="41"/>
        <v>43406.229166666664</v>
      </c>
      <c r="C314" s="127">
        <f t="shared" ca="1" si="42"/>
        <v>43406.253434386257</v>
      </c>
      <c r="D314" s="127">
        <f t="shared" ca="1" si="43"/>
        <v>43405.737221380274</v>
      </c>
      <c r="E314" s="189">
        <f ca="1">P[[#This Row],[SunRise]]-TimeZone/24</f>
        <v>43406.024267719593</v>
      </c>
      <c r="F314" s="190">
        <f t="shared" ca="1" si="44"/>
        <v>195.41534345759251</v>
      </c>
      <c r="G314" s="190">
        <f t="shared" ca="1" si="45"/>
        <v>122.82727704169888</v>
      </c>
      <c r="H314" s="191">
        <f t="shared" ca="1" si="46"/>
        <v>43406.024267719593</v>
      </c>
      <c r="I314" s="124" t="str">
        <f ca="1">naks(P[[#This Row],[Moon]])</f>
        <v>Makha</v>
      </c>
      <c r="J314" s="127">
        <f ca="1">(C315-P[[#This Row],[SunRise]])/(G315-P[[#This Row],[Moon]])*(13.3333333333333-MOD(P[[#This Row],[Moon]],13.333333333333))+P[[#This Row],[SunRise]]</f>
        <v>43406.999221998878</v>
      </c>
      <c r="K314" s="124" t="str">
        <f ca="1">IF(P[[#This Row],[Tithi]]&gt;15,"K","S")&amp;ROUNDUP(MOD(P[[#This Row],[Tithi]],15),0)&amp;" ("&amp;ROUND(P[[#This Row],[Tithi]],2)&amp;")"</f>
        <v>K9 (23.95)</v>
      </c>
      <c r="L314" s="124">
        <f ca="1">IF(AND(P[[#This Row],[Tithi]]&lt;28.5,P[[#This Row],[Tithi]]&gt;0.49999),MOD((P[[#This Row],[Tithi]]-0.5)*2,7),MOD((P[[#This Row],[Tithi]]+30-28.5),30)*2+7)</f>
        <v>4.902000000000001</v>
      </c>
      <c r="M314" s="124" t="str">
        <f ca="1">CHOOSE(ROUNDUP(P[[#This Row],[Karana1]],0),"Bhava","Baalava","Kaulava","Taitula","Garija","Vanija","Vishti","Shakuni","Chatushapda","Naaga","Kimstugna")</f>
        <v>Garija</v>
      </c>
      <c r="N31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(23.87)</v>
      </c>
      <c r="O314" s="124">
        <f ca="1">IF(AND(P[[#This Row],[Tithi]]&lt;28.5,P[[#This Row],[Tithi]]&gt;0.49999),MOD((P[[#This Row],[Tithi]]-0.5)*2,7),MOD((P[[#This Row],[Tithi]]+30-28.5),30)*2+7)</f>
        <v>4.902000000000001</v>
      </c>
      <c r="P314" s="124">
        <f ca="1">ROUNDUP(MOD(360+P[[#This Row],[Moon]]-P[[#This Row],[Sun]],360)/12,4)</f>
        <v>23.951000000000001</v>
      </c>
      <c r="Q314" s="124">
        <f t="shared" ca="1" si="47"/>
        <v>23.87</v>
      </c>
      <c r="R314" s="124" t="str">
        <f ca="1">SIGN(S315-P[[#This Row],[MARs]])*INT(P[[#This Row],[MARs]]/30+1)&amp;"Ma,"&amp;SIGN(T315-P[[#This Row],[Merc]])*INT(P[[#This Row],[Merc]]/30+1)&amp;"Me,"&amp;SIGN(U315-P[[#This Row],[Jup]])*INT(P[[#This Row],[Jup]]/30+1)&amp;"Ju,"&amp;SIGN(V315-P[[#This Row],[Venu]])*INT(P[[#This Row],[Venu]]/30+1)&amp;"Ve,"&amp;SIGN(W315-P[[#This Row],[Sat]])*INT(P[[#This Row],[Sat]]/30+1)&amp;"Sa,"&amp;INT(P[[#This Row],[Rah]]/30+1)&amp;"Ra"</f>
        <v>10Ma,8Me,8Ju,-7Ve,9Sa,4Ra</v>
      </c>
      <c r="S314" s="124">
        <f ca="1">Planet(P[[#This Row],[GMT Sun Rise]],4)</f>
        <v>297.63366016324136</v>
      </c>
      <c r="T314" s="124">
        <f ca="1">Planet(P[[#This Row],[GMT Sun Rise]],2)</f>
        <v>218.10753402901159</v>
      </c>
      <c r="U314" s="124">
        <f ca="1">Planet(P[[#This Row],[GMT Sun Rise]],5)</f>
        <v>214.4679069740757</v>
      </c>
      <c r="V314" s="124">
        <f ca="1">Planet(P[[#This Row],[GMT Sun Rise]],3)</f>
        <v>185.22712032515921</v>
      </c>
      <c r="W314" s="124">
        <f ca="1">Planet(P[[#This Row],[GMT Sun Rise]],6)</f>
        <v>250.90514508841946</v>
      </c>
      <c r="X314" s="124">
        <f ca="1">Planet(P[[#This Row],[GMT Sun Rise]],10)</f>
        <v>96.627589940688836</v>
      </c>
      <c r="Y314" s="124">
        <f ca="1">SIGN(S315-P[[#This Row],[MARs]])</f>
        <v>1</v>
      </c>
    </row>
    <row r="315" spans="1:25" x14ac:dyDescent="0.2">
      <c r="A315" s="125">
        <f t="shared" ca="1" si="48"/>
        <v>43407</v>
      </c>
      <c r="B315" s="125">
        <f t="shared" ca="1" si="41"/>
        <v>43407.229166666664</v>
      </c>
      <c r="C315" s="127">
        <f t="shared" ca="1" si="42"/>
        <v>43407.25364816856</v>
      </c>
      <c r="D315" s="127">
        <f t="shared" ca="1" si="43"/>
        <v>43406.736986299555</v>
      </c>
      <c r="E315" s="189">
        <f ca="1">P[[#This Row],[SunRise]]-TimeZone/24</f>
        <v>43407.024481501896</v>
      </c>
      <c r="F315" s="190">
        <f t="shared" ca="1" si="44"/>
        <v>196.41665328544872</v>
      </c>
      <c r="G315" s="190">
        <f t="shared" ca="1" si="45"/>
        <v>136.91748465938988</v>
      </c>
      <c r="H315" s="191">
        <f t="shared" ca="1" si="46"/>
        <v>43407.024481501896</v>
      </c>
      <c r="I315" s="124" t="str">
        <f ca="1">naks(P[[#This Row],[Moon]])</f>
        <v>Purva Phalguni</v>
      </c>
      <c r="J315" s="127">
        <f ca="1">(C316-P[[#This Row],[SunRise]])/(G316-P[[#This Row],[Moon]])*(13.3333333333333-MOD(P[[#This Row],[Moon]],13.333333333333))+P[[#This Row],[SunRise]]</f>
        <v>43407.947467672908</v>
      </c>
      <c r="K315" s="124" t="str">
        <f ca="1">IF(P[[#This Row],[Tithi]]&gt;15,"K","S")&amp;ROUNDUP(MOD(P[[#This Row],[Tithi]],15),0)&amp;" ("&amp;ROUND(P[[#This Row],[Tithi]],2)&amp;")"</f>
        <v>K11 (25.04)</v>
      </c>
      <c r="L315" s="124">
        <f ca="1">IF(AND(P[[#This Row],[Tithi]]&lt;28.5,P[[#This Row],[Tithi]]&gt;0.49999),MOD((P[[#This Row],[Tithi]]-0.5)*2,7),MOD((P[[#This Row],[Tithi]]+30-28.5),30)*2+7)</f>
        <v>8.359999999999701E-2</v>
      </c>
      <c r="M315" s="124" t="str">
        <f ca="1">CHOOSE(ROUNDUP(P[[#This Row],[Karana1]],0),"Bhava","Baalava","Kaulava","Taitula","Garija","Vanija","Vishti","Shakuni","Chatushapda","Naaga","Kimstugna")</f>
        <v>Bhava</v>
      </c>
      <c r="N31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(25.01)</v>
      </c>
      <c r="O315" s="124">
        <f ca="1">IF(AND(P[[#This Row],[Tithi]]&lt;28.5,P[[#This Row],[Tithi]]&gt;0.49999),MOD((P[[#This Row],[Tithi]]-0.5)*2,7),MOD((P[[#This Row],[Tithi]]+30-28.5),30)*2+7)</f>
        <v>8.359999999999701E-2</v>
      </c>
      <c r="P315" s="124">
        <f ca="1">ROUNDUP(MOD(360+P[[#This Row],[Moon]]-P[[#This Row],[Sun]],360)/12,4)</f>
        <v>25.041799999999999</v>
      </c>
      <c r="Q315" s="124">
        <f t="shared" ca="1" si="47"/>
        <v>25.01</v>
      </c>
      <c r="R315" s="124" t="str">
        <f ca="1">SIGN(S316-P[[#This Row],[MARs]])*INT(P[[#This Row],[MARs]]/30+1)&amp;"Ma,"&amp;SIGN(T316-P[[#This Row],[Merc]])*INT(P[[#This Row],[Merc]]/30+1)&amp;"Me,"&amp;SIGN(U316-P[[#This Row],[Jup]])*INT(P[[#This Row],[Jup]]/30+1)&amp;"Ju,"&amp;SIGN(V316-P[[#This Row],[Venu]])*INT(P[[#This Row],[Venu]]/30+1)&amp;"Ve,"&amp;SIGN(W316-P[[#This Row],[Sat]])*INT(P[[#This Row],[Sat]]/30+1)&amp;"Sa,"&amp;INT(P[[#This Row],[Rah]]/30+1)&amp;"Ra"</f>
        <v>10Ma,8Me,8Ju,-7Ve,9Sa,4Ra</v>
      </c>
      <c r="S315" s="124">
        <f ca="1">Planet(P[[#This Row],[GMT Sun Rise]],4)</f>
        <v>298.20621213761439</v>
      </c>
      <c r="T315" s="124">
        <f ca="1">Planet(P[[#This Row],[GMT Sun Rise]],2)</f>
        <v>219.27920670176886</v>
      </c>
      <c r="U315" s="124">
        <f ca="1">Planet(P[[#This Row],[GMT Sun Rise]],5)</f>
        <v>214.68431784544302</v>
      </c>
      <c r="V315" s="124">
        <f ca="1">Planet(P[[#This Row],[GMT Sun Rise]],3)</f>
        <v>184.70771066909131</v>
      </c>
      <c r="W315" s="124">
        <f ca="1">Planet(P[[#This Row],[GMT Sun Rise]],6)</f>
        <v>250.9883595515561</v>
      </c>
      <c r="X315" s="124">
        <f ca="1">Planet(P[[#This Row],[GMT Sun Rise]],10)</f>
        <v>96.574586614806179</v>
      </c>
      <c r="Y315" s="124">
        <f ca="1">SIGN(S316-P[[#This Row],[MARs]])</f>
        <v>1</v>
      </c>
    </row>
    <row r="316" spans="1:25" x14ac:dyDescent="0.2">
      <c r="A316" s="125">
        <f t="shared" ca="1" si="48"/>
        <v>43408</v>
      </c>
      <c r="B316" s="125">
        <f t="shared" ca="1" si="41"/>
        <v>43408.229166666664</v>
      </c>
      <c r="C316" s="127">
        <f t="shared" ca="1" si="42"/>
        <v>43408.253869261745</v>
      </c>
      <c r="D316" s="127">
        <f t="shared" ca="1" si="43"/>
        <v>43407.736762980974</v>
      </c>
      <c r="E316" s="189">
        <f ca="1">P[[#This Row],[SunRise]]-TimeZone/24</f>
        <v>43408.024702595081</v>
      </c>
      <c r="F316" s="190">
        <f t="shared" ca="1" si="44"/>
        <v>197.41856271308052</v>
      </c>
      <c r="G316" s="190">
        <f t="shared" ca="1" si="45"/>
        <v>150.97205854190022</v>
      </c>
      <c r="H316" s="191">
        <f t="shared" ca="1" si="46"/>
        <v>43408.024702595081</v>
      </c>
      <c r="I316" s="124" t="str">
        <f ca="1">naks(P[[#This Row],[Moon]])</f>
        <v>Uttara Phalguni</v>
      </c>
      <c r="J316" s="127">
        <f ca="1">(C317-P[[#This Row],[SunRise]])/(G317-P[[#This Row],[Moon]])*(13.3333333333333-MOD(P[[#This Row],[Moon]],13.333333333333))+P[[#This Row],[SunRise]]</f>
        <v>43408.899968789527</v>
      </c>
      <c r="K316" s="124" t="str">
        <f ca="1">IF(P[[#This Row],[Tithi]]&gt;15,"K","S")&amp;ROUNDUP(MOD(P[[#This Row],[Tithi]],15),0)&amp;" ("&amp;ROUND(P[[#This Row],[Tithi]],2)&amp;")"</f>
        <v>K12 (26.13)</v>
      </c>
      <c r="L316" s="124">
        <f ca="1">IF(AND(P[[#This Row],[Tithi]]&lt;28.5,P[[#This Row],[Tithi]]&gt;0.49999),MOD((P[[#This Row],[Tithi]]-0.5)*2,7),MOD((P[[#This Row],[Tithi]]+30-28.5),30)*2+7)</f>
        <v>2.2590000000000003</v>
      </c>
      <c r="M316" s="124" t="str">
        <f ca="1">CHOOSE(ROUNDUP(P[[#This Row],[Karana1]],0),"Bhava","Baalava","Kaulava","Taitula","Garija","Vanija","Vishti","Shakuni","Chatushapda","Naaga","Kimstugna")</f>
        <v>Kaulava</v>
      </c>
      <c r="N31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(26.13)</v>
      </c>
      <c r="O316" s="124">
        <f ca="1">IF(AND(P[[#This Row],[Tithi]]&lt;28.5,P[[#This Row],[Tithi]]&gt;0.49999),MOD((P[[#This Row],[Tithi]]-0.5)*2,7),MOD((P[[#This Row],[Tithi]]+30-28.5),30)*2+7)</f>
        <v>2.2590000000000003</v>
      </c>
      <c r="P316" s="124">
        <f ca="1">ROUNDUP(MOD(360+P[[#This Row],[Moon]]-P[[#This Row],[Sun]],360)/12,4)</f>
        <v>26.1295</v>
      </c>
      <c r="Q316" s="124">
        <f t="shared" ca="1" si="47"/>
        <v>26.130000000000003</v>
      </c>
      <c r="R316" s="124" t="str">
        <f ca="1">SIGN(S317-P[[#This Row],[MARs]])*INT(P[[#This Row],[MARs]]/30+1)&amp;"Ma,"&amp;SIGN(T317-P[[#This Row],[Merc]])*INT(P[[#This Row],[Merc]]/30+1)&amp;"Me,"&amp;SIGN(U317-P[[#This Row],[Jup]])*INT(P[[#This Row],[Jup]]/30+1)&amp;"Ju,"&amp;SIGN(V317-P[[#This Row],[Venu]])*INT(P[[#This Row],[Venu]]/30+1)&amp;"Ve,"&amp;SIGN(W317-P[[#This Row],[Sat]])*INT(P[[#This Row],[Sat]]/30+1)&amp;"Sa,"&amp;INT(P[[#This Row],[Rah]]/30+1)&amp;"Ra"</f>
        <v>10Ma,8Me,8Ju,-7Ve,9Sa,4Ra</v>
      </c>
      <c r="S316" s="124">
        <f ca="1">Planet(P[[#This Row],[GMT Sun Rise]],4)</f>
        <v>298.78231137984744</v>
      </c>
      <c r="T316" s="124">
        <f ca="1">Planet(P[[#This Row],[GMT Sun Rise]],2)</f>
        <v>220.4165595825794</v>
      </c>
      <c r="U316" s="124">
        <f ca="1">Planet(P[[#This Row],[GMT Sun Rise]],5)</f>
        <v>214.9012892194128</v>
      </c>
      <c r="V316" s="124">
        <f ca="1">Planet(P[[#This Row],[GMT Sun Rise]],3)</f>
        <v>184.2156941080122</v>
      </c>
      <c r="W316" s="124">
        <f ca="1">Planet(P[[#This Row],[GMT Sun Rise]],6)</f>
        <v>251.07269301107374</v>
      </c>
      <c r="X316" s="124">
        <f ca="1">Planet(P[[#This Row],[GMT Sun Rise]],10)</f>
        <v>96.521582901531104</v>
      </c>
      <c r="Y316" s="124">
        <f ca="1">SIGN(S317-P[[#This Row],[MARs]])</f>
        <v>1</v>
      </c>
    </row>
    <row r="317" spans="1:25" x14ac:dyDescent="0.2">
      <c r="A317" s="125">
        <f t="shared" ca="1" si="48"/>
        <v>43409</v>
      </c>
      <c r="B317" s="125">
        <f t="shared" ca="1" si="41"/>
        <v>43409.229166666664</v>
      </c>
      <c r="C317" s="127">
        <f t="shared" ca="1" si="42"/>
        <v>43409.254097826</v>
      </c>
      <c r="D317" s="127">
        <f t="shared" ca="1" si="43"/>
        <v>43408.736551424066</v>
      </c>
      <c r="E317" s="189">
        <f ca="1">P[[#This Row],[SunRise]]-TimeZone/24</f>
        <v>43409.024931159336</v>
      </c>
      <c r="F317" s="190">
        <f t="shared" ca="1" si="44"/>
        <v>198.4210549633319</v>
      </c>
      <c r="G317" s="190">
        <f t="shared" ca="1" si="45"/>
        <v>164.94824105636647</v>
      </c>
      <c r="H317" s="191">
        <f t="shared" ca="1" si="46"/>
        <v>43409.024931159336</v>
      </c>
      <c r="I317" s="124" t="str">
        <f ca="1">naks(P[[#This Row],[Moon]])</f>
        <v>Hasta</v>
      </c>
      <c r="J317" s="127">
        <f ca="1">(C318-P[[#This Row],[SunRise]])/(G318-P[[#This Row],[Moon]])*(13.3333333333333-MOD(P[[#This Row],[Moon]],13.333333333333))+P[[#This Row],[SunRise]]</f>
        <v>43409.860007237694</v>
      </c>
      <c r="K317" s="124" t="str">
        <f ca="1">IF(P[[#This Row],[Tithi]]&gt;15,"K","S")&amp;ROUNDUP(MOD(P[[#This Row],[Tithi]],15),0)&amp;" ("&amp;ROUND(P[[#This Row],[Tithi]],2)&amp;")"</f>
        <v>K13 (27.21)</v>
      </c>
      <c r="L317" s="124">
        <f ca="1">IF(AND(P[[#This Row],[Tithi]]&lt;28.5,P[[#This Row],[Tithi]]&gt;0.49999),MOD((P[[#This Row],[Tithi]]-0.5)*2,7),MOD((P[[#This Row],[Tithi]]+30-28.5),30)*2+7)</f>
        <v>4.4211999999999989</v>
      </c>
      <c r="M317" s="124" t="str">
        <f ca="1">CHOOSE(ROUNDUP(P[[#This Row],[Karana1]],0),"Bhava","Baalava","Kaulava","Taitula","Garija","Vanija","Vishti","Shakuni","Chatushapda","Naaga","Kimstugna")</f>
        <v>Garija</v>
      </c>
      <c r="N31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(0.26)</v>
      </c>
      <c r="O317" s="124">
        <f ca="1">IF(AND(P[[#This Row],[Tithi]]&lt;28.5,P[[#This Row],[Tithi]]&gt;0.49999),MOD((P[[#This Row],[Tithi]]-0.5)*2,7),MOD((P[[#This Row],[Tithi]]+30-28.5),30)*2+7)</f>
        <v>4.4211999999999989</v>
      </c>
      <c r="P317" s="124">
        <f ca="1">ROUNDUP(MOD(360+P[[#This Row],[Moon]]-P[[#This Row],[Sun]],360)/12,4)</f>
        <v>27.210599999999999</v>
      </c>
      <c r="Q317" s="124">
        <f t="shared" ca="1" si="47"/>
        <v>0.26</v>
      </c>
      <c r="R317" s="124" t="str">
        <f ca="1">SIGN(S318-P[[#This Row],[MARs]])*INT(P[[#This Row],[MARs]]/30+1)&amp;"Ma,"&amp;SIGN(T318-P[[#This Row],[Merc]])*INT(P[[#This Row],[Merc]]/30+1)&amp;"Me,"&amp;SIGN(U318-P[[#This Row],[Jup]])*INT(P[[#This Row],[Jup]]/30+1)&amp;"Ju,"&amp;SIGN(V318-P[[#This Row],[Venu]])*INT(P[[#This Row],[Venu]]/30+1)&amp;"Ve,"&amp;SIGN(W318-P[[#This Row],[Sat]])*INT(P[[#This Row],[Sat]]/30+1)&amp;"Sa,"&amp;INT(P[[#This Row],[Rah]]/30+1)&amp;"Ra"</f>
        <v>10Ma,8Me,8Ju,-7Ve,9Sa,4Ra</v>
      </c>
      <c r="S317" s="124">
        <f ca="1">Planet(P[[#This Row],[GMT Sun Rise]],4)</f>
        <v>299.36188656582277</v>
      </c>
      <c r="T317" s="124">
        <f ca="1">Planet(P[[#This Row],[GMT Sun Rise]],2)</f>
        <v>221.51571085943104</v>
      </c>
      <c r="U317" s="124">
        <f ca="1">Planet(P[[#This Row],[GMT Sun Rise]],5)</f>
        <v>215.11879787367215</v>
      </c>
      <c r="V317" s="124">
        <f ca="1">Planet(P[[#This Row],[GMT Sun Rise]],3)</f>
        <v>183.75378597805653</v>
      </c>
      <c r="W317" s="124">
        <f ca="1">Planet(P[[#This Row],[GMT Sun Rise]],6)</f>
        <v>251.15812983190418</v>
      </c>
      <c r="X317" s="124">
        <f ca="1">Planet(P[[#This Row],[GMT Sun Rise]],10)</f>
        <v>96.468578792380342</v>
      </c>
      <c r="Y317" s="124">
        <f ca="1">SIGN(S318-P[[#This Row],[MARs]])</f>
        <v>1</v>
      </c>
    </row>
    <row r="318" spans="1:25" x14ac:dyDescent="0.2">
      <c r="A318" s="125">
        <f t="shared" ca="1" si="48"/>
        <v>43410</v>
      </c>
      <c r="B318" s="125">
        <f t="shared" ca="1" si="41"/>
        <v>43410.229166666664</v>
      </c>
      <c r="C318" s="127">
        <f t="shared" ca="1" si="42"/>
        <v>43410.254333542347</v>
      </c>
      <c r="D318" s="127">
        <f t="shared" ca="1" si="43"/>
        <v>43409.736352106134</v>
      </c>
      <c r="E318" s="189">
        <f ca="1">P[[#This Row],[SunRise]]-TimeZone/24</f>
        <v>43410.025166875683</v>
      </c>
      <c r="F318" s="190">
        <f t="shared" ca="1" si="44"/>
        <v>199.42410966159122</v>
      </c>
      <c r="G318" s="190">
        <f t="shared" ca="1" si="45"/>
        <v>178.79035774646988</v>
      </c>
      <c r="H318" s="191">
        <f t="shared" ca="1" si="46"/>
        <v>43410.025166875683</v>
      </c>
      <c r="I318" s="124" t="str">
        <f ca="1">naks(P[[#This Row],[Moon]])</f>
        <v>Chitra</v>
      </c>
      <c r="J318" s="127">
        <f ca="1">(C319-P[[#This Row],[SunRise]])/(G319-P[[#This Row],[Moon]])*(13.3333333333333-MOD(P[[#This Row],[Moon]],13.333333333333))+P[[#This Row],[SunRise]]</f>
        <v>43410.831632619665</v>
      </c>
      <c r="K318" s="124" t="str">
        <f ca="1">IF(P[[#This Row],[Tithi]]&gt;15,"K","S")&amp;ROUNDUP(MOD(P[[#This Row],[Tithi]],15),0)&amp;" ("&amp;ROUND(P[[#This Row],[Tithi]],2)&amp;")"</f>
        <v>K14 (28.28)</v>
      </c>
      <c r="L318" s="124">
        <f ca="1">IF(AND(P[[#This Row],[Tithi]]&lt;28.5,P[[#This Row],[Tithi]]&gt;0.49999),MOD((P[[#This Row],[Tithi]]-0.5)*2,7),MOD((P[[#This Row],[Tithi]]+30-28.5),30)*2+7)</f>
        <v>6.5611999999999995</v>
      </c>
      <c r="M318" s="124" t="str">
        <f ca="1">CHOOSE(ROUNDUP(P[[#This Row],[Karana1]],0),"Bhava","Baalava","Kaulava","Taitula","Garija","Vanija","Vishti","Shakuni","Chatushapda","Naaga","Kimstugna")</f>
        <v>Vishti</v>
      </c>
      <c r="N31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(1.37)</v>
      </c>
      <c r="O318" s="124">
        <f ca="1">IF(AND(P[[#This Row],[Tithi]]&lt;28.5,P[[#This Row],[Tithi]]&gt;0.49999),MOD((P[[#This Row],[Tithi]]-0.5)*2,7),MOD((P[[#This Row],[Tithi]]+30-28.5),30)*2+7)</f>
        <v>6.5611999999999995</v>
      </c>
      <c r="P318" s="124">
        <f ca="1">ROUNDUP(MOD(360+P[[#This Row],[Moon]]-P[[#This Row],[Sun]],360)/12,4)</f>
        <v>28.2806</v>
      </c>
      <c r="Q318" s="124">
        <f t="shared" ca="1" si="47"/>
        <v>1.37</v>
      </c>
      <c r="R318" s="124" t="str">
        <f ca="1">SIGN(S319-P[[#This Row],[MARs]])*INT(P[[#This Row],[MARs]]/30+1)&amp;"Ma,"&amp;SIGN(T319-P[[#This Row],[Merc]])*INT(P[[#This Row],[Merc]]/30+1)&amp;"Me,"&amp;SIGN(U319-P[[#This Row],[Jup]])*INT(P[[#This Row],[Jup]]/30+1)&amp;"Ju,"&amp;SIGN(V319-P[[#This Row],[Venu]])*INT(P[[#This Row],[Venu]]/30+1)&amp;"Ve,"&amp;SIGN(W319-P[[#This Row],[Sat]])*INT(P[[#This Row],[Sat]]/30+1)&amp;"Sa,"&amp;INT(P[[#This Row],[Rah]]/30+1)&amp;"Ra"</f>
        <v>10Ma,8Me,8Ju,-7Ve,9Sa,4Ra</v>
      </c>
      <c r="S318" s="124">
        <f ca="1">Planet(P[[#This Row],[GMT Sun Rise]],4)</f>
        <v>299.94486344961848</v>
      </c>
      <c r="T318" s="124">
        <f ca="1">Planet(P[[#This Row],[GMT Sun Rise]],2)</f>
        <v>222.57222336067906</v>
      </c>
      <c r="U318" s="124">
        <f ca="1">Planet(P[[#This Row],[GMT Sun Rise]],5)</f>
        <v>215.33681972617603</v>
      </c>
      <c r="V318" s="124">
        <f ca="1">Planet(P[[#This Row],[GMT Sun Rise]],3)</f>
        <v>183.3243821452815</v>
      </c>
      <c r="W318" s="124">
        <f ca="1">Planet(P[[#This Row],[GMT Sun Rise]],6)</f>
        <v>251.24465364419962</v>
      </c>
      <c r="X318" s="124">
        <f ca="1">Planet(P[[#This Row],[GMT Sun Rise]],10)</f>
        <v>96.415574304187857</v>
      </c>
      <c r="Y318" s="124">
        <f ca="1">SIGN(S319-P[[#This Row],[MARs]])</f>
        <v>1</v>
      </c>
    </row>
    <row r="319" spans="1:25" x14ac:dyDescent="0.2">
      <c r="A319" s="125">
        <f t="shared" ca="1" si="48"/>
        <v>43411</v>
      </c>
      <c r="B319" s="125">
        <f t="shared" ca="1" si="41"/>
        <v>43411.229166666664</v>
      </c>
      <c r="C319" s="127">
        <f t="shared" ca="1" si="42"/>
        <v>43411.254576411251</v>
      </c>
      <c r="D319" s="127">
        <f t="shared" ca="1" si="43"/>
        <v>43410.736165027178</v>
      </c>
      <c r="E319" s="189">
        <f ca="1">P[[#This Row],[SunRise]]-TimeZone/24</f>
        <v>43411.025409744587</v>
      </c>
      <c r="F319" s="190">
        <f t="shared" ca="1" si="44"/>
        <v>200.42770470161685</v>
      </c>
      <c r="G319" s="190">
        <f t="shared" ca="1" si="45"/>
        <v>192.43704824053333</v>
      </c>
      <c r="H319" s="191">
        <f t="shared" ca="1" si="46"/>
        <v>43411.025409744587</v>
      </c>
      <c r="I319" s="124" t="str">
        <f ca="1">naks(P[[#This Row],[Moon]])</f>
        <v>Swati</v>
      </c>
      <c r="J319" s="127">
        <f ca="1">(C320-P[[#This Row],[SunRise]])/(G320-P[[#This Row],[Moon]])*(13.3333333333333-MOD(P[[#This Row],[Moon]],13.333333333333))+P[[#This Row],[SunRise]]</f>
        <v>43411.819342948293</v>
      </c>
      <c r="K319" s="124" t="str">
        <f ca="1">IF(P[[#This Row],[Tithi]]&gt;15,"K","S")&amp;ROUNDUP(MOD(P[[#This Row],[Tithi]],15),0)&amp;" ("&amp;ROUND(P[[#This Row],[Tithi]],2)&amp;")"</f>
        <v>K15 (29.33)</v>
      </c>
      <c r="L319" s="124">
        <f ca="1">IF(AND(P[[#This Row],[Tithi]]&lt;28.5,P[[#This Row],[Tithi]]&gt;0.49999),MOD((P[[#This Row],[Tithi]]-0.5)*2,7),MOD((P[[#This Row],[Tithi]]+30-28.5),30)*2+7)</f>
        <v>8.6683999999999912</v>
      </c>
      <c r="M319" s="124" t="str">
        <f ca="1">CHOOSE(ROUNDUP(P[[#This Row],[Karana1]],0),"Bhava","Baalava","Kaulava","Taitula","Garija","Vanija","Vishti","Shakuni","Chatushapda","Naaga","Kimstugna")</f>
        <v>Chatushapda</v>
      </c>
      <c r="N31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(2.47)</v>
      </c>
      <c r="O319" s="124">
        <f ca="1">IF(AND(P[[#This Row],[Tithi]]&lt;28.5,P[[#This Row],[Tithi]]&gt;0.49999),MOD((P[[#This Row],[Tithi]]-0.5)*2,7),MOD((P[[#This Row],[Tithi]]+30-28.5),30)*2+7)</f>
        <v>8.6683999999999912</v>
      </c>
      <c r="P319" s="124">
        <f ca="1">ROUNDUP(MOD(360+P[[#This Row],[Moon]]-P[[#This Row],[Sun]],360)/12,4)</f>
        <v>29.334199999999999</v>
      </c>
      <c r="Q319" s="124">
        <f t="shared" ca="1" si="47"/>
        <v>2.4699999999999998</v>
      </c>
      <c r="R319" s="124" t="str">
        <f ca="1">SIGN(S320-P[[#This Row],[MARs]])*INT(P[[#This Row],[MARs]]/30+1)&amp;"Ma,"&amp;SIGN(T320-P[[#This Row],[Merc]])*INT(P[[#This Row],[Merc]]/30+1)&amp;"Me,"&amp;SIGN(U320-P[[#This Row],[Jup]])*INT(P[[#This Row],[Jup]]/30+1)&amp;"Ju,"&amp;SIGN(V320-P[[#This Row],[Venu]])*INT(P[[#This Row],[Venu]]/30+1)&amp;"Ve,"&amp;SIGN(W320-P[[#This Row],[Sat]])*INT(P[[#This Row],[Sat]]/30+1)&amp;"Sa,"&amp;INT(P[[#This Row],[Rah]]/30+1)&amp;"Ra"</f>
        <v>11Ma,8Me,8Ju,-7Ve,9Sa,4Ra</v>
      </c>
      <c r="S319" s="124">
        <f ca="1">Planet(P[[#This Row],[GMT Sun Rise]],4)</f>
        <v>300.53116453580282</v>
      </c>
      <c r="T319" s="124">
        <f ca="1">Planet(P[[#This Row],[GMT Sun Rise]],2)</f>
        <v>223.58104034922869</v>
      </c>
      <c r="U319" s="124">
        <f ca="1">Planet(P[[#This Row],[GMT Sun Rise]],5)</f>
        <v>215.55533018061089</v>
      </c>
      <c r="V319" s="124">
        <f ca="1">Planet(P[[#This Row],[GMT Sun Rise]],3)</f>
        <v>182.92955812852523</v>
      </c>
      <c r="W319" s="124">
        <f ca="1">Planet(P[[#This Row],[GMT Sun Rise]],6)</f>
        <v>251.33224744125576</v>
      </c>
      <c r="X319" s="124">
        <f ca="1">Planet(P[[#This Row],[GMT Sun Rise]],10)</f>
        <v>96.362569436986703</v>
      </c>
      <c r="Y319" s="124">
        <f ca="1">SIGN(S320-P[[#This Row],[MARs]])</f>
        <v>1</v>
      </c>
    </row>
    <row r="320" spans="1:25" x14ac:dyDescent="0.2">
      <c r="A320" s="125">
        <f t="shared" ca="1" si="48"/>
        <v>43412</v>
      </c>
      <c r="B320" s="125">
        <f t="shared" ca="1" si="41"/>
        <v>43412.229166666664</v>
      </c>
      <c r="C320" s="127">
        <f t="shared" ca="1" si="42"/>
        <v>43412.254826591969</v>
      </c>
      <c r="D320" s="127">
        <f t="shared" ca="1" si="43"/>
        <v>43411.735990027941</v>
      </c>
      <c r="E320" s="189">
        <f ca="1">P[[#This Row],[SunRise]]-TimeZone/24</f>
        <v>43412.025659925304</v>
      </c>
      <c r="F320" s="190">
        <f t="shared" ca="1" si="44"/>
        <v>201.4318171973128</v>
      </c>
      <c r="G320" s="190">
        <f t="shared" ca="1" si="45"/>
        <v>205.83168720717623</v>
      </c>
      <c r="H320" s="191">
        <f t="shared" ca="1" si="46"/>
        <v>43412.025659925304</v>
      </c>
      <c r="I320" s="124" t="str">
        <f ca="1">naks(P[[#This Row],[Moon]])</f>
        <v>Visakha</v>
      </c>
      <c r="J320" s="127">
        <f ca="1">(C321-P[[#This Row],[SunRise]])/(G321-P[[#This Row],[Moon]])*(13.3333333333333-MOD(P[[#This Row],[Moon]],13.333333333333))+P[[#This Row],[SunRise]]</f>
        <v>43412.82757005126</v>
      </c>
      <c r="K320" s="124" t="str">
        <f ca="1">IF(P[[#This Row],[Tithi]]&gt;15,"K","S")&amp;ROUNDUP(MOD(P[[#This Row],[Tithi]],15),0)&amp;" ("&amp;ROUND(P[[#This Row],[Tithi]],2)&amp;")"</f>
        <v>S1 (0.37)</v>
      </c>
      <c r="L320" s="124">
        <f ca="1">IF(AND(P[[#This Row],[Tithi]]&lt;28.5,P[[#This Row],[Tithi]]&gt;0.49999),MOD((P[[#This Row],[Tithi]]-0.5)*2,7),MOD((P[[#This Row],[Tithi]]+30-28.5),30)*2+7)</f>
        <v>10.733400000000003</v>
      </c>
      <c r="M320" s="124" t="str">
        <f ca="1">CHOOSE(ROUNDUP(P[[#This Row],[Karana1]],0),"Bhava","Baalava","Kaulava","Taitula","Garija","Vanija","Vishti","Shakuni","Chatushapda","Naaga","Kimstugna")</f>
        <v>Kimstugna</v>
      </c>
      <c r="N32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(3.55)</v>
      </c>
      <c r="O320" s="124">
        <f ca="1">IF(AND(P[[#This Row],[Tithi]]&lt;28.5,P[[#This Row],[Tithi]]&gt;0.49999),MOD((P[[#This Row],[Tithi]]-0.5)*2,7),MOD((P[[#This Row],[Tithi]]+30-28.5),30)*2+7)</f>
        <v>10.733400000000003</v>
      </c>
      <c r="P320" s="124">
        <f ca="1">ROUNDUP(MOD(360+P[[#This Row],[Moon]]-P[[#This Row],[Sun]],360)/12,4)</f>
        <v>0.36669999999999997</v>
      </c>
      <c r="Q320" s="124">
        <f t="shared" ca="1" si="47"/>
        <v>3.55</v>
      </c>
      <c r="R320" s="124" t="str">
        <f ca="1">SIGN(S321-P[[#This Row],[MARs]])*INT(P[[#This Row],[MARs]]/30+1)&amp;"Ma,"&amp;SIGN(T321-P[[#This Row],[Merc]])*INT(P[[#This Row],[Merc]]/30+1)&amp;"Me,"&amp;SIGN(U321-P[[#This Row],[Jup]])*INT(P[[#This Row],[Jup]]/30+1)&amp;"Ju,"&amp;SIGN(V321-P[[#This Row],[Venu]])*INT(P[[#This Row],[Venu]]/30+1)&amp;"Ve,"&amp;SIGN(W321-P[[#This Row],[Sat]])*INT(P[[#This Row],[Sat]]/30+1)&amp;"Sa,"&amp;INT(P[[#This Row],[Rah]]/30+1)&amp;"Ra"</f>
        <v>11Ma,8Me,8Ju,-7Ve,9Sa,4Ra</v>
      </c>
      <c r="S320" s="124">
        <f ca="1">Planet(P[[#This Row],[GMT Sun Rise]],4)</f>
        <v>301.12070864105903</v>
      </c>
      <c r="T320" s="124">
        <f ca="1">Planet(P[[#This Row],[GMT Sun Rise]],2)</f>
        <v>224.53641719696995</v>
      </c>
      <c r="U320" s="124">
        <f ca="1">Planet(P[[#This Row],[GMT Sun Rise]],5)</f>
        <v>215.77430429447827</v>
      </c>
      <c r="V320" s="124">
        <f ca="1">Planet(P[[#This Row],[GMT Sun Rise]],3)</f>
        <v>182.5710748240889</v>
      </c>
      <c r="W320" s="124">
        <f ca="1">Planet(P[[#This Row],[GMT Sun Rise]],6)</f>
        <v>251.4208936373181</v>
      </c>
      <c r="X320" s="124">
        <f ca="1">Planet(P[[#This Row],[GMT Sun Rise]],10)</f>
        <v>96.309564182310297</v>
      </c>
      <c r="Y320" s="124">
        <f ca="1">SIGN(S321-P[[#This Row],[MARs]])</f>
        <v>1</v>
      </c>
    </row>
    <row r="321" spans="1:25" x14ac:dyDescent="0.2">
      <c r="A321" s="125">
        <f t="shared" ca="1" si="48"/>
        <v>43413</v>
      </c>
      <c r="B321" s="125">
        <f t="shared" ca="1" si="41"/>
        <v>43413.229166666664</v>
      </c>
      <c r="C321" s="127">
        <f t="shared" ca="1" si="42"/>
        <v>43413.255083607197</v>
      </c>
      <c r="D321" s="127">
        <f t="shared" ca="1" si="43"/>
        <v>43412.73582758526</v>
      </c>
      <c r="E321" s="189">
        <f ca="1">P[[#This Row],[SunRise]]-TimeZone/24</f>
        <v>43413.025916940533</v>
      </c>
      <c r="F321" s="190">
        <f t="shared" ca="1" si="44"/>
        <v>202.43642377415554</v>
      </c>
      <c r="G321" s="190">
        <f t="shared" ca="1" si="45"/>
        <v>218.93279563839974</v>
      </c>
      <c r="H321" s="191">
        <f t="shared" ca="1" si="46"/>
        <v>43413.025916940533</v>
      </c>
      <c r="I321" s="124" t="str">
        <f ca="1">naks(P[[#This Row],[Moon]])</f>
        <v>Anuradha</v>
      </c>
      <c r="J321" s="127">
        <f ca="1">(C322-P[[#This Row],[SunRise]])/(G322-P[[#This Row],[Moon]])*(13.3333333333333-MOD(P[[#This Row],[Moon]],13.333333333333))+P[[#This Row],[SunRise]]</f>
        <v>43413.859977311076</v>
      </c>
      <c r="K321" s="124" t="str">
        <f ca="1">IF(P[[#This Row],[Tithi]]&gt;15,"K","S")&amp;ROUNDUP(MOD(P[[#This Row],[Tithi]],15),0)&amp;" ("&amp;ROUND(P[[#This Row],[Tithi]],2)&amp;")"</f>
        <v>S2 (1.37)</v>
      </c>
      <c r="L321" s="124">
        <f ca="1">IF(AND(P[[#This Row],[Tithi]]&lt;28.5,P[[#This Row],[Tithi]]&gt;0.49999),MOD((P[[#This Row],[Tithi]]-0.5)*2,7),MOD((P[[#This Row],[Tithi]]+30-28.5),30)*2+7)</f>
        <v>1.7494000000000001</v>
      </c>
      <c r="M321" s="124" t="str">
        <f ca="1">CHOOSE(ROUNDUP(P[[#This Row],[Karana1]],0),"Bhava","Baalava","Kaulava","Taitula","Garija","Vanija","Vishti","Shakuni","Chatushapda","Naaga","Kimstugna")</f>
        <v>Baalava</v>
      </c>
      <c r="N32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(4.61)</v>
      </c>
      <c r="O321" s="124">
        <f ca="1">IF(AND(P[[#This Row],[Tithi]]&lt;28.5,P[[#This Row],[Tithi]]&gt;0.49999),MOD((P[[#This Row],[Tithi]]-0.5)*2,7),MOD((P[[#This Row],[Tithi]]+30-28.5),30)*2+7)</f>
        <v>1.7494000000000001</v>
      </c>
      <c r="P321" s="124">
        <f ca="1">ROUNDUP(MOD(360+P[[#This Row],[Moon]]-P[[#This Row],[Sun]],360)/12,4)</f>
        <v>1.3747</v>
      </c>
      <c r="Q321" s="124">
        <f t="shared" ca="1" si="47"/>
        <v>4.6099999999999994</v>
      </c>
      <c r="R321" s="124" t="str">
        <f ca="1">SIGN(S322-P[[#This Row],[MARs]])*INT(P[[#This Row],[MARs]]/30+1)&amp;"Ma,"&amp;SIGN(T322-P[[#This Row],[Merc]])*INT(P[[#This Row],[Merc]]/30+1)&amp;"Me,"&amp;SIGN(U322-P[[#This Row],[Jup]])*INT(P[[#This Row],[Jup]]/30+1)&amp;"Ju,"&amp;SIGN(V322-P[[#This Row],[Venu]])*INT(P[[#This Row],[Venu]]/30+1)&amp;"Ve,"&amp;SIGN(W322-P[[#This Row],[Sat]])*INT(P[[#This Row],[Sat]]/30+1)&amp;"Sa,"&amp;INT(P[[#This Row],[Rah]]/30+1)&amp;"Ra"</f>
        <v>11Ma,8Me,8Ju,-7Ve,9Sa,4Ra</v>
      </c>
      <c r="S321" s="124">
        <f ca="1">Planet(P[[#This Row],[GMT Sun Rise]],4)</f>
        <v>301.71341051356472</v>
      </c>
      <c r="T321" s="124">
        <f ca="1">Planet(P[[#This Row],[GMT Sun Rise]],2)</f>
        <v>225.43185203130798</v>
      </c>
      <c r="U321" s="124">
        <f ca="1">Planet(P[[#This Row],[GMT Sun Rise]],5)</f>
        <v>215.99371682051705</v>
      </c>
      <c r="V321" s="124">
        <f ca="1">Planet(P[[#This Row],[GMT Sun Rise]],3)</f>
        <v>182.2503892683051</v>
      </c>
      <c r="W321" s="124">
        <f ca="1">Planet(P[[#This Row],[GMT Sun Rise]],6)</f>
        <v>251.51057409531245</v>
      </c>
      <c r="X321" s="124">
        <f ca="1">Planet(P[[#This Row],[GMT Sun Rise]],10)</f>
        <v>96.256558565459159</v>
      </c>
      <c r="Y321" s="124">
        <f ca="1">SIGN(S322-P[[#This Row],[MARs]])</f>
        <v>1</v>
      </c>
    </row>
    <row r="322" spans="1:25" x14ac:dyDescent="0.2">
      <c r="A322" s="125">
        <f t="shared" ca="1" si="48"/>
        <v>43414</v>
      </c>
      <c r="B322" s="125">
        <f t="shared" ca="1" si="41"/>
        <v>43414.229166666664</v>
      </c>
      <c r="C322" s="127">
        <f t="shared" ca="1" si="42"/>
        <v>43414.255347774983</v>
      </c>
      <c r="D322" s="127">
        <f t="shared" ca="1" si="43"/>
        <v>43413.735677699602</v>
      </c>
      <c r="E322" s="189">
        <f ca="1">P[[#This Row],[SunRise]]-TimeZone/24</f>
        <v>43414.026181108318</v>
      </c>
      <c r="F322" s="190">
        <f t="shared" ca="1" si="44"/>
        <v>203.44150298515254</v>
      </c>
      <c r="G322" s="190">
        <f t="shared" ca="1" si="45"/>
        <v>231.72167741752713</v>
      </c>
      <c r="H322" s="191">
        <f t="shared" ca="1" si="46"/>
        <v>43414.026181108318</v>
      </c>
      <c r="I322" s="124" t="str">
        <f ca="1">naks(P[[#This Row],[Moon]])</f>
        <v>Jyestha</v>
      </c>
      <c r="J322" s="127">
        <f ca="1">(C323-P[[#This Row],[SunRise]])/(G323-P[[#This Row],[Moon]])*(13.3333333333333-MOD(P[[#This Row],[Moon]],13.333333333333))+P[[#This Row],[SunRise]]</f>
        <v>43414.9186307493</v>
      </c>
      <c r="K322" s="124" t="str">
        <f ca="1">IF(P[[#This Row],[Tithi]]&gt;15,"K","S")&amp;ROUNDUP(MOD(P[[#This Row],[Tithi]],15),0)&amp;" ("&amp;ROUND(P[[#This Row],[Tithi]],2)&amp;")"</f>
        <v>S3 (2.36)</v>
      </c>
      <c r="L322" s="124">
        <f ca="1">IF(AND(P[[#This Row],[Tithi]]&lt;28.5,P[[#This Row],[Tithi]]&gt;0.49999),MOD((P[[#This Row],[Tithi]]-0.5)*2,7),MOD((P[[#This Row],[Tithi]]+30-28.5),30)*2+7)</f>
        <v>3.7134</v>
      </c>
      <c r="M322" s="124" t="str">
        <f ca="1">CHOOSE(ROUNDUP(P[[#This Row],[Karana1]],0),"Bhava","Baalava","Kaulava","Taitula","Garija","Vanija","Vishti","Shakuni","Chatushapda","Naaga","Kimstugna")</f>
        <v>Taitula</v>
      </c>
      <c r="N32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(5.64)</v>
      </c>
      <c r="O322" s="124">
        <f ca="1">IF(AND(P[[#This Row],[Tithi]]&lt;28.5,P[[#This Row],[Tithi]]&gt;0.49999),MOD((P[[#This Row],[Tithi]]-0.5)*2,7),MOD((P[[#This Row],[Tithi]]+30-28.5),30)*2+7)</f>
        <v>3.7134</v>
      </c>
      <c r="P322" s="124">
        <f ca="1">ROUNDUP(MOD(360+P[[#This Row],[Moon]]-P[[#This Row],[Sun]],360)/12,4)</f>
        <v>2.3567</v>
      </c>
      <c r="Q322" s="124">
        <f t="shared" ca="1" si="47"/>
        <v>5.64</v>
      </c>
      <c r="R322" s="124" t="str">
        <f ca="1">SIGN(S323-P[[#This Row],[MARs]])*INT(P[[#This Row],[MARs]]/30+1)&amp;"Ma,"&amp;SIGN(T323-P[[#This Row],[Merc]])*INT(P[[#This Row],[Merc]]/30+1)&amp;"Me,"&amp;SIGN(U323-P[[#This Row],[Jup]])*INT(P[[#This Row],[Jup]]/30+1)&amp;"Ju,"&amp;SIGN(V323-P[[#This Row],[Venu]])*INT(P[[#This Row],[Venu]]/30+1)&amp;"Ve,"&amp;SIGN(W323-P[[#This Row],[Sat]])*INT(P[[#This Row],[Sat]]/30+1)&amp;"Sa,"&amp;INT(P[[#This Row],[Rah]]/30+1)&amp;"Ra"</f>
        <v>11Ma,8Me,8Ju,-7Ve,9Sa,4Ra</v>
      </c>
      <c r="S322" s="124">
        <f ca="1">Planet(P[[#This Row],[GMT Sun Rise]],4)</f>
        <v>302.30918220219723</v>
      </c>
      <c r="T322" s="124">
        <f ca="1">Planet(P[[#This Row],[GMT Sun Rise]],2)</f>
        <v>226.26002210812811</v>
      </c>
      <c r="U322" s="124">
        <f ca="1">Planet(P[[#This Row],[GMT Sun Rise]],5)</f>
        <v>216.21354273236827</v>
      </c>
      <c r="V322" s="124">
        <f ca="1">Planet(P[[#This Row],[GMT Sun Rise]],3)</f>
        <v>181.96866816179659</v>
      </c>
      <c r="W322" s="124">
        <f ca="1">Planet(P[[#This Row],[GMT Sun Rise]],6)</f>
        <v>251.60127037409259</v>
      </c>
      <c r="X322" s="124">
        <f ca="1">Planet(P[[#This Row],[GMT Sun Rise]],10)</f>
        <v>96.203552569599395</v>
      </c>
      <c r="Y322" s="124">
        <f ca="1">SIGN(S323-P[[#This Row],[MARs]])</f>
        <v>1</v>
      </c>
    </row>
    <row r="323" spans="1:25" x14ac:dyDescent="0.2">
      <c r="A323" s="125">
        <f t="shared" ca="1" si="48"/>
        <v>43415</v>
      </c>
      <c r="B323" s="125">
        <f t="shared" ref="B323:B386" ca="1" si="49">A323+TimeZone/24</f>
        <v>43415.229166666664</v>
      </c>
      <c r="C323" s="127">
        <f t="shared" ref="C323:C386" ca="1" si="50">sunrise(Lat,Long,B323)+TimeZone/24+0.00103009259259259</f>
        <v>43415.255618618488</v>
      </c>
      <c r="D323" s="127">
        <f t="shared" ref="D323:D386" ca="1" si="51">sunset(Lat,Long,B323)+TimeZone/24-0.000277777777777778</f>
        <v>43414.735540211244</v>
      </c>
      <c r="E323" s="189">
        <f ca="1">P[[#This Row],[SunRise]]-TimeZone/24</f>
        <v>43415.026451951824</v>
      </c>
      <c r="F323" s="190">
        <f t="shared" ref="F323:F386" ca="1" si="52">Planet(E323,0)</f>
        <v>204.44703446900874</v>
      </c>
      <c r="G323" s="190">
        <f t="shared" ref="G323:G386" ca="1" si="53">Planet(E323,1)</f>
        <v>244.20588858083366</v>
      </c>
      <c r="H323" s="191">
        <f t="shared" ref="H323:H386" ca="1" si="54">E323</f>
        <v>43415.026451951824</v>
      </c>
      <c r="I323" s="124" t="str">
        <f ca="1">naks(P[[#This Row],[Moon]])</f>
        <v>Moola</v>
      </c>
      <c r="J323" s="127">
        <f ca="1">(C324-P[[#This Row],[SunRise]])/(G324-P[[#This Row],[Moon]])*(13.3333333333333-MOD(P[[#This Row],[Moon]],13.333333333333))+P[[#This Row],[SunRise]]</f>
        <v>43416.003188146642</v>
      </c>
      <c r="K323" s="124" t="str">
        <f ca="1">IF(P[[#This Row],[Tithi]]&gt;15,"K","S")&amp;ROUNDUP(MOD(P[[#This Row],[Tithi]],15),0)&amp;" ("&amp;ROUND(P[[#This Row],[Tithi]],2)&amp;")"</f>
        <v>S4 (3.31)</v>
      </c>
      <c r="L323" s="124">
        <f ca="1">IF(AND(P[[#This Row],[Tithi]]&lt;28.5,P[[#This Row],[Tithi]]&gt;0.49999),MOD((P[[#This Row],[Tithi]]-0.5)*2,7),MOD((P[[#This Row],[Tithi]]+30-28.5),30)*2+7)</f>
        <v>5.6266000000000007</v>
      </c>
      <c r="M323" s="124" t="str">
        <f ca="1">CHOOSE(ROUNDUP(P[[#This Row],[Karana1]],0),"Bhava","Baalava","Kaulava","Taitula","Garija","Vanija","Vishti","Shakuni","Chatushapda","Naaga","Kimstugna")</f>
        <v>Vanija</v>
      </c>
      <c r="N32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(6.65)</v>
      </c>
      <c r="O323" s="124">
        <f ca="1">IF(AND(P[[#This Row],[Tithi]]&lt;28.5,P[[#This Row],[Tithi]]&gt;0.49999),MOD((P[[#This Row],[Tithi]]-0.5)*2,7),MOD((P[[#This Row],[Tithi]]+30-28.5),30)*2+7)</f>
        <v>5.6266000000000007</v>
      </c>
      <c r="P323" s="124">
        <f ca="1">ROUNDUP(MOD(360+P[[#This Row],[Moon]]-P[[#This Row],[Sun]],360)/12,4)</f>
        <v>3.3133000000000004</v>
      </c>
      <c r="Q323" s="124">
        <f t="shared" ref="Q323:Q386" ca="1" si="55">ROUNDUP(MOD(F323+G323,360)/13.333333333,2)</f>
        <v>6.6499999999999995</v>
      </c>
      <c r="R323" s="124" t="str">
        <f ca="1">SIGN(S324-P[[#This Row],[MARs]])*INT(P[[#This Row],[MARs]]/30+1)&amp;"Ma,"&amp;SIGN(T324-P[[#This Row],[Merc]])*INT(P[[#This Row],[Merc]]/30+1)&amp;"Me,"&amp;SIGN(U324-P[[#This Row],[Jup]])*INT(P[[#This Row],[Jup]]/30+1)&amp;"Ju,"&amp;SIGN(V324-P[[#This Row],[Venu]])*INT(P[[#This Row],[Venu]]/30+1)&amp;"Ve,"&amp;SIGN(W324-P[[#This Row],[Sat]])*INT(P[[#This Row],[Sat]]/30+1)&amp;"Sa,"&amp;INT(P[[#This Row],[Rah]]/30+1)&amp;"Ra"</f>
        <v>11Ma,8Me,8Ju,-7Ve,9Sa,4Ra</v>
      </c>
      <c r="S323" s="124">
        <f ca="1">Planet(P[[#This Row],[GMT Sun Rise]],4)</f>
        <v>302.90793301054237</v>
      </c>
      <c r="T323" s="124">
        <f ca="1">Planet(P[[#This Row],[GMT Sun Rise]],2)</f>
        <v>227.01272752219609</v>
      </c>
      <c r="U323" s="124">
        <f ca="1">Planet(P[[#This Row],[GMT Sun Rise]],5)</f>
        <v>216.43375705998787</v>
      </c>
      <c r="V323" s="124">
        <f ca="1">Planet(P[[#This Row],[GMT Sun Rise]],3)</f>
        <v>181.72680465114203</v>
      </c>
      <c r="W323" s="124">
        <f ca="1">Planet(P[[#This Row],[GMT Sun Rise]],6)</f>
        <v>251.6929637160446</v>
      </c>
      <c r="X323" s="124">
        <f ca="1">Planet(P[[#This Row],[GMT Sun Rise]],10)</f>
        <v>96.150546219998446</v>
      </c>
      <c r="Y323" s="124">
        <f ca="1">SIGN(S324-P[[#This Row],[MARs]])</f>
        <v>1</v>
      </c>
    </row>
    <row r="324" spans="1:25" x14ac:dyDescent="0.2">
      <c r="A324" s="125">
        <f t="shared" ca="1" si="48"/>
        <v>43416</v>
      </c>
      <c r="B324" s="125">
        <f t="shared" ca="1" si="49"/>
        <v>43416.229166666664</v>
      </c>
      <c r="C324" s="127">
        <f t="shared" ca="1" si="50"/>
        <v>43416.255896137714</v>
      </c>
      <c r="D324" s="127">
        <f t="shared" ca="1" si="51"/>
        <v>43415.735415597956</v>
      </c>
      <c r="E324" s="189">
        <f ca="1">P[[#This Row],[SunRise]]-TimeZone/24</f>
        <v>43416.02672947105</v>
      </c>
      <c r="F324" s="190">
        <f t="shared" ca="1" si="52"/>
        <v>205.45300065676392</v>
      </c>
      <c r="G324" s="190">
        <f t="shared" ca="1" si="53"/>
        <v>256.41876972443021</v>
      </c>
      <c r="H324" s="191">
        <f t="shared" ca="1" si="54"/>
        <v>43416.02672947105</v>
      </c>
      <c r="I324" s="124" t="str">
        <f ca="1">naks(P[[#This Row],[Moon]])</f>
        <v>Purva Asadha</v>
      </c>
      <c r="J324" s="127">
        <f ca="1">(C325-P[[#This Row],[SunRise]])/(G325-P[[#This Row],[Moon]])*(13.3333333333333-MOD(P[[#This Row],[Moon]],13.333333333333))+P[[#This Row],[SunRise]]</f>
        <v>43417.110327914801</v>
      </c>
      <c r="K324" s="124" t="str">
        <f ca="1">IF(P[[#This Row],[Tithi]]&gt;15,"K","S")&amp;ROUNDUP(MOD(P[[#This Row],[Tithi]],15),0)&amp;" ("&amp;ROUND(P[[#This Row],[Tithi]],2)&amp;")"</f>
        <v>S5 (4.25)</v>
      </c>
      <c r="L324" s="124">
        <f ca="1">IF(AND(P[[#This Row],[Tithi]]&lt;28.5,P[[#This Row],[Tithi]]&gt;0.49999),MOD((P[[#This Row],[Tithi]]-0.5)*2,7),MOD((P[[#This Row],[Tithi]]+30-28.5),30)*2+7)</f>
        <v>0.49439999999999884</v>
      </c>
      <c r="M324" s="124" t="str">
        <f ca="1">CHOOSE(ROUNDUP(P[[#This Row],[Karana1]],0),"Bhava","Baalava","Kaulava","Taitula","Garija","Vanija","Vishti","Shakuni","Chatushapda","Naaga","Kimstugna")</f>
        <v>Bhava</v>
      </c>
      <c r="N32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(7.65)</v>
      </c>
      <c r="O324" s="124">
        <f ca="1">IF(AND(P[[#This Row],[Tithi]]&lt;28.5,P[[#This Row],[Tithi]]&gt;0.49999),MOD((P[[#This Row],[Tithi]]-0.5)*2,7),MOD((P[[#This Row],[Tithi]]+30-28.5),30)*2+7)</f>
        <v>0.49439999999999884</v>
      </c>
      <c r="P324" s="124">
        <f ca="1">ROUNDUP(MOD(360+P[[#This Row],[Moon]]-P[[#This Row],[Sun]],360)/12,4)</f>
        <v>4.2471999999999994</v>
      </c>
      <c r="Q324" s="124">
        <f t="shared" ca="1" si="55"/>
        <v>7.6499999999999995</v>
      </c>
      <c r="R324" s="124" t="str">
        <f ca="1">SIGN(S325-P[[#This Row],[MARs]])*INT(P[[#This Row],[MARs]]/30+1)&amp;"Ma,"&amp;SIGN(T325-P[[#This Row],[Merc]])*INT(P[[#This Row],[Merc]]/30+1)&amp;"Me,"&amp;SIGN(U325-P[[#This Row],[Jup]])*INT(P[[#This Row],[Jup]]/30+1)&amp;"Ju,"&amp;SIGN(V325-P[[#This Row],[Venu]])*INT(P[[#This Row],[Venu]]/30+1)&amp;"Ve,"&amp;SIGN(W325-P[[#This Row],[Sat]])*INT(P[[#This Row],[Sat]]/30+1)&amp;"Sa,"&amp;INT(P[[#This Row],[Rah]]/30+1)&amp;"Ra"</f>
        <v>11Ma,8Me,8Ju,-7Ve,9Sa,4Ra</v>
      </c>
      <c r="S324" s="124">
        <f ca="1">Planet(P[[#This Row],[GMT Sun Rise]],4)</f>
        <v>303.50957134894082</v>
      </c>
      <c r="T324" s="124">
        <f ca="1">Planet(P[[#This Row],[GMT Sun Rise]],2)</f>
        <v>227.6808570987651</v>
      </c>
      <c r="U324" s="124">
        <f ca="1">Planet(P[[#This Row],[GMT Sun Rise]],5)</f>
        <v>216.65433529879303</v>
      </c>
      <c r="V324" s="124">
        <f ca="1">Planet(P[[#This Row],[GMT Sun Rise]],3)</f>
        <v>181.5254355146561</v>
      </c>
      <c r="W324" s="124">
        <f ca="1">Planet(P[[#This Row],[GMT Sun Rise]],6)</f>
        <v>251.78563527939431</v>
      </c>
      <c r="X324" s="124">
        <f ca="1">Planet(P[[#This Row],[GMT Sun Rise]],10)</f>
        <v>96.097539516623158</v>
      </c>
      <c r="Y324" s="124">
        <f ca="1">SIGN(S325-P[[#This Row],[MARs]])</f>
        <v>1</v>
      </c>
    </row>
    <row r="325" spans="1:25" x14ac:dyDescent="0.2">
      <c r="A325" s="125">
        <f t="shared" ca="1" si="48"/>
        <v>43417</v>
      </c>
      <c r="B325" s="125">
        <f t="shared" ca="1" si="49"/>
        <v>43417.229166666664</v>
      </c>
      <c r="C325" s="127">
        <f t="shared" ca="1" si="50"/>
        <v>43417.25618017387</v>
      </c>
      <c r="D325" s="127">
        <f t="shared" ca="1" si="51"/>
        <v>43416.735303541223</v>
      </c>
      <c r="E325" s="189">
        <f ca="1">P[[#This Row],[SunRise]]-TimeZone/24</f>
        <v>43417.027013507206</v>
      </c>
      <c r="F325" s="190">
        <f t="shared" ca="1" si="52"/>
        <v>206.4593862352055</v>
      </c>
      <c r="G325" s="190">
        <f t="shared" ca="1" si="53"/>
        <v>268.41599172667947</v>
      </c>
      <c r="H325" s="191">
        <f t="shared" ca="1" si="54"/>
        <v>43417.027013507206</v>
      </c>
      <c r="I325" s="124" t="str">
        <f ca="1">naks(P[[#This Row],[Moon]])</f>
        <v>Uttara Asadha</v>
      </c>
      <c r="J325" s="127">
        <f ca="1">(C326-P[[#This Row],[SunRise]])/(G326-P[[#This Row],[Moon]])*(13.3333333333333-MOD(P[[#This Row],[Moon]],13.333333333333))+P[[#This Row],[SunRise]]</f>
        <v>43418.233649043497</v>
      </c>
      <c r="K325" s="124" t="str">
        <f ca="1">IF(P[[#This Row],[Tithi]]&gt;15,"K","S")&amp;ROUNDUP(MOD(P[[#This Row],[Tithi]],15),0)&amp;" ("&amp;ROUND(P[[#This Row],[Tithi]],2)&amp;")"</f>
        <v>S6 (5.16)</v>
      </c>
      <c r="L325" s="124">
        <f ca="1">IF(AND(P[[#This Row],[Tithi]]&lt;28.5,P[[#This Row],[Tithi]]&gt;0.49999),MOD((P[[#This Row],[Tithi]]-0.5)*2,7),MOD((P[[#This Row],[Tithi]]+30-28.5),30)*2+7)</f>
        <v>2.3262</v>
      </c>
      <c r="M325" s="124" t="str">
        <f ca="1">CHOOSE(ROUNDUP(P[[#This Row],[Karana1]],0),"Bhava","Baalava","Kaulava","Taitula","Garija","Vanija","Vishti","Shakuni","Chatushapda","Naaga","Kimstugna")</f>
        <v>Kaulava</v>
      </c>
      <c r="N32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(8.62)</v>
      </c>
      <c r="O325" s="124">
        <f ca="1">IF(AND(P[[#This Row],[Tithi]]&lt;28.5,P[[#This Row],[Tithi]]&gt;0.49999),MOD((P[[#This Row],[Tithi]]-0.5)*2,7),MOD((P[[#This Row],[Tithi]]+30-28.5),30)*2+7)</f>
        <v>2.3262</v>
      </c>
      <c r="P325" s="124">
        <f ca="1">ROUNDUP(MOD(360+P[[#This Row],[Moon]]-P[[#This Row],[Sun]],360)/12,4)</f>
        <v>5.1631</v>
      </c>
      <c r="Q325" s="124">
        <f t="shared" ca="1" si="55"/>
        <v>8.6199999999999992</v>
      </c>
      <c r="R325" s="124" t="str">
        <f ca="1">SIGN(S326-P[[#This Row],[MARs]])*INT(P[[#This Row],[MARs]]/30+1)&amp;"Ma,"&amp;SIGN(T326-P[[#This Row],[Merc]])*INT(P[[#This Row],[Merc]]/30+1)&amp;"Me,"&amp;SIGN(U326-P[[#This Row],[Jup]])*INT(P[[#This Row],[Jup]]/30+1)&amp;"Ju,"&amp;SIGN(V326-P[[#This Row],[Venu]])*INT(P[[#This Row],[Venu]]/30+1)&amp;"Ve,"&amp;SIGN(W326-P[[#This Row],[Sat]])*INT(P[[#This Row],[Sat]]/30+1)&amp;"Sa,"&amp;INT(P[[#This Row],[Rah]]/30+1)&amp;"Ra"</f>
        <v>11Ma,8Me,8Ju,-7Ve,9Sa,4Ra</v>
      </c>
      <c r="S325" s="124">
        <f ca="1">Planet(P[[#This Row],[GMT Sun Rise]],4)</f>
        <v>304.11400542913526</v>
      </c>
      <c r="T325" s="124">
        <f ca="1">Planet(P[[#This Row],[GMT Sun Rise]],2)</f>
        <v>228.25438604992561</v>
      </c>
      <c r="U325" s="124">
        <f ca="1">Planet(P[[#This Row],[GMT Sun Rise]],5)</f>
        <v>216.87525334041203</v>
      </c>
      <c r="V325" s="124">
        <f ca="1">Planet(P[[#This Row],[GMT Sun Rise]],3)</f>
        <v>181.36495977086042</v>
      </c>
      <c r="W325" s="124">
        <f ca="1">Planet(P[[#This Row],[GMT Sun Rise]],6)</f>
        <v>251.87926617492295</v>
      </c>
      <c r="X325" s="124">
        <f ca="1">Planet(P[[#This Row],[GMT Sun Rise]],10)</f>
        <v>96.044532467873864</v>
      </c>
      <c r="Y325" s="124">
        <f ca="1">SIGN(S326-P[[#This Row],[MARs]])</f>
        <v>1</v>
      </c>
    </row>
    <row r="326" spans="1:25" x14ac:dyDescent="0.2">
      <c r="A326" s="125">
        <f t="shared" ca="1" si="48"/>
        <v>43418</v>
      </c>
      <c r="B326" s="125">
        <f t="shared" ca="1" si="49"/>
        <v>43418.229166666664</v>
      </c>
      <c r="C326" s="127">
        <f t="shared" ca="1" si="50"/>
        <v>43418.25647072649</v>
      </c>
      <c r="D326" s="127">
        <f t="shared" ca="1" si="51"/>
        <v>43417.735204359094</v>
      </c>
      <c r="E326" s="189">
        <f ca="1">P[[#This Row],[SunRise]]-TimeZone/24</f>
        <v>43418.027304059826</v>
      </c>
      <c r="F326" s="190">
        <f t="shared" ca="1" si="52"/>
        <v>207.46617832546252</v>
      </c>
      <c r="G326" s="190">
        <f t="shared" ca="1" si="53"/>
        <v>280.27046034178443</v>
      </c>
      <c r="H326" s="191">
        <f t="shared" ca="1" si="54"/>
        <v>43418.027304059826</v>
      </c>
      <c r="I326" s="124" t="str">
        <f ca="1">naks(P[[#This Row],[Moon]])</f>
        <v>Sravana</v>
      </c>
      <c r="J326" s="127">
        <f ca="1">(C327-P[[#This Row],[SunRise]])/(G327-P[[#This Row],[Moon]])*(13.3333333333333-MOD(P[[#This Row],[Moon]],13.333333333333))+P[[#This Row],[SunRise]]</f>
        <v>43419.364170068453</v>
      </c>
      <c r="K326" s="124" t="str">
        <f ca="1">IF(P[[#This Row],[Tithi]]&gt;15,"K","S")&amp;ROUNDUP(MOD(P[[#This Row],[Tithi]],15),0)&amp;" ("&amp;ROUND(P[[#This Row],[Tithi]],2)&amp;")"</f>
        <v>S7 (6.07)</v>
      </c>
      <c r="L326" s="124">
        <f ca="1">IF(AND(P[[#This Row],[Tithi]]&lt;28.5,P[[#This Row],[Tithi]]&gt;0.49999),MOD((P[[#This Row],[Tithi]]-0.5)*2,7),MOD((P[[#This Row],[Tithi]]+30-28.5),30)*2+7)</f>
        <v>4.1341999999999999</v>
      </c>
      <c r="M326" s="124" t="str">
        <f ca="1">CHOOSE(ROUNDUP(P[[#This Row],[Karana1]],0),"Bhava","Baalava","Kaulava","Taitula","Garija","Vanija","Vishti","Shakuni","Chatushapda","Naaga","Kimstugna")</f>
        <v>Garija</v>
      </c>
      <c r="N32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(9.59)</v>
      </c>
      <c r="O326" s="124">
        <f ca="1">IF(AND(P[[#This Row],[Tithi]]&lt;28.5,P[[#This Row],[Tithi]]&gt;0.49999),MOD((P[[#This Row],[Tithi]]-0.5)*2,7),MOD((P[[#This Row],[Tithi]]+30-28.5),30)*2+7)</f>
        <v>4.1341999999999999</v>
      </c>
      <c r="P326" s="124">
        <f ca="1">ROUNDUP(MOD(360+P[[#This Row],[Moon]]-P[[#This Row],[Sun]],360)/12,4)</f>
        <v>6.0670999999999999</v>
      </c>
      <c r="Q326" s="124">
        <f t="shared" ca="1" si="55"/>
        <v>9.59</v>
      </c>
      <c r="R326" s="124" t="str">
        <f ca="1">SIGN(S327-P[[#This Row],[MARs]])*INT(P[[#This Row],[MARs]]/30+1)&amp;"Ma,"&amp;SIGN(T327-P[[#This Row],[Merc]])*INT(P[[#This Row],[Merc]]/30+1)&amp;"Me,"&amp;SIGN(U327-P[[#This Row],[Jup]])*INT(P[[#This Row],[Jup]]/30+1)&amp;"Ju,"&amp;SIGN(V327-P[[#This Row],[Venu]])*INT(P[[#This Row],[Venu]]/30+1)&amp;"Ve,"&amp;SIGN(W327-P[[#This Row],[Sat]])*INT(P[[#This Row],[Sat]]/30+1)&amp;"Sa,"&amp;INT(P[[#This Row],[Rah]]/30+1)&amp;"Ra"</f>
        <v>11Ma,8Me,8Ju,-7Ve,9Sa,4Ra</v>
      </c>
      <c r="S326" s="124">
        <f ca="1">Planet(P[[#This Row],[GMT Sun Rise]],4)</f>
        <v>304.72114429305032</v>
      </c>
      <c r="T326" s="124">
        <f ca="1">Planet(P[[#This Row],[GMT Sun Rise]],2)</f>
        <v>228.72242689310062</v>
      </c>
      <c r="U326" s="124">
        <f ca="1">Planet(P[[#This Row],[GMT Sun Rise]],5)</f>
        <v>217.09648755733099</v>
      </c>
      <c r="V326" s="124">
        <f ca="1">Planet(P[[#This Row],[GMT Sun Rise]],3)</f>
        <v>181.24555784215005</v>
      </c>
      <c r="W326" s="124">
        <f ca="1">Planet(P[[#This Row],[GMT Sun Rise]],6)</f>
        <v>251.97383755164324</v>
      </c>
      <c r="X326" s="124">
        <f ca="1">Planet(P[[#This Row],[GMT Sun Rise]],10)</f>
        <v>95.99152507385007</v>
      </c>
      <c r="Y326" s="124">
        <f ca="1">SIGN(S327-P[[#This Row],[MARs]])</f>
        <v>1</v>
      </c>
    </row>
    <row r="327" spans="1:25" x14ac:dyDescent="0.2">
      <c r="A327" s="125">
        <f t="shared" ca="1" si="48"/>
        <v>43419</v>
      </c>
      <c r="B327" s="125">
        <f t="shared" ca="1" si="49"/>
        <v>43419.229166666664</v>
      </c>
      <c r="C327" s="127">
        <f t="shared" ca="1" si="50"/>
        <v>43419.256767477993</v>
      </c>
      <c r="D327" s="127">
        <f t="shared" ca="1" si="51"/>
        <v>43418.735118051569</v>
      </c>
      <c r="E327" s="189">
        <f ca="1">P[[#This Row],[SunRise]]-TimeZone/24</f>
        <v>43419.027600811329</v>
      </c>
      <c r="F327" s="190">
        <f t="shared" ca="1" si="52"/>
        <v>208.4733657836149</v>
      </c>
      <c r="G327" s="190">
        <f t="shared" ca="1" si="53"/>
        <v>292.06675643381078</v>
      </c>
      <c r="H327" s="191">
        <f t="shared" ca="1" si="54"/>
        <v>43419.027600811329</v>
      </c>
      <c r="I327" s="124" t="str">
        <f ca="1">naks(P[[#This Row],[Moon]])</f>
        <v>Sravana</v>
      </c>
      <c r="J327" s="127">
        <f ca="1">(C328-P[[#This Row],[SunRise]])/(G328-P[[#This Row],[Moon]])*(13.3333333333333-MOD(P[[#This Row],[Moon]],13.333333333333))+P[[#This Row],[SunRise]]</f>
        <v>43419.363873406131</v>
      </c>
      <c r="K327" s="124" t="str">
        <f ca="1">IF(P[[#This Row],[Tithi]]&gt;15,"K","S")&amp;ROUNDUP(MOD(P[[#This Row],[Tithi]],15),0)&amp;" ("&amp;ROUND(P[[#This Row],[Tithi]],2)&amp;")"</f>
        <v>S7 (6.97)</v>
      </c>
      <c r="L327" s="124">
        <f ca="1">IF(AND(P[[#This Row],[Tithi]]&lt;28.5,P[[#This Row],[Tithi]]&gt;0.49999),MOD((P[[#This Row],[Tithi]]-0.5)*2,7),MOD((P[[#This Row],[Tithi]]+30-28.5),30)*2+7)</f>
        <v>5.9323999999999995</v>
      </c>
      <c r="M327" s="124" t="str">
        <f ca="1">CHOOSE(ROUNDUP(P[[#This Row],[Karana1]],0),"Bhava","Baalava","Kaulava","Taitula","Garija","Vanija","Vishti","Shakuni","Chatushapda","Naaga","Kimstugna")</f>
        <v>Vanija</v>
      </c>
      <c r="N32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(10.55)</v>
      </c>
      <c r="O327" s="124">
        <f ca="1">IF(AND(P[[#This Row],[Tithi]]&lt;28.5,P[[#This Row],[Tithi]]&gt;0.49999),MOD((P[[#This Row],[Tithi]]-0.5)*2,7),MOD((P[[#This Row],[Tithi]]+30-28.5),30)*2+7)</f>
        <v>5.9323999999999995</v>
      </c>
      <c r="P327" s="124">
        <f ca="1">ROUNDUP(MOD(360+P[[#This Row],[Moon]]-P[[#This Row],[Sun]],360)/12,4)</f>
        <v>6.9661999999999997</v>
      </c>
      <c r="Q327" s="124">
        <f t="shared" ca="1" si="55"/>
        <v>10.549999999999999</v>
      </c>
      <c r="R327" s="124" t="str">
        <f ca="1">SIGN(S328-P[[#This Row],[MARs]])*INT(P[[#This Row],[MARs]]/30+1)&amp;"Ma,"&amp;SIGN(T328-P[[#This Row],[Merc]])*INT(P[[#This Row],[Merc]]/30+1)&amp;"Me,"&amp;SIGN(U328-P[[#This Row],[Jup]])*INT(P[[#This Row],[Jup]]/30+1)&amp;"Ju,"&amp;SIGN(V328-P[[#This Row],[Venu]])*INT(P[[#This Row],[Venu]]/30+1)&amp;"Ve,"&amp;SIGN(W328-P[[#This Row],[Sat]])*INT(P[[#This Row],[Sat]]/30+1)&amp;"Sa,"&amp;INT(P[[#This Row],[Rah]]/30+1)&amp;"Ra"</f>
        <v>11Ma,8Me,8Ju,-7Ve,9Sa,4Ra</v>
      </c>
      <c r="S327" s="124">
        <f ca="1">Planet(P[[#This Row],[GMT Sun Rise]],4)</f>
        <v>305.33089802819222</v>
      </c>
      <c r="T327" s="124">
        <f ca="1">Planet(P[[#This Row],[GMT Sun Rise]],2)</f>
        <v>229.07335809355015</v>
      </c>
      <c r="U327" s="124">
        <f ca="1">Planet(P[[#This Row],[GMT Sun Rise]],5)</f>
        <v>217.3180146866371</v>
      </c>
      <c r="V327" s="124">
        <f ca="1">Planet(P[[#This Row],[GMT Sun Rise]],3)</f>
        <v>181.16721171804409</v>
      </c>
      <c r="W327" s="124">
        <f ca="1">Planet(P[[#This Row],[GMT Sun Rise]],6)</f>
        <v>252.06933058208318</v>
      </c>
      <c r="X327" s="124">
        <f ca="1">Planet(P[[#This Row],[GMT Sun Rise]],10)</f>
        <v>95.938517351335818</v>
      </c>
      <c r="Y327" s="124">
        <f ca="1">SIGN(S328-P[[#This Row],[MARs]])</f>
        <v>1</v>
      </c>
    </row>
    <row r="328" spans="1:25" x14ac:dyDescent="0.2">
      <c r="A328" s="125">
        <f t="shared" ca="1" si="48"/>
        <v>43420</v>
      </c>
      <c r="B328" s="125">
        <f t="shared" ca="1" si="49"/>
        <v>43420.229166666664</v>
      </c>
      <c r="C328" s="127">
        <f t="shared" ca="1" si="50"/>
        <v>43420.257070428845</v>
      </c>
      <c r="D328" s="127">
        <f t="shared" ca="1" si="51"/>
        <v>43419.735044777437</v>
      </c>
      <c r="E328" s="189">
        <f ca="1">P[[#This Row],[SunRise]]-TimeZone/24</f>
        <v>43420.02790376218</v>
      </c>
      <c r="F328" s="190">
        <f t="shared" ca="1" si="52"/>
        <v>209.48093967964249</v>
      </c>
      <c r="G328" s="190">
        <f t="shared" ca="1" si="53"/>
        <v>303.89579925242708</v>
      </c>
      <c r="H328" s="191">
        <f t="shared" ca="1" si="54"/>
        <v>43420.02790376218</v>
      </c>
      <c r="I328" s="124" t="str">
        <f ca="1">naks(P[[#This Row],[Moon]])</f>
        <v>Dhanistha</v>
      </c>
      <c r="J328" s="127">
        <f ca="1">(C329-P[[#This Row],[SunRise]])/(G329-P[[#This Row],[Moon]])*(13.3333333333333-MOD(P[[#This Row],[Moon]],13.333333333333))+P[[#This Row],[SunRise]]</f>
        <v>43420.488940362513</v>
      </c>
      <c r="K328" s="124" t="str">
        <f ca="1">IF(P[[#This Row],[Tithi]]&gt;15,"K","S")&amp;ROUNDUP(MOD(P[[#This Row],[Tithi]],15),0)&amp;" ("&amp;ROUND(P[[#This Row],[Tithi]],2)&amp;")"</f>
        <v>S8 (7.87)</v>
      </c>
      <c r="L328" s="124">
        <f ca="1">IF(AND(P[[#This Row],[Tithi]]&lt;28.5,P[[#This Row],[Tithi]]&gt;0.49999),MOD((P[[#This Row],[Tithi]]-0.5)*2,7),MOD((P[[#This Row],[Tithi]]+30-28.5),30)*2+7)</f>
        <v>0.73599999999999888</v>
      </c>
      <c r="M328" s="124" t="str">
        <f ca="1">CHOOSE(ROUNDUP(P[[#This Row],[Karana1]],0),"Bhava","Baalava","Kaulava","Taitula","Garija","Vanija","Vishti","Shakuni","Chatushapda","Naaga","Kimstugna")</f>
        <v>Bhava</v>
      </c>
      <c r="N32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(11.51)</v>
      </c>
      <c r="O328" s="124">
        <f ca="1">IF(AND(P[[#This Row],[Tithi]]&lt;28.5,P[[#This Row],[Tithi]]&gt;0.49999),MOD((P[[#This Row],[Tithi]]-0.5)*2,7),MOD((P[[#This Row],[Tithi]]+30-28.5),30)*2+7)</f>
        <v>0.73599999999999888</v>
      </c>
      <c r="P328" s="124">
        <f ca="1">ROUNDUP(MOD(360+P[[#This Row],[Moon]]-P[[#This Row],[Sun]],360)/12,4)</f>
        <v>7.8679999999999994</v>
      </c>
      <c r="Q328" s="124">
        <f t="shared" ca="1" si="55"/>
        <v>11.51</v>
      </c>
      <c r="R328" s="124" t="str">
        <f ca="1">SIGN(S329-P[[#This Row],[MARs]])*INT(P[[#This Row],[MARs]]/30+1)&amp;"Ma,"&amp;SIGN(T329-P[[#This Row],[Merc]])*INT(P[[#This Row],[Merc]]/30+1)&amp;"Me,"&amp;SIGN(U329-P[[#This Row],[Jup]])*INT(P[[#This Row],[Jup]]/30+1)&amp;"Ju,"&amp;SIGN(V329-P[[#This Row],[Venu]])*INT(P[[#This Row],[Venu]]/30+1)&amp;"Ve,"&amp;SIGN(W329-P[[#This Row],[Sat]])*INT(P[[#This Row],[Sat]]/30+1)&amp;"Sa,"&amp;INT(P[[#This Row],[Rah]]/30+1)&amp;"Ra"</f>
        <v>11Ma,8Me,8Ju,7Ve,9Sa,4Ra</v>
      </c>
      <c r="S328" s="124">
        <f ca="1">Planet(P[[#This Row],[GMT Sun Rise]],4)</f>
        <v>305.94317835166157</v>
      </c>
      <c r="T328" s="124">
        <f ca="1">Planet(P[[#This Row],[GMT Sun Rise]],2)</f>
        <v>229.2950641692326</v>
      </c>
      <c r="U328" s="124">
        <f ca="1">Planet(P[[#This Row],[GMT Sun Rise]],5)</f>
        <v>217.53981195666898</v>
      </c>
      <c r="V328" s="124">
        <f ca="1">Planet(P[[#This Row],[GMT Sun Rise]],3)</f>
        <v>181.12972575883532</v>
      </c>
      <c r="W328" s="124">
        <f ca="1">Planet(P[[#This Row],[GMT Sun Rise]],6)</f>
        <v>252.16572653840998</v>
      </c>
      <c r="X328" s="124">
        <f ca="1">Planet(P[[#This Row],[GMT Sun Rise]],10)</f>
        <v>95.88550930026507</v>
      </c>
      <c r="Y328" s="124">
        <f ca="1">SIGN(S329-P[[#This Row],[MARs]])</f>
        <v>1</v>
      </c>
    </row>
    <row r="329" spans="1:25" x14ac:dyDescent="0.2">
      <c r="A329" s="125">
        <f t="shared" ca="1" si="48"/>
        <v>43421</v>
      </c>
      <c r="B329" s="125">
        <f t="shared" ca="1" si="49"/>
        <v>43421.229166666664</v>
      </c>
      <c r="C329" s="127">
        <f t="shared" ca="1" si="50"/>
        <v>43421.257379419323</v>
      </c>
      <c r="D329" s="127">
        <f t="shared" ca="1" si="51"/>
        <v>43420.734984537165</v>
      </c>
      <c r="E329" s="189">
        <f ca="1">P[[#This Row],[SunRise]]-TimeZone/24</f>
        <v>43421.028212752659</v>
      </c>
      <c r="F329" s="190">
        <f t="shared" ca="1" si="52"/>
        <v>210.4888928094415</v>
      </c>
      <c r="G329" s="190">
        <f t="shared" ca="1" si="53"/>
        <v>315.84958533443228</v>
      </c>
      <c r="H329" s="191">
        <f t="shared" ca="1" si="54"/>
        <v>43421.028212752659</v>
      </c>
      <c r="I329" s="124" t="str">
        <f ca="1">naks(P[[#This Row],[Moon]])</f>
        <v>Satabhisaj</v>
      </c>
      <c r="J329" s="127">
        <f ca="1">(C330-P[[#This Row],[SunRise]])/(G330-P[[#This Row],[Moon]])*(13.3333333333333-MOD(P[[#This Row],[Moon]],13.333333333333))+P[[#This Row],[SunRise]]</f>
        <v>43421.598640815122</v>
      </c>
      <c r="K329" s="124" t="str">
        <f ca="1">IF(P[[#This Row],[Tithi]]&gt;15,"K","S")&amp;ROUNDUP(MOD(P[[#This Row],[Tithi]],15),0)&amp;" ("&amp;ROUND(P[[#This Row],[Tithi]],2)&amp;")"</f>
        <v>S9 (8.78)</v>
      </c>
      <c r="L329" s="124">
        <f ca="1">IF(AND(P[[#This Row],[Tithi]]&lt;28.5,P[[#This Row],[Tithi]]&gt;0.49999),MOD((P[[#This Row],[Tithi]]-0.5)*2,7),MOD((P[[#This Row],[Tithi]]+30-28.5),30)*2+7)</f>
        <v>2.5601999999999983</v>
      </c>
      <c r="M329" s="124" t="str">
        <f ca="1">CHOOSE(ROUNDUP(P[[#This Row],[Karana1]],0),"Bhava","Baalava","Kaulava","Taitula","Garija","Vanija","Vishti","Shakuni","Chatushapda","Naaga","Kimstugna")</f>
        <v>Kaulava</v>
      </c>
      <c r="N32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(12.48)</v>
      </c>
      <c r="O329" s="124">
        <f ca="1">IF(AND(P[[#This Row],[Tithi]]&lt;28.5,P[[#This Row],[Tithi]]&gt;0.49999),MOD((P[[#This Row],[Tithi]]-0.5)*2,7),MOD((P[[#This Row],[Tithi]]+30-28.5),30)*2+7)</f>
        <v>2.5601999999999983</v>
      </c>
      <c r="P329" s="124">
        <f ca="1">ROUNDUP(MOD(360+P[[#This Row],[Moon]]-P[[#This Row],[Sun]],360)/12,4)</f>
        <v>8.7800999999999991</v>
      </c>
      <c r="Q329" s="124">
        <f t="shared" ca="1" si="55"/>
        <v>12.48</v>
      </c>
      <c r="R329" s="124" t="str">
        <f ca="1">SIGN(S330-P[[#This Row],[MARs]])*INT(P[[#This Row],[MARs]]/30+1)&amp;"Ma,"&amp;SIGN(T330-P[[#This Row],[Merc]])*INT(P[[#This Row],[Merc]]/30+1)&amp;"Me,"&amp;SIGN(U330-P[[#This Row],[Jup]])*INT(P[[#This Row],[Jup]]/30+1)&amp;"Ju,"&amp;SIGN(V330-P[[#This Row],[Venu]])*INT(P[[#This Row],[Venu]]/30+1)&amp;"Ve,"&amp;SIGN(W330-P[[#This Row],[Sat]])*INT(P[[#This Row],[Sat]]/30+1)&amp;"Sa,"&amp;INT(P[[#This Row],[Rah]]/30+1)&amp;"Ra"</f>
        <v>11Ma,-8Me,8Ju,7Ve,9Sa,4Ra</v>
      </c>
      <c r="S329" s="124">
        <f ca="1">Planet(P[[#This Row],[GMT Sun Rise]],4)</f>
        <v>306.55789834802823</v>
      </c>
      <c r="T329" s="124">
        <f ca="1">Planet(P[[#This Row],[GMT Sun Rise]],2)</f>
        <v>229.37532554016138</v>
      </c>
      <c r="U329" s="124">
        <f ca="1">Planet(P[[#This Row],[GMT Sun Rise]],5)</f>
        <v>217.76185699007354</v>
      </c>
      <c r="V329" s="124">
        <f ca="1">Planet(P[[#This Row],[GMT Sun Rise]],3)</f>
        <v>181.13274799883536</v>
      </c>
      <c r="W329" s="124">
        <f ca="1">Planet(P[[#This Row],[GMT Sun Rise]],6)</f>
        <v>252.26300675677697</v>
      </c>
      <c r="X329" s="124">
        <f ca="1">Planet(P[[#This Row],[GMT Sun Rise]],10)</f>
        <v>95.832500929187134</v>
      </c>
      <c r="Y329" s="124">
        <f ca="1">SIGN(S330-P[[#This Row],[MARs]])</f>
        <v>1</v>
      </c>
    </row>
    <row r="330" spans="1:25" x14ac:dyDescent="0.2">
      <c r="A330" s="125">
        <f t="shared" ca="1" si="48"/>
        <v>43422</v>
      </c>
      <c r="B330" s="125">
        <f t="shared" ca="1" si="49"/>
        <v>43422.229166666664</v>
      </c>
      <c r="C330" s="127">
        <f t="shared" ca="1" si="50"/>
        <v>43422.257694290638</v>
      </c>
      <c r="D330" s="127">
        <f t="shared" ca="1" si="51"/>
        <v>43421.734937330286</v>
      </c>
      <c r="E330" s="189">
        <f ca="1">P[[#This Row],[SunRise]]-TimeZone/24</f>
        <v>43422.028527623974</v>
      </c>
      <c r="F330" s="190">
        <f t="shared" ca="1" si="52"/>
        <v>211.49722002137406</v>
      </c>
      <c r="G330" s="190">
        <f t="shared" ca="1" si="53"/>
        <v>328.01539595115725</v>
      </c>
      <c r="H330" s="191">
        <f t="shared" ca="1" si="54"/>
        <v>43422.028527623974</v>
      </c>
      <c r="I330" s="124" t="str">
        <f ca="1">naks(P[[#This Row],[Moon]])</f>
        <v>Purva Bhadrapada</v>
      </c>
      <c r="J330" s="127">
        <f ca="1">(C331-P[[#This Row],[SunRise]])/(G331-P[[#This Row],[Moon]])*(13.3333333333333-MOD(P[[#This Row],[Moon]],13.333333333333))+P[[#This Row],[SunRise]]</f>
        <v>43422.684850772799</v>
      </c>
      <c r="K330" s="124" t="str">
        <f ca="1">IF(P[[#This Row],[Tithi]]&gt;15,"K","S")&amp;ROUNDUP(MOD(P[[#This Row],[Tithi]],15),0)&amp;" ("&amp;ROUND(P[[#This Row],[Tithi]],2)&amp;")"</f>
        <v>S10 (9.71)</v>
      </c>
      <c r="L330" s="124">
        <f ca="1">IF(AND(P[[#This Row],[Tithi]]&lt;28.5,P[[#This Row],[Tithi]]&gt;0.49999),MOD((P[[#This Row],[Tithi]]-0.5)*2,7),MOD((P[[#This Row],[Tithi]]+30-28.5),30)*2+7)</f>
        <v>4.4197999999999986</v>
      </c>
      <c r="M330" s="124" t="str">
        <f ca="1">CHOOSE(ROUNDUP(P[[#This Row],[Karana1]],0),"Bhava","Baalava","Kaulava","Taitula","Garija","Vanija","Vishti","Shakuni","Chatushapda","Naaga","Kimstugna")</f>
        <v>Garija</v>
      </c>
      <c r="N33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(13.47)</v>
      </c>
      <c r="O330" s="124">
        <f ca="1">IF(AND(P[[#This Row],[Tithi]]&lt;28.5,P[[#This Row],[Tithi]]&gt;0.49999),MOD((P[[#This Row],[Tithi]]-0.5)*2,7),MOD((P[[#This Row],[Tithi]]+30-28.5),30)*2+7)</f>
        <v>4.4197999999999986</v>
      </c>
      <c r="P330" s="124">
        <f ca="1">ROUNDUP(MOD(360+P[[#This Row],[Moon]]-P[[#This Row],[Sun]],360)/12,4)</f>
        <v>9.7098999999999993</v>
      </c>
      <c r="Q330" s="124">
        <f t="shared" ca="1" si="55"/>
        <v>13.47</v>
      </c>
      <c r="R330" s="124" t="str">
        <f ca="1">SIGN(S331-P[[#This Row],[MARs]])*INT(P[[#This Row],[MARs]]/30+1)&amp;"Ma,"&amp;SIGN(T331-P[[#This Row],[Merc]])*INT(P[[#This Row],[Merc]]/30+1)&amp;"Me,"&amp;SIGN(U331-P[[#This Row],[Jup]])*INT(P[[#This Row],[Jup]]/30+1)&amp;"Ju,"&amp;SIGN(V331-P[[#This Row],[Venu]])*INT(P[[#This Row],[Venu]]/30+1)&amp;"Ve,"&amp;SIGN(W331-P[[#This Row],[Sat]])*INT(P[[#This Row],[Sat]]/30+1)&amp;"Sa,"&amp;INT(P[[#This Row],[Rah]]/30+1)&amp;"Ra"</f>
        <v>11Ma,-8Me,8Ju,7Ve,9Sa,4Ra</v>
      </c>
      <c r="S330" s="124">
        <f ca="1">Planet(P[[#This Row],[GMT Sun Rise]],4)</f>
        <v>307.17497259710245</v>
      </c>
      <c r="T330" s="124">
        <f ca="1">Planet(P[[#This Row],[GMT Sun Rise]],2)</f>
        <v>229.30240176194599</v>
      </c>
      <c r="U330" s="124">
        <f ca="1">Planet(P[[#This Row],[GMT Sun Rise]],5)</f>
        <v>217.98412787892076</v>
      </c>
      <c r="V330" s="124">
        <f ca="1">Planet(P[[#This Row],[GMT Sun Rise]],3)</f>
        <v>181.17579110776964</v>
      </c>
      <c r="W330" s="124">
        <f ca="1">Planet(P[[#This Row],[GMT Sun Rise]],6)</f>
        <v>252.36115268312011</v>
      </c>
      <c r="X330" s="124">
        <f ca="1">Planet(P[[#This Row],[GMT Sun Rise]],10)</f>
        <v>95.779492246452776</v>
      </c>
      <c r="Y330" s="124">
        <f ca="1">SIGN(S331-P[[#This Row],[MARs]])</f>
        <v>1</v>
      </c>
    </row>
    <row r="331" spans="1:25" x14ac:dyDescent="0.2">
      <c r="A331" s="125">
        <f t="shared" ref="A331:A394" ca="1" si="56">A330+1</f>
        <v>43423</v>
      </c>
      <c r="B331" s="125">
        <f t="shared" ca="1" si="49"/>
        <v>43423.229166666664</v>
      </c>
      <c r="C331" s="127">
        <f t="shared" ca="1" si="50"/>
        <v>43423.258014883999</v>
      </c>
      <c r="D331" s="127">
        <f t="shared" ca="1" si="51"/>
        <v>43422.734903156801</v>
      </c>
      <c r="E331" s="189">
        <f ca="1">P[[#This Row],[SunRise]]-TimeZone/24</f>
        <v>43423.028848217335</v>
      </c>
      <c r="F331" s="190">
        <f t="shared" ca="1" si="52"/>
        <v>212.50591849435239</v>
      </c>
      <c r="G331" s="190">
        <f t="shared" ca="1" si="53"/>
        <v>340.46901072645034</v>
      </c>
      <c r="H331" s="191">
        <f t="shared" ca="1" si="54"/>
        <v>43423.028848217335</v>
      </c>
      <c r="I331" s="124" t="str">
        <f ca="1">naks(P[[#This Row],[Moon]])</f>
        <v>Uttara Bhadrapada</v>
      </c>
      <c r="J331" s="127">
        <f ca="1">(C332-P[[#This Row],[SunRise]])/(G332-P[[#This Row],[Moon]])*(13.3333333333333-MOD(P[[#This Row],[Moon]],13.333333333333))+P[[#This Row],[SunRise]]</f>
        <v>43423.742435094689</v>
      </c>
      <c r="K331" s="124" t="str">
        <f ca="1">IF(P[[#This Row],[Tithi]]&gt;15,"K","S")&amp;ROUNDUP(MOD(P[[#This Row],[Tithi]],15),0)&amp;" ("&amp;ROUND(P[[#This Row],[Tithi]],2)&amp;")"</f>
        <v>S11 (10.66)</v>
      </c>
      <c r="L331" s="124">
        <f ca="1">IF(AND(P[[#This Row],[Tithi]]&lt;28.5,P[[#This Row],[Tithi]]&gt;0.49999),MOD((P[[#This Row],[Tithi]]-0.5)*2,7),MOD((P[[#This Row],[Tithi]]+30-28.5),30)*2+7)</f>
        <v>6.3272000000000013</v>
      </c>
      <c r="M331" s="124" t="str">
        <f ca="1">CHOOSE(ROUNDUP(P[[#This Row],[Karana1]],0),"Bhava","Baalava","Kaulava","Taitula","Garija","Vanija","Vishti","Shakuni","Chatushapda","Naaga","Kimstugna")</f>
        <v>Vishti</v>
      </c>
      <c r="N33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(14.48)</v>
      </c>
      <c r="O331" s="124">
        <f ca="1">IF(AND(P[[#This Row],[Tithi]]&lt;28.5,P[[#This Row],[Tithi]]&gt;0.49999),MOD((P[[#This Row],[Tithi]]-0.5)*2,7),MOD((P[[#This Row],[Tithi]]+30-28.5),30)*2+7)</f>
        <v>6.3272000000000013</v>
      </c>
      <c r="P331" s="124">
        <f ca="1">ROUNDUP(MOD(360+P[[#This Row],[Moon]]-P[[#This Row],[Sun]],360)/12,4)</f>
        <v>10.663600000000001</v>
      </c>
      <c r="Q331" s="124">
        <f t="shared" ca="1" si="55"/>
        <v>14.48</v>
      </c>
      <c r="R331" s="124" t="str">
        <f ca="1">SIGN(S332-P[[#This Row],[MARs]])*INT(P[[#This Row],[MARs]]/30+1)&amp;"Ma,"&amp;SIGN(T332-P[[#This Row],[Merc]])*INT(P[[#This Row],[Merc]]/30+1)&amp;"Me,"&amp;SIGN(U332-P[[#This Row],[Jup]])*INT(P[[#This Row],[Jup]]/30+1)&amp;"Ju,"&amp;SIGN(V332-P[[#This Row],[Venu]])*INT(P[[#This Row],[Venu]]/30+1)&amp;"Ve,"&amp;SIGN(W332-P[[#This Row],[Sat]])*INT(P[[#This Row],[Sat]]/30+1)&amp;"Sa,"&amp;INT(P[[#This Row],[Rah]]/30+1)&amp;"Ra"</f>
        <v>11Ma,-8Me,8Ju,7Ve,9Sa,4Ra</v>
      </c>
      <c r="S331" s="124">
        <f ca="1">Planet(P[[#This Row],[GMT Sun Rise]],4)</f>
        <v>307.7943173434827</v>
      </c>
      <c r="T331" s="124">
        <f ca="1">Planet(P[[#This Row],[GMT Sun Rise]],2)</f>
        <v>229.06584713609837</v>
      </c>
      <c r="U331" s="124">
        <f ca="1">Planet(P[[#This Row],[GMT Sun Rise]],5)</f>
        <v>218.20660324992497</v>
      </c>
      <c r="V331" s="124">
        <f ca="1">Planet(P[[#This Row],[GMT Sun Rise]],3)</f>
        <v>181.25825241204393</v>
      </c>
      <c r="W331" s="124">
        <f ca="1">Planet(P[[#This Row],[GMT Sun Rise]],6)</f>
        <v>252.4601459123316</v>
      </c>
      <c r="X331" s="124">
        <f ca="1">Planet(P[[#This Row],[GMT Sun Rise]],10)</f>
        <v>95.726483260495399</v>
      </c>
      <c r="Y331" s="124">
        <f ca="1">SIGN(S332-P[[#This Row],[MARs]])</f>
        <v>1</v>
      </c>
    </row>
    <row r="332" spans="1:25" x14ac:dyDescent="0.2">
      <c r="A332" s="125">
        <f t="shared" ca="1" si="56"/>
        <v>43424</v>
      </c>
      <c r="B332" s="125">
        <f t="shared" ca="1" si="49"/>
        <v>43424.229166666664</v>
      </c>
      <c r="C332" s="127">
        <f t="shared" ca="1" si="50"/>
        <v>43424.258340881825</v>
      </c>
      <c r="D332" s="127">
        <f t="shared" ca="1" si="51"/>
        <v>43423.734882335222</v>
      </c>
      <c r="E332" s="189">
        <f ca="1">P[[#This Row],[SunRise]]-TimeZone/24</f>
        <v>43424.02917421516</v>
      </c>
      <c r="F332" s="190">
        <f t="shared" ca="1" si="52"/>
        <v>213.51498789692147</v>
      </c>
      <c r="G332" s="190">
        <f t="shared" ca="1" si="53"/>
        <v>353.26714801656436</v>
      </c>
      <c r="H332" s="191">
        <f t="shared" ca="1" si="54"/>
        <v>43424.02917421516</v>
      </c>
      <c r="I332" s="124" t="str">
        <f ca="1">naks(P[[#This Row],[Moon]])</f>
        <v>Revati</v>
      </c>
      <c r="J332" s="127">
        <f ca="1">(C333-P[[#This Row],[SunRise]])/(G333-P[[#This Row],[Moon]])*(13.3333333333333-MOD(P[[#This Row],[Moon]],13.333333333333))+P[[#This Row],[SunRise]]</f>
        <v>43424.238921739459</v>
      </c>
      <c r="K332" s="124" t="str">
        <f ca="1">IF(P[[#This Row],[Tithi]]&gt;15,"K","S")&amp;ROUNDUP(MOD(P[[#This Row],[Tithi]],15),0)&amp;" ("&amp;ROUND(P[[#This Row],[Tithi]],2)&amp;")"</f>
        <v>S12 (11.65)</v>
      </c>
      <c r="L332" s="124">
        <f ca="1">IF(AND(P[[#This Row],[Tithi]]&lt;28.5,P[[#This Row],[Tithi]]&gt;0.49999),MOD((P[[#This Row],[Tithi]]-0.5)*2,7),MOD((P[[#This Row],[Tithi]]+30-28.5),30)*2+7)</f>
        <v>1.2922000000000011</v>
      </c>
      <c r="M332" s="124" t="str">
        <f ca="1">CHOOSE(ROUNDUP(P[[#This Row],[Karana1]],0),"Bhava","Baalava","Kaulava","Taitula","Garija","Vanija","Vishti","Shakuni","Chatushapda","Naaga","Kimstugna")</f>
        <v>Baalava</v>
      </c>
      <c r="N33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(15.51)</v>
      </c>
      <c r="O332" s="124">
        <f ca="1">IF(AND(P[[#This Row],[Tithi]]&lt;28.5,P[[#This Row],[Tithi]]&gt;0.49999),MOD((P[[#This Row],[Tithi]]-0.5)*2,7),MOD((P[[#This Row],[Tithi]]+30-28.5),30)*2+7)</f>
        <v>1.2922000000000011</v>
      </c>
      <c r="P332" s="124">
        <f ca="1">ROUNDUP(MOD(360+P[[#This Row],[Moon]]-P[[#This Row],[Sun]],360)/12,4)</f>
        <v>11.646100000000001</v>
      </c>
      <c r="Q332" s="124">
        <f t="shared" ca="1" si="55"/>
        <v>15.51</v>
      </c>
      <c r="R332" s="124" t="str">
        <f ca="1">SIGN(S333-P[[#This Row],[MARs]])*INT(P[[#This Row],[MARs]]/30+1)&amp;"Ma,"&amp;SIGN(T333-P[[#This Row],[Merc]])*INT(P[[#This Row],[Merc]]/30+1)&amp;"Me,"&amp;SIGN(U333-P[[#This Row],[Jup]])*INT(P[[#This Row],[Jup]]/30+1)&amp;"Ju,"&amp;SIGN(V333-P[[#This Row],[Venu]])*INT(P[[#This Row],[Venu]]/30+1)&amp;"Ve,"&amp;SIGN(W333-P[[#This Row],[Sat]])*INT(P[[#This Row],[Sat]]/30+1)&amp;"Sa,"&amp;INT(P[[#This Row],[Rah]]/30+1)&amp;"Ra"</f>
        <v>11Ma,-8Me,8Ju,7Ve,9Sa,4Ra</v>
      </c>
      <c r="S332" s="124">
        <f ca="1">Planet(P[[#This Row],[GMT Sun Rise]],4)</f>
        <v>308.41585079814848</v>
      </c>
      <c r="T332" s="124">
        <f ca="1">Planet(P[[#This Row],[GMT Sun Rise]],2)</f>
        <v>228.65758222560831</v>
      </c>
      <c r="U332" s="124">
        <f ca="1">Planet(P[[#This Row],[GMT Sun Rise]],5)</f>
        <v>218.42926232026119</v>
      </c>
      <c r="V332" s="124">
        <f ca="1">Planet(P[[#This Row],[GMT Sun Rise]],3)</f>
        <v>181.37943232990571</v>
      </c>
      <c r="W332" s="124">
        <f ca="1">Planet(P[[#This Row],[GMT Sun Rise]],6)</f>
        <v>252.5599682319114</v>
      </c>
      <c r="X332" s="124">
        <f ca="1">Planet(P[[#This Row],[GMT Sun Rise]],10)</f>
        <v>95.673473988165711</v>
      </c>
      <c r="Y332" s="124">
        <f ca="1">SIGN(S333-P[[#This Row],[MARs]])</f>
        <v>1</v>
      </c>
    </row>
    <row r="333" spans="1:25" x14ac:dyDescent="0.2">
      <c r="A333" s="125">
        <f t="shared" ca="1" si="56"/>
        <v>43425</v>
      </c>
      <c r="B333" s="125">
        <f t="shared" ca="1" si="49"/>
        <v>43425.229166666664</v>
      </c>
      <c r="C333" s="127">
        <f t="shared" ca="1" si="50"/>
        <v>43425.25867244244</v>
      </c>
      <c r="D333" s="127">
        <f t="shared" ca="1" si="51"/>
        <v>43424.734874546572</v>
      </c>
      <c r="E333" s="189">
        <f ca="1">P[[#This Row],[SunRise]]-TimeZone/24</f>
        <v>43425.029505775776</v>
      </c>
      <c r="F333" s="190">
        <f t="shared" ca="1" si="52"/>
        <v>214.52443129628509</v>
      </c>
      <c r="G333" s="190">
        <f t="shared" ca="1" si="53"/>
        <v>6.4400737361655089</v>
      </c>
      <c r="H333" s="191">
        <f t="shared" ca="1" si="54"/>
        <v>43425.029505775776</v>
      </c>
      <c r="I333" s="124" t="str">
        <f ca="1">naks(P[[#This Row],[Moon]])</f>
        <v>Aswini</v>
      </c>
      <c r="J333" s="127">
        <f ca="1">(C334-P[[#This Row],[SunRise]])/(G334-P[[#This Row],[Moon]])*(13.3333333333333-MOD(P[[#This Row],[Moon]],13.333333333333))+P[[#This Row],[SunRise]]</f>
        <v>43425.767729792904</v>
      </c>
      <c r="K333" s="124" t="str">
        <f ca="1">IF(P[[#This Row],[Tithi]]&gt;15,"K","S")&amp;ROUNDUP(MOD(P[[#This Row],[Tithi]],15),0)&amp;" ("&amp;ROUND(P[[#This Row],[Tithi]],2)&amp;")"</f>
        <v>S13 (12.66)</v>
      </c>
      <c r="L333" s="124">
        <f ca="1">IF(AND(P[[#This Row],[Tithi]]&lt;28.5,P[[#This Row],[Tithi]]&gt;0.49999),MOD((P[[#This Row],[Tithi]]-0.5)*2,7),MOD((P[[#This Row],[Tithi]]+30-28.5),30)*2+7)</f>
        <v>3.3193999999999981</v>
      </c>
      <c r="M333" s="124" t="str">
        <f ca="1">CHOOSE(ROUNDUP(P[[#This Row],[Karana1]],0),"Bhava","Baalava","Kaulava","Taitula","Garija","Vanija","Vishti","Shakuni","Chatushapda","Naaga","Kimstugna")</f>
        <v>Taitula</v>
      </c>
      <c r="N33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(16.58)</v>
      </c>
      <c r="O333" s="124">
        <f ca="1">IF(AND(P[[#This Row],[Tithi]]&lt;28.5,P[[#This Row],[Tithi]]&gt;0.49999),MOD((P[[#This Row],[Tithi]]-0.5)*2,7),MOD((P[[#This Row],[Tithi]]+30-28.5),30)*2+7)</f>
        <v>3.3193999999999981</v>
      </c>
      <c r="P333" s="124">
        <f ca="1">ROUNDUP(MOD(360+P[[#This Row],[Moon]]-P[[#This Row],[Sun]],360)/12,4)</f>
        <v>12.659699999999999</v>
      </c>
      <c r="Q333" s="124">
        <f t="shared" ca="1" si="55"/>
        <v>16.580000000000002</v>
      </c>
      <c r="R333" s="124" t="str">
        <f ca="1">SIGN(S334-P[[#This Row],[MARs]])*INT(P[[#This Row],[MARs]]/30+1)&amp;"Ma,"&amp;SIGN(T334-P[[#This Row],[Merc]])*INT(P[[#This Row],[Merc]]/30+1)&amp;"Me,"&amp;SIGN(U334-P[[#This Row],[Jup]])*INT(P[[#This Row],[Jup]]/30+1)&amp;"Ju,"&amp;SIGN(V334-P[[#This Row],[Venu]])*INT(P[[#This Row],[Venu]]/30+1)&amp;"Ve,"&amp;SIGN(W334-P[[#This Row],[Sat]])*INT(P[[#This Row],[Sat]]/30+1)&amp;"Sa,"&amp;INT(P[[#This Row],[Rah]]/30+1)&amp;"Ra"</f>
        <v>11Ma,-8Me,8Ju,7Ve,9Sa,4Ra</v>
      </c>
      <c r="S333" s="124">
        <f ca="1">Planet(P[[#This Row],[GMT Sun Rise]],4)</f>
        <v>309.03949419455705</v>
      </c>
      <c r="T333" s="124">
        <f ca="1">Planet(P[[#This Row],[GMT Sun Rise]],2)</f>
        <v>228.07320905228156</v>
      </c>
      <c r="U333" s="124">
        <f ca="1">Planet(P[[#This Row],[GMT Sun Rise]],5)</f>
        <v>218.65208515320714</v>
      </c>
      <c r="V333" s="124">
        <f ca="1">Planet(P[[#This Row],[GMT Sun Rise]],3)</f>
        <v>181.53855091381951</v>
      </c>
      <c r="W333" s="124">
        <f ca="1">Planet(P[[#This Row],[GMT Sun Rise]],6)</f>
        <v>252.66060175197862</v>
      </c>
      <c r="X333" s="124">
        <f ca="1">Planet(P[[#This Row],[GMT Sun Rise]],10)</f>
        <v>95.620464421063019</v>
      </c>
      <c r="Y333" s="124">
        <f ca="1">SIGN(S334-P[[#This Row],[MARs]])</f>
        <v>1</v>
      </c>
    </row>
    <row r="334" spans="1:25" x14ac:dyDescent="0.2">
      <c r="A334" s="125">
        <f t="shared" ca="1" si="56"/>
        <v>43426</v>
      </c>
      <c r="B334" s="125">
        <f t="shared" ca="1" si="49"/>
        <v>43426.229166666664</v>
      </c>
      <c r="C334" s="127">
        <f t="shared" ca="1" si="50"/>
        <v>43426.259009089474</v>
      </c>
      <c r="D334" s="127">
        <f t="shared" ca="1" si="51"/>
        <v>43425.734880109827</v>
      </c>
      <c r="E334" s="189">
        <f ca="1">P[[#This Row],[SunRise]]-TimeZone/24</f>
        <v>43426.029842422809</v>
      </c>
      <c r="F334" s="190">
        <f t="shared" ca="1" si="52"/>
        <v>215.53425414869912</v>
      </c>
      <c r="G334" s="190">
        <f t="shared" ca="1" si="53"/>
        <v>19.985856320847322</v>
      </c>
      <c r="H334" s="191">
        <f t="shared" ca="1" si="54"/>
        <v>43426.029842422809</v>
      </c>
      <c r="I334" s="124" t="str">
        <f ca="1">naks(P[[#This Row],[Moon]])</f>
        <v>Bharani</v>
      </c>
      <c r="J334" s="127">
        <f ca="1">(C335-P[[#This Row],[SunRise]])/(G335-P[[#This Row],[Moon]])*(13.3333333333333-MOD(P[[#This Row],[Moon]],13.333333333333))+P[[#This Row],[SunRise]]</f>
        <v>43426.740415026856</v>
      </c>
      <c r="K334" s="124" t="str">
        <f ca="1">IF(P[[#This Row],[Tithi]]&gt;15,"K","S")&amp;ROUNDUP(MOD(P[[#This Row],[Tithi]],15),0)&amp;" ("&amp;ROUND(P[[#This Row],[Tithi]],2)&amp;")"</f>
        <v>S14 (13.7)</v>
      </c>
      <c r="L334" s="124">
        <f ca="1">IF(AND(P[[#This Row],[Tithi]]&lt;28.5,P[[#This Row],[Tithi]]&gt;0.49999),MOD((P[[#This Row],[Tithi]]-0.5)*2,7),MOD((P[[#This Row],[Tithi]]+30-28.5),30)*2+7)</f>
        <v>5.4087999999999994</v>
      </c>
      <c r="M334" s="124" t="str">
        <f ca="1">CHOOSE(ROUNDUP(P[[#This Row],[Karana1]],0),"Bhava","Baalava","Kaulava","Taitula","Garija","Vanija","Vishti","Shakuni","Chatushapda","Naaga","Kimstugna")</f>
        <v>Vanija</v>
      </c>
      <c r="N33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(17.67)</v>
      </c>
      <c r="O334" s="124">
        <f ca="1">IF(AND(P[[#This Row],[Tithi]]&lt;28.5,P[[#This Row],[Tithi]]&gt;0.49999),MOD((P[[#This Row],[Tithi]]-0.5)*2,7),MOD((P[[#This Row],[Tithi]]+30-28.5),30)*2+7)</f>
        <v>5.4087999999999994</v>
      </c>
      <c r="P334" s="124">
        <f ca="1">ROUNDUP(MOD(360+P[[#This Row],[Moon]]-P[[#This Row],[Sun]],360)/12,4)</f>
        <v>13.7044</v>
      </c>
      <c r="Q334" s="124">
        <f t="shared" ca="1" si="55"/>
        <v>17.670000000000002</v>
      </c>
      <c r="R334" s="124" t="str">
        <f ca="1">SIGN(S335-P[[#This Row],[MARs]])*INT(P[[#This Row],[MARs]]/30+1)&amp;"Ma,"&amp;SIGN(T335-P[[#This Row],[Merc]])*INT(P[[#This Row],[Merc]]/30+1)&amp;"Me,"&amp;SIGN(U335-P[[#This Row],[Jup]])*INT(P[[#This Row],[Jup]]/30+1)&amp;"Ju,"&amp;SIGN(V335-P[[#This Row],[Venu]])*INT(P[[#This Row],[Venu]]/30+1)&amp;"Ve,"&amp;SIGN(W335-P[[#This Row],[Sat]])*INT(P[[#This Row],[Sat]]/30+1)&amp;"Sa,"&amp;INT(P[[#This Row],[Rah]]/30+1)&amp;"Ra"</f>
        <v>11Ma,-8Me,8Ju,7Ve,9Sa,4Ra</v>
      </c>
      <c r="S334" s="124">
        <f ca="1">Planet(P[[#This Row],[GMT Sun Rise]],4)</f>
        <v>309.66517199158432</v>
      </c>
      <c r="T334" s="124">
        <f ca="1">Planet(P[[#This Row],[GMT Sun Rise]],2)</f>
        <v>227.31349990348468</v>
      </c>
      <c r="U334" s="124">
        <f ca="1">Planet(P[[#This Row],[GMT Sun Rise]],5)</f>
        <v>218.87505257190463</v>
      </c>
      <c r="V334" s="124">
        <f ca="1">Planet(P[[#This Row],[GMT Sun Rise]],3)</f>
        <v>181.73476190380762</v>
      </c>
      <c r="W334" s="124">
        <f ca="1">Planet(P[[#This Row],[GMT Sun Rise]],6)</f>
        <v>252.76202885854212</v>
      </c>
      <c r="X334" s="124">
        <f ca="1">Planet(P[[#This Row],[GMT Sun Rise]],10)</f>
        <v>95.567454584388656</v>
      </c>
      <c r="Y334" s="124">
        <f ca="1">SIGN(S335-P[[#This Row],[MARs]])</f>
        <v>1</v>
      </c>
    </row>
    <row r="335" spans="1:25" x14ac:dyDescent="0.2">
      <c r="A335" s="125">
        <f t="shared" ca="1" si="56"/>
        <v>43427</v>
      </c>
      <c r="B335" s="125">
        <f t="shared" ca="1" si="49"/>
        <v>43427.229166666664</v>
      </c>
      <c r="C335" s="127">
        <f t="shared" ca="1" si="50"/>
        <v>43427.259350664135</v>
      </c>
      <c r="D335" s="127">
        <f t="shared" ca="1" si="51"/>
        <v>43426.734898865267</v>
      </c>
      <c r="E335" s="189">
        <f ca="1">P[[#This Row],[SunRise]]-TimeZone/24</f>
        <v>43427.030183997471</v>
      </c>
      <c r="F335" s="190">
        <f t="shared" ca="1" si="52"/>
        <v>216.54446510792877</v>
      </c>
      <c r="G335" s="190">
        <f t="shared" ca="1" si="53"/>
        <v>33.86830317578768</v>
      </c>
      <c r="H335" s="191">
        <f t="shared" ca="1" si="54"/>
        <v>43427.030183997471</v>
      </c>
      <c r="I335" s="124" t="str">
        <f ca="1">naks(P[[#This Row],[Moon]])</f>
        <v>Krittika</v>
      </c>
      <c r="J335" s="127">
        <f ca="1">(C336-P[[#This Row],[SunRise]])/(G336-P[[#This Row],[Moon]])*(13.3333333333333-MOD(P[[#This Row],[Moon]],13.333333333333))+P[[#This Row],[SunRise]]</f>
        <v>43427.692769371599</v>
      </c>
      <c r="K335" s="124" t="str">
        <f ca="1">IF(P[[#This Row],[Tithi]]&gt;15,"K","S")&amp;ROUNDUP(MOD(P[[#This Row],[Tithi]],15),0)&amp;" ("&amp;ROUND(P[[#This Row],[Tithi]],2)&amp;")"</f>
        <v>S15 (14.78)</v>
      </c>
      <c r="L335" s="124">
        <f ca="1">IF(AND(P[[#This Row],[Tithi]]&lt;28.5,P[[#This Row],[Tithi]]&gt;0.49999),MOD((P[[#This Row],[Tithi]]-0.5)*2,7),MOD((P[[#This Row],[Tithi]]+30-28.5),30)*2+7)</f>
        <v>0.55399999999999849</v>
      </c>
      <c r="M335" s="124" t="str">
        <f ca="1">CHOOSE(ROUNDUP(P[[#This Row],[Karana1]],0),"Bhava","Baalava","Kaulava","Taitula","Garija","Vanija","Vishti","Shakuni","Chatushapda","Naaga","Kimstugna")</f>
        <v>Bhava</v>
      </c>
      <c r="N33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(18.79)</v>
      </c>
      <c r="O335" s="124">
        <f ca="1">IF(AND(P[[#This Row],[Tithi]]&lt;28.5,P[[#This Row],[Tithi]]&gt;0.49999),MOD((P[[#This Row],[Tithi]]-0.5)*2,7),MOD((P[[#This Row],[Tithi]]+30-28.5),30)*2+7)</f>
        <v>0.55399999999999849</v>
      </c>
      <c r="P335" s="124">
        <f ca="1">ROUNDUP(MOD(360+P[[#This Row],[Moon]]-P[[#This Row],[Sun]],360)/12,4)</f>
        <v>14.776999999999999</v>
      </c>
      <c r="Q335" s="124">
        <f t="shared" ca="1" si="55"/>
        <v>18.790000000000003</v>
      </c>
      <c r="R335" s="124" t="str">
        <f ca="1">SIGN(S336-P[[#This Row],[MARs]])*INT(P[[#This Row],[MARs]]/30+1)&amp;"Ma,"&amp;SIGN(T336-P[[#This Row],[Merc]])*INT(P[[#This Row],[Merc]]/30+1)&amp;"Me,"&amp;SIGN(U336-P[[#This Row],[Jup]])*INT(P[[#This Row],[Jup]]/30+1)&amp;"Ju,"&amp;SIGN(V336-P[[#This Row],[Venu]])*INT(P[[#This Row],[Venu]]/30+1)&amp;"Ve,"&amp;SIGN(W336-P[[#This Row],[Sat]])*INT(P[[#This Row],[Sat]]/30+1)&amp;"Sa,"&amp;INT(P[[#This Row],[Rah]]/30+1)&amp;"Ra"</f>
        <v>11Ma,-8Me,8Ju,7Ve,9Sa,4Ra</v>
      </c>
      <c r="S335" s="124">
        <f ca="1">Planet(P[[#This Row],[GMT Sun Rise]],4)</f>
        <v>310.29281352082069</v>
      </c>
      <c r="T335" s="124">
        <f ca="1">Planet(P[[#This Row],[GMT Sun Rise]],2)</f>
        <v>226.38590368089922</v>
      </c>
      <c r="U335" s="124">
        <f ca="1">Planet(P[[#This Row],[GMT Sun Rise]],5)</f>
        <v>219.09814667157997</v>
      </c>
      <c r="V335" s="124">
        <f ca="1">Planet(P[[#This Row],[GMT Sun Rise]],3)</f>
        <v>181.96716470045385</v>
      </c>
      <c r="W335" s="124">
        <f ca="1">Planet(P[[#This Row],[GMT Sun Rise]],6)</f>
        <v>252.86423235948902</v>
      </c>
      <c r="X335" s="124">
        <f ca="1">Planet(P[[#This Row],[GMT Sun Rise]],10)</f>
        <v>95.51444448662582</v>
      </c>
      <c r="Y335" s="124">
        <f ca="1">SIGN(S336-P[[#This Row],[MARs]])</f>
        <v>1</v>
      </c>
    </row>
    <row r="336" spans="1:25" x14ac:dyDescent="0.2">
      <c r="A336" s="125">
        <f t="shared" ca="1" si="56"/>
        <v>43428</v>
      </c>
      <c r="B336" s="125">
        <f t="shared" ca="1" si="49"/>
        <v>43428.229166666664</v>
      </c>
      <c r="C336" s="127">
        <f t="shared" ca="1" si="50"/>
        <v>43428.259697324749</v>
      </c>
      <c r="D336" s="127">
        <f t="shared" ca="1" si="51"/>
        <v>43427.734930972612</v>
      </c>
      <c r="E336" s="189">
        <f ca="1">P[[#This Row],[SunRise]]-TimeZone/24</f>
        <v>43428.030530658085</v>
      </c>
      <c r="F336" s="190">
        <f t="shared" ca="1" si="52"/>
        <v>217.55507550975045</v>
      </c>
      <c r="G336" s="190">
        <f t="shared" ca="1" si="53"/>
        <v>48.020489817475315</v>
      </c>
      <c r="H336" s="191">
        <f t="shared" ca="1" si="54"/>
        <v>43428.030530658085</v>
      </c>
      <c r="I336" s="124" t="str">
        <f ca="1">naks(P[[#This Row],[Moon]])</f>
        <v>Rohini</v>
      </c>
      <c r="J336" s="127">
        <f ca="1">(C337-P[[#This Row],[SunRise]])/(G337-P[[#This Row],[Moon]])*(13.3333333333333-MOD(P[[#This Row],[Moon]],13.333333333333))+P[[#This Row],[SunRise]]</f>
        <v>43428.630472365621</v>
      </c>
      <c r="K336" s="124" t="str">
        <f ca="1">IF(P[[#This Row],[Tithi]]&gt;15,"K","S")&amp;ROUNDUP(MOD(P[[#This Row],[Tithi]],15),0)&amp;" ("&amp;ROUND(P[[#This Row],[Tithi]],2)&amp;")"</f>
        <v>K1 (15.87)</v>
      </c>
      <c r="L336" s="124">
        <f ca="1">IF(AND(P[[#This Row],[Tithi]]&lt;28.5,P[[#This Row],[Tithi]]&gt;0.49999),MOD((P[[#This Row],[Tithi]]-0.5)*2,7),MOD((P[[#This Row],[Tithi]]+30-28.5),30)*2+7)</f>
        <v>2.7443999999999988</v>
      </c>
      <c r="M336" s="124" t="str">
        <f ca="1">CHOOSE(ROUNDUP(P[[#This Row],[Karana1]],0),"Bhava","Baalava","Kaulava","Taitula","Garija","Vanija","Vishti","Shakuni","Chatushapda","Naaga","Kimstugna")</f>
        <v>Kaulava</v>
      </c>
      <c r="N33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(19.92)</v>
      </c>
      <c r="O336" s="124">
        <f ca="1">IF(AND(P[[#This Row],[Tithi]]&lt;28.5,P[[#This Row],[Tithi]]&gt;0.49999),MOD((P[[#This Row],[Tithi]]-0.5)*2,7),MOD((P[[#This Row],[Tithi]]+30-28.5),30)*2+7)</f>
        <v>2.7443999999999988</v>
      </c>
      <c r="P336" s="124">
        <f ca="1">ROUNDUP(MOD(360+P[[#This Row],[Moon]]-P[[#This Row],[Sun]],360)/12,4)</f>
        <v>15.872199999999999</v>
      </c>
      <c r="Q336" s="124">
        <f t="shared" ca="1" si="55"/>
        <v>19.920000000000002</v>
      </c>
      <c r="R336" s="124" t="str">
        <f ca="1">SIGN(S337-P[[#This Row],[MARs]])*INT(P[[#This Row],[MARs]]/30+1)&amp;"Ma,"&amp;SIGN(T337-P[[#This Row],[Merc]])*INT(P[[#This Row],[Merc]]/30+1)&amp;"Me,"&amp;SIGN(U337-P[[#This Row],[Jup]])*INT(P[[#This Row],[Jup]]/30+1)&amp;"Ju,"&amp;SIGN(V337-P[[#This Row],[Venu]])*INT(P[[#This Row],[Venu]]/30+1)&amp;"Ve,"&amp;SIGN(W337-P[[#This Row],[Sat]])*INT(P[[#This Row],[Sat]]/30+1)&amp;"Sa,"&amp;INT(P[[#This Row],[Rah]]/30+1)&amp;"Ra"</f>
        <v>11Ma,-8Me,8Ju,7Ve,9Sa,4Ra</v>
      </c>
      <c r="S336" s="124">
        <f ca="1">Planet(P[[#This Row],[GMT Sun Rise]],4)</f>
        <v>310.92235407798353</v>
      </c>
      <c r="T336" s="124">
        <f ca="1">Planet(P[[#This Row],[GMT Sun Rise]],2)</f>
        <v>225.30582296796743</v>
      </c>
      <c r="U336" s="124">
        <f ca="1">Planet(P[[#This Row],[GMT Sun Rise]],5)</f>
        <v>219.32135142029358</v>
      </c>
      <c r="V336" s="124">
        <f ca="1">Planet(P[[#This Row],[GMT Sun Rise]],3)</f>
        <v>182.2348140146905</v>
      </c>
      <c r="W336" s="124">
        <f ca="1">Planet(P[[#This Row],[GMT Sun Rise]],6)</f>
        <v>252.96719550270461</v>
      </c>
      <c r="X336" s="124">
        <f ca="1">Planet(P[[#This Row],[GMT Sun Rise]],10)</f>
        <v>95.461434119341078</v>
      </c>
      <c r="Y336" s="124">
        <f ca="1">SIGN(S337-P[[#This Row],[MARs]])</f>
        <v>1</v>
      </c>
    </row>
    <row r="337" spans="1:25" x14ac:dyDescent="0.2">
      <c r="A337" s="125">
        <f t="shared" ca="1" si="56"/>
        <v>43429</v>
      </c>
      <c r="B337" s="125">
        <f t="shared" ca="1" si="49"/>
        <v>43429.229166666664</v>
      </c>
      <c r="C337" s="127">
        <f t="shared" ca="1" si="50"/>
        <v>43429.260048435688</v>
      </c>
      <c r="D337" s="127">
        <f t="shared" ca="1" si="51"/>
        <v>43428.734976272142</v>
      </c>
      <c r="E337" s="189">
        <f ca="1">P[[#This Row],[SunRise]]-TimeZone/24</f>
        <v>43429.030881769024</v>
      </c>
      <c r="F337" s="190">
        <f t="shared" ca="1" si="52"/>
        <v>218.56609729398494</v>
      </c>
      <c r="G337" s="190">
        <f t="shared" ca="1" si="53"/>
        <v>62.354542349232446</v>
      </c>
      <c r="H337" s="191">
        <f t="shared" ca="1" si="54"/>
        <v>43429.030881769024</v>
      </c>
      <c r="I337" s="124" t="str">
        <f ca="1">naks(P[[#This Row],[Moon]])</f>
        <v>Mrigashira</v>
      </c>
      <c r="J337" s="127">
        <f ca="1">(C338-P[[#This Row],[SunRise]])/(G338-P[[#This Row],[Moon]])*(13.3333333333333-MOD(P[[#This Row],[Moon]],13.333333333333))+P[[#This Row],[SunRise]]</f>
        <v>43429.559164731931</v>
      </c>
      <c r="K337" s="124" t="str">
        <f ca="1">IF(P[[#This Row],[Tithi]]&gt;15,"K","S")&amp;ROUNDUP(MOD(P[[#This Row],[Tithi]],15),0)&amp;" ("&amp;ROUND(P[[#This Row],[Tithi]],2)&amp;")"</f>
        <v>K2 (16.98)</v>
      </c>
      <c r="L337" s="124">
        <f ca="1">IF(AND(P[[#This Row],[Tithi]]&lt;28.5,P[[#This Row],[Tithi]]&gt;0.49999),MOD((P[[#This Row],[Tithi]]-0.5)*2,7),MOD((P[[#This Row],[Tithi]]+30-28.5),30)*2+7)</f>
        <v>4.9647999999999968</v>
      </c>
      <c r="M337" s="124" t="str">
        <f ca="1">CHOOSE(ROUNDUP(P[[#This Row],[Karana1]],0),"Bhava","Baalava","Kaulava","Taitula","Garija","Vanija","Vishti","Shakuni","Chatushapda","Naaga","Kimstugna")</f>
        <v>Garija</v>
      </c>
      <c r="N33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(21.07)</v>
      </c>
      <c r="O337" s="124">
        <f ca="1">IF(AND(P[[#This Row],[Tithi]]&lt;28.5,P[[#This Row],[Tithi]]&gt;0.49999),MOD((P[[#This Row],[Tithi]]-0.5)*2,7),MOD((P[[#This Row],[Tithi]]+30-28.5),30)*2+7)</f>
        <v>4.9647999999999968</v>
      </c>
      <c r="P337" s="124">
        <f ca="1">ROUNDUP(MOD(360+P[[#This Row],[Moon]]-P[[#This Row],[Sun]],360)/12,4)</f>
        <v>16.982399999999998</v>
      </c>
      <c r="Q337" s="124">
        <f t="shared" ca="1" si="55"/>
        <v>21.07</v>
      </c>
      <c r="R337" s="124" t="str">
        <f ca="1">SIGN(S338-P[[#This Row],[MARs]])*INT(P[[#This Row],[MARs]]/30+1)&amp;"Ma,"&amp;SIGN(T338-P[[#This Row],[Merc]])*INT(P[[#This Row],[Merc]]/30+1)&amp;"Me,"&amp;SIGN(U338-P[[#This Row],[Jup]])*INT(P[[#This Row],[Jup]]/30+1)&amp;"Ju,"&amp;SIGN(V338-P[[#This Row],[Venu]])*INT(P[[#This Row],[Venu]]/30+1)&amp;"Ve,"&amp;SIGN(W338-P[[#This Row],[Sat]])*INT(P[[#This Row],[Sat]]/30+1)&amp;"Sa,"&amp;INT(P[[#This Row],[Rah]]/30+1)&amp;"Ra"</f>
        <v>11Ma,-8Me,8Ju,7Ve,9Sa,4Ra</v>
      </c>
      <c r="S337" s="124">
        <f ca="1">Planet(P[[#This Row],[GMT Sun Rise]],4)</f>
        <v>311.55373514396581</v>
      </c>
      <c r="T337" s="124">
        <f ca="1">Planet(P[[#This Row],[GMT Sun Rise]],2)</f>
        <v>224.09734164629202</v>
      </c>
      <c r="U337" s="124">
        <f ca="1">Planet(P[[#This Row],[GMT Sun Rise]],5)</f>
        <v>219.54465110108373</v>
      </c>
      <c r="V337" s="124">
        <f ca="1">Planet(P[[#This Row],[GMT Sun Rise]],3)</f>
        <v>182.53672723594372</v>
      </c>
      <c r="W337" s="124">
        <f ca="1">Planet(P[[#This Row],[GMT Sun Rise]],6)</f>
        <v>253.07090182938268</v>
      </c>
      <c r="X337" s="124">
        <f ca="1">Planet(P[[#This Row],[GMT Sun Rise]],10)</f>
        <v>95.40842351620195</v>
      </c>
      <c r="Y337" s="124">
        <f ca="1">SIGN(S338-P[[#This Row],[MARs]])</f>
        <v>1</v>
      </c>
    </row>
    <row r="338" spans="1:25" x14ac:dyDescent="0.2">
      <c r="A338" s="125">
        <f t="shared" ca="1" si="56"/>
        <v>43430</v>
      </c>
      <c r="B338" s="125">
        <f t="shared" ca="1" si="49"/>
        <v>43430.229166666664</v>
      </c>
      <c r="C338" s="127">
        <f t="shared" ca="1" si="50"/>
        <v>43430.260404156208</v>
      </c>
      <c r="D338" s="127">
        <f t="shared" ca="1" si="51"/>
        <v>43429.735035081903</v>
      </c>
      <c r="E338" s="189">
        <f ca="1">P[[#This Row],[SunRise]]-TimeZone/24</f>
        <v>43430.031237489544</v>
      </c>
      <c r="F338" s="190">
        <f t="shared" ca="1" si="52"/>
        <v>219.57754323609936</v>
      </c>
      <c r="G338" s="190">
        <f t="shared" ca="1" si="53"/>
        <v>76.775883756195839</v>
      </c>
      <c r="H338" s="191">
        <f t="shared" ca="1" si="54"/>
        <v>43430.031237489544</v>
      </c>
      <c r="I338" s="124" t="str">
        <f ca="1">naks(P[[#This Row],[Moon]])</f>
        <v>Ardra</v>
      </c>
      <c r="J338" s="127">
        <f ca="1">(C339-P[[#This Row],[SunRise]])/(G339-P[[#This Row],[Moon]])*(13.3333333333333-MOD(P[[#This Row],[Moon]],13.333333333333))+P[[#This Row],[SunRise]]</f>
        <v>43430.484042717726</v>
      </c>
      <c r="K338" s="124" t="str">
        <f ca="1">IF(P[[#This Row],[Tithi]]&gt;15,"K","S")&amp;ROUNDUP(MOD(P[[#This Row],[Tithi]],15),0)&amp;" ("&amp;ROUND(P[[#This Row],[Tithi]],2)&amp;")"</f>
        <v>K4 (18.1)</v>
      </c>
      <c r="L338" s="124">
        <f ca="1">IF(AND(P[[#This Row],[Tithi]]&lt;28.5,P[[#This Row],[Tithi]]&gt;0.49999),MOD((P[[#This Row],[Tithi]]-0.5)*2,7),MOD((P[[#This Row],[Tithi]]+30-28.5),30)*2+7)</f>
        <v>0.1997999999999962</v>
      </c>
      <c r="M338" s="124" t="str">
        <f ca="1">CHOOSE(ROUNDUP(P[[#This Row],[Karana1]],0),"Bhava","Baalava","Kaulava","Taitula","Garija","Vanija","Vishti","Shakuni","Chatushapda","Naaga","Kimstugna")</f>
        <v>Bhava</v>
      </c>
      <c r="N33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(22.23)</v>
      </c>
      <c r="O338" s="124">
        <f ca="1">IF(AND(P[[#This Row],[Tithi]]&lt;28.5,P[[#This Row],[Tithi]]&gt;0.49999),MOD((P[[#This Row],[Tithi]]-0.5)*2,7),MOD((P[[#This Row],[Tithi]]+30-28.5),30)*2+7)</f>
        <v>0.1997999999999962</v>
      </c>
      <c r="P338" s="124">
        <f ca="1">ROUNDUP(MOD(360+P[[#This Row],[Moon]]-P[[#This Row],[Sun]],360)/12,4)</f>
        <v>18.099899999999998</v>
      </c>
      <c r="Q338" s="124">
        <f t="shared" ca="1" si="55"/>
        <v>22.23</v>
      </c>
      <c r="R338" s="124" t="str">
        <f ca="1">SIGN(S339-P[[#This Row],[MARs]])*INT(P[[#This Row],[MARs]]/30+1)&amp;"Ma,"&amp;SIGN(T339-P[[#This Row],[Merc]])*INT(P[[#This Row],[Merc]]/30+1)&amp;"Me,"&amp;SIGN(U339-P[[#This Row],[Jup]])*INT(P[[#This Row],[Jup]]/30+1)&amp;"Ju,"&amp;SIGN(V339-P[[#This Row],[Venu]])*INT(P[[#This Row],[Venu]]/30+1)&amp;"Ve,"&amp;SIGN(W339-P[[#This Row],[Sat]])*INT(P[[#This Row],[Sat]]/30+1)&amp;"Sa,"&amp;INT(P[[#This Row],[Rah]]/30+1)&amp;"Ra"</f>
        <v>11Ma,-8Me,8Ju,7Ve,9Sa,4Ra</v>
      </c>
      <c r="S338" s="124">
        <f ca="1">Planet(P[[#This Row],[GMT Sun Rise]],4)</f>
        <v>312.18690589940991</v>
      </c>
      <c r="T338" s="124">
        <f ca="1">Planet(P[[#This Row],[GMT Sun Rise]],2)</f>
        <v>222.79306868957076</v>
      </c>
      <c r="U338" s="124">
        <f ca="1">Planet(P[[#This Row],[GMT Sun Rise]],5)</f>
        <v>219.76796305575161</v>
      </c>
      <c r="V338" s="124">
        <f ca="1">Planet(P[[#This Row],[GMT Sun Rise]],3)</f>
        <v>182.87189122540536</v>
      </c>
      <c r="W338" s="124">
        <f ca="1">Planet(P[[#This Row],[GMT Sun Rise]],6)</f>
        <v>253.17533524693806</v>
      </c>
      <c r="X338" s="124">
        <f ca="1">Planet(P[[#This Row],[GMT Sun Rise]],10)</f>
        <v>95.355412668824926</v>
      </c>
      <c r="Y338" s="124">
        <f ca="1">SIGN(S339-P[[#This Row],[MARs]])</f>
        <v>1</v>
      </c>
    </row>
    <row r="339" spans="1:25" x14ac:dyDescent="0.2">
      <c r="A339" s="125">
        <f t="shared" ca="1" si="56"/>
        <v>43431</v>
      </c>
      <c r="B339" s="125">
        <f t="shared" ca="1" si="49"/>
        <v>43431.229166666664</v>
      </c>
      <c r="C339" s="127">
        <f t="shared" ca="1" si="50"/>
        <v>43431.260764168263</v>
      </c>
      <c r="D339" s="127">
        <f t="shared" ca="1" si="51"/>
        <v>43430.735106925524</v>
      </c>
      <c r="E339" s="189">
        <f ca="1">P[[#This Row],[SunRise]]-TimeZone/24</f>
        <v>43431.031597501598</v>
      </c>
      <c r="F339" s="190">
        <f t="shared" ca="1" si="52"/>
        <v>220.58942402514708</v>
      </c>
      <c r="G339" s="190">
        <f t="shared" ca="1" si="53"/>
        <v>91.197712185922825</v>
      </c>
      <c r="H339" s="191">
        <f t="shared" ca="1" si="54"/>
        <v>43431.031597501598</v>
      </c>
      <c r="I339" s="124" t="str">
        <f ca="1">naks(P[[#This Row],[Moon]])</f>
        <v>Punarvasu</v>
      </c>
      <c r="J339" s="127">
        <f ca="1">(C340-P[[#This Row],[SunRise]])/(G340-P[[#This Row],[Moon]])*(13.3333333333333-MOD(P[[#This Row],[Moon]],13.333333333333))+P[[#This Row],[SunRise]]</f>
        <v>43431.409604783759</v>
      </c>
      <c r="K339" s="124" t="str">
        <f ca="1">IF(P[[#This Row],[Tithi]]&gt;15,"K","S")&amp;ROUNDUP(MOD(P[[#This Row],[Tithi]],15),0)&amp;" ("&amp;ROUND(P[[#This Row],[Tithi]],2)&amp;")"</f>
        <v>K5 (19.22)</v>
      </c>
      <c r="L339" s="124">
        <f ca="1">IF(AND(P[[#This Row],[Tithi]]&lt;28.5,P[[#This Row],[Tithi]]&gt;0.49999),MOD((P[[#This Row],[Tithi]]-0.5)*2,7),MOD((P[[#This Row],[Tithi]]+30-28.5),30)*2+7)</f>
        <v>2.4348000000000027</v>
      </c>
      <c r="M339" s="124" t="str">
        <f ca="1">CHOOSE(ROUNDUP(P[[#This Row],[Karana1]],0),"Bhava","Baalava","Kaulava","Taitula","Garija","Vanija","Vishti","Shakuni","Chatushapda","Naaga","Kimstugna")</f>
        <v>Kaulava</v>
      </c>
      <c r="N33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(23.39)</v>
      </c>
      <c r="O339" s="124">
        <f ca="1">IF(AND(P[[#This Row],[Tithi]]&lt;28.5,P[[#This Row],[Tithi]]&gt;0.49999),MOD((P[[#This Row],[Tithi]]-0.5)*2,7),MOD((P[[#This Row],[Tithi]]+30-28.5),30)*2+7)</f>
        <v>2.4348000000000027</v>
      </c>
      <c r="P339" s="124">
        <f ca="1">ROUNDUP(MOD(360+P[[#This Row],[Moon]]-P[[#This Row],[Sun]],360)/12,4)</f>
        <v>19.217400000000001</v>
      </c>
      <c r="Q339" s="124">
        <f t="shared" ca="1" si="55"/>
        <v>23.39</v>
      </c>
      <c r="R339" s="124" t="str">
        <f ca="1">SIGN(S340-P[[#This Row],[MARs]])*INT(P[[#This Row],[MARs]]/30+1)&amp;"Ma,"&amp;SIGN(T340-P[[#This Row],[Merc]])*INT(P[[#This Row],[Merc]]/30+1)&amp;"Me,"&amp;SIGN(U340-P[[#This Row],[Jup]])*INT(P[[#This Row],[Jup]]/30+1)&amp;"Ju,"&amp;SIGN(V340-P[[#This Row],[Venu]])*INT(P[[#This Row],[Venu]]/30+1)&amp;"Ve,"&amp;SIGN(W340-P[[#This Row],[Sat]])*INT(P[[#This Row],[Sat]]/30+1)&amp;"Sa,"&amp;INT(P[[#This Row],[Rah]]/30+1)&amp;"Ra"</f>
        <v>11Ma,-8Me,8Ju,7Ve,9Sa,4Ra</v>
      </c>
      <c r="S339" s="124">
        <f ca="1">Planet(P[[#This Row],[GMT Sun Rise]],4)</f>
        <v>312.82182231250385</v>
      </c>
      <c r="T339" s="124">
        <f ca="1">Planet(P[[#This Row],[GMT Sun Rise]],2)</f>
        <v>221.43287360593933</v>
      </c>
      <c r="U339" s="124">
        <f ca="1">Planet(P[[#This Row],[GMT Sun Rise]],5)</f>
        <v>219.99122830361614</v>
      </c>
      <c r="V339" s="124">
        <f ca="1">Planet(P[[#This Row],[GMT Sun Rise]],3)</f>
        <v>183.23926787693858</v>
      </c>
      <c r="W339" s="124">
        <f ca="1">Planet(P[[#This Row],[GMT Sun Rise]],6)</f>
        <v>253.28047974488933</v>
      </c>
      <c r="X339" s="124">
        <f ca="1">Planet(P[[#This Row],[GMT Sun Rise]],10)</f>
        <v>95.302401594043701</v>
      </c>
      <c r="Y339" s="124">
        <f ca="1">SIGN(S340-P[[#This Row],[MARs]])</f>
        <v>1</v>
      </c>
    </row>
    <row r="340" spans="1:25" x14ac:dyDescent="0.2">
      <c r="A340" s="125">
        <f t="shared" ca="1" si="56"/>
        <v>43432</v>
      </c>
      <c r="B340" s="125">
        <f t="shared" ca="1" si="49"/>
        <v>43432.229166666664</v>
      </c>
      <c r="C340" s="127">
        <f t="shared" ca="1" si="50"/>
        <v>43432.261128153805</v>
      </c>
      <c r="D340" s="127">
        <f t="shared" ca="1" si="51"/>
        <v>43431.735192120119</v>
      </c>
      <c r="E340" s="189">
        <f ca="1">P[[#This Row],[SunRise]]-TimeZone/24</f>
        <v>43432.031961487141</v>
      </c>
      <c r="F340" s="190">
        <f t="shared" ca="1" si="52"/>
        <v>221.60174711416221</v>
      </c>
      <c r="G340" s="190">
        <f t="shared" ca="1" si="53"/>
        <v>105.55131100391795</v>
      </c>
      <c r="H340" s="191">
        <f t="shared" ca="1" si="54"/>
        <v>43432.031961487141</v>
      </c>
      <c r="I340" s="124" t="str">
        <f ca="1">naks(P[[#This Row],[Moon]])</f>
        <v>Pushya</v>
      </c>
      <c r="J340" s="127">
        <f ca="1">(C341-P[[#This Row],[SunRise]])/(G341-P[[#This Row],[Moon]])*(13.3333333333333-MOD(P[[#This Row],[Moon]],13.333333333333))+P[[#This Row],[SunRise]]</f>
        <v>43432.339491106337</v>
      </c>
      <c r="K340" s="124" t="str">
        <f ca="1">IF(P[[#This Row],[Tithi]]&gt;15,"K","S")&amp;ROUNDUP(MOD(P[[#This Row],[Tithi]],15),0)&amp;" ("&amp;ROUND(P[[#This Row],[Tithi]],2)&amp;")"</f>
        <v>K6 (20.33)</v>
      </c>
      <c r="L340" s="124">
        <f ca="1">IF(AND(P[[#This Row],[Tithi]]&lt;28.5,P[[#This Row],[Tithi]]&gt;0.49999),MOD((P[[#This Row],[Tithi]]-0.5)*2,7),MOD((P[[#This Row],[Tithi]]+30-28.5),30)*2+7)</f>
        <v>4.6584000000000003</v>
      </c>
      <c r="M340" s="124" t="str">
        <f ca="1">CHOOSE(ROUNDUP(P[[#This Row],[Karana1]],0),"Bhava","Baalava","Kaulava","Taitula","Garija","Vanija","Vishti","Shakuni","Chatushapda","Naaga","Kimstugna")</f>
        <v>Garija</v>
      </c>
      <c r="N34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(24.54)</v>
      </c>
      <c r="O340" s="124">
        <f ca="1">IF(AND(P[[#This Row],[Tithi]]&lt;28.5,P[[#This Row],[Tithi]]&gt;0.49999),MOD((P[[#This Row],[Tithi]]-0.5)*2,7),MOD((P[[#This Row],[Tithi]]+30-28.5),30)*2+7)</f>
        <v>4.6584000000000003</v>
      </c>
      <c r="P340" s="124">
        <f ca="1">ROUNDUP(MOD(360+P[[#This Row],[Moon]]-P[[#This Row],[Sun]],360)/12,4)</f>
        <v>20.3292</v>
      </c>
      <c r="Q340" s="124">
        <f t="shared" ca="1" si="55"/>
        <v>24.540000000000003</v>
      </c>
      <c r="R340" s="124" t="str">
        <f ca="1">SIGN(S341-P[[#This Row],[MARs]])*INT(P[[#This Row],[MARs]]/30+1)&amp;"Ma,"&amp;SIGN(T341-P[[#This Row],[Merc]])*INT(P[[#This Row],[Merc]]/30+1)&amp;"Me,"&amp;SIGN(U341-P[[#This Row],[Jup]])*INT(P[[#This Row],[Jup]]/30+1)&amp;"Ju,"&amp;SIGN(V341-P[[#This Row],[Venu]])*INT(P[[#This Row],[Venu]]/30+1)&amp;"Ve,"&amp;SIGN(W341-P[[#This Row],[Sat]])*INT(P[[#This Row],[Sat]]/30+1)&amp;"Sa,"&amp;INT(P[[#This Row],[Rah]]/30+1)&amp;"Ra"</f>
        <v>11Ma,-8Me,8Ju,7Ve,9Sa,4Ra</v>
      </c>
      <c r="S340" s="124">
        <f ca="1">Planet(P[[#This Row],[GMT Sun Rise]],4)</f>
        <v>313.45844659319943</v>
      </c>
      <c r="T340" s="124">
        <f ca="1">Planet(P[[#This Row],[GMT Sun Rise]],2)</f>
        <v>220.0614949374216</v>
      </c>
      <c r="U340" s="124">
        <f ca="1">Planet(P[[#This Row],[GMT Sun Rise]],5)</f>
        <v>220.21467114301529</v>
      </c>
      <c r="V340" s="124">
        <f ca="1">Planet(P[[#This Row],[GMT Sun Rise]],3)</f>
        <v>183.63780055212493</v>
      </c>
      <c r="W340" s="124">
        <f ca="1">Planet(P[[#This Row],[GMT Sun Rise]],6)</f>
        <v>253.38631925147169</v>
      </c>
      <c r="X340" s="124">
        <f ca="1">Planet(P[[#This Row],[GMT Sun Rise]],10)</f>
        <v>95.249390308659201</v>
      </c>
      <c r="Y340" s="124">
        <f ca="1">SIGN(S341-P[[#This Row],[MARs]])</f>
        <v>1</v>
      </c>
    </row>
    <row r="341" spans="1:25" x14ac:dyDescent="0.2">
      <c r="A341" s="125">
        <f t="shared" ca="1" si="56"/>
        <v>43433</v>
      </c>
      <c r="B341" s="125">
        <f t="shared" ca="1" si="49"/>
        <v>43433.229166666664</v>
      </c>
      <c r="C341" s="127">
        <f t="shared" ca="1" si="50"/>
        <v>43433.261495795254</v>
      </c>
      <c r="D341" s="127">
        <f t="shared" ca="1" si="51"/>
        <v>43432.73529066662</v>
      </c>
      <c r="E341" s="189">
        <f ca="1">P[[#This Row],[SunRise]]-TimeZone/24</f>
        <v>43433.032329128589</v>
      </c>
      <c r="F341" s="190">
        <f t="shared" ca="1" si="52"/>
        <v>222.61451542279093</v>
      </c>
      <c r="G341" s="190">
        <f t="shared" ca="1" si="53"/>
        <v>119.78974482571478</v>
      </c>
      <c r="H341" s="191">
        <f t="shared" ca="1" si="54"/>
        <v>43433.032329128589</v>
      </c>
      <c r="I341" s="124" t="str">
        <f ca="1">naks(P[[#This Row],[Moon]])</f>
        <v>Aslesha</v>
      </c>
      <c r="J341" s="127">
        <f ca="1">(C342-P[[#This Row],[SunRise]])/(G342-P[[#This Row],[Moon]])*(13.3333333333333-MOD(P[[#This Row],[Moon]],13.333333333333))+P[[#This Row],[SunRise]]</f>
        <v>43433.276417590016</v>
      </c>
      <c r="K341" s="124" t="str">
        <f ca="1">IF(P[[#This Row],[Tithi]]&gt;15,"K","S")&amp;ROUNDUP(MOD(P[[#This Row],[Tithi]],15),0)&amp;" ("&amp;ROUND(P[[#This Row],[Tithi]],2)&amp;")"</f>
        <v>K7 (21.43)</v>
      </c>
      <c r="L341" s="124">
        <f ca="1">IF(AND(P[[#This Row],[Tithi]]&lt;28.5,P[[#This Row],[Tithi]]&gt;0.49999),MOD((P[[#This Row],[Tithi]]-0.5)*2,7),MOD((P[[#This Row],[Tithi]]+30-28.5),30)*2+7)</f>
        <v>6.8626000000000005</v>
      </c>
      <c r="M341" s="124" t="str">
        <f ca="1">CHOOSE(ROUNDUP(P[[#This Row],[Karana1]],0),"Bhava","Baalava","Kaulava","Taitula","Garija","Vanija","Vishti","Shakuni","Chatushapda","Naaga","Kimstugna")</f>
        <v>Vishti</v>
      </c>
      <c r="N34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(25.69)</v>
      </c>
      <c r="O341" s="124">
        <f ca="1">IF(AND(P[[#This Row],[Tithi]]&lt;28.5,P[[#This Row],[Tithi]]&gt;0.49999),MOD((P[[#This Row],[Tithi]]-0.5)*2,7),MOD((P[[#This Row],[Tithi]]+30-28.5),30)*2+7)</f>
        <v>6.8626000000000005</v>
      </c>
      <c r="P341" s="124">
        <f ca="1">ROUNDUP(MOD(360+P[[#This Row],[Moon]]-P[[#This Row],[Sun]],360)/12,4)</f>
        <v>21.4313</v>
      </c>
      <c r="Q341" s="124">
        <f t="shared" ca="1" si="55"/>
        <v>25.69</v>
      </c>
      <c r="R341" s="124" t="str">
        <f ca="1">SIGN(S342-P[[#This Row],[MARs]])*INT(P[[#This Row],[MARs]]/30+1)&amp;"Ma,"&amp;SIGN(T342-P[[#This Row],[Merc]])*INT(P[[#This Row],[Merc]]/30+1)&amp;"Me,"&amp;SIGN(U342-P[[#This Row],[Jup]])*INT(P[[#This Row],[Jup]]/30+1)&amp;"Ju,"&amp;SIGN(V342-P[[#This Row],[Venu]])*INT(P[[#This Row],[Venu]]/30+1)&amp;"Ve,"&amp;SIGN(W342-P[[#This Row],[Sat]])*INT(P[[#This Row],[Sat]]/30+1)&amp;"Sa,"&amp;INT(P[[#This Row],[Rah]]/30+1)&amp;"Ra"</f>
        <v>11Ma,-8Me,8Ju,7Ve,9Sa,4Ra</v>
      </c>
      <c r="S341" s="124">
        <f ca="1">Planet(P[[#This Row],[GMT Sun Rise]],4)</f>
        <v>314.09674570541358</v>
      </c>
      <c r="T341" s="124">
        <f ca="1">Planet(P[[#This Row],[GMT Sun Rise]],2)</f>
        <v>218.72529651956418</v>
      </c>
      <c r="U341" s="124">
        <f ca="1">Planet(P[[#This Row],[GMT Sun Rise]],5)</f>
        <v>220.43812359983258</v>
      </c>
      <c r="V341" s="124">
        <f ca="1">Planet(P[[#This Row],[GMT Sun Rise]],3)</f>
        <v>184.06642132314809</v>
      </c>
      <c r="W341" s="124">
        <f ca="1">Planet(P[[#This Row],[GMT Sun Rise]],6)</f>
        <v>253.49283743276689</v>
      </c>
      <c r="X341" s="124">
        <f ca="1">Planet(P[[#This Row],[GMT Sun Rise]],10)</f>
        <v>95.196378829571515</v>
      </c>
      <c r="Y341" s="124">
        <f ca="1">SIGN(S342-P[[#This Row],[MARs]])</f>
        <v>1</v>
      </c>
    </row>
    <row r="342" spans="1:25" x14ac:dyDescent="0.2">
      <c r="A342" s="125">
        <f t="shared" ca="1" si="56"/>
        <v>43434</v>
      </c>
      <c r="B342" s="125">
        <f t="shared" ca="1" si="49"/>
        <v>43434.229166666664</v>
      </c>
      <c r="C342" s="127">
        <f t="shared" ca="1" si="50"/>
        <v>43434.261866933819</v>
      </c>
      <c r="D342" s="127">
        <f t="shared" ca="1" si="51"/>
        <v>43433.735402087725</v>
      </c>
      <c r="E342" s="189">
        <f ca="1">P[[#This Row],[SunRise]]-TimeZone/24</f>
        <v>43434.032700267155</v>
      </c>
      <c r="F342" s="190">
        <f t="shared" ca="1" si="52"/>
        <v>223.62772678433171</v>
      </c>
      <c r="G342" s="190">
        <f t="shared" ca="1" si="53"/>
        <v>133.88544922663718</v>
      </c>
      <c r="H342" s="191">
        <f t="shared" ca="1" si="54"/>
        <v>43434.032700267155</v>
      </c>
      <c r="I342" s="124" t="str">
        <f ca="1">naks(P[[#This Row],[Moon]])</f>
        <v>Purva Phalguni</v>
      </c>
      <c r="J342" s="127">
        <f ca="1">(C343-P[[#This Row],[SunRise]])/(G343-P[[#This Row],[Moon]])*(13.3333333333333-MOD(P[[#This Row],[Moon]],13.333333333333))+P[[#This Row],[SunRise]]</f>
        <v>43435.17917218346</v>
      </c>
      <c r="K342" s="124" t="str">
        <f ca="1">IF(P[[#This Row],[Tithi]]&gt;15,"K","S")&amp;ROUNDUP(MOD(P[[#This Row],[Tithi]],15),0)&amp;" ("&amp;ROUND(P[[#This Row],[Tithi]],2)&amp;")"</f>
        <v>K8 (22.52)</v>
      </c>
      <c r="L342" s="124">
        <f ca="1">IF(AND(P[[#This Row],[Tithi]]&lt;28.5,P[[#This Row],[Tithi]]&gt;0.49999),MOD((P[[#This Row],[Tithi]]-0.5)*2,7),MOD((P[[#This Row],[Tithi]]+30-28.5),30)*2+7)</f>
        <v>2.0429999999999993</v>
      </c>
      <c r="M342" s="124" t="str">
        <f ca="1">CHOOSE(ROUNDUP(P[[#This Row],[Karana1]],0),"Bhava","Baalava","Kaulava","Taitula","Garija","Vanija","Vishti","Shakuni","Chatushapda","Naaga","Kimstugna")</f>
        <v>Kaulava</v>
      </c>
      <c r="N34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(26.82)</v>
      </c>
      <c r="O342" s="124">
        <f ca="1">IF(AND(P[[#This Row],[Tithi]]&lt;28.5,P[[#This Row],[Tithi]]&gt;0.49999),MOD((P[[#This Row],[Tithi]]-0.5)*2,7),MOD((P[[#This Row],[Tithi]]+30-28.5),30)*2+7)</f>
        <v>2.0429999999999993</v>
      </c>
      <c r="P342" s="124">
        <f ca="1">ROUNDUP(MOD(360+P[[#This Row],[Moon]]-P[[#This Row],[Sun]],360)/12,4)</f>
        <v>22.5215</v>
      </c>
      <c r="Q342" s="124">
        <f t="shared" ca="1" si="55"/>
        <v>26.82</v>
      </c>
      <c r="R342" s="124" t="str">
        <f ca="1">SIGN(S343-P[[#This Row],[MARs]])*INT(P[[#This Row],[MARs]]/30+1)&amp;"Ma,"&amp;SIGN(T343-P[[#This Row],[Merc]])*INT(P[[#This Row],[Merc]]/30+1)&amp;"Me,"&amp;SIGN(U343-P[[#This Row],[Jup]])*INT(P[[#This Row],[Jup]]/30+1)&amp;"Ju,"&amp;SIGN(V343-P[[#This Row],[Venu]])*INT(P[[#This Row],[Venu]]/30+1)&amp;"Ve,"&amp;SIGN(W343-P[[#This Row],[Sat]])*INT(P[[#This Row],[Sat]]/30+1)&amp;"Sa,"&amp;INT(P[[#This Row],[Rah]]/30+1)&amp;"Ra"</f>
        <v>11Ma,-8Me,8Ju,7Ve,9Sa,4Ra</v>
      </c>
      <c r="S342" s="124">
        <f ca="1">Planet(P[[#This Row],[GMT Sun Rise]],4)</f>
        <v>314.73668962390087</v>
      </c>
      <c r="T342" s="124">
        <f ca="1">Planet(P[[#This Row],[GMT Sun Rise]],2)</f>
        <v>217.468694336607</v>
      </c>
      <c r="U342" s="124">
        <f ca="1">Planet(P[[#This Row],[GMT Sun Rise]],5)</f>
        <v>220.66155692215477</v>
      </c>
      <c r="V342" s="124">
        <f ca="1">Planet(P[[#This Row],[GMT Sun Rise]],3)</f>
        <v>184.5240591876848</v>
      </c>
      <c r="W342" s="124">
        <f ca="1">Planet(P[[#This Row],[GMT Sun Rise]],6)</f>
        <v>253.60001754420674</v>
      </c>
      <c r="X342" s="124">
        <f ca="1">Planet(P[[#This Row],[GMT Sun Rise]],10)</f>
        <v>95.143367165181061</v>
      </c>
      <c r="Y342" s="124">
        <f ca="1">SIGN(S343-P[[#This Row],[MARs]])</f>
        <v>1</v>
      </c>
    </row>
    <row r="343" spans="1:25" x14ac:dyDescent="0.2">
      <c r="A343" s="125">
        <f t="shared" ca="1" si="56"/>
        <v>43435</v>
      </c>
      <c r="B343" s="125">
        <f t="shared" ca="1" si="49"/>
        <v>43435.229166666664</v>
      </c>
      <c r="C343" s="127">
        <f t="shared" ca="1" si="50"/>
        <v>43435.262241250988</v>
      </c>
      <c r="D343" s="127">
        <f t="shared" ca="1" si="51"/>
        <v>43434.735526701013</v>
      </c>
      <c r="E343" s="189">
        <f ca="1">P[[#This Row],[SunRise]]-TimeZone/24</f>
        <v>43435.033074584324</v>
      </c>
      <c r="F343" s="190">
        <f t="shared" ca="1" si="52"/>
        <v>224.64137354982168</v>
      </c>
      <c r="G343" s="190">
        <f t="shared" ca="1" si="53"/>
        <v>147.82410451523842</v>
      </c>
      <c r="H343" s="191">
        <f t="shared" ca="1" si="54"/>
        <v>43435.033074584324</v>
      </c>
      <c r="I343" s="124" t="str">
        <f ca="1">naks(P[[#This Row],[Moon]])</f>
        <v>Uttara Phalguni</v>
      </c>
      <c r="J343" s="127">
        <f ca="1">(C344-P[[#This Row],[SunRise]])/(G344-P[[#This Row],[Moon]])*(13.3333333333333-MOD(P[[#This Row],[Moon]],13.333333333333))+P[[#This Row],[SunRise]]</f>
        <v>43436.146589640666</v>
      </c>
      <c r="K343" s="124" t="str">
        <f ca="1">IF(P[[#This Row],[Tithi]]&gt;15,"K","S")&amp;ROUNDUP(MOD(P[[#This Row],[Tithi]],15),0)&amp;" ("&amp;ROUND(P[[#This Row],[Tithi]],2)&amp;")"</f>
        <v>K9 (23.6)</v>
      </c>
      <c r="L343" s="124">
        <f ca="1">IF(AND(P[[#This Row],[Tithi]]&lt;28.5,P[[#This Row],[Tithi]]&gt;0.49999),MOD((P[[#This Row],[Tithi]]-0.5)*2,7),MOD((P[[#This Row],[Tithi]]+30-28.5),30)*2+7)</f>
        <v>4.1972000000000023</v>
      </c>
      <c r="M343" s="124" t="str">
        <f ca="1">CHOOSE(ROUNDUP(P[[#This Row],[Karana1]],0),"Bhava","Baalava","Kaulava","Taitula","Garija","Vanija","Vishti","Shakuni","Chatushapda","Naaga","Kimstugna")</f>
        <v>Garija</v>
      </c>
      <c r="N34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(0.94)</v>
      </c>
      <c r="O343" s="124">
        <f ca="1">IF(AND(P[[#This Row],[Tithi]]&lt;28.5,P[[#This Row],[Tithi]]&gt;0.49999),MOD((P[[#This Row],[Tithi]]-0.5)*2,7),MOD((P[[#This Row],[Tithi]]+30-28.5),30)*2+7)</f>
        <v>4.1972000000000023</v>
      </c>
      <c r="P343" s="124">
        <f ca="1">ROUNDUP(MOD(360+P[[#This Row],[Moon]]-P[[#This Row],[Sun]],360)/12,4)</f>
        <v>23.598600000000001</v>
      </c>
      <c r="Q343" s="124">
        <f t="shared" ca="1" si="55"/>
        <v>0.94000000000000006</v>
      </c>
      <c r="R343" s="124" t="str">
        <f ca="1">SIGN(S344-P[[#This Row],[MARs]])*INT(P[[#This Row],[MARs]]/30+1)&amp;"Ma,"&amp;SIGN(T344-P[[#This Row],[Merc]])*INT(P[[#This Row],[Merc]]/30+1)&amp;"Me,"&amp;SIGN(U344-P[[#This Row],[Jup]])*INT(P[[#This Row],[Jup]]/30+1)&amp;"Ju,"&amp;SIGN(V344-P[[#This Row],[Venu]])*INT(P[[#This Row],[Venu]]/30+1)&amp;"Ve,"&amp;SIGN(W344-P[[#This Row],[Sat]])*INT(P[[#This Row],[Sat]]/30+1)&amp;"Sa,"&amp;INT(P[[#This Row],[Rah]]/30+1)&amp;"Ra"</f>
        <v>11Ma,-8Me,8Ju,7Ve,9Sa,4Ra</v>
      </c>
      <c r="S343" s="124">
        <f ca="1">Planet(P[[#This Row],[GMT Sun Rise]],4)</f>
        <v>315.37824929457133</v>
      </c>
      <c r="T343" s="124">
        <f ca="1">Planet(P[[#This Row],[GMT Sun Rise]],2)</f>
        <v>216.33088515769614</v>
      </c>
      <c r="U343" s="124">
        <f ca="1">Planet(P[[#This Row],[GMT Sun Rise]],5)</f>
        <v>220.88495225461705</v>
      </c>
      <c r="V343" s="124">
        <f ca="1">Planet(P[[#This Row],[GMT Sun Rise]],3)</f>
        <v>185.00964839568769</v>
      </c>
      <c r="W343" s="124">
        <f ca="1">Planet(P[[#This Row],[GMT Sun Rise]],6)</f>
        <v>253.70784228320326</v>
      </c>
      <c r="X343" s="124">
        <f ca="1">Planet(P[[#This Row],[GMT Sun Rise]],10)</f>
        <v>95.090355332321664</v>
      </c>
      <c r="Y343" s="124">
        <f ca="1">SIGN(S344-P[[#This Row],[MARs]])</f>
        <v>1</v>
      </c>
    </row>
    <row r="344" spans="1:25" x14ac:dyDescent="0.2">
      <c r="A344" s="125">
        <f t="shared" ca="1" si="56"/>
        <v>43436</v>
      </c>
      <c r="B344" s="125">
        <f t="shared" ca="1" si="49"/>
        <v>43436.229166666664</v>
      </c>
      <c r="C344" s="127">
        <f t="shared" ca="1" si="50"/>
        <v>43436.26261842918</v>
      </c>
      <c r="D344" s="127">
        <f t="shared" ca="1" si="51"/>
        <v>43435.735664030115</v>
      </c>
      <c r="E344" s="189">
        <f ca="1">P[[#This Row],[SunRise]]-TimeZone/24</f>
        <v>43436.033451762516</v>
      </c>
      <c r="F344" s="190">
        <f t="shared" ca="1" si="52"/>
        <v>225.65544319204398</v>
      </c>
      <c r="G344" s="190">
        <f t="shared" ca="1" si="53"/>
        <v>161.59750887617344</v>
      </c>
      <c r="H344" s="191">
        <f t="shared" ca="1" si="54"/>
        <v>43436.033451762516</v>
      </c>
      <c r="I344" s="124" t="str">
        <f ca="1">naks(P[[#This Row],[Moon]])</f>
        <v>Hasta</v>
      </c>
      <c r="J344" s="127">
        <f ca="1">(C345-P[[#This Row],[SunRise]])/(G345-P[[#This Row],[Moon]])*(13.3333333333333-MOD(P[[#This Row],[Moon]],13.333333333333))+P[[#This Row],[SunRise]]</f>
        <v>43437.125871064207</v>
      </c>
      <c r="K344" s="124" t="str">
        <f ca="1">IF(P[[#This Row],[Tithi]]&gt;15,"K","S")&amp;ROUNDUP(MOD(P[[#This Row],[Tithi]],15),0)&amp;" ("&amp;ROUND(P[[#This Row],[Tithi]],2)&amp;")"</f>
        <v>K10 (24.66)</v>
      </c>
      <c r="L344" s="124">
        <f ca="1">IF(AND(P[[#This Row],[Tithi]]&lt;28.5,P[[#This Row],[Tithi]]&gt;0.49999),MOD((P[[#This Row],[Tithi]]-0.5)*2,7),MOD((P[[#This Row],[Tithi]]+30-28.5),30)*2+7)</f>
        <v>6.3237999999999985</v>
      </c>
      <c r="M344" s="124" t="str">
        <f ca="1">CHOOSE(ROUNDUP(P[[#This Row],[Karana1]],0),"Bhava","Baalava","Kaulava","Taitula","Garija","Vanija","Vishti","Shakuni","Chatushapda","Naaga","Kimstugna")</f>
        <v>Vishti</v>
      </c>
      <c r="N34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(2.05)</v>
      </c>
      <c r="O344" s="124">
        <f ca="1">IF(AND(P[[#This Row],[Tithi]]&lt;28.5,P[[#This Row],[Tithi]]&gt;0.49999),MOD((P[[#This Row],[Tithi]]-0.5)*2,7),MOD((P[[#This Row],[Tithi]]+30-28.5),30)*2+7)</f>
        <v>6.3237999999999985</v>
      </c>
      <c r="P344" s="124">
        <f ca="1">ROUNDUP(MOD(360+P[[#This Row],[Moon]]-P[[#This Row],[Sun]],360)/12,4)</f>
        <v>24.661899999999999</v>
      </c>
      <c r="Q344" s="124">
        <f t="shared" ca="1" si="55"/>
        <v>2.0499999999999998</v>
      </c>
      <c r="R344" s="124" t="str">
        <f ca="1">SIGN(S345-P[[#This Row],[MARs]])*INT(P[[#This Row],[MARs]]/30+1)&amp;"Ma,"&amp;SIGN(T345-P[[#This Row],[Merc]])*INT(P[[#This Row],[Merc]]/30+1)&amp;"Me,"&amp;SIGN(U345-P[[#This Row],[Jup]])*INT(P[[#This Row],[Jup]]/30+1)&amp;"Ju,"&amp;SIGN(V345-P[[#This Row],[Venu]])*INT(P[[#This Row],[Venu]]/30+1)&amp;"Ve,"&amp;SIGN(W345-P[[#This Row],[Sat]])*INT(P[[#This Row],[Sat]]/30+1)&amp;"Sa,"&amp;INT(P[[#This Row],[Rah]]/30+1)&amp;"Ra"</f>
        <v>11Ma,-8Me,8Ju,7Ve,9Sa,4Ra</v>
      </c>
      <c r="S344" s="124">
        <f ca="1">Planet(P[[#This Row],[GMT Sun Rise]],4)</f>
        <v>316.02139521401847</v>
      </c>
      <c r="T344" s="124">
        <f ca="1">Planet(P[[#This Row],[GMT Sun Rise]],2)</f>
        <v>215.34341730277401</v>
      </c>
      <c r="U344" s="124">
        <f ca="1">Planet(P[[#This Row],[GMT Sun Rise]],5)</f>
        <v>221.10828813950548</v>
      </c>
      <c r="V344" s="124">
        <f ca="1">Planet(P[[#This Row],[GMT Sun Rise]],3)</f>
        <v>185.52213648194208</v>
      </c>
      <c r="W344" s="124">
        <f ca="1">Planet(P[[#This Row],[GMT Sun Rise]],6)</f>
        <v>253.81629376273301</v>
      </c>
      <c r="X344" s="124">
        <f ca="1">Planet(P[[#This Row],[GMT Sun Rise]],10)</f>
        <v>95.0373433478604</v>
      </c>
      <c r="Y344" s="124">
        <f ca="1">SIGN(S345-P[[#This Row],[MARs]])</f>
        <v>1</v>
      </c>
    </row>
    <row r="345" spans="1:25" x14ac:dyDescent="0.2">
      <c r="A345" s="125">
        <f t="shared" ca="1" si="56"/>
        <v>43437</v>
      </c>
      <c r="B345" s="125">
        <f t="shared" ca="1" si="49"/>
        <v>43437.229166666664</v>
      </c>
      <c r="C345" s="127">
        <f t="shared" ca="1" si="50"/>
        <v>43437.262997991558</v>
      </c>
      <c r="D345" s="127">
        <f t="shared" ca="1" si="51"/>
        <v>43436.73581423382</v>
      </c>
      <c r="E345" s="189">
        <f ca="1">P[[#This Row],[SunRise]]-TimeZone/24</f>
        <v>43437.033831324894</v>
      </c>
      <c r="F345" s="190">
        <f t="shared" ca="1" si="52"/>
        <v>226.66991886856658</v>
      </c>
      <c r="G345" s="190">
        <f t="shared" ca="1" si="53"/>
        <v>175.19755880152178</v>
      </c>
      <c r="H345" s="191">
        <f t="shared" ca="1" si="54"/>
        <v>43437.033831324894</v>
      </c>
      <c r="I345" s="124" t="str">
        <f ca="1">naks(P[[#This Row],[Moon]])</f>
        <v>Chitra</v>
      </c>
      <c r="J345" s="127">
        <f ca="1">(C346-P[[#This Row],[SunRise]])/(G346-P[[#This Row],[Moon]])*(13.3333333333333-MOD(P[[#This Row],[Moon]],13.333333333333))+P[[#This Row],[SunRise]]</f>
        <v>43438.118257741837</v>
      </c>
      <c r="K345" s="124" t="str">
        <f ca="1">IF(P[[#This Row],[Tithi]]&gt;15,"K","S")&amp;ROUNDUP(MOD(P[[#This Row],[Tithi]],15),0)&amp;" ("&amp;ROUND(P[[#This Row],[Tithi]],2)&amp;")"</f>
        <v>K11 (25.71)</v>
      </c>
      <c r="L345" s="124">
        <f ca="1">IF(AND(P[[#This Row],[Tithi]]&lt;28.5,P[[#This Row],[Tithi]]&gt;0.49999),MOD((P[[#This Row],[Tithi]]-0.5)*2,7),MOD((P[[#This Row],[Tithi]]+30-28.5),30)*2+7)</f>
        <v>1.4213999999999984</v>
      </c>
      <c r="M345" s="124" t="str">
        <f ca="1">CHOOSE(ROUNDUP(P[[#This Row],[Karana1]],0),"Bhava","Baalava","Kaulava","Taitula","Garija","Vanija","Vishti","Shakuni","Chatushapda","Naaga","Kimstugna")</f>
        <v>Baalava</v>
      </c>
      <c r="N34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(3.15)</v>
      </c>
      <c r="O345" s="124">
        <f ca="1">IF(AND(P[[#This Row],[Tithi]]&lt;28.5,P[[#This Row],[Tithi]]&gt;0.49999),MOD((P[[#This Row],[Tithi]]-0.5)*2,7),MOD((P[[#This Row],[Tithi]]+30-28.5),30)*2+7)</f>
        <v>1.4213999999999984</v>
      </c>
      <c r="P345" s="124">
        <f ca="1">ROUNDUP(MOD(360+P[[#This Row],[Moon]]-P[[#This Row],[Sun]],360)/12,4)</f>
        <v>25.710699999999999</v>
      </c>
      <c r="Q345" s="124">
        <f t="shared" ca="1" si="55"/>
        <v>3.15</v>
      </c>
      <c r="R345" s="124" t="str">
        <f ca="1">SIGN(S346-P[[#This Row],[MARs]])*INT(P[[#This Row],[MARs]]/30+1)&amp;"Ma,"&amp;SIGN(T346-P[[#This Row],[Merc]])*INT(P[[#This Row],[Merc]]/30+1)&amp;"Me,"&amp;SIGN(U346-P[[#This Row],[Jup]])*INT(P[[#This Row],[Jup]]/30+1)&amp;"Ju,"&amp;SIGN(V346-P[[#This Row],[Venu]])*INT(P[[#This Row],[Venu]]/30+1)&amp;"Ve,"&amp;SIGN(W346-P[[#This Row],[Sat]])*INT(P[[#This Row],[Sat]]/30+1)&amp;"Sa,"&amp;INT(P[[#This Row],[Rah]]/30+1)&amp;"Ra"</f>
        <v>11Ma,-8Me,8Ju,7Ve,9Sa,4Ra</v>
      </c>
      <c r="S345" s="124">
        <f ca="1">Planet(P[[#This Row],[GMT Sun Rise]],4)</f>
        <v>316.66609625118957</v>
      </c>
      <c r="T345" s="124">
        <f ca="1">Planet(P[[#This Row],[GMT Sun Rise]],2)</f>
        <v>214.52890305198227</v>
      </c>
      <c r="U345" s="124">
        <f ca="1">Planet(P[[#This Row],[GMT Sun Rise]],5)</f>
        <v>221.33154133508322</v>
      </c>
      <c r="V345" s="124">
        <f ca="1">Planet(P[[#This Row],[GMT Sun Rise]],3)</f>
        <v>186.06049099199601</v>
      </c>
      <c r="W345" s="124">
        <f ca="1">Planet(P[[#This Row],[GMT Sun Rise]],6)</f>
        <v>253.92535350101519</v>
      </c>
      <c r="X345" s="124">
        <f ca="1">Planet(P[[#This Row],[GMT Sun Rise]],10)</f>
        <v>94.984331237081307</v>
      </c>
      <c r="Y345" s="124">
        <f ca="1">SIGN(S346-P[[#This Row],[MARs]])</f>
        <v>1</v>
      </c>
    </row>
    <row r="346" spans="1:25" x14ac:dyDescent="0.2">
      <c r="A346" s="125">
        <f t="shared" ca="1" si="56"/>
        <v>43438</v>
      </c>
      <c r="B346" s="125">
        <f t="shared" ca="1" si="49"/>
        <v>43438.229166666664</v>
      </c>
      <c r="C346" s="127">
        <f t="shared" ca="1" si="50"/>
        <v>43438.263379620075</v>
      </c>
      <c r="D346" s="127">
        <f t="shared" ca="1" si="51"/>
        <v>43437.735976835291</v>
      </c>
      <c r="E346" s="189">
        <f ca="1">P[[#This Row],[SunRise]]-TimeZone/24</f>
        <v>43438.034212953411</v>
      </c>
      <c r="F346" s="190">
        <f t="shared" ca="1" si="52"/>
        <v>227.68478053674795</v>
      </c>
      <c r="G346" s="190">
        <f t="shared" ca="1" si="53"/>
        <v>188.612763714501</v>
      </c>
      <c r="H346" s="191">
        <f t="shared" ca="1" si="54"/>
        <v>43438.034212953411</v>
      </c>
      <c r="I346" s="124" t="str">
        <f ca="1">naks(P[[#This Row],[Moon]])</f>
        <v>Swati</v>
      </c>
      <c r="J346" s="127">
        <f ca="1">(C347-P[[#This Row],[SunRise]])/(G347-P[[#This Row],[Moon]])*(13.3333333333333-MOD(P[[#This Row],[Moon]],13.333333333333))+P[[#This Row],[SunRise]]</f>
        <v>43439.125388012086</v>
      </c>
      <c r="K346" s="124" t="str">
        <f ca="1">IF(P[[#This Row],[Tithi]]&gt;15,"K","S")&amp;ROUNDUP(MOD(P[[#This Row],[Tithi]],15),0)&amp;" ("&amp;ROUND(P[[#This Row],[Tithi]],2)&amp;")"</f>
        <v>K12 (26.74)</v>
      </c>
      <c r="L346" s="124">
        <f ca="1">IF(AND(P[[#This Row],[Tithi]]&lt;28.5,P[[#This Row],[Tithi]]&gt;0.49999),MOD((P[[#This Row],[Tithi]]-0.5)*2,7),MOD((P[[#This Row],[Tithi]]+30-28.5),30)*2+7)</f>
        <v>3.4879999999999995</v>
      </c>
      <c r="M346" s="124" t="str">
        <f ca="1">CHOOSE(ROUNDUP(P[[#This Row],[Karana1]],0),"Bhava","Baalava","Kaulava","Taitula","Garija","Vanija","Vishti","Shakuni","Chatushapda","Naaga","Kimstugna")</f>
        <v>Taitula</v>
      </c>
      <c r="N34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(4.23)</v>
      </c>
      <c r="O346" s="124">
        <f ca="1">IF(AND(P[[#This Row],[Tithi]]&lt;28.5,P[[#This Row],[Tithi]]&gt;0.49999),MOD((P[[#This Row],[Tithi]]-0.5)*2,7),MOD((P[[#This Row],[Tithi]]+30-28.5),30)*2+7)</f>
        <v>3.4879999999999995</v>
      </c>
      <c r="P346" s="124">
        <f ca="1">ROUNDUP(MOD(360+P[[#This Row],[Moon]]-P[[#This Row],[Sun]],360)/12,4)</f>
        <v>26.744</v>
      </c>
      <c r="Q346" s="124">
        <f t="shared" ca="1" si="55"/>
        <v>4.2299999999999995</v>
      </c>
      <c r="R346" s="124" t="str">
        <f ca="1">SIGN(S347-P[[#This Row],[MARs]])*INT(P[[#This Row],[MARs]]/30+1)&amp;"Ma,"&amp;SIGN(T347-P[[#This Row],[Merc]])*INT(P[[#This Row],[Merc]]/30+1)&amp;"Me,"&amp;SIGN(U347-P[[#This Row],[Jup]])*INT(P[[#This Row],[Jup]]/30+1)&amp;"Ju,"&amp;SIGN(V347-P[[#This Row],[Venu]])*INT(P[[#This Row],[Venu]]/30+1)&amp;"Ve,"&amp;SIGN(W347-P[[#This Row],[Sat]])*INT(P[[#This Row],[Sat]]/30+1)&amp;"Sa,"&amp;INT(P[[#This Row],[Rah]]/30+1)&amp;"Ra"</f>
        <v>11Ma,-8Me,8Ju,7Ve,9Sa,4Ra</v>
      </c>
      <c r="S346" s="124">
        <f ca="1">Planet(P[[#This Row],[GMT Sun Rise]],4)</f>
        <v>317.31231917443074</v>
      </c>
      <c r="T346" s="124">
        <f ca="1">Planet(P[[#This Row],[GMT Sun Rise]],2)</f>
        <v>213.90087932122574</v>
      </c>
      <c r="U346" s="124">
        <f ca="1">Planet(P[[#This Row],[GMT Sun Rise]],5)</f>
        <v>221.55468754307216</v>
      </c>
      <c r="V346" s="124">
        <f ca="1">Planet(P[[#This Row],[GMT Sun Rise]],3)</f>
        <v>186.62370503873899</v>
      </c>
      <c r="W346" s="124">
        <f ca="1">Planet(P[[#This Row],[GMT Sun Rise]],6)</f>
        <v>254.03500249564706</v>
      </c>
      <c r="X346" s="124">
        <f ca="1">Planet(P[[#This Row],[GMT Sun Rise]],10)</f>
        <v>94.931319016785039</v>
      </c>
      <c r="Y346" s="124">
        <f ca="1">SIGN(S347-P[[#This Row],[MARs]])</f>
        <v>1</v>
      </c>
    </row>
    <row r="347" spans="1:25" x14ac:dyDescent="0.2">
      <c r="A347" s="125">
        <f t="shared" ca="1" si="56"/>
        <v>43439</v>
      </c>
      <c r="B347" s="125">
        <f t="shared" ca="1" si="49"/>
        <v>43439.229166666664</v>
      </c>
      <c r="C347" s="127">
        <f t="shared" ca="1" si="50"/>
        <v>43439.26376283836</v>
      </c>
      <c r="D347" s="127">
        <f t="shared" ca="1" si="51"/>
        <v>43438.736151675737</v>
      </c>
      <c r="E347" s="189">
        <f ca="1">P[[#This Row],[SunRise]]-TimeZone/24</f>
        <v>43439.034596171696</v>
      </c>
      <c r="F347" s="190">
        <f t="shared" ca="1" si="52"/>
        <v>228.70000540018887</v>
      </c>
      <c r="G347" s="190">
        <f t="shared" ca="1" si="53"/>
        <v>201.8279483788175</v>
      </c>
      <c r="H347" s="191">
        <f t="shared" ca="1" si="54"/>
        <v>43439.034596171696</v>
      </c>
      <c r="I347" s="124" t="str">
        <f ca="1">naks(P[[#This Row],[Moon]])</f>
        <v>Visakha</v>
      </c>
      <c r="J347" s="127">
        <f ca="1">(C348-P[[#This Row],[SunRise]])/(G348-P[[#This Row],[Moon]])*(13.3333333333333-MOD(P[[#This Row],[Moon]],13.333333333333))+P[[#This Row],[SunRise]]</f>
        <v>43440.149204413174</v>
      </c>
      <c r="K347" s="124" t="str">
        <f ca="1">IF(P[[#This Row],[Tithi]]&gt;15,"K","S")&amp;ROUNDUP(MOD(P[[#This Row],[Tithi]],15),0)&amp;" ("&amp;ROUND(P[[#This Row],[Tithi]],2)&amp;")"</f>
        <v>K13 (27.76)</v>
      </c>
      <c r="L347" s="124">
        <f ca="1">IF(AND(P[[#This Row],[Tithi]]&lt;28.5,P[[#This Row],[Tithi]]&gt;0.49999),MOD((P[[#This Row],[Tithi]]-0.5)*2,7),MOD((P[[#This Row],[Tithi]]+30-28.5),30)*2+7)</f>
        <v>5.5213999999999999</v>
      </c>
      <c r="M347" s="124" t="str">
        <f ca="1">CHOOSE(ROUNDUP(P[[#This Row],[Karana1]],0),"Bhava","Baalava","Kaulava","Taitula","Garija","Vanija","Vishti","Shakuni","Chatushapda","Naaga","Kimstugna")</f>
        <v>Vanija</v>
      </c>
      <c r="N34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(5.29)</v>
      </c>
      <c r="O347" s="124">
        <f ca="1">IF(AND(P[[#This Row],[Tithi]]&lt;28.5,P[[#This Row],[Tithi]]&gt;0.49999),MOD((P[[#This Row],[Tithi]]-0.5)*2,7),MOD((P[[#This Row],[Tithi]]+30-28.5),30)*2+7)</f>
        <v>5.5213999999999999</v>
      </c>
      <c r="P347" s="124">
        <f ca="1">ROUNDUP(MOD(360+P[[#This Row],[Moon]]-P[[#This Row],[Sun]],360)/12,4)</f>
        <v>27.7607</v>
      </c>
      <c r="Q347" s="124">
        <f t="shared" ca="1" si="55"/>
        <v>5.29</v>
      </c>
      <c r="R347" s="124" t="str">
        <f ca="1">SIGN(S348-P[[#This Row],[MARs]])*INT(P[[#This Row],[MARs]]/30+1)&amp;"Ma,"&amp;SIGN(T348-P[[#This Row],[Merc]])*INT(P[[#This Row],[Merc]]/30+1)&amp;"Me,"&amp;SIGN(U348-P[[#This Row],[Jup]])*INT(P[[#This Row],[Jup]]/30+1)&amp;"Ju,"&amp;SIGN(V348-P[[#This Row],[Venu]])*INT(P[[#This Row],[Venu]]/30+1)&amp;"Ve,"&amp;SIGN(W348-P[[#This Row],[Sat]])*INT(P[[#This Row],[Sat]]/30+1)&amp;"Sa,"&amp;INT(P[[#This Row],[Rah]]/30+1)&amp;"Ra"</f>
        <v>11Ma,-8Me,8Ju,7Ve,9Sa,4Ra</v>
      </c>
      <c r="S347" s="124">
        <f ca="1">Planet(P[[#This Row],[GMT Sun Rise]],4)</f>
        <v>317.96002804369755</v>
      </c>
      <c r="T347" s="124">
        <f ca="1">Planet(P[[#This Row],[GMT Sun Rise]],2)</f>
        <v>213.46459386719192</v>
      </c>
      <c r="U347" s="124">
        <f ca="1">Planet(P[[#This Row],[GMT Sun Rise]],5)</f>
        <v>221.77770171422461</v>
      </c>
      <c r="V347" s="124">
        <f ca="1">Planet(P[[#This Row],[GMT Sun Rise]],3)</f>
        <v>187.21080123229746</v>
      </c>
      <c r="W347" s="124">
        <f ca="1">Planet(P[[#This Row],[GMT Sun Rise]],6)</f>
        <v>254.14522124399753</v>
      </c>
      <c r="X347" s="124">
        <f ca="1">Planet(P[[#This Row],[GMT Sun Rise]],10)</f>
        <v>94.87830671225565</v>
      </c>
      <c r="Y347" s="124">
        <f ca="1">SIGN(S348-P[[#This Row],[MARs]])</f>
        <v>1</v>
      </c>
    </row>
    <row r="348" spans="1:25" x14ac:dyDescent="0.2">
      <c r="A348" s="125">
        <f t="shared" ca="1" si="56"/>
        <v>43440</v>
      </c>
      <c r="B348" s="125">
        <f t="shared" ca="1" si="49"/>
        <v>43440.229166666664</v>
      </c>
      <c r="C348" s="127">
        <f t="shared" ca="1" si="50"/>
        <v>43440.26414748669</v>
      </c>
      <c r="D348" s="127">
        <f t="shared" ca="1" si="51"/>
        <v>43439.736338754694</v>
      </c>
      <c r="E348" s="189">
        <f ca="1">P[[#This Row],[SunRise]]-TimeZone/24</f>
        <v>43440.034980820026</v>
      </c>
      <c r="F348" s="190">
        <f t="shared" ca="1" si="52"/>
        <v>229.7155691494344</v>
      </c>
      <c r="G348" s="190">
        <f t="shared" ca="1" si="53"/>
        <v>214.82689806562064</v>
      </c>
      <c r="H348" s="191">
        <f t="shared" ca="1" si="54"/>
        <v>43440.034980820026</v>
      </c>
      <c r="I348" s="124" t="str">
        <f ca="1">naks(P[[#This Row],[Moon]])</f>
        <v>Anuradha</v>
      </c>
      <c r="J348" s="127">
        <f ca="1">(C349-P[[#This Row],[SunRise]])/(G349-P[[#This Row],[Moon]])*(13.3333333333333-MOD(P[[#This Row],[Moon]],13.333333333333))+P[[#This Row],[SunRise]]</f>
        <v>43441.1916668544</v>
      </c>
      <c r="K348" s="124" t="str">
        <f ca="1">IF(P[[#This Row],[Tithi]]&gt;15,"K","S")&amp;ROUNDUP(MOD(P[[#This Row],[Tithi]],15),0)&amp;" ("&amp;ROUND(P[[#This Row],[Tithi]],2)&amp;")"</f>
        <v>K14 (28.76)</v>
      </c>
      <c r="L348" s="124">
        <f ca="1">IF(AND(P[[#This Row],[Tithi]]&lt;28.5,P[[#This Row],[Tithi]]&gt;0.49999),MOD((P[[#This Row],[Tithi]]-0.5)*2,7),MOD((P[[#This Row],[Tithi]]+30-28.5),30)*2+7)</f>
        <v>7.5185999999999922</v>
      </c>
      <c r="M348" s="124" t="str">
        <f ca="1">CHOOSE(ROUNDUP(P[[#This Row],[Karana1]],0),"Bhava","Baalava","Kaulava","Taitula","Garija","Vanija","Vishti","Shakuni","Chatushapda","Naaga","Kimstugna")</f>
        <v>Shakuni</v>
      </c>
      <c r="N34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(6.35)</v>
      </c>
      <c r="O348" s="124">
        <f ca="1">IF(AND(P[[#This Row],[Tithi]]&lt;28.5,P[[#This Row],[Tithi]]&gt;0.49999),MOD((P[[#This Row],[Tithi]]-0.5)*2,7),MOD((P[[#This Row],[Tithi]]+30-28.5),30)*2+7)</f>
        <v>7.5185999999999922</v>
      </c>
      <c r="P348" s="124">
        <f ca="1">ROUNDUP(MOD(360+P[[#This Row],[Moon]]-P[[#This Row],[Sun]],360)/12,4)</f>
        <v>28.7593</v>
      </c>
      <c r="Q348" s="124">
        <f t="shared" ca="1" si="55"/>
        <v>6.35</v>
      </c>
      <c r="R348" s="124" t="str">
        <f ca="1">SIGN(S349-P[[#This Row],[MARs]])*INT(P[[#This Row],[MARs]]/30+1)&amp;"Ma,"&amp;SIGN(T349-P[[#This Row],[Merc]])*INT(P[[#This Row],[Merc]]/30+1)&amp;"Me,"&amp;SIGN(U349-P[[#This Row],[Jup]])*INT(P[[#This Row],[Jup]]/30+1)&amp;"Ju,"&amp;SIGN(V349-P[[#This Row],[Venu]])*INT(P[[#This Row],[Venu]]/30+1)&amp;"Ve,"&amp;SIGN(W349-P[[#This Row],[Sat]])*INT(P[[#This Row],[Sat]]/30+1)&amp;"Sa,"&amp;INT(P[[#This Row],[Rah]]/30+1)&amp;"Ra"</f>
        <v>11Ma,-8Me,8Ju,7Ve,9Sa,4Ra</v>
      </c>
      <c r="S348" s="124">
        <f ca="1">Planet(P[[#This Row],[GMT Sun Rise]],4)</f>
        <v>318.60918429266951</v>
      </c>
      <c r="T348" s="124">
        <f ca="1">Planet(P[[#This Row],[GMT Sun Rise]],2)</f>
        <v>213.21837823302215</v>
      </c>
      <c r="U348" s="124">
        <f ca="1">Planet(P[[#This Row],[GMT Sun Rise]],5)</f>
        <v>222.00055841173364</v>
      </c>
      <c r="V348" s="124">
        <f ca="1">Planet(P[[#This Row],[GMT Sun Rise]],3)</f>
        <v>187.8208350535071</v>
      </c>
      <c r="W348" s="124">
        <f ca="1">Planet(P[[#This Row],[GMT Sun Rise]],6)</f>
        <v>254.25598986265268</v>
      </c>
      <c r="X348" s="124">
        <f ca="1">Planet(P[[#This Row],[GMT Sun Rise]],10)</f>
        <v>94.825294331959896</v>
      </c>
      <c r="Y348" s="124">
        <f ca="1">SIGN(S349-P[[#This Row],[MARs]])</f>
        <v>1</v>
      </c>
    </row>
    <row r="349" spans="1:25" x14ac:dyDescent="0.2">
      <c r="A349" s="125">
        <f t="shared" ca="1" si="56"/>
        <v>43441</v>
      </c>
      <c r="B349" s="125">
        <f t="shared" ca="1" si="49"/>
        <v>43441.229166666664</v>
      </c>
      <c r="C349" s="127">
        <f t="shared" ca="1" si="50"/>
        <v>43441.26453293037</v>
      </c>
      <c r="D349" s="127">
        <f t="shared" ca="1" si="51"/>
        <v>43440.736537436998</v>
      </c>
      <c r="E349" s="189">
        <f ca="1">P[[#This Row],[SunRise]]-TimeZone/24</f>
        <v>43441.035366263706</v>
      </c>
      <c r="F349" s="190">
        <f t="shared" ca="1" si="52"/>
        <v>230.73144594855586</v>
      </c>
      <c r="G349" s="190">
        <f t="shared" ca="1" si="53"/>
        <v>227.59680085944908</v>
      </c>
      <c r="H349" s="191">
        <f t="shared" ca="1" si="54"/>
        <v>43441.035366263706</v>
      </c>
      <c r="I349" s="124" t="str">
        <f ca="1">naks(P[[#This Row],[Moon]])</f>
        <v>Jyestha</v>
      </c>
      <c r="J349" s="127">
        <f ca="1">(C350-P[[#This Row],[SunRise]])/(G350-P[[#This Row],[Moon]])*(13.3333333333333-MOD(P[[#This Row],[Moon]],13.333333333333))+P[[#This Row],[SunRise]]</f>
        <v>43442.254298316024</v>
      </c>
      <c r="K349" s="124" t="str">
        <f ca="1">IF(P[[#This Row],[Tithi]]&gt;15,"K","S")&amp;ROUNDUP(MOD(P[[#This Row],[Tithi]],15),0)&amp;" ("&amp;ROUND(P[[#This Row],[Tithi]],2)&amp;")"</f>
        <v>K15 (29.74)</v>
      </c>
      <c r="L349" s="124">
        <f ca="1">IF(AND(P[[#This Row],[Tithi]]&lt;28.5,P[[#This Row],[Tithi]]&gt;0.49999),MOD((P[[#This Row],[Tithi]]-0.5)*2,7),MOD((P[[#This Row],[Tithi]]+30-28.5),30)*2+7)</f>
        <v>9.4775999999999954</v>
      </c>
      <c r="M349" s="124" t="str">
        <f ca="1">CHOOSE(ROUNDUP(P[[#This Row],[Karana1]],0),"Bhava","Baalava","Kaulava","Taitula","Garija","Vanija","Vishti","Shakuni","Chatushapda","Naaga","Kimstugna")</f>
        <v>Naaga</v>
      </c>
      <c r="N34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(7.38)</v>
      </c>
      <c r="O349" s="124">
        <f ca="1">IF(AND(P[[#This Row],[Tithi]]&lt;28.5,P[[#This Row],[Tithi]]&gt;0.49999),MOD((P[[#This Row],[Tithi]]-0.5)*2,7),MOD((P[[#This Row],[Tithi]]+30-28.5),30)*2+7)</f>
        <v>9.4775999999999954</v>
      </c>
      <c r="P349" s="124">
        <f ca="1">ROUNDUP(MOD(360+P[[#This Row],[Moon]]-P[[#This Row],[Sun]],360)/12,4)</f>
        <v>29.738800000000001</v>
      </c>
      <c r="Q349" s="124">
        <f t="shared" ca="1" si="55"/>
        <v>7.38</v>
      </c>
      <c r="R349" s="124" t="str">
        <f ca="1">SIGN(S350-P[[#This Row],[MARs]])*INT(P[[#This Row],[MARs]]/30+1)&amp;"Ma,"&amp;SIGN(T350-P[[#This Row],[Merc]])*INT(P[[#This Row],[Merc]]/30+1)&amp;"Me,"&amp;SIGN(U350-P[[#This Row],[Jup]])*INT(P[[#This Row],[Jup]]/30+1)&amp;"Ju,"&amp;SIGN(V350-P[[#This Row],[Venu]])*INT(P[[#This Row],[Venu]]/30+1)&amp;"Ve,"&amp;SIGN(W350-P[[#This Row],[Sat]])*INT(P[[#This Row],[Sat]]/30+1)&amp;"Sa,"&amp;INT(P[[#This Row],[Rah]]/30+1)&amp;"Ra"</f>
        <v>11Ma,8Me,8Ju,7Ve,9Sa,4Ra</v>
      </c>
      <c r="S349" s="124">
        <f ca="1">Planet(P[[#This Row],[GMT Sun Rise]],4)</f>
        <v>319.25974615376958</v>
      </c>
      <c r="T349" s="124">
        <f ca="1">Planet(P[[#This Row],[GMT Sun Rise]],2)</f>
        <v>213.15527004791008</v>
      </c>
      <c r="U349" s="124">
        <f ca="1">Planet(P[[#This Row],[GMT Sun Rise]],5)</f>
        <v>222.22323184654741</v>
      </c>
      <c r="V349" s="124">
        <f ca="1">Planet(P[[#This Row],[GMT Sun Rise]],3)</f>
        <v>188.45289666782949</v>
      </c>
      <c r="W349" s="124">
        <f ca="1">Planet(P[[#This Row],[GMT Sun Rise]],6)</f>
        <v>254.36728808165503</v>
      </c>
      <c r="X349" s="124">
        <f ca="1">Planet(P[[#This Row],[GMT Sun Rise]],10)</f>
        <v>94.772281909499114</v>
      </c>
      <c r="Y349" s="124">
        <f ca="1">SIGN(S350-P[[#This Row],[MARs]])</f>
        <v>1</v>
      </c>
    </row>
    <row r="350" spans="1:25" x14ac:dyDescent="0.2">
      <c r="A350" s="125">
        <f t="shared" ca="1" si="56"/>
        <v>43442</v>
      </c>
      <c r="B350" s="125">
        <f t="shared" ca="1" si="49"/>
        <v>43442.229166666664</v>
      </c>
      <c r="C350" s="127">
        <f t="shared" ca="1" si="50"/>
        <v>43442.264918691631</v>
      </c>
      <c r="D350" s="127">
        <f t="shared" ca="1" si="51"/>
        <v>43441.736747880976</v>
      </c>
      <c r="E350" s="189">
        <f ca="1">P[[#This Row],[SunRise]]-TimeZone/24</f>
        <v>43442.035752024967</v>
      </c>
      <c r="F350" s="190">
        <f t="shared" ca="1" si="52"/>
        <v>231.74760990094813</v>
      </c>
      <c r="G350" s="190">
        <f t="shared" ca="1" si="53"/>
        <v>240.13308874561054</v>
      </c>
      <c r="H350" s="191">
        <f t="shared" ca="1" si="54"/>
        <v>43442.035752024967</v>
      </c>
      <c r="I350" s="124" t="str">
        <f ca="1">naks(P[[#This Row],[Moon]])</f>
        <v>Moola</v>
      </c>
      <c r="J350" s="127">
        <f ca="1">(C351-P[[#This Row],[SunRise]])/(G351-P[[#This Row],[Moon]])*(13.3333333333333-MOD(P[[#This Row],[Moon]],13.333333333333))+P[[#This Row],[SunRise]]</f>
        <v>43443.337616434859</v>
      </c>
      <c r="K350" s="124" t="str">
        <f ca="1">IF(P[[#This Row],[Tithi]]&gt;15,"K","S")&amp;ROUNDUP(MOD(P[[#This Row],[Tithi]],15),0)&amp;" ("&amp;ROUND(P[[#This Row],[Tithi]],2)&amp;")"</f>
        <v>S1 (0.7)</v>
      </c>
      <c r="L350" s="124">
        <f ca="1">IF(AND(P[[#This Row],[Tithi]]&lt;28.5,P[[#This Row],[Tithi]]&gt;0.49999),MOD((P[[#This Row],[Tithi]]-0.5)*2,7),MOD((P[[#This Row],[Tithi]]+30-28.5),30)*2+7)</f>
        <v>0.39759999999999995</v>
      </c>
      <c r="M350" s="124" t="str">
        <f ca="1">CHOOSE(ROUNDUP(P[[#This Row],[Karana1]],0),"Bhava","Baalava","Kaulava","Taitula","Garija","Vanija","Vishti","Shakuni","Chatushapda","Naaga","Kimstugna")</f>
        <v>Bhava</v>
      </c>
      <c r="N35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(8.4)</v>
      </c>
      <c r="O350" s="124">
        <f ca="1">IF(AND(P[[#This Row],[Tithi]]&lt;28.5,P[[#This Row],[Tithi]]&gt;0.49999),MOD((P[[#This Row],[Tithi]]-0.5)*2,7),MOD((P[[#This Row],[Tithi]]+30-28.5),30)*2+7)</f>
        <v>0.39759999999999995</v>
      </c>
      <c r="P350" s="124">
        <f ca="1">ROUNDUP(MOD(360+P[[#This Row],[Moon]]-P[[#This Row],[Sun]],360)/12,4)</f>
        <v>0.69879999999999998</v>
      </c>
      <c r="Q350" s="124">
        <f t="shared" ca="1" si="55"/>
        <v>8.4</v>
      </c>
      <c r="R350" s="124" t="str">
        <f ca="1">SIGN(S351-P[[#This Row],[MARs]])*INT(P[[#This Row],[MARs]]/30+1)&amp;"Ma,"&amp;SIGN(T351-P[[#This Row],[Merc]])*INT(P[[#This Row],[Merc]]/30+1)&amp;"Me,"&amp;SIGN(U351-P[[#This Row],[Jup]])*INT(P[[#This Row],[Jup]]/30+1)&amp;"Ju,"&amp;SIGN(V351-P[[#This Row],[Venu]])*INT(P[[#This Row],[Venu]]/30+1)&amp;"Ve,"&amp;SIGN(W351-P[[#This Row],[Sat]])*INT(P[[#This Row],[Sat]]/30+1)&amp;"Sa,"&amp;INT(P[[#This Row],[Rah]]/30+1)&amp;"Ra"</f>
        <v>11Ma,8Me,8Ju,7Ve,9Sa,4Ra</v>
      </c>
      <c r="S350" s="124">
        <f ca="1">Planet(P[[#This Row],[GMT Sun Rise]],4)</f>
        <v>319.91166921887185</v>
      </c>
      <c r="T350" s="124">
        <f ca="1">Planet(P[[#This Row],[GMT Sun Rise]],2)</f>
        <v>213.26461708880058</v>
      </c>
      <c r="U350" s="124">
        <f ca="1">Planet(P[[#This Row],[GMT Sun Rise]],5)</f>
        <v>222.44569620976446</v>
      </c>
      <c r="V350" s="124">
        <f ca="1">Planet(P[[#This Row],[GMT Sun Rise]],3)</f>
        <v>189.10611278235547</v>
      </c>
      <c r="W350" s="124">
        <f ca="1">Planet(P[[#This Row],[GMT Sun Rise]],6)</f>
        <v>254.47909540565772</v>
      </c>
      <c r="X350" s="124">
        <f ca="1">Planet(P[[#This Row],[GMT Sun Rise]],10)</f>
        <v>94.719269470240206</v>
      </c>
      <c r="Y350" s="124">
        <f ca="1">SIGN(S351-P[[#This Row],[MARs]])</f>
        <v>1</v>
      </c>
    </row>
    <row r="351" spans="1:25" x14ac:dyDescent="0.2">
      <c r="A351" s="125">
        <f t="shared" ca="1" si="56"/>
        <v>43443</v>
      </c>
      <c r="B351" s="125">
        <f t="shared" ca="1" si="49"/>
        <v>43443.229166666664</v>
      </c>
      <c r="C351" s="127">
        <f t="shared" ca="1" si="50"/>
        <v>43443.265304611683</v>
      </c>
      <c r="D351" s="127">
        <f t="shared" ca="1" si="51"/>
        <v>43442.736969451464</v>
      </c>
      <c r="E351" s="189">
        <f ca="1">P[[#This Row],[SunRise]]-TimeZone/24</f>
        <v>43443.036137945019</v>
      </c>
      <c r="F351" s="190">
        <f t="shared" ca="1" si="52"/>
        <v>232.76403599691997</v>
      </c>
      <c r="G351" s="190">
        <f t="shared" ca="1" si="53"/>
        <v>252.44348923834301</v>
      </c>
      <c r="H351" s="191">
        <f t="shared" ca="1" si="54"/>
        <v>43443.036137945019</v>
      </c>
      <c r="I351" s="124" t="str">
        <f ca="1">naks(P[[#This Row],[Moon]])</f>
        <v>Moola</v>
      </c>
      <c r="J351" s="127">
        <f ca="1">(C352-P[[#This Row],[SunRise]])/(G352-P[[#This Row],[Moon]])*(13.3333333333333-MOD(P[[#This Row],[Moon]],13.333333333333))+P[[#This Row],[SunRise]]</f>
        <v>43443.338830592897</v>
      </c>
      <c r="K351" s="124" t="str">
        <f ca="1">IF(P[[#This Row],[Tithi]]&gt;15,"K","S")&amp;ROUNDUP(MOD(P[[#This Row],[Tithi]],15),0)&amp;" ("&amp;ROUND(P[[#This Row],[Tithi]],2)&amp;")"</f>
        <v>S2 (1.64)</v>
      </c>
      <c r="L351" s="124">
        <f ca="1">IF(AND(P[[#This Row],[Tithi]]&lt;28.5,P[[#This Row],[Tithi]]&gt;0.49999),MOD((P[[#This Row],[Tithi]]-0.5)*2,7),MOD((P[[#This Row],[Tithi]]+30-28.5),30)*2+7)</f>
        <v>2.2799999999999998</v>
      </c>
      <c r="M351" s="124" t="str">
        <f ca="1">CHOOSE(ROUNDUP(P[[#This Row],[Karana1]],0),"Bhava","Baalava","Kaulava","Taitula","Garija","Vanija","Vishti","Shakuni","Chatushapda","Naaga","Kimstugna")</f>
        <v>Kaulava</v>
      </c>
      <c r="N35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(9.4)</v>
      </c>
      <c r="O351" s="124">
        <f ca="1">IF(AND(P[[#This Row],[Tithi]]&lt;28.5,P[[#This Row],[Tithi]]&gt;0.49999),MOD((P[[#This Row],[Tithi]]-0.5)*2,7),MOD((P[[#This Row],[Tithi]]+30-28.5),30)*2+7)</f>
        <v>2.2799999999999998</v>
      </c>
      <c r="P351" s="124">
        <f ca="1">ROUNDUP(MOD(360+P[[#This Row],[Moon]]-P[[#This Row],[Sun]],360)/12,4)</f>
        <v>1.64</v>
      </c>
      <c r="Q351" s="124">
        <f t="shared" ca="1" si="55"/>
        <v>9.4</v>
      </c>
      <c r="R351" s="124" t="str">
        <f ca="1">SIGN(S352-P[[#This Row],[MARs]])*INT(P[[#This Row],[MARs]]/30+1)&amp;"Ma,"&amp;SIGN(T352-P[[#This Row],[Merc]])*INT(P[[#This Row],[Merc]]/30+1)&amp;"Me,"&amp;SIGN(U352-P[[#This Row],[Jup]])*INT(P[[#This Row],[Jup]]/30+1)&amp;"Ju,"&amp;SIGN(V352-P[[#This Row],[Venu]])*INT(P[[#This Row],[Venu]]/30+1)&amp;"Ve,"&amp;SIGN(W352-P[[#This Row],[Sat]])*INT(P[[#This Row],[Sat]]/30+1)&amp;"Sa,"&amp;INT(P[[#This Row],[Rah]]/30+1)&amp;"Ra"</f>
        <v>11Ma,8Me,8Ju,7Ve,9Sa,4Ra</v>
      </c>
      <c r="S351" s="124">
        <f ca="1">Planet(P[[#This Row],[GMT Sun Rise]],4)</f>
        <v>320.56490694625199</v>
      </c>
      <c r="T351" s="124">
        <f ca="1">Planet(P[[#This Row],[GMT Sun Rise]],2)</f>
        <v>213.53349494928</v>
      </c>
      <c r="U351" s="124">
        <f ca="1">Planet(P[[#This Row],[GMT Sun Rise]],5)</f>
        <v>222.66792587451528</v>
      </c>
      <c r="V351" s="124">
        <f ca="1">Planet(P[[#This Row],[GMT Sun Rise]],3)</f>
        <v>189.77964737074856</v>
      </c>
      <c r="W351" s="124">
        <f ca="1">Planet(P[[#This Row],[GMT Sun Rise]],6)</f>
        <v>254.59139123589455</v>
      </c>
      <c r="X351" s="124">
        <f ca="1">Planet(P[[#This Row],[GMT Sun Rise]],10)</f>
        <v>94.666257022566967</v>
      </c>
      <c r="Y351" s="124">
        <f ca="1">SIGN(S352-P[[#This Row],[MARs]])</f>
        <v>1</v>
      </c>
    </row>
    <row r="352" spans="1:25" x14ac:dyDescent="0.2">
      <c r="A352" s="125">
        <f t="shared" ca="1" si="56"/>
        <v>43444</v>
      </c>
      <c r="B352" s="125">
        <f t="shared" ca="1" si="49"/>
        <v>43444.229166666664</v>
      </c>
      <c r="C352" s="127">
        <f t="shared" ca="1" si="50"/>
        <v>43444.265689896107</v>
      </c>
      <c r="D352" s="127">
        <f t="shared" ca="1" si="51"/>
        <v>43443.737201988741</v>
      </c>
      <c r="E352" s="189">
        <f ca="1">P[[#This Row],[SunRise]]-TimeZone/24</f>
        <v>43444.036523229443</v>
      </c>
      <c r="F352" s="190">
        <f t="shared" ca="1" si="52"/>
        <v>233.78069976175692</v>
      </c>
      <c r="G352" s="190">
        <f t="shared" ca="1" si="53"/>
        <v>264.55059645929072</v>
      </c>
      <c r="H352" s="191">
        <f t="shared" ca="1" si="54"/>
        <v>43444.036523229443</v>
      </c>
      <c r="I352" s="124" t="str">
        <f ca="1">naks(P[[#This Row],[Moon]])</f>
        <v>Purva Asadha</v>
      </c>
      <c r="J352" s="127">
        <f ca="1">(C353-P[[#This Row],[SunRise]])/(G353-P[[#This Row],[Moon]])*(13.3333333333333-MOD(P[[#This Row],[Moon]],13.333333333333))+P[[#This Row],[SunRise]]</f>
        <v>43444.442951660953</v>
      </c>
      <c r="K352" s="124" t="str">
        <f ca="1">IF(P[[#This Row],[Tithi]]&gt;15,"K","S")&amp;ROUNDUP(MOD(P[[#This Row],[Tithi]],15),0)&amp;" ("&amp;ROUND(P[[#This Row],[Tithi]],2)&amp;")"</f>
        <v>S3 (2.56)</v>
      </c>
      <c r="L352" s="124">
        <f ca="1">IF(AND(P[[#This Row],[Tithi]]&lt;28.5,P[[#This Row],[Tithi]]&gt;0.49999),MOD((P[[#This Row],[Tithi]]-0.5)*2,7),MOD((P[[#This Row],[Tithi]]+30-28.5),30)*2+7)</f>
        <v>4.1284000000000001</v>
      </c>
      <c r="M352" s="124" t="str">
        <f ca="1">CHOOSE(ROUNDUP(P[[#This Row],[Karana1]],0),"Bhava","Baalava","Kaulava","Taitula","Garija","Vanija","Vishti","Shakuni","Chatushapda","Naaga","Kimstugna")</f>
        <v>Garija</v>
      </c>
      <c r="N35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(10.38)</v>
      </c>
      <c r="O352" s="124">
        <f ca="1">IF(AND(P[[#This Row],[Tithi]]&lt;28.5,P[[#This Row],[Tithi]]&gt;0.49999),MOD((P[[#This Row],[Tithi]]-0.5)*2,7),MOD((P[[#This Row],[Tithi]]+30-28.5),30)*2+7)</f>
        <v>4.1284000000000001</v>
      </c>
      <c r="P352" s="124">
        <f ca="1">ROUNDUP(MOD(360+P[[#This Row],[Moon]]-P[[#This Row],[Sun]],360)/12,4)</f>
        <v>2.5642</v>
      </c>
      <c r="Q352" s="124">
        <f t="shared" ca="1" si="55"/>
        <v>10.379999999999999</v>
      </c>
      <c r="R352" s="124" t="str">
        <f ca="1">SIGN(S353-P[[#This Row],[MARs]])*INT(P[[#This Row],[MARs]]/30+1)&amp;"Ma,"&amp;SIGN(T353-P[[#This Row],[Merc]])*INT(P[[#This Row],[Merc]]/30+1)&amp;"Me,"&amp;SIGN(U353-P[[#This Row],[Jup]])*INT(P[[#This Row],[Jup]]/30+1)&amp;"Ju,"&amp;SIGN(V353-P[[#This Row],[Venu]])*INT(P[[#This Row],[Venu]]/30+1)&amp;"Ve,"&amp;SIGN(W353-P[[#This Row],[Sat]])*INT(P[[#This Row],[Sat]]/30+1)&amp;"Sa,"&amp;INT(P[[#This Row],[Rah]]/30+1)&amp;"Ra"</f>
        <v>11Ma,8Me,8Ju,7Ve,9Sa,4Ra</v>
      </c>
      <c r="S352" s="124">
        <f ca="1">Planet(P[[#This Row],[GMT Sun Rise]],4)</f>
        <v>321.21941063488174</v>
      </c>
      <c r="T352" s="124">
        <f ca="1">Planet(P[[#This Row],[GMT Sun Rise]],2)</f>
        <v>213.94785735266598</v>
      </c>
      <c r="U352" s="124">
        <f ca="1">Planet(P[[#This Row],[GMT Sun Rise]],5)</f>
        <v>222.88989530899599</v>
      </c>
      <c r="V352" s="124">
        <f ca="1">Planet(P[[#This Row],[GMT Sun Rise]],3)</f>
        <v>190.47270070782673</v>
      </c>
      <c r="W352" s="124">
        <f ca="1">Planet(P[[#This Row],[GMT Sun Rise]],6)</f>
        <v>254.70415486048179</v>
      </c>
      <c r="X352" s="124">
        <f ca="1">Planet(P[[#This Row],[GMT Sun Rise]],10)</f>
        <v>94.613244608547632</v>
      </c>
      <c r="Y352" s="124">
        <f ca="1">SIGN(S353-P[[#This Row],[MARs]])</f>
        <v>1</v>
      </c>
    </row>
    <row r="353" spans="1:25" x14ac:dyDescent="0.2">
      <c r="A353" s="125">
        <f t="shared" ca="1" si="56"/>
        <v>43445</v>
      </c>
      <c r="B353" s="125">
        <f t="shared" ca="1" si="49"/>
        <v>43445.229166666664</v>
      </c>
      <c r="C353" s="127">
        <f t="shared" ca="1" si="50"/>
        <v>43445.266074385647</v>
      </c>
      <c r="D353" s="127">
        <f t="shared" ca="1" si="51"/>
        <v>43444.737445175691</v>
      </c>
      <c r="E353" s="189">
        <f ca="1">P[[#This Row],[SunRise]]-TimeZone/24</f>
        <v>43445.036907718983</v>
      </c>
      <c r="F353" s="190">
        <f t="shared" ca="1" si="52"/>
        <v>234.79757891846441</v>
      </c>
      <c r="G353" s="190">
        <f t="shared" ca="1" si="53"/>
        <v>276.49273082796327</v>
      </c>
      <c r="H353" s="191">
        <f t="shared" ca="1" si="54"/>
        <v>43445.036907718983</v>
      </c>
      <c r="I353" s="124" t="str">
        <f ca="1">naks(P[[#This Row],[Moon]])</f>
        <v>Uttara Asadha</v>
      </c>
      <c r="J353" s="127">
        <f ca="1">(C354-P[[#This Row],[SunRise]])/(G354-P[[#This Row],[Moon]])*(13.3333333333333-MOD(P[[#This Row],[Moon]],13.333333333333))+P[[#This Row],[SunRise]]</f>
        <v>43445.562650166925</v>
      </c>
      <c r="K353" s="124" t="str">
        <f ca="1">IF(P[[#This Row],[Tithi]]&gt;15,"K","S")&amp;ROUNDUP(MOD(P[[#This Row],[Tithi]],15),0)&amp;" ("&amp;ROUND(P[[#This Row],[Tithi]],2)&amp;")"</f>
        <v>S4 (3.47)</v>
      </c>
      <c r="L353" s="124">
        <f ca="1">IF(AND(P[[#This Row],[Tithi]]&lt;28.5,P[[#This Row],[Tithi]]&gt;0.49999),MOD((P[[#This Row],[Tithi]]-0.5)*2,7),MOD((P[[#This Row],[Tithi]]+30-28.5),30)*2+7)</f>
        <v>5.9492000000000003</v>
      </c>
      <c r="M353" s="124" t="str">
        <f ca="1">CHOOSE(ROUNDUP(P[[#This Row],[Karana1]],0),"Bhava","Baalava","Kaulava","Taitula","Garija","Vanija","Vishti","Shakuni","Chatushapda","Naaga","Kimstugna")</f>
        <v>Vanija</v>
      </c>
      <c r="N35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(11.35)</v>
      </c>
      <c r="O353" s="124">
        <f ca="1">IF(AND(P[[#This Row],[Tithi]]&lt;28.5,P[[#This Row],[Tithi]]&gt;0.49999),MOD((P[[#This Row],[Tithi]]-0.5)*2,7),MOD((P[[#This Row],[Tithi]]+30-28.5),30)*2+7)</f>
        <v>5.9492000000000003</v>
      </c>
      <c r="P353" s="124">
        <f ca="1">ROUNDUP(MOD(360+P[[#This Row],[Moon]]-P[[#This Row],[Sun]],360)/12,4)</f>
        <v>3.4746000000000001</v>
      </c>
      <c r="Q353" s="124">
        <f t="shared" ca="1" si="55"/>
        <v>11.35</v>
      </c>
      <c r="R353" s="124" t="str">
        <f ca="1">SIGN(S354-P[[#This Row],[MARs]])*INT(P[[#This Row],[MARs]]/30+1)&amp;"Ma,"&amp;SIGN(T354-P[[#This Row],[Merc]])*INT(P[[#This Row],[Merc]]/30+1)&amp;"Me,"&amp;SIGN(U354-P[[#This Row],[Jup]])*INT(P[[#This Row],[Jup]]/30+1)&amp;"Ju,"&amp;SIGN(V354-P[[#This Row],[Venu]])*INT(P[[#This Row],[Venu]]/30+1)&amp;"Ve,"&amp;SIGN(W354-P[[#This Row],[Sat]])*INT(P[[#This Row],[Sat]]/30+1)&amp;"Sa,"&amp;INT(P[[#This Row],[Rah]]/30+1)&amp;"Ra"</f>
        <v>11Ma,8Me,8Ju,7Ve,9Sa,4Ra</v>
      </c>
      <c r="S353" s="124">
        <f ca="1">Planet(P[[#This Row],[GMT Sun Rise]],4)</f>
        <v>321.87513092465315</v>
      </c>
      <c r="T353" s="124">
        <f ca="1">Planet(P[[#This Row],[GMT Sun Rise]],2)</f>
        <v>214.49340551693496</v>
      </c>
      <c r="U353" s="124">
        <f ca="1">Planet(P[[#This Row],[GMT Sun Rise]],5)</f>
        <v>223.11157943067744</v>
      </c>
      <c r="V353" s="124">
        <f ca="1">Planet(P[[#This Row],[GMT Sun Rise]],3)</f>
        <v>191.18450914215882</v>
      </c>
      <c r="W353" s="124">
        <f ca="1">Planet(P[[#This Row],[GMT Sun Rise]],6)</f>
        <v>254.81736567156906</v>
      </c>
      <c r="X353" s="124">
        <f ca="1">Planet(P[[#This Row],[GMT Sun Rise]],10)</f>
        <v>94.560232236681983</v>
      </c>
      <c r="Y353" s="124">
        <f ca="1">SIGN(S354-P[[#This Row],[MARs]])</f>
        <v>1</v>
      </c>
    </row>
    <row r="354" spans="1:25" x14ac:dyDescent="0.2">
      <c r="A354" s="125">
        <f t="shared" ca="1" si="56"/>
        <v>43446</v>
      </c>
      <c r="B354" s="125">
        <f t="shared" ca="1" si="49"/>
        <v>43446.229166666664</v>
      </c>
      <c r="C354" s="127">
        <f t="shared" ca="1" si="50"/>
        <v>43446.266457445141</v>
      </c>
      <c r="D354" s="127">
        <f t="shared" ca="1" si="51"/>
        <v>43445.737698694269</v>
      </c>
      <c r="E354" s="189">
        <f ca="1">P[[#This Row],[SunRise]]-TimeZone/24</f>
        <v>43446.037290778477</v>
      </c>
      <c r="F354" s="190">
        <f t="shared" ca="1" si="52"/>
        <v>235.8146523981975</v>
      </c>
      <c r="G354" s="190">
        <f t="shared" ca="1" si="53"/>
        <v>288.32313939889434</v>
      </c>
      <c r="H354" s="191">
        <f t="shared" ca="1" si="54"/>
        <v>43446.037290778477</v>
      </c>
      <c r="I354" s="124" t="str">
        <f ca="1">naks(P[[#This Row],[Moon]])</f>
        <v>Sravana</v>
      </c>
      <c r="J354" s="127">
        <f ca="1">(C355-P[[#This Row],[SunRise]])/(G355-P[[#This Row],[Moon]])*(13.3333333333333-MOD(P[[#This Row],[Moon]],13.333333333333))+P[[#This Row],[SunRise]]</f>
        <v>43446.691756425331</v>
      </c>
      <c r="K354" s="124" t="str">
        <f ca="1">IF(P[[#This Row],[Tithi]]&gt;15,"K","S")&amp;ROUNDUP(MOD(P[[#This Row],[Tithi]],15),0)&amp;" ("&amp;ROUND(P[[#This Row],[Tithi]],2)&amp;")"</f>
        <v>S5 (4.38)</v>
      </c>
      <c r="L354" s="124">
        <f ca="1">IF(AND(P[[#This Row],[Tithi]]&lt;28.5,P[[#This Row],[Tithi]]&gt;0.49999),MOD((P[[#This Row],[Tithi]]-0.5)*2,7),MOD((P[[#This Row],[Tithi]]+30-28.5),30)*2+7)</f>
        <v>0.75159999999999982</v>
      </c>
      <c r="M354" s="124" t="str">
        <f ca="1">CHOOSE(ROUNDUP(P[[#This Row],[Karana1]],0),"Bhava","Baalava","Kaulava","Taitula","Garija","Vanija","Vishti","Shakuni","Chatushapda","Naaga","Kimstugna")</f>
        <v>Bhava</v>
      </c>
      <c r="N35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(12.32)</v>
      </c>
      <c r="O354" s="124">
        <f ca="1">IF(AND(P[[#This Row],[Tithi]]&lt;28.5,P[[#This Row],[Tithi]]&gt;0.49999),MOD((P[[#This Row],[Tithi]]-0.5)*2,7),MOD((P[[#This Row],[Tithi]]+30-28.5),30)*2+7)</f>
        <v>0.75159999999999982</v>
      </c>
      <c r="P354" s="124">
        <f ca="1">ROUNDUP(MOD(360+P[[#This Row],[Moon]]-P[[#This Row],[Sun]],360)/12,4)</f>
        <v>4.3757999999999999</v>
      </c>
      <c r="Q354" s="124">
        <f t="shared" ca="1" si="55"/>
        <v>12.32</v>
      </c>
      <c r="R354" s="124" t="str">
        <f ca="1">SIGN(S355-P[[#This Row],[MARs]])*INT(P[[#This Row],[MARs]]/30+1)&amp;"Ma,"&amp;SIGN(T355-P[[#This Row],[Merc]])*INT(P[[#This Row],[Merc]]/30+1)&amp;"Me,"&amp;SIGN(U355-P[[#This Row],[Jup]])*INT(P[[#This Row],[Jup]]/30+1)&amp;"Ju,"&amp;SIGN(V355-P[[#This Row],[Venu]])*INT(P[[#This Row],[Venu]]/30+1)&amp;"Ve,"&amp;SIGN(W355-P[[#This Row],[Sat]])*INT(P[[#This Row],[Sat]]/30+1)&amp;"Sa,"&amp;INT(P[[#This Row],[Rah]]/30+1)&amp;"Ra"</f>
        <v>11Ma,8Me,8Ju,7Ve,9Sa,4Ra</v>
      </c>
      <c r="S354" s="124">
        <f ca="1">Planet(P[[#This Row],[GMT Sun Rise]],4)</f>
        <v>322.53201766635925</v>
      </c>
      <c r="T354" s="124">
        <f ca="1">Planet(P[[#This Row],[GMT Sun Rise]],2)</f>
        <v>215.15620021333888</v>
      </c>
      <c r="U354" s="124">
        <f ca="1">Planet(P[[#This Row],[GMT Sun Rise]],5)</f>
        <v>223.33295338918171</v>
      </c>
      <c r="V354" s="124">
        <f ca="1">Planet(P[[#This Row],[GMT Sun Rise]],3)</f>
        <v>191.91434283987982</v>
      </c>
      <c r="W354" s="124">
        <f ca="1">Planet(P[[#This Row],[GMT Sun Rise]],6)</f>
        <v>254.9310030944668</v>
      </c>
      <c r="X354" s="124">
        <f ca="1">Planet(P[[#This Row],[GMT Sun Rise]],10)</f>
        <v>94.507219940604713</v>
      </c>
      <c r="Y354" s="124">
        <f ca="1">SIGN(S355-P[[#This Row],[MARs]])</f>
        <v>1</v>
      </c>
    </row>
    <row r="355" spans="1:25" x14ac:dyDescent="0.2">
      <c r="A355" s="125">
        <f t="shared" ca="1" si="56"/>
        <v>43447</v>
      </c>
      <c r="B355" s="125">
        <f t="shared" ca="1" si="49"/>
        <v>43447.229166666664</v>
      </c>
      <c r="C355" s="127">
        <f t="shared" ca="1" si="50"/>
        <v>43447.266838755611</v>
      </c>
      <c r="D355" s="127">
        <f t="shared" ca="1" si="51"/>
        <v>43446.737962226427</v>
      </c>
      <c r="E355" s="189">
        <f ca="1">P[[#This Row],[SunRise]]-TimeZone/24</f>
        <v>43447.037672088947</v>
      </c>
      <c r="F355" s="190">
        <f t="shared" ca="1" si="52"/>
        <v>236.83190113555861</v>
      </c>
      <c r="G355" s="190">
        <f t="shared" ca="1" si="53"/>
        <v>300.10803568899115</v>
      </c>
      <c r="H355" s="191">
        <f t="shared" ca="1" si="54"/>
        <v>43447.037672088947</v>
      </c>
      <c r="I355" s="124" t="str">
        <f ca="1">naks(P[[#This Row],[Moon]])</f>
        <v>Dhanistha</v>
      </c>
      <c r="J355" s="127">
        <f ca="1">(C356-P[[#This Row],[SunRise]])/(G356-P[[#This Row],[Moon]])*(13.3333333333333-MOD(P[[#This Row],[Moon]],13.333333333333))+P[[#This Row],[SunRise]]</f>
        <v>43447.822117920434</v>
      </c>
      <c r="K355" s="124" t="str">
        <f ca="1">IF(P[[#This Row],[Tithi]]&gt;15,"K","S")&amp;ROUNDUP(MOD(P[[#This Row],[Tithi]],15),0)&amp;" ("&amp;ROUND(P[[#This Row],[Tithi]],2)&amp;")"</f>
        <v>S6 (5.27)</v>
      </c>
      <c r="L355" s="124">
        <f ca="1">IF(AND(P[[#This Row],[Tithi]]&lt;28.5,P[[#This Row],[Tithi]]&gt;0.49999),MOD((P[[#This Row],[Tithi]]-0.5)*2,7),MOD((P[[#This Row],[Tithi]]+30-28.5),30)*2+7)</f>
        <v>2.5461999999999989</v>
      </c>
      <c r="M355" s="124" t="str">
        <f ca="1">CHOOSE(ROUNDUP(P[[#This Row],[Karana1]],0),"Bhava","Baalava","Kaulava","Taitula","Garija","Vanija","Vishti","Shakuni","Chatushapda","Naaga","Kimstugna")</f>
        <v>Kaulava</v>
      </c>
      <c r="N35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(13.28)</v>
      </c>
      <c r="O355" s="124">
        <f ca="1">IF(AND(P[[#This Row],[Tithi]]&lt;28.5,P[[#This Row],[Tithi]]&gt;0.49999),MOD((P[[#This Row],[Tithi]]-0.5)*2,7),MOD((P[[#This Row],[Tithi]]+30-28.5),30)*2+7)</f>
        <v>2.5461999999999989</v>
      </c>
      <c r="P355" s="124">
        <f ca="1">ROUNDUP(MOD(360+P[[#This Row],[Moon]]-P[[#This Row],[Sun]],360)/12,4)</f>
        <v>5.2730999999999995</v>
      </c>
      <c r="Q355" s="124">
        <f t="shared" ca="1" si="55"/>
        <v>13.28</v>
      </c>
      <c r="R355" s="124" t="str">
        <f ca="1">SIGN(S356-P[[#This Row],[MARs]])*INT(P[[#This Row],[MARs]]/30+1)&amp;"Ma,"&amp;SIGN(T356-P[[#This Row],[Merc]])*INT(P[[#This Row],[Merc]]/30+1)&amp;"Me,"&amp;SIGN(U356-P[[#This Row],[Jup]])*INT(P[[#This Row],[Jup]]/30+1)&amp;"Ju,"&amp;SIGN(V356-P[[#This Row],[Venu]])*INT(P[[#This Row],[Venu]]/30+1)&amp;"Ve,"&amp;SIGN(W356-P[[#This Row],[Sat]])*INT(P[[#This Row],[Sat]]/30+1)&amp;"Sa,"&amp;INT(P[[#This Row],[Rah]]/30+1)&amp;"Ra"</f>
        <v>11Ma,8Me,8Ju,7Ve,9Sa,4Ra</v>
      </c>
      <c r="S355" s="124">
        <f ca="1">Planet(P[[#This Row],[GMT Sun Rise]],4)</f>
        <v>323.19002085173247</v>
      </c>
      <c r="T355" s="124">
        <f ca="1">Planet(P[[#This Row],[GMT Sun Rise]],2)</f>
        <v>215.92306144296435</v>
      </c>
      <c r="U355" s="124">
        <f ca="1">Planet(P[[#This Row],[GMT Sun Rise]],5)</f>
        <v>223.55399274336909</v>
      </c>
      <c r="V355" s="124">
        <f ca="1">Planet(P[[#This Row],[GMT Sun Rise]],3)</f>
        <v>192.66150480905796</v>
      </c>
      <c r="W355" s="124">
        <f ca="1">Planet(P[[#This Row],[GMT Sun Rise]],6)</f>
        <v>255.04504670514737</v>
      </c>
      <c r="X355" s="124">
        <f ca="1">Planet(P[[#This Row],[GMT Sun Rise]],10)</f>
        <v>94.454207737182699</v>
      </c>
      <c r="Y355" s="124">
        <f ca="1">SIGN(S356-P[[#This Row],[MARs]])</f>
        <v>1</v>
      </c>
    </row>
    <row r="356" spans="1:25" x14ac:dyDescent="0.2">
      <c r="A356" s="125">
        <f t="shared" ca="1" si="56"/>
        <v>43448</v>
      </c>
      <c r="B356" s="125">
        <f t="shared" ca="1" si="49"/>
        <v>43448.229166666664</v>
      </c>
      <c r="C356" s="127">
        <f t="shared" ca="1" si="50"/>
        <v>43448.267217682362</v>
      </c>
      <c r="D356" s="127">
        <f t="shared" ca="1" si="51"/>
        <v>43447.738235454119</v>
      </c>
      <c r="E356" s="189">
        <f ca="1">P[[#This Row],[SunRise]]-TimeZone/24</f>
        <v>43448.038051015697</v>
      </c>
      <c r="F356" s="190">
        <f t="shared" ca="1" si="52"/>
        <v>237.8493074049893</v>
      </c>
      <c r="G356" s="190">
        <f t="shared" ca="1" si="53"/>
        <v>311.9239233253968</v>
      </c>
      <c r="H356" s="191">
        <f t="shared" ca="1" si="54"/>
        <v>43448.038051015697</v>
      </c>
      <c r="I356" s="124" t="str">
        <f ca="1">naks(P[[#This Row],[Moon]])</f>
        <v>Satabhisaj</v>
      </c>
      <c r="J356" s="127">
        <f ca="1">(C357-P[[#This Row],[SunRise]])/(G357-P[[#This Row],[Moon]])*(13.3333333333333-MOD(P[[#This Row],[Moon]],13.333333333333))+P[[#This Row],[SunRise]]</f>
        <v>43448.944404646019</v>
      </c>
      <c r="K356" s="124" t="str">
        <f ca="1">IF(P[[#This Row],[Tithi]]&gt;15,"K","S")&amp;ROUNDUP(MOD(P[[#This Row],[Tithi]],15),0)&amp;" ("&amp;ROUND(P[[#This Row],[Tithi]],2)&amp;")"</f>
        <v>S7 (6.17)</v>
      </c>
      <c r="L356" s="124">
        <f ca="1">IF(AND(P[[#This Row],[Tithi]]&lt;28.5,P[[#This Row],[Tithi]]&gt;0.49999),MOD((P[[#This Row],[Tithi]]-0.5)*2,7),MOD((P[[#This Row],[Tithi]]+30-28.5),30)*2+7)</f>
        <v>4.3457999999999988</v>
      </c>
      <c r="M356" s="124" t="str">
        <f ca="1">CHOOSE(ROUNDUP(P[[#This Row],[Karana1]],0),"Bhava","Baalava","Kaulava","Taitula","Garija","Vanija","Vishti","Shakuni","Chatushapda","Naaga","Kimstugna")</f>
        <v>Garija</v>
      </c>
      <c r="N35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(14.24)</v>
      </c>
      <c r="O356" s="124">
        <f ca="1">IF(AND(P[[#This Row],[Tithi]]&lt;28.5,P[[#This Row],[Tithi]]&gt;0.49999),MOD((P[[#This Row],[Tithi]]-0.5)*2,7),MOD((P[[#This Row],[Tithi]]+30-28.5),30)*2+7)</f>
        <v>4.3457999999999988</v>
      </c>
      <c r="P356" s="124">
        <f ca="1">ROUNDUP(MOD(360+P[[#This Row],[Moon]]-P[[#This Row],[Sun]],360)/12,4)</f>
        <v>6.1728999999999994</v>
      </c>
      <c r="Q356" s="124">
        <f t="shared" ca="1" si="55"/>
        <v>14.24</v>
      </c>
      <c r="R356" s="124" t="str">
        <f ca="1">SIGN(S357-P[[#This Row],[MARs]])*INT(P[[#This Row],[MARs]]/30+1)&amp;"Ma,"&amp;SIGN(T357-P[[#This Row],[Merc]])*INT(P[[#This Row],[Merc]]/30+1)&amp;"Me,"&amp;SIGN(U357-P[[#This Row],[Jup]])*INT(P[[#This Row],[Jup]]/30+1)&amp;"Ju,"&amp;SIGN(V357-P[[#This Row],[Venu]])*INT(P[[#This Row],[Venu]]/30+1)&amp;"Ve,"&amp;SIGN(W357-P[[#This Row],[Sat]])*INT(P[[#This Row],[Sat]]/30+1)&amp;"Sa,"&amp;INT(P[[#This Row],[Rah]]/30+1)&amp;"Ra"</f>
        <v>11Ma,8Me,8Ju,7Ve,9Sa,4Ra</v>
      </c>
      <c r="S356" s="124">
        <f ca="1">Planet(P[[#This Row],[GMT Sun Rise]],4)</f>
        <v>323.84909041379711</v>
      </c>
      <c r="T356" s="124">
        <f ca="1">Planet(P[[#This Row],[GMT Sun Rise]],2)</f>
        <v>216.7818019154283</v>
      </c>
      <c r="U356" s="124">
        <f ca="1">Planet(P[[#This Row],[GMT Sun Rise]],5)</f>
        <v>223.77467332336954</v>
      </c>
      <c r="V356" s="124">
        <f ca="1">Planet(P[[#This Row],[GMT Sun Rise]],3)</f>
        <v>193.42532913906282</v>
      </c>
      <c r="W356" s="124">
        <f ca="1">Planet(P[[#This Row],[GMT Sun Rise]],6)</f>
        <v>255.15947617693266</v>
      </c>
      <c r="X356" s="124">
        <f ca="1">Planet(P[[#This Row],[GMT Sun Rise]],10)</f>
        <v>94.401195660117097</v>
      </c>
      <c r="Y356" s="124">
        <f ca="1">SIGN(S357-P[[#This Row],[MARs]])</f>
        <v>1</v>
      </c>
    </row>
    <row r="357" spans="1:25" x14ac:dyDescent="0.2">
      <c r="A357" s="125">
        <f t="shared" ca="1" si="56"/>
        <v>43449</v>
      </c>
      <c r="B357" s="125">
        <f t="shared" ca="1" si="49"/>
        <v>43449.229166666664</v>
      </c>
      <c r="C357" s="127">
        <f t="shared" ca="1" si="50"/>
        <v>43449.267594224926</v>
      </c>
      <c r="D357" s="127">
        <f t="shared" ca="1" si="51"/>
        <v>43448.738518059297</v>
      </c>
      <c r="E357" s="189">
        <f ca="1">P[[#This Row],[SunRise]]-TimeZone/24</f>
        <v>43449.038427558262</v>
      </c>
      <c r="F357" s="190">
        <f t="shared" ca="1" si="52"/>
        <v>238.86685586006135</v>
      </c>
      <c r="G357" s="190">
        <f t="shared" ca="1" si="53"/>
        <v>323.85433264336518</v>
      </c>
      <c r="H357" s="191">
        <f t="shared" ca="1" si="54"/>
        <v>43449.038427558262</v>
      </c>
      <c r="I357" s="124" t="str">
        <f ca="1">naks(P[[#This Row],[Moon]])</f>
        <v>Purva Bhadrapada</v>
      </c>
      <c r="J357" s="127">
        <f ca="1">(C358-P[[#This Row],[SunRise]])/(G358-P[[#This Row],[Moon]])*(13.3333333333333-MOD(P[[#This Row],[Moon]],13.333333333333))+P[[#This Row],[SunRise]]</f>
        <v>43450.049259379477</v>
      </c>
      <c r="K357" s="124" t="str">
        <f ca="1">IF(P[[#This Row],[Tithi]]&gt;15,"K","S")&amp;ROUNDUP(MOD(P[[#This Row],[Tithi]],15),0)&amp;" ("&amp;ROUND(P[[#This Row],[Tithi]],2)&amp;")"</f>
        <v>S8 (7.08)</v>
      </c>
      <c r="L357" s="124">
        <f ca="1">IF(AND(P[[#This Row],[Tithi]]&lt;28.5,P[[#This Row],[Tithi]]&gt;0.49999),MOD((P[[#This Row],[Tithi]]-0.5)*2,7),MOD((P[[#This Row],[Tithi]]+30-28.5),30)*2+7)</f>
        <v>6.1646000000000001</v>
      </c>
      <c r="M357" s="124" t="str">
        <f ca="1">CHOOSE(ROUNDUP(P[[#This Row],[Karana1]],0),"Bhava","Baalava","Kaulava","Taitula","Garija","Vanija","Vishti","Shakuni","Chatushapda","Naaga","Kimstugna")</f>
        <v>Vishti</v>
      </c>
      <c r="N35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(15.21)</v>
      </c>
      <c r="O357" s="124">
        <f ca="1">IF(AND(P[[#This Row],[Tithi]]&lt;28.5,P[[#This Row],[Tithi]]&gt;0.49999),MOD((P[[#This Row],[Tithi]]-0.5)*2,7),MOD((P[[#This Row],[Tithi]]+30-28.5),30)*2+7)</f>
        <v>6.1646000000000001</v>
      </c>
      <c r="P357" s="124">
        <f ca="1">ROUNDUP(MOD(360+P[[#This Row],[Moon]]-P[[#This Row],[Sun]],360)/12,4)</f>
        <v>7.0823</v>
      </c>
      <c r="Q357" s="124">
        <f t="shared" ca="1" si="55"/>
        <v>15.209999999999999</v>
      </c>
      <c r="R357" s="124" t="str">
        <f ca="1">SIGN(S358-P[[#This Row],[MARs]])*INT(P[[#This Row],[MARs]]/30+1)&amp;"Ma,"&amp;SIGN(T358-P[[#This Row],[Merc]])*INT(P[[#This Row],[Merc]]/30+1)&amp;"Me,"&amp;SIGN(U358-P[[#This Row],[Jup]])*INT(P[[#This Row],[Jup]]/30+1)&amp;"Ju,"&amp;SIGN(V358-P[[#This Row],[Venu]])*INT(P[[#This Row],[Venu]]/30+1)&amp;"Ve,"&amp;SIGN(W358-P[[#This Row],[Sat]])*INT(P[[#This Row],[Sat]]/30+1)&amp;"Sa,"&amp;INT(P[[#This Row],[Rah]]/30+1)&amp;"Ra"</f>
        <v>11Ma,8Me,8Ju,7Ve,9Sa,4Ra</v>
      </c>
      <c r="S357" s="124">
        <f ca="1">Planet(P[[#This Row],[GMT Sun Rise]],4)</f>
        <v>324.50917694331702</v>
      </c>
      <c r="T357" s="124">
        <f ca="1">Planet(P[[#This Row],[GMT Sun Rise]],2)</f>
        <v>217.72134035592825</v>
      </c>
      <c r="U357" s="124">
        <f ca="1">Planet(P[[#This Row],[GMT Sun Rise]],5)</f>
        <v>223.99497145845868</v>
      </c>
      <c r="V357" s="124">
        <f ca="1">Planet(P[[#This Row],[GMT Sun Rise]],3)</f>
        <v>194.20518071866661</v>
      </c>
      <c r="W357" s="124">
        <f ca="1">Planet(P[[#This Row],[GMT Sun Rise]],6)</f>
        <v>255.27427141157708</v>
      </c>
      <c r="X357" s="124">
        <f ca="1">Planet(P[[#This Row],[GMT Sun Rise]],10)</f>
        <v>94.348183709374624</v>
      </c>
      <c r="Y357" s="124">
        <f ca="1">SIGN(S358-P[[#This Row],[MARs]])</f>
        <v>1</v>
      </c>
    </row>
    <row r="358" spans="1:25" x14ac:dyDescent="0.2">
      <c r="A358" s="125">
        <f t="shared" ca="1" si="56"/>
        <v>43450</v>
      </c>
      <c r="B358" s="125">
        <f t="shared" ca="1" si="49"/>
        <v>43450.229166666664</v>
      </c>
      <c r="C358" s="127">
        <f t="shared" ca="1" si="50"/>
        <v>43450.267967429165</v>
      </c>
      <c r="D358" s="127">
        <f t="shared" ca="1" si="51"/>
        <v>43449.738809566057</v>
      </c>
      <c r="E358" s="189">
        <f ca="1">P[[#This Row],[SunRise]]-TimeZone/24</f>
        <v>43450.038800762501</v>
      </c>
      <c r="F358" s="190">
        <f t="shared" ca="1" si="52"/>
        <v>239.88453210918246</v>
      </c>
      <c r="G358" s="190">
        <f t="shared" ca="1" si="53"/>
        <v>335.98553516398306</v>
      </c>
      <c r="H358" s="191">
        <f t="shared" ca="1" si="54"/>
        <v>43450.038800762501</v>
      </c>
      <c r="I358" s="124" t="str">
        <f ca="1">naks(P[[#This Row],[Moon]])</f>
        <v>Uttara Bhadrapada</v>
      </c>
      <c r="J358" s="127">
        <f ca="1">(C359-P[[#This Row],[SunRise]])/(G359-P[[#This Row],[Moon]])*(13.3333333333333-MOD(P[[#This Row],[Moon]],13.333333333333))+P[[#This Row],[SunRise]]</f>
        <v>43451.12860640177</v>
      </c>
      <c r="K358" s="124" t="str">
        <f ca="1">IF(P[[#This Row],[Tithi]]&gt;15,"K","S")&amp;ROUNDUP(MOD(P[[#This Row],[Tithi]],15),0)&amp;" ("&amp;ROUND(P[[#This Row],[Tithi]],2)&amp;")"</f>
        <v>S9 (8.01)</v>
      </c>
      <c r="L358" s="124">
        <f ca="1">IF(AND(P[[#This Row],[Tithi]]&lt;28.5,P[[#This Row],[Tithi]]&gt;0.49999),MOD((P[[#This Row],[Tithi]]-0.5)*2,7),MOD((P[[#This Row],[Tithi]]+30-28.5),30)*2+7)</f>
        <v>1.0169999999999995</v>
      </c>
      <c r="M358" s="124" t="str">
        <f ca="1">CHOOSE(ROUNDUP(P[[#This Row],[Karana1]],0),"Bhava","Baalava","Kaulava","Taitula","Garija","Vanija","Vishti","Shakuni","Chatushapda","Naaga","Kimstugna")</f>
        <v>Baalava</v>
      </c>
      <c r="N35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(16.2)</v>
      </c>
      <c r="O358" s="124">
        <f ca="1">IF(AND(P[[#This Row],[Tithi]]&lt;28.5,P[[#This Row],[Tithi]]&gt;0.49999),MOD((P[[#This Row],[Tithi]]-0.5)*2,7),MOD((P[[#This Row],[Tithi]]+30-28.5),30)*2+7)</f>
        <v>1.0169999999999995</v>
      </c>
      <c r="P358" s="124">
        <f ca="1">ROUNDUP(MOD(360+P[[#This Row],[Moon]]-P[[#This Row],[Sun]],360)/12,4)</f>
        <v>8.0084999999999997</v>
      </c>
      <c r="Q358" s="124">
        <f t="shared" ca="1" si="55"/>
        <v>16.200000000000003</v>
      </c>
      <c r="R358" s="124" t="str">
        <f ca="1">SIGN(S359-P[[#This Row],[MARs]])*INT(P[[#This Row],[MARs]]/30+1)&amp;"Ma,"&amp;SIGN(T359-P[[#This Row],[Merc]])*INT(P[[#This Row],[Merc]]/30+1)&amp;"Me,"&amp;SIGN(U359-P[[#This Row],[Jup]])*INT(P[[#This Row],[Jup]]/30+1)&amp;"Ju,"&amp;SIGN(V359-P[[#This Row],[Venu]])*INT(P[[#This Row],[Venu]]/30+1)&amp;"Ve,"&amp;SIGN(W359-P[[#This Row],[Sat]])*INT(P[[#This Row],[Sat]]/30+1)&amp;"Sa,"&amp;INT(P[[#This Row],[Rah]]/30+1)&amp;"Ra"</f>
        <v>11Ma,8Me,8Ju,7Ve,9Sa,4Ra</v>
      </c>
      <c r="S358" s="124">
        <f ca="1">Planet(P[[#This Row],[GMT Sun Rise]],4)</f>
        <v>325.17023070612385</v>
      </c>
      <c r="T358" s="124">
        <f ca="1">Planet(P[[#This Row],[GMT Sun Rise]],2)</f>
        <v>218.73172800709</v>
      </c>
      <c r="U358" s="124">
        <f ca="1">Planet(P[[#This Row],[GMT Sun Rise]],5)</f>
        <v>224.2148636616852</v>
      </c>
      <c r="V358" s="124">
        <f ca="1">Planet(P[[#This Row],[GMT Sun Rise]],3)</f>
        <v>195.0004531857256</v>
      </c>
      <c r="W358" s="124">
        <f ca="1">Planet(P[[#This Row],[GMT Sun Rise]],6)</f>
        <v>255.38941238546374</v>
      </c>
      <c r="X358" s="124">
        <f ca="1">Planet(P[[#This Row],[GMT Sun Rise]],10)</f>
        <v>94.295171935539827</v>
      </c>
      <c r="Y358" s="124">
        <f ca="1">SIGN(S359-P[[#This Row],[MARs]])</f>
        <v>1</v>
      </c>
    </row>
    <row r="359" spans="1:25" x14ac:dyDescent="0.2">
      <c r="A359" s="125">
        <f t="shared" ca="1" si="56"/>
        <v>43451</v>
      </c>
      <c r="B359" s="125">
        <f t="shared" ca="1" si="49"/>
        <v>43451.229166666664</v>
      </c>
      <c r="C359" s="127">
        <f t="shared" ca="1" si="50"/>
        <v>43451.268337296009</v>
      </c>
      <c r="D359" s="127">
        <f t="shared" ca="1" si="51"/>
        <v>43450.739109814211</v>
      </c>
      <c r="E359" s="189">
        <f ca="1">P[[#This Row],[SunRise]]-TimeZone/24</f>
        <v>43451.039170629345</v>
      </c>
      <c r="F359" s="190">
        <f t="shared" ca="1" si="52"/>
        <v>240.90232494941503</v>
      </c>
      <c r="G359" s="190">
        <f t="shared" ca="1" si="53"/>
        <v>348.40082477920851</v>
      </c>
      <c r="H359" s="191">
        <f t="shared" ca="1" si="54"/>
        <v>43451.039170629345</v>
      </c>
      <c r="I359" s="124" t="str">
        <f ca="1">naks(P[[#This Row],[Moon]])</f>
        <v>Revati</v>
      </c>
      <c r="J359" s="127">
        <f ca="1">(C360-P[[#This Row],[SunRise]])/(G360-P[[#This Row],[Moon]])*(13.3333333333333-MOD(P[[#This Row],[Moon]],13.333333333333))+P[[#This Row],[SunRise]]</f>
        <v>43451.234919976574</v>
      </c>
      <c r="K359" s="124" t="str">
        <f ca="1">IF(P[[#This Row],[Tithi]]&gt;15,"K","S")&amp;ROUNDUP(MOD(P[[#This Row],[Tithi]],15),0)&amp;" ("&amp;ROUND(P[[#This Row],[Tithi]],2)&amp;")"</f>
        <v>S9 (8.96)</v>
      </c>
      <c r="L359" s="124">
        <f ca="1">IF(AND(P[[#This Row],[Tithi]]&lt;28.5,P[[#This Row],[Tithi]]&gt;0.49999),MOD((P[[#This Row],[Tithi]]-0.5)*2,7),MOD((P[[#This Row],[Tithi]]+30-28.5),30)*2+7)</f>
        <v>2.916599999999999</v>
      </c>
      <c r="M359" s="124" t="str">
        <f ca="1">CHOOSE(ROUNDUP(P[[#This Row],[Karana1]],0),"Bhava","Baalava","Kaulava","Taitula","Garija","Vanija","Vishti","Shakuni","Chatushapda","Naaga","Kimstugna")</f>
        <v>Kaulava</v>
      </c>
      <c r="N35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(17.2)</v>
      </c>
      <c r="O359" s="124">
        <f ca="1">IF(AND(P[[#This Row],[Tithi]]&lt;28.5,P[[#This Row],[Tithi]]&gt;0.49999),MOD((P[[#This Row],[Tithi]]-0.5)*2,7),MOD((P[[#This Row],[Tithi]]+30-28.5),30)*2+7)</f>
        <v>2.916599999999999</v>
      </c>
      <c r="P359" s="124">
        <f ca="1">ROUNDUP(MOD(360+P[[#This Row],[Moon]]-P[[#This Row],[Sun]],360)/12,4)</f>
        <v>8.9582999999999995</v>
      </c>
      <c r="Q359" s="124">
        <f t="shared" ca="1" si="55"/>
        <v>17.200000000000003</v>
      </c>
      <c r="R359" s="124" t="str">
        <f ca="1">SIGN(S360-P[[#This Row],[MARs]])*INT(P[[#This Row],[MARs]]/30+1)&amp;"Ma,"&amp;SIGN(T360-P[[#This Row],[Merc]])*INT(P[[#This Row],[Merc]]/30+1)&amp;"Me,"&amp;SIGN(U360-P[[#This Row],[Jup]])*INT(P[[#This Row],[Jup]]/30+1)&amp;"Ju,"&amp;SIGN(V360-P[[#This Row],[Venu]])*INT(P[[#This Row],[Venu]]/30+1)&amp;"Ve,"&amp;SIGN(W360-P[[#This Row],[Sat]])*INT(P[[#This Row],[Sat]]/30+1)&amp;"Sa,"&amp;INT(P[[#This Row],[Rah]]/30+1)&amp;"Ra"</f>
        <v>11Ma,8Me,8Ju,7Ve,9Sa,4Ra</v>
      </c>
      <c r="S359" s="124">
        <f ca="1">Planet(P[[#This Row],[GMT Sun Rise]],4)</f>
        <v>325.83220303086449</v>
      </c>
      <c r="T359" s="124">
        <f ca="1">Planet(P[[#This Row],[GMT Sun Rise]],2)</f>
        <v>219.80412257365469</v>
      </c>
      <c r="U359" s="124">
        <f ca="1">Planet(P[[#This Row],[GMT Sun Rise]],5)</f>
        <v>224.43432709876438</v>
      </c>
      <c r="V359" s="124">
        <f ca="1">Planet(P[[#This Row],[GMT Sun Rise]],3)</f>
        <v>195.81056960446699</v>
      </c>
      <c r="W359" s="124">
        <f ca="1">Planet(P[[#This Row],[GMT Sun Rise]],6)</f>
        <v>255.50487940945735</v>
      </c>
      <c r="X359" s="124">
        <f ca="1">Planet(P[[#This Row],[GMT Sun Rise]],10)</f>
        <v>94.242160338563124</v>
      </c>
      <c r="Y359" s="124">
        <f ca="1">SIGN(S360-P[[#This Row],[MARs]])</f>
        <v>1</v>
      </c>
    </row>
    <row r="360" spans="1:25" x14ac:dyDescent="0.2">
      <c r="A360" s="125">
        <f t="shared" ca="1" si="56"/>
        <v>43452</v>
      </c>
      <c r="B360" s="125">
        <f t="shared" ca="1" si="49"/>
        <v>43452.229166666664</v>
      </c>
      <c r="C360" s="127">
        <f t="shared" ca="1" si="50"/>
        <v>43452.2687031889</v>
      </c>
      <c r="D360" s="127">
        <f t="shared" ca="1" si="51"/>
        <v>43451.739418487108</v>
      </c>
      <c r="E360" s="189">
        <f ca="1">P[[#This Row],[SunRise]]-TimeZone/24</f>
        <v>43452.039536522236</v>
      </c>
      <c r="F360" s="190">
        <f t="shared" ca="1" si="52"/>
        <v>241.92022510829653</v>
      </c>
      <c r="G360" s="190">
        <f t="shared" ca="1" si="53"/>
        <v>1.1731155286507389</v>
      </c>
      <c r="H360" s="191">
        <f t="shared" ca="1" si="54"/>
        <v>43452.039536522236</v>
      </c>
      <c r="I360" s="124" t="str">
        <f ca="1">naks(P[[#This Row],[Moon]])</f>
        <v>Aswini</v>
      </c>
      <c r="J360" s="127">
        <f ca="1">(C361-P[[#This Row],[SunRise]])/(G361-P[[#This Row],[Moon]])*(13.3333333333333-MOD(P[[#This Row],[Moon]],13.333333333333))+P[[#This Row],[SunRise]]</f>
        <v>43453.191448639205</v>
      </c>
      <c r="K360" s="124" t="str">
        <f ca="1">IF(P[[#This Row],[Tithi]]&gt;15,"K","S")&amp;ROUNDUP(MOD(P[[#This Row],[Tithi]],15),0)&amp;" ("&amp;ROUND(P[[#This Row],[Tithi]],2)&amp;")"</f>
        <v>S10 (9.94)</v>
      </c>
      <c r="L360" s="124">
        <f ca="1">IF(AND(P[[#This Row],[Tithi]]&lt;28.5,P[[#This Row],[Tithi]]&gt;0.49999),MOD((P[[#This Row],[Tithi]]-0.5)*2,7),MOD((P[[#This Row],[Tithi]]+30-28.5),30)*2+7)</f>
        <v>4.8755999999999986</v>
      </c>
      <c r="M360" s="124" t="str">
        <f ca="1">CHOOSE(ROUNDUP(P[[#This Row],[Karana1]],0),"Bhava","Baalava","Kaulava","Taitula","Garija","Vanija","Vishti","Shakuni","Chatushapda","Naaga","Kimstugna")</f>
        <v>Garija</v>
      </c>
      <c r="N36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(18.24)</v>
      </c>
      <c r="O360" s="124">
        <f ca="1">IF(AND(P[[#This Row],[Tithi]]&lt;28.5,P[[#This Row],[Tithi]]&gt;0.49999),MOD((P[[#This Row],[Tithi]]-0.5)*2,7),MOD((P[[#This Row],[Tithi]]+30-28.5),30)*2+7)</f>
        <v>4.8755999999999986</v>
      </c>
      <c r="P360" s="124">
        <f ca="1">ROUNDUP(MOD(360+P[[#This Row],[Moon]]-P[[#This Row],[Sun]],360)/12,4)</f>
        <v>9.9377999999999993</v>
      </c>
      <c r="Q360" s="124">
        <f t="shared" ca="1" si="55"/>
        <v>18.240000000000002</v>
      </c>
      <c r="R360" s="124" t="str">
        <f ca="1">SIGN(S361-P[[#This Row],[MARs]])*INT(P[[#This Row],[MARs]]/30+1)&amp;"Ma,"&amp;SIGN(T361-P[[#This Row],[Merc]])*INT(P[[#This Row],[Merc]]/30+1)&amp;"Me,"&amp;SIGN(U361-P[[#This Row],[Jup]])*INT(P[[#This Row],[Jup]]/30+1)&amp;"Ju,"&amp;SIGN(V361-P[[#This Row],[Venu]])*INT(P[[#This Row],[Venu]]/30+1)&amp;"Ve,"&amp;SIGN(W361-P[[#This Row],[Sat]])*INT(P[[#This Row],[Sat]]/30+1)&amp;"Sa,"&amp;INT(P[[#This Row],[Rah]]/30+1)&amp;"Ra"</f>
        <v>11Ma,8Me,8Ju,7Ve,9Sa,4Ra</v>
      </c>
      <c r="S360" s="124">
        <f ca="1">Planet(P[[#This Row],[GMT Sun Rise]],4)</f>
        <v>326.49504550217841</v>
      </c>
      <c r="T360" s="124">
        <f ca="1">Planet(P[[#This Row],[GMT Sun Rise]],2)</f>
        <v>220.93072456920112</v>
      </c>
      <c r="U360" s="124">
        <f ca="1">Planet(P[[#This Row],[GMT Sun Rise]],5)</f>
        <v>224.65333928631259</v>
      </c>
      <c r="V360" s="124">
        <f ca="1">Planet(P[[#This Row],[GMT Sun Rise]],3)</f>
        <v>196.6349802962763</v>
      </c>
      <c r="W360" s="124">
        <f ca="1">Planet(P[[#This Row],[GMT Sun Rise]],6)</f>
        <v>255.62065299292624</v>
      </c>
      <c r="X360" s="124">
        <f ca="1">Planet(P[[#This Row],[GMT Sun Rise]],10)</f>
        <v>94.18914895216183</v>
      </c>
      <c r="Y360" s="124">
        <f ca="1">SIGN(S361-P[[#This Row],[MARs]])</f>
        <v>1</v>
      </c>
    </row>
    <row r="361" spans="1:25" x14ac:dyDescent="0.2">
      <c r="A361" s="125">
        <f t="shared" ca="1" si="56"/>
        <v>43453</v>
      </c>
      <c r="B361" s="125">
        <f t="shared" ca="1" si="49"/>
        <v>43453.229166666664</v>
      </c>
      <c r="C361" s="127">
        <f t="shared" ca="1" si="50"/>
        <v>43453.269064949513</v>
      </c>
      <c r="D361" s="127">
        <f t="shared" ca="1" si="51"/>
        <v>43452.739734947725</v>
      </c>
      <c r="E361" s="189">
        <f ca="1">P[[#This Row],[SunRise]]-TimeZone/24</f>
        <v>43453.039898282848</v>
      </c>
      <c r="F361" s="190">
        <f t="shared" ca="1" si="52"/>
        <v>242.93822678315874</v>
      </c>
      <c r="G361" s="190">
        <f t="shared" ca="1" si="53"/>
        <v>14.356184476309883</v>
      </c>
      <c r="H361" s="191">
        <f t="shared" ca="1" si="54"/>
        <v>43453.039898282848</v>
      </c>
      <c r="I361" s="124" t="str">
        <f ca="1">naks(P[[#This Row],[Moon]])</f>
        <v>Bharani</v>
      </c>
      <c r="J361" s="127">
        <f ca="1">(C362-P[[#This Row],[SunRise]])/(G362-P[[#This Row],[Moon]])*(13.3333333333333-MOD(P[[#This Row],[Moon]],13.333333333333))+P[[#This Row],[SunRise]]</f>
        <v>43454.173302702628</v>
      </c>
      <c r="K361" s="124" t="str">
        <f ca="1">IF(P[[#This Row],[Tithi]]&gt;15,"K","S")&amp;ROUNDUP(MOD(P[[#This Row],[Tithi]],15),0)&amp;" ("&amp;ROUND(P[[#This Row],[Tithi]],2)&amp;")"</f>
        <v>S11 (10.95)</v>
      </c>
      <c r="L361" s="124">
        <f ca="1">IF(AND(P[[#This Row],[Tithi]]&lt;28.5,P[[#This Row],[Tithi]]&gt;0.49999),MOD((P[[#This Row],[Tithi]]-0.5)*2,7),MOD((P[[#This Row],[Tithi]]+30-28.5),30)*2+7)</f>
        <v>6.9029999999999987</v>
      </c>
      <c r="M361" s="124" t="str">
        <f ca="1">CHOOSE(ROUNDUP(P[[#This Row],[Karana1]],0),"Bhava","Baalava","Kaulava","Taitula","Garija","Vanija","Vishti","Shakuni","Chatushapda","Naaga","Kimstugna")</f>
        <v>Vishti</v>
      </c>
      <c r="N36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(19.3)</v>
      </c>
      <c r="O361" s="124">
        <f ca="1">IF(AND(P[[#This Row],[Tithi]]&lt;28.5,P[[#This Row],[Tithi]]&gt;0.49999),MOD((P[[#This Row],[Tithi]]-0.5)*2,7),MOD((P[[#This Row],[Tithi]]+30-28.5),30)*2+7)</f>
        <v>6.9029999999999987</v>
      </c>
      <c r="P361" s="124">
        <f ca="1">ROUNDUP(MOD(360+P[[#This Row],[Moon]]-P[[#This Row],[Sun]],360)/12,4)</f>
        <v>10.951499999999999</v>
      </c>
      <c r="Q361" s="124">
        <f t="shared" ca="1" si="55"/>
        <v>19.3</v>
      </c>
      <c r="R361" s="124" t="str">
        <f ca="1">SIGN(S362-P[[#This Row],[MARs]])*INT(P[[#This Row],[MARs]]/30+1)&amp;"Ma,"&amp;SIGN(T362-P[[#This Row],[Merc]])*INT(P[[#This Row],[Merc]]/30+1)&amp;"Me,"&amp;SIGN(U362-P[[#This Row],[Jup]])*INT(P[[#This Row],[Jup]]/30+1)&amp;"Ju,"&amp;SIGN(V362-P[[#This Row],[Venu]])*INT(P[[#This Row],[Venu]]/30+1)&amp;"Ve,"&amp;SIGN(W362-P[[#This Row],[Sat]])*INT(P[[#This Row],[Sat]]/30+1)&amp;"Sa,"&amp;INT(P[[#This Row],[Rah]]/30+1)&amp;"Ra"</f>
        <v>11Ma,8Me,8Ju,7Ve,9Sa,4Ra</v>
      </c>
      <c r="S361" s="124">
        <f ca="1">Planet(P[[#This Row],[GMT Sun Rise]],4)</f>
        <v>327.15871108874637</v>
      </c>
      <c r="T361" s="124">
        <f ca="1">Planet(P[[#This Row],[GMT Sun Rise]],2)</f>
        <v>222.10469752450837</v>
      </c>
      <c r="U361" s="124">
        <f ca="1">Planet(P[[#This Row],[GMT Sun Rise]],5)</f>
        <v>224.87187838108534</v>
      </c>
      <c r="V361" s="124">
        <f ca="1">Planet(P[[#This Row],[GMT Sun Rise]],3)</f>
        <v>197.4731626391773</v>
      </c>
      <c r="W361" s="124">
        <f ca="1">Planet(P[[#This Row],[GMT Sun Rise]],6)</f>
        <v>255.73671402800548</v>
      </c>
      <c r="X361" s="124">
        <f ca="1">Planet(P[[#This Row],[GMT Sun Rise]],10)</f>
        <v>94.136137784769531</v>
      </c>
      <c r="Y361" s="124">
        <f ca="1">SIGN(S362-P[[#This Row],[MARs]])</f>
        <v>1</v>
      </c>
    </row>
    <row r="362" spans="1:25" x14ac:dyDescent="0.2">
      <c r="A362" s="125">
        <f t="shared" ca="1" si="56"/>
        <v>43454</v>
      </c>
      <c r="B362" s="125">
        <f t="shared" ca="1" si="49"/>
        <v>43454.229166666664</v>
      </c>
      <c r="C362" s="127">
        <f t="shared" ca="1" si="50"/>
        <v>43454.269421782497</v>
      </c>
      <c r="D362" s="127">
        <f t="shared" ca="1" si="51"/>
        <v>43453.740059196993</v>
      </c>
      <c r="E362" s="189">
        <f ca="1">P[[#This Row],[SunRise]]-TimeZone/24</f>
        <v>43454.040255115833</v>
      </c>
      <c r="F362" s="190">
        <f t="shared" ca="1" si="52"/>
        <v>243.95632694739078</v>
      </c>
      <c r="G362" s="190">
        <f t="shared" ca="1" si="53"/>
        <v>27.975251955049494</v>
      </c>
      <c r="H362" s="191">
        <f t="shared" ca="1" si="54"/>
        <v>43454.040255115833</v>
      </c>
      <c r="I362" s="124" t="str">
        <f ca="1">naks(P[[#This Row],[Moon]])</f>
        <v>Krittika</v>
      </c>
      <c r="J362" s="127">
        <f ca="1">(C363-P[[#This Row],[SunRise]])/(G363-P[[#This Row],[Moon]])*(13.3333333333333-MOD(P[[#This Row],[Moon]],13.333333333333))+P[[#This Row],[SunRise]]</f>
        <v>43455.125981321769</v>
      </c>
      <c r="K362" s="124" t="str">
        <f ca="1">IF(P[[#This Row],[Tithi]]&gt;15,"K","S")&amp;ROUNDUP(MOD(P[[#This Row],[Tithi]],15),0)&amp;" ("&amp;ROUND(P[[#This Row],[Tithi]],2)&amp;")"</f>
        <v>S13 (12)</v>
      </c>
      <c r="L362" s="124">
        <f ca="1">IF(AND(P[[#This Row],[Tithi]]&lt;28.5,P[[#This Row],[Tithi]]&gt;0.49999),MOD((P[[#This Row],[Tithi]]-0.5)*2,7),MOD((P[[#This Row],[Tithi]]+30-28.5),30)*2+7)</f>
        <v>2.0031999999999996</v>
      </c>
      <c r="M362" s="124" t="str">
        <f ca="1">CHOOSE(ROUNDUP(P[[#This Row],[Karana1]],0),"Bhava","Baalava","Kaulava","Taitula","Garija","Vanija","Vishti","Shakuni","Chatushapda","Naaga","Kimstugna")</f>
        <v>Kaulava</v>
      </c>
      <c r="N36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(20.4)</v>
      </c>
      <c r="O362" s="124">
        <f ca="1">IF(AND(P[[#This Row],[Tithi]]&lt;28.5,P[[#This Row],[Tithi]]&gt;0.49999),MOD((P[[#This Row],[Tithi]]-0.5)*2,7),MOD((P[[#This Row],[Tithi]]+30-28.5),30)*2+7)</f>
        <v>2.0031999999999996</v>
      </c>
      <c r="P362" s="124">
        <f ca="1">ROUNDUP(MOD(360+P[[#This Row],[Moon]]-P[[#This Row],[Sun]],360)/12,4)</f>
        <v>12.0016</v>
      </c>
      <c r="Q362" s="124">
        <f t="shared" ca="1" si="55"/>
        <v>20.400000000000002</v>
      </c>
      <c r="R362" s="124" t="str">
        <f ca="1">SIGN(S363-P[[#This Row],[MARs]])*INT(P[[#This Row],[MARs]]/30+1)&amp;"Ma,"&amp;SIGN(T363-P[[#This Row],[Merc]])*INT(P[[#This Row],[Merc]]/30+1)&amp;"Me,"&amp;SIGN(U363-P[[#This Row],[Jup]])*INT(P[[#This Row],[Jup]]/30+1)&amp;"Ju,"&amp;SIGN(V363-P[[#This Row],[Venu]])*INT(P[[#This Row],[Venu]]/30+1)&amp;"Ve,"&amp;SIGN(W363-P[[#This Row],[Sat]])*INT(P[[#This Row],[Sat]]/30+1)&amp;"Sa,"&amp;INT(P[[#This Row],[Rah]]/30+1)&amp;"Ra"</f>
        <v>11Ma,8Me,8Ju,7Ve,9Sa,4Ra</v>
      </c>
      <c r="S362" s="124">
        <f ca="1">Planet(P[[#This Row],[GMT Sun Rise]],4)</f>
        <v>327.82315399839439</v>
      </c>
      <c r="T362" s="124">
        <f ca="1">Planet(P[[#This Row],[GMT Sun Rise]],2)</f>
        <v>223.32007753650277</v>
      </c>
      <c r="U362" s="124">
        <f ca="1">Planet(P[[#This Row],[GMT Sun Rise]],5)</f>
        <v>225.08992296596537</v>
      </c>
      <c r="V362" s="124">
        <f ca="1">Planet(P[[#This Row],[GMT Sun Rise]],3)</f>
        <v>198.32461878290073</v>
      </c>
      <c r="W362" s="124">
        <f ca="1">Planet(P[[#This Row],[GMT Sun Rise]],6)</f>
        <v>255.85304371779529</v>
      </c>
      <c r="X362" s="124">
        <f ca="1">Planet(P[[#This Row],[GMT Sun Rise]],10)</f>
        <v>94.083126878504203</v>
      </c>
      <c r="Y362" s="124">
        <f ca="1">SIGN(S363-P[[#This Row],[MARs]])</f>
        <v>1</v>
      </c>
    </row>
    <row r="363" spans="1:25" x14ac:dyDescent="0.2">
      <c r="A363" s="125">
        <f t="shared" ca="1" si="56"/>
        <v>43455</v>
      </c>
      <c r="B363" s="125">
        <f t="shared" ca="1" si="49"/>
        <v>43455.229166666664</v>
      </c>
      <c r="C363" s="127">
        <f t="shared" ca="1" si="50"/>
        <v>43455.26977368832</v>
      </c>
      <c r="D363" s="127">
        <f t="shared" ca="1" si="51"/>
        <v>43454.740390598818</v>
      </c>
      <c r="E363" s="189">
        <f ca="1">P[[#This Row],[SunRise]]-TimeZone/24</f>
        <v>43455.040607021656</v>
      </c>
      <c r="F363" s="190">
        <f t="shared" ca="1" si="52"/>
        <v>244.97452718861922</v>
      </c>
      <c r="G363" s="190">
        <f t="shared" ca="1" si="53"/>
        <v>42.018618553965808</v>
      </c>
      <c r="H363" s="191">
        <f t="shared" ca="1" si="54"/>
        <v>43455.040607021656</v>
      </c>
      <c r="I363" s="124" t="str">
        <f ca="1">naks(P[[#This Row],[Moon]])</f>
        <v>Rohini</v>
      </c>
      <c r="J363" s="127">
        <f ca="1">(C364-P[[#This Row],[SunRise]])/(G364-P[[#This Row],[Moon]])*(13.3333333333333-MOD(P[[#This Row],[Moon]],13.333333333333))+P[[#This Row],[SunRise]]</f>
        <v>43456.054999666725</v>
      </c>
      <c r="K363" s="124" t="str">
        <f ca="1">IF(P[[#This Row],[Tithi]]&gt;15,"K","S")&amp;ROUNDUP(MOD(P[[#This Row],[Tithi]],15),0)&amp;" ("&amp;ROUND(P[[#This Row],[Tithi]],2)&amp;")"</f>
        <v>S14 (13.09)</v>
      </c>
      <c r="L363" s="124">
        <f ca="1">IF(AND(P[[#This Row],[Tithi]]&lt;28.5,P[[#This Row],[Tithi]]&gt;0.49999),MOD((P[[#This Row],[Tithi]]-0.5)*2,7),MOD((P[[#This Row],[Tithi]]+30-28.5),30)*2+7)</f>
        <v>4.174199999999999</v>
      </c>
      <c r="M363" s="124" t="str">
        <f ca="1">CHOOSE(ROUNDUP(P[[#This Row],[Karana1]],0),"Bhava","Baalava","Kaulava","Taitula","Garija","Vanija","Vishti","Shakuni","Chatushapda","Naaga","Kimstugna")</f>
        <v>Garija</v>
      </c>
      <c r="N36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(21.53)</v>
      </c>
      <c r="O363" s="124">
        <f ca="1">IF(AND(P[[#This Row],[Tithi]]&lt;28.5,P[[#This Row],[Tithi]]&gt;0.49999),MOD((P[[#This Row],[Tithi]]-0.5)*2,7),MOD((P[[#This Row],[Tithi]]+30-28.5),30)*2+7)</f>
        <v>4.174199999999999</v>
      </c>
      <c r="P363" s="124">
        <f ca="1">ROUNDUP(MOD(360+P[[#This Row],[Moon]]-P[[#This Row],[Sun]],360)/12,4)</f>
        <v>13.0871</v>
      </c>
      <c r="Q363" s="124">
        <f t="shared" ca="1" si="55"/>
        <v>21.53</v>
      </c>
      <c r="R363" s="124" t="str">
        <f ca="1">SIGN(S364-P[[#This Row],[MARs]])*INT(P[[#This Row],[MARs]]/30+1)&amp;"Ma,"&amp;SIGN(T364-P[[#This Row],[Merc]])*INT(P[[#This Row],[Merc]]/30+1)&amp;"Me,"&amp;SIGN(U364-P[[#This Row],[Jup]])*INT(P[[#This Row],[Jup]]/30+1)&amp;"Ju,"&amp;SIGN(V364-P[[#This Row],[Venu]])*INT(P[[#This Row],[Venu]]/30+1)&amp;"Ve,"&amp;SIGN(W364-P[[#This Row],[Sat]])*INT(P[[#This Row],[Sat]]/30+1)&amp;"Sa,"&amp;INT(P[[#This Row],[Rah]]/30+1)&amp;"Ra"</f>
        <v>11Ma,8Me,8Ju,7Ve,9Sa,4Ra</v>
      </c>
      <c r="S363" s="124">
        <f ca="1">Planet(P[[#This Row],[GMT Sun Rise]],4)</f>
        <v>328.488331474137</v>
      </c>
      <c r="T363" s="124">
        <f ca="1">Planet(P[[#This Row],[GMT Sun Rise]],2)</f>
        <v>224.57168447064871</v>
      </c>
      <c r="U363" s="124">
        <f ca="1">Planet(P[[#This Row],[GMT Sun Rise]],5)</f>
        <v>225.30745235725155</v>
      </c>
      <c r="V363" s="124">
        <f ca="1">Planet(P[[#This Row],[GMT Sun Rise]],3)</f>
        <v>199.18887503242485</v>
      </c>
      <c r="W363" s="124">
        <f ca="1">Planet(P[[#This Row],[GMT Sun Rise]],6)</f>
        <v>255.96962380041728</v>
      </c>
      <c r="X363" s="124">
        <f ca="1">Planet(P[[#This Row],[GMT Sun Rise]],10)</f>
        <v>94.030116233316136</v>
      </c>
      <c r="Y363" s="124">
        <f ca="1">SIGN(S364-P[[#This Row],[MARs]])</f>
        <v>1</v>
      </c>
    </row>
    <row r="364" spans="1:25" x14ac:dyDescent="0.2">
      <c r="A364" s="125">
        <f t="shared" ca="1" si="56"/>
        <v>43456</v>
      </c>
      <c r="B364" s="125">
        <f t="shared" ca="1" si="49"/>
        <v>43456.229166666664</v>
      </c>
      <c r="C364" s="127">
        <f t="shared" ca="1" si="50"/>
        <v>43456.270120190144</v>
      </c>
      <c r="D364" s="127">
        <f t="shared" ca="1" si="51"/>
        <v>43455.740728994409</v>
      </c>
      <c r="E364" s="189">
        <f ca="1">P[[#This Row],[SunRise]]-TimeZone/24</f>
        <v>43456.040953523479</v>
      </c>
      <c r="F364" s="190">
        <f t="shared" ca="1" si="52"/>
        <v>245.99283253752964</v>
      </c>
      <c r="G364" s="190">
        <f t="shared" ca="1" si="53"/>
        <v>56.433112801447173</v>
      </c>
      <c r="H364" s="191">
        <f t="shared" ca="1" si="54"/>
        <v>43456.040953523479</v>
      </c>
      <c r="I364" s="124" t="str">
        <f ca="1">naks(P[[#This Row],[Moon]])</f>
        <v>Mrigashira</v>
      </c>
      <c r="J364" s="127">
        <f ca="1">(C365-P[[#This Row],[SunRise]])/(G365-P[[#This Row],[Moon]])*(13.3333333333333-MOD(P[[#This Row],[Moon]],13.333333333333))+P[[#This Row],[SunRise]]</f>
        <v>43456.966828678698</v>
      </c>
      <c r="K364" s="124" t="str">
        <f ca="1">IF(P[[#This Row],[Tithi]]&gt;15,"K","S")&amp;ROUNDUP(MOD(P[[#This Row],[Tithi]],15),0)&amp;" ("&amp;ROUND(P[[#This Row],[Tithi]],2)&amp;")"</f>
        <v>S15 (14.2)</v>
      </c>
      <c r="L364" s="124">
        <f ca="1">IF(AND(P[[#This Row],[Tithi]]&lt;28.5,P[[#This Row],[Tithi]]&gt;0.49999),MOD((P[[#This Row],[Tithi]]-0.5)*2,7),MOD((P[[#This Row],[Tithi]]+30-28.5),30)*2+7)</f>
        <v>6.4068000000000005</v>
      </c>
      <c r="M364" s="124" t="str">
        <f ca="1">CHOOSE(ROUNDUP(P[[#This Row],[Karana1]],0),"Bhava","Baalava","Kaulava","Taitula","Garija","Vanija","Vishti","Shakuni","Chatushapda","Naaga","Kimstugna")</f>
        <v>Vishti</v>
      </c>
      <c r="N36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(22.69)</v>
      </c>
      <c r="O364" s="124">
        <f ca="1">IF(AND(P[[#This Row],[Tithi]]&lt;28.5,P[[#This Row],[Tithi]]&gt;0.49999),MOD((P[[#This Row],[Tithi]]-0.5)*2,7),MOD((P[[#This Row],[Tithi]]+30-28.5),30)*2+7)</f>
        <v>6.4068000000000005</v>
      </c>
      <c r="P364" s="124">
        <f ca="1">ROUNDUP(MOD(360+P[[#This Row],[Moon]]-P[[#This Row],[Sun]],360)/12,4)</f>
        <v>14.2034</v>
      </c>
      <c r="Q364" s="124">
        <f t="shared" ca="1" si="55"/>
        <v>22.69</v>
      </c>
      <c r="R364" s="124" t="str">
        <f ca="1">SIGN(S365-P[[#This Row],[MARs]])*INT(P[[#This Row],[MARs]]/30+1)&amp;"Ma,"&amp;SIGN(T365-P[[#This Row],[Merc]])*INT(P[[#This Row],[Merc]]/30+1)&amp;"Me,"&amp;SIGN(U365-P[[#This Row],[Jup]])*INT(P[[#This Row],[Jup]]/30+1)&amp;"Ju,"&amp;SIGN(V365-P[[#This Row],[Venu]])*INT(P[[#This Row],[Venu]]/30+1)&amp;"Ve,"&amp;SIGN(W365-P[[#This Row],[Sat]])*INT(P[[#This Row],[Sat]]/30+1)&amp;"Sa,"&amp;INT(P[[#This Row],[Rah]]/30+1)&amp;"Ra"</f>
        <v>11Ma,8Me,8Ju,7Ve,9Sa,4Ra</v>
      </c>
      <c r="S364" s="124">
        <f ca="1">Planet(P[[#This Row],[GMT Sun Rise]],4)</f>
        <v>329.15420404510138</v>
      </c>
      <c r="T364" s="124">
        <f ca="1">Planet(P[[#This Row],[GMT Sun Rise]],2)</f>
        <v>225.85503287057517</v>
      </c>
      <c r="U364" s="124">
        <f ca="1">Planet(P[[#This Row],[GMT Sun Rise]],5)</f>
        <v>225.52444625094759</v>
      </c>
      <c r="V364" s="124">
        <f ca="1">Planet(P[[#This Row],[GMT Sun Rise]],3)</f>
        <v>200.06547825011162</v>
      </c>
      <c r="W364" s="124">
        <f ca="1">Planet(P[[#This Row],[GMT Sun Rise]],6)</f>
        <v>256.08643643247467</v>
      </c>
      <c r="X364" s="124">
        <f ca="1">Planet(P[[#This Row],[GMT Sun Rise]],10)</f>
        <v>93.977105874538893</v>
      </c>
      <c r="Y364" s="124">
        <f ca="1">SIGN(S365-P[[#This Row],[MARs]])</f>
        <v>1</v>
      </c>
    </row>
    <row r="365" spans="1:25" x14ac:dyDescent="0.2">
      <c r="A365" s="125">
        <f t="shared" ca="1" si="56"/>
        <v>43457</v>
      </c>
      <c r="B365" s="125">
        <f t="shared" ca="1" si="49"/>
        <v>43457.229166666664</v>
      </c>
      <c r="C365" s="127">
        <f t="shared" ca="1" si="50"/>
        <v>43457.270460969921</v>
      </c>
      <c r="D365" s="127">
        <f t="shared" ca="1" si="51"/>
        <v>43456.741073906465</v>
      </c>
      <c r="E365" s="189">
        <f ca="1">P[[#This Row],[SunRise]]-TimeZone/24</f>
        <v>43457.041294303257</v>
      </c>
      <c r="F365" s="190">
        <f t="shared" ca="1" si="52"/>
        <v>247.01125171593858</v>
      </c>
      <c r="G365" s="190">
        <f t="shared" ca="1" si="53"/>
        <v>71.126548322355092</v>
      </c>
      <c r="H365" s="191">
        <f t="shared" ca="1" si="54"/>
        <v>43457.041294303257</v>
      </c>
      <c r="I365" s="124" t="str">
        <f ca="1">naks(P[[#This Row],[Moon]])</f>
        <v>Ardra</v>
      </c>
      <c r="J365" s="127">
        <f ca="1">(C366-P[[#This Row],[SunRise]])/(G366-P[[#This Row],[Moon]])*(13.3333333333333-MOD(P[[#This Row],[Moon]],13.333333333333))+P[[#This Row],[SunRise]]</f>
        <v>43457.868117557744</v>
      </c>
      <c r="K365" s="124" t="str">
        <f ca="1">IF(P[[#This Row],[Tithi]]&gt;15,"K","S")&amp;ROUNDUP(MOD(P[[#This Row],[Tithi]],15),0)&amp;" ("&amp;ROUND(P[[#This Row],[Tithi]],2)&amp;")"</f>
        <v>K1 (15.34)</v>
      </c>
      <c r="L365" s="124">
        <f ca="1">IF(AND(P[[#This Row],[Tithi]]&lt;28.5,P[[#This Row],[Tithi]]&gt;0.49999),MOD((P[[#This Row],[Tithi]]-0.5)*2,7),MOD((P[[#This Row],[Tithi]]+30-28.5),30)*2+7)</f>
        <v>1.6859999999999999</v>
      </c>
      <c r="M365" s="124" t="str">
        <f ca="1">CHOOSE(ROUNDUP(P[[#This Row],[Karana1]],0),"Bhava","Baalava","Kaulava","Taitula","Garija","Vanija","Vishti","Shakuni","Chatushapda","Naaga","Kimstugna")</f>
        <v>Baalava</v>
      </c>
      <c r="N36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(23.87)</v>
      </c>
      <c r="O365" s="124">
        <f ca="1">IF(AND(P[[#This Row],[Tithi]]&lt;28.5,P[[#This Row],[Tithi]]&gt;0.49999),MOD((P[[#This Row],[Tithi]]-0.5)*2,7),MOD((P[[#This Row],[Tithi]]+30-28.5),30)*2+7)</f>
        <v>1.6859999999999999</v>
      </c>
      <c r="P365" s="124">
        <f ca="1">ROUNDUP(MOD(360+P[[#This Row],[Moon]]-P[[#This Row],[Sun]],360)/12,4)</f>
        <v>15.343</v>
      </c>
      <c r="Q365" s="124">
        <f t="shared" ca="1" si="55"/>
        <v>23.87</v>
      </c>
      <c r="R365" s="124" t="str">
        <f ca="1">SIGN(S366-P[[#This Row],[MARs]])*INT(P[[#This Row],[MARs]]/30+1)&amp;"Ma,"&amp;SIGN(T366-P[[#This Row],[Merc]])*INT(P[[#This Row],[Merc]]/30+1)&amp;"Me,"&amp;SIGN(U366-P[[#This Row],[Jup]])*INT(P[[#This Row],[Jup]]/30+1)&amp;"Ju,"&amp;SIGN(V366-P[[#This Row],[Venu]])*INT(P[[#This Row],[Venu]]/30+1)&amp;"Ve,"&amp;SIGN(W366-P[[#This Row],[Sat]])*INT(P[[#This Row],[Sat]]/30+1)&amp;"Sa,"&amp;INT(P[[#This Row],[Rah]]/30+1)&amp;"Ra"</f>
        <v>11Ma,8Me,8Ju,7Ve,9Sa,4Ra</v>
      </c>
      <c r="S365" s="124">
        <f ca="1">Planet(P[[#This Row],[GMT Sun Rise]],4)</f>
        <v>329.82073715177989</v>
      </c>
      <c r="T365" s="124">
        <f ca="1">Planet(P[[#This Row],[GMT Sun Rise]],2)</f>
        <v>227.16625044250395</v>
      </c>
      <c r="U365" s="124">
        <f ca="1">Planet(P[[#This Row],[GMT Sun Rise]],5)</f>
        <v>225.74088467619032</v>
      </c>
      <c r="V365" s="124">
        <f ca="1">Planet(P[[#This Row],[GMT Sun Rise]],3)</f>
        <v>200.95399306294652</v>
      </c>
      <c r="W365" s="124">
        <f ca="1">Planet(P[[#This Row],[GMT Sun Rise]],6)</f>
        <v>256.20346424608158</v>
      </c>
      <c r="X365" s="124">
        <f ca="1">Planet(P[[#This Row],[GMT Sun Rise]],10)</f>
        <v>93.924095818973299</v>
      </c>
      <c r="Y365" s="124">
        <f ca="1">SIGN(S366-P[[#This Row],[MARs]])</f>
        <v>1</v>
      </c>
    </row>
    <row r="366" spans="1:25" x14ac:dyDescent="0.2">
      <c r="A366" s="125">
        <f t="shared" ca="1" si="56"/>
        <v>43458</v>
      </c>
      <c r="B366" s="125">
        <f t="shared" ca="1" si="49"/>
        <v>43458.229166666664</v>
      </c>
      <c r="C366" s="127">
        <f t="shared" ca="1" si="50"/>
        <v>43458.27079555035</v>
      </c>
      <c r="D366" s="127">
        <f t="shared" ca="1" si="51"/>
        <v>43457.74142501787</v>
      </c>
      <c r="E366" s="189">
        <f ca="1">P[[#This Row],[SunRise]]-TimeZone/24</f>
        <v>43458.041628883686</v>
      </c>
      <c r="F366" s="190">
        <f t="shared" ca="1" si="52"/>
        <v>248.02979567509132</v>
      </c>
      <c r="G366" s="190">
        <f t="shared" ca="1" si="53"/>
        <v>85.978590016142462</v>
      </c>
      <c r="H366" s="191">
        <f t="shared" ca="1" si="54"/>
        <v>43458.041628883686</v>
      </c>
      <c r="I366" s="124" t="str">
        <f ca="1">naks(P[[#This Row],[Moon]])</f>
        <v>Punarvasu</v>
      </c>
      <c r="J366" s="127">
        <f ca="1">(C367-P[[#This Row],[SunRise]])/(G367-P[[#This Row],[Moon]])*(13.3333333333333-MOD(P[[#This Row],[Moon]],13.333333333333))+P[[#This Row],[SunRise]]</f>
        <v>43458.765243716167</v>
      </c>
      <c r="K366" s="124" t="str">
        <f ca="1">IF(P[[#This Row],[Tithi]]&gt;15,"K","S")&amp;ROUNDUP(MOD(P[[#This Row],[Tithi]],15),0)&amp;" ("&amp;ROUND(P[[#This Row],[Tithi]],2)&amp;")"</f>
        <v>K2 (16.5)</v>
      </c>
      <c r="L366" s="124">
        <f ca="1">IF(AND(P[[#This Row],[Tithi]]&lt;28.5,P[[#This Row],[Tithi]]&gt;0.49999),MOD((P[[#This Row],[Tithi]]-0.5)*2,7),MOD((P[[#This Row],[Tithi]]+30-28.5),30)*2+7)</f>
        <v>3.9915999999999983</v>
      </c>
      <c r="M366" s="124" t="str">
        <f ca="1">CHOOSE(ROUNDUP(P[[#This Row],[Karana1]],0),"Bhava","Baalava","Kaulava","Taitula","Garija","Vanija","Vishti","Shakuni","Chatushapda","Naaga","Kimstugna")</f>
        <v>Taitula</v>
      </c>
      <c r="N36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(25.06)</v>
      </c>
      <c r="O366" s="124">
        <f ca="1">IF(AND(P[[#This Row],[Tithi]]&lt;28.5,P[[#This Row],[Tithi]]&gt;0.49999),MOD((P[[#This Row],[Tithi]]-0.5)*2,7),MOD((P[[#This Row],[Tithi]]+30-28.5),30)*2+7)</f>
        <v>3.9915999999999983</v>
      </c>
      <c r="P366" s="124">
        <f ca="1">ROUNDUP(MOD(360+P[[#This Row],[Moon]]-P[[#This Row],[Sun]],360)/12,4)</f>
        <v>16.495799999999999</v>
      </c>
      <c r="Q366" s="124">
        <f t="shared" ca="1" si="55"/>
        <v>25.060000000000002</v>
      </c>
      <c r="R366" s="124" t="str">
        <f ca="1">SIGN(S367-P[[#This Row],[MARs]])*INT(P[[#This Row],[MARs]]/30+1)&amp;"Ma,"&amp;SIGN(T367-P[[#This Row],[Merc]])*INT(P[[#This Row],[Merc]]/30+1)&amp;"Me,"&amp;SIGN(U367-P[[#This Row],[Jup]])*INT(P[[#This Row],[Jup]]/30+1)&amp;"Ju,"&amp;SIGN(V367-P[[#This Row],[Venu]])*INT(P[[#This Row],[Venu]]/30+1)&amp;"Ve,"&amp;SIGN(W367-P[[#This Row],[Sat]])*INT(P[[#This Row],[Sat]]/30+1)&amp;"Sa,"&amp;INT(P[[#This Row],[Rah]]/30+1)&amp;"Ra"</f>
        <v>12Ma,8Me,8Ju,7Ve,9Sa,4Ra</v>
      </c>
      <c r="S366" s="124">
        <f ca="1">Planet(P[[#This Row],[GMT Sun Rise]],4)</f>
        <v>330.48790192849356</v>
      </c>
      <c r="T366" s="124">
        <f ca="1">Planet(P[[#This Row],[GMT Sun Rise]],2)</f>
        <v>228.50200189104564</v>
      </c>
      <c r="U366" s="124">
        <f ca="1">Planet(P[[#This Row],[GMT Sun Rise]],5)</f>
        <v>225.9567476190104</v>
      </c>
      <c r="V366" s="124">
        <f ca="1">Planet(P[[#This Row],[GMT Sun Rise]],3)</f>
        <v>201.85399768223795</v>
      </c>
      <c r="W366" s="124">
        <f ca="1">Planet(P[[#This Row],[GMT Sun Rise]],6)</f>
        <v>256.32069021578087</v>
      </c>
      <c r="X366" s="124">
        <f ca="1">Planet(P[[#This Row],[GMT Sun Rise]],10)</f>
        <v>93.871086091886866</v>
      </c>
      <c r="Y366" s="124">
        <f ca="1">SIGN(S367-P[[#This Row],[MARs]])</f>
        <v>1</v>
      </c>
    </row>
    <row r="367" spans="1:25" x14ac:dyDescent="0.2">
      <c r="A367" s="125">
        <f t="shared" ca="1" si="56"/>
        <v>43459</v>
      </c>
      <c r="B367" s="125">
        <f t="shared" ca="1" si="49"/>
        <v>43459.229166666664</v>
      </c>
      <c r="C367" s="127">
        <f t="shared" ca="1" si="50"/>
        <v>43459.271123773571</v>
      </c>
      <c r="D367" s="127">
        <f t="shared" ca="1" si="51"/>
        <v>43458.741782168901</v>
      </c>
      <c r="E367" s="189">
        <f ca="1">P[[#This Row],[SunRise]]-TimeZone/24</f>
        <v>43459.041957106907</v>
      </c>
      <c r="F367" s="190">
        <f t="shared" ca="1" si="52"/>
        <v>249.0484762407992</v>
      </c>
      <c r="G367" s="190">
        <f t="shared" ca="1" si="53"/>
        <v>100.85812203450983</v>
      </c>
      <c r="H367" s="191">
        <f t="shared" ca="1" si="54"/>
        <v>43459.041957106907</v>
      </c>
      <c r="I367" s="124" t="str">
        <f ca="1">naks(P[[#This Row],[Moon]])</f>
        <v>Pushya</v>
      </c>
      <c r="J367" s="127">
        <f ca="1">(C368-P[[#This Row],[SunRise]])/(G368-P[[#This Row],[Moon]])*(13.3333333333333-MOD(P[[#This Row],[Moon]],13.333333333333))+P[[#This Row],[SunRise]]</f>
        <v>43459.66414274009</v>
      </c>
      <c r="K367" s="124" t="str">
        <f ca="1">IF(P[[#This Row],[Tithi]]&gt;15,"K","S")&amp;ROUNDUP(MOD(P[[#This Row],[Tithi]],15),0)&amp;" ("&amp;ROUND(P[[#This Row],[Tithi]],2)&amp;")"</f>
        <v>K3 (17.65)</v>
      </c>
      <c r="L367" s="124">
        <f ca="1">IF(AND(P[[#This Row],[Tithi]]&lt;28.5,P[[#This Row],[Tithi]]&gt;0.49999),MOD((P[[#This Row],[Tithi]]-0.5)*2,7),MOD((P[[#This Row],[Tithi]]+30-28.5),30)*2+7)</f>
        <v>6.3018000000000001</v>
      </c>
      <c r="M367" s="124" t="str">
        <f ca="1">CHOOSE(ROUNDUP(P[[#This Row],[Karana1]],0),"Bhava","Baalava","Kaulava","Taitula","Garija","Vanija","Vishti","Shakuni","Chatushapda","Naaga","Kimstugna")</f>
        <v>Vishti</v>
      </c>
      <c r="N36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(26.25)</v>
      </c>
      <c r="O367" s="124">
        <f ca="1">IF(AND(P[[#This Row],[Tithi]]&lt;28.5,P[[#This Row],[Tithi]]&gt;0.49999),MOD((P[[#This Row],[Tithi]]-0.5)*2,7),MOD((P[[#This Row],[Tithi]]+30-28.5),30)*2+7)</f>
        <v>6.3018000000000001</v>
      </c>
      <c r="P367" s="124">
        <f ca="1">ROUNDUP(MOD(360+P[[#This Row],[Moon]]-P[[#This Row],[Sun]],360)/12,4)</f>
        <v>17.6509</v>
      </c>
      <c r="Q367" s="124">
        <f t="shared" ca="1" si="55"/>
        <v>26.25</v>
      </c>
      <c r="R367" s="124" t="str">
        <f ca="1">SIGN(S368-P[[#This Row],[MARs]])*INT(P[[#This Row],[MARs]]/30+1)&amp;"Ma,"&amp;SIGN(T368-P[[#This Row],[Merc]])*INT(P[[#This Row],[Merc]]/30+1)&amp;"Me,"&amp;SIGN(U368-P[[#This Row],[Jup]])*INT(P[[#This Row],[Jup]]/30+1)&amp;"Ju,"&amp;SIGN(V368-P[[#This Row],[Venu]])*INT(P[[#This Row],[Venu]]/30+1)&amp;"Ve,"&amp;SIGN(W368-P[[#This Row],[Sat]])*INT(P[[#This Row],[Sat]]/30+1)&amp;"Sa,"&amp;INT(P[[#This Row],[Rah]]/30+1)&amp;"Ra"</f>
        <v>12Ma,8Me,8Ju,7Ve,9Sa,4Ra</v>
      </c>
      <c r="S367" s="124">
        <f ca="1">Planet(P[[#This Row],[GMT Sun Rise]],4)</f>
        <v>331.15567593088269</v>
      </c>
      <c r="T367" s="124">
        <f ca="1">Planet(P[[#This Row],[GMT Sun Rise]],2)</f>
        <v>229.8594209524276</v>
      </c>
      <c r="U367" s="124">
        <f ca="1">Planet(P[[#This Row],[GMT Sun Rise]],5)</f>
        <v>226.17201473042743</v>
      </c>
      <c r="V367" s="124">
        <f ca="1">Planet(P[[#This Row],[GMT Sun Rise]],3)</f>
        <v>202.76508053009829</v>
      </c>
      <c r="W367" s="124">
        <f ca="1">Planet(P[[#This Row],[GMT Sun Rise]],6)</f>
        <v>256.43809754145769</v>
      </c>
      <c r="X367" s="124">
        <f ca="1">Planet(P[[#This Row],[GMT Sun Rise]],10)</f>
        <v>93.818076701729552</v>
      </c>
      <c r="Y367" s="124">
        <f ca="1">SIGN(S368-P[[#This Row],[MARs]])</f>
        <v>1</v>
      </c>
    </row>
    <row r="368" spans="1:25" x14ac:dyDescent="0.2">
      <c r="A368" s="125">
        <f t="shared" ca="1" si="56"/>
        <v>43460</v>
      </c>
      <c r="B368" s="125">
        <f t="shared" ca="1" si="49"/>
        <v>43460.229166666664</v>
      </c>
      <c r="C368" s="127">
        <f t="shared" ca="1" si="50"/>
        <v>43460.271445320606</v>
      </c>
      <c r="D368" s="127">
        <f t="shared" ca="1" si="51"/>
        <v>43459.742144723932</v>
      </c>
      <c r="E368" s="189">
        <f ca="1">P[[#This Row],[SunRise]]-TimeZone/24</f>
        <v>43460.042278653942</v>
      </c>
      <c r="F368" s="190">
        <f t="shared" ca="1" si="52"/>
        <v>250.06730342257003</v>
      </c>
      <c r="G368" s="190">
        <f t="shared" ca="1" si="53"/>
        <v>115.64217279905687</v>
      </c>
      <c r="H368" s="191">
        <f t="shared" ca="1" si="54"/>
        <v>43460.042278653942</v>
      </c>
      <c r="I368" s="124" t="str">
        <f ca="1">naks(P[[#This Row],[Moon]])</f>
        <v>Aslesha</v>
      </c>
      <c r="J368" s="127">
        <f ca="1">(C369-P[[#This Row],[SunRise]])/(G369-P[[#This Row],[Moon]])*(13.3333333333333-MOD(P[[#This Row],[Moon]],13.333333333333))+P[[#This Row],[SunRise]]</f>
        <v>43460.570249821641</v>
      </c>
      <c r="K368" s="124" t="str">
        <f ca="1">IF(P[[#This Row],[Tithi]]&gt;15,"K","S")&amp;ROUNDUP(MOD(P[[#This Row],[Tithi]],15),0)&amp;" ("&amp;ROUND(P[[#This Row],[Tithi]],2)&amp;")"</f>
        <v>K4 (18.8)</v>
      </c>
      <c r="L368" s="124">
        <f ca="1">IF(AND(P[[#This Row],[Tithi]]&lt;28.5,P[[#This Row],[Tithi]]&gt;0.49999),MOD((P[[#This Row],[Tithi]]-0.5)*2,7),MOD((P[[#This Row],[Tithi]]+30-28.5),30)*2+7)</f>
        <v>1.5959999999999965</v>
      </c>
      <c r="M368" s="124" t="str">
        <f ca="1">CHOOSE(ROUNDUP(P[[#This Row],[Karana1]],0),"Bhava","Baalava","Kaulava","Taitula","Garija","Vanija","Vishti","Shakuni","Chatushapda","Naaga","Kimstugna")</f>
        <v>Baalava</v>
      </c>
      <c r="N36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(0.43)</v>
      </c>
      <c r="O368" s="124">
        <f ca="1">IF(AND(P[[#This Row],[Tithi]]&lt;28.5,P[[#This Row],[Tithi]]&gt;0.49999),MOD((P[[#This Row],[Tithi]]-0.5)*2,7),MOD((P[[#This Row],[Tithi]]+30-28.5),30)*2+7)</f>
        <v>1.5959999999999965</v>
      </c>
      <c r="P368" s="124">
        <f ca="1">ROUNDUP(MOD(360+P[[#This Row],[Moon]]-P[[#This Row],[Sun]],360)/12,4)</f>
        <v>18.797999999999998</v>
      </c>
      <c r="Q368" s="124">
        <f t="shared" ca="1" si="55"/>
        <v>0.43</v>
      </c>
      <c r="R368" s="124" t="str">
        <f ca="1">SIGN(S369-P[[#This Row],[MARs]])*INT(P[[#This Row],[MARs]]/30+1)&amp;"Ma,"&amp;SIGN(T369-P[[#This Row],[Merc]])*INT(P[[#This Row],[Merc]]/30+1)&amp;"Me,"&amp;SIGN(U369-P[[#This Row],[Jup]])*INT(P[[#This Row],[Jup]]/30+1)&amp;"Ju,"&amp;SIGN(V369-P[[#This Row],[Venu]])*INT(P[[#This Row],[Venu]]/30+1)&amp;"Ve,"&amp;SIGN(W369-P[[#This Row],[Sat]])*INT(P[[#This Row],[Sat]]/30+1)&amp;"Sa,"&amp;INT(P[[#This Row],[Rah]]/30+1)&amp;"Ra"</f>
        <v>12Ma,8Me,8Ju,7Ve,9Sa,4Ra</v>
      </c>
      <c r="S368" s="124">
        <f ca="1">Planet(P[[#This Row],[GMT Sun Rise]],4)</f>
        <v>331.82404237766974</v>
      </c>
      <c r="T368" s="124">
        <f ca="1">Planet(P[[#This Row],[GMT Sun Rise]],2)</f>
        <v>231.23604861756115</v>
      </c>
      <c r="U368" s="124">
        <f ca="1">Planet(P[[#This Row],[GMT Sun Rise]],5)</f>
        <v>226.38666482569079</v>
      </c>
      <c r="V368" s="124">
        <f ca="1">Planet(P[[#This Row],[GMT Sun Rise]],3)</f>
        <v>203.68683698028269</v>
      </c>
      <c r="W368" s="124">
        <f ca="1">Planet(P[[#This Row],[GMT Sun Rise]],6)</f>
        <v>256.55566937165617</v>
      </c>
      <c r="X368" s="124">
        <f ca="1">Planet(P[[#This Row],[GMT Sun Rise]],10)</f>
        <v>93.765067665351864</v>
      </c>
      <c r="Y368" s="124">
        <f ca="1">SIGN(S369-P[[#This Row],[MARs]])</f>
        <v>1</v>
      </c>
    </row>
    <row r="369" spans="1:25" x14ac:dyDescent="0.2">
      <c r="A369" s="125">
        <f t="shared" ca="1" si="56"/>
        <v>43461</v>
      </c>
      <c r="B369" s="125">
        <f t="shared" ca="1" si="49"/>
        <v>43461.229166666664</v>
      </c>
      <c r="C369" s="127">
        <f t="shared" ca="1" si="50"/>
        <v>43461.271759715084</v>
      </c>
      <c r="D369" s="127">
        <f t="shared" ca="1" si="51"/>
        <v>43460.742512683428</v>
      </c>
      <c r="E369" s="189">
        <f ca="1">P[[#This Row],[SunRise]]-TimeZone/24</f>
        <v>43461.04259304842</v>
      </c>
      <c r="F369" s="190">
        <f t="shared" ca="1" si="52"/>
        <v>251.08628339233394</v>
      </c>
      <c r="G369" s="190">
        <f t="shared" ca="1" si="53"/>
        <v>130.23096668475733</v>
      </c>
      <c r="H369" s="191">
        <f t="shared" ca="1" si="54"/>
        <v>43461.04259304842</v>
      </c>
      <c r="I369" s="124" t="str">
        <f ca="1">naks(P[[#This Row],[Moon]])</f>
        <v>Makha</v>
      </c>
      <c r="J369" s="127">
        <f ca="1">(C370-P[[#This Row],[SunRise]])/(G370-P[[#This Row],[Moon]])*(13.3333333333333-MOD(P[[#This Row],[Moon]],13.333333333333))+P[[#This Row],[SunRise]]</f>
        <v>43461.48839901961</v>
      </c>
      <c r="K369" s="124" t="str">
        <f ca="1">IF(P[[#This Row],[Tithi]]&gt;15,"K","S")&amp;ROUNDUP(MOD(P[[#This Row],[Tithi]],15),0)&amp;" ("&amp;ROUND(P[[#This Row],[Tithi]],2)&amp;")"</f>
        <v>K5 (19.93)</v>
      </c>
      <c r="L369" s="124">
        <f ca="1">IF(AND(P[[#This Row],[Tithi]]&lt;28.5,P[[#This Row],[Tithi]]&gt;0.49999),MOD((P[[#This Row],[Tithi]]-0.5)*2,7),MOD((P[[#This Row],[Tithi]]+30-28.5),30)*2+7)</f>
        <v>3.8575999999999979</v>
      </c>
      <c r="M369" s="124" t="str">
        <f ca="1">CHOOSE(ROUNDUP(P[[#This Row],[Karana1]],0),"Bhava","Baalava","Kaulava","Taitula","Garija","Vanija","Vishti","Shakuni","Chatushapda","Naaga","Kimstugna")</f>
        <v>Taitula</v>
      </c>
      <c r="N36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(1.6)</v>
      </c>
      <c r="O369" s="124">
        <f ca="1">IF(AND(P[[#This Row],[Tithi]]&lt;28.5,P[[#This Row],[Tithi]]&gt;0.49999),MOD((P[[#This Row],[Tithi]]-0.5)*2,7),MOD((P[[#This Row],[Tithi]]+30-28.5),30)*2+7)</f>
        <v>3.8575999999999979</v>
      </c>
      <c r="P369" s="124">
        <f ca="1">ROUNDUP(MOD(360+P[[#This Row],[Moon]]-P[[#This Row],[Sun]],360)/12,4)</f>
        <v>19.928799999999999</v>
      </c>
      <c r="Q369" s="124">
        <f t="shared" ca="1" si="55"/>
        <v>1.6</v>
      </c>
      <c r="R369" s="124" t="str">
        <f ca="1">SIGN(S370-P[[#This Row],[MARs]])*INT(P[[#This Row],[MARs]]/30+1)&amp;"Ma,"&amp;SIGN(T370-P[[#This Row],[Merc]])*INT(P[[#This Row],[Merc]]/30+1)&amp;"Me,"&amp;SIGN(U370-P[[#This Row],[Jup]])*INT(P[[#This Row],[Jup]]/30+1)&amp;"Ju,"&amp;SIGN(V370-P[[#This Row],[Venu]])*INT(P[[#This Row],[Venu]]/30+1)&amp;"Ve,"&amp;SIGN(W370-P[[#This Row],[Sat]])*INT(P[[#This Row],[Sat]]/30+1)&amp;"Sa,"&amp;INT(P[[#This Row],[Rah]]/30+1)&amp;"Ra"</f>
        <v>12Ma,8Me,8Ju,7Ve,9Sa,4Ra</v>
      </c>
      <c r="S369" s="124">
        <f ca="1">Planet(P[[#This Row],[GMT Sun Rise]],4)</f>
        <v>332.4929888829875</v>
      </c>
      <c r="T369" s="124">
        <f ca="1">Planet(P[[#This Row],[GMT Sun Rise]],2)</f>
        <v>232.6297794543911</v>
      </c>
      <c r="U369" s="124">
        <f ca="1">Planet(P[[#This Row],[GMT Sun Rise]],5)</f>
        <v>226.60067558558697</v>
      </c>
      <c r="V369" s="124">
        <f ca="1">Planet(P[[#This Row],[GMT Sun Rise]],3)</f>
        <v>204.61886814899773</v>
      </c>
      <c r="W369" s="124">
        <f ca="1">Planet(P[[#This Row],[GMT Sun Rise]],6)</f>
        <v>256.6733886034101</v>
      </c>
      <c r="X369" s="124">
        <f ca="1">Planet(P[[#This Row],[GMT Sun Rise]],10)</f>
        <v>93.712059007971533</v>
      </c>
      <c r="Y369" s="124">
        <f ca="1">SIGN(S370-P[[#This Row],[MARs]])</f>
        <v>1</v>
      </c>
    </row>
    <row r="370" spans="1:25" x14ac:dyDescent="0.2">
      <c r="A370" s="125">
        <f t="shared" ca="1" si="56"/>
        <v>43462</v>
      </c>
      <c r="B370" s="125">
        <f t="shared" ca="1" si="49"/>
        <v>43462.229166666664</v>
      </c>
      <c r="C370" s="127">
        <f t="shared" ca="1" si="50"/>
        <v>43462.272066639423</v>
      </c>
      <c r="D370" s="127">
        <f t="shared" ca="1" si="51"/>
        <v>43461.742885410829</v>
      </c>
      <c r="E370" s="189">
        <f ca="1">P[[#This Row],[SunRise]]-TimeZone/24</f>
        <v>43462.042899972759</v>
      </c>
      <c r="F370" s="190">
        <f t="shared" ca="1" si="52"/>
        <v>252.10541746189105</v>
      </c>
      <c r="G370" s="190">
        <f t="shared" ca="1" si="53"/>
        <v>144.55578575284076</v>
      </c>
      <c r="H370" s="191">
        <f t="shared" ca="1" si="54"/>
        <v>43462.042899972759</v>
      </c>
      <c r="I370" s="124" t="str">
        <f ca="1">naks(P[[#This Row],[Moon]])</f>
        <v>Purva Phalguni</v>
      </c>
      <c r="J370" s="127">
        <f ca="1">(C371-P[[#This Row],[SunRise]])/(G371-P[[#This Row],[Moon]])*(13.3333333333333-MOD(P[[#This Row],[Moon]],13.333333333333))+P[[#This Row],[SunRise]]</f>
        <v>43462.42263447911</v>
      </c>
      <c r="K370" s="124" t="str">
        <f ca="1">IF(P[[#This Row],[Tithi]]&gt;15,"K","S")&amp;ROUNDUP(MOD(P[[#This Row],[Tithi]],15),0)&amp;" ("&amp;ROUND(P[[#This Row],[Tithi]],2)&amp;")"</f>
        <v>K7 (21.04)</v>
      </c>
      <c r="L370" s="124">
        <f ca="1">IF(AND(P[[#This Row],[Tithi]]&lt;28.5,P[[#This Row],[Tithi]]&gt;0.49999),MOD((P[[#This Row],[Tithi]]-0.5)*2,7),MOD((P[[#This Row],[Tithi]]+30-28.5),30)*2+7)</f>
        <v>6.0752000000000024</v>
      </c>
      <c r="M370" s="124" t="str">
        <f ca="1">CHOOSE(ROUNDUP(P[[#This Row],[Karana1]],0),"Bhava","Baalava","Kaulava","Taitula","Garija","Vanija","Vishti","Shakuni","Chatushapda","Naaga","Kimstugna")</f>
        <v>Vishti</v>
      </c>
      <c r="N37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(2.75)</v>
      </c>
      <c r="O370" s="124">
        <f ca="1">IF(AND(P[[#This Row],[Tithi]]&lt;28.5,P[[#This Row],[Tithi]]&gt;0.49999),MOD((P[[#This Row],[Tithi]]-0.5)*2,7),MOD((P[[#This Row],[Tithi]]+30-28.5),30)*2+7)</f>
        <v>6.0752000000000024</v>
      </c>
      <c r="P370" s="124">
        <f ca="1">ROUNDUP(MOD(360+P[[#This Row],[Moon]]-P[[#This Row],[Sun]],360)/12,4)</f>
        <v>21.037600000000001</v>
      </c>
      <c r="Q370" s="124">
        <f t="shared" ca="1" si="55"/>
        <v>2.75</v>
      </c>
      <c r="R370" s="124" t="str">
        <f ca="1">SIGN(S371-P[[#This Row],[MARs]])*INT(P[[#This Row],[MARs]]/30+1)&amp;"Ma,"&amp;SIGN(T371-P[[#This Row],[Merc]])*INT(P[[#This Row],[Merc]]/30+1)&amp;"Me,"&amp;SIGN(U371-P[[#This Row],[Jup]])*INT(P[[#This Row],[Jup]]/30+1)&amp;"Ju,"&amp;SIGN(V371-P[[#This Row],[Venu]])*INT(P[[#This Row],[Venu]]/30+1)&amp;"Ve,"&amp;SIGN(W371-P[[#This Row],[Sat]])*INT(P[[#This Row],[Sat]]/30+1)&amp;"Sa,"&amp;INT(P[[#This Row],[Rah]]/30+1)&amp;"Ra"</f>
        <v>12Ma,8Me,8Ju,7Ve,9Sa,4Ra</v>
      </c>
      <c r="S370" s="124">
        <f ca="1">Planet(P[[#This Row],[GMT Sun Rise]],4)</f>
        <v>333.16250589349562</v>
      </c>
      <c r="T370" s="124">
        <f ca="1">Planet(P[[#This Row],[GMT Sun Rise]],2)</f>
        <v>234.0388155623105</v>
      </c>
      <c r="U370" s="124">
        <f ca="1">Planet(P[[#This Row],[GMT Sun Rise]],5)</f>
        <v>226.81402349442726</v>
      </c>
      <c r="V370" s="124">
        <f ca="1">Planet(P[[#This Row],[GMT Sun Rise]],3)</f>
        <v>205.56078171416266</v>
      </c>
      <c r="W370" s="124">
        <f ca="1">Planet(P[[#This Row],[GMT Sun Rise]],6)</f>
        <v>256.79123782173144</v>
      </c>
      <c r="X370" s="124">
        <f ca="1">Planet(P[[#This Row],[GMT Sun Rise]],10)</f>
        <v>93.65905074648866</v>
      </c>
      <c r="Y370" s="124">
        <f ca="1">SIGN(S371-P[[#This Row],[MARs]])</f>
        <v>1</v>
      </c>
    </row>
    <row r="371" spans="1:25" x14ac:dyDescent="0.2">
      <c r="A371" s="125">
        <f t="shared" ca="1" si="56"/>
        <v>43463</v>
      </c>
      <c r="B371" s="125">
        <f t="shared" ca="1" si="49"/>
        <v>43463.229166666664</v>
      </c>
      <c r="C371" s="127">
        <f t="shared" ca="1" si="50"/>
        <v>43463.272365934368</v>
      </c>
      <c r="D371" s="127">
        <f t="shared" ca="1" si="51"/>
        <v>43462.743262589021</v>
      </c>
      <c r="E371" s="189">
        <f ca="1">P[[#This Row],[SunRise]]-TimeZone/24</f>
        <v>43463.043199267704</v>
      </c>
      <c r="F371" s="190">
        <f t="shared" ca="1" si="52"/>
        <v>253.12470163777365</v>
      </c>
      <c r="G371" s="190">
        <f t="shared" ca="1" si="53"/>
        <v>158.57944906788035</v>
      </c>
      <c r="H371" s="191">
        <f t="shared" ca="1" si="54"/>
        <v>43463.043199267704</v>
      </c>
      <c r="I371" s="124" t="str">
        <f ca="1">naks(P[[#This Row],[Moon]])</f>
        <v>Uttara Phalguni</v>
      </c>
      <c r="J371" s="127">
        <f ca="1">(C372-P[[#This Row],[SunRise]])/(G372-P[[#This Row],[Moon]])*(13.3333333333333-MOD(P[[#This Row],[Moon]],13.333333333333))+P[[#This Row],[SunRise]]</f>
        <v>43463.375995166309</v>
      </c>
      <c r="K371" s="124" t="str">
        <f ca="1">IF(P[[#This Row],[Tithi]]&gt;15,"K","S")&amp;ROUNDUP(MOD(P[[#This Row],[Tithi]],15),0)&amp;" ("&amp;ROUND(P[[#This Row],[Tithi]],2)&amp;")"</f>
        <v>K8 (22.12)</v>
      </c>
      <c r="L371" s="124">
        <f ca="1">IF(AND(P[[#This Row],[Tithi]]&lt;28.5,P[[#This Row],[Tithi]]&gt;0.49999),MOD((P[[#This Row],[Tithi]]-0.5)*2,7),MOD((P[[#This Row],[Tithi]]+30-28.5),30)*2+7)</f>
        <v>1.242600000000003</v>
      </c>
      <c r="M371" s="124" t="str">
        <f ca="1">CHOOSE(ROUNDUP(P[[#This Row],[Karana1]],0),"Bhava","Baalava","Kaulava","Taitula","Garija","Vanija","Vishti","Shakuni","Chatushapda","Naaga","Kimstugna")</f>
        <v>Baalava</v>
      </c>
      <c r="N37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(3.88)</v>
      </c>
      <c r="O371" s="124">
        <f ca="1">IF(AND(P[[#This Row],[Tithi]]&lt;28.5,P[[#This Row],[Tithi]]&gt;0.49999),MOD((P[[#This Row],[Tithi]]-0.5)*2,7),MOD((P[[#This Row],[Tithi]]+30-28.5),30)*2+7)</f>
        <v>1.242600000000003</v>
      </c>
      <c r="P371" s="124">
        <f ca="1">ROUNDUP(MOD(360+P[[#This Row],[Moon]]-P[[#This Row],[Sun]],360)/12,4)</f>
        <v>22.121300000000002</v>
      </c>
      <c r="Q371" s="124">
        <f t="shared" ca="1" si="55"/>
        <v>3.88</v>
      </c>
      <c r="R371" s="124" t="str">
        <f ca="1">SIGN(S372-P[[#This Row],[MARs]])*INT(P[[#This Row],[MARs]]/30+1)&amp;"Ma,"&amp;SIGN(T372-P[[#This Row],[Merc]])*INT(P[[#This Row],[Merc]]/30+1)&amp;"Me,"&amp;SIGN(U372-P[[#This Row],[Jup]])*INT(P[[#This Row],[Jup]]/30+1)&amp;"Ju,"&amp;SIGN(V372-P[[#This Row],[Venu]])*INT(P[[#This Row],[Venu]]/30+1)&amp;"Ve,"&amp;SIGN(W372-P[[#This Row],[Sat]])*INT(P[[#This Row],[Sat]]/30+1)&amp;"Sa,"&amp;INT(P[[#This Row],[Rah]]/30+1)&amp;"Ra"</f>
        <v>12Ma,8Me,8Ju,7Ve,9Sa,4Ra</v>
      </c>
      <c r="S371" s="124">
        <f ca="1">Planet(P[[#This Row],[GMT Sun Rise]],4)</f>
        <v>333.83258488460211</v>
      </c>
      <c r="T371" s="124">
        <f ca="1">Planet(P[[#This Row],[GMT Sun Rise]],2)</f>
        <v>235.46162663289181</v>
      </c>
      <c r="U371" s="124">
        <f ca="1">Planet(P[[#This Row],[GMT Sun Rise]],5)</f>
        <v>227.02668388135322</v>
      </c>
      <c r="V371" s="124">
        <f ca="1">Planet(P[[#This Row],[GMT Sun Rise]],3)</f>
        <v>206.51219367818928</v>
      </c>
      <c r="W371" s="124">
        <f ca="1">Planet(P[[#This Row],[GMT Sun Rise]],6)</f>
        <v>256.90919939567516</v>
      </c>
      <c r="X371" s="124">
        <f ca="1">Planet(P[[#This Row],[GMT Sun Rise]],10)</f>
        <v>93.606042889270611</v>
      </c>
      <c r="Y371" s="124">
        <f ca="1">SIGN(S372-P[[#This Row],[MARs]])</f>
        <v>1</v>
      </c>
    </row>
    <row r="372" spans="1:25" x14ac:dyDescent="0.2">
      <c r="A372" s="125">
        <f t="shared" ca="1" si="56"/>
        <v>43464</v>
      </c>
      <c r="B372" s="125">
        <f t="shared" ca="1" si="49"/>
        <v>43464.229166666664</v>
      </c>
      <c r="C372" s="127">
        <f t="shared" ca="1" si="50"/>
        <v>43464.272657122616</v>
      </c>
      <c r="D372" s="127">
        <f t="shared" ca="1" si="51"/>
        <v>43463.743643899958</v>
      </c>
      <c r="E372" s="189">
        <f ca="1">P[[#This Row],[SunRise]]-TimeZone/24</f>
        <v>43464.043490455952</v>
      </c>
      <c r="F372" s="190">
        <f t="shared" ca="1" si="52"/>
        <v>254.14412645146169</v>
      </c>
      <c r="G372" s="190">
        <f t="shared" ca="1" si="53"/>
        <v>172.29145438922015</v>
      </c>
      <c r="H372" s="191">
        <f t="shared" ca="1" si="54"/>
        <v>43464.043490455952</v>
      </c>
      <c r="I372" s="124" t="str">
        <f ca="1">naks(P[[#This Row],[Moon]])</f>
        <v>Hasta</v>
      </c>
      <c r="J372" s="127">
        <f ca="1">(C373-P[[#This Row],[SunRise]])/(G373-P[[#This Row],[Moon]])*(13.3333333333333-MOD(P[[#This Row],[Moon]],13.333333333333))+P[[#This Row],[SunRise]]</f>
        <v>43464.350378675968</v>
      </c>
      <c r="K372" s="124" t="str">
        <f ca="1">IF(P[[#This Row],[Tithi]]&gt;15,"K","S")&amp;ROUNDUP(MOD(P[[#This Row],[Tithi]],15),0)&amp;" ("&amp;ROUND(P[[#This Row],[Tithi]],2)&amp;")"</f>
        <v>K9 (23.18)</v>
      </c>
      <c r="L372" s="124">
        <f ca="1">IF(AND(P[[#This Row],[Tithi]]&lt;28.5,P[[#This Row],[Tithi]]&gt;0.49999),MOD((P[[#This Row],[Tithi]]-0.5)*2,7),MOD((P[[#This Row],[Tithi]]+30-28.5),30)*2+7)</f>
        <v>3.357999999999997</v>
      </c>
      <c r="M372" s="124" t="str">
        <f ca="1">CHOOSE(ROUNDUP(P[[#This Row],[Karana1]],0),"Bhava","Baalava","Kaulava","Taitula","Garija","Vanija","Vishti","Shakuni","Chatushapda","Naaga","Kimstugna")</f>
        <v>Taitula</v>
      </c>
      <c r="N37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(4.99)</v>
      </c>
      <c r="O372" s="124">
        <f ca="1">IF(AND(P[[#This Row],[Tithi]]&lt;28.5,P[[#This Row],[Tithi]]&gt;0.49999),MOD((P[[#This Row],[Tithi]]-0.5)*2,7),MOD((P[[#This Row],[Tithi]]+30-28.5),30)*2+7)</f>
        <v>3.357999999999997</v>
      </c>
      <c r="P372" s="124">
        <f ca="1">ROUNDUP(MOD(360+P[[#This Row],[Moon]]-P[[#This Row],[Sun]],360)/12,4)</f>
        <v>23.178999999999998</v>
      </c>
      <c r="Q372" s="124">
        <f t="shared" ca="1" si="55"/>
        <v>4.99</v>
      </c>
      <c r="R372" s="124" t="str">
        <f ca="1">SIGN(S373-P[[#This Row],[MARs]])*INT(P[[#This Row],[MARs]]/30+1)&amp;"Ma,"&amp;SIGN(T373-P[[#This Row],[Merc]])*INT(P[[#This Row],[Merc]]/30+1)&amp;"Me,"&amp;SIGN(U373-P[[#This Row],[Jup]])*INT(P[[#This Row],[Jup]]/30+1)&amp;"Ju,"&amp;SIGN(V373-P[[#This Row],[Venu]])*INT(P[[#This Row],[Venu]]/30+1)&amp;"Ve,"&amp;SIGN(W373-P[[#This Row],[Sat]])*INT(P[[#This Row],[Sat]]/30+1)&amp;"Sa,"&amp;INT(P[[#This Row],[Rah]]/30+1)&amp;"Ra"</f>
        <v>12Ma,8Me,8Ju,7Ve,9Sa,4Ra</v>
      </c>
      <c r="S372" s="124">
        <f ca="1">Planet(P[[#This Row],[GMT Sun Rise]],4)</f>
        <v>334.5032165921009</v>
      </c>
      <c r="T372" s="124">
        <f ca="1">Planet(P[[#This Row],[GMT Sun Rise]],2)</f>
        <v>236.89691494847037</v>
      </c>
      <c r="U372" s="124">
        <f ca="1">Planet(P[[#This Row],[GMT Sun Rise]],5)</f>
        <v>227.23863098575927</v>
      </c>
      <c r="V372" s="124">
        <f ca="1">Planet(P[[#This Row],[GMT Sun Rise]],3)</f>
        <v>207.47273007185697</v>
      </c>
      <c r="W372" s="124">
        <f ca="1">Planet(P[[#This Row],[GMT Sun Rise]],6)</f>
        <v>257.02725591663943</v>
      </c>
      <c r="X372" s="124">
        <f ca="1">Planet(P[[#This Row],[GMT Sun Rise]],10)</f>
        <v>93.553035461684189</v>
      </c>
      <c r="Y372" s="124">
        <f ca="1">SIGN(S373-P[[#This Row],[MARs]])</f>
        <v>1</v>
      </c>
    </row>
    <row r="373" spans="1:25" x14ac:dyDescent="0.2">
      <c r="A373" s="125">
        <f t="shared" ca="1" si="56"/>
        <v>43465</v>
      </c>
      <c r="B373" s="125">
        <f t="shared" ca="1" si="49"/>
        <v>43465.229166666664</v>
      </c>
      <c r="C373" s="127">
        <f t="shared" ca="1" si="50"/>
        <v>43465.272939887051</v>
      </c>
      <c r="D373" s="127">
        <f t="shared" ca="1" si="51"/>
        <v>43464.744028707544</v>
      </c>
      <c r="E373" s="189">
        <f ca="1">P[[#This Row],[SunRise]]-TimeZone/24</f>
        <v>43465.043773220386</v>
      </c>
      <c r="F373" s="190">
        <f t="shared" ca="1" si="52"/>
        <v>255.16367818802988</v>
      </c>
      <c r="G373" s="190">
        <f t="shared" ca="1" si="53"/>
        <v>185.70052182913147</v>
      </c>
      <c r="H373" s="191">
        <f t="shared" ca="1" si="54"/>
        <v>43465.043773220386</v>
      </c>
      <c r="I373" s="124" t="str">
        <f ca="1">naks(P[[#This Row],[Moon]])</f>
        <v>Chitra</v>
      </c>
      <c r="J373" s="127">
        <f ca="1">(C374-P[[#This Row],[SunRise]])/(G374-P[[#This Row],[Moon]])*(13.3333333333333-MOD(P[[#This Row],[Moon]],13.333333333333))+P[[#This Row],[SunRise]]</f>
        <v>43465.346563564693</v>
      </c>
      <c r="K373" s="124" t="str">
        <f ca="1">IF(P[[#This Row],[Tithi]]&gt;15,"K","S")&amp;ROUNDUP(MOD(P[[#This Row],[Tithi]],15),0)&amp;" ("&amp;ROUND(P[[#This Row],[Tithi]],2)&amp;")"</f>
        <v>K10 (24.21)</v>
      </c>
      <c r="L373" s="124">
        <f ca="1">IF(AND(P[[#This Row],[Tithi]]&lt;28.5,P[[#This Row],[Tithi]]&gt;0.49999),MOD((P[[#This Row],[Tithi]]-0.5)*2,7),MOD((P[[#This Row],[Tithi]]+30-28.5),30)*2+7)</f>
        <v>5.4230000000000018</v>
      </c>
      <c r="M373" s="124" t="str">
        <f ca="1">CHOOSE(ROUNDUP(P[[#This Row],[Karana1]],0),"Bhava","Baalava","Kaulava","Taitula","Garija","Vanija","Vishti","Shakuni","Chatushapda","Naaga","Kimstugna")</f>
        <v>Vanija</v>
      </c>
      <c r="N37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(6.07)</v>
      </c>
      <c r="O373" s="124">
        <f ca="1">IF(AND(P[[#This Row],[Tithi]]&lt;28.5,P[[#This Row],[Tithi]]&gt;0.49999),MOD((P[[#This Row],[Tithi]]-0.5)*2,7),MOD((P[[#This Row],[Tithi]]+30-28.5),30)*2+7)</f>
        <v>5.4230000000000018</v>
      </c>
      <c r="P373" s="124">
        <f ca="1">ROUNDUP(MOD(360+P[[#This Row],[Moon]]-P[[#This Row],[Sun]],360)/12,4)</f>
        <v>24.211500000000001</v>
      </c>
      <c r="Q373" s="124">
        <f t="shared" ca="1" si="55"/>
        <v>6.0699999999999994</v>
      </c>
      <c r="R373" s="124" t="str">
        <f ca="1">SIGN(S374-P[[#This Row],[MARs]])*INT(P[[#This Row],[MARs]]/30+1)&amp;"Ma,"&amp;SIGN(T374-P[[#This Row],[Merc]])*INT(P[[#This Row],[Merc]]/30+1)&amp;"Me,"&amp;SIGN(U374-P[[#This Row],[Jup]])*INT(P[[#This Row],[Jup]]/30+1)&amp;"Ju,"&amp;SIGN(V374-P[[#This Row],[Venu]])*INT(P[[#This Row],[Venu]]/30+1)&amp;"Ve,"&amp;SIGN(W374-P[[#This Row],[Sat]])*INT(P[[#This Row],[Sat]]/30+1)&amp;"Sa,"&amp;INT(P[[#This Row],[Rah]]/30+1)&amp;"Ra"</f>
        <v>12Ma,8Me,8Ju,7Ve,9Sa,4Ra</v>
      </c>
      <c r="S373" s="124">
        <f ca="1">Planet(P[[#This Row],[GMT Sun Rise]],4)</f>
        <v>335.1743904005412</v>
      </c>
      <c r="T373" s="124">
        <f ca="1">Planet(P[[#This Row],[GMT Sun Rise]],2)</f>
        <v>238.34358643528427</v>
      </c>
      <c r="U373" s="124">
        <f ca="1">Planet(P[[#This Row],[GMT Sun Rise]],5)</f>
        <v>227.44983826927424</v>
      </c>
      <c r="V373" s="124">
        <f ca="1">Planet(P[[#This Row],[GMT Sun Rise]],3)</f>
        <v>208.44202926835339</v>
      </c>
      <c r="W373" s="124">
        <f ca="1">Planet(P[[#This Row],[GMT Sun Rise]],6)</f>
        <v>257.14539184822854</v>
      </c>
      <c r="X373" s="124">
        <f ca="1">Planet(P[[#This Row],[GMT Sun Rise]],10)</f>
        <v>93.500028480496923</v>
      </c>
      <c r="Y373" s="124">
        <f ca="1">SIGN(S374-P[[#This Row],[MARs]])</f>
        <v>1</v>
      </c>
    </row>
    <row r="374" spans="1:25" x14ac:dyDescent="0.2">
      <c r="A374" s="125">
        <f t="shared" ca="1" si="56"/>
        <v>43466</v>
      </c>
      <c r="B374" s="125">
        <f t="shared" ca="1" si="49"/>
        <v>43466.229166666664</v>
      </c>
      <c r="C374" s="127">
        <f t="shared" ca="1" si="50"/>
        <v>43466.273213909626</v>
      </c>
      <c r="D374" s="127">
        <f t="shared" ca="1" si="51"/>
        <v>43465.744416852991</v>
      </c>
      <c r="E374" s="189">
        <f ca="1">P[[#This Row],[SunRise]]-TimeZone/24</f>
        <v>43466.044047242962</v>
      </c>
      <c r="F374" s="190">
        <f t="shared" ca="1" si="52"/>
        <v>256.18333954124978</v>
      </c>
      <c r="G374" s="190">
        <f t="shared" ca="1" si="53"/>
        <v>198.82686397802431</v>
      </c>
      <c r="H374" s="191">
        <f t="shared" ca="1" si="54"/>
        <v>43466.044047242962</v>
      </c>
      <c r="I374" s="124" t="str">
        <f ca="1">naks(P[[#This Row],[Moon]])</f>
        <v>Swati</v>
      </c>
      <c r="J374" s="127">
        <f ca="1">(C375-P[[#This Row],[SunRise]])/(G375-P[[#This Row],[Moon]])*(13.3333333333333-MOD(P[[#This Row],[Moon]],13.333333333333))+P[[#This Row],[SunRise]]</f>
        <v>43466.364398274301</v>
      </c>
      <c r="K374" s="124" t="str">
        <f ca="1">IF(P[[#This Row],[Tithi]]&gt;15,"K","S")&amp;ROUNDUP(MOD(P[[#This Row],[Tithi]],15),0)&amp;" ("&amp;ROUND(P[[#This Row],[Tithi]],2)&amp;")"</f>
        <v>K11 (25.22)</v>
      </c>
      <c r="L374" s="124">
        <f ca="1">IF(AND(P[[#This Row],[Tithi]]&lt;28.5,P[[#This Row],[Tithi]]&gt;0.49999),MOD((P[[#This Row],[Tithi]]-0.5)*2,7),MOD((P[[#This Row],[Tithi]]+30-28.5),30)*2+7)</f>
        <v>0.44059999999999633</v>
      </c>
      <c r="M374" s="124" t="str">
        <f ca="1">CHOOSE(ROUNDUP(P[[#This Row],[Karana1]],0),"Bhava","Baalava","Kaulava","Taitula","Garija","Vanija","Vishti","Shakuni","Chatushapda","Naaga","Kimstugna")</f>
        <v>Bhava</v>
      </c>
      <c r="N37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(7.13)</v>
      </c>
      <c r="O374" s="124">
        <f ca="1">IF(AND(P[[#This Row],[Tithi]]&lt;28.5,P[[#This Row],[Tithi]]&gt;0.49999),MOD((P[[#This Row],[Tithi]]-0.5)*2,7),MOD((P[[#This Row],[Tithi]]+30-28.5),30)*2+7)</f>
        <v>0.44059999999999633</v>
      </c>
      <c r="P374" s="124">
        <f ca="1">ROUNDUP(MOD(360+P[[#This Row],[Moon]]-P[[#This Row],[Sun]],360)/12,4)</f>
        <v>25.220299999999998</v>
      </c>
      <c r="Q374" s="124">
        <f t="shared" ca="1" si="55"/>
        <v>7.13</v>
      </c>
      <c r="R374" s="124" t="str">
        <f ca="1">SIGN(S375-P[[#This Row],[MARs]])*INT(P[[#This Row],[MARs]]/30+1)&amp;"Ma,"&amp;SIGN(T375-P[[#This Row],[Merc]])*INT(P[[#This Row],[Merc]]/30+1)&amp;"Me,"&amp;SIGN(U375-P[[#This Row],[Jup]])*INT(P[[#This Row],[Jup]]/30+1)&amp;"Ju,"&amp;SIGN(V375-P[[#This Row],[Venu]])*INT(P[[#This Row],[Venu]]/30+1)&amp;"Ve,"&amp;SIGN(W375-P[[#This Row],[Sat]])*INT(P[[#This Row],[Sat]]/30+1)&amp;"Sa,"&amp;INT(P[[#This Row],[Rah]]/30+1)&amp;"Ra"</f>
        <v>12Ma,8Me,8Ju,7Ve,9Sa,4Ra</v>
      </c>
      <c r="S374" s="124">
        <f ca="1">Planet(P[[#This Row],[GMT Sun Rise]],4)</f>
        <v>335.84609374354852</v>
      </c>
      <c r="T374" s="124">
        <f ca="1">Planet(P[[#This Row],[GMT Sun Rise]],2)</f>
        <v>239.80072471687521</v>
      </c>
      <c r="U374" s="124">
        <f ca="1">Planet(P[[#This Row],[GMT Sun Rise]],5)</f>
        <v>227.66027858418499</v>
      </c>
      <c r="V374" s="124">
        <f ca="1">Planet(P[[#This Row],[GMT Sun Rise]],3)</f>
        <v>209.41974307033468</v>
      </c>
      <c r="W374" s="124">
        <f ca="1">Planet(P[[#This Row],[GMT Sun Rise]],6)</f>
        <v>257.26359863969537</v>
      </c>
      <c r="X374" s="124">
        <f ca="1">Planet(P[[#This Row],[GMT Sun Rise]],10)</f>
        <v>93.447021962509652</v>
      </c>
      <c r="Y374" s="124">
        <f ca="1">SIGN(S375-P[[#This Row],[MARs]])</f>
        <v>1</v>
      </c>
    </row>
    <row r="375" spans="1:25" x14ac:dyDescent="0.2">
      <c r="A375" s="125">
        <f t="shared" ca="1" si="56"/>
        <v>43467</v>
      </c>
      <c r="B375" s="125">
        <f t="shared" ca="1" si="49"/>
        <v>43467.229166666664</v>
      </c>
      <c r="C375" s="127">
        <f t="shared" ca="1" si="50"/>
        <v>43467.273478713039</v>
      </c>
      <c r="D375" s="127">
        <f t="shared" ca="1" si="51"/>
        <v>43466.744807859461</v>
      </c>
      <c r="E375" s="189">
        <f ca="1">P[[#This Row],[SunRise]]-TimeZone/24</f>
        <v>43467.044312046375</v>
      </c>
      <c r="F375" s="190">
        <f t="shared" ca="1" si="52"/>
        <v>257.20309017125066</v>
      </c>
      <c r="G375" s="190">
        <f t="shared" ca="1" si="53"/>
        <v>211.69581005830506</v>
      </c>
      <c r="H375" s="191">
        <f t="shared" ca="1" si="54"/>
        <v>43467.044312046375</v>
      </c>
      <c r="I375" s="124" t="str">
        <f ca="1">naks(P[[#This Row],[Moon]])</f>
        <v>Visakha</v>
      </c>
      <c r="J375" s="127">
        <f ca="1">(C376-P[[#This Row],[SunRise]])/(G376-P[[#This Row],[Moon]])*(13.3333333333333-MOD(P[[#This Row],[Moon]],13.333333333333))+P[[#This Row],[SunRise]]</f>
        <v>43467.403085127058</v>
      </c>
      <c r="K375" s="124" t="str">
        <f ca="1">IF(P[[#This Row],[Tithi]]&gt;15,"K","S")&amp;ROUNDUP(MOD(P[[#This Row],[Tithi]],15),0)&amp;" ("&amp;ROUND(P[[#This Row],[Tithi]],2)&amp;")"</f>
        <v>K12 (26.21)</v>
      </c>
      <c r="L375" s="124">
        <f ca="1">IF(AND(P[[#This Row],[Tithi]]&lt;28.5,P[[#This Row],[Tithi]]&gt;0.49999),MOD((P[[#This Row],[Tithi]]-0.5)*2,7),MOD((P[[#This Row],[Tithi]]+30-28.5),30)*2+7)</f>
        <v>2.4155999999999977</v>
      </c>
      <c r="M375" s="124" t="str">
        <f ca="1">CHOOSE(ROUNDUP(P[[#This Row],[Karana1]],0),"Bhava","Baalava","Kaulava","Taitula","Garija","Vanija","Vishti","Shakuni","Chatushapda","Naaga","Kimstugna")</f>
        <v>Kaulava</v>
      </c>
      <c r="N37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(8.17)</v>
      </c>
      <c r="O375" s="124">
        <f ca="1">IF(AND(P[[#This Row],[Tithi]]&lt;28.5,P[[#This Row],[Tithi]]&gt;0.49999),MOD((P[[#This Row],[Tithi]]-0.5)*2,7),MOD((P[[#This Row],[Tithi]]+30-28.5),30)*2+7)</f>
        <v>2.4155999999999977</v>
      </c>
      <c r="P375" s="124">
        <f ca="1">ROUNDUP(MOD(360+P[[#This Row],[Moon]]-P[[#This Row],[Sun]],360)/12,4)</f>
        <v>26.207799999999999</v>
      </c>
      <c r="Q375" s="124">
        <f t="shared" ca="1" si="55"/>
        <v>8.17</v>
      </c>
      <c r="R375" s="124" t="str">
        <f ca="1">SIGN(S376-P[[#This Row],[MARs]])*INT(P[[#This Row],[MARs]]/30+1)&amp;"Ma,"&amp;SIGN(T376-P[[#This Row],[Merc]])*INT(P[[#This Row],[Merc]]/30+1)&amp;"Me,"&amp;SIGN(U376-P[[#This Row],[Jup]])*INT(P[[#This Row],[Jup]]/30+1)&amp;"Ju,"&amp;SIGN(V376-P[[#This Row],[Venu]])*INT(P[[#This Row],[Venu]]/30+1)&amp;"Ve,"&amp;SIGN(W376-P[[#This Row],[Sat]])*INT(P[[#This Row],[Sat]]/30+1)&amp;"Sa,"&amp;INT(P[[#This Row],[Rah]]/30+1)&amp;"Ra"</f>
        <v>12Ma,9Me,8Ju,8Ve,9Sa,4Ra</v>
      </c>
      <c r="S375" s="124">
        <f ca="1">Planet(P[[#This Row],[GMT Sun Rise]],4)</f>
        <v>336.51831177011485</v>
      </c>
      <c r="T375" s="124">
        <f ca="1">Planet(P[[#This Row],[GMT Sun Rise]],2)</f>
        <v>241.26756848713961</v>
      </c>
      <c r="U375" s="124">
        <f ca="1">Planet(P[[#This Row],[GMT Sun Rise]],5)</f>
        <v>227.86992430819623</v>
      </c>
      <c r="V375" s="124">
        <f ca="1">Planet(P[[#This Row],[GMT Sun Rise]],3)</f>
        <v>210.40553722147422</v>
      </c>
      <c r="W375" s="124">
        <f ca="1">Planet(P[[#This Row],[GMT Sun Rise]],6)</f>
        <v>257.38179031850143</v>
      </c>
      <c r="X375" s="124">
        <f ca="1">Planet(P[[#This Row],[GMT Sun Rise]],10)</f>
        <v>93.394015933122333</v>
      </c>
      <c r="Y375" s="124">
        <f ca="1">SIGN(S376-P[[#This Row],[MARs]])</f>
        <v>1</v>
      </c>
    </row>
    <row r="376" spans="1:25" x14ac:dyDescent="0.2">
      <c r="A376" s="125">
        <f t="shared" ca="1" si="56"/>
        <v>43468</v>
      </c>
      <c r="B376" s="125">
        <f t="shared" ca="1" si="49"/>
        <v>43468.229166666664</v>
      </c>
      <c r="C376" s="127">
        <f t="shared" ca="1" si="50"/>
        <v>43468.273734138966</v>
      </c>
      <c r="D376" s="127">
        <f t="shared" ca="1" si="51"/>
        <v>43467.745201091326</v>
      </c>
      <c r="E376" s="189">
        <f ca="1">P[[#This Row],[SunRise]]-TimeZone/24</f>
        <v>43468.044567472301</v>
      </c>
      <c r="F376" s="190">
        <f t="shared" ca="1" si="52"/>
        <v>258.22290781155039</v>
      </c>
      <c r="G376" s="190">
        <f t="shared" ca="1" si="53"/>
        <v>224.33362241756146</v>
      </c>
      <c r="H376" s="191">
        <f t="shared" ca="1" si="54"/>
        <v>43468.044567472301</v>
      </c>
      <c r="I376" s="124" t="str">
        <f ca="1">naks(P[[#This Row],[Moon]])</f>
        <v>Anuradha</v>
      </c>
      <c r="J376" s="127">
        <f ca="1">(C377-P[[#This Row],[SunRise]])/(G377-P[[#This Row],[Moon]])*(13.3333333333333-MOD(P[[#This Row],[Moon]],13.333333333333))+P[[#This Row],[SunRise]]</f>
        <v>43468.461445337191</v>
      </c>
      <c r="K376" s="124" t="str">
        <f ca="1">IF(P[[#This Row],[Tithi]]&gt;15,"K","S")&amp;ROUNDUP(MOD(P[[#This Row],[Tithi]],15),0)&amp;" ("&amp;ROUND(P[[#This Row],[Tithi]],2)&amp;")"</f>
        <v>K13 (27.18)</v>
      </c>
      <c r="L376" s="124">
        <f ca="1">IF(AND(P[[#This Row],[Tithi]]&lt;28.5,P[[#This Row],[Tithi]]&gt;0.49999),MOD((P[[#This Row],[Tithi]]-0.5)*2,7),MOD((P[[#This Row],[Tithi]]+30-28.5),30)*2+7)</f>
        <v>4.3517999999999972</v>
      </c>
      <c r="M376" s="124" t="str">
        <f ca="1">CHOOSE(ROUNDUP(P[[#This Row],[Karana1]],0),"Bhava","Baalava","Kaulava","Taitula","Garija","Vanija","Vishti","Shakuni","Chatushapda","Naaga","Kimstugna")</f>
        <v>Garija</v>
      </c>
      <c r="N37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(9.2)</v>
      </c>
      <c r="O376" s="124">
        <f ca="1">IF(AND(P[[#This Row],[Tithi]]&lt;28.5,P[[#This Row],[Tithi]]&gt;0.49999),MOD((P[[#This Row],[Tithi]]-0.5)*2,7),MOD((P[[#This Row],[Tithi]]+30-28.5),30)*2+7)</f>
        <v>4.3517999999999972</v>
      </c>
      <c r="P376" s="124">
        <f ca="1">ROUNDUP(MOD(360+P[[#This Row],[Moon]]-P[[#This Row],[Sun]],360)/12,4)</f>
        <v>27.175899999999999</v>
      </c>
      <c r="Q376" s="124">
        <f t="shared" ca="1" si="55"/>
        <v>9.1999999999999993</v>
      </c>
      <c r="R376" s="124" t="str">
        <f ca="1">SIGN(S377-P[[#This Row],[MARs]])*INT(P[[#This Row],[MARs]]/30+1)&amp;"Ma,"&amp;SIGN(T377-P[[#This Row],[Merc]])*INT(P[[#This Row],[Merc]]/30+1)&amp;"Me,"&amp;SIGN(U377-P[[#This Row],[Jup]])*INT(P[[#This Row],[Jup]]/30+1)&amp;"Ju,"&amp;SIGN(V377-P[[#This Row],[Venu]])*INT(P[[#This Row],[Venu]]/30+1)&amp;"Ve,"&amp;SIGN(W377-P[[#This Row],[Sat]])*INT(P[[#This Row],[Sat]]/30+1)&amp;"Sa,"&amp;INT(P[[#This Row],[Rah]]/30+1)&amp;"Ra"</f>
        <v>12Ma,9Me,8Ju,8Ve,9Sa,4Ra</v>
      </c>
      <c r="S376" s="124">
        <f ca="1">Planet(P[[#This Row],[GMT Sun Rise]],4)</f>
        <v>337.19102756792563</v>
      </c>
      <c r="T376" s="124">
        <f ca="1">Planet(P[[#This Row],[GMT Sun Rise]],2)</f>
        <v>242.74349274785669</v>
      </c>
      <c r="U376" s="124">
        <f ca="1">Planet(P[[#This Row],[GMT Sun Rise]],5)</f>
        <v>228.07874759343983</v>
      </c>
      <c r="V376" s="124">
        <f ca="1">Planet(P[[#This Row],[GMT Sun Rise]],3)</f>
        <v>211.39909220460746</v>
      </c>
      <c r="W376" s="124">
        <f ca="1">Planet(P[[#This Row],[GMT Sun Rise]],6)</f>
        <v>257.49980800201888</v>
      </c>
      <c r="X376" s="124">
        <f ca="1">Planet(P[[#This Row],[GMT Sun Rise]],10)</f>
        <v>93.341010400652479</v>
      </c>
      <c r="Y376" s="124">
        <f ca="1">SIGN(S377-P[[#This Row],[MARs]])</f>
        <v>1</v>
      </c>
    </row>
    <row r="377" spans="1:25" x14ac:dyDescent="0.2">
      <c r="A377" s="125">
        <f t="shared" ca="1" si="56"/>
        <v>43469</v>
      </c>
      <c r="B377" s="125">
        <f t="shared" ca="1" si="49"/>
        <v>43469.229166666664</v>
      </c>
      <c r="C377" s="127">
        <f t="shared" ca="1" si="50"/>
        <v>43469.273979710102</v>
      </c>
      <c r="D377" s="127">
        <f t="shared" ca="1" si="51"/>
        <v>43468.745596230074</v>
      </c>
      <c r="E377" s="189">
        <f ca="1">P[[#This Row],[SunRise]]-TimeZone/24</f>
        <v>43469.044813043438</v>
      </c>
      <c r="F377" s="190">
        <f t="shared" ca="1" si="52"/>
        <v>259.24276820526097</v>
      </c>
      <c r="G377" s="190">
        <f t="shared" ca="1" si="53"/>
        <v>236.76557746092195</v>
      </c>
      <c r="H377" s="191">
        <f t="shared" ca="1" si="54"/>
        <v>43469.044813043438</v>
      </c>
      <c r="I377" s="124" t="str">
        <f ca="1">naks(P[[#This Row],[Moon]])</f>
        <v>Jyestha</v>
      </c>
      <c r="J377" s="127">
        <f ca="1">(C378-P[[#This Row],[SunRise]])/(G378-P[[#This Row],[Moon]])*(13.3333333333333-MOD(P[[#This Row],[Moon]],13.333333333333))+P[[#This Row],[SunRise]]</f>
        <v>43469.538068745991</v>
      </c>
      <c r="K377" s="124" t="str">
        <f ca="1">IF(P[[#This Row],[Tithi]]&gt;15,"K","S")&amp;ROUNDUP(MOD(P[[#This Row],[Tithi]],15),0)&amp;" ("&amp;ROUND(P[[#This Row],[Tithi]],2)&amp;")"</f>
        <v>K14 (28.13)</v>
      </c>
      <c r="L377" s="124">
        <f ca="1">IF(AND(P[[#This Row],[Tithi]]&lt;28.5,P[[#This Row],[Tithi]]&gt;0.49999),MOD((P[[#This Row],[Tithi]]-0.5)*2,7),MOD((P[[#This Row],[Tithi]]+30-28.5),30)*2+7)</f>
        <v>6.2539999999999978</v>
      </c>
      <c r="M377" s="124" t="str">
        <f ca="1">CHOOSE(ROUNDUP(P[[#This Row],[Karana1]],0),"Bhava","Baalava","Kaulava","Taitula","Garija","Vanija","Vishti","Shakuni","Chatushapda","Naaga","Kimstugna")</f>
        <v>Vishti</v>
      </c>
      <c r="N37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(10.21)</v>
      </c>
      <c r="O377" s="124">
        <f ca="1">IF(AND(P[[#This Row],[Tithi]]&lt;28.5,P[[#This Row],[Tithi]]&gt;0.49999),MOD((P[[#This Row],[Tithi]]-0.5)*2,7),MOD((P[[#This Row],[Tithi]]+30-28.5),30)*2+7)</f>
        <v>6.2539999999999978</v>
      </c>
      <c r="P377" s="124">
        <f ca="1">ROUNDUP(MOD(360+P[[#This Row],[Moon]]-P[[#This Row],[Sun]],360)/12,4)</f>
        <v>28.126999999999999</v>
      </c>
      <c r="Q377" s="124">
        <f t="shared" ca="1" si="55"/>
        <v>10.209999999999999</v>
      </c>
      <c r="R377" s="124" t="str">
        <f ca="1">SIGN(S378-P[[#This Row],[MARs]])*INT(P[[#This Row],[MARs]]/30+1)&amp;"Ma,"&amp;SIGN(T378-P[[#This Row],[Merc]])*INT(P[[#This Row],[Merc]]/30+1)&amp;"Me,"&amp;SIGN(U378-P[[#This Row],[Jup]])*INT(P[[#This Row],[Jup]]/30+1)&amp;"Ju,"&amp;SIGN(V378-P[[#This Row],[Venu]])*INT(P[[#This Row],[Venu]]/30+1)&amp;"Ve,"&amp;SIGN(W378-P[[#This Row],[Sat]])*INT(P[[#This Row],[Sat]]/30+1)&amp;"Sa,"&amp;INT(P[[#This Row],[Rah]]/30+1)&amp;"Ra"</f>
        <v>12Ma,9Me,8Ju,8Ve,9Sa,4Ra</v>
      </c>
      <c r="S377" s="124">
        <f ca="1">Planet(P[[#This Row],[GMT Sun Rise]],4)</f>
        <v>337.86422171199547</v>
      </c>
      <c r="T377" s="124">
        <f ca="1">Planet(P[[#This Row],[GMT Sun Rise]],2)</f>
        <v>244.22799100349226</v>
      </c>
      <c r="U377" s="124">
        <f ca="1">Planet(P[[#This Row],[GMT Sun Rise]],5)</f>
        <v>228.28672036758283</v>
      </c>
      <c r="V377" s="124">
        <f ca="1">Planet(P[[#This Row],[GMT Sun Rise]],3)</f>
        <v>212.40010277023208</v>
      </c>
      <c r="W377" s="124">
        <f ca="1">Planet(P[[#This Row],[GMT Sun Rise]],6)</f>
        <v>257.61805970826924</v>
      </c>
      <c r="X377" s="124">
        <f ca="1">Planet(P[[#This Row],[GMT Sun Rise]],10)</f>
        <v>93.28800539040067</v>
      </c>
      <c r="Y377" s="124">
        <f ca="1">SIGN(S378-P[[#This Row],[MARs]])</f>
        <v>1</v>
      </c>
    </row>
    <row r="378" spans="1:25" x14ac:dyDescent="0.2">
      <c r="A378" s="125">
        <f t="shared" ca="1" si="56"/>
        <v>43470</v>
      </c>
      <c r="B378" s="125">
        <f t="shared" ca="1" si="49"/>
        <v>43470.229166666664</v>
      </c>
      <c r="C378" s="127">
        <f t="shared" ca="1" si="50"/>
        <v>43470.274215108868</v>
      </c>
      <c r="D378" s="127">
        <f t="shared" ca="1" si="51"/>
        <v>43469.745992958589</v>
      </c>
      <c r="E378" s="189">
        <f ca="1">P[[#This Row],[SunRise]]-TimeZone/24</f>
        <v>43470.045048442204</v>
      </c>
      <c r="F378" s="190">
        <f t="shared" ca="1" si="52"/>
        <v>260.26264620266028</v>
      </c>
      <c r="G378" s="190">
        <f t="shared" ca="1" si="53"/>
        <v>249.01593048011478</v>
      </c>
      <c r="H378" s="191">
        <f t="shared" ca="1" si="54"/>
        <v>43470.045048442204</v>
      </c>
      <c r="I378" s="124" t="str">
        <f ca="1">naks(P[[#This Row],[Moon]])</f>
        <v>Moola</v>
      </c>
      <c r="J378" s="127">
        <f ca="1">(C379-P[[#This Row],[SunRise]])/(G379-P[[#This Row],[Moon]])*(13.3333333333333-MOD(P[[#This Row],[Moon]],13.333333333333))+P[[#This Row],[SunRise]]</f>
        <v>43470.631304997332</v>
      </c>
      <c r="K378" s="124" t="str">
        <f ca="1">IF(P[[#This Row],[Tithi]]&gt;15,"K","S")&amp;ROUNDUP(MOD(P[[#This Row],[Tithi]],15),0)&amp;" ("&amp;ROUND(P[[#This Row],[Tithi]],2)&amp;")"</f>
        <v>K15 (29.06)</v>
      </c>
      <c r="L378" s="124">
        <f ca="1">IF(AND(P[[#This Row],[Tithi]]&lt;28.5,P[[#This Row],[Tithi]]&gt;0.49999),MOD((P[[#This Row],[Tithi]]-0.5)*2,7),MOD((P[[#This Row],[Tithi]]+30-28.5),30)*2+7)</f>
        <v>8.1255999999999915</v>
      </c>
      <c r="M378" s="124" t="str">
        <f ca="1">CHOOSE(ROUNDUP(P[[#This Row],[Karana1]],0),"Bhava","Baalava","Kaulava","Taitula","Garija","Vanija","Vishti","Shakuni","Chatushapda","Naaga","Kimstugna")</f>
        <v>Chatushapda</v>
      </c>
      <c r="N37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(11.2)</v>
      </c>
      <c r="O378" s="124">
        <f ca="1">IF(AND(P[[#This Row],[Tithi]]&lt;28.5,P[[#This Row],[Tithi]]&gt;0.49999),MOD((P[[#This Row],[Tithi]]-0.5)*2,7),MOD((P[[#This Row],[Tithi]]+30-28.5),30)*2+7)</f>
        <v>8.1255999999999915</v>
      </c>
      <c r="P378" s="124">
        <f ca="1">ROUNDUP(MOD(360+P[[#This Row],[Moon]]-P[[#This Row],[Sun]],360)/12,4)</f>
        <v>29.062799999999999</v>
      </c>
      <c r="Q378" s="124">
        <f t="shared" ca="1" si="55"/>
        <v>11.2</v>
      </c>
      <c r="R378" s="124" t="str">
        <f ca="1">SIGN(S379-P[[#This Row],[MARs]])*INT(P[[#This Row],[MARs]]/30+1)&amp;"Ma,"&amp;SIGN(T379-P[[#This Row],[Merc]])*INT(P[[#This Row],[Merc]]/30+1)&amp;"Me,"&amp;SIGN(U379-P[[#This Row],[Jup]])*INT(P[[#This Row],[Jup]]/30+1)&amp;"Ju,"&amp;SIGN(V379-P[[#This Row],[Venu]])*INT(P[[#This Row],[Venu]]/30+1)&amp;"Ve,"&amp;SIGN(W379-P[[#This Row],[Sat]])*INT(P[[#This Row],[Sat]]/30+1)&amp;"Sa,"&amp;INT(P[[#This Row],[Rah]]/30+1)&amp;"Ra"</f>
        <v>12Ma,9Me,8Ju,8Ve,9Sa,4Ra</v>
      </c>
      <c r="S378" s="124">
        <f ca="1">Planet(P[[#This Row],[GMT Sun Rise]],4)</f>
        <v>338.5378726628191</v>
      </c>
      <c r="T378" s="124">
        <f ca="1">Planet(P[[#This Row],[GMT Sun Rise]],2)</f>
        <v>245.72066136612548</v>
      </c>
      <c r="U378" s="124">
        <f ca="1">Planet(P[[#This Row],[GMT Sun Rise]],5)</f>
        <v>228.49381456659708</v>
      </c>
      <c r="V378" s="124">
        <f ca="1">Planet(P[[#This Row],[GMT Sun Rise]],3)</f>
        <v>213.4082784423727</v>
      </c>
      <c r="W378" s="124">
        <f ca="1">Planet(P[[#This Row],[GMT Sun Rise]],6)</f>
        <v>257.73625563428305</v>
      </c>
      <c r="X378" s="124">
        <f ca="1">Planet(P[[#This Row],[GMT Sun Rise]],10)</f>
        <v>93.235000919200786</v>
      </c>
      <c r="Y378" s="124">
        <f ca="1">SIGN(S379-P[[#This Row],[MARs]])</f>
        <v>1</v>
      </c>
    </row>
    <row r="379" spans="1:25" x14ac:dyDescent="0.2">
      <c r="A379" s="125">
        <f t="shared" ca="1" si="56"/>
        <v>43471</v>
      </c>
      <c r="B379" s="125">
        <f t="shared" ca="1" si="49"/>
        <v>43471.229166666664</v>
      </c>
      <c r="C379" s="127">
        <f t="shared" ca="1" si="50"/>
        <v>43471.27444001675</v>
      </c>
      <c r="D379" s="127">
        <f t="shared" ca="1" si="51"/>
        <v>43470.746390481989</v>
      </c>
      <c r="E379" s="189">
        <f ca="1">P[[#This Row],[SunRise]]-TimeZone/24</f>
        <v>43471.045273350086</v>
      </c>
      <c r="F379" s="190">
        <f t="shared" ca="1" si="52"/>
        <v>261.28251621577107</v>
      </c>
      <c r="G379" s="190">
        <f t="shared" ca="1" si="53"/>
        <v>261.10917089556983</v>
      </c>
      <c r="H379" s="191">
        <f t="shared" ca="1" si="54"/>
        <v>43471.045273350086</v>
      </c>
      <c r="I379" s="124" t="str">
        <f ca="1">naks(P[[#This Row],[Moon]])</f>
        <v>Purva Asadha</v>
      </c>
      <c r="J379" s="127">
        <f ca="1">(C380-P[[#This Row],[SunRise]])/(G380-P[[#This Row],[Moon]])*(13.3333333333333-MOD(P[[#This Row],[Moon]],13.333333333333))+P[[#This Row],[SunRise]]</f>
        <v>43471.739101241983</v>
      </c>
      <c r="K379" s="124" t="str">
        <f ca="1">IF(P[[#This Row],[Tithi]]&gt;15,"K","S")&amp;ROUNDUP(MOD(P[[#This Row],[Tithi]],15),0)&amp;" ("&amp;ROUND(P[[#This Row],[Tithi]],2)&amp;")"</f>
        <v>K15 (29.99)</v>
      </c>
      <c r="L379" s="124">
        <f ca="1">IF(AND(P[[#This Row],[Tithi]]&lt;28.5,P[[#This Row],[Tithi]]&gt;0.49999),MOD((P[[#This Row],[Tithi]]-0.5)*2,7),MOD((P[[#This Row],[Tithi]]+30-28.5),30)*2+7)</f>
        <v>9.9711999999999961</v>
      </c>
      <c r="M379" s="124" t="str">
        <f ca="1">CHOOSE(ROUNDUP(P[[#This Row],[Karana1]],0),"Bhava","Baalava","Kaulava","Taitula","Garija","Vanija","Vishti","Shakuni","Chatushapda","Naaga","Kimstugna")</f>
        <v>Naaga</v>
      </c>
      <c r="N37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(12.18)</v>
      </c>
      <c r="O379" s="124">
        <f ca="1">IF(AND(P[[#This Row],[Tithi]]&lt;28.5,P[[#This Row],[Tithi]]&gt;0.49999),MOD((P[[#This Row],[Tithi]]-0.5)*2,7),MOD((P[[#This Row],[Tithi]]+30-28.5),30)*2+7)</f>
        <v>9.9711999999999961</v>
      </c>
      <c r="P379" s="124">
        <f ca="1">ROUNDUP(MOD(360+P[[#This Row],[Moon]]-P[[#This Row],[Sun]],360)/12,4)</f>
        <v>29.985599999999998</v>
      </c>
      <c r="Q379" s="124">
        <f t="shared" ca="1" si="55"/>
        <v>12.18</v>
      </c>
      <c r="R379" s="124" t="str">
        <f ca="1">SIGN(S380-P[[#This Row],[MARs]])*INT(P[[#This Row],[MARs]]/30+1)&amp;"Ma,"&amp;SIGN(T380-P[[#This Row],[Merc]])*INT(P[[#This Row],[Merc]]/30+1)&amp;"Me,"&amp;SIGN(U380-P[[#This Row],[Jup]])*INT(P[[#This Row],[Jup]]/30+1)&amp;"Ju,"&amp;SIGN(V380-P[[#This Row],[Venu]])*INT(P[[#This Row],[Venu]]/30+1)&amp;"Ve,"&amp;SIGN(W380-P[[#This Row],[Sat]])*INT(P[[#This Row],[Sat]]/30+1)&amp;"Sa,"&amp;INT(P[[#This Row],[Rah]]/30+1)&amp;"Ra"</f>
        <v>12Ma,9Me,8Ju,8Ve,9Sa,4Ra</v>
      </c>
      <c r="S379" s="124">
        <f ca="1">Planet(P[[#This Row],[GMT Sun Rise]],4)</f>
        <v>339.21195686334448</v>
      </c>
      <c r="T379" s="124">
        <f ca="1">Planet(P[[#This Row],[GMT Sun Rise]],2)</f>
        <v>247.22119366946129</v>
      </c>
      <c r="U379" s="124">
        <f ca="1">Planet(P[[#This Row],[GMT Sun Rise]],5)</f>
        <v>228.70000221769246</v>
      </c>
      <c r="V379" s="124">
        <f ca="1">Planet(P[[#This Row],[GMT Sun Rise]],3)</f>
        <v>214.42334322178289</v>
      </c>
      <c r="W379" s="124">
        <f ca="1">Planet(P[[#This Row],[GMT Sun Rise]],6)</f>
        <v>257.85438928106242</v>
      </c>
      <c r="X379" s="124">
        <f ca="1">Planet(P[[#This Row],[GMT Sun Rise]],10)</f>
        <v>93.181997003936473</v>
      </c>
      <c r="Y379" s="124">
        <f ca="1">SIGN(S380-P[[#This Row],[MARs]])</f>
        <v>1</v>
      </c>
    </row>
    <row r="380" spans="1:25" x14ac:dyDescent="0.2">
      <c r="A380" s="125">
        <f t="shared" ca="1" si="56"/>
        <v>43472</v>
      </c>
      <c r="B380" s="125">
        <f t="shared" ca="1" si="49"/>
        <v>43472.229166666664</v>
      </c>
      <c r="C380" s="127">
        <f t="shared" ca="1" si="50"/>
        <v>43472.27465427589</v>
      </c>
      <c r="D380" s="127">
        <f t="shared" ca="1" si="51"/>
        <v>43471.746788641016</v>
      </c>
      <c r="E380" s="189">
        <f ca="1">P[[#This Row],[SunRise]]-TimeZone/24</f>
        <v>43472.045487609226</v>
      </c>
      <c r="F380" s="190">
        <f t="shared" ca="1" si="52"/>
        <v>262.30235293219226</v>
      </c>
      <c r="G380" s="190">
        <f t="shared" ca="1" si="53"/>
        <v>273.07205097568209</v>
      </c>
      <c r="H380" s="191">
        <f t="shared" ca="1" si="54"/>
        <v>43472.045487609226</v>
      </c>
      <c r="I380" s="124" t="str">
        <f ca="1">naks(P[[#This Row],[Moon]])</f>
        <v>Uttara Asadha</v>
      </c>
      <c r="J380" s="127">
        <f ca="1">(C381-P[[#This Row],[SunRise]])/(G381-P[[#This Row],[Moon]])*(13.3333333333333-MOD(P[[#This Row],[Moon]],13.333333333333))+P[[#This Row],[SunRise]]</f>
        <v>43472.858728669722</v>
      </c>
      <c r="K380" s="124" t="str">
        <f ca="1">IF(P[[#This Row],[Tithi]]&gt;15,"K","S")&amp;ROUNDUP(MOD(P[[#This Row],[Tithi]],15),0)&amp;" ("&amp;ROUND(P[[#This Row],[Tithi]],2)&amp;")"</f>
        <v>S1 (0.9)</v>
      </c>
      <c r="L380" s="124">
        <f ca="1">IF(AND(P[[#This Row],[Tithi]]&lt;28.5,P[[#This Row],[Tithi]]&gt;0.49999),MOD((P[[#This Row],[Tithi]]-0.5)*2,7),MOD((P[[#This Row],[Tithi]]+30-28.5),30)*2+7)</f>
        <v>0.79499999999999993</v>
      </c>
      <c r="M380" s="124" t="str">
        <f ca="1">CHOOSE(ROUNDUP(P[[#This Row],[Karana1]],0),"Bhava","Baalava","Kaulava","Taitula","Garija","Vanija","Vishti","Shakuni","Chatushapda","Naaga","Kimstugna")</f>
        <v>Bhava</v>
      </c>
      <c r="N38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(13.16)</v>
      </c>
      <c r="O380" s="124">
        <f ca="1">IF(AND(P[[#This Row],[Tithi]]&lt;28.5,P[[#This Row],[Tithi]]&gt;0.49999),MOD((P[[#This Row],[Tithi]]-0.5)*2,7),MOD((P[[#This Row],[Tithi]]+30-28.5),30)*2+7)</f>
        <v>0.79499999999999993</v>
      </c>
      <c r="P380" s="124">
        <f ca="1">ROUNDUP(MOD(360+P[[#This Row],[Moon]]-P[[#This Row],[Sun]],360)/12,4)</f>
        <v>0.89749999999999996</v>
      </c>
      <c r="Q380" s="124">
        <f t="shared" ca="1" si="55"/>
        <v>13.16</v>
      </c>
      <c r="R380" s="124" t="str">
        <f ca="1">SIGN(S381-P[[#This Row],[MARs]])*INT(P[[#This Row],[MARs]]/30+1)&amp;"Ma,"&amp;SIGN(T381-P[[#This Row],[Merc]])*INT(P[[#This Row],[Merc]]/30+1)&amp;"Me,"&amp;SIGN(U381-P[[#This Row],[Jup]])*INT(P[[#This Row],[Jup]]/30+1)&amp;"Ju,"&amp;SIGN(V381-P[[#This Row],[Venu]])*INT(P[[#This Row],[Venu]]/30+1)&amp;"Ve,"&amp;SIGN(W381-P[[#This Row],[Sat]])*INT(P[[#This Row],[Sat]]/30+1)&amp;"Sa,"&amp;INT(P[[#This Row],[Rah]]/30+1)&amp;"Ra"</f>
        <v>12Ma,9Me,8Ju,8Ve,9Sa,4Ra</v>
      </c>
      <c r="S380" s="124">
        <f ca="1">Planet(P[[#This Row],[GMT Sun Rise]],4)</f>
        <v>339.88644915685029</v>
      </c>
      <c r="T380" s="124">
        <f ca="1">Planet(P[[#This Row],[GMT Sun Rise]],2)</f>
        <v>248.72935868057542</v>
      </c>
      <c r="U380" s="124">
        <f ca="1">Planet(P[[#This Row],[GMT Sun Rise]],5)</f>
        <v>228.90525556399336</v>
      </c>
      <c r="V380" s="124">
        <f ca="1">Planet(P[[#This Row],[GMT Sun Rise]],3)</f>
        <v>215.44503537681555</v>
      </c>
      <c r="W380" s="124">
        <f ca="1">Planet(P[[#This Row],[GMT Sun Rise]],6)</f>
        <v>257.97244567076564</v>
      </c>
      <c r="X380" s="124">
        <f ca="1">Planet(P[[#This Row],[GMT Sun Rise]],10)</f>
        <v>93.128993652991539</v>
      </c>
      <c r="Y380" s="124">
        <f ca="1">SIGN(S381-P[[#This Row],[MARs]])</f>
        <v>1</v>
      </c>
    </row>
    <row r="381" spans="1:25" x14ac:dyDescent="0.2">
      <c r="A381" s="125">
        <f t="shared" ca="1" si="56"/>
        <v>43473</v>
      </c>
      <c r="B381" s="125">
        <f t="shared" ca="1" si="49"/>
        <v>43473.229166666664</v>
      </c>
      <c r="C381" s="127">
        <f t="shared" ca="1" si="50"/>
        <v>43473.27485740852</v>
      </c>
      <c r="D381" s="127">
        <f t="shared" ca="1" si="51"/>
        <v>43472.747186958833</v>
      </c>
      <c r="E381" s="189">
        <f ca="1">P[[#This Row],[SunRise]]-TimeZone/24</f>
        <v>43473.045690741856</v>
      </c>
      <c r="F381" s="190">
        <f t="shared" ca="1" si="52"/>
        <v>263.32213125731766</v>
      </c>
      <c r="G381" s="190">
        <f t="shared" ca="1" si="53"/>
        <v>284.93587584106638</v>
      </c>
      <c r="H381" s="191">
        <f t="shared" ca="1" si="54"/>
        <v>43473.045690741856</v>
      </c>
      <c r="I381" s="124" t="str">
        <f ca="1">naks(P[[#This Row],[Moon]])</f>
        <v>Sravana</v>
      </c>
      <c r="J381" s="127">
        <f ca="1">(C382-P[[#This Row],[SunRise]])/(G382-P[[#This Row],[Moon]])*(13.3333333333333-MOD(P[[#This Row],[Moon]],13.333333333333))+P[[#This Row],[SunRise]]</f>
        <v>43473.986480059153</v>
      </c>
      <c r="K381" s="124" t="str">
        <f ca="1">IF(P[[#This Row],[Tithi]]&gt;15,"K","S")&amp;ROUNDUP(MOD(P[[#This Row],[Tithi]],15),0)&amp;" ("&amp;ROUND(P[[#This Row],[Tithi]],2)&amp;")"</f>
        <v>S2 (1.8)</v>
      </c>
      <c r="L381" s="124">
        <f ca="1">IF(AND(P[[#This Row],[Tithi]]&lt;28.5,P[[#This Row],[Tithi]]&gt;0.49999),MOD((P[[#This Row],[Tithi]]-0.5)*2,7),MOD((P[[#This Row],[Tithi]]+30-28.5),30)*2+7)</f>
        <v>2.6023999999999998</v>
      </c>
      <c r="M381" s="124" t="str">
        <f ca="1">CHOOSE(ROUNDUP(P[[#This Row],[Karana1]],0),"Bhava","Baalava","Kaulava","Taitula","Garija","Vanija","Vishti","Shakuni","Chatushapda","Naaga","Kimstugna")</f>
        <v>Kaulava</v>
      </c>
      <c r="N38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(14.12)</v>
      </c>
      <c r="O381" s="124">
        <f ca="1">IF(AND(P[[#This Row],[Tithi]]&lt;28.5,P[[#This Row],[Tithi]]&gt;0.49999),MOD((P[[#This Row],[Tithi]]-0.5)*2,7),MOD((P[[#This Row],[Tithi]]+30-28.5),30)*2+7)</f>
        <v>2.6023999999999998</v>
      </c>
      <c r="P381" s="124">
        <f ca="1">ROUNDUP(MOD(360+P[[#This Row],[Moon]]-P[[#This Row],[Sun]],360)/12,4)</f>
        <v>1.8011999999999999</v>
      </c>
      <c r="Q381" s="124">
        <f t="shared" ca="1" si="55"/>
        <v>14.12</v>
      </c>
      <c r="R381" s="124" t="str">
        <f ca="1">SIGN(S382-P[[#This Row],[MARs]])*INT(P[[#This Row],[MARs]]/30+1)&amp;"Ma,"&amp;SIGN(T382-P[[#This Row],[Merc]])*INT(P[[#This Row],[Merc]]/30+1)&amp;"Me,"&amp;SIGN(U382-P[[#This Row],[Jup]])*INT(P[[#This Row],[Jup]]/30+1)&amp;"Ju,"&amp;SIGN(V382-P[[#This Row],[Venu]])*INT(P[[#This Row],[Venu]]/30+1)&amp;"Ve,"&amp;SIGN(W382-P[[#This Row],[Sat]])*INT(P[[#This Row],[Sat]]/30+1)&amp;"Sa,"&amp;INT(P[[#This Row],[Rah]]/30+1)&amp;"Ra"</f>
        <v>12Ma,9Me,8Ju,8Ve,9Sa,4Ra</v>
      </c>
      <c r="S381" s="124">
        <f ca="1">Planet(P[[#This Row],[GMT Sun Rise]],4)</f>
        <v>340.56132282918958</v>
      </c>
      <c r="T381" s="124">
        <f ca="1">Planet(P[[#This Row],[GMT Sun Rise]],2)</f>
        <v>250.24499772842373</v>
      </c>
      <c r="U381" s="124">
        <f ca="1">Planet(P[[#This Row],[GMT Sun Rise]],5)</f>
        <v>229.1095470279673</v>
      </c>
      <c r="V381" s="124">
        <f ca="1">Planet(P[[#This Row],[GMT Sun Rise]],3)</f>
        <v>216.47310637507965</v>
      </c>
      <c r="W381" s="124">
        <f ca="1">Planet(P[[#This Row],[GMT Sun Rise]],6)</f>
        <v>258.09040608053306</v>
      </c>
      <c r="X381" s="124">
        <f ca="1">Planet(P[[#This Row],[GMT Sun Rise]],10)</f>
        <v>93.075990891666521</v>
      </c>
      <c r="Y381" s="124">
        <f ca="1">SIGN(S382-P[[#This Row],[MARs]])</f>
        <v>1</v>
      </c>
    </row>
    <row r="382" spans="1:25" x14ac:dyDescent="0.2">
      <c r="A382" s="125">
        <f t="shared" ca="1" si="56"/>
        <v>43474</v>
      </c>
      <c r="B382" s="125">
        <f t="shared" ca="1" si="49"/>
        <v>43474.229166666664</v>
      </c>
      <c r="C382" s="127">
        <f t="shared" ca="1" si="50"/>
        <v>43474.275049255848</v>
      </c>
      <c r="D382" s="127">
        <f t="shared" ca="1" si="51"/>
        <v>43473.74758495907</v>
      </c>
      <c r="E382" s="189">
        <f ca="1">P[[#This Row],[SunRise]]-TimeZone/24</f>
        <v>43474.045882589184</v>
      </c>
      <c r="F382" s="190">
        <f t="shared" ca="1" si="52"/>
        <v>264.34182725229175</v>
      </c>
      <c r="G382" s="190">
        <f t="shared" ca="1" si="53"/>
        <v>296.73857564907547</v>
      </c>
      <c r="H382" s="191">
        <f t="shared" ca="1" si="54"/>
        <v>43474.045882589184</v>
      </c>
      <c r="I382" s="124" t="str">
        <f ca="1">naks(P[[#This Row],[Moon]])</f>
        <v>Dhanistha</v>
      </c>
      <c r="J382" s="127">
        <f ca="1">(C383-P[[#This Row],[SunRise]])/(G383-P[[#This Row],[Moon]])*(13.3333333333333-MOD(P[[#This Row],[Moon]],13.333333333333))+P[[#This Row],[SunRise]]</f>
        <v>43475.117452302184</v>
      </c>
      <c r="K382" s="124" t="str">
        <f ca="1">IF(P[[#This Row],[Tithi]]&gt;15,"K","S")&amp;ROUNDUP(MOD(P[[#This Row],[Tithi]],15),0)&amp;" ("&amp;ROUND(P[[#This Row],[Tithi]],2)&amp;")"</f>
        <v>S3 (2.7)</v>
      </c>
      <c r="L382" s="124">
        <f ca="1">IF(AND(P[[#This Row],[Tithi]]&lt;28.5,P[[#This Row],[Tithi]]&gt;0.49999),MOD((P[[#This Row],[Tithi]]-0.5)*2,7),MOD((P[[#This Row],[Tithi]]+30-28.5),30)*2+7)</f>
        <v>4.3996000000000004</v>
      </c>
      <c r="M382" s="124" t="str">
        <f ca="1">CHOOSE(ROUNDUP(P[[#This Row],[Karana1]],0),"Bhava","Baalava","Kaulava","Taitula","Garija","Vanija","Vishti","Shakuni","Chatushapda","Naaga","Kimstugna")</f>
        <v>Garija</v>
      </c>
      <c r="N38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(15.09)</v>
      </c>
      <c r="O382" s="124">
        <f ca="1">IF(AND(P[[#This Row],[Tithi]]&lt;28.5,P[[#This Row],[Tithi]]&gt;0.49999),MOD((P[[#This Row],[Tithi]]-0.5)*2,7),MOD((P[[#This Row],[Tithi]]+30-28.5),30)*2+7)</f>
        <v>4.3996000000000004</v>
      </c>
      <c r="P382" s="124">
        <f ca="1">ROUNDUP(MOD(360+P[[#This Row],[Moon]]-P[[#This Row],[Sun]],360)/12,4)</f>
        <v>2.6998000000000002</v>
      </c>
      <c r="Q382" s="124">
        <f t="shared" ca="1" si="55"/>
        <v>15.09</v>
      </c>
      <c r="R382" s="124" t="str">
        <f ca="1">SIGN(S383-P[[#This Row],[MARs]])*INT(P[[#This Row],[MARs]]/30+1)&amp;"Ma,"&amp;SIGN(T383-P[[#This Row],[Merc]])*INT(P[[#This Row],[Merc]]/30+1)&amp;"Me,"&amp;SIGN(U383-P[[#This Row],[Jup]])*INT(P[[#This Row],[Jup]]/30+1)&amp;"Ju,"&amp;SIGN(V383-P[[#This Row],[Venu]])*INT(P[[#This Row],[Venu]]/30+1)&amp;"Ve,"&amp;SIGN(W383-P[[#This Row],[Sat]])*INT(P[[#This Row],[Sat]]/30+1)&amp;"Sa,"&amp;INT(P[[#This Row],[Rah]]/30+1)&amp;"Ra"</f>
        <v>12Ma,9Me,8Ju,8Ve,9Sa,4Ra</v>
      </c>
      <c r="S382" s="124">
        <f ca="1">Planet(P[[#This Row],[GMT Sun Rise]],4)</f>
        <v>341.23655037916865</v>
      </c>
      <c r="T382" s="124">
        <f ca="1">Planet(P[[#This Row],[GMT Sun Rise]],2)</f>
        <v>251.76801519409091</v>
      </c>
      <c r="U382" s="124">
        <f ca="1">Planet(P[[#This Row],[GMT Sun Rise]],5)</f>
        <v>229.31284937617551</v>
      </c>
      <c r="V382" s="124">
        <f ca="1">Planet(P[[#This Row],[GMT Sun Rise]],3)</f>
        <v>217.50732083720652</v>
      </c>
      <c r="W382" s="124">
        <f ca="1">Planet(P[[#This Row],[GMT Sun Rise]],6)</f>
        <v>258.20825069061959</v>
      </c>
      <c r="X382" s="124">
        <f ca="1">Planet(P[[#This Row],[GMT Sun Rise]],10)</f>
        <v>93.022988728345197</v>
      </c>
      <c r="Y382" s="124">
        <f ca="1">SIGN(S383-P[[#This Row],[MARs]])</f>
        <v>1</v>
      </c>
    </row>
    <row r="383" spans="1:25" x14ac:dyDescent="0.2">
      <c r="A383" s="125">
        <f t="shared" ca="1" si="56"/>
        <v>43475</v>
      </c>
      <c r="B383" s="125">
        <f t="shared" ca="1" si="49"/>
        <v>43475.229166666664</v>
      </c>
      <c r="C383" s="127">
        <f t="shared" ca="1" si="50"/>
        <v>43475.275229500294</v>
      </c>
      <c r="D383" s="127">
        <f t="shared" ca="1" si="51"/>
        <v>43474.747982323213</v>
      </c>
      <c r="E383" s="189">
        <f ca="1">P[[#This Row],[SunRise]]-TimeZone/24</f>
        <v>43475.04606283363</v>
      </c>
      <c r="F383" s="190">
        <f t="shared" ca="1" si="52"/>
        <v>265.36141783472419</v>
      </c>
      <c r="G383" s="190">
        <f t="shared" ca="1" si="53"/>
        <v>308.52614045434819</v>
      </c>
      <c r="H383" s="191">
        <f t="shared" ca="1" si="54"/>
        <v>43475.04606283363</v>
      </c>
      <c r="I383" s="124" t="str">
        <f ca="1">naks(P[[#This Row],[Moon]])</f>
        <v>Satabhisaj</v>
      </c>
      <c r="J383" s="127">
        <f ca="1">(C384-P[[#This Row],[SunRise]])/(G384-P[[#This Row],[Moon]])*(13.3333333333333-MOD(P[[#This Row],[Moon]],13.333333333333))+P[[#This Row],[SunRise]]</f>
        <v>43476.245525053957</v>
      </c>
      <c r="K383" s="124" t="str">
        <f ca="1">IF(P[[#This Row],[Tithi]]&gt;15,"K","S")&amp;ROUNDUP(MOD(P[[#This Row],[Tithi]],15),0)&amp;" ("&amp;ROUND(P[[#This Row],[Tithi]],2)&amp;")"</f>
        <v>S4 (3.6)</v>
      </c>
      <c r="L383" s="124">
        <f ca="1">IF(AND(P[[#This Row],[Tithi]]&lt;28.5,P[[#This Row],[Tithi]]&gt;0.49999),MOD((P[[#This Row],[Tithi]]-0.5)*2,7),MOD((P[[#This Row],[Tithi]]+30-28.5),30)*2+7)</f>
        <v>6.1942000000000004</v>
      </c>
      <c r="M383" s="124" t="str">
        <f ca="1">CHOOSE(ROUNDUP(P[[#This Row],[Karana1]],0),"Bhava","Baalava","Kaulava","Taitula","Garija","Vanija","Vishti","Shakuni","Chatushapda","Naaga","Kimstugna")</f>
        <v>Vishti</v>
      </c>
      <c r="N38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(16.05)</v>
      </c>
      <c r="O383" s="124">
        <f ca="1">IF(AND(P[[#This Row],[Tithi]]&lt;28.5,P[[#This Row],[Tithi]]&gt;0.49999),MOD((P[[#This Row],[Tithi]]-0.5)*2,7),MOD((P[[#This Row],[Tithi]]+30-28.5),30)*2+7)</f>
        <v>6.1942000000000004</v>
      </c>
      <c r="P383" s="124">
        <f ca="1">ROUNDUP(MOD(360+P[[#This Row],[Moon]]-P[[#This Row],[Sun]],360)/12,4)</f>
        <v>3.5971000000000002</v>
      </c>
      <c r="Q383" s="124">
        <f t="shared" ca="1" si="55"/>
        <v>16.05</v>
      </c>
      <c r="R383" s="124" t="str">
        <f ca="1">SIGN(S384-P[[#This Row],[MARs]])*INT(P[[#This Row],[MARs]]/30+1)&amp;"Ma,"&amp;SIGN(T384-P[[#This Row],[Merc]])*INT(P[[#This Row],[Merc]]/30+1)&amp;"Me,"&amp;SIGN(U384-P[[#This Row],[Jup]])*INT(P[[#This Row],[Jup]]/30+1)&amp;"Ju,"&amp;SIGN(V384-P[[#This Row],[Venu]])*INT(P[[#This Row],[Venu]]/30+1)&amp;"Ve,"&amp;SIGN(W384-P[[#This Row],[Sat]])*INT(P[[#This Row],[Sat]]/30+1)&amp;"Sa,"&amp;INT(P[[#This Row],[Rah]]/30+1)&amp;"Ra"</f>
        <v>12Ma,9Me,8Ju,8Ve,9Sa,4Ra</v>
      </c>
      <c r="S383" s="124">
        <f ca="1">Planet(P[[#This Row],[GMT Sun Rise]],4)</f>
        <v>341.9121034630366</v>
      </c>
      <c r="T383" s="124">
        <f ca="1">Planet(P[[#This Row],[GMT Sun Rise]],2)</f>
        <v>253.29837036533755</v>
      </c>
      <c r="U383" s="124">
        <f ca="1">Planet(P[[#This Row],[GMT Sun Rise]],5)</f>
        <v>229.51513564428248</v>
      </c>
      <c r="V383" s="124">
        <f ca="1">Planet(P[[#This Row],[GMT Sun Rise]],3)</f>
        <v>218.54745536428248</v>
      </c>
      <c r="W383" s="124">
        <f ca="1">Planet(P[[#This Row],[GMT Sun Rise]],6)</f>
        <v>258.32595932164566</v>
      </c>
      <c r="X383" s="124">
        <f ca="1">Planet(P[[#This Row],[GMT Sun Rise]],10)</f>
        <v>92.969987179911115</v>
      </c>
      <c r="Y383" s="124">
        <f ca="1">SIGN(S384-P[[#This Row],[MARs]])</f>
        <v>1</v>
      </c>
    </row>
    <row r="384" spans="1:25" x14ac:dyDescent="0.2">
      <c r="A384" s="125">
        <f t="shared" ca="1" si="56"/>
        <v>43476</v>
      </c>
      <c r="B384" s="125">
        <f t="shared" ca="1" si="49"/>
        <v>43476.229166666664</v>
      </c>
      <c r="C384" s="127">
        <f t="shared" ca="1" si="50"/>
        <v>43476.275397982601</v>
      </c>
      <c r="D384" s="127">
        <f t="shared" ca="1" si="51"/>
        <v>43475.748378416101</v>
      </c>
      <c r="E384" s="189">
        <f ca="1">P[[#This Row],[SunRise]]-TimeZone/24</f>
        <v>43476.046231315937</v>
      </c>
      <c r="F384" s="190">
        <f t="shared" ca="1" si="52"/>
        <v>266.38088126619931</v>
      </c>
      <c r="G384" s="190">
        <f t="shared" ca="1" si="53"/>
        <v>320.35325091021571</v>
      </c>
      <c r="H384" s="191">
        <f t="shared" ca="1" si="54"/>
        <v>43476.046231315937</v>
      </c>
      <c r="I384" s="124" t="str">
        <f ca="1">naks(P[[#This Row],[Moon]])</f>
        <v>Purva Bhadrapada</v>
      </c>
      <c r="J384" s="127">
        <f ca="1">(C385-P[[#This Row],[SunRise]])/(G385-P[[#This Row],[Moon]])*(13.3333333333333-MOD(P[[#This Row],[Moon]],13.333333333333))+P[[#This Row],[SunRise]]</f>
        <v>43477.363611903987</v>
      </c>
      <c r="K384" s="124" t="str">
        <f ca="1">IF(P[[#This Row],[Tithi]]&gt;15,"K","S")&amp;ROUNDUP(MOD(P[[#This Row],[Tithi]],15),0)&amp;" ("&amp;ROUND(P[[#This Row],[Tithi]],2)&amp;")"</f>
        <v>S5 (4.5)</v>
      </c>
      <c r="L384" s="124">
        <f ca="1">IF(AND(P[[#This Row],[Tithi]]&lt;28.5,P[[#This Row],[Tithi]]&gt;0.49999),MOD((P[[#This Row],[Tithi]]-0.5)*2,7),MOD((P[[#This Row],[Tithi]]+30-28.5),30)*2+7)</f>
        <v>0.99540000000000006</v>
      </c>
      <c r="M384" s="124" t="str">
        <f ca="1">CHOOSE(ROUNDUP(P[[#This Row],[Karana1]],0),"Bhava","Baalava","Kaulava","Taitula","Garija","Vanija","Vishti","Shakuni","Chatushapda","Naaga","Kimstugna")</f>
        <v>Bhava</v>
      </c>
      <c r="N38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(17.01)</v>
      </c>
      <c r="O384" s="124">
        <f ca="1">IF(AND(P[[#This Row],[Tithi]]&lt;28.5,P[[#This Row],[Tithi]]&gt;0.49999),MOD((P[[#This Row],[Tithi]]-0.5)*2,7),MOD((P[[#This Row],[Tithi]]+30-28.5),30)*2+7)</f>
        <v>0.99540000000000006</v>
      </c>
      <c r="P384" s="124">
        <f ca="1">ROUNDUP(MOD(360+P[[#This Row],[Moon]]-P[[#This Row],[Sun]],360)/12,4)</f>
        <v>4.4977</v>
      </c>
      <c r="Q384" s="124">
        <f t="shared" ca="1" si="55"/>
        <v>17.010000000000002</v>
      </c>
      <c r="R384" s="124" t="str">
        <f ca="1">SIGN(S385-P[[#This Row],[MARs]])*INT(P[[#This Row],[MARs]]/30+1)&amp;"Ma,"&amp;SIGN(T385-P[[#This Row],[Merc]])*INT(P[[#This Row],[Merc]]/30+1)&amp;"Me,"&amp;SIGN(U385-P[[#This Row],[Jup]])*INT(P[[#This Row],[Jup]]/30+1)&amp;"Ju,"&amp;SIGN(V385-P[[#This Row],[Venu]])*INT(P[[#This Row],[Venu]]/30+1)&amp;"Ve,"&amp;SIGN(W385-P[[#This Row],[Sat]])*INT(P[[#This Row],[Sat]]/30+1)&amp;"Sa,"&amp;INT(P[[#This Row],[Rah]]/30+1)&amp;"Ra"</f>
        <v>12Ma,9Me,8Ju,8Ve,9Sa,4Ra</v>
      </c>
      <c r="S384" s="124">
        <f ca="1">Planet(P[[#This Row],[GMT Sun Rise]],4)</f>
        <v>342.58795329152008</v>
      </c>
      <c r="T384" s="124">
        <f ca="1">Planet(P[[#This Row],[GMT Sun Rise]],2)</f>
        <v>254.83607142134483</v>
      </c>
      <c r="U384" s="124">
        <f ca="1">Planet(P[[#This Row],[GMT Sun Rise]],5)</f>
        <v>229.71637922512841</v>
      </c>
      <c r="V384" s="124">
        <f ca="1">Planet(P[[#This Row],[GMT Sun Rise]],3)</f>
        <v>219.59329830281823</v>
      </c>
      <c r="W384" s="124">
        <f ca="1">Planet(P[[#This Row],[GMT Sun Rise]],6)</f>
        <v>258.44351176578493</v>
      </c>
      <c r="X384" s="124">
        <f ca="1">Planet(P[[#This Row],[GMT Sun Rise]],10)</f>
        <v>92.916986254781449</v>
      </c>
      <c r="Y384" s="124">
        <f ca="1">SIGN(S385-P[[#This Row],[MARs]])</f>
        <v>1</v>
      </c>
    </row>
    <row r="385" spans="1:25" x14ac:dyDescent="0.2">
      <c r="A385" s="125">
        <f t="shared" ca="1" si="56"/>
        <v>43477</v>
      </c>
      <c r="B385" s="125">
        <f t="shared" ca="1" si="49"/>
        <v>43477.229166666664</v>
      </c>
      <c r="C385" s="127">
        <f t="shared" ca="1" si="50"/>
        <v>43477.275554544445</v>
      </c>
      <c r="D385" s="127">
        <f t="shared" ca="1" si="51"/>
        <v>43476.748773078478</v>
      </c>
      <c r="E385" s="189">
        <f ca="1">P[[#This Row],[SunRise]]-TimeZone/24</f>
        <v>43477.046387877781</v>
      </c>
      <c r="F385" s="190">
        <f t="shared" ca="1" si="52"/>
        <v>267.40019718871548</v>
      </c>
      <c r="G385" s="190">
        <f t="shared" ca="1" si="53"/>
        <v>332.28299592967778</v>
      </c>
      <c r="H385" s="191">
        <f t="shared" ca="1" si="54"/>
        <v>43477.046387877781</v>
      </c>
      <c r="I385" s="124" t="str">
        <f ca="1">naks(P[[#This Row],[Moon]])</f>
        <v>Purva Bhadrapada</v>
      </c>
      <c r="J385" s="127">
        <f ca="1">(C386-P[[#This Row],[SunRise]])/(G386-P[[#This Row],[Moon]])*(13.3333333333333-MOD(P[[#This Row],[Moon]],13.333333333333))+P[[#This Row],[SunRise]]</f>
        <v>43477.362354050187</v>
      </c>
      <c r="K385" s="124" t="str">
        <f ca="1">IF(P[[#This Row],[Tithi]]&gt;15,"K","S")&amp;ROUNDUP(MOD(P[[#This Row],[Tithi]],15),0)&amp;" ("&amp;ROUND(P[[#This Row],[Tithi]],2)&amp;")"</f>
        <v>S6 (5.41)</v>
      </c>
      <c r="L385" s="124">
        <f ca="1">IF(AND(P[[#This Row],[Tithi]]&lt;28.5,P[[#This Row],[Tithi]]&gt;0.49999),MOD((P[[#This Row],[Tithi]]-0.5)*2,7),MOD((P[[#This Row],[Tithi]]+30-28.5),30)*2+7)</f>
        <v>2.8137999999999987</v>
      </c>
      <c r="M385" s="124" t="str">
        <f ca="1">CHOOSE(ROUNDUP(P[[#This Row],[Karana1]],0),"Bhava","Baalava","Kaulava","Taitula","Garija","Vanija","Vishti","Shakuni","Chatushapda","Naaga","Kimstugna")</f>
        <v>Kaulava</v>
      </c>
      <c r="N38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(17.98)</v>
      </c>
      <c r="O385" s="124">
        <f ca="1">IF(AND(P[[#This Row],[Tithi]]&lt;28.5,P[[#This Row],[Tithi]]&gt;0.49999),MOD((P[[#This Row],[Tithi]]-0.5)*2,7),MOD((P[[#This Row],[Tithi]]+30-28.5),30)*2+7)</f>
        <v>2.8137999999999987</v>
      </c>
      <c r="P385" s="124">
        <f ca="1">ROUNDUP(MOD(360+P[[#This Row],[Moon]]-P[[#This Row],[Sun]],360)/12,4)</f>
        <v>5.4068999999999994</v>
      </c>
      <c r="Q385" s="124">
        <f t="shared" ca="1" si="55"/>
        <v>17.98</v>
      </c>
      <c r="R385" s="124" t="str">
        <f ca="1">SIGN(S386-P[[#This Row],[MARs]])*INT(P[[#This Row],[MARs]]/30+1)&amp;"Ma,"&amp;SIGN(T386-P[[#This Row],[Merc]])*INT(P[[#This Row],[Merc]]/30+1)&amp;"Me,"&amp;SIGN(U386-P[[#This Row],[Jup]])*INT(P[[#This Row],[Jup]]/30+1)&amp;"Ju,"&amp;SIGN(V386-P[[#This Row],[Venu]])*INT(P[[#This Row],[Venu]]/30+1)&amp;"Ve,"&amp;SIGN(W386-P[[#This Row],[Sat]])*INT(P[[#This Row],[Sat]]/30+1)&amp;"Sa,"&amp;INT(P[[#This Row],[Rah]]/30+1)&amp;"Ra"</f>
        <v>12Ma,9Me,8Ju,8Ve,9Sa,4Ra</v>
      </c>
      <c r="S385" s="124">
        <f ca="1">Planet(P[[#This Row],[GMT Sun Rise]],4)</f>
        <v>343.26407064819199</v>
      </c>
      <c r="T385" s="124">
        <f ca="1">Planet(P[[#This Row],[GMT Sun Rise]],2)</f>
        <v>256.38116949003893</v>
      </c>
      <c r="U385" s="124">
        <f ca="1">Planet(P[[#This Row],[GMT Sun Rise]],5)</f>
        <v>229.91655386984317</v>
      </c>
      <c r="V385" s="124">
        <f ca="1">Planet(P[[#This Row],[GMT Sun Rise]],3)</f>
        <v>220.64464916530088</v>
      </c>
      <c r="W385" s="124">
        <f ca="1">Planet(P[[#This Row],[GMT Sun Rise]],6)</f>
        <v>258.56088791176313</v>
      </c>
      <c r="X385" s="124">
        <f ca="1">Planet(P[[#This Row],[GMT Sun Rise]],10)</f>
        <v>92.863985961306653</v>
      </c>
      <c r="Y385" s="124">
        <f ca="1">SIGN(S386-P[[#This Row],[MARs]])</f>
        <v>1</v>
      </c>
    </row>
    <row r="386" spans="1:25" x14ac:dyDescent="0.2">
      <c r="A386" s="125">
        <f t="shared" ca="1" si="56"/>
        <v>43478</v>
      </c>
      <c r="B386" s="125">
        <f t="shared" ca="1" si="49"/>
        <v>43478.229166666664</v>
      </c>
      <c r="C386" s="127">
        <f t="shared" ca="1" si="50"/>
        <v>43478.275698708057</v>
      </c>
      <c r="D386" s="127">
        <f t="shared" ca="1" si="51"/>
        <v>43477.74916567425</v>
      </c>
      <c r="E386" s="189">
        <f ca="1">P[[#This Row],[SunRise]]-TimeZone/24</f>
        <v>43478.046532041393</v>
      </c>
      <c r="F386" s="190">
        <f t="shared" ca="1" si="52"/>
        <v>268.41934655474012</v>
      </c>
      <c r="G386" s="190">
        <f t="shared" ca="1" si="53"/>
        <v>344.38547065118718</v>
      </c>
      <c r="H386" s="191">
        <f t="shared" ca="1" si="54"/>
        <v>43478.046532041393</v>
      </c>
      <c r="I386" s="124" t="str">
        <f ca="1">naks(P[[#This Row],[Moon]])</f>
        <v>Uttara Bhadrapada</v>
      </c>
      <c r="J386" s="127">
        <f ca="1">(C387-P[[#This Row],[SunRise]])/(G387-P[[#This Row],[Moon]])*(13.3333333333333-MOD(P[[#This Row],[Moon]],13.333333333333))+P[[#This Row],[SunRise]]</f>
        <v>43478.46044388014</v>
      </c>
      <c r="K386" s="124" t="str">
        <f ca="1">IF(P[[#This Row],[Tithi]]&gt;15,"K","S")&amp;ROUNDUP(MOD(P[[#This Row],[Tithi]],15),0)&amp;" ("&amp;ROUND(P[[#This Row],[Tithi]],2)&amp;")"</f>
        <v>S7 (6.33)</v>
      </c>
      <c r="L386" s="124">
        <f ca="1">IF(AND(P[[#This Row],[Tithi]]&lt;28.5,P[[#This Row],[Tithi]]&gt;0.49999),MOD((P[[#This Row],[Tithi]]-0.5)*2,7),MOD((P[[#This Row],[Tithi]]+30-28.5),30)*2+7)</f>
        <v>4.6611999999999991</v>
      </c>
      <c r="M386" s="124" t="str">
        <f ca="1">CHOOSE(ROUNDUP(P[[#This Row],[Karana1]],0),"Bhava","Baalava","Kaulava","Taitula","Garija","Vanija","Vishti","Shakuni","Chatushapda","Naaga","Kimstugna")</f>
        <v>Garija</v>
      </c>
      <c r="N38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(18.97)</v>
      </c>
      <c r="O386" s="124">
        <f ca="1">IF(AND(P[[#This Row],[Tithi]]&lt;28.5,P[[#This Row],[Tithi]]&gt;0.49999),MOD((P[[#This Row],[Tithi]]-0.5)*2,7),MOD((P[[#This Row],[Tithi]]+30-28.5),30)*2+7)</f>
        <v>4.6611999999999991</v>
      </c>
      <c r="P386" s="124">
        <f ca="1">ROUNDUP(MOD(360+P[[#This Row],[Moon]]-P[[#This Row],[Sun]],360)/12,4)</f>
        <v>6.3305999999999996</v>
      </c>
      <c r="Q386" s="124">
        <f t="shared" ca="1" si="55"/>
        <v>18.970000000000002</v>
      </c>
      <c r="R386" s="124" t="str">
        <f ca="1">SIGN(S387-P[[#This Row],[MARs]])*INT(P[[#This Row],[MARs]]/30+1)&amp;"Ma,"&amp;SIGN(T387-P[[#This Row],[Merc]])*INT(P[[#This Row],[Merc]]/30+1)&amp;"Me,"&amp;SIGN(U387-P[[#This Row],[Jup]])*INT(P[[#This Row],[Jup]]/30+1)&amp;"Ju,"&amp;SIGN(V387-P[[#This Row],[Venu]])*INT(P[[#This Row],[Venu]]/30+1)&amp;"Ve,"&amp;SIGN(W387-P[[#This Row],[Sat]])*INT(P[[#This Row],[Sat]]/30+1)&amp;"Sa,"&amp;INT(P[[#This Row],[Rah]]/30+1)&amp;"Ra"</f>
        <v>12Ma,9Me,8Ju,8Ve,9Sa,4Ra</v>
      </c>
      <c r="S386" s="124">
        <f ca="1">Planet(P[[#This Row],[GMT Sun Rise]],4)</f>
        <v>343.94042578803823</v>
      </c>
      <c r="T386" s="124">
        <f ca="1">Planet(P[[#This Row],[GMT Sun Rise]],2)</f>
        <v>257.93375309991796</v>
      </c>
      <c r="U386" s="124">
        <f ca="1">Planet(P[[#This Row],[GMT Sun Rise]],5)</f>
        <v>230.11563366669807</v>
      </c>
      <c r="V386" s="124">
        <f ca="1">Planet(P[[#This Row],[GMT Sun Rise]],3)</f>
        <v>221.70131797903798</v>
      </c>
      <c r="W386" s="124">
        <f ca="1">Planet(P[[#This Row],[GMT Sun Rise]],6)</f>
        <v>258.67806779268614</v>
      </c>
      <c r="X386" s="124">
        <f ca="1">Planet(P[[#This Row],[GMT Sun Rise]],10)</f>
        <v>92.810986324886827</v>
      </c>
      <c r="Y386" s="124">
        <f ca="1">SIGN(S387-P[[#This Row],[MARs]])</f>
        <v>1</v>
      </c>
    </row>
    <row r="387" spans="1:25" x14ac:dyDescent="0.2">
      <c r="A387" s="125">
        <f t="shared" ca="1" si="56"/>
        <v>43479</v>
      </c>
      <c r="B387" s="125">
        <f t="shared" ref="B387:B450" ca="1" si="57">A387+TimeZone/24</f>
        <v>43479.229166666664</v>
      </c>
      <c r="C387" s="127">
        <f t="shared" ref="C387:C450" ca="1" si="58">sunrise(Lat,Long,B387)+TimeZone/24+0.00103009259259259</f>
        <v>43479.275830473904</v>
      </c>
      <c r="D387" s="127">
        <f t="shared" ref="D387:D450" ca="1" si="59">sunset(Lat,Long,B387)+TimeZone/24-0.000277777777777778</f>
        <v>43478.749556203882</v>
      </c>
      <c r="E387" s="189">
        <f ca="1">P[[#This Row],[SunRise]]-TimeZone/24</f>
        <v>43479.046663807239</v>
      </c>
      <c r="F387" s="190">
        <f t="shared" ref="F387:F450" ca="1" si="60">Planet(E387,0)</f>
        <v>269.43831274521568</v>
      </c>
      <c r="G387" s="190">
        <f t="shared" ref="G387:G450" ca="1" si="61">Planet(E387,1)</f>
        <v>356.73489539359093</v>
      </c>
      <c r="H387" s="191">
        <f t="shared" ref="H387:H450" ca="1" si="62">E387</f>
        <v>43479.046663807239</v>
      </c>
      <c r="I387" s="124" t="str">
        <f ca="1">naks(P[[#This Row],[Moon]])</f>
        <v>Revati</v>
      </c>
      <c r="J387" s="127">
        <f ca="1">(C388-P[[#This Row],[SunRise]])/(G388-P[[#This Row],[Moon]])*(13.3333333333333-MOD(P[[#This Row],[Moon]],13.333333333333))+P[[#This Row],[SunRise]]</f>
        <v>43479.266428769704</v>
      </c>
      <c r="K387" s="124" t="str">
        <f ca="1">IF(P[[#This Row],[Tithi]]&gt;15,"K","S")&amp;ROUNDUP(MOD(P[[#This Row],[Tithi]],15),0)&amp;" ("&amp;ROUND(P[[#This Row],[Tithi]],2)&amp;")"</f>
        <v>S8 (7.27)</v>
      </c>
      <c r="L387" s="124">
        <f ca="1">IF(AND(P[[#This Row],[Tithi]]&lt;28.5,P[[#This Row],[Tithi]]&gt;0.49999),MOD((P[[#This Row],[Tithi]]-0.5)*2,7),MOD((P[[#This Row],[Tithi]]+30-28.5),30)*2+7)</f>
        <v>6.5495999999999999</v>
      </c>
      <c r="M387" s="124" t="str">
        <f ca="1">CHOOSE(ROUNDUP(P[[#This Row],[Karana1]],0),"Bhava","Baalava","Kaulava","Taitula","Garija","Vanija","Vishti","Shakuni","Chatushapda","Naaga","Kimstugna")</f>
        <v>Vishti</v>
      </c>
      <c r="N38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(19.97)</v>
      </c>
      <c r="O387" s="124">
        <f ca="1">IF(AND(P[[#This Row],[Tithi]]&lt;28.5,P[[#This Row],[Tithi]]&gt;0.49999),MOD((P[[#This Row],[Tithi]]-0.5)*2,7),MOD((P[[#This Row],[Tithi]]+30-28.5),30)*2+7)</f>
        <v>6.5495999999999999</v>
      </c>
      <c r="P387" s="124">
        <f ca="1">ROUNDUP(MOD(360+P[[#This Row],[Moon]]-P[[#This Row],[Sun]],360)/12,4)</f>
        <v>7.2747999999999999</v>
      </c>
      <c r="Q387" s="124">
        <f t="shared" ref="Q387:Q450" ca="1" si="63">ROUNDUP(MOD(F387+G387,360)/13.333333333,2)</f>
        <v>19.970000000000002</v>
      </c>
      <c r="R387" s="124" t="str">
        <f ca="1">SIGN(S388-P[[#This Row],[MARs]])*INT(P[[#This Row],[MARs]]/30+1)&amp;"Ma,"&amp;SIGN(T388-P[[#This Row],[Merc]])*INT(P[[#This Row],[Merc]]/30+1)&amp;"Me,"&amp;SIGN(U388-P[[#This Row],[Jup]])*INT(P[[#This Row],[Jup]]/30+1)&amp;"Ju,"&amp;SIGN(V388-P[[#This Row],[Venu]])*INT(P[[#This Row],[Venu]]/30+1)&amp;"Ve,"&amp;SIGN(W388-P[[#This Row],[Sat]])*INT(P[[#This Row],[Sat]]/30+1)&amp;"Sa,"&amp;INT(P[[#This Row],[Rah]]/30+1)&amp;"Ra"</f>
        <v>12Ma,9Me,8Ju,8Ve,9Sa,4Ra</v>
      </c>
      <c r="S387" s="124">
        <f ca="1">Planet(P[[#This Row],[GMT Sun Rise]],4)</f>
        <v>344.61698911904904</v>
      </c>
      <c r="T387" s="124">
        <f ca="1">Planet(P[[#This Row],[GMT Sun Rise]],2)</f>
        <v>259.49394489731355</v>
      </c>
      <c r="U387" s="124">
        <f ca="1">Planet(P[[#This Row],[GMT Sun Rise]],5)</f>
        <v>230.31359324156477</v>
      </c>
      <c r="V387" s="124">
        <f ca="1">Planet(P[[#This Row],[GMT Sun Rise]],3)</f>
        <v>222.76312585591407</v>
      </c>
      <c r="W387" s="124">
        <f ca="1">Planet(P[[#This Row],[GMT Sun Rise]],6)</f>
        <v>258.79503174246361</v>
      </c>
      <c r="X387" s="124">
        <f ca="1">Planet(P[[#This Row],[GMT Sun Rise]],10)</f>
        <v>92.757987345422478</v>
      </c>
      <c r="Y387" s="124">
        <f ca="1">SIGN(S388-P[[#This Row],[MARs]])</f>
        <v>1</v>
      </c>
    </row>
    <row r="388" spans="1:25" x14ac:dyDescent="0.2">
      <c r="A388" s="125">
        <f t="shared" ca="1" si="56"/>
        <v>43480</v>
      </c>
      <c r="B388" s="125">
        <f t="shared" ca="1" si="57"/>
        <v>43480.229166666664</v>
      </c>
      <c r="C388" s="127">
        <f t="shared" ca="1" si="58"/>
        <v>43480.275949842449</v>
      </c>
      <c r="D388" s="127">
        <f t="shared" ca="1" si="59"/>
        <v>43479.749944031282</v>
      </c>
      <c r="E388" s="189">
        <f ca="1">P[[#This Row],[SunRise]]-TimeZone/24</f>
        <v>43480.046783175785</v>
      </c>
      <c r="F388" s="190">
        <f t="shared" ca="1" si="60"/>
        <v>270.45708140966968</v>
      </c>
      <c r="G388" s="190">
        <f t="shared" ca="1" si="61"/>
        <v>9.4048487860614891</v>
      </c>
      <c r="H388" s="191">
        <f t="shared" ca="1" si="62"/>
        <v>43480.046783175785</v>
      </c>
      <c r="I388" s="124" t="str">
        <f ca="1">naks(P[[#This Row],[Moon]])</f>
        <v>Aswini</v>
      </c>
      <c r="J388" s="127">
        <f ca="1">(C389-P[[#This Row],[SunRise]])/(G389-P[[#This Row],[Moon]])*(13.3333333333333-MOD(P[[#This Row],[Moon]],13.333333333333))+P[[#This Row],[SunRise]]</f>
        <v>43480.576864149436</v>
      </c>
      <c r="K388" s="124" t="str">
        <f ca="1">IF(P[[#This Row],[Tithi]]&gt;15,"K","S")&amp;ROUNDUP(MOD(P[[#This Row],[Tithi]],15),0)&amp;" ("&amp;ROUND(P[[#This Row],[Tithi]],2)&amp;")"</f>
        <v>S9 (8.25)</v>
      </c>
      <c r="L388" s="124">
        <f ca="1">IF(AND(P[[#This Row],[Tithi]]&lt;28.5,P[[#This Row],[Tithi]]&gt;0.49999),MOD((P[[#This Row],[Tithi]]-0.5)*2,7),MOD((P[[#This Row],[Tithi]]+30-28.5),30)*2+7)</f>
        <v>1.4913999999999987</v>
      </c>
      <c r="M388" s="124" t="str">
        <f ca="1">CHOOSE(ROUNDUP(P[[#This Row],[Karana1]],0),"Bhava","Baalava","Kaulava","Taitula","Garija","Vanija","Vishti","Shakuni","Chatushapda","Naaga","Kimstugna")</f>
        <v>Baalava</v>
      </c>
      <c r="N38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(20.99)</v>
      </c>
      <c r="O388" s="124">
        <f ca="1">IF(AND(P[[#This Row],[Tithi]]&lt;28.5,P[[#This Row],[Tithi]]&gt;0.49999),MOD((P[[#This Row],[Tithi]]-0.5)*2,7),MOD((P[[#This Row],[Tithi]]+30-28.5),30)*2+7)</f>
        <v>1.4913999999999987</v>
      </c>
      <c r="P388" s="124">
        <f ca="1">ROUNDUP(MOD(360+P[[#This Row],[Moon]]-P[[#This Row],[Sun]],360)/12,4)</f>
        <v>8.2456999999999994</v>
      </c>
      <c r="Q388" s="124">
        <f t="shared" ca="1" si="63"/>
        <v>20.990000000000002</v>
      </c>
      <c r="R388" s="124" t="str">
        <f ca="1">SIGN(S389-P[[#This Row],[MARs]])*INT(P[[#This Row],[MARs]]/30+1)&amp;"Ma,"&amp;SIGN(T389-P[[#This Row],[Merc]])*INT(P[[#This Row],[Merc]]/30+1)&amp;"Me,"&amp;SIGN(U389-P[[#This Row],[Jup]])*INT(P[[#This Row],[Jup]]/30+1)&amp;"Ju,"&amp;SIGN(V389-P[[#This Row],[Venu]])*INT(P[[#This Row],[Venu]]/30+1)&amp;"Ve,"&amp;SIGN(W389-P[[#This Row],[Sat]])*INT(P[[#This Row],[Sat]]/30+1)&amp;"Sa,"&amp;INT(P[[#This Row],[Rah]]/30+1)&amp;"Ra"</f>
        <v>12Ma,9Me,8Ju,8Ve,9Sa,4Ra</v>
      </c>
      <c r="S388" s="124">
        <f ca="1">Planet(P[[#This Row],[GMT Sun Rise]],4)</f>
        <v>345.29373105449514</v>
      </c>
      <c r="T388" s="124">
        <f ca="1">Planet(P[[#This Row],[GMT Sun Rise]],2)</f>
        <v>261.06189681607094</v>
      </c>
      <c r="U388" s="124">
        <f ca="1">Planet(P[[#This Row],[GMT Sun Rise]],5)</f>
        <v>230.5104077008491</v>
      </c>
      <c r="V388" s="124">
        <f ca="1">Planet(P[[#This Row],[GMT Sun Rise]],3)</f>
        <v>223.82990421594468</v>
      </c>
      <c r="W388" s="124">
        <f ca="1">Planet(P[[#This Row],[GMT Sun Rise]],6)</f>
        <v>258.91176039434225</v>
      </c>
      <c r="X388" s="124">
        <f ca="1">Planet(P[[#This Row],[GMT Sun Rise]],10)</f>
        <v>92.704989022946762</v>
      </c>
      <c r="Y388" s="124">
        <f ca="1">SIGN(S389-P[[#This Row],[MARs]])</f>
        <v>1</v>
      </c>
    </row>
    <row r="389" spans="1:25" x14ac:dyDescent="0.2">
      <c r="A389" s="125">
        <f t="shared" ca="1" si="56"/>
        <v>43481</v>
      </c>
      <c r="B389" s="125">
        <f t="shared" ca="1" si="57"/>
        <v>43481.229166666664</v>
      </c>
      <c r="C389" s="127">
        <f t="shared" ca="1" si="58"/>
        <v>43481.276056494717</v>
      </c>
      <c r="D389" s="127">
        <f t="shared" ca="1" si="59"/>
        <v>43480.750328838869</v>
      </c>
      <c r="E389" s="189">
        <f ca="1">P[[#This Row],[SunRise]]-TimeZone/24</f>
        <v>43481.046889828052</v>
      </c>
      <c r="F389" s="190">
        <f t="shared" ca="1" si="60"/>
        <v>271.47564053530726</v>
      </c>
      <c r="G389" s="190">
        <f t="shared" ca="1" si="61"/>
        <v>22.461401558276041</v>
      </c>
      <c r="H389" s="191">
        <f t="shared" ca="1" si="62"/>
        <v>43481.046889828052</v>
      </c>
      <c r="I389" s="124" t="str">
        <f ca="1">naks(P[[#This Row],[Moon]])</f>
        <v>Bharani</v>
      </c>
      <c r="J389" s="127">
        <f ca="1">(C390-P[[#This Row],[SunRise]])/(G390-P[[#This Row],[Moon]])*(13.3333333333333-MOD(P[[#This Row],[Moon]],13.333333333333))+P[[#This Row],[SunRise]]</f>
        <v>43481.587754290958</v>
      </c>
      <c r="K389" s="124" t="str">
        <f ca="1">IF(P[[#This Row],[Tithi]]&gt;15,"K","S")&amp;ROUNDUP(MOD(P[[#This Row],[Tithi]],15),0)&amp;" ("&amp;ROUND(P[[#This Row],[Tithi]],2)&amp;")"</f>
        <v>S10 (9.25)</v>
      </c>
      <c r="L389" s="124">
        <f ca="1">IF(AND(P[[#This Row],[Tithi]]&lt;28.5,P[[#This Row],[Tithi]]&gt;0.49999),MOD((P[[#This Row],[Tithi]]-0.5)*2,7),MOD((P[[#This Row],[Tithi]]+30-28.5),30)*2+7)</f>
        <v>3.497799999999998</v>
      </c>
      <c r="M389" s="124" t="str">
        <f ca="1">CHOOSE(ROUNDUP(P[[#This Row],[Karana1]],0),"Bhava","Baalava","Kaulava","Taitula","Garija","Vanija","Vishti","Shakuni","Chatushapda","Naaga","Kimstugna")</f>
        <v>Taitula</v>
      </c>
      <c r="N38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(22.05)</v>
      </c>
      <c r="O389" s="124">
        <f ca="1">IF(AND(P[[#This Row],[Tithi]]&lt;28.5,P[[#This Row],[Tithi]]&gt;0.49999),MOD((P[[#This Row],[Tithi]]-0.5)*2,7),MOD((P[[#This Row],[Tithi]]+30-28.5),30)*2+7)</f>
        <v>3.497799999999998</v>
      </c>
      <c r="P389" s="124">
        <f ca="1">ROUNDUP(MOD(360+P[[#This Row],[Moon]]-P[[#This Row],[Sun]],360)/12,4)</f>
        <v>9.248899999999999</v>
      </c>
      <c r="Q389" s="124">
        <f t="shared" ca="1" si="63"/>
        <v>22.05</v>
      </c>
      <c r="R389" s="124" t="str">
        <f ca="1">SIGN(S390-P[[#This Row],[MARs]])*INT(P[[#This Row],[MARs]]/30+1)&amp;"Ma,"&amp;SIGN(T390-P[[#This Row],[Merc]])*INT(P[[#This Row],[Merc]]/30+1)&amp;"Me,"&amp;SIGN(U390-P[[#This Row],[Jup]])*INT(P[[#This Row],[Jup]]/30+1)&amp;"Ju,"&amp;SIGN(V390-P[[#This Row],[Venu]])*INT(P[[#This Row],[Venu]]/30+1)&amp;"Ve,"&amp;SIGN(W390-P[[#This Row],[Sat]])*INT(P[[#This Row],[Sat]]/30+1)&amp;"Sa,"&amp;INT(P[[#This Row],[Rah]]/30+1)&amp;"Ra"</f>
        <v>12Ma,9Me,8Ju,8Ve,9Sa,4Ra</v>
      </c>
      <c r="S389" s="124">
        <f ca="1">Planet(P[[#This Row],[GMT Sun Rise]],4)</f>
        <v>345.97062202660447</v>
      </c>
      <c r="T389" s="124">
        <f ca="1">Planet(P[[#This Row],[GMT Sun Rise]],2)</f>
        <v>262.6377858792199</v>
      </c>
      <c r="U389" s="124">
        <f ca="1">Planet(P[[#This Row],[GMT Sun Rise]],5)</f>
        <v>230.70605260388609</v>
      </c>
      <c r="V389" s="124">
        <f ca="1">Planet(P[[#This Row],[GMT Sun Rise]],3)</f>
        <v>224.90149419040853</v>
      </c>
      <c r="W389" s="124">
        <f ca="1">Planet(P[[#This Row],[GMT Sun Rise]],6)</f>
        <v>259.02823468949566</v>
      </c>
      <c r="X389" s="124">
        <f ca="1">Planet(P[[#This Row],[GMT Sun Rise]],10)</f>
        <v>92.651991374326755</v>
      </c>
      <c r="Y389" s="124">
        <f ca="1">SIGN(S390-P[[#This Row],[MARs]])</f>
        <v>1</v>
      </c>
    </row>
    <row r="390" spans="1:25" x14ac:dyDescent="0.2">
      <c r="A390" s="125">
        <f t="shared" ca="1" si="56"/>
        <v>43482</v>
      </c>
      <c r="B390" s="125">
        <f t="shared" ca="1" si="57"/>
        <v>43482.229166666664</v>
      </c>
      <c r="C390" s="127">
        <f t="shared" ca="1" si="58"/>
        <v>43482.276150272846</v>
      </c>
      <c r="D390" s="127">
        <f t="shared" ca="1" si="59"/>
        <v>43481.750710467852</v>
      </c>
      <c r="E390" s="189">
        <f ca="1">P[[#This Row],[SunRise]]-TimeZone/24</f>
        <v>43482.046983606182</v>
      </c>
      <c r="F390" s="190">
        <f t="shared" ca="1" si="60"/>
        <v>272.49398145897436</v>
      </c>
      <c r="G390" s="190">
        <f t="shared" ca="1" si="61"/>
        <v>35.954148446386633</v>
      </c>
      <c r="H390" s="191">
        <f t="shared" ca="1" si="62"/>
        <v>43482.046983606182</v>
      </c>
      <c r="I390" s="124" t="str">
        <f ca="1">naks(P[[#This Row],[Moon]])</f>
        <v>Krittika</v>
      </c>
      <c r="J390" s="127">
        <f ca="1">(C391-P[[#This Row],[SunRise]])/(G391-P[[#This Row],[Moon]])*(13.3333333333333-MOD(P[[#This Row],[Moon]],13.333333333333))+P[[#This Row],[SunRise]]</f>
        <v>43482.56616885159</v>
      </c>
      <c r="K390" s="124" t="str">
        <f ca="1">IF(P[[#This Row],[Tithi]]&gt;15,"K","S")&amp;ROUNDUP(MOD(P[[#This Row],[Tithi]],15),0)&amp;" ("&amp;ROUND(P[[#This Row],[Tithi]],2)&amp;")"</f>
        <v>S11 (10.29)</v>
      </c>
      <c r="L390" s="124">
        <f ca="1">IF(AND(P[[#This Row],[Tithi]]&lt;28.5,P[[#This Row],[Tithi]]&gt;0.49999),MOD((P[[#This Row],[Tithi]]-0.5)*2,7),MOD((P[[#This Row],[Tithi]]+30-28.5),30)*2+7)</f>
        <v>5.5767999999999986</v>
      </c>
      <c r="M390" s="124" t="str">
        <f ca="1">CHOOSE(ROUNDUP(P[[#This Row],[Karana1]],0),"Bhava","Baalava","Kaulava","Taitula","Garija","Vanija","Vishti","Shakuni","Chatushapda","Naaga","Kimstugna")</f>
        <v>Vanija</v>
      </c>
      <c r="N39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(23.14)</v>
      </c>
      <c r="O390" s="124">
        <f ca="1">IF(AND(P[[#This Row],[Tithi]]&lt;28.5,P[[#This Row],[Tithi]]&gt;0.49999),MOD((P[[#This Row],[Tithi]]-0.5)*2,7),MOD((P[[#This Row],[Tithi]]+30-28.5),30)*2+7)</f>
        <v>5.5767999999999986</v>
      </c>
      <c r="P390" s="124">
        <f ca="1">ROUNDUP(MOD(360+P[[#This Row],[Moon]]-P[[#This Row],[Sun]],360)/12,4)</f>
        <v>10.288399999999999</v>
      </c>
      <c r="Q390" s="124">
        <f t="shared" ca="1" si="63"/>
        <v>23.14</v>
      </c>
      <c r="R390" s="124" t="str">
        <f ca="1">SIGN(S391-P[[#This Row],[MARs]])*INT(P[[#This Row],[MARs]]/30+1)&amp;"Ma,"&amp;SIGN(T391-P[[#This Row],[Merc]])*INT(P[[#This Row],[Merc]]/30+1)&amp;"Me,"&amp;SIGN(U391-P[[#This Row],[Jup]])*INT(P[[#This Row],[Jup]]/30+1)&amp;"Ju,"&amp;SIGN(V391-P[[#This Row],[Venu]])*INT(P[[#This Row],[Venu]]/30+1)&amp;"Ve,"&amp;SIGN(W391-P[[#This Row],[Sat]])*INT(P[[#This Row],[Sat]]/30+1)&amp;"Sa,"&amp;INT(P[[#This Row],[Rah]]/30+1)&amp;"Ra"</f>
        <v>12Ma,9Me,8Ju,8Ve,9Sa,4Ra</v>
      </c>
      <c r="S390" s="124">
        <f ca="1">Planet(P[[#This Row],[GMT Sun Rise]],4)</f>
        <v>346.64763314806487</v>
      </c>
      <c r="T390" s="124">
        <f ca="1">Planet(P[[#This Row],[GMT Sun Rise]],2)</f>
        <v>264.22181162469462</v>
      </c>
      <c r="U390" s="124">
        <f ca="1">Planet(P[[#This Row],[GMT Sun Rise]],5)</f>
        <v>230.90050408991013</v>
      </c>
      <c r="V390" s="124">
        <f ca="1">Planet(P[[#This Row],[GMT Sun Rise]],3)</f>
        <v>225.9777468927411</v>
      </c>
      <c r="W390" s="124">
        <f ca="1">Planet(P[[#This Row],[GMT Sun Rise]],6)</f>
        <v>259.14443598861521</v>
      </c>
      <c r="X390" s="124">
        <f ca="1">Planet(P[[#This Row],[GMT Sun Rise]],10)</f>
        <v>92.598994407913082</v>
      </c>
      <c r="Y390" s="124">
        <f ca="1">SIGN(S391-P[[#This Row],[MARs]])</f>
        <v>1</v>
      </c>
    </row>
    <row r="391" spans="1:25" x14ac:dyDescent="0.2">
      <c r="A391" s="125">
        <f t="shared" ca="1" si="56"/>
        <v>43483</v>
      </c>
      <c r="B391" s="125">
        <f t="shared" ca="1" si="57"/>
        <v>43483.229166666664</v>
      </c>
      <c r="C391" s="127">
        <f t="shared" ca="1" si="58"/>
        <v>43483.276231335163</v>
      </c>
      <c r="D391" s="127">
        <f t="shared" ca="1" si="59"/>
        <v>43482.751088599718</v>
      </c>
      <c r="E391" s="189">
        <f ca="1">P[[#This Row],[SunRise]]-TimeZone/24</f>
        <v>43483.047064668499</v>
      </c>
      <c r="F391" s="190">
        <f t="shared" ca="1" si="60"/>
        <v>273.51209970335253</v>
      </c>
      <c r="G391" s="190">
        <f t="shared" ca="1" si="61"/>
        <v>49.905597823140994</v>
      </c>
      <c r="H391" s="191">
        <f t="shared" ca="1" si="62"/>
        <v>43483.047064668499</v>
      </c>
      <c r="I391" s="124" t="str">
        <f ca="1">naks(P[[#This Row],[Moon]])</f>
        <v>Rohini</v>
      </c>
      <c r="J391" s="127">
        <f ca="1">(C392-P[[#This Row],[SunRise]])/(G392-P[[#This Row],[Moon]])*(13.3333333333333-MOD(P[[#This Row],[Moon]],13.333333333333))+P[[#This Row],[SunRise]]</f>
        <v>43483.514369285716</v>
      </c>
      <c r="K391" s="124" t="str">
        <f ca="1">IF(P[[#This Row],[Tithi]]&gt;15,"K","S")&amp;ROUNDUP(MOD(P[[#This Row],[Tithi]],15),0)&amp;" ("&amp;ROUND(P[[#This Row],[Tithi]],2)&amp;")"</f>
        <v>S12 (11.37)</v>
      </c>
      <c r="L391" s="124">
        <f ca="1">IF(AND(P[[#This Row],[Tithi]]&lt;28.5,P[[#This Row],[Tithi]]&gt;0.49999),MOD((P[[#This Row],[Tithi]]-0.5)*2,7),MOD((P[[#This Row],[Tithi]]+30-28.5),30)*2+7)</f>
        <v>0.73239999999999839</v>
      </c>
      <c r="M391" s="124" t="str">
        <f ca="1">CHOOSE(ROUNDUP(P[[#This Row],[Karana1]],0),"Bhava","Baalava","Kaulava","Taitula","Garija","Vanija","Vishti","Shakuni","Chatushapda","Naaga","Kimstugna")</f>
        <v>Bhava</v>
      </c>
      <c r="N39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(24.26)</v>
      </c>
      <c r="O391" s="124">
        <f ca="1">IF(AND(P[[#This Row],[Tithi]]&lt;28.5,P[[#This Row],[Tithi]]&gt;0.49999),MOD((P[[#This Row],[Tithi]]-0.5)*2,7),MOD((P[[#This Row],[Tithi]]+30-28.5),30)*2+7)</f>
        <v>0.73239999999999839</v>
      </c>
      <c r="P391" s="124">
        <f ca="1">ROUNDUP(MOD(360+P[[#This Row],[Moon]]-P[[#This Row],[Sun]],360)/12,4)</f>
        <v>11.366199999999999</v>
      </c>
      <c r="Q391" s="124">
        <f t="shared" ca="1" si="63"/>
        <v>24.26</v>
      </c>
      <c r="R391" s="124" t="str">
        <f ca="1">SIGN(S392-P[[#This Row],[MARs]])*INT(P[[#This Row],[MARs]]/30+1)&amp;"Ma,"&amp;SIGN(T392-P[[#This Row],[Merc]])*INT(P[[#This Row],[Merc]]/30+1)&amp;"Me,"&amp;SIGN(U392-P[[#This Row],[Jup]])*INT(P[[#This Row],[Jup]]/30+1)&amp;"Ju,"&amp;SIGN(V392-P[[#This Row],[Venu]])*INT(P[[#This Row],[Venu]]/30+1)&amp;"Ve,"&amp;SIGN(W392-P[[#This Row],[Sat]])*INT(P[[#This Row],[Sat]]/30+1)&amp;"Sa,"&amp;INT(P[[#This Row],[Rah]]/30+1)&amp;"Ra"</f>
        <v>12Ma,9Me,8Ju,8Ve,9Sa,4Ra</v>
      </c>
      <c r="S391" s="124">
        <f ca="1">Planet(P[[#This Row],[GMT Sun Rise]],4)</f>
        <v>347.32473687194317</v>
      </c>
      <c r="T391" s="124">
        <f ca="1">Planet(P[[#This Row],[GMT Sun Rise]],2)</f>
        <v>265.81419333289256</v>
      </c>
      <c r="U391" s="124">
        <f ca="1">Planet(P[[#This Row],[GMT Sun Rise]],5)</f>
        <v>231.09373892040441</v>
      </c>
      <c r="V391" s="124">
        <f ca="1">Planet(P[[#This Row],[GMT Sun Rise]],3)</f>
        <v>227.05852324294165</v>
      </c>
      <c r="W391" s="124">
        <f ca="1">Planet(P[[#This Row],[GMT Sun Rise]],6)</f>
        <v>259.26034614021523</v>
      </c>
      <c r="X391" s="124">
        <f ca="1">Planet(P[[#This Row],[GMT Sun Rise]],10)</f>
        <v>92.545998115355147</v>
      </c>
      <c r="Y391" s="124">
        <f ca="1">SIGN(S392-P[[#This Row],[MARs]])</f>
        <v>1</v>
      </c>
    </row>
    <row r="392" spans="1:25" x14ac:dyDescent="0.2">
      <c r="A392" s="125">
        <f t="shared" ca="1" si="56"/>
        <v>43484</v>
      </c>
      <c r="B392" s="125">
        <f t="shared" ca="1" si="57"/>
        <v>43484.229166666664</v>
      </c>
      <c r="C392" s="127">
        <f t="shared" ca="1" si="58"/>
        <v>43484.276299364086</v>
      </c>
      <c r="D392" s="127">
        <f t="shared" ca="1" si="59"/>
        <v>43483.751462916887</v>
      </c>
      <c r="E392" s="189">
        <f ca="1">P[[#This Row],[SunRise]]-TimeZone/24</f>
        <v>43484.047132697422</v>
      </c>
      <c r="F392" s="190">
        <f t="shared" ca="1" si="60"/>
        <v>274.52999487356186</v>
      </c>
      <c r="G392" s="190">
        <f t="shared" ca="1" si="61"/>
        <v>64.300484011330113</v>
      </c>
      <c r="H392" s="191">
        <f t="shared" ca="1" si="62"/>
        <v>43484.047132697422</v>
      </c>
      <c r="I392" s="124" t="str">
        <f ca="1">naks(P[[#This Row],[Moon]])</f>
        <v>Mrigashira</v>
      </c>
      <c r="J392" s="127">
        <f ca="1">(C393-P[[#This Row],[SunRise]])/(G393-P[[#This Row],[Moon]])*(13.3333333333333-MOD(P[[#This Row],[Moon]],13.333333333333))+P[[#This Row],[SunRise]]</f>
        <v>43484.436426837805</v>
      </c>
      <c r="K392" s="124" t="str">
        <f ca="1">IF(P[[#This Row],[Tithi]]&gt;15,"K","S")&amp;ROUNDUP(MOD(P[[#This Row],[Tithi]],15),0)&amp;" ("&amp;ROUND(P[[#This Row],[Tithi]],2)&amp;")"</f>
        <v>S13 (12.48)</v>
      </c>
      <c r="L392" s="124">
        <f ca="1">IF(AND(P[[#This Row],[Tithi]]&lt;28.5,P[[#This Row],[Tithi]]&gt;0.49999),MOD((P[[#This Row],[Tithi]]-0.5)*2,7),MOD((P[[#This Row],[Tithi]]+30-28.5),30)*2+7)</f>
        <v>2.9618000000000002</v>
      </c>
      <c r="M392" s="124" t="str">
        <f ca="1">CHOOSE(ROUNDUP(P[[#This Row],[Karana1]],0),"Bhava","Baalava","Kaulava","Taitula","Garija","Vanija","Vishti","Shakuni","Chatushapda","Naaga","Kimstugna")</f>
        <v>Kaulava</v>
      </c>
      <c r="N39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(25.42)</v>
      </c>
      <c r="O392" s="124">
        <f ca="1">IF(AND(P[[#This Row],[Tithi]]&lt;28.5,P[[#This Row],[Tithi]]&gt;0.49999),MOD((P[[#This Row],[Tithi]]-0.5)*2,7),MOD((P[[#This Row],[Tithi]]+30-28.5),30)*2+7)</f>
        <v>2.9618000000000002</v>
      </c>
      <c r="P392" s="124">
        <f ca="1">ROUNDUP(MOD(360+P[[#This Row],[Moon]]-P[[#This Row],[Sun]],360)/12,4)</f>
        <v>12.4809</v>
      </c>
      <c r="Q392" s="124">
        <f t="shared" ca="1" si="63"/>
        <v>25.42</v>
      </c>
      <c r="R392" s="124" t="str">
        <f ca="1">SIGN(S393-P[[#This Row],[MARs]])*INT(P[[#This Row],[MARs]]/30+1)&amp;"Ma,"&amp;SIGN(T393-P[[#This Row],[Merc]])*INT(P[[#This Row],[Merc]]/30+1)&amp;"Me,"&amp;SIGN(U393-P[[#This Row],[Jup]])*INT(P[[#This Row],[Jup]]/30+1)&amp;"Ju,"&amp;SIGN(V393-P[[#This Row],[Venu]])*INT(P[[#This Row],[Venu]]/30+1)&amp;"Ve,"&amp;SIGN(W393-P[[#This Row],[Sat]])*INT(P[[#This Row],[Sat]]/30+1)&amp;"Sa,"&amp;INT(P[[#This Row],[Rah]]/30+1)&amp;"Ra"</f>
        <v>12Ma,9Me,8Ju,8Ve,9Sa,4Ra</v>
      </c>
      <c r="S392" s="124">
        <f ca="1">Planet(P[[#This Row],[GMT Sun Rise]],4)</f>
        <v>348.0019073304843</v>
      </c>
      <c r="T392" s="124">
        <f ca="1">Planet(P[[#This Row],[GMT Sun Rise]],2)</f>
        <v>267.41516584844993</v>
      </c>
      <c r="U392" s="124">
        <f ca="1">Planet(P[[#This Row],[GMT Sun Rise]],5)</f>
        <v>231.28573427406923</v>
      </c>
      <c r="V392" s="124">
        <f ca="1">Planet(P[[#This Row],[GMT Sun Rise]],3)</f>
        <v>228.14369236977367</v>
      </c>
      <c r="W392" s="124">
        <f ca="1">Planet(P[[#This Row],[GMT Sun Rise]],6)</f>
        <v>259.37594743069894</v>
      </c>
      <c r="X392" s="124">
        <f ca="1">Planet(P[[#This Row],[GMT Sun Rise]],10)</f>
        <v>92.493002513470202</v>
      </c>
      <c r="Y392" s="124">
        <f ca="1">SIGN(S393-P[[#This Row],[MARs]])</f>
        <v>1</v>
      </c>
    </row>
    <row r="393" spans="1:25" x14ac:dyDescent="0.2">
      <c r="A393" s="125">
        <f t="shared" ca="1" si="56"/>
        <v>43485</v>
      </c>
      <c r="B393" s="125">
        <f t="shared" ca="1" si="57"/>
        <v>43485.229166666664</v>
      </c>
      <c r="C393" s="127">
        <f t="shared" ca="1" si="58"/>
        <v>43485.27635451794</v>
      </c>
      <c r="D393" s="127">
        <f t="shared" ca="1" si="59"/>
        <v>43484.751833101313</v>
      </c>
      <c r="E393" s="189">
        <f ca="1">P[[#This Row],[SunRise]]-TimeZone/24</f>
        <v>43485.047187851276</v>
      </c>
      <c r="F393" s="190">
        <f t="shared" ca="1" si="60"/>
        <v>275.5476720029589</v>
      </c>
      <c r="G393" s="190">
        <f t="shared" ca="1" si="61"/>
        <v>79.078167718126622</v>
      </c>
      <c r="H393" s="191">
        <f t="shared" ca="1" si="62"/>
        <v>43485.047187851276</v>
      </c>
      <c r="I393" s="124" t="str">
        <f ca="1">naks(P[[#This Row],[Moon]])</f>
        <v>Ardra</v>
      </c>
      <c r="J393" s="127">
        <f ca="1">(C394-P[[#This Row],[SunRise]])/(G394-P[[#This Row],[Moon]])*(13.3333333333333-MOD(P[[#This Row],[Moon]],13.333333333333))+P[[#This Row],[SunRise]]</f>
        <v>43485.337592378964</v>
      </c>
      <c r="K393" s="124" t="str">
        <f ca="1">IF(P[[#This Row],[Tithi]]&gt;15,"K","S")&amp;ROUNDUP(MOD(P[[#This Row],[Tithi]],15),0)&amp;" ("&amp;ROUND(P[[#This Row],[Tithi]],2)&amp;")"</f>
        <v>S14 (13.63)</v>
      </c>
      <c r="L393" s="124">
        <f ca="1">IF(AND(P[[#This Row],[Tithi]]&lt;28.5,P[[#This Row],[Tithi]]&gt;0.49999),MOD((P[[#This Row],[Tithi]]-0.5)*2,7),MOD((P[[#This Row],[Tithi]]+30-28.5),30)*2+7)</f>
        <v>5.2551999999999985</v>
      </c>
      <c r="M393" s="124" t="str">
        <f ca="1">CHOOSE(ROUNDUP(P[[#This Row],[Karana1]],0),"Bhava","Baalava","Kaulava","Taitula","Garija","Vanija","Vishti","Shakuni","Chatushapda","Naaga","Kimstugna")</f>
        <v>Vanija</v>
      </c>
      <c r="N39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(26.6)</v>
      </c>
      <c r="O393" s="124">
        <f ca="1">IF(AND(P[[#This Row],[Tithi]]&lt;28.5,P[[#This Row],[Tithi]]&gt;0.49999),MOD((P[[#This Row],[Tithi]]-0.5)*2,7),MOD((P[[#This Row],[Tithi]]+30-28.5),30)*2+7)</f>
        <v>5.2551999999999985</v>
      </c>
      <c r="P393" s="124">
        <f ca="1">ROUNDUP(MOD(360+P[[#This Row],[Moon]]-P[[#This Row],[Sun]],360)/12,4)</f>
        <v>13.627599999999999</v>
      </c>
      <c r="Q393" s="124">
        <f t="shared" ca="1" si="63"/>
        <v>26.6</v>
      </c>
      <c r="R393" s="124" t="str">
        <f ca="1">SIGN(S394-P[[#This Row],[MARs]])*INT(P[[#This Row],[MARs]]/30+1)&amp;"Ma,"&amp;SIGN(T394-P[[#This Row],[Merc]])*INT(P[[#This Row],[Merc]]/30+1)&amp;"Me,"&amp;SIGN(U394-P[[#This Row],[Jup]])*INT(P[[#This Row],[Jup]]/30+1)&amp;"Ju,"&amp;SIGN(V394-P[[#This Row],[Venu]])*INT(P[[#This Row],[Venu]]/30+1)&amp;"Ve,"&amp;SIGN(W394-P[[#This Row],[Sat]])*INT(P[[#This Row],[Sat]]/30+1)&amp;"Sa,"&amp;INT(P[[#This Row],[Rah]]/30+1)&amp;"Ra"</f>
        <v>12Ma,9Me,8Ju,8Ve,9Sa,4Ra</v>
      </c>
      <c r="S393" s="124">
        <f ca="1">Planet(P[[#This Row],[GMT Sun Rise]],4)</f>
        <v>348.67912214023545</v>
      </c>
      <c r="T393" s="124">
        <f ca="1">Planet(P[[#This Row],[GMT Sun Rise]],2)</f>
        <v>269.02497792891694</v>
      </c>
      <c r="U393" s="124">
        <f ca="1">Planet(P[[#This Row],[GMT Sun Rise]],5)</f>
        <v>231.47646775930301</v>
      </c>
      <c r="V393" s="124">
        <f ca="1">Planet(P[[#This Row],[GMT Sun Rise]],3)</f>
        <v>229.23313114773168</v>
      </c>
      <c r="W393" s="124">
        <f ca="1">Planet(P[[#This Row],[GMT Sun Rise]],6)</f>
        <v>259.49122267946706</v>
      </c>
      <c r="X393" s="124">
        <f ca="1">Planet(P[[#This Row],[GMT Sun Rise]],10)</f>
        <v>92.440007593841329</v>
      </c>
      <c r="Y393" s="124">
        <f ca="1">SIGN(S394-P[[#This Row],[MARs]])</f>
        <v>1</v>
      </c>
    </row>
    <row r="394" spans="1:25" x14ac:dyDescent="0.2">
      <c r="A394" s="125">
        <f t="shared" ca="1" si="56"/>
        <v>43486</v>
      </c>
      <c r="B394" s="125">
        <f t="shared" ca="1" si="57"/>
        <v>43486.229166666664</v>
      </c>
      <c r="C394" s="127">
        <f t="shared" ca="1" si="58"/>
        <v>43486.276396797657</v>
      </c>
      <c r="D394" s="127">
        <f t="shared" ca="1" si="59"/>
        <v>43485.752198994203</v>
      </c>
      <c r="E394" s="189">
        <f ca="1">P[[#This Row],[SunRise]]-TimeZone/24</f>
        <v>43486.047230130993</v>
      </c>
      <c r="F394" s="190">
        <f t="shared" ca="1" si="60"/>
        <v>276.56514054149602</v>
      </c>
      <c r="G394" s="190">
        <f t="shared" ca="1" si="61"/>
        <v>94.132110512325411</v>
      </c>
      <c r="H394" s="191">
        <f t="shared" ca="1" si="62"/>
        <v>43486.047230130993</v>
      </c>
      <c r="I394" s="124" t="str">
        <f ca="1">naks(P[[#This Row],[Moon]])</f>
        <v>Pushya</v>
      </c>
      <c r="J394" s="127">
        <f ca="1">(C395-P[[#This Row],[SunRise]])/(G395-P[[#This Row],[Moon]])*(13.3333333333333-MOD(P[[#This Row],[Moon]],13.333333333333))+P[[#This Row],[SunRise]]</f>
        <v>43487.101754690157</v>
      </c>
      <c r="K394" s="124" t="str">
        <f ca="1">IF(P[[#This Row],[Tithi]]&gt;15,"K","S")&amp;ROUNDUP(MOD(P[[#This Row],[Tithi]],15),0)&amp;" ("&amp;ROUND(P[[#This Row],[Tithi]],2)&amp;")"</f>
        <v>S15 (14.8)</v>
      </c>
      <c r="L394" s="124">
        <f ca="1">IF(AND(P[[#This Row],[Tithi]]&lt;28.5,P[[#This Row],[Tithi]]&gt;0.49999),MOD((P[[#This Row],[Tithi]]-0.5)*2,7),MOD((P[[#This Row],[Tithi]]+30-28.5),30)*2+7)</f>
        <v>0.5945999999999998</v>
      </c>
      <c r="M394" s="124" t="str">
        <f ca="1">CHOOSE(ROUNDUP(P[[#This Row],[Karana1]],0),"Bhava","Baalava","Kaulava","Taitula","Garija","Vanija","Vishti","Shakuni","Chatushapda","Naaga","Kimstugna")</f>
        <v>Bhava</v>
      </c>
      <c r="N39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(0.81)</v>
      </c>
      <c r="O394" s="124">
        <f ca="1">IF(AND(P[[#This Row],[Tithi]]&lt;28.5,P[[#This Row],[Tithi]]&gt;0.49999),MOD((P[[#This Row],[Tithi]]-0.5)*2,7),MOD((P[[#This Row],[Tithi]]+30-28.5),30)*2+7)</f>
        <v>0.5945999999999998</v>
      </c>
      <c r="P394" s="124">
        <f ca="1">ROUNDUP(MOD(360+P[[#This Row],[Moon]]-P[[#This Row],[Sun]],360)/12,4)</f>
        <v>14.7973</v>
      </c>
      <c r="Q394" s="124">
        <f t="shared" ca="1" si="63"/>
        <v>0.81</v>
      </c>
      <c r="R394" s="124" t="str">
        <f ca="1">SIGN(S395-P[[#This Row],[MARs]])*INT(P[[#This Row],[MARs]]/30+1)&amp;"Ma,"&amp;SIGN(T395-P[[#This Row],[Merc]])*INT(P[[#This Row],[Merc]]/30+1)&amp;"Me,"&amp;SIGN(U395-P[[#This Row],[Jup]])*INT(P[[#This Row],[Jup]]/30+1)&amp;"Ju,"&amp;SIGN(V395-P[[#This Row],[Venu]])*INT(P[[#This Row],[Venu]]/30+1)&amp;"Ve,"&amp;SIGN(W395-P[[#This Row],[Sat]])*INT(P[[#This Row],[Sat]]/30+1)&amp;"Sa,"&amp;INT(P[[#This Row],[Rah]]/30+1)&amp;"Ra"</f>
        <v>12Ma,10Me,8Ju,8Ve,9Sa,4Ra</v>
      </c>
      <c r="S394" s="124">
        <f ca="1">Planet(P[[#This Row],[GMT Sun Rise]],4)</f>
        <v>349.35636318461479</v>
      </c>
      <c r="T394" s="124">
        <f ca="1">Planet(P[[#This Row],[GMT Sun Rise]],2)</f>
        <v>270.64388748353514</v>
      </c>
      <c r="U394" s="124">
        <f ca="1">Planet(P[[#This Row],[GMT Sun Rise]],5)</f>
        <v>231.66591696730768</v>
      </c>
      <c r="V394" s="124">
        <f ca="1">Planet(P[[#This Row],[GMT Sun Rise]],3)</f>
        <v>230.32672114148463</v>
      </c>
      <c r="W394" s="124">
        <f ca="1">Planet(P[[#This Row],[GMT Sun Rise]],6)</f>
        <v>259.60615506699685</v>
      </c>
      <c r="X394" s="124">
        <f ca="1">Planet(P[[#This Row],[GMT Sun Rise]],10)</f>
        <v>92.387013356451902</v>
      </c>
      <c r="Y394" s="124">
        <f ca="1">SIGN(S395-P[[#This Row],[MARs]])</f>
        <v>1</v>
      </c>
    </row>
    <row r="395" spans="1:25" x14ac:dyDescent="0.2">
      <c r="A395" s="125">
        <f t="shared" ref="A395:A458" ca="1" si="64">A394+1</f>
        <v>43487</v>
      </c>
      <c r="B395" s="125">
        <f t="shared" ca="1" si="57"/>
        <v>43487.229166666664</v>
      </c>
      <c r="C395" s="127">
        <f t="shared" ca="1" si="58"/>
        <v>43487.27642620277</v>
      </c>
      <c r="D395" s="127">
        <f t="shared" ca="1" si="59"/>
        <v>43486.752560436769</v>
      </c>
      <c r="E395" s="189">
        <f ca="1">P[[#This Row],[SunRise]]-TimeZone/24</f>
        <v>43487.047259536106</v>
      </c>
      <c r="F395" s="190">
        <f t="shared" ca="1" si="60"/>
        <v>277.58241315154453</v>
      </c>
      <c r="G395" s="190">
        <f t="shared" ca="1" si="61"/>
        <v>109.31937030381626</v>
      </c>
      <c r="H395" s="191">
        <f t="shared" ca="1" si="62"/>
        <v>43487.047259536106</v>
      </c>
      <c r="I395" s="124" t="str">
        <f ca="1">naks(P[[#This Row],[Moon]])</f>
        <v>Aslesha</v>
      </c>
      <c r="J395" s="127">
        <f ca="1">(C396-P[[#This Row],[SunRise]])/(G396-P[[#This Row],[Moon]])*(13.3333333333333-MOD(P[[#This Row],[Moon]],13.333333333333))+P[[#This Row],[SunRise]]</f>
        <v>43487.980953491991</v>
      </c>
      <c r="K395" s="124" t="str">
        <f ca="1">IF(P[[#This Row],[Tithi]]&gt;15,"K","S")&amp;ROUNDUP(MOD(P[[#This Row],[Tithi]],15),0)&amp;" ("&amp;ROUND(P[[#This Row],[Tithi]],2)&amp;")"</f>
        <v>K1 (15.98)</v>
      </c>
      <c r="L395" s="124">
        <f ca="1">IF(AND(P[[#This Row],[Tithi]]&lt;28.5,P[[#This Row],[Tithi]]&gt;0.49999),MOD((P[[#This Row],[Tithi]]-0.5)*2,7),MOD((P[[#This Row],[Tithi]]+30-28.5),30)*2+7)</f>
        <v>2.9561999999999991</v>
      </c>
      <c r="M395" s="124" t="str">
        <f ca="1">CHOOSE(ROUNDUP(P[[#This Row],[Karana1]],0),"Bhava","Baalava","Kaulava","Taitula","Garija","Vanija","Vishti","Shakuni","Chatushapda","Naaga","Kimstugna")</f>
        <v>Kaulava</v>
      </c>
      <c r="N39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(2.02)</v>
      </c>
      <c r="O395" s="124">
        <f ca="1">IF(AND(P[[#This Row],[Tithi]]&lt;28.5,P[[#This Row],[Tithi]]&gt;0.49999),MOD((P[[#This Row],[Tithi]]-0.5)*2,7),MOD((P[[#This Row],[Tithi]]+30-28.5),30)*2+7)</f>
        <v>2.9561999999999991</v>
      </c>
      <c r="P395" s="124">
        <f ca="1">ROUNDUP(MOD(360+P[[#This Row],[Moon]]-P[[#This Row],[Sun]],360)/12,4)</f>
        <v>15.9781</v>
      </c>
      <c r="Q395" s="124">
        <f t="shared" ca="1" si="63"/>
        <v>2.0199999999999996</v>
      </c>
      <c r="R395" s="124" t="str">
        <f ca="1">SIGN(S396-P[[#This Row],[MARs]])*INT(P[[#This Row],[MARs]]/30+1)&amp;"Ma,"&amp;SIGN(T396-P[[#This Row],[Merc]])*INT(P[[#This Row],[Merc]]/30+1)&amp;"Me,"&amp;SIGN(U396-P[[#This Row],[Jup]])*INT(P[[#This Row],[Jup]]/30+1)&amp;"Ju,"&amp;SIGN(V396-P[[#This Row],[Venu]])*INT(P[[#This Row],[Venu]]/30+1)&amp;"Ve,"&amp;SIGN(W396-P[[#This Row],[Sat]])*INT(P[[#This Row],[Sat]]/30+1)&amp;"Sa,"&amp;INT(P[[#This Row],[Rah]]/30+1)&amp;"Ra"</f>
        <v>12Ma,10Me,8Ju,8Ve,9Sa,4Ra</v>
      </c>
      <c r="S395" s="124">
        <f ca="1">Planet(P[[#This Row],[GMT Sun Rise]],4)</f>
        <v>350.0336175782038</v>
      </c>
      <c r="T395" s="124">
        <f ca="1">Planet(P[[#This Row],[GMT Sun Rise]],2)</f>
        <v>272.27215727832504</v>
      </c>
      <c r="U395" s="124">
        <f ca="1">Planet(P[[#This Row],[GMT Sun Rise]],5)</f>
        <v>231.85405905452293</v>
      </c>
      <c r="V395" s="124">
        <f ca="1">Planet(P[[#This Row],[GMT Sun Rise]],3)</f>
        <v>231.42434581375679</v>
      </c>
      <c r="W395" s="124">
        <f ca="1">Planet(P[[#This Row],[GMT Sun Rise]],6)</f>
        <v>259.72072795213438</v>
      </c>
      <c r="X395" s="124">
        <f ca="1">Planet(P[[#This Row],[GMT Sun Rise]],10)</f>
        <v>92.334019801318519</v>
      </c>
      <c r="Y395" s="124">
        <f ca="1">SIGN(S396-P[[#This Row],[MARs]])</f>
        <v>1</v>
      </c>
    </row>
    <row r="396" spans="1:25" x14ac:dyDescent="0.2">
      <c r="A396" s="125">
        <f t="shared" ca="1" si="64"/>
        <v>43488</v>
      </c>
      <c r="B396" s="125">
        <f t="shared" ca="1" si="57"/>
        <v>43488.229166666664</v>
      </c>
      <c r="C396" s="127">
        <f t="shared" ca="1" si="58"/>
        <v>43488.276442574024</v>
      </c>
      <c r="D396" s="127">
        <f t="shared" ca="1" si="59"/>
        <v>43487.75291742901</v>
      </c>
      <c r="E396" s="189">
        <f ca="1">P[[#This Row],[SunRise]]-TimeZone/24</f>
        <v>43488.04727590736</v>
      </c>
      <c r="F396" s="190">
        <f t="shared" ca="1" si="60"/>
        <v>278.59950331541177</v>
      </c>
      <c r="G396" s="190">
        <f t="shared" ca="1" si="61"/>
        <v>124.47961280250394</v>
      </c>
      <c r="H396" s="191">
        <f t="shared" ca="1" si="62"/>
        <v>43488.04727590736</v>
      </c>
      <c r="I396" s="124" t="str">
        <f ca="1">naks(P[[#This Row],[Moon]])</f>
        <v>Makha</v>
      </c>
      <c r="J396" s="127">
        <f ca="1">(C397-P[[#This Row],[SunRise]])/(G397-P[[#This Row],[Moon]])*(13.3333333333333-MOD(P[[#This Row],[Moon]],13.333333333333))+P[[#This Row],[SunRise]]</f>
        <v>43488.867503257396</v>
      </c>
      <c r="K396" s="124" t="str">
        <f ca="1">IF(P[[#This Row],[Tithi]]&gt;15,"K","S")&amp;ROUNDUP(MOD(P[[#This Row],[Tithi]],15),0)&amp;" ("&amp;ROUND(P[[#This Row],[Tithi]],2)&amp;")"</f>
        <v>K3 (17.16)</v>
      </c>
      <c r="L396" s="124">
        <f ca="1">IF(AND(P[[#This Row],[Tithi]]&lt;28.5,P[[#This Row],[Tithi]]&gt;0.49999),MOD((P[[#This Row],[Tithi]]-0.5)*2,7),MOD((P[[#This Row],[Tithi]]+30-28.5),30)*2+7)</f>
        <v>5.3134000000000015</v>
      </c>
      <c r="M396" s="124" t="str">
        <f ca="1">CHOOSE(ROUNDUP(P[[#This Row],[Karana1]],0),"Bhava","Baalava","Kaulava","Taitula","Garija","Vanija","Vishti","Shakuni","Chatushapda","Naaga","Kimstugna")</f>
        <v>Vanija</v>
      </c>
      <c r="N39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(3.24)</v>
      </c>
      <c r="O396" s="124">
        <f ca="1">IF(AND(P[[#This Row],[Tithi]]&lt;28.5,P[[#This Row],[Tithi]]&gt;0.49999),MOD((P[[#This Row],[Tithi]]-0.5)*2,7),MOD((P[[#This Row],[Tithi]]+30-28.5),30)*2+7)</f>
        <v>5.3134000000000015</v>
      </c>
      <c r="P396" s="124">
        <f ca="1">ROUNDUP(MOD(360+P[[#This Row],[Moon]]-P[[#This Row],[Sun]],360)/12,4)</f>
        <v>17.156700000000001</v>
      </c>
      <c r="Q396" s="124">
        <f t="shared" ca="1" si="63"/>
        <v>3.2399999999999998</v>
      </c>
      <c r="R396" s="124" t="str">
        <f ca="1">SIGN(S397-P[[#This Row],[MARs]])*INT(P[[#This Row],[MARs]]/30+1)&amp;"Ma,"&amp;SIGN(T397-P[[#This Row],[Merc]])*INT(P[[#This Row],[Merc]]/30+1)&amp;"Me,"&amp;SIGN(U397-P[[#This Row],[Jup]])*INT(P[[#This Row],[Jup]]/30+1)&amp;"Ju,"&amp;SIGN(V397-P[[#This Row],[Venu]])*INT(P[[#This Row],[Venu]]/30+1)&amp;"Ve,"&amp;SIGN(W397-P[[#This Row],[Sat]])*INT(P[[#This Row],[Sat]]/30+1)&amp;"Sa,"&amp;INT(P[[#This Row],[Rah]]/30+1)&amp;"Ra"</f>
        <v>12Ma,10Me,8Ju,8Ve,9Sa,4Ra</v>
      </c>
      <c r="S396" s="124">
        <f ca="1">Planet(P[[#This Row],[GMT Sun Rise]],4)</f>
        <v>350.71087767247718</v>
      </c>
      <c r="T396" s="124">
        <f ca="1">Planet(P[[#This Row],[GMT Sun Rise]],2)</f>
        <v>273.91004940049294</v>
      </c>
      <c r="U396" s="124">
        <f ca="1">Planet(P[[#This Row],[GMT Sun Rise]],5)</f>
        <v>232.04087024411945</v>
      </c>
      <c r="V396" s="124">
        <f ca="1">Planet(P[[#This Row],[GMT Sun Rise]],3)</f>
        <v>232.52588749006622</v>
      </c>
      <c r="W396" s="124">
        <f ca="1">Planet(P[[#This Row],[GMT Sun Rise]],6)</f>
        <v>259.83492459037842</v>
      </c>
      <c r="X396" s="124">
        <f ca="1">Planet(P[[#This Row],[GMT Sun Rise]],10)</f>
        <v>92.281026936891308</v>
      </c>
      <c r="Y396" s="124">
        <f ca="1">SIGN(S397-P[[#This Row],[MARs]])</f>
        <v>1</v>
      </c>
    </row>
    <row r="397" spans="1:25" x14ac:dyDescent="0.2">
      <c r="A397" s="125">
        <f t="shared" ca="1" si="64"/>
        <v>43489</v>
      </c>
      <c r="B397" s="125">
        <f t="shared" ca="1" si="57"/>
        <v>43489.229166666664</v>
      </c>
      <c r="C397" s="127">
        <f t="shared" ca="1" si="58"/>
        <v>43489.276446229931</v>
      </c>
      <c r="D397" s="127">
        <f t="shared" ca="1" si="59"/>
        <v>43488.753269334833</v>
      </c>
      <c r="E397" s="189">
        <f ca="1">P[[#This Row],[SunRise]]-TimeZone/24</f>
        <v>43489.047279563267</v>
      </c>
      <c r="F397" s="190">
        <f t="shared" ca="1" si="60"/>
        <v>279.61642343736304</v>
      </c>
      <c r="G397" s="190">
        <f t="shared" ca="1" si="61"/>
        <v>139.45904409989367</v>
      </c>
      <c r="H397" s="191">
        <f t="shared" ca="1" si="62"/>
        <v>43489.047279563267</v>
      </c>
      <c r="I397" s="124" t="str">
        <f ca="1">naks(P[[#This Row],[Moon]])</f>
        <v>Purva Phalguni</v>
      </c>
      <c r="J397" s="127">
        <f ca="1">(C398-P[[#This Row],[SunRise]])/(G398-P[[#This Row],[Moon]])*(13.3333333333333-MOD(P[[#This Row],[Moon]],13.333333333333))+P[[#This Row],[SunRise]]</f>
        <v>43489.767650822112</v>
      </c>
      <c r="K397" s="124" t="str">
        <f ca="1">IF(P[[#This Row],[Tithi]]&gt;15,"K","S")&amp;ROUNDUP(MOD(P[[#This Row],[Tithi]],15),0)&amp;" ("&amp;ROUND(P[[#This Row],[Tithi]],2)&amp;")"</f>
        <v>K4 (18.32)</v>
      </c>
      <c r="L397" s="124">
        <f ca="1">IF(AND(P[[#This Row],[Tithi]]&lt;28.5,P[[#This Row],[Tithi]]&gt;0.49999),MOD((P[[#This Row],[Tithi]]-0.5)*2,7),MOD((P[[#This Row],[Tithi]]+30-28.5),30)*2+7)</f>
        <v>0.64059999999999917</v>
      </c>
      <c r="M397" s="124" t="str">
        <f ca="1">CHOOSE(ROUNDUP(P[[#This Row],[Karana1]],0),"Bhava","Baalava","Kaulava","Taitula","Garija","Vanija","Vishti","Shakuni","Chatushapda","Naaga","Kimstugna")</f>
        <v>Bhava</v>
      </c>
      <c r="N39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(4.44)</v>
      </c>
      <c r="O397" s="124">
        <f ca="1">IF(AND(P[[#This Row],[Tithi]]&lt;28.5,P[[#This Row],[Tithi]]&gt;0.49999),MOD((P[[#This Row],[Tithi]]-0.5)*2,7),MOD((P[[#This Row],[Tithi]]+30-28.5),30)*2+7)</f>
        <v>0.64059999999999917</v>
      </c>
      <c r="P397" s="124">
        <f ca="1">ROUNDUP(MOD(360+P[[#This Row],[Moon]]-P[[#This Row],[Sun]],360)/12,4)</f>
        <v>18.3203</v>
      </c>
      <c r="Q397" s="124">
        <f t="shared" ca="1" si="63"/>
        <v>4.4399999999999995</v>
      </c>
      <c r="R397" s="124" t="str">
        <f ca="1">SIGN(S398-P[[#This Row],[MARs]])*INT(P[[#This Row],[MARs]]/30+1)&amp;"Ma,"&amp;SIGN(T398-P[[#This Row],[Merc]])*INT(P[[#This Row],[Merc]]/30+1)&amp;"Me,"&amp;SIGN(U398-P[[#This Row],[Jup]])*INT(P[[#This Row],[Jup]]/30+1)&amp;"Ju,"&amp;SIGN(V398-P[[#This Row],[Venu]])*INT(P[[#This Row],[Venu]]/30+1)&amp;"Ve,"&amp;SIGN(W398-P[[#This Row],[Sat]])*INT(P[[#This Row],[Sat]]/30+1)&amp;"Sa,"&amp;INT(P[[#This Row],[Rah]]/30+1)&amp;"Ra"</f>
        <v>12Ma,10Me,8Ju,8Ve,9Sa,4Ra</v>
      </c>
      <c r="S397" s="124">
        <f ca="1">Planet(P[[#This Row],[GMT Sun Rise]],4)</f>
        <v>351.38814071747458</v>
      </c>
      <c r="T397" s="124">
        <f ca="1">Planet(P[[#This Row],[GMT Sun Rise]],2)</f>
        <v>275.55782060435354</v>
      </c>
      <c r="U397" s="124">
        <f ca="1">Planet(P[[#This Row],[GMT Sun Rise]],5)</f>
        <v>232.22632558684757</v>
      </c>
      <c r="V397" s="124">
        <f ca="1">Planet(P[[#This Row],[GMT Sun Rise]],3)</f>
        <v>233.6312261202292</v>
      </c>
      <c r="W397" s="124">
        <f ca="1">Planet(P[[#This Row],[GMT Sun Rise]],6)</f>
        <v>259.94872793573137</v>
      </c>
      <c r="X397" s="124">
        <f ca="1">Planet(P[[#This Row],[GMT Sun Rise]],10)</f>
        <v>92.228034746270183</v>
      </c>
      <c r="Y397" s="124">
        <f ca="1">SIGN(S398-P[[#This Row],[MARs]])</f>
        <v>1</v>
      </c>
    </row>
    <row r="398" spans="1:25" x14ac:dyDescent="0.2">
      <c r="A398" s="125">
        <f t="shared" ca="1" si="64"/>
        <v>43490</v>
      </c>
      <c r="B398" s="125">
        <f t="shared" ca="1" si="57"/>
        <v>43490.229166666664</v>
      </c>
      <c r="C398" s="127">
        <f t="shared" ca="1" si="58"/>
        <v>43490.276437170025</v>
      </c>
      <c r="D398" s="127">
        <f t="shared" ca="1" si="59"/>
        <v>43489.753616472284</v>
      </c>
      <c r="E398" s="189">
        <f ca="1">P[[#This Row],[SunRise]]-TimeZone/24</f>
        <v>43490.047270503361</v>
      </c>
      <c r="F398" s="190">
        <f t="shared" ca="1" si="60"/>
        <v>280.63318187244573</v>
      </c>
      <c r="G398" s="190">
        <f t="shared" ca="1" si="61"/>
        <v>154.13227269172381</v>
      </c>
      <c r="H398" s="191">
        <f t="shared" ca="1" si="62"/>
        <v>43490.047270503361</v>
      </c>
      <c r="I398" s="124" t="str">
        <f ca="1">naks(P[[#This Row],[Moon]])</f>
        <v>Uttara Phalguni</v>
      </c>
      <c r="J398" s="127">
        <f ca="1">(C399-P[[#This Row],[SunRise]])/(G399-P[[#This Row],[Moon]])*(13.3333333333333-MOD(P[[#This Row],[Moon]],13.333333333333))+P[[#This Row],[SunRise]]</f>
        <v>43490.687222347726</v>
      </c>
      <c r="K398" s="124" t="str">
        <f ca="1">IF(P[[#This Row],[Tithi]]&gt;15,"K","S")&amp;ROUNDUP(MOD(P[[#This Row],[Tithi]],15),0)&amp;" ("&amp;ROUND(P[[#This Row],[Tithi]],2)&amp;")"</f>
        <v>K5 (19.46)</v>
      </c>
      <c r="L398" s="124">
        <f ca="1">IF(AND(P[[#This Row],[Tithi]]&lt;28.5,P[[#This Row],[Tithi]]&gt;0.49999),MOD((P[[#This Row],[Tithi]]-0.5)*2,7),MOD((P[[#This Row],[Tithi]]+30-28.5),30)*2+7)</f>
        <v>2.9166000000000025</v>
      </c>
      <c r="M398" s="124" t="str">
        <f ca="1">CHOOSE(ROUNDUP(P[[#This Row],[Karana1]],0),"Bhava","Baalava","Kaulava","Taitula","Garija","Vanija","Vishti","Shakuni","Chatushapda","Naaga","Kimstugna")</f>
        <v>Kaulava</v>
      </c>
      <c r="N39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(5.61)</v>
      </c>
      <c r="O398" s="124">
        <f ca="1">IF(AND(P[[#This Row],[Tithi]]&lt;28.5,P[[#This Row],[Tithi]]&gt;0.49999),MOD((P[[#This Row],[Tithi]]-0.5)*2,7),MOD((P[[#This Row],[Tithi]]+30-28.5),30)*2+7)</f>
        <v>2.9166000000000025</v>
      </c>
      <c r="P398" s="124">
        <f ca="1">ROUNDUP(MOD(360+P[[#This Row],[Moon]]-P[[#This Row],[Sun]],360)/12,4)</f>
        <v>19.458300000000001</v>
      </c>
      <c r="Q398" s="124">
        <f t="shared" ca="1" si="63"/>
        <v>5.6099999999999994</v>
      </c>
      <c r="R398" s="124" t="str">
        <f ca="1">SIGN(S399-P[[#This Row],[MARs]])*INT(P[[#This Row],[MARs]]/30+1)&amp;"Ma,"&amp;SIGN(T399-P[[#This Row],[Merc]])*INT(P[[#This Row],[Merc]]/30+1)&amp;"Me,"&amp;SIGN(U399-P[[#This Row],[Jup]])*INT(P[[#This Row],[Jup]]/30+1)&amp;"Ju,"&amp;SIGN(V399-P[[#This Row],[Venu]])*INT(P[[#This Row],[Venu]]/30+1)&amp;"Ve,"&amp;SIGN(W399-P[[#This Row],[Sat]])*INT(P[[#This Row],[Sat]]/30+1)&amp;"Sa,"&amp;INT(P[[#This Row],[Rah]]/30+1)&amp;"Ra"</f>
        <v>12Ma,10Me,8Ju,8Ve,9Sa,4Ra</v>
      </c>
      <c r="S398" s="124">
        <f ca="1">Planet(P[[#This Row],[GMT Sun Rise]],4)</f>
        <v>352.06540686588005</v>
      </c>
      <c r="T398" s="124">
        <f ca="1">Planet(P[[#This Row],[GMT Sun Rise]],2)</f>
        <v>277.21571520863722</v>
      </c>
      <c r="U398" s="124">
        <f ca="1">Planet(P[[#This Row],[GMT Sun Rise]],5)</f>
        <v>232.41039866263819</v>
      </c>
      <c r="V398" s="124">
        <f ca="1">Planet(P[[#This Row],[GMT Sun Rise]],3)</f>
        <v>234.74023786955252</v>
      </c>
      <c r="W398" s="124">
        <f ca="1">Planet(P[[#This Row],[GMT Sun Rise]],6)</f>
        <v>260.06212035843811</v>
      </c>
      <c r="X398" s="124">
        <f ca="1">Planet(P[[#This Row],[GMT Sun Rise]],10)</f>
        <v>92.175043229471498</v>
      </c>
      <c r="Y398" s="124">
        <f ca="1">SIGN(S399-P[[#This Row],[MARs]])</f>
        <v>1</v>
      </c>
    </row>
    <row r="399" spans="1:25" x14ac:dyDescent="0.2">
      <c r="A399" s="125">
        <f t="shared" ca="1" si="64"/>
        <v>43491</v>
      </c>
      <c r="B399" s="125">
        <f t="shared" ca="1" si="57"/>
        <v>43491.229166666664</v>
      </c>
      <c r="C399" s="127">
        <f t="shared" ca="1" si="58"/>
        <v>43491.276415235516</v>
      </c>
      <c r="D399" s="127">
        <f t="shared" ca="1" si="59"/>
        <v>43490.753958523317</v>
      </c>
      <c r="E399" s="189">
        <f ca="1">P[[#This Row],[SunRise]]-TimeZone/24</f>
        <v>43491.047248568852</v>
      </c>
      <c r="F399" s="190">
        <f t="shared" ca="1" si="60"/>
        <v>281.64978182886307</v>
      </c>
      <c r="G399" s="190">
        <f t="shared" ca="1" si="61"/>
        <v>168.41613423549506</v>
      </c>
      <c r="H399" s="191">
        <f t="shared" ca="1" si="62"/>
        <v>43491.047248568852</v>
      </c>
      <c r="I399" s="124" t="str">
        <f ca="1">naks(P[[#This Row],[Moon]])</f>
        <v>Hasta</v>
      </c>
      <c r="J399" s="127">
        <f ca="1">(C400-P[[#This Row],[SunRise]])/(G400-P[[#This Row],[Moon]])*(13.3333333333333-MOD(P[[#This Row],[Moon]],13.333333333333))+P[[#This Row],[SunRise]]</f>
        <v>43491.631257711568</v>
      </c>
      <c r="K399" s="124" t="str">
        <f ca="1">IF(P[[#This Row],[Tithi]]&gt;15,"K","S")&amp;ROUNDUP(MOD(P[[#This Row],[Tithi]],15),0)&amp;" ("&amp;ROUND(P[[#This Row],[Tithi]],2)&amp;")"</f>
        <v>K6 (20.56)</v>
      </c>
      <c r="L399" s="124">
        <f ca="1">IF(AND(P[[#This Row],[Tithi]]&lt;28.5,P[[#This Row],[Tithi]]&gt;0.49999),MOD((P[[#This Row],[Tithi]]-0.5)*2,7),MOD((P[[#This Row],[Tithi]]+30-28.5),30)*2+7)</f>
        <v>5.1278000000000006</v>
      </c>
      <c r="M399" s="124" t="str">
        <f ca="1">CHOOSE(ROUNDUP(P[[#This Row],[Karana1]],0),"Bhava","Baalava","Kaulava","Taitula","Garija","Vanija","Vishti","Shakuni","Chatushapda","Naaga","Kimstugna")</f>
        <v>Vanija</v>
      </c>
      <c r="N39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(6.76)</v>
      </c>
      <c r="O399" s="124">
        <f ca="1">IF(AND(P[[#This Row],[Tithi]]&lt;28.5,P[[#This Row],[Tithi]]&gt;0.49999),MOD((P[[#This Row],[Tithi]]-0.5)*2,7),MOD((P[[#This Row],[Tithi]]+30-28.5),30)*2+7)</f>
        <v>5.1278000000000006</v>
      </c>
      <c r="P399" s="124">
        <f ca="1">ROUNDUP(MOD(360+P[[#This Row],[Moon]]-P[[#This Row],[Sun]],360)/12,4)</f>
        <v>20.5639</v>
      </c>
      <c r="Q399" s="124">
        <f t="shared" ca="1" si="63"/>
        <v>6.76</v>
      </c>
      <c r="R399" s="124" t="str">
        <f ca="1">SIGN(S400-P[[#This Row],[MARs]])*INT(P[[#This Row],[MARs]]/30+1)&amp;"Ma,"&amp;SIGN(T400-P[[#This Row],[Merc]])*INT(P[[#This Row],[Merc]]/30+1)&amp;"Me,"&amp;SIGN(U400-P[[#This Row],[Jup]])*INT(P[[#This Row],[Jup]]/30+1)&amp;"Ju,"&amp;SIGN(V400-P[[#This Row],[Venu]])*INT(P[[#This Row],[Venu]]/30+1)&amp;"Ve,"&amp;SIGN(W400-P[[#This Row],[Sat]])*INT(P[[#This Row],[Sat]]/30+1)&amp;"Sa,"&amp;INT(P[[#This Row],[Rah]]/30+1)&amp;"Ra"</f>
        <v>12Ma,10Me,8Ju,8Ve,9Sa,4Ra</v>
      </c>
      <c r="S399" s="124">
        <f ca="1">Planet(P[[#This Row],[GMT Sun Rise]],4)</f>
        <v>352.74267758602809</v>
      </c>
      <c r="T399" s="124">
        <f ca="1">Planet(P[[#This Row],[GMT Sun Rise]],2)</f>
        <v>278.88395959128411</v>
      </c>
      <c r="U399" s="124">
        <f ca="1">Planet(P[[#This Row],[GMT Sun Rise]],5)</f>
        <v>232.59306168530452</v>
      </c>
      <c r="V399" s="124">
        <f ca="1">Planet(P[[#This Row],[GMT Sun Rise]],3)</f>
        <v>235.85279610841235</v>
      </c>
      <c r="W399" s="124">
        <f ca="1">Planet(P[[#This Row],[GMT Sun Rise]],6)</f>
        <v>260.17508358393735</v>
      </c>
      <c r="X399" s="124">
        <f ca="1">Planet(P[[#This Row],[GMT Sun Rise]],10)</f>
        <v>92.122052394945484</v>
      </c>
      <c r="Y399" s="124">
        <f ca="1">SIGN(S400-P[[#This Row],[MARs]])</f>
        <v>1</v>
      </c>
    </row>
    <row r="400" spans="1:25" x14ac:dyDescent="0.2">
      <c r="A400" s="125">
        <f t="shared" ca="1" si="64"/>
        <v>43492</v>
      </c>
      <c r="B400" s="125">
        <f t="shared" ca="1" si="57"/>
        <v>43492.229166666664</v>
      </c>
      <c r="C400" s="127">
        <f t="shared" ca="1" si="58"/>
        <v>43492.276380743984</v>
      </c>
      <c r="D400" s="127">
        <f t="shared" ca="1" si="59"/>
        <v>43491.754295329607</v>
      </c>
      <c r="E400" s="189">
        <f ca="1">P[[#This Row],[SunRise]]-TimeZone/24</f>
        <v>43492.04721407732</v>
      </c>
      <c r="F400" s="190">
        <f t="shared" ca="1" si="60"/>
        <v>282.66622175439801</v>
      </c>
      <c r="G400" s="190">
        <f t="shared" ca="1" si="61"/>
        <v>182.27307027886505</v>
      </c>
      <c r="H400" s="191">
        <f t="shared" ca="1" si="62"/>
        <v>43492.04721407732</v>
      </c>
      <c r="I400" s="124" t="str">
        <f ca="1">naks(P[[#This Row],[Moon]])</f>
        <v>Chitra</v>
      </c>
      <c r="J400" s="127">
        <f ca="1">(C401-P[[#This Row],[SunRise]])/(G401-P[[#This Row],[Moon]])*(13.3333333333333-MOD(P[[#This Row],[Moon]],13.333333333333))+P[[#This Row],[SunRise]]</f>
        <v>43492.60345082853</v>
      </c>
      <c r="K400" s="124" t="str">
        <f ca="1">IF(P[[#This Row],[Tithi]]&gt;15,"K","S")&amp;ROUNDUP(MOD(P[[#This Row],[Tithi]],15),0)&amp;" ("&amp;ROUND(P[[#This Row],[Tithi]],2)&amp;")"</f>
        <v>K7 (21.63)</v>
      </c>
      <c r="L400" s="124">
        <f ca="1">IF(AND(P[[#This Row],[Tithi]]&lt;28.5,P[[#This Row],[Tithi]]&gt;0.49999),MOD((P[[#This Row],[Tithi]]-0.5)*2,7),MOD((P[[#This Row],[Tithi]]+30-28.5),30)*2+7)</f>
        <v>0.26800000000000068</v>
      </c>
      <c r="M400" s="124" t="str">
        <f ca="1">CHOOSE(ROUNDUP(P[[#This Row],[Karana1]],0),"Bhava","Baalava","Kaulava","Taitula","Garija","Vanija","Vishti","Shakuni","Chatushapda","Naaga","Kimstugna")</f>
        <v>Bhava</v>
      </c>
      <c r="N40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(7.88)</v>
      </c>
      <c r="O400" s="124">
        <f ca="1">IF(AND(P[[#This Row],[Tithi]]&lt;28.5,P[[#This Row],[Tithi]]&gt;0.49999),MOD((P[[#This Row],[Tithi]]-0.5)*2,7),MOD((P[[#This Row],[Tithi]]+30-28.5),30)*2+7)</f>
        <v>0.26800000000000068</v>
      </c>
      <c r="P400" s="124">
        <f ca="1">ROUNDUP(MOD(360+P[[#This Row],[Moon]]-P[[#This Row],[Sun]],360)/12,4)</f>
        <v>21.634</v>
      </c>
      <c r="Q400" s="124">
        <f t="shared" ca="1" si="63"/>
        <v>7.88</v>
      </c>
      <c r="R400" s="124" t="str">
        <f ca="1">SIGN(S401-P[[#This Row],[MARs]])*INT(P[[#This Row],[MARs]]/30+1)&amp;"Ma,"&amp;SIGN(T401-P[[#This Row],[Merc]])*INT(P[[#This Row],[Merc]]/30+1)&amp;"Me,"&amp;SIGN(U401-P[[#This Row],[Jup]])*INT(P[[#This Row],[Jup]]/30+1)&amp;"Ju,"&amp;SIGN(V401-P[[#This Row],[Venu]])*INT(P[[#This Row],[Venu]]/30+1)&amp;"Ve,"&amp;SIGN(W401-P[[#This Row],[Sat]])*INT(P[[#This Row],[Sat]]/30+1)&amp;"Sa,"&amp;INT(P[[#This Row],[Rah]]/30+1)&amp;"Ra"</f>
        <v>12Ma,10Me,8Ju,8Ve,9Sa,4Ra</v>
      </c>
      <c r="S400" s="124">
        <f ca="1">Planet(P[[#This Row],[GMT Sun Rise]],4)</f>
        <v>353.41995460968838</v>
      </c>
      <c r="T400" s="124">
        <f ca="1">Planet(P[[#This Row],[GMT Sun Rise]],2)</f>
        <v>280.56275739389412</v>
      </c>
      <c r="U400" s="124">
        <f ca="1">Planet(P[[#This Row],[GMT Sun Rise]],5)</f>
        <v>232.77428584901315</v>
      </c>
      <c r="V400" s="124">
        <f ca="1">Planet(P[[#This Row],[GMT Sun Rise]],3)</f>
        <v>236.96877375880834</v>
      </c>
      <c r="W400" s="124">
        <f ca="1">Planet(P[[#This Row],[GMT Sun Rise]],6)</f>
        <v>260.28759879069338</v>
      </c>
      <c r="X400" s="124">
        <f ca="1">Planet(P[[#This Row],[GMT Sun Rise]],10)</f>
        <v>92.069062225825036</v>
      </c>
      <c r="Y400" s="124">
        <f ca="1">SIGN(S401-P[[#This Row],[MARs]])</f>
        <v>1</v>
      </c>
    </row>
    <row r="401" spans="1:25" x14ac:dyDescent="0.2">
      <c r="A401" s="125">
        <f t="shared" ca="1" si="64"/>
        <v>43493</v>
      </c>
      <c r="B401" s="125">
        <f t="shared" ca="1" si="57"/>
        <v>43493.229166666664</v>
      </c>
      <c r="C401" s="127">
        <f t="shared" ca="1" si="58"/>
        <v>43493.276333537106</v>
      </c>
      <c r="D401" s="127">
        <f t="shared" ca="1" si="59"/>
        <v>43492.754626572176</v>
      </c>
      <c r="E401" s="189">
        <f ca="1">P[[#This Row],[SunRise]]-TimeZone/24</f>
        <v>43493.047166870441</v>
      </c>
      <c r="F401" s="190">
        <f t="shared" ca="1" si="60"/>
        <v>283.68249482181682</v>
      </c>
      <c r="G401" s="190">
        <f t="shared" ca="1" si="61"/>
        <v>195.70563163921963</v>
      </c>
      <c r="H401" s="191">
        <f t="shared" ca="1" si="62"/>
        <v>43493.047166870441</v>
      </c>
      <c r="I401" s="124" t="str">
        <f ca="1">naks(P[[#This Row],[Moon]])</f>
        <v>Swati</v>
      </c>
      <c r="J401" s="127">
        <f ca="1">(C402-P[[#This Row],[SunRise]])/(G402-P[[#This Row],[Moon]])*(13.3333333333333-MOD(P[[#This Row],[Moon]],13.333333333333))+P[[#This Row],[SunRise]]</f>
        <v>43493.605625773002</v>
      </c>
      <c r="K401" s="124" t="str">
        <f ca="1">IF(P[[#This Row],[Tithi]]&gt;15,"K","S")&amp;ROUNDUP(MOD(P[[#This Row],[Tithi]],15),0)&amp;" ("&amp;ROUND(P[[#This Row],[Tithi]],2)&amp;")"</f>
        <v>K8 (22.67)</v>
      </c>
      <c r="L401" s="124">
        <f ca="1">IF(AND(P[[#This Row],[Tithi]]&lt;28.5,P[[#This Row],[Tithi]]&gt;0.49999),MOD((P[[#This Row],[Tithi]]-0.5)*2,7),MOD((P[[#This Row],[Tithi]]+30-28.5),30)*2+7)</f>
        <v>2.3372000000000028</v>
      </c>
      <c r="M401" s="124" t="str">
        <f ca="1">CHOOSE(ROUNDUP(P[[#This Row],[Karana1]],0),"Bhava","Baalava","Kaulava","Taitula","Garija","Vanija","Vishti","Shakuni","Chatushapda","Naaga","Kimstugna")</f>
        <v>Kaulava</v>
      </c>
      <c r="N40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(8.96)</v>
      </c>
      <c r="O401" s="124">
        <f ca="1">IF(AND(P[[#This Row],[Tithi]]&lt;28.5,P[[#This Row],[Tithi]]&gt;0.49999),MOD((P[[#This Row],[Tithi]]-0.5)*2,7),MOD((P[[#This Row],[Tithi]]+30-28.5),30)*2+7)</f>
        <v>2.3372000000000028</v>
      </c>
      <c r="P401" s="124">
        <f ca="1">ROUNDUP(MOD(360+P[[#This Row],[Moon]]-P[[#This Row],[Sun]],360)/12,4)</f>
        <v>22.668600000000001</v>
      </c>
      <c r="Q401" s="124">
        <f t="shared" ca="1" si="63"/>
        <v>8.9599999999999991</v>
      </c>
      <c r="R401" s="124" t="str">
        <f ca="1">SIGN(S402-P[[#This Row],[MARs]])*INT(P[[#This Row],[MARs]]/30+1)&amp;"Ma,"&amp;SIGN(T402-P[[#This Row],[Merc]])*INT(P[[#This Row],[Merc]]/30+1)&amp;"Me,"&amp;SIGN(U402-P[[#This Row],[Jup]])*INT(P[[#This Row],[Jup]]/30+1)&amp;"Ju,"&amp;SIGN(V402-P[[#This Row],[Venu]])*INT(P[[#This Row],[Venu]]/30+1)&amp;"Ve,"&amp;SIGN(W402-P[[#This Row],[Sat]])*INT(P[[#This Row],[Sat]]/30+1)&amp;"Sa,"&amp;INT(P[[#This Row],[Rah]]/30+1)&amp;"Ra"</f>
        <v>12Ma,10Me,8Ju,8Ve,9Sa,4Ra</v>
      </c>
      <c r="S401" s="124">
        <f ca="1">Planet(P[[#This Row],[GMT Sun Rise]],4)</f>
        <v>354.09723825903217</v>
      </c>
      <c r="T401" s="124">
        <f ca="1">Planet(P[[#This Row],[GMT Sun Rise]],2)</f>
        <v>282.25228155852096</v>
      </c>
      <c r="U401" s="124">
        <f ca="1">Planet(P[[#This Row],[GMT Sun Rise]],5)</f>
        <v>232.9540414412175</v>
      </c>
      <c r="V401" s="124">
        <f ca="1">Planet(P[[#This Row],[GMT Sun Rise]],3)</f>
        <v>238.08804401950241</v>
      </c>
      <c r="W401" s="124">
        <f ca="1">Planet(P[[#This Row],[GMT Sun Rise]],6)</f>
        <v>260.39964660057558</v>
      </c>
      <c r="X401" s="124">
        <f ca="1">Planet(P[[#This Row],[GMT Sun Rise]],10)</f>
        <v>92.016072730543641</v>
      </c>
      <c r="Y401" s="124">
        <f ca="1">SIGN(S402-P[[#This Row],[MARs]])</f>
        <v>1</v>
      </c>
    </row>
    <row r="402" spans="1:25" x14ac:dyDescent="0.2">
      <c r="A402" s="125">
        <f t="shared" ca="1" si="64"/>
        <v>43494</v>
      </c>
      <c r="B402" s="125">
        <f t="shared" ca="1" si="57"/>
        <v>43494.229166666664</v>
      </c>
      <c r="C402" s="127">
        <f t="shared" ca="1" si="58"/>
        <v>43494.27627361488</v>
      </c>
      <c r="D402" s="127">
        <f t="shared" ca="1" si="59"/>
        <v>43493.754952411211</v>
      </c>
      <c r="E402" s="189">
        <f ca="1">P[[#This Row],[SunRise]]-TimeZone/24</f>
        <v>43494.047106948216</v>
      </c>
      <c r="F402" s="190">
        <f t="shared" ca="1" si="60"/>
        <v>284.69859034231911</v>
      </c>
      <c r="G402" s="190">
        <f t="shared" ca="1" si="61"/>
        <v>208.74605763344474</v>
      </c>
      <c r="H402" s="191">
        <f t="shared" ca="1" si="62"/>
        <v>43494.047106948216</v>
      </c>
      <c r="I402" s="124" t="str">
        <f ca="1">naks(P[[#This Row],[Moon]])</f>
        <v>Visakha</v>
      </c>
      <c r="J402" s="127">
        <f ca="1">(C403-P[[#This Row],[SunRise]])/(G403-P[[#This Row],[Moon]])*(13.3333333333333-MOD(P[[#This Row],[Moon]],13.333333333333))+P[[#This Row],[SunRise]]</f>
        <v>43494.637485014144</v>
      </c>
      <c r="K402" s="124" t="str">
        <f ca="1">IF(P[[#This Row],[Tithi]]&gt;15,"K","S")&amp;ROUNDUP(MOD(P[[#This Row],[Tithi]],15),0)&amp;" ("&amp;ROUND(P[[#This Row],[Tithi]],2)&amp;")"</f>
        <v>K9 (23.67)</v>
      </c>
      <c r="L402" s="124">
        <f ca="1">IF(AND(P[[#This Row],[Tithi]]&lt;28.5,P[[#This Row],[Tithi]]&gt;0.49999),MOD((P[[#This Row],[Tithi]]-0.5)*2,7),MOD((P[[#This Row],[Tithi]]+30-28.5),30)*2+7)</f>
        <v>4.3414000000000001</v>
      </c>
      <c r="M402" s="124" t="str">
        <f ca="1">CHOOSE(ROUNDUP(P[[#This Row],[Karana1]],0),"Bhava","Baalava","Kaulava","Taitula","Garija","Vanija","Vishti","Shakuni","Chatushapda","Naaga","Kimstugna")</f>
        <v>Garija</v>
      </c>
      <c r="N40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(10.01)</v>
      </c>
      <c r="O402" s="124">
        <f ca="1">IF(AND(P[[#This Row],[Tithi]]&lt;28.5,P[[#This Row],[Tithi]]&gt;0.49999),MOD((P[[#This Row],[Tithi]]-0.5)*2,7),MOD((P[[#This Row],[Tithi]]+30-28.5),30)*2+7)</f>
        <v>4.3414000000000001</v>
      </c>
      <c r="P402" s="124">
        <f ca="1">ROUNDUP(MOD(360+P[[#This Row],[Moon]]-P[[#This Row],[Sun]],360)/12,4)</f>
        <v>23.6707</v>
      </c>
      <c r="Q402" s="124">
        <f t="shared" ca="1" si="63"/>
        <v>10.01</v>
      </c>
      <c r="R402" s="124" t="str">
        <f ca="1">SIGN(S403-P[[#This Row],[MARs]])*INT(P[[#This Row],[MARs]]/30+1)&amp;"Ma,"&amp;SIGN(T403-P[[#This Row],[Merc]])*INT(P[[#This Row],[Merc]]/30+1)&amp;"Me,"&amp;SIGN(U403-P[[#This Row],[Jup]])*INT(P[[#This Row],[Jup]]/30+1)&amp;"Ju,"&amp;SIGN(V403-P[[#This Row],[Venu]])*INT(P[[#This Row],[Venu]]/30+1)&amp;"Ve,"&amp;SIGN(W403-P[[#This Row],[Sat]])*INT(P[[#This Row],[Sat]]/30+1)&amp;"Sa,"&amp;INT(P[[#This Row],[Rah]]/30+1)&amp;"Ra"</f>
        <v>12Ma,10Me,8Ju,8Ve,9Sa,4Ra</v>
      </c>
      <c r="S402" s="124">
        <f ca="1">Planet(P[[#This Row],[GMT Sun Rise]],4)</f>
        <v>354.77452731793824</v>
      </c>
      <c r="T402" s="124">
        <f ca="1">Planet(P[[#This Row],[GMT Sun Rise]],2)</f>
        <v>283.95266778902266</v>
      </c>
      <c r="U402" s="124">
        <f ca="1">Planet(P[[#This Row],[GMT Sun Rise]],5)</f>
        <v>233.13229822444492</v>
      </c>
      <c r="V402" s="124">
        <f ca="1">Planet(P[[#This Row],[GMT Sun Rise]],3)</f>
        <v>239.21048255039861</v>
      </c>
      <c r="W402" s="124">
        <f ca="1">Planet(P[[#This Row],[GMT Sun Rise]],6)</f>
        <v>260.51120726610679</v>
      </c>
      <c r="X402" s="124">
        <f ca="1">Planet(P[[#This Row],[GMT Sun Rise]],10)</f>
        <v>91.963083909068274</v>
      </c>
      <c r="Y402" s="124">
        <f ca="1">SIGN(S403-P[[#This Row],[MARs]])</f>
        <v>1</v>
      </c>
    </row>
    <row r="403" spans="1:25" x14ac:dyDescent="0.2">
      <c r="A403" s="125">
        <f t="shared" ca="1" si="64"/>
        <v>43495</v>
      </c>
      <c r="B403" s="125">
        <f t="shared" ca="1" si="57"/>
        <v>43495.229166666664</v>
      </c>
      <c r="C403" s="127">
        <f t="shared" ca="1" si="58"/>
        <v>43495.276201294422</v>
      </c>
      <c r="D403" s="127">
        <f t="shared" ca="1" si="59"/>
        <v>43494.755272527735</v>
      </c>
      <c r="E403" s="189">
        <f ca="1">P[[#This Row],[SunRise]]-TimeZone/24</f>
        <v>43495.047034627758</v>
      </c>
      <c r="F403" s="190">
        <f t="shared" ca="1" si="60"/>
        <v>285.71449468766951</v>
      </c>
      <c r="G403" s="190">
        <f t="shared" ca="1" si="61"/>
        <v>221.44483722721213</v>
      </c>
      <c r="H403" s="191">
        <f t="shared" ca="1" si="62"/>
        <v>43495.047034627758</v>
      </c>
      <c r="I403" s="124" t="str">
        <f ca="1">naks(P[[#This Row],[Moon]])</f>
        <v>Anuradha</v>
      </c>
      <c r="J403" s="127">
        <f ca="1">(C404-P[[#This Row],[SunRise]])/(G404-P[[#This Row],[Moon]])*(13.3333333333333-MOD(P[[#This Row],[Moon]],13.333333333333))+P[[#This Row],[SunRise]]</f>
        <v>43495.696739228311</v>
      </c>
      <c r="K403" s="124" t="str">
        <f ca="1">IF(P[[#This Row],[Tithi]]&gt;15,"K","S")&amp;ROUNDUP(MOD(P[[#This Row],[Tithi]],15),0)&amp;" ("&amp;ROUND(P[[#This Row],[Tithi]],2)&amp;")"</f>
        <v>K10 (24.64)</v>
      </c>
      <c r="L403" s="124">
        <f ca="1">IF(AND(P[[#This Row],[Tithi]]&lt;28.5,P[[#This Row],[Tithi]]&gt;0.49999),MOD((P[[#This Row],[Tithi]]-0.5)*2,7),MOD((P[[#This Row],[Tithi]]+30-28.5),30)*2+7)</f>
        <v>6.2884000000000029</v>
      </c>
      <c r="M403" s="124" t="str">
        <f ca="1">CHOOSE(ROUNDUP(P[[#This Row],[Karana1]],0),"Bhava","Baalava","Kaulava","Taitula","Garija","Vanija","Vishti","Shakuni","Chatushapda","Naaga","Kimstugna")</f>
        <v>Vishti</v>
      </c>
      <c r="N40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(11.04)</v>
      </c>
      <c r="O403" s="124">
        <f ca="1">IF(AND(P[[#This Row],[Tithi]]&lt;28.5,P[[#This Row],[Tithi]]&gt;0.49999),MOD((P[[#This Row],[Tithi]]-0.5)*2,7),MOD((P[[#This Row],[Tithi]]+30-28.5),30)*2+7)</f>
        <v>6.2884000000000029</v>
      </c>
      <c r="P403" s="124">
        <f ca="1">ROUNDUP(MOD(360+P[[#This Row],[Moon]]-P[[#This Row],[Sun]],360)/12,4)</f>
        <v>24.644200000000001</v>
      </c>
      <c r="Q403" s="124">
        <f t="shared" ca="1" si="63"/>
        <v>11.04</v>
      </c>
      <c r="R403" s="124" t="str">
        <f ca="1">SIGN(S404-P[[#This Row],[MARs]])*INT(P[[#This Row],[MARs]]/30+1)&amp;"Ma,"&amp;SIGN(T404-P[[#This Row],[Merc]])*INT(P[[#This Row],[Merc]]/30+1)&amp;"Me,"&amp;SIGN(U404-P[[#This Row],[Jup]])*INT(P[[#This Row],[Jup]]/30+1)&amp;"Ju,"&amp;SIGN(V404-P[[#This Row],[Venu]])*INT(P[[#This Row],[Venu]]/30+1)&amp;"Ve,"&amp;SIGN(W404-P[[#This Row],[Sat]])*INT(P[[#This Row],[Sat]]/30+1)&amp;"Sa,"&amp;INT(P[[#This Row],[Rah]]/30+1)&amp;"Ra"</f>
        <v>12Ma,10Me,8Ju,9Ve,9Sa,4Ra</v>
      </c>
      <c r="S403" s="124">
        <f ca="1">Planet(P[[#This Row],[GMT Sun Rise]],4)</f>
        <v>355.45181889826449</v>
      </c>
      <c r="T403" s="124">
        <f ca="1">Planet(P[[#This Row],[GMT Sun Rise]],2)</f>
        <v>285.6640044875187</v>
      </c>
      <c r="U403" s="124">
        <f ca="1">Planet(P[[#This Row],[GMT Sun Rise]],5)</f>
        <v>233.30902567523134</v>
      </c>
      <c r="V403" s="124">
        <f ca="1">Planet(P[[#This Row],[GMT Sun Rise]],3)</f>
        <v>240.33596866854137</v>
      </c>
      <c r="W403" s="124">
        <f ca="1">Planet(P[[#This Row],[GMT Sun Rise]],6)</f>
        <v>260.62226079518422</v>
      </c>
      <c r="X403" s="124">
        <f ca="1">Planet(P[[#This Row],[GMT Sun Rise]],10)</f>
        <v>91.910095744581596</v>
      </c>
      <c r="Y403" s="124">
        <f ca="1">SIGN(S404-P[[#This Row],[MARs]])</f>
        <v>1</v>
      </c>
    </row>
    <row r="404" spans="1:25" x14ac:dyDescent="0.2">
      <c r="A404" s="125">
        <f t="shared" ca="1" si="64"/>
        <v>43496</v>
      </c>
      <c r="B404" s="125">
        <f t="shared" ca="1" si="57"/>
        <v>43496.229166666664</v>
      </c>
      <c r="C404" s="127">
        <f t="shared" ca="1" si="58"/>
        <v>43496.276116417408</v>
      </c>
      <c r="D404" s="127">
        <f t="shared" ca="1" si="59"/>
        <v>43495.755586604631</v>
      </c>
      <c r="E404" s="189">
        <f ca="1">P[[#This Row],[SunRise]]-TimeZone/24</f>
        <v>43496.046949750744</v>
      </c>
      <c r="F404" s="190">
        <f t="shared" ca="1" si="60"/>
        <v>286.73019112851341</v>
      </c>
      <c r="G404" s="190">
        <f t="shared" ca="1" si="61"/>
        <v>233.86080688262814</v>
      </c>
      <c r="H404" s="191">
        <f t="shared" ca="1" si="62"/>
        <v>43496.046949750744</v>
      </c>
      <c r="I404" s="124" t="str">
        <f ca="1">naks(P[[#This Row],[Moon]])</f>
        <v>Jyestha</v>
      </c>
      <c r="J404" s="127">
        <f ca="1">(C405-P[[#This Row],[SunRise]])/(G405-P[[#This Row],[Moon]])*(13.3333333333333-MOD(P[[#This Row],[Moon]],13.333333333333))+P[[#This Row],[SunRise]]</f>
        <v>43496.779567447069</v>
      </c>
      <c r="K404" s="124" t="str">
        <f ca="1">IF(P[[#This Row],[Tithi]]&gt;15,"K","S")&amp;ROUNDUP(MOD(P[[#This Row],[Tithi]],15),0)&amp;" ("&amp;ROUND(P[[#This Row],[Tithi]],2)&amp;")"</f>
        <v>K11 (25.59)</v>
      </c>
      <c r="L404" s="124">
        <f ca="1">IF(AND(P[[#This Row],[Tithi]]&lt;28.5,P[[#This Row],[Tithi]]&gt;0.49999),MOD((P[[#This Row],[Tithi]]-0.5)*2,7),MOD((P[[#This Row],[Tithi]]+30-28.5),30)*2+7)</f>
        <v>1.188600000000001</v>
      </c>
      <c r="M404" s="124" t="str">
        <f ca="1">CHOOSE(ROUNDUP(P[[#This Row],[Karana1]],0),"Bhava","Baalava","Kaulava","Taitula","Garija","Vanija","Vishti","Shakuni","Chatushapda","Naaga","Kimstugna")</f>
        <v>Baalava</v>
      </c>
      <c r="N40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(12.05)</v>
      </c>
      <c r="O404" s="124">
        <f ca="1">IF(AND(P[[#This Row],[Tithi]]&lt;28.5,P[[#This Row],[Tithi]]&gt;0.49999),MOD((P[[#This Row],[Tithi]]-0.5)*2,7),MOD((P[[#This Row],[Tithi]]+30-28.5),30)*2+7)</f>
        <v>1.188600000000001</v>
      </c>
      <c r="P404" s="124">
        <f ca="1">ROUNDUP(MOD(360+P[[#This Row],[Moon]]-P[[#This Row],[Sun]],360)/12,4)</f>
        <v>25.5943</v>
      </c>
      <c r="Q404" s="124">
        <f t="shared" ca="1" si="63"/>
        <v>12.049999999999999</v>
      </c>
      <c r="R404" s="124" t="str">
        <f ca="1">SIGN(S405-P[[#This Row],[MARs]])*INT(P[[#This Row],[MARs]]/30+1)&amp;"Ma,"&amp;SIGN(T405-P[[#This Row],[Merc]])*INT(P[[#This Row],[Merc]]/30+1)&amp;"Me,"&amp;SIGN(U405-P[[#This Row],[Jup]])*INT(P[[#This Row],[Jup]]/30+1)&amp;"Ju,"&amp;SIGN(V405-P[[#This Row],[Venu]])*INT(P[[#This Row],[Venu]]/30+1)&amp;"Ve,"&amp;SIGN(W405-P[[#This Row],[Sat]])*INT(P[[#This Row],[Sat]]/30+1)&amp;"Sa,"&amp;INT(P[[#This Row],[Rah]]/30+1)&amp;"Ra"</f>
        <v>12Ma,10Me,8Ju,9Ve,9Sa,4Ra</v>
      </c>
      <c r="S404" s="124">
        <f ca="1">Planet(P[[#This Row],[GMT Sun Rise]],4)</f>
        <v>356.12910783322639</v>
      </c>
      <c r="T404" s="124">
        <f ca="1">Planet(P[[#This Row],[GMT Sun Rise]],2)</f>
        <v>287.38631846691788</v>
      </c>
      <c r="U404" s="124">
        <f ca="1">Planet(P[[#This Row],[GMT Sun Rise]],5)</f>
        <v>233.48419300618366</v>
      </c>
      <c r="V404" s="124">
        <f ca="1">Planet(P[[#This Row],[GMT Sun Rise]],3)</f>
        <v>241.46438509664074</v>
      </c>
      <c r="W404" s="124">
        <f ca="1">Planet(P[[#This Row],[GMT Sun Rise]],6)</f>
        <v>260.7327869540448</v>
      </c>
      <c r="X404" s="124">
        <f ca="1">Planet(P[[#This Row],[GMT Sun Rise]],10)</f>
        <v>91.857108245533652</v>
      </c>
      <c r="Y404" s="124">
        <f ca="1">SIGN(S405-P[[#This Row],[MARs]])</f>
        <v>1</v>
      </c>
    </row>
    <row r="405" spans="1:25" x14ac:dyDescent="0.2">
      <c r="A405" s="125">
        <f t="shared" ca="1" si="64"/>
        <v>43497</v>
      </c>
      <c r="B405" s="125">
        <f t="shared" ca="1" si="57"/>
        <v>43497.229166666664</v>
      </c>
      <c r="C405" s="127">
        <f t="shared" ca="1" si="58"/>
        <v>43497.276019142628</v>
      </c>
      <c r="D405" s="127">
        <f t="shared" ca="1" si="59"/>
        <v>43496.755894800226</v>
      </c>
      <c r="E405" s="189">
        <f ca="1">P[[#This Row],[SunRise]]-TimeZone/24</f>
        <v>43497.046852475964</v>
      </c>
      <c r="F405" s="190">
        <f t="shared" ca="1" si="60"/>
        <v>287.74566119608056</v>
      </c>
      <c r="G405" s="190">
        <f t="shared" ca="1" si="61"/>
        <v>246.0538416904069</v>
      </c>
      <c r="H405" s="191">
        <f t="shared" ca="1" si="62"/>
        <v>43497.046852475964</v>
      </c>
      <c r="I405" s="124" t="str">
        <f ca="1">naks(P[[#This Row],[Moon]])</f>
        <v>Moola</v>
      </c>
      <c r="J405" s="127">
        <f ca="1">(C406-P[[#This Row],[SunRise]])/(G406-P[[#This Row],[Moon]])*(13.3333333333333-MOD(P[[#This Row],[Moon]],13.333333333333))+P[[#This Row],[SunRise]]</f>
        <v>43497.881250079045</v>
      </c>
      <c r="K405" s="124" t="str">
        <f ca="1">IF(P[[#This Row],[Tithi]]&gt;15,"K","S")&amp;ROUNDUP(MOD(P[[#This Row],[Tithi]],15),0)&amp;" ("&amp;ROUND(P[[#This Row],[Tithi]],2)&amp;")"</f>
        <v>K12 (26.53)</v>
      </c>
      <c r="L405" s="124">
        <f ca="1">IF(AND(P[[#This Row],[Tithi]]&lt;28.5,P[[#This Row],[Tithi]]&gt;0.49999),MOD((P[[#This Row],[Tithi]]-0.5)*2,7),MOD((P[[#This Row],[Tithi]]+30-28.5),30)*2+7)</f>
        <v>3.051400000000001</v>
      </c>
      <c r="M405" s="124" t="str">
        <f ca="1">CHOOSE(ROUNDUP(P[[#This Row],[Karana1]],0),"Bhava","Baalava","Kaulava","Taitula","Garija","Vanija","Vishti","Shakuni","Chatushapda","Naaga","Kimstugna")</f>
        <v>Taitula</v>
      </c>
      <c r="N40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(13.04)</v>
      </c>
      <c r="O405" s="124">
        <f ca="1">IF(AND(P[[#This Row],[Tithi]]&lt;28.5,P[[#This Row],[Tithi]]&gt;0.49999),MOD((P[[#This Row],[Tithi]]-0.5)*2,7),MOD((P[[#This Row],[Tithi]]+30-28.5),30)*2+7)</f>
        <v>3.051400000000001</v>
      </c>
      <c r="P405" s="124">
        <f ca="1">ROUNDUP(MOD(360+P[[#This Row],[Moon]]-P[[#This Row],[Sun]],360)/12,4)</f>
        <v>26.525700000000001</v>
      </c>
      <c r="Q405" s="124">
        <f t="shared" ca="1" si="63"/>
        <v>13.04</v>
      </c>
      <c r="R405" s="124" t="str">
        <f ca="1">SIGN(S406-P[[#This Row],[MARs]])*INT(P[[#This Row],[MARs]]/30+1)&amp;"Ma,"&amp;SIGN(T406-P[[#This Row],[Merc]])*INT(P[[#This Row],[Merc]]/30+1)&amp;"Me,"&amp;SIGN(U406-P[[#This Row],[Jup]])*INT(P[[#This Row],[Jup]]/30+1)&amp;"Ju,"&amp;SIGN(V406-P[[#This Row],[Venu]])*INT(P[[#This Row],[Venu]]/30+1)&amp;"Ve,"&amp;SIGN(W406-P[[#This Row],[Sat]])*INT(P[[#This Row],[Sat]]/30+1)&amp;"Sa,"&amp;INT(P[[#This Row],[Rah]]/30+1)&amp;"Ra"</f>
        <v>12Ma,10Me,8Ju,9Ve,9Sa,4Ra</v>
      </c>
      <c r="S405" s="124">
        <f ca="1">Planet(P[[#This Row],[GMT Sun Rise]],4)</f>
        <v>356.80638724008759</v>
      </c>
      <c r="T405" s="124">
        <f ca="1">Planet(P[[#This Row],[GMT Sun Rise]],2)</f>
        <v>289.11956601115872</v>
      </c>
      <c r="U405" s="124">
        <f ca="1">Planet(P[[#This Row],[GMT Sun Rise]],5)</f>
        <v>233.65776944023216</v>
      </c>
      <c r="V405" s="124">
        <f ca="1">Planet(P[[#This Row],[GMT Sun Rise]],3)</f>
        <v>242.59561926551152</v>
      </c>
      <c r="W405" s="124">
        <f ca="1">Planet(P[[#This Row],[GMT Sun Rise]],6)</f>
        <v>260.84276543299956</v>
      </c>
      <c r="X405" s="124">
        <f ca="1">Planet(P[[#This Row],[GMT Sun Rise]],10)</f>
        <v>91.804121403441144</v>
      </c>
      <c r="Y405" s="124">
        <f ca="1">SIGN(S406-P[[#This Row],[MARs]])</f>
        <v>1</v>
      </c>
    </row>
    <row r="406" spans="1:25" x14ac:dyDescent="0.2">
      <c r="A406" s="125">
        <f t="shared" ca="1" si="64"/>
        <v>43498</v>
      </c>
      <c r="B406" s="125">
        <f t="shared" ca="1" si="57"/>
        <v>43498.229166666664</v>
      </c>
      <c r="C406" s="127">
        <f t="shared" ca="1" si="58"/>
        <v>43498.275909470081</v>
      </c>
      <c r="D406" s="127">
        <f t="shared" ca="1" si="59"/>
        <v>43497.756196796938</v>
      </c>
      <c r="E406" s="189">
        <f ca="1">P[[#This Row],[SunRise]]-TimeZone/24</f>
        <v>43498.046742803417</v>
      </c>
      <c r="F406" s="190">
        <f t="shared" ca="1" si="60"/>
        <v>288.760884704852</v>
      </c>
      <c r="G406" s="190">
        <f t="shared" ca="1" si="61"/>
        <v>258.08014907909552</v>
      </c>
      <c r="H406" s="191">
        <f t="shared" ca="1" si="62"/>
        <v>43498.046742803417</v>
      </c>
      <c r="I406" s="124" t="str">
        <f ca="1">naks(P[[#This Row],[Moon]])</f>
        <v>Purva Asadha</v>
      </c>
      <c r="J406" s="127">
        <f ca="1">(C407-P[[#This Row],[SunRise]])/(G407-P[[#This Row],[Moon]])*(13.3333333333333-MOD(P[[#This Row],[Moon]],13.333333333333))+P[[#This Row],[SunRise]]</f>
        <v>43498.996789791199</v>
      </c>
      <c r="K406" s="124" t="str">
        <f ca="1">IF(P[[#This Row],[Tithi]]&gt;15,"K","S")&amp;ROUNDUP(MOD(P[[#This Row],[Tithi]],15),0)&amp;" ("&amp;ROUND(P[[#This Row],[Tithi]],2)&amp;")"</f>
        <v>K13 (27.44)</v>
      </c>
      <c r="L406" s="124">
        <f ca="1">IF(AND(P[[#This Row],[Tithi]]&lt;28.5,P[[#This Row],[Tithi]]&gt;0.49999),MOD((P[[#This Row],[Tithi]]-0.5)*2,7),MOD((P[[#This Row],[Tithi]]+30-28.5),30)*2+7)</f>
        <v>4.8866000000000014</v>
      </c>
      <c r="M406" s="124" t="str">
        <f ca="1">CHOOSE(ROUNDUP(P[[#This Row],[Karana1]],0),"Bhava","Baalava","Kaulava","Taitula","Garija","Vanija","Vishti","Shakuni","Chatushapda","Naaga","Kimstugna")</f>
        <v>Garija</v>
      </c>
      <c r="N40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(14.02)</v>
      </c>
      <c r="O406" s="124">
        <f ca="1">IF(AND(P[[#This Row],[Tithi]]&lt;28.5,P[[#This Row],[Tithi]]&gt;0.49999),MOD((P[[#This Row],[Tithi]]-0.5)*2,7),MOD((P[[#This Row],[Tithi]]+30-28.5),30)*2+7)</f>
        <v>4.8866000000000014</v>
      </c>
      <c r="P406" s="124">
        <f ca="1">ROUNDUP(MOD(360+P[[#This Row],[Moon]]-P[[#This Row],[Sun]],360)/12,4)</f>
        <v>27.443300000000001</v>
      </c>
      <c r="Q406" s="124">
        <f t="shared" ca="1" si="63"/>
        <v>14.02</v>
      </c>
      <c r="R406" s="124" t="str">
        <f ca="1">SIGN(S407-P[[#This Row],[MARs]])*INT(P[[#This Row],[MARs]]/30+1)&amp;"Ma,"&amp;SIGN(T407-P[[#This Row],[Merc]])*INT(P[[#This Row],[Merc]]/30+1)&amp;"Me,"&amp;SIGN(U407-P[[#This Row],[Jup]])*INT(P[[#This Row],[Jup]]/30+1)&amp;"Ju,"&amp;SIGN(V407-P[[#This Row],[Venu]])*INT(P[[#This Row],[Venu]]/30+1)&amp;"Ve,"&amp;SIGN(W407-P[[#This Row],[Sat]])*INT(P[[#This Row],[Sat]]/30+1)&amp;"Sa,"&amp;INT(P[[#This Row],[Rah]]/30+1)&amp;"Ra"</f>
        <v>12Ma,10Me,8Ju,9Ve,9Sa,4Ra</v>
      </c>
      <c r="S406" s="124">
        <f ca="1">Planet(P[[#This Row],[GMT Sun Rise]],4)</f>
        <v>357.4836482930142</v>
      </c>
      <c r="T406" s="124">
        <f ca="1">Planet(P[[#This Row],[GMT Sun Rise]],2)</f>
        <v>290.86362053149691</v>
      </c>
      <c r="U406" s="124">
        <f ca="1">Planet(P[[#This Row],[GMT Sun Rise]],5)</f>
        <v>233.82972423420196</v>
      </c>
      <c r="V406" s="124">
        <f ca="1">Planet(P[[#This Row],[GMT Sun Rise]],3)</f>
        <v>243.7295630350408</v>
      </c>
      <c r="W406" s="124">
        <f ca="1">Planet(P[[#This Row],[GMT Sun Rise]],6)</f>
        <v>260.95217586541617</v>
      </c>
      <c r="X406" s="124">
        <f ca="1">Planet(P[[#This Row],[GMT Sun Rise]],10)</f>
        <v>91.751135218320741</v>
      </c>
      <c r="Y406" s="124">
        <f ca="1">SIGN(S407-P[[#This Row],[MARs]])</f>
        <v>1</v>
      </c>
    </row>
    <row r="407" spans="1:25" x14ac:dyDescent="0.2">
      <c r="A407" s="125">
        <f t="shared" ca="1" si="64"/>
        <v>43499</v>
      </c>
      <c r="B407" s="125">
        <f t="shared" ca="1" si="57"/>
        <v>43499.229166666664</v>
      </c>
      <c r="C407" s="127">
        <f t="shared" ca="1" si="58"/>
        <v>43499.275787558559</v>
      </c>
      <c r="D407" s="127">
        <f t="shared" ca="1" si="59"/>
        <v>43498.756492435976</v>
      </c>
      <c r="E407" s="189">
        <f ca="1">P[[#This Row],[SunRise]]-TimeZone/24</f>
        <v>43499.046620891895</v>
      </c>
      <c r="F407" s="190">
        <f t="shared" ca="1" si="60"/>
        <v>289.77584054511965</v>
      </c>
      <c r="G407" s="190">
        <f t="shared" ca="1" si="61"/>
        <v>269.98985245234383</v>
      </c>
      <c r="H407" s="191">
        <f t="shared" ca="1" si="62"/>
        <v>43499.046620891895</v>
      </c>
      <c r="I407" s="124" t="str">
        <f ca="1">naks(P[[#This Row],[Moon]])</f>
        <v>Uttara Asadha</v>
      </c>
      <c r="J407" s="127">
        <f ca="1">(C408-P[[#This Row],[SunRise]])/(G408-P[[#This Row],[Moon]])*(13.3333333333333-MOD(P[[#This Row],[Moon]],13.333333333333))+P[[#This Row],[SunRise]]</f>
        <v>43500.121368980297</v>
      </c>
      <c r="K407" s="124" t="str">
        <f ca="1">IF(P[[#This Row],[Tithi]]&gt;15,"K","S")&amp;ROUNDUP(MOD(P[[#This Row],[Tithi]],15),0)&amp;" ("&amp;ROUND(P[[#This Row],[Tithi]],2)&amp;")"</f>
        <v>K14 (28.35)</v>
      </c>
      <c r="L407" s="124">
        <f ca="1">IF(AND(P[[#This Row],[Tithi]]&lt;28.5,P[[#This Row],[Tithi]]&gt;0.49999),MOD((P[[#This Row],[Tithi]]-0.5)*2,7),MOD((P[[#This Row],[Tithi]]+30-28.5),30)*2+7)</f>
        <v>6.7023999999999972</v>
      </c>
      <c r="M407" s="124" t="str">
        <f ca="1">CHOOSE(ROUNDUP(P[[#This Row],[Karana1]],0),"Bhava","Baalava","Kaulava","Taitula","Garija","Vanija","Vishti","Shakuni","Chatushapda","Naaga","Kimstugna")</f>
        <v>Vishti</v>
      </c>
      <c r="N40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(14.99)</v>
      </c>
      <c r="O407" s="124">
        <f ca="1">IF(AND(P[[#This Row],[Tithi]]&lt;28.5,P[[#This Row],[Tithi]]&gt;0.49999),MOD((P[[#This Row],[Tithi]]-0.5)*2,7),MOD((P[[#This Row],[Tithi]]+30-28.5),30)*2+7)</f>
        <v>6.7023999999999972</v>
      </c>
      <c r="P407" s="124">
        <f ca="1">ROUNDUP(MOD(360+P[[#This Row],[Moon]]-P[[#This Row],[Sun]],360)/12,4)</f>
        <v>28.351199999999999</v>
      </c>
      <c r="Q407" s="124">
        <f t="shared" ca="1" si="63"/>
        <v>14.99</v>
      </c>
      <c r="R407" s="124" t="str">
        <f ca="1">SIGN(S408-P[[#This Row],[MARs]])*INT(P[[#This Row],[MARs]]/30+1)&amp;"Ma,"&amp;SIGN(T408-P[[#This Row],[Merc]])*INT(P[[#This Row],[Merc]]/30+1)&amp;"Me,"&amp;SIGN(U408-P[[#This Row],[Jup]])*INT(P[[#This Row],[Jup]]/30+1)&amp;"Ju,"&amp;SIGN(V408-P[[#This Row],[Venu]])*INT(P[[#This Row],[Venu]]/30+1)&amp;"Ve,"&amp;SIGN(W408-P[[#This Row],[Sat]])*INT(P[[#This Row],[Sat]]/30+1)&amp;"Sa,"&amp;INT(P[[#This Row],[Rah]]/30+1)&amp;"Ra"</f>
        <v>12Ma,10Me,8Ju,9Ve,9Sa,4Ra</v>
      </c>
      <c r="S407" s="124">
        <f ca="1">Planet(P[[#This Row],[GMT Sun Rise]],4)</f>
        <v>358.16088059768481</v>
      </c>
      <c r="T407" s="124">
        <f ca="1">Planet(P[[#This Row],[GMT Sun Rise]],2)</f>
        <v>292.61825384952152</v>
      </c>
      <c r="U407" s="124">
        <f ca="1">Planet(P[[#This Row],[GMT Sun Rise]],5)</f>
        <v>234.00002682078616</v>
      </c>
      <c r="V407" s="124">
        <f ca="1">Planet(P[[#This Row],[GMT Sun Rise]],3)</f>
        <v>244.8661131849905</v>
      </c>
      <c r="W407" s="124">
        <f ca="1">Planet(P[[#This Row],[GMT Sun Rise]],6)</f>
        <v>261.06099792233942</v>
      </c>
      <c r="X407" s="124">
        <f ca="1">Planet(P[[#This Row],[GMT Sun Rise]],10)</f>
        <v>91.69814968182169</v>
      </c>
      <c r="Y407" s="124">
        <f ca="1">SIGN(S408-P[[#This Row],[MARs]])</f>
        <v>1</v>
      </c>
    </row>
    <row r="408" spans="1:25" x14ac:dyDescent="0.2">
      <c r="A408" s="125">
        <f t="shared" ca="1" si="64"/>
        <v>43500</v>
      </c>
      <c r="B408" s="125">
        <f t="shared" ca="1" si="57"/>
        <v>43500.229166666664</v>
      </c>
      <c r="C408" s="127">
        <f t="shared" ca="1" si="58"/>
        <v>43500.275653249737</v>
      </c>
      <c r="D408" s="127">
        <f t="shared" ca="1" si="59"/>
        <v>43499.75678171734</v>
      </c>
      <c r="E408" s="189">
        <f ca="1">P[[#This Row],[SunRise]]-TimeZone/24</f>
        <v>43500.046486583073</v>
      </c>
      <c r="F408" s="190">
        <f t="shared" ca="1" si="60"/>
        <v>290.79050660950941</v>
      </c>
      <c r="G408" s="190">
        <f t="shared" ca="1" si="61"/>
        <v>281.82644540388662</v>
      </c>
      <c r="H408" s="191">
        <f t="shared" ca="1" si="62"/>
        <v>43500.046486583073</v>
      </c>
      <c r="I408" s="124" t="str">
        <f ca="1">naks(P[[#This Row],[Moon]])</f>
        <v>Sravana</v>
      </c>
      <c r="J408" s="127">
        <f ca="1">(C409-P[[#This Row],[SunRise]])/(G409-P[[#This Row],[Moon]])*(13.3333333333333-MOD(P[[#This Row],[Moon]],13.333333333333))+P[[#This Row],[SunRise]]</f>
        <v>43501.250562121051</v>
      </c>
      <c r="K408" s="124" t="str">
        <f ca="1">IF(P[[#This Row],[Tithi]]&gt;15,"K","S")&amp;ROUNDUP(MOD(P[[#This Row],[Tithi]],15),0)&amp;" ("&amp;ROUND(P[[#This Row],[Tithi]],2)&amp;")"</f>
        <v>K15 (29.25)</v>
      </c>
      <c r="L408" s="124">
        <f ca="1">IF(AND(P[[#This Row],[Tithi]]&lt;28.5,P[[#This Row],[Tithi]]&gt;0.49999),MOD((P[[#This Row],[Tithi]]-0.5)*2,7),MOD((P[[#This Row],[Tithi]]+30-28.5),30)*2+7)</f>
        <v>8.5060000000000002</v>
      </c>
      <c r="M408" s="124" t="str">
        <f ca="1">CHOOSE(ROUNDUP(P[[#This Row],[Karana1]],0),"Bhava","Baalava","Kaulava","Taitula","Garija","Vanija","Vishti","Shakuni","Chatushapda","Naaga","Kimstugna")</f>
        <v>Chatushapda</v>
      </c>
      <c r="N40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(15.95)</v>
      </c>
      <c r="O408" s="124">
        <f ca="1">IF(AND(P[[#This Row],[Tithi]]&lt;28.5,P[[#This Row],[Tithi]]&gt;0.49999),MOD((P[[#This Row],[Tithi]]-0.5)*2,7),MOD((P[[#This Row],[Tithi]]+30-28.5),30)*2+7)</f>
        <v>8.5060000000000002</v>
      </c>
      <c r="P408" s="124">
        <f ca="1">ROUNDUP(MOD(360+P[[#This Row],[Moon]]-P[[#This Row],[Sun]],360)/12,4)</f>
        <v>29.253</v>
      </c>
      <c r="Q408" s="124">
        <f t="shared" ca="1" si="63"/>
        <v>15.95</v>
      </c>
      <c r="R408" s="124" t="str">
        <f ca="1">SIGN(S409-P[[#This Row],[MARs]])*INT(P[[#This Row],[MARs]]/30+1)&amp;"Ma,"&amp;SIGN(T409-P[[#This Row],[Merc]])*INT(P[[#This Row],[Merc]]/30+1)&amp;"Me,"&amp;SIGN(U409-P[[#This Row],[Jup]])*INT(P[[#This Row],[Jup]]/30+1)&amp;"Ju,"&amp;SIGN(V409-P[[#This Row],[Venu]])*INT(P[[#This Row],[Venu]]/30+1)&amp;"Ve,"&amp;SIGN(W409-P[[#This Row],[Sat]])*INT(P[[#This Row],[Sat]]/30+1)&amp;"Sa,"&amp;INT(P[[#This Row],[Rah]]/30+1)&amp;"Ra"</f>
        <v>12Ma,10Me,8Ju,9Ve,9Sa,4Ra</v>
      </c>
      <c r="S408" s="124">
        <f ca="1">Planet(P[[#This Row],[GMT Sun Rise]],4)</f>
        <v>358.8380720660677</v>
      </c>
      <c r="T408" s="124">
        <f ca="1">Planet(P[[#This Row],[GMT Sun Rise]],2)</f>
        <v>294.38311316852833</v>
      </c>
      <c r="U408" s="124">
        <f ca="1">Planet(P[[#This Row],[GMT Sun Rise]],5)</f>
        <v>234.16864679266942</v>
      </c>
      <c r="V408" s="124">
        <f ca="1">Planet(P[[#This Row],[GMT Sun Rise]],3)</f>
        <v>246.00517089687634</v>
      </c>
      <c r="W408" s="124">
        <f ca="1">Planet(P[[#This Row],[GMT Sun Rise]],6)</f>
        <v>261.16921131526635</v>
      </c>
      <c r="X408" s="124">
        <f ca="1">Planet(P[[#This Row],[GMT Sun Rise]],10)</f>
        <v>91.645164802228493</v>
      </c>
      <c r="Y408" s="124">
        <f ca="1">SIGN(S409-P[[#This Row],[MARs]])</f>
        <v>1</v>
      </c>
    </row>
    <row r="409" spans="1:25" x14ac:dyDescent="0.2">
      <c r="A409" s="125">
        <f t="shared" ca="1" si="64"/>
        <v>43501</v>
      </c>
      <c r="B409" s="125">
        <f t="shared" ca="1" si="57"/>
        <v>43501.229166666664</v>
      </c>
      <c r="C409" s="127">
        <f t="shared" ca="1" si="58"/>
        <v>43501.275506860729</v>
      </c>
      <c r="D409" s="127">
        <f t="shared" ca="1" si="59"/>
        <v>43500.757064322985</v>
      </c>
      <c r="E409" s="189">
        <f ca="1">P[[#This Row],[SunRise]]-TimeZone/24</f>
        <v>43501.046340194065</v>
      </c>
      <c r="F409" s="190">
        <f t="shared" ca="1" si="60"/>
        <v>291.80486092014308</v>
      </c>
      <c r="G409" s="190">
        <f t="shared" ca="1" si="61"/>
        <v>293.62775708134808</v>
      </c>
      <c r="H409" s="191">
        <f t="shared" ca="1" si="62"/>
        <v>43501.046340194065</v>
      </c>
      <c r="I409" s="124" t="str">
        <f ca="1">naks(P[[#This Row],[Moon]])</f>
        <v>Dhanistha</v>
      </c>
      <c r="J409" s="127">
        <f ca="1">(C410-P[[#This Row],[SunRise]])/(G410-P[[#This Row],[Moon]])*(13.3333333333333-MOD(P[[#This Row],[Moon]],13.333333333333))+P[[#This Row],[SunRise]]</f>
        <v>43502.380303086793</v>
      </c>
      <c r="K409" s="124" t="str">
        <f ca="1">IF(P[[#This Row],[Tithi]]&gt;15,"K","S")&amp;ROUNDUP(MOD(P[[#This Row],[Tithi]],15),0)&amp;" ("&amp;ROUND(P[[#This Row],[Tithi]],2)&amp;")"</f>
        <v>S1 (0.15)</v>
      </c>
      <c r="L409" s="124">
        <f ca="1">IF(AND(P[[#This Row],[Tithi]]&lt;28.5,P[[#This Row],[Tithi]]&gt;0.49999),MOD((P[[#This Row],[Tithi]]-0.5)*2,7),MOD((P[[#This Row],[Tithi]]+30-28.5),30)*2+7)</f>
        <v>10.304000000000002</v>
      </c>
      <c r="M409" s="124" t="str">
        <f ca="1">CHOOSE(ROUNDUP(P[[#This Row],[Karana1]],0),"Bhava","Baalava","Kaulava","Taitula","Garija","Vanija","Vishti","Shakuni","Chatushapda","Naaga","Kimstugna")</f>
        <v>Kimstugna</v>
      </c>
      <c r="N40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(16.91)</v>
      </c>
      <c r="O409" s="124">
        <f ca="1">IF(AND(P[[#This Row],[Tithi]]&lt;28.5,P[[#This Row],[Tithi]]&gt;0.49999),MOD((P[[#This Row],[Tithi]]-0.5)*2,7),MOD((P[[#This Row],[Tithi]]+30-28.5),30)*2+7)</f>
        <v>10.304000000000002</v>
      </c>
      <c r="P409" s="124">
        <f ca="1">ROUNDUP(MOD(360+P[[#This Row],[Moon]]-P[[#This Row],[Sun]],360)/12,4)</f>
        <v>0.152</v>
      </c>
      <c r="Q409" s="124">
        <f t="shared" ca="1" si="63"/>
        <v>16.91</v>
      </c>
      <c r="R409" s="124" t="str">
        <f ca="1">SIGN(S410-P[[#This Row],[MARs]])*INT(P[[#This Row],[MARs]]/30+1)&amp;"Ma,"&amp;SIGN(T410-P[[#This Row],[Merc]])*INT(P[[#This Row],[Merc]]/30+1)&amp;"Me,"&amp;SIGN(U410-P[[#This Row],[Jup]])*INT(P[[#This Row],[Jup]]/30+1)&amp;"Ju,"&amp;SIGN(V410-P[[#This Row],[Venu]])*INT(P[[#This Row],[Venu]]/30+1)&amp;"Ve,"&amp;SIGN(W410-P[[#This Row],[Sat]])*INT(P[[#This Row],[Sat]]/30+1)&amp;"Sa,"&amp;INT(P[[#This Row],[Rah]]/30+1)&amp;"Ra"</f>
        <v>-12Ma,10Me,8Ju,9Ve,9Sa,4Ra</v>
      </c>
      <c r="S409" s="124">
        <f ca="1">Planet(P[[#This Row],[GMT Sun Rise]],4)</f>
        <v>359.51520963800328</v>
      </c>
      <c r="T409" s="124">
        <f ca="1">Planet(P[[#This Row],[GMT Sun Rise]],2)</f>
        <v>296.15769829747643</v>
      </c>
      <c r="U409" s="124">
        <f ca="1">Planet(P[[#This Row],[GMT Sun Rise]],5)</f>
        <v>234.33555408641996</v>
      </c>
      <c r="V409" s="124">
        <f ca="1">Planet(P[[#This Row],[GMT Sun Rise]],3)</f>
        <v>247.14664259819705</v>
      </c>
      <c r="W409" s="124">
        <f ca="1">Planet(P[[#This Row],[GMT Sun Rise]],6)</f>
        <v>261.27679592237217</v>
      </c>
      <c r="X409" s="124">
        <f ca="1">Planet(P[[#This Row],[GMT Sun Rise]],10)</f>
        <v>91.592180562823216</v>
      </c>
      <c r="Y409" s="124">
        <f ca="1">SIGN(S410-P[[#This Row],[MARs]])</f>
        <v>-1</v>
      </c>
    </row>
    <row r="410" spans="1:25" x14ac:dyDescent="0.2">
      <c r="A410" s="125">
        <f t="shared" ca="1" si="64"/>
        <v>43502</v>
      </c>
      <c r="B410" s="125">
        <f t="shared" ca="1" si="57"/>
        <v>43502.229166666664</v>
      </c>
      <c r="C410" s="127">
        <f t="shared" ca="1" si="58"/>
        <v>43502.275348391537</v>
      </c>
      <c r="D410" s="127">
        <f t="shared" ca="1" si="59"/>
        <v>43501.757340411699</v>
      </c>
      <c r="E410" s="189">
        <f ca="1">P[[#This Row],[SunRise]]-TimeZone/24</f>
        <v>43502.046181724872</v>
      </c>
      <c r="F410" s="190">
        <f t="shared" ca="1" si="60"/>
        <v>292.81888109450512</v>
      </c>
      <c r="G410" s="190">
        <f t="shared" ca="1" si="61"/>
        <v>305.42798142343247</v>
      </c>
      <c r="H410" s="191">
        <f t="shared" ca="1" si="62"/>
        <v>43502.046181724872</v>
      </c>
      <c r="I410" s="124" t="str">
        <f ca="1">naks(P[[#This Row],[Moon]])</f>
        <v>Dhanistha</v>
      </c>
      <c r="J410" s="127">
        <f ca="1">(C411-P[[#This Row],[SunRise]])/(G411-P[[#This Row],[Moon]])*(13.3333333333333-MOD(P[[#This Row],[Moon]],13.333333333333))+P[[#This Row],[SunRise]]</f>
        <v>43502.380016975047</v>
      </c>
      <c r="K410" s="124" t="str">
        <f ca="1">IF(P[[#This Row],[Tithi]]&gt;15,"K","S")&amp;ROUNDUP(MOD(P[[#This Row],[Tithi]],15),0)&amp;" ("&amp;ROUND(P[[#This Row],[Tithi]],2)&amp;")"</f>
        <v>S2 (1.05)</v>
      </c>
      <c r="L410" s="124">
        <f ca="1">IF(AND(P[[#This Row],[Tithi]]&lt;28.5,P[[#This Row],[Tithi]]&gt;0.49999),MOD((P[[#This Row],[Tithi]]-0.5)*2,7),MOD((P[[#This Row],[Tithi]]+30-28.5),30)*2+7)</f>
        <v>1.1015999999999999</v>
      </c>
      <c r="M410" s="124" t="str">
        <f ca="1">CHOOSE(ROUNDUP(P[[#This Row],[Karana1]],0),"Bhava","Baalava","Kaulava","Taitula","Garija","Vanija","Vishti","Shakuni","Chatushapda","Naaga","Kimstugna")</f>
        <v>Baalava</v>
      </c>
      <c r="N41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(17.87)</v>
      </c>
      <c r="O410" s="124">
        <f ca="1">IF(AND(P[[#This Row],[Tithi]]&lt;28.5,P[[#This Row],[Tithi]]&gt;0.49999),MOD((P[[#This Row],[Tithi]]-0.5)*2,7),MOD((P[[#This Row],[Tithi]]+30-28.5),30)*2+7)</f>
        <v>1.1015999999999999</v>
      </c>
      <c r="P410" s="124">
        <f ca="1">ROUNDUP(MOD(360+P[[#This Row],[Moon]]-P[[#This Row],[Sun]],360)/12,4)</f>
        <v>1.0508</v>
      </c>
      <c r="Q410" s="124">
        <f t="shared" ca="1" si="63"/>
        <v>17.87</v>
      </c>
      <c r="R410" s="124" t="str">
        <f ca="1">SIGN(S411-P[[#This Row],[MARs]])*INT(P[[#This Row],[MARs]]/30+1)&amp;"Ma,"&amp;SIGN(T411-P[[#This Row],[Merc]])*INT(P[[#This Row],[Merc]]/30+1)&amp;"Me,"&amp;SIGN(U411-P[[#This Row],[Jup]])*INT(P[[#This Row],[Jup]]/30+1)&amp;"Ju,"&amp;SIGN(V411-P[[#This Row],[Venu]])*INT(P[[#This Row],[Venu]]/30+1)&amp;"Ve,"&amp;SIGN(W411-P[[#This Row],[Sat]])*INT(P[[#This Row],[Sat]]/30+1)&amp;"Sa,"&amp;INT(P[[#This Row],[Rah]]/30+1)&amp;"Ra"</f>
        <v>1Ma,10Me,8Ju,9Ve,9Sa,4Ra</v>
      </c>
      <c r="S410" s="124">
        <f ca="1">Planet(P[[#This Row],[GMT Sun Rise]],4)</f>
        <v>0.1922788960675535</v>
      </c>
      <c r="T410" s="124">
        <f ca="1">Planet(P[[#This Row],[GMT Sun Rise]],2)</f>
        <v>297.94133232656475</v>
      </c>
      <c r="U410" s="124">
        <f ca="1">Planet(P[[#This Row],[GMT Sun Rise]],5)</f>
        <v>234.50071889394704</v>
      </c>
      <c r="V410" s="124">
        <f ca="1">Planet(P[[#This Row],[GMT Sun Rise]],3)</f>
        <v>248.29043900094038</v>
      </c>
      <c r="W410" s="124">
        <f ca="1">Planet(P[[#This Row],[GMT Sun Rise]],6)</f>
        <v>261.38373174269401</v>
      </c>
      <c r="X410" s="124">
        <f ca="1">Planet(P[[#This Row],[GMT Sun Rise]],10)</f>
        <v>91.539196963572678</v>
      </c>
      <c r="Y410" s="124">
        <f ca="1">SIGN(S411-P[[#This Row],[MARs]])</f>
        <v>1</v>
      </c>
    </row>
    <row r="411" spans="1:25" x14ac:dyDescent="0.2">
      <c r="A411" s="125">
        <f t="shared" ca="1" si="64"/>
        <v>43503</v>
      </c>
      <c r="B411" s="125">
        <f t="shared" ca="1" si="57"/>
        <v>43503.229166666664</v>
      </c>
      <c r="C411" s="127">
        <f t="shared" ca="1" si="58"/>
        <v>43503.275178001881</v>
      </c>
      <c r="D411" s="127">
        <f t="shared" ca="1" si="59"/>
        <v>43502.757609665437</v>
      </c>
      <c r="E411" s="189">
        <f ca="1">P[[#This Row],[SunRise]]-TimeZone/24</f>
        <v>43503.046011335216</v>
      </c>
      <c r="F411" s="190">
        <f t="shared" ca="1" si="60"/>
        <v>293.83254508384596</v>
      </c>
      <c r="G411" s="190">
        <f t="shared" ca="1" si="61"/>
        <v>317.26032062690814</v>
      </c>
      <c r="H411" s="191">
        <f t="shared" ca="1" si="62"/>
        <v>43503.046011335216</v>
      </c>
      <c r="I411" s="124" t="str">
        <f ca="1">naks(P[[#This Row],[Moon]])</f>
        <v>Satabhisaj</v>
      </c>
      <c r="J411" s="127">
        <f ca="1">(C412-P[[#This Row],[SunRise]])/(G412-P[[#This Row],[Moon]])*(13.3333333333333-MOD(P[[#This Row],[Moon]],13.333333333333))+P[[#This Row],[SunRise]]</f>
        <v>43503.505372901192</v>
      </c>
      <c r="K411" s="124" t="str">
        <f ca="1">IF(P[[#This Row],[Tithi]]&gt;15,"K","S")&amp;ROUNDUP(MOD(P[[#This Row],[Tithi]],15),0)&amp;" ("&amp;ROUND(P[[#This Row],[Tithi]],2)&amp;")"</f>
        <v>S2 (1.95)</v>
      </c>
      <c r="L411" s="124">
        <f ca="1">IF(AND(P[[#This Row],[Tithi]]&lt;28.5,P[[#This Row],[Tithi]]&gt;0.49999),MOD((P[[#This Row],[Tithi]]-0.5)*2,7),MOD((P[[#This Row],[Tithi]]+30-28.5),30)*2+7)</f>
        <v>2.9047999999999998</v>
      </c>
      <c r="M411" s="124" t="str">
        <f ca="1">CHOOSE(ROUNDUP(P[[#This Row],[Karana1]],0),"Bhava","Baalava","Kaulava","Taitula","Garija","Vanija","Vishti","Shakuni","Chatushapda","Naaga","Kimstugna")</f>
        <v>Kaulava</v>
      </c>
      <c r="N41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(18.84)</v>
      </c>
      <c r="O411" s="124">
        <f ca="1">IF(AND(P[[#This Row],[Tithi]]&lt;28.5,P[[#This Row],[Tithi]]&gt;0.49999),MOD((P[[#This Row],[Tithi]]-0.5)*2,7),MOD((P[[#This Row],[Tithi]]+30-28.5),30)*2+7)</f>
        <v>2.9047999999999998</v>
      </c>
      <c r="P411" s="124">
        <f ca="1">ROUNDUP(MOD(360+P[[#This Row],[Moon]]-P[[#This Row],[Sun]],360)/12,4)</f>
        <v>1.9523999999999999</v>
      </c>
      <c r="Q411" s="124">
        <f t="shared" ca="1" si="63"/>
        <v>18.84</v>
      </c>
      <c r="R411" s="124" t="str">
        <f ca="1">SIGN(S412-P[[#This Row],[MARs]])*INT(P[[#This Row],[MARs]]/30+1)&amp;"Ma,"&amp;SIGN(T412-P[[#This Row],[Merc]])*INT(P[[#This Row],[Merc]]/30+1)&amp;"Me,"&amp;SIGN(U412-P[[#This Row],[Jup]])*INT(P[[#This Row],[Jup]]/30+1)&amp;"Ju,"&amp;SIGN(V412-P[[#This Row],[Venu]])*INT(P[[#This Row],[Venu]]/30+1)&amp;"Ve,"&amp;SIGN(W412-P[[#This Row],[Sat]])*INT(P[[#This Row],[Sat]]/30+1)&amp;"Sa,"&amp;INT(P[[#This Row],[Rah]]/30+1)&amp;"Ra"</f>
        <v>1Ma,10Me,8Ju,9Ve,9Sa,4Ra</v>
      </c>
      <c r="S411" s="124">
        <f ca="1">Planet(P[[#This Row],[GMT Sun Rise]],4)</f>
        <v>0.86926449994941934</v>
      </c>
      <c r="T411" s="124">
        <f ca="1">Planet(P[[#This Row],[GMT Sun Rise]],2)</f>
        <v>299.73313000183623</v>
      </c>
      <c r="U411" s="124">
        <f ca="1">Planet(P[[#This Row],[GMT Sun Rise]],5)</f>
        <v>234.66411179262153</v>
      </c>
      <c r="V411" s="124">
        <f ca="1">Planet(P[[#This Row],[GMT Sun Rise]],3)</f>
        <v>249.4364756234649</v>
      </c>
      <c r="W411" s="124">
        <f ca="1">Planet(P[[#This Row],[GMT Sun Rise]],6)</f>
        <v>261.48999898368442</v>
      </c>
      <c r="X411" s="124">
        <f ca="1">Planet(P[[#This Row],[GMT Sun Rise]],10)</f>
        <v>91.486213995993566</v>
      </c>
      <c r="Y411" s="124">
        <f ca="1">SIGN(S412-P[[#This Row],[MARs]])</f>
        <v>1</v>
      </c>
    </row>
    <row r="412" spans="1:25" x14ac:dyDescent="0.2">
      <c r="A412" s="125">
        <f t="shared" ca="1" si="64"/>
        <v>43504</v>
      </c>
      <c r="B412" s="125">
        <f t="shared" ca="1" si="57"/>
        <v>43504.229166666664</v>
      </c>
      <c r="C412" s="127">
        <f t="shared" ca="1" si="58"/>
        <v>43504.274995850086</v>
      </c>
      <c r="D412" s="127">
        <f t="shared" ca="1" si="59"/>
        <v>43503.757872243921</v>
      </c>
      <c r="E412" s="189">
        <f ca="1">P[[#This Row],[SunRise]]-TimeZone/24</f>
        <v>43504.045829183422</v>
      </c>
      <c r="F412" s="190">
        <f t="shared" ca="1" si="60"/>
        <v>294.84583129648024</v>
      </c>
      <c r="G412" s="190">
        <f t="shared" ca="1" si="61"/>
        <v>329.15971693757632</v>
      </c>
      <c r="H412" s="191">
        <f t="shared" ca="1" si="62"/>
        <v>43504.045829183422</v>
      </c>
      <c r="I412" s="124" t="str">
        <f ca="1">naks(P[[#This Row],[Moon]])</f>
        <v>Purva Bhadrapada</v>
      </c>
      <c r="J412" s="127">
        <f ca="1">(C413-P[[#This Row],[SunRise]])/(G413-P[[#This Row],[Moon]])*(13.3333333333333-MOD(P[[#This Row],[Moon]],13.333333333333))+P[[#This Row],[SunRise]]</f>
        <v>43504.622569410902</v>
      </c>
      <c r="K412" s="124" t="str">
        <f ca="1">IF(P[[#This Row],[Tithi]]&gt;15,"K","S")&amp;ROUNDUP(MOD(P[[#This Row],[Tithi]],15),0)&amp;" ("&amp;ROUND(P[[#This Row],[Tithi]],2)&amp;")"</f>
        <v>S3 (2.86)</v>
      </c>
      <c r="L412" s="124">
        <f ca="1">IF(AND(P[[#This Row],[Tithi]]&lt;28.5,P[[#This Row],[Tithi]]&gt;0.49999),MOD((P[[#This Row],[Tithi]]-0.5)*2,7),MOD((P[[#This Row],[Tithi]]+30-28.5),30)*2+7)</f>
        <v>4.7190000000000003</v>
      </c>
      <c r="M412" s="124" t="str">
        <f ca="1">CHOOSE(ROUNDUP(P[[#This Row],[Karana1]],0),"Bhava","Baalava","Kaulava","Taitula","Garija","Vanija","Vishti","Shakuni","Chatushapda","Naaga","Kimstugna")</f>
        <v>Garija</v>
      </c>
      <c r="N41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(19.81)</v>
      </c>
      <c r="O412" s="124">
        <f ca="1">IF(AND(P[[#This Row],[Tithi]]&lt;28.5,P[[#This Row],[Tithi]]&gt;0.49999),MOD((P[[#This Row],[Tithi]]-0.5)*2,7),MOD((P[[#This Row],[Tithi]]+30-28.5),30)*2+7)</f>
        <v>4.7190000000000003</v>
      </c>
      <c r="P412" s="124">
        <f ca="1">ROUNDUP(MOD(360+P[[#This Row],[Moon]]-P[[#This Row],[Sun]],360)/12,4)</f>
        <v>2.8595000000000002</v>
      </c>
      <c r="Q412" s="124">
        <f t="shared" ca="1" si="63"/>
        <v>19.810000000000002</v>
      </c>
      <c r="R412" s="124" t="str">
        <f ca="1">SIGN(S413-P[[#This Row],[MARs]])*INT(P[[#This Row],[MARs]]/30+1)&amp;"Ma,"&amp;SIGN(T413-P[[#This Row],[Merc]])*INT(P[[#This Row],[Merc]]/30+1)&amp;"Me,"&amp;SIGN(U413-P[[#This Row],[Jup]])*INT(P[[#This Row],[Jup]]/30+1)&amp;"Ju,"&amp;SIGN(V413-P[[#This Row],[Venu]])*INT(P[[#This Row],[Venu]]/30+1)&amp;"Ve,"&amp;SIGN(W413-P[[#This Row],[Sat]])*INT(P[[#This Row],[Sat]]/30+1)&amp;"Sa,"&amp;INT(P[[#This Row],[Rah]]/30+1)&amp;"Ra"</f>
        <v>1Ma,11Me,8Ju,9Ve,9Sa,4Ra</v>
      </c>
      <c r="S412" s="124">
        <f ca="1">Planet(P[[#This Row],[GMT Sun Rise]],4)</f>
        <v>1.5461501735696501</v>
      </c>
      <c r="T412" s="124">
        <f ca="1">Planet(P[[#This Row],[GMT Sun Rise]],2)</f>
        <v>301.53196017501284</v>
      </c>
      <c r="U412" s="124">
        <f ca="1">Planet(P[[#This Row],[GMT Sun Rise]],5)</f>
        <v>234.82570377281897</v>
      </c>
      <c r="V412" s="124">
        <f ca="1">Planet(P[[#This Row],[GMT Sun Rise]],3)</f>
        <v>250.5846726451376</v>
      </c>
      <c r="W412" s="124">
        <f ca="1">Planet(P[[#This Row],[GMT Sun Rise]],6)</f>
        <v>261.59557808462074</v>
      </c>
      <c r="X412" s="124">
        <f ca="1">Planet(P[[#This Row],[GMT Sun Rise]],10)</f>
        <v>91.433231651735312</v>
      </c>
      <c r="Y412" s="124">
        <f ca="1">SIGN(S413-P[[#This Row],[MARs]])</f>
        <v>1</v>
      </c>
    </row>
    <row r="413" spans="1:25" x14ac:dyDescent="0.2">
      <c r="A413" s="125">
        <f t="shared" ca="1" si="64"/>
        <v>43505</v>
      </c>
      <c r="B413" s="125">
        <f t="shared" ca="1" si="57"/>
        <v>43505.229166666664</v>
      </c>
      <c r="C413" s="127">
        <f t="shared" ca="1" si="58"/>
        <v>43505.274801936153</v>
      </c>
      <c r="D413" s="127">
        <f t="shared" ca="1" si="59"/>
        <v>43504.758127828638</v>
      </c>
      <c r="E413" s="189">
        <f ca="1">P[[#This Row],[SunRise]]-TimeZone/24</f>
        <v>43505.045635269489</v>
      </c>
      <c r="F413" s="190">
        <f t="shared" ca="1" si="60"/>
        <v>295.85871878163181</v>
      </c>
      <c r="G413" s="190">
        <f t="shared" ca="1" si="61"/>
        <v>341.1652534449675</v>
      </c>
      <c r="H413" s="191">
        <f t="shared" ca="1" si="62"/>
        <v>43505.045635269489</v>
      </c>
      <c r="I413" s="124" t="str">
        <f ca="1">naks(P[[#This Row],[Moon]])</f>
        <v>Uttara Bhadrapada</v>
      </c>
      <c r="J413" s="127">
        <f ca="1">(C414-P[[#This Row],[SunRise]])/(G414-P[[#This Row],[Moon]])*(13.3333333333333-MOD(P[[#This Row],[Moon]],13.333333333333))+P[[#This Row],[SunRise]]</f>
        <v>43505.727253492594</v>
      </c>
      <c r="K413" s="124" t="str">
        <f ca="1">IF(P[[#This Row],[Tithi]]&gt;15,"K","S")&amp;ROUNDUP(MOD(P[[#This Row],[Tithi]],15),0)&amp;" ("&amp;ROUND(P[[#This Row],[Tithi]],2)&amp;")"</f>
        <v>S4 (3.78)</v>
      </c>
      <c r="L413" s="124">
        <f ca="1">IF(AND(P[[#This Row],[Tithi]]&lt;28.5,P[[#This Row],[Tithi]]&gt;0.49999),MOD((P[[#This Row],[Tithi]]-0.5)*2,7),MOD((P[[#This Row],[Tithi]]+30-28.5),30)*2+7)</f>
        <v>6.5512000000000006</v>
      </c>
      <c r="M413" s="124" t="str">
        <f ca="1">CHOOSE(ROUNDUP(P[[#This Row],[Karana1]],0),"Bhava","Baalava","Kaulava","Taitula","Garija","Vanija","Vishti","Shakuni","Chatushapda","Naaga","Kimstugna")</f>
        <v>Vishti</v>
      </c>
      <c r="N41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(20.78)</v>
      </c>
      <c r="O413" s="124">
        <f ca="1">IF(AND(P[[#This Row],[Tithi]]&lt;28.5,P[[#This Row],[Tithi]]&gt;0.49999),MOD((P[[#This Row],[Tithi]]-0.5)*2,7),MOD((P[[#This Row],[Tithi]]+30-28.5),30)*2+7)</f>
        <v>6.5512000000000006</v>
      </c>
      <c r="P413" s="124">
        <f ca="1">ROUNDUP(MOD(360+P[[#This Row],[Moon]]-P[[#This Row],[Sun]],360)/12,4)</f>
        <v>3.7756000000000003</v>
      </c>
      <c r="Q413" s="124">
        <f t="shared" ca="1" si="63"/>
        <v>20.78</v>
      </c>
      <c r="R413" s="124" t="str">
        <f ca="1">SIGN(S414-P[[#This Row],[MARs]])*INT(P[[#This Row],[MARs]]/30+1)&amp;"Ma,"&amp;SIGN(T414-P[[#This Row],[Merc]])*INT(P[[#This Row],[Merc]]/30+1)&amp;"Me,"&amp;SIGN(U414-P[[#This Row],[Jup]])*INT(P[[#This Row],[Jup]]/30+1)&amp;"Ju,"&amp;SIGN(V414-P[[#This Row],[Venu]])*INT(P[[#This Row],[Venu]]/30+1)&amp;"Ve,"&amp;SIGN(W414-P[[#This Row],[Sat]])*INT(P[[#This Row],[Sat]]/30+1)&amp;"Sa,"&amp;INT(P[[#This Row],[Rah]]/30+1)&amp;"Ra"</f>
        <v>1Ma,11Me,8Ju,9Ve,9Sa,4Ra</v>
      </c>
      <c r="S413" s="124">
        <f ca="1">Planet(P[[#This Row],[GMT Sun Rise]],4)</f>
        <v>2.2229187141911977</v>
      </c>
      <c r="T413" s="124">
        <f ca="1">Planet(P[[#This Row],[GMT Sun Rise]],2)</f>
        <v>303.33640327224833</v>
      </c>
      <c r="U413" s="124">
        <f ca="1">Planet(P[[#This Row],[GMT Sun Rise]],5)</f>
        <v>234.9854662714979</v>
      </c>
      <c r="V413" s="124">
        <f ca="1">Planet(P[[#This Row],[GMT Sun Rise]],3)</f>
        <v>251.73495480901559</v>
      </c>
      <c r="W413" s="124">
        <f ca="1">Planet(P[[#This Row],[GMT Sun Rise]],6)</f>
        <v>261.7004497477534</v>
      </c>
      <c r="X413" s="124">
        <f ca="1">Planet(P[[#This Row],[GMT Sun Rise]],10)</f>
        <v>91.380249930764833</v>
      </c>
      <c r="Y413" s="124">
        <f ca="1">SIGN(S414-P[[#This Row],[MARs]])</f>
        <v>1</v>
      </c>
    </row>
    <row r="414" spans="1:25" x14ac:dyDescent="0.2">
      <c r="A414" s="125">
        <f t="shared" ca="1" si="64"/>
        <v>43506</v>
      </c>
      <c r="B414" s="125">
        <f t="shared" ca="1" si="57"/>
        <v>43506.229166666664</v>
      </c>
      <c r="C414" s="127">
        <f t="shared" ca="1" si="58"/>
        <v>43506.274596419338</v>
      </c>
      <c r="D414" s="127">
        <f t="shared" ca="1" si="59"/>
        <v>43505.758376578844</v>
      </c>
      <c r="E414" s="189">
        <f ca="1">P[[#This Row],[SunRise]]-TimeZone/24</f>
        <v>43506.045429752674</v>
      </c>
      <c r="F414" s="190">
        <f t="shared" ca="1" si="60"/>
        <v>296.87118791616587</v>
      </c>
      <c r="G414" s="190">
        <f t="shared" ca="1" si="61"/>
        <v>353.32187554169656</v>
      </c>
      <c r="H414" s="191">
        <f t="shared" ca="1" si="62"/>
        <v>43506.045429752674</v>
      </c>
      <c r="I414" s="124" t="str">
        <f ca="1">naks(P[[#This Row],[Moon]])</f>
        <v>Revati</v>
      </c>
      <c r="J414" s="127">
        <f ca="1">(C415-P[[#This Row],[SunRise]])/(G415-P[[#This Row],[Moon]])*(13.3333333333333-MOD(P[[#This Row],[Moon]],13.333333333333))+P[[#This Row],[SunRise]]</f>
        <v>43506.255390750164</v>
      </c>
      <c r="K414" s="124" t="str">
        <f ca="1">IF(P[[#This Row],[Tithi]]&gt;15,"K","S")&amp;ROUNDUP(MOD(P[[#This Row],[Tithi]],15),0)&amp;" ("&amp;ROUND(P[[#This Row],[Tithi]],2)&amp;")"</f>
        <v>S5 (4.7)</v>
      </c>
      <c r="L414" s="124">
        <f ca="1">IF(AND(P[[#This Row],[Tithi]]&lt;28.5,P[[#This Row],[Tithi]]&gt;0.49999),MOD((P[[#This Row],[Tithi]]-0.5)*2,7),MOD((P[[#This Row],[Tithi]]+30-28.5),30)*2+7)</f>
        <v>1.4085999999999999</v>
      </c>
      <c r="M414" s="124" t="str">
        <f ca="1">CHOOSE(ROUNDUP(P[[#This Row],[Karana1]],0),"Bhava","Baalava","Kaulava","Taitula","Garija","Vanija","Vishti","Shakuni","Chatushapda","Naaga","Kimstugna")</f>
        <v>Baalava</v>
      </c>
      <c r="N41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(21.77)</v>
      </c>
      <c r="O414" s="124">
        <f ca="1">IF(AND(P[[#This Row],[Tithi]]&lt;28.5,P[[#This Row],[Tithi]]&gt;0.49999),MOD((P[[#This Row],[Tithi]]-0.5)*2,7),MOD((P[[#This Row],[Tithi]]+30-28.5),30)*2+7)</f>
        <v>1.4085999999999999</v>
      </c>
      <c r="P414" s="124">
        <f ca="1">ROUNDUP(MOD(360+P[[#This Row],[Moon]]-P[[#This Row],[Sun]],360)/12,4)</f>
        <v>4.7042999999999999</v>
      </c>
      <c r="Q414" s="124">
        <f t="shared" ca="1" si="63"/>
        <v>21.770000000000003</v>
      </c>
      <c r="R414" s="124" t="str">
        <f ca="1">SIGN(S415-P[[#This Row],[MARs]])*INT(P[[#This Row],[MARs]]/30+1)&amp;"Ma,"&amp;SIGN(T415-P[[#This Row],[Merc]])*INT(P[[#This Row],[Merc]]/30+1)&amp;"Me,"&amp;SIGN(U415-P[[#This Row],[Jup]])*INT(P[[#This Row],[Jup]]/30+1)&amp;"Ju,"&amp;SIGN(V415-P[[#This Row],[Venu]])*INT(P[[#This Row],[Venu]]/30+1)&amp;"Ve,"&amp;SIGN(W415-P[[#This Row],[Sat]])*INT(P[[#This Row],[Sat]]/30+1)&amp;"Sa,"&amp;INT(P[[#This Row],[Rah]]/30+1)&amp;"Ra"</f>
        <v>1Ma,11Me,8Ju,9Ve,9Sa,4Ra</v>
      </c>
      <c r="S414" s="124">
        <f ca="1">Planet(P[[#This Row],[GMT Sun Rise]],4)</f>
        <v>2.8995523485969388</v>
      </c>
      <c r="T414" s="124">
        <f ca="1">Planet(P[[#This Row],[GMT Sun Rise]],2)</f>
        <v>305.14470445086693</v>
      </c>
      <c r="U414" s="124">
        <f ca="1">Planet(P[[#This Row],[GMT Sun Rise]],5)</f>
        <v>235.14337127148431</v>
      </c>
      <c r="V414" s="124">
        <f ca="1">Planet(P[[#This Row],[GMT Sun Rise]],3)</f>
        <v>252.88725185727006</v>
      </c>
      <c r="W414" s="124">
        <f ca="1">Planet(P[[#This Row],[GMT Sun Rise]],6)</f>
        <v>261.8045950087386</v>
      </c>
      <c r="X414" s="124">
        <f ca="1">Planet(P[[#This Row],[GMT Sun Rise]],10)</f>
        <v>91.327268824665069</v>
      </c>
      <c r="Y414" s="124">
        <f ca="1">SIGN(S415-P[[#This Row],[MARs]])</f>
        <v>1</v>
      </c>
    </row>
    <row r="415" spans="1:25" x14ac:dyDescent="0.2">
      <c r="A415" s="125">
        <f t="shared" ca="1" si="64"/>
        <v>43507</v>
      </c>
      <c r="B415" s="125">
        <f t="shared" ca="1" si="57"/>
        <v>43507.229166666664</v>
      </c>
      <c r="C415" s="127">
        <f t="shared" ca="1" si="58"/>
        <v>43507.274379458431</v>
      </c>
      <c r="D415" s="127">
        <f t="shared" ca="1" si="59"/>
        <v>43506.758618176027</v>
      </c>
      <c r="E415" s="189">
        <f ca="1">P[[#This Row],[SunRise]]-TimeZone/24</f>
        <v>43507.045212791767</v>
      </c>
      <c r="F415" s="190">
        <f t="shared" ca="1" si="60"/>
        <v>297.88322061023308</v>
      </c>
      <c r="G415" s="190">
        <f t="shared" ca="1" si="61"/>
        <v>5.6810042646881174</v>
      </c>
      <c r="H415" s="191">
        <f t="shared" ca="1" si="62"/>
        <v>43507.045212791767</v>
      </c>
      <c r="I415" s="124" t="str">
        <f ca="1">naks(P[[#This Row],[Moon]])</f>
        <v>Aswini</v>
      </c>
      <c r="J415" s="127">
        <f ca="1">(C416-P[[#This Row],[SunRise]])/(G416-P[[#This Row],[Moon]])*(13.3333333333333-MOD(P[[#This Row],[Moon]],13.333333333333))+P[[#This Row],[SunRise]]</f>
        <v>43507.880679281836</v>
      </c>
      <c r="K415" s="124" t="str">
        <f ca="1">IF(P[[#This Row],[Tithi]]&gt;15,"K","S")&amp;ROUNDUP(MOD(P[[#This Row],[Tithi]],15),0)&amp;" ("&amp;ROUND(P[[#This Row],[Tithi]],2)&amp;")"</f>
        <v>S6 (5.65)</v>
      </c>
      <c r="L415" s="124">
        <f ca="1">IF(AND(P[[#This Row],[Tithi]]&lt;28.5,P[[#This Row],[Tithi]]&gt;0.49999),MOD((P[[#This Row],[Tithi]]-0.5)*2,7),MOD((P[[#This Row],[Tithi]]+30-28.5),30)*2+7)</f>
        <v>3.2997999999999994</v>
      </c>
      <c r="M415" s="124" t="str">
        <f ca="1">CHOOSE(ROUNDUP(P[[#This Row],[Karana1]],0),"Bhava","Baalava","Kaulava","Taitula","Garija","Vanija","Vishti","Shakuni","Chatushapda","Naaga","Kimstugna")</f>
        <v>Taitula</v>
      </c>
      <c r="N41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(22.77)</v>
      </c>
      <c r="O415" s="124">
        <f ca="1">IF(AND(P[[#This Row],[Tithi]]&lt;28.5,P[[#This Row],[Tithi]]&gt;0.49999),MOD((P[[#This Row],[Tithi]]-0.5)*2,7),MOD((P[[#This Row],[Tithi]]+30-28.5),30)*2+7)</f>
        <v>3.2997999999999994</v>
      </c>
      <c r="P415" s="124">
        <f ca="1">ROUNDUP(MOD(360+P[[#This Row],[Moon]]-P[[#This Row],[Sun]],360)/12,4)</f>
        <v>5.6498999999999997</v>
      </c>
      <c r="Q415" s="124">
        <f t="shared" ca="1" si="63"/>
        <v>22.770000000000003</v>
      </c>
      <c r="R415" s="124" t="str">
        <f ca="1">SIGN(S416-P[[#This Row],[MARs]])*INT(P[[#This Row],[MARs]]/30+1)&amp;"Ma,"&amp;SIGN(T416-P[[#This Row],[Merc]])*INT(P[[#This Row],[Merc]]/30+1)&amp;"Me,"&amp;SIGN(U416-P[[#This Row],[Jup]])*INT(P[[#This Row],[Jup]]/30+1)&amp;"Ju,"&amp;SIGN(V416-P[[#This Row],[Venu]])*INT(P[[#This Row],[Venu]]/30+1)&amp;"Ve,"&amp;SIGN(W416-P[[#This Row],[Sat]])*INT(P[[#This Row],[Sat]]/30+1)&amp;"Sa,"&amp;INT(P[[#This Row],[Rah]]/30+1)&amp;"Ra"</f>
        <v>1Ma,11Me,8Ju,9Ve,9Sa,4Ra</v>
      </c>
      <c r="S415" s="124">
        <f ca="1">Planet(P[[#This Row],[GMT Sun Rise]],4)</f>
        <v>3.5760327977608792</v>
      </c>
      <c r="T415" s="124">
        <f ca="1">Planet(P[[#This Row],[GMT Sun Rise]],2)</f>
        <v>306.95472074977027</v>
      </c>
      <c r="U415" s="124">
        <f ca="1">Planet(P[[#This Row],[GMT Sun Rise]],5)</f>
        <v>235.29939131502056</v>
      </c>
      <c r="V415" s="124">
        <f ca="1">Planet(P[[#This Row],[GMT Sun Rise]],3)</f>
        <v>254.04149839164231</v>
      </c>
      <c r="W415" s="124">
        <f ca="1">Planet(P[[#This Row],[GMT Sun Rise]],6)</f>
        <v>261.90799526435723</v>
      </c>
      <c r="X415" s="124">
        <f ca="1">Planet(P[[#This Row],[GMT Sun Rise]],10)</f>
        <v>91.274288325019128</v>
      </c>
      <c r="Y415" s="124">
        <f ca="1">SIGN(S416-P[[#This Row],[MARs]])</f>
        <v>1</v>
      </c>
    </row>
    <row r="416" spans="1:25" x14ac:dyDescent="0.2">
      <c r="A416" s="125">
        <f t="shared" ca="1" si="64"/>
        <v>43508</v>
      </c>
      <c r="B416" s="125">
        <f t="shared" ca="1" si="57"/>
        <v>43508.229166666664</v>
      </c>
      <c r="C416" s="127">
        <f t="shared" ca="1" si="58"/>
        <v>43508.274151371479</v>
      </c>
      <c r="D416" s="127">
        <f t="shared" ca="1" si="59"/>
        <v>43507.758852939165</v>
      </c>
      <c r="E416" s="189">
        <f ca="1">P[[#This Row],[SunRise]]-TimeZone/24</f>
        <v>43508.044984704815</v>
      </c>
      <c r="F416" s="190">
        <f t="shared" ca="1" si="60"/>
        <v>298.89480080493411</v>
      </c>
      <c r="G416" s="190">
        <f t="shared" ca="1" si="61"/>
        <v>18.299486700065991</v>
      </c>
      <c r="H416" s="191">
        <f t="shared" ca="1" si="62"/>
        <v>43508.044984704815</v>
      </c>
      <c r="I416" s="124" t="str">
        <f ca="1">naks(P[[#This Row],[Moon]])</f>
        <v>Bharani</v>
      </c>
      <c r="J416" s="127">
        <f ca="1">(C417-P[[#This Row],[SunRise]])/(G417-P[[#This Row],[Moon]])*(13.3333333333333-MOD(P[[#This Row],[Moon]],13.333333333333))+P[[#This Row],[SunRise]]</f>
        <v>43508.920769788427</v>
      </c>
      <c r="K416" s="124" t="str">
        <f ca="1">IF(P[[#This Row],[Tithi]]&gt;15,"K","S")&amp;ROUNDUP(MOD(P[[#This Row],[Tithi]],15),0)&amp;" ("&amp;ROUND(P[[#This Row],[Tithi]],2)&amp;")"</f>
        <v>S7 (6.62)</v>
      </c>
      <c r="L416" s="124">
        <f ca="1">IF(AND(P[[#This Row],[Tithi]]&lt;28.5,P[[#This Row],[Tithi]]&gt;0.49999),MOD((P[[#This Row],[Tithi]]-0.5)*2,7),MOD((P[[#This Row],[Tithi]]+30-28.5),30)*2+7)</f>
        <v>5.2341999999999995</v>
      </c>
      <c r="M416" s="124" t="str">
        <f ca="1">CHOOSE(ROUNDUP(P[[#This Row],[Karana1]],0),"Bhava","Baalava","Kaulava","Taitula","Garija","Vanija","Vishti","Shakuni","Chatushapda","Naaga","Kimstugna")</f>
        <v>Vanija</v>
      </c>
      <c r="N41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(23.79)</v>
      </c>
      <c r="O416" s="124">
        <f ca="1">IF(AND(P[[#This Row],[Tithi]]&lt;28.5,P[[#This Row],[Tithi]]&gt;0.49999),MOD((P[[#This Row],[Tithi]]-0.5)*2,7),MOD((P[[#This Row],[Tithi]]+30-28.5),30)*2+7)</f>
        <v>5.2341999999999995</v>
      </c>
      <c r="P416" s="124">
        <f ca="1">ROUNDUP(MOD(360+P[[#This Row],[Moon]]-P[[#This Row],[Sun]],360)/12,4)</f>
        <v>6.6170999999999998</v>
      </c>
      <c r="Q416" s="124">
        <f t="shared" ca="1" si="63"/>
        <v>23.790000000000003</v>
      </c>
      <c r="R416" s="124" t="str">
        <f ca="1">SIGN(S417-P[[#This Row],[MARs]])*INT(P[[#This Row],[MARs]]/30+1)&amp;"Ma,"&amp;SIGN(T417-P[[#This Row],[Merc]])*INT(P[[#This Row],[Merc]]/30+1)&amp;"Me,"&amp;SIGN(U417-P[[#This Row],[Jup]])*INT(P[[#This Row],[Jup]]/30+1)&amp;"Ju,"&amp;SIGN(V417-P[[#This Row],[Venu]])*INT(P[[#This Row],[Venu]]/30+1)&amp;"Ve,"&amp;SIGN(W417-P[[#This Row],[Sat]])*INT(P[[#This Row],[Sat]]/30+1)&amp;"Sa,"&amp;INT(P[[#This Row],[Rah]]/30+1)&amp;"Ra"</f>
        <v>1Ma,11Me,8Ju,9Ve,9Sa,4Ra</v>
      </c>
      <c r="S416" s="124">
        <f ca="1">Planet(P[[#This Row],[GMT Sun Rise]],4)</f>
        <v>4.2523415607261947</v>
      </c>
      <c r="T416" s="124">
        <f ca="1">Planet(P[[#This Row],[GMT Sun Rise]],2)</f>
        <v>308.76386396243169</v>
      </c>
      <c r="U416" s="124">
        <f ca="1">Planet(P[[#This Row],[GMT Sun Rise]],5)</f>
        <v>235.45349955298613</v>
      </c>
      <c r="V416" s="124">
        <f ca="1">Planet(P[[#This Row],[GMT Sun Rise]],3)</f>
        <v>255.19763406408228</v>
      </c>
      <c r="W416" s="124">
        <f ca="1">Planet(P[[#This Row],[GMT Sun Rise]],6)</f>
        <v>262.01063231666518</v>
      </c>
      <c r="X416" s="124">
        <f ca="1">Planet(P[[#This Row],[GMT Sun Rise]],10)</f>
        <v>91.221308414959964</v>
      </c>
      <c r="Y416" s="124">
        <f ca="1">SIGN(S417-P[[#This Row],[MARs]])</f>
        <v>1</v>
      </c>
    </row>
    <row r="417" spans="1:25" x14ac:dyDescent="0.2">
      <c r="A417" s="125">
        <f t="shared" ca="1" si="64"/>
        <v>43509</v>
      </c>
      <c r="B417" s="125">
        <f t="shared" ca="1" si="57"/>
        <v>43509.229166666664</v>
      </c>
      <c r="C417" s="127">
        <f t="shared" ca="1" si="58"/>
        <v>43509.273911999226</v>
      </c>
      <c r="D417" s="127">
        <f t="shared" ca="1" si="59"/>
        <v>43508.759080708071</v>
      </c>
      <c r="E417" s="189">
        <f ca="1">P[[#This Row],[SunRise]]-TimeZone/24</f>
        <v>43509.044745332561</v>
      </c>
      <c r="F417" s="190">
        <f t="shared" ca="1" si="60"/>
        <v>299.90591417950895</v>
      </c>
      <c r="G417" s="190">
        <f t="shared" ca="1" si="61"/>
        <v>31.236292823448661</v>
      </c>
      <c r="H417" s="191">
        <f t="shared" ca="1" si="62"/>
        <v>43509.044745332561</v>
      </c>
      <c r="I417" s="124" t="str">
        <f ca="1">naks(P[[#This Row],[Moon]])</f>
        <v>Krittika</v>
      </c>
      <c r="J417" s="127">
        <f ca="1">(C418-P[[#This Row],[SunRise]])/(G418-P[[#This Row],[Moon]])*(13.3333333333333-MOD(P[[#This Row],[Moon]],13.333333333333))+P[[#This Row],[SunRise]]</f>
        <v>43509.932161626202</v>
      </c>
      <c r="K417" s="124" t="str">
        <f ca="1">IF(P[[#This Row],[Tithi]]&gt;15,"K","S")&amp;ROUNDUP(MOD(P[[#This Row],[Tithi]],15),0)&amp;" ("&amp;ROUND(P[[#This Row],[Tithi]],2)&amp;")"</f>
        <v>S8 (7.61)</v>
      </c>
      <c r="L417" s="124">
        <f ca="1">IF(AND(P[[#This Row],[Tithi]]&lt;28.5,P[[#This Row],[Tithi]]&gt;0.49999),MOD((P[[#This Row],[Tithi]]-0.5)*2,7),MOD((P[[#This Row],[Tithi]]+30-28.5),30)*2+7)</f>
        <v>0.2218</v>
      </c>
      <c r="M417" s="124" t="str">
        <f ca="1">CHOOSE(ROUNDUP(P[[#This Row],[Karana1]],0),"Bhava","Baalava","Kaulava","Taitula","Garija","Vanija","Vishti","Shakuni","Chatushapda","Naaga","Kimstugna")</f>
        <v>Bhava</v>
      </c>
      <c r="N41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(24.84)</v>
      </c>
      <c r="O417" s="124">
        <f ca="1">IF(AND(P[[#This Row],[Tithi]]&lt;28.5,P[[#This Row],[Tithi]]&gt;0.49999),MOD((P[[#This Row],[Tithi]]-0.5)*2,7),MOD((P[[#This Row],[Tithi]]+30-28.5),30)*2+7)</f>
        <v>0.2218</v>
      </c>
      <c r="P417" s="124">
        <f ca="1">ROUNDUP(MOD(360+P[[#This Row],[Moon]]-P[[#This Row],[Sun]],360)/12,4)</f>
        <v>7.6109</v>
      </c>
      <c r="Q417" s="124">
        <f t="shared" ca="1" si="63"/>
        <v>24.84</v>
      </c>
      <c r="R417" s="124" t="str">
        <f ca="1">SIGN(S418-P[[#This Row],[MARs]])*INT(P[[#This Row],[MARs]]/30+1)&amp;"Ma,"&amp;SIGN(T418-P[[#This Row],[Merc]])*INT(P[[#This Row],[Merc]]/30+1)&amp;"Me,"&amp;SIGN(U418-P[[#This Row],[Jup]])*INT(P[[#This Row],[Jup]]/30+1)&amp;"Ju,"&amp;SIGN(V418-P[[#This Row],[Venu]])*INT(P[[#This Row],[Venu]]/30+1)&amp;"Ve,"&amp;SIGN(W418-P[[#This Row],[Sat]])*INT(P[[#This Row],[Sat]]/30+1)&amp;"Sa,"&amp;INT(P[[#This Row],[Rah]]/30+1)&amp;"Ra"</f>
        <v>1Ma,11Me,8Ju,9Ve,9Sa,4Ra</v>
      </c>
      <c r="S417" s="124">
        <f ca="1">Planet(P[[#This Row],[GMT Sun Rise]],4)</f>
        <v>4.9284596578944937</v>
      </c>
      <c r="T417" s="124">
        <f ca="1">Planet(P[[#This Row],[GMT Sun Rise]],2)</f>
        <v>310.569038146482</v>
      </c>
      <c r="U417" s="124">
        <f ca="1">Planet(P[[#This Row],[GMT Sun Rise]],5)</f>
        <v>235.60566967123995</v>
      </c>
      <c r="V417" s="124">
        <f ca="1">Planet(P[[#This Row],[GMT Sun Rise]],3)</f>
        <v>256.35560287052266</v>
      </c>
      <c r="W417" s="124">
        <f ca="1">Planet(P[[#This Row],[GMT Sun Rise]],6)</f>
        <v>262.11248834190405</v>
      </c>
      <c r="X417" s="124">
        <f ca="1">Planet(P[[#This Row],[GMT Sun Rise]],10)</f>
        <v>91.168329102937605</v>
      </c>
      <c r="Y417" s="124">
        <f ca="1">SIGN(S418-P[[#This Row],[MARs]])</f>
        <v>1</v>
      </c>
    </row>
    <row r="418" spans="1:25" x14ac:dyDescent="0.2">
      <c r="A418" s="125">
        <f t="shared" ca="1" si="64"/>
        <v>43510</v>
      </c>
      <c r="B418" s="125">
        <f t="shared" ca="1" si="57"/>
        <v>43510.229166666664</v>
      </c>
      <c r="C418" s="127">
        <f t="shared" ca="1" si="58"/>
        <v>43510.273661977764</v>
      </c>
      <c r="D418" s="127">
        <f t="shared" ca="1" si="59"/>
        <v>43509.759301483675</v>
      </c>
      <c r="E418" s="189">
        <f ca="1">P[[#This Row],[SunRise]]-TimeZone/24</f>
        <v>43510.0444953111</v>
      </c>
      <c r="F418" s="190">
        <f t="shared" ca="1" si="60"/>
        <v>300.91654991257451</v>
      </c>
      <c r="G418" s="190">
        <f t="shared" ca="1" si="61"/>
        <v>44.54661720886903</v>
      </c>
      <c r="H418" s="191">
        <f t="shared" ca="1" si="62"/>
        <v>43510.0444953111</v>
      </c>
      <c r="I418" s="124" t="str">
        <f ca="1">naks(P[[#This Row],[Moon]])</f>
        <v>Rohini</v>
      </c>
      <c r="J418" s="127">
        <f ca="1">(C419-P[[#This Row],[SunRise]])/(G419-P[[#This Row],[Moon]])*(13.3333333333333-MOD(P[[#This Row],[Moon]],13.333333333333))+P[[#This Row],[SunRise]]</f>
        <v>43510.913618338716</v>
      </c>
      <c r="K418" s="124" t="str">
        <f ca="1">IF(P[[#This Row],[Tithi]]&gt;15,"K","S")&amp;ROUNDUP(MOD(P[[#This Row],[Tithi]],15),0)&amp;" ("&amp;ROUND(P[[#This Row],[Tithi]],2)&amp;")"</f>
        <v>S9 (8.64)</v>
      </c>
      <c r="L418" s="124">
        <f ca="1">IF(AND(P[[#This Row],[Tithi]]&lt;28.5,P[[#This Row],[Tithi]]&gt;0.49999),MOD((P[[#This Row],[Tithi]]-0.5)*2,7),MOD((P[[#This Row],[Tithi]]+30-28.5),30)*2+7)</f>
        <v>2.2717999999999989</v>
      </c>
      <c r="M418" s="124" t="str">
        <f ca="1">CHOOSE(ROUNDUP(P[[#This Row],[Karana1]],0),"Bhava","Baalava","Kaulava","Taitula","Garija","Vanija","Vishti","Shakuni","Chatushapda","Naaga","Kimstugna")</f>
        <v>Kaulava</v>
      </c>
      <c r="N41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(25.91)</v>
      </c>
      <c r="O418" s="124">
        <f ca="1">IF(AND(P[[#This Row],[Tithi]]&lt;28.5,P[[#This Row],[Tithi]]&gt;0.49999),MOD((P[[#This Row],[Tithi]]-0.5)*2,7),MOD((P[[#This Row],[Tithi]]+30-28.5),30)*2+7)</f>
        <v>2.2717999999999989</v>
      </c>
      <c r="P418" s="124">
        <f ca="1">ROUNDUP(MOD(360+P[[#This Row],[Moon]]-P[[#This Row],[Sun]],360)/12,4)</f>
        <v>8.6358999999999995</v>
      </c>
      <c r="Q418" s="124">
        <f t="shared" ca="1" si="63"/>
        <v>25.91</v>
      </c>
      <c r="R418" s="124" t="str">
        <f ca="1">SIGN(S419-P[[#This Row],[MARs]])*INT(P[[#This Row],[MARs]]/30+1)&amp;"Ma,"&amp;SIGN(T419-P[[#This Row],[Merc]])*INT(P[[#This Row],[Merc]]/30+1)&amp;"Me,"&amp;SIGN(U419-P[[#This Row],[Jup]])*INT(P[[#This Row],[Jup]]/30+1)&amp;"Ju,"&amp;SIGN(V419-P[[#This Row],[Venu]])*INT(P[[#This Row],[Venu]]/30+1)&amp;"Ve,"&amp;SIGN(W419-P[[#This Row],[Sat]])*INT(P[[#This Row],[Sat]]/30+1)&amp;"Sa,"&amp;INT(P[[#This Row],[Rah]]/30+1)&amp;"Ra"</f>
        <v>1Ma,11Me,8Ju,9Ve,9Sa,4Ra</v>
      </c>
      <c r="S418" s="124">
        <f ca="1">Planet(P[[#This Row],[GMT Sun Rise]],4)</f>
        <v>5.6043687049320017</v>
      </c>
      <c r="T418" s="124">
        <f ca="1">Planet(P[[#This Row],[GMT Sun Rise]],2)</f>
        <v>312.3665783828726</v>
      </c>
      <c r="U418" s="124">
        <f ca="1">Planet(P[[#This Row],[GMT Sun Rise]],5)</f>
        <v>235.75587610959585</v>
      </c>
      <c r="V418" s="124">
        <f ca="1">Planet(P[[#This Row],[GMT Sun Rise]],3)</f>
        <v>257.51535474371985</v>
      </c>
      <c r="W418" s="124">
        <f ca="1">Planet(P[[#This Row],[GMT Sun Rise]],6)</f>
        <v>262.21354605401376</v>
      </c>
      <c r="X418" s="124">
        <f ca="1">Planet(P[[#This Row],[GMT Sun Rise]],10)</f>
        <v>91.115350355234682</v>
      </c>
      <c r="Y418" s="124">
        <f ca="1">SIGN(S419-P[[#This Row],[MARs]])</f>
        <v>1</v>
      </c>
    </row>
    <row r="419" spans="1:25" x14ac:dyDescent="0.2">
      <c r="A419" s="125">
        <f t="shared" ca="1" si="64"/>
        <v>43511</v>
      </c>
      <c r="B419" s="125">
        <f t="shared" ca="1" si="57"/>
        <v>43511.229166666664</v>
      </c>
      <c r="C419" s="127">
        <f t="shared" ca="1" si="58"/>
        <v>43511.273401147839</v>
      </c>
      <c r="D419" s="127">
        <f t="shared" ca="1" si="59"/>
        <v>43510.759515424768</v>
      </c>
      <c r="E419" s="189">
        <f ca="1">P[[#This Row],[SunRise]]-TimeZone/24</f>
        <v>43511.044234481174</v>
      </c>
      <c r="F419" s="190">
        <f t="shared" ca="1" si="60"/>
        <v>301.92669976798783</v>
      </c>
      <c r="G419" s="190">
        <f t="shared" ca="1" si="61"/>
        <v>58.273216117643294</v>
      </c>
      <c r="H419" s="191">
        <f t="shared" ca="1" si="62"/>
        <v>43511.044234481174</v>
      </c>
      <c r="I419" s="124" t="str">
        <f ca="1">naks(P[[#This Row],[Moon]])</f>
        <v>Mrigashira</v>
      </c>
      <c r="J419" s="127">
        <f ca="1">(C420-P[[#This Row],[SunRise]])/(G420-P[[#This Row],[Moon]])*(13.3333333333333-MOD(P[[#This Row],[Moon]],13.333333333333))+P[[#This Row],[SunRise]]</f>
        <v>43511.865910221721</v>
      </c>
      <c r="K419" s="124" t="str">
        <f ca="1">IF(P[[#This Row],[Tithi]]&gt;15,"K","S")&amp;ROUNDUP(MOD(P[[#This Row],[Tithi]],15),0)&amp;" ("&amp;ROUND(P[[#This Row],[Tithi]],2)&amp;")"</f>
        <v>S10 (9.7)</v>
      </c>
      <c r="L419" s="124">
        <f ca="1">IF(AND(P[[#This Row],[Tithi]]&lt;28.5,P[[#This Row],[Tithi]]&gt;0.49999),MOD((P[[#This Row],[Tithi]]-0.5)*2,7),MOD((P[[#This Row],[Tithi]]+30-28.5),30)*2+7)</f>
        <v>4.3911999999999978</v>
      </c>
      <c r="M419" s="124" t="str">
        <f ca="1">CHOOSE(ROUNDUP(P[[#This Row],[Karana1]],0),"Bhava","Baalava","Kaulava","Taitula","Garija","Vanija","Vishti","Shakuni","Chatushapda","Naaga","Kimstugna")</f>
        <v>Garija</v>
      </c>
      <c r="N41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(0.02)</v>
      </c>
      <c r="O419" s="124">
        <f ca="1">IF(AND(P[[#This Row],[Tithi]]&lt;28.5,P[[#This Row],[Tithi]]&gt;0.49999),MOD((P[[#This Row],[Tithi]]-0.5)*2,7),MOD((P[[#This Row],[Tithi]]+30-28.5),30)*2+7)</f>
        <v>4.3911999999999978</v>
      </c>
      <c r="P419" s="124">
        <f ca="1">ROUNDUP(MOD(360+P[[#This Row],[Moon]]-P[[#This Row],[Sun]],360)/12,4)</f>
        <v>9.6955999999999989</v>
      </c>
      <c r="Q419" s="124">
        <f t="shared" ca="1" si="63"/>
        <v>0.02</v>
      </c>
      <c r="R419" s="124" t="str">
        <f ca="1">SIGN(S420-P[[#This Row],[MARs]])*INT(P[[#This Row],[MARs]]/30+1)&amp;"Ma,"&amp;SIGN(T420-P[[#This Row],[Merc]])*INT(P[[#This Row],[Merc]]/30+1)&amp;"Me,"&amp;SIGN(U420-P[[#This Row],[Jup]])*INT(P[[#This Row],[Jup]]/30+1)&amp;"Ju,"&amp;SIGN(V420-P[[#This Row],[Venu]])*INT(P[[#This Row],[Venu]]/30+1)&amp;"Ve,"&amp;SIGN(W420-P[[#This Row],[Sat]])*INT(P[[#This Row],[Sat]]/30+1)&amp;"Sa,"&amp;INT(P[[#This Row],[Rah]]/30+1)&amp;"Ra"</f>
        <v>1Ma,11Me,8Ju,9Ve,9Sa,4Ra</v>
      </c>
      <c r="S419" s="124">
        <f ca="1">Planet(P[[#This Row],[GMT Sun Rise]],4)</f>
        <v>6.2800501839007419</v>
      </c>
      <c r="T419" s="124">
        <f ca="1">Planet(P[[#This Row],[GMT Sun Rise]],2)</f>
        <v>314.15218480941053</v>
      </c>
      <c r="U419" s="124">
        <f ca="1">Planet(P[[#This Row],[GMT Sun Rise]],5)</f>
        <v>235.90409382968934</v>
      </c>
      <c r="V419" s="124">
        <f ca="1">Planet(P[[#This Row],[GMT Sun Rise]],3)</f>
        <v>258.67684389468189</v>
      </c>
      <c r="W419" s="124">
        <f ca="1">Planet(P[[#This Row],[GMT Sun Rise]],6)</f>
        <v>262.31378858546873</v>
      </c>
      <c r="X419" s="124">
        <f ca="1">Planet(P[[#This Row],[GMT Sun Rise]],10)</f>
        <v>91.062372180284626</v>
      </c>
      <c r="Y419" s="124">
        <f ca="1">SIGN(S420-P[[#This Row],[MARs]])</f>
        <v>1</v>
      </c>
    </row>
    <row r="420" spans="1:25" x14ac:dyDescent="0.2">
      <c r="A420" s="125">
        <f t="shared" ca="1" si="64"/>
        <v>43512</v>
      </c>
      <c r="B420" s="125">
        <f t="shared" ca="1" si="57"/>
        <v>43512.229166666664</v>
      </c>
      <c r="C420" s="127">
        <f t="shared" ca="1" si="58"/>
        <v>43512.273129986286</v>
      </c>
      <c r="D420" s="127">
        <f t="shared" ca="1" si="59"/>
        <v>43511.759722372095</v>
      </c>
      <c r="E420" s="189">
        <f ca="1">P[[#This Row],[SunRise]]-TimeZone/24</f>
        <v>43512.043963319622</v>
      </c>
      <c r="F420" s="190">
        <f t="shared" ca="1" si="60"/>
        <v>302.93636044775326</v>
      </c>
      <c r="G420" s="190">
        <f t="shared" ca="1" si="61"/>
        <v>72.435319176991783</v>
      </c>
      <c r="H420" s="191">
        <f t="shared" ca="1" si="62"/>
        <v>43512.043963319622</v>
      </c>
      <c r="I420" s="124" t="str">
        <f ca="1">naks(P[[#This Row],[Moon]])</f>
        <v>Ardra</v>
      </c>
      <c r="J420" s="127">
        <f ca="1">(C421-P[[#This Row],[SunRise]])/(G421-P[[#This Row],[Moon]])*(13.3333333333333-MOD(P[[#This Row],[Moon]],13.333333333333))+P[[#This Row],[SunRise]]</f>
        <v>43512.791789418363</v>
      </c>
      <c r="K420" s="124" t="str">
        <f ca="1">IF(P[[#This Row],[Tithi]]&gt;15,"K","S")&amp;ROUNDUP(MOD(P[[#This Row],[Tithi]],15),0)&amp;" ("&amp;ROUND(P[[#This Row],[Tithi]],2)&amp;")"</f>
        <v>S11 (10.79)</v>
      </c>
      <c r="L420" s="124">
        <f ca="1">IF(AND(P[[#This Row],[Tithi]]&lt;28.5,P[[#This Row],[Tithi]]&gt;0.49999),MOD((P[[#This Row],[Tithi]]-0.5)*2,7),MOD((P[[#This Row],[Tithi]]+30-28.5),30)*2+7)</f>
        <v>6.5831999999999979</v>
      </c>
      <c r="M420" s="124" t="str">
        <f ca="1">CHOOSE(ROUNDUP(P[[#This Row],[Karana1]],0),"Bhava","Baalava","Kaulava","Taitula","Garija","Vanija","Vishti","Shakuni","Chatushapda","Naaga","Kimstugna")</f>
        <v>Vishti</v>
      </c>
      <c r="N42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(1.16)</v>
      </c>
      <c r="O420" s="124">
        <f ca="1">IF(AND(P[[#This Row],[Tithi]]&lt;28.5,P[[#This Row],[Tithi]]&gt;0.49999),MOD((P[[#This Row],[Tithi]]-0.5)*2,7),MOD((P[[#This Row],[Tithi]]+30-28.5),30)*2+7)</f>
        <v>6.5831999999999979</v>
      </c>
      <c r="P420" s="124">
        <f ca="1">ROUNDUP(MOD(360+P[[#This Row],[Moon]]-P[[#This Row],[Sun]],360)/12,4)</f>
        <v>10.791599999999999</v>
      </c>
      <c r="Q420" s="124">
        <f t="shared" ca="1" si="63"/>
        <v>1.1599999999999999</v>
      </c>
      <c r="R420" s="124" t="str">
        <f ca="1">SIGN(S421-P[[#This Row],[MARs]])*INT(P[[#This Row],[MARs]]/30+1)&amp;"Ma,"&amp;SIGN(T421-P[[#This Row],[Merc]])*INT(P[[#This Row],[Merc]]/30+1)&amp;"Me,"&amp;SIGN(U421-P[[#This Row],[Jup]])*INT(P[[#This Row],[Jup]]/30+1)&amp;"Ju,"&amp;SIGN(V421-P[[#This Row],[Venu]])*INT(P[[#This Row],[Venu]]/30+1)&amp;"Ve,"&amp;SIGN(W421-P[[#This Row],[Sat]])*INT(P[[#This Row],[Sat]]/30+1)&amp;"Sa,"&amp;INT(P[[#This Row],[Rah]]/30+1)&amp;"Ra"</f>
        <v>1Ma,11Me,8Ju,9Ve,9Sa,4Ra</v>
      </c>
      <c r="S420" s="124">
        <f ca="1">Planet(P[[#This Row],[GMT Sun Rise]],4)</f>
        <v>6.9554870183903219</v>
      </c>
      <c r="T420" s="124">
        <f ca="1">Planet(P[[#This Row],[GMT Sun Rise]],2)</f>
        <v>315.92086613558075</v>
      </c>
      <c r="U420" s="124">
        <f ca="1">Planet(P[[#This Row],[GMT Sun Rise]],5)</f>
        <v>236.05029848240139</v>
      </c>
      <c r="V420" s="124">
        <f ca="1">Planet(P[[#This Row],[GMT Sun Rise]],3)</f>
        <v>259.8400305521223</v>
      </c>
      <c r="W420" s="124">
        <f ca="1">Planet(P[[#This Row],[GMT Sun Rise]],6)</f>
        <v>262.41319965783515</v>
      </c>
      <c r="X420" s="124">
        <f ca="1">Planet(P[[#This Row],[GMT Sun Rise]],10)</f>
        <v>91.009394552869665</v>
      </c>
      <c r="Y420" s="124">
        <f ca="1">SIGN(S421-P[[#This Row],[MARs]])</f>
        <v>1</v>
      </c>
    </row>
    <row r="421" spans="1:25" x14ac:dyDescent="0.2">
      <c r="A421" s="125">
        <f t="shared" ca="1" si="64"/>
        <v>43513</v>
      </c>
      <c r="B421" s="125">
        <f t="shared" ca="1" si="57"/>
        <v>43513.229166666664</v>
      </c>
      <c r="C421" s="127">
        <f t="shared" ca="1" si="58"/>
        <v>43513.272848493572</v>
      </c>
      <c r="D421" s="127">
        <f t="shared" ca="1" si="59"/>
        <v>43512.759922484911</v>
      </c>
      <c r="E421" s="189">
        <f ca="1">P[[#This Row],[SunRise]]-TimeZone/24</f>
        <v>43513.043681826908</v>
      </c>
      <c r="F421" s="190">
        <f t="shared" ca="1" si="60"/>
        <v>303.94553335357818</v>
      </c>
      <c r="G421" s="190">
        <f t="shared" ca="1" si="61"/>
        <v>87.016277225286728</v>
      </c>
      <c r="H421" s="191">
        <f t="shared" ca="1" si="62"/>
        <v>43513.043681826908</v>
      </c>
      <c r="I421" s="124" t="str">
        <f ca="1">naks(P[[#This Row],[Moon]])</f>
        <v>Punarvasu</v>
      </c>
      <c r="J421" s="127">
        <f ca="1">(C422-P[[#This Row],[SunRise]])/(G422-P[[#This Row],[Moon]])*(13.3333333333333-MOD(P[[#This Row],[Moon]],13.333333333333))+P[[#This Row],[SunRise]]</f>
        <v>43513.695642200561</v>
      </c>
      <c r="K421" s="124" t="str">
        <f ca="1">IF(P[[#This Row],[Tithi]]&gt;15,"K","S")&amp;ROUNDUP(MOD(P[[#This Row],[Tithi]],15),0)&amp;" ("&amp;ROUND(P[[#This Row],[Tithi]],2)&amp;")"</f>
        <v>S12 (11.92)</v>
      </c>
      <c r="L421" s="124">
        <f ca="1">IF(AND(P[[#This Row],[Tithi]]&lt;28.5,P[[#This Row],[Tithi]]&gt;0.49999),MOD((P[[#This Row],[Tithi]]-0.5)*2,7),MOD((P[[#This Row],[Tithi]]+30-28.5),30)*2+7)</f>
        <v>1.8451999999999984</v>
      </c>
      <c r="M421" s="124" t="str">
        <f ca="1">CHOOSE(ROUNDUP(P[[#This Row],[Karana1]],0),"Bhava","Baalava","Kaulava","Taitula","Garija","Vanija","Vishti","Shakuni","Chatushapda","Naaga","Kimstugna")</f>
        <v>Baalava</v>
      </c>
      <c r="N42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(2.33)</v>
      </c>
      <c r="O421" s="124">
        <f ca="1">IF(AND(P[[#This Row],[Tithi]]&lt;28.5,P[[#This Row],[Tithi]]&gt;0.49999),MOD((P[[#This Row],[Tithi]]-0.5)*2,7),MOD((P[[#This Row],[Tithi]]+30-28.5),30)*2+7)</f>
        <v>1.8451999999999984</v>
      </c>
      <c r="P421" s="124">
        <f ca="1">ROUNDUP(MOD(360+P[[#This Row],[Moon]]-P[[#This Row],[Sun]],360)/12,4)</f>
        <v>11.922599999999999</v>
      </c>
      <c r="Q421" s="124">
        <f t="shared" ca="1" si="63"/>
        <v>2.3299999999999996</v>
      </c>
      <c r="R421" s="124" t="str">
        <f ca="1">SIGN(S422-P[[#This Row],[MARs]])*INT(P[[#This Row],[MARs]]/30+1)&amp;"Ma,"&amp;SIGN(T422-P[[#This Row],[Merc]])*INT(P[[#This Row],[Merc]]/30+1)&amp;"Me,"&amp;SIGN(U422-P[[#This Row],[Jup]])*INT(P[[#This Row],[Jup]]/30+1)&amp;"Ju,"&amp;SIGN(V422-P[[#This Row],[Venu]])*INT(P[[#This Row],[Venu]]/30+1)&amp;"Ve,"&amp;SIGN(W422-P[[#This Row],[Sat]])*INT(P[[#This Row],[Sat]]/30+1)&amp;"Sa,"&amp;INT(P[[#This Row],[Rah]]/30+1)&amp;"Ra"</f>
        <v>1Ma,11Me,8Ju,9Ve,9Sa,4Ra</v>
      </c>
      <c r="S421" s="124">
        <f ca="1">Planet(P[[#This Row],[GMT Sun Rise]],4)</f>
        <v>7.6306637415208272</v>
      </c>
      <c r="T421" s="124">
        <f ca="1">Planet(P[[#This Row],[GMT Sun Rise]],2)</f>
        <v>317.66688705591548</v>
      </c>
      <c r="U421" s="124">
        <f ca="1">Planet(P[[#This Row],[GMT Sun Rise]],5)</f>
        <v>236.19446607714136</v>
      </c>
      <c r="V421" s="124">
        <f ca="1">Planet(P[[#This Row],[GMT Sun Rise]],3)</f>
        <v>261.00487933672508</v>
      </c>
      <c r="W421" s="124">
        <f ca="1">Planet(P[[#This Row],[GMT Sun Rise]],6)</f>
        <v>262.51176345310853</v>
      </c>
      <c r="X421" s="124">
        <f ca="1">Planet(P[[#This Row],[GMT Sun Rise]],10)</f>
        <v>90.956417472890536</v>
      </c>
      <c r="Y421" s="124">
        <f ca="1">SIGN(S422-P[[#This Row],[MARs]])</f>
        <v>1</v>
      </c>
    </row>
    <row r="422" spans="1:25" x14ac:dyDescent="0.2">
      <c r="A422" s="125">
        <f t="shared" ca="1" si="64"/>
        <v>43514</v>
      </c>
      <c r="B422" s="125">
        <f t="shared" ca="1" si="57"/>
        <v>43514.229166666664</v>
      </c>
      <c r="C422" s="127">
        <f t="shared" ca="1" si="58"/>
        <v>43514.272557146069</v>
      </c>
      <c r="D422" s="127">
        <f t="shared" ca="1" si="59"/>
        <v>43513.760115921541</v>
      </c>
      <c r="E422" s="189">
        <f ca="1">P[[#This Row],[SunRise]]-TimeZone/24</f>
        <v>43514.043390479404</v>
      </c>
      <c r="F422" s="190">
        <f t="shared" ca="1" si="60"/>
        <v>304.95422597079704</v>
      </c>
      <c r="G422" s="190">
        <f t="shared" ca="1" si="61"/>
        <v>101.95314961758842</v>
      </c>
      <c r="H422" s="191">
        <f t="shared" ca="1" si="62"/>
        <v>43514.043390479404</v>
      </c>
      <c r="I422" s="124" t="str">
        <f ca="1">naks(P[[#This Row],[Moon]])</f>
        <v>Pushya</v>
      </c>
      <c r="J422" s="127">
        <f ca="1">(C423-P[[#This Row],[SunRise]])/(G423-P[[#This Row],[Moon]])*(13.3333333333333-MOD(P[[#This Row],[Moon]],13.333333333333))+P[[#This Row],[SunRise]]</f>
        <v>43514.58297063705</v>
      </c>
      <c r="K422" s="124" t="str">
        <f ca="1">IF(P[[#This Row],[Tithi]]&gt;15,"K","S")&amp;ROUNDUP(MOD(P[[#This Row],[Tithi]],15),0)&amp;" ("&amp;ROUND(P[[#This Row],[Tithi]],2)&amp;")"</f>
        <v>S14 (13.08)</v>
      </c>
      <c r="L422" s="124">
        <f ca="1">IF(AND(P[[#This Row],[Tithi]]&lt;28.5,P[[#This Row],[Tithi]]&gt;0.49999),MOD((P[[#This Row],[Tithi]]-0.5)*2,7),MOD((P[[#This Row],[Tithi]]+30-28.5),30)*2+7)</f>
        <v>4.166599999999999</v>
      </c>
      <c r="M422" s="124" t="str">
        <f ca="1">CHOOSE(ROUNDUP(P[[#This Row],[Karana1]],0),"Bhava","Baalava","Kaulava","Taitula","Garija","Vanija","Vishti","Shakuni","Chatushapda","Naaga","Kimstugna")</f>
        <v>Garija</v>
      </c>
      <c r="N42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(3.52)</v>
      </c>
      <c r="O422" s="124">
        <f ca="1">IF(AND(P[[#This Row],[Tithi]]&lt;28.5,P[[#This Row],[Tithi]]&gt;0.49999),MOD((P[[#This Row],[Tithi]]-0.5)*2,7),MOD((P[[#This Row],[Tithi]]+30-28.5),30)*2+7)</f>
        <v>4.166599999999999</v>
      </c>
      <c r="P422" s="124">
        <f ca="1">ROUNDUP(MOD(360+P[[#This Row],[Moon]]-P[[#This Row],[Sun]],360)/12,4)</f>
        <v>13.083299999999999</v>
      </c>
      <c r="Q422" s="124">
        <f t="shared" ca="1" si="63"/>
        <v>3.5199999999999996</v>
      </c>
      <c r="R422" s="124" t="str">
        <f ca="1">SIGN(S423-P[[#This Row],[MARs]])*INT(P[[#This Row],[MARs]]/30+1)&amp;"Ma,"&amp;SIGN(T423-P[[#This Row],[Merc]])*INT(P[[#This Row],[Merc]]/30+1)&amp;"Me,"&amp;SIGN(U423-P[[#This Row],[Jup]])*INT(P[[#This Row],[Jup]]/30+1)&amp;"Ju,"&amp;SIGN(V423-P[[#This Row],[Venu]])*INT(P[[#This Row],[Venu]]/30+1)&amp;"Ve,"&amp;SIGN(W423-P[[#This Row],[Sat]])*INT(P[[#This Row],[Sat]]/30+1)&amp;"Sa,"&amp;INT(P[[#This Row],[Rah]]/30+1)&amp;"Ra"</f>
        <v>1Ma,11Me,8Ju,9Ve,9Sa,4Ra</v>
      </c>
      <c r="S422" s="124">
        <f ca="1">Planet(P[[#This Row],[GMT Sun Rise]],4)</f>
        <v>8.3055682485337154</v>
      </c>
      <c r="T422" s="124">
        <f ca="1">Planet(P[[#This Row],[GMT Sun Rise]],2)</f>
        <v>319.3837329085236</v>
      </c>
      <c r="U422" s="124">
        <f ca="1">Planet(P[[#This Row],[GMT Sun Rise]],5)</f>
        <v>236.33657279624271</v>
      </c>
      <c r="V422" s="124">
        <f ca="1">Planet(P[[#This Row],[GMT Sun Rise]],3)</f>
        <v>262.17135930535932</v>
      </c>
      <c r="W422" s="124">
        <f ca="1">Planet(P[[#This Row],[GMT Sun Rise]],6)</f>
        <v>262.60946460547848</v>
      </c>
      <c r="X422" s="124">
        <f ca="1">Planet(P[[#This Row],[GMT Sun Rise]],10)</f>
        <v>90.903440915162506</v>
      </c>
      <c r="Y422" s="124">
        <f ca="1">SIGN(S423-P[[#This Row],[MARs]])</f>
        <v>1</v>
      </c>
    </row>
    <row r="423" spans="1:25" x14ac:dyDescent="0.2">
      <c r="A423" s="125">
        <f t="shared" ca="1" si="64"/>
        <v>43515</v>
      </c>
      <c r="B423" s="125">
        <f t="shared" ca="1" si="57"/>
        <v>43515.229166666664</v>
      </c>
      <c r="C423" s="127">
        <f t="shared" ca="1" si="58"/>
        <v>43515.272256102566</v>
      </c>
      <c r="D423" s="127">
        <f t="shared" ca="1" si="59"/>
        <v>43514.760302841707</v>
      </c>
      <c r="E423" s="189">
        <f ca="1">P[[#This Row],[SunRise]]-TimeZone/24</f>
        <v>43515.043089435901</v>
      </c>
      <c r="F423" s="190">
        <f t="shared" ca="1" si="60"/>
        <v>305.9624506030591</v>
      </c>
      <c r="G423" s="190">
        <f t="shared" ca="1" si="61"/>
        <v>117.13321817857135</v>
      </c>
      <c r="H423" s="191">
        <f t="shared" ca="1" si="62"/>
        <v>43515.043089435901</v>
      </c>
      <c r="I423" s="124" t="str">
        <f ca="1">naks(P[[#This Row],[Moon]])</f>
        <v>Aslesha</v>
      </c>
      <c r="J423" s="127">
        <f ca="1">(C424-P[[#This Row],[SunRise]])/(G424-P[[#This Row],[Moon]])*(13.3333333333333-MOD(P[[#This Row],[Moon]],13.333333333333))+P[[#This Row],[SunRise]]</f>
        <v>43515.459949191303</v>
      </c>
      <c r="K423" s="124" t="str">
        <f ca="1">IF(P[[#This Row],[Tithi]]&gt;15,"K","S")&amp;ROUNDUP(MOD(P[[#This Row],[Tithi]],15),0)&amp;" ("&amp;ROUND(P[[#This Row],[Tithi]],2)&amp;")"</f>
        <v>S15 (14.26)</v>
      </c>
      <c r="L423" s="124">
        <f ca="1">IF(AND(P[[#This Row],[Tithi]]&lt;28.5,P[[#This Row],[Tithi]]&gt;0.49999),MOD((P[[#This Row],[Tithi]]-0.5)*2,7),MOD((P[[#This Row],[Tithi]]+30-28.5),30)*2+7)</f>
        <v>6.5286000000000008</v>
      </c>
      <c r="M423" s="124" t="str">
        <f ca="1">CHOOSE(ROUNDUP(P[[#This Row],[Karana1]],0),"Bhava","Baalava","Kaulava","Taitula","Garija","Vanija","Vishti","Shakuni","Chatushapda","Naaga","Kimstugna")</f>
        <v>Vishti</v>
      </c>
      <c r="N42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Shobhana-शोभन-Su (4.74)</v>
      </c>
      <c r="O423" s="124">
        <f ca="1">IF(AND(P[[#This Row],[Tithi]]&lt;28.5,P[[#This Row],[Tithi]]&gt;0.49999),MOD((P[[#This Row],[Tithi]]-0.5)*2,7),MOD((P[[#This Row],[Tithi]]+30-28.5),30)*2+7)</f>
        <v>6.5286000000000008</v>
      </c>
      <c r="P423" s="124">
        <f ca="1">ROUNDUP(MOD(360+P[[#This Row],[Moon]]-P[[#This Row],[Sun]],360)/12,4)</f>
        <v>14.2643</v>
      </c>
      <c r="Q423" s="124">
        <f t="shared" ca="1" si="63"/>
        <v>4.74</v>
      </c>
      <c r="R423" s="124" t="str">
        <f ca="1">SIGN(S424-P[[#This Row],[MARs]])*INT(P[[#This Row],[MARs]]/30+1)&amp;"Ma,"&amp;SIGN(T424-P[[#This Row],[Merc]])*INT(P[[#This Row],[Merc]]/30+1)&amp;"Me,"&amp;SIGN(U424-P[[#This Row],[Jup]])*INT(P[[#This Row],[Jup]]/30+1)&amp;"Ju,"&amp;SIGN(V424-P[[#This Row],[Venu]])*INT(P[[#This Row],[Venu]]/30+1)&amp;"Ve,"&amp;SIGN(W424-P[[#This Row],[Sat]])*INT(P[[#This Row],[Sat]]/30+1)&amp;"Sa,"&amp;INT(P[[#This Row],[Rah]]/30+1)&amp;"Ra"</f>
        <v>1Ma,11Me,8Ju,9Ve,9Sa,4Ra</v>
      </c>
      <c r="S423" s="124">
        <f ca="1">Planet(P[[#This Row],[GMT Sun Rise]],4)</f>
        <v>8.9801922657633604</v>
      </c>
      <c r="T423" s="124">
        <f ca="1">Planet(P[[#This Row],[GMT Sun Rise]],2)</f>
        <v>321.06409058365529</v>
      </c>
      <c r="U423" s="124">
        <f ca="1">Planet(P[[#This Row],[GMT Sun Rise]],5)</f>
        <v>236.47659442061567</v>
      </c>
      <c r="V423" s="124">
        <f ca="1">Planet(P[[#This Row],[GMT Sun Rise]],3)</f>
        <v>263.33944117604983</v>
      </c>
      <c r="W423" s="124">
        <f ca="1">Planet(P[[#This Row],[GMT Sun Rise]],6)</f>
        <v>262.70628792403625</v>
      </c>
      <c r="X423" s="124">
        <f ca="1">Planet(P[[#This Row],[GMT Sun Rise]],10)</f>
        <v>90.850464871235573</v>
      </c>
      <c r="Y423" s="124">
        <f ca="1">SIGN(S424-P[[#This Row],[MARs]])</f>
        <v>1</v>
      </c>
    </row>
    <row r="424" spans="1:25" x14ac:dyDescent="0.2">
      <c r="A424" s="125">
        <f t="shared" ca="1" si="64"/>
        <v>43516</v>
      </c>
      <c r="B424" s="125">
        <f t="shared" ca="1" si="57"/>
        <v>43516.229166666664</v>
      </c>
      <c r="C424" s="127">
        <f t="shared" ca="1" si="58"/>
        <v>43516.271945681576</v>
      </c>
      <c r="D424" s="127">
        <f t="shared" ca="1" si="59"/>
        <v>43515.760483245409</v>
      </c>
      <c r="E424" s="189">
        <f ca="1">P[[#This Row],[SunRise]]-TimeZone/24</f>
        <v>43516.042779014912</v>
      </c>
      <c r="F424" s="190">
        <f t="shared" ca="1" si="60"/>
        <v>306.97022332452866</v>
      </c>
      <c r="G424" s="190">
        <f t="shared" ca="1" si="61"/>
        <v>132.40225089286864</v>
      </c>
      <c r="H424" s="191">
        <f t="shared" ca="1" si="62"/>
        <v>43516.042779014912</v>
      </c>
      <c r="I424" s="124" t="str">
        <f ca="1">naks(P[[#This Row],[Moon]])</f>
        <v>Makha</v>
      </c>
      <c r="J424" s="127">
        <f ca="1">(C425-P[[#This Row],[SunRise]])/(G425-P[[#This Row],[Moon]])*(13.3333333333333-MOD(P[[#This Row],[Moon]],13.333333333333))+P[[#This Row],[SunRise]]</f>
        <v>43516.333249383846</v>
      </c>
      <c r="K424" s="124" t="str">
        <f ca="1">IF(P[[#This Row],[Tithi]]&gt;15,"K","S")&amp;ROUNDUP(MOD(P[[#This Row],[Tithi]],15),0)&amp;" ("&amp;ROUND(P[[#This Row],[Tithi]],2)&amp;")"</f>
        <v>K1 (15.45)</v>
      </c>
      <c r="L424" s="124">
        <f ca="1">IF(AND(P[[#This Row],[Tithi]]&lt;28.5,P[[#This Row],[Tithi]]&gt;0.49999),MOD((P[[#This Row],[Tithi]]-0.5)*2,7),MOD((P[[#This Row],[Tithi]]+30-28.5),30)*2+7)</f>
        <v>1.9054000000000002</v>
      </c>
      <c r="M424" s="124" t="str">
        <f ca="1">CHOOSE(ROUNDUP(P[[#This Row],[Karana1]],0),"Bhava","Baalava","Kaulava","Taitula","Garija","Vanija","Vishti","Shakuni","Chatushapda","Naaga","Kimstugna")</f>
        <v>Baalava</v>
      </c>
      <c r="N42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(5.96)</v>
      </c>
      <c r="O424" s="124">
        <f ca="1">IF(AND(P[[#This Row],[Tithi]]&lt;28.5,P[[#This Row],[Tithi]]&gt;0.49999),MOD((P[[#This Row],[Tithi]]-0.5)*2,7),MOD((P[[#This Row],[Tithi]]+30-28.5),30)*2+7)</f>
        <v>1.9054000000000002</v>
      </c>
      <c r="P424" s="124">
        <f ca="1">ROUNDUP(MOD(360+P[[#This Row],[Moon]]-P[[#This Row],[Sun]],360)/12,4)</f>
        <v>15.4527</v>
      </c>
      <c r="Q424" s="124">
        <f t="shared" ca="1" si="63"/>
        <v>5.96</v>
      </c>
      <c r="R424" s="124" t="str">
        <f ca="1">SIGN(S425-P[[#This Row],[MARs]])*INT(P[[#This Row],[MARs]]/30+1)&amp;"Ma,"&amp;SIGN(T425-P[[#This Row],[Merc]])*INT(P[[#This Row],[Merc]]/30+1)&amp;"Me,"&amp;SIGN(U425-P[[#This Row],[Jup]])*INT(P[[#This Row],[Jup]]/30+1)&amp;"Ju,"&amp;SIGN(V425-P[[#This Row],[Venu]])*INT(P[[#This Row],[Venu]]/30+1)&amp;"Ve,"&amp;SIGN(W425-P[[#This Row],[Sat]])*INT(P[[#This Row],[Sat]]/30+1)&amp;"Sa,"&amp;INT(P[[#This Row],[Rah]]/30+1)&amp;"Ra"</f>
        <v>1Ma,11Me,8Ju,9Ve,9Sa,4Ra</v>
      </c>
      <c r="S424" s="124">
        <f ca="1">Planet(P[[#This Row],[GMT Sun Rise]],4)</f>
        <v>9.6545321976779199</v>
      </c>
      <c r="T424" s="124">
        <f ca="1">Planet(P[[#This Row],[GMT Sun Rise]],2)</f>
        <v>322.69985711945992</v>
      </c>
      <c r="U424" s="124">
        <f ca="1">Planet(P[[#This Row],[GMT Sun Rise]],5)</f>
        <v>236.61450590432466</v>
      </c>
      <c r="V424" s="124">
        <f ca="1">Planet(P[[#This Row],[GMT Sun Rise]],3)</f>
        <v>264.50909553563588</v>
      </c>
      <c r="W424" s="124">
        <f ca="1">Planet(P[[#This Row],[GMT Sun Rise]],6)</f>
        <v>262.80221817207553</v>
      </c>
      <c r="X424" s="124">
        <f ca="1">Planet(P[[#This Row],[GMT Sun Rise]],10)</f>
        <v>90.797489324226106</v>
      </c>
      <c r="Y424" s="124">
        <f ca="1">SIGN(S425-P[[#This Row],[MARs]])</f>
        <v>1</v>
      </c>
    </row>
    <row r="425" spans="1:25" x14ac:dyDescent="0.2">
      <c r="A425" s="125">
        <f t="shared" ca="1" si="64"/>
        <v>43517</v>
      </c>
      <c r="B425" s="125">
        <f t="shared" ca="1" si="57"/>
        <v>43517.229166666664</v>
      </c>
      <c r="C425" s="127">
        <f t="shared" ca="1" si="58"/>
        <v>43517.27162620068</v>
      </c>
      <c r="D425" s="127">
        <f t="shared" ca="1" si="59"/>
        <v>43516.760657449762</v>
      </c>
      <c r="E425" s="189">
        <f ca="1">P[[#This Row],[SunRise]]-TimeZone/24</f>
        <v>43517.042459534016</v>
      </c>
      <c r="F425" s="190">
        <f t="shared" ca="1" si="60"/>
        <v>307.97756148666167</v>
      </c>
      <c r="G425" s="190">
        <f t="shared" ca="1" si="61"/>
        <v>147.58542813895193</v>
      </c>
      <c r="H425" s="191">
        <f t="shared" ca="1" si="62"/>
        <v>43517.042459534016</v>
      </c>
      <c r="I425" s="124" t="str">
        <f ca="1">naks(P[[#This Row],[Moon]])</f>
        <v>Uttara Phalguni</v>
      </c>
      <c r="J425" s="127">
        <f ca="1">(C426-P[[#This Row],[SunRise]])/(G426-P[[#This Row],[Moon]])*(13.3333333333333-MOD(P[[#This Row],[Moon]],13.333333333333))+P[[#This Row],[SunRise]]</f>
        <v>43518.102845730849</v>
      </c>
      <c r="K425" s="124" t="str">
        <f ca="1">IF(P[[#This Row],[Tithi]]&gt;15,"K","S")&amp;ROUNDUP(MOD(P[[#This Row],[Tithi]],15),0)&amp;" ("&amp;ROUND(P[[#This Row],[Tithi]],2)&amp;")"</f>
        <v>K2 (16.63)</v>
      </c>
      <c r="L425" s="124">
        <f ca="1">IF(AND(P[[#This Row],[Tithi]]&lt;28.5,P[[#This Row],[Tithi]]&gt;0.49999),MOD((P[[#This Row],[Tithi]]-0.5)*2,7),MOD((P[[#This Row],[Tithi]]+30-28.5),30)*2+7)</f>
        <v>4.2680000000000007</v>
      </c>
      <c r="M425" s="124" t="str">
        <f ca="1">CHOOSE(ROUNDUP(P[[#This Row],[Karana1]],0),"Bhava","Baalava","Kaulava","Taitula","Garija","Vanija","Vishti","Shakuni","Chatushapda","Naaga","Kimstugna")</f>
        <v>Garija</v>
      </c>
      <c r="N42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(7.17)</v>
      </c>
      <c r="O425" s="124">
        <f ca="1">IF(AND(P[[#This Row],[Tithi]]&lt;28.5,P[[#This Row],[Tithi]]&gt;0.49999),MOD((P[[#This Row],[Tithi]]-0.5)*2,7),MOD((P[[#This Row],[Tithi]]+30-28.5),30)*2+7)</f>
        <v>4.2680000000000007</v>
      </c>
      <c r="P425" s="124">
        <f ca="1">ROUNDUP(MOD(360+P[[#This Row],[Moon]]-P[[#This Row],[Sun]],360)/12,4)</f>
        <v>16.634</v>
      </c>
      <c r="Q425" s="124">
        <f t="shared" ca="1" si="63"/>
        <v>7.17</v>
      </c>
      <c r="R425" s="124" t="str">
        <f ca="1">SIGN(S426-P[[#This Row],[MARs]])*INT(P[[#This Row],[MARs]]/30+1)&amp;"Ma,"&amp;SIGN(T426-P[[#This Row],[Merc]])*INT(P[[#This Row],[Merc]]/30+1)&amp;"Me,"&amp;SIGN(U426-P[[#This Row],[Jup]])*INT(P[[#This Row],[Jup]]/30+1)&amp;"Ju,"&amp;SIGN(V426-P[[#This Row],[Venu]])*INT(P[[#This Row],[Venu]]/30+1)&amp;"Ve,"&amp;SIGN(W426-P[[#This Row],[Sat]])*INT(P[[#This Row],[Sat]]/30+1)&amp;"Sa,"&amp;INT(P[[#This Row],[Rah]]/30+1)&amp;"Ra"</f>
        <v>1Ma,11Me,8Ju,9Ve,9Sa,4Ra</v>
      </c>
      <c r="S425" s="124">
        <f ca="1">Planet(P[[#This Row],[GMT Sun Rise]],4)</f>
        <v>10.328588812353777</v>
      </c>
      <c r="T425" s="124">
        <f ca="1">Planet(P[[#This Row],[GMT Sun Rise]],2)</f>
        <v>324.2821788035078</v>
      </c>
      <c r="U425" s="124">
        <f ca="1">Planet(P[[#This Row],[GMT Sun Rise]],5)</f>
        <v>236.75028095822478</v>
      </c>
      <c r="V425" s="124">
        <f ca="1">Planet(P[[#This Row],[GMT Sun Rise]],3)</f>
        <v>265.68029040607945</v>
      </c>
      <c r="W425" s="124">
        <f ca="1">Planet(P[[#This Row],[GMT Sun Rise]],6)</f>
        <v>262.89723977815402</v>
      </c>
      <c r="X425" s="124">
        <f ca="1">Planet(P[[#This Row],[GMT Sun Rise]],10)</f>
        <v>90.744514257349948</v>
      </c>
      <c r="Y425" s="124">
        <f ca="1">SIGN(S426-P[[#This Row],[MARs]])</f>
        <v>1</v>
      </c>
    </row>
    <row r="426" spans="1:25" x14ac:dyDescent="0.2">
      <c r="A426" s="125">
        <f t="shared" ca="1" si="64"/>
        <v>43518</v>
      </c>
      <c r="B426" s="125">
        <f t="shared" ca="1" si="57"/>
        <v>43518.229166666664</v>
      </c>
      <c r="C426" s="127">
        <f t="shared" ca="1" si="58"/>
        <v>43518.271297819134</v>
      </c>
      <c r="D426" s="127">
        <f t="shared" ca="1" si="59"/>
        <v>43517.760825455232</v>
      </c>
      <c r="E426" s="189">
        <f ca="1">P[[#This Row],[SunRise]]-TimeZone/24</f>
        <v>43518.04213115247</v>
      </c>
      <c r="F426" s="190">
        <f t="shared" ca="1" si="60"/>
        <v>308.98448104547737</v>
      </c>
      <c r="G426" s="190">
        <f t="shared" ca="1" si="61"/>
        <v>162.51589439279181</v>
      </c>
      <c r="H426" s="191">
        <f t="shared" ca="1" si="62"/>
        <v>43518.04213115247</v>
      </c>
      <c r="I426" s="124" t="str">
        <f ca="1">naks(P[[#This Row],[Moon]])</f>
        <v>Hasta</v>
      </c>
      <c r="J426" s="127">
        <f ca="1">(C427-P[[#This Row],[SunRise]])/(G427-P[[#This Row],[Moon]])*(13.3333333333333-MOD(P[[#This Row],[Moon]],13.333333333333))+P[[#This Row],[SunRise]]</f>
        <v>43519.014730265138</v>
      </c>
      <c r="K426" s="124" t="str">
        <f ca="1">IF(P[[#This Row],[Tithi]]&gt;15,"K","S")&amp;ROUNDUP(MOD(P[[#This Row],[Tithi]],15),0)&amp;" ("&amp;ROUND(P[[#This Row],[Tithi]],2)&amp;")"</f>
        <v>K3 (17.79)</v>
      </c>
      <c r="L426" s="124">
        <f ca="1">IF(AND(P[[#This Row],[Tithi]]&lt;28.5,P[[#This Row],[Tithi]]&gt;0.49999),MOD((P[[#This Row],[Tithi]]-0.5)*2,7),MOD((P[[#This Row],[Tithi]]+30-28.5),30)*2+7)</f>
        <v>6.5885999999999996</v>
      </c>
      <c r="M426" s="124" t="str">
        <f ca="1">CHOOSE(ROUNDUP(P[[#This Row],[Karana1]],0),"Bhava","Baalava","Kaulava","Taitula","Garija","Vanija","Vishti","Shakuni","Chatushapda","Naaga","Kimstugna")</f>
        <v>Vishti</v>
      </c>
      <c r="N42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(8.37)</v>
      </c>
      <c r="O426" s="124">
        <f ca="1">IF(AND(P[[#This Row],[Tithi]]&lt;28.5,P[[#This Row],[Tithi]]&gt;0.49999),MOD((P[[#This Row],[Tithi]]-0.5)*2,7),MOD((P[[#This Row],[Tithi]]+30-28.5),30)*2+7)</f>
        <v>6.5885999999999996</v>
      </c>
      <c r="P426" s="124">
        <f ca="1">ROUNDUP(MOD(360+P[[#This Row],[Moon]]-P[[#This Row],[Sun]],360)/12,4)</f>
        <v>17.7943</v>
      </c>
      <c r="Q426" s="124">
        <f t="shared" ca="1" si="63"/>
        <v>8.3699999999999992</v>
      </c>
      <c r="R426" s="124" t="str">
        <f ca="1">SIGN(S427-P[[#This Row],[MARs]])*INT(P[[#This Row],[MARs]]/30+1)&amp;"Ma,"&amp;SIGN(T427-P[[#This Row],[Merc]])*INT(P[[#This Row],[Merc]]/30+1)&amp;"Me,"&amp;SIGN(U427-P[[#This Row],[Jup]])*INT(P[[#This Row],[Jup]]/30+1)&amp;"Ju,"&amp;SIGN(V427-P[[#This Row],[Venu]])*INT(P[[#This Row],[Venu]]/30+1)&amp;"Ve,"&amp;SIGN(W427-P[[#This Row],[Sat]])*INT(P[[#This Row],[Sat]]/30+1)&amp;"Sa,"&amp;INT(P[[#This Row],[Rah]]/30+1)&amp;"Ra"</f>
        <v>1Ma,11Me,8Ju,9Ve,9Sa,4Ra</v>
      </c>
      <c r="S426" s="124">
        <f ca="1">Planet(P[[#This Row],[GMT Sun Rise]],4)</f>
        <v>11.002366223776257</v>
      </c>
      <c r="T426" s="124">
        <f ca="1">Planet(P[[#This Row],[GMT Sun Rise]],2)</f>
        <v>325.80152735884985</v>
      </c>
      <c r="U426" s="124">
        <f ca="1">Planet(P[[#This Row],[GMT Sun Rise]],5)</f>
        <v>236.88389185541962</v>
      </c>
      <c r="V426" s="124">
        <f ca="1">Planet(P[[#This Row],[GMT Sun Rise]],3)</f>
        <v>266.85298954097794</v>
      </c>
      <c r="W426" s="124">
        <f ca="1">Planet(P[[#This Row],[GMT Sun Rise]],6)</f>
        <v>262.99133662002617</v>
      </c>
      <c r="X426" s="124">
        <f ca="1">Planet(P[[#This Row],[GMT Sun Rise]],10)</f>
        <v>90.691539662123887</v>
      </c>
      <c r="Y426" s="124">
        <f ca="1">SIGN(S427-P[[#This Row],[MARs]])</f>
        <v>1</v>
      </c>
    </row>
    <row r="427" spans="1:25" x14ac:dyDescent="0.2">
      <c r="A427" s="125">
        <f t="shared" ca="1" si="64"/>
        <v>43519</v>
      </c>
      <c r="B427" s="125">
        <f t="shared" ca="1" si="57"/>
        <v>43519.229166666664</v>
      </c>
      <c r="C427" s="127">
        <f t="shared" ca="1" si="58"/>
        <v>43519.270961012844</v>
      </c>
      <c r="D427" s="127">
        <f t="shared" ca="1" si="59"/>
        <v>43518.760987579866</v>
      </c>
      <c r="E427" s="189">
        <f ca="1">P[[#This Row],[SunRise]]-TimeZone/24</f>
        <v>43519.04179434618</v>
      </c>
      <c r="F427" s="190">
        <f t="shared" ca="1" si="60"/>
        <v>309.99099498887728</v>
      </c>
      <c r="G427" s="190">
        <f t="shared" ca="1" si="61"/>
        <v>177.0616619567343</v>
      </c>
      <c r="H427" s="191">
        <f t="shared" ca="1" si="62"/>
        <v>43519.04179434618</v>
      </c>
      <c r="I427" s="124" t="str">
        <f ca="1">naks(P[[#This Row],[Moon]])</f>
        <v>Chitra</v>
      </c>
      <c r="J427" s="127">
        <f ca="1">(C428-P[[#This Row],[SunRise]])/(G428-P[[#This Row],[Moon]])*(13.3333333333333-MOD(P[[#This Row],[Moon]],13.333333333333))+P[[#This Row],[SunRise]]</f>
        <v>43519.952869828623</v>
      </c>
      <c r="K427" s="124" t="str">
        <f ca="1">IF(P[[#This Row],[Tithi]]&gt;15,"K","S")&amp;ROUNDUP(MOD(P[[#This Row],[Tithi]],15),0)&amp;" ("&amp;ROUND(P[[#This Row],[Tithi]],2)&amp;")"</f>
        <v>K4 (18.92)</v>
      </c>
      <c r="L427" s="124">
        <f ca="1">IF(AND(P[[#This Row],[Tithi]]&lt;28.5,P[[#This Row],[Tithi]]&gt;0.49999),MOD((P[[#This Row],[Tithi]]-0.5)*2,7),MOD((P[[#This Row],[Tithi]]+30-28.5),30)*2+7)</f>
        <v>1.8451999999999984</v>
      </c>
      <c r="M427" s="124" t="str">
        <f ca="1">CHOOSE(ROUNDUP(P[[#This Row],[Karana1]],0),"Bhava","Baalava","Kaulava","Taitula","Garija","Vanija","Vishti","Shakuni","Chatushapda","Naaga","Kimstugna")</f>
        <v>Baalava</v>
      </c>
      <c r="N42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(9.53)</v>
      </c>
      <c r="O427" s="124">
        <f ca="1">IF(AND(P[[#This Row],[Tithi]]&lt;28.5,P[[#This Row],[Tithi]]&gt;0.49999),MOD((P[[#This Row],[Tithi]]-0.5)*2,7),MOD((P[[#This Row],[Tithi]]+30-28.5),30)*2+7)</f>
        <v>1.8451999999999984</v>
      </c>
      <c r="P427" s="124">
        <f ca="1">ROUNDUP(MOD(360+P[[#This Row],[Moon]]-P[[#This Row],[Sun]],360)/12,4)</f>
        <v>18.922599999999999</v>
      </c>
      <c r="Q427" s="124">
        <f t="shared" ca="1" si="63"/>
        <v>9.5299999999999994</v>
      </c>
      <c r="R427" s="124" t="str">
        <f ca="1">SIGN(S428-P[[#This Row],[MARs]])*INT(P[[#This Row],[MARs]]/30+1)&amp;"Ma,"&amp;SIGN(T428-P[[#This Row],[Merc]])*INT(P[[#This Row],[Merc]]/30+1)&amp;"Me,"&amp;SIGN(U428-P[[#This Row],[Jup]])*INT(P[[#This Row],[Jup]]/30+1)&amp;"Ju,"&amp;SIGN(V428-P[[#This Row],[Venu]])*INT(P[[#This Row],[Venu]]/30+1)&amp;"Ve,"&amp;SIGN(W428-P[[#This Row],[Sat]])*INT(P[[#This Row],[Sat]]/30+1)&amp;"Sa,"&amp;INT(P[[#This Row],[Rah]]/30+1)&amp;"Ra"</f>
        <v>1Ma,11Me,8Ju,9Ve,9Sa,4Ra</v>
      </c>
      <c r="S427" s="124">
        <f ca="1">Planet(P[[#This Row],[GMT Sun Rise]],4)</f>
        <v>11.675870862214675</v>
      </c>
      <c r="T427" s="124">
        <f ca="1">Planet(P[[#This Row],[GMT Sun Rise]],2)</f>
        <v>327.24781770639294</v>
      </c>
      <c r="U427" s="124">
        <f ca="1">Planet(P[[#This Row],[GMT Sun Rise]],5)</f>
        <v>237.01530956764961</v>
      </c>
      <c r="V427" s="124">
        <f ca="1">Planet(P[[#This Row],[GMT Sun Rise]],3)</f>
        <v>268.02715250969794</v>
      </c>
      <c r="W427" s="124">
        <f ca="1">Planet(P[[#This Row],[GMT Sun Rise]],6)</f>
        <v>263.08449198352571</v>
      </c>
      <c r="X427" s="124">
        <f ca="1">Planet(P[[#This Row],[GMT Sun Rise]],10)</f>
        <v>90.638565513346634</v>
      </c>
      <c r="Y427" s="124">
        <f ca="1">SIGN(S428-P[[#This Row],[MARs]])</f>
        <v>1</v>
      </c>
    </row>
    <row r="428" spans="1:25" x14ac:dyDescent="0.2">
      <c r="A428" s="125">
        <f t="shared" ca="1" si="64"/>
        <v>43520</v>
      </c>
      <c r="B428" s="125">
        <f t="shared" ca="1" si="57"/>
        <v>43520.229166666664</v>
      </c>
      <c r="C428" s="127">
        <f t="shared" ca="1" si="58"/>
        <v>43520.270615941998</v>
      </c>
      <c r="D428" s="127">
        <f t="shared" ca="1" si="59"/>
        <v>43519.761143823664</v>
      </c>
      <c r="E428" s="189">
        <f ca="1">P[[#This Row],[SunRise]]-TimeZone/24</f>
        <v>43520.041449275333</v>
      </c>
      <c r="F428" s="190">
        <f t="shared" ca="1" si="60"/>
        <v>310.9971115296878</v>
      </c>
      <c r="G428" s="190">
        <f t="shared" ca="1" si="61"/>
        <v>191.14226933514198</v>
      </c>
      <c r="H428" s="191">
        <f t="shared" ca="1" si="62"/>
        <v>43520.041449275333</v>
      </c>
      <c r="I428" s="124" t="str">
        <f ca="1">naks(P[[#This Row],[Moon]])</f>
        <v>Swati</v>
      </c>
      <c r="J428" s="127">
        <f ca="1">(C429-P[[#This Row],[SunRise]])/(G429-P[[#This Row],[Moon]])*(13.3333333333333-MOD(P[[#This Row],[Moon]],13.333333333333))+P[[#This Row],[SunRise]]</f>
        <v>43520.922188773613</v>
      </c>
      <c r="K428" s="124" t="str">
        <f ca="1">IF(P[[#This Row],[Tithi]]&gt;15,"K","S")&amp;ROUNDUP(MOD(P[[#This Row],[Tithi]],15),0)&amp;" ("&amp;ROUND(P[[#This Row],[Tithi]],2)&amp;")"</f>
        <v>K6 (20.01)</v>
      </c>
      <c r="L428" s="124">
        <f ca="1">IF(AND(P[[#This Row],[Tithi]]&lt;28.5,P[[#This Row],[Tithi]]&gt;0.49999),MOD((P[[#This Row],[Tithi]]-0.5)*2,7),MOD((P[[#This Row],[Tithi]]+30-28.5),30)*2+7)</f>
        <v>4.0242000000000004</v>
      </c>
      <c r="M428" s="124" t="str">
        <f ca="1">CHOOSE(ROUNDUP(P[[#This Row],[Karana1]],0),"Bhava","Baalava","Kaulava","Taitula","Garija","Vanija","Vishti","Shakuni","Chatushapda","Naaga","Kimstugna")</f>
        <v>Garija</v>
      </c>
      <c r="N42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Vriddhi-वृद्धि -Me (10.67)</v>
      </c>
      <c r="O428" s="124">
        <f ca="1">IF(AND(P[[#This Row],[Tithi]]&lt;28.5,P[[#This Row],[Tithi]]&gt;0.49999),MOD((P[[#This Row],[Tithi]]-0.5)*2,7),MOD((P[[#This Row],[Tithi]]+30-28.5),30)*2+7)</f>
        <v>4.0242000000000004</v>
      </c>
      <c r="P428" s="124">
        <f ca="1">ROUNDUP(MOD(360+P[[#This Row],[Moon]]-P[[#This Row],[Sun]],360)/12,4)</f>
        <v>20.0121</v>
      </c>
      <c r="Q428" s="124">
        <f t="shared" ca="1" si="63"/>
        <v>10.67</v>
      </c>
      <c r="R428" s="124" t="str">
        <f ca="1">SIGN(S429-P[[#This Row],[MARs]])*INT(P[[#This Row],[MARs]]/30+1)&amp;"Ma,"&amp;SIGN(T429-P[[#This Row],[Merc]])*INT(P[[#This Row],[Merc]]/30+1)&amp;"Me,"&amp;SIGN(U429-P[[#This Row],[Jup]])*INT(P[[#This Row],[Jup]]/30+1)&amp;"Ju,"&amp;SIGN(V429-P[[#This Row],[Venu]])*INT(P[[#This Row],[Venu]]/30+1)&amp;"Ve,"&amp;SIGN(W429-P[[#This Row],[Sat]])*INT(P[[#This Row],[Sat]]/30+1)&amp;"Sa,"&amp;INT(P[[#This Row],[Rah]]/30+1)&amp;"Ra"</f>
        <v>1Ma,11Me,8Ju,9Ve,9Sa,4Ra</v>
      </c>
      <c r="S428" s="124">
        <f ca="1">Planet(P[[#This Row],[GMT Sun Rise]],4)</f>
        <v>12.349109659218682</v>
      </c>
      <c r="T428" s="124">
        <f ca="1">Planet(P[[#This Row],[GMT Sun Rise]],2)</f>
        <v>328.61056550391123</v>
      </c>
      <c r="U428" s="124">
        <f ca="1">Planet(P[[#This Row],[GMT Sun Rise]],5)</f>
        <v>237.14450394569212</v>
      </c>
      <c r="V428" s="124">
        <f ca="1">Planet(P[[#This Row],[GMT Sun Rise]],3)</f>
        <v>269.20273446766311</v>
      </c>
      <c r="W428" s="124">
        <f ca="1">Planet(P[[#This Row],[GMT Sun Rise]],6)</f>
        <v>263.1766885388235</v>
      </c>
      <c r="X428" s="124">
        <f ca="1">Planet(P[[#This Row],[GMT Sun Rise]],10)</f>
        <v>90.585591802551718</v>
      </c>
      <c r="Y428" s="124">
        <f ca="1">SIGN(S429-P[[#This Row],[MARs]])</f>
        <v>1</v>
      </c>
    </row>
    <row r="429" spans="1:25" x14ac:dyDescent="0.2">
      <c r="A429" s="125">
        <f t="shared" ca="1" si="64"/>
        <v>43521</v>
      </c>
      <c r="B429" s="125">
        <f t="shared" ca="1" si="57"/>
        <v>43521.229166666664</v>
      </c>
      <c r="C429" s="127">
        <f t="shared" ca="1" si="58"/>
        <v>43521.270262923244</v>
      </c>
      <c r="D429" s="127">
        <f t="shared" ca="1" si="59"/>
        <v>43520.761294504206</v>
      </c>
      <c r="E429" s="189">
        <f ca="1">P[[#This Row],[SunRise]]-TimeZone/24</f>
        <v>43521.04109625658</v>
      </c>
      <c r="F429" s="190">
        <f t="shared" ca="1" si="60"/>
        <v>312.00283429526797</v>
      </c>
      <c r="G429" s="190">
        <f t="shared" ca="1" si="61"/>
        <v>204.73185332359375</v>
      </c>
      <c r="H429" s="191">
        <f t="shared" ca="1" si="62"/>
        <v>43521.04109625658</v>
      </c>
      <c r="I429" s="124" t="str">
        <f ca="1">naks(P[[#This Row],[Moon]])</f>
        <v>Visakha</v>
      </c>
      <c r="J429" s="127">
        <f ca="1">(C430-P[[#This Row],[SunRise]])/(G430-P[[#This Row],[Moon]])*(13.3333333333333-MOD(P[[#This Row],[Moon]],13.333333333333))+P[[#This Row],[SunRise]]</f>
        <v>43521.925660541412</v>
      </c>
      <c r="K429" s="124" t="str">
        <f ca="1">IF(P[[#This Row],[Tithi]]&gt;15,"K","S")&amp;ROUNDUP(MOD(P[[#This Row],[Tithi]],15),0)&amp;" ("&amp;ROUND(P[[#This Row],[Tithi]],2)&amp;")"</f>
        <v>K7 (21.06)</v>
      </c>
      <c r="L429" s="124">
        <f ca="1">IF(AND(P[[#This Row],[Tithi]]&lt;28.5,P[[#This Row],[Tithi]]&gt;0.49999),MOD((P[[#This Row],[Tithi]]-0.5)*2,7),MOD((P[[#This Row],[Tithi]]+30-28.5),30)*2+7)</f>
        <v>6.1216000000000008</v>
      </c>
      <c r="M429" s="124" t="str">
        <f ca="1">CHOOSE(ROUNDUP(P[[#This Row],[Karana1]],0),"Bhava","Baalava","Kaulava","Taitula","Garija","Vanija","Vishti","Shakuni","Chatushapda","Naaga","Kimstugna")</f>
        <v>Vishti</v>
      </c>
      <c r="N42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(11.76)</v>
      </c>
      <c r="O429" s="124">
        <f ca="1">IF(AND(P[[#This Row],[Tithi]]&lt;28.5,P[[#This Row],[Tithi]]&gt;0.49999),MOD((P[[#This Row],[Tithi]]-0.5)*2,7),MOD((P[[#This Row],[Tithi]]+30-28.5),30)*2+7)</f>
        <v>6.1216000000000008</v>
      </c>
      <c r="P429" s="124">
        <f ca="1">ROUNDUP(MOD(360+P[[#This Row],[Moon]]-P[[#This Row],[Sun]],360)/12,4)</f>
        <v>21.0608</v>
      </c>
      <c r="Q429" s="124">
        <f t="shared" ca="1" si="63"/>
        <v>11.76</v>
      </c>
      <c r="R429" s="124" t="str">
        <f ca="1">SIGN(S430-P[[#This Row],[MARs]])*INT(P[[#This Row],[MARs]]/30+1)&amp;"Ma,"&amp;SIGN(T430-P[[#This Row],[Merc]])*INT(P[[#This Row],[Merc]]/30+1)&amp;"Me,"&amp;SIGN(U430-P[[#This Row],[Jup]])*INT(P[[#This Row],[Jup]]/30+1)&amp;"Ju,"&amp;SIGN(V430-P[[#This Row],[Venu]])*INT(P[[#This Row],[Venu]]/30+1)&amp;"Ve,"&amp;SIGN(W430-P[[#This Row],[Sat]])*INT(P[[#This Row],[Sat]]/30+1)&amp;"Sa,"&amp;INT(P[[#This Row],[Rah]]/30+1)&amp;"Ra"</f>
        <v>1Ma,11Me,8Ju,10Ve,9Sa,4Ra</v>
      </c>
      <c r="S429" s="124">
        <f ca="1">Planet(P[[#This Row],[GMT Sun Rise]],4)</f>
        <v>13.022089234713253</v>
      </c>
      <c r="T429" s="124">
        <f ca="1">Planet(P[[#This Row],[GMT Sun Rise]],2)</f>
        <v>329.87908534670538</v>
      </c>
      <c r="U429" s="124">
        <f ca="1">Planet(P[[#This Row],[GMT Sun Rise]],5)</f>
        <v>237.27144413533111</v>
      </c>
      <c r="V429" s="124">
        <f ca="1">Planet(P[[#This Row],[GMT Sun Rise]],3)</f>
        <v>270.37968781470488</v>
      </c>
      <c r="W429" s="124">
        <f ca="1">Planet(P[[#This Row],[GMT Sun Rise]],6)</f>
        <v>263.26790849808373</v>
      </c>
      <c r="X429" s="124">
        <f ca="1">Planet(P[[#This Row],[GMT Sun Rise]],10)</f>
        <v>90.532618512872048</v>
      </c>
      <c r="Y429" s="124">
        <f ca="1">SIGN(S430-P[[#This Row],[MARs]])</f>
        <v>1</v>
      </c>
    </row>
    <row r="430" spans="1:25" x14ac:dyDescent="0.2">
      <c r="A430" s="125">
        <f t="shared" ca="1" si="64"/>
        <v>43522</v>
      </c>
      <c r="B430" s="125">
        <f t="shared" ca="1" si="57"/>
        <v>43522.229166666664</v>
      </c>
      <c r="C430" s="127">
        <f t="shared" ca="1" si="58"/>
        <v>43522.269902275562</v>
      </c>
      <c r="D430" s="127">
        <f t="shared" ca="1" si="59"/>
        <v>43521.761439621492</v>
      </c>
      <c r="E430" s="189">
        <f ca="1">P[[#This Row],[SunRise]]-TimeZone/24</f>
        <v>43522.040735608898</v>
      </c>
      <c r="F430" s="190">
        <f t="shared" ca="1" si="60"/>
        <v>313.00816251046831</v>
      </c>
      <c r="G430" s="190">
        <f t="shared" ca="1" si="61"/>
        <v>217.85118373856332</v>
      </c>
      <c r="H430" s="191">
        <f t="shared" ca="1" si="62"/>
        <v>43522.040735608898</v>
      </c>
      <c r="I430" s="124" t="str">
        <f ca="1">naks(P[[#This Row],[Moon]])</f>
        <v>Anuradha</v>
      </c>
      <c r="J430" s="127">
        <f ca="1">(C431-P[[#This Row],[SunRise]])/(G431-P[[#This Row],[Moon]])*(13.3333333333333-MOD(P[[#This Row],[Moon]],13.333333333333))+P[[#This Row],[SunRise]]</f>
        <v>43522.963609784776</v>
      </c>
      <c r="K430" s="124" t="str">
        <f ca="1">IF(P[[#This Row],[Tithi]]&gt;15,"K","S")&amp;ROUNDUP(MOD(P[[#This Row],[Tithi]],15),0)&amp;" ("&amp;ROUND(P[[#This Row],[Tithi]],2)&amp;")"</f>
        <v>K8 (22.07)</v>
      </c>
      <c r="L430" s="124">
        <f ca="1">IF(AND(P[[#This Row],[Tithi]]&lt;28.5,P[[#This Row],[Tithi]]&gt;0.49999),MOD((P[[#This Row],[Tithi]]-0.5)*2,7),MOD((P[[#This Row],[Tithi]]+30-28.5),30)*2+7)</f>
        <v>1.1405999999999992</v>
      </c>
      <c r="M430" s="124" t="str">
        <f ca="1">CHOOSE(ROUNDUP(P[[#This Row],[Karana1]],0),"Bhava","Baalava","Kaulava","Taitula","Garija","Vanija","Vishti","Shakuni","Chatushapda","Naaga","Kimstugna")</f>
        <v>Baalava</v>
      </c>
      <c r="N43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(12.82)</v>
      </c>
      <c r="O430" s="124">
        <f ca="1">IF(AND(P[[#This Row],[Tithi]]&lt;28.5,P[[#This Row],[Tithi]]&gt;0.49999),MOD((P[[#This Row],[Tithi]]-0.5)*2,7),MOD((P[[#This Row],[Tithi]]+30-28.5),30)*2+7)</f>
        <v>1.1405999999999992</v>
      </c>
      <c r="P430" s="124">
        <f ca="1">ROUNDUP(MOD(360+P[[#This Row],[Moon]]-P[[#This Row],[Sun]],360)/12,4)</f>
        <v>22.0703</v>
      </c>
      <c r="Q430" s="124">
        <f t="shared" ca="1" si="63"/>
        <v>12.82</v>
      </c>
      <c r="R430" s="124" t="str">
        <f ca="1">SIGN(S431-P[[#This Row],[MARs]])*INT(P[[#This Row],[MARs]]/30+1)&amp;"Ma,"&amp;SIGN(T431-P[[#This Row],[Merc]])*INT(P[[#This Row],[Merc]]/30+1)&amp;"Me,"&amp;SIGN(U431-P[[#This Row],[Jup]])*INT(P[[#This Row],[Jup]]/30+1)&amp;"Ju,"&amp;SIGN(V431-P[[#This Row],[Venu]])*INT(P[[#This Row],[Venu]]/30+1)&amp;"Ve,"&amp;SIGN(W431-P[[#This Row],[Sat]])*INT(P[[#This Row],[Sat]]/30+1)&amp;"Sa,"&amp;INT(P[[#This Row],[Rah]]/30+1)&amp;"Ra"</f>
        <v>1Ma,12Me,8Ju,10Ve,9Sa,4Ra</v>
      </c>
      <c r="S430" s="124">
        <f ca="1">Planet(P[[#This Row],[GMT Sun Rise]],4)</f>
        <v>13.694815049475171</v>
      </c>
      <c r="T430" s="124">
        <f ca="1">Planet(P[[#This Row],[GMT Sun Rise]],2)</f>
        <v>331.04272155565224</v>
      </c>
      <c r="U430" s="124">
        <f ca="1">Planet(P[[#This Row],[GMT Sun Rise]],5)</f>
        <v>237.39609890266595</v>
      </c>
      <c r="V430" s="124">
        <f ca="1">Planet(P[[#This Row],[GMT Sun Rise]],3)</f>
        <v>271.55796327573137</v>
      </c>
      <c r="W430" s="124">
        <f ca="1">Planet(P[[#This Row],[GMT Sun Rise]],6)</f>
        <v>263.35813374728201</v>
      </c>
      <c r="X430" s="124">
        <f ca="1">Planet(P[[#This Row],[GMT Sun Rise]],10)</f>
        <v>90.479645627523439</v>
      </c>
      <c r="Y430" s="124">
        <f ca="1">SIGN(S431-P[[#This Row],[MARs]])</f>
        <v>1</v>
      </c>
    </row>
    <row r="431" spans="1:25" x14ac:dyDescent="0.2">
      <c r="A431" s="125">
        <f t="shared" ca="1" si="64"/>
        <v>43523</v>
      </c>
      <c r="B431" s="125">
        <f t="shared" ca="1" si="57"/>
        <v>43523.229166666664</v>
      </c>
      <c r="C431" s="127">
        <f t="shared" ca="1" si="58"/>
        <v>43523.269533998486</v>
      </c>
      <c r="D431" s="127">
        <f t="shared" ca="1" si="59"/>
        <v>43522.761579494036</v>
      </c>
      <c r="E431" s="189">
        <f ca="1">P[[#This Row],[SunRise]]-TimeZone/24</f>
        <v>43523.040367331821</v>
      </c>
      <c r="F431" s="190">
        <f t="shared" ca="1" si="60"/>
        <v>314.01309130210916</v>
      </c>
      <c r="G431" s="190">
        <f t="shared" ca="1" si="61"/>
        <v>230.55428449901342</v>
      </c>
      <c r="H431" s="191">
        <f t="shared" ca="1" si="62"/>
        <v>43523.040367331821</v>
      </c>
      <c r="I431" s="124" t="str">
        <f ca="1">naks(P[[#This Row],[Moon]])</f>
        <v>Jyestha</v>
      </c>
      <c r="J431" s="127">
        <f ca="1">(C432-P[[#This Row],[SunRise]])/(G432-P[[#This Row],[Moon]])*(13.3333333333333-MOD(P[[#This Row],[Moon]],13.333333333333))+P[[#This Row],[SunRise]]</f>
        <v>43524.033439875551</v>
      </c>
      <c r="K431" s="124" t="str">
        <f ca="1">IF(P[[#This Row],[Tithi]]&gt;15,"K","S")&amp;ROUNDUP(MOD(P[[#This Row],[Tithi]],15),0)&amp;" ("&amp;ROUND(P[[#This Row],[Tithi]],2)&amp;")"</f>
        <v>K9 (23.05)</v>
      </c>
      <c r="L431" s="124">
        <f ca="1">IF(AND(P[[#This Row],[Tithi]]&lt;28.5,P[[#This Row],[Tithi]]&gt;0.49999),MOD((P[[#This Row],[Tithi]]-0.5)*2,7),MOD((P[[#This Row],[Tithi]]+30-28.5),30)*2+7)</f>
        <v>3.0902000000000029</v>
      </c>
      <c r="M431" s="124" t="str">
        <f ca="1">CHOOSE(ROUNDUP(P[[#This Row],[Karana1]],0),"Bhava","Baalava","Kaulava","Taitula","Garija","Vanija","Vishti","Shakuni","Chatushapda","Naaga","Kimstugna")</f>
        <v>Taitula</v>
      </c>
      <c r="N43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(13.85)</v>
      </c>
      <c r="O431" s="124">
        <f ca="1">IF(AND(P[[#This Row],[Tithi]]&lt;28.5,P[[#This Row],[Tithi]]&gt;0.49999),MOD((P[[#This Row],[Tithi]]-0.5)*2,7),MOD((P[[#This Row],[Tithi]]+30-28.5),30)*2+7)</f>
        <v>3.0902000000000029</v>
      </c>
      <c r="P431" s="124">
        <f ca="1">ROUNDUP(MOD(360+P[[#This Row],[Moon]]-P[[#This Row],[Sun]],360)/12,4)</f>
        <v>23.045100000000001</v>
      </c>
      <c r="Q431" s="124">
        <f t="shared" ca="1" si="63"/>
        <v>13.85</v>
      </c>
      <c r="R431" s="124" t="str">
        <f ca="1">SIGN(S432-P[[#This Row],[MARs]])*INT(P[[#This Row],[MARs]]/30+1)&amp;"Ma,"&amp;SIGN(T432-P[[#This Row],[Merc]])*INT(P[[#This Row],[Merc]]/30+1)&amp;"Me,"&amp;SIGN(U432-P[[#This Row],[Jup]])*INT(P[[#This Row],[Jup]]/30+1)&amp;"Ju,"&amp;SIGN(V432-P[[#This Row],[Venu]])*INT(P[[#This Row],[Venu]]/30+1)&amp;"Ve,"&amp;SIGN(W432-P[[#This Row],[Sat]])*INT(P[[#This Row],[Sat]]/30+1)&amp;"Sa,"&amp;INT(P[[#This Row],[Rah]]/30+1)&amp;"Ra"</f>
        <v>1Ma,12Me,8Ju,10Ve,9Sa,4Ra</v>
      </c>
      <c r="S431" s="124">
        <f ca="1">Planet(P[[#This Row],[GMT Sun Rise]],4)</f>
        <v>14.367290797715874</v>
      </c>
      <c r="T431" s="124">
        <f ca="1">Planet(P[[#This Row],[GMT Sun Rise]],2)</f>
        <v>332.09110500055397</v>
      </c>
      <c r="U431" s="124">
        <f ca="1">Planet(P[[#This Row],[GMT Sun Rise]],5)</f>
        <v>237.51843688115744</v>
      </c>
      <c r="V431" s="124">
        <f ca="1">Planet(P[[#This Row],[GMT Sun Rise]],3)</f>
        <v>272.73751063304888</v>
      </c>
      <c r="W431" s="124">
        <f ca="1">Planet(P[[#This Row],[GMT Sun Rise]],6)</f>
        <v>263.44734595934119</v>
      </c>
      <c r="X431" s="124">
        <f ca="1">Planet(P[[#This Row],[GMT Sun Rise]],10)</f>
        <v>90.426673146456039</v>
      </c>
      <c r="Y431" s="124">
        <f ca="1">SIGN(S432-P[[#This Row],[MARs]])</f>
        <v>1</v>
      </c>
    </row>
    <row r="432" spans="1:25" x14ac:dyDescent="0.2">
      <c r="A432" s="125">
        <f t="shared" ca="1" si="64"/>
        <v>43524</v>
      </c>
      <c r="B432" s="125">
        <f t="shared" ca="1" si="57"/>
        <v>43524.229166666664</v>
      </c>
      <c r="C432" s="127">
        <f t="shared" ca="1" si="58"/>
        <v>43524.269158727642</v>
      </c>
      <c r="D432" s="127">
        <f t="shared" ca="1" si="59"/>
        <v>43523.761714120905</v>
      </c>
      <c r="E432" s="189">
        <f ca="1">P[[#This Row],[SunRise]]-TimeZone/24</f>
        <v>43524.039992060978</v>
      </c>
      <c r="F432" s="190">
        <f t="shared" ca="1" si="60"/>
        <v>315.01761332623221</v>
      </c>
      <c r="G432" s="190">
        <f t="shared" ca="1" si="61"/>
        <v>242.91466957113309</v>
      </c>
      <c r="H432" s="191">
        <f t="shared" ca="1" si="62"/>
        <v>43524.039992060978</v>
      </c>
      <c r="I432" s="124" t="str">
        <f ca="1">naks(P[[#This Row],[Moon]])</f>
        <v>Moola</v>
      </c>
      <c r="J432" s="127">
        <f ca="1">(C433-P[[#This Row],[SunRise]])/(G433-P[[#This Row],[Moon]])*(13.3333333333333-MOD(P[[#This Row],[Moon]],13.333333333333))+P[[#This Row],[SunRise]]</f>
        <v>43525.129937076425</v>
      </c>
      <c r="K432" s="124" t="str">
        <f ca="1">IF(P[[#This Row],[Tithi]]&gt;15,"K","S")&amp;ROUNDUP(MOD(P[[#This Row],[Tithi]],15),0)&amp;" ("&amp;ROUND(P[[#This Row],[Tithi]],2)&amp;")"</f>
        <v>K9 (23.99)</v>
      </c>
      <c r="L432" s="124">
        <f ca="1">IF(AND(P[[#This Row],[Tithi]]&lt;28.5,P[[#This Row],[Tithi]]&gt;0.49999),MOD((P[[#This Row],[Tithi]]-0.5)*2,7),MOD((P[[#This Row],[Tithi]]+30-28.5),30)*2+7)</f>
        <v>4.982999999999997</v>
      </c>
      <c r="M432" s="124" t="str">
        <f ca="1">CHOOSE(ROUNDUP(P[[#This Row],[Karana1]],0),"Bhava","Baalava","Kaulava","Taitula","Garija","Vanija","Vishti","Shakuni","Chatushapda","Naaga","Kimstugna")</f>
        <v>Garija</v>
      </c>
      <c r="N43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(14.85)</v>
      </c>
      <c r="O432" s="124">
        <f ca="1">IF(AND(P[[#This Row],[Tithi]]&lt;28.5,P[[#This Row],[Tithi]]&gt;0.49999),MOD((P[[#This Row],[Tithi]]-0.5)*2,7),MOD((P[[#This Row],[Tithi]]+30-28.5),30)*2+7)</f>
        <v>4.982999999999997</v>
      </c>
      <c r="P432" s="124">
        <f ca="1">ROUNDUP(MOD(360+P[[#This Row],[Moon]]-P[[#This Row],[Sun]],360)/12,4)</f>
        <v>23.991499999999998</v>
      </c>
      <c r="Q432" s="124">
        <f t="shared" ca="1" si="63"/>
        <v>14.85</v>
      </c>
      <c r="R432" s="124" t="str">
        <f ca="1">SIGN(S433-P[[#This Row],[MARs]])*INT(P[[#This Row],[MARs]]/30+1)&amp;"Ma,"&amp;SIGN(T433-P[[#This Row],[Merc]])*INT(P[[#This Row],[Merc]]/30+1)&amp;"Me,"&amp;SIGN(U433-P[[#This Row],[Jup]])*INT(P[[#This Row],[Jup]]/30+1)&amp;"Ju,"&amp;SIGN(V433-P[[#This Row],[Venu]])*INT(P[[#This Row],[Venu]]/30+1)&amp;"Ve,"&amp;SIGN(W433-P[[#This Row],[Sat]])*INT(P[[#This Row],[Sat]]/30+1)&amp;"Sa,"&amp;INT(P[[#This Row],[Rah]]/30+1)&amp;"Ra"</f>
        <v>1Ma,12Me,8Ju,10Ve,9Sa,4Ra</v>
      </c>
      <c r="S432" s="124">
        <f ca="1">Planet(P[[#This Row],[GMT Sun Rise]],4)</f>
        <v>15.03951890331</v>
      </c>
      <c r="T432" s="124">
        <f ca="1">Planet(P[[#This Row],[GMT Sun Rise]],2)</f>
        <v>333.01442940960067</v>
      </c>
      <c r="U432" s="124">
        <f ca="1">Planet(P[[#This Row],[GMT Sun Rise]],5)</f>
        <v>237.63842690536649</v>
      </c>
      <c r="V432" s="124">
        <f ca="1">Planet(P[[#This Row],[GMT Sun Rise]],3)</f>
        <v>273.91828068521346</v>
      </c>
      <c r="W432" s="124">
        <f ca="1">Planet(P[[#This Row],[GMT Sun Rise]],6)</f>
        <v>263.53552679748151</v>
      </c>
      <c r="X432" s="124">
        <f ca="1">Planet(P[[#This Row],[GMT Sun Rise]],10)</f>
        <v>90.373701036018844</v>
      </c>
      <c r="Y432" s="124">
        <f ca="1">SIGN(S433-P[[#This Row],[MARs]])</f>
        <v>1</v>
      </c>
    </row>
    <row r="433" spans="1:25" x14ac:dyDescent="0.2">
      <c r="A433" s="125">
        <f t="shared" ca="1" si="64"/>
        <v>43525</v>
      </c>
      <c r="B433" s="125">
        <f t="shared" ca="1" si="57"/>
        <v>43525.229166666664</v>
      </c>
      <c r="C433" s="127">
        <f t="shared" ca="1" si="58"/>
        <v>43525.268776463032</v>
      </c>
      <c r="D433" s="127">
        <f t="shared" ca="1" si="59"/>
        <v>43524.761843661821</v>
      </c>
      <c r="E433" s="189">
        <f ca="1">P[[#This Row],[SunRise]]-TimeZone/24</f>
        <v>43525.039609796368</v>
      </c>
      <c r="F433" s="190">
        <f t="shared" ca="1" si="60"/>
        <v>316.0217181022856</v>
      </c>
      <c r="G433" s="190">
        <f t="shared" ca="1" si="61"/>
        <v>255.01381343374442</v>
      </c>
      <c r="H433" s="191">
        <f t="shared" ca="1" si="62"/>
        <v>43525.039609796368</v>
      </c>
      <c r="I433" s="124" t="str">
        <f ca="1">naks(P[[#This Row],[Moon]])</f>
        <v>Purva Asadha</v>
      </c>
      <c r="J433" s="127">
        <f ca="1">(C434-P[[#This Row],[SunRise]])/(G434-P[[#This Row],[Moon]])*(13.3333333333333-MOD(P[[#This Row],[Moon]],13.333333333333))+P[[#This Row],[SunRise]]</f>
        <v>43526.246082392783</v>
      </c>
      <c r="K433" s="124" t="str">
        <f ca="1">IF(P[[#This Row],[Tithi]]&gt;15,"K","S")&amp;ROUNDUP(MOD(P[[#This Row],[Tithi]],15),0)&amp;" ("&amp;ROUND(P[[#This Row],[Tithi]],2)&amp;")"</f>
        <v>K10 (24.92)</v>
      </c>
      <c r="L433" s="124">
        <f ca="1">IF(AND(P[[#This Row],[Tithi]]&lt;28.5,P[[#This Row],[Tithi]]&gt;0.49999),MOD((P[[#This Row],[Tithi]]-0.5)*2,7),MOD((P[[#This Row],[Tithi]]+30-28.5),30)*2+7)</f>
        <v>6.8322000000000003</v>
      </c>
      <c r="M433" s="124" t="str">
        <f ca="1">CHOOSE(ROUNDUP(P[[#This Row],[Karana1]],0),"Bhava","Baalava","Kaulava","Taitula","Garija","Vanija","Vishti","Shakuni","Chatushapda","Naaga","Kimstugna")</f>
        <v>Vishti</v>
      </c>
      <c r="N43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(15.83)</v>
      </c>
      <c r="O433" s="124">
        <f ca="1">IF(AND(P[[#This Row],[Tithi]]&lt;28.5,P[[#This Row],[Tithi]]&gt;0.49999),MOD((P[[#This Row],[Tithi]]-0.5)*2,7),MOD((P[[#This Row],[Tithi]]+30-28.5),30)*2+7)</f>
        <v>6.8322000000000003</v>
      </c>
      <c r="P433" s="124">
        <f ca="1">ROUNDUP(MOD(360+P[[#This Row],[Moon]]-P[[#This Row],[Sun]],360)/12,4)</f>
        <v>24.9161</v>
      </c>
      <c r="Q433" s="124">
        <f t="shared" ca="1" si="63"/>
        <v>15.83</v>
      </c>
      <c r="R433" s="124" t="str">
        <f ca="1">SIGN(S434-P[[#This Row],[MARs]])*INT(P[[#This Row],[MARs]]/30+1)&amp;"Ma,"&amp;SIGN(T434-P[[#This Row],[Merc]])*INT(P[[#This Row],[Merc]]/30+1)&amp;"Me,"&amp;SIGN(U434-P[[#This Row],[Jup]])*INT(P[[#This Row],[Jup]]/30+1)&amp;"Ju,"&amp;SIGN(V434-P[[#This Row],[Venu]])*INT(P[[#This Row],[Venu]]/30+1)&amp;"Ve,"&amp;SIGN(W434-P[[#This Row],[Sat]])*INT(P[[#This Row],[Sat]]/30+1)&amp;"Sa,"&amp;INT(P[[#This Row],[Rah]]/30+1)&amp;"Ra"</f>
        <v>1Ma,12Me,8Ju,10Ve,9Sa,4Ra</v>
      </c>
      <c r="S433" s="124">
        <f ca="1">Planet(P[[#This Row],[GMT Sun Rise]],4)</f>
        <v>15.711499677074546</v>
      </c>
      <c r="T433" s="124">
        <f ca="1">Planet(P[[#This Row],[GMT Sun Rise]],2)</f>
        <v>333.80373634797206</v>
      </c>
      <c r="U433" s="124">
        <f ca="1">Planet(P[[#This Row],[GMT Sun Rise]],5)</f>
        <v>237.75603800988043</v>
      </c>
      <c r="V433" s="124">
        <f ca="1">Planet(P[[#This Row],[GMT Sun Rise]],3)</f>
        <v>275.10022432251793</v>
      </c>
      <c r="W433" s="124">
        <f ca="1">Planet(P[[#This Row],[GMT Sun Rise]],6)</f>
        <v>263.62265789281537</v>
      </c>
      <c r="X433" s="124">
        <f ca="1">Planet(P[[#This Row],[GMT Sun Rise]],10)</f>
        <v>90.320729296195168</v>
      </c>
      <c r="Y433" s="124">
        <f ca="1">SIGN(S434-P[[#This Row],[MARs]])</f>
        <v>1</v>
      </c>
    </row>
    <row r="434" spans="1:25" x14ac:dyDescent="0.2">
      <c r="A434" s="125">
        <f t="shared" ca="1" si="64"/>
        <v>43526</v>
      </c>
      <c r="B434" s="125">
        <f t="shared" ca="1" si="57"/>
        <v>43526.229166666664</v>
      </c>
      <c r="C434" s="127">
        <f t="shared" ca="1" si="58"/>
        <v>43526.268387363911</v>
      </c>
      <c r="D434" s="127">
        <f t="shared" ca="1" si="59"/>
        <v>43525.76196827511</v>
      </c>
      <c r="E434" s="189">
        <f ca="1">P[[#This Row],[SunRise]]-TimeZone/24</f>
        <v>43526.039220697246</v>
      </c>
      <c r="F434" s="190">
        <f t="shared" ca="1" si="60"/>
        <v>317.02539333312529</v>
      </c>
      <c r="G434" s="190">
        <f t="shared" ca="1" si="61"/>
        <v>266.93261875700716</v>
      </c>
      <c r="H434" s="191">
        <f t="shared" ca="1" si="62"/>
        <v>43526.039220697246</v>
      </c>
      <c r="I434" s="124" t="str">
        <f ca="1">naks(P[[#This Row],[Moon]])</f>
        <v>Uttara Asadha</v>
      </c>
      <c r="J434" s="127">
        <f ca="1">(C435-P[[#This Row],[SunRise]])/(G435-P[[#This Row],[Moon]])*(13.3333333333333-MOD(P[[#This Row],[Moon]],13.333333333333))+P[[#This Row],[SunRise]]</f>
        <v>43527.374131722558</v>
      </c>
      <c r="K434" s="124" t="str">
        <f ca="1">IF(P[[#This Row],[Tithi]]&gt;15,"K","S")&amp;ROUNDUP(MOD(P[[#This Row],[Tithi]],15),0)&amp;" ("&amp;ROUND(P[[#This Row],[Tithi]],2)&amp;")"</f>
        <v>K11 (25.83)</v>
      </c>
      <c r="L434" s="124">
        <f ca="1">IF(AND(P[[#This Row],[Tithi]]&lt;28.5,P[[#This Row],[Tithi]]&gt;0.49999),MOD((P[[#This Row],[Tithi]]-0.5)*2,7),MOD((P[[#This Row],[Tithi]]+30-28.5),30)*2+7)</f>
        <v>1.6514000000000024</v>
      </c>
      <c r="M434" s="124" t="str">
        <f ca="1">CHOOSE(ROUNDUP(P[[#This Row],[Karana1]],0),"Bhava","Baalava","Kaulava","Taitula","Garija","Vanija","Vishti","Shakuni","Chatushapda","Naaga","Kimstugna")</f>
        <v>Baalava</v>
      </c>
      <c r="N43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(16.8)</v>
      </c>
      <c r="O434" s="124">
        <f ca="1">IF(AND(P[[#This Row],[Tithi]]&lt;28.5,P[[#This Row],[Tithi]]&gt;0.49999),MOD((P[[#This Row],[Tithi]]-0.5)*2,7),MOD((P[[#This Row],[Tithi]]+30-28.5),30)*2+7)</f>
        <v>1.6514000000000024</v>
      </c>
      <c r="P434" s="124">
        <f ca="1">ROUNDUP(MOD(360+P[[#This Row],[Moon]]-P[[#This Row],[Sun]],360)/12,4)</f>
        <v>25.825700000000001</v>
      </c>
      <c r="Q434" s="124">
        <f t="shared" ca="1" si="63"/>
        <v>16.8</v>
      </c>
      <c r="R434" s="124" t="str">
        <f ca="1">SIGN(S435-P[[#This Row],[MARs]])*INT(P[[#This Row],[MARs]]/30+1)&amp;"Ma,"&amp;SIGN(T435-P[[#This Row],[Merc]])*INT(P[[#This Row],[Merc]]/30+1)&amp;"Me,"&amp;SIGN(U435-P[[#This Row],[Jup]])*INT(P[[#This Row],[Jup]]/30+1)&amp;"Ju,"&amp;SIGN(V435-P[[#This Row],[Venu]])*INT(P[[#This Row],[Venu]]/30+1)&amp;"Ve,"&amp;SIGN(W435-P[[#This Row],[Sat]])*INT(P[[#This Row],[Sat]]/30+1)&amp;"Sa,"&amp;INT(P[[#This Row],[Rah]]/30+1)&amp;"Ra"</f>
        <v>1Ma,12Me,8Ju,10Ve,9Sa,4Ra</v>
      </c>
      <c r="S434" s="124">
        <f ca="1">Planet(P[[#This Row],[GMT Sun Rise]],4)</f>
        <v>16.383231955510588</v>
      </c>
      <c r="T434" s="124">
        <f ca="1">Planet(P[[#This Row],[GMT Sun Rise]],2)</f>
        <v>334.45120796122319</v>
      </c>
      <c r="U434" s="124">
        <f ca="1">Planet(P[[#This Row],[GMT Sun Rise]],5)</f>
        <v>237.87123963346744</v>
      </c>
      <c r="V434" s="124">
        <f ca="1">Planet(P[[#This Row],[GMT Sun Rise]],3)</f>
        <v>276.2832938210538</v>
      </c>
      <c r="W434" s="124">
        <f ca="1">Planet(P[[#This Row],[GMT Sun Rise]],6)</f>
        <v>263.70872098601387</v>
      </c>
      <c r="X434" s="124">
        <f ca="1">Planet(P[[#This Row],[GMT Sun Rise]],10)</f>
        <v>90.267757918518257</v>
      </c>
      <c r="Y434" s="124">
        <f ca="1">SIGN(S435-P[[#This Row],[MARs]])</f>
        <v>1</v>
      </c>
    </row>
    <row r="435" spans="1:25" x14ac:dyDescent="0.2">
      <c r="A435" s="125">
        <f t="shared" ca="1" si="64"/>
        <v>43527</v>
      </c>
      <c r="B435" s="125">
        <f t="shared" ca="1" si="57"/>
        <v>43527.229166666664</v>
      </c>
      <c r="C435" s="127">
        <f t="shared" ca="1" si="58"/>
        <v>43527.267991907116</v>
      </c>
      <c r="D435" s="127">
        <f t="shared" ca="1" si="59"/>
        <v>43526.762087961237</v>
      </c>
      <c r="E435" s="189">
        <f ca="1">P[[#This Row],[SunRise]]-TimeZone/24</f>
        <v>43527.038825240452</v>
      </c>
      <c r="F435" s="190">
        <f t="shared" ca="1" si="60"/>
        <v>318.02862548782514</v>
      </c>
      <c r="G435" s="190">
        <f t="shared" ca="1" si="61"/>
        <v>278.74566899427253</v>
      </c>
      <c r="H435" s="191">
        <f t="shared" ca="1" si="62"/>
        <v>43527.038825240452</v>
      </c>
      <c r="I435" s="124" t="str">
        <f ca="1">naks(P[[#This Row],[Moon]])</f>
        <v>Uttara Asadha</v>
      </c>
      <c r="J435" s="127">
        <f ca="1">(C436-P[[#This Row],[SunRise]])/(G436-P[[#This Row],[Moon]])*(13.3333333333333-MOD(P[[#This Row],[Moon]],13.333333333333))+P[[#This Row],[SunRise]]</f>
        <v>43527.374499666977</v>
      </c>
      <c r="K435" s="124" t="str">
        <f ca="1">IF(P[[#This Row],[Tithi]]&gt;15,"K","S")&amp;ROUNDUP(MOD(P[[#This Row],[Tithi]],15),0)&amp;" ("&amp;ROUND(P[[#This Row],[Tithi]],2)&amp;")"</f>
        <v>K12 (26.73)</v>
      </c>
      <c r="L435" s="124">
        <f ca="1">IF(AND(P[[#This Row],[Tithi]]&lt;28.5,P[[#This Row],[Tithi]]&gt;0.49999),MOD((P[[#This Row],[Tithi]]-0.5)*2,7),MOD((P[[#This Row],[Tithi]]+30-28.5),30)*2+7)</f>
        <v>3.453000000000003</v>
      </c>
      <c r="M435" s="124" t="str">
        <f ca="1">CHOOSE(ROUNDUP(P[[#This Row],[Karana1]],0),"Bhava","Baalava","Kaulava","Taitula","Garija","Vanija","Vishti","Shakuni","Chatushapda","Naaga","Kimstugna")</f>
        <v>Taitula</v>
      </c>
      <c r="N43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(17.76)</v>
      </c>
      <c r="O435" s="124">
        <f ca="1">IF(AND(P[[#This Row],[Tithi]]&lt;28.5,P[[#This Row],[Tithi]]&gt;0.49999),MOD((P[[#This Row],[Tithi]]-0.5)*2,7),MOD((P[[#This Row],[Tithi]]+30-28.5),30)*2+7)</f>
        <v>3.453000000000003</v>
      </c>
      <c r="P435" s="124">
        <f ca="1">ROUNDUP(MOD(360+P[[#This Row],[Moon]]-P[[#This Row],[Sun]],360)/12,4)</f>
        <v>26.726500000000001</v>
      </c>
      <c r="Q435" s="124">
        <f t="shared" ca="1" si="63"/>
        <v>17.760000000000002</v>
      </c>
      <c r="R435" s="124" t="str">
        <f ca="1">SIGN(S436-P[[#This Row],[MARs]])*INT(P[[#This Row],[MARs]]/30+1)&amp;"Ma,"&amp;SIGN(T436-P[[#This Row],[Merc]])*INT(P[[#This Row],[Merc]]/30+1)&amp;"Me,"&amp;SIGN(U436-P[[#This Row],[Jup]])*INT(P[[#This Row],[Jup]]/30+1)&amp;"Ju,"&amp;SIGN(V436-P[[#This Row],[Venu]])*INT(P[[#This Row],[Venu]]/30+1)&amp;"Ve,"&amp;SIGN(W436-P[[#This Row],[Sat]])*INT(P[[#This Row],[Sat]]/30+1)&amp;"Sa,"&amp;INT(P[[#This Row],[Rah]]/30+1)&amp;"Ra"</f>
        <v>1Ma,12Me,8Ju,10Ve,9Sa,4Ra</v>
      </c>
      <c r="S435" s="124">
        <f ca="1">Planet(P[[#This Row],[GMT Sun Rise]],4)</f>
        <v>17.054713363010777</v>
      </c>
      <c r="T435" s="124">
        <f ca="1">Planet(P[[#This Row],[GMT Sun Rise]],2)</f>
        <v>334.95046056002104</v>
      </c>
      <c r="U435" s="124">
        <f ca="1">Planet(P[[#This Row],[GMT Sun Rise]],5)</f>
        <v>237.98400170448383</v>
      </c>
      <c r="V435" s="124">
        <f ca="1">Planet(P[[#This Row],[GMT Sun Rise]],3)</f>
        <v>277.46744322335923</v>
      </c>
      <c r="W435" s="124">
        <f ca="1">Planet(P[[#This Row],[GMT Sun Rise]],6)</f>
        <v>263.79369799046958</v>
      </c>
      <c r="X435" s="124">
        <f ca="1">Planet(P[[#This Row],[GMT Sun Rise]],10)</f>
        <v>90.214786877770635</v>
      </c>
      <c r="Y435" s="124">
        <f ca="1">SIGN(S436-P[[#This Row],[MARs]])</f>
        <v>1</v>
      </c>
    </row>
    <row r="436" spans="1:25" x14ac:dyDescent="0.2">
      <c r="A436" s="125">
        <f t="shared" ca="1" si="64"/>
        <v>43528</v>
      </c>
      <c r="B436" s="125">
        <f t="shared" ca="1" si="57"/>
        <v>43528.229166666664</v>
      </c>
      <c r="C436" s="127">
        <f t="shared" ca="1" si="58"/>
        <v>43528.267590250973</v>
      </c>
      <c r="D436" s="127">
        <f t="shared" ca="1" si="59"/>
        <v>43527.762203037782</v>
      </c>
      <c r="E436" s="189">
        <f ca="1">P[[#This Row],[SunRise]]-TimeZone/24</f>
        <v>43528.038423584308</v>
      </c>
      <c r="F436" s="190">
        <f t="shared" ca="1" si="60"/>
        <v>319.03139947634355</v>
      </c>
      <c r="G436" s="190">
        <f t="shared" ca="1" si="61"/>
        <v>290.5178365585453</v>
      </c>
      <c r="H436" s="191">
        <f t="shared" ca="1" si="62"/>
        <v>43528.038423584308</v>
      </c>
      <c r="I436" s="124" t="str">
        <f ca="1">naks(P[[#This Row],[Moon]])</f>
        <v>Sravana</v>
      </c>
      <c r="J436" s="127">
        <f ca="1">(C437-P[[#This Row],[SunRise]])/(G437-P[[#This Row],[Moon]])*(13.3333333333333-MOD(P[[#This Row],[Moon]],13.333333333333))+P[[#This Row],[SunRise]]</f>
        <v>43528.506398923404</v>
      </c>
      <c r="K436" s="124" t="str">
        <f ca="1">IF(P[[#This Row],[Tithi]]&gt;15,"K","S")&amp;ROUNDUP(MOD(P[[#This Row],[Tithi]],15),0)&amp;" ("&amp;ROUND(P[[#This Row],[Tithi]],2)&amp;")"</f>
        <v>K13 (27.62)</v>
      </c>
      <c r="L436" s="124">
        <f ca="1">IF(AND(P[[#This Row],[Tithi]]&lt;28.5,P[[#This Row],[Tithi]]&gt;0.49999),MOD((P[[#This Row],[Tithi]]-0.5)*2,7),MOD((P[[#This Row],[Tithi]]+30-28.5),30)*2+7)</f>
        <v>5.247799999999998</v>
      </c>
      <c r="M436" s="124" t="str">
        <f ca="1">CHOOSE(ROUNDUP(P[[#This Row],[Karana1]],0),"Bhava","Baalava","Kaulava","Taitula","Garija","Vanija","Vishti","Shakuni","Chatushapda","Naaga","Kimstugna")</f>
        <v>Vanija</v>
      </c>
      <c r="N43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(18.72)</v>
      </c>
      <c r="O436" s="124">
        <f ca="1">IF(AND(P[[#This Row],[Tithi]]&lt;28.5,P[[#This Row],[Tithi]]&gt;0.49999),MOD((P[[#This Row],[Tithi]]-0.5)*2,7),MOD((P[[#This Row],[Tithi]]+30-28.5),30)*2+7)</f>
        <v>5.247799999999998</v>
      </c>
      <c r="P436" s="124">
        <f ca="1">ROUNDUP(MOD(360+P[[#This Row],[Moon]]-P[[#This Row],[Sun]],360)/12,4)</f>
        <v>27.623899999999999</v>
      </c>
      <c r="Q436" s="124">
        <f t="shared" ca="1" si="63"/>
        <v>18.720000000000002</v>
      </c>
      <c r="R436" s="124" t="str">
        <f ca="1">SIGN(S437-P[[#This Row],[MARs]])*INT(P[[#This Row],[MARs]]/30+1)&amp;"Ma,"&amp;SIGN(T437-P[[#This Row],[Merc]])*INT(P[[#This Row],[Merc]]/30+1)&amp;"Me,"&amp;SIGN(U437-P[[#This Row],[Jup]])*INT(P[[#This Row],[Jup]]/30+1)&amp;"Ju,"&amp;SIGN(V437-P[[#This Row],[Venu]])*INT(P[[#This Row],[Venu]]/30+1)&amp;"Ve,"&amp;SIGN(W437-P[[#This Row],[Sat]])*INT(P[[#This Row],[Sat]]/30+1)&amp;"Sa,"&amp;INT(P[[#This Row],[Rah]]/30+1)&amp;"Ra"</f>
        <v>1Ma,12Me,8Ju,10Ve,9Sa,4Ra</v>
      </c>
      <c r="S436" s="124">
        <f ca="1">Planet(P[[#This Row],[GMT Sun Rise]],4)</f>
        <v>17.725940042613999</v>
      </c>
      <c r="T436" s="124">
        <f ca="1">Planet(P[[#This Row],[GMT Sun Rise]],2)</f>
        <v>335.2968366288369</v>
      </c>
      <c r="U436" s="124">
        <f ca="1">Planet(P[[#This Row],[GMT Sun Rise]],5)</f>
        <v>238.09429461511962</v>
      </c>
      <c r="V436" s="124">
        <f ca="1">Planet(P[[#This Row],[GMT Sun Rise]],3)</f>
        <v>278.65262766231308</v>
      </c>
      <c r="W436" s="124">
        <f ca="1">Planet(P[[#This Row],[GMT Sun Rise]],6)</f>
        <v>263.87757097252529</v>
      </c>
      <c r="X436" s="124">
        <f ca="1">Planet(P[[#This Row],[GMT Sun Rise]],10)</f>
        <v>90.161816165535114</v>
      </c>
      <c r="Y436" s="124">
        <f ca="1">SIGN(S437-P[[#This Row],[MARs]])</f>
        <v>1</v>
      </c>
    </row>
    <row r="437" spans="1:25" x14ac:dyDescent="0.2">
      <c r="A437" s="125">
        <f t="shared" ca="1" si="64"/>
        <v>43529</v>
      </c>
      <c r="B437" s="125">
        <f t="shared" ca="1" si="57"/>
        <v>43529.229166666664</v>
      </c>
      <c r="C437" s="127">
        <f t="shared" ca="1" si="58"/>
        <v>43529.267182555202</v>
      </c>
      <c r="D437" s="127">
        <f t="shared" ca="1" si="59"/>
        <v>43528.762313664003</v>
      </c>
      <c r="E437" s="189">
        <f ca="1">P[[#This Row],[SunRise]]-TimeZone/24</f>
        <v>43529.038015888538</v>
      </c>
      <c r="F437" s="190">
        <f t="shared" ca="1" si="60"/>
        <v>320.03369916929807</v>
      </c>
      <c r="G437" s="190">
        <f t="shared" ca="1" si="61"/>
        <v>302.30278925739947</v>
      </c>
      <c r="H437" s="191">
        <f t="shared" ca="1" si="62"/>
        <v>43529.038015888538</v>
      </c>
      <c r="I437" s="124" t="str">
        <f ca="1">naks(P[[#This Row],[Moon]])</f>
        <v>Dhanistha</v>
      </c>
      <c r="J437" s="127">
        <f ca="1">(C438-P[[#This Row],[SunRise]])/(G438-P[[#This Row],[Moon]])*(13.3333333333333-MOD(P[[#This Row],[Moon]],13.333333333333))+P[[#This Row],[SunRise]]</f>
        <v>43529.635594587482</v>
      </c>
      <c r="K437" s="124" t="str">
        <f ca="1">IF(P[[#This Row],[Tithi]]&gt;15,"K","S")&amp;ROUNDUP(MOD(P[[#This Row],[Tithi]],15),0)&amp;" ("&amp;ROUND(P[[#This Row],[Tithi]],2)&amp;")"</f>
        <v>K14 (28.52)</v>
      </c>
      <c r="L437" s="124">
        <f ca="1">IF(AND(P[[#This Row],[Tithi]]&lt;28.5,P[[#This Row],[Tithi]]&gt;0.49999),MOD((P[[#This Row],[Tithi]]-0.5)*2,7),MOD((P[[#This Row],[Tithi]]+30-28.5),30)*2+7)</f>
        <v>7.0450000000000017</v>
      </c>
      <c r="M437" s="124" t="str">
        <f ca="1">CHOOSE(ROUNDUP(P[[#This Row],[Karana1]],0),"Bhava","Baalava","Kaulava","Taitula","Garija","Vanija","Vishti","Shakuni","Chatushapda","Naaga","Kimstugna")</f>
        <v>Shakuni</v>
      </c>
      <c r="N43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(19.68)</v>
      </c>
      <c r="O437" s="124">
        <f ca="1">IF(AND(P[[#This Row],[Tithi]]&lt;28.5,P[[#This Row],[Tithi]]&gt;0.49999),MOD((P[[#This Row],[Tithi]]-0.5)*2,7),MOD((P[[#This Row],[Tithi]]+30-28.5),30)*2+7)</f>
        <v>7.0450000000000017</v>
      </c>
      <c r="P437" s="124">
        <f ca="1">ROUNDUP(MOD(360+P[[#This Row],[Moon]]-P[[#This Row],[Sun]],360)/12,4)</f>
        <v>28.522500000000001</v>
      </c>
      <c r="Q437" s="124">
        <f t="shared" ca="1" si="63"/>
        <v>19.680000000000003</v>
      </c>
      <c r="R437" s="124" t="str">
        <f ca="1">SIGN(S438-P[[#This Row],[MARs]])*INT(P[[#This Row],[MARs]]/30+1)&amp;"Ma,"&amp;SIGN(T438-P[[#This Row],[Merc]])*INT(P[[#This Row],[Merc]]/30+1)&amp;"Me,"&amp;SIGN(U438-P[[#This Row],[Jup]])*INT(P[[#This Row],[Jup]]/30+1)&amp;"Ju,"&amp;SIGN(V438-P[[#This Row],[Venu]])*INT(P[[#This Row],[Venu]]/30+1)&amp;"Ve,"&amp;SIGN(W438-P[[#This Row],[Sat]])*INT(P[[#This Row],[Sat]]/30+1)&amp;"Sa,"&amp;INT(P[[#This Row],[Rah]]/30+1)&amp;"Ra"</f>
        <v>1Ma,12Me,8Ju,10Ve,9Sa,4Ra</v>
      </c>
      <c r="S437" s="124">
        <f ca="1">Planet(P[[#This Row],[GMT Sun Rise]],4)</f>
        <v>18.396906978251241</v>
      </c>
      <c r="T437" s="124">
        <f ca="1">Planet(P[[#This Row],[GMT Sun Rise]],2)</f>
        <v>335.48769255960531</v>
      </c>
      <c r="U437" s="124">
        <f ca="1">Planet(P[[#This Row],[GMT Sun Rise]],5)</f>
        <v>238.20208930597937</v>
      </c>
      <c r="V437" s="124">
        <f ca="1">Planet(P[[#This Row],[GMT Sun Rise]],3)</f>
        <v>279.83880375587762</v>
      </c>
      <c r="W437" s="124">
        <f ca="1">Planet(P[[#This Row],[GMT Sun Rise]],6)</f>
        <v>263.96032221143685</v>
      </c>
      <c r="X437" s="124">
        <f ca="1">Planet(P[[#This Row],[GMT Sun Rise]],10)</f>
        <v>90.108845773361807</v>
      </c>
      <c r="Y437" s="124">
        <f ca="1">SIGN(S438-P[[#This Row],[MARs]])</f>
        <v>1</v>
      </c>
    </row>
    <row r="438" spans="1:25" x14ac:dyDescent="0.2">
      <c r="A438" s="125">
        <f t="shared" ca="1" si="64"/>
        <v>43530</v>
      </c>
      <c r="B438" s="125">
        <f t="shared" ca="1" si="57"/>
        <v>43530.229166666664</v>
      </c>
      <c r="C438" s="127">
        <f t="shared" ca="1" si="58"/>
        <v>43530.266769137386</v>
      </c>
      <c r="D438" s="127">
        <f t="shared" ca="1" si="59"/>
        <v>43529.762419681108</v>
      </c>
      <c r="E438" s="189">
        <f ca="1">P[[#This Row],[SunRise]]-TimeZone/24</f>
        <v>43530.037602470722</v>
      </c>
      <c r="F438" s="190">
        <f t="shared" ca="1" si="60"/>
        <v>321.03550770449488</v>
      </c>
      <c r="G438" s="190">
        <f t="shared" ca="1" si="61"/>
        <v>314.14299240596984</v>
      </c>
      <c r="H438" s="191">
        <f t="shared" ca="1" si="62"/>
        <v>43530.037602470722</v>
      </c>
      <c r="I438" s="124" t="str">
        <f ca="1">naks(P[[#This Row],[Moon]])</f>
        <v>Satabhisaj</v>
      </c>
      <c r="J438" s="127">
        <f ca="1">(C439-P[[#This Row],[SunRise]])/(G439-P[[#This Row],[Moon]])*(13.3333333333333-MOD(P[[#This Row],[Moon]],13.333333333333))+P[[#This Row],[SunRise]]</f>
        <v>43530.75759377105</v>
      </c>
      <c r="K438" s="124" t="str">
        <f ca="1">IF(P[[#This Row],[Tithi]]&gt;15,"K","S")&amp;ROUNDUP(MOD(P[[#This Row],[Tithi]],15),0)&amp;" ("&amp;ROUND(P[[#This Row],[Tithi]],2)&amp;")"</f>
        <v>K15 (29.43)</v>
      </c>
      <c r="L438" s="124">
        <f ca="1">IF(AND(P[[#This Row],[Tithi]]&lt;28.5,P[[#This Row],[Tithi]]&gt;0.49999),MOD((P[[#This Row],[Tithi]]-0.5)*2,7),MOD((P[[#This Row],[Tithi]]+30-28.5),30)*2+7)</f>
        <v>8.8513999999999982</v>
      </c>
      <c r="M438" s="124" t="str">
        <f ca="1">CHOOSE(ROUNDUP(P[[#This Row],[Karana1]],0),"Bhava","Baalava","Kaulava","Taitula","Garija","Vanija","Vishti","Shakuni","Chatushapda","Naaga","Kimstugna")</f>
        <v>Chatushapda</v>
      </c>
      <c r="N43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(20.64)</v>
      </c>
      <c r="O438" s="124">
        <f ca="1">IF(AND(P[[#This Row],[Tithi]]&lt;28.5,P[[#This Row],[Tithi]]&gt;0.49999),MOD((P[[#This Row],[Tithi]]-0.5)*2,7),MOD((P[[#This Row],[Tithi]]+30-28.5),30)*2+7)</f>
        <v>8.8513999999999982</v>
      </c>
      <c r="P438" s="124">
        <f ca="1">ROUNDUP(MOD(360+P[[#This Row],[Moon]]-P[[#This Row],[Sun]],360)/12,4)</f>
        <v>29.425699999999999</v>
      </c>
      <c r="Q438" s="124">
        <f t="shared" ca="1" si="63"/>
        <v>20.64</v>
      </c>
      <c r="R438" s="124" t="str">
        <f ca="1">SIGN(S439-P[[#This Row],[MARs]])*INT(P[[#This Row],[MARs]]/30+1)&amp;"Ma,"&amp;SIGN(T439-P[[#This Row],[Merc]])*INT(P[[#This Row],[Merc]]/30+1)&amp;"Me,"&amp;SIGN(U439-P[[#This Row],[Jup]])*INT(P[[#This Row],[Jup]]/30+1)&amp;"Ju,"&amp;SIGN(V439-P[[#This Row],[Venu]])*INT(P[[#This Row],[Venu]]/30+1)&amp;"Ve,"&amp;SIGN(W439-P[[#This Row],[Sat]])*INT(P[[#This Row],[Sat]]/30+1)&amp;"Sa,"&amp;INT(P[[#This Row],[Rah]]/30+1)&amp;"Ra"</f>
        <v>1Ma,-12Me,8Ju,10Ve,9Sa,4Ra</v>
      </c>
      <c r="S438" s="124">
        <f ca="1">Planet(P[[#This Row],[GMT Sun Rise]],4)</f>
        <v>19.067608142574599</v>
      </c>
      <c r="T438" s="124">
        <f ca="1">Planet(P[[#This Row],[GMT Sun Rise]],2)</f>
        <v>335.52267446571619</v>
      </c>
      <c r="U438" s="124">
        <f ca="1">Planet(P[[#This Row],[GMT Sun Rise]],5)</f>
        <v>238.30735734385604</v>
      </c>
      <c r="V438" s="124">
        <f ca="1">Planet(P[[#This Row],[GMT Sun Rise]],3)</f>
        <v>281.02592984713482</v>
      </c>
      <c r="W438" s="124">
        <f ca="1">Planet(P[[#This Row],[GMT Sun Rise]],6)</f>
        <v>264.04193424553546</v>
      </c>
      <c r="X438" s="124">
        <f ca="1">Planet(P[[#This Row],[GMT Sun Rise]],10)</f>
        <v>90.055875684433289</v>
      </c>
      <c r="Y438" s="124">
        <f ca="1">SIGN(S439-P[[#This Row],[MARs]])</f>
        <v>1</v>
      </c>
    </row>
    <row r="439" spans="1:25" x14ac:dyDescent="0.2">
      <c r="A439" s="125">
        <f t="shared" ca="1" si="64"/>
        <v>43531</v>
      </c>
      <c r="B439" s="125">
        <f t="shared" ca="1" si="57"/>
        <v>43531.229166666664</v>
      </c>
      <c r="C439" s="127">
        <f t="shared" ca="1" si="58"/>
        <v>43531.26635015678</v>
      </c>
      <c r="D439" s="127">
        <f t="shared" ca="1" si="59"/>
        <v>43530.762521406214</v>
      </c>
      <c r="E439" s="189">
        <f ca="1">P[[#This Row],[SunRise]]-TimeZone/24</f>
        <v>43531.037183490116</v>
      </c>
      <c r="F439" s="190">
        <f t="shared" ca="1" si="60"/>
        <v>322.03680734443236</v>
      </c>
      <c r="G439" s="190">
        <f t="shared" ca="1" si="61"/>
        <v>326.0709870907005</v>
      </c>
      <c r="H439" s="191">
        <f t="shared" ca="1" si="62"/>
        <v>43531.037183490116</v>
      </c>
      <c r="I439" s="124" t="str">
        <f ca="1">naks(P[[#This Row],[Moon]])</f>
        <v>Purva Bhadrapada</v>
      </c>
      <c r="J439" s="127">
        <f ca="1">(C440-P[[#This Row],[SunRise]])/(G440-P[[#This Row],[Moon]])*(13.3333333333333-MOD(P[[#This Row],[Moon]],13.333333333333))+P[[#This Row],[SunRise]]</f>
        <v>43531.869237893268</v>
      </c>
      <c r="K439" s="124" t="str">
        <f ca="1">IF(P[[#This Row],[Tithi]]&gt;15,"K","S")&amp;ROUNDUP(MOD(P[[#This Row],[Tithi]],15),0)&amp;" ("&amp;ROUND(P[[#This Row],[Tithi]],2)&amp;")"</f>
        <v>S1 (0.34)</v>
      </c>
      <c r="L439" s="124">
        <f ca="1">IF(AND(P[[#This Row],[Tithi]]&lt;28.5,P[[#This Row],[Tithi]]&gt;0.49999),MOD((P[[#This Row],[Tithi]]-0.5)*2,7),MOD((P[[#This Row],[Tithi]]+30-28.5),30)*2+7)</f>
        <v>10.672400000000003</v>
      </c>
      <c r="M439" s="124" t="str">
        <f ca="1">CHOOSE(ROUNDUP(P[[#This Row],[Karana1]],0),"Bhava","Baalava","Kaulava","Taitula","Garija","Vanija","Vishti","Shakuni","Chatushapda","Naaga","Kimstugna")</f>
        <v>Kimstugna</v>
      </c>
      <c r="N43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Sadhya-साध्य-Ve (21.61)</v>
      </c>
      <c r="O439" s="124">
        <f ca="1">IF(AND(P[[#This Row],[Tithi]]&lt;28.5,P[[#This Row],[Tithi]]&gt;0.49999),MOD((P[[#This Row],[Tithi]]-0.5)*2,7),MOD((P[[#This Row],[Tithi]]+30-28.5),30)*2+7)</f>
        <v>10.672400000000003</v>
      </c>
      <c r="P439" s="124">
        <f ca="1">ROUNDUP(MOD(360+P[[#This Row],[Moon]]-P[[#This Row],[Sun]],360)/12,4)</f>
        <v>0.3362</v>
      </c>
      <c r="Q439" s="124">
        <f t="shared" ca="1" si="63"/>
        <v>21.610000000000003</v>
      </c>
      <c r="R439" s="124" t="str">
        <f ca="1">SIGN(S440-P[[#This Row],[MARs]])*INT(P[[#This Row],[MARs]]/30+1)&amp;"Ma,"&amp;SIGN(T440-P[[#This Row],[Merc]])*INT(P[[#This Row],[Merc]]/30+1)&amp;"Me,"&amp;SIGN(U440-P[[#This Row],[Jup]])*INT(P[[#This Row],[Jup]]/30+1)&amp;"Ju,"&amp;SIGN(V440-P[[#This Row],[Venu]])*INT(P[[#This Row],[Venu]]/30+1)&amp;"Ve,"&amp;SIGN(W440-P[[#This Row],[Sat]])*INT(P[[#This Row],[Sat]]/30+1)&amp;"Sa,"&amp;INT(P[[#This Row],[Rah]]/30+1)&amp;"Ra"</f>
        <v>1Ma,-12Me,8Ju,10Ve,9Sa,4Ra</v>
      </c>
      <c r="S439" s="124">
        <f ca="1">Planet(P[[#This Row],[GMT Sun Rise]],4)</f>
        <v>19.738036276145142</v>
      </c>
      <c r="T439" s="124">
        <f ca="1">Planet(P[[#This Row],[GMT Sun Rise]],2)</f>
        <v>335.40397057525848</v>
      </c>
      <c r="U439" s="124">
        <f ca="1">Planet(P[[#This Row],[GMT Sun Rise]],5)</f>
        <v>238.41007097268977</v>
      </c>
      <c r="V439" s="124">
        <f ca="1">Planet(P[[#This Row],[GMT Sun Rise]],3)</f>
        <v>282.21396576897359</v>
      </c>
      <c r="W439" s="124">
        <f ca="1">Planet(P[[#This Row],[GMT Sun Rise]],6)</f>
        <v>264.12238989007437</v>
      </c>
      <c r="X439" s="124">
        <f ca="1">Planet(P[[#This Row],[GMT Sun Rise]],10)</f>
        <v>90.002905890266263</v>
      </c>
      <c r="Y439" s="124">
        <f ca="1">SIGN(S440-P[[#This Row],[MARs]])</f>
        <v>1</v>
      </c>
    </row>
    <row r="440" spans="1:25" x14ac:dyDescent="0.2">
      <c r="A440" s="125">
        <f t="shared" ca="1" si="64"/>
        <v>43532</v>
      </c>
      <c r="B440" s="125">
        <f t="shared" ca="1" si="57"/>
        <v>43532.229166666664</v>
      </c>
      <c r="C440" s="127">
        <f t="shared" ca="1" si="58"/>
        <v>43532.2659259305</v>
      </c>
      <c r="D440" s="127">
        <f t="shared" ca="1" si="59"/>
        <v>43531.762618999041</v>
      </c>
      <c r="E440" s="189">
        <f ca="1">P[[#This Row],[SunRise]]-TimeZone/24</f>
        <v>43532.036759263836</v>
      </c>
      <c r="F440" s="190">
        <f t="shared" ca="1" si="60"/>
        <v>323.03758007188435</v>
      </c>
      <c r="G440" s="190">
        <f t="shared" ca="1" si="61"/>
        <v>338.11181148490203</v>
      </c>
      <c r="H440" s="191">
        <f t="shared" ca="1" si="62"/>
        <v>43532.036759263836</v>
      </c>
      <c r="I440" s="124" t="str">
        <f ca="1">naks(P[[#This Row],[Moon]])</f>
        <v>Uttara Bhadrapada</v>
      </c>
      <c r="J440" s="127">
        <f ca="1">(C441-P[[#This Row],[SunRise]])/(G441-P[[#This Row],[Moon]])*(13.3333333333333-MOD(P[[#This Row],[Moon]],13.333333333333))+P[[#This Row],[SunRise]]</f>
        <v>43532.968311619537</v>
      </c>
      <c r="K440" s="124" t="str">
        <f ca="1">IF(P[[#This Row],[Tithi]]&gt;15,"K","S")&amp;ROUNDUP(MOD(P[[#This Row],[Tithi]],15),0)&amp;" ("&amp;ROUND(P[[#This Row],[Tithi]],2)&amp;")"</f>
        <v>S2 (1.26)</v>
      </c>
      <c r="L440" s="124">
        <f ca="1">IF(AND(P[[#This Row],[Tithi]]&lt;28.5,P[[#This Row],[Tithi]]&gt;0.49999),MOD((P[[#This Row],[Tithi]]-0.5)*2,7),MOD((P[[#This Row],[Tithi]]+30-28.5),30)*2+7)</f>
        <v>1.5124</v>
      </c>
      <c r="M440" s="124" t="str">
        <f ca="1">CHOOSE(ROUNDUP(P[[#This Row],[Karana1]],0),"Bhava","Baalava","Kaulava","Taitula","Garija","Vanija","Vishti","Shakuni","Chatushapda","Naaga","Kimstugna")</f>
        <v>Baalava</v>
      </c>
      <c r="N44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Shubha-शुभ-Su (22.59)</v>
      </c>
      <c r="O440" s="124">
        <f ca="1">IF(AND(P[[#This Row],[Tithi]]&lt;28.5,P[[#This Row],[Tithi]]&gt;0.49999),MOD((P[[#This Row],[Tithi]]-0.5)*2,7),MOD((P[[#This Row],[Tithi]]+30-28.5),30)*2+7)</f>
        <v>1.5124</v>
      </c>
      <c r="P440" s="124">
        <f ca="1">ROUNDUP(MOD(360+P[[#This Row],[Moon]]-P[[#This Row],[Sun]],360)/12,4)</f>
        <v>1.2562</v>
      </c>
      <c r="Q440" s="124">
        <f t="shared" ca="1" si="63"/>
        <v>22.59</v>
      </c>
      <c r="R440" s="124" t="str">
        <f ca="1">SIGN(S441-P[[#This Row],[MARs]])*INT(P[[#This Row],[MARs]]/30+1)&amp;"Ma,"&amp;SIGN(T441-P[[#This Row],[Merc]])*INT(P[[#This Row],[Merc]]/30+1)&amp;"Me,"&amp;SIGN(U441-P[[#This Row],[Jup]])*INT(P[[#This Row],[Jup]]/30+1)&amp;"Ju,"&amp;SIGN(V441-P[[#This Row],[Venu]])*INT(P[[#This Row],[Venu]]/30+1)&amp;"Ve,"&amp;SIGN(W441-P[[#This Row],[Sat]])*INT(P[[#This Row],[Sat]]/30+1)&amp;"Sa,"&amp;INT(P[[#This Row],[Rah]]/30+1)&amp;"Ra"</f>
        <v>1Ma,-12Me,8Ju,10Ve,9Sa,3Ra</v>
      </c>
      <c r="S440" s="124">
        <f ca="1">Planet(P[[#This Row],[GMT Sun Rise]],4)</f>
        <v>20.408183095299062</v>
      </c>
      <c r="T440" s="124">
        <f ca="1">Planet(P[[#This Row],[GMT Sun Rise]],2)</f>
        <v>335.13652204255419</v>
      </c>
      <c r="U440" s="124">
        <f ca="1">Planet(P[[#This Row],[GMT Sun Rise]],5)</f>
        <v>238.51020324407907</v>
      </c>
      <c r="V440" s="124">
        <f ca="1">Planet(P[[#This Row],[GMT Sun Rise]],3)</f>
        <v>283.40287346500349</v>
      </c>
      <c r="W440" s="124">
        <f ca="1">Planet(P[[#This Row],[GMT Sun Rise]],6)</f>
        <v>264.20167232202294</v>
      </c>
      <c r="X440" s="124">
        <f ca="1">Planet(P[[#This Row],[GMT Sun Rise]],10)</f>
        <v>89.949936374093284</v>
      </c>
      <c r="Y440" s="124">
        <f ca="1">SIGN(S441-P[[#This Row],[MARs]])</f>
        <v>1</v>
      </c>
    </row>
    <row r="441" spans="1:25" x14ac:dyDescent="0.2">
      <c r="A441" s="125">
        <f t="shared" ca="1" si="64"/>
        <v>43533</v>
      </c>
      <c r="B441" s="125">
        <f t="shared" ca="1" si="57"/>
        <v>43533.229166666664</v>
      </c>
      <c r="C441" s="127">
        <f t="shared" ca="1" si="58"/>
        <v>43533.265496777058</v>
      </c>
      <c r="D441" s="127">
        <f t="shared" ca="1" si="59"/>
        <v>43532.762712617914</v>
      </c>
      <c r="E441" s="189">
        <f ca="1">P[[#This Row],[SunRise]]-TimeZone/24</f>
        <v>43533.036330110393</v>
      </c>
      <c r="F441" s="190">
        <f t="shared" ca="1" si="60"/>
        <v>324.0378078356166</v>
      </c>
      <c r="G441" s="190">
        <f t="shared" ca="1" si="61"/>
        <v>350.28629620136331</v>
      </c>
      <c r="H441" s="191">
        <f t="shared" ca="1" si="62"/>
        <v>43533.036330110393</v>
      </c>
      <c r="I441" s="124" t="str">
        <f ca="1">naks(P[[#This Row],[Moon]])</f>
        <v>Revati</v>
      </c>
      <c r="J441" s="127">
        <f ca="1">(C442-P[[#This Row],[SunRise]])/(G442-P[[#This Row],[Moon]])*(13.3333333333333-MOD(P[[#This Row],[Moon]],13.333333333333))+P[[#This Row],[SunRise]]</f>
        <v>43533.237569588273</v>
      </c>
      <c r="K441" s="124" t="str">
        <f ca="1">IF(P[[#This Row],[Tithi]]&gt;15,"K","S")&amp;ROUNDUP(MOD(P[[#This Row],[Tithi]],15),0)&amp;" ("&amp;ROUND(P[[#This Row],[Tithi]],2)&amp;")"</f>
        <v>S3 (2.19)</v>
      </c>
      <c r="L441" s="124">
        <f ca="1">IF(AND(P[[#This Row],[Tithi]]&lt;28.5,P[[#This Row],[Tithi]]&gt;0.49999),MOD((P[[#This Row],[Tithi]]-0.5)*2,7),MOD((P[[#This Row],[Tithi]]+30-28.5),30)*2+7)</f>
        <v>3.3748000000000005</v>
      </c>
      <c r="M441" s="124" t="str">
        <f ca="1">CHOOSE(ROUNDUP(P[[#This Row],[Karana1]],0),"Bhava","Baalava","Kaulava","Taitula","Garija","Vanija","Vishti","Shakuni","Chatushapda","Naaga","Kimstugna")</f>
        <v>Taitula</v>
      </c>
      <c r="N44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Shukla-शुक्ल-Mo (23.58)</v>
      </c>
      <c r="O441" s="124">
        <f ca="1">IF(AND(P[[#This Row],[Tithi]]&lt;28.5,P[[#This Row],[Tithi]]&gt;0.49999),MOD((P[[#This Row],[Tithi]]-0.5)*2,7),MOD((P[[#This Row],[Tithi]]+30-28.5),30)*2+7)</f>
        <v>3.3748000000000005</v>
      </c>
      <c r="P441" s="124">
        <f ca="1">ROUNDUP(MOD(360+P[[#This Row],[Moon]]-P[[#This Row],[Sun]],360)/12,4)</f>
        <v>2.1874000000000002</v>
      </c>
      <c r="Q441" s="124">
        <f t="shared" ca="1" si="63"/>
        <v>23.580000000000002</v>
      </c>
      <c r="R441" s="124" t="str">
        <f ca="1">SIGN(S442-P[[#This Row],[MARs]])*INT(P[[#This Row],[MARs]]/30+1)&amp;"Ma,"&amp;SIGN(T442-P[[#This Row],[Merc]])*INT(P[[#This Row],[Merc]]/30+1)&amp;"Me,"&amp;SIGN(U442-P[[#This Row],[Jup]])*INT(P[[#This Row],[Jup]]/30+1)&amp;"Ju,"&amp;SIGN(V442-P[[#This Row],[Venu]])*INT(P[[#This Row],[Venu]]/30+1)&amp;"Ve,"&amp;SIGN(W442-P[[#This Row],[Sat]])*INT(P[[#This Row],[Sat]]/30+1)&amp;"Sa,"&amp;INT(P[[#This Row],[Rah]]/30+1)&amp;"Ra"</f>
        <v>1Ma,-12Me,8Ju,10Ve,9Sa,3Ra</v>
      </c>
      <c r="S441" s="124">
        <f ca="1">Planet(P[[#This Row],[GMT Sun Rise]],4)</f>
        <v>21.078039238153139</v>
      </c>
      <c r="T441" s="124">
        <f ca="1">Planet(P[[#This Row],[GMT Sun Rise]],2)</f>
        <v>334.72816708754112</v>
      </c>
      <c r="U441" s="124">
        <f ca="1">Planet(P[[#This Row],[GMT Sun Rise]],5)</f>
        <v>238.60772809278421</v>
      </c>
      <c r="V441" s="124">
        <f ca="1">Planet(P[[#This Row],[GMT Sun Rise]],3)</f>
        <v>284.59261711286138</v>
      </c>
      <c r="W441" s="124">
        <f ca="1">Planet(P[[#This Row],[GMT Sun Rise]],6)</f>
        <v>264.27976512192885</v>
      </c>
      <c r="X441" s="124">
        <f ca="1">Planet(P[[#This Row],[GMT Sun Rise]],10)</f>
        <v>89.896967118997395</v>
      </c>
      <c r="Y441" s="124">
        <f ca="1">SIGN(S442-P[[#This Row],[MARs]])</f>
        <v>1</v>
      </c>
    </row>
    <row r="442" spans="1:25" x14ac:dyDescent="0.2">
      <c r="A442" s="125">
        <f t="shared" ca="1" si="64"/>
        <v>43534</v>
      </c>
      <c r="B442" s="125">
        <f t="shared" ca="1" si="57"/>
        <v>43534.229166666664</v>
      </c>
      <c r="C442" s="127">
        <f t="shared" ca="1" si="58"/>
        <v>43534.265062696453</v>
      </c>
      <c r="D442" s="127">
        <f t="shared" ca="1" si="59"/>
        <v>43533.7628022633</v>
      </c>
      <c r="E442" s="189">
        <f ca="1">P[[#This Row],[SunRise]]-TimeZone/24</f>
        <v>43534.035896029789</v>
      </c>
      <c r="F442" s="190">
        <f t="shared" ca="1" si="60"/>
        <v>325.03747270345582</v>
      </c>
      <c r="G442" s="190">
        <f t="shared" ca="1" si="61"/>
        <v>2.6148085961787135</v>
      </c>
      <c r="H442" s="191">
        <f t="shared" ca="1" si="62"/>
        <v>43534.035896029789</v>
      </c>
      <c r="I442" s="124" t="str">
        <f ca="1">naks(P[[#This Row],[Moon]])</f>
        <v>Aswini</v>
      </c>
      <c r="J442" s="127">
        <f ca="1">(C443-P[[#This Row],[SunRise]])/(G443-P[[#This Row],[Moon]])*(13.3333333333333-MOD(P[[#This Row],[Moon]],13.333333333333))+P[[#This Row],[SunRise]]</f>
        <v>43535.121753335276</v>
      </c>
      <c r="K442" s="124" t="str">
        <f ca="1">IF(P[[#This Row],[Tithi]]&gt;15,"K","S")&amp;ROUNDUP(MOD(P[[#This Row],[Tithi]],15),0)&amp;" ("&amp;ROUND(P[[#This Row],[Tithi]],2)&amp;")"</f>
        <v>S4 (3.13)</v>
      </c>
      <c r="L442" s="124">
        <f ca="1">IF(AND(P[[#This Row],[Tithi]]&lt;28.5,P[[#This Row],[Tithi]]&gt;0.49999),MOD((P[[#This Row],[Tithi]]-0.5)*2,7),MOD((P[[#This Row],[Tithi]]+30-28.5),30)*2+7)</f>
        <v>5.2630000000000008</v>
      </c>
      <c r="M442" s="124" t="str">
        <f ca="1">CHOOSE(ROUNDUP(P[[#This Row],[Karana1]],0),"Bhava","Baalava","Kaulava","Taitula","Garija","Vanija","Vishti","Shakuni","Chatushapda","Naaga","Kimstugna")</f>
        <v>Vanija</v>
      </c>
      <c r="N44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Brahma-ब्रह्म-Ma (24.58)</v>
      </c>
      <c r="O442" s="124">
        <f ca="1">IF(AND(P[[#This Row],[Tithi]]&lt;28.5,P[[#This Row],[Tithi]]&gt;0.49999),MOD((P[[#This Row],[Tithi]]-0.5)*2,7),MOD((P[[#This Row],[Tithi]]+30-28.5),30)*2+7)</f>
        <v>5.2630000000000008</v>
      </c>
      <c r="P442" s="124">
        <f ca="1">ROUNDUP(MOD(360+P[[#This Row],[Moon]]-P[[#This Row],[Sun]],360)/12,4)</f>
        <v>3.1315000000000004</v>
      </c>
      <c r="Q442" s="124">
        <f t="shared" ca="1" si="63"/>
        <v>24.580000000000002</v>
      </c>
      <c r="R442" s="124" t="str">
        <f ca="1">SIGN(S443-P[[#This Row],[MARs]])*INT(P[[#This Row],[MARs]]/30+1)&amp;"Ma,"&amp;SIGN(T443-P[[#This Row],[Merc]])*INT(P[[#This Row],[Merc]]/30+1)&amp;"Me,"&amp;SIGN(U443-P[[#This Row],[Jup]])*INT(P[[#This Row],[Jup]]/30+1)&amp;"Ju,"&amp;SIGN(V443-P[[#This Row],[Venu]])*INT(P[[#This Row],[Venu]]/30+1)&amp;"Ve,"&amp;SIGN(W443-P[[#This Row],[Sat]])*INT(P[[#This Row],[Sat]]/30+1)&amp;"Sa,"&amp;INT(P[[#This Row],[Rah]]/30+1)&amp;"Ra"</f>
        <v>1Ma,-12Me,8Ju,10Ve,9Sa,3Ra</v>
      </c>
      <c r="S442" s="124">
        <f ca="1">Planet(P[[#This Row],[GMT Sun Rise]],4)</f>
        <v>21.747594172408487</v>
      </c>
      <c r="T442" s="124">
        <f ca="1">Planet(P[[#This Row],[GMT Sun Rise]],2)</f>
        <v>334.18968911062694</v>
      </c>
      <c r="U442" s="124">
        <f ca="1">Planet(P[[#This Row],[GMT Sun Rise]],5)</f>
        <v>238.70262037533192</v>
      </c>
      <c r="V442" s="124">
        <f ca="1">Planet(P[[#This Row],[GMT Sun Rise]],3)</f>
        <v>285.78316303373572</v>
      </c>
      <c r="W442" s="124">
        <f ca="1">Planet(P[[#This Row],[GMT Sun Rise]],6)</f>
        <v>264.35665230540894</v>
      </c>
      <c r="X442" s="124">
        <f ca="1">Planet(P[[#This Row],[GMT Sun Rise]],10)</f>
        <v>89.843998125044976</v>
      </c>
      <c r="Y442" s="124">
        <f ca="1">SIGN(S443-P[[#This Row],[MARs]])</f>
        <v>1</v>
      </c>
    </row>
    <row r="443" spans="1:25" x14ac:dyDescent="0.2">
      <c r="A443" s="125">
        <f t="shared" ca="1" si="64"/>
        <v>43535</v>
      </c>
      <c r="B443" s="125">
        <f t="shared" ca="1" si="57"/>
        <v>43535.229166666664</v>
      </c>
      <c r="C443" s="127">
        <f t="shared" ca="1" si="58"/>
        <v>43535.264624165058</v>
      </c>
      <c r="D443" s="127">
        <f t="shared" ca="1" si="59"/>
        <v>43534.762888252779</v>
      </c>
      <c r="E443" s="189">
        <f ca="1">P[[#This Row],[SunRise]]-TimeZone/24</f>
        <v>43535.035457498394</v>
      </c>
      <c r="F443" s="190">
        <f t="shared" ca="1" si="60"/>
        <v>326.03655813781859</v>
      </c>
      <c r="G443" s="190">
        <f t="shared" ca="1" si="61"/>
        <v>15.120868359168776</v>
      </c>
      <c r="H443" s="191">
        <f t="shared" ca="1" si="62"/>
        <v>43535.035457498394</v>
      </c>
      <c r="I443" s="124" t="str">
        <f ca="1">naks(P[[#This Row],[Moon]])</f>
        <v>Bharani</v>
      </c>
      <c r="J443" s="127">
        <f ca="1">(C444-P[[#This Row],[SunRise]])/(G444-P[[#This Row],[Moon]])*(13.3333333333333-MOD(P[[#This Row],[Moon]],13.333333333333))+P[[#This Row],[SunRise]]</f>
        <v>43536.172415044843</v>
      </c>
      <c r="K443" s="124" t="str">
        <f ca="1">IF(P[[#This Row],[Tithi]]&gt;15,"K","S")&amp;ROUNDUP(MOD(P[[#This Row],[Tithi]],15),0)&amp;" ("&amp;ROUND(P[[#This Row],[Tithi]],2)&amp;")"</f>
        <v>S5 (4.09)</v>
      </c>
      <c r="L443" s="124">
        <f ca="1">IF(AND(P[[#This Row],[Tithi]]&lt;28.5,P[[#This Row],[Tithi]]&gt;0.49999),MOD((P[[#This Row],[Tithi]]-0.5)*2,7),MOD((P[[#This Row],[Tithi]]+30-28.5),30)*2+7)</f>
        <v>0.18079999999999963</v>
      </c>
      <c r="M443" s="124" t="str">
        <f ca="1">CHOOSE(ROUNDUP(P[[#This Row],[Karana1]],0),"Bhava","Baalava","Kaulava","Taitula","Garija","Vanija","Vishti","Shakuni","Chatushapda","Naaga","Kimstugna")</f>
        <v>Bhava</v>
      </c>
      <c r="N44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Mahendra-महेन्द्र-Ra (25.59)</v>
      </c>
      <c r="O443" s="124">
        <f ca="1">IF(AND(P[[#This Row],[Tithi]]&lt;28.5,P[[#This Row],[Tithi]]&gt;0.49999),MOD((P[[#This Row],[Tithi]]-0.5)*2,7),MOD((P[[#This Row],[Tithi]]+30-28.5),30)*2+7)</f>
        <v>0.18079999999999963</v>
      </c>
      <c r="P443" s="124">
        <f ca="1">ROUNDUP(MOD(360+P[[#This Row],[Moon]]-P[[#This Row],[Sun]],360)/12,4)</f>
        <v>4.0903999999999998</v>
      </c>
      <c r="Q443" s="124">
        <f t="shared" ca="1" si="63"/>
        <v>25.59</v>
      </c>
      <c r="R443" s="124" t="str">
        <f ca="1">SIGN(S444-P[[#This Row],[MARs]])*INT(P[[#This Row],[MARs]]/30+1)&amp;"Ma,"&amp;SIGN(T444-P[[#This Row],[Merc]])*INT(P[[#This Row],[Merc]]/30+1)&amp;"Me,"&amp;SIGN(U444-P[[#This Row],[Jup]])*INT(P[[#This Row],[Jup]]/30+1)&amp;"Ju,"&amp;SIGN(V444-P[[#This Row],[Venu]])*INT(P[[#This Row],[Venu]]/30+1)&amp;"Ve,"&amp;SIGN(W444-P[[#This Row],[Sat]])*INT(P[[#This Row],[Sat]]/30+1)&amp;"Sa,"&amp;INT(P[[#This Row],[Rah]]/30+1)&amp;"Ra"</f>
        <v>1Ma,-12Me,8Ju,10Ve,9Sa,3Ra</v>
      </c>
      <c r="S443" s="124">
        <f ca="1">Planet(P[[#This Row],[GMT Sun Rise]],4)</f>
        <v>22.416836909258887</v>
      </c>
      <c r="T443" s="124">
        <f ca="1">Planet(P[[#This Row],[GMT Sun Rise]],2)</f>
        <v>333.53473800847502</v>
      </c>
      <c r="U443" s="124">
        <f ca="1">Planet(P[[#This Row],[GMT Sun Rise]],5)</f>
        <v>238.79485598655182</v>
      </c>
      <c r="V443" s="124">
        <f ca="1">Planet(P[[#This Row],[GMT Sun Rise]],3)</f>
        <v>286.97448087024293</v>
      </c>
      <c r="W443" s="124">
        <f ca="1">Planet(P[[#This Row],[GMT Sun Rise]],6)</f>
        <v>264.43231842525296</v>
      </c>
      <c r="X443" s="124">
        <f ca="1">Planet(P[[#This Row],[GMT Sun Rise]],10)</f>
        <v>89.791029366918977</v>
      </c>
      <c r="Y443" s="124">
        <f ca="1">SIGN(S444-P[[#This Row],[MARs]])</f>
        <v>1</v>
      </c>
    </row>
    <row r="444" spans="1:25" x14ac:dyDescent="0.2">
      <c r="A444" s="125">
        <f t="shared" ca="1" si="64"/>
        <v>43536</v>
      </c>
      <c r="B444" s="125">
        <f t="shared" ca="1" si="57"/>
        <v>43536.229166666664</v>
      </c>
      <c r="C444" s="127">
        <f t="shared" ca="1" si="58"/>
        <v>43536.264181342129</v>
      </c>
      <c r="D444" s="127">
        <f t="shared" ca="1" si="59"/>
        <v>43535.762970586817</v>
      </c>
      <c r="E444" s="189">
        <f ca="1">P[[#This Row],[SunRise]]-TimeZone/24</f>
        <v>43536.035014675464</v>
      </c>
      <c r="F444" s="190">
        <f t="shared" ca="1" si="60"/>
        <v>327.03504863251356</v>
      </c>
      <c r="G444" s="190">
        <f t="shared" ca="1" si="61"/>
        <v>27.833802384215808</v>
      </c>
      <c r="H444" s="191">
        <f t="shared" ca="1" si="62"/>
        <v>43536.035014675464</v>
      </c>
      <c r="I444" s="124" t="str">
        <f ca="1">naks(P[[#This Row],[Moon]])</f>
        <v>Krittika</v>
      </c>
      <c r="J444" s="127">
        <f ca="1">(C445-P[[#This Row],[SunRise]])/(G445-P[[#This Row],[Moon]])*(13.3333333333333-MOD(P[[#This Row],[Moon]],13.333333333333))+P[[#This Row],[SunRise]]</f>
        <v>43537.202822573767</v>
      </c>
      <c r="K444" s="124" t="str">
        <f ca="1">IF(P[[#This Row],[Tithi]]&gt;15,"K","S")&amp;ROUNDUP(MOD(P[[#This Row],[Tithi]],15),0)&amp;" ("&amp;ROUND(P[[#This Row],[Tithi]],2)&amp;")"</f>
        <v>S6 (5.07)</v>
      </c>
      <c r="L444" s="124">
        <f ca="1">IF(AND(P[[#This Row],[Tithi]]&lt;28.5,P[[#This Row],[Tithi]]&gt;0.49999),MOD((P[[#This Row],[Tithi]]-0.5)*2,7),MOD((P[[#This Row],[Tithi]]+30-28.5),30)*2+7)</f>
        <v>2.1331999999999987</v>
      </c>
      <c r="M444" s="124" t="str">
        <f ca="1">CHOOSE(ROUNDUP(P[[#This Row],[Karana1]],0),"Bhava","Baalava","Kaulava","Taitula","Garija","Vanija","Vishti","Shakuni","Chatushapda","Naaga","Kimstugna")</f>
        <v>Kaulava</v>
      </c>
      <c r="N44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Vaidhriti-वैधृति-Ke (26.62)</v>
      </c>
      <c r="O444" s="124">
        <f ca="1">IF(AND(P[[#This Row],[Tithi]]&lt;28.5,P[[#This Row],[Tithi]]&gt;0.49999),MOD((P[[#This Row],[Tithi]]-0.5)*2,7),MOD((P[[#This Row],[Tithi]]+30-28.5),30)*2+7)</f>
        <v>2.1331999999999987</v>
      </c>
      <c r="P444" s="124">
        <f ca="1">ROUNDUP(MOD(360+P[[#This Row],[Moon]]-P[[#This Row],[Sun]],360)/12,4)</f>
        <v>5.0665999999999993</v>
      </c>
      <c r="Q444" s="124">
        <f t="shared" ca="1" si="63"/>
        <v>26.62</v>
      </c>
      <c r="R444" s="124" t="str">
        <f ca="1">SIGN(S445-P[[#This Row],[MARs]])*INT(P[[#This Row],[MARs]]/30+1)&amp;"Ma,"&amp;SIGN(T445-P[[#This Row],[Merc]])*INT(P[[#This Row],[Merc]]/30+1)&amp;"Me,"&amp;SIGN(U445-P[[#This Row],[Jup]])*INT(P[[#This Row],[Jup]]/30+1)&amp;"Ju,"&amp;SIGN(V445-P[[#This Row],[Venu]])*INT(P[[#This Row],[Venu]]/30+1)&amp;"Ve,"&amp;SIGN(W445-P[[#This Row],[Sat]])*INT(P[[#This Row],[Sat]]/30+1)&amp;"Sa,"&amp;INT(P[[#This Row],[Rah]]/30+1)&amp;"Ra"</f>
        <v>1Ma,-12Me,8Ju,10Ve,9Sa,3Ra</v>
      </c>
      <c r="S444" s="124">
        <f ca="1">Planet(P[[#This Row],[GMT Sun Rise]],4)</f>
        <v>23.085755669116697</v>
      </c>
      <c r="T444" s="124">
        <f ca="1">Planet(P[[#This Row],[GMT Sun Rise]],2)</f>
        <v>332.77960206078194</v>
      </c>
      <c r="U444" s="124">
        <f ca="1">Planet(P[[#This Row],[GMT Sun Rise]],5)</f>
        <v>238.88441180008229</v>
      </c>
      <c r="V444" s="124">
        <f ca="1">Planet(P[[#This Row],[GMT Sun Rise]],3)</f>
        <v>288.16654280018707</v>
      </c>
      <c r="W444" s="124">
        <f ca="1">Planet(P[[#This Row],[GMT Sun Rise]],6)</f>
        <v>264.50674853752753</v>
      </c>
      <c r="X444" s="124">
        <f ca="1">Planet(P[[#This Row],[GMT Sun Rise]],10)</f>
        <v>89.738060836202422</v>
      </c>
      <c r="Y444" s="124">
        <f ca="1">SIGN(S445-P[[#This Row],[MARs]])</f>
        <v>1</v>
      </c>
    </row>
    <row r="445" spans="1:25" x14ac:dyDescent="0.2">
      <c r="A445" s="125">
        <f t="shared" ca="1" si="64"/>
        <v>43537</v>
      </c>
      <c r="B445" s="125">
        <f t="shared" ca="1" si="57"/>
        <v>43537.229166666664</v>
      </c>
      <c r="C445" s="127">
        <f t="shared" ca="1" si="58"/>
        <v>43537.263734386921</v>
      </c>
      <c r="D445" s="127">
        <f t="shared" ca="1" si="59"/>
        <v>43536.763049423738</v>
      </c>
      <c r="E445" s="189">
        <f ca="1">P[[#This Row],[SunRise]]-TimeZone/24</f>
        <v>43537.034567720257</v>
      </c>
      <c r="F445" s="190">
        <f t="shared" ca="1" si="60"/>
        <v>328.03293043313909</v>
      </c>
      <c r="G445" s="190">
        <f t="shared" ca="1" si="61"/>
        <v>40.789508420280903</v>
      </c>
      <c r="H445" s="191">
        <f t="shared" ca="1" si="62"/>
        <v>43537.034567720257</v>
      </c>
      <c r="I445" s="124" t="str">
        <f ca="1">naks(P[[#This Row],[Moon]])</f>
        <v>Rohini</v>
      </c>
      <c r="J445" s="127">
        <f ca="1">(C446-P[[#This Row],[SunRise]])/(G446-P[[#This Row],[Moon]])*(13.3333333333333-MOD(P[[#This Row],[Moon]],13.333333333333))+P[[#This Row],[SunRise]]</f>
        <v>43538.210801165245</v>
      </c>
      <c r="K445" s="124" t="str">
        <f ca="1">IF(P[[#This Row],[Tithi]]&gt;15,"K","S")&amp;ROUNDUP(MOD(P[[#This Row],[Tithi]],15),0)&amp;" ("&amp;ROUND(P[[#This Row],[Tithi]],2)&amp;")"</f>
        <v>S7 (6.06)</v>
      </c>
      <c r="L445" s="124">
        <f ca="1">IF(AND(P[[#This Row],[Tithi]]&lt;28.5,P[[#This Row],[Tithi]]&gt;0.49999),MOD((P[[#This Row],[Tithi]]-0.5)*2,7),MOD((P[[#This Row],[Tithi]]+30-28.5),30)*2+7)</f>
        <v>4.126199999999999</v>
      </c>
      <c r="M445" s="124" t="str">
        <f ca="1">CHOOSE(ROUNDUP(P[[#This Row],[Karana1]],0),"Bhava","Baalava","Kaulava","Taitula","Garija","Vanija","Vishti","Shakuni","Chatushapda","Naaga","Kimstugna")</f>
        <v>Garija</v>
      </c>
      <c r="N44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Vishkambha-विष्कम्भ-Sa (0.67)</v>
      </c>
      <c r="O445" s="124">
        <f ca="1">IF(AND(P[[#This Row],[Tithi]]&lt;28.5,P[[#This Row],[Tithi]]&gt;0.49999),MOD((P[[#This Row],[Tithi]]-0.5)*2,7),MOD((P[[#This Row],[Tithi]]+30-28.5),30)*2+7)</f>
        <v>4.126199999999999</v>
      </c>
      <c r="P445" s="124">
        <f ca="1">ROUNDUP(MOD(360+P[[#This Row],[Moon]]-P[[#This Row],[Sun]],360)/12,4)</f>
        <v>6.0630999999999995</v>
      </c>
      <c r="Q445" s="124">
        <f t="shared" ca="1" si="63"/>
        <v>0.67</v>
      </c>
      <c r="R445" s="124" t="str">
        <f ca="1">SIGN(S446-P[[#This Row],[MARs]])*INT(P[[#This Row],[MARs]]/30+1)&amp;"Ma,"&amp;SIGN(T446-P[[#This Row],[Merc]])*INT(P[[#This Row],[Merc]]/30+1)&amp;"Me,"&amp;SIGN(U446-P[[#This Row],[Jup]])*INT(P[[#This Row],[Jup]]/30+1)&amp;"Ju,"&amp;SIGN(V446-P[[#This Row],[Venu]])*INT(P[[#This Row],[Venu]]/30+1)&amp;"Ve,"&amp;SIGN(W446-P[[#This Row],[Sat]])*INT(P[[#This Row],[Sat]]/30+1)&amp;"Sa,"&amp;INT(P[[#This Row],[Rah]]/30+1)&amp;"Ra"</f>
        <v>1Ma,-12Me,8Ju,10Ve,9Sa,3Ra</v>
      </c>
      <c r="S445" s="124">
        <f ca="1">Planet(P[[#This Row],[GMT Sun Rise]],4)</f>
        <v>23.754338283025838</v>
      </c>
      <c r="T445" s="124">
        <f ca="1">Planet(P[[#This Row],[GMT Sun Rise]],2)</f>
        <v>331.94281813887693</v>
      </c>
      <c r="U445" s="124">
        <f ca="1">Planet(P[[#This Row],[GMT Sun Rise]],5)</f>
        <v>238.97126570848687</v>
      </c>
      <c r="V445" s="124">
        <f ca="1">Planet(P[[#This Row],[GMT Sun Rise]],3)</f>
        <v>289.35932405481975</v>
      </c>
      <c r="W445" s="124">
        <f ca="1">Planet(P[[#This Row],[GMT Sun Rise]],6)</f>
        <v>264.57992825053151</v>
      </c>
      <c r="X445" s="124">
        <f ca="1">Planet(P[[#This Row],[GMT Sun Rise]],10)</f>
        <v>89.68509252449482</v>
      </c>
      <c r="Y445" s="124">
        <f ca="1">SIGN(S446-P[[#This Row],[MARs]])</f>
        <v>1</v>
      </c>
    </row>
    <row r="446" spans="1:25" x14ac:dyDescent="0.2">
      <c r="A446" s="125">
        <f t="shared" ca="1" si="64"/>
        <v>43538</v>
      </c>
      <c r="B446" s="125">
        <f t="shared" ca="1" si="57"/>
        <v>43538.229166666664</v>
      </c>
      <c r="C446" s="127">
        <f t="shared" ca="1" si="58"/>
        <v>43538.263283617016</v>
      </c>
      <c r="D446" s="127">
        <f t="shared" ca="1" si="59"/>
        <v>43537.763125082056</v>
      </c>
      <c r="E446" s="189">
        <f ca="1">P[[#This Row],[SunRise]]-TimeZone/24</f>
        <v>43538.034116950352</v>
      </c>
      <c r="F446" s="190">
        <f t="shared" ca="1" si="60"/>
        <v>329.03019216727125</v>
      </c>
      <c r="G446" s="190">
        <f t="shared" ca="1" si="61"/>
        <v>54.028459274955985</v>
      </c>
      <c r="H446" s="191">
        <f t="shared" ca="1" si="62"/>
        <v>43538.034116950352</v>
      </c>
      <c r="I446" s="124" t="str">
        <f ca="1">naks(P[[#This Row],[Moon]])</f>
        <v>Mrigashira</v>
      </c>
      <c r="J446" s="127">
        <f ca="1">(C447-P[[#This Row],[SunRise]])/(G447-P[[#This Row],[Moon]])*(13.3333333333333-MOD(P[[#This Row],[Moon]],13.333333333333))+P[[#This Row],[SunRise]]</f>
        <v>43539.194741567051</v>
      </c>
      <c r="K446" s="124" t="str">
        <f ca="1">IF(P[[#This Row],[Tithi]]&gt;15,"K","S")&amp;ROUNDUP(MOD(P[[#This Row],[Tithi]],15),0)&amp;" ("&amp;ROUND(P[[#This Row],[Tithi]],2)&amp;")"</f>
        <v>S8 (7.08)</v>
      </c>
      <c r="L446" s="124">
        <f ca="1">IF(AND(P[[#This Row],[Tithi]]&lt;28.5,P[[#This Row],[Tithi]]&gt;0.49999),MOD((P[[#This Row],[Tithi]]-0.5)*2,7),MOD((P[[#This Row],[Tithi]]+30-28.5),30)*2+7)</f>
        <v>6.1663999999999994</v>
      </c>
      <c r="M446" s="124" t="str">
        <f ca="1">CHOOSE(ROUNDUP(P[[#This Row],[Karana1]],0),"Bhava","Baalava","Kaulava","Taitula","Garija","Vanija","Vishti","Shakuni","Chatushapda","Naaga","Kimstugna")</f>
        <v>Vishti</v>
      </c>
      <c r="N44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Priti-प्रीति-Me (1.73)</v>
      </c>
      <c r="O446" s="124">
        <f ca="1">IF(AND(P[[#This Row],[Tithi]]&lt;28.5,P[[#This Row],[Tithi]]&gt;0.49999),MOD((P[[#This Row],[Tithi]]-0.5)*2,7),MOD((P[[#This Row],[Tithi]]+30-28.5),30)*2+7)</f>
        <v>6.1663999999999994</v>
      </c>
      <c r="P446" s="124">
        <f ca="1">ROUNDUP(MOD(360+P[[#This Row],[Moon]]-P[[#This Row],[Sun]],360)/12,4)</f>
        <v>7.0831999999999997</v>
      </c>
      <c r="Q446" s="124">
        <f t="shared" ca="1" si="63"/>
        <v>1.73</v>
      </c>
      <c r="R446" s="124" t="str">
        <f ca="1">SIGN(S447-P[[#This Row],[MARs]])*INT(P[[#This Row],[MARs]]/30+1)&amp;"Ma,"&amp;SIGN(T447-P[[#This Row],[Merc]])*INT(P[[#This Row],[Merc]]/30+1)&amp;"Me,"&amp;SIGN(U447-P[[#This Row],[Jup]])*INT(P[[#This Row],[Jup]]/30+1)&amp;"Ju,"&amp;SIGN(V447-P[[#This Row],[Venu]])*INT(P[[#This Row],[Venu]]/30+1)&amp;"Ve,"&amp;SIGN(W447-P[[#This Row],[Sat]])*INT(P[[#This Row],[Sat]]/30+1)&amp;"Sa,"&amp;INT(P[[#This Row],[Rah]]/30+1)&amp;"Ra"</f>
        <v>1Ma,-12Me,8Ju,10Ve,9Sa,3Ra</v>
      </c>
      <c r="S446" s="124">
        <f ca="1">Planet(P[[#This Row],[GMT Sun Rise]],4)</f>
        <v>24.422572501692699</v>
      </c>
      <c r="T446" s="124">
        <f ca="1">Planet(P[[#This Row],[GMT Sun Rise]],2)</f>
        <v>331.04462844851093</v>
      </c>
      <c r="U446" s="124">
        <f ca="1">Planet(P[[#This Row],[GMT Sun Rise]],5)</f>
        <v>239.05539663933394</v>
      </c>
      <c r="V446" s="124">
        <f ca="1">Planet(P[[#This Row],[GMT Sun Rise]],3)</f>
        <v>290.55280331035641</v>
      </c>
      <c r="W446" s="124">
        <f ca="1">Planet(P[[#This Row],[GMT Sun Rise]],6)</f>
        <v>264.65184375921837</v>
      </c>
      <c r="X446" s="124">
        <f ca="1">Planet(P[[#This Row],[GMT Sun Rise]],10)</f>
        <v>89.632124414929251</v>
      </c>
      <c r="Y446" s="124">
        <f ca="1">SIGN(S447-P[[#This Row],[MARs]])</f>
        <v>1</v>
      </c>
    </row>
    <row r="447" spans="1:25" x14ac:dyDescent="0.2">
      <c r="A447" s="125">
        <f t="shared" ca="1" si="64"/>
        <v>43539</v>
      </c>
      <c r="B447" s="125">
        <f t="shared" ca="1" si="57"/>
        <v>43539.229166666664</v>
      </c>
      <c r="C447" s="127">
        <f t="shared" ca="1" si="58"/>
        <v>43539.262829508785</v>
      </c>
      <c r="D447" s="127">
        <f t="shared" ca="1" si="59"/>
        <v>43538.763197561304</v>
      </c>
      <c r="E447" s="189">
        <f ca="1">P[[#This Row],[SunRise]]-TimeZone/24</f>
        <v>43539.033662842121</v>
      </c>
      <c r="F447" s="190">
        <f t="shared" ca="1" si="60"/>
        <v>330.02682548658839</v>
      </c>
      <c r="G447" s="190">
        <f t="shared" ca="1" si="61"/>
        <v>67.590497450922484</v>
      </c>
      <c r="H447" s="191">
        <f t="shared" ca="1" si="62"/>
        <v>43539.033662842121</v>
      </c>
      <c r="I447" s="124" t="str">
        <f ca="1">naks(P[[#This Row],[Moon]])</f>
        <v>Ardra</v>
      </c>
      <c r="J447" s="127">
        <f ca="1">(C448-P[[#This Row],[SunRise]])/(G448-P[[#This Row],[Moon]])*(13.3333333333333-MOD(P[[#This Row],[Moon]],13.333333333333))+P[[#This Row],[SunRise]]</f>
        <v>43540.154173329945</v>
      </c>
      <c r="K447" s="124" t="str">
        <f ca="1">IF(P[[#This Row],[Tithi]]&gt;15,"K","S")&amp;ROUNDUP(MOD(P[[#This Row],[Tithi]],15),0)&amp;" ("&amp;ROUND(P[[#This Row],[Tithi]],2)&amp;")"</f>
        <v>S9 (8.13)</v>
      </c>
      <c r="L447" s="124">
        <f ca="1">IF(AND(P[[#This Row],[Tithi]]&lt;28.5,P[[#This Row],[Tithi]]&gt;0.49999),MOD((P[[#This Row],[Tithi]]-0.5)*2,7),MOD((P[[#This Row],[Tithi]]+30-28.5),30)*2+7)</f>
        <v>1.2607999999999997</v>
      </c>
      <c r="M447" s="124" t="str">
        <f ca="1">CHOOSE(ROUNDUP(P[[#This Row],[Karana1]],0),"Bhava","Baalava","Kaulava","Taitula","Garija","Vanija","Vishti","Shakuni","Chatushapda","Naaga","Kimstugna")</f>
        <v>Baalava</v>
      </c>
      <c r="N44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Ayushman-आयुष्मान-Ke (2.83)</v>
      </c>
      <c r="O447" s="124">
        <f ca="1">IF(AND(P[[#This Row],[Tithi]]&lt;28.5,P[[#This Row],[Tithi]]&gt;0.49999),MOD((P[[#This Row],[Tithi]]-0.5)*2,7),MOD((P[[#This Row],[Tithi]]+30-28.5),30)*2+7)</f>
        <v>1.2607999999999997</v>
      </c>
      <c r="P447" s="124">
        <f ca="1">ROUNDUP(MOD(360+P[[#This Row],[Moon]]-P[[#This Row],[Sun]],360)/12,4)</f>
        <v>8.1303999999999998</v>
      </c>
      <c r="Q447" s="124">
        <f t="shared" ca="1" si="63"/>
        <v>2.8299999999999996</v>
      </c>
      <c r="R447" s="124" t="str">
        <f ca="1">SIGN(S448-P[[#This Row],[MARs]])*INT(P[[#This Row],[MARs]]/30+1)&amp;"Ma,"&amp;SIGN(T448-P[[#This Row],[Merc]])*INT(P[[#This Row],[Merc]]/30+1)&amp;"Me,"&amp;SIGN(U448-P[[#This Row],[Jup]])*INT(P[[#This Row],[Jup]]/30+1)&amp;"Ju,"&amp;SIGN(V448-P[[#This Row],[Venu]])*INT(P[[#This Row],[Venu]]/30+1)&amp;"Ve,"&amp;SIGN(W448-P[[#This Row],[Sat]])*INT(P[[#This Row],[Sat]]/30+1)&amp;"Sa,"&amp;INT(P[[#This Row],[Rah]]/30+1)&amp;"Ra"</f>
        <v>1Ma,-12Me,8Ju,10Ve,9Sa,3Ra</v>
      </c>
      <c r="S447" s="124">
        <f ca="1">Planet(P[[#This Row],[GMT Sun Rise]],4)</f>
        <v>25.090446274304256</v>
      </c>
      <c r="T447" s="124">
        <f ca="1">Planet(P[[#This Row],[GMT Sun Rise]],2)</f>
        <v>330.10631306824854</v>
      </c>
      <c r="U447" s="124">
        <f ca="1">Planet(P[[#This Row],[GMT Sun Rise]],5)</f>
        <v>239.13678453444749</v>
      </c>
      <c r="V447" s="124">
        <f ca="1">Planet(P[[#This Row],[GMT Sun Rise]],3)</f>
        <v>291.74696297068016</v>
      </c>
      <c r="W447" s="124">
        <f ca="1">Planet(P[[#This Row],[GMT Sun Rise]],6)</f>
        <v>264.72248186462497</v>
      </c>
      <c r="X447" s="124">
        <f ca="1">Planet(P[[#This Row],[GMT Sun Rise]],10)</f>
        <v>89.579156482287857</v>
      </c>
      <c r="Y447" s="124">
        <f ca="1">SIGN(S448-P[[#This Row],[MARs]])</f>
        <v>1</v>
      </c>
    </row>
    <row r="448" spans="1:25" x14ac:dyDescent="0.2">
      <c r="A448" s="125">
        <f t="shared" ca="1" si="64"/>
        <v>43540</v>
      </c>
      <c r="B448" s="125">
        <f t="shared" ca="1" si="57"/>
        <v>43540.229166666664</v>
      </c>
      <c r="C448" s="127">
        <f t="shared" ca="1" si="58"/>
        <v>43540.26237206316</v>
      </c>
      <c r="D448" s="127">
        <f t="shared" ca="1" si="59"/>
        <v>43539.763267020739</v>
      </c>
      <c r="E448" s="189">
        <f ca="1">P[[#This Row],[SunRise]]-TimeZone/24</f>
        <v>43540.033205396496</v>
      </c>
      <c r="F448" s="190">
        <f t="shared" ca="1" si="60"/>
        <v>331.02282530209891</v>
      </c>
      <c r="G448" s="190">
        <f t="shared" ca="1" si="61"/>
        <v>81.506368725221577</v>
      </c>
      <c r="H448" s="191">
        <f t="shared" ca="1" si="62"/>
        <v>43540.033205396496</v>
      </c>
      <c r="I448" s="124" t="str">
        <f ca="1">naks(P[[#This Row],[Moon]])</f>
        <v>Punarvasu</v>
      </c>
      <c r="J448" s="127">
        <f ca="1">(C449-P[[#This Row],[SunRise]])/(G449-P[[#This Row],[Moon]])*(13.3333333333333-MOD(P[[#This Row],[Moon]],13.333333333333))+P[[#This Row],[SunRise]]</f>
        <v>43541.09020840039</v>
      </c>
      <c r="K448" s="124" t="str">
        <f ca="1">IF(P[[#This Row],[Tithi]]&gt;15,"K","S")&amp;ROUNDUP(MOD(P[[#This Row],[Tithi]],15),0)&amp;" ("&amp;ROUND(P[[#This Row],[Tithi]],2)&amp;")"</f>
        <v>S10 (9.21)</v>
      </c>
      <c r="L448" s="124">
        <f ca="1">IF(AND(P[[#This Row],[Tithi]]&lt;28.5,P[[#This Row],[Tithi]]&gt;0.49999),MOD((P[[#This Row],[Tithi]]-0.5)*2,7),MOD((P[[#This Row],[Tithi]]+30-28.5),30)*2+7)</f>
        <v>3.4139999999999979</v>
      </c>
      <c r="M448" s="124" t="str">
        <f ca="1">CHOOSE(ROUNDUP(P[[#This Row],[Karana1]],0),"Bhava","Baalava","Kaulava","Taitula","Garija","Vanija","Vishti","Shakuni","Chatushapda","Naaga","Kimstugna")</f>
        <v>Taitula</v>
      </c>
      <c r="N44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Saubhagya-सौभाग्य-Ve (3.94)</v>
      </c>
      <c r="O448" s="124">
        <f ca="1">IF(AND(P[[#This Row],[Tithi]]&lt;28.5,P[[#This Row],[Tithi]]&gt;0.49999),MOD((P[[#This Row],[Tithi]]-0.5)*2,7),MOD((P[[#This Row],[Tithi]]+30-28.5),30)*2+7)</f>
        <v>3.4139999999999979</v>
      </c>
      <c r="P448" s="124">
        <f ca="1">ROUNDUP(MOD(360+P[[#This Row],[Moon]]-P[[#This Row],[Sun]],360)/12,4)</f>
        <v>9.206999999999999</v>
      </c>
      <c r="Q448" s="124">
        <f t="shared" ca="1" si="63"/>
        <v>3.94</v>
      </c>
      <c r="R448" s="124" t="str">
        <f ca="1">SIGN(S449-P[[#This Row],[MARs]])*INT(P[[#This Row],[MARs]]/30+1)&amp;"Ma,"&amp;SIGN(T449-P[[#This Row],[Merc]])*INT(P[[#This Row],[Merc]]/30+1)&amp;"Me,"&amp;SIGN(U449-P[[#This Row],[Jup]])*INT(P[[#This Row],[Jup]]/30+1)&amp;"Ju,"&amp;SIGN(V449-P[[#This Row],[Venu]])*INT(P[[#This Row],[Venu]]/30+1)&amp;"Ve,"&amp;SIGN(W449-P[[#This Row],[Sat]])*INT(P[[#This Row],[Sat]]/30+1)&amp;"Sa,"&amp;INT(P[[#This Row],[Rah]]/30+1)&amp;"Ra"</f>
        <v>1Ma,-11Me,8Ju,10Ve,9Sa,3Ra</v>
      </c>
      <c r="S448" s="124">
        <f ca="1">Planet(P[[#This Row],[GMT Sun Rise]],4)</f>
        <v>25.757947779279775</v>
      </c>
      <c r="T448" s="124">
        <f ca="1">Planet(P[[#This Row],[GMT Sun Rise]],2)</f>
        <v>329.14944728558663</v>
      </c>
      <c r="U448" s="124">
        <f ca="1">Planet(P[[#This Row],[GMT Sun Rise]],5)</f>
        <v>239.21541022129543</v>
      </c>
      <c r="V448" s="124">
        <f ca="1">Planet(P[[#This Row],[GMT Sun Rise]],3)</f>
        <v>292.94178871760647</v>
      </c>
      <c r="W448" s="124">
        <f ca="1">Planet(P[[#This Row],[GMT Sun Rise]],6)</f>
        <v>264.79182993203557</v>
      </c>
      <c r="X448" s="124">
        <f ca="1">Planet(P[[#This Row],[GMT Sun Rise]],10)</f>
        <v>89.526188726487973</v>
      </c>
      <c r="Y448" s="124">
        <f ca="1">SIGN(S449-P[[#This Row],[MARs]])</f>
        <v>1</v>
      </c>
    </row>
    <row r="449" spans="1:25" x14ac:dyDescent="0.2">
      <c r="A449" s="125">
        <f t="shared" ca="1" si="64"/>
        <v>43541</v>
      </c>
      <c r="B449" s="125">
        <f t="shared" ca="1" si="57"/>
        <v>43541.229166666664</v>
      </c>
      <c r="C449" s="127">
        <f t="shared" ca="1" si="58"/>
        <v>43541.261911597256</v>
      </c>
      <c r="D449" s="127">
        <f t="shared" ca="1" si="59"/>
        <v>43540.763333936731</v>
      </c>
      <c r="E449" s="189">
        <f ca="1">P[[#This Row],[SunRise]]-TimeZone/24</f>
        <v>43541.032744930591</v>
      </c>
      <c r="F449" s="190">
        <f t="shared" ca="1" si="60"/>
        <v>332.01819154201809</v>
      </c>
      <c r="G449" s="190">
        <f t="shared" ca="1" si="61"/>
        <v>95.786387809353613</v>
      </c>
      <c r="H449" s="191">
        <f t="shared" ca="1" si="62"/>
        <v>43541.032744930591</v>
      </c>
      <c r="I449" s="124" t="str">
        <f ca="1">naks(P[[#This Row],[Moon]])</f>
        <v>Pushya</v>
      </c>
      <c r="J449" s="127">
        <f ca="1">(C450-P[[#This Row],[SunRise]])/(G450-P[[#This Row],[Moon]])*(13.3333333333333-MOD(P[[#This Row],[Moon]],13.333333333333))+P[[#This Row],[SunRise]]</f>
        <v>43542.00570778922</v>
      </c>
      <c r="K449" s="124" t="str">
        <f ca="1">IF(P[[#This Row],[Tithi]]&gt;15,"K","S")&amp;ROUNDUP(MOD(P[[#This Row],[Tithi]],15),0)&amp;" ("&amp;ROUND(P[[#This Row],[Tithi]],2)&amp;")"</f>
        <v>S11 (10.31)</v>
      </c>
      <c r="L449" s="124">
        <f ca="1">IF(AND(P[[#This Row],[Tithi]]&lt;28.5,P[[#This Row],[Tithi]]&gt;0.49999),MOD((P[[#This Row],[Tithi]]-0.5)*2,7),MOD((P[[#This Row],[Tithi]]+30-28.5),30)*2+7)</f>
        <v>5.6281999999999996</v>
      </c>
      <c r="M449" s="124" t="str">
        <f ca="1">CHOOSE(ROUNDUP(P[[#This Row],[Karana1]],0),"Bhava","Baalava","Kaulava","Taitula","Garija","Vanija","Vishti","Shakuni","Chatushapda","Naaga","Kimstugna")</f>
        <v>Vanija</v>
      </c>
      <c r="N44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Atiganda-अतिगण्ड -Mo (5.09)</v>
      </c>
      <c r="O449" s="124">
        <f ca="1">IF(AND(P[[#This Row],[Tithi]]&lt;28.5,P[[#This Row],[Tithi]]&gt;0.49999),MOD((P[[#This Row],[Tithi]]-0.5)*2,7),MOD((P[[#This Row],[Tithi]]+30-28.5),30)*2+7)</f>
        <v>5.6281999999999996</v>
      </c>
      <c r="P449" s="124">
        <f ca="1">ROUNDUP(MOD(360+P[[#This Row],[Moon]]-P[[#This Row],[Sun]],360)/12,4)</f>
        <v>10.3141</v>
      </c>
      <c r="Q449" s="124">
        <f t="shared" ca="1" si="63"/>
        <v>5.09</v>
      </c>
      <c r="R449" s="124" t="str">
        <f ca="1">SIGN(S450-P[[#This Row],[MARs]])*INT(P[[#This Row],[MARs]]/30+1)&amp;"Ma,"&amp;SIGN(T450-P[[#This Row],[Merc]])*INT(P[[#This Row],[Merc]]/30+1)&amp;"Me,"&amp;SIGN(U450-P[[#This Row],[Jup]])*INT(P[[#This Row],[Jup]]/30+1)&amp;"Ju,"&amp;SIGN(V450-P[[#This Row],[Venu]])*INT(P[[#This Row],[Venu]]/30+1)&amp;"Ve,"&amp;SIGN(W450-P[[#This Row],[Sat]])*INT(P[[#This Row],[Sat]]/30+1)&amp;"Sa,"&amp;INT(P[[#This Row],[Rah]]/30+1)&amp;"Ra"</f>
        <v>1Ma,-11Me,8Ju,10Ve,9Sa,3Ra</v>
      </c>
      <c r="S449" s="124">
        <f ca="1">Planet(P[[#This Row],[GMT Sun Rise]],4)</f>
        <v>26.425066633924217</v>
      </c>
      <c r="T449" s="124">
        <f ca="1">Planet(P[[#This Row],[GMT Sun Rise]],2)</f>
        <v>328.19514298539036</v>
      </c>
      <c r="U449" s="124">
        <f ca="1">Planet(P[[#This Row],[GMT Sun Rise]],5)</f>
        <v>239.2912552892642</v>
      </c>
      <c r="V449" s="124">
        <f ca="1">Planet(P[[#This Row],[GMT Sun Rise]],3)</f>
        <v>294.13727059355898</v>
      </c>
      <c r="W449" s="124">
        <f ca="1">Planet(P[[#This Row],[GMT Sun Rise]],6)</f>
        <v>264.85987590568493</v>
      </c>
      <c r="X449" s="124">
        <f ca="1">Planet(P[[#This Row],[GMT Sun Rise]],10)</f>
        <v>89.47322113072876</v>
      </c>
      <c r="Y449" s="124">
        <f ca="1">SIGN(S450-P[[#This Row],[MARs]])</f>
        <v>1</v>
      </c>
    </row>
    <row r="450" spans="1:25" x14ac:dyDescent="0.2">
      <c r="A450" s="125">
        <f t="shared" ca="1" si="64"/>
        <v>43542</v>
      </c>
      <c r="B450" s="125">
        <f t="shared" ca="1" si="57"/>
        <v>43542.229166666664</v>
      </c>
      <c r="C450" s="127">
        <f t="shared" ca="1" si="58"/>
        <v>43542.261448588375</v>
      </c>
      <c r="D450" s="127">
        <f t="shared" ca="1" si="59"/>
        <v>43541.763398150957</v>
      </c>
      <c r="E450" s="189">
        <f ca="1">P[[#This Row],[SunRise]]-TimeZone/24</f>
        <v>43542.032281921711</v>
      </c>
      <c r="F450" s="190">
        <f t="shared" ca="1" si="60"/>
        <v>333.0129297752037</v>
      </c>
      <c r="G450" s="190">
        <f t="shared" ca="1" si="61"/>
        <v>110.40765275945328</v>
      </c>
      <c r="H450" s="191">
        <f t="shared" ca="1" si="62"/>
        <v>43542.032281921711</v>
      </c>
      <c r="I450" s="124" t="str">
        <f ca="1">naks(P[[#This Row],[Moon]])</f>
        <v>Aslesha</v>
      </c>
      <c r="J450" s="127">
        <f ca="1">(C451-P[[#This Row],[SunRise]])/(G451-P[[#This Row],[Moon]])*(13.3333333333333-MOD(P[[#This Row],[Moon]],13.333333333333))+P[[#This Row],[SunRise]]</f>
        <v>43542.905113236629</v>
      </c>
      <c r="K450" s="124" t="str">
        <f ca="1">IF(P[[#This Row],[Tithi]]&gt;15,"K","S")&amp;ROUNDUP(MOD(P[[#This Row],[Tithi]],15),0)&amp;" ("&amp;ROUND(P[[#This Row],[Tithi]],2)&amp;")"</f>
        <v>S12 (11.45)</v>
      </c>
      <c r="L450" s="124">
        <f ca="1">IF(AND(P[[#This Row],[Tithi]]&lt;28.5,P[[#This Row],[Tithi]]&gt;0.49999),MOD((P[[#This Row],[Tithi]]-0.5)*2,7),MOD((P[[#This Row],[Tithi]]+30-28.5),30)*2+7)</f>
        <v>0.89920000000000044</v>
      </c>
      <c r="M450" s="124" t="str">
        <f ca="1">CHOOSE(ROUNDUP(P[[#This Row],[Karana1]],0),"Bhava","Baalava","Kaulava","Taitula","Garija","Vanija","Vishti","Shakuni","Chatushapda","Naaga","Kimstugna")</f>
        <v>Bhava</v>
      </c>
      <c r="N45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Sukarman-सुकर्मा -Ma (6.26)</v>
      </c>
      <c r="O450" s="124">
        <f ca="1">IF(AND(P[[#This Row],[Tithi]]&lt;28.5,P[[#This Row],[Tithi]]&gt;0.49999),MOD((P[[#This Row],[Tithi]]-0.5)*2,7),MOD((P[[#This Row],[Tithi]]+30-28.5),30)*2+7)</f>
        <v>0.89920000000000044</v>
      </c>
      <c r="P450" s="124">
        <f ca="1">ROUNDUP(MOD(360+P[[#This Row],[Moon]]-P[[#This Row],[Sun]],360)/12,4)</f>
        <v>11.4496</v>
      </c>
      <c r="Q450" s="124">
        <f t="shared" ca="1" si="63"/>
        <v>6.26</v>
      </c>
      <c r="R450" s="124" t="str">
        <f ca="1">SIGN(S451-P[[#This Row],[MARs]])*INT(P[[#This Row],[MARs]]/30+1)&amp;"Ma,"&amp;SIGN(T451-P[[#This Row],[Merc]])*INT(P[[#This Row],[Merc]]/30+1)&amp;"Me,"&amp;SIGN(U451-P[[#This Row],[Jup]])*INT(P[[#This Row],[Jup]]/30+1)&amp;"Ju,"&amp;SIGN(V451-P[[#This Row],[Venu]])*INT(P[[#This Row],[Venu]]/30+1)&amp;"Ve,"&amp;SIGN(W451-P[[#This Row],[Sat]])*INT(P[[#This Row],[Sat]]/30+1)&amp;"Sa,"&amp;INT(P[[#This Row],[Rah]]/30+1)&amp;"Ra"</f>
        <v>1Ma,-11Me,8Ju,10Ve,9Sa,3Ra</v>
      </c>
      <c r="S450" s="124">
        <f ca="1">Planet(P[[#This Row],[GMT Sun Rise]],4)</f>
        <v>27.091794651198018</v>
      </c>
      <c r="T450" s="124">
        <f ca="1">Planet(P[[#This Row],[GMT Sun Rise]],2)</f>
        <v>327.26334061149549</v>
      </c>
      <c r="U450" s="124">
        <f ca="1">Planet(P[[#This Row],[GMT Sun Rise]],5)</f>
        <v>239.36430175381727</v>
      </c>
      <c r="V450" s="124">
        <f ca="1">Planet(P[[#This Row],[GMT Sun Rise]],3)</f>
        <v>295.33340254325429</v>
      </c>
      <c r="W450" s="124">
        <f ca="1">Planet(P[[#This Row],[GMT Sun Rise]],6)</f>
        <v>264.92660818005265</v>
      </c>
      <c r="X450" s="124">
        <f ca="1">Planet(P[[#This Row],[GMT Sun Rise]],10)</f>
        <v>89.420253669742706</v>
      </c>
      <c r="Y450" s="124">
        <f ca="1">SIGN(S451-P[[#This Row],[MARs]])</f>
        <v>1</v>
      </c>
    </row>
    <row r="451" spans="1:25" x14ac:dyDescent="0.2">
      <c r="A451" s="125">
        <f t="shared" ca="1" si="64"/>
        <v>43543</v>
      </c>
      <c r="B451" s="125">
        <f t="shared" ref="B451:B463" ca="1" si="65">A451+TimeZone/24</f>
        <v>43543.229166666664</v>
      </c>
      <c r="C451" s="127">
        <f t="shared" ref="C451:C463" ca="1" si="66">sunrise(Lat,Long,B451)+TimeZone/24+0.00103009259259259</f>
        <v>43543.260983195309</v>
      </c>
      <c r="D451" s="127">
        <f t="shared" ref="D451:D463" ca="1" si="67">sunset(Lat,Long,B451)+TimeZone/24-0.000277777777777778</f>
        <v>43542.763460139788</v>
      </c>
      <c r="E451" s="189">
        <f ca="1">P[[#This Row],[SunRise]]-TimeZone/24</f>
        <v>43543.031816528644</v>
      </c>
      <c r="F451" s="190">
        <f t="shared" ref="F451:F463" ca="1" si="68">Planet(E451,0)</f>
        <v>334.00705095043969</v>
      </c>
      <c r="G451" s="190">
        <f t="shared" ref="G451:G463" ca="1" si="69">Planet(E451,1)</f>
        <v>125.30342659862067</v>
      </c>
      <c r="H451" s="191">
        <f t="shared" ref="H451:H463" ca="1" si="70">E451</f>
        <v>43543.031816528644</v>
      </c>
      <c r="I451" s="124" t="str">
        <f ca="1">naks(P[[#This Row],[Moon]])</f>
        <v>Makha</v>
      </c>
      <c r="J451" s="127">
        <f ca="1">(C452-P[[#This Row],[SunRise]])/(G452-P[[#This Row],[Moon]])*(13.3333333333333-MOD(P[[#This Row],[Moon]],13.333333333333))+P[[#This Row],[SunRise]]</f>
        <v>43543.794039005021</v>
      </c>
      <c r="K451" s="124" t="str">
        <f ca="1">IF(P[[#This Row],[Tithi]]&gt;15,"K","S")&amp;ROUNDUP(MOD(P[[#This Row],[Tithi]],15),0)&amp;" ("&amp;ROUND(P[[#This Row],[Tithi]],2)&amp;")"</f>
        <v>S13 (12.61)</v>
      </c>
      <c r="L451" s="124">
        <f ca="1">IF(AND(P[[#This Row],[Tithi]]&lt;28.5,P[[#This Row],[Tithi]]&gt;0.49999),MOD((P[[#This Row],[Tithi]]-0.5)*2,7),MOD((P[[#This Row],[Tithi]]+30-28.5),30)*2+7)</f>
        <v>3.2162000000000006</v>
      </c>
      <c r="M451" s="124" t="str">
        <f ca="1">CHOOSE(ROUNDUP(P[[#This Row],[Karana1]],0),"Bhava","Baalava","Kaulava","Taitula","Garija","Vanija","Vishti","Shakuni","Chatushapda","Naaga","Kimstugna")</f>
        <v>Taitula</v>
      </c>
      <c r="N45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Dhriti-धृति -Ra (7.45)</v>
      </c>
      <c r="O451" s="124">
        <f ca="1">IF(AND(P[[#This Row],[Tithi]]&lt;28.5,P[[#This Row],[Tithi]]&gt;0.49999),MOD((P[[#This Row],[Tithi]]-0.5)*2,7),MOD((P[[#This Row],[Tithi]]+30-28.5),30)*2+7)</f>
        <v>3.2162000000000006</v>
      </c>
      <c r="P451" s="124">
        <f ca="1">ROUNDUP(MOD(360+P[[#This Row],[Moon]]-P[[#This Row],[Sun]],360)/12,4)</f>
        <v>12.6081</v>
      </c>
      <c r="Q451" s="124">
        <f t="shared" ref="Q451:Q463" ca="1" si="71">ROUNDUP(MOD(F451+G451,360)/13.333333333,2)</f>
        <v>7.45</v>
      </c>
      <c r="R451" s="124" t="str">
        <f ca="1">SIGN(S452-P[[#This Row],[MARs]])*INT(P[[#This Row],[MARs]]/30+1)&amp;"Ma,"&amp;SIGN(T452-P[[#This Row],[Merc]])*INT(P[[#This Row],[Merc]]/30+1)&amp;"Me,"&amp;SIGN(U452-P[[#This Row],[Jup]])*INT(P[[#This Row],[Jup]]/30+1)&amp;"Ju,"&amp;SIGN(V452-P[[#This Row],[Venu]])*INT(P[[#This Row],[Venu]]/30+1)&amp;"Ve,"&amp;SIGN(W452-P[[#This Row],[Sat]])*INT(P[[#This Row],[Sat]]/30+1)&amp;"Sa,"&amp;INT(P[[#This Row],[Rah]]/30+1)&amp;"Ra"</f>
        <v>1Ma,-11Me,8Ju,10Ve,9Sa,3Ra</v>
      </c>
      <c r="S451" s="124">
        <f ca="1">Planet(P[[#This Row],[GMT Sun Rise]],4)</f>
        <v>27.758126392903051</v>
      </c>
      <c r="T451" s="124">
        <f ca="1">Planet(P[[#This Row],[GMT Sun Rise]],2)</f>
        <v>326.37220808971483</v>
      </c>
      <c r="U451" s="124">
        <f ca="1">Planet(P[[#This Row],[GMT Sun Rise]],5)</f>
        <v>239.4345315916338</v>
      </c>
      <c r="V451" s="124">
        <f ca="1">Planet(P[[#This Row],[GMT Sun Rise]],3)</f>
        <v>296.53018098559994</v>
      </c>
      <c r="W451" s="124">
        <f ca="1">Planet(P[[#This Row],[GMT Sun Rise]],6)</f>
        <v>264.99201537844243</v>
      </c>
      <c r="X451" s="124">
        <f ca="1">Planet(P[[#This Row],[GMT Sun Rise]],10)</f>
        <v>89.367286335079953</v>
      </c>
      <c r="Y451" s="124">
        <f ca="1">SIGN(S452-P[[#This Row],[MARs]])</f>
        <v>1</v>
      </c>
    </row>
    <row r="452" spans="1:25" x14ac:dyDescent="0.2">
      <c r="A452" s="125">
        <f t="shared" ca="1" si="64"/>
        <v>43544</v>
      </c>
      <c r="B452" s="125">
        <f t="shared" ca="1" si="65"/>
        <v>43544.229166666664</v>
      </c>
      <c r="C452" s="127">
        <f t="shared" ca="1" si="66"/>
        <v>43544.260515894894</v>
      </c>
      <c r="D452" s="127">
        <f t="shared" ca="1" si="67"/>
        <v>43543.763520062013</v>
      </c>
      <c r="E452" s="189">
        <f ca="1">P[[#This Row],[SunRise]]-TimeZone/24</f>
        <v>43544.031349228229</v>
      </c>
      <c r="F452" s="190">
        <f t="shared" ca="1" si="68"/>
        <v>335.00057138686975</v>
      </c>
      <c r="G452" s="190">
        <f t="shared" ca="1" si="69"/>
        <v>140.36030096292239</v>
      </c>
      <c r="H452" s="191">
        <f t="shared" ca="1" si="70"/>
        <v>43544.031349228229</v>
      </c>
      <c r="I452" s="124" t="str">
        <f ca="1">naks(P[[#This Row],[Moon]])</f>
        <v>Purva Phalguni</v>
      </c>
      <c r="J452" s="127">
        <f ca="1">(C453-P[[#This Row],[SunRise]])/(G453-P[[#This Row],[Moon]])*(13.3333333333333-MOD(P[[#This Row],[Moon]],13.333333333333))+P[[#This Row],[SunRise]]</f>
        <v>43544.678856981278</v>
      </c>
      <c r="K452" s="124" t="str">
        <f ca="1">IF(P[[#This Row],[Tithi]]&gt;15,"K","S")&amp;ROUNDUP(MOD(P[[#This Row],[Tithi]],15),0)&amp;" ("&amp;ROUND(P[[#This Row],[Tithi]],2)&amp;")"</f>
        <v>S14 (13.78)</v>
      </c>
      <c r="L452" s="124">
        <f ca="1">IF(AND(P[[#This Row],[Tithi]]&lt;28.5,P[[#This Row],[Tithi]]&gt;0.49999),MOD((P[[#This Row],[Tithi]]-0.5)*2,7),MOD((P[[#This Row],[Tithi]]+30-28.5),30)*2+7)</f>
        <v>5.5599999999999987</v>
      </c>
      <c r="M452" s="124" t="str">
        <f ca="1">CHOOSE(ROUNDUP(P[[#This Row],[Karana1]],0),"Bhava","Baalava","Kaulava","Taitula","Garija","Vanija","Vishti","Shakuni","Chatushapda","Naaga","Kimstugna")</f>
        <v>Vanija</v>
      </c>
      <c r="N45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Shula-शूल -Ju (8.66)</v>
      </c>
      <c r="O452" s="124">
        <f ca="1">IF(AND(P[[#This Row],[Tithi]]&lt;28.5,P[[#This Row],[Tithi]]&gt;0.49999),MOD((P[[#This Row],[Tithi]]-0.5)*2,7),MOD((P[[#This Row],[Tithi]]+30-28.5),30)*2+7)</f>
        <v>5.5599999999999987</v>
      </c>
      <c r="P452" s="124">
        <f ca="1">ROUNDUP(MOD(360+P[[#This Row],[Moon]]-P[[#This Row],[Sun]],360)/12,4)</f>
        <v>13.78</v>
      </c>
      <c r="Q452" s="124">
        <f t="shared" ca="1" si="71"/>
        <v>8.66</v>
      </c>
      <c r="R452" s="124" t="str">
        <f ca="1">SIGN(S453-P[[#This Row],[MARs]])*INT(P[[#This Row],[MARs]]/30+1)&amp;"Ma,"&amp;SIGN(T453-P[[#This Row],[Merc]])*INT(P[[#This Row],[Merc]]/30+1)&amp;"Me,"&amp;SIGN(U453-P[[#This Row],[Jup]])*INT(P[[#This Row],[Jup]]/30+1)&amp;"Ju,"&amp;SIGN(V453-P[[#This Row],[Venu]])*INT(P[[#This Row],[Venu]]/30+1)&amp;"Ve,"&amp;SIGN(W453-P[[#This Row],[Sat]])*INT(P[[#This Row],[Sat]]/30+1)&amp;"Sa,"&amp;INT(P[[#This Row],[Rah]]/30+1)&amp;"Ra"</f>
        <v>1Ma,-11Me,8Ju,10Ve,9Sa,3Ra</v>
      </c>
      <c r="S452" s="124">
        <f ca="1">Planet(P[[#This Row],[GMT Sun Rise]],4)</f>
        <v>28.424060218724282</v>
      </c>
      <c r="T452" s="124">
        <f ca="1">Planet(P[[#This Row],[GMT Sun Rise]],2)</f>
        <v>325.53768653587548</v>
      </c>
      <c r="U452" s="124">
        <f ca="1">Planet(P[[#This Row],[GMT Sun Rise]],5)</f>
        <v>239.50192633564953</v>
      </c>
      <c r="V452" s="124">
        <f ca="1">Planet(P[[#This Row],[GMT Sun Rise]],3)</f>
        <v>297.72760413849358</v>
      </c>
      <c r="W452" s="124">
        <f ca="1">Planet(P[[#This Row],[GMT Sun Rise]],6)</f>
        <v>265.05608615053399</v>
      </c>
      <c r="X452" s="124">
        <f ca="1">Planet(P[[#This Row],[GMT Sun Rise]],10)</f>
        <v>89.314319101539084</v>
      </c>
      <c r="Y452" s="124">
        <f ca="1">SIGN(S453-P[[#This Row],[MARs]])</f>
        <v>1</v>
      </c>
    </row>
    <row r="453" spans="1:25" x14ac:dyDescent="0.2">
      <c r="A453" s="125">
        <f t="shared" ca="1" si="64"/>
        <v>43545</v>
      </c>
      <c r="B453" s="125">
        <f t="shared" ca="1" si="65"/>
        <v>43545.229166666664</v>
      </c>
      <c r="C453" s="127">
        <f t="shared" ca="1" si="66"/>
        <v>43545.260046846386</v>
      </c>
      <c r="D453" s="127">
        <f t="shared" ca="1" si="67"/>
        <v>43544.763578077356</v>
      </c>
      <c r="E453" s="189">
        <f ca="1">P[[#This Row],[SunRise]]-TimeZone/24</f>
        <v>43545.030880179722</v>
      </c>
      <c r="F453" s="190">
        <f t="shared" ca="1" si="68"/>
        <v>335.99351063314424</v>
      </c>
      <c r="G453" s="190">
        <f t="shared" ca="1" si="69"/>
        <v>155.42792859388797</v>
      </c>
      <c r="H453" s="191">
        <f t="shared" ca="1" si="70"/>
        <v>43545.030880179722</v>
      </c>
      <c r="I453" s="124" t="str">
        <f ca="1">naks(P[[#This Row],[Moon]])</f>
        <v>Uttara Phalguni</v>
      </c>
      <c r="J453" s="127">
        <f ca="1">(C454-P[[#This Row],[SunRise]])/(G454-P[[#This Row],[Moon]])*(13.3333333333333-MOD(P[[#This Row],[Moon]],13.333333333333))+P[[#This Row],[SunRise]]</f>
        <v>43545.56647550418</v>
      </c>
      <c r="K453" s="124" t="str">
        <f ca="1">IF(P[[#This Row],[Tithi]]&gt;15,"K","S")&amp;ROUNDUP(MOD(P[[#This Row],[Tithi]],15),0)&amp;" ("&amp;ROUND(P[[#This Row],[Tithi]],2)&amp;")"</f>
        <v>S15 (14.95)</v>
      </c>
      <c r="L453" s="124">
        <f ca="1">IF(AND(P[[#This Row],[Tithi]]&lt;28.5,P[[#This Row],[Tithi]]&gt;0.49999),MOD((P[[#This Row],[Tithi]]-0.5)*2,7),MOD((P[[#This Row],[Tithi]]+30-28.5),30)*2+7)</f>
        <v>0.90579999999999927</v>
      </c>
      <c r="M453" s="124" t="str">
        <f ca="1">CHOOSE(ROUNDUP(P[[#This Row],[Karana1]],0),"Bhava","Baalava","Kaulava","Taitula","Garija","Vanija","Vishti","Shakuni","Chatushapda","Naaga","Kimstugna")</f>
        <v>Bhava</v>
      </c>
      <c r="N45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Ganda-गण्ड -Sa (9.86)</v>
      </c>
      <c r="O453" s="124">
        <f ca="1">IF(AND(P[[#This Row],[Tithi]]&lt;28.5,P[[#This Row],[Tithi]]&gt;0.49999),MOD((P[[#This Row],[Tithi]]-0.5)*2,7),MOD((P[[#This Row],[Tithi]]+30-28.5),30)*2+7)</f>
        <v>0.90579999999999927</v>
      </c>
      <c r="P453" s="124">
        <f ca="1">ROUNDUP(MOD(360+P[[#This Row],[Moon]]-P[[#This Row],[Sun]],360)/12,4)</f>
        <v>14.9529</v>
      </c>
      <c r="Q453" s="124">
        <f t="shared" ca="1" si="71"/>
        <v>9.86</v>
      </c>
      <c r="R453" s="124" t="str">
        <f ca="1">SIGN(S454-P[[#This Row],[MARs]])*INT(P[[#This Row],[MARs]]/30+1)&amp;"Ma,"&amp;SIGN(T454-P[[#This Row],[Merc]])*INT(P[[#This Row],[Merc]]/30+1)&amp;"Me,"&amp;SIGN(U454-P[[#This Row],[Jup]])*INT(P[[#This Row],[Jup]]/30+1)&amp;"Ju,"&amp;SIGN(V454-P[[#This Row],[Venu]])*INT(P[[#This Row],[Venu]]/30+1)&amp;"Ve,"&amp;SIGN(W454-P[[#This Row],[Sat]])*INT(P[[#This Row],[Sat]]/30+1)&amp;"Sa,"&amp;INT(P[[#This Row],[Rah]]/30+1)&amp;"Ra"</f>
        <v>1Ma,-11Me,8Ju,10Ve,9Sa,3Ra</v>
      </c>
      <c r="S453" s="124">
        <f ca="1">Planet(P[[#This Row],[GMT Sun Rise]],4)</f>
        <v>29.089598025072249</v>
      </c>
      <c r="T453" s="124">
        <f ca="1">Planet(P[[#This Row],[GMT Sun Rise]],2)</f>
        <v>324.773205712736</v>
      </c>
      <c r="U453" s="124">
        <f ca="1">Planet(P[[#This Row],[GMT Sun Rise]],5)</f>
        <v>239.5664666742465</v>
      </c>
      <c r="V453" s="124">
        <f ca="1">Planet(P[[#This Row],[GMT Sun Rise]],3)</f>
        <v>298.92566950472536</v>
      </c>
      <c r="W453" s="124">
        <f ca="1">Planet(P[[#This Row],[GMT Sun Rise]],6)</f>
        <v>265.11880888222578</v>
      </c>
      <c r="X453" s="124">
        <f ca="1">Planet(P[[#This Row],[GMT Sun Rise]],10)</f>
        <v>89.261351960603903</v>
      </c>
      <c r="Y453" s="124">
        <f ca="1">SIGN(S454-P[[#This Row],[MARs]])</f>
        <v>1</v>
      </c>
    </row>
    <row r="454" spans="1:25" x14ac:dyDescent="0.2">
      <c r="A454" s="125">
        <f t="shared" ca="1" si="64"/>
        <v>43546</v>
      </c>
      <c r="B454" s="125">
        <f t="shared" ca="1" si="65"/>
        <v>43546.229166666664</v>
      </c>
      <c r="C454" s="127">
        <f t="shared" ca="1" si="66"/>
        <v>43546.259576525692</v>
      </c>
      <c r="D454" s="127">
        <f t="shared" ca="1" si="67"/>
        <v>43545.763634662188</v>
      </c>
      <c r="E454" s="189">
        <f ca="1">P[[#This Row],[SunRise]]-TimeZone/24</f>
        <v>43546.030409859028</v>
      </c>
      <c r="F454" s="190">
        <f t="shared" ca="1" si="68"/>
        <v>336.98589000284738</v>
      </c>
      <c r="G454" s="190">
        <f t="shared" ca="1" si="69"/>
        <v>170.34141971206162</v>
      </c>
      <c r="H454" s="191">
        <f t="shared" ca="1" si="70"/>
        <v>43546.030409859028</v>
      </c>
      <c r="I454" s="124" t="str">
        <f ca="1">naks(P[[#This Row],[Moon]])</f>
        <v>Hasta</v>
      </c>
      <c r="J454" s="127">
        <f ca="1">(C455-P[[#This Row],[SunRise]])/(G455-P[[#This Row],[Moon]])*(13.3333333333333-MOD(P[[#This Row],[Moon]],13.333333333333))+P[[#This Row],[SunRise]]</f>
        <v>43546.464285488109</v>
      </c>
      <c r="K454" s="124" t="str">
        <f ca="1">IF(P[[#This Row],[Tithi]]&gt;15,"K","S")&amp;ROUNDUP(MOD(P[[#This Row],[Tithi]],15),0)&amp;" ("&amp;ROUND(P[[#This Row],[Tithi]],2)&amp;")"</f>
        <v>K2 (16.11)</v>
      </c>
      <c r="L454" s="124">
        <f ca="1">IF(AND(P[[#This Row],[Tithi]]&lt;28.5,P[[#This Row],[Tithi]]&gt;0.49999),MOD((P[[#This Row],[Tithi]]-0.5)*2,7),MOD((P[[#This Row],[Tithi]]+30-28.5),30)*2+7)</f>
        <v>3.2259999999999991</v>
      </c>
      <c r="M454" s="124" t="str">
        <f ca="1">CHOOSE(ROUNDUP(P[[#This Row],[Karana1]],0),"Bhava","Baalava","Kaulava","Taitula","Garija","Vanija","Vishti","Shakuni","Chatushapda","Naaga","Kimstugna")</f>
        <v>Taitula</v>
      </c>
      <c r="N454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Dhruva-ध्रुव -Ke (11.05)</v>
      </c>
      <c r="O454" s="124">
        <f ca="1">IF(AND(P[[#This Row],[Tithi]]&lt;28.5,P[[#This Row],[Tithi]]&gt;0.49999),MOD((P[[#This Row],[Tithi]]-0.5)*2,7),MOD((P[[#This Row],[Tithi]]+30-28.5),30)*2+7)</f>
        <v>3.2259999999999991</v>
      </c>
      <c r="P454" s="124">
        <f ca="1">ROUNDUP(MOD(360+P[[#This Row],[Moon]]-P[[#This Row],[Sun]],360)/12,4)</f>
        <v>16.113</v>
      </c>
      <c r="Q454" s="124">
        <f t="shared" ca="1" si="71"/>
        <v>11.049999999999999</v>
      </c>
      <c r="R454" s="124" t="str">
        <f ca="1">SIGN(S455-P[[#This Row],[MARs]])*INT(P[[#This Row],[MARs]]/30+1)&amp;"Ma,"&amp;SIGN(T455-P[[#This Row],[Merc]])*INT(P[[#This Row],[Merc]]/30+1)&amp;"Me,"&amp;SIGN(U455-P[[#This Row],[Jup]])*INT(P[[#This Row],[Jup]]/30+1)&amp;"Ju,"&amp;SIGN(V455-P[[#This Row],[Venu]])*INT(P[[#This Row],[Venu]]/30+1)&amp;"Ve,"&amp;SIGN(W455-P[[#This Row],[Sat]])*INT(P[[#This Row],[Sat]]/30+1)&amp;"Sa,"&amp;INT(P[[#This Row],[Rah]]/30+1)&amp;"Ra"</f>
        <v>1Ma,-11Me,8Ju,11Ve,9Sa,3Ra</v>
      </c>
      <c r="S454" s="124">
        <f ca="1">Planet(P[[#This Row],[GMT Sun Rise]],4)</f>
        <v>29.754745274674605</v>
      </c>
      <c r="T454" s="124">
        <f ca="1">Planet(P[[#This Row],[GMT Sun Rise]],2)</f>
        <v>324.08956701890475</v>
      </c>
      <c r="U454" s="124">
        <f ca="1">Planet(P[[#This Row],[GMT Sun Rise]],5)</f>
        <v>239.62813233410319</v>
      </c>
      <c r="V454" s="124">
        <f ca="1">Planet(P[[#This Row],[GMT Sun Rise]],3)</f>
        <v>300.12437294561482</v>
      </c>
      <c r="W454" s="124">
        <f ca="1">Planet(P[[#This Row],[GMT Sun Rise]],6)</f>
        <v>265.18017155245661</v>
      </c>
      <c r="X454" s="124">
        <f ca="1">Planet(P[[#This Row],[GMT Sun Rise]],10)</f>
        <v>89.208384887106462</v>
      </c>
      <c r="Y454" s="124">
        <f ca="1">SIGN(S455-P[[#This Row],[MARs]])</f>
        <v>1</v>
      </c>
    </row>
    <row r="455" spans="1:25" x14ac:dyDescent="0.2">
      <c r="A455" s="125">
        <f t="shared" ca="1" si="64"/>
        <v>43547</v>
      </c>
      <c r="B455" s="125">
        <f t="shared" ca="1" si="65"/>
        <v>43547.229166666664</v>
      </c>
      <c r="C455" s="127">
        <f t="shared" ca="1" si="66"/>
        <v>43547.259105092999</v>
      </c>
      <c r="D455" s="127">
        <f t="shared" ca="1" si="67"/>
        <v>43546.763689975298</v>
      </c>
      <c r="E455" s="189">
        <f ca="1">P[[#This Row],[SunRise]]-TimeZone/24</f>
        <v>43547.029938426334</v>
      </c>
      <c r="F455" s="190">
        <f t="shared" ca="1" si="68"/>
        <v>337.97772976429644</v>
      </c>
      <c r="G455" s="190">
        <f t="shared" ca="1" si="69"/>
        <v>184.94997959178906</v>
      </c>
      <c r="H455" s="191">
        <f t="shared" ca="1" si="70"/>
        <v>43547.029938426334</v>
      </c>
      <c r="I455" s="124" t="str">
        <f ca="1">naks(P[[#This Row],[Moon]])</f>
        <v>Chitra</v>
      </c>
      <c r="J455" s="127">
        <f ca="1">(C456-P[[#This Row],[SunRise]])/(G456-P[[#This Row],[Moon]])*(13.3333333333333-MOD(P[[#This Row],[Moon]],13.333333333333))+P[[#This Row],[SunRise]]</f>
        <v>43547.380010314417</v>
      </c>
      <c r="K455" s="124" t="str">
        <f ca="1">IF(P[[#This Row],[Tithi]]&gt;15,"K","S")&amp;ROUNDUP(MOD(P[[#This Row],[Tithi]],15),0)&amp;" ("&amp;ROUND(P[[#This Row],[Tithi]],2)&amp;")"</f>
        <v>K3 (17.25)</v>
      </c>
      <c r="L455" s="124">
        <f ca="1">IF(AND(P[[#This Row],[Tithi]]&lt;28.5,P[[#This Row],[Tithi]]&gt;0.49999),MOD((P[[#This Row],[Tithi]]-0.5)*2,7),MOD((P[[#This Row],[Tithi]]+30-28.5),30)*2+7)</f>
        <v>5.4953999999999965</v>
      </c>
      <c r="M455" s="124" t="str">
        <f ca="1">CHOOSE(ROUNDUP(P[[#This Row],[Karana1]],0),"Bhava","Baalava","Kaulava","Taitula","Garija","Vanija","Vishti","Shakuni","Chatushapda","Naaga","Kimstugna")</f>
        <v>Vanija</v>
      </c>
      <c r="N455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Vyaghata-व्याघात-ve (12.22)</v>
      </c>
      <c r="O455" s="124">
        <f ca="1">IF(AND(P[[#This Row],[Tithi]]&lt;28.5,P[[#This Row],[Tithi]]&gt;0.49999),MOD((P[[#This Row],[Tithi]]-0.5)*2,7),MOD((P[[#This Row],[Tithi]]+30-28.5),30)*2+7)</f>
        <v>5.4953999999999965</v>
      </c>
      <c r="P455" s="124">
        <f ca="1">ROUNDUP(MOD(360+P[[#This Row],[Moon]]-P[[#This Row],[Sun]],360)/12,4)</f>
        <v>17.247699999999998</v>
      </c>
      <c r="Q455" s="124">
        <f t="shared" ca="1" si="71"/>
        <v>12.22</v>
      </c>
      <c r="R455" s="124" t="str">
        <f ca="1">SIGN(S456-P[[#This Row],[MARs]])*INT(P[[#This Row],[MARs]]/30+1)&amp;"Ma,"&amp;SIGN(T456-P[[#This Row],[Merc]])*INT(P[[#This Row],[Merc]]/30+1)&amp;"Me,"&amp;SIGN(U456-P[[#This Row],[Jup]])*INT(P[[#This Row],[Jup]]/30+1)&amp;"Ju,"&amp;SIGN(V456-P[[#This Row],[Venu]])*INT(P[[#This Row],[Venu]]/30+1)&amp;"Ve,"&amp;SIGN(W456-P[[#This Row],[Sat]])*INT(P[[#This Row],[Sat]]/30+1)&amp;"Sa,"&amp;INT(P[[#This Row],[Rah]]/30+1)&amp;"Ra"</f>
        <v>2Ma,-11Me,8Ju,11Ve,9Sa,3Ra</v>
      </c>
      <c r="S455" s="124">
        <f ca="1">Planet(P[[#This Row],[GMT Sun Rise]],4)</f>
        <v>30.419509731130304</v>
      </c>
      <c r="T455" s="124">
        <f ca="1">Planet(P[[#This Row],[GMT Sun Rise]],2)</f>
        <v>323.49497854223279</v>
      </c>
      <c r="U455" s="124">
        <f ca="1">Planet(P[[#This Row],[GMT Sun Rise]],5)</f>
        <v>239.68690211597581</v>
      </c>
      <c r="V455" s="124">
        <f ca="1">Planet(P[[#This Row],[GMT Sun Rise]],3)</f>
        <v>301.32370670343249</v>
      </c>
      <c r="W455" s="124">
        <f ca="1">Planet(P[[#This Row],[GMT Sun Rise]],6)</f>
        <v>265.2401616103794</v>
      </c>
      <c r="X455" s="124">
        <f ca="1">Planet(P[[#This Row],[GMT Sun Rise]],10)</f>
        <v>89.155417872530293</v>
      </c>
      <c r="Y455" s="124">
        <f ca="1">SIGN(S456-P[[#This Row],[MARs]])</f>
        <v>1</v>
      </c>
    </row>
    <row r="456" spans="1:25" x14ac:dyDescent="0.2">
      <c r="A456" s="125">
        <f t="shared" ca="1" si="64"/>
        <v>43548</v>
      </c>
      <c r="B456" s="125">
        <f t="shared" ca="1" si="65"/>
        <v>43548.229166666664</v>
      </c>
      <c r="C456" s="127">
        <f t="shared" ca="1" si="66"/>
        <v>43548.258633024212</v>
      </c>
      <c r="D456" s="127">
        <f t="shared" ca="1" si="67"/>
        <v>43547.763744175478</v>
      </c>
      <c r="E456" s="189">
        <f ca="1">P[[#This Row],[SunRise]]-TimeZone/24</f>
        <v>43548.029466357548</v>
      </c>
      <c r="F456" s="190">
        <f t="shared" ca="1" si="68"/>
        <v>338.96904796047727</v>
      </c>
      <c r="G456" s="190">
        <f t="shared" ca="1" si="69"/>
        <v>199.14189504738673</v>
      </c>
      <c r="H456" s="191">
        <f t="shared" ca="1" si="70"/>
        <v>43548.029466357548</v>
      </c>
      <c r="I456" s="124" t="str">
        <f ca="1">naks(P[[#This Row],[Moon]])</f>
        <v>Swati</v>
      </c>
      <c r="J456" s="127">
        <f ca="1">(C457-P[[#This Row],[SunRise]])/(G457-P[[#This Row],[Moon]])*(13.3333333333333-MOD(P[[#This Row],[Moon]],13.333333333333))+P[[#This Row],[SunRise]]</f>
        <v>43548.321165270696</v>
      </c>
      <c r="K456" s="124" t="str">
        <f ca="1">IF(P[[#This Row],[Tithi]]&gt;15,"K","S")&amp;ROUNDUP(MOD(P[[#This Row],[Tithi]],15),0)&amp;" ("&amp;ROUND(P[[#This Row],[Tithi]],2)&amp;")"</f>
        <v>K4 (18.35)</v>
      </c>
      <c r="L456" s="124">
        <f ca="1">IF(AND(P[[#This Row],[Tithi]]&lt;28.5,P[[#This Row],[Tithi]]&gt;0.49999),MOD((P[[#This Row],[Tithi]]-0.5)*2,7),MOD((P[[#This Row],[Tithi]]+30-28.5),30)*2+7)</f>
        <v>0.69559999999999889</v>
      </c>
      <c r="M456" s="124" t="str">
        <f ca="1">CHOOSE(ROUNDUP(P[[#This Row],[Karana1]],0),"Bhava","Baalava","Kaulava","Taitula","Garija","Vanija","Vishti","Shakuni","Chatushapda","Naaga","Kimstugna")</f>
        <v>Bhava</v>
      </c>
      <c r="N456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Harshana-हर्षण-su (13.36)</v>
      </c>
      <c r="O456" s="124">
        <f ca="1">IF(AND(P[[#This Row],[Tithi]]&lt;28.5,P[[#This Row],[Tithi]]&gt;0.49999),MOD((P[[#This Row],[Tithi]]-0.5)*2,7),MOD((P[[#This Row],[Tithi]]+30-28.5),30)*2+7)</f>
        <v>0.69559999999999889</v>
      </c>
      <c r="P456" s="124">
        <f ca="1">ROUNDUP(MOD(360+P[[#This Row],[Moon]]-P[[#This Row],[Sun]],360)/12,4)</f>
        <v>18.347799999999999</v>
      </c>
      <c r="Q456" s="124">
        <f t="shared" ca="1" si="71"/>
        <v>13.36</v>
      </c>
      <c r="R456" s="124" t="str">
        <f ca="1">SIGN(S457-P[[#This Row],[MARs]])*INT(P[[#This Row],[MARs]]/30+1)&amp;"Ma,"&amp;SIGN(T457-P[[#This Row],[Merc]])*INT(P[[#This Row],[Merc]]/30+1)&amp;"Me,"&amp;SIGN(U457-P[[#This Row],[Jup]])*INT(P[[#This Row],[Jup]]/30+1)&amp;"Ju,"&amp;SIGN(V457-P[[#This Row],[Venu]])*INT(P[[#This Row],[Venu]]/30+1)&amp;"Ve,"&amp;SIGN(W457-P[[#This Row],[Sat]])*INT(P[[#This Row],[Sat]]/30+1)&amp;"Sa,"&amp;INT(P[[#This Row],[Rah]]/30+1)&amp;"Ra"</f>
        <v>2Ma,-11Me,8Ju,11Ve,9Sa,3Ra</v>
      </c>
      <c r="S456" s="124">
        <f ca="1">Planet(P[[#This Row],[GMT Sun Rise]],4)</f>
        <v>31.083900797723025</v>
      </c>
      <c r="T456" s="124">
        <f ca="1">Planet(P[[#This Row],[GMT Sun Rise]],2)</f>
        <v>322.99521070788222</v>
      </c>
      <c r="U456" s="124">
        <f ca="1">Planet(P[[#This Row],[GMT Sun Rise]],5)</f>
        <v>239.742754211864</v>
      </c>
      <c r="V456" s="124">
        <f ca="1">Planet(P[[#This Row],[GMT Sun Rise]],3)</f>
        <v>302.52365960546183</v>
      </c>
      <c r="W456" s="124">
        <f ca="1">Planet(P[[#This Row],[GMT Sun Rise]],6)</f>
        <v>265.29876604037486</v>
      </c>
      <c r="X456" s="124">
        <f ca="1">Planet(P[[#This Row],[GMT Sun Rise]],10)</f>
        <v>89.102450891641041</v>
      </c>
      <c r="Y456" s="124">
        <f ca="1">SIGN(S457-P[[#This Row],[MARs]])</f>
        <v>1</v>
      </c>
    </row>
    <row r="457" spans="1:25" x14ac:dyDescent="0.2">
      <c r="A457" s="125">
        <f t="shared" ca="1" si="64"/>
        <v>43549</v>
      </c>
      <c r="B457" s="125">
        <f t="shared" ca="1" si="65"/>
        <v>43549.229166666664</v>
      </c>
      <c r="C457" s="127">
        <f t="shared" ca="1" si="66"/>
        <v>43549.258160478588</v>
      </c>
      <c r="D457" s="127">
        <f t="shared" ca="1" si="67"/>
        <v>43548.763797422449</v>
      </c>
      <c r="E457" s="189">
        <f ca="1">P[[#This Row],[SunRise]]-TimeZone/24</f>
        <v>43549.028993811924</v>
      </c>
      <c r="F457" s="190">
        <f t="shared" ca="1" si="68"/>
        <v>339.95985863669733</v>
      </c>
      <c r="G457" s="190">
        <f t="shared" ca="1" si="69"/>
        <v>212.85800964512677</v>
      </c>
      <c r="H457" s="191">
        <f t="shared" ca="1" si="70"/>
        <v>43549.028993811924</v>
      </c>
      <c r="I457" s="124" t="str">
        <f ca="1">naks(P[[#This Row],[Moon]])</f>
        <v>Visakha</v>
      </c>
      <c r="J457" s="127">
        <f ca="1">(C458-P[[#This Row],[SunRise]])/(G458-P[[#This Row],[Moon]])*(13.3333333333333-MOD(P[[#This Row],[Moon]],13.333333333333))+P[[#This Row],[SunRise]]</f>
        <v>43549.294060524102</v>
      </c>
      <c r="K457" s="124" t="str">
        <f ca="1">IF(P[[#This Row],[Tithi]]&gt;15,"K","S")&amp;ROUNDUP(MOD(P[[#This Row],[Tithi]],15),0)&amp;" ("&amp;ROUND(P[[#This Row],[Tithi]],2)&amp;")"</f>
        <v>K5 (19.41)</v>
      </c>
      <c r="L457" s="124">
        <f ca="1">IF(AND(P[[#This Row],[Tithi]]&lt;28.5,P[[#This Row],[Tithi]]&gt;0.49999),MOD((P[[#This Row],[Tithi]]-0.5)*2,7),MOD((P[[#This Row],[Tithi]]+30-28.5),30)*2+7)</f>
        <v>2.8164000000000016</v>
      </c>
      <c r="M457" s="124" t="str">
        <f ca="1">CHOOSE(ROUNDUP(P[[#This Row],[Karana1]],0),"Bhava","Baalava","Kaulava","Taitula","Garija","Vanija","Vishti","Shakuni","Chatushapda","Naaga","Kimstugna")</f>
        <v>Kaulava</v>
      </c>
      <c r="N457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Vajra-वज्र-Mo (14.47)</v>
      </c>
      <c r="O457" s="124">
        <f ca="1">IF(AND(P[[#This Row],[Tithi]]&lt;28.5,P[[#This Row],[Tithi]]&gt;0.49999),MOD((P[[#This Row],[Tithi]]-0.5)*2,7),MOD((P[[#This Row],[Tithi]]+30-28.5),30)*2+7)</f>
        <v>2.8164000000000016</v>
      </c>
      <c r="P457" s="124">
        <f ca="1">ROUNDUP(MOD(360+P[[#This Row],[Moon]]-P[[#This Row],[Sun]],360)/12,4)</f>
        <v>19.408200000000001</v>
      </c>
      <c r="Q457" s="124">
        <f t="shared" ca="1" si="71"/>
        <v>14.47</v>
      </c>
      <c r="R457" s="124" t="str">
        <f ca="1">SIGN(S458-P[[#This Row],[MARs]])*INT(P[[#This Row],[MARs]]/30+1)&amp;"Ma,"&amp;SIGN(T458-P[[#This Row],[Merc]])*INT(P[[#This Row],[Merc]]/30+1)&amp;"Me,"&amp;SIGN(U458-P[[#This Row],[Jup]])*INT(P[[#This Row],[Jup]]/30+1)&amp;"Ju,"&amp;SIGN(V458-P[[#This Row],[Venu]])*INT(P[[#This Row],[Venu]]/30+1)&amp;"Ve,"&amp;SIGN(W458-P[[#This Row],[Sat]])*INT(P[[#This Row],[Sat]]/30+1)&amp;"Sa,"&amp;INT(P[[#This Row],[Rah]]/30+1)&amp;"Ra"</f>
        <v>2Ma,-11Me,8Ju,11Ve,9Sa,3Ra</v>
      </c>
      <c r="S457" s="124">
        <f ca="1">Planet(P[[#This Row],[GMT Sun Rise]],4)</f>
        <v>31.747928030351993</v>
      </c>
      <c r="T457" s="124">
        <f ca="1">Planet(P[[#This Row],[GMT Sun Rise]],2)</f>
        <v>322.59383895792905</v>
      </c>
      <c r="U457" s="124">
        <f ca="1">Planet(P[[#This Row],[GMT Sun Rise]],5)</f>
        <v>239.79566656674228</v>
      </c>
      <c r="V457" s="124">
        <f ca="1">Planet(P[[#This Row],[GMT Sun Rise]],3)</f>
        <v>303.72421640858914</v>
      </c>
      <c r="W457" s="124">
        <f ca="1">Planet(P[[#This Row],[GMT Sun Rise]],6)</f>
        <v>265.3559714420058</v>
      </c>
      <c r="X457" s="124">
        <f ca="1">Planet(P[[#This Row],[GMT Sun Rise]],10)</f>
        <v>89.049483936055012</v>
      </c>
      <c r="Y457" s="124">
        <f ca="1">SIGN(S458-P[[#This Row],[MARs]])</f>
        <v>1</v>
      </c>
    </row>
    <row r="458" spans="1:25" x14ac:dyDescent="0.2">
      <c r="A458" s="125">
        <f t="shared" ca="1" si="64"/>
        <v>43550</v>
      </c>
      <c r="B458" s="125">
        <f t="shared" ca="1" si="65"/>
        <v>43550.229166666664</v>
      </c>
      <c r="C458" s="127">
        <f t="shared" ca="1" si="66"/>
        <v>43550.257687932964</v>
      </c>
      <c r="D458" s="127">
        <f t="shared" ca="1" si="67"/>
        <v>43549.763850351374</v>
      </c>
      <c r="E458" s="189">
        <f ca="1">P[[#This Row],[SunRise]]-TimeZone/24</f>
        <v>43550.0285212663</v>
      </c>
      <c r="F458" s="190">
        <f t="shared" ca="1" si="68"/>
        <v>340.95017203683722</v>
      </c>
      <c r="G458" s="190">
        <f t="shared" ca="1" si="69"/>
        <v>226.0919504178753</v>
      </c>
      <c r="H458" s="191">
        <f t="shared" ca="1" si="70"/>
        <v>43550.0285212663</v>
      </c>
      <c r="I458" s="124" t="str">
        <f ca="1">naks(P[[#This Row],[Moon]])</f>
        <v>Anuradha</v>
      </c>
      <c r="J458" s="127">
        <f ca="1">(C459-P[[#This Row],[SunRise]])/(G459-P[[#This Row],[Moon]])*(13.3333333333333-MOD(P[[#This Row],[Moon]],13.333333333333))+P[[#This Row],[SunRise]]</f>
        <v>43550.302605518169</v>
      </c>
      <c r="K458" s="124" t="str">
        <f ca="1">IF(P[[#This Row],[Tithi]]&gt;15,"K","S")&amp;ROUNDUP(MOD(P[[#This Row],[Tithi]],15),0)&amp;" ("&amp;ROUND(P[[#This Row],[Tithi]],2)&amp;")"</f>
        <v>K6 (20.43)</v>
      </c>
      <c r="L458" s="124">
        <f ca="1">IF(AND(P[[#This Row],[Tithi]]&lt;28.5,P[[#This Row],[Tithi]]&gt;0.49999),MOD((P[[#This Row],[Tithi]]-0.5)*2,7),MOD((P[[#This Row],[Tithi]]+30-28.5),30)*2+7)</f>
        <v>4.8569999999999993</v>
      </c>
      <c r="M458" s="124" t="str">
        <f ca="1">CHOOSE(ROUNDUP(P[[#This Row],[Karana1]],0),"Bhava","Baalava","Kaulava","Taitula","Garija","Vanija","Vishti","Shakuni","Chatushapda","Naaga","Kimstugna")</f>
        <v>Garija</v>
      </c>
      <c r="N458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Siddhi-सिद्धि-Ma (15.53)</v>
      </c>
      <c r="O458" s="124">
        <f ca="1">IF(AND(P[[#This Row],[Tithi]]&lt;28.5,P[[#This Row],[Tithi]]&gt;0.49999),MOD((P[[#This Row],[Tithi]]-0.5)*2,7),MOD((P[[#This Row],[Tithi]]+30-28.5),30)*2+7)</f>
        <v>4.8569999999999993</v>
      </c>
      <c r="P458" s="124">
        <f ca="1">ROUNDUP(MOD(360+P[[#This Row],[Moon]]-P[[#This Row],[Sun]],360)/12,4)</f>
        <v>20.4285</v>
      </c>
      <c r="Q458" s="124">
        <f t="shared" ca="1" si="71"/>
        <v>15.53</v>
      </c>
      <c r="R458" s="124" t="str">
        <f ca="1">SIGN(S459-P[[#This Row],[MARs]])*INT(P[[#This Row],[MARs]]/30+1)&amp;"Ma,"&amp;SIGN(T459-P[[#This Row],[Merc]])*INT(P[[#This Row],[Merc]]/30+1)&amp;"Me,"&amp;SIGN(U459-P[[#This Row],[Jup]])*INT(P[[#This Row],[Jup]]/30+1)&amp;"Ju,"&amp;SIGN(V459-P[[#This Row],[Venu]])*INT(P[[#This Row],[Venu]]/30+1)&amp;"Ve,"&amp;SIGN(W459-P[[#This Row],[Sat]])*INT(P[[#This Row],[Sat]]/30+1)&amp;"Sa,"&amp;INT(P[[#This Row],[Rah]]/30+1)&amp;"Ra"</f>
        <v>2Ma,-11Me,8Ju,11Ve,9Sa,3Ra</v>
      </c>
      <c r="S458" s="124">
        <f ca="1">Planet(P[[#This Row],[GMT Sun Rise]],4)</f>
        <v>32.411600700341147</v>
      </c>
      <c r="T458" s="124">
        <f ca="1">Planet(P[[#This Row],[GMT Sun Rise]],2)</f>
        <v>322.29253676150665</v>
      </c>
      <c r="U458" s="124">
        <f ca="1">Planet(P[[#This Row],[GMT Sun Rise]],5)</f>
        <v>239.84561733916757</v>
      </c>
      <c r="V458" s="124">
        <f ca="1">Planet(P[[#This Row],[GMT Sun Rise]],3)</f>
        <v>304.92535914778705</v>
      </c>
      <c r="W458" s="124">
        <f ca="1">Planet(P[[#This Row],[GMT Sun Rise]],6)</f>
        <v>265.41176422822429</v>
      </c>
      <c r="X458" s="124">
        <f ca="1">Planet(P[[#This Row],[GMT Sun Rise]],10)</f>
        <v>88.996516980438528</v>
      </c>
      <c r="Y458" s="124">
        <f ca="1">SIGN(S459-P[[#This Row],[MARs]])</f>
        <v>1</v>
      </c>
    </row>
    <row r="459" spans="1:25" x14ac:dyDescent="0.2">
      <c r="A459" s="125">
        <f t="shared" ref="A459:A463" ca="1" si="72">A458+1</f>
        <v>43551</v>
      </c>
      <c r="B459" s="125">
        <f t="shared" ca="1" si="65"/>
        <v>43551.229166666664</v>
      </c>
      <c r="C459" s="127">
        <f t="shared" ca="1" si="66"/>
        <v>43551.257215546131</v>
      </c>
      <c r="D459" s="127">
        <f t="shared" ca="1" si="67"/>
        <v>43550.763902803461</v>
      </c>
      <c r="E459" s="189">
        <f ca="1">P[[#This Row],[SunRise]]-TimeZone/24</f>
        <v>43551.028048879467</v>
      </c>
      <c r="F459" s="190">
        <f t="shared" ca="1" si="68"/>
        <v>341.93999409137001</v>
      </c>
      <c r="G459" s="190">
        <f t="shared" ca="1" si="69"/>
        <v>238.88081156931861</v>
      </c>
      <c r="H459" s="191">
        <f t="shared" ca="1" si="70"/>
        <v>43551.028048879467</v>
      </c>
      <c r="I459" s="124" t="str">
        <f ca="1">naks(P[[#This Row],[Moon]])</f>
        <v>Jyestha</v>
      </c>
      <c r="J459" s="127">
        <f ca="1">(C460-P[[#This Row],[SunRise]])/(G460-P[[#This Row],[Moon]])*(13.3333333333333-MOD(P[[#This Row],[Moon]],13.333333333333))+P[[#This Row],[SunRise]]</f>
        <v>43551.347349248434</v>
      </c>
      <c r="K459" s="124" t="str">
        <f ca="1">IF(P[[#This Row],[Tithi]]&gt;15,"K","S")&amp;ROUNDUP(MOD(P[[#This Row],[Tithi]],15),0)&amp;" ("&amp;ROUND(P[[#This Row],[Tithi]],2)&amp;")"</f>
        <v>K7 (21.41)</v>
      </c>
      <c r="L459" s="124">
        <f ca="1">IF(AND(P[[#This Row],[Tithi]]&lt;28.5,P[[#This Row],[Tithi]]&gt;0.49999),MOD((P[[#This Row],[Tithi]]-0.5)*2,7),MOD((P[[#This Row],[Tithi]]+30-28.5),30)*2+7)</f>
        <v>6.823599999999999</v>
      </c>
      <c r="M459" s="124" t="str">
        <f ca="1">CHOOSE(ROUNDUP(P[[#This Row],[Karana1]],0),"Bhava","Baalava","Kaulava","Taitula","Garija","Vanija","Vishti","Shakuni","Chatushapda","Naaga","Kimstugna")</f>
        <v>Vishti</v>
      </c>
      <c r="N459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Vyatipata-व्यतिपात-Ra (16.57)</v>
      </c>
      <c r="O459" s="124">
        <f ca="1">IF(AND(P[[#This Row],[Tithi]]&lt;28.5,P[[#This Row],[Tithi]]&gt;0.49999),MOD((P[[#This Row],[Tithi]]-0.5)*2,7),MOD((P[[#This Row],[Tithi]]+30-28.5),30)*2+7)</f>
        <v>6.823599999999999</v>
      </c>
      <c r="P459" s="124">
        <f ca="1">ROUNDUP(MOD(360+P[[#This Row],[Moon]]-P[[#This Row],[Sun]],360)/12,4)</f>
        <v>21.411799999999999</v>
      </c>
      <c r="Q459" s="124">
        <f t="shared" ca="1" si="71"/>
        <v>16.57</v>
      </c>
      <c r="R459" s="124" t="str">
        <f ca="1">SIGN(S460-P[[#This Row],[MARs]])*INT(P[[#This Row],[MARs]]/30+1)&amp;"Ma,"&amp;SIGN(T460-P[[#This Row],[Merc]])*INT(P[[#This Row],[Merc]]/30+1)&amp;"Me,"&amp;SIGN(U460-P[[#This Row],[Jup]])*INT(P[[#This Row],[Jup]]/30+1)&amp;"Ju,"&amp;SIGN(V460-P[[#This Row],[Venu]])*INT(P[[#This Row],[Venu]]/30+1)&amp;"Ve,"&amp;SIGN(W460-P[[#This Row],[Sat]])*INT(P[[#This Row],[Sat]]/30+1)&amp;"Sa,"&amp;INT(P[[#This Row],[Rah]]/30+1)&amp;"Ra"</f>
        <v>2Ma,-11Me,8Ju,11Ve,9Sa,3Ra</v>
      </c>
      <c r="S459" s="124">
        <f ca="1">Planet(P[[#This Row],[GMT Sun Rise]],4)</f>
        <v>33.074926793428745</v>
      </c>
      <c r="T459" s="124">
        <f ca="1">Planet(P[[#This Row],[GMT Sun Rise]],2)</f>
        <v>322.09138929332619</v>
      </c>
      <c r="U459" s="124">
        <f ca="1">Planet(P[[#This Row],[GMT Sun Rise]],5)</f>
        <v>239.89258524492712</v>
      </c>
      <c r="V459" s="124">
        <f ca="1">Planet(P[[#This Row],[GMT Sun Rise]],3)</f>
        <v>306.12706717415637</v>
      </c>
      <c r="W459" s="124">
        <f ca="1">Planet(P[[#This Row],[GMT Sun Rise]],6)</f>
        <v>265.46613076269375</v>
      </c>
      <c r="X459" s="124">
        <f ca="1">Planet(P[[#This Row],[GMT Sun Rise]],10)</f>
        <v>88.943550016440867</v>
      </c>
      <c r="Y459" s="124">
        <f ca="1">SIGN(S460-P[[#This Row],[MARs]])</f>
        <v>1</v>
      </c>
    </row>
    <row r="460" spans="1:25" x14ac:dyDescent="0.2">
      <c r="A460" s="125">
        <f t="shared" ca="1" si="72"/>
        <v>43552</v>
      </c>
      <c r="B460" s="125">
        <f t="shared" ca="1" si="65"/>
        <v>43552.229166666664</v>
      </c>
      <c r="C460" s="127">
        <f t="shared" ca="1" si="66"/>
        <v>43552.256743636135</v>
      </c>
      <c r="D460" s="127">
        <f t="shared" ca="1" si="67"/>
        <v>43551.763955096758</v>
      </c>
      <c r="E460" s="189">
        <f ca="1">P[[#This Row],[SunRise]]-TimeZone/24</f>
        <v>43552.027576969471</v>
      </c>
      <c r="F460" s="190">
        <f t="shared" ca="1" si="68"/>
        <v>342.92932735245199</v>
      </c>
      <c r="G460" s="190">
        <f t="shared" ca="1" si="69"/>
        <v>251.29193244768902</v>
      </c>
      <c r="H460" s="191">
        <f t="shared" ca="1" si="70"/>
        <v>43552.027576969471</v>
      </c>
      <c r="I460" s="124" t="str">
        <f ca="1">naks(P[[#This Row],[Moon]])</f>
        <v>Moola</v>
      </c>
      <c r="J460" s="127">
        <f ca="1">(C461-P[[#This Row],[SunRise]])/(G461-P[[#This Row],[Moon]])*(13.3333333333333-MOD(P[[#This Row],[Moon]],13.333333333333))+P[[#This Row],[SunRise]]</f>
        <v>43552.425124261223</v>
      </c>
      <c r="K460" s="124" t="str">
        <f ca="1">IF(P[[#This Row],[Tithi]]&gt;15,"K","S")&amp;ROUNDUP(MOD(P[[#This Row],[Tithi]],15),0)&amp;" ("&amp;ROUND(P[[#This Row],[Tithi]],2)&amp;")"</f>
        <v>K8 (22.36)</v>
      </c>
      <c r="L460" s="124">
        <f ca="1">IF(AND(P[[#This Row],[Tithi]]&lt;28.5,P[[#This Row],[Tithi]]&gt;0.49999),MOD((P[[#This Row],[Tithi]]-0.5)*2,7),MOD((P[[#This Row],[Tithi]]+30-28.5),30)*2+7)</f>
        <v>1.7271999999999963</v>
      </c>
      <c r="M460" s="124" t="str">
        <f ca="1">CHOOSE(ROUNDUP(P[[#This Row],[Karana1]],0),"Bhava","Baalava","Kaulava","Taitula","Garija","Vanija","Vishti","Shakuni","Chatushapda","Naaga","Kimstugna")</f>
        <v>Baalava</v>
      </c>
      <c r="N460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Varigha-वरीयस्-Ju (17.57)</v>
      </c>
      <c r="O460" s="124">
        <f ca="1">IF(AND(P[[#This Row],[Tithi]]&lt;28.5,P[[#This Row],[Tithi]]&gt;0.49999),MOD((P[[#This Row],[Tithi]]-0.5)*2,7),MOD((P[[#This Row],[Tithi]]+30-28.5),30)*2+7)</f>
        <v>1.7271999999999963</v>
      </c>
      <c r="P460" s="124">
        <f ca="1">ROUNDUP(MOD(360+P[[#This Row],[Moon]]-P[[#This Row],[Sun]],360)/12,4)</f>
        <v>22.363599999999998</v>
      </c>
      <c r="Q460" s="124">
        <f t="shared" ca="1" si="71"/>
        <v>17.57</v>
      </c>
      <c r="R460" s="124" t="str">
        <f ca="1">SIGN(S461-P[[#This Row],[MARs]])*INT(P[[#This Row],[MARs]]/30+1)&amp;"Ma,"&amp;SIGN(T461-P[[#This Row],[Merc]])*INT(P[[#This Row],[Merc]]/30+1)&amp;"Me,"&amp;SIGN(U461-P[[#This Row],[Jup]])*INT(P[[#This Row],[Jup]]/30+1)&amp;"Ju,"&amp;SIGN(V461-P[[#This Row],[Venu]])*INT(P[[#This Row],[Venu]]/30+1)&amp;"Ve,"&amp;SIGN(W461-P[[#This Row],[Sat]])*INT(P[[#This Row],[Sat]]/30+1)&amp;"Sa,"&amp;INT(P[[#This Row],[Rah]]/30+1)&amp;"Ra"</f>
        <v>2Ma,-11Me,8Ju,11Ve,9Sa,3Ra</v>
      </c>
      <c r="S460" s="124">
        <f ca="1">Planet(P[[#This Row],[GMT Sun Rise]],4)</f>
        <v>33.73791303451933</v>
      </c>
      <c r="T460" s="124">
        <f ca="1">Planet(P[[#This Row],[GMT Sun Rise]],2)</f>
        <v>321.98920249665593</v>
      </c>
      <c r="U460" s="124">
        <f ca="1">Planet(P[[#This Row],[GMT Sun Rise]],5)</f>
        <v>239.93654987529595</v>
      </c>
      <c r="V460" s="124">
        <f ca="1">Planet(P[[#This Row],[GMT Sun Rise]],3)</f>
        <v>307.32931854260863</v>
      </c>
      <c r="W460" s="124">
        <f ca="1">Planet(P[[#This Row],[GMT Sun Rise]],6)</f>
        <v>265.51905753524397</v>
      </c>
      <c r="X460" s="124">
        <f ca="1">Planet(P[[#This Row],[GMT Sun Rise]],10)</f>
        <v>88.890583027161867</v>
      </c>
      <c r="Y460" s="124">
        <f ca="1">SIGN(S461-P[[#This Row],[MARs]])</f>
        <v>1</v>
      </c>
    </row>
    <row r="461" spans="1:25" x14ac:dyDescent="0.2">
      <c r="A461" s="125">
        <f t="shared" ca="1" si="72"/>
        <v>43553</v>
      </c>
      <c r="B461" s="125">
        <f t="shared" ca="1" si="65"/>
        <v>43553.229166666664</v>
      </c>
      <c r="C461" s="127">
        <f t="shared" ca="1" si="66"/>
        <v>43553.256272362232</v>
      </c>
      <c r="D461" s="127">
        <f t="shared" ca="1" si="67"/>
        <v>43552.764007389589</v>
      </c>
      <c r="E461" s="189">
        <f ca="1">P[[#This Row],[SunRise]]-TimeZone/24</f>
        <v>43553.027105695568</v>
      </c>
      <c r="F461" s="190">
        <f t="shared" ca="1" si="68"/>
        <v>343.91817125774207</v>
      </c>
      <c r="G461" s="190">
        <f t="shared" ca="1" si="69"/>
        <v>263.40994677137212</v>
      </c>
      <c r="H461" s="191">
        <f t="shared" ca="1" si="70"/>
        <v>43553.027105695568</v>
      </c>
      <c r="I461" s="124" t="str">
        <f ca="1">naks(P[[#This Row],[Moon]])</f>
        <v>Purva Asadha</v>
      </c>
      <c r="J461" s="127">
        <f ca="1">(C462-P[[#This Row],[SunRise]])/(G462-P[[#This Row],[Moon]])*(13.3333333333333-MOD(P[[#This Row],[Moon]],13.333333333333))+P[[#This Row],[SunRise]]</f>
        <v>43553.529448041976</v>
      </c>
      <c r="K461" s="124" t="str">
        <f ca="1">IF(P[[#This Row],[Tithi]]&gt;15,"K","S")&amp;ROUNDUP(MOD(P[[#This Row],[Tithi]],15),0)&amp;" ("&amp;ROUND(P[[#This Row],[Tithi]],2)&amp;")"</f>
        <v>K9 (23.29)</v>
      </c>
      <c r="L461" s="124">
        <f ca="1">IF(AND(P[[#This Row],[Tithi]]&lt;28.5,P[[#This Row],[Tithi]]&gt;0.49999),MOD((P[[#This Row],[Tithi]]-0.5)*2,7),MOD((P[[#This Row],[Tithi]]+30-28.5),30)*2+7)</f>
        <v>3.5820000000000007</v>
      </c>
      <c r="M461" s="124" t="str">
        <f ca="1">CHOOSE(ROUNDUP(P[[#This Row],[Karana1]],0),"Bhava","Baalava","Kaulava","Taitula","Garija","Vanija","Vishti","Shakuni","Chatushapda","Naaga","Kimstugna")</f>
        <v>Taitula</v>
      </c>
      <c r="N461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Parigha-परिघ-Sa (18.55)</v>
      </c>
      <c r="O461" s="124">
        <f ca="1">IF(AND(P[[#This Row],[Tithi]]&lt;28.5,P[[#This Row],[Tithi]]&gt;0.49999),MOD((P[[#This Row],[Tithi]]-0.5)*2,7),MOD((P[[#This Row],[Tithi]]+30-28.5),30)*2+7)</f>
        <v>3.5820000000000007</v>
      </c>
      <c r="P461" s="124">
        <f ca="1">ROUNDUP(MOD(360+P[[#This Row],[Moon]]-P[[#This Row],[Sun]],360)/12,4)</f>
        <v>23.291</v>
      </c>
      <c r="Q461" s="124">
        <f t="shared" ca="1" si="71"/>
        <v>18.55</v>
      </c>
      <c r="R461" s="124" t="str">
        <f ca="1">SIGN(S462-P[[#This Row],[MARs]])*INT(P[[#This Row],[MARs]]/30+1)&amp;"Ma,"&amp;SIGN(T462-P[[#This Row],[Merc]])*INT(P[[#This Row],[Merc]]/30+1)&amp;"Me,"&amp;SIGN(U462-P[[#This Row],[Jup]])*INT(P[[#This Row],[Jup]]/30+1)&amp;"Ju,"&amp;SIGN(V462-P[[#This Row],[Venu]])*INT(P[[#This Row],[Venu]]/30+1)&amp;"Ve,"&amp;SIGN(W462-P[[#This Row],[Sat]])*INT(P[[#This Row],[Sat]]/30+1)&amp;"Sa,"&amp;INT(P[[#This Row],[Rah]]/30+1)&amp;"Ra"</f>
        <v>2Ma,11Me,8Ju,11Ve,9Sa,3Ra</v>
      </c>
      <c r="S461" s="124">
        <f ca="1">Planet(P[[#This Row],[GMT Sun Rise]],4)</f>
        <v>34.40056459895024</v>
      </c>
      <c r="T461" s="124">
        <f ca="1">Planet(P[[#This Row],[GMT Sun Rise]],2)</f>
        <v>321.98379124290744</v>
      </c>
      <c r="U461" s="124">
        <f ca="1">Planet(P[[#This Row],[GMT Sun Rise]],5)</f>
        <v>239.97749188327629</v>
      </c>
      <c r="V461" s="124">
        <f ca="1">Planet(P[[#This Row],[GMT Sun Rise]],3)</f>
        <v>308.53209029514755</v>
      </c>
      <c r="W461" s="124">
        <f ca="1">Planet(P[[#This Row],[GMT Sun Rise]],6)</f>
        <v>265.57053125673008</v>
      </c>
      <c r="X461" s="124">
        <f ca="1">Planet(P[[#This Row],[GMT Sun Rise]],10)</f>
        <v>88.83761600418454</v>
      </c>
      <c r="Y461" s="124">
        <f ca="1">SIGN(S462-P[[#This Row],[MARs]])</f>
        <v>1</v>
      </c>
    </row>
    <row r="462" spans="1:25" x14ac:dyDescent="0.2">
      <c r="A462" s="125">
        <f t="shared" ca="1" si="72"/>
        <v>43554</v>
      </c>
      <c r="B462" s="125">
        <f t="shared" ca="1" si="65"/>
        <v>43554.229166666664</v>
      </c>
      <c r="C462" s="127">
        <f t="shared" ca="1" si="66"/>
        <v>43554.255802200794</v>
      </c>
      <c r="D462" s="127">
        <f t="shared" ca="1" si="67"/>
        <v>43553.764060000933</v>
      </c>
      <c r="E462" s="189">
        <f ca="1">P[[#This Row],[SunRise]]-TimeZone/24</f>
        <v>43554.02663553413</v>
      </c>
      <c r="F462" s="190">
        <f t="shared" ca="1" si="68"/>
        <v>344.9065231634064</v>
      </c>
      <c r="G462" s="190">
        <f t="shared" ca="1" si="69"/>
        <v>275.32604674849182</v>
      </c>
      <c r="H462" s="191">
        <f t="shared" ca="1" si="70"/>
        <v>43554.02663553413</v>
      </c>
      <c r="I462" s="124" t="str">
        <f ca="1">naks(P[[#This Row],[Moon]])</f>
        <v>Uttara Asadha</v>
      </c>
      <c r="J462" s="127">
        <f ca="1">(C463-P[[#This Row],[SunRise]])/(G463-P[[#This Row],[Moon]])*(13.3333333333333-MOD(P[[#This Row],[Moon]],13.333333333333))+P[[#This Row],[SunRise]]</f>
        <v>43554.651586230582</v>
      </c>
      <c r="K462" s="124" t="str">
        <f ca="1">IF(P[[#This Row],[Tithi]]&gt;15,"K","S")&amp;ROUNDUP(MOD(P[[#This Row],[Tithi]],15),0)&amp;" ("&amp;ROUND(P[[#This Row],[Tithi]],2)&amp;")"</f>
        <v>K10 (24.2)</v>
      </c>
      <c r="L462" s="124">
        <f ca="1">IF(AND(P[[#This Row],[Tithi]]&lt;28.5,P[[#This Row],[Tithi]]&gt;0.49999),MOD((P[[#This Row],[Tithi]]-0.5)*2,7),MOD((P[[#This Row],[Tithi]]+30-28.5),30)*2+7)</f>
        <v>5.4033999999999978</v>
      </c>
      <c r="M462" s="124" t="str">
        <f ca="1">CHOOSE(ROUNDUP(P[[#This Row],[Karana1]],0),"Bhava","Baalava","Kaulava","Taitula","Garija","Vanija","Vishti","Shakuni","Chatushapda","Naaga","Kimstugna")</f>
        <v>Vanija</v>
      </c>
      <c r="N462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Shiva-शिव-Me (19.52)</v>
      </c>
      <c r="O462" s="124">
        <f ca="1">IF(AND(P[[#This Row],[Tithi]]&lt;28.5,P[[#This Row],[Tithi]]&gt;0.49999),MOD((P[[#This Row],[Tithi]]-0.5)*2,7),MOD((P[[#This Row],[Tithi]]+30-28.5),30)*2+7)</f>
        <v>5.4033999999999978</v>
      </c>
      <c r="P462" s="124">
        <f ca="1">ROUNDUP(MOD(360+P[[#This Row],[Moon]]-P[[#This Row],[Sun]],360)/12,4)</f>
        <v>24.201699999999999</v>
      </c>
      <c r="Q462" s="124">
        <f t="shared" ca="1" si="71"/>
        <v>19.520000000000003</v>
      </c>
      <c r="R462" s="124" t="str">
        <f ca="1">SIGN(S463-P[[#This Row],[MARs]])*INT(P[[#This Row],[MARs]]/30+1)&amp;"Ma,"&amp;SIGN(T463-P[[#This Row],[Merc]])*INT(P[[#This Row],[Merc]]/30+1)&amp;"Me,"&amp;SIGN(U463-P[[#This Row],[Jup]])*INT(P[[#This Row],[Jup]]/30+1)&amp;"Ju,"&amp;SIGN(V463-P[[#This Row],[Venu]])*INT(P[[#This Row],[Venu]]/30+1)&amp;"Ve,"&amp;SIGN(W463-P[[#This Row],[Sat]])*INT(P[[#This Row],[Sat]]/30+1)&amp;"Sa,"&amp;INT(P[[#This Row],[Rah]]/30+1)&amp;"Ra"</f>
        <v>2Ma,11Me,9Ju,11Ve,9Sa,3Ra</v>
      </c>
      <c r="S462" s="124">
        <f ca="1">Planet(P[[#This Row],[GMT Sun Rise]],4)</f>
        <v>35.062885500925461</v>
      </c>
      <c r="T462" s="124">
        <f ca="1">Planet(P[[#This Row],[GMT Sun Rise]],2)</f>
        <v>322.07223600665765</v>
      </c>
      <c r="U462" s="124">
        <f ca="1">Planet(P[[#This Row],[GMT Sun Rise]],5)</f>
        <v>240.01539312634696</v>
      </c>
      <c r="V462" s="124">
        <f ca="1">Planet(P[[#This Row],[GMT Sun Rise]],3)</f>
        <v>309.73535950970734</v>
      </c>
      <c r="W462" s="124">
        <f ca="1">Planet(P[[#This Row],[GMT Sun Rise]],6)</f>
        <v>265.62053896305815</v>
      </c>
      <c r="X462" s="124">
        <f ca="1">Planet(P[[#This Row],[GMT Sun Rise]],10)</f>
        <v>88.784648922274684</v>
      </c>
      <c r="Y462" s="124">
        <f ca="1">SIGN(S463-P[[#This Row],[MARs]])</f>
        <v>1</v>
      </c>
    </row>
    <row r="463" spans="1:25" x14ac:dyDescent="0.2">
      <c r="A463" s="125">
        <f t="shared" ca="1" si="72"/>
        <v>43555</v>
      </c>
      <c r="B463" s="125">
        <f t="shared" ca="1" si="65"/>
        <v>43555.229166666664</v>
      </c>
      <c r="C463" s="127">
        <f t="shared" ca="1" si="66"/>
        <v>43555.255333311077</v>
      </c>
      <c r="D463" s="127">
        <f t="shared" ca="1" si="67"/>
        <v>43554.764112929857</v>
      </c>
      <c r="E463" s="189">
        <f ca="1">P[[#This Row],[SunRise]]-TimeZone/24</f>
        <v>43555.026166644413</v>
      </c>
      <c r="F463" s="190">
        <f t="shared" ca="1" si="68"/>
        <v>345.89437815684755</v>
      </c>
      <c r="G463" s="190">
        <f t="shared" ca="1" si="69"/>
        <v>287.12986229243535</v>
      </c>
      <c r="H463" s="191">
        <f t="shared" ca="1" si="70"/>
        <v>43555.026166644413</v>
      </c>
      <c r="I463" s="124" t="str">
        <f ca="1">naks(P[[#This Row],[Moon]])</f>
        <v>Sravana</v>
      </c>
      <c r="J463" s="127">
        <f ca="1">(C464-P[[#This Row],[SunRise]])/(G464-P[[#This Row],[Moon]])*(13.3333333333333-MOD(P[[#This Row],[Moon]],13.333333333333))+P[[#This Row],[SunRise]]</f>
        <v>44496.271231071027</v>
      </c>
      <c r="K463" s="124" t="str">
        <f ca="1">IF(P[[#This Row],[Tithi]]&gt;15,"K","S")&amp;ROUNDUP(MOD(P[[#This Row],[Tithi]],15),0)&amp;" ("&amp;ROUND(P[[#This Row],[Tithi]],2)&amp;")"</f>
        <v>K11 (25.1)</v>
      </c>
      <c r="L463" s="124">
        <f ca="1">IF(AND(P[[#This Row],[Tithi]]&lt;28.5,P[[#This Row],[Tithi]]&gt;0.49999),MOD((P[[#This Row],[Tithi]]-0.5)*2,7),MOD((P[[#This Row],[Tithi]]+30-28.5),30)*2+7)</f>
        <v>0.20600000000000307</v>
      </c>
      <c r="M463" s="124" t="str">
        <f ca="1">CHOOSE(ROUNDUP(P[[#This Row],[Karana1]],0),"Bhava","Baalava","Kaulava","Taitula","Garija","Vanija","Vishti","Shakuni","Chatushapda","Naaga","Kimstugna")</f>
        <v>Bhava</v>
      </c>
      <c r="N463" s="154" t="str">
        <f ca="1">CHOOSE(ROUNDUP(P[[#This Row],[YogaNumber]],0),"Vishkambha-विष्कम्भ-Sa","Priti-प्रीति-Me","Ayushman-आयुष्मान-Ke","Saubhagya-सौभाग्य-Ve","Shobhana-शोभन-Su","Atiganda-अतिगण्ड -Mo","Sukarman-सुकर्मा -Ma","Dhriti-धृति -Ra","Shula-शूल -Ju","Ganda-गण्ड -Sa","Vriddhi-वृद्धि -Me","Dhruva-ध्रुव -Ke","Vyaghata-व्याघात-ve","Harshana-हर्षण-su","Vajra-वज्र-Mo","Siddhi-सिद्धि-Ma","Vyatipata-व्यतिपात-Ra","Varigha-वरीयस्-Ju","Parigha-परिघ-Sa","Shiva-शिव-Me","Siddha-सिद्ध-Ke","Sadhya-साध्य-Ve","Shubha-शुभ-Su","Shukla-शुक्ल-Mo","Brahma-ब्रह्म-Ma","Mahendra-महेन्द्र-Ra","Vaidhriti-वैधृति-Ke")&amp;" ("&amp;P[[#This Row],[YogaNumber]]&amp;")"</f>
        <v>Siddha-सिद्ध-Ke (20.48)</v>
      </c>
      <c r="O463" s="124">
        <f ca="1">IF(AND(P[[#This Row],[Tithi]]&lt;28.5,P[[#This Row],[Tithi]]&gt;0.49999),MOD((P[[#This Row],[Tithi]]-0.5)*2,7),MOD((P[[#This Row],[Tithi]]+30-28.5),30)*2+7)</f>
        <v>0.20600000000000307</v>
      </c>
      <c r="P463" s="124">
        <f ca="1">ROUNDUP(MOD(360+P[[#This Row],[Moon]]-P[[#This Row],[Sun]],360)/12,4)</f>
        <v>25.103000000000002</v>
      </c>
      <c r="Q463" s="124">
        <f t="shared" ca="1" si="71"/>
        <v>20.48</v>
      </c>
      <c r="R463" s="124" t="str">
        <f ca="1">SIGN(S464-P[[#This Row],[MARs]])*INT(P[[#This Row],[MARs]]/30+1)&amp;"Ma,"&amp;SIGN(T464-P[[#This Row],[Merc]])*INT(P[[#This Row],[Merc]]/30+1)&amp;"Me,"&amp;SIGN(U464-P[[#This Row],[Jup]])*INT(P[[#This Row],[Jup]]/30+1)&amp;"Ju,"&amp;SIGN(V464-P[[#This Row],[Venu]])*INT(P[[#This Row],[Venu]]/30+1)&amp;"Ve,"&amp;SIGN(W464-P[[#This Row],[Sat]])*INT(P[[#This Row],[Sat]]/30+1)&amp;"Sa,"&amp;INT(P[[#This Row],[Rah]]/30+1)&amp;"Ra"</f>
        <v>-2Ma,-11Me,-9Ju,-11Ve,-9Sa,3Ra</v>
      </c>
      <c r="S463" s="124">
        <f ca="1">Planet(P[[#This Row],[GMT Sun Rise]],4)</f>
        <v>35.724878306726097</v>
      </c>
      <c r="T463" s="124">
        <f ca="1">Planet(P[[#This Row],[GMT Sun Rise]],2)</f>
        <v>322.25110337843097</v>
      </c>
      <c r="U463" s="124">
        <f ca="1">Planet(P[[#This Row],[GMT Sun Rise]],5)</f>
        <v>240.05023671081082</v>
      </c>
      <c r="V463" s="124">
        <f ca="1">Planet(P[[#This Row],[GMT Sun Rise]],3)</f>
        <v>310.93910280709042</v>
      </c>
      <c r="W463" s="124">
        <f ca="1">Planet(P[[#This Row],[GMT Sun Rise]],6)</f>
        <v>265.66906802470078</v>
      </c>
      <c r="X463" s="124">
        <f ca="1">Planet(P[[#This Row],[GMT Sun Rise]],10)</f>
        <v>88.731681772932404</v>
      </c>
      <c r="Y463" s="124">
        <f ca="1">SIGN(S464-P[[#This Row],[MARs]])</f>
        <v>-1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5"/>
  <sheetViews>
    <sheetView tabSelected="1" showWhiteSpace="0" view="pageLayout" topLeftCell="A10" zoomScale="70" zoomScaleNormal="100" zoomScaleSheetLayoutView="80" zoomScalePageLayoutView="70" workbookViewId="0">
      <selection activeCell="G75" sqref="G75"/>
    </sheetView>
  </sheetViews>
  <sheetFormatPr defaultColWidth="0.42578125" defaultRowHeight="23.25" x14ac:dyDescent="0.35"/>
  <cols>
    <col min="1" max="1" width="30.7109375" style="143" customWidth="1"/>
    <col min="2" max="7" width="30.7109375" style="138" customWidth="1"/>
    <col min="8" max="16384" width="0.42578125" style="138"/>
  </cols>
  <sheetData>
    <row r="1" spans="1:7" s="180" customFormat="1" ht="38.25" thickBot="1" x14ac:dyDescent="0.55000000000000004">
      <c r="A1" s="199">
        <f ca="1">Panchanga!A9</f>
        <v>43101</v>
      </c>
      <c r="B1" s="200"/>
      <c r="C1" s="200"/>
      <c r="D1" s="200"/>
      <c r="E1" s="200"/>
      <c r="F1" s="200"/>
      <c r="G1" s="200"/>
    </row>
    <row r="2" spans="1:7" s="185" customFormat="1" ht="35.25" thickBot="1" x14ac:dyDescent="0.5">
      <c r="A2" s="186">
        <v>1</v>
      </c>
      <c r="B2" s="187">
        <v>2</v>
      </c>
      <c r="C2" s="187">
        <v>3</v>
      </c>
      <c r="D2" s="187">
        <v>4</v>
      </c>
      <c r="E2" s="187">
        <v>5</v>
      </c>
      <c r="F2" s="187">
        <v>6</v>
      </c>
      <c r="G2" s="188">
        <v>7</v>
      </c>
    </row>
    <row r="3" spans="1:7" s="180" customFormat="1" ht="37.5" x14ac:dyDescent="0.5">
      <c r="A3" s="181">
        <f ca="1">CalMonth-WEEKDAY(CalMonth)+1</f>
        <v>43100</v>
      </c>
      <c r="B3" s="182">
        <f ca="1">A3+1</f>
        <v>43101</v>
      </c>
      <c r="C3" s="182">
        <f ca="1">B3+1</f>
        <v>43102</v>
      </c>
      <c r="D3" s="182">
        <f ca="1">C3+1</f>
        <v>43103</v>
      </c>
      <c r="E3" s="182">
        <f ca="1">D3+1</f>
        <v>43104</v>
      </c>
      <c r="F3" s="182">
        <f ca="1">E3+1</f>
        <v>43105</v>
      </c>
      <c r="G3" s="183">
        <f t="shared" ref="G3" ca="1" si="0">IF(WEEKDAY(DATE(YEAR(CalMonth+DAY(F3)),MONTH(CalMonth+DAY(F3)),1+DAY(F3)))=G2,CalMonth+DAY(F3),0)</f>
        <v>43106</v>
      </c>
    </row>
    <row r="4" spans="1:7" s="157" customFormat="1" ht="19.5" x14ac:dyDescent="0.3">
      <c r="A4" s="166">
        <f ca="1">VLOOKUP(A3,P[],3,TRUE)</f>
        <v>43100.273019360066</v>
      </c>
      <c r="B4" s="156">
        <f ca="1">VLOOKUP(B3,P[],3,TRUE)</f>
        <v>43101.273289091107</v>
      </c>
      <c r="C4" s="156">
        <f ca="1">VLOOKUP(C3,P[],3,TRUE)</f>
        <v>43102.273549444195</v>
      </c>
      <c r="D4" s="156">
        <f ca="1">VLOOKUP(D3,P[],3,TRUE)</f>
        <v>43103.273800101284</v>
      </c>
      <c r="E4" s="156">
        <f ca="1">VLOOKUP(E3,P[],3,TRUE)</f>
        <v>43104.274040745258</v>
      </c>
      <c r="F4" s="156">
        <f ca="1">VLOOKUP(F3,P[],3,TRUE)</f>
        <v>43105.274271375652</v>
      </c>
      <c r="G4" s="173">
        <f ca="1">VLOOKUP(G3,P[],3,TRUE)</f>
        <v>43106.274491356373</v>
      </c>
    </row>
    <row r="5" spans="1:7" s="157" customFormat="1" ht="19.5" x14ac:dyDescent="0.3">
      <c r="A5" s="166">
        <f ca="1">VLOOKUP(A3,P[],4,TRUE)</f>
        <v>43099.744136472742</v>
      </c>
      <c r="B5" s="156">
        <f ca="1">VLOOKUP(B3,P[],4,TRUE)</f>
        <v>43100.744523664514</v>
      </c>
      <c r="C5" s="156">
        <f ca="1">VLOOKUP(C3,P[],4,TRUE)</f>
        <v>43101.744913081682</v>
      </c>
      <c r="D5" s="156">
        <f ca="1">VLOOKUP(D3,P[],4,TRUE)</f>
        <v>43102.745304564989</v>
      </c>
      <c r="E5" s="156">
        <f ca="1">VLOOKUP(E3,P[],4,TRUE)</f>
        <v>43103.745697637598</v>
      </c>
      <c r="F5" s="156">
        <f ca="1">VLOOKUP(F3,P[],4,TRUE)</f>
        <v>43104.746091981928</v>
      </c>
      <c r="G5" s="173">
        <f ca="1">VLOOKUP(G3,P[],4,TRUE)</f>
        <v>43105.746487438722</v>
      </c>
    </row>
    <row r="6" spans="1:7" s="157" customFormat="1" ht="19.5" x14ac:dyDescent="0.3">
      <c r="A6" s="167">
        <f ca="1">VLOOKUP(A3,P[],6,TRUE)</f>
        <v>255.42869148507117</v>
      </c>
      <c r="B6" s="159">
        <f ca="1">VLOOKUP(B3,P[],6,TRUE)</f>
        <v>256.4477264873932</v>
      </c>
      <c r="C6" s="159">
        <f ca="1">VLOOKUP(C3,P[],6,TRUE)</f>
        <v>257.46675351209325</v>
      </c>
      <c r="D6" s="159">
        <f ca="1">VLOOKUP(D3,P[],6,TRUE)</f>
        <v>258.48578514552247</v>
      </c>
      <c r="E6" s="159">
        <f ca="1">VLOOKUP(E3,P[],6,TRUE)</f>
        <v>259.5048341033467</v>
      </c>
      <c r="F6" s="159">
        <f ca="1">VLOOKUP(F3,P[],6,TRUE)</f>
        <v>260.52391105394878</v>
      </c>
      <c r="G6" s="174">
        <f ca="1">VLOOKUP(G3,P[],6,TRUE)</f>
        <v>261.54302173867563</v>
      </c>
    </row>
    <row r="7" spans="1:7" s="157" customFormat="1" ht="19.5" x14ac:dyDescent="0.3">
      <c r="A7" s="167">
        <f ca="1">VLOOKUP(A3,P[],7,TRUE)</f>
        <v>46.193886385806643</v>
      </c>
      <c r="B7" s="159">
        <f ca="1">VLOOKUP(B3,P[],7,TRUE)</f>
        <v>61.370678960549256</v>
      </c>
      <c r="C7" s="159">
        <f ca="1">VLOOKUP(C3,P[],7,TRUE)</f>
        <v>76.674173411256916</v>
      </c>
      <c r="D7" s="159">
        <f ca="1">VLOOKUP(D3,P[],7,TRUE)</f>
        <v>91.924016669568317</v>
      </c>
      <c r="E7" s="159">
        <f ca="1">VLOOKUP(E3,P[],7,TRUE)</f>
        <v>106.9517949729706</v>
      </c>
      <c r="F7" s="159">
        <f ca="1">VLOOKUP(F3,P[],7,TRUE)</f>
        <v>121.62668234262368</v>
      </c>
      <c r="G7" s="174">
        <f ca="1">VLOOKUP(G3,P[],7,TRUE)</f>
        <v>135.86897631126891</v>
      </c>
    </row>
    <row r="8" spans="1:7" s="157" customFormat="1" ht="19.5" x14ac:dyDescent="0.3">
      <c r="A8" s="168" t="str">
        <f ca="1">VLOOKUP(A3,P[],9,TRUE) &amp; " "&amp;ROUND(A7/13.333,2)</f>
        <v>Rohini 3.46</v>
      </c>
      <c r="B8" s="161" t="str">
        <f ca="1">VLOOKUP(B3,P[],9,TRUE) &amp; " "&amp;ROUND(B7/13.333,2)</f>
        <v>Mrigashira 4.6</v>
      </c>
      <c r="C8" s="161" t="str">
        <f ca="1">VLOOKUP(C3,P[],9,TRUE) &amp; " "&amp;ROUND(C7/13.333,2)</f>
        <v>Ardra 5.75</v>
      </c>
      <c r="D8" s="161" t="str">
        <f ca="1">VLOOKUP(D3,P[],9,TRUE) &amp; " "&amp;ROUND(D7/13.333,2)</f>
        <v>Punarvasu 6.89</v>
      </c>
      <c r="E8" s="161" t="str">
        <f ca="1">VLOOKUP(E3,P[],9,TRUE) &amp; " "&amp;ROUND(E7/13.333,2)</f>
        <v>Aslesha 8.02</v>
      </c>
      <c r="F8" s="161" t="str">
        <f ca="1">VLOOKUP(F3,P[],9,TRUE) &amp; " "&amp;ROUND(F7/13.333,2)</f>
        <v>Makha 9.12</v>
      </c>
      <c r="G8" s="175" t="str">
        <f ca="1">VLOOKUP(G3,P[],9,TRUE) &amp; " "&amp;ROUND(G7/13.333,2)</f>
        <v>Purva Phalguni 10.19</v>
      </c>
    </row>
    <row r="9" spans="1:7" s="157" customFormat="1" ht="19.5" x14ac:dyDescent="0.3">
      <c r="A9" s="169">
        <f ca="1">VLOOKUP(A3,P[],10,TRUE)</f>
        <v>43100.743564940945</v>
      </c>
      <c r="B9" s="163">
        <f ca="1">VLOOKUP(B3,P[],10,TRUE)</f>
        <v>43101.619443137817</v>
      </c>
      <c r="C9" s="163">
        <f ca="1">VLOOKUP(C3,P[],10,TRUE)</f>
        <v>43102.491693340788</v>
      </c>
      <c r="D9" s="163">
        <f ca="1">VLOOKUP(D3,P[],10,TRUE)</f>
        <v>43103.367603441926</v>
      </c>
      <c r="E9" s="163">
        <f ca="1">VLOOKUP(E3,P[],10,TRUE)</f>
        <v>43105.163397781595</v>
      </c>
      <c r="F9" s="163">
        <f ca="1">VLOOKUP(F3,P[],10,TRUE)</f>
        <v>43106.096416056418</v>
      </c>
      <c r="G9" s="176">
        <f ca="1">VLOOKUP(G3,P[],10,TRUE)</f>
        <v>43107.058155235289</v>
      </c>
    </row>
    <row r="10" spans="1:7" s="157" customFormat="1" ht="19.5" x14ac:dyDescent="0.3">
      <c r="A10" s="167" t="str">
        <f ca="1">VLOOKUP(A3,P[],11,TRUE)</f>
        <v>S13 (12.56)</v>
      </c>
      <c r="B10" s="159" t="str">
        <f ca="1">VLOOKUP(B3,P[],11,TRUE)</f>
        <v>S14 (13.74)</v>
      </c>
      <c r="C10" s="159" t="str">
        <f ca="1">VLOOKUP(C3,P[],11,TRUE)</f>
        <v>S15 (14.93)</v>
      </c>
      <c r="D10" s="159" t="str">
        <f ca="1">VLOOKUP(D3,P[],11,TRUE)</f>
        <v>K2 (16.12)</v>
      </c>
      <c r="E10" s="159" t="str">
        <f ca="1">VLOOKUP(E3,P[],11,TRUE)</f>
        <v>K3 (17.29)</v>
      </c>
      <c r="F10" s="159" t="str">
        <f ca="1">VLOOKUP(F3,P[],11,TRUE)</f>
        <v>K4 (18.43)</v>
      </c>
      <c r="G10" s="174" t="str">
        <f ca="1">VLOOKUP(G3,P[],11,TRUE)</f>
        <v>K5 (19.53)</v>
      </c>
    </row>
    <row r="11" spans="1:7" s="157" customFormat="1" ht="19.5" x14ac:dyDescent="0.3">
      <c r="A11" s="170" t="str">
        <f ca="1">VLOOKUP(A3,P[],13,TRUE)</f>
        <v>Taitula</v>
      </c>
      <c r="B11" s="165" t="str">
        <f ca="1">VLOOKUP(B3,P[],13,TRUE)</f>
        <v>Vanija</v>
      </c>
      <c r="C11" s="165" t="str">
        <f ca="1">VLOOKUP(C3,P[],13,TRUE)</f>
        <v>Bhava</v>
      </c>
      <c r="D11" s="165" t="str">
        <f ca="1">VLOOKUP(D3,P[],13,TRUE)</f>
        <v>Taitula</v>
      </c>
      <c r="E11" s="165" t="str">
        <f ca="1">VLOOKUP(E3,P[],13,TRUE)</f>
        <v>Vanija</v>
      </c>
      <c r="F11" s="165" t="str">
        <f ca="1">VLOOKUP(F3,P[],13,TRUE)</f>
        <v>Bhava</v>
      </c>
      <c r="G11" s="177" t="str">
        <f ca="1">VLOOKUP(G3,P[],13,TRUE)</f>
        <v>Taitula</v>
      </c>
    </row>
    <row r="12" spans="1:7" s="157" customFormat="1" ht="19.5" x14ac:dyDescent="0.3">
      <c r="A12" s="170" t="str">
        <f ca="1">VLOOKUP(A3,P[],14,TRUE)</f>
        <v>Shubha-शुभ-Su (22.63)</v>
      </c>
      <c r="B12" s="165" t="str">
        <f ca="1">VLOOKUP(B3,P[],14,TRUE)</f>
        <v>Shukla-शुक्ल-Mo (23.84)</v>
      </c>
      <c r="C12" s="165" t="str">
        <f ca="1">VLOOKUP(C3,P[],14,TRUE)</f>
        <v>Mahendra-महेन्द्र-Ra (25.07)</v>
      </c>
      <c r="D12" s="165" t="str">
        <f ca="1">VLOOKUP(D3,P[],14,TRUE)</f>
        <v>Vaidhriti-वैधृति-Ke (26.29)</v>
      </c>
      <c r="E12" s="165" t="str">
        <f ca="1">VLOOKUP(E3,P[],14,TRUE)</f>
        <v>Vishkambha-विष्कम्भ-Sa (0.49)</v>
      </c>
      <c r="F12" s="165" t="str">
        <f ca="1">VLOOKUP(F3,P[],14,TRUE)</f>
        <v>Priti-प्रीति-Me (1.67)</v>
      </c>
      <c r="G12" s="177" t="str">
        <f ca="1">VLOOKUP(G3,P[],14,TRUE)</f>
        <v>Ayushman-आयुष्मान-Ke (2.81)</v>
      </c>
    </row>
    <row r="13" spans="1:7" s="157" customFormat="1" ht="19.5" x14ac:dyDescent="0.3">
      <c r="A13" s="192" t="str">
        <f ca="1">VLOOKUP(A3,P[],18,TRUE)</f>
        <v>7Ma,8Me,7Ju,9Ve,9Sa,4Ra</v>
      </c>
      <c r="B13" s="193" t="str">
        <f ca="1">VLOOKUP(B3,P[],18,TRUE)</f>
        <v>7Ma,8Me,7Ju,9Ve,9Sa,4Ra</v>
      </c>
      <c r="C13" s="193" t="str">
        <f ca="1">VLOOKUP(C3,P[],18,TRUE)</f>
        <v>7Ma,8Me,7Ju,9Ve,9Sa,4Ra</v>
      </c>
      <c r="D13" s="193" t="str">
        <f ca="1">VLOOKUP(D3,P[],18,TRUE)</f>
        <v>7Ma,8Me,7Ju,9Ve,9Sa,4Ra</v>
      </c>
      <c r="E13" s="193" t="str">
        <f ca="1">VLOOKUP(E3,P[],18,TRUE)</f>
        <v>7Ma,8Me,7Ju,9Ve,9Sa,4Ra</v>
      </c>
      <c r="F13" s="193" t="str">
        <f ca="1">VLOOKUP(F3,P[],18,TRUE)</f>
        <v>7Ma,8Me,7Ju,9Ve,9Sa,4Ra</v>
      </c>
      <c r="G13" s="194" t="str">
        <f ca="1">VLOOKUP(G3,P[],18,TRUE)</f>
        <v>7Ma,8Me,7Ju,9Ve,9Sa,4Ra</v>
      </c>
    </row>
    <row r="14" spans="1:7" ht="5.85" customHeight="1" thickBot="1" x14ac:dyDescent="0.4">
      <c r="A14" s="171"/>
      <c r="B14" s="139"/>
      <c r="C14" s="139"/>
      <c r="D14" s="139"/>
      <c r="E14" s="139"/>
      <c r="F14" s="139"/>
      <c r="G14" s="178"/>
    </row>
    <row r="15" spans="1:7" s="180" customFormat="1" ht="37.5" x14ac:dyDescent="0.5">
      <c r="A15" s="181">
        <f ca="1">G3+1</f>
        <v>43107</v>
      </c>
      <c r="B15" s="182">
        <f ca="1">A15+1</f>
        <v>43108</v>
      </c>
      <c r="C15" s="182">
        <f t="shared" ref="C15:G15" ca="1" si="1">B15+1</f>
        <v>43109</v>
      </c>
      <c r="D15" s="182">
        <f t="shared" ca="1" si="1"/>
        <v>43110</v>
      </c>
      <c r="E15" s="182">
        <f t="shared" ca="1" si="1"/>
        <v>43111</v>
      </c>
      <c r="F15" s="182">
        <f t="shared" ca="1" si="1"/>
        <v>43112</v>
      </c>
      <c r="G15" s="183">
        <f t="shared" ca="1" si="1"/>
        <v>43113</v>
      </c>
    </row>
    <row r="16" spans="1:7" s="157" customFormat="1" ht="19.5" x14ac:dyDescent="0.3">
      <c r="A16" s="166">
        <f ca="1">VLOOKUP(A15,P[],3,TRUE)</f>
        <v>43107.274701005932</v>
      </c>
      <c r="B16" s="156">
        <f ca="1">VLOOKUP(B15,P[],3,TRUE)</f>
        <v>43108.274899687771</v>
      </c>
      <c r="C16" s="156">
        <f ca="1">VLOOKUP(C15,P[],3,TRUE)</f>
        <v>43109.27508724403</v>
      </c>
      <c r="D16" s="156">
        <f ca="1">VLOOKUP(D15,P[],3,TRUE)</f>
        <v>43110.275263673779</v>
      </c>
      <c r="E16" s="156">
        <f ca="1">VLOOKUP(E15,P[],3,TRUE)</f>
        <v>43111.275428500179</v>
      </c>
      <c r="F16" s="156">
        <f ca="1">VLOOKUP(F15,P[],3,TRUE)</f>
        <v>43112.275581724163</v>
      </c>
      <c r="G16" s="173">
        <f ca="1">VLOOKUP(G15,P[],3,TRUE)</f>
        <v>43113.275723185543</v>
      </c>
    </row>
    <row r="17" spans="1:7" s="157" customFormat="1" ht="19.5" x14ac:dyDescent="0.3">
      <c r="A17" s="166">
        <f ca="1">VLOOKUP(A15,P[],4,TRUE)</f>
        <v>43106.74688353161</v>
      </c>
      <c r="B17" s="156">
        <f ca="1">VLOOKUP(B15,P[],4,TRUE)</f>
        <v>43107.747279783289</v>
      </c>
      <c r="C17" s="156">
        <f ca="1">VLOOKUP(C15,P[],4,TRUE)</f>
        <v>43108.747676034967</v>
      </c>
      <c r="D17" s="156">
        <f ca="1">VLOOKUP(D15,P[],4,TRUE)</f>
        <v>43109.748071651018</v>
      </c>
      <c r="E17" s="156">
        <f ca="1">VLOOKUP(E15,P[],4,TRUE)</f>
        <v>43110.748466630976</v>
      </c>
      <c r="F17" s="156">
        <f ca="1">VLOOKUP(F15,P[],4,TRUE)</f>
        <v>43111.748860339678</v>
      </c>
      <c r="G17" s="173">
        <f ca="1">VLOOKUP(G15,P[],4,TRUE)</f>
        <v>43112.749252458612</v>
      </c>
    </row>
    <row r="18" spans="1:7" s="157" customFormat="1" ht="19.5" x14ac:dyDescent="0.3">
      <c r="A18" s="167">
        <f ca="1">VLOOKUP(A15,P[],6,TRUE)</f>
        <v>262.56216769008677</v>
      </c>
      <c r="B18" s="159">
        <f ca="1">VLOOKUP(B15,P[],6,TRUE)</f>
        <v>263.58134437228824</v>
      </c>
      <c r="C18" s="159">
        <f ca="1">VLOOKUP(C15,P[],6,TRUE)</f>
        <v>264.60054335738772</v>
      </c>
      <c r="D18" s="159">
        <f ca="1">VLOOKUP(D15,P[],6,TRUE)</f>
        <v>265.61975288499832</v>
      </c>
      <c r="E18" s="159">
        <f ca="1">VLOOKUP(E15,P[],6,TRUE)</f>
        <v>266.63895795207645</v>
      </c>
      <c r="F18" s="159">
        <f ca="1">VLOOKUP(F15,P[],6,TRUE)</f>
        <v>267.65814178643848</v>
      </c>
      <c r="G18" s="174">
        <f ca="1">VLOOKUP(G15,P[],6,TRUE)</f>
        <v>268.67728552734735</v>
      </c>
    </row>
    <row r="19" spans="1:7" s="157" customFormat="1" ht="19.5" x14ac:dyDescent="0.3">
      <c r="A19" s="167">
        <f ca="1">VLOOKUP(A15,P[],7,TRUE)</f>
        <v>149.65033637776921</v>
      </c>
      <c r="B19" s="159">
        <f ca="1">VLOOKUP(B15,P[],7,TRUE)</f>
        <v>162.9846513264398</v>
      </c>
      <c r="C19" s="159">
        <f ca="1">VLOOKUP(C15,P[],7,TRUE)</f>
        <v>175.9152694972673</v>
      </c>
      <c r="D19" s="159">
        <f ca="1">VLOOKUP(D15,P[],7,TRUE)</f>
        <v>188.5026617230491</v>
      </c>
      <c r="E19" s="159">
        <f ca="1">VLOOKUP(E15,P[],7,TRUE)</f>
        <v>200.81438123678893</v>
      </c>
      <c r="F19" s="159">
        <f ca="1">VLOOKUP(F15,P[],7,TRUE)</f>
        <v>212.9177419184908</v>
      </c>
      <c r="G19" s="174">
        <f ca="1">VLOOKUP(G15,P[],7,TRUE)</f>
        <v>224.87507838090886</v>
      </c>
    </row>
    <row r="20" spans="1:7" s="157" customFormat="1" ht="19.5" x14ac:dyDescent="0.3">
      <c r="A20" s="168" t="str">
        <f ca="1">VLOOKUP(A15,P[],9,TRUE) &amp; " "&amp;ROUND(A19/13.333,2)</f>
        <v>Uttara Phalguni 11.22</v>
      </c>
      <c r="B20" s="161" t="str">
        <f ca="1">VLOOKUP(B15,P[],9,TRUE) &amp; " "&amp;ROUND(B19/13.333,2)</f>
        <v>Hasta 12.22</v>
      </c>
      <c r="C20" s="161" t="str">
        <f ca="1">VLOOKUP(C15,P[],9,TRUE) &amp; " "&amp;ROUND(C19/13.333,2)</f>
        <v>Chitra 13.19</v>
      </c>
      <c r="D20" s="161" t="str">
        <f ca="1">VLOOKUP(D15,P[],9,TRUE) &amp; " "&amp;ROUND(D19/13.333,2)</f>
        <v>Swati 14.14</v>
      </c>
      <c r="E20" s="161" t="str">
        <f ca="1">VLOOKUP(E15,P[],9,TRUE) &amp; " "&amp;ROUND(E19/13.333,2)</f>
        <v>Visakha 15.06</v>
      </c>
      <c r="F20" s="161" t="str">
        <f ca="1">VLOOKUP(F15,P[],9,TRUE) &amp; " "&amp;ROUND(F19/13.333,2)</f>
        <v>Visakha 15.97</v>
      </c>
      <c r="G20" s="175" t="str">
        <f ca="1">VLOOKUP(G15,P[],9,TRUE) &amp; " "&amp;ROUND(G19/13.333,2)</f>
        <v>Anuradha 16.87</v>
      </c>
    </row>
    <row r="21" spans="1:7" s="157" customFormat="1" ht="19.5" x14ac:dyDescent="0.3">
      <c r="A21" s="169">
        <f ca="1">VLOOKUP(A15,P[],10,TRUE)</f>
        <v>43108.051022845655</v>
      </c>
      <c r="B21" s="163">
        <f ca="1">VLOOKUP(B15,P[],10,TRUE)</f>
        <v>43109.075373634972</v>
      </c>
      <c r="C21" s="163">
        <f ca="1">VLOOKUP(C15,P[],10,TRUE)</f>
        <v>43110.129378096557</v>
      </c>
      <c r="D21" s="163">
        <f ca="1">VLOOKUP(D15,P[],10,TRUE)</f>
        <v>43111.209270765881</v>
      </c>
      <c r="E21" s="163">
        <f ca="1">VLOOKUP(E15,P[],10,TRUE)</f>
        <v>43112.309923846515</v>
      </c>
      <c r="F21" s="163">
        <f ca="1">VLOOKUP(F15,P[],10,TRUE)</f>
        <v>43112.310342827215</v>
      </c>
      <c r="G21" s="176">
        <f ca="1">VLOOKUP(G15,P[],10,TRUE)</f>
        <v>43113.426724392972</v>
      </c>
    </row>
    <row r="22" spans="1:7" s="157" customFormat="1" ht="19.5" x14ac:dyDescent="0.3">
      <c r="A22" s="167" t="str">
        <f ca="1">VLOOKUP(A15,P[],11,TRUE)</f>
        <v>K6 (20.59)</v>
      </c>
      <c r="B22" s="159" t="str">
        <f ca="1">VLOOKUP(B15,P[],11,TRUE)</f>
        <v>K7 (21.62)</v>
      </c>
      <c r="C22" s="159" t="str">
        <f ca="1">VLOOKUP(C15,P[],11,TRUE)</f>
        <v>K8 (22.61)</v>
      </c>
      <c r="D22" s="159" t="str">
        <f ca="1">VLOOKUP(D15,P[],11,TRUE)</f>
        <v>K9 (23.57)</v>
      </c>
      <c r="E22" s="159" t="str">
        <f ca="1">VLOOKUP(E15,P[],11,TRUE)</f>
        <v>K10 (24.51)</v>
      </c>
      <c r="F22" s="159" t="str">
        <f ca="1">VLOOKUP(F15,P[],11,TRUE)</f>
        <v>K11 (25.44)</v>
      </c>
      <c r="G22" s="174" t="str">
        <f ca="1">VLOOKUP(G15,P[],11,TRUE)</f>
        <v>K12 (26.35)</v>
      </c>
    </row>
    <row r="23" spans="1:7" s="157" customFormat="1" ht="19.5" x14ac:dyDescent="0.3">
      <c r="A23" s="170" t="str">
        <f ca="1">VLOOKUP(A15,P[],13,TRUE)</f>
        <v>Vanija</v>
      </c>
      <c r="B23" s="165" t="str">
        <f ca="1">VLOOKUP(B15,P[],13,TRUE)</f>
        <v>Bhava</v>
      </c>
      <c r="C23" s="165" t="str">
        <f ca="1">VLOOKUP(C15,P[],13,TRUE)</f>
        <v>Kaulava</v>
      </c>
      <c r="D23" s="165" t="str">
        <f ca="1">VLOOKUP(D15,P[],13,TRUE)</f>
        <v>Garija</v>
      </c>
      <c r="E23" s="165" t="str">
        <f ca="1">VLOOKUP(E15,P[],13,TRUE)</f>
        <v>Vishti</v>
      </c>
      <c r="F23" s="165" t="str">
        <f ca="1">VLOOKUP(F15,P[],13,TRUE)</f>
        <v>Bhava</v>
      </c>
      <c r="G23" s="177" t="str">
        <f ca="1">VLOOKUP(G15,P[],13,TRUE)</f>
        <v>Kaulava</v>
      </c>
    </row>
    <row r="24" spans="1:7" s="157" customFormat="1" ht="19.5" x14ac:dyDescent="0.3">
      <c r="A24" s="170" t="str">
        <f ca="1">VLOOKUP(A15,P[],14,TRUE)</f>
        <v>Saubhagya-सौभाग्य-Ve (3.92)</v>
      </c>
      <c r="B24" s="165" t="str">
        <f ca="1">VLOOKUP(B15,P[],14,TRUE)</f>
        <v>Shobhana-शोभन-Su (5)</v>
      </c>
      <c r="C24" s="165" t="str">
        <f ca="1">VLOOKUP(C15,P[],14,TRUE)</f>
        <v>Sukarman-सुकर्मा -Ma (6.04)</v>
      </c>
      <c r="D24" s="165" t="str">
        <f ca="1">VLOOKUP(D15,P[],14,TRUE)</f>
        <v>Dhriti-धृति -Ra (7.06)</v>
      </c>
      <c r="E24" s="165" t="str">
        <f ca="1">VLOOKUP(E15,P[],14,TRUE)</f>
        <v>Shula-शूल -Ju (8.06)</v>
      </c>
      <c r="F24" s="165" t="str">
        <f ca="1">VLOOKUP(F15,P[],14,TRUE)</f>
        <v>Ganda-गण्ड -Sa (9.05)</v>
      </c>
      <c r="G24" s="177" t="str">
        <f ca="1">VLOOKUP(G15,P[],14,TRUE)</f>
        <v>Vriddhi-वृद्धि -Me (10.02)</v>
      </c>
    </row>
    <row r="25" spans="1:7" s="157" customFormat="1" ht="19.5" x14ac:dyDescent="0.3">
      <c r="A25" s="192" t="str">
        <f ca="1">VLOOKUP(A15,P[],18,TRUE)</f>
        <v>7Ma,9Me,7Ju,9Ve,9Sa,4Ra</v>
      </c>
      <c r="B25" s="193" t="str">
        <f ca="1">VLOOKUP(B15,P[],18,TRUE)</f>
        <v>7Ma,9Me,7Ju,9Ve,9Sa,4Ra</v>
      </c>
      <c r="C25" s="193" t="str">
        <f ca="1">VLOOKUP(C15,P[],18,TRUE)</f>
        <v>7Ma,9Me,7Ju,9Ve,9Sa,4Ra</v>
      </c>
      <c r="D25" s="193" t="str">
        <f ca="1">VLOOKUP(D15,P[],18,TRUE)</f>
        <v>7Ma,9Me,7Ju,9Ve,9Sa,4Ra</v>
      </c>
      <c r="E25" s="193" t="str">
        <f ca="1">VLOOKUP(E15,P[],18,TRUE)</f>
        <v>7Ma,9Me,7Ju,9Ve,9Sa,4Ra</v>
      </c>
      <c r="F25" s="193" t="str">
        <f ca="1">VLOOKUP(F15,P[],18,TRUE)</f>
        <v>7Ma,9Me,7Ju,9Ve,9Sa,4Ra</v>
      </c>
      <c r="G25" s="194" t="str">
        <f ca="1">VLOOKUP(G15,P[],18,TRUE)</f>
        <v>7Ma,9Me,7Ju,9Ve,9Sa,4Ra</v>
      </c>
    </row>
    <row r="26" spans="1:7" ht="5.85" customHeight="1" thickBot="1" x14ac:dyDescent="0.4">
      <c r="A26" s="171"/>
      <c r="B26" s="139"/>
      <c r="C26" s="139"/>
      <c r="D26" s="139"/>
      <c r="E26" s="139"/>
      <c r="F26" s="139"/>
      <c r="G26" s="178"/>
    </row>
    <row r="27" spans="1:7" s="141" customFormat="1" ht="27.75" x14ac:dyDescent="0.4">
      <c r="A27" s="172">
        <f ca="1">G15+1</f>
        <v>43114</v>
      </c>
      <c r="B27" s="142">
        <f ca="1">A27+1</f>
        <v>43115</v>
      </c>
      <c r="C27" s="142">
        <f t="shared" ref="C27:G27" ca="1" si="2">B27+1</f>
        <v>43116</v>
      </c>
      <c r="D27" s="142">
        <f t="shared" ca="1" si="2"/>
        <v>43117</v>
      </c>
      <c r="E27" s="142">
        <f t="shared" ca="1" si="2"/>
        <v>43118</v>
      </c>
      <c r="F27" s="142">
        <f t="shared" ca="1" si="2"/>
        <v>43119</v>
      </c>
      <c r="G27" s="179">
        <f t="shared" ca="1" si="2"/>
        <v>43120</v>
      </c>
    </row>
    <row r="28" spans="1:7" s="157" customFormat="1" ht="19.5" x14ac:dyDescent="0.3">
      <c r="A28" s="166">
        <f ca="1">VLOOKUP(A27,P[],3,TRUE)</f>
        <v>43114.275852408413</v>
      </c>
      <c r="B28" s="156">
        <f ca="1">VLOOKUP(B27,P[],3,TRUE)</f>
        <v>43115.275969551563</v>
      </c>
      <c r="C28" s="156">
        <f ca="1">VLOOKUP(C27,P[],3,TRUE)</f>
        <v>43116.276074296948</v>
      </c>
      <c r="D28" s="156">
        <f ca="1">VLOOKUP(D27,P[],3,TRUE)</f>
        <v>43117.27616648531</v>
      </c>
      <c r="E28" s="156">
        <f ca="1">VLOOKUP(E27,P[],3,TRUE)</f>
        <v>43118.276245958325</v>
      </c>
      <c r="F28" s="156">
        <f ca="1">VLOOKUP(F27,P[],3,TRUE)</f>
        <v>43119.276312556271</v>
      </c>
      <c r="G28" s="173">
        <f ca="1">VLOOKUP(G27,P[],3,TRUE)</f>
        <v>43120.276366438869</v>
      </c>
    </row>
    <row r="29" spans="1:7" s="157" customFormat="1" ht="19.5" x14ac:dyDescent="0.3">
      <c r="A29" s="166">
        <f ca="1">VLOOKUP(A27,P[],4,TRUE)</f>
        <v>43113.749642511408</v>
      </c>
      <c r="B29" s="156">
        <f ca="1">VLOOKUP(B27,P[],4,TRUE)</f>
        <v>43114.750030338808</v>
      </c>
      <c r="C29" s="156">
        <f ca="1">VLOOKUP(C27,P[],4,TRUE)</f>
        <v>43115.750415464441</v>
      </c>
      <c r="D29" s="156">
        <f ca="1">VLOOKUP(D27,P[],4,TRUE)</f>
        <v>43116.750797569795</v>
      </c>
      <c r="E29" s="156">
        <f ca="1">VLOOKUP(E27,P[],4,TRUE)</f>
        <v>43117.751176337755</v>
      </c>
      <c r="F29" s="156">
        <f ca="1">VLOOKUP(F27,P[],4,TRUE)</f>
        <v>43118.751551290552</v>
      </c>
      <c r="G29" s="173">
        <f ca="1">VLOOKUP(G27,P[],4,TRUE)</f>
        <v>43119.751922269861</v>
      </c>
    </row>
    <row r="30" spans="1:7" s="157" customFormat="1" ht="19.5" x14ac:dyDescent="0.3">
      <c r="A30" s="167">
        <f ca="1">VLOOKUP(A27,P[],6,TRUE)</f>
        <v>269.69636834640039</v>
      </c>
      <c r="B30" s="159">
        <f ca="1">VLOOKUP(B27,P[],6,TRUE)</f>
        <v>270.71536870650743</v>
      </c>
      <c r="C30" s="159">
        <f ca="1">VLOOKUP(C27,P[],6,TRUE)</f>
        <v>271.73426353968762</v>
      </c>
      <c r="D30" s="159">
        <f ca="1">VLOOKUP(D27,P[],6,TRUE)</f>
        <v>272.75302919998313</v>
      </c>
      <c r="E30" s="159">
        <f ca="1">VLOOKUP(E27,P[],6,TRUE)</f>
        <v>273.77164158329265</v>
      </c>
      <c r="F30" s="159">
        <f ca="1">VLOOKUP(F27,P[],6,TRUE)</f>
        <v>274.79007639284964</v>
      </c>
      <c r="G30" s="174">
        <f ca="1">VLOOKUP(G27,P[],6,TRUE)</f>
        <v>275.80830974807805</v>
      </c>
    </row>
    <row r="31" spans="1:7" s="157" customFormat="1" ht="19.5" x14ac:dyDescent="0.3">
      <c r="A31" s="167">
        <f ca="1">VLOOKUP(A27,P[],7,TRUE)</f>
        <v>236.74133978677153</v>
      </c>
      <c r="B31" s="159">
        <f ca="1">VLOOKUP(B27,P[],7,TRUE)</f>
        <v>248.56357272981663</v>
      </c>
      <c r="C31" s="159">
        <f ca="1">VLOOKUP(C27,P[],7,TRUE)</f>
        <v>260.38173797168412</v>
      </c>
      <c r="D31" s="159">
        <f ca="1">VLOOKUP(D27,P[],7,TRUE)</f>
        <v>272.23049687391011</v>
      </c>
      <c r="E31" s="159">
        <f ca="1">VLOOKUP(E27,P[],7,TRUE)</f>
        <v>284.14164451674719</v>
      </c>
      <c r="F31" s="159">
        <f ca="1">VLOOKUP(F27,P[],7,TRUE)</f>
        <v>296.14687280277377</v>
      </c>
      <c r="G31" s="174">
        <f ca="1">VLOOKUP(G27,P[],7,TRUE)</f>
        <v>308.28039527398818</v>
      </c>
    </row>
    <row r="32" spans="1:7" s="157" customFormat="1" ht="19.5" x14ac:dyDescent="0.3">
      <c r="A32" s="168" t="str">
        <f ca="1">VLOOKUP(A27,P[],9,TRUE) &amp; " "&amp;ROUND(A31/13.333,2)</f>
        <v>Jyestha 17.76</v>
      </c>
      <c r="B32" s="161" t="str">
        <f ca="1">VLOOKUP(B27,P[],9,TRUE) &amp; " "&amp;ROUND(B31/13.333,2)</f>
        <v>Moola 18.64</v>
      </c>
      <c r="C32" s="161" t="str">
        <f ca="1">VLOOKUP(C27,P[],9,TRUE) &amp; " "&amp;ROUND(C31/13.333,2)</f>
        <v>Purva Asadha 19.53</v>
      </c>
      <c r="D32" s="161" t="str">
        <f ca="1">VLOOKUP(D27,P[],9,TRUE) &amp; " "&amp;ROUND(D31/13.333,2)</f>
        <v>Uttara Asadha 20.42</v>
      </c>
      <c r="E32" s="161" t="str">
        <f ca="1">VLOOKUP(E27,P[],9,TRUE) &amp; " "&amp;ROUND(E31/13.333,2)</f>
        <v>Sravana 21.31</v>
      </c>
      <c r="F32" s="161" t="str">
        <f ca="1">VLOOKUP(F27,P[],9,TRUE) &amp; " "&amp;ROUND(F31/13.333,2)</f>
        <v>Dhanistha 22.21</v>
      </c>
      <c r="G32" s="175" t="str">
        <f ca="1">VLOOKUP(G27,P[],9,TRUE) &amp; " "&amp;ROUND(G31/13.333,2)</f>
        <v>Satabhisaj 23.12</v>
      </c>
    </row>
    <row r="33" spans="1:7" s="157" customFormat="1" ht="19.5" x14ac:dyDescent="0.3">
      <c r="A33" s="169">
        <f ca="1">VLOOKUP(A27,P[],10,TRUE)</f>
        <v>43114.551522999463</v>
      </c>
      <c r="B33" s="163">
        <f ca="1">VLOOKUP(B27,P[],10,TRUE)</f>
        <v>43115.679607520426</v>
      </c>
      <c r="C33" s="163">
        <f ca="1">VLOOKUP(C27,P[],10,TRUE)</f>
        <v>43116.806552479866</v>
      </c>
      <c r="D33" s="163">
        <f ca="1">VLOOKUP(D27,P[],10,TRUE)</f>
        <v>43117.928506698438</v>
      </c>
      <c r="E33" s="163">
        <f ca="1">VLOOKUP(E27,P[],10,TRUE)</f>
        <v>43119.041937434165</v>
      </c>
      <c r="F33" s="163">
        <f ca="1">VLOOKUP(F27,P[],10,TRUE)</f>
        <v>43120.143361735325</v>
      </c>
      <c r="G33" s="176">
        <f ca="1">VLOOKUP(G27,P[],10,TRUE)</f>
        <v>43121.229183851246</v>
      </c>
    </row>
    <row r="34" spans="1:7" s="157" customFormat="1" ht="19.5" x14ac:dyDescent="0.3">
      <c r="A34" s="167" t="str">
        <f ca="1">VLOOKUP(A27,P[],11,TRUE)</f>
        <v>K13 (27.25)</v>
      </c>
      <c r="B34" s="159" t="str">
        <f ca="1">VLOOKUP(B27,P[],11,TRUE)</f>
        <v>K14 (28.15)</v>
      </c>
      <c r="C34" s="159" t="str">
        <f ca="1">VLOOKUP(C27,P[],11,TRUE)</f>
        <v>K15 (29.05)</v>
      </c>
      <c r="D34" s="159" t="str">
        <f ca="1">VLOOKUP(D27,P[],11,TRUE)</f>
        <v>K15 (29.96)</v>
      </c>
      <c r="E34" s="159" t="str">
        <f ca="1">VLOOKUP(E27,P[],11,TRUE)</f>
        <v>S1 (0.86)</v>
      </c>
      <c r="F34" s="159" t="str">
        <f ca="1">VLOOKUP(F27,P[],11,TRUE)</f>
        <v>S2 (1.78)</v>
      </c>
      <c r="G34" s="174" t="str">
        <f ca="1">VLOOKUP(G27,P[],11,TRUE)</f>
        <v>S3 (2.71)</v>
      </c>
    </row>
    <row r="35" spans="1:7" s="157" customFormat="1" ht="19.5" x14ac:dyDescent="0.3">
      <c r="A35" s="170" t="str">
        <f ca="1">VLOOKUP(A27,P[],13,TRUE)</f>
        <v>Garija</v>
      </c>
      <c r="B35" s="165" t="str">
        <f ca="1">VLOOKUP(B27,P[],13,TRUE)</f>
        <v>Vishti</v>
      </c>
      <c r="C35" s="165" t="str">
        <f ca="1">VLOOKUP(C27,P[],13,TRUE)</f>
        <v>Chatushapda</v>
      </c>
      <c r="D35" s="165" t="str">
        <f ca="1">VLOOKUP(D27,P[],13,TRUE)</f>
        <v>Naaga</v>
      </c>
      <c r="E35" s="165" t="str">
        <f ca="1">VLOOKUP(E27,P[],13,TRUE)</f>
        <v>Bhava</v>
      </c>
      <c r="F35" s="165" t="str">
        <f ca="1">VLOOKUP(F27,P[],13,TRUE)</f>
        <v>Kaulava</v>
      </c>
      <c r="G35" s="177" t="str">
        <f ca="1">VLOOKUP(G27,P[],13,TRUE)</f>
        <v>Garija</v>
      </c>
    </row>
    <row r="36" spans="1:7" s="157" customFormat="1" ht="19.5" x14ac:dyDescent="0.3">
      <c r="A36" s="170" t="str">
        <f ca="1">VLOOKUP(A27,P[],14,TRUE)</f>
        <v>Vriddhi-वृद्धि -Me (10.99)</v>
      </c>
      <c r="B36" s="165" t="str">
        <f ca="1">VLOOKUP(B27,P[],14,TRUE)</f>
        <v>Dhruva-ध्रुव -Ke (11.95)</v>
      </c>
      <c r="C36" s="165" t="str">
        <f ca="1">VLOOKUP(C27,P[],14,TRUE)</f>
        <v>Vyaghata-व्याघात-ve (12.91)</v>
      </c>
      <c r="D36" s="165" t="str">
        <f ca="1">VLOOKUP(D27,P[],14,TRUE)</f>
        <v>Harshana-हर्षण-su (13.88)</v>
      </c>
      <c r="E36" s="165" t="str">
        <f ca="1">VLOOKUP(E27,P[],14,TRUE)</f>
        <v>Vajra-वज्र-Mo (14.85)</v>
      </c>
      <c r="F36" s="165" t="str">
        <f ca="1">VLOOKUP(F27,P[],14,TRUE)</f>
        <v>Siddhi-सिद्धि-Ma (15.83)</v>
      </c>
      <c r="G36" s="177" t="str">
        <f ca="1">VLOOKUP(G27,P[],14,TRUE)</f>
        <v>Vyatipata-व्यतिपात-Ra (16.81)</v>
      </c>
    </row>
    <row r="37" spans="1:7" s="157" customFormat="1" ht="19.5" x14ac:dyDescent="0.3">
      <c r="A37" s="192" t="str">
        <f ca="1">VLOOKUP(A27,P[],18,TRUE)</f>
        <v>7Ma,9Me,7Ju,10Ve,9Sa,4Ra</v>
      </c>
      <c r="B37" s="193" t="str">
        <f ca="1">VLOOKUP(B27,P[],18,TRUE)</f>
        <v>7Ma,9Me,7Ju,10Ve,9Sa,4Ra</v>
      </c>
      <c r="C37" s="193" t="str">
        <f ca="1">VLOOKUP(C27,P[],18,TRUE)</f>
        <v>7Ma,9Me,7Ju,10Ve,9Sa,4Ra</v>
      </c>
      <c r="D37" s="193" t="str">
        <f ca="1">VLOOKUP(D27,P[],18,TRUE)</f>
        <v>8Ma,9Me,7Ju,10Ve,9Sa,4Ra</v>
      </c>
      <c r="E37" s="193" t="str">
        <f ca="1">VLOOKUP(E27,P[],18,TRUE)</f>
        <v>8Ma,9Me,7Ju,10Ve,9Sa,4Ra</v>
      </c>
      <c r="F37" s="193" t="str">
        <f ca="1">VLOOKUP(F27,P[],18,TRUE)</f>
        <v>8Ma,9Me,7Ju,10Ve,9Sa,4Ra</v>
      </c>
      <c r="G37" s="194" t="str">
        <f ca="1">VLOOKUP(G27,P[],18,TRUE)</f>
        <v>8Ma,9Me,7Ju,10Ve,9Sa,4Ra</v>
      </c>
    </row>
    <row r="38" spans="1:7" ht="5.85" customHeight="1" thickBot="1" x14ac:dyDescent="0.4">
      <c r="A38" s="171"/>
      <c r="B38" s="139"/>
      <c r="C38" s="139"/>
      <c r="D38" s="139"/>
      <c r="E38" s="139"/>
      <c r="F38" s="139"/>
      <c r="G38" s="178"/>
    </row>
    <row r="39" spans="1:7" s="180" customFormat="1" ht="37.5" x14ac:dyDescent="0.5">
      <c r="A39" s="181">
        <f ca="1">G27+1</f>
        <v>43121</v>
      </c>
      <c r="B39" s="182">
        <f ca="1">A39+1</f>
        <v>43122</v>
      </c>
      <c r="C39" s="182">
        <f t="shared" ref="C39:G39" ca="1" si="3">B39+1</f>
        <v>43123</v>
      </c>
      <c r="D39" s="182">
        <f t="shared" ca="1" si="3"/>
        <v>43124</v>
      </c>
      <c r="E39" s="182">
        <f t="shared" ca="1" si="3"/>
        <v>43125</v>
      </c>
      <c r="F39" s="182">
        <f t="shared" ca="1" si="3"/>
        <v>43126</v>
      </c>
      <c r="G39" s="183">
        <f t="shared" ca="1" si="3"/>
        <v>43127</v>
      </c>
    </row>
    <row r="40" spans="1:7" s="157" customFormat="1" ht="19.5" x14ac:dyDescent="0.3">
      <c r="A40" s="166">
        <f ca="1">VLOOKUP(A39,P[],3,TRUE)</f>
        <v>43121.276407129284</v>
      </c>
      <c r="B40" s="156">
        <f ca="1">VLOOKUP(B39,P[],3,TRUE)</f>
        <v>43122.27643494463</v>
      </c>
      <c r="C40" s="156">
        <f ca="1">VLOOKUP(C39,P[],3,TRUE)</f>
        <v>43123.276449567791</v>
      </c>
      <c r="D40" s="156">
        <f ca="1">VLOOKUP(D39,P[],3,TRUE)</f>
        <v>43124.276450839046</v>
      </c>
      <c r="E40" s="156">
        <f ca="1">VLOOKUP(E39,P[],3,TRUE)</f>
        <v>43125.276439077374</v>
      </c>
      <c r="F40" s="156">
        <f ca="1">VLOOKUP(F39,P[],3,TRUE)</f>
        <v>43126.276414122585</v>
      </c>
      <c r="G40" s="173">
        <f ca="1">VLOOKUP(G39,P[],3,TRUE)</f>
        <v>43127.276376134869</v>
      </c>
    </row>
    <row r="41" spans="1:7" s="157" customFormat="1" ht="19.5" x14ac:dyDescent="0.3">
      <c r="A41" s="166">
        <f ca="1">VLOOKUP(A39,P[],4,TRUE)</f>
        <v>43120.752288957636</v>
      </c>
      <c r="B41" s="156">
        <f ca="1">VLOOKUP(B39,P[],4,TRUE)</f>
        <v>43121.752651035829</v>
      </c>
      <c r="C41" s="156">
        <f ca="1">VLOOKUP(C39,P[],4,TRUE)</f>
        <v>43122.753008186861</v>
      </c>
      <c r="D41" s="156">
        <f ca="1">VLOOKUP(D39,P[],4,TRUE)</f>
        <v>43123.75336025194</v>
      </c>
      <c r="E41" s="156">
        <f ca="1">VLOOKUP(E39,P[],4,TRUE)</f>
        <v>43124.753706912554</v>
      </c>
      <c r="F41" s="156">
        <f ca="1">VLOOKUP(F39,P[],4,TRUE)</f>
        <v>43125.754047851122</v>
      </c>
      <c r="G41" s="173">
        <f ca="1">VLOOKUP(G39,P[],4,TRUE)</f>
        <v>43126.754383226435</v>
      </c>
    </row>
    <row r="42" spans="1:7" s="157" customFormat="1" ht="19.5" x14ac:dyDescent="0.3">
      <c r="A42" s="167">
        <f ca="1">VLOOKUP(A39,P[],6,TRUE)</f>
        <v>276.82631756341959</v>
      </c>
      <c r="B42" s="159">
        <f ca="1">VLOOKUP(B39,P[],6,TRUE)</f>
        <v>277.84407744765321</v>
      </c>
      <c r="C42" s="159">
        <f ca="1">VLOOKUP(C39,P[],6,TRUE)</f>
        <v>278.86156777964504</v>
      </c>
      <c r="D42" s="159">
        <f ca="1">VLOOKUP(D39,P[],6,TRUE)</f>
        <v>279.87876909442519</v>
      </c>
      <c r="E42" s="159">
        <f ca="1">VLOOKUP(E39,P[],6,TRUE)</f>
        <v>280.89566502134176</v>
      </c>
      <c r="F42" s="159">
        <f ca="1">VLOOKUP(F39,P[],6,TRUE)</f>
        <v>281.91224197276131</v>
      </c>
      <c r="G42" s="174">
        <f ca="1">VLOOKUP(G39,P[],6,TRUE)</f>
        <v>282.92849070039858</v>
      </c>
    </row>
    <row r="43" spans="1:7" s="157" customFormat="1" ht="19.5" x14ac:dyDescent="0.3">
      <c r="A43" s="167">
        <f ca="1">VLOOKUP(A39,P[],7,TRUE)</f>
        <v>320.58084386923281</v>
      </c>
      <c r="B43" s="159">
        <f ca="1">VLOOKUP(B39,P[],7,TRUE)</f>
        <v>333.09191884974416</v>
      </c>
      <c r="C43" s="159">
        <f ca="1">VLOOKUP(C39,P[],7,TRUE)</f>
        <v>345.86123289770876</v>
      </c>
      <c r="D43" s="159">
        <f ca="1">VLOOKUP(D39,P[],7,TRUE)</f>
        <v>358.9369902263208</v>
      </c>
      <c r="E43" s="159">
        <f ca="1">VLOOKUP(E39,P[],7,TRUE)</f>
        <v>12.362160063617001</v>
      </c>
      <c r="F43" s="159">
        <f ca="1">VLOOKUP(F39,P[],7,TRUE)</f>
        <v>26.166136145464755</v>
      </c>
      <c r="G43" s="174">
        <f ca="1">VLOOKUP(G39,P[],7,TRUE)</f>
        <v>40.354665527863489</v>
      </c>
    </row>
    <row r="44" spans="1:7" s="157" customFormat="1" ht="19.5" x14ac:dyDescent="0.3">
      <c r="A44" s="168" t="str">
        <f ca="1">VLOOKUP(A39,P[],9,TRUE) &amp; " "&amp;ROUND(A43/13.333,2)</f>
        <v>Purva Bhadrapada 24.04</v>
      </c>
      <c r="B44" s="161" t="str">
        <f ca="1">VLOOKUP(B39,P[],9,TRUE) &amp; " "&amp;ROUND(B43/13.333,2)</f>
        <v>Purva Bhadrapada 24.98</v>
      </c>
      <c r="C44" s="161" t="str">
        <f ca="1">VLOOKUP(C39,P[],9,TRUE) &amp; " "&amp;ROUND(C43/13.333,2)</f>
        <v>Uttara Bhadrapada 25.94</v>
      </c>
      <c r="D44" s="161" t="str">
        <f ca="1">VLOOKUP(D39,P[],9,TRUE) &amp; " "&amp;ROUND(D43/13.333,2)</f>
        <v>Revati 26.92</v>
      </c>
      <c r="E44" s="161" t="str">
        <f ca="1">VLOOKUP(E39,P[],9,TRUE) &amp; " "&amp;ROUND(E43/13.333,2)</f>
        <v>Aswini 0.93</v>
      </c>
      <c r="F44" s="161" t="str">
        <f ca="1">VLOOKUP(F39,P[],9,TRUE) &amp; " "&amp;ROUND(F43/13.333,2)</f>
        <v>Bharani 1.96</v>
      </c>
      <c r="G44" s="175" t="str">
        <f ca="1">VLOOKUP(G39,P[],9,TRUE) &amp; " "&amp;ROUND(G43/13.333,2)</f>
        <v>Rohini 3.03</v>
      </c>
    </row>
    <row r="45" spans="1:7" s="157" customFormat="1" ht="19.5" x14ac:dyDescent="0.3">
      <c r="A45" s="169">
        <f ca="1">VLOOKUP(A39,P[],10,TRUE)</f>
        <v>43122.29573154376</v>
      </c>
      <c r="B45" s="163">
        <f ca="1">VLOOKUP(B39,P[],10,TRUE)</f>
        <v>43122.295341051329</v>
      </c>
      <c r="C45" s="163">
        <f ca="1">VLOOKUP(C39,P[],10,TRUE)</f>
        <v>43123.338047131328</v>
      </c>
      <c r="D45" s="163">
        <f ca="1">VLOOKUP(D39,P[],10,TRUE)</f>
        <v>43124.27338368824</v>
      </c>
      <c r="E45" s="163">
        <f ca="1">VLOOKUP(E39,P[],10,TRUE)</f>
        <v>43125.346791925607</v>
      </c>
      <c r="F45" s="163">
        <f ca="1">VLOOKUP(F39,P[],10,TRUE)</f>
        <v>43126.311689907248</v>
      </c>
      <c r="G45" s="176">
        <f ca="1">VLOOKUP(G39,P[],10,TRUE)</f>
        <v>43128.168622978919</v>
      </c>
    </row>
    <row r="46" spans="1:7" s="157" customFormat="1" ht="19.5" x14ac:dyDescent="0.3">
      <c r="A46" s="167" t="str">
        <f ca="1">VLOOKUP(A39,P[],11,TRUE)</f>
        <v>S4 (3.65)</v>
      </c>
      <c r="B46" s="159" t="str">
        <f ca="1">VLOOKUP(B39,P[],11,TRUE)</f>
        <v>S5 (4.6)</v>
      </c>
      <c r="C46" s="159" t="str">
        <f ca="1">VLOOKUP(C39,P[],11,TRUE)</f>
        <v>S6 (5.58)</v>
      </c>
      <c r="D46" s="159" t="str">
        <f ca="1">VLOOKUP(D39,P[],11,TRUE)</f>
        <v>S7 (6.59)</v>
      </c>
      <c r="E46" s="159" t="str">
        <f ca="1">VLOOKUP(E39,P[],11,TRUE)</f>
        <v>S8 (7.62)</v>
      </c>
      <c r="F46" s="159" t="str">
        <f ca="1">VLOOKUP(F39,P[],11,TRUE)</f>
        <v>S9 (8.69)</v>
      </c>
      <c r="G46" s="174" t="str">
        <f ca="1">VLOOKUP(G39,P[],11,TRUE)</f>
        <v>S10 (9.79)</v>
      </c>
    </row>
    <row r="47" spans="1:7" s="157" customFormat="1" ht="19.5" x14ac:dyDescent="0.3">
      <c r="A47" s="170" t="str">
        <f ca="1">VLOOKUP(A39,P[],13,TRUE)</f>
        <v>Vishti</v>
      </c>
      <c r="B47" s="165" t="str">
        <f ca="1">VLOOKUP(B39,P[],13,TRUE)</f>
        <v>Baalava</v>
      </c>
      <c r="C47" s="165" t="str">
        <f ca="1">VLOOKUP(C39,P[],13,TRUE)</f>
        <v>Taitula</v>
      </c>
      <c r="D47" s="165" t="str">
        <f ca="1">VLOOKUP(D39,P[],13,TRUE)</f>
        <v>Vanija</v>
      </c>
      <c r="E47" s="165" t="str">
        <f ca="1">VLOOKUP(E39,P[],13,TRUE)</f>
        <v>Bhava</v>
      </c>
      <c r="F47" s="165" t="str">
        <f ca="1">VLOOKUP(F39,P[],13,TRUE)</f>
        <v>Kaulava</v>
      </c>
      <c r="G47" s="177" t="str">
        <f ca="1">VLOOKUP(G39,P[],13,TRUE)</f>
        <v>Garija</v>
      </c>
    </row>
    <row r="48" spans="1:7" s="157" customFormat="1" ht="19.5" x14ac:dyDescent="0.3">
      <c r="A48" s="170" t="str">
        <f ca="1">VLOOKUP(A39,P[],14,TRUE)</f>
        <v>Varigha-वरीयस्-Ju (17.81)</v>
      </c>
      <c r="B48" s="165" t="str">
        <f ca="1">VLOOKUP(B39,P[],14,TRUE)</f>
        <v>Parigha-परिघ-Sa (18.83)</v>
      </c>
      <c r="C48" s="165" t="str">
        <f ca="1">VLOOKUP(C39,P[],14,TRUE)</f>
        <v>Shiva-शिव-Me (19.86)</v>
      </c>
      <c r="D48" s="165" t="str">
        <f ca="1">VLOOKUP(D39,P[],14,TRUE)</f>
        <v>Siddha-सिद्ध-Ke (20.92)</v>
      </c>
      <c r="E48" s="165" t="str">
        <f ca="1">VLOOKUP(E39,P[],14,TRUE)</f>
        <v>Sadhya-साध्य-Ve (22)</v>
      </c>
      <c r="F48" s="165" t="str">
        <f ca="1">VLOOKUP(F39,P[],14,TRUE)</f>
        <v>Shukla-शुक्ल-Mo (23.11)</v>
      </c>
      <c r="G48" s="177" t="str">
        <f ca="1">VLOOKUP(G39,P[],14,TRUE)</f>
        <v>Brahma-ब्रह्म-Ma (24.25)</v>
      </c>
    </row>
    <row r="49" spans="1:7" s="157" customFormat="1" ht="19.5" x14ac:dyDescent="0.3">
      <c r="A49" s="192" t="str">
        <f ca="1">VLOOKUP(A39,P[],18,TRUE)</f>
        <v>8Ma,9Me,7Ju,10Ve,9Sa,4Ra</v>
      </c>
      <c r="B49" s="193" t="str">
        <f ca="1">VLOOKUP(B39,P[],18,TRUE)</f>
        <v>8Ma,9Me,7Ju,10Ve,9Sa,4Ra</v>
      </c>
      <c r="C49" s="193" t="str">
        <f ca="1">VLOOKUP(C39,P[],18,TRUE)</f>
        <v>8Ma,9Me,7Ju,10Ve,9Sa,4Ra</v>
      </c>
      <c r="D49" s="193" t="str">
        <f ca="1">VLOOKUP(D39,P[],18,TRUE)</f>
        <v>8Ma,9Me,7Ju,10Ve,9Sa,4Ra</v>
      </c>
      <c r="E49" s="193" t="str">
        <f ca="1">VLOOKUP(E39,P[],18,TRUE)</f>
        <v>8Ma,9Me,7Ju,10Ve,9Sa,4Ra</v>
      </c>
      <c r="F49" s="193" t="str">
        <f ca="1">VLOOKUP(F39,P[],18,TRUE)</f>
        <v>8Ma,9Me,7Ju,10Ve,9Sa,4Ra</v>
      </c>
      <c r="G49" s="194" t="str">
        <f ca="1">VLOOKUP(G39,P[],18,TRUE)</f>
        <v>8Ma,9Me,7Ju,10Ve,9Sa,4Ra</v>
      </c>
    </row>
    <row r="50" spans="1:7" ht="5.85" customHeight="1" thickBot="1" x14ac:dyDescent="0.4">
      <c r="A50" s="171"/>
      <c r="B50" s="139"/>
      <c r="C50" s="139"/>
      <c r="D50" s="139"/>
      <c r="E50" s="139"/>
      <c r="F50" s="139"/>
      <c r="G50" s="178"/>
    </row>
    <row r="51" spans="1:7" s="180" customFormat="1" ht="37.5" x14ac:dyDescent="0.5">
      <c r="A51" s="181">
        <f ca="1">G39+1</f>
        <v>43128</v>
      </c>
      <c r="B51" s="182">
        <f ca="1">A51+1</f>
        <v>43129</v>
      </c>
      <c r="C51" s="182">
        <f t="shared" ref="C51:G51" ca="1" si="4">B51+1</f>
        <v>43130</v>
      </c>
      <c r="D51" s="182">
        <f t="shared" ca="1" si="4"/>
        <v>43131</v>
      </c>
      <c r="E51" s="182">
        <f t="shared" ca="1" si="4"/>
        <v>43132</v>
      </c>
      <c r="F51" s="182">
        <f t="shared" ca="1" si="4"/>
        <v>43133</v>
      </c>
      <c r="G51" s="183">
        <f t="shared" ca="1" si="4"/>
        <v>43134</v>
      </c>
    </row>
    <row r="52" spans="1:7" s="157" customFormat="1" ht="19.5" x14ac:dyDescent="0.3">
      <c r="A52" s="166">
        <f ca="1">VLOOKUP(A51,P[],3,TRUE)</f>
        <v>43128.276324954037</v>
      </c>
      <c r="B52" s="156">
        <f ca="1">VLOOKUP(B51,P[],3,TRUE)</f>
        <v>43129.276260740276</v>
      </c>
      <c r="C52" s="156">
        <f ca="1">VLOOKUP(C51,P[],3,TRUE)</f>
        <v>43130.276183810238</v>
      </c>
      <c r="D52" s="156">
        <f ca="1">VLOOKUP(D51,P[],3,TRUE)</f>
        <v>43131.276094006062</v>
      </c>
      <c r="E52" s="156">
        <f ca="1">VLOOKUP(E51,P[],3,TRUE)</f>
        <v>43132.275991644863</v>
      </c>
      <c r="F52" s="156">
        <f ca="1">VLOOKUP(F51,P[],3,TRUE)</f>
        <v>43133.275876727108</v>
      </c>
      <c r="G52" s="173">
        <f ca="1">VLOOKUP(G51,P[],3,TRUE)</f>
        <v>43134.275749570843</v>
      </c>
    </row>
    <row r="53" spans="1:7" s="157" customFormat="1" ht="19.5" x14ac:dyDescent="0.3">
      <c r="A53" s="166">
        <f ca="1">VLOOKUP(A51,P[],4,TRUE)</f>
        <v>43127.75471256212</v>
      </c>
      <c r="B53" s="156">
        <f ca="1">VLOOKUP(B51,P[],4,TRUE)</f>
        <v>43128.755035698458</v>
      </c>
      <c r="C53" s="156">
        <f ca="1">VLOOKUP(C51,P[],4,TRUE)</f>
        <v>43129.755352795168</v>
      </c>
      <c r="D53" s="156">
        <f ca="1">VLOOKUP(D51,P[],4,TRUE)</f>
        <v>43130.755663692995</v>
      </c>
      <c r="E53" s="156">
        <f ca="1">VLOOKUP(E51,P[],4,TRUE)</f>
        <v>43131.755968074358</v>
      </c>
      <c r="F53" s="156">
        <f ca="1">VLOOKUP(F51,P[],4,TRUE)</f>
        <v>43132.756266097582</v>
      </c>
      <c r="G53" s="173">
        <f ca="1">VLOOKUP(G51,P[],4,TRUE)</f>
        <v>43133.756557762666</v>
      </c>
    </row>
    <row r="54" spans="1:7" s="157" customFormat="1" ht="19.5" x14ac:dyDescent="0.3">
      <c r="A54" s="167">
        <f ca="1">VLOOKUP(A51,P[],6,TRUE)</f>
        <v>283.94440641832659</v>
      </c>
      <c r="B54" s="159">
        <f ca="1">VLOOKUP(B51,P[],6,TRUE)</f>
        <v>284.95999003305133</v>
      </c>
      <c r="C54" s="159">
        <f ca="1">VLOOKUP(C51,P[],6,TRUE)</f>
        <v>285.97524800722948</v>
      </c>
      <c r="D54" s="159">
        <f ca="1">VLOOKUP(D51,P[],6,TRUE)</f>
        <v>286.9901908737229</v>
      </c>
      <c r="E54" s="159">
        <f ca="1">VLOOKUP(E51,P[],6,TRUE)</f>
        <v>288.00483242873219</v>
      </c>
      <c r="F54" s="159">
        <f ca="1">VLOOKUP(F51,P[],6,TRUE)</f>
        <v>289.01918657794693</v>
      </c>
      <c r="G54" s="174">
        <f ca="1">VLOOKUP(G51,P[],6,TRUE)</f>
        <v>290.03326567046958</v>
      </c>
    </row>
    <row r="55" spans="1:7" s="157" customFormat="1" ht="19.5" x14ac:dyDescent="0.3">
      <c r="A55" s="167">
        <f ca="1">VLOOKUP(A51,P[],7,TRUE)</f>
        <v>54.899971720854687</v>
      </c>
      <c r="B55" s="159">
        <f ca="1">VLOOKUP(B51,P[],7,TRUE)</f>
        <v>69.734345097224107</v>
      </c>
      <c r="C55" s="159">
        <f ca="1">VLOOKUP(C51,P[],7,TRUE)</f>
        <v>84.750755173813744</v>
      </c>
      <c r="D55" s="159">
        <f ca="1">VLOOKUP(D51,P[],7,TRUE)</f>
        <v>99.812611755572661</v>
      </c>
      <c r="E55" s="159">
        <f ca="1">VLOOKUP(E51,P[],7,TRUE)</f>
        <v>114.7716653653127</v>
      </c>
      <c r="F55" s="159">
        <f ca="1">VLOOKUP(F51,P[],7,TRUE)</f>
        <v>129.48953990234671</v>
      </c>
      <c r="G55" s="174">
        <f ca="1">VLOOKUP(G51,P[],7,TRUE)</f>
        <v>143.85682727525051</v>
      </c>
    </row>
    <row r="56" spans="1:7" s="157" customFormat="1" ht="19.5" x14ac:dyDescent="0.3">
      <c r="A56" s="168" t="str">
        <f ca="1">VLOOKUP(A51,P[],9,TRUE) &amp; " "&amp;ROUND(A55/13.333,2)</f>
        <v>Mrigashira 4.12</v>
      </c>
      <c r="B56" s="161" t="str">
        <f ca="1">VLOOKUP(B51,P[],9,TRUE) &amp; " "&amp;ROUND(B55/13.333,2)</f>
        <v>Ardra 5.23</v>
      </c>
      <c r="C56" s="161" t="str">
        <f ca="1">VLOOKUP(C51,P[],9,TRUE) &amp; " "&amp;ROUND(C55/13.333,2)</f>
        <v>Punarvasu 6.36</v>
      </c>
      <c r="D56" s="161" t="str">
        <f ca="1">VLOOKUP(D51,P[],9,TRUE) &amp; " "&amp;ROUND(D55/13.333,2)</f>
        <v>Pushya 7.49</v>
      </c>
      <c r="E56" s="161" t="str">
        <f ca="1">VLOOKUP(E51,P[],9,TRUE) &amp; " "&amp;ROUND(E55/13.333,2)</f>
        <v>Aslesha 8.61</v>
      </c>
      <c r="F56" s="161" t="str">
        <f ca="1">VLOOKUP(F51,P[],9,TRUE) &amp; " "&amp;ROUND(F55/13.333,2)</f>
        <v>Makha 9.71</v>
      </c>
      <c r="G56" s="175" t="str">
        <f ca="1">VLOOKUP(G51,P[],9,TRUE) &amp; " "&amp;ROUND(G55/13.333,2)</f>
        <v>Purva Phalguni 10.79</v>
      </c>
    </row>
    <row r="57" spans="1:7" s="157" customFormat="1" ht="19.5" x14ac:dyDescent="0.3">
      <c r="A57" s="169">
        <f ca="1">VLOOKUP(A51,P[],10,TRUE)</f>
        <v>43129.069478737052</v>
      </c>
      <c r="B57" s="163">
        <f ca="1">VLOOKUP(B51,P[],10,TRUE)</f>
        <v>43129.959837248454</v>
      </c>
      <c r="C57" s="163">
        <f ca="1">VLOOKUP(C51,P[],10,TRUE)</f>
        <v>43130.845954698809</v>
      </c>
      <c r="D57" s="163">
        <f ca="1">VLOOKUP(D51,P[],10,TRUE)</f>
        <v>43131.734234841744</v>
      </c>
      <c r="E57" s="163">
        <f ca="1">VLOOKUP(E51,P[],10,TRUE)</f>
        <v>43132.63118789233</v>
      </c>
      <c r="F57" s="163">
        <f ca="1">VLOOKUP(F51,P[],10,TRUE)</f>
        <v>43133.543380575873</v>
      </c>
      <c r="G57" s="176">
        <f ca="1">VLOOKUP(G51,P[],10,TRUE)</f>
        <v>43134.477173466803</v>
      </c>
    </row>
    <row r="58" spans="1:7" s="157" customFormat="1" ht="19.5" x14ac:dyDescent="0.3">
      <c r="A58" s="167" t="str">
        <f ca="1">VLOOKUP(A51,P[],11,TRUE)</f>
        <v>S11 (10.91)</v>
      </c>
      <c r="B58" s="159" t="str">
        <f ca="1">VLOOKUP(B51,P[],11,TRUE)</f>
        <v>S13 (12.06)</v>
      </c>
      <c r="C58" s="159" t="str">
        <f ca="1">VLOOKUP(C51,P[],11,TRUE)</f>
        <v>S14 (13.23)</v>
      </c>
      <c r="D58" s="159" t="str">
        <f ca="1">VLOOKUP(D51,P[],11,TRUE)</f>
        <v>S15 (14.4)</v>
      </c>
      <c r="E58" s="159" t="str">
        <f ca="1">VLOOKUP(E51,P[],11,TRUE)</f>
        <v>K1 (15.56)</v>
      </c>
      <c r="F58" s="159" t="str">
        <f ca="1">VLOOKUP(F51,P[],11,TRUE)</f>
        <v>K2 (16.71)</v>
      </c>
      <c r="G58" s="174" t="str">
        <f ca="1">VLOOKUP(G51,P[],11,TRUE)</f>
        <v>K3 (17.82)</v>
      </c>
    </row>
    <row r="59" spans="1:7" s="157" customFormat="1" ht="19.5" x14ac:dyDescent="0.3">
      <c r="A59" s="170" t="str">
        <f ca="1">VLOOKUP(A51,P[],13,TRUE)</f>
        <v>Vishti</v>
      </c>
      <c r="B59" s="165" t="str">
        <f ca="1">VLOOKUP(B51,P[],13,TRUE)</f>
        <v>Kaulava</v>
      </c>
      <c r="C59" s="165" t="str">
        <f ca="1">VLOOKUP(C51,P[],13,TRUE)</f>
        <v>Garija</v>
      </c>
      <c r="D59" s="165" t="str">
        <f ca="1">VLOOKUP(D51,P[],13,TRUE)</f>
        <v>Vishti</v>
      </c>
      <c r="E59" s="165" t="str">
        <f ca="1">VLOOKUP(E51,P[],13,TRUE)</f>
        <v>Kaulava</v>
      </c>
      <c r="F59" s="165" t="str">
        <f ca="1">VLOOKUP(F51,P[],13,TRUE)</f>
        <v>Garija</v>
      </c>
      <c r="G59" s="177" t="str">
        <f ca="1">VLOOKUP(G51,P[],13,TRUE)</f>
        <v>Vishti</v>
      </c>
    </row>
    <row r="60" spans="1:7" s="157" customFormat="1" ht="19.5" x14ac:dyDescent="0.3">
      <c r="A60" s="170" t="str">
        <f ca="1">VLOOKUP(A51,P[],14,TRUE)</f>
        <v>Mahendra-महेन्द्र-Ra (25.42)</v>
      </c>
      <c r="B60" s="165" t="str">
        <f ca="1">VLOOKUP(B51,P[],14,TRUE)</f>
        <v>Vaidhriti-वैधृति-Ke (26.61)</v>
      </c>
      <c r="C60" s="165" t="str">
        <f ca="1">VLOOKUP(C51,P[],14,TRUE)</f>
        <v>Vishkambha-विष्कम्भ-Sa (0.81)</v>
      </c>
      <c r="D60" s="165" t="str">
        <f ca="1">VLOOKUP(D51,P[],14,TRUE)</f>
        <v>Ayushman-आयुष्मान-Ke (2.02)</v>
      </c>
      <c r="E60" s="165" t="str">
        <f ca="1">VLOOKUP(E51,P[],14,TRUE)</f>
        <v>Saubhagya-सौभाग्य-Ve (3.21)</v>
      </c>
      <c r="F60" s="165" t="str">
        <f ca="1">VLOOKUP(F51,P[],14,TRUE)</f>
        <v>Shobhana-शोभन-Su (4.39)</v>
      </c>
      <c r="G60" s="177" t="str">
        <f ca="1">VLOOKUP(G51,P[],14,TRUE)</f>
        <v>Atiganda-अतिगण्ड -Mo (5.55)</v>
      </c>
    </row>
    <row r="61" spans="1:7" s="157" customFormat="1" ht="19.5" x14ac:dyDescent="0.3">
      <c r="A61" s="192" t="str">
        <f ca="1">VLOOKUP(A51,P[],18,TRUE)</f>
        <v>8Ma,10Me,7Ju,10Ve,9Sa,4Ra</v>
      </c>
      <c r="B61" s="193" t="str">
        <f ca="1">VLOOKUP(B51,P[],18,TRUE)</f>
        <v>8Ma,10Me,7Ju,10Ve,9Sa,4Ra</v>
      </c>
      <c r="C61" s="193" t="str">
        <f ca="1">VLOOKUP(C51,P[],18,TRUE)</f>
        <v>8Ma,10Me,7Ju,10Ve,9Sa,4Ra</v>
      </c>
      <c r="D61" s="193" t="str">
        <f ca="1">VLOOKUP(D51,P[],18,TRUE)</f>
        <v>8Ma,10Me,7Ju,10Ve,9Sa,4Ra</v>
      </c>
      <c r="E61" s="193" t="str">
        <f ca="1">VLOOKUP(E51,P[],18,TRUE)</f>
        <v>8Ma,10Me,7Ju,10Ve,9Sa,4Ra</v>
      </c>
      <c r="F61" s="193" t="str">
        <f ca="1">VLOOKUP(F51,P[],18,TRUE)</f>
        <v>8Ma,10Me,7Ju,10Ve,9Sa,4Ra</v>
      </c>
      <c r="G61" s="194" t="str">
        <f ca="1">VLOOKUP(G51,P[],18,TRUE)</f>
        <v>8Ma,10Me,7Ju,10Ve,9Sa,4Ra</v>
      </c>
    </row>
    <row r="62" spans="1:7" ht="5.85" customHeight="1" thickBot="1" x14ac:dyDescent="0.4">
      <c r="A62" s="171"/>
      <c r="B62" s="139"/>
      <c r="C62" s="139"/>
      <c r="D62" s="139"/>
      <c r="E62" s="139"/>
      <c r="F62" s="139"/>
      <c r="G62" s="140"/>
    </row>
    <row r="63" spans="1:7" s="180" customFormat="1" ht="37.5" x14ac:dyDescent="0.5">
      <c r="A63" s="181">
        <f ca="1">G51+1</f>
        <v>43135</v>
      </c>
      <c r="B63" s="182">
        <f ca="1">A63+1</f>
        <v>43136</v>
      </c>
      <c r="C63" s="182"/>
      <c r="D63" s="182"/>
      <c r="E63" s="182"/>
      <c r="F63" s="182"/>
      <c r="G63" s="184"/>
    </row>
    <row r="64" spans="1:7" s="157" customFormat="1" ht="19.5" x14ac:dyDescent="0.3">
      <c r="A64" s="166">
        <f ca="1">VLOOKUP(A63,P[],3,TRUE)</f>
        <v>43135.275610334393</v>
      </c>
      <c r="B64" s="156">
        <f ca="1">VLOOKUP(B63,P[],3,TRUE)</f>
        <v>43136.275459177014</v>
      </c>
      <c r="C64" s="156" t="s">
        <v>71</v>
      </c>
      <c r="D64" s="156"/>
      <c r="E64" s="156"/>
      <c r="F64" s="156"/>
      <c r="G64" s="155"/>
    </row>
    <row r="65" spans="1:7" s="157" customFormat="1" ht="19.5" x14ac:dyDescent="0.3">
      <c r="A65" s="166">
        <f ca="1">VLOOKUP(A63,P[],4,TRUE)</f>
        <v>43134.756843070543</v>
      </c>
      <c r="B65" s="156">
        <f ca="1">VLOOKUP(B63,P[],4,TRUE)</f>
        <v>43135.757121861025</v>
      </c>
      <c r="C65" s="156" t="s">
        <v>59</v>
      </c>
      <c r="D65" s="156"/>
      <c r="E65" s="156"/>
      <c r="F65" s="156"/>
      <c r="G65" s="155"/>
    </row>
    <row r="66" spans="1:7" s="157" customFormat="1" ht="19.5" x14ac:dyDescent="0.3">
      <c r="A66" s="167">
        <f ca="1">VLOOKUP(A63,P[],6,TRUE)</f>
        <v>291.04707833857395</v>
      </c>
      <c r="B66" s="159">
        <f ca="1">VLOOKUP(B63,P[],6,TRUE)</f>
        <v>292.06062890204777</v>
      </c>
      <c r="C66" s="159" t="s">
        <v>72</v>
      </c>
      <c r="D66" s="159"/>
      <c r="E66" s="159"/>
      <c r="F66" s="159"/>
      <c r="G66" s="158"/>
    </row>
    <row r="67" spans="1:7" s="157" customFormat="1" ht="19.5" x14ac:dyDescent="0.3">
      <c r="A67" s="167">
        <f ca="1">VLOOKUP(A63,P[],7,TRUE)</f>
        <v>157.80476600379288</v>
      </c>
      <c r="B67" s="159">
        <f ca="1">VLOOKUP(B63,P[],7,TRUE)</f>
        <v>171.30786106974699</v>
      </c>
      <c r="C67" s="159" t="s">
        <v>73</v>
      </c>
      <c r="D67" s="159"/>
      <c r="E67" s="159"/>
      <c r="F67" s="159"/>
      <c r="G67" s="158"/>
    </row>
    <row r="68" spans="1:7" s="157" customFormat="1" ht="19.5" x14ac:dyDescent="0.3">
      <c r="A68" s="168" t="str">
        <f ca="1">VLOOKUP(A63,P[],9,TRUE) &amp; " "&amp;ROUND(A67/13.333,2)</f>
        <v>Uttara Phalguni 11.84</v>
      </c>
      <c r="B68" s="161" t="str">
        <f ca="1">VLOOKUP(B63,P[],9,TRUE) &amp; " "&amp;ROUND(B67/13.333,2)</f>
        <v>Hasta 12.85</v>
      </c>
      <c r="C68" s="161" t="s">
        <v>74</v>
      </c>
      <c r="D68" s="161"/>
      <c r="E68" s="161"/>
      <c r="F68" s="161"/>
      <c r="G68" s="160"/>
    </row>
    <row r="69" spans="1:7" s="157" customFormat="1" ht="19.5" x14ac:dyDescent="0.3">
      <c r="A69" s="169">
        <f ca="1">VLOOKUP(A63,P[],10,TRUE)</f>
        <v>43135.438158413897</v>
      </c>
      <c r="B69" s="163">
        <f ca="1">VLOOKUP(B63,P[],10,TRUE)</f>
        <v>43136.430390227266</v>
      </c>
      <c r="C69" s="163" t="s">
        <v>75</v>
      </c>
      <c r="D69" s="163"/>
      <c r="E69" s="163"/>
      <c r="F69" s="163"/>
      <c r="G69" s="162"/>
    </row>
    <row r="70" spans="1:7" s="157" customFormat="1" ht="19.5" x14ac:dyDescent="0.3">
      <c r="A70" s="167" t="str">
        <f ca="1">VLOOKUP(A63,P[],11,TRUE)</f>
        <v>K4 (18.9)</v>
      </c>
      <c r="B70" s="159" t="str">
        <f ca="1">VLOOKUP(B63,P[],11,TRUE)</f>
        <v>K5 (19.94)</v>
      </c>
      <c r="C70" s="159" t="s">
        <v>80</v>
      </c>
      <c r="D70" s="159"/>
      <c r="E70" s="159"/>
      <c r="F70" s="159"/>
      <c r="G70" s="158"/>
    </row>
    <row r="71" spans="1:7" s="157" customFormat="1" ht="19.5" x14ac:dyDescent="0.3">
      <c r="A71" s="170" t="str">
        <f ca="1">VLOOKUP(A63,P[],13,TRUE)</f>
        <v>Baalava</v>
      </c>
      <c r="B71" s="165" t="str">
        <f ca="1">VLOOKUP(B63,P[],13,TRUE)</f>
        <v>Taitula</v>
      </c>
      <c r="C71" s="165" t="s">
        <v>76</v>
      </c>
      <c r="D71" s="165"/>
      <c r="E71" s="165"/>
      <c r="F71" s="165"/>
      <c r="G71" s="164"/>
    </row>
    <row r="72" spans="1:7" s="157" customFormat="1" ht="19.5" x14ac:dyDescent="0.3">
      <c r="A72" s="170" t="str">
        <f ca="1">VLOOKUP(A63,P[],14,TRUE)</f>
        <v>Sukarman-सुकर्मा -Ma (6.67)</v>
      </c>
      <c r="B72" s="165" t="str">
        <f ca="1">VLOOKUP(B63,P[],14,TRUE)</f>
        <v>Dhriti-धृति -Ra (7.76)</v>
      </c>
      <c r="C72" s="165" t="s">
        <v>64</v>
      </c>
      <c r="D72" s="165"/>
      <c r="E72" s="165"/>
      <c r="F72" s="165"/>
      <c r="G72" s="177"/>
    </row>
    <row r="73" spans="1:7" s="157" customFormat="1" ht="19.5" x14ac:dyDescent="0.3">
      <c r="A73" s="192" t="str">
        <f ca="1">VLOOKUP(A63,P[],18,TRUE)</f>
        <v>8Ma,10Me,7Ju,10Ve,9Sa,4Ra</v>
      </c>
      <c r="B73" s="193" t="str">
        <f ca="1">VLOOKUP(B63,P[],18,TRUE)</f>
        <v>8Ma,10Me,7Ju,10Ve,9Sa,4Ra</v>
      </c>
      <c r="C73" s="193"/>
      <c r="D73" s="193"/>
      <c r="E73" s="193"/>
      <c r="F73" s="193"/>
      <c r="G73" s="194"/>
    </row>
    <row r="74" spans="1:7" ht="24" thickBot="1" x14ac:dyDescent="0.4"/>
    <row r="75" spans="1:7" x14ac:dyDescent="0.35">
      <c r="A75" s="146" t="s">
        <v>77</v>
      </c>
      <c r="B75" s="144">
        <v>13.5</v>
      </c>
      <c r="C75" s="146" t="s">
        <v>19</v>
      </c>
      <c r="D75" s="144">
        <v>80.23</v>
      </c>
      <c r="E75" s="146" t="s">
        <v>55</v>
      </c>
      <c r="F75" s="145">
        <v>5.5</v>
      </c>
    </row>
  </sheetData>
  <mergeCells count="1">
    <mergeCell ref="A1:G1"/>
  </mergeCells>
  <pageMargins left="0.15312500000000001" right="0.10208333333333333" top="0.32326388888888891" bottom="0.2722222222222222" header="0.3" footer="0.15312500000000001"/>
  <pageSetup scale="48" orientation="portrait" r:id="rId1"/>
  <headerFooter>
    <oddHeader>&amp;L``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Charts</vt:lpstr>
      <vt:lpstr>Basic</vt:lpstr>
      <vt:lpstr>Division</vt:lpstr>
      <vt:lpstr>Two Big Charts</vt:lpstr>
      <vt:lpstr>All Divisional Charts</vt:lpstr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2018-01-08T12:10:24Z</cp:lastPrinted>
  <dcterms:created xsi:type="dcterms:W3CDTF">2001-11-19T16:23:41Z</dcterms:created>
  <dcterms:modified xsi:type="dcterms:W3CDTF">2018-01-08T12:19:11Z</dcterms:modified>
</cp:coreProperties>
</file>