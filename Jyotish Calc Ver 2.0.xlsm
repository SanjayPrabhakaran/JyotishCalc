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40" yWindow="4860" windowWidth="19035" windowHeight="7260" activeTab="5"/>
  </bookViews>
  <sheets>
    <sheet name="Charts" sheetId="27" r:id="rId1"/>
    <sheet name="Basic" sheetId="1" r:id="rId2"/>
    <sheet name="Division" sheetId="23" r:id="rId3"/>
    <sheet name="Two Big Charts" sheetId="24" r:id="rId4"/>
    <sheet name="All Divisional Charts" sheetId="26" r:id="rId5"/>
    <sheet name="Panchanga" sheetId="28" r:id="rId6"/>
    <sheet name="Calendar" sheetId="29" r:id="rId7"/>
  </sheets>
  <functionGroups builtInGroupCount="17"/>
  <externalReferences>
    <externalReference r:id="rId8"/>
  </externalReferences>
  <definedNames>
    <definedName name="_xlnm._FilterDatabase" localSheetId="1" hidden="1">Basic!$C$12:$C$26</definedName>
    <definedName name="_xlnm._FilterDatabase" localSheetId="2" hidden="1">Division!$C$4:$C$18</definedName>
    <definedName name="CalLatitude">Calendar!$C$1</definedName>
    <definedName name="CalLongitude">Calendar!$E$1</definedName>
    <definedName name="CalMonth">Calendar!$A$1</definedName>
    <definedName name="CalTimeZone">Calendar!$G$1</definedName>
    <definedName name="Lat">Panchanga!$C$1</definedName>
    <definedName name="Long">Panchanga!$F$1</definedName>
    <definedName name="_xlnm.Print_Area" localSheetId="1">Basic!$A$1:$Q$26</definedName>
    <definedName name="_xlnm.Print_Area" localSheetId="2">Division!$A$2:$N$18</definedName>
    <definedName name="StarDeg">[1]DATA!$F$44</definedName>
    <definedName name="TimeZone">Panchanga!$H$1</definedName>
  </definedNames>
  <calcPr calcId="145621"/>
</workbook>
</file>

<file path=xl/calcChain.xml><?xml version="1.0" encoding="utf-8"?>
<calcChain xmlns="http://schemas.openxmlformats.org/spreadsheetml/2006/main">
  <c r="F21" i="1" l="1"/>
  <c r="S3" i="27"/>
  <c r="A1" i="29"/>
  <c r="A3" i="29"/>
  <c r="A4" i="28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F20" i="1"/>
  <c r="F19" i="1"/>
  <c r="F18" i="1"/>
  <c r="F17" i="1"/>
  <c r="F16" i="1"/>
  <c r="F15" i="1"/>
  <c r="F14" i="1"/>
  <c r="F13" i="1"/>
  <c r="F12" i="1"/>
  <c r="B12" i="1"/>
  <c r="B8" i="1"/>
  <c r="R3" i="27"/>
  <c r="P3" i="27"/>
  <c r="Q3" i="27"/>
  <c r="O3" i="27"/>
  <c r="N3" i="27"/>
  <c r="M3" i="27"/>
  <c r="L3" i="27"/>
  <c r="K3" i="27"/>
  <c r="J3" i="27"/>
  <c r="R2" i="27"/>
  <c r="Q2" i="27"/>
  <c r="P2" i="27"/>
  <c r="O2" i="27"/>
  <c r="N2" i="27"/>
  <c r="M2" i="27"/>
  <c r="L2" i="27"/>
  <c r="K2" i="27"/>
  <c r="J2" i="27"/>
  <c r="H3" i="27"/>
  <c r="H2" i="27"/>
  <c r="A32" i="28" l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B3" i="29"/>
  <c r="C3" i="29" s="1"/>
  <c r="D3" i="29" l="1"/>
  <c r="R7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3" i="28"/>
  <c r="G3" i="27"/>
  <c r="I3" i="27"/>
  <c r="F3" i="27"/>
  <c r="E3" i="27"/>
  <c r="G2" i="27"/>
  <c r="I2" i="27"/>
  <c r="B7" i="1"/>
  <c r="B9" i="1"/>
  <c r="C29" i="28"/>
  <c r="D29" i="28"/>
  <c r="C18" i="28"/>
  <c r="D18" i="28"/>
  <c r="C30" i="28"/>
  <c r="D30" i="28"/>
  <c r="C32" i="28"/>
  <c r="D32" i="28"/>
  <c r="C34" i="28"/>
  <c r="D34" i="28"/>
  <c r="C36" i="28"/>
  <c r="D36" i="28"/>
  <c r="C38" i="28"/>
  <c r="D38" i="28"/>
  <c r="C40" i="28"/>
  <c r="D40" i="28"/>
  <c r="C42" i="28"/>
  <c r="D42" i="28"/>
  <c r="C44" i="28"/>
  <c r="D44" i="28"/>
  <c r="C46" i="28"/>
  <c r="D46" i="28"/>
  <c r="C48" i="28"/>
  <c r="D48" i="28"/>
  <c r="C50" i="28"/>
  <c r="D50" i="28"/>
  <c r="C52" i="28"/>
  <c r="D52" i="28"/>
  <c r="C54" i="28"/>
  <c r="D54" i="28"/>
  <c r="C56" i="28"/>
  <c r="D56" i="28"/>
  <c r="C58" i="28"/>
  <c r="D58" i="28"/>
  <c r="C60" i="28"/>
  <c r="D60" i="28"/>
  <c r="C5" i="28"/>
  <c r="D5" i="28"/>
  <c r="C7" i="28"/>
  <c r="D7" i="28"/>
  <c r="C9" i="28"/>
  <c r="D9" i="28"/>
  <c r="C11" i="28"/>
  <c r="D11" i="28"/>
  <c r="C13" i="28"/>
  <c r="D13" i="28"/>
  <c r="C15" i="28"/>
  <c r="D15" i="28"/>
  <c r="C17" i="28"/>
  <c r="D17" i="28"/>
  <c r="C19" i="28"/>
  <c r="D19" i="28"/>
  <c r="C21" i="28"/>
  <c r="D21" i="28"/>
  <c r="C23" i="28"/>
  <c r="D23" i="28"/>
  <c r="C25" i="28"/>
  <c r="D25" i="28"/>
  <c r="C27" i="28"/>
  <c r="D27" i="28"/>
  <c r="C31" i="28"/>
  <c r="D31" i="28"/>
  <c r="C33" i="28"/>
  <c r="D33" i="28"/>
  <c r="C35" i="28"/>
  <c r="D35" i="28"/>
  <c r="C37" i="28"/>
  <c r="D37" i="28"/>
  <c r="C39" i="28"/>
  <c r="D39" i="28"/>
  <c r="C41" i="28"/>
  <c r="D41" i="28"/>
  <c r="C43" i="28"/>
  <c r="D43" i="28"/>
  <c r="C45" i="28"/>
  <c r="D45" i="28"/>
  <c r="C47" i="28"/>
  <c r="D47" i="28"/>
  <c r="C49" i="28"/>
  <c r="D49" i="28"/>
  <c r="C51" i="28"/>
  <c r="D51" i="28"/>
  <c r="C53" i="28"/>
  <c r="D53" i="28"/>
  <c r="C55" i="28"/>
  <c r="D55" i="28"/>
  <c r="C57" i="28"/>
  <c r="D57" i="28"/>
  <c r="C59" i="28"/>
  <c r="D59" i="28"/>
  <c r="C6" i="28"/>
  <c r="D6" i="28"/>
  <c r="C8" i="28"/>
  <c r="D8" i="28"/>
  <c r="C10" i="28"/>
  <c r="D10" i="28"/>
  <c r="C12" i="28"/>
  <c r="D12" i="28"/>
  <c r="C14" i="28"/>
  <c r="D14" i="28"/>
  <c r="C16" i="28"/>
  <c r="D16" i="28"/>
  <c r="C20" i="28"/>
  <c r="D20" i="28"/>
  <c r="C22" i="28"/>
  <c r="D22" i="28"/>
  <c r="C24" i="28"/>
  <c r="D24" i="28"/>
  <c r="C26" i="28"/>
  <c r="D26" i="28"/>
  <c r="C28" i="28"/>
  <c r="D28" i="28"/>
  <c r="C4" i="28"/>
  <c r="D4" i="28"/>
  <c r="D3" i="28"/>
  <c r="C3" i="28"/>
  <c r="D12" i="29" l="1"/>
  <c r="D10" i="29"/>
  <c r="D9" i="29"/>
  <c r="D6" i="29"/>
  <c r="D8" i="29"/>
  <c r="D13" i="29"/>
  <c r="D11" i="29"/>
  <c r="D7" i="29"/>
  <c r="D5" i="29"/>
  <c r="D4" i="29"/>
  <c r="E28" i="28"/>
  <c r="E26" i="28"/>
  <c r="E24" i="28"/>
  <c r="E22" i="28"/>
  <c r="E20" i="28"/>
  <c r="E16" i="28"/>
  <c r="E14" i="28"/>
  <c r="E12" i="28"/>
  <c r="E10" i="28"/>
  <c r="E8" i="28"/>
  <c r="E6" i="28"/>
  <c r="E59" i="28"/>
  <c r="E57" i="28"/>
  <c r="E55" i="28"/>
  <c r="E53" i="28"/>
  <c r="E51" i="28"/>
  <c r="E49" i="28"/>
  <c r="E47" i="28"/>
  <c r="E45" i="28"/>
  <c r="E43" i="28"/>
  <c r="E41" i="28"/>
  <c r="E39" i="28"/>
  <c r="E37" i="28"/>
  <c r="E35" i="28"/>
  <c r="E33" i="28"/>
  <c r="E31" i="28"/>
  <c r="E27" i="28"/>
  <c r="E25" i="28"/>
  <c r="E23" i="28"/>
  <c r="E21" i="28"/>
  <c r="E19" i="28"/>
  <c r="E17" i="28"/>
  <c r="E15" i="28"/>
  <c r="E13" i="28"/>
  <c r="E11" i="28"/>
  <c r="E9" i="28"/>
  <c r="E7" i="28"/>
  <c r="E5" i="28"/>
  <c r="E60" i="28"/>
  <c r="E58" i="28"/>
  <c r="E56" i="28"/>
  <c r="E54" i="28"/>
  <c r="E52" i="28"/>
  <c r="E50" i="28"/>
  <c r="E48" i="28"/>
  <c r="E46" i="28"/>
  <c r="E44" i="28"/>
  <c r="E42" i="28"/>
  <c r="E40" i="28"/>
  <c r="E38" i="28"/>
  <c r="E36" i="28"/>
  <c r="E34" i="28"/>
  <c r="E32" i="28"/>
  <c r="E30" i="28"/>
  <c r="E18" i="28"/>
  <c r="E29" i="28"/>
  <c r="E4" i="28"/>
  <c r="E3" i="28"/>
  <c r="E3" i="29"/>
  <c r="M10" i="26"/>
  <c r="H16" i="26"/>
  <c r="M22" i="26"/>
  <c r="C58" i="26"/>
  <c r="H10" i="26"/>
  <c r="C28" i="26"/>
  <c r="H28" i="26"/>
  <c r="H4" i="24"/>
  <c r="M58" i="26"/>
  <c r="M46" i="26"/>
  <c r="C4" i="24"/>
  <c r="H4" i="26"/>
  <c r="C46" i="26"/>
  <c r="H34" i="26"/>
  <c r="C52" i="26"/>
  <c r="C10" i="26"/>
  <c r="M28" i="26"/>
  <c r="M52" i="26"/>
  <c r="H46" i="26"/>
  <c r="H52" i="26"/>
  <c r="H22" i="26"/>
  <c r="M16" i="26"/>
  <c r="H58" i="26"/>
  <c r="C16" i="26"/>
  <c r="C4" i="26"/>
  <c r="C34" i="26"/>
  <c r="M4" i="26"/>
  <c r="C22" i="26"/>
  <c r="M40" i="26"/>
  <c r="H40" i="26"/>
  <c r="C40" i="26"/>
  <c r="M34" i="26"/>
  <c r="G20" i="1"/>
  <c r="I20" i="1"/>
  <c r="E20" i="1"/>
  <c r="J20" i="1"/>
  <c r="H20" i="1"/>
  <c r="C20" i="1"/>
  <c r="B20" i="1"/>
  <c r="K20" i="1"/>
  <c r="D20" i="1"/>
  <c r="G19" i="1"/>
  <c r="I19" i="1"/>
  <c r="J19" i="1"/>
  <c r="B19" i="1"/>
  <c r="K19" i="1"/>
  <c r="H19" i="1"/>
  <c r="E19" i="1"/>
  <c r="D19" i="1"/>
  <c r="C19" i="1"/>
  <c r="K18" i="1"/>
  <c r="J18" i="1"/>
  <c r="D18" i="1"/>
  <c r="E18" i="1"/>
  <c r="C18" i="1"/>
  <c r="H18" i="1"/>
  <c r="G18" i="1"/>
  <c r="I18" i="1"/>
  <c r="B18" i="1"/>
  <c r="C17" i="1"/>
  <c r="G17" i="1"/>
  <c r="I17" i="1"/>
  <c r="D17" i="1"/>
  <c r="E17" i="1"/>
  <c r="K17" i="1"/>
  <c r="H17" i="1"/>
  <c r="B17" i="1"/>
  <c r="J17" i="1"/>
  <c r="J16" i="1"/>
  <c r="E16" i="1"/>
  <c r="H16" i="1"/>
  <c r="G16" i="1"/>
  <c r="I16" i="1"/>
  <c r="B16" i="1"/>
  <c r="D16" i="1"/>
  <c r="C16" i="1"/>
  <c r="K16" i="1"/>
  <c r="J15" i="1"/>
  <c r="I15" i="1"/>
  <c r="K15" i="1"/>
  <c r="E15" i="1"/>
  <c r="C15" i="1"/>
  <c r="H15" i="1"/>
  <c r="D15" i="1"/>
  <c r="B15" i="1"/>
  <c r="G15" i="1"/>
  <c r="H14" i="1"/>
  <c r="E14" i="1"/>
  <c r="B14" i="1"/>
  <c r="I14" i="1"/>
  <c r="D14" i="1"/>
  <c r="C14" i="1"/>
  <c r="J14" i="1"/>
  <c r="G14" i="1"/>
  <c r="K14" i="1"/>
  <c r="E13" i="1"/>
  <c r="I13" i="1"/>
  <c r="C13" i="1"/>
  <c r="K13" i="1"/>
  <c r="G13" i="1"/>
  <c r="J13" i="1"/>
  <c r="D13" i="1"/>
  <c r="B13" i="1"/>
  <c r="H13" i="1"/>
  <c r="B5" i="24"/>
  <c r="G3" i="24"/>
  <c r="L3" i="26"/>
  <c r="D21" i="26"/>
  <c r="N45" i="26"/>
  <c r="J11" i="26"/>
  <c r="O10" i="26"/>
  <c r="C3" i="26"/>
  <c r="E24" i="26"/>
  <c r="C54" i="26"/>
  <c r="M12" i="26"/>
  <c r="J35" i="26"/>
  <c r="O46" i="26"/>
  <c r="B3" i="26"/>
  <c r="H33" i="26"/>
  <c r="N21" i="26"/>
  <c r="B10" i="26"/>
  <c r="B33" i="26"/>
  <c r="C21" i="26"/>
  <c r="I30" i="26"/>
  <c r="I42" i="26"/>
  <c r="E23" i="26"/>
  <c r="E29" i="26"/>
  <c r="J42" i="26"/>
  <c r="L30" i="26"/>
  <c r="J60" i="26"/>
  <c r="O52" i="26"/>
  <c r="C30" i="26"/>
  <c r="O34" i="26"/>
  <c r="H6" i="24"/>
  <c r="N48" i="26"/>
  <c r="E57" i="26"/>
  <c r="E6" i="26"/>
  <c r="C42" i="26"/>
  <c r="D36" i="26"/>
  <c r="L33" i="26"/>
  <c r="M51" i="26"/>
  <c r="O24" i="26"/>
  <c r="D48" i="26"/>
  <c r="M33" i="26"/>
  <c r="E5" i="24"/>
  <c r="D30" i="26"/>
  <c r="I12" i="26"/>
  <c r="E21" i="26"/>
  <c r="L16" i="1"/>
  <c r="B29" i="26"/>
  <c r="E18" i="26"/>
  <c r="L16" i="26"/>
  <c r="B21" i="26"/>
  <c r="C33" i="26"/>
  <c r="J48" i="26"/>
  <c r="H60" i="26"/>
  <c r="G34" i="26"/>
  <c r="K12" i="1"/>
  <c r="G41" i="26"/>
  <c r="L27" i="26"/>
  <c r="J21" i="26"/>
  <c r="H3" i="26"/>
  <c r="G36" i="26"/>
  <c r="O57" i="26"/>
  <c r="L5" i="26"/>
  <c r="E59" i="26"/>
  <c r="M42" i="26"/>
  <c r="D42" i="26"/>
  <c r="O36" i="26"/>
  <c r="L47" i="26"/>
  <c r="I3" i="24"/>
  <c r="B53" i="26"/>
  <c r="E27" i="26"/>
  <c r="I54" i="26"/>
  <c r="B54" i="26"/>
  <c r="B42" i="26"/>
  <c r="D24" i="26"/>
  <c r="H42" i="26"/>
  <c r="G11" i="26"/>
  <c r="M9" i="26"/>
  <c r="C12" i="1"/>
  <c r="B57" i="26"/>
  <c r="J59" i="26"/>
  <c r="D6" i="26"/>
  <c r="M57" i="26"/>
  <c r="N6" i="26"/>
  <c r="O21" i="26"/>
  <c r="G51" i="26"/>
  <c r="I33" i="26"/>
  <c r="M6" i="26"/>
  <c r="M39" i="26"/>
  <c r="I18" i="26"/>
  <c r="J33" i="26"/>
  <c r="D60" i="26"/>
  <c r="G4" i="24"/>
  <c r="G58" i="26"/>
  <c r="O4" i="26"/>
  <c r="E60" i="26"/>
  <c r="E52" i="26"/>
  <c r="J28" i="26"/>
  <c r="L9" i="26"/>
  <c r="J24" i="26"/>
  <c r="J18" i="26"/>
  <c r="M27" i="26"/>
  <c r="M3" i="26"/>
  <c r="B35" i="26"/>
  <c r="J6" i="26"/>
  <c r="G6" i="24"/>
  <c r="J16" i="26"/>
  <c r="E11" i="26"/>
  <c r="N60" i="26"/>
  <c r="L23" i="26"/>
  <c r="J57" i="26"/>
  <c r="G33" i="26"/>
  <c r="B59" i="26"/>
  <c r="H27" i="26"/>
  <c r="O33" i="26"/>
  <c r="J12" i="26"/>
  <c r="L17" i="26"/>
  <c r="M54" i="26"/>
  <c r="B9" i="26"/>
  <c r="E9" i="26"/>
  <c r="B60" i="26"/>
  <c r="L51" i="26"/>
  <c r="G29" i="26"/>
  <c r="E4" i="26"/>
  <c r="L35" i="26"/>
  <c r="E36" i="26"/>
  <c r="D12" i="26"/>
  <c r="O28" i="26"/>
  <c r="O51" i="26"/>
  <c r="C27" i="26"/>
  <c r="N12" i="26"/>
  <c r="J54" i="26"/>
  <c r="L52" i="26"/>
  <c r="L59" i="26"/>
  <c r="M30" i="26"/>
  <c r="L34" i="26"/>
  <c r="E5" i="26"/>
  <c r="M24" i="26"/>
  <c r="G16" i="26"/>
  <c r="O42" i="26"/>
  <c r="J53" i="26"/>
  <c r="C6" i="24"/>
  <c r="C18" i="26"/>
  <c r="E16" i="26"/>
  <c r="L40" i="26"/>
  <c r="D15" i="26"/>
  <c r="L15" i="1"/>
  <c r="E30" i="26"/>
  <c r="L28" i="26"/>
  <c r="I6" i="24"/>
  <c r="B30" i="26"/>
  <c r="G3" i="26"/>
  <c r="N36" i="26"/>
  <c r="O18" i="26"/>
  <c r="J5" i="24"/>
  <c r="H39" i="26"/>
  <c r="D51" i="26"/>
  <c r="H12" i="26"/>
  <c r="B12" i="26"/>
  <c r="C48" i="26"/>
  <c r="O11" i="26"/>
  <c r="J39" i="26"/>
  <c r="N27" i="26"/>
  <c r="B36" i="26"/>
  <c r="H18" i="26"/>
  <c r="I60" i="26"/>
  <c r="I51" i="26"/>
  <c r="E58" i="26"/>
  <c r="G10" i="26"/>
  <c r="D9" i="26"/>
  <c r="E54" i="26"/>
  <c r="O48" i="26"/>
  <c r="E3" i="26"/>
  <c r="O47" i="26"/>
  <c r="H24" i="26"/>
  <c r="L60" i="26"/>
  <c r="B51" i="26"/>
  <c r="N15" i="26"/>
  <c r="L4" i="26"/>
  <c r="D12" i="1"/>
  <c r="O60" i="26"/>
  <c r="G22" i="26"/>
  <c r="E51" i="26"/>
  <c r="C9" i="26"/>
  <c r="O40" i="26"/>
  <c r="L18" i="26"/>
  <c r="G21" i="26"/>
  <c r="G40" i="26"/>
  <c r="G42" i="26"/>
  <c r="H36" i="26"/>
  <c r="B23" i="26"/>
  <c r="L53" i="26"/>
  <c r="G54" i="26"/>
  <c r="O30" i="26"/>
  <c r="G46" i="26"/>
  <c r="I36" i="26"/>
  <c r="B28" i="26"/>
  <c r="O41" i="26"/>
  <c r="J47" i="26"/>
  <c r="N30" i="26"/>
  <c r="I3" i="26"/>
  <c r="G24" i="26"/>
  <c r="O22" i="26"/>
  <c r="H30" i="26"/>
  <c r="E48" i="26"/>
  <c r="L14" i="1"/>
  <c r="J46" i="26"/>
  <c r="B3" i="24"/>
  <c r="L46" i="26"/>
  <c r="E28" i="26"/>
  <c r="L39" i="26"/>
  <c r="D39" i="26"/>
  <c r="G47" i="26"/>
  <c r="J4" i="26"/>
  <c r="B6" i="24"/>
  <c r="B52" i="26"/>
  <c r="H12" i="1"/>
  <c r="J12" i="1"/>
  <c r="C12" i="26"/>
  <c r="N51" i="26"/>
  <c r="O23" i="26"/>
  <c r="E40" i="26"/>
  <c r="J5" i="26"/>
  <c r="H21" i="26"/>
  <c r="C60" i="26"/>
  <c r="J27" i="26"/>
  <c r="B22" i="26"/>
  <c r="J10" i="26"/>
  <c r="L18" i="1"/>
  <c r="G57" i="26"/>
  <c r="J45" i="26"/>
  <c r="O39" i="26"/>
  <c r="G15" i="26"/>
  <c r="H57" i="26"/>
  <c r="G60" i="26"/>
  <c r="J4" i="24"/>
  <c r="B15" i="26"/>
  <c r="H3" i="24"/>
  <c r="M15" i="26"/>
  <c r="E22" i="26"/>
  <c r="O53" i="26"/>
  <c r="M21" i="26"/>
  <c r="O15" i="26"/>
  <c r="J3" i="24"/>
  <c r="D3" i="26"/>
  <c r="I21" i="26"/>
  <c r="E3" i="24"/>
  <c r="E10" i="26"/>
  <c r="L41" i="26"/>
  <c r="L15" i="26"/>
  <c r="G39" i="26"/>
  <c r="J41" i="26"/>
  <c r="E34" i="26"/>
  <c r="L13" i="1"/>
  <c r="L54" i="26"/>
  <c r="O29" i="26"/>
  <c r="G17" i="26"/>
  <c r="M36" i="26"/>
  <c r="I48" i="26"/>
  <c r="D27" i="26"/>
  <c r="E6" i="24"/>
  <c r="I39" i="26"/>
  <c r="D6" i="24"/>
  <c r="I24" i="26"/>
  <c r="N24" i="26"/>
  <c r="E42" i="26"/>
  <c r="C57" i="26"/>
  <c r="B45" i="26"/>
  <c r="J23" i="26"/>
  <c r="M48" i="26"/>
  <c r="L10" i="26"/>
  <c r="H45" i="26"/>
  <c r="O3" i="26"/>
  <c r="O58" i="26"/>
  <c r="J15" i="26"/>
  <c r="D18" i="26"/>
  <c r="L21" i="26"/>
  <c r="L22" i="26"/>
  <c r="J40" i="26"/>
  <c r="G27" i="26"/>
  <c r="N18" i="26"/>
  <c r="E17" i="26"/>
  <c r="H15" i="26"/>
  <c r="G28" i="26"/>
  <c r="E53" i="26"/>
  <c r="C15" i="26"/>
  <c r="J9" i="26"/>
  <c r="C3" i="24"/>
  <c r="G5" i="24"/>
  <c r="E35" i="26"/>
  <c r="L17" i="1"/>
  <c r="C45" i="26"/>
  <c r="J17" i="26"/>
  <c r="D3" i="24"/>
  <c r="I6" i="26"/>
  <c r="B41" i="26"/>
  <c r="G18" i="26"/>
  <c r="D33" i="26"/>
  <c r="B6" i="26"/>
  <c r="I57" i="26"/>
  <c r="D57" i="26"/>
  <c r="O45" i="26"/>
  <c r="I9" i="26"/>
  <c r="B5" i="26"/>
  <c r="M60" i="26"/>
  <c r="B4" i="24"/>
  <c r="N39" i="26"/>
  <c r="O12" i="26"/>
  <c r="G4" i="26"/>
  <c r="G12" i="26"/>
  <c r="B24" i="26"/>
  <c r="E45" i="26"/>
  <c r="H51" i="26"/>
  <c r="E33" i="26"/>
  <c r="O5" i="26"/>
  <c r="B47" i="26"/>
  <c r="L42" i="26"/>
  <c r="L45" i="26"/>
  <c r="O16" i="26"/>
  <c r="O27" i="26"/>
  <c r="I15" i="26"/>
  <c r="N33" i="26"/>
  <c r="J6" i="24"/>
  <c r="L24" i="26"/>
  <c r="O17" i="26"/>
  <c r="J34" i="26"/>
  <c r="J22" i="26"/>
  <c r="H48" i="26"/>
  <c r="E12" i="1"/>
  <c r="N42" i="26"/>
  <c r="O59" i="26"/>
  <c r="I45" i="26"/>
  <c r="G6" i="26"/>
  <c r="L48" i="26"/>
  <c r="E4" i="24"/>
  <c r="B34" i="26"/>
  <c r="E41" i="26"/>
  <c r="G48" i="26"/>
  <c r="D45" i="26"/>
  <c r="B48" i="26"/>
  <c r="L6" i="26"/>
  <c r="B16" i="26"/>
  <c r="G52" i="26"/>
  <c r="J3" i="26"/>
  <c r="C51" i="26"/>
  <c r="L58" i="26"/>
  <c r="H54" i="26"/>
  <c r="G9" i="26"/>
  <c r="J30" i="26"/>
  <c r="G30" i="26"/>
  <c r="L12" i="1"/>
  <c r="J58" i="26"/>
  <c r="M18" i="26"/>
  <c r="L20" i="1"/>
  <c r="L19" i="1"/>
  <c r="J29" i="26"/>
  <c r="C6" i="26"/>
  <c r="M45" i="26"/>
  <c r="G12" i="1"/>
  <c r="O9" i="26"/>
  <c r="B40" i="26"/>
  <c r="C36" i="26"/>
  <c r="G5" i="26"/>
  <c r="B58" i="26"/>
  <c r="E15" i="26"/>
  <c r="I27" i="26"/>
  <c r="I12" i="1"/>
  <c r="G23" i="26"/>
  <c r="J52" i="26"/>
  <c r="L29" i="26"/>
  <c r="H9" i="26"/>
  <c r="L36" i="26"/>
  <c r="L57" i="26"/>
  <c r="G45" i="26"/>
  <c r="B46" i="26"/>
  <c r="G59" i="26"/>
  <c r="L11" i="26"/>
  <c r="B4" i="26"/>
  <c r="E39" i="26"/>
  <c r="E46" i="26"/>
  <c r="O6" i="26"/>
  <c r="C24" i="26"/>
  <c r="H6" i="26"/>
  <c r="L12" i="26"/>
  <c r="G35" i="26"/>
  <c r="N54" i="26"/>
  <c r="D54" i="26"/>
  <c r="G53" i="26"/>
  <c r="J36" i="26"/>
  <c r="E12" i="26"/>
  <c r="N57" i="26"/>
  <c r="N9" i="26"/>
  <c r="O54" i="26"/>
  <c r="O35" i="26"/>
  <c r="B39" i="26"/>
  <c r="N3" i="26"/>
  <c r="B27" i="26"/>
  <c r="C39" i="26"/>
  <c r="B11" i="26"/>
  <c r="E47" i="26"/>
  <c r="J51" i="26"/>
  <c r="B17" i="26"/>
  <c r="B18" i="26"/>
  <c r="F3" i="28"/>
  <c r="G3" i="28"/>
  <c r="I3" i="28"/>
  <c r="F3" i="29" l="1"/>
  <c r="E12" i="29"/>
  <c r="E10" i="29"/>
  <c r="E7" i="29"/>
  <c r="E8" i="29" s="1"/>
  <c r="E5" i="29"/>
  <c r="E13" i="29"/>
  <c r="E11" i="29"/>
  <c r="E9" i="29"/>
  <c r="E6" i="29"/>
  <c r="E4" i="29"/>
  <c r="K3" i="28"/>
  <c r="J18" i="24"/>
  <c r="J20" i="24"/>
  <c r="J12" i="24"/>
  <c r="J11" i="24"/>
  <c r="J15" i="24"/>
  <c r="J16" i="24"/>
  <c r="J17" i="24"/>
  <c r="J22" i="24"/>
  <c r="J13" i="24"/>
  <c r="J21" i="24"/>
  <c r="J19" i="24"/>
  <c r="J14" i="24"/>
  <c r="H12" i="24"/>
  <c r="H14" i="24"/>
  <c r="H17" i="24"/>
  <c r="H15" i="24"/>
  <c r="H21" i="24"/>
  <c r="H18" i="24"/>
  <c r="H19" i="24"/>
  <c r="H13" i="24"/>
  <c r="H16" i="24"/>
  <c r="H20" i="24"/>
  <c r="H11" i="24"/>
  <c r="H22" i="24"/>
  <c r="D19" i="24"/>
  <c r="D13" i="24"/>
  <c r="D14" i="24"/>
  <c r="D15" i="24"/>
  <c r="D17" i="24"/>
  <c r="D18" i="24"/>
  <c r="D21" i="24"/>
  <c r="D12" i="24"/>
  <c r="D16" i="24"/>
  <c r="D22" i="24"/>
  <c r="D11" i="24"/>
  <c r="D20" i="24"/>
  <c r="F9" i="23"/>
  <c r="G13" i="24"/>
  <c r="G15" i="24"/>
  <c r="G16" i="24"/>
  <c r="G19" i="24"/>
  <c r="G18" i="24"/>
  <c r="G14" i="24"/>
  <c r="G12" i="24"/>
  <c r="G17" i="24"/>
  <c r="G21" i="24"/>
  <c r="G11" i="24"/>
  <c r="G20" i="24"/>
  <c r="G22" i="24"/>
  <c r="I20" i="24"/>
  <c r="I21" i="24"/>
  <c r="I13" i="24"/>
  <c r="I11" i="24"/>
  <c r="I15" i="24"/>
  <c r="I14" i="24"/>
  <c r="I18" i="24"/>
  <c r="I12" i="24"/>
  <c r="I16" i="24"/>
  <c r="I22" i="24"/>
  <c r="I17" i="24"/>
  <c r="I19" i="24"/>
  <c r="S2" i="27"/>
  <c r="E13" i="24"/>
  <c r="E16" i="24"/>
  <c r="E17" i="24"/>
  <c r="E22" i="24"/>
  <c r="E18" i="24"/>
  <c r="E20" i="24"/>
  <c r="E21" i="24"/>
  <c r="E14" i="24"/>
  <c r="E11" i="24"/>
  <c r="E15" i="24"/>
  <c r="E19" i="24"/>
  <c r="E12" i="24"/>
  <c r="T3" i="27"/>
  <c r="U3" i="27" s="1"/>
  <c r="V3" i="27" s="1"/>
  <c r="W3" i="27" s="1"/>
  <c r="X3" i="27" s="1"/>
  <c r="F6" i="23"/>
  <c r="F11" i="24"/>
  <c r="F12" i="24"/>
  <c r="F13" i="24"/>
  <c r="F14" i="24"/>
  <c r="F18" i="24"/>
  <c r="F20" i="24"/>
  <c r="F21" i="24"/>
  <c r="F15" i="24"/>
  <c r="F16" i="24"/>
  <c r="F19" i="24"/>
  <c r="F22" i="24"/>
  <c r="F17" i="24"/>
  <c r="F5" i="23"/>
  <c r="F22" i="1"/>
  <c r="C15" i="24"/>
  <c r="C21" i="24"/>
  <c r="C22" i="24"/>
  <c r="C12" i="24"/>
  <c r="C14" i="24"/>
  <c r="C19" i="24"/>
  <c r="C17" i="24"/>
  <c r="C11" i="24"/>
  <c r="C16" i="24"/>
  <c r="C18" i="24"/>
  <c r="C20" i="24"/>
  <c r="C13" i="24"/>
  <c r="K13" i="24"/>
  <c r="K11" i="24"/>
  <c r="M11" i="24" s="1"/>
  <c r="K18" i="24"/>
  <c r="K19" i="24"/>
  <c r="K21" i="24"/>
  <c r="K20" i="24"/>
  <c r="K12" i="24"/>
  <c r="K17" i="24"/>
  <c r="K15" i="24"/>
  <c r="K14" i="24"/>
  <c r="K22" i="24"/>
  <c r="K16" i="24"/>
  <c r="F7" i="23"/>
  <c r="F11" i="23"/>
  <c r="T2" i="27"/>
  <c r="U2" i="27" s="1"/>
  <c r="V2" i="27" s="1"/>
  <c r="W2" i="27" s="1"/>
  <c r="X2" i="27" s="1"/>
  <c r="F10" i="23"/>
  <c r="F4" i="23"/>
  <c r="F12" i="23"/>
  <c r="F8" i="23"/>
  <c r="H21" i="1"/>
  <c r="I21" i="1"/>
  <c r="E21" i="1"/>
  <c r="B21" i="1"/>
  <c r="K21" i="1"/>
  <c r="C21" i="1"/>
  <c r="G21" i="1"/>
  <c r="D21" i="1"/>
  <c r="J21" i="1"/>
  <c r="G12" i="23"/>
  <c r="E12" i="23"/>
  <c r="G11" i="23"/>
  <c r="D11" i="23" s="1"/>
  <c r="H11" i="23"/>
  <c r="B11" i="23"/>
  <c r="E11" i="23"/>
  <c r="C11" i="23"/>
  <c r="G10" i="23"/>
  <c r="C10" i="23" s="1"/>
  <c r="E10" i="23"/>
  <c r="B10" i="23"/>
  <c r="D10" i="23"/>
  <c r="H10" i="23"/>
  <c r="G9" i="23"/>
  <c r="B9" i="23"/>
  <c r="C9" i="23"/>
  <c r="E9" i="23"/>
  <c r="H9" i="23"/>
  <c r="D9" i="23"/>
  <c r="G8" i="23"/>
  <c r="E8" i="23"/>
  <c r="G7" i="23"/>
  <c r="B7" i="23" s="1"/>
  <c r="D7" i="23"/>
  <c r="C7" i="23"/>
  <c r="H7" i="23"/>
  <c r="E7" i="23"/>
  <c r="G6" i="23"/>
  <c r="E6" i="23"/>
  <c r="H6" i="23"/>
  <c r="C6" i="23"/>
  <c r="D6" i="23"/>
  <c r="B6" i="23"/>
  <c r="J22" i="1"/>
  <c r="E22" i="1"/>
  <c r="K22" i="1"/>
  <c r="I22" i="1"/>
  <c r="H22" i="1"/>
  <c r="B22" i="1"/>
  <c r="G22" i="1"/>
  <c r="C22" i="1"/>
  <c r="G5" i="23"/>
  <c r="D5" i="23"/>
  <c r="B5" i="23"/>
  <c r="D22" i="1"/>
  <c r="G4" i="23"/>
  <c r="E4" i="23"/>
  <c r="B4" i="23"/>
  <c r="I8" i="23"/>
  <c r="I10" i="23"/>
  <c r="L22" i="1"/>
  <c r="L21" i="1"/>
  <c r="I9" i="23"/>
  <c r="I11" i="23"/>
  <c r="C4" i="23"/>
  <c r="I7" i="23"/>
  <c r="I12" i="23"/>
  <c r="I6" i="23"/>
  <c r="H4" i="23"/>
  <c r="D4" i="23"/>
  <c r="I5" i="23"/>
  <c r="I4" i="23"/>
  <c r="G57" i="28"/>
  <c r="F48" i="28"/>
  <c r="G43" i="28"/>
  <c r="G55" i="28"/>
  <c r="F45" i="28"/>
  <c r="G9" i="28"/>
  <c r="F10" i="28"/>
  <c r="F4" i="28"/>
  <c r="F7" i="28"/>
  <c r="G35" i="28"/>
  <c r="F18" i="28"/>
  <c r="G8" i="28"/>
  <c r="G19" i="28"/>
  <c r="G54" i="28"/>
  <c r="G36" i="28"/>
  <c r="F31" i="28"/>
  <c r="F53" i="28"/>
  <c r="F46" i="28"/>
  <c r="G20" i="28"/>
  <c r="G17" i="28"/>
  <c r="F29" i="28"/>
  <c r="G33" i="28"/>
  <c r="G24" i="28"/>
  <c r="F58" i="28"/>
  <c r="G34" i="28"/>
  <c r="F60" i="28"/>
  <c r="G50" i="28"/>
  <c r="F5" i="28"/>
  <c r="G6" i="28"/>
  <c r="G15" i="28"/>
  <c r="G32" i="28"/>
  <c r="F40" i="28"/>
  <c r="G14" i="28"/>
  <c r="F23" i="28"/>
  <c r="G30" i="28"/>
  <c r="G51" i="28"/>
  <c r="F41" i="28"/>
  <c r="F42" i="28"/>
  <c r="F49" i="28"/>
  <c r="F44" i="28"/>
  <c r="F12" i="28"/>
  <c r="G52" i="28"/>
  <c r="G16" i="28"/>
  <c r="G39" i="28"/>
  <c r="G28" i="28"/>
  <c r="G21" i="28"/>
  <c r="G22" i="28"/>
  <c r="F25" i="28"/>
  <c r="F26" i="28"/>
  <c r="F56" i="28"/>
  <c r="F13" i="28"/>
  <c r="F47" i="28"/>
  <c r="G27" i="28"/>
  <c r="G37" i="28"/>
  <c r="G38" i="28"/>
  <c r="F59" i="28"/>
  <c r="G11" i="28"/>
  <c r="I55" i="28"/>
  <c r="I19" i="28"/>
  <c r="I54" i="28"/>
  <c r="I20" i="28"/>
  <c r="I24" i="28"/>
  <c r="I34" i="28"/>
  <c r="I50" i="28"/>
  <c r="I6" i="28"/>
  <c r="I15" i="28"/>
  <c r="I16" i="28"/>
  <c r="I28" i="28"/>
  <c r="I21" i="28"/>
  <c r="I37" i="28"/>
  <c r="I11" i="28"/>
  <c r="F57" i="28"/>
  <c r="G48" i="28"/>
  <c r="F43" i="28"/>
  <c r="F55" i="28"/>
  <c r="G45" i="28"/>
  <c r="F9" i="28"/>
  <c r="G10" i="28"/>
  <c r="G4" i="28"/>
  <c r="G7" i="28"/>
  <c r="F35" i="28"/>
  <c r="G18" i="28"/>
  <c r="F8" i="28"/>
  <c r="F19" i="28"/>
  <c r="F54" i="28"/>
  <c r="F36" i="28"/>
  <c r="G31" i="28"/>
  <c r="G53" i="28"/>
  <c r="G46" i="28"/>
  <c r="F20" i="28"/>
  <c r="F17" i="28"/>
  <c r="G29" i="28"/>
  <c r="F33" i="28"/>
  <c r="F24" i="28"/>
  <c r="G58" i="28"/>
  <c r="F34" i="28"/>
  <c r="G60" i="28"/>
  <c r="F50" i="28"/>
  <c r="G5" i="28"/>
  <c r="F6" i="28"/>
  <c r="F15" i="28"/>
  <c r="F32" i="28"/>
  <c r="G40" i="28"/>
  <c r="F14" i="28"/>
  <c r="G23" i="28"/>
  <c r="F30" i="28"/>
  <c r="F51" i="28"/>
  <c r="G41" i="28"/>
  <c r="G42" i="28"/>
  <c r="G49" i="28"/>
  <c r="G44" i="28"/>
  <c r="G12" i="28"/>
  <c r="F52" i="28"/>
  <c r="F16" i="28"/>
  <c r="F28" i="28"/>
  <c r="F21" i="28"/>
  <c r="G25" i="28"/>
  <c r="G56" i="28"/>
  <c r="G47" i="28"/>
  <c r="F37" i="28"/>
  <c r="F11" i="28"/>
  <c r="I57" i="28"/>
  <c r="I45" i="28"/>
  <c r="I9" i="28"/>
  <c r="I35" i="28"/>
  <c r="I53" i="28"/>
  <c r="I46" i="28"/>
  <c r="I33" i="28"/>
  <c r="I60" i="28"/>
  <c r="I14" i="28"/>
  <c r="I42" i="28"/>
  <c r="I52" i="28"/>
  <c r="I27" i="28"/>
  <c r="F39" i="28"/>
  <c r="F22" i="28"/>
  <c r="G26" i="28"/>
  <c r="G13" i="28"/>
  <c r="F27" i="28"/>
  <c r="F38" i="28"/>
  <c r="G59" i="28"/>
  <c r="I43" i="28"/>
  <c r="I4" i="28"/>
  <c r="I8" i="28"/>
  <c r="I36" i="28"/>
  <c r="I17" i="28"/>
  <c r="I58" i="28"/>
  <c r="I5" i="28"/>
  <c r="I32" i="28"/>
  <c r="I30" i="28"/>
  <c r="I51" i="28"/>
  <c r="I44" i="28"/>
  <c r="I39" i="28"/>
  <c r="I22" i="28"/>
  <c r="I13" i="28"/>
  <c r="I38" i="28"/>
  <c r="I59" i="28"/>
  <c r="I48" i="28"/>
  <c r="I10" i="28"/>
  <c r="I7" i="28"/>
  <c r="I18" i="28"/>
  <c r="I31" i="28"/>
  <c r="I29" i="28"/>
  <c r="I40" i="28"/>
  <c r="I23" i="28"/>
  <c r="I41" i="28"/>
  <c r="I49" i="28"/>
  <c r="I12" i="28"/>
  <c r="I25" i="28"/>
  <c r="I56" i="28"/>
  <c r="I47" i="28"/>
  <c r="I26" i="28"/>
  <c r="H5" i="23"/>
  <c r="E5" i="23"/>
  <c r="C5" i="23"/>
  <c r="D8" i="23"/>
  <c r="H8" i="23"/>
  <c r="B8" i="23"/>
  <c r="C8" i="23"/>
  <c r="B12" i="23"/>
  <c r="H12" i="23"/>
  <c r="C12" i="23"/>
  <c r="D12" i="23"/>
  <c r="G3" i="29" l="1"/>
  <c r="F13" i="29"/>
  <c r="F11" i="29"/>
  <c r="F9" i="29"/>
  <c r="F6" i="29"/>
  <c r="F4" i="29"/>
  <c r="F12" i="29"/>
  <c r="F10" i="29"/>
  <c r="F7" i="29"/>
  <c r="F8" i="29" s="1"/>
  <c r="F5" i="29"/>
  <c r="K59" i="28"/>
  <c r="K13" i="28"/>
  <c r="K26" i="28"/>
  <c r="K47" i="28"/>
  <c r="K56" i="28"/>
  <c r="K25" i="28"/>
  <c r="K12" i="28"/>
  <c r="K44" i="28"/>
  <c r="K49" i="28"/>
  <c r="K42" i="28"/>
  <c r="K41" i="28"/>
  <c r="K23" i="28"/>
  <c r="K40" i="28"/>
  <c r="K5" i="28"/>
  <c r="K60" i="28"/>
  <c r="K58" i="28"/>
  <c r="K29" i="28"/>
  <c r="K46" i="28"/>
  <c r="K53" i="28"/>
  <c r="K31" i="28"/>
  <c r="K18" i="28"/>
  <c r="K7" i="28"/>
  <c r="K4" i="28"/>
  <c r="K10" i="28"/>
  <c r="K45" i="28"/>
  <c r="K48" i="28"/>
  <c r="K11" i="28"/>
  <c r="K38" i="28"/>
  <c r="K37" i="28"/>
  <c r="K27" i="28"/>
  <c r="K22" i="28"/>
  <c r="K21" i="28"/>
  <c r="K28" i="28"/>
  <c r="K39" i="28"/>
  <c r="K16" i="28"/>
  <c r="K52" i="28"/>
  <c r="K51" i="28"/>
  <c r="K30" i="28"/>
  <c r="K14" i="28"/>
  <c r="K32" i="28"/>
  <c r="K15" i="28"/>
  <c r="K6" i="28"/>
  <c r="K50" i="28"/>
  <c r="K34" i="28"/>
  <c r="K24" i="28"/>
  <c r="K33" i="28"/>
  <c r="K17" i="28"/>
  <c r="K20" i="28"/>
  <c r="K36" i="28"/>
  <c r="K54" i="28"/>
  <c r="K19" i="28"/>
  <c r="K8" i="28"/>
  <c r="K35" i="28"/>
  <c r="K9" i="28"/>
  <c r="K55" i="28"/>
  <c r="K43" i="28"/>
  <c r="K57" i="28"/>
  <c r="J4" i="28"/>
  <c r="J3" i="28"/>
  <c r="G27" i="24"/>
  <c r="G26" i="24"/>
  <c r="G28" i="24"/>
  <c r="G34" i="24"/>
  <c r="G35" i="24"/>
  <c r="G36" i="24"/>
  <c r="G33" i="24"/>
  <c r="G31" i="24"/>
  <c r="G29" i="24"/>
  <c r="G32" i="24"/>
  <c r="G25" i="24"/>
  <c r="G30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I35" i="24"/>
  <c r="I26" i="24"/>
  <c r="I29" i="24"/>
  <c r="I33" i="24"/>
  <c r="I34" i="24"/>
  <c r="I25" i="24"/>
  <c r="I28" i="24"/>
  <c r="I31" i="24"/>
  <c r="I32" i="24"/>
  <c r="I36" i="24"/>
  <c r="I30" i="24"/>
  <c r="I27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D33" i="24"/>
  <c r="D32" i="24"/>
  <c r="D28" i="24"/>
  <c r="D30" i="24"/>
  <c r="D25" i="24"/>
  <c r="D35" i="24"/>
  <c r="D34" i="24"/>
  <c r="D26" i="24"/>
  <c r="D36" i="24"/>
  <c r="D27" i="24"/>
  <c r="D29" i="24"/>
  <c r="D31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E27" i="24"/>
  <c r="E35" i="24"/>
  <c r="E26" i="24"/>
  <c r="E36" i="24"/>
  <c r="E30" i="24"/>
  <c r="E33" i="24"/>
  <c r="E25" i="24"/>
  <c r="E31" i="24"/>
  <c r="E32" i="24"/>
  <c r="E34" i="24"/>
  <c r="E29" i="24"/>
  <c r="E28" i="24"/>
  <c r="N11" i="28"/>
  <c r="L11" i="28"/>
  <c r="J10" i="28"/>
  <c r="L59" i="28"/>
  <c r="J58" i="28"/>
  <c r="N59" i="28"/>
  <c r="L38" i="28"/>
  <c r="J37" i="28"/>
  <c r="N38" i="28"/>
  <c r="L37" i="28"/>
  <c r="J36" i="28"/>
  <c r="N37" i="28"/>
  <c r="L27" i="28"/>
  <c r="J26" i="28"/>
  <c r="N27" i="28"/>
  <c r="N47" i="28"/>
  <c r="L47" i="28"/>
  <c r="J46" i="28"/>
  <c r="N13" i="28"/>
  <c r="L13" i="28"/>
  <c r="J12" i="28"/>
  <c r="N56" i="28"/>
  <c r="L56" i="28"/>
  <c r="J55" i="28"/>
  <c r="N26" i="28"/>
  <c r="L26" i="28"/>
  <c r="J25" i="28"/>
  <c r="N25" i="28"/>
  <c r="L25" i="28"/>
  <c r="J24" i="28"/>
  <c r="L22" i="28"/>
  <c r="J21" i="28"/>
  <c r="N22" i="28"/>
  <c r="L21" i="28"/>
  <c r="J20" i="28"/>
  <c r="N21" i="28"/>
  <c r="N28" i="28"/>
  <c r="L28" i="28"/>
  <c r="J27" i="28"/>
  <c r="N39" i="28"/>
  <c r="L39" i="28"/>
  <c r="J38" i="28"/>
  <c r="N16" i="28"/>
  <c r="L16" i="28"/>
  <c r="J15" i="28"/>
  <c r="N52" i="28"/>
  <c r="L52" i="28"/>
  <c r="J51" i="28"/>
  <c r="L12" i="28"/>
  <c r="J11" i="28"/>
  <c r="N12" i="28"/>
  <c r="L44" i="28"/>
  <c r="J43" i="28"/>
  <c r="N44" i="28"/>
  <c r="L49" i="28"/>
  <c r="J48" i="28"/>
  <c r="N49" i="28"/>
  <c r="L42" i="28"/>
  <c r="J41" i="28"/>
  <c r="N42" i="28"/>
  <c r="L41" i="28"/>
  <c r="J40" i="28"/>
  <c r="N41" i="28"/>
  <c r="N51" i="28"/>
  <c r="L51" i="28"/>
  <c r="J50" i="28"/>
  <c r="L30" i="28"/>
  <c r="J29" i="28"/>
  <c r="N30" i="28"/>
  <c r="N23" i="28"/>
  <c r="L23" i="28"/>
  <c r="J22" i="28"/>
  <c r="L19" i="24"/>
  <c r="L15" i="24"/>
  <c r="L18" i="24"/>
  <c r="L16" i="24"/>
  <c r="L17" i="24"/>
  <c r="L14" i="24"/>
  <c r="L12" i="24"/>
  <c r="L20" i="24"/>
  <c r="L13" i="24"/>
  <c r="L21" i="24"/>
  <c r="L22" i="24"/>
  <c r="L11" i="24"/>
  <c r="N3" i="28"/>
  <c r="L3" i="28"/>
  <c r="L14" i="28"/>
  <c r="J13" i="28"/>
  <c r="N14" i="28"/>
  <c r="N40" i="28"/>
  <c r="L40" i="28"/>
  <c r="J39" i="28"/>
  <c r="N32" i="28"/>
  <c r="L32" i="28"/>
  <c r="J31" i="28"/>
  <c r="N15" i="28"/>
  <c r="L15" i="28"/>
  <c r="J14" i="28"/>
  <c r="J5" i="28"/>
  <c r="L6" i="28"/>
  <c r="N6" i="28"/>
  <c r="N5" i="28"/>
  <c r="L5" i="28"/>
  <c r="L50" i="28"/>
  <c r="J49" i="28"/>
  <c r="N50" i="28"/>
  <c r="N60" i="28"/>
  <c r="J60" i="28"/>
  <c r="L60" i="28"/>
  <c r="J59" i="28"/>
  <c r="L34" i="28"/>
  <c r="J33" i="28"/>
  <c r="N34" i="28"/>
  <c r="N58" i="28"/>
  <c r="J57" i="28"/>
  <c r="L58" i="28"/>
  <c r="L24" i="28"/>
  <c r="J23" i="28"/>
  <c r="N24" i="28"/>
  <c r="J32" i="28"/>
  <c r="L33" i="28"/>
  <c r="N33" i="28"/>
  <c r="N29" i="28"/>
  <c r="J28" i="28"/>
  <c r="L29" i="28"/>
  <c r="L17" i="28"/>
  <c r="J16" i="28"/>
  <c r="N17" i="28"/>
  <c r="J19" i="28"/>
  <c r="L20" i="28"/>
  <c r="N20" i="28"/>
  <c r="N46" i="28"/>
  <c r="L46" i="28"/>
  <c r="J45" i="28"/>
  <c r="J52" i="28"/>
  <c r="L53" i="28"/>
  <c r="N53" i="28"/>
  <c r="J30" i="28"/>
  <c r="L31" i="28"/>
  <c r="N31" i="28"/>
  <c r="N36" i="28"/>
  <c r="J35" i="28"/>
  <c r="L36" i="28"/>
  <c r="N54" i="28"/>
  <c r="L54" i="28"/>
  <c r="J53" i="28"/>
  <c r="J18" i="28"/>
  <c r="L19" i="28"/>
  <c r="N19" i="28"/>
  <c r="J7" i="28"/>
  <c r="L8" i="28"/>
  <c r="N8" i="28"/>
  <c r="N18" i="28"/>
  <c r="L18" i="28"/>
  <c r="J17" i="28"/>
  <c r="L35" i="28"/>
  <c r="J34" i="28"/>
  <c r="N35" i="28"/>
  <c r="L7" i="28"/>
  <c r="J6" i="28"/>
  <c r="N7" i="28"/>
  <c r="L4" i="28"/>
  <c r="N4" i="28"/>
  <c r="L10" i="28"/>
  <c r="J9" i="28"/>
  <c r="N10" i="28"/>
  <c r="N9" i="28"/>
  <c r="L9" i="28"/>
  <c r="J8" i="28"/>
  <c r="N45" i="28"/>
  <c r="L45" i="28"/>
  <c r="J44" i="28"/>
  <c r="L55" i="28"/>
  <c r="J54" i="28"/>
  <c r="N55" i="28"/>
  <c r="L43" i="28"/>
  <c r="J42" i="28"/>
  <c r="N43" i="28"/>
  <c r="N48" i="28"/>
  <c r="L48" i="28"/>
  <c r="J47" i="28"/>
  <c r="L57" i="28"/>
  <c r="J56" i="28"/>
  <c r="N57" i="28"/>
  <c r="H11" i="28"/>
  <c r="H59" i="28"/>
  <c r="H38" i="28"/>
  <c r="H37" i="28"/>
  <c r="H27" i="28"/>
  <c r="H47" i="28"/>
  <c r="H13" i="28"/>
  <c r="H56" i="28"/>
  <c r="H26" i="28"/>
  <c r="H25" i="28"/>
  <c r="H22" i="28"/>
  <c r="H21" i="28"/>
  <c r="H28" i="28"/>
  <c r="H39" i="28"/>
  <c r="H16" i="28"/>
  <c r="H52" i="28"/>
  <c r="H12" i="28"/>
  <c r="H44" i="28"/>
  <c r="H49" i="28"/>
  <c r="H42" i="28"/>
  <c r="H41" i="28"/>
  <c r="H51" i="28"/>
  <c r="H30" i="28"/>
  <c r="H23" i="28"/>
  <c r="F13" i="23"/>
  <c r="H3" i="28"/>
  <c r="H14" i="28"/>
  <c r="H40" i="28"/>
  <c r="H32" i="28"/>
  <c r="H15" i="28"/>
  <c r="H6" i="28"/>
  <c r="H5" i="28"/>
  <c r="H50" i="28"/>
  <c r="H60" i="28"/>
  <c r="H34" i="28"/>
  <c r="H58" i="28"/>
  <c r="H24" i="28"/>
  <c r="H33" i="28"/>
  <c r="H29" i="28"/>
  <c r="H17" i="28"/>
  <c r="H20" i="28"/>
  <c r="H46" i="28"/>
  <c r="H53" i="28"/>
  <c r="H31" i="28"/>
  <c r="H36" i="28"/>
  <c r="H54" i="28"/>
  <c r="H19" i="28"/>
  <c r="H8" i="28"/>
  <c r="H18" i="28"/>
  <c r="H35" i="28"/>
  <c r="H7" i="28"/>
  <c r="H4" i="28"/>
  <c r="H10" i="28"/>
  <c r="H9" i="28"/>
  <c r="M21" i="24"/>
  <c r="H45" i="28"/>
  <c r="H55" i="28"/>
  <c r="H43" i="28"/>
  <c r="H48" i="28"/>
  <c r="H57" i="28"/>
  <c r="M22" i="24"/>
  <c r="M14" i="24"/>
  <c r="M17" i="24"/>
  <c r="M16" i="24"/>
  <c r="M18" i="24"/>
  <c r="M15" i="24"/>
  <c r="M19" i="24"/>
  <c r="F23" i="1"/>
  <c r="F14" i="23"/>
  <c r="M13" i="24"/>
  <c r="M20" i="24"/>
  <c r="M12" i="24"/>
  <c r="G13" i="23"/>
  <c r="B13" i="23"/>
  <c r="E13" i="23"/>
  <c r="B23" i="1"/>
  <c r="E23" i="1"/>
  <c r="C23" i="1"/>
  <c r="K23" i="1"/>
  <c r="H23" i="1"/>
  <c r="G14" i="23"/>
  <c r="J23" i="1"/>
  <c r="I23" i="1"/>
  <c r="D23" i="1"/>
  <c r="G23" i="1"/>
  <c r="E14" i="23"/>
  <c r="L23" i="1"/>
  <c r="I14" i="23"/>
  <c r="I13" i="23"/>
  <c r="H14" i="23"/>
  <c r="D14" i="23"/>
  <c r="C13" i="23"/>
  <c r="D13" i="23"/>
  <c r="H13" i="23"/>
  <c r="A15" i="29" l="1"/>
  <c r="G13" i="29"/>
  <c r="G11" i="29"/>
  <c r="G9" i="29"/>
  <c r="G7" i="29"/>
  <c r="G5" i="29"/>
  <c r="G12" i="29"/>
  <c r="G10" i="29"/>
  <c r="G8" i="29"/>
  <c r="G6" i="29"/>
  <c r="G4" i="29"/>
  <c r="L30" i="24"/>
  <c r="M30" i="24" s="1"/>
  <c r="L36" i="24"/>
  <c r="M36" i="24" s="1"/>
  <c r="L27" i="24"/>
  <c r="M27" i="24" s="1"/>
  <c r="L28" i="24"/>
  <c r="M28" i="24" s="1"/>
  <c r="L35" i="24"/>
  <c r="M35" i="24" s="1"/>
  <c r="L33" i="24"/>
  <c r="M33" i="24" s="1"/>
  <c r="L32" i="24"/>
  <c r="M32" i="24" s="1"/>
  <c r="L34" i="24"/>
  <c r="M34" i="24" s="1"/>
  <c r="L26" i="24"/>
  <c r="M26" i="24" s="1"/>
  <c r="L29" i="24"/>
  <c r="M29" i="24" s="1"/>
  <c r="L25" i="24"/>
  <c r="M25" i="24" s="1"/>
  <c r="L31" i="24"/>
  <c r="M31" i="24" s="1"/>
  <c r="F24" i="1"/>
  <c r="F15" i="23"/>
  <c r="C14" i="23"/>
  <c r="B14" i="23"/>
  <c r="H24" i="1"/>
  <c r="D24" i="1"/>
  <c r="B24" i="1"/>
  <c r="C24" i="1"/>
  <c r="G24" i="1"/>
  <c r="I24" i="1"/>
  <c r="J24" i="1"/>
  <c r="E24" i="1"/>
  <c r="K24" i="1"/>
  <c r="G15" i="23"/>
  <c r="E15" i="23"/>
  <c r="L24" i="1"/>
  <c r="I15" i="23"/>
  <c r="H15" i="23"/>
  <c r="D15" i="23"/>
  <c r="A24" i="29" l="1"/>
  <c r="A22" i="29"/>
  <c r="A18" i="29"/>
  <c r="A16" i="29"/>
  <c r="B15" i="29"/>
  <c r="A23" i="29"/>
  <c r="A19" i="29"/>
  <c r="A20" i="29" s="1"/>
  <c r="A25" i="29"/>
  <c r="A21" i="29"/>
  <c r="A17" i="29"/>
  <c r="B15" i="23"/>
  <c r="C15" i="23"/>
  <c r="F25" i="1"/>
  <c r="F16" i="23"/>
  <c r="H25" i="1"/>
  <c r="C25" i="1"/>
  <c r="G25" i="1"/>
  <c r="I25" i="1"/>
  <c r="K25" i="1"/>
  <c r="B25" i="1"/>
  <c r="J25" i="1"/>
  <c r="E25" i="1"/>
  <c r="D25" i="1"/>
  <c r="G16" i="23"/>
  <c r="E16" i="23"/>
  <c r="I16" i="23"/>
  <c r="L25" i="1"/>
  <c r="D16" i="23"/>
  <c r="H16" i="23"/>
  <c r="B25" i="29" l="1"/>
  <c r="B23" i="29"/>
  <c r="B21" i="29"/>
  <c r="B18" i="29"/>
  <c r="B16" i="29"/>
  <c r="B24" i="29"/>
  <c r="B22" i="29"/>
  <c r="B17" i="29"/>
  <c r="C15" i="29"/>
  <c r="B19" i="29"/>
  <c r="B20" i="29" s="1"/>
  <c r="B16" i="23"/>
  <c r="C16" i="23"/>
  <c r="F26" i="1"/>
  <c r="F17" i="23"/>
  <c r="K26" i="1"/>
  <c r="E26" i="1"/>
  <c r="I26" i="1"/>
  <c r="J26" i="1"/>
  <c r="B26" i="1"/>
  <c r="D26" i="1"/>
  <c r="C26" i="1"/>
  <c r="G26" i="1"/>
  <c r="H26" i="1"/>
  <c r="G17" i="23"/>
  <c r="D17" i="23"/>
  <c r="L26" i="1"/>
  <c r="I17" i="23"/>
  <c r="E17" i="23"/>
  <c r="H17" i="23"/>
  <c r="D15" i="29" l="1"/>
  <c r="C25" i="29"/>
  <c r="C23" i="29"/>
  <c r="C21" i="29"/>
  <c r="C19" i="29"/>
  <c r="C17" i="29"/>
  <c r="C24" i="29"/>
  <c r="C22" i="29"/>
  <c r="C20" i="29"/>
  <c r="C18" i="29"/>
  <c r="C16" i="29"/>
  <c r="F18" i="23"/>
  <c r="C17" i="23"/>
  <c r="B17" i="23"/>
  <c r="C18" i="23"/>
  <c r="B18" i="23"/>
  <c r="G18" i="23"/>
  <c r="D18" i="23"/>
  <c r="I18" i="23"/>
  <c r="E18" i="23"/>
  <c r="H18" i="23"/>
  <c r="E15" i="29" l="1"/>
  <c r="D24" i="29"/>
  <c r="D22" i="29"/>
  <c r="D19" i="29"/>
  <c r="D20" i="29" s="1"/>
  <c r="D17" i="29"/>
  <c r="D25" i="29"/>
  <c r="D23" i="29"/>
  <c r="D21" i="29"/>
  <c r="D18" i="29"/>
  <c r="D16" i="29"/>
  <c r="F15" i="29" l="1"/>
  <c r="E22" i="29"/>
  <c r="E25" i="29"/>
  <c r="E23" i="29"/>
  <c r="E21" i="29"/>
  <c r="E18" i="29"/>
  <c r="E16" i="29"/>
  <c r="E24" i="29"/>
  <c r="E19" i="29"/>
  <c r="E20" i="29" s="1"/>
  <c r="E17" i="29"/>
  <c r="G15" i="29" l="1"/>
  <c r="A27" i="29" s="1"/>
  <c r="F24" i="29"/>
  <c r="F22" i="29"/>
  <c r="F19" i="29"/>
  <c r="F20" i="29" s="1"/>
  <c r="F17" i="29"/>
  <c r="F25" i="29"/>
  <c r="F23" i="29"/>
  <c r="F21" i="29"/>
  <c r="F18" i="29"/>
  <c r="F16" i="29"/>
  <c r="A37" i="29" l="1"/>
  <c r="A30" i="29"/>
  <c r="A28" i="29"/>
  <c r="A34" i="29"/>
  <c r="A29" i="29"/>
  <c r="A33" i="29"/>
  <c r="B27" i="29"/>
  <c r="A36" i="29"/>
  <c r="A31" i="29"/>
  <c r="A32" i="29" s="1"/>
  <c r="A35" i="29"/>
  <c r="G25" i="29"/>
  <c r="G23" i="29"/>
  <c r="G21" i="29"/>
  <c r="G18" i="29"/>
  <c r="G16" i="29"/>
  <c r="G24" i="29"/>
  <c r="G22" i="29"/>
  <c r="G19" i="29"/>
  <c r="G20" i="29" s="1"/>
  <c r="G17" i="29"/>
  <c r="B34" i="29" l="1"/>
  <c r="B30" i="29"/>
  <c r="C27" i="29"/>
  <c r="B35" i="29"/>
  <c r="B31" i="29"/>
  <c r="B36" i="29"/>
  <c r="B32" i="29"/>
  <c r="B28" i="29"/>
  <c r="B37" i="29"/>
  <c r="B33" i="29"/>
  <c r="B29" i="29"/>
  <c r="C35" i="29" l="1"/>
  <c r="C31" i="29"/>
  <c r="C36" i="29"/>
  <c r="C32" i="29"/>
  <c r="C28" i="29"/>
  <c r="C37" i="29"/>
  <c r="C33" i="29"/>
  <c r="C29" i="29"/>
  <c r="C34" i="29"/>
  <c r="C30" i="29"/>
  <c r="D27" i="29"/>
  <c r="D34" i="29" l="1"/>
  <c r="D30" i="29"/>
  <c r="E27" i="29"/>
  <c r="D35" i="29"/>
  <c r="D31" i="29"/>
  <c r="D36" i="29"/>
  <c r="D32" i="29"/>
  <c r="D28" i="29"/>
  <c r="D37" i="29"/>
  <c r="D33" i="29"/>
  <c r="D29" i="29"/>
  <c r="E37" i="29" l="1"/>
  <c r="E33" i="29"/>
  <c r="E29" i="29"/>
  <c r="E34" i="29"/>
  <c r="E30" i="29"/>
  <c r="F27" i="29"/>
  <c r="E35" i="29"/>
  <c r="E31" i="29"/>
  <c r="E36" i="29"/>
  <c r="E32" i="29"/>
  <c r="E28" i="29"/>
  <c r="F36" i="29" l="1"/>
  <c r="F28" i="29"/>
  <c r="F37" i="29"/>
  <c r="F33" i="29"/>
  <c r="F29" i="29"/>
  <c r="F34" i="29"/>
  <c r="F30" i="29"/>
  <c r="G27" i="29"/>
  <c r="F35" i="29"/>
  <c r="F31" i="29"/>
  <c r="F32" i="29" s="1"/>
  <c r="A39" i="29" l="1"/>
  <c r="G37" i="29"/>
  <c r="G33" i="29"/>
  <c r="G29" i="29"/>
  <c r="G34" i="29"/>
  <c r="G30" i="29"/>
  <c r="G35" i="29"/>
  <c r="G31" i="29"/>
  <c r="G36" i="29"/>
  <c r="G32" i="29"/>
  <c r="G28" i="29"/>
  <c r="A49" i="29" l="1"/>
  <c r="A48" i="29"/>
  <c r="A42" i="29"/>
  <c r="B39" i="29"/>
  <c r="A46" i="29"/>
  <c r="A40" i="29"/>
  <c r="A41" i="29"/>
  <c r="A43" i="29"/>
  <c r="A44" i="29" s="1"/>
  <c r="A45" i="29"/>
  <c r="A47" i="29"/>
  <c r="B48" i="29" l="1"/>
  <c r="B47" i="29"/>
  <c r="B43" i="29"/>
  <c r="B49" i="29"/>
  <c r="B42" i="29"/>
  <c r="B46" i="29"/>
  <c r="B41" i="29"/>
  <c r="B45" i="29"/>
  <c r="C39" i="29"/>
  <c r="B40" i="29"/>
  <c r="B44" i="29"/>
  <c r="C49" i="29" l="1"/>
  <c r="C45" i="29"/>
  <c r="C41" i="29"/>
  <c r="C46" i="29"/>
  <c r="D39" i="29"/>
  <c r="C47" i="29"/>
  <c r="C43" i="29"/>
  <c r="C44" i="29" s="1"/>
  <c r="C48" i="29"/>
  <c r="C40" i="29"/>
  <c r="C42" i="29"/>
  <c r="D46" i="29" l="1"/>
  <c r="D40" i="29"/>
  <c r="D49" i="29"/>
  <c r="D43" i="29"/>
  <c r="D44" i="29" s="1"/>
  <c r="D47" i="29"/>
  <c r="D48" i="29"/>
  <c r="D42" i="29"/>
  <c r="E39" i="29"/>
  <c r="D45" i="29"/>
  <c r="D41" i="29"/>
  <c r="E49" i="29" l="1"/>
  <c r="E45" i="29"/>
  <c r="E41" i="29"/>
  <c r="E40" i="29"/>
  <c r="F39" i="29"/>
  <c r="E47" i="29"/>
  <c r="E43" i="29"/>
  <c r="E44" i="29" s="1"/>
  <c r="E48" i="29"/>
  <c r="E42" i="29"/>
  <c r="E46" i="29"/>
  <c r="F48" i="29" l="1"/>
  <c r="F42" i="29"/>
  <c r="G39" i="29"/>
  <c r="F45" i="29"/>
  <c r="F47" i="29"/>
  <c r="F46" i="29"/>
  <c r="F40" i="29"/>
  <c r="F49" i="29"/>
  <c r="F41" i="29"/>
  <c r="F43" i="29"/>
  <c r="F44" i="29" s="1"/>
  <c r="A51" i="29" l="1"/>
  <c r="G49" i="29"/>
  <c r="G45" i="29"/>
  <c r="G41" i="29"/>
  <c r="G44" i="29"/>
  <c r="G46" i="29"/>
  <c r="G47" i="29"/>
  <c r="G43" i="29"/>
  <c r="G48" i="29"/>
  <c r="G40" i="29"/>
  <c r="G42" i="29"/>
  <c r="A61" i="29" l="1"/>
  <c r="A53" i="29"/>
  <c r="A52" i="29"/>
  <c r="A60" i="29"/>
  <c r="A57" i="29"/>
  <c r="B51" i="29"/>
  <c r="A54" i="29"/>
  <c r="A58" i="29"/>
  <c r="A55" i="29"/>
  <c r="A56" i="29" s="1"/>
  <c r="A59" i="29"/>
  <c r="B60" i="29" l="1"/>
  <c r="B54" i="29"/>
  <c r="C51" i="29"/>
  <c r="B59" i="29"/>
  <c r="B55" i="29"/>
  <c r="B56" i="29" s="1"/>
  <c r="B58" i="29"/>
  <c r="B52" i="29"/>
  <c r="B61" i="29"/>
  <c r="B57" i="29"/>
  <c r="B53" i="29"/>
  <c r="C61" i="29" l="1"/>
  <c r="C57" i="29"/>
  <c r="C53" i="29"/>
  <c r="C58" i="29"/>
  <c r="C54" i="29"/>
  <c r="D51" i="29"/>
  <c r="C59" i="29"/>
  <c r="C55" i="29"/>
  <c r="C60" i="29"/>
  <c r="C56" i="29"/>
  <c r="C52" i="29"/>
  <c r="D60" i="29" l="1"/>
  <c r="D54" i="29"/>
  <c r="D59" i="29"/>
  <c r="D55" i="29"/>
  <c r="D56" i="29" s="1"/>
  <c r="D52" i="29"/>
  <c r="D58" i="29"/>
  <c r="D61" i="29"/>
  <c r="D57" i="29"/>
  <c r="D53" i="29"/>
  <c r="E51" i="29"/>
  <c r="E59" i="29" l="1"/>
  <c r="E55" i="29"/>
  <c r="E60" i="29"/>
  <c r="E56" i="29"/>
  <c r="E52" i="29"/>
  <c r="E61" i="29"/>
  <c r="E57" i="29"/>
  <c r="E53" i="29"/>
  <c r="E58" i="29"/>
  <c r="E54" i="29"/>
  <c r="F51" i="29"/>
  <c r="F60" i="29" l="1"/>
  <c r="F54" i="29"/>
  <c r="F61" i="29"/>
  <c r="F57" i="29"/>
  <c r="F53" i="29"/>
  <c r="F58" i="29"/>
  <c r="F52" i="29"/>
  <c r="F59" i="29"/>
  <c r="F55" i="29"/>
  <c r="F56" i="29" s="1"/>
  <c r="G51" i="29"/>
  <c r="G61" i="29" l="1"/>
  <c r="G57" i="29"/>
  <c r="G53" i="29"/>
  <c r="G58" i="29"/>
  <c r="G54" i="29"/>
  <c r="G59" i="29"/>
  <c r="G55" i="29"/>
  <c r="G60" i="29"/>
  <c r="G56" i="29"/>
  <c r="G52" i="29"/>
</calcChain>
</file>

<file path=xl/sharedStrings.xml><?xml version="1.0" encoding="utf-8"?>
<sst xmlns="http://schemas.openxmlformats.org/spreadsheetml/2006/main" count="137" uniqueCount="71">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</sst>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809]dd\ mmmm\ yyyy;@"/>
    <numFmt numFmtId="172" formatCode="[$-F400]h:mm:ss\ AM/PM"/>
    <numFmt numFmtId="173" formatCode="0.000"/>
    <numFmt numFmtId="174" formatCode="ddd"/>
    <numFmt numFmtId="175" formatCode="mmmm"/>
    <numFmt numFmtId="176" formatCode="dddd"/>
    <numFmt numFmtId="178" formatCode="hh:mm:ss;@"/>
    <numFmt numFmtId="183" formatCode="0.0"/>
    <numFmt numFmtId="185" formatCode="d"/>
  </numFmts>
  <fonts count="28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b/>
      <sz val="1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21" fillId="10" borderId="21" xfId="0" applyFont="1" applyFill="1" applyBorder="1" applyAlignment="1">
      <alignment horizontal="center"/>
    </xf>
    <xf numFmtId="0" fontId="23" fillId="10" borderId="21" xfId="0" applyFont="1" applyFill="1" applyBorder="1" applyAlignment="1" applyProtection="1">
      <alignment horizontal="center"/>
    </xf>
    <xf numFmtId="0" fontId="24" fillId="10" borderId="21" xfId="0" applyFont="1" applyFill="1" applyBorder="1" applyAlignment="1" applyProtection="1">
      <alignment horizontal="center"/>
    </xf>
    <xf numFmtId="0" fontId="23" fillId="10" borderId="21" xfId="0" applyFont="1" applyFill="1" applyBorder="1" applyAlignment="1">
      <alignment horizontal="center"/>
    </xf>
    <xf numFmtId="164" fontId="24" fillId="10" borderId="2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74" fontId="0" fillId="0" borderId="0" xfId="0" applyNumberFormat="1" applyFill="1" applyBorder="1" applyAlignment="1" applyProtection="1">
      <alignment horizontal="center"/>
      <protection locked="0" hidden="1"/>
    </xf>
    <xf numFmtId="17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73" fontId="0" fillId="0" borderId="0" xfId="0" applyNumberFormat="1" applyFill="1" applyBorder="1" applyAlignment="1" applyProtection="1">
      <alignment horizontal="center"/>
      <protection locked="0" hidden="1"/>
    </xf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176" fontId="0" fillId="11" borderId="23" xfId="0" applyNumberFormat="1" applyFill="1" applyBorder="1"/>
    <xf numFmtId="0" fontId="0" fillId="0" borderId="26" xfId="0" applyBorder="1"/>
    <xf numFmtId="0" fontId="0" fillId="0" borderId="27" xfId="0" applyBorder="1"/>
    <xf numFmtId="172" fontId="0" fillId="0" borderId="26" xfId="0" applyNumberFormat="1" applyBorder="1"/>
    <xf numFmtId="2" fontId="0" fillId="0" borderId="26" xfId="0" applyNumberFormat="1" applyBorder="1"/>
    <xf numFmtId="0" fontId="0" fillId="0" borderId="26" xfId="0" applyNumberFormat="1" applyBorder="1"/>
    <xf numFmtId="178" fontId="0" fillId="0" borderId="26" xfId="0" applyNumberFormat="1" applyBorder="1"/>
    <xf numFmtId="183" fontId="0" fillId="0" borderId="26" xfId="0" applyNumberFormat="1" applyBorder="1"/>
    <xf numFmtId="183" fontId="0" fillId="0" borderId="27" xfId="0" applyNumberFormat="1" applyBorder="1"/>
    <xf numFmtId="185" fontId="26" fillId="13" borderId="25" xfId="0" applyNumberFormat="1" applyFont="1" applyFill="1" applyBorder="1"/>
    <xf numFmtId="175" fontId="25" fillId="11" borderId="28" xfId="0" applyNumberFormat="1" applyFont="1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12" borderId="0" xfId="0" applyFill="1" applyBorder="1"/>
    <xf numFmtId="176" fontId="2" fillId="11" borderId="22" xfId="0" applyNumberFormat="1" applyFont="1" applyFill="1" applyBorder="1"/>
    <xf numFmtId="185" fontId="27" fillId="13" borderId="25" xfId="0" applyNumberFormat="1" applyFont="1" applyFill="1" applyBorder="1"/>
    <xf numFmtId="0" fontId="2" fillId="0" borderId="26" xfId="0" applyFont="1" applyBorder="1"/>
    <xf numFmtId="0" fontId="2" fillId="0" borderId="27" xfId="0" applyFont="1" applyBorder="1"/>
    <xf numFmtId="0" fontId="2" fillId="12" borderId="31" xfId="0" applyFont="1" applyFill="1" applyBorder="1"/>
    <xf numFmtId="172" fontId="2" fillId="0" borderId="26" xfId="0" applyNumberFormat="1" applyFont="1" applyBorder="1"/>
    <xf numFmtId="2" fontId="2" fillId="0" borderId="26" xfId="0" applyNumberFormat="1" applyFont="1" applyBorder="1"/>
    <xf numFmtId="0" fontId="2" fillId="0" borderId="26" xfId="0" applyNumberFormat="1" applyFont="1" applyBorder="1"/>
    <xf numFmtId="178" fontId="2" fillId="0" borderId="26" xfId="0" applyNumberFormat="1" applyFont="1" applyBorder="1"/>
    <xf numFmtId="183" fontId="2" fillId="0" borderId="26" xfId="0" applyNumberFormat="1" applyFont="1" applyBorder="1"/>
    <xf numFmtId="183" fontId="2" fillId="0" borderId="27" xfId="0" applyNumberFormat="1" applyFont="1" applyBorder="1"/>
    <xf numFmtId="176" fontId="2" fillId="11" borderId="24" xfId="0" applyNumberFormat="1" applyFont="1" applyFill="1" applyBorder="1"/>
    <xf numFmtId="0" fontId="2" fillId="12" borderId="32" xfId="0" applyFont="1" applyFill="1" applyBorder="1"/>
  </cellXfs>
  <cellStyles count="1">
    <cellStyle name="Normal" xfId="0" builtinId="0"/>
  </cellStyles>
  <dxfs count="18">
    <dxf>
      <numFmt numFmtId="27" formatCode="dd/mm/yyyy\ hh:mm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4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P60" totalsRowShown="0" headerRowDxfId="17" dataDxfId="16">
  <tableColumns count="16">
    <tableColumn id="1" name="Date" dataDxfId="15"/>
    <tableColumn id="2" name="GMT" dataDxfId="14">
      <calculatedColumnFormula>A3+TimeZone/24</calculatedColumnFormula>
    </tableColumn>
    <tableColumn id="3" name="SunRise" dataDxfId="13">
      <calculatedColumnFormula>sunrise(Lat,Long,B3)+TimeZone/24+0.00103009259259259</calculatedColumnFormula>
    </tableColumn>
    <tableColumn id="4" name="Sun Set" dataDxfId="12">
      <calculatedColumnFormula>sunset(Lat,Long,B3)+TimeZone/24-0.000277777777777778</calculatedColumnFormula>
    </tableColumn>
    <tableColumn id="5" name="GMT Sun Rise" dataDxfId="0">
      <calculatedColumnFormula>P[[#This Row],[SunRise]]-TimeZone/24</calculatedColumnFormula>
    </tableColumn>
    <tableColumn id="6" name="Sun" dataDxfId="11">
      <calculatedColumnFormula>Planet(E3,0)</calculatedColumnFormula>
    </tableColumn>
    <tableColumn id="7" name="Moon" dataDxfId="10">
      <calculatedColumnFormula>Planet(E3,1)</calculatedColumnFormula>
    </tableColumn>
    <tableColumn id="8" name="Vaara" dataDxfId="9">
      <calculatedColumnFormula>E3</calculatedColumnFormula>
    </tableColumn>
    <tableColumn id="9" name="Nakshatra" dataDxfId="8">
      <calculatedColumnFormula>naks(P[[#This Row],[Moon]])</calculatedColumnFormula>
    </tableColumn>
    <tableColumn id="14" name="Nx Ending" dataDxfId="7">
      <calculatedColumnFormula>(C4-P[[#This Row],[SunRise]])/(G4-P[[#This Row],[Moon]])*(13.3333333333333-MOD(P[[#This Row],[Moon]],13.333333333333))+P[[#This Row],[SunRise]]</calculatedColumnFormula>
    </tableColumn>
    <tableColumn id="10" name="Tithi" dataDxfId="1">
      <calculatedColumnFormula>MOD(360+P[[#This Row],[Moon]]-P[[#This Row],[Sun]],360)/12</calculatedColumnFormula>
    </tableColumn>
    <tableColumn id="11" name="Karana1" dataDxfId="6">
      <calculatedColumnFormula>IF(AND(K3&lt;28.5,K3&gt;0.49999),MOD(K3*2,7),"S")</calculatedColumnFormula>
    </tableColumn>
    <tableColumn id="12" name="Karana2" dataDxfId="5"/>
    <tableColumn id="13" name="Yoga" dataDxfId="4">
      <calculatedColumnFormula>MOD(F3+G3,360)/13.333333333</calculatedColumnFormula>
    </tableColumn>
    <tableColumn id="15" name="Column1" dataDxfId="3"/>
    <tableColumn id="16" name="Column2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"/>
  <sheetViews>
    <sheetView workbookViewId="0">
      <selection activeCell="A3" sqref="A3"/>
    </sheetView>
  </sheetViews>
  <sheetFormatPr defaultColWidth="8" defaultRowHeight="12.75" x14ac:dyDescent="0.2"/>
  <cols>
    <col min="1" max="1" width="19.85546875" bestFit="1" customWidth="1"/>
    <col min="2" max="2" width="10.5703125" bestFit="1" customWidth="1"/>
    <col min="3" max="3" width="11.28515625" bestFit="1" customWidth="1"/>
    <col min="4" max="4" width="9.42578125" bestFit="1" customWidth="1"/>
    <col min="5" max="5" width="7.28515625" bestFit="1" customWidth="1"/>
    <col min="6" max="6" width="8.85546875" bestFit="1" customWidth="1"/>
    <col min="7" max="8" width="18.140625" bestFit="1" customWidth="1"/>
    <col min="9" max="21" width="8.5703125" bestFit="1" customWidth="1"/>
    <col min="22" max="22" width="9.140625" bestFit="1" customWidth="1"/>
    <col min="23" max="24" width="8.5703125" bestFit="1" customWidth="1"/>
  </cols>
  <sheetData>
    <row r="1" spans="1:24" s="128" customFormat="1" ht="15" x14ac:dyDescent="0.25">
      <c r="A1" s="123" t="s">
        <v>21</v>
      </c>
      <c r="B1" s="124" t="s">
        <v>22</v>
      </c>
      <c r="C1" s="125" t="s">
        <v>23</v>
      </c>
      <c r="D1" s="125" t="s">
        <v>24</v>
      </c>
      <c r="E1" s="124" t="s">
        <v>18</v>
      </c>
      <c r="F1" s="126" t="s">
        <v>19</v>
      </c>
      <c r="G1" s="127" t="s">
        <v>25</v>
      </c>
      <c r="H1" s="127" t="s">
        <v>26</v>
      </c>
      <c r="I1" s="127" t="s">
        <v>20</v>
      </c>
      <c r="J1" s="125" t="s">
        <v>9</v>
      </c>
      <c r="K1" s="125" t="s">
        <v>2</v>
      </c>
      <c r="L1" s="125" t="s">
        <v>3</v>
      </c>
      <c r="M1" s="125" t="s">
        <v>16</v>
      </c>
      <c r="N1" s="125" t="s">
        <v>4</v>
      </c>
      <c r="O1" s="125" t="s">
        <v>44</v>
      </c>
      <c r="P1" s="125" t="s">
        <v>5</v>
      </c>
      <c r="Q1" s="125" t="s">
        <v>6</v>
      </c>
      <c r="R1" s="125" t="s">
        <v>7</v>
      </c>
      <c r="S1" s="125" t="s">
        <v>8</v>
      </c>
      <c r="T1" s="125" t="s">
        <v>11</v>
      </c>
      <c r="U1" s="125" t="s">
        <v>12</v>
      </c>
      <c r="V1" s="125" t="s">
        <v>29</v>
      </c>
      <c r="W1" s="125" t="s">
        <v>13</v>
      </c>
      <c r="X1" s="125" t="s">
        <v>14</v>
      </c>
    </row>
    <row r="2" spans="1:24" ht="13.5" thickBot="1" x14ac:dyDescent="0.25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 x14ac:dyDescent="0.25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5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"/>
  <sheetViews>
    <sheetView workbookViewId="0">
      <selection activeCell="F22" sqref="F22"/>
    </sheetView>
  </sheetViews>
  <sheetFormatPr defaultRowHeight="12.75" x14ac:dyDescent="0.2"/>
  <cols>
    <col min="1" max="1" width="19" style="12" bestFit="1" customWidth="1"/>
    <col min="2" max="2" width="19.28515625" style="12" bestFit="1" customWidth="1"/>
    <col min="3" max="3" width="5.710937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 x14ac:dyDescent="0.25">
      <c r="A1" s="41" t="s">
        <v>21</v>
      </c>
      <c r="B1" s="42" t="s">
        <v>0</v>
      </c>
      <c r="C1" s="24"/>
      <c r="D1" s="24"/>
      <c r="E1" s="24"/>
      <c r="F1" s="24"/>
      <c r="G1" s="24"/>
    </row>
    <row r="2" spans="1:21" x14ac:dyDescent="0.2">
      <c r="A2" s="36" t="s">
        <v>22</v>
      </c>
      <c r="B2" s="44">
        <v>26133</v>
      </c>
      <c r="C2" s="25"/>
      <c r="F2" s="26"/>
      <c r="G2" s="27"/>
      <c r="H2" s="25"/>
      <c r="I2" s="27"/>
      <c r="J2" s="28"/>
      <c r="K2" s="29"/>
      <c r="L2" s="140"/>
      <c r="M2" s="140"/>
      <c r="N2" s="139"/>
      <c r="O2" s="139"/>
      <c r="P2" s="139"/>
      <c r="Q2" s="28"/>
      <c r="R2" s="7"/>
      <c r="S2" s="7"/>
      <c r="T2" s="7"/>
      <c r="U2" s="11"/>
    </row>
    <row r="3" spans="1:21" x14ac:dyDescent="0.2">
      <c r="A3" s="37" t="s">
        <v>23</v>
      </c>
      <c r="B3" s="45">
        <v>0.38819444444444445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">
      <c r="A4" s="37" t="s">
        <v>24</v>
      </c>
      <c r="B4" s="46"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">
      <c r="A5" s="37" t="s">
        <v>18</v>
      </c>
      <c r="B5" s="46">
        <v>23.667000000000002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">
      <c r="A6" s="47" t="s">
        <v>19</v>
      </c>
      <c r="B6" s="48">
        <v>85.283000000000001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">
      <c r="A7" s="38" t="s">
        <v>25</v>
      </c>
      <c r="B7" s="43">
        <f>B2+B3-B4/24</f>
        <v>26133.159027777776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">
      <c r="A8" s="38" t="s">
        <v>26</v>
      </c>
      <c r="B8" s="43">
        <f>sunrise(B5,B6,B7)+B4/24</f>
        <v>26133.216853264876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">
      <c r="A9" s="39" t="s">
        <v>20</v>
      </c>
      <c r="B9" s="40" t="str">
        <f>CHOOSE(WEEKDAY(B7),"Sunday","Monday","Tuesday","Wednesday","Thursday","Friday","Saturday")</f>
        <v>Monday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 x14ac:dyDescent="0.2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 x14ac:dyDescent="0.2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 x14ac:dyDescent="0.2">
      <c r="A12" s="1" t="s">
        <v>9</v>
      </c>
      <c r="B12" s="2">
        <f>degree(F12)</f>
        <v>26</v>
      </c>
      <c r="C12" s="2" t="str">
        <f>Rasi(F12)</f>
        <v>Le</v>
      </c>
      <c r="D12" s="4">
        <f>Minutes(F12)</f>
        <v>18</v>
      </c>
      <c r="E12" s="4">
        <f>seconds(F12)</f>
        <v>51.08</v>
      </c>
      <c r="F12" s="98">
        <f>Asdt(B5,B6,B7)</f>
        <v>146.31418949244772</v>
      </c>
      <c r="G12" s="3" t="str">
        <f t="shared" ref="G12:G26" si="0">naks(F12)</f>
        <v>Purva Phalguni</v>
      </c>
      <c r="H12" s="5" t="str">
        <f t="shared" ref="H12:H21" si="1">nakspad(F12)</f>
        <v>2</v>
      </c>
      <c r="I12" s="5" t="str">
        <f t="shared" ref="I12:I21" si="2">naksdeity(F12)</f>
        <v>Bhaga</v>
      </c>
      <c r="J12" s="5" t="str">
        <f t="shared" ref="J12:J21" si="3">nakslord(F12)</f>
        <v>Venus</v>
      </c>
      <c r="K12" s="99">
        <f>rasinum(F12)</f>
        <v>5</v>
      </c>
      <c r="L12" s="99">
        <f>HouseNum(F12,$F$12)</f>
        <v>1</v>
      </c>
      <c r="R12" s="7"/>
      <c r="S12" s="16"/>
      <c r="T12" s="16"/>
      <c r="U12" s="17"/>
    </row>
    <row r="13" spans="1:21" x14ac:dyDescent="0.2">
      <c r="A13" s="1" t="s">
        <v>2</v>
      </c>
      <c r="B13" s="2">
        <f t="shared" ref="B13:B26" si="4">degree(F13)</f>
        <v>2</v>
      </c>
      <c r="C13" s="2" t="str">
        <f t="shared" ref="C13:C26" si="5">Rasi(F13)</f>
        <v>Cn</v>
      </c>
      <c r="D13" s="4">
        <f t="shared" ref="D13:D26" si="6">Minutes(F13)</f>
        <v>22</v>
      </c>
      <c r="E13" s="4">
        <f t="shared" ref="E13:E26" si="7">seconds(F13)</f>
        <v>55.31</v>
      </c>
      <c r="F13" s="98">
        <f>Planet($B$7,0)</f>
        <v>92.382030552606707</v>
      </c>
      <c r="G13" s="3" t="str">
        <f t="shared" si="0"/>
        <v>Punarvasu</v>
      </c>
      <c r="H13" s="5" t="str">
        <f t="shared" si="1"/>
        <v>4</v>
      </c>
      <c r="I13" s="5" t="str">
        <f t="shared" si="2"/>
        <v>Aditi</v>
      </c>
      <c r="J13" s="5" t="str">
        <f t="shared" si="3"/>
        <v>Jupiter</v>
      </c>
      <c r="K13" s="99">
        <f t="shared" ref="K13:K21" si="8">rasinum(F13)</f>
        <v>4</v>
      </c>
      <c r="L13" s="99">
        <f t="shared" ref="L13:L21" si="9">HouseNum(F13,$F$12)</f>
        <v>12</v>
      </c>
      <c r="R13" s="14"/>
      <c r="S13" s="16"/>
      <c r="T13" s="16"/>
      <c r="U13" s="17"/>
    </row>
    <row r="14" spans="1:21" x14ac:dyDescent="0.2">
      <c r="A14" s="1" t="s">
        <v>3</v>
      </c>
      <c r="B14" s="2">
        <f t="shared" si="4"/>
        <v>23</v>
      </c>
      <c r="C14" s="2" t="str">
        <f t="shared" si="5"/>
        <v>Ta</v>
      </c>
      <c r="D14" s="4">
        <f t="shared" si="6"/>
        <v>3</v>
      </c>
      <c r="E14" s="4">
        <f t="shared" si="7"/>
        <v>18.649999999999999</v>
      </c>
      <c r="F14" s="98">
        <f>Planet($B$7,1)</f>
        <v>53.055179366212087</v>
      </c>
      <c r="G14" s="3" t="str">
        <f t="shared" si="0"/>
        <v>Rohini</v>
      </c>
      <c r="H14" s="5" t="str">
        <f t="shared" si="1"/>
        <v>1</v>
      </c>
      <c r="I14" s="5" t="str">
        <f t="shared" si="2"/>
        <v>Brahma</v>
      </c>
      <c r="J14" s="5" t="str">
        <f t="shared" si="3"/>
        <v>Moon</v>
      </c>
      <c r="K14" s="99">
        <f t="shared" si="8"/>
        <v>2</v>
      </c>
      <c r="L14" s="99">
        <f t="shared" si="9"/>
        <v>10</v>
      </c>
      <c r="R14" s="14"/>
      <c r="S14" s="16"/>
      <c r="T14" s="16"/>
      <c r="U14" s="17"/>
    </row>
    <row r="15" spans="1:21" x14ac:dyDescent="0.2">
      <c r="A15" s="1" t="s">
        <v>16</v>
      </c>
      <c r="B15" s="2">
        <f t="shared" si="4"/>
        <v>28</v>
      </c>
      <c r="C15" s="2" t="str">
        <f t="shared" si="5"/>
        <v>Cp</v>
      </c>
      <c r="D15" s="4">
        <f t="shared" si="6"/>
        <v>5</v>
      </c>
      <c r="E15" s="4">
        <f t="shared" si="7"/>
        <v>34.47</v>
      </c>
      <c r="F15" s="98">
        <f>Planet($B$7,4)</f>
        <v>298.0929084383572</v>
      </c>
      <c r="G15" s="3" t="str">
        <f t="shared" si="0"/>
        <v>Dhanistha</v>
      </c>
      <c r="H15" s="5" t="str">
        <f t="shared" si="1"/>
        <v>2</v>
      </c>
      <c r="I15" s="5" t="str">
        <f t="shared" si="2"/>
        <v>Asta-Vasavas</v>
      </c>
      <c r="J15" s="5" t="str">
        <f t="shared" si="3"/>
        <v>Mars</v>
      </c>
      <c r="K15" s="99">
        <f t="shared" si="8"/>
        <v>10</v>
      </c>
      <c r="L15" s="99">
        <f t="shared" si="9"/>
        <v>6</v>
      </c>
      <c r="R15" s="14"/>
      <c r="S15" s="16"/>
      <c r="T15" s="16"/>
      <c r="U15" s="17"/>
    </row>
    <row r="16" spans="1:21" x14ac:dyDescent="0.2">
      <c r="A16" s="1" t="s">
        <v>4</v>
      </c>
      <c r="B16" s="2">
        <f t="shared" si="4"/>
        <v>27</v>
      </c>
      <c r="C16" s="2" t="str">
        <f t="shared" si="5"/>
        <v>Cn</v>
      </c>
      <c r="D16" s="4">
        <f t="shared" si="6"/>
        <v>6</v>
      </c>
      <c r="E16" s="4">
        <f t="shared" si="7"/>
        <v>42.12</v>
      </c>
      <c r="F16" s="98">
        <f>Planet($B$7,2)</f>
        <v>117.1116989094008</v>
      </c>
      <c r="G16" s="3" t="str">
        <f t="shared" si="0"/>
        <v>Aslesha</v>
      </c>
      <c r="H16" s="5" t="str">
        <f t="shared" si="1"/>
        <v>1</v>
      </c>
      <c r="I16" s="5" t="str">
        <f t="shared" si="2"/>
        <v>Nagas</v>
      </c>
      <c r="J16" s="5" t="str">
        <f t="shared" si="3"/>
        <v>Mercury</v>
      </c>
      <c r="K16" s="99">
        <f t="shared" si="8"/>
        <v>4</v>
      </c>
      <c r="L16" s="99">
        <f t="shared" si="9"/>
        <v>12</v>
      </c>
      <c r="R16" s="14"/>
      <c r="S16" s="16"/>
      <c r="T16" s="16"/>
      <c r="U16" s="17"/>
    </row>
    <row r="17" spans="1:21" x14ac:dyDescent="0.2">
      <c r="A17" s="1" t="s">
        <v>44</v>
      </c>
      <c r="B17" s="2">
        <f t="shared" si="4"/>
        <v>3</v>
      </c>
      <c r="C17" s="2" t="str">
        <f t="shared" si="5"/>
        <v>Sc</v>
      </c>
      <c r="D17" s="4">
        <f t="shared" si="6"/>
        <v>10</v>
      </c>
      <c r="E17" s="4">
        <f t="shared" si="7"/>
        <v>55.77</v>
      </c>
      <c r="F17" s="98">
        <f>Planet($B$7,5)</f>
        <v>213.18215833611245</v>
      </c>
      <c r="G17" s="3" t="str">
        <f t="shared" si="0"/>
        <v>Visakha</v>
      </c>
      <c r="H17" s="5" t="str">
        <f t="shared" si="1"/>
        <v>1</v>
      </c>
      <c r="I17" s="5" t="str">
        <f t="shared" si="2"/>
        <v>Indragni</v>
      </c>
      <c r="J17" s="5" t="str">
        <f t="shared" si="3"/>
        <v>Jupiter</v>
      </c>
      <c r="K17" s="99">
        <f t="shared" si="8"/>
        <v>8</v>
      </c>
      <c r="L17" s="99">
        <f t="shared" si="9"/>
        <v>4</v>
      </c>
      <c r="R17" s="14"/>
      <c r="S17" s="16"/>
      <c r="T17" s="16"/>
      <c r="U17" s="17"/>
    </row>
    <row r="18" spans="1:21" x14ac:dyDescent="0.2">
      <c r="A18" s="1" t="s">
        <v>5</v>
      </c>
      <c r="B18" s="2">
        <f t="shared" si="4"/>
        <v>21</v>
      </c>
      <c r="C18" s="2" t="str">
        <f t="shared" si="5"/>
        <v>Ge</v>
      </c>
      <c r="D18" s="4">
        <f t="shared" si="6"/>
        <v>31</v>
      </c>
      <c r="E18" s="4">
        <f t="shared" si="7"/>
        <v>5.34</v>
      </c>
      <c r="F18" s="98">
        <f>Planet($B$7,3)</f>
        <v>81.518150873214793</v>
      </c>
      <c r="G18" s="3" t="str">
        <f t="shared" si="0"/>
        <v>Punarvasu</v>
      </c>
      <c r="H18" s="5" t="str">
        <f t="shared" si="1"/>
        <v>2</v>
      </c>
      <c r="I18" s="5" t="str">
        <f t="shared" si="2"/>
        <v>Aditi</v>
      </c>
      <c r="J18" s="5" t="str">
        <f t="shared" si="3"/>
        <v>Jupiter</v>
      </c>
      <c r="K18" s="99">
        <f t="shared" si="8"/>
        <v>3</v>
      </c>
      <c r="L18" s="99">
        <f t="shared" si="9"/>
        <v>11</v>
      </c>
      <c r="R18" s="14"/>
      <c r="S18" s="16"/>
      <c r="T18" s="16"/>
      <c r="U18" s="17"/>
    </row>
    <row r="19" spans="1:21" x14ac:dyDescent="0.2">
      <c r="A19" s="1" t="s">
        <v>6</v>
      </c>
      <c r="B19" s="2">
        <f t="shared" si="4"/>
        <v>9</v>
      </c>
      <c r="C19" s="2" t="str">
        <f t="shared" si="5"/>
        <v>Ta</v>
      </c>
      <c r="D19" s="4">
        <f t="shared" si="6"/>
        <v>51</v>
      </c>
      <c r="E19" s="4">
        <f t="shared" si="7"/>
        <v>53.37</v>
      </c>
      <c r="F19" s="98">
        <f>Planet($B$7,6)</f>
        <v>39.864825593544474</v>
      </c>
      <c r="G19" s="3" t="str">
        <f t="shared" si="0"/>
        <v>Krittika</v>
      </c>
      <c r="H19" s="5" t="str">
        <f t="shared" si="1"/>
        <v>4</v>
      </c>
      <c r="I19" s="5" t="str">
        <f t="shared" si="2"/>
        <v>Agni</v>
      </c>
      <c r="J19" s="5" t="str">
        <f t="shared" si="3"/>
        <v>Sun</v>
      </c>
      <c r="K19" s="99">
        <f t="shared" si="8"/>
        <v>2</v>
      </c>
      <c r="L19" s="99">
        <f t="shared" si="9"/>
        <v>10</v>
      </c>
      <c r="R19" s="14"/>
      <c r="S19" s="16"/>
      <c r="T19" s="16"/>
      <c r="U19" s="17"/>
    </row>
    <row r="20" spans="1:21" x14ac:dyDescent="0.2">
      <c r="A20" s="1" t="s">
        <v>7</v>
      </c>
      <c r="B20" s="2">
        <f t="shared" si="4"/>
        <v>21</v>
      </c>
      <c r="C20" s="2" t="str">
        <f t="shared" si="5"/>
        <v>Cp</v>
      </c>
      <c r="D20" s="4">
        <f t="shared" si="6"/>
        <v>57</v>
      </c>
      <c r="E20" s="4">
        <f t="shared" si="7"/>
        <v>5.77</v>
      </c>
      <c r="F20" s="98">
        <f>Planet($B$7,10)</f>
        <v>291.95160280013101</v>
      </c>
      <c r="G20" s="3" t="str">
        <f t="shared" si="0"/>
        <v>Sravana</v>
      </c>
      <c r="H20" s="5" t="str">
        <f t="shared" si="1"/>
        <v>4</v>
      </c>
      <c r="I20" s="5" t="str">
        <f t="shared" si="2"/>
        <v>Vishnu</v>
      </c>
      <c r="J20" s="5" t="str">
        <f t="shared" si="3"/>
        <v>Moon</v>
      </c>
      <c r="K20" s="99">
        <f t="shared" si="8"/>
        <v>10</v>
      </c>
      <c r="L20" s="99">
        <f t="shared" si="9"/>
        <v>6</v>
      </c>
      <c r="R20" s="14"/>
      <c r="S20" s="16"/>
      <c r="T20" s="16"/>
      <c r="U20" s="17"/>
    </row>
    <row r="21" spans="1:21" x14ac:dyDescent="0.2">
      <c r="A21" s="1" t="s">
        <v>8</v>
      </c>
      <c r="B21" s="2">
        <f t="shared" si="4"/>
        <v>21</v>
      </c>
      <c r="C21" s="2" t="str">
        <f t="shared" si="5"/>
        <v>Cn</v>
      </c>
      <c r="D21" s="4">
        <f t="shared" si="6"/>
        <v>57</v>
      </c>
      <c r="E21" s="4">
        <f t="shared" si="7"/>
        <v>5.77</v>
      </c>
      <c r="F21" s="98">
        <f>IF(F20&lt;180,F20+180,F20-180)</f>
        <v>111.95160280013101</v>
      </c>
      <c r="G21" s="3" t="str">
        <f t="shared" si="0"/>
        <v>Aslesha</v>
      </c>
      <c r="H21" s="5" t="str">
        <f t="shared" si="1"/>
        <v>4</v>
      </c>
      <c r="I21" s="5" t="str">
        <f t="shared" si="2"/>
        <v>Nagas</v>
      </c>
      <c r="J21" s="5" t="str">
        <f t="shared" si="3"/>
        <v>Mercury</v>
      </c>
      <c r="K21" s="99">
        <f t="shared" si="8"/>
        <v>4</v>
      </c>
      <c r="L21" s="99">
        <f t="shared" si="9"/>
        <v>12</v>
      </c>
      <c r="R21" s="7"/>
      <c r="S21" s="16"/>
      <c r="T21" s="16"/>
      <c r="U21" s="17"/>
    </row>
    <row r="22" spans="1:21" x14ac:dyDescent="0.2">
      <c r="A22" s="92" t="s">
        <v>11</v>
      </c>
      <c r="B22" s="93">
        <f t="shared" si="4"/>
        <v>15</v>
      </c>
      <c r="C22" s="93" t="str">
        <f t="shared" si="5"/>
        <v>Sc</v>
      </c>
      <c r="D22" s="94">
        <f t="shared" si="6"/>
        <v>42</v>
      </c>
      <c r="E22" s="94">
        <f t="shared" si="7"/>
        <v>43.31</v>
      </c>
      <c r="F22" s="100">
        <f>(F13+133.33)-FLOOR((F13+133.33)/360,1)*360</f>
        <v>225.71203055260673</v>
      </c>
      <c r="G22" s="101" t="str">
        <f t="shared" si="0"/>
        <v>Anuradha</v>
      </c>
      <c r="H22" s="102" t="str">
        <f>nakspad(F22)</f>
        <v>2</v>
      </c>
      <c r="I22" s="102" t="str">
        <f>naksdeity(F22)</f>
        <v xml:space="preserve">Mitra </v>
      </c>
      <c r="J22" s="102" t="str">
        <f>nakslord(F22)</f>
        <v>Saturn</v>
      </c>
      <c r="K22" s="103">
        <f>rasinum(F22)</f>
        <v>8</v>
      </c>
      <c r="L22" s="103">
        <f>HouseNum(F22,$F$12)</f>
        <v>4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 x14ac:dyDescent="0.2">
      <c r="A23" s="92" t="s">
        <v>12</v>
      </c>
      <c r="B23" s="93">
        <f t="shared" si="4"/>
        <v>14</v>
      </c>
      <c r="C23" s="93" t="str">
        <f t="shared" si="5"/>
        <v>Le</v>
      </c>
      <c r="D23" s="94">
        <f t="shared" si="6"/>
        <v>17</v>
      </c>
      <c r="E23" s="94">
        <f t="shared" si="7"/>
        <v>16.690000000000001</v>
      </c>
      <c r="F23" s="100">
        <f>360-F22</f>
        <v>134.28796944739327</v>
      </c>
      <c r="G23" s="101" t="str">
        <f t="shared" si="0"/>
        <v>Purva Phalguni</v>
      </c>
      <c r="H23" s="102" t="str">
        <f>nakspad(F23)</f>
        <v>2</v>
      </c>
      <c r="I23" s="102" t="str">
        <f>naksdeity(F23)</f>
        <v>Bhaga</v>
      </c>
      <c r="J23" s="102" t="str">
        <f>nakslord(F23)</f>
        <v>Venus</v>
      </c>
      <c r="K23" s="103">
        <f>rasinum(F23)</f>
        <v>5</v>
      </c>
      <c r="L23" s="103">
        <f>HouseNum(F23,$F$12)</f>
        <v>1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 x14ac:dyDescent="0.2">
      <c r="A24" s="92" t="s">
        <v>29</v>
      </c>
      <c r="B24" s="93">
        <f t="shared" si="4"/>
        <v>14</v>
      </c>
      <c r="C24" s="93" t="str">
        <f t="shared" si="5"/>
        <v>Aq</v>
      </c>
      <c r="D24" s="94">
        <f t="shared" si="6"/>
        <v>17</v>
      </c>
      <c r="E24" s="94">
        <f t="shared" si="7"/>
        <v>16.690000000000001</v>
      </c>
      <c r="F24" s="100">
        <f>(180+F23)-FLOOR((180+F23)/360,1)*360</f>
        <v>314.28796944739327</v>
      </c>
      <c r="G24" s="101" t="str">
        <f t="shared" si="0"/>
        <v>Satabhisaj</v>
      </c>
      <c r="H24" s="102" t="str">
        <f>nakspad(F24)</f>
        <v>2</v>
      </c>
      <c r="I24" s="102" t="str">
        <f>naksdeity(F24)</f>
        <v>Varuna</v>
      </c>
      <c r="J24" s="102" t="str">
        <f>nakslord(F24)</f>
        <v>Rahu</v>
      </c>
      <c r="K24" s="103">
        <f>rasinum(F24)</f>
        <v>11</v>
      </c>
      <c r="L24" s="103">
        <f>HouseNum(F24,$F$12)</f>
        <v>7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 x14ac:dyDescent="0.2">
      <c r="A25" s="92" t="s">
        <v>13</v>
      </c>
      <c r="B25" s="93">
        <f t="shared" si="4"/>
        <v>15</v>
      </c>
      <c r="C25" s="93" t="str">
        <f t="shared" si="5"/>
        <v>Ta</v>
      </c>
      <c r="D25" s="94">
        <f t="shared" si="6"/>
        <v>42</v>
      </c>
      <c r="E25" s="94">
        <f t="shared" si="7"/>
        <v>43.31</v>
      </c>
      <c r="F25" s="100">
        <f>360-F24</f>
        <v>45.712030552606734</v>
      </c>
      <c r="G25" s="101" t="str">
        <f t="shared" si="0"/>
        <v>Rohini</v>
      </c>
      <c r="H25" s="102" t="str">
        <f>nakspad(F25)</f>
        <v>2</v>
      </c>
      <c r="I25" s="102" t="str">
        <f>naksdeity(F25)</f>
        <v>Brahma</v>
      </c>
      <c r="J25" s="102" t="str">
        <f>nakslord(F25)</f>
        <v>Moon</v>
      </c>
      <c r="K25" s="103">
        <f>rasinum(F25)</f>
        <v>2</v>
      </c>
      <c r="L25" s="103">
        <f>HouseNum(F25,$F$12)</f>
        <v>10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 x14ac:dyDescent="0.2">
      <c r="A26" s="92" t="s">
        <v>14</v>
      </c>
      <c r="B26" s="93">
        <f t="shared" si="4"/>
        <v>2</v>
      </c>
      <c r="C26" s="93" t="str">
        <f t="shared" si="5"/>
        <v>Ge</v>
      </c>
      <c r="D26" s="94">
        <f t="shared" si="6"/>
        <v>22</v>
      </c>
      <c r="E26" s="94">
        <f t="shared" si="7"/>
        <v>55.31</v>
      </c>
      <c r="F26" s="100">
        <f>(F25+16.67)-FLOOR((F25+16.67)/360,1)*360</f>
        <v>62.382030552606736</v>
      </c>
      <c r="G26" s="101" t="str">
        <f t="shared" si="0"/>
        <v>Mrigashira</v>
      </c>
      <c r="H26" s="102" t="str">
        <f>nakspad(F26)</f>
        <v>2</v>
      </c>
      <c r="I26" s="102" t="str">
        <f>naksdeity(F26)</f>
        <v>Chandra</v>
      </c>
      <c r="J26" s="102" t="str">
        <f>nakslord(F26)</f>
        <v>Mars</v>
      </c>
      <c r="K26" s="103">
        <f>rasinum(F26)</f>
        <v>3</v>
      </c>
      <c r="L26" s="103">
        <f>HouseNum(F26,$F$12)</f>
        <v>11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18"/>
  <sheetViews>
    <sheetView workbookViewId="0"/>
  </sheetViews>
  <sheetFormatPr defaultRowHeight="12.75" x14ac:dyDescent="0.2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 x14ac:dyDescent="0.2">
      <c r="B1" s="61" t="s">
        <v>51</v>
      </c>
    </row>
    <row r="2" spans="1:18" x14ac:dyDescent="0.2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 x14ac:dyDescent="0.2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 x14ac:dyDescent="0.2">
      <c r="A4" s="1" t="s">
        <v>9</v>
      </c>
      <c r="B4" s="66">
        <f>degree(G4)</f>
        <v>21</v>
      </c>
      <c r="C4" s="66" t="str">
        <f>Rasi(G4)</f>
        <v>Vi</v>
      </c>
      <c r="D4" s="67">
        <f>Minutes(G4)</f>
        <v>55</v>
      </c>
      <c r="E4" s="68">
        <f>seconds(G4)</f>
        <v>56.87</v>
      </c>
      <c r="F4" s="106">
        <f>Basic!F12</f>
        <v>146.31418949244772</v>
      </c>
      <c r="G4" s="104">
        <f>divplanetlongitude(divplanetlongitude(F4,B2,C2),D2,E2)</f>
        <v>171.93246518435342</v>
      </c>
      <c r="H4" s="99">
        <f>rasinum(G4)</f>
        <v>6</v>
      </c>
      <c r="I4" s="99">
        <f>HouseNum(G4,$G$4)</f>
        <v>1</v>
      </c>
      <c r="O4" s="7"/>
      <c r="P4" s="16"/>
      <c r="Q4" s="16"/>
      <c r="R4" s="17"/>
    </row>
    <row r="5" spans="1:18" x14ac:dyDescent="0.2">
      <c r="A5" s="1" t="s">
        <v>2</v>
      </c>
      <c r="B5" s="66">
        <f>degree(G5)</f>
        <v>4</v>
      </c>
      <c r="C5" s="66" t="str">
        <f t="shared" ref="C5:C13" si="0">Rasi(G5)</f>
        <v>Cn</v>
      </c>
      <c r="D5" s="67">
        <f t="shared" ref="D5:D13" si="1">Minutes(G5)</f>
        <v>45</v>
      </c>
      <c r="E5" s="68">
        <f t="shared" ref="E5:E13" si="2">seconds(G5)</f>
        <v>50.62</v>
      </c>
      <c r="F5" s="106">
        <f>Basic!F13</f>
        <v>92.382030552606707</v>
      </c>
      <c r="G5" s="104">
        <f t="shared" ref="G5:G18" si="3">divplanetlongitude(F5,2,5)</f>
        <v>94.764061105213401</v>
      </c>
      <c r="H5" s="99">
        <f t="shared" ref="H5:H13" si="4">rasinum(G5)</f>
        <v>4</v>
      </c>
      <c r="I5" s="99">
        <f t="shared" ref="I5:I13" si="5">HouseNum(G5,$G$4)</f>
        <v>11</v>
      </c>
      <c r="O5" s="14"/>
      <c r="P5" s="16"/>
      <c r="Q5" s="16"/>
      <c r="R5" s="17"/>
    </row>
    <row r="6" spans="1:18" x14ac:dyDescent="0.2">
      <c r="A6" s="1" t="s">
        <v>3</v>
      </c>
      <c r="B6" s="66">
        <f t="shared" ref="B6:B13" si="6">degree(G6)</f>
        <v>16</v>
      </c>
      <c r="C6" s="66" t="str">
        <f t="shared" si="0"/>
        <v>Li</v>
      </c>
      <c r="D6" s="67">
        <f t="shared" si="1"/>
        <v>6</v>
      </c>
      <c r="E6" s="68">
        <f t="shared" si="2"/>
        <v>37.29</v>
      </c>
      <c r="F6" s="106">
        <f>Basic!F14</f>
        <v>53.055179366212087</v>
      </c>
      <c r="G6" s="104">
        <f t="shared" si="3"/>
        <v>196.1103587324242</v>
      </c>
      <c r="H6" s="99">
        <f t="shared" si="4"/>
        <v>7</v>
      </c>
      <c r="I6" s="99">
        <f t="shared" si="5"/>
        <v>2</v>
      </c>
      <c r="O6" s="14"/>
      <c r="P6" s="16"/>
      <c r="Q6" s="16"/>
      <c r="R6" s="17"/>
    </row>
    <row r="7" spans="1:18" x14ac:dyDescent="0.2">
      <c r="A7" s="1" t="s">
        <v>16</v>
      </c>
      <c r="B7" s="66">
        <f t="shared" si="6"/>
        <v>26</v>
      </c>
      <c r="C7" s="66" t="str">
        <f t="shared" si="0"/>
        <v>Aq</v>
      </c>
      <c r="D7" s="67">
        <f t="shared" si="1"/>
        <v>11</v>
      </c>
      <c r="E7" s="68">
        <f t="shared" si="2"/>
        <v>8.94</v>
      </c>
      <c r="F7" s="106">
        <f>Basic!F15</f>
        <v>298.0929084383572</v>
      </c>
      <c r="G7" s="104">
        <f t="shared" si="3"/>
        <v>326.1858168767144</v>
      </c>
      <c r="H7" s="99">
        <f t="shared" si="4"/>
        <v>11</v>
      </c>
      <c r="I7" s="99">
        <f t="shared" si="5"/>
        <v>6</v>
      </c>
      <c r="O7" s="14"/>
      <c r="P7" s="16"/>
      <c r="Q7" s="16"/>
      <c r="R7" s="17"/>
    </row>
    <row r="8" spans="1:18" x14ac:dyDescent="0.2">
      <c r="A8" s="1" t="s">
        <v>4</v>
      </c>
      <c r="B8" s="66">
        <f t="shared" si="6"/>
        <v>24</v>
      </c>
      <c r="C8" s="66" t="str">
        <f t="shared" si="0"/>
        <v>Le</v>
      </c>
      <c r="D8" s="67">
        <f t="shared" si="1"/>
        <v>13</v>
      </c>
      <c r="E8" s="68">
        <f t="shared" si="2"/>
        <v>24.23</v>
      </c>
      <c r="F8" s="106">
        <f>Basic!F16</f>
        <v>117.1116989094008</v>
      </c>
      <c r="G8" s="104">
        <f t="shared" si="3"/>
        <v>144.2233978188016</v>
      </c>
      <c r="H8" s="99">
        <f t="shared" si="4"/>
        <v>5</v>
      </c>
      <c r="I8" s="99">
        <f t="shared" si="5"/>
        <v>12</v>
      </c>
      <c r="O8" s="14"/>
      <c r="P8" s="16"/>
      <c r="Q8" s="16"/>
      <c r="R8" s="17"/>
    </row>
    <row r="9" spans="1:18" x14ac:dyDescent="0.2">
      <c r="A9" s="1" t="s">
        <v>17</v>
      </c>
      <c r="B9" s="66">
        <f t="shared" si="6"/>
        <v>6</v>
      </c>
      <c r="C9" s="66" t="str">
        <f t="shared" si="0"/>
        <v>Ar</v>
      </c>
      <c r="D9" s="67">
        <f t="shared" si="1"/>
        <v>21</v>
      </c>
      <c r="E9" s="68">
        <f t="shared" si="2"/>
        <v>51.54</v>
      </c>
      <c r="F9" s="106">
        <f>Basic!F17</f>
        <v>213.18215833611245</v>
      </c>
      <c r="G9" s="104">
        <f t="shared" si="3"/>
        <v>6.3643166722248878</v>
      </c>
      <c r="H9" s="99">
        <f t="shared" si="4"/>
        <v>1</v>
      </c>
      <c r="I9" s="99">
        <f t="shared" si="5"/>
        <v>8</v>
      </c>
      <c r="O9" s="14"/>
      <c r="P9" s="16"/>
      <c r="Q9" s="16"/>
      <c r="R9" s="17"/>
    </row>
    <row r="10" spans="1:18" x14ac:dyDescent="0.2">
      <c r="A10" s="1" t="s">
        <v>5</v>
      </c>
      <c r="B10" s="66">
        <f t="shared" si="6"/>
        <v>13</v>
      </c>
      <c r="C10" s="66" t="str">
        <f t="shared" si="0"/>
        <v>Ge</v>
      </c>
      <c r="D10" s="67">
        <f t="shared" si="1"/>
        <v>2</v>
      </c>
      <c r="E10" s="68">
        <f t="shared" si="2"/>
        <v>10.69</v>
      </c>
      <c r="F10" s="106">
        <f>Basic!F18</f>
        <v>81.518150873214793</v>
      </c>
      <c r="G10" s="104">
        <f t="shared" si="3"/>
        <v>73.036301746429587</v>
      </c>
      <c r="H10" s="99">
        <f t="shared" si="4"/>
        <v>3</v>
      </c>
      <c r="I10" s="99">
        <f t="shared" si="5"/>
        <v>10</v>
      </c>
      <c r="O10" s="14"/>
      <c r="P10" s="16"/>
      <c r="Q10" s="16"/>
      <c r="R10" s="17"/>
    </row>
    <row r="11" spans="1:18" x14ac:dyDescent="0.2">
      <c r="A11" s="1" t="s">
        <v>6</v>
      </c>
      <c r="B11" s="66">
        <f t="shared" si="6"/>
        <v>19</v>
      </c>
      <c r="C11" s="66" t="str">
        <f t="shared" si="0"/>
        <v>Ta</v>
      </c>
      <c r="D11" s="67">
        <f t="shared" si="1"/>
        <v>43</v>
      </c>
      <c r="E11" s="68">
        <f t="shared" si="2"/>
        <v>46.74</v>
      </c>
      <c r="F11" s="106">
        <f>Basic!F19</f>
        <v>39.864825593544474</v>
      </c>
      <c r="G11" s="104">
        <f t="shared" si="3"/>
        <v>49.729651187088947</v>
      </c>
      <c r="H11" s="99">
        <f t="shared" si="4"/>
        <v>2</v>
      </c>
      <c r="I11" s="99">
        <f t="shared" si="5"/>
        <v>9</v>
      </c>
      <c r="O11" s="14"/>
      <c r="P11" s="16"/>
      <c r="Q11" s="16"/>
      <c r="R11" s="17"/>
    </row>
    <row r="12" spans="1:18" x14ac:dyDescent="0.2">
      <c r="A12" s="1" t="s">
        <v>7</v>
      </c>
      <c r="B12" s="66">
        <f t="shared" si="6"/>
        <v>13</v>
      </c>
      <c r="C12" s="66" t="str">
        <f t="shared" si="0"/>
        <v>Aq</v>
      </c>
      <c r="D12" s="67">
        <f t="shared" si="1"/>
        <v>54</v>
      </c>
      <c r="E12" s="68">
        <f t="shared" si="2"/>
        <v>11.54</v>
      </c>
      <c r="F12" s="106">
        <f>Basic!F20</f>
        <v>291.95160280013101</v>
      </c>
      <c r="G12" s="104">
        <f t="shared" si="3"/>
        <v>313.90320560026208</v>
      </c>
      <c r="H12" s="99">
        <f t="shared" si="4"/>
        <v>11</v>
      </c>
      <c r="I12" s="99">
        <f t="shared" si="5"/>
        <v>6</v>
      </c>
      <c r="O12" s="14"/>
      <c r="P12" s="16"/>
      <c r="Q12" s="16"/>
      <c r="R12" s="17"/>
    </row>
    <row r="13" spans="1:18" x14ac:dyDescent="0.2">
      <c r="A13" s="1" t="s">
        <v>8</v>
      </c>
      <c r="B13" s="66">
        <f t="shared" si="6"/>
        <v>13</v>
      </c>
      <c r="C13" s="66" t="str">
        <f t="shared" si="0"/>
        <v>Le</v>
      </c>
      <c r="D13" s="67">
        <f t="shared" si="1"/>
        <v>54</v>
      </c>
      <c r="E13" s="68">
        <f t="shared" si="2"/>
        <v>11.54</v>
      </c>
      <c r="F13" s="106">
        <f>Basic!F21</f>
        <v>111.95160280013101</v>
      </c>
      <c r="G13" s="104">
        <f t="shared" si="3"/>
        <v>133.90320560026203</v>
      </c>
      <c r="H13" s="99">
        <f t="shared" si="4"/>
        <v>5</v>
      </c>
      <c r="I13" s="99">
        <f t="shared" si="5"/>
        <v>12</v>
      </c>
      <c r="O13" s="7"/>
      <c r="P13" s="16"/>
      <c r="Q13" s="16"/>
      <c r="R13" s="17"/>
    </row>
    <row r="14" spans="1:18" x14ac:dyDescent="0.2">
      <c r="A14" s="92" t="s">
        <v>11</v>
      </c>
      <c r="B14" s="95">
        <f>FLOOR(F14-FLOOR(F14/30,1)*30,1)</f>
        <v>15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6">
        <f>Minutes(G14)</f>
        <v>25</v>
      </c>
      <c r="E14" s="97">
        <f>seconds(G14)</f>
        <v>26.62</v>
      </c>
      <c r="F14" s="107">
        <f>Basic!F22</f>
        <v>225.71203055260673</v>
      </c>
      <c r="G14" s="104">
        <f t="shared" si="3"/>
        <v>211.42406110521347</v>
      </c>
      <c r="H14" s="103">
        <f>rasinum(G14)</f>
        <v>8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 x14ac:dyDescent="0.2">
      <c r="A15" s="92" t="s">
        <v>12</v>
      </c>
      <c r="B15" s="95">
        <f>FLOOR(F15-FLOOR(F15/30,1)*30,1)</f>
        <v>14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6">
        <f>Minutes(G15)</f>
        <v>34</v>
      </c>
      <c r="E15" s="97">
        <f>seconds(G15)</f>
        <v>33.380000000000003</v>
      </c>
      <c r="F15" s="107">
        <f>Basic!F23</f>
        <v>134.28796944739327</v>
      </c>
      <c r="G15" s="104">
        <f t="shared" si="3"/>
        <v>148.57593889478653</v>
      </c>
      <c r="H15" s="103">
        <f>rasinum(G15)</f>
        <v>5</v>
      </c>
      <c r="I15" s="103">
        <f>HouseNum(G15,$G$4)</f>
        <v>12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 x14ac:dyDescent="0.2">
      <c r="A16" s="92" t="s">
        <v>29</v>
      </c>
      <c r="B16" s="95">
        <f>FLOOR(F16-FLOOR(F16/30,1)*30,1)</f>
        <v>14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6">
        <f>Minutes(G16)</f>
        <v>34</v>
      </c>
      <c r="E16" s="97">
        <f>seconds(G16)</f>
        <v>33.380000000000003</v>
      </c>
      <c r="F16" s="107">
        <f>Basic!F24</f>
        <v>314.28796944739327</v>
      </c>
      <c r="G16" s="104">
        <f t="shared" si="3"/>
        <v>328.57593889478659</v>
      </c>
      <c r="H16" s="103">
        <f>rasinum(G16)</f>
        <v>11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 x14ac:dyDescent="0.2">
      <c r="A17" s="92" t="s">
        <v>13</v>
      </c>
      <c r="B17" s="95">
        <f>FLOOR(F17-FLOOR(F17/30,1)*30,1)</f>
        <v>15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6">
        <f>Minutes(G17)</f>
        <v>25</v>
      </c>
      <c r="E17" s="97">
        <f>seconds(G17)</f>
        <v>26.62</v>
      </c>
      <c r="F17" s="107">
        <f>Basic!F25</f>
        <v>45.712030552606734</v>
      </c>
      <c r="G17" s="104">
        <f t="shared" si="3"/>
        <v>181.42406110521347</v>
      </c>
      <c r="H17" s="103">
        <f>rasinum(G17)</f>
        <v>7</v>
      </c>
      <c r="I17" s="103">
        <f>HouseNum(G17,$G$4)</f>
        <v>2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 x14ac:dyDescent="0.2">
      <c r="A18" s="92" t="s">
        <v>14</v>
      </c>
      <c r="B18" s="95">
        <f>FLOOR(F18-FLOOR(F18/30,1)*30,1)</f>
        <v>2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6">
        <f>Minutes(G18)</f>
        <v>45</v>
      </c>
      <c r="E18" s="97">
        <f>seconds(G18)</f>
        <v>50.62</v>
      </c>
      <c r="F18" s="107">
        <f>Basic!F26</f>
        <v>62.382030552606736</v>
      </c>
      <c r="G18" s="104">
        <f t="shared" si="3"/>
        <v>154.76406110521347</v>
      </c>
      <c r="H18" s="103">
        <f>rasinum(G18)</f>
        <v>6</v>
      </c>
      <c r="I18" s="103">
        <f>HouseNum(G18,$G$4)</f>
        <v>1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2"/>
  <sheetViews>
    <sheetView workbookViewId="0"/>
  </sheetViews>
  <sheetFormatPr defaultRowHeight="12.75" x14ac:dyDescent="0.2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 x14ac:dyDescent="0.25">
      <c r="C2" s="108">
        <v>1</v>
      </c>
      <c r="D2" s="108">
        <v>1</v>
      </c>
      <c r="H2" s="108">
        <v>9</v>
      </c>
      <c r="I2" s="108">
        <v>1</v>
      </c>
    </row>
    <row r="3" spans="2:13" ht="75" customHeight="1" x14ac:dyDescent="0.2">
      <c r="B3" s="74" t="str">
        <f>RasiContent(12,Basic!$B$7,C2,D2,Basic!$F$12)</f>
        <v/>
      </c>
      <c r="C3" s="75" t="str">
        <f>RasiContent(1,Basic!$B$7,C2,D2,Basic!$F$12)</f>
        <v/>
      </c>
      <c r="D3" s="75" t="str">
        <f>RasiContent(2,Basic!$B$7,C2,D2,Basic!$F$12)</f>
        <v xml:space="preserve"> Moon Saturn</v>
      </c>
      <c r="E3" s="76" t="str">
        <f>RasiContent(3,Basic!$B$7,C2,D2,Basic!$F$12)</f>
        <v xml:space="preserve"> Venus</v>
      </c>
      <c r="F3" s="52"/>
      <c r="G3" s="74" t="str">
        <f>RasiContent(12,Basic!$B$7,H2,I2,Basic!$F$12)</f>
        <v xml:space="preserve"> Merc Saturn</v>
      </c>
      <c r="H3" s="75" t="str">
        <f>RasiContent(1,Basic!$B$7,H2,I2,Basic!$F$12)</f>
        <v xml:space="preserve"> Venus</v>
      </c>
      <c r="I3" s="75" t="str">
        <f>RasiContent(2,Basic!$B$7,H2,I2,Basic!$F$12)</f>
        <v xml:space="preserve"> </v>
      </c>
      <c r="J3" s="76" t="str">
        <f>RasiContent(3,Basic!$B$7,H2,I2,Basic!$F$12)</f>
        <v/>
      </c>
    </row>
    <row r="4" spans="2:13" ht="75" customHeight="1" x14ac:dyDescent="0.2">
      <c r="B4" s="77" t="str">
        <f>RasiContent(11,Basic!$B$7,C2,D2,Basic!$F$12)</f>
        <v/>
      </c>
      <c r="C4" s="141" t="str">
        <f>divname(C2,D2)</f>
        <v>Rasi</v>
      </c>
      <c r="D4" s="141"/>
      <c r="E4" s="78" t="str">
        <f>RasiContent(4,Basic!$B$7,C2,D2,Basic!$F$12)</f>
        <v xml:space="preserve"> Sun Merc Ketu</v>
      </c>
      <c r="F4" s="52"/>
      <c r="G4" s="77" t="str">
        <f>RasiContent(11,Basic!$B$7,H2,I2,Basic!$F$12)</f>
        <v xml:space="preserve"> </v>
      </c>
      <c r="H4" s="141" t="str">
        <f>divname(H2,I2)</f>
        <v>Navamsa</v>
      </c>
      <c r="I4" s="141"/>
      <c r="J4" s="78" t="str">
        <f>RasiContent(4,Basic!$B$7,H2,I2,Basic!$F$12)</f>
        <v xml:space="preserve"> Sun Moon Jupiter Rahu</v>
      </c>
    </row>
    <row r="5" spans="2:13" ht="75" customHeight="1" x14ac:dyDescent="0.2">
      <c r="B5" s="77" t="str">
        <f>RasiContent(10,Basic!$B$7,C2,D2,Basic!$F$12)</f>
        <v xml:space="preserve"> Mars Rahu</v>
      </c>
      <c r="C5" s="141"/>
      <c r="D5" s="141"/>
      <c r="E5" s="78" t="str">
        <f>RasiContent(5,Basic!$B$7,C2,D2,Basic!$F$12)</f>
        <v xml:space="preserve"> Asdt</v>
      </c>
      <c r="F5" s="52"/>
      <c r="G5" s="77" t="str">
        <f>RasiContent(10,Basic!$B$7,H2,I2,Basic!$F$12)</f>
        <v xml:space="preserve"> Ketu</v>
      </c>
      <c r="H5" s="141"/>
      <c r="I5" s="141"/>
      <c r="J5" s="78" t="str">
        <f>RasiContent(5,Basic!$B$7,H2,I2,Basic!$F$12)</f>
        <v/>
      </c>
    </row>
    <row r="6" spans="2:13" ht="75" customHeight="1" thickBot="1" x14ac:dyDescent="0.25">
      <c r="B6" s="79" t="str">
        <f>RasiContent(9,Basic!$B$7,C2,D2,Basic!$F$12)</f>
        <v/>
      </c>
      <c r="C6" s="80" t="str">
        <f>RasiContent(8,Basic!$B$7,C2,D2,Basic!$F$12)</f>
        <v xml:space="preserve"> Jupiter </v>
      </c>
      <c r="D6" s="80" t="str">
        <f>RasiContent(7,Basic!$B$7,C2,D2,Basic!$F$12)</f>
        <v/>
      </c>
      <c r="E6" s="81" t="str">
        <f>RasiContent(6,Basic!$B$7,C2,D2,Basic!$F$12)</f>
        <v xml:space="preserve">  </v>
      </c>
      <c r="F6" s="52"/>
      <c r="G6" s="79" t="str">
        <f>RasiContent(9,Basic!$B$7,H2,I2,Basic!$F$12)</f>
        <v/>
      </c>
      <c r="H6" s="80" t="str">
        <f>RasiContent(8,Basic!$B$7,H2,I2,Basic!$F$12)</f>
        <v xml:space="preserve"> Asdt</v>
      </c>
      <c r="I6" s="80" t="str">
        <f>RasiContent(7,Basic!$B$7,H2,I2,Basic!$F$12)</f>
        <v/>
      </c>
      <c r="J6" s="81" t="str">
        <f>RasiContent(6,Basic!$B$7,H2,I2,Basic!$F$12)</f>
        <v xml:space="preserve"> Mars </v>
      </c>
    </row>
    <row r="9" spans="2:13" s="53" customFormat="1" x14ac:dyDescent="0.2"/>
    <row r="10" spans="2:13" s="53" customFormat="1" x14ac:dyDescent="0.2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 x14ac:dyDescent="0.2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 xml:space="preserve">Saturn </v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Saturn </v>
      </c>
    </row>
    <row r="13" spans="2:13" s="53" customFormat="1" x14ac:dyDescent="0.2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 xml:space="preserve">Venus </v>
      </c>
      <c r="J13" s="53" t="str">
        <f>IF(B13=Basic!$C$19,Basic!$A$19,"")</f>
        <v/>
      </c>
      <c r="K13" s="53" t="str">
        <f>IF(B13=Basic!$C$20,Basic!$A$20,"")</f>
        <v/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Venus </v>
      </c>
    </row>
    <row r="14" spans="2:13" s="53" customFormat="1" x14ac:dyDescent="0.2">
      <c r="B14" s="53" t="s">
        <v>35</v>
      </c>
      <c r="C14" s="53" t="str">
        <f>IF(B14=Basic!$C$12,Basic!$A$12,"")</f>
        <v/>
      </c>
      <c r="D14" s="53" t="str">
        <f>IF(B14=Basic!$C$13,Basic!$A$13,"")</f>
        <v xml:space="preserve">Sun </v>
      </c>
      <c r="E14" s="53" t="str">
        <f>IF(B14=Basic!$C$14,Basic!$A$14,"")</f>
        <v/>
      </c>
      <c r="F14" s="53" t="str">
        <f>IF(B14=Basic!$C$15,Basic!$A$15,"")</f>
        <v/>
      </c>
      <c r="G14" s="53" t="str">
        <f>IF(B14=Basic!$C$16,Basic!$A$16,"")</f>
        <v xml:space="preserve">Mercury </v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/>
      </c>
      <c r="K14" s="53" t="str">
        <f>IF(B14=Basic!$C$20,Basic!$A$20,"")</f>
        <v/>
      </c>
      <c r="L14" s="53" t="str">
        <f>IF(B14=Basic!$C$21,Basic!$A$21,"")</f>
        <v xml:space="preserve">Ketu </v>
      </c>
      <c r="M14" s="53" t="str">
        <f t="shared" si="0"/>
        <v xml:space="preserve">Sun Mercury Ketu </v>
      </c>
    </row>
    <row r="15" spans="2:13" s="53" customFormat="1" x14ac:dyDescent="0.2">
      <c r="B15" s="53" t="s">
        <v>36</v>
      </c>
      <c r="C15" s="53" t="str">
        <f>IF(B15=Basic!$C$12,Basic!$A$12,"")</f>
        <v xml:space="preserve">Asdt </v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 xml:space="preserve">Asdt </v>
      </c>
    </row>
    <row r="16" spans="2:13" s="53" customFormat="1" x14ac:dyDescent="0.2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/>
      </c>
      <c r="I16" s="53" t="str">
        <f>IF(B16=Basic!$C$18,Basic!$A$18,"")</f>
        <v/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/>
      </c>
    </row>
    <row r="17" spans="2:13" s="53" customFormat="1" x14ac:dyDescent="0.2">
      <c r="B17" s="53" t="s">
        <v>38</v>
      </c>
      <c r="C17" s="53" t="str">
        <f>IF(B17=Basic!$C$12,Basic!$A$12,"")</f>
        <v/>
      </c>
      <c r="D17" s="53" t="str">
        <f>IF(B17=Basic!$C$13,Basic!$A$13,"")</f>
        <v/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/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/>
      </c>
    </row>
    <row r="18" spans="2:13" s="53" customFormat="1" x14ac:dyDescent="0.2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>Jupiter</v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>Jupiter</v>
      </c>
    </row>
    <row r="19" spans="2:13" s="53" customFormat="1" x14ac:dyDescent="0.2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/>
      </c>
      <c r="M19" s="53" t="str">
        <f t="shared" si="0"/>
        <v/>
      </c>
    </row>
    <row r="20" spans="2:13" s="53" customFormat="1" x14ac:dyDescent="0.2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 xml:space="preserve">Mars </v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 xml:space="preserve">Rahu </v>
      </c>
      <c r="L20" s="53" t="str">
        <f>IF(B20=Basic!$C$21,Basic!$A$21,"")</f>
        <v/>
      </c>
      <c r="M20" s="53" t="str">
        <f t="shared" si="0"/>
        <v xml:space="preserve">Mars Rahu </v>
      </c>
    </row>
    <row r="21" spans="2:13" s="53" customFormat="1" x14ac:dyDescent="0.2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 x14ac:dyDescent="0.2">
      <c r="B22" s="53" t="s">
        <v>43</v>
      </c>
      <c r="C22" s="53" t="str">
        <f>IF(B22=Basic!$C$12,Basic!$A$12,"")</f>
        <v/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/>
      </c>
    </row>
    <row r="23" spans="2:13" s="53" customFormat="1" x14ac:dyDescent="0.2"/>
    <row r="24" spans="2:13" s="53" customFormat="1" x14ac:dyDescent="0.2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 xml:space="preserve">(Jupiter) </v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 xml:space="preserve">(Jupiter) </v>
      </c>
    </row>
    <row r="26" spans="2:13" s="53" customFormat="1" x14ac:dyDescent="0.2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/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 xml:space="preserve">Saturn </v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Saturn </v>
      </c>
    </row>
    <row r="27" spans="2:13" s="53" customFormat="1" x14ac:dyDescent="0.2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 x14ac:dyDescent="0.2">
      <c r="B28" s="53" t="s">
        <v>35</v>
      </c>
      <c r="C28" s="53" t="str">
        <f>IF(B28=Division!$C$4,Division!$A$4,"")</f>
        <v/>
      </c>
      <c r="D28" s="53" t="str">
        <f>IF(B28=Division!$C$5,Division!$A$5,"")</f>
        <v xml:space="preserve">Sun </v>
      </c>
      <c r="E28" s="53" t="str">
        <f>IF(B28=Division!$C$6,Division!$A$6,"")</f>
        <v/>
      </c>
      <c r="F28" s="53" t="str">
        <f>IF(B28=Division!$C$7,Division!$A$7,"")</f>
        <v/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/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Sun </v>
      </c>
    </row>
    <row r="29" spans="2:13" s="53" customFormat="1" x14ac:dyDescent="0.2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 xml:space="preserve">Mercury </v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 xml:space="preserve">Ketu </v>
      </c>
      <c r="M29" s="53" t="str">
        <f t="shared" si="1"/>
        <v xml:space="preserve">Mercury Ketu </v>
      </c>
    </row>
    <row r="30" spans="2:13" s="53" customFormat="1" x14ac:dyDescent="0.2">
      <c r="B30" s="53" t="s">
        <v>37</v>
      </c>
      <c r="C30" s="53" t="str">
        <f>IF(B30=Division!$C$4,Division!$A$4,"")</f>
        <v xml:space="preserve">Asdt </v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/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/>
      </c>
      <c r="L30" s="53" t="str">
        <f>IF(B30=Division!$C$13,Division!$A$13,"")</f>
        <v/>
      </c>
      <c r="M30" s="53" t="str">
        <f t="shared" si="1"/>
        <v xml:space="preserve">Asdt </v>
      </c>
    </row>
    <row r="31" spans="2:13" s="53" customFormat="1" x14ac:dyDescent="0.2">
      <c r="B31" s="53" t="s">
        <v>38</v>
      </c>
      <c r="C31" s="53" t="str">
        <f>IF(B31=Division!$C$4,Division!$A$4,"")</f>
        <v/>
      </c>
      <c r="D31" s="53" t="str">
        <f>IF(B31=Division!$C$5,Division!$A$5,"")</f>
        <v/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Moon </v>
      </c>
    </row>
    <row r="32" spans="2:13" s="53" customFormat="1" x14ac:dyDescent="0.2">
      <c r="B32" s="53" t="s">
        <v>39</v>
      </c>
      <c r="C32" s="53" t="str">
        <f>IF(B32=Division!$C$4,Division!$A$4,"")</f>
        <v/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/>
      </c>
    </row>
    <row r="33" spans="2:13" s="53" customFormat="1" x14ac:dyDescent="0.2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 x14ac:dyDescent="0.2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 x14ac:dyDescent="0.2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 xml:space="preserve">Mars </v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 xml:space="preserve">Rahu </v>
      </c>
      <c r="L35" s="53" t="str">
        <f>IF(B35=Division!$C$13,Division!$A$13,"")</f>
        <v/>
      </c>
      <c r="M35" s="53" t="str">
        <f t="shared" si="1"/>
        <v xml:space="preserve">Mars Rahu </v>
      </c>
    </row>
    <row r="36" spans="2:13" s="53" customFormat="1" x14ac:dyDescent="0.2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/>
      </c>
      <c r="M36" s="53" t="str">
        <f t="shared" si="1"/>
        <v/>
      </c>
    </row>
    <row r="37" spans="2:13" s="53" customFormat="1" x14ac:dyDescent="0.2"/>
    <row r="38" spans="2:13" s="53" customFormat="1" x14ac:dyDescent="0.2"/>
    <row r="39" spans="2:13" s="53" customFormat="1" x14ac:dyDescent="0.2"/>
    <row r="40" spans="2:13" s="53" customFormat="1" x14ac:dyDescent="0.2"/>
    <row r="41" spans="2:13" s="53" customFormat="1" x14ac:dyDescent="0.2"/>
    <row r="42" spans="2:13" s="53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59"/>
  <sheetViews>
    <sheetView workbookViewId="0"/>
  </sheetViews>
  <sheetFormatPr defaultRowHeight="12.75" customHeight="1" x14ac:dyDescent="0.2"/>
  <cols>
    <col min="1" max="16384" width="9.140625" style="54"/>
  </cols>
  <sheetData>
    <row r="1" spans="2:15" ht="39" customHeight="1" x14ac:dyDescent="0.2"/>
    <row r="2" spans="2:15" s="55" customFormat="1" ht="9.9499999999999993" customHeight="1" x14ac:dyDescent="0.2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">
      <c r="B3" s="57" t="str">
        <f>RasiContent(12,Basic!$B$7,C2,D2,Basic!$F$12)</f>
        <v/>
      </c>
      <c r="C3" s="57" t="str">
        <f>RasiContent(1,Basic!$B$7,C2,D2,Basic!$F$12)</f>
        <v/>
      </c>
      <c r="D3" s="57" t="str">
        <f>RasiContent(2,Basic!$B$7,C2,D2,Basic!$F$12)</f>
        <v xml:space="preserve"> Moon Saturn</v>
      </c>
      <c r="E3" s="57" t="str">
        <f>RasiContent(3,Basic!$B$7,C2,D2,Basic!$F$12)</f>
        <v xml:space="preserve"> Venus</v>
      </c>
      <c r="G3" s="57" t="str">
        <f>RasiContent(12,Basic!$B$7,H2,I2,Basic!$F$12)</f>
        <v xml:space="preserve"> </v>
      </c>
      <c r="H3" s="57" t="str">
        <f>RasiContent(1,Basic!$B$7,H2,I2,Basic!$F$12)</f>
        <v/>
      </c>
      <c r="I3" s="57" t="str">
        <f>RasiContent(2,Basic!$B$7,H2,I2,Basic!$F$12)</f>
        <v xml:space="preserve"> Saturn</v>
      </c>
      <c r="J3" s="57" t="str">
        <f>RasiContent(3,Basic!$B$7,H2,I2,Basic!$F$12)</f>
        <v/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 x14ac:dyDescent="0.2">
      <c r="B4" s="57" t="str">
        <f>RasiContent(11,Basic!$B$7,C2,D2,Basic!$F$12)</f>
        <v/>
      </c>
      <c r="C4" s="142" t="str">
        <f>divname(C2,D2)</f>
        <v>Rasi</v>
      </c>
      <c r="D4" s="142"/>
      <c r="E4" s="57" t="str">
        <f>RasiContent(4,Basic!$B$7,C2,D2,Basic!$F$12)</f>
        <v xml:space="preserve"> Sun Merc Ketu</v>
      </c>
      <c r="G4" s="57" t="str">
        <f>RasiContent(11,Basic!$B$7,H2,I2,Basic!$F$12)</f>
        <v xml:space="preserve"> Asdt</v>
      </c>
      <c r="H4" s="142" t="str">
        <f>divname(H2,I2)</f>
        <v>Hora (1/7 House)</v>
      </c>
      <c r="I4" s="142"/>
      <c r="J4" s="57" t="str">
        <f>RasiContent(4,Basic!$B$7,H2,I2,Basic!$F$12)</f>
        <v xml:space="preserve"> Sun Mars Rahu</v>
      </c>
      <c r="L4" s="57" t="str">
        <f>RasiContent(11,Basic!$B$7,M2,N2,Basic!$F$12)</f>
        <v/>
      </c>
      <c r="M4" s="142" t="str">
        <f>divname(M2,N2)</f>
        <v>Parashara Hora</v>
      </c>
      <c r="N4" s="142"/>
      <c r="O4" s="57" t="str">
        <f>RasiContent(4,Basic!$B$7,M2,N2,Basic!$F$12)</f>
        <v xml:space="preserve"> Sun Venus Jupiter Saturn   Asdt</v>
      </c>
    </row>
    <row r="5" spans="2:15" ht="50.1" customHeight="1" x14ac:dyDescent="0.2">
      <c r="B5" s="57" t="str">
        <f>RasiContent(10,Basic!$B$7,C2,D2,Basic!$F$12)</f>
        <v xml:space="preserve"> Mars Rahu</v>
      </c>
      <c r="C5" s="142"/>
      <c r="D5" s="142"/>
      <c r="E5" s="57" t="str">
        <f>RasiContent(5,Basic!$B$7,C2,D2,Basic!$F$12)</f>
        <v xml:space="preserve"> Asdt</v>
      </c>
      <c r="G5" s="57" t="str">
        <f>RasiContent(10,Basic!$B$7,H2,I2,Basic!$F$12)</f>
        <v xml:space="preserve"> Merc Ketu</v>
      </c>
      <c r="H5" s="142"/>
      <c r="I5" s="142"/>
      <c r="J5" s="57" t="str">
        <f>RasiContent(5,Basic!$B$7,H2,I2,Basic!$F$12)</f>
        <v/>
      </c>
      <c r="L5" s="57" t="str">
        <f>RasiContent(10,Basic!$B$7,M2,N2,Basic!$F$12)</f>
        <v/>
      </c>
      <c r="M5" s="142"/>
      <c r="N5" s="142"/>
      <c r="O5" s="57" t="str">
        <f>RasiContent(5,Basic!$B$7,M2,N2,Basic!$F$12)</f>
        <v xml:space="preserve"> Moon Merc Mars  Rahu Ketu</v>
      </c>
    </row>
    <row r="6" spans="2:15" ht="50.1" customHeight="1" x14ac:dyDescent="0.2">
      <c r="B6" s="57" t="str">
        <f>RasiContent(9,Basic!$B$7,C2,D2,Basic!$F$12)</f>
        <v/>
      </c>
      <c r="C6" s="57" t="str">
        <f>RasiContent(8,Basic!$B$7,C2,D2,Basic!$F$12)</f>
        <v xml:space="preserve"> Jupiter </v>
      </c>
      <c r="D6" s="57" t="str">
        <f>RasiContent(7,Basic!$B$7,C2,D2,Basic!$F$12)</f>
        <v/>
      </c>
      <c r="E6" s="57" t="str">
        <f>RasiContent(6,Basic!$B$7,C2,D2,Basic!$F$12)</f>
        <v xml:space="preserve">  </v>
      </c>
      <c r="G6" s="57" t="str">
        <f>RasiContent(9,Basic!$B$7,H2,I2,Basic!$F$12)</f>
        <v xml:space="preserve"> Venus</v>
      </c>
      <c r="H6" s="57" t="str">
        <f>RasiContent(8,Basic!$B$7,H2,I2,Basic!$F$12)</f>
        <v xml:space="preserve"> Moon Jupiter </v>
      </c>
      <c r="I6" s="57" t="str">
        <f>RasiContent(7,Basic!$B$7,H2,I2,Basic!$F$12)</f>
        <v/>
      </c>
      <c r="J6" s="57" t="str">
        <f>RasiContent(6,Basic!$B$7,H2,I2,Basic!$F$12)</f>
        <v xml:space="preserve"> 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 x14ac:dyDescent="0.2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 x14ac:dyDescent="0.2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">
      <c r="B9" s="57" t="str">
        <f>RasiContent(12,Basic!$B$7,C8,D8,Basic!$F$12)</f>
        <v xml:space="preserve"> </v>
      </c>
      <c r="C9" s="57" t="str">
        <f>RasiContent(1,Basic!$B$7,C8,D8,Basic!$F$12)</f>
        <v/>
      </c>
      <c r="D9" s="57" t="str">
        <f>RasiContent(2,Basic!$B$7,C8,D8,Basic!$F$12)</f>
        <v/>
      </c>
      <c r="E9" s="57" t="str">
        <f>RasiContent(3,Basic!$B$7,C8,D8,Basic!$F$12)</f>
        <v xml:space="preserve"> Jupiter Saturn </v>
      </c>
      <c r="G9" s="57" t="str">
        <f>RasiContent(12,Basic!$B$7,H8,I8,Basic!$F$12)</f>
        <v xml:space="preserve"> </v>
      </c>
      <c r="H9" s="57" t="str">
        <f>RasiContent(1,Basic!$B$7,H8,I8,Basic!$F$12)</f>
        <v/>
      </c>
      <c r="I9" s="57" t="str">
        <f>RasiContent(2,Basic!$B$7,H8,I8,Basic!$F$12)</f>
        <v xml:space="preserve"> Jupiter Saturn </v>
      </c>
      <c r="J9" s="57" t="str">
        <f>RasiContent(3,Basic!$B$7,H8,I8,Basic!$F$12)</f>
        <v xml:space="preserve"> Venus</v>
      </c>
      <c r="L9" s="57" t="str">
        <f>RasiContent(12,Basic!$B$7,M8,N8,Basic!$F$12)</f>
        <v/>
      </c>
      <c r="M9" s="57" t="str">
        <f>RasiContent(1,Basic!$B$7,M8,N8,Basic!$F$12)</f>
        <v xml:space="preserve"> Jupiter </v>
      </c>
      <c r="N9" s="57" t="str">
        <f>RasiContent(2,Basic!$B$7,M8,N8,Basic!$F$12)</f>
        <v xml:space="preserve"> Saturn</v>
      </c>
      <c r="O9" s="57" t="str">
        <f>RasiContent(3,Basic!$B$7,M8,N8,Basic!$F$12)</f>
        <v xml:space="preserve"> Venus </v>
      </c>
    </row>
    <row r="10" spans="2:15" ht="50.1" customHeight="1" x14ac:dyDescent="0.2">
      <c r="B10" s="57" t="str">
        <f>RasiContent(11,Basic!$B$7,C8,D8,Basic!$F$12)</f>
        <v xml:space="preserve"> </v>
      </c>
      <c r="C10" s="142" t="str">
        <f>divname(C8,D8)</f>
        <v>Parivrittidvaya  Hora</v>
      </c>
      <c r="D10" s="142"/>
      <c r="E10" s="57" t="str">
        <f>RasiContent(4,Basic!$B$7,C8,D8,Basic!$F$12)</f>
        <v xml:space="preserve"> Moon</v>
      </c>
      <c r="G10" s="57" t="str">
        <f>RasiContent(11,Basic!$B$7,H8,I8,Basic!$F$12)</f>
        <v xml:space="preserve"> Asdt</v>
      </c>
      <c r="H10" s="142" t="str">
        <f>divname(H8,I8)</f>
        <v>Jagannath Hora</v>
      </c>
      <c r="I10" s="142"/>
      <c r="J10" s="57" t="str">
        <f>RasiContent(4,Basic!$B$7,H8,I8,Basic!$F$12)</f>
        <v xml:space="preserve"> Sun</v>
      </c>
      <c r="L10" s="57" t="str">
        <f>RasiContent(11,Basic!$B$7,M8,N8,Basic!$F$12)</f>
        <v xml:space="preserve"> Mars Rahu</v>
      </c>
      <c r="M10" s="142" t="str">
        <f>divname(M8,N8)</f>
        <v>Kashinath Hora</v>
      </c>
      <c r="N10" s="142"/>
      <c r="O10" s="57" t="str">
        <f>RasiContent(4,Basic!$B$7,M8,N8,Basic!$F$12)</f>
        <v xml:space="preserve"> Sun Asdt</v>
      </c>
    </row>
    <row r="11" spans="2:15" ht="50.1" customHeight="1" x14ac:dyDescent="0.2">
      <c r="B11" s="57" t="str">
        <f>RasiContent(10,Basic!$B$7,C8,D8,Basic!$F$12)</f>
        <v xml:space="preserve"> Asdt</v>
      </c>
      <c r="C11" s="142"/>
      <c r="D11" s="142"/>
      <c r="E11" s="57" t="str">
        <f>RasiContent(5,Basic!$B$7,C8,D8,Basic!$F$12)</f>
        <v/>
      </c>
      <c r="G11" s="57" t="str">
        <f>RasiContent(10,Basic!$B$7,H8,I8,Basic!$F$12)</f>
        <v xml:space="preserve"> Merc Mars Rahu Ketu</v>
      </c>
      <c r="H11" s="142"/>
      <c r="I11" s="142"/>
      <c r="J11" s="57" t="str">
        <f>RasiContent(5,Basic!$B$7,H8,I8,Basic!$F$12)</f>
        <v/>
      </c>
      <c r="L11" s="57" t="str">
        <f>RasiContent(10,Basic!$B$7,M8,N8,Basic!$F$12)</f>
        <v/>
      </c>
      <c r="M11" s="142"/>
      <c r="N11" s="142"/>
      <c r="O11" s="57" t="str">
        <f>RasiContent(5,Basic!$B$7,M8,N8,Basic!$F$12)</f>
        <v xml:space="preserve"> Merc Ketu</v>
      </c>
    </row>
    <row r="12" spans="2:15" ht="50.1" customHeight="1" x14ac:dyDescent="0.2">
      <c r="B12" s="57" t="str">
        <f>RasiContent(9,Basic!$B$7,C8,D8,Basic!$F$12)</f>
        <v/>
      </c>
      <c r="C12" s="57" t="str">
        <f>RasiContent(8,Basic!$B$7,C8,D8,Basic!$F$12)</f>
        <v xml:space="preserve"> Merc Mars Rahu Ketu</v>
      </c>
      <c r="D12" s="57" t="str">
        <f>RasiContent(7,Basic!$B$7,C8,D8,Basic!$F$12)</f>
        <v xml:space="preserve"> Sun</v>
      </c>
      <c r="E12" s="57" t="str">
        <f>RasiContent(6,Basic!$B$7,C8,D8,Basic!$F$12)</f>
        <v xml:space="preserve"> Venus</v>
      </c>
      <c r="G12" s="57" t="str">
        <f>RasiContent(9,Basic!$B$7,H8,I8,Basic!$F$12)</f>
        <v/>
      </c>
      <c r="H12" s="57" t="str">
        <f>RasiContent(8,Basic!$B$7,H8,I8,Basic!$F$12)</f>
        <v xml:space="preserve"> Moon</v>
      </c>
      <c r="I12" s="57" t="str">
        <f>RasiContent(7,Basic!$B$7,H8,I8,Basic!$F$12)</f>
        <v/>
      </c>
      <c r="J12" s="57" t="str">
        <f>RasiContent(6,Basic!$B$7,H8,I8,Basic!$F$12)</f>
        <v xml:space="preserve"> 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Moon</v>
      </c>
      <c r="O12" s="57" t="str">
        <f>RasiContent(6,Basic!$B$7,M8,N8,Basic!$F$12)</f>
        <v xml:space="preserve"> </v>
      </c>
    </row>
    <row r="13" spans="2:15" ht="50.1" customHeight="1" x14ac:dyDescent="0.2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 x14ac:dyDescent="0.2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">
      <c r="B15" s="57" t="str">
        <f>RasiContent(12,Basic!$B$7,C14,D14,Basic!$F$12)</f>
        <v/>
      </c>
      <c r="C15" s="57" t="str">
        <f>RasiContent(1,Basic!$B$7,C14,D14,Basic!$F$12)</f>
        <v/>
      </c>
      <c r="D15" s="57" t="str">
        <f>RasiContent(2,Basic!$B$7,C14,D14,Basic!$F$12)</f>
        <v xml:space="preserve"> Moon Saturn</v>
      </c>
      <c r="E15" s="57" t="str">
        <f>RasiContent(3,Basic!$B$7,C14,D14,Basic!$F$12)</f>
        <v xml:space="preserve"> Venus</v>
      </c>
      <c r="G15" s="57" t="str">
        <f>RasiContent(12,Basic!$B$7,H14,I14,Basic!$F$12)</f>
        <v xml:space="preserve"> Merc Ketu</v>
      </c>
      <c r="H15" s="57" t="str">
        <f>RasiContent(1,Basic!$B$7,H14,I14,Basic!$F$12)</f>
        <v/>
      </c>
      <c r="I15" s="57" t="str">
        <f>RasiContent(2,Basic!$B$7,H14,I14,Basic!$F$12)</f>
        <v xml:space="preserve"> </v>
      </c>
      <c r="J15" s="57" t="str">
        <f>RasiContent(3,Basic!$B$7,H14,I14,Basic!$F$12)</f>
        <v xml:space="preserve"> Venus</v>
      </c>
      <c r="L15" s="57" t="str">
        <f>RasiContent(12,Basic!$B$7,M14,N14,Basic!$F$12)</f>
        <v xml:space="preserve"> Merc Ketu</v>
      </c>
      <c r="M15" s="57" t="str">
        <f>RasiContent(1,Basic!$B$7,M14,N14,Basic!$F$12)</f>
        <v/>
      </c>
      <c r="N15" s="57" t="str">
        <f>RasiContent(2,Basic!$B$7,M14,N14,Basic!$F$12)</f>
        <v/>
      </c>
      <c r="O15" s="57" t="str">
        <f>RasiContent(3,Basic!$B$7,M14,N14,Basic!$F$12)</f>
        <v xml:space="preserve"> Asdt</v>
      </c>
    </row>
    <row r="16" spans="2:15" ht="50.1" customHeight="1" x14ac:dyDescent="0.2">
      <c r="B16" s="57" t="str">
        <f>RasiContent(11,Basic!$B$7,C14,D14,Basic!$F$12)</f>
        <v/>
      </c>
      <c r="C16" s="142" t="str">
        <f>divname(C14,D14)</f>
        <v>Parashara Drekkana</v>
      </c>
      <c r="D16" s="142"/>
      <c r="E16" s="57" t="str">
        <f>RasiContent(4,Basic!$B$7,C14,D14,Basic!$F$12)</f>
        <v xml:space="preserve"> Sun Merc Ketu</v>
      </c>
      <c r="G16" s="57" t="str">
        <f>RasiContent(11,Basic!$B$7,H14,I14,Basic!$F$12)</f>
        <v/>
      </c>
      <c r="H16" s="142" t="str">
        <f>divname(H14,I14)</f>
        <v>Jagannath Drekkana</v>
      </c>
      <c r="I16" s="142"/>
      <c r="J16" s="57" t="str">
        <f>RasiContent(4,Basic!$B$7,H14,I14,Basic!$F$12)</f>
        <v xml:space="preserve"> Sun Jupiter </v>
      </c>
      <c r="L16" s="57" t="str">
        <f>RasiContent(11,Basic!$B$7,M14,N14,Basic!$F$12)</f>
        <v/>
      </c>
      <c r="M16" s="142" t="str">
        <f>divname(M14,N14)</f>
        <v>Parivrittitraya  Drekkana</v>
      </c>
      <c r="N16" s="142"/>
      <c r="O16" s="57" t="str">
        <f>RasiContent(4,Basic!$B$7,M14,N14,Basic!$F$12)</f>
        <v xml:space="preserve"> Saturn </v>
      </c>
    </row>
    <row r="17" spans="2:15" ht="50.1" customHeight="1" x14ac:dyDescent="0.2">
      <c r="B17" s="57" t="str">
        <f>RasiContent(10,Basic!$B$7,C14,D14,Basic!$F$12)</f>
        <v xml:space="preserve"> Mars Rahu</v>
      </c>
      <c r="C17" s="142"/>
      <c r="D17" s="142"/>
      <c r="E17" s="57" t="str">
        <f>RasiContent(5,Basic!$B$7,C14,D14,Basic!$F$12)</f>
        <v xml:space="preserve"> Asdt</v>
      </c>
      <c r="G17" s="57" t="str">
        <f>RasiContent(10,Basic!$B$7,H14,I14,Basic!$F$12)</f>
        <v xml:space="preserve"> Saturn </v>
      </c>
      <c r="H17" s="142"/>
      <c r="I17" s="142"/>
      <c r="J17" s="57" t="str">
        <f>RasiContent(5,Basic!$B$7,H14,I14,Basic!$F$12)</f>
        <v/>
      </c>
      <c r="L17" s="57" t="str">
        <f>RasiContent(10,Basic!$B$7,M14,N14,Basic!$F$12)</f>
        <v xml:space="preserve"> Sun Jupiter </v>
      </c>
      <c r="M17" s="142"/>
      <c r="N17" s="142"/>
      <c r="O17" s="57" t="str">
        <f>RasiContent(5,Basic!$B$7,M14,N14,Basic!$F$12)</f>
        <v xml:space="preserve"> </v>
      </c>
    </row>
    <row r="18" spans="2:15" ht="50.1" customHeight="1" x14ac:dyDescent="0.2">
      <c r="B18" s="57" t="str">
        <f>RasiContent(9,Basic!$B$7,C14,D14,Basic!$F$12)</f>
        <v/>
      </c>
      <c r="C18" s="57" t="str">
        <f>RasiContent(8,Basic!$B$7,C14,D14,Basic!$F$12)</f>
        <v xml:space="preserve"> Jupiter </v>
      </c>
      <c r="D18" s="57" t="str">
        <f>RasiContent(7,Basic!$B$7,C14,D14,Basic!$F$12)</f>
        <v/>
      </c>
      <c r="E18" s="57" t="str">
        <f>RasiContent(6,Basic!$B$7,C14,D14,Basic!$F$12)</f>
        <v xml:space="preserve">  </v>
      </c>
      <c r="G18" s="57" t="str">
        <f>RasiContent(9,Basic!$B$7,H14,I14,Basic!$F$12)</f>
        <v xml:space="preserve"> Asdt</v>
      </c>
      <c r="H18" s="57" t="str">
        <f>RasiContent(8,Basic!$B$7,H14,I14,Basic!$F$12)</f>
        <v/>
      </c>
      <c r="I18" s="57" t="str">
        <f>RasiContent(7,Basic!$B$7,H14,I14,Basic!$F$12)</f>
        <v/>
      </c>
      <c r="J18" s="57" t="str">
        <f>RasiContent(6,Basic!$B$7,H14,I14,Basic!$F$12)</f>
        <v xml:space="preserve"> Moon Mars Rahu</v>
      </c>
      <c r="L18" s="57" t="str">
        <f>RasiContent(9,Basic!$B$7,M14,N14,Basic!$F$12)</f>
        <v xml:space="preserve"> Venus</v>
      </c>
      <c r="M18" s="57" t="str">
        <f>RasiContent(8,Basic!$B$7,M14,N14,Basic!$F$12)</f>
        <v/>
      </c>
      <c r="N18" s="57" t="str">
        <f>RasiContent(7,Basic!$B$7,M14,N14,Basic!$F$12)</f>
        <v/>
      </c>
      <c r="O18" s="57" t="str">
        <f>RasiContent(6,Basic!$B$7,M14,N14,Basic!$F$12)</f>
        <v xml:space="preserve"> Moon Mars Rahu</v>
      </c>
    </row>
    <row r="19" spans="2:15" ht="50.1" customHeight="1" x14ac:dyDescent="0.2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 x14ac:dyDescent="0.2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">
      <c r="B21" s="57" t="str">
        <f>RasiContent(12,Basic!$B$7,C20,D20,Basic!$F$12)</f>
        <v xml:space="preserve"> Saturn</v>
      </c>
      <c r="C21" s="57" t="str">
        <f>RasiContent(1,Basic!$B$7,C20,D20,Basic!$F$12)</f>
        <v/>
      </c>
      <c r="D21" s="57" t="str">
        <f>RasiContent(2,Basic!$B$7,C20,D20,Basic!$F$12)</f>
        <v/>
      </c>
      <c r="E21" s="57" t="str">
        <f>RasiContent(3,Basic!$B$7,C20,D20,Basic!$F$12)</f>
        <v xml:space="preserve"> Jupiter </v>
      </c>
      <c r="G21" s="57" t="str">
        <f>RasiContent(12,Basic!$B$7,H20,I20,Basic!$F$12)</f>
        <v xml:space="preserve"> </v>
      </c>
      <c r="H21" s="57" t="str">
        <f>RasiContent(1,Basic!$B$7,H20,I20,Basic!$F$12)</f>
        <v xml:space="preserve"> Merc</v>
      </c>
      <c r="I21" s="57" t="str">
        <f>RasiContent(2,Basic!$B$7,H20,I20,Basic!$F$12)</f>
        <v xml:space="preserve"> Asdt</v>
      </c>
      <c r="J21" s="57" t="str">
        <f>RasiContent(3,Basic!$B$7,H20,I20,Basic!$F$12)</f>
        <v/>
      </c>
      <c r="L21" s="57" t="str">
        <f>RasiContent(12,Basic!$B$7,M20,N20,Basic!$F$12)</f>
        <v/>
      </c>
      <c r="M21" s="57" t="str">
        <f>RasiContent(1,Basic!$B$7,M20,N20,Basic!$F$12)</f>
        <v xml:space="preserve"> Sun</v>
      </c>
      <c r="N21" s="57" t="str">
        <f>RasiContent(2,Basic!$B$7,M20,N20,Basic!$F$12)</f>
        <v/>
      </c>
      <c r="O21" s="57" t="str">
        <f>RasiContent(3,Basic!$B$7,M20,N20,Basic!$F$12)</f>
        <v xml:space="preserve"> Rahu Ketu</v>
      </c>
    </row>
    <row r="22" spans="2:15" ht="50.1" customHeight="1" x14ac:dyDescent="0.2">
      <c r="B22" s="57" t="str">
        <f>RasiContent(11,Basic!$B$7,C20,D20,Basic!$F$12)</f>
        <v/>
      </c>
      <c r="C22" s="142" t="str">
        <f>divname(C20,D20)</f>
        <v>Somnath Drekkana</v>
      </c>
      <c r="D22" s="142"/>
      <c r="E22" s="57" t="str">
        <f>RasiContent(4,Basic!$B$7,C20,D20,Basic!$F$12)</f>
        <v/>
      </c>
      <c r="G22" s="57" t="str">
        <f>RasiContent(11,Basic!$B$7,H20,I20,Basic!$F$12)</f>
        <v xml:space="preserve"> Moon</v>
      </c>
      <c r="H22" s="142" t="str">
        <f>divname(H20,I20)</f>
        <v>Parashara Chaturthamsa</v>
      </c>
      <c r="I22" s="142"/>
      <c r="J22" s="57" t="str">
        <f>RasiContent(4,Basic!$B$7,H20,I20,Basic!$F$12)</f>
        <v xml:space="preserve"> Sun Rahu</v>
      </c>
      <c r="L22" s="57" t="str">
        <f>RasiContent(11,Basic!$B$7,M20,N20,Basic!$F$12)</f>
        <v xml:space="preserve"> Venus </v>
      </c>
      <c r="M22" s="142" t="str">
        <f>divname(M20,N20)</f>
        <v>Cyclical Chaturthamsa</v>
      </c>
      <c r="N22" s="142"/>
      <c r="O22" s="57" t="str">
        <f>RasiContent(4,Basic!$B$7,M20,N20,Basic!$F$12)</f>
        <v xml:space="preserve"> Merc Mars</v>
      </c>
    </row>
    <row r="23" spans="2:15" ht="50.1" customHeight="1" x14ac:dyDescent="0.2">
      <c r="B23" s="57" t="str">
        <f>RasiContent(10,Basic!$B$7,C20,D20,Basic!$F$12)</f>
        <v xml:space="preserve"> Moon Mars Rahu</v>
      </c>
      <c r="C23" s="142"/>
      <c r="D23" s="142"/>
      <c r="E23" s="57" t="str">
        <f>RasiContent(5,Basic!$B$7,C20,D20,Basic!$F$12)</f>
        <v xml:space="preserve"> </v>
      </c>
      <c r="G23" s="57" t="str">
        <f>RasiContent(10,Basic!$B$7,H20,I20,Basic!$F$12)</f>
        <v xml:space="preserve"> Ketu</v>
      </c>
      <c r="H23" s="142"/>
      <c r="I23" s="142"/>
      <c r="J23" s="57" t="str">
        <f>RasiContent(5,Basic!$B$7,H20,I20,Basic!$F$12)</f>
        <v xml:space="preserve"> Saturn</v>
      </c>
      <c r="L23" s="57" t="str">
        <f>RasiContent(10,Basic!$B$7,M20,N20,Basic!$F$12)</f>
        <v/>
      </c>
      <c r="M23" s="142"/>
      <c r="N23" s="142"/>
      <c r="O23" s="57" t="str">
        <f>RasiContent(5,Basic!$B$7,M20,N20,Basic!$F$12)</f>
        <v xml:space="preserve"> Jupiter </v>
      </c>
    </row>
    <row r="24" spans="2:15" ht="50.1" customHeight="1" x14ac:dyDescent="0.2">
      <c r="B24" s="57" t="str">
        <f>RasiContent(9,Basic!$B$7,C20,D20,Basic!$F$12)</f>
        <v xml:space="preserve"> Sun Asdt</v>
      </c>
      <c r="C24" s="57" t="str">
        <f>RasiContent(8,Basic!$B$7,C20,D20,Basic!$F$12)</f>
        <v/>
      </c>
      <c r="D24" s="57" t="str">
        <f>RasiContent(7,Basic!$B$7,C20,D20,Basic!$F$12)</f>
        <v xml:space="preserve"> Merc Ketu</v>
      </c>
      <c r="E24" s="57" t="str">
        <f>RasiContent(6,Basic!$B$7,C20,D20,Basic!$F$12)</f>
        <v xml:space="preserve"> Venus </v>
      </c>
      <c r="G24" s="57" t="str">
        <f>RasiContent(9,Basic!$B$7,H20,I20,Basic!$F$12)</f>
        <v xml:space="preserve"> Venus</v>
      </c>
      <c r="H24" s="57" t="str">
        <f>RasiContent(8,Basic!$B$7,H20,I20,Basic!$F$12)</f>
        <v xml:space="preserve"> Jupiter </v>
      </c>
      <c r="I24" s="57" t="str">
        <f>RasiContent(7,Basic!$B$7,H20,I20,Basic!$F$12)</f>
        <v xml:space="preserve"> Mars</v>
      </c>
      <c r="J24" s="57" t="str">
        <f>RasiContent(6,Basic!$B$7,H20,I20,Basic!$F$12)</f>
        <v xml:space="preserve"> </v>
      </c>
      <c r="L24" s="57" t="str">
        <f>RasiContent(9,Basic!$B$7,M20,N20,Basic!$F$12)</f>
        <v xml:space="preserve"> </v>
      </c>
      <c r="M24" s="57" t="str">
        <f>RasiContent(8,Basic!$B$7,M20,N20,Basic!$F$12)</f>
        <v xml:space="preserve"> Moon Asdt</v>
      </c>
      <c r="N24" s="57" t="str">
        <f>RasiContent(7,Basic!$B$7,M20,N20,Basic!$F$12)</f>
        <v/>
      </c>
      <c r="O24" s="57" t="str">
        <f>RasiContent(6,Basic!$B$7,M20,N20,Basic!$F$12)</f>
        <v xml:space="preserve"> Saturn</v>
      </c>
    </row>
    <row r="25" spans="2:15" ht="50.1" customHeight="1" x14ac:dyDescent="0.2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 x14ac:dyDescent="0.2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">
      <c r="B27" s="57" t="str">
        <f>RasiContent(12,Basic!$B$7,C26,D26,Basic!$F$12)</f>
        <v xml:space="preserve"> Jupiter</v>
      </c>
      <c r="C27" s="57" t="str">
        <f>RasiContent(1,Basic!$B$7,C26,D26,Basic!$F$12)</f>
        <v xml:space="preserve">  Rahu Asdt</v>
      </c>
      <c r="D27" s="57" t="str">
        <f>RasiContent(2,Basic!$B$7,C26,D26,Basic!$F$12)</f>
        <v xml:space="preserve"> Venus Mars </v>
      </c>
      <c r="E27" s="57" t="str">
        <f>RasiContent(3,Basic!$B$7,C26,D26,Basic!$F$12)</f>
        <v/>
      </c>
      <c r="G27" s="57" t="str">
        <f>RasiContent(12,Basic!$B$7,H26,I26,Basic!$F$12)</f>
        <v xml:space="preserve"> </v>
      </c>
      <c r="H27" s="57" t="str">
        <f>RasiContent(1,Basic!$B$7,H26,I26,Basic!$F$12)</f>
        <v xml:space="preserve"> Moon</v>
      </c>
      <c r="I27" s="57" t="str">
        <f>RasiContent(2,Basic!$B$7,H26,I26,Basic!$F$12)</f>
        <v xml:space="preserve"> Jupiter</v>
      </c>
      <c r="J27" s="57" t="str">
        <f>RasiContent(3,Basic!$B$7,H26,I26,Basic!$F$12)</f>
        <v xml:space="preserve">   Ketu</v>
      </c>
      <c r="L27" s="57" t="str">
        <f>RasiContent(12,Basic!$B$7,M26,N26,Basic!$F$12)</f>
        <v xml:space="preserve"> Merc Saturn</v>
      </c>
      <c r="M27" s="57" t="str">
        <f>RasiContent(1,Basic!$B$7,M26,N26,Basic!$F$12)</f>
        <v xml:space="preserve"> Venus</v>
      </c>
      <c r="N27" s="57" t="str">
        <f>RasiContent(2,Basic!$B$7,M26,N26,Basic!$F$12)</f>
        <v xml:space="preserve"> </v>
      </c>
      <c r="O27" s="57" t="str">
        <f>RasiContent(3,Basic!$B$7,M26,N26,Basic!$F$12)</f>
        <v/>
      </c>
    </row>
    <row r="28" spans="2:15" ht="50.1" customHeight="1" x14ac:dyDescent="0.2">
      <c r="B28" s="57" t="str">
        <f>RasiContent(11,Basic!$B$7,C26,D26,Basic!$F$12)</f>
        <v/>
      </c>
      <c r="C28" s="142" t="str">
        <f>divname(C26,D26)</f>
        <v>Cyclical Panchamsa</v>
      </c>
      <c r="D28" s="142"/>
      <c r="E28" s="57" t="str">
        <f>RasiContent(4,Basic!$B$7,C26,D26,Basic!$F$12)</f>
        <v xml:space="preserve"> Sun </v>
      </c>
      <c r="G28" s="57" t="str">
        <f>RasiContent(11,Basic!$B$7,H26,I26,Basic!$F$12)</f>
        <v xml:space="preserve"> Asdt</v>
      </c>
      <c r="H28" s="142" t="str">
        <f>divname(H26,I26)</f>
        <v>Saptamsa</v>
      </c>
      <c r="I28" s="142"/>
      <c r="J28" s="57" t="str">
        <f>RasiContent(4,Basic!$B$7,H26,I26,Basic!$F$12)</f>
        <v xml:space="preserve"> Merc</v>
      </c>
      <c r="L28" s="57" t="str">
        <f>RasiContent(11,Basic!$B$7,M26,N26,Basic!$F$12)</f>
        <v xml:space="preserve"> </v>
      </c>
      <c r="M28" s="142" t="str">
        <f>divname(M26,N26)</f>
        <v>Navamsa</v>
      </c>
      <c r="N28" s="142"/>
      <c r="O28" s="57" t="str">
        <f>RasiContent(4,Basic!$B$7,M26,N26,Basic!$F$12)</f>
        <v xml:space="preserve"> Sun Moon Jupiter Rahu</v>
      </c>
    </row>
    <row r="29" spans="2:15" ht="50.1" customHeight="1" x14ac:dyDescent="0.2">
      <c r="B29" s="57" t="str">
        <f>RasiContent(10,Basic!$B$7,C26,D26,Basic!$F$12)</f>
        <v/>
      </c>
      <c r="C29" s="142"/>
      <c r="D29" s="142"/>
      <c r="E29" s="57" t="str">
        <f>RasiContent(5,Basic!$B$7,C26,D26,Basic!$F$12)</f>
        <v/>
      </c>
      <c r="G29" s="57" t="str">
        <f>RasiContent(10,Basic!$B$7,H26,I26,Basic!$F$12)</f>
        <v xml:space="preserve"> Sun Mars Saturn</v>
      </c>
      <c r="H29" s="142"/>
      <c r="I29" s="142"/>
      <c r="J29" s="57" t="str">
        <f>RasiContent(5,Basic!$B$7,H26,I26,Basic!$F$12)</f>
        <v/>
      </c>
      <c r="L29" s="57" t="str">
        <f>RasiContent(10,Basic!$B$7,M26,N26,Basic!$F$12)</f>
        <v xml:space="preserve"> Ketu</v>
      </c>
      <c r="M29" s="142"/>
      <c r="N29" s="142"/>
      <c r="O29" s="57" t="str">
        <f>RasiContent(5,Basic!$B$7,M26,N26,Basic!$F$12)</f>
        <v/>
      </c>
    </row>
    <row r="30" spans="2:15" ht="50.1" customHeight="1" x14ac:dyDescent="0.2">
      <c r="B30" s="57" t="str">
        <f>RasiContent(9,Basic!$B$7,C26,D26,Basic!$F$12)</f>
        <v xml:space="preserve"> Moon</v>
      </c>
      <c r="C30" s="57" t="str">
        <f>RasiContent(8,Basic!$B$7,C26,D26,Basic!$F$12)</f>
        <v xml:space="preserve"> Merc</v>
      </c>
      <c r="D30" s="57" t="str">
        <f>RasiContent(7,Basic!$B$7,C26,D26,Basic!$F$12)</f>
        <v xml:space="preserve"> Saturn Ketu</v>
      </c>
      <c r="E30" s="57" t="str">
        <f>RasiContent(6,Basic!$B$7,C26,D26,Basic!$F$12)</f>
        <v/>
      </c>
      <c r="G30" s="57" t="str">
        <f>RasiContent(9,Basic!$B$7,H26,I26,Basic!$F$12)</f>
        <v xml:space="preserve"> Rahu</v>
      </c>
      <c r="H30" s="57" t="str">
        <f>RasiContent(8,Basic!$B$7,H26,I26,Basic!$F$12)</f>
        <v xml:space="preserve"> Venus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/>
      </c>
      <c r="M30" s="57" t="str">
        <f>RasiContent(8,Basic!$B$7,M26,N26,Basic!$F$12)</f>
        <v xml:space="preserve"> Asdt</v>
      </c>
      <c r="N30" s="57" t="str">
        <f>RasiContent(7,Basic!$B$7,M26,N26,Basic!$F$12)</f>
        <v/>
      </c>
      <c r="O30" s="57" t="str">
        <f>RasiContent(6,Basic!$B$7,M26,N26,Basic!$F$12)</f>
        <v xml:space="preserve"> Mars </v>
      </c>
    </row>
    <row r="31" spans="2:15" ht="50.1" customHeight="1" x14ac:dyDescent="0.2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 x14ac:dyDescent="0.2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">
      <c r="B33" s="57" t="str">
        <f>RasiContent(12,Basic!$B$7,C32,D32,Basic!$F$12)</f>
        <v xml:space="preserve"> Sun</v>
      </c>
      <c r="C33" s="57" t="str">
        <f>RasiContent(1,Basic!$B$7,C32,D32,Basic!$F$12)</f>
        <v xml:space="preserve"> Saturn Rahu Asdt</v>
      </c>
      <c r="D33" s="57" t="str">
        <f>RasiContent(2,Basic!$B$7,C32,D32,Basic!$F$12)</f>
        <v/>
      </c>
      <c r="E33" s="57" t="str">
        <f>RasiContent(3,Basic!$B$7,C32,D32,Basic!$F$12)</f>
        <v xml:space="preserve"> Mars </v>
      </c>
      <c r="G33" s="57" t="str">
        <f>RasiContent(12,Basic!$B$7,H32,I32,Basic!$F$12)</f>
        <v xml:space="preserve"> Rahu</v>
      </c>
      <c r="H33" s="57" t="str">
        <f>RasiContent(1,Basic!$B$7,H32,I32,Basic!$F$12)</f>
        <v/>
      </c>
      <c r="I33" s="57" t="str">
        <f>RasiContent(2,Basic!$B$7,H32,I32,Basic!$F$12)</f>
        <v xml:space="preserve"> Mars </v>
      </c>
      <c r="J33" s="57" t="str">
        <f>RasiContent(3,Basic!$B$7,H32,I32,Basic!$F$12)</f>
        <v xml:space="preserve"> Saturn</v>
      </c>
      <c r="L33" s="57" t="str">
        <f>RasiContent(12,Basic!$B$7,M32,N32,Basic!$F$12)</f>
        <v xml:space="preserve">  Ketu</v>
      </c>
      <c r="M33" s="57" t="str">
        <f>RasiContent(1,Basic!$B$7,M32,N32,Basic!$F$12)</f>
        <v/>
      </c>
      <c r="N33" s="57" t="str">
        <f>RasiContent(2,Basic!$B$7,M32,N32,Basic!$F$12)</f>
        <v xml:space="preserve"> Merc</v>
      </c>
      <c r="O33" s="57" t="str">
        <f>RasiContent(3,Basic!$B$7,M32,N32,Basic!$F$12)</f>
        <v xml:space="preserve"> Asdt</v>
      </c>
    </row>
    <row r="34" spans="2:15" ht="50.1" customHeight="1" x14ac:dyDescent="0.2">
      <c r="B34" s="57" t="str">
        <f>RasiContent(11,Basic!$B$7,C32,D32,Basic!$F$12)</f>
        <v/>
      </c>
      <c r="C34" s="142" t="str">
        <f>divname(C32,D32)</f>
        <v>Dasamsa</v>
      </c>
      <c r="D34" s="142"/>
      <c r="E34" s="57" t="str">
        <f>RasiContent(4,Basic!$B$7,C32,D32,Basic!$F$12)</f>
        <v/>
      </c>
      <c r="G34" s="57" t="str">
        <f>RasiContent(11,Basic!$B$7,H32,I32,Basic!$F$12)</f>
        <v/>
      </c>
      <c r="H34" s="142" t="str">
        <f>divname(H32,I32)</f>
        <v>Rudramsa</v>
      </c>
      <c r="I34" s="142"/>
      <c r="J34" s="57" t="str">
        <f>RasiContent(4,Basic!$B$7,H32,I32,Basic!$F$12)</f>
        <v/>
      </c>
      <c r="L34" s="57" t="str">
        <f>RasiContent(11,Basic!$B$7,M32,N32,Basic!$F$12)</f>
        <v xml:space="preserve"> Moon Venus</v>
      </c>
      <c r="M34" s="142" t="str">
        <f>divname(M32,N32)</f>
        <v>Dwadasamsa</v>
      </c>
      <c r="N34" s="142"/>
      <c r="O34" s="57" t="str">
        <f>RasiContent(4,Basic!$B$7,M32,N32,Basic!$F$12)</f>
        <v xml:space="preserve"> Sun</v>
      </c>
    </row>
    <row r="35" spans="2:15" ht="50.1" customHeight="1" x14ac:dyDescent="0.2">
      <c r="B35" s="57" t="str">
        <f>RasiContent(10,Basic!$B$7,C32,D32,Basic!$F$12)</f>
        <v xml:space="preserve"> Venus</v>
      </c>
      <c r="C35" s="142"/>
      <c r="D35" s="142"/>
      <c r="E35" s="57" t="str">
        <f>RasiContent(5,Basic!$B$7,C32,D32,Basic!$F$12)</f>
        <v xml:space="preserve"> Moon Jupiter</v>
      </c>
      <c r="G35" s="57" t="str">
        <f>RasiContent(10,Basic!$B$7,H32,I32,Basic!$F$12)</f>
        <v xml:space="preserve"> Sun</v>
      </c>
      <c r="H35" s="142"/>
      <c r="I35" s="142"/>
      <c r="J35" s="57" t="str">
        <f>RasiContent(5,Basic!$B$7,H32,I32,Basic!$F$12)</f>
        <v/>
      </c>
      <c r="L35" s="57" t="str">
        <f>RasiContent(10,Basic!$B$7,M32,N32,Basic!$F$12)</f>
        <v xml:space="preserve"> </v>
      </c>
      <c r="M35" s="142"/>
      <c r="N35" s="142"/>
      <c r="O35" s="57" t="str">
        <f>RasiContent(5,Basic!$B$7,M32,N32,Basic!$F$12)</f>
        <v xml:space="preserve"> Saturn</v>
      </c>
    </row>
    <row r="36" spans="2:15" ht="50.1" customHeight="1" x14ac:dyDescent="0.2">
      <c r="B36" s="57" t="str">
        <f>RasiContent(9,Basic!$B$7,C32,D32,Basic!$F$12)</f>
        <v xml:space="preserve"> Merc</v>
      </c>
      <c r="C36" s="57" t="str">
        <f>RasiContent(8,Basic!$B$7,C32,D32,Basic!$F$12)</f>
        <v/>
      </c>
      <c r="D36" s="57" t="str">
        <f>RasiContent(7,Basic!$B$7,C32,D32,Basic!$F$12)</f>
        <v xml:space="preserve">  Ketu</v>
      </c>
      <c r="E36" s="57" t="str">
        <f>RasiContent(6,Basic!$B$7,C32,D32,Basic!$F$12)</f>
        <v xml:space="preserve"> </v>
      </c>
      <c r="G36" s="57" t="str">
        <f>RasiContent(9,Basic!$B$7,H32,I32,Basic!$F$12)</f>
        <v xml:space="preserve"> </v>
      </c>
      <c r="H36" s="57" t="str">
        <f>RasiContent(8,Basic!$B$7,H32,I32,Basic!$F$12)</f>
        <v xml:space="preserve"> Moon </v>
      </c>
      <c r="I36" s="57" t="str">
        <f>RasiContent(7,Basic!$B$7,H32,I32,Basic!$F$12)</f>
        <v xml:space="preserve"> Merc Jupiter</v>
      </c>
      <c r="J36" s="57" t="str">
        <f>RasiContent(6,Basic!$B$7,H32,I32,Basic!$F$12)</f>
        <v xml:space="preserve"> Venus Asdt Ketu</v>
      </c>
      <c r="L36" s="57" t="str">
        <f>RasiContent(9,Basic!$B$7,M32,N32,Basic!$F$12)</f>
        <v xml:space="preserve"> Mars Jupiter</v>
      </c>
      <c r="M36" s="57" t="str">
        <f>RasiContent(8,Basic!$B$7,M32,N32,Basic!$F$12)</f>
        <v/>
      </c>
      <c r="N36" s="57" t="str">
        <f>RasiContent(7,Basic!$B$7,M32,N32,Basic!$F$12)</f>
        <v xml:space="preserve"> </v>
      </c>
      <c r="O36" s="57" t="str">
        <f>RasiContent(6,Basic!$B$7,M32,N32,Basic!$F$12)</f>
        <v xml:space="preserve"> Rahu</v>
      </c>
    </row>
    <row r="37" spans="2:15" ht="50.1" customHeight="1" x14ac:dyDescent="0.2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 x14ac:dyDescent="0.2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">
      <c r="B39" s="57" t="str">
        <f>RasiContent(12,Basic!$B$7,C38,D38,Basic!$F$12)</f>
        <v xml:space="preserve"> Rahu Ketu</v>
      </c>
      <c r="C39" s="57" t="str">
        <f>RasiContent(1,Basic!$B$7,C38,D38,Basic!$F$12)</f>
        <v/>
      </c>
      <c r="D39" s="57" t="str">
        <f>RasiContent(2,Basic!$B$7,C38,D38,Basic!$F$12)</f>
        <v xml:space="preserve"> Sun</v>
      </c>
      <c r="E39" s="57" t="str">
        <f>RasiContent(3,Basic!$B$7,C38,D38,Basic!$F$12)</f>
        <v xml:space="preserve"> Merc Mars</v>
      </c>
      <c r="G39" s="57" t="str">
        <f>RasiContent(12,Basic!$B$7,H38,I38,Basic!$F$12)</f>
        <v xml:space="preserve"> Moon</v>
      </c>
      <c r="H39" s="57" t="str">
        <f>RasiContent(1,Basic!$B$7,H38,I38,Basic!$F$12)</f>
        <v xml:space="preserve"> </v>
      </c>
      <c r="I39" s="57" t="str">
        <f>RasiContent(2,Basic!$B$7,H38,I38,Basic!$F$12)</f>
        <v xml:space="preserve"> Sun Asdt</v>
      </c>
      <c r="J39" s="57" t="str">
        <f>RasiContent(3,Basic!$B$7,H38,I38,Basic!$F$12)</f>
        <v xml:space="preserve"> Saturn  Rahu Ketu</v>
      </c>
      <c r="L39" s="57" t="str">
        <f>RasiContent(12,Basic!$B$7,M38,N38,Basic!$F$12)</f>
        <v/>
      </c>
      <c r="M39" s="57" t="str">
        <f>RasiContent(1,Basic!$B$7,M38,N38,Basic!$F$12)</f>
        <v xml:space="preserve"> Merc</v>
      </c>
      <c r="N39" s="57" t="str">
        <f>RasiContent(2,Basic!$B$7,M38,N38,Basic!$F$12)</f>
        <v xml:space="preserve"> Mars Asdt</v>
      </c>
      <c r="O39" s="57" t="str">
        <f>RasiContent(3,Basic!$B$7,M38,N38,Basic!$F$12)</f>
        <v/>
      </c>
    </row>
    <row r="40" spans="2:15" ht="50.1" customHeight="1" x14ac:dyDescent="0.2">
      <c r="B40" s="57" t="str">
        <f>RasiContent(11,Basic!$B$7,C38,D38,Basic!$F$12)</f>
        <v xml:space="preserve"> </v>
      </c>
      <c r="C40" s="142" t="str">
        <f>divname(C38,D38)</f>
        <v>Shodasamsa</v>
      </c>
      <c r="D40" s="142"/>
      <c r="E40" s="57" t="str">
        <f>RasiContent(4,Basic!$B$7,C38,D38,Basic!$F$12)</f>
        <v/>
      </c>
      <c r="G40" s="57" t="str">
        <f>RasiContent(11,Basic!$B$7,H38,I38,Basic!$F$12)</f>
        <v xml:space="preserve"> Jupiter</v>
      </c>
      <c r="H40" s="142" t="str">
        <f>divname(H38,I38)</f>
        <v>Vimsamsa</v>
      </c>
      <c r="I40" s="142"/>
      <c r="J40" s="57" t="str">
        <f>RasiContent(4,Basic!$B$7,H38,I38,Basic!$F$12)</f>
        <v/>
      </c>
      <c r="L40" s="57" t="str">
        <f>RasiContent(11,Basic!$B$7,M38,N38,Basic!$F$12)</f>
        <v xml:space="preserve"> Saturn</v>
      </c>
      <c r="M40" s="142" t="str">
        <f>divname(M38,N38)</f>
        <v>Siddhamsa</v>
      </c>
      <c r="N40" s="142"/>
      <c r="O40" s="57" t="str">
        <f>RasiContent(4,Basic!$B$7,M38,N38,Basic!$F$12)</f>
        <v/>
      </c>
    </row>
    <row r="41" spans="2:15" ht="50.1" customHeight="1" x14ac:dyDescent="0.2">
      <c r="B41" s="57" t="str">
        <f>RasiContent(10,Basic!$B$7,C38,D38,Basic!$F$12)</f>
        <v xml:space="preserve"> Saturn</v>
      </c>
      <c r="C41" s="142"/>
      <c r="D41" s="142"/>
      <c r="E41" s="57" t="str">
        <f>RasiContent(5,Basic!$B$7,C38,D38,Basic!$F$12)</f>
        <v xml:space="preserve"> Moon </v>
      </c>
      <c r="G41" s="57" t="str">
        <f>RasiContent(10,Basic!$B$7,H38,I38,Basic!$F$12)</f>
        <v/>
      </c>
      <c r="H41" s="142"/>
      <c r="I41" s="142"/>
      <c r="J41" s="57" t="str">
        <f>RasiContent(5,Basic!$B$7,H38,I38,Basic!$F$12)</f>
        <v/>
      </c>
      <c r="L41" s="57" t="str">
        <f>RasiContent(10,Basic!$B$7,M38,N38,Basic!$F$12)</f>
        <v xml:space="preserve"> Moon Venus</v>
      </c>
      <c r="M41" s="142"/>
      <c r="N41" s="142"/>
      <c r="O41" s="57" t="str">
        <f>RasiContent(5,Basic!$B$7,M38,N38,Basic!$F$12)</f>
        <v xml:space="preserve"> Sun </v>
      </c>
    </row>
    <row r="42" spans="2:15" ht="50.1" customHeight="1" x14ac:dyDescent="0.2">
      <c r="B42" s="57" t="str">
        <f>RasiContent(9,Basic!$B$7,C38,D38,Basic!$F$12)</f>
        <v/>
      </c>
      <c r="C42" s="57" t="str">
        <f>RasiContent(8,Basic!$B$7,C38,D38,Basic!$F$12)</f>
        <v xml:space="preserve"> Venus </v>
      </c>
      <c r="D42" s="57" t="str">
        <f>RasiContent(7,Basic!$B$7,C38,D38,Basic!$F$12)</f>
        <v xml:space="preserve"> Asdt</v>
      </c>
      <c r="E42" s="57" t="str">
        <f>RasiContent(6,Basic!$B$7,C38,D38,Basic!$F$12)</f>
        <v xml:space="preserve"> Jupiter</v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 xml:space="preserve"> Merc Venus Mars </v>
      </c>
      <c r="J42" s="57" t="str">
        <f>RasiContent(6,Basic!$B$7,H38,I38,Basic!$F$12)</f>
        <v/>
      </c>
      <c r="L42" s="57" t="str">
        <f>RasiContent(9,Basic!$B$7,M38,N38,Basic!$F$12)</f>
        <v xml:space="preserve">  Rahu Ketu</v>
      </c>
      <c r="M42" s="57" t="str">
        <f>RasiContent(8,Basic!$B$7,M38,N38,Basic!$F$12)</f>
        <v/>
      </c>
      <c r="N42" s="57" t="str">
        <f>RasiContent(7,Basic!$B$7,M38,N38,Basic!$F$12)</f>
        <v xml:space="preserve"> </v>
      </c>
      <c r="O42" s="57" t="str">
        <f>RasiContent(6,Basic!$B$7,M38,N38,Basic!$F$12)</f>
        <v xml:space="preserve"> Jupiter</v>
      </c>
    </row>
    <row r="43" spans="2:15" ht="50.1" customHeight="1" x14ac:dyDescent="0.2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 x14ac:dyDescent="0.2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">
      <c r="B45" s="57" t="str">
        <f>RasiContent(12,Basic!$B$7,C44,D44,Basic!$F$12)</f>
        <v xml:space="preserve"> Sun Moon Jupiter Saturn Asdt</v>
      </c>
      <c r="C45" s="57" t="str">
        <f>RasiContent(1,Basic!$B$7,C44,D44,Basic!$F$12)</f>
        <v/>
      </c>
      <c r="D45" s="57" t="str">
        <f>RasiContent(2,Basic!$B$7,C44,D44,Basic!$F$12)</f>
        <v xml:space="preserve"> Venus</v>
      </c>
      <c r="E45" s="57" t="str">
        <f>RasiContent(3,Basic!$B$7,C44,D44,Basic!$F$12)</f>
        <v/>
      </c>
      <c r="G45" s="57" t="str">
        <f>RasiContent(12,Basic!$B$7,H44,I44,Basic!$F$12)</f>
        <v xml:space="preserve"> </v>
      </c>
      <c r="H45" s="57" t="str">
        <f>RasiContent(1,Basic!$B$7,H44,I44,Basic!$F$12)</f>
        <v xml:space="preserve"> Sun Jupiter </v>
      </c>
      <c r="I45" s="57" t="str">
        <f>RasiContent(2,Basic!$B$7,H44,I44,Basic!$F$12)</f>
        <v/>
      </c>
      <c r="J45" s="57" t="str">
        <f>RasiContent(3,Basic!$B$7,H44,I44,Basic!$F$12)</f>
        <v xml:space="preserve"> Venus</v>
      </c>
      <c r="L45" s="57" t="str">
        <f>RasiContent(12,Basic!$B$7,M44,N44,Basic!$F$12)</f>
        <v/>
      </c>
      <c r="M45" s="57" t="str">
        <f>RasiContent(1,Basic!$B$7,M44,N44,Basic!$F$12)</f>
        <v/>
      </c>
      <c r="N45" s="57" t="str">
        <f>RasiContent(2,Basic!$B$7,M44,N44,Basic!$F$12)</f>
        <v/>
      </c>
      <c r="O45" s="57" t="str">
        <f>RasiContent(3,Basic!$B$7,M44,N44,Basic!$F$12)</f>
        <v xml:space="preserve"> Venus Asdt</v>
      </c>
    </row>
    <row r="46" spans="2:15" ht="50.1" customHeight="1" x14ac:dyDescent="0.2">
      <c r="B46" s="57" t="str">
        <f>RasiContent(11,Basic!$B$7,C44,D44,Basic!$F$12)</f>
        <v xml:space="preserve"> Rahu</v>
      </c>
      <c r="C46" s="142" t="str">
        <f>divname(C44,D44)</f>
        <v>Nakshatramsa</v>
      </c>
      <c r="D46" s="142"/>
      <c r="E46" s="57" t="str">
        <f>RasiContent(4,Basic!$B$7,C44,D44,Basic!$F$12)</f>
        <v xml:space="preserve"> </v>
      </c>
      <c r="G46" s="57" t="str">
        <f>RasiContent(11,Basic!$B$7,H44,I44,Basic!$F$12)</f>
        <v/>
      </c>
      <c r="H46" s="142" t="str">
        <f>divname(H44,I44)</f>
        <v>Standard Trimsamsa</v>
      </c>
      <c r="I46" s="142"/>
      <c r="J46" s="57" t="str">
        <f>RasiContent(4,Basic!$B$7,H44,I44,Basic!$F$12)</f>
        <v/>
      </c>
      <c r="L46" s="57" t="str">
        <f>RasiContent(11,Basic!$B$7,M44,N44,Basic!$F$12)</f>
        <v/>
      </c>
      <c r="M46" s="142" t="str">
        <f>divname(M44,N44)</f>
        <v>Parivritti Trimsa Trimsamsa</v>
      </c>
      <c r="N46" s="142"/>
      <c r="O46" s="57" t="str">
        <f>RasiContent(4,Basic!$B$7,M44,N44,Basic!$F$12)</f>
        <v/>
      </c>
    </row>
    <row r="47" spans="2:15" ht="50.1" customHeight="1" x14ac:dyDescent="0.2">
      <c r="B47" s="57" t="str">
        <f>RasiContent(10,Basic!$B$7,C44,D44,Basic!$F$12)</f>
        <v xml:space="preserve"> Merc</v>
      </c>
      <c r="C47" s="142"/>
      <c r="D47" s="142"/>
      <c r="E47" s="57" t="str">
        <f>RasiContent(5,Basic!$B$7,C44,D44,Basic!$F$12)</f>
        <v xml:space="preserve"> Mars Ketu</v>
      </c>
      <c r="G47" s="57" t="str">
        <f>RasiContent(10,Basic!$B$7,H44,I44,Basic!$F$12)</f>
        <v xml:space="preserve"> Moon Rahu Ketu</v>
      </c>
      <c r="H47" s="142"/>
      <c r="I47" s="142"/>
      <c r="J47" s="57" t="str">
        <f>RasiContent(5,Basic!$B$7,H44,I44,Basic!$F$12)</f>
        <v/>
      </c>
      <c r="L47" s="57" t="str">
        <f>RasiContent(10,Basic!$B$7,M44,N44,Basic!$F$12)</f>
        <v/>
      </c>
      <c r="M47" s="142"/>
      <c r="N47" s="142"/>
      <c r="O47" s="57" t="str">
        <f>RasiContent(5,Basic!$B$7,M44,N44,Basic!$F$12)</f>
        <v/>
      </c>
    </row>
    <row r="48" spans="2:15" ht="50.1" customHeight="1" x14ac:dyDescent="0.2">
      <c r="B48" s="57" t="str">
        <f>RasiContent(9,Basic!$B$7,C44,D44,Basic!$F$12)</f>
        <v/>
      </c>
      <c r="C48" s="57" t="str">
        <f>RasiContent(8,Basic!$B$7,C44,D44,Basic!$F$12)</f>
        <v/>
      </c>
      <c r="D48" s="57" t="str">
        <f>RasiContent(7,Basic!$B$7,C44,D44,Basic!$F$12)</f>
        <v xml:space="preserve"> </v>
      </c>
      <c r="E48" s="57" t="str">
        <f>RasiContent(6,Basic!$B$7,C44,D44,Basic!$F$12)</f>
        <v xml:space="preserve"> </v>
      </c>
      <c r="G48" s="57" t="str">
        <f>RasiContent(9,Basic!$B$7,H44,I44,Basic!$F$12)</f>
        <v/>
      </c>
      <c r="H48" s="57" t="str">
        <f>RasiContent(8,Basic!$B$7,H44,I44,Basic!$F$12)</f>
        <v xml:space="preserve"> Merc Mars</v>
      </c>
      <c r="I48" s="57" t="str">
        <f>RasiContent(7,Basic!$B$7,H44,I44,Basic!$F$12)</f>
        <v xml:space="preserve"> Asdt</v>
      </c>
      <c r="J48" s="57" t="str">
        <f>RasiContent(6,Basic!$B$7,H44,I44,Basic!$F$12)</f>
        <v xml:space="preserve"> Saturn </v>
      </c>
      <c r="L48" s="57" t="str">
        <f>RasiContent(9,Basic!$B$7,M44,N44,Basic!$F$12)</f>
        <v xml:space="preserve"> Moon Merc Mars Rahu Ketu</v>
      </c>
      <c r="M48" s="57" t="str">
        <f>RasiContent(8,Basic!$B$7,M44,N44,Basic!$F$12)</f>
        <v xml:space="preserve"> </v>
      </c>
      <c r="N48" s="57" t="str">
        <f>RasiContent(7,Basic!$B$7,M44,N44,Basic!$F$12)</f>
        <v xml:space="preserve"> Sun Jupiter Saturn  </v>
      </c>
      <c r="O48" s="57" t="str">
        <f>RasiContent(6,Basic!$B$7,M44,N44,Basic!$F$12)</f>
        <v/>
      </c>
    </row>
    <row r="49" spans="2:15" ht="50.1" customHeight="1" x14ac:dyDescent="0.2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 x14ac:dyDescent="0.2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">
      <c r="B51" s="57" t="str">
        <f>RasiContent(12,Basic!$B$7,C50,D50,Basic!$F$12)</f>
        <v xml:space="preserve"> Venus</v>
      </c>
      <c r="C51" s="57" t="str">
        <f>RasiContent(1,Basic!$B$7,C50,D50,Basic!$F$12)</f>
        <v xml:space="preserve"> Moon Ketu</v>
      </c>
      <c r="D51" s="57" t="str">
        <f>RasiContent(2,Basic!$B$7,C50,D50,Basic!$F$12)</f>
        <v xml:space="preserve"> Mars </v>
      </c>
      <c r="E51" s="57" t="str">
        <f>RasiContent(3,Basic!$B$7,C50,D50,Basic!$F$12)</f>
        <v/>
      </c>
      <c r="G51" s="57" t="str">
        <f>RasiContent(12,Basic!$B$7,H50,I50,Basic!$F$12)</f>
        <v xml:space="preserve">  Rahu Asdt Ketu</v>
      </c>
      <c r="H51" s="57" t="str">
        <f>RasiContent(1,Basic!$B$7,H50,I50,Basic!$F$12)</f>
        <v xml:space="preserve"> Moon</v>
      </c>
      <c r="I51" s="57" t="str">
        <f>RasiContent(2,Basic!$B$7,H50,I50,Basic!$F$12)</f>
        <v/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/>
      </c>
      <c r="N51" s="57" t="str">
        <f>RasiContent(2,Basic!$B$7,M50,N50,Basic!$F$12)</f>
        <v xml:space="preserve"> </v>
      </c>
      <c r="O51" s="57" t="str">
        <f>RasiContent(3,Basic!$B$7,M50,N50,Basic!$F$12)</f>
        <v xml:space="preserve"> Moon </v>
      </c>
    </row>
    <row r="52" spans="2:15" ht="50.1" customHeight="1" x14ac:dyDescent="0.2">
      <c r="B52" s="57" t="str">
        <f>RasiContent(11,Basic!$B$7,C50,D50,Basic!$F$12)</f>
        <v xml:space="preserve"> Jupiter Saturn</v>
      </c>
      <c r="C52" s="142" t="str">
        <f>divname(C50,D50)</f>
        <v>Trimsamsa (Like Shastyamsa)</v>
      </c>
      <c r="D52" s="142"/>
      <c r="E52" s="57" t="str">
        <f>RasiContent(4,Basic!$B$7,C50,D50,Basic!$F$12)</f>
        <v/>
      </c>
      <c r="G52" s="57" t="str">
        <f>RasiContent(11,Basic!$B$7,H50,I50,Basic!$F$12)</f>
        <v xml:space="preserve"> Jupiter</v>
      </c>
      <c r="H52" s="142" t="str">
        <f>divname(H50,I50)</f>
        <v>Khavedamsa</v>
      </c>
      <c r="I52" s="142"/>
      <c r="J52" s="57" t="str">
        <f>RasiContent(4,Basic!$B$7,H50,I50,Basic!$F$12)</f>
        <v xml:space="preserve">  </v>
      </c>
      <c r="L52" s="57" t="str">
        <f>RasiContent(11,Basic!$B$7,M50,N50,Basic!$F$12)</f>
        <v/>
      </c>
      <c r="M52" s="142" t="str">
        <f>divname(M50,N50)</f>
        <v>Akshavedamsa</v>
      </c>
      <c r="N52" s="142"/>
      <c r="O52" s="57" t="str">
        <f>RasiContent(4,Basic!$B$7,M50,N50,Basic!$F$12)</f>
        <v xml:space="preserve"> Sun</v>
      </c>
    </row>
    <row r="53" spans="2:15" ht="50.1" customHeight="1" x14ac:dyDescent="0.2">
      <c r="B53" s="57" t="str">
        <f>RasiContent(10,Basic!$B$7,C50,D50,Basic!$F$12)</f>
        <v xml:space="preserve"> </v>
      </c>
      <c r="C53" s="142"/>
      <c r="D53" s="142"/>
      <c r="E53" s="57" t="str">
        <f>RasiContent(5,Basic!$B$7,C50,D50,Basic!$F$12)</f>
        <v/>
      </c>
      <c r="G53" s="57" t="str">
        <f>RasiContent(10,Basic!$B$7,H50,I50,Basic!$F$12)</f>
        <v xml:space="preserve"> Sun</v>
      </c>
      <c r="H53" s="142"/>
      <c r="I53" s="142"/>
      <c r="J53" s="57" t="str">
        <f>RasiContent(5,Basic!$B$7,H50,I50,Basic!$F$12)</f>
        <v xml:space="preserve"> Venus</v>
      </c>
      <c r="L53" s="57" t="str">
        <f>RasiContent(10,Basic!$B$7,M50,N50,Basic!$F$12)</f>
        <v/>
      </c>
      <c r="M53" s="142"/>
      <c r="N53" s="142"/>
      <c r="O53" s="57" t="str">
        <f>RasiContent(5,Basic!$B$7,M50,N50,Basic!$F$12)</f>
        <v xml:space="preserve"> Merc Venus</v>
      </c>
    </row>
    <row r="54" spans="2:15" ht="50.1" customHeight="1" x14ac:dyDescent="0.2">
      <c r="B54" s="57" t="str">
        <f>RasiContent(9,Basic!$B$7,C50,D50,Basic!$F$12)</f>
        <v xml:space="preserve"> </v>
      </c>
      <c r="C54" s="57" t="str">
        <f>RasiContent(8,Basic!$B$7,C50,D50,Basic!$F$12)</f>
        <v/>
      </c>
      <c r="D54" s="57" t="str">
        <f>RasiContent(7,Basic!$B$7,C50,D50,Basic!$F$12)</f>
        <v xml:space="preserve"> Merc Rahu Asdt</v>
      </c>
      <c r="E54" s="57" t="str">
        <f>RasiContent(6,Basic!$B$7,C50,D50,Basic!$F$12)</f>
        <v xml:space="preserve"> Sun</v>
      </c>
      <c r="G54" s="57" t="str">
        <f>RasiContent(9,Basic!$B$7,H50,I50,Basic!$F$12)</f>
        <v/>
      </c>
      <c r="H54" s="57" t="str">
        <f>RasiContent(8,Basic!$B$7,H50,I50,Basic!$F$12)</f>
        <v xml:space="preserve"> Mars Saturn</v>
      </c>
      <c r="I54" s="57" t="str">
        <f>RasiContent(7,Basic!$B$7,H50,I50,Basic!$F$12)</f>
        <v xml:space="preserve"> Merc</v>
      </c>
      <c r="J54" s="57" t="str">
        <f>RasiContent(6,Basic!$B$7,H50,I50,Basic!$F$12)</f>
        <v/>
      </c>
      <c r="L54" s="57" t="str">
        <f>RasiContent(9,Basic!$B$7,M50,N50,Basic!$F$12)</f>
        <v xml:space="preserve"> Jupiter  Rahu Ketu</v>
      </c>
      <c r="M54" s="57" t="str">
        <f>RasiContent(8,Basic!$B$7,M50,N50,Basic!$F$12)</f>
        <v xml:space="preserve"> Asdt</v>
      </c>
      <c r="N54" s="57" t="str">
        <f>RasiContent(7,Basic!$B$7,M50,N50,Basic!$F$12)</f>
        <v xml:space="preserve"> Mars Saturn</v>
      </c>
      <c r="O54" s="57" t="str">
        <f>RasiContent(6,Basic!$B$7,M50,N50,Basic!$F$12)</f>
        <v/>
      </c>
    </row>
    <row r="55" spans="2:15" ht="50.1" customHeight="1" x14ac:dyDescent="0.2"/>
    <row r="56" spans="2:15" s="55" customFormat="1" ht="9.9499999999999993" customHeight="1" x14ac:dyDescent="0.2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">
      <c r="B57" s="57" t="str">
        <f>RasiContent(12,Basic!$B$7,C56,D56,Basic!$F$12)</f>
        <v xml:space="preserve"> Moon</v>
      </c>
      <c r="C57" s="57" t="str">
        <f>RasiContent(1,Basic!$B$7,C56,D56,Basic!$F$12)</f>
        <v xml:space="preserve"> </v>
      </c>
      <c r="D57" s="57" t="str">
        <f>RasiContent(2,Basic!$B$7,C56,D56,Basic!$F$12)</f>
        <v xml:space="preserve"> Jupiter </v>
      </c>
      <c r="E57" s="57" t="str">
        <f>RasiContent(3,Basic!$B$7,C56,D56,Basic!$F$12)</f>
        <v/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 x14ac:dyDescent="0.2">
      <c r="B58" s="57" t="str">
        <f>RasiContent(11,Basic!$B$7,C56,D56,Basic!$F$12)</f>
        <v xml:space="preserve"> Ketu</v>
      </c>
      <c r="C58" s="142" t="str">
        <f>divname(C56,D56)</f>
        <v>Shastyamsa</v>
      </c>
      <c r="D58" s="142"/>
      <c r="E58" s="57" t="str">
        <f>RasiContent(4,Basic!$B$7,C56,D56,Basic!$F$12)</f>
        <v/>
      </c>
      <c r="G58" s="57" t="str">
        <f>RasiContent(11,Basic!$B$7,H56,I56,Basic!$F$12)</f>
        <v/>
      </c>
      <c r="H58" s="142" t="str">
        <f>divname(H56,I56)</f>
        <v/>
      </c>
      <c r="I58" s="142"/>
      <c r="J58" s="57" t="str">
        <f>RasiContent(4,Basic!$B$7,H56,I56,Basic!$F$12)</f>
        <v/>
      </c>
      <c r="L58" s="57" t="str">
        <f>RasiContent(11,Basic!$B$7,M56,N56,Basic!$F$12)</f>
        <v/>
      </c>
      <c r="M58" s="142" t="str">
        <f>divname(M56,N56)</f>
        <v/>
      </c>
      <c r="N58" s="142"/>
      <c r="O58" s="57" t="str">
        <f>RasiContent(4,Basic!$B$7,M56,N56,Basic!$F$12)</f>
        <v/>
      </c>
    </row>
    <row r="59" spans="2:15" ht="50.1" customHeight="1" x14ac:dyDescent="0.2">
      <c r="B59" s="57" t="str">
        <f>RasiContent(10,Basic!$B$7,C56,D56,Basic!$F$12)</f>
        <v xml:space="preserve"> Merc Venus</v>
      </c>
      <c r="C59" s="142"/>
      <c r="D59" s="142"/>
      <c r="E59" s="57" t="str">
        <f>RasiContent(5,Basic!$B$7,C56,D56,Basic!$F$12)</f>
        <v xml:space="preserve"> Rahu</v>
      </c>
      <c r="G59" s="57" t="str">
        <f>RasiContent(10,Basic!$B$7,H56,I56,Basic!$F$12)</f>
        <v/>
      </c>
      <c r="H59" s="142"/>
      <c r="I59" s="142"/>
      <c r="J59" s="57" t="str">
        <f>RasiContent(5,Basic!$B$7,H56,I56,Basic!$F$12)</f>
        <v/>
      </c>
      <c r="L59" s="57" t="str">
        <f>RasiContent(10,Basic!$B$7,M56,N56,Basic!$F$12)</f>
        <v/>
      </c>
      <c r="M59" s="142"/>
      <c r="N59" s="142"/>
      <c r="O59" s="57" t="str">
        <f>RasiContent(5,Basic!$B$7,M56,N56,Basic!$F$12)</f>
        <v/>
      </c>
    </row>
    <row r="60" spans="2:15" ht="50.1" customHeight="1" x14ac:dyDescent="0.2">
      <c r="B60" s="57" t="str">
        <f>RasiContent(9,Basic!$B$7,C56,D56,Basic!$F$12)</f>
        <v xml:space="preserve"> Saturn  Asdt</v>
      </c>
      <c r="C60" s="57" t="str">
        <f>RasiContent(8,Basic!$B$7,C56,D56,Basic!$F$12)</f>
        <v xml:space="preserve"> Sun</v>
      </c>
      <c r="D60" s="57" t="str">
        <f>RasiContent(7,Basic!$B$7,C56,D56,Basic!$F$12)</f>
        <v/>
      </c>
      <c r="E60" s="57" t="str">
        <f>RasiContent(6,Basic!$B$7,C56,D56,Basic!$F$12)</f>
        <v xml:space="preserve"> Mars</v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60"/>
  <sheetViews>
    <sheetView tabSelected="1" workbookViewId="0">
      <selection activeCell="K3" sqref="K3"/>
    </sheetView>
  </sheetViews>
  <sheetFormatPr defaultRowHeight="12.75" x14ac:dyDescent="0.2"/>
  <cols>
    <col min="1" max="1" width="16.42578125" style="130" bestFit="1" customWidth="1"/>
    <col min="2" max="2" width="16.42578125" style="128" bestFit="1" customWidth="1"/>
    <col min="3" max="3" width="8.42578125" style="128" bestFit="1" customWidth="1"/>
    <col min="4" max="4" width="8.5703125" style="128" bestFit="1" customWidth="1"/>
    <col min="5" max="5" width="15.42578125" style="128" bestFit="1" customWidth="1"/>
    <col min="6" max="6" width="8.5703125" style="128" bestFit="1" customWidth="1"/>
    <col min="7" max="7" width="9.140625" style="128"/>
    <col min="8" max="8" width="6.42578125" style="128" bestFit="1" customWidth="1"/>
    <col min="9" max="9" width="16.5703125" style="128" bestFit="1" customWidth="1"/>
    <col min="10" max="10" width="15.140625" style="128" customWidth="1"/>
    <col min="11" max="11" width="9.140625" style="128"/>
    <col min="12" max="13" width="10" style="128" customWidth="1"/>
    <col min="14" max="14" width="7.42578125" style="129" customWidth="1"/>
    <col min="15" max="15" width="9.140625" style="128"/>
    <col min="16" max="16" width="15.42578125" style="128" bestFit="1" customWidth="1"/>
    <col min="17" max="16384" width="9.140625" style="128"/>
  </cols>
  <sheetData>
    <row r="1" spans="1:18" x14ac:dyDescent="0.2">
      <c r="A1" s="128" t="s">
        <v>53</v>
      </c>
      <c r="C1" s="128">
        <v>13.5</v>
      </c>
      <c r="D1" s="128" t="s">
        <v>54</v>
      </c>
      <c r="F1" s="128">
        <v>80.23</v>
      </c>
      <c r="G1" s="128" t="s">
        <v>55</v>
      </c>
      <c r="H1" s="128">
        <v>5.5</v>
      </c>
      <c r="N1" s="128"/>
      <c r="P1" s="129"/>
    </row>
    <row r="2" spans="1:18" x14ac:dyDescent="0.2">
      <c r="A2" s="130" t="s">
        <v>56</v>
      </c>
      <c r="B2" s="131" t="s">
        <v>57</v>
      </c>
      <c r="C2" s="131" t="s">
        <v>58</v>
      </c>
      <c r="D2" s="131" t="s">
        <v>59</v>
      </c>
      <c r="E2" s="131" t="s">
        <v>62</v>
      </c>
      <c r="F2" s="131" t="s">
        <v>60</v>
      </c>
      <c r="G2" s="131" t="s">
        <v>61</v>
      </c>
      <c r="H2" s="131" t="s">
        <v>67</v>
      </c>
      <c r="I2" s="131" t="s">
        <v>15</v>
      </c>
      <c r="J2" s="131" t="s">
        <v>69</v>
      </c>
      <c r="K2" s="131" t="s">
        <v>63</v>
      </c>
      <c r="L2" s="131" t="s">
        <v>65</v>
      </c>
      <c r="M2" s="131" t="s">
        <v>66</v>
      </c>
      <c r="N2" s="129" t="s">
        <v>64</v>
      </c>
      <c r="O2" s="131" t="s">
        <v>68</v>
      </c>
      <c r="P2" s="131" t="s">
        <v>70</v>
      </c>
    </row>
    <row r="3" spans="1:18" x14ac:dyDescent="0.2">
      <c r="A3" s="130">
        <v>43040</v>
      </c>
      <c r="B3" s="130">
        <f t="shared" ref="B3:B34" si="0">A3+TimeZone/24</f>
        <v>43040.229166666664</v>
      </c>
      <c r="C3" s="132">
        <f>sunrise(Lat,Long,B3)+TimeZone/24+0.00103009259259259</f>
        <v>43040.253296262737</v>
      </c>
      <c r="D3" s="132">
        <f>sunset(Lat,Long,B3)+TimeZone/24-0.000277777777777778</f>
        <v>43039.737423877275</v>
      </c>
      <c r="E3" s="133">
        <f>P[[#This Row],[SunRise]]-TimeZone/24</f>
        <v>43040.024129596073</v>
      </c>
      <c r="F3" s="134">
        <f>Planet(E3,0)</f>
        <v>194.67726502073566</v>
      </c>
      <c r="G3" s="134">
        <f>Planet(E3,1)</f>
        <v>332.43472777643245</v>
      </c>
      <c r="H3" s="135">
        <f>E3</f>
        <v>43040.024129596073</v>
      </c>
      <c r="I3" s="129" t="str">
        <f>naks(P[[#This Row],[Moon]])</f>
        <v>Purva Bhadrapada</v>
      </c>
      <c r="J3" s="132">
        <f>(C4-P[[#This Row],[SunRise]])/(G4-P[[#This Row],[Moon]])*(13.3333333333333-MOD(P[[#This Row],[Moon]],13.333333333333))+P[[#This Row],[SunRise]]</f>
        <v>43040.318702993296</v>
      </c>
      <c r="K3" s="129">
        <f>MOD(360+P[[#This Row],[Moon]]-P[[#This Row],[Sun]],360)/12</f>
        <v>11.479788562974738</v>
      </c>
      <c r="L3" s="129">
        <f>IF(AND(K3&lt;28.5,K3&gt;0.49999),MOD(K3*2,7),"S")</f>
        <v>1.9595771259494761</v>
      </c>
      <c r="M3" s="129"/>
      <c r="N3" s="129">
        <f>MOD(F3+G3,360)/13.333333333</f>
        <v>12.533399460100943</v>
      </c>
      <c r="O3" s="137">
        <v>1.3888888888888888E-2</v>
      </c>
      <c r="P3" s="133"/>
    </row>
    <row r="4" spans="1:18" x14ac:dyDescent="0.2">
      <c r="A4" s="130">
        <f>A3+1</f>
        <v>43041</v>
      </c>
      <c r="B4" s="130">
        <f t="shared" si="0"/>
        <v>43041.229166666664</v>
      </c>
      <c r="C4" s="132">
        <f>sunrise(Lat,Long,B4)+TimeZone/24+0.00103009259259259</f>
        <v>43041.253503368855</v>
      </c>
      <c r="D4" s="132">
        <f>sunset(Lat,Long,B4)+TimeZone/24-0.000277777777777778</f>
        <v>43040.737179100557</v>
      </c>
      <c r="E4" s="133">
        <f>P[[#This Row],[SunRise]]-TimeZone/24</f>
        <v>43041.02433670219</v>
      </c>
      <c r="F4" s="134">
        <f t="shared" ref="F4:F60" si="1">Planet(E4,0)</f>
        <v>195.67771874622005</v>
      </c>
      <c r="G4" s="134">
        <f t="shared" ref="G4:G28" si="2">Planet(E4,1)</f>
        <v>346.17630537810965</v>
      </c>
      <c r="H4" s="135">
        <f t="shared" ref="H4:H60" si="3">E4</f>
        <v>43041.02433670219</v>
      </c>
      <c r="I4" s="129" t="str">
        <f>naks(P[[#This Row],[Moon]])</f>
        <v>Uttara Bhadrapada</v>
      </c>
      <c r="J4" s="136">
        <f>(C5-P[[#This Row],[SunRise]])/(G5-P[[#This Row],[Moon]])*(13.3333333333333-MOD(P[[#This Row],[Moon]],13.333333333333))+P[[#This Row],[SunRise]]</f>
        <v>43041.252085053929</v>
      </c>
      <c r="K4" s="129">
        <f>MOD(360+P[[#This Row],[Moon]]-P[[#This Row],[Sun]],360)/12</f>
        <v>12.541548885990798</v>
      </c>
      <c r="L4" s="129">
        <f t="shared" ref="L4:L60" si="4">IF(AND(K4&lt;28.5,K4&gt;0.49999),MOD(K4*2,7),"S")</f>
        <v>4.0830977719815955</v>
      </c>
      <c r="M4" s="129"/>
      <c r="N4" s="129">
        <f t="shared" ref="N4:N60" si="5">MOD(F4+G4,360)/13.333333333</f>
        <v>13.639051809665705</v>
      </c>
      <c r="O4" s="129"/>
      <c r="P4" s="133"/>
    </row>
    <row r="5" spans="1:18" x14ac:dyDescent="0.2">
      <c r="A5" s="130">
        <f t="shared" ref="A5:A60" si="6">A4+1</f>
        <v>43042</v>
      </c>
      <c r="B5" s="130">
        <f t="shared" si="0"/>
        <v>43042.229166666664</v>
      </c>
      <c r="C5" s="132">
        <f>sunrise(Lat,Long,B5)+TimeZone/24+0.00103009259259259</f>
        <v>43042.253717309948</v>
      </c>
      <c r="D5" s="132">
        <f>sunset(Lat,Long,B5)+TimeZone/24-0.000277777777777778</f>
        <v>43041.736945609606</v>
      </c>
      <c r="E5" s="133">
        <f>P[[#This Row],[SunRise]]-TimeZone/24</f>
        <v>43042.024550643284</v>
      </c>
      <c r="F5" s="134">
        <f t="shared" si="1"/>
        <v>196.67865375851568</v>
      </c>
      <c r="G5" s="134">
        <f t="shared" si="2"/>
        <v>0.36721265348842785</v>
      </c>
      <c r="H5" s="135">
        <f t="shared" si="3"/>
        <v>43042.024550643284</v>
      </c>
      <c r="I5" s="129" t="str">
        <f>naks(P[[#This Row],[Moon]])</f>
        <v>Aswini</v>
      </c>
      <c r="J5" s="136">
        <f>(C6-P[[#This Row],[SunRise]])/(G6-P[[#This Row],[Moon]])*(13.3333333333333-MOD(P[[#This Row],[Moon]],13.333333333333))+P[[#This Row],[SunRise]]</f>
        <v>43043.143668423101</v>
      </c>
      <c r="K5" s="129">
        <f>MOD(360+P[[#This Row],[Moon]]-P[[#This Row],[Sun]],360)/12</f>
        <v>13.640713241247729</v>
      </c>
      <c r="L5" s="129">
        <f t="shared" si="4"/>
        <v>6.2814264824954584</v>
      </c>
      <c r="M5" s="129"/>
      <c r="N5" s="129">
        <f t="shared" si="5"/>
        <v>14.778439981269768</v>
      </c>
      <c r="O5" s="129"/>
      <c r="P5" s="133"/>
    </row>
    <row r="6" spans="1:18" x14ac:dyDescent="0.2">
      <c r="A6" s="130">
        <f t="shared" si="6"/>
        <v>43043</v>
      </c>
      <c r="B6" s="130">
        <f t="shared" si="0"/>
        <v>43043.229166666664</v>
      </c>
      <c r="C6" s="132">
        <f>sunrise(Lat,Long,B6)+TimeZone/24+0.00103009259259259</f>
        <v>43043.25393856239</v>
      </c>
      <c r="D6" s="132">
        <f>sunset(Lat,Long,B6)+TimeZone/24-0.000277777777777778</f>
        <v>43042.736723721071</v>
      </c>
      <c r="E6" s="133">
        <f>P[[#This Row],[SunRise]]-TimeZone/24</f>
        <v>43043.024771895725</v>
      </c>
      <c r="F6" s="134">
        <f t="shared" si="1"/>
        <v>197.68008400115369</v>
      </c>
      <c r="G6" s="134">
        <f t="shared" si="2"/>
        <v>14.939911393920529</v>
      </c>
      <c r="H6" s="135">
        <f t="shared" si="3"/>
        <v>43043.024771895725</v>
      </c>
      <c r="I6" s="129" t="str">
        <f>naks(P[[#This Row],[Moon]])</f>
        <v>Bharani</v>
      </c>
      <c r="J6" s="136">
        <f>(C7-P[[#This Row],[SunRise]])/(G7-P[[#This Row],[Moon]])*(13.3333333333333-MOD(P[[#This Row],[Moon]],13.333333333333))+P[[#This Row],[SunRise]]</f>
        <v>43044.044410267408</v>
      </c>
      <c r="K6" s="129">
        <f>MOD(360+P[[#This Row],[Moon]]-P[[#This Row],[Sun]],360)/12</f>
        <v>14.771652282730569</v>
      </c>
      <c r="L6" s="129">
        <f t="shared" si="4"/>
        <v>1.5433045654611384</v>
      </c>
      <c r="M6" s="129"/>
      <c r="N6" s="129">
        <f t="shared" si="5"/>
        <v>15.946499655029228</v>
      </c>
      <c r="O6" s="129"/>
      <c r="P6" s="133"/>
    </row>
    <row r="7" spans="1:18" x14ac:dyDescent="0.2">
      <c r="A7" s="130">
        <f t="shared" si="6"/>
        <v>43044</v>
      </c>
      <c r="B7" s="130">
        <f t="shared" si="0"/>
        <v>43044.229166666664</v>
      </c>
      <c r="C7" s="132">
        <f>sunrise(Lat,Long,B7)+TimeZone/24+0.00103009259259259</f>
        <v>43044.254166808132</v>
      </c>
      <c r="D7" s="132">
        <f>sunset(Lat,Long,B7)+TimeZone/24-0.000277777777777778</f>
        <v>43043.73651359514</v>
      </c>
      <c r="E7" s="133">
        <f>P[[#This Row],[SunRise]]-TimeZone/24</f>
        <v>43044.025000141468</v>
      </c>
      <c r="F7" s="134">
        <f t="shared" si="1"/>
        <v>198.68202539575753</v>
      </c>
      <c r="G7" s="134">
        <f t="shared" si="2"/>
        <v>29.778433481786802</v>
      </c>
      <c r="H7" s="135">
        <f t="shared" si="3"/>
        <v>43044.025000141468</v>
      </c>
      <c r="I7" s="129" t="str">
        <f>naks(P[[#This Row],[Moon]])</f>
        <v>Krittika</v>
      </c>
      <c r="J7" s="136">
        <f>(C8-P[[#This Row],[SunRise]])/(G8-P[[#This Row],[Moon]])*(13.3333333333333-MOD(P[[#This Row],[Moon]],13.333333333333))+P[[#This Row],[SunRise]]</f>
        <v>43044.937783103065</v>
      </c>
      <c r="K7" s="129">
        <f>MOD(360+P[[#This Row],[Moon]]-P[[#This Row],[Sun]],360)/12</f>
        <v>15.924700673835773</v>
      </c>
      <c r="L7" s="129">
        <f t="shared" si="4"/>
        <v>3.8494013476715452</v>
      </c>
      <c r="M7" s="129"/>
      <c r="N7" s="129">
        <f t="shared" si="5"/>
        <v>17.13453441624419</v>
      </c>
      <c r="O7" s="129"/>
      <c r="P7" s="133"/>
      <c r="R7" s="128">
        <f>13.3333/24/60*20</f>
        <v>0.18518472222222224</v>
      </c>
    </row>
    <row r="8" spans="1:18" x14ac:dyDescent="0.2">
      <c r="A8" s="130">
        <f t="shared" si="6"/>
        <v>43045</v>
      </c>
      <c r="B8" s="130">
        <f t="shared" si="0"/>
        <v>43045.229166666664</v>
      </c>
      <c r="C8" s="132">
        <f>sunrise(Lat,Long,B8)+TimeZone/24+0.00103009259259259</f>
        <v>43045.254402206898</v>
      </c>
      <c r="D8" s="132">
        <f>sunset(Lat,Long,B8)+TimeZone/24-0.000277777777777778</f>
        <v>43044.736315548464</v>
      </c>
      <c r="E8" s="133">
        <f>P[[#This Row],[SunRise]]-TimeZone/24</f>
        <v>43045.025235540234</v>
      </c>
      <c r="F8" s="134">
        <f t="shared" si="1"/>
        <v>199.68449558286454</v>
      </c>
      <c r="G8" s="134">
        <f t="shared" si="2"/>
        <v>44.734151679378286</v>
      </c>
      <c r="H8" s="135">
        <f t="shared" si="3"/>
        <v>43045.025235540234</v>
      </c>
      <c r="I8" s="129" t="str">
        <f>naks(P[[#This Row],[Moon]])</f>
        <v>Rohini</v>
      </c>
      <c r="J8" s="136">
        <f>(C9-P[[#This Row],[SunRise]])/(G9-P[[#This Row],[Moon]])*(13.3333333333333-MOD(P[[#This Row],[Moon]],13.333333333333))+P[[#This Row],[SunRise]]</f>
        <v>43045.831003931853</v>
      </c>
      <c r="K8" s="129">
        <f>MOD(360+P[[#This Row],[Moon]]-P[[#This Row],[Sun]],360)/12</f>
        <v>17.087471341376144</v>
      </c>
      <c r="L8" s="129">
        <f t="shared" si="4"/>
        <v>6.1749426827522882</v>
      </c>
      <c r="M8" s="129"/>
      <c r="N8" s="129">
        <f t="shared" si="5"/>
        <v>18.331398545126497</v>
      </c>
      <c r="O8" s="129"/>
      <c r="P8" s="133"/>
    </row>
    <row r="9" spans="1:18" x14ac:dyDescent="0.2">
      <c r="A9" s="130">
        <f t="shared" si="6"/>
        <v>43046</v>
      </c>
      <c r="B9" s="130">
        <f t="shared" si="0"/>
        <v>43046.229166666664</v>
      </c>
      <c r="C9" s="132">
        <f>sunrise(Lat,Long,B9)+TimeZone/24+0.00103009259259259</f>
        <v>43046.254644758221</v>
      </c>
      <c r="D9" s="132">
        <f>sunset(Lat,Long,B9)+TimeZone/24-0.000277777777777778</f>
        <v>43045.736129581972</v>
      </c>
      <c r="E9" s="133">
        <f>P[[#This Row],[SunRise]]-TimeZone/24</f>
        <v>43046.025478091557</v>
      </c>
      <c r="F9" s="134">
        <f t="shared" si="1"/>
        <v>200.68751136213388</v>
      </c>
      <c r="G9" s="134">
        <f t="shared" si="2"/>
        <v>59.651324182716046</v>
      </c>
      <c r="H9" s="135">
        <f t="shared" si="3"/>
        <v>43046.025478091557</v>
      </c>
      <c r="I9" s="129" t="str">
        <f>naks(P[[#This Row],[Moon]])</f>
        <v>Mrigashira</v>
      </c>
      <c r="J9" s="136">
        <f>(C10-P[[#This Row],[SunRise]])/(G10-P[[#This Row],[Moon]])*(13.3333333333333-MOD(P[[#This Row],[Moon]],13.333333333333))+P[[#This Row],[SunRise]]</f>
        <v>43046.730610501836</v>
      </c>
      <c r="K9" s="129">
        <f>MOD(360+P[[#This Row],[Moon]]-P[[#This Row],[Sun]],360)/12</f>
        <v>18.246984401715181</v>
      </c>
      <c r="L9" s="129">
        <f t="shared" si="4"/>
        <v>1.4939688034303629</v>
      </c>
      <c r="M9" s="129"/>
      <c r="N9" s="129">
        <f t="shared" si="5"/>
        <v>19.52541266635188</v>
      </c>
      <c r="O9" s="129"/>
      <c r="P9" s="133"/>
    </row>
    <row r="10" spans="1:18" x14ac:dyDescent="0.2">
      <c r="A10" s="130">
        <f t="shared" si="6"/>
        <v>43047</v>
      </c>
      <c r="B10" s="130">
        <f t="shared" si="0"/>
        <v>43047.229166666664</v>
      </c>
      <c r="C10" s="132">
        <f>sunrise(Lat,Long,B10)+TimeZone/24+0.00103009259259259</f>
        <v>43047.254894779682</v>
      </c>
      <c r="D10" s="132">
        <f>sunset(Lat,Long,B10)+TimeZone/24-0.000277777777777778</f>
        <v>43046.735956013246</v>
      </c>
      <c r="E10" s="133">
        <f>P[[#This Row],[SunRise]]-TimeZone/24</f>
        <v>43047.025728113018</v>
      </c>
      <c r="F10" s="134">
        <f t="shared" si="1"/>
        <v>201.69108721328826</v>
      </c>
      <c r="G10" s="134">
        <f t="shared" si="2"/>
        <v>74.394184492075496</v>
      </c>
      <c r="H10" s="135">
        <f t="shared" si="3"/>
        <v>43047.025728113018</v>
      </c>
      <c r="I10" s="129" t="str">
        <f>naks(P[[#This Row],[Moon]])</f>
        <v>Ardra</v>
      </c>
      <c r="J10" s="136">
        <f>(C11-P[[#This Row],[SunRise]])/(G11-P[[#This Row],[Moon]])*(13.3333333333333-MOD(P[[#This Row],[Moon]],13.333333333333))+P[[#This Row],[SunRise]]</f>
        <v>43047.642348274516</v>
      </c>
      <c r="K10" s="129">
        <f>MOD(360+P[[#This Row],[Moon]]-P[[#This Row],[Sun]],360)/12</f>
        <v>19.391924773232272</v>
      </c>
      <c r="L10" s="129">
        <f t="shared" si="4"/>
        <v>3.7838495464645447</v>
      </c>
      <c r="M10" s="129"/>
      <c r="N10" s="129">
        <f t="shared" si="5"/>
        <v>20.706395378419941</v>
      </c>
      <c r="O10" s="129"/>
      <c r="P10" s="133"/>
    </row>
    <row r="11" spans="1:18" x14ac:dyDescent="0.2">
      <c r="A11" s="130">
        <f t="shared" si="6"/>
        <v>43048</v>
      </c>
      <c r="B11" s="130">
        <f t="shared" si="0"/>
        <v>43048.229166666664</v>
      </c>
      <c r="C11" s="132">
        <f>sunrise(Lat,Long,B11)+TimeZone/24+0.00103009259259259</f>
        <v>43048.25515179491</v>
      </c>
      <c r="D11" s="132">
        <f>sunset(Lat,Long,B11)+TimeZone/24-0.000277777777777778</f>
        <v>43047.735795001543</v>
      </c>
      <c r="E11" s="133">
        <f>P[[#This Row],[SunRise]]-TimeZone/24</f>
        <v>43048.025985128246</v>
      </c>
      <c r="F11" s="134">
        <f t="shared" si="1"/>
        <v>202.69523255741325</v>
      </c>
      <c r="G11" s="134">
        <f t="shared" si="2"/>
        <v>88.866260141390242</v>
      </c>
      <c r="H11" s="135">
        <f t="shared" si="3"/>
        <v>43048.025985128246</v>
      </c>
      <c r="I11" s="129" t="str">
        <f>naks(P[[#This Row],[Moon]])</f>
        <v>Punarvasu</v>
      </c>
      <c r="J11" s="136">
        <f>(C12-P[[#This Row],[SunRise]])/(G12-P[[#This Row],[Moon]])*(13.3333333333333-MOD(P[[#This Row],[Moon]],13.333333333333))+P[[#This Row],[SunRise]]</f>
        <v>43048.570915574543</v>
      </c>
      <c r="K11" s="129">
        <f>MOD(360+P[[#This Row],[Moon]]-P[[#This Row],[Sun]],360)/12</f>
        <v>20.514252298664747</v>
      </c>
      <c r="L11" s="129">
        <f t="shared" si="4"/>
        <v>6.0285045973294942</v>
      </c>
      <c r="M11" s="129"/>
      <c r="N11" s="129">
        <f t="shared" si="5"/>
        <v>21.867111952956936</v>
      </c>
      <c r="O11" s="129"/>
      <c r="P11" s="133"/>
    </row>
    <row r="12" spans="1:18" x14ac:dyDescent="0.2">
      <c r="A12" s="130">
        <f t="shared" si="6"/>
        <v>43049</v>
      </c>
      <c r="B12" s="130">
        <f t="shared" si="0"/>
        <v>43049.229166666664</v>
      </c>
      <c r="C12" s="132">
        <f>sunrise(Lat,Long,B12)+TimeZone/24+0.00103009259259259</f>
        <v>43049.255416121487</v>
      </c>
      <c r="D12" s="132">
        <f>sunset(Lat,Long,B12)+TimeZone/24-0.000277777777777778</f>
        <v>43048.735646863977</v>
      </c>
      <c r="E12" s="133">
        <f>P[[#This Row],[SunRise]]-TimeZone/24</f>
        <v>43049.026249454822</v>
      </c>
      <c r="F12" s="134">
        <f t="shared" si="1"/>
        <v>203.6999523432778</v>
      </c>
      <c r="G12" s="134">
        <f t="shared" si="2"/>
        <v>103.01688236709727</v>
      </c>
      <c r="H12" s="135">
        <f t="shared" si="3"/>
        <v>43049.026249454822</v>
      </c>
      <c r="I12" s="129" t="str">
        <f>naks(P[[#This Row],[Moon]])</f>
        <v>Pushya</v>
      </c>
      <c r="J12" s="136">
        <f>(C13-P[[#This Row],[SunRise]])/(G13-P[[#This Row],[Moon]])*(13.3333333333333-MOD(P[[#This Row],[Moon]],13.333333333333))+P[[#This Row],[SunRise]]</f>
        <v>43049.519601104017</v>
      </c>
      <c r="K12" s="129">
        <f>MOD(360+P[[#This Row],[Moon]]-P[[#This Row],[Sun]],360)/12</f>
        <v>21.60974416865162</v>
      </c>
      <c r="L12" s="129">
        <f t="shared" si="4"/>
        <v>1.2194883373032397</v>
      </c>
      <c r="M12" s="129"/>
      <c r="N12" s="129">
        <f t="shared" si="5"/>
        <v>23.003762603853222</v>
      </c>
      <c r="O12" s="129"/>
      <c r="P12" s="133"/>
    </row>
    <row r="13" spans="1:18" x14ac:dyDescent="0.2">
      <c r="A13" s="130">
        <f t="shared" si="6"/>
        <v>43050</v>
      </c>
      <c r="B13" s="130">
        <f t="shared" si="0"/>
        <v>43050.229166666664</v>
      </c>
      <c r="C13" s="132">
        <f>sunrise(Lat,Long,B13)+TimeZone/24+0.00103009259259259</f>
        <v>43050.255687601086</v>
      </c>
      <c r="D13" s="132">
        <f>sunset(Lat,Long,B13)+TimeZone/24-0.000277777777777778</f>
        <v>43049.735511601015</v>
      </c>
      <c r="E13" s="133">
        <f>P[[#This Row],[SunRise]]-TimeZone/24</f>
        <v>43050.026520934422</v>
      </c>
      <c r="F13" s="134">
        <f t="shared" si="1"/>
        <v>204.70524548026265</v>
      </c>
      <c r="G13" s="134">
        <f t="shared" si="2"/>
        <v>116.83589322295938</v>
      </c>
      <c r="H13" s="135">
        <f t="shared" si="3"/>
        <v>43050.026520934422</v>
      </c>
      <c r="I13" s="129" t="str">
        <f>naks(P[[#This Row],[Moon]])</f>
        <v>Aslesha</v>
      </c>
      <c r="J13" s="136">
        <f>(C14-P[[#This Row],[SunRise]])/(G14-P[[#This Row],[Moon]])*(13.3333333333333-MOD(P[[#This Row],[Moon]],13.333333333333))+P[[#This Row],[SunRise]]</f>
        <v>43050.490030018605</v>
      </c>
      <c r="K13" s="129">
        <f>MOD(360+P[[#This Row],[Moon]]-P[[#This Row],[Sun]],360)/12</f>
        <v>22.677553978558063</v>
      </c>
      <c r="L13" s="129">
        <f t="shared" si="4"/>
        <v>3.3551079571161253</v>
      </c>
      <c r="M13" s="129"/>
      <c r="N13" s="129">
        <f t="shared" si="5"/>
        <v>24.115585403344539</v>
      </c>
      <c r="O13" s="129"/>
      <c r="P13" s="133"/>
    </row>
    <row r="14" spans="1:18" x14ac:dyDescent="0.2">
      <c r="A14" s="130">
        <f t="shared" si="6"/>
        <v>43051</v>
      </c>
      <c r="B14" s="130">
        <f t="shared" si="0"/>
        <v>43051.229166666664</v>
      </c>
      <c r="C14" s="132">
        <f>sunrise(Lat,Long,B14)+TimeZone/24+0.00103009259259259</f>
        <v>43051.255966073986</v>
      </c>
      <c r="D14" s="132">
        <f>sunset(Lat,Long,B14)+TimeZone/24-0.000277777777777778</f>
        <v>43050.735389213121</v>
      </c>
      <c r="E14" s="133">
        <f>P[[#This Row],[SunRise]]-TimeZone/24</f>
        <v>43051.026799407322</v>
      </c>
      <c r="F14" s="134">
        <f t="shared" si="1"/>
        <v>205.7111056666146</v>
      </c>
      <c r="G14" s="138">
        <f t="shared" si="2"/>
        <v>130.34171913601097</v>
      </c>
      <c r="H14" s="135">
        <f t="shared" si="3"/>
        <v>43051.026799407322</v>
      </c>
      <c r="I14" s="129" t="str">
        <f>naks(P[[#This Row],[Moon]])</f>
        <v>Makha</v>
      </c>
      <c r="J14" s="136">
        <f>(C15-P[[#This Row],[SunRise]])/(G15-P[[#This Row],[Moon]])*(13.3333333333333-MOD(P[[#This Row],[Moon]],13.333333333333))+P[[#This Row],[SunRise]]</f>
        <v>43051.482215797216</v>
      </c>
      <c r="K14" s="129">
        <f>MOD(360+P[[#This Row],[Moon]]-P[[#This Row],[Sun]],360)/12</f>
        <v>23.719217789116367</v>
      </c>
      <c r="L14" s="129">
        <f t="shared" si="4"/>
        <v>5.4384355782327347</v>
      </c>
      <c r="M14" s="129"/>
      <c r="N14" s="129">
        <f t="shared" si="5"/>
        <v>25.203961860827015</v>
      </c>
      <c r="O14" s="129"/>
      <c r="P14" s="133"/>
    </row>
    <row r="15" spans="1:18" x14ac:dyDescent="0.2">
      <c r="A15" s="130">
        <f t="shared" si="6"/>
        <v>43052</v>
      </c>
      <c r="B15" s="130">
        <f t="shared" si="0"/>
        <v>43052.229166666664</v>
      </c>
      <c r="C15" s="132">
        <f>sunrise(Lat,Long,B15)+TimeZone/24+0.00103009259259259</f>
        <v>43052.256251540188</v>
      </c>
      <c r="D15" s="132">
        <f>sunset(Lat,Long,B15)+TimeZone/24-0.000277777777777778</f>
        <v>43051.735280176203</v>
      </c>
      <c r="E15" s="133">
        <f>P[[#This Row],[SunRise]]-TimeZone/24</f>
        <v>43052.027084873524</v>
      </c>
      <c r="F15" s="134">
        <f t="shared" si="1"/>
        <v>206.71752232284234</v>
      </c>
      <c r="G15" s="134">
        <f t="shared" si="2"/>
        <v>143.56811410936513</v>
      </c>
      <c r="H15" s="135">
        <f t="shared" si="3"/>
        <v>43052.027084873524</v>
      </c>
      <c r="I15" s="129" t="str">
        <f>naks(P[[#This Row],[Moon]])</f>
        <v>Purva Phalguni</v>
      </c>
      <c r="J15" s="136">
        <f>(C16-P[[#This Row],[SunRise]])/(G16-P[[#This Row],[Moon]])*(13.3333333333333-MOD(P[[#This Row],[Moon]],13.333333333333))+P[[#This Row],[SunRise]]</f>
        <v>43052.494950791937</v>
      </c>
      <c r="K15" s="129">
        <f>MOD(360+P[[#This Row],[Moon]]-P[[#This Row],[Sun]],360)/12</f>
        <v>24.737549315543564</v>
      </c>
      <c r="L15" s="129">
        <f t="shared" si="4"/>
        <v>0.47509863108712835</v>
      </c>
      <c r="M15" s="129"/>
      <c r="N15" s="129">
        <f t="shared" si="5"/>
        <v>26.271422733072345</v>
      </c>
      <c r="O15" s="129"/>
      <c r="P15" s="133"/>
    </row>
    <row r="16" spans="1:18" x14ac:dyDescent="0.2">
      <c r="A16" s="130">
        <f t="shared" si="6"/>
        <v>43053</v>
      </c>
      <c r="B16" s="130">
        <f t="shared" si="0"/>
        <v>43053.229166666664</v>
      </c>
      <c r="C16" s="132">
        <f>sunrise(Lat,Long,B16)+TimeZone/24+0.00103009259259259</f>
        <v>43053.256543841366</v>
      </c>
      <c r="D16" s="132">
        <f>sunset(Lat,Long,B16)+TimeZone/24-0.000277777777777778</f>
        <v>43052.735184173143</v>
      </c>
      <c r="E16" s="133">
        <f>P[[#This Row],[SunRise]]-TimeZone/24</f>
        <v>43053.027377174702</v>
      </c>
      <c r="F16" s="134">
        <f t="shared" si="1"/>
        <v>207.72448119981897</v>
      </c>
      <c r="G16" s="134">
        <f t="shared" si="2"/>
        <v>156.55289828923682</v>
      </c>
      <c r="H16" s="135">
        <f t="shared" si="3"/>
        <v>43053.027377174702</v>
      </c>
      <c r="I16" s="129" t="str">
        <f>naks(P[[#This Row],[Moon]])</f>
        <v>Uttara Phalguni</v>
      </c>
      <c r="J16" s="136">
        <f>(C17-P[[#This Row],[SunRise]])/(G17-P[[#This Row],[Moon]])*(13.3333333333333-MOD(P[[#This Row],[Moon]],13.333333333333))+P[[#This Row],[SunRise]]</f>
        <v>43053.526410168626</v>
      </c>
      <c r="K16" s="129">
        <f>MOD(360+P[[#This Row],[Moon]]-P[[#This Row],[Sun]],360)/12</f>
        <v>25.735701424118158</v>
      </c>
      <c r="L16" s="129">
        <f t="shared" si="4"/>
        <v>2.4714028482363162</v>
      </c>
      <c r="M16" s="129"/>
      <c r="N16" s="129">
        <f t="shared" si="5"/>
        <v>0.32080346168720214</v>
      </c>
      <c r="O16" s="129"/>
      <c r="P16" s="133"/>
    </row>
    <row r="17" spans="1:16" x14ac:dyDescent="0.2">
      <c r="A17" s="130">
        <f t="shared" si="6"/>
        <v>43054</v>
      </c>
      <c r="B17" s="130">
        <f t="shared" si="0"/>
        <v>43054.229166666664</v>
      </c>
      <c r="C17" s="132">
        <f>sunrise(Lat,Long,B17)+TimeZone/24+0.00103009259259259</f>
        <v>43054.256842659473</v>
      </c>
      <c r="D17" s="132">
        <f>sunset(Lat,Long,B17)+TimeZone/24-0.000277777777777778</f>
        <v>43053.735101521059</v>
      </c>
      <c r="E17" s="133">
        <f>P[[#This Row],[SunRise]]-TimeZone/24</f>
        <v>43054.027675992809</v>
      </c>
      <c r="F17" s="134">
        <f t="shared" si="1"/>
        <v>208.73196525038955</v>
      </c>
      <c r="G17" s="134">
        <f t="shared" si="2"/>
        <v>169.33008246827006</v>
      </c>
      <c r="H17" s="135">
        <f t="shared" si="3"/>
        <v>43054.027675992809</v>
      </c>
      <c r="I17" s="129" t="str">
        <f>naks(P[[#This Row],[Moon]])</f>
        <v>Hasta</v>
      </c>
      <c r="J17" s="136">
        <f>(C18-P[[#This Row],[SunRise]])/(G18-P[[#This Row],[Moon]])*(13.3333333333333-MOD(P[[#This Row],[Moon]],13.333333333333))+P[[#This Row],[SunRise]]</f>
        <v>43054.574767293183</v>
      </c>
      <c r="K17" s="129">
        <f>MOD(360+P[[#This Row],[Moon]]-P[[#This Row],[Sun]],360)/12</f>
        <v>26.716509768156715</v>
      </c>
      <c r="L17" s="129">
        <f t="shared" si="4"/>
        <v>4.4330195363134308</v>
      </c>
      <c r="M17" s="129"/>
      <c r="N17" s="129">
        <f t="shared" si="5"/>
        <v>1.3546535789333394</v>
      </c>
      <c r="O17" s="129"/>
      <c r="P17" s="133"/>
    </row>
    <row r="18" spans="1:16" x14ac:dyDescent="0.2">
      <c r="A18" s="130">
        <f t="shared" si="6"/>
        <v>43055</v>
      </c>
      <c r="B18" s="130">
        <f t="shared" si="0"/>
        <v>43055.229166666664</v>
      </c>
      <c r="C18" s="132">
        <f>sunrise(Lat,Long,B18)+TimeZone/24+0.00103009259259259</f>
        <v>43055.257148153301</v>
      </c>
      <c r="D18" s="132">
        <f>sunset(Lat,Long,B18)+TimeZone/24-0.000277777777777778</f>
        <v>43054.73503206209</v>
      </c>
      <c r="E18" s="133">
        <f>P[[#This Row],[SunRise]]-TimeZone/24</f>
        <v>43055.027981486637</v>
      </c>
      <c r="F18" s="134">
        <f t="shared" si="1"/>
        <v>209.73995597396271</v>
      </c>
      <c r="G18" s="134">
        <f t="shared" si="2"/>
        <v>181.92575266462552</v>
      </c>
      <c r="H18" s="135">
        <f t="shared" si="3"/>
        <v>43055.027981486637</v>
      </c>
      <c r="I18" s="129" t="str">
        <f>naks(P[[#This Row],[Moon]])</f>
        <v>Chitra</v>
      </c>
      <c r="J18" s="136">
        <f>(C19-P[[#This Row],[SunRise]])/(G19-P[[#This Row],[Moon]])*(13.3333333333333-MOD(P[[#This Row],[Moon]],13.333333333333))+P[[#This Row],[SunRise]]</f>
        <v>43055.638621495396</v>
      </c>
      <c r="K18" s="129">
        <f>MOD(360+P[[#This Row],[Moon]]-P[[#This Row],[Sun]],360)/12</f>
        <v>27.682149724221901</v>
      </c>
      <c r="L18" s="129">
        <f t="shared" si="4"/>
        <v>6.364299448443802</v>
      </c>
      <c r="M18" s="129"/>
      <c r="N18" s="129">
        <f t="shared" si="5"/>
        <v>2.3749281479534901</v>
      </c>
      <c r="O18" s="129"/>
      <c r="P18" s="133"/>
    </row>
    <row r="19" spans="1:16" x14ac:dyDescent="0.2">
      <c r="A19" s="130">
        <f t="shared" si="6"/>
        <v>43056</v>
      </c>
      <c r="B19" s="130">
        <f t="shared" si="0"/>
        <v>43056.229166666664</v>
      </c>
      <c r="C19" s="132">
        <f>sunrise(Lat,Long,B19)+TimeZone/24+0.00103009259259259</f>
        <v>43056.257459845547</v>
      </c>
      <c r="D19" s="132">
        <f>sunset(Lat,Long,B19)+TimeZone/24-0.000277777777777778</f>
        <v>43055.734976112886</v>
      </c>
      <c r="E19" s="133">
        <f>P[[#This Row],[SunRise]]-TimeZone/24</f>
        <v>43056.028293178882</v>
      </c>
      <c r="F19" s="134">
        <f t="shared" si="1"/>
        <v>210.74843284438052</v>
      </c>
      <c r="G19" s="134">
        <f t="shared" si="2"/>
        <v>194.35753015687342</v>
      </c>
      <c r="H19" s="135">
        <f t="shared" si="3"/>
        <v>43056.028293178882</v>
      </c>
      <c r="I19" s="129" t="str">
        <f>naks(P[[#This Row],[Moon]])</f>
        <v>Swati</v>
      </c>
      <c r="J19" s="136">
        <f>(C20-P[[#This Row],[SunRise]])/(G20-P[[#This Row],[Moon]])*(13.3333333333333-MOD(P[[#This Row],[Moon]],13.333333333333))+P[[#This Row],[SunRise]]</f>
        <v>43056.717110492798</v>
      </c>
      <c r="K19" s="129">
        <f>MOD(360+P[[#This Row],[Moon]]-P[[#This Row],[Sun]],360)/12</f>
        <v>28.634091442707739</v>
      </c>
      <c r="L19" s="129" t="str">
        <f t="shared" si="4"/>
        <v>S</v>
      </c>
      <c r="M19" s="129"/>
      <c r="N19" s="129">
        <f t="shared" si="5"/>
        <v>3.382947225178619</v>
      </c>
      <c r="O19" s="129"/>
      <c r="P19" s="133"/>
    </row>
    <row r="20" spans="1:16" x14ac:dyDescent="0.2">
      <c r="A20" s="130">
        <f t="shared" si="6"/>
        <v>43057</v>
      </c>
      <c r="B20" s="130">
        <f t="shared" si="0"/>
        <v>43057.229166666664</v>
      </c>
      <c r="C20" s="132">
        <f>sunrise(Lat,Long,B20)+TimeZone/24+0.00103009259259259</f>
        <v>43057.257777737141</v>
      </c>
      <c r="D20" s="132">
        <f>sunset(Lat,Long,B20)+TimeZone/24-0.000277777777777778</f>
        <v>43056.734933356798</v>
      </c>
      <c r="E20" s="133">
        <f>P[[#This Row],[SunRise]]-TimeZone/24</f>
        <v>43057.028611070476</v>
      </c>
      <c r="F20" s="134">
        <f t="shared" si="1"/>
        <v>211.75737489697053</v>
      </c>
      <c r="G20" s="134">
        <f t="shared" si="2"/>
        <v>206.63699407285873</v>
      </c>
      <c r="H20" s="135">
        <f t="shared" si="3"/>
        <v>43057.028611070476</v>
      </c>
      <c r="I20" s="129" t="str">
        <f>naks(P[[#This Row],[Moon]])</f>
        <v>Visakha</v>
      </c>
      <c r="J20" s="136">
        <f>(C21-P[[#This Row],[SunRise]])/(G21-P[[#This Row],[Moon]])*(13.3333333333333-MOD(P[[#This Row],[Moon]],13.333333333333))+P[[#This Row],[SunRise]]</f>
        <v>43057.80968765205</v>
      </c>
      <c r="K20" s="129">
        <f>MOD(360+P[[#This Row],[Moon]]-P[[#This Row],[Sun]],360)/12</f>
        <v>29.573301597990678</v>
      </c>
      <c r="L20" s="129" t="str">
        <f t="shared" si="4"/>
        <v>S</v>
      </c>
      <c r="M20" s="129"/>
      <c r="N20" s="129">
        <f t="shared" si="5"/>
        <v>4.3795776728466835</v>
      </c>
      <c r="O20" s="129"/>
      <c r="P20" s="133"/>
    </row>
    <row r="21" spans="1:16" x14ac:dyDescent="0.2">
      <c r="A21" s="130">
        <f t="shared" si="6"/>
        <v>43058</v>
      </c>
      <c r="B21" s="130">
        <f t="shared" si="0"/>
        <v>43058.229166666664</v>
      </c>
      <c r="C21" s="132">
        <f>sunrise(Lat,Long,B21)+TimeZone/24+0.00103009259259259</f>
        <v>43058.258101509571</v>
      </c>
      <c r="D21" s="132">
        <f>sunset(Lat,Long,B21)+TimeZone/24-0.000277777777777778</f>
        <v>43057.734904110475</v>
      </c>
      <c r="E21" s="133">
        <f>P[[#This Row],[SunRise]]-TimeZone/24</f>
        <v>43058.028934842907</v>
      </c>
      <c r="F21" s="134">
        <f t="shared" si="1"/>
        <v>212.76676038731239</v>
      </c>
      <c r="G21" s="134">
        <f t="shared" si="2"/>
        <v>218.77395187984305</v>
      </c>
      <c r="H21" s="135">
        <f t="shared" si="3"/>
        <v>43058.028934842907</v>
      </c>
      <c r="I21" s="129" t="str">
        <f>naks(P[[#This Row],[Moon]])</f>
        <v>Anuradha</v>
      </c>
      <c r="J21" s="136">
        <f>(C22-P[[#This Row],[SunRise]])/(G22-P[[#This Row],[Moon]])*(13.3333333333333-MOD(P[[#This Row],[Moon]],13.333333333333))+P[[#This Row],[SunRise]]</f>
        <v>43058.915634176592</v>
      </c>
      <c r="K21" s="129">
        <f>MOD(360+P[[#This Row],[Moon]]-P[[#This Row],[Sun]],360)/12</f>
        <v>0.50059929104421974</v>
      </c>
      <c r="L21" s="129">
        <f t="shared" si="4"/>
        <v>1.0011985820884395</v>
      </c>
      <c r="M21" s="129"/>
      <c r="N21" s="129">
        <f t="shared" si="5"/>
        <v>5.3655534201707944</v>
      </c>
      <c r="O21" s="129"/>
      <c r="P21" s="133"/>
    </row>
    <row r="22" spans="1:16" x14ac:dyDescent="0.2">
      <c r="A22" s="130">
        <f t="shared" si="6"/>
        <v>43059</v>
      </c>
      <c r="B22" s="130">
        <f t="shared" si="0"/>
        <v>43059.229166666664</v>
      </c>
      <c r="C22" s="132">
        <f>sunrise(Lat,Long,B22)+TimeZone/24+0.00103009259259259</f>
        <v>43059.258430845257</v>
      </c>
      <c r="D22" s="132">
        <f>sunset(Lat,Long,B22)+TimeZone/24-0.000277777777777778</f>
        <v>43058.734888057268</v>
      </c>
      <c r="E22" s="133">
        <f>P[[#This Row],[SunRise]]-TimeZone/24</f>
        <v>43059.029264178593</v>
      </c>
      <c r="F22" s="134">
        <f t="shared" si="1"/>
        <v>213.77656760453212</v>
      </c>
      <c r="G22" s="134">
        <f t="shared" si="2"/>
        <v>230.78143764507499</v>
      </c>
      <c r="H22" s="135">
        <f t="shared" si="3"/>
        <v>43059.029264178593</v>
      </c>
      <c r="I22" s="129" t="str">
        <f>naks(P[[#This Row],[Moon]])</f>
        <v>Jyestha</v>
      </c>
      <c r="J22" s="136">
        <f>(C23-P[[#This Row],[SunRise]])/(G23-P[[#This Row],[Moon]])*(13.3333333333333-MOD(P[[#This Row],[Moon]],13.333333333333))+P[[#This Row],[SunRise]]</f>
        <v>43060.033426948197</v>
      </c>
      <c r="K22" s="129">
        <f>MOD(360+P[[#This Row],[Moon]]-P[[#This Row],[Sun]],360)/12</f>
        <v>1.4170725033785725</v>
      </c>
      <c r="L22" s="129">
        <f t="shared" si="4"/>
        <v>2.834145006757145</v>
      </c>
      <c r="M22" s="129"/>
      <c r="N22" s="129">
        <f t="shared" si="5"/>
        <v>6.3418503938790787</v>
      </c>
      <c r="O22" s="129"/>
      <c r="P22" s="133"/>
    </row>
    <row r="23" spans="1:16" x14ac:dyDescent="0.2">
      <c r="A23" s="130">
        <f t="shared" si="6"/>
        <v>43060</v>
      </c>
      <c r="B23" s="130">
        <f t="shared" si="0"/>
        <v>43060.229166666664</v>
      </c>
      <c r="C23" s="132">
        <f>sunrise(Lat,Long,B23)+TimeZone/24+0.00103009259259259</f>
        <v>43060.258765584942</v>
      </c>
      <c r="D23" s="132">
        <f>sunset(Lat,Long,B23)+TimeZone/24-0.000277777777777778</f>
        <v>43059.734885355036</v>
      </c>
      <c r="E23" s="133">
        <f>P[[#This Row],[SunRise]]-TimeZone/24</f>
        <v>43060.029598918278</v>
      </c>
      <c r="F23" s="134">
        <f t="shared" si="1"/>
        <v>214.78677551369603</v>
      </c>
      <c r="G23" s="134">
        <f t="shared" si="2"/>
        <v>242.68039834766341</v>
      </c>
      <c r="H23" s="135">
        <f t="shared" si="3"/>
        <v>43060.029598918278</v>
      </c>
      <c r="I23" s="129" t="str">
        <f>naks(P[[#This Row],[Moon]])</f>
        <v>Moola</v>
      </c>
      <c r="J23" s="136">
        <f>(C24-P[[#This Row],[SunRise]])/(G24-P[[#This Row],[Moon]])*(13.3333333333333-MOD(P[[#This Row],[Moon]],13.333333333333))+P[[#This Row],[SunRise]]</f>
        <v>43061.160115436338</v>
      </c>
      <c r="K23" s="129">
        <f>MOD(360+P[[#This Row],[Moon]]-P[[#This Row],[Sun]],360)/12</f>
        <v>2.3244685694972795</v>
      </c>
      <c r="L23" s="129">
        <f t="shared" si="4"/>
        <v>4.6489371389945591</v>
      </c>
      <c r="M23" s="129"/>
      <c r="N23" s="129">
        <f t="shared" si="5"/>
        <v>7.3100380397847111</v>
      </c>
      <c r="O23" s="129"/>
      <c r="P23" s="133"/>
    </row>
    <row r="24" spans="1:16" x14ac:dyDescent="0.2">
      <c r="A24" s="130">
        <f t="shared" si="6"/>
        <v>43061</v>
      </c>
      <c r="B24" s="130">
        <f t="shared" si="0"/>
        <v>43061.229166666664</v>
      </c>
      <c r="C24" s="132">
        <f>sunrise(Lat,Long,B24)+TimeZone/24+0.00103009259259259</f>
        <v>43061.259105569836</v>
      </c>
      <c r="D24" s="132">
        <f>sunset(Lat,Long,B24)+TimeZone/24-0.000277777777777778</f>
        <v>43060.734896004244</v>
      </c>
      <c r="E24" s="133">
        <f>P[[#This Row],[SunRise]]-TimeZone/24</f>
        <v>43061.029938903172</v>
      </c>
      <c r="F24" s="134">
        <f t="shared" si="1"/>
        <v>215.79736399166001</v>
      </c>
      <c r="G24" s="134">
        <f t="shared" si="2"/>
        <v>254.50328466212133</v>
      </c>
      <c r="H24" s="135">
        <f t="shared" si="3"/>
        <v>43061.029938903172</v>
      </c>
      <c r="I24" s="129" t="str">
        <f>naks(P[[#This Row],[Moon]])</f>
        <v>Purva Asadha</v>
      </c>
      <c r="J24" s="136">
        <f>(C25-P[[#This Row],[SunRise]])/(G25-P[[#This Row],[Moon]])*(13.3333333333333-MOD(P[[#This Row],[Moon]],13.333333333333))+P[[#This Row],[SunRise]]</f>
        <v>43062.290882549336</v>
      </c>
      <c r="K24" s="129">
        <f>MOD(360+P[[#This Row],[Moon]]-P[[#This Row],[Sun]],360)/12</f>
        <v>3.2254933892051127</v>
      </c>
      <c r="L24" s="129">
        <f t="shared" si="4"/>
        <v>6.4509867784102255</v>
      </c>
      <c r="M24" s="129"/>
      <c r="N24" s="129">
        <f t="shared" si="5"/>
        <v>8.2725486492404112</v>
      </c>
      <c r="O24" s="129"/>
      <c r="P24" s="133"/>
    </row>
    <row r="25" spans="1:16" x14ac:dyDescent="0.2">
      <c r="A25" s="130">
        <f t="shared" si="6"/>
        <v>43062</v>
      </c>
      <c r="B25" s="130">
        <f t="shared" si="0"/>
        <v>43062.229166666664</v>
      </c>
      <c r="C25" s="132">
        <f>sunrise(Lat,Long,B25)+TimeZone/24+0.00103009259259259</f>
        <v>43062.259450481892</v>
      </c>
      <c r="D25" s="132">
        <f>sunset(Lat,Long,B25)+TimeZone/24-0.000277777777777778</f>
        <v>43061.734919687311</v>
      </c>
      <c r="E25" s="133">
        <f>P[[#This Row],[SunRise]]-TimeZone/24</f>
        <v>43062.030283815227</v>
      </c>
      <c r="F25" s="134">
        <f t="shared" si="1"/>
        <v>216.80831392797265</v>
      </c>
      <c r="G25" s="134">
        <f t="shared" si="2"/>
        <v>266.29612123768226</v>
      </c>
      <c r="H25" s="135">
        <f t="shared" si="3"/>
        <v>43062.030283815227</v>
      </c>
      <c r="I25" s="129" t="str">
        <f>naks(P[[#This Row],[Moon]])</f>
        <v>Purva Asadha</v>
      </c>
      <c r="J25" s="136">
        <f>(C26-P[[#This Row],[SunRise]])/(G26-P[[#This Row],[Moon]])*(13.3333333333333-MOD(P[[#This Row],[Moon]],13.333333333333))+P[[#This Row],[SunRise]]</f>
        <v>43062.290802791329</v>
      </c>
      <c r="K25" s="129">
        <f>MOD(360+P[[#This Row],[Moon]]-P[[#This Row],[Sun]],360)/12</f>
        <v>4.1239839424757934</v>
      </c>
      <c r="L25" s="129">
        <f t="shared" si="4"/>
        <v>1.2479678849515867</v>
      </c>
      <c r="M25" s="129"/>
      <c r="N25" s="129">
        <f t="shared" si="5"/>
        <v>9.232832637654937</v>
      </c>
      <c r="O25" s="129"/>
      <c r="P25" s="133"/>
    </row>
    <row r="26" spans="1:16" x14ac:dyDescent="0.2">
      <c r="A26" s="130">
        <f t="shared" si="6"/>
        <v>43063</v>
      </c>
      <c r="B26" s="130">
        <f t="shared" si="0"/>
        <v>43063.229166666664</v>
      </c>
      <c r="C26" s="132">
        <f>sunrise(Lat,Long,B26)+TimeZone/24+0.00103009259259259</f>
        <v>43063.259800003529</v>
      </c>
      <c r="D26" s="132">
        <f>sunset(Lat,Long,B26)+TimeZone/24-0.000277777777777778</f>
        <v>43062.734956721819</v>
      </c>
      <c r="E26" s="133">
        <f>P[[#This Row],[SunRise]]-TimeZone/24</f>
        <v>43063.030633336864</v>
      </c>
      <c r="F26" s="134">
        <f t="shared" si="1"/>
        <v>217.81960751941267</v>
      </c>
      <c r="G26" s="134">
        <f t="shared" si="2"/>
        <v>278.11901241471844</v>
      </c>
      <c r="H26" s="135">
        <f t="shared" si="3"/>
        <v>43063.030633336864</v>
      </c>
      <c r="I26" s="129" t="str">
        <f>naks(P[[#This Row],[Moon]])</f>
        <v>Uttara Asadha</v>
      </c>
      <c r="J26" s="136">
        <f>(C27-P[[#This Row],[SunRise]])/(G27-P[[#This Row],[Moon]])*(13.3333333333333-MOD(P[[#This Row],[Moon]],13.333333333333))+P[[#This Row],[SunRise]]</f>
        <v>43063.417575280502</v>
      </c>
      <c r="K26" s="129">
        <f>MOD(360+P[[#This Row],[Moon]]-P[[#This Row],[Sun]],360)/12</f>
        <v>5.0249504079421472</v>
      </c>
      <c r="L26" s="129">
        <f t="shared" si="4"/>
        <v>3.0499008158842944</v>
      </c>
      <c r="M26" s="129"/>
      <c r="N26" s="129">
        <f t="shared" si="5"/>
        <v>10.195396495314718</v>
      </c>
      <c r="O26" s="129"/>
      <c r="P26" s="133"/>
    </row>
    <row r="27" spans="1:16" x14ac:dyDescent="0.2">
      <c r="A27" s="130">
        <f t="shared" si="6"/>
        <v>43064</v>
      </c>
      <c r="B27" s="130">
        <f t="shared" si="0"/>
        <v>43064.229166666664</v>
      </c>
      <c r="C27" s="132">
        <f>sunrise(Lat,Long,B27)+TimeZone/24+0.00103009259259259</f>
        <v>43064.2601538167</v>
      </c>
      <c r="D27" s="132">
        <f>sunset(Lat,Long,B27)+TimeZone/24-0.000277777777777778</f>
        <v>43063.735006789721</v>
      </c>
      <c r="E27" s="133">
        <f>P[[#This Row],[SunRise]]-TimeZone/24</f>
        <v>43064.030987150036</v>
      </c>
      <c r="F27" s="134">
        <f t="shared" si="1"/>
        <v>218.83122835100014</v>
      </c>
      <c r="G27" s="134">
        <f t="shared" si="2"/>
        <v>290.04517182055912</v>
      </c>
      <c r="H27" s="135">
        <f t="shared" si="3"/>
        <v>43064.030987150036</v>
      </c>
      <c r="I27" s="129" t="str">
        <f>naks(P[[#This Row],[Moon]])</f>
        <v>Sravana</v>
      </c>
      <c r="J27" s="136">
        <f>(C28-P[[#This Row],[SunRise]])/(G28-P[[#This Row],[Moon]])*(13.3333333333333-MOD(P[[#This Row],[Moon]],13.333333333333))+P[[#This Row],[SunRise]]</f>
        <v>43064.53170391317</v>
      </c>
      <c r="K27" s="129">
        <f>MOD(360+P[[#This Row],[Moon]]-P[[#This Row],[Sun]],360)/12</f>
        <v>5.9344952891299085</v>
      </c>
      <c r="L27" s="129">
        <f t="shared" si="4"/>
        <v>4.8689905782598171</v>
      </c>
      <c r="M27" s="129"/>
      <c r="N27" s="129">
        <f t="shared" si="5"/>
        <v>11.165730013146085</v>
      </c>
      <c r="O27" s="129"/>
      <c r="P27" s="133"/>
    </row>
    <row r="28" spans="1:16" x14ac:dyDescent="0.2">
      <c r="A28" s="130">
        <f t="shared" si="6"/>
        <v>43065</v>
      </c>
      <c r="B28" s="130">
        <f t="shared" si="0"/>
        <v>43065.229166666664</v>
      </c>
      <c r="C28" s="132">
        <f>sunrise(Lat,Long,B28)+TimeZone/24+0.00103009259259259</f>
        <v>43065.260511603359</v>
      </c>
      <c r="D28" s="132">
        <f>sunset(Lat,Long,B28)+TimeZone/24-0.000277777777777778</f>
        <v>43064.735069891016</v>
      </c>
      <c r="E28" s="133">
        <f>P[[#This Row],[SunRise]]-TimeZone/24</f>
        <v>43065.031344936695</v>
      </c>
      <c r="F28" s="134">
        <f t="shared" si="1"/>
        <v>219.84316152903045</v>
      </c>
      <c r="G28" s="134">
        <f t="shared" si="2"/>
        <v>302.1583620417627</v>
      </c>
      <c r="H28" s="135">
        <f t="shared" si="3"/>
        <v>43065.031344936695</v>
      </c>
      <c r="I28" s="129" t="str">
        <f>naks(P[[#This Row],[Moon]])</f>
        <v>Dhanistha</v>
      </c>
      <c r="J28" s="136">
        <f>(C29-P[[#This Row],[SunRise]])/(G29-P[[#This Row],[Moon]])*(13.3333333333333-MOD(P[[#This Row],[Moon]],13.333333333333))+P[[#This Row],[SunRise]]</f>
        <v>43065.624510616079</v>
      </c>
      <c r="K28" s="129">
        <f>MOD(360+P[[#This Row],[Moon]]-P[[#This Row],[Sun]],360)/12</f>
        <v>6.859600042727692</v>
      </c>
      <c r="L28" s="129">
        <f t="shared" si="4"/>
        <v>6.7192000854553839</v>
      </c>
      <c r="M28" s="129"/>
      <c r="N28" s="129">
        <f t="shared" si="5"/>
        <v>12.150114268113235</v>
      </c>
      <c r="O28" s="129"/>
      <c r="P28" s="133"/>
    </row>
    <row r="29" spans="1:16" x14ac:dyDescent="0.2">
      <c r="A29" s="130">
        <f t="shared" si="6"/>
        <v>43066</v>
      </c>
      <c r="B29" s="130">
        <f t="shared" si="0"/>
        <v>43066.229166666664</v>
      </c>
      <c r="C29" s="132">
        <f>sunrise(Lat,Long,B29)+TimeZone/24+0.00103009259259259</f>
        <v>43066.260873363972</v>
      </c>
      <c r="D29" s="132">
        <f>sunset(Lat,Long,B29)+TimeZone/24-0.000277777777777778</f>
        <v>43065.735146026171</v>
      </c>
      <c r="E29" s="133">
        <f>P[[#This Row],[SunRise]]-TimeZone/24</f>
        <v>43066.031706697308</v>
      </c>
      <c r="F29" s="134">
        <f t="shared" si="1"/>
        <v>220.85539426860913</v>
      </c>
      <c r="G29" s="134">
        <f t="shared" ref="G29:G60" si="7">Planet(E29,1)</f>
        <v>314.54832848213653</v>
      </c>
      <c r="H29" s="135">
        <f t="shared" si="3"/>
        <v>43066.031706697308</v>
      </c>
      <c r="I29" s="129" t="str">
        <f>naks(P[[#This Row],[Moon]])</f>
        <v>Satabhisaj</v>
      </c>
      <c r="J29" s="136">
        <f>(C30-P[[#This Row],[SunRise]])/(G30-P[[#This Row],[Moon]])*(13.3333333333333-MOD(P[[#This Row],[Moon]],13.333333333333))+P[[#This Row],[SunRise]]</f>
        <v>43066.68843274418</v>
      </c>
      <c r="K29" s="129">
        <f>MOD(360+P[[#This Row],[Moon]]-P[[#This Row],[Sun]],360)/12</f>
        <v>7.8077445177939495</v>
      </c>
      <c r="L29" s="129">
        <f t="shared" si="4"/>
        <v>1.615489035587899</v>
      </c>
      <c r="M29" s="129"/>
      <c r="N29" s="129">
        <f t="shared" si="5"/>
        <v>13.155279206634802</v>
      </c>
      <c r="O29" s="129"/>
      <c r="P29" s="133"/>
    </row>
    <row r="30" spans="1:16" x14ac:dyDescent="0.2">
      <c r="A30" s="130">
        <f t="shared" si="6"/>
        <v>43067</v>
      </c>
      <c r="B30" s="130">
        <f t="shared" si="0"/>
        <v>43067.229166666664</v>
      </c>
      <c r="C30" s="132">
        <f>sunrise(Lat,Long,B30)+TimeZone/24+0.00103009259259259</f>
        <v>43067.261238462444</v>
      </c>
      <c r="D30" s="132">
        <f>sunset(Lat,Long,B30)+TimeZone/24-0.000277777777777778</f>
        <v>43066.735234876673</v>
      </c>
      <c r="E30" s="133">
        <f>P[[#This Row],[SunRise]]-TimeZone/24</f>
        <v>43067.03207179578</v>
      </c>
      <c r="F30" s="134">
        <f t="shared" si="1"/>
        <v>221.86791535878424</v>
      </c>
      <c r="G30" s="134">
        <f t="shared" si="7"/>
        <v>327.30366064707903</v>
      </c>
      <c r="H30" s="135">
        <f t="shared" si="3"/>
        <v>43067.03207179578</v>
      </c>
      <c r="I30" s="129" t="str">
        <f>naks(P[[#This Row],[Moon]])</f>
        <v>Purva Bhadrapada</v>
      </c>
      <c r="J30" s="136">
        <f>(C31-P[[#This Row],[SunRise]])/(G31-P[[#This Row],[Moon]])*(13.3333333333333-MOD(P[[#This Row],[Moon]],13.333333333333))+P[[#This Row],[SunRise]]</f>
        <v>43067.718271136706</v>
      </c>
      <c r="K30" s="129">
        <f>MOD(360+P[[#This Row],[Moon]]-P[[#This Row],[Sun]],360)/12</f>
        <v>8.7863121073579009</v>
      </c>
      <c r="L30" s="129">
        <f t="shared" si="4"/>
        <v>3.5726242147158018</v>
      </c>
      <c r="M30" s="129"/>
      <c r="N30" s="129">
        <f t="shared" si="5"/>
        <v>14.187868200794439</v>
      </c>
      <c r="O30" s="129"/>
      <c r="P30" s="133"/>
    </row>
    <row r="31" spans="1:16" x14ac:dyDescent="0.2">
      <c r="A31" s="130">
        <f t="shared" si="6"/>
        <v>43068</v>
      </c>
      <c r="B31" s="130">
        <f t="shared" si="0"/>
        <v>43068.229166666664</v>
      </c>
      <c r="C31" s="132">
        <f>sunrise(Lat,Long,B31)+TimeZone/24+0.00103009259259259</f>
        <v>43068.261606898312</v>
      </c>
      <c r="D31" s="132">
        <f>sunset(Lat,Long,B31)+TimeZone/24-0.000277777777777778</f>
        <v>43067.735336442987</v>
      </c>
      <c r="E31" s="133">
        <f>P[[#This Row],[SunRise]]-TimeZone/24</f>
        <v>43068.032440231647</v>
      </c>
      <c r="F31" s="134">
        <f t="shared" si="1"/>
        <v>222.88071704401202</v>
      </c>
      <c r="G31" s="134">
        <f t="shared" si="7"/>
        <v>340.50161032025198</v>
      </c>
      <c r="H31" s="135">
        <f t="shared" si="3"/>
        <v>43068.032440231647</v>
      </c>
      <c r="I31" s="129" t="str">
        <f>naks(P[[#This Row],[Moon]])</f>
        <v>Uttara Bhadrapada</v>
      </c>
      <c r="J31" s="136">
        <f>(C32-P[[#This Row],[SunRise]])/(G32-P[[#This Row],[Moon]])*(13.3333333333333-MOD(P[[#This Row],[Moon]],13.333333333333))+P[[#This Row],[SunRise]]</f>
        <v>43068.712008250819</v>
      </c>
      <c r="K31" s="129">
        <f>MOD(360+P[[#This Row],[Moon]]-P[[#This Row],[Sun]],360)/12</f>
        <v>9.8017411063533277</v>
      </c>
      <c r="L31" s="129">
        <f t="shared" si="4"/>
        <v>5.6034822127066555</v>
      </c>
      <c r="M31" s="129"/>
      <c r="N31" s="129">
        <f t="shared" si="5"/>
        <v>15.253674552701144</v>
      </c>
      <c r="O31" s="129"/>
      <c r="P31" s="133"/>
    </row>
    <row r="32" spans="1:16" x14ac:dyDescent="0.2">
      <c r="A32" s="130">
        <f t="shared" si="6"/>
        <v>43069</v>
      </c>
      <c r="B32" s="130">
        <f t="shared" si="0"/>
        <v>43069.229166666664</v>
      </c>
      <c r="C32" s="132">
        <f>sunrise(Lat,Long,B32)+TimeZone/24+0.00103009259259259</f>
        <v>43069.261978036877</v>
      </c>
      <c r="D32" s="132">
        <f>sunset(Lat,Long,B32)+TimeZone/24-0.000277777777777778</f>
        <v>43068.735450725115</v>
      </c>
      <c r="E32" s="133">
        <f>P[[#This Row],[SunRise]]-TimeZone/24</f>
        <v>43069.032811370213</v>
      </c>
      <c r="F32" s="134">
        <f t="shared" si="1"/>
        <v>223.89379442930104</v>
      </c>
      <c r="G32" s="134">
        <f t="shared" si="7"/>
        <v>354.19460747096451</v>
      </c>
      <c r="H32" s="135">
        <f t="shared" si="3"/>
        <v>43069.032811370213</v>
      </c>
      <c r="I32" s="129" t="str">
        <f>naks(P[[#This Row],[Moon]])</f>
        <v>Revati</v>
      </c>
      <c r="J32" s="136">
        <f>(C33-P[[#This Row],[SunRise]])/(G33-P[[#This Row],[Moon]])*(13.3333333333333-MOD(P[[#This Row],[Moon]],13.333333333333))+P[[#This Row],[SunRise]]</f>
        <v>43069.245183464365</v>
      </c>
      <c r="K32" s="129">
        <f>MOD(360+P[[#This Row],[Moon]]-P[[#This Row],[Sun]],360)/12</f>
        <v>10.858401086805287</v>
      </c>
      <c r="L32" s="129">
        <f t="shared" si="4"/>
        <v>0.7168021736105743</v>
      </c>
      <c r="M32" s="129"/>
      <c r="N32" s="129">
        <f t="shared" si="5"/>
        <v>16.356630142928832</v>
      </c>
      <c r="O32" s="129"/>
      <c r="P32" s="133"/>
    </row>
    <row r="33" spans="1:16" x14ac:dyDescent="0.2">
      <c r="A33" s="130">
        <f t="shared" si="6"/>
        <v>43070</v>
      </c>
      <c r="B33" s="130">
        <f t="shared" si="0"/>
        <v>43070.229166666664</v>
      </c>
      <c r="C33" s="132">
        <f>sunrise(Lat,Long,B33)+TimeZone/24+0.00103009259259259</f>
        <v>43070.262351877209</v>
      </c>
      <c r="D33" s="132">
        <f>sunset(Lat,Long,B33)+TimeZone/24-0.000277777777777778</f>
        <v>43069.735577563799</v>
      </c>
      <c r="E33" s="133">
        <f>P[[#This Row],[SunRise]]-TimeZone/24</f>
        <v>43070.033185210545</v>
      </c>
      <c r="F33" s="134">
        <f t="shared" si="1"/>
        <v>224.90714741973434</v>
      </c>
      <c r="G33" s="134">
        <f t="shared" si="7"/>
        <v>8.3946286929625398</v>
      </c>
      <c r="H33" s="135">
        <f t="shared" si="3"/>
        <v>43070.033185210545</v>
      </c>
      <c r="I33" s="129" t="str">
        <f>naks(P[[#This Row],[Moon]])</f>
        <v>Aswini</v>
      </c>
      <c r="J33" s="136">
        <f>(C34-P[[#This Row],[SunRise]])/(G34-P[[#This Row],[Moon]])*(13.3333333333333-MOD(P[[#This Row],[Moon]],13.333333333333))+P[[#This Row],[SunRise]]</f>
        <v>43070.599257866044</v>
      </c>
      <c r="K33" s="129">
        <f>MOD(360+P[[#This Row],[Moon]]-P[[#This Row],[Sun]],360)/12</f>
        <v>11.95729010610235</v>
      </c>
      <c r="L33" s="129">
        <f t="shared" si="4"/>
        <v>2.9145802122047009</v>
      </c>
      <c r="M33" s="129"/>
      <c r="N33" s="129">
        <f t="shared" si="5"/>
        <v>17.497633208889706</v>
      </c>
      <c r="O33" s="129"/>
      <c r="P33" s="133"/>
    </row>
    <row r="34" spans="1:16" x14ac:dyDescent="0.2">
      <c r="A34" s="130">
        <f t="shared" si="6"/>
        <v>43071</v>
      </c>
      <c r="B34" s="130">
        <f t="shared" si="0"/>
        <v>43071.229166666664</v>
      </c>
      <c r="C34" s="132">
        <f>sunrise(Lat,Long,B34)+TimeZone/24+0.00103009259259259</f>
        <v>43071.262727942471</v>
      </c>
      <c r="D34" s="132">
        <f>sunset(Lat,Long,B34)+TimeZone/24-0.000277777777777778</f>
        <v>43070.735716800249</v>
      </c>
      <c r="E34" s="133">
        <f>P[[#This Row],[SunRise]]-TimeZone/24</f>
        <v>43071.033561275806</v>
      </c>
      <c r="F34" s="134">
        <f t="shared" si="1"/>
        <v>225.92078000102271</v>
      </c>
      <c r="G34" s="134">
        <f t="shared" si="7"/>
        <v>23.059140691406814</v>
      </c>
      <c r="H34" s="135">
        <f t="shared" si="3"/>
        <v>43071.033561275806</v>
      </c>
      <c r="I34" s="129" t="str">
        <f>naks(P[[#This Row],[Moon]])</f>
        <v>Bharani</v>
      </c>
      <c r="J34" s="136">
        <f>(C35-P[[#This Row],[SunRise]])/(G35-P[[#This Row],[Moon]])*(13.3333333333333-MOD(P[[#This Row],[Moon]],13.333333333333))+P[[#This Row],[SunRise]]</f>
        <v>43071.50290343805</v>
      </c>
      <c r="K34" s="129">
        <f>MOD(360+P[[#This Row],[Moon]]-P[[#This Row],[Sun]],360)/12</f>
        <v>13.094863390865342</v>
      </c>
      <c r="L34" s="129">
        <f t="shared" si="4"/>
        <v>5.189726781730684</v>
      </c>
      <c r="M34" s="129"/>
      <c r="N34" s="129">
        <f t="shared" si="5"/>
        <v>18.67349405239905</v>
      </c>
      <c r="O34" s="129"/>
      <c r="P34" s="133"/>
    </row>
    <row r="35" spans="1:16" x14ac:dyDescent="0.2">
      <c r="A35" s="130">
        <f t="shared" si="6"/>
        <v>43072</v>
      </c>
      <c r="B35" s="130">
        <f t="shared" ref="B35:B60" si="8">A35+TimeZone/24</f>
        <v>43072.229166666664</v>
      </c>
      <c r="C35" s="132">
        <f>sunrise(Lat,Long,B35)+TimeZone/24+0.00103009259259259</f>
        <v>43072.263106074337</v>
      </c>
      <c r="D35" s="132">
        <f>sunset(Lat,Long,B35)+TimeZone/24-0.000277777777777778</f>
        <v>43071.735868434465</v>
      </c>
      <c r="E35" s="133">
        <f>P[[#This Row],[SunRise]]-TimeZone/24</f>
        <v>43072.033939407673</v>
      </c>
      <c r="F35" s="134">
        <f t="shared" si="1"/>
        <v>226.93470093277455</v>
      </c>
      <c r="G35" s="134">
        <f t="shared" si="7"/>
        <v>38.085195231576733</v>
      </c>
      <c r="H35" s="135">
        <f t="shared" si="3"/>
        <v>43072.033939407673</v>
      </c>
      <c r="I35" s="129" t="str">
        <f>naks(P[[#This Row],[Moon]])</f>
        <v>Krittika</v>
      </c>
      <c r="J35" s="136">
        <f>(C36-P[[#This Row],[SunRise]])/(G36-P[[#This Row],[Moon]])*(13.3333333333333-MOD(P[[#This Row],[Moon]],13.333333333333))+P[[#This Row],[SunRise]]</f>
        <v>43072.38885752108</v>
      </c>
      <c r="K35" s="129">
        <f>MOD(360+P[[#This Row],[Moon]]-P[[#This Row],[Sun]],360)/12</f>
        <v>14.262541191566848</v>
      </c>
      <c r="L35" s="129">
        <f t="shared" si="4"/>
        <v>0.5250823831336966</v>
      </c>
      <c r="M35" s="129"/>
      <c r="N35" s="129">
        <f t="shared" si="5"/>
        <v>19.876492212823258</v>
      </c>
      <c r="O35" s="129"/>
      <c r="P35" s="133"/>
    </row>
    <row r="36" spans="1:16" x14ac:dyDescent="0.2">
      <c r="A36" s="130">
        <f t="shared" si="6"/>
        <v>43073</v>
      </c>
      <c r="B36" s="130">
        <f t="shared" si="8"/>
        <v>43073.229166666664</v>
      </c>
      <c r="C36" s="132">
        <f>sunrise(Lat,Long,B36)+TimeZone/24+0.00103009259259259</f>
        <v>43073.263485954762</v>
      </c>
      <c r="D36" s="132">
        <f>sunset(Lat,Long,B36)+TimeZone/24-0.000277777777777778</f>
        <v>43072.736032148401</v>
      </c>
      <c r="E36" s="133">
        <f>P[[#This Row],[SunRise]]-TimeZone/24</f>
        <v>43073.034319288097</v>
      </c>
      <c r="F36" s="134">
        <f t="shared" si="1"/>
        <v>227.94892240468079</v>
      </c>
      <c r="G36" s="134">
        <f t="shared" si="7"/>
        <v>53.317880141665043</v>
      </c>
      <c r="H36" s="135">
        <f t="shared" si="3"/>
        <v>43073.034319288097</v>
      </c>
      <c r="I36" s="129" t="str">
        <f>naks(P[[#This Row],[Moon]])</f>
        <v>Rohini</v>
      </c>
      <c r="J36" s="136">
        <f>(C37-P[[#This Row],[SunRise]])/(G37-P[[#This Row],[Moon]])*(13.3333333333333-MOD(P[[#This Row],[Moon]],13.333333333333))+P[[#This Row],[SunRise]]</f>
        <v>43073.264499239303</v>
      </c>
      <c r="K36" s="129">
        <f>MOD(360+P[[#This Row],[Moon]]-P[[#This Row],[Sun]],360)/12</f>
        <v>15.447413144748689</v>
      </c>
      <c r="L36" s="129">
        <f t="shared" si="4"/>
        <v>2.8948262894973773</v>
      </c>
      <c r="M36" s="129"/>
      <c r="N36" s="129">
        <f t="shared" si="5"/>
        <v>21.095010191503313</v>
      </c>
      <c r="O36" s="129"/>
      <c r="P36" s="133"/>
    </row>
    <row r="37" spans="1:16" x14ac:dyDescent="0.2">
      <c r="A37" s="130">
        <f t="shared" si="6"/>
        <v>43074</v>
      </c>
      <c r="B37" s="130">
        <f t="shared" si="8"/>
        <v>43074.229166666664</v>
      </c>
      <c r="C37" s="132">
        <f>sunrise(Lat,Long,B37)+TimeZone/24+0.00103009259259259</f>
        <v>43074.263867265698</v>
      </c>
      <c r="D37" s="132">
        <f>sunset(Lat,Long,B37)+TimeZone/24-0.000277777777777778</f>
        <v>43073.736207942522</v>
      </c>
      <c r="E37" s="133">
        <f>P[[#This Row],[SunRise]]-TimeZone/24</f>
        <v>43074.034700599033</v>
      </c>
      <c r="F37" s="134">
        <f t="shared" si="1"/>
        <v>228.96345854954578</v>
      </c>
      <c r="G37" s="134">
        <f t="shared" si="7"/>
        <v>68.574289864836501</v>
      </c>
      <c r="H37" s="135">
        <f t="shared" si="3"/>
        <v>43074.034700599033</v>
      </c>
      <c r="I37" s="129" t="str">
        <f>naks(P[[#This Row],[Moon]])</f>
        <v>Ardra</v>
      </c>
      <c r="J37" s="136">
        <f>(C38-P[[#This Row],[SunRise]])/(G38-P[[#This Row],[Moon]])*(13.3333333333333-MOD(P[[#This Row],[Moon]],13.333333333333))+P[[#This Row],[SunRise]]</f>
        <v>43075.020720536137</v>
      </c>
      <c r="K37" s="129">
        <f>MOD(360+P[[#This Row],[Moon]]-P[[#This Row],[Sun]],360)/12</f>
        <v>16.634235942940894</v>
      </c>
      <c r="L37" s="129">
        <f t="shared" si="4"/>
        <v>5.2684718858817874</v>
      </c>
      <c r="M37" s="129"/>
      <c r="N37" s="129">
        <f t="shared" si="5"/>
        <v>22.315331131636555</v>
      </c>
      <c r="O37" s="129"/>
      <c r="P37" s="133"/>
    </row>
    <row r="38" spans="1:16" x14ac:dyDescent="0.2">
      <c r="A38" s="130">
        <f t="shared" si="6"/>
        <v>43075</v>
      </c>
      <c r="B38" s="130">
        <f t="shared" si="8"/>
        <v>43075.229166666664</v>
      </c>
      <c r="C38" s="132">
        <f>sunrise(Lat,Long,B38)+TimeZone/24+0.00103009259259259</f>
        <v>43075.264249689099</v>
      </c>
      <c r="D38" s="132">
        <f>sunset(Lat,Long,B38)+TimeZone/24-0.000277777777777778</f>
        <v>43074.736395657106</v>
      </c>
      <c r="E38" s="133">
        <f>P[[#This Row],[SunRise]]-TimeZone/24</f>
        <v>43075.035083022434</v>
      </c>
      <c r="F38" s="134">
        <f t="shared" si="1"/>
        <v>229.9783232168586</v>
      </c>
      <c r="G38" s="134">
        <f t="shared" si="7"/>
        <v>83.676397552760804</v>
      </c>
      <c r="H38" s="135">
        <f t="shared" si="3"/>
        <v>43075.035083022434</v>
      </c>
      <c r="I38" s="129" t="str">
        <f>naks(P[[#This Row],[Moon]])</f>
        <v>Punarvasu</v>
      </c>
      <c r="J38" s="136">
        <f>(C39-P[[#This Row],[SunRise]])/(G39-P[[#This Row],[Moon]])*(13.3333333333333-MOD(P[[#This Row],[Moon]],13.333333333333))+P[[#This Row],[SunRise]]</f>
        <v>43075.916783243258</v>
      </c>
      <c r="K38" s="129">
        <f>MOD(360+P[[#This Row],[Moon]]-P[[#This Row],[Sun]],360)/12</f>
        <v>17.808172861325186</v>
      </c>
      <c r="L38" s="129">
        <f t="shared" si="4"/>
        <v>0.61634572265037235</v>
      </c>
      <c r="M38" s="129"/>
      <c r="N38" s="129">
        <f t="shared" si="5"/>
        <v>23.524104058309558</v>
      </c>
      <c r="O38" s="129"/>
      <c r="P38" s="133"/>
    </row>
    <row r="39" spans="1:16" x14ac:dyDescent="0.2">
      <c r="A39" s="130">
        <f t="shared" si="6"/>
        <v>43076</v>
      </c>
      <c r="B39" s="130">
        <f t="shared" si="8"/>
        <v>43076.229166666664</v>
      </c>
      <c r="C39" s="132">
        <f>sunrise(Lat,Long,B39)+TimeZone/24+0.00103009259259259</f>
        <v>43076.264632906918</v>
      </c>
      <c r="D39" s="132">
        <f>sunset(Lat,Long,B39)+TimeZone/24-0.000277777777777778</f>
        <v>43075.736595134294</v>
      </c>
      <c r="E39" s="133">
        <f>P[[#This Row],[SunRise]]-TimeZone/24</f>
        <v>43076.035466240253</v>
      </c>
      <c r="F39" s="134">
        <f t="shared" si="1"/>
        <v>230.99352763951177</v>
      </c>
      <c r="G39" s="134">
        <f t="shared" si="7"/>
        <v>98.481209395580805</v>
      </c>
      <c r="H39" s="135">
        <f t="shared" si="3"/>
        <v>43076.035466240253</v>
      </c>
      <c r="I39" s="129" t="str">
        <f>naks(P[[#This Row],[Moon]])</f>
        <v>Pushya</v>
      </c>
      <c r="J39" s="136">
        <f>(C40-P[[#This Row],[SunRise]])/(G40-P[[#This Row],[Moon]])*(13.3333333333333-MOD(P[[#This Row],[Moon]],13.333333333333))+P[[#This Row],[SunRise]]</f>
        <v>43076.832615646723</v>
      </c>
      <c r="K39" s="129">
        <f>MOD(360+P[[#This Row],[Moon]]-P[[#This Row],[Sun]],360)/12</f>
        <v>18.957306813005751</v>
      </c>
      <c r="L39" s="129">
        <f t="shared" si="4"/>
        <v>2.9146136260115014</v>
      </c>
      <c r="M39" s="129"/>
      <c r="N39" s="129">
        <f t="shared" si="5"/>
        <v>24.710605278249709</v>
      </c>
      <c r="O39" s="129"/>
      <c r="P39" s="133"/>
    </row>
    <row r="40" spans="1:16" x14ac:dyDescent="0.2">
      <c r="A40" s="130">
        <f t="shared" si="6"/>
        <v>43077</v>
      </c>
      <c r="B40" s="130">
        <f t="shared" si="8"/>
        <v>43077.229166666664</v>
      </c>
      <c r="C40" s="132">
        <f>sunrise(Lat,Long,B40)+TimeZone/24+0.00103009259259259</f>
        <v>43077.26501676083</v>
      </c>
      <c r="D40" s="132">
        <f>sunset(Lat,Long,B40)+TimeZone/24-0.000277777777777778</f>
        <v>43076.736806213899</v>
      </c>
      <c r="E40" s="133">
        <f>P[[#This Row],[SunRise]]-TimeZone/24</f>
        <v>43077.035850094166</v>
      </c>
      <c r="F40" s="134">
        <f t="shared" si="1"/>
        <v>232.00907871598565</v>
      </c>
      <c r="G40" s="134">
        <f t="shared" si="7"/>
        <v>112.89819554144938</v>
      </c>
      <c r="H40" s="135">
        <f t="shared" si="3"/>
        <v>43077.035850094166</v>
      </c>
      <c r="I40" s="129" t="str">
        <f>naks(P[[#This Row],[Moon]])</f>
        <v>Aslesha</v>
      </c>
      <c r="J40" s="136">
        <f>(C41-P[[#This Row],[SunRise]])/(G41-P[[#This Row],[Moon]])*(13.3333333333333-MOD(P[[#This Row],[Moon]],13.333333333333))+P[[#This Row],[SunRise]]</f>
        <v>43077.772745984934</v>
      </c>
      <c r="K40" s="129">
        <f>MOD(360+P[[#This Row],[Moon]]-P[[#This Row],[Sun]],360)/12</f>
        <v>20.074093068788642</v>
      </c>
      <c r="L40" s="129">
        <f t="shared" si="4"/>
        <v>5.1481861375772837</v>
      </c>
      <c r="M40" s="129"/>
      <c r="N40" s="129">
        <f t="shared" si="5"/>
        <v>25.868045569954326</v>
      </c>
      <c r="O40" s="129"/>
      <c r="P40" s="133"/>
    </row>
    <row r="41" spans="1:16" x14ac:dyDescent="0.2">
      <c r="A41" s="130">
        <f t="shared" si="6"/>
        <v>43078</v>
      </c>
      <c r="B41" s="130">
        <f t="shared" si="8"/>
        <v>43078.229166666664</v>
      </c>
      <c r="C41" s="132">
        <f>sunrise(Lat,Long,B41)+TimeZone/24+0.00103009259259259</f>
        <v>43078.265400614742</v>
      </c>
      <c r="D41" s="132">
        <f>sunset(Lat,Long,B41)+TimeZone/24-0.000277777777777778</f>
        <v>43077.737028738062</v>
      </c>
      <c r="E41" s="133">
        <f>P[[#This Row],[SunRise]]-TimeZone/24</f>
        <v>43078.036233948078</v>
      </c>
      <c r="F41" s="134">
        <f t="shared" si="1"/>
        <v>233.02497734529382</v>
      </c>
      <c r="G41" s="134">
        <f t="shared" si="7"/>
        <v>126.89095029479408</v>
      </c>
      <c r="H41" s="135">
        <f t="shared" si="3"/>
        <v>43078.036233948078</v>
      </c>
      <c r="I41" s="129" t="str">
        <f>naks(P[[#This Row],[Moon]])</f>
        <v>Makha</v>
      </c>
      <c r="J41" s="136">
        <f>(C42-P[[#This Row],[SunRise]])/(G42-P[[#This Row],[Moon]])*(13.3333333333333-MOD(P[[#This Row],[Moon]],13.333333333333))+P[[#This Row],[SunRise]]</f>
        <v>43078.740116351582</v>
      </c>
      <c r="K41" s="129">
        <f>MOD(360+P[[#This Row],[Moon]]-P[[#This Row],[Sun]],360)/12</f>
        <v>21.155497745791688</v>
      </c>
      <c r="L41" s="129">
        <f t="shared" si="4"/>
        <v>0.3109954915833768</v>
      </c>
      <c r="M41" s="129"/>
      <c r="N41" s="129">
        <f t="shared" si="5"/>
        <v>26.993694573681434</v>
      </c>
      <c r="O41" s="129"/>
      <c r="P41" s="133"/>
    </row>
    <row r="42" spans="1:16" x14ac:dyDescent="0.2">
      <c r="A42" s="130">
        <f t="shared" si="6"/>
        <v>43079</v>
      </c>
      <c r="B42" s="130">
        <f t="shared" si="8"/>
        <v>43079.229166666664</v>
      </c>
      <c r="C42" s="132">
        <f>sunrise(Lat,Long,B42)+TimeZone/24+0.00103009259259259</f>
        <v>43079.265784309864</v>
      </c>
      <c r="D42" s="132">
        <f>sunset(Lat,Long,B42)+TimeZone/24-0.000277777777777778</f>
        <v>43078.737262388269</v>
      </c>
      <c r="E42" s="133">
        <f>P[[#This Row],[SunRise]]-TimeZone/24</f>
        <v>43079.0366176432</v>
      </c>
      <c r="F42" s="134">
        <f t="shared" si="1"/>
        <v>234.04121933637299</v>
      </c>
      <c r="G42" s="134">
        <f t="shared" si="7"/>
        <v>140.46719066199114</v>
      </c>
      <c r="H42" s="135">
        <f t="shared" si="3"/>
        <v>43079.0366176432</v>
      </c>
      <c r="I42" s="129" t="str">
        <f>naks(P[[#This Row],[Moon]])</f>
        <v>Purva Phalguni</v>
      </c>
      <c r="J42" s="136">
        <f>(C43-P[[#This Row],[SunRise]])/(G43-P[[#This Row],[Moon]])*(13.3333333333333-MOD(P[[#This Row],[Moon]],13.333333333333))+P[[#This Row],[SunRise]]</f>
        <v>43079.735735266062</v>
      </c>
      <c r="K42" s="129">
        <f>MOD(360+P[[#This Row],[Moon]]-P[[#This Row],[Sun]],360)/12</f>
        <v>22.202164277134845</v>
      </c>
      <c r="L42" s="129">
        <f t="shared" si="4"/>
        <v>2.4043285542696893</v>
      </c>
      <c r="M42" s="129"/>
      <c r="N42" s="129">
        <f t="shared" si="5"/>
        <v>1.088130749904513</v>
      </c>
      <c r="O42" s="129"/>
      <c r="P42" s="133"/>
    </row>
    <row r="43" spans="1:16" x14ac:dyDescent="0.2">
      <c r="A43" s="130">
        <f t="shared" si="6"/>
        <v>43080</v>
      </c>
      <c r="B43" s="130">
        <f t="shared" si="8"/>
        <v>43080.229166666664</v>
      </c>
      <c r="C43" s="132">
        <f>sunrise(Lat,Long,B43)+TimeZone/24+0.00103009259259259</f>
        <v>43080.266167210102</v>
      </c>
      <c r="D43" s="132">
        <f>sunset(Lat,Long,B43)+TimeZone/24-0.000277777777777778</f>
        <v>43079.737506846941</v>
      </c>
      <c r="E43" s="133">
        <f>P[[#This Row],[SunRise]]-TimeZone/24</f>
        <v>43080.037000543438</v>
      </c>
      <c r="F43" s="134">
        <f t="shared" si="1"/>
        <v>235.0577950899347</v>
      </c>
      <c r="G43" s="134">
        <f t="shared" si="7"/>
        <v>153.66399280415845</v>
      </c>
      <c r="H43" s="135">
        <f t="shared" si="3"/>
        <v>43080.037000543438</v>
      </c>
      <c r="I43" s="129" t="str">
        <f>naks(P[[#This Row],[Moon]])</f>
        <v>Uttara Phalguni</v>
      </c>
      <c r="J43" s="136">
        <f>(C44-P[[#This Row],[SunRise]])/(G44-P[[#This Row],[Moon]])*(13.3333333333333-MOD(P[[#This Row],[Moon]],13.333333333333))+P[[#This Row],[SunRise]]</f>
        <v>43080.758673284799</v>
      </c>
      <c r="K43" s="129">
        <f>MOD(360+P[[#This Row],[Moon]]-P[[#This Row],[Sun]],360)/12</f>
        <v>23.217183142851976</v>
      </c>
      <c r="L43" s="129">
        <f t="shared" si="4"/>
        <v>4.4343662857039519</v>
      </c>
      <c r="M43" s="129"/>
      <c r="N43" s="129">
        <f t="shared" si="5"/>
        <v>2.1541340921108398</v>
      </c>
      <c r="O43" s="129"/>
      <c r="P43" s="133"/>
    </row>
    <row r="44" spans="1:16" x14ac:dyDescent="0.2">
      <c r="A44" s="130">
        <f t="shared" si="6"/>
        <v>43081</v>
      </c>
      <c r="B44" s="130">
        <f t="shared" si="8"/>
        <v>43081.229166666664</v>
      </c>
      <c r="C44" s="132">
        <f>sunrise(Lat,Long,B44)+TimeZone/24+0.00103009259259259</f>
        <v>43081.266549156666</v>
      </c>
      <c r="D44" s="132">
        <f>sunset(Lat,Long,B44)+TimeZone/24-0.000277777777777778</f>
        <v>43080.737762113611</v>
      </c>
      <c r="E44" s="133">
        <f>P[[#This Row],[SunRise]]-TimeZone/24</f>
        <v>43081.037382490002</v>
      </c>
      <c r="F44" s="134">
        <f t="shared" si="1"/>
        <v>236.07469154026421</v>
      </c>
      <c r="G44" s="134">
        <f t="shared" si="7"/>
        <v>166.53373703206253</v>
      </c>
      <c r="H44" s="135">
        <f t="shared" si="3"/>
        <v>43081.037382490002</v>
      </c>
      <c r="I44" s="129" t="str">
        <f>naks(P[[#This Row],[Moon]])</f>
        <v>Hasta</v>
      </c>
      <c r="J44" s="136">
        <f>(C45-P[[#This Row],[SunRise]])/(G45-P[[#This Row],[Moon]])*(13.3333333333333-MOD(P[[#This Row],[Moon]],13.333333333333))+P[[#This Row],[SunRise]]</f>
        <v>43081.806432290141</v>
      </c>
      <c r="K44" s="129">
        <f>MOD(360+P[[#This Row],[Moon]]-P[[#This Row],[Sun]],360)/12</f>
        <v>24.204920457649859</v>
      </c>
      <c r="L44" s="129">
        <f t="shared" si="4"/>
        <v>6.4098409152997178</v>
      </c>
      <c r="M44" s="129"/>
      <c r="N44" s="129">
        <f t="shared" si="5"/>
        <v>3.1956321430043944</v>
      </c>
      <c r="O44" s="129"/>
      <c r="P44" s="133"/>
    </row>
    <row r="45" spans="1:16" x14ac:dyDescent="0.2">
      <c r="A45" s="130">
        <f t="shared" si="6"/>
        <v>43082</v>
      </c>
      <c r="B45" s="130">
        <f t="shared" si="8"/>
        <v>43082.229166666664</v>
      </c>
      <c r="C45" s="132">
        <f>sunrise(Lat,Long,B45)+TimeZone/24+0.00103009259259259</f>
        <v>43082.266929672718</v>
      </c>
      <c r="D45" s="132">
        <f>sunset(Lat,Long,B45)+TimeZone/24-0.000277777777777778</f>
        <v>43081.738027553118</v>
      </c>
      <c r="E45" s="133">
        <f>P[[#This Row],[SunRise]]-TimeZone/24</f>
        <v>43082.037763006054</v>
      </c>
      <c r="F45" s="134">
        <f t="shared" si="1"/>
        <v>237.09189227171933</v>
      </c>
      <c r="G45" s="134">
        <f t="shared" si="7"/>
        <v>179.13310018138563</v>
      </c>
      <c r="H45" s="135">
        <f t="shared" si="3"/>
        <v>43082.037763006054</v>
      </c>
      <c r="I45" s="129" t="str">
        <f>naks(P[[#This Row],[Moon]])</f>
        <v>Chitra</v>
      </c>
      <c r="J45" s="136">
        <f>(C46-P[[#This Row],[SunRise]])/(G46-P[[#This Row],[Moon]])*(13.3333333333333-MOD(P[[#This Row],[Moon]],13.333333333333))+P[[#This Row],[SunRise]]</f>
        <v>43082.875567115945</v>
      </c>
      <c r="K45" s="129">
        <f>MOD(360+P[[#This Row],[Moon]]-P[[#This Row],[Sun]],360)/12</f>
        <v>25.170100659138864</v>
      </c>
      <c r="L45" s="129">
        <f t="shared" si="4"/>
        <v>1.3402013182777281</v>
      </c>
      <c r="M45" s="129"/>
      <c r="N45" s="129">
        <f t="shared" si="5"/>
        <v>4.216874434088294</v>
      </c>
      <c r="O45" s="129"/>
      <c r="P45" s="133"/>
    </row>
    <row r="46" spans="1:16" x14ac:dyDescent="0.2">
      <c r="A46" s="130">
        <f t="shared" si="6"/>
        <v>43083</v>
      </c>
      <c r="B46" s="130">
        <f t="shared" si="8"/>
        <v>43083.229166666664</v>
      </c>
      <c r="C46" s="132">
        <f>sunrise(Lat,Long,B46)+TimeZone/24+0.00103009259259259</f>
        <v>43083.267308281422</v>
      </c>
      <c r="D46" s="132">
        <f>sunset(Lat,Long,B46)+TimeZone/24-0.000277777777777778</f>
        <v>43082.738303005739</v>
      </c>
      <c r="E46" s="133">
        <f>P[[#This Row],[SunRise]]-TimeZone/24</f>
        <v>43083.038141614757</v>
      </c>
      <c r="F46" s="134">
        <f t="shared" si="1"/>
        <v>238.10937853891181</v>
      </c>
      <c r="G46" s="134">
        <f t="shared" si="7"/>
        <v>191.51554369191834</v>
      </c>
      <c r="H46" s="135">
        <f t="shared" si="3"/>
        <v>43083.038141614757</v>
      </c>
      <c r="I46" s="129" t="str">
        <f>naks(P[[#This Row],[Moon]])</f>
        <v>Swati</v>
      </c>
      <c r="J46" s="136">
        <f>(C47-P[[#This Row],[SunRise]])/(G47-P[[#This Row],[Moon]])*(13.3333333333333-MOD(P[[#This Row],[Moon]],13.333333333333))+P[[#This Row],[SunRise]]</f>
        <v>43083.962359042365</v>
      </c>
      <c r="K46" s="129">
        <f>MOD(360+P[[#This Row],[Moon]]-P[[#This Row],[Sun]],360)/12</f>
        <v>26.117180429417207</v>
      </c>
      <c r="L46" s="129">
        <f t="shared" si="4"/>
        <v>3.2343608588344139</v>
      </c>
      <c r="M46" s="129"/>
      <c r="N46" s="129">
        <f t="shared" si="5"/>
        <v>5.2218691674428097</v>
      </c>
      <c r="O46" s="129"/>
      <c r="P46" s="133"/>
    </row>
    <row r="47" spans="1:16" x14ac:dyDescent="0.2">
      <c r="A47" s="130">
        <f t="shared" si="6"/>
        <v>43084</v>
      </c>
      <c r="B47" s="130">
        <f t="shared" si="8"/>
        <v>43084.229166666664</v>
      </c>
      <c r="C47" s="132">
        <f>sunrise(Lat,Long,B47)+TimeZone/24+0.00103009259259259</f>
        <v>43084.267684347149</v>
      </c>
      <c r="D47" s="132">
        <f>sunset(Lat,Long,B47)+TimeZone/24-0.000277777777777778</f>
        <v>43083.73858815436</v>
      </c>
      <c r="E47" s="133">
        <f>P[[#This Row],[SunRise]]-TimeZone/24</f>
        <v>43084.038517680485</v>
      </c>
      <c r="F47" s="134">
        <f t="shared" si="1"/>
        <v>239.12712957141827</v>
      </c>
      <c r="G47" s="134">
        <f t="shared" si="7"/>
        <v>203.72709355022491</v>
      </c>
      <c r="H47" s="135">
        <f t="shared" si="3"/>
        <v>43084.038517680485</v>
      </c>
      <c r="I47" s="129" t="str">
        <f>naks(P[[#This Row],[Moon]])</f>
        <v>Visakha</v>
      </c>
      <c r="J47" s="136">
        <f>(C48-P[[#This Row],[SunRise]])/(G48-P[[#This Row],[Moon]])*(13.3333333333333-MOD(P[[#This Row],[Moon]],13.333333333333))+P[[#This Row],[SunRise]]</f>
        <v>43085.063330450452</v>
      </c>
      <c r="K47" s="129">
        <f>MOD(360+P[[#This Row],[Moon]]-P[[#This Row],[Sun]],360)/12</f>
        <v>27.04999699823389</v>
      </c>
      <c r="L47" s="129">
        <f t="shared" si="4"/>
        <v>5.0999939964677807</v>
      </c>
      <c r="M47" s="129"/>
      <c r="N47" s="129">
        <f t="shared" si="5"/>
        <v>6.2140667342785871</v>
      </c>
      <c r="O47" s="129"/>
      <c r="P47" s="133"/>
    </row>
    <row r="48" spans="1:16" x14ac:dyDescent="0.2">
      <c r="A48" s="130">
        <f t="shared" si="6"/>
        <v>43085</v>
      </c>
      <c r="B48" s="130">
        <f t="shared" si="8"/>
        <v>43085.229166666664</v>
      </c>
      <c r="C48" s="132">
        <f>sunrise(Lat,Long,B48)+TimeZone/24+0.00103009259259259</f>
        <v>43085.268057869434</v>
      </c>
      <c r="D48" s="132">
        <f>sunset(Lat,Long,B48)+TimeZone/24-0.000277777777777778</f>
        <v>43084.738882522142</v>
      </c>
      <c r="E48" s="133">
        <f>P[[#This Row],[SunRise]]-TimeZone/24</f>
        <v>43085.03889120277</v>
      </c>
      <c r="F48" s="134">
        <f t="shared" si="1"/>
        <v>240.14512372451074</v>
      </c>
      <c r="G48" s="134">
        <f t="shared" si="7"/>
        <v>215.80511151308525</v>
      </c>
      <c r="H48" s="135">
        <f t="shared" si="3"/>
        <v>43085.03889120277</v>
      </c>
      <c r="I48" s="129" t="str">
        <f>naks(P[[#This Row],[Moon]])</f>
        <v>Anuradha</v>
      </c>
      <c r="J48" s="136">
        <f>(C49-P[[#This Row],[SunRise]])/(G49-P[[#This Row],[Moon]])*(13.3333333333333-MOD(P[[#This Row],[Moon]],13.333333333333))+P[[#This Row],[SunRise]]</f>
        <v>43086.175462513937</v>
      </c>
      <c r="K48" s="129">
        <f>MOD(360+P[[#This Row],[Moon]]-P[[#This Row],[Sun]],360)/12</f>
        <v>27.971665649047868</v>
      </c>
      <c r="L48" s="129">
        <f t="shared" si="4"/>
        <v>6.9433312980957353</v>
      </c>
      <c r="M48" s="129"/>
      <c r="N48" s="129">
        <f t="shared" si="5"/>
        <v>7.1962676429996035</v>
      </c>
      <c r="O48" s="129"/>
      <c r="P48" s="133"/>
    </row>
    <row r="49" spans="1:16" x14ac:dyDescent="0.2">
      <c r="A49" s="130">
        <f t="shared" si="6"/>
        <v>43086</v>
      </c>
      <c r="B49" s="130">
        <f t="shared" si="8"/>
        <v>43086.229166666664</v>
      </c>
      <c r="C49" s="132">
        <f>sunrise(Lat,Long,B49)+TimeZone/24+0.00103009259259259</f>
        <v>43086.268427895069</v>
      </c>
      <c r="D49" s="132">
        <f>sunset(Lat,Long,B49)+TimeZone/24-0.000277777777777778</f>
        <v>43085.739185949365</v>
      </c>
      <c r="E49" s="133">
        <f>P[[#This Row],[SunRise]]-TimeZone/24</f>
        <v>43086.039261228405</v>
      </c>
      <c r="F49" s="134">
        <f t="shared" si="1"/>
        <v>241.1633371976927</v>
      </c>
      <c r="G49" s="134">
        <f t="shared" si="7"/>
        <v>227.779454242361</v>
      </c>
      <c r="H49" s="135">
        <f t="shared" si="3"/>
        <v>43086.039261228405</v>
      </c>
      <c r="I49" s="129" t="str">
        <f>naks(P[[#This Row],[Moon]])</f>
        <v>Jyestha</v>
      </c>
      <c r="J49" s="136">
        <f>(C50-P[[#This Row],[SunRise]])/(G50-P[[#This Row],[Moon]])*(13.3333333333333-MOD(P[[#This Row],[Moon]],13.333333333333))+P[[#This Row],[SunRise]]</f>
        <v>43087.296098313578</v>
      </c>
      <c r="K49" s="129">
        <f>MOD(360+P[[#This Row],[Moon]]-P[[#This Row],[Sun]],360)/12</f>
        <v>28.884676420389024</v>
      </c>
      <c r="L49" s="129" t="str">
        <f t="shared" si="4"/>
        <v>S</v>
      </c>
      <c r="M49" s="129"/>
      <c r="N49" s="129">
        <f t="shared" si="5"/>
        <v>8.1707093582082972</v>
      </c>
      <c r="O49" s="129"/>
      <c r="P49" s="133"/>
    </row>
    <row r="50" spans="1:16" x14ac:dyDescent="0.2">
      <c r="A50" s="130">
        <f t="shared" si="6"/>
        <v>43087</v>
      </c>
      <c r="B50" s="130">
        <f t="shared" si="8"/>
        <v>43087.229166666664</v>
      </c>
      <c r="C50" s="132">
        <f>sunrise(Lat,Long,B50)+TimeZone/24+0.00103009259259259</f>
        <v>43087.268794264797</v>
      </c>
      <c r="D50" s="132">
        <f>sunset(Lat,Long,B50)+TimeZone/24-0.000277777777777778</f>
        <v>43086.739497800867</v>
      </c>
      <c r="E50" s="133">
        <f>P[[#This Row],[SunRise]]-TimeZone/24</f>
        <v>43087.039627598133</v>
      </c>
      <c r="F50" s="134">
        <f t="shared" si="1"/>
        <v>242.18174619461624</v>
      </c>
      <c r="G50" s="134">
        <f t="shared" si="7"/>
        <v>239.67531382482244</v>
      </c>
      <c r="H50" s="135">
        <f t="shared" si="3"/>
        <v>43087.039627598133</v>
      </c>
      <c r="I50" s="129" t="str">
        <f>naks(P[[#This Row],[Moon]])</f>
        <v>Jyestha</v>
      </c>
      <c r="J50" s="136">
        <f>(C51-P[[#This Row],[SunRise]])/(G51-P[[#This Row],[Moon]])*(13.3333333333333-MOD(P[[#This Row],[Moon]],13.333333333333))+P[[#This Row],[SunRise]]</f>
        <v>43087.296223359132</v>
      </c>
      <c r="K50" s="129">
        <f>MOD(360+P[[#This Row],[Moon]]-P[[#This Row],[Sun]],360)/12</f>
        <v>29.791130635850511</v>
      </c>
      <c r="L50" s="129" t="str">
        <f t="shared" si="4"/>
        <v>S</v>
      </c>
      <c r="M50" s="129"/>
      <c r="N50" s="129">
        <f t="shared" si="5"/>
        <v>9.1392795016863833</v>
      </c>
      <c r="O50" s="129"/>
      <c r="P50" s="133"/>
    </row>
    <row r="51" spans="1:16" x14ac:dyDescent="0.2">
      <c r="A51" s="130">
        <f t="shared" si="6"/>
        <v>43088</v>
      </c>
      <c r="B51" s="130">
        <f t="shared" si="8"/>
        <v>43088.229166666664</v>
      </c>
      <c r="C51" s="132">
        <f>sunrise(Lat,Long,B51)+TimeZone/24+0.00103009259259259</f>
        <v>43088.269156502247</v>
      </c>
      <c r="D51" s="132">
        <f>sunset(Lat,Long,B51)+TimeZone/24-0.000277777777777778</f>
        <v>43087.7398177586</v>
      </c>
      <c r="E51" s="133">
        <f>P[[#This Row],[SunRise]]-TimeZone/24</f>
        <v>43088.039989835583</v>
      </c>
      <c r="F51" s="134">
        <f t="shared" si="1"/>
        <v>243.20032622339454</v>
      </c>
      <c r="G51" s="134">
        <f t="shared" si="7"/>
        <v>251.51689286810452</v>
      </c>
      <c r="H51" s="135">
        <f t="shared" si="3"/>
        <v>43088.039989835583</v>
      </c>
      <c r="I51" s="129" t="str">
        <f>naks(P[[#This Row],[Moon]])</f>
        <v>Moola</v>
      </c>
      <c r="J51" s="136">
        <f>(C52-P[[#This Row],[SunRise]])/(G52-P[[#This Row],[Moon]])*(13.3333333333333-MOD(P[[#This Row],[Moon]],13.333333333333))+P[[#This Row],[SunRise]]</f>
        <v>43088.422959319105</v>
      </c>
      <c r="K51" s="129">
        <f>MOD(360+P[[#This Row],[Moon]]-P[[#This Row],[Sun]],360)/12</f>
        <v>0.69304722039249589</v>
      </c>
      <c r="L51" s="129">
        <f t="shared" si="4"/>
        <v>1.3860944407849918</v>
      </c>
      <c r="M51" s="129"/>
      <c r="N51" s="129">
        <f t="shared" si="5"/>
        <v>10.103791432115022</v>
      </c>
      <c r="O51" s="129"/>
      <c r="P51" s="133"/>
    </row>
    <row r="52" spans="1:16" x14ac:dyDescent="0.2">
      <c r="A52" s="130">
        <f t="shared" si="6"/>
        <v>43089</v>
      </c>
      <c r="B52" s="130">
        <f t="shared" si="8"/>
        <v>43089.229166666664</v>
      </c>
      <c r="C52" s="132">
        <f>sunrise(Lat,Long,B52)+TimeZone/24+0.00103009259259259</f>
        <v>43089.269514130116</v>
      </c>
      <c r="D52" s="132">
        <f>sunset(Lat,Long,B52)+TimeZone/24-0.000277777777777778</f>
        <v>43088.740145345728</v>
      </c>
      <c r="E52" s="133">
        <f>P[[#This Row],[SunRise]]-TimeZone/24</f>
        <v>43089.040347463451</v>
      </c>
      <c r="F52" s="134">
        <f t="shared" si="1"/>
        <v>244.21905283583612</v>
      </c>
      <c r="G52" s="134">
        <f t="shared" si="7"/>
        <v>263.33130636262064</v>
      </c>
      <c r="H52" s="135">
        <f t="shared" si="3"/>
        <v>43089.040347463451</v>
      </c>
      <c r="I52" s="129" t="str">
        <f>naks(P[[#This Row],[Moon]])</f>
        <v>Purva Asadha</v>
      </c>
      <c r="J52" s="136">
        <f>(C53-P[[#This Row],[SunRise]])/(G53-P[[#This Row],[Moon]])*(13.3333333333333-MOD(P[[#This Row],[Moon]],13.333333333333))+P[[#This Row],[SunRise]]</f>
        <v>43089.551773601335</v>
      </c>
      <c r="K52" s="129">
        <f>MOD(360+P[[#This Row],[Moon]]-P[[#This Row],[Sun]],360)/12</f>
        <v>1.5926877938987047</v>
      </c>
      <c r="L52" s="129">
        <f t="shared" si="4"/>
        <v>3.1853755877974095</v>
      </c>
      <c r="M52" s="129"/>
      <c r="N52" s="129">
        <f t="shared" si="5"/>
        <v>11.066276940160913</v>
      </c>
      <c r="O52" s="129"/>
      <c r="P52" s="133"/>
    </row>
    <row r="53" spans="1:16" x14ac:dyDescent="0.2">
      <c r="A53" s="130">
        <f t="shared" si="6"/>
        <v>43090</v>
      </c>
      <c r="B53" s="130">
        <f t="shared" si="8"/>
        <v>43090.229166666664</v>
      </c>
      <c r="C53" s="132">
        <f>sunrise(Lat,Long,B53)+TimeZone/24+0.00103009259259259</f>
        <v>43090.269866671566</v>
      </c>
      <c r="D53" s="132">
        <f>sunset(Lat,Long,B53)+TimeZone/24-0.000277777777777778</f>
        <v>43089.740480244203</v>
      </c>
      <c r="E53" s="133">
        <f>P[[#This Row],[SunRise]]-TimeZone/24</f>
        <v>43090.040700004902</v>
      </c>
      <c r="F53" s="134">
        <f t="shared" si="1"/>
        <v>245.23790197576955</v>
      </c>
      <c r="G53" s="134">
        <f t="shared" si="7"/>
        <v>275.15211840623641</v>
      </c>
      <c r="H53" s="135">
        <f t="shared" si="3"/>
        <v>43090.040700004902</v>
      </c>
      <c r="I53" s="129" t="str">
        <f>naks(P[[#This Row],[Moon]])</f>
        <v>Uttara Asadha</v>
      </c>
      <c r="J53" s="136">
        <f>(C54-P[[#This Row],[SunRise]])/(G54-P[[#This Row],[Moon]])*(13.3333333333333-MOD(P[[#This Row],[Moon]],13.333333333333))+P[[#This Row],[SunRise]]</f>
        <v>43090.678425768681</v>
      </c>
      <c r="K53" s="129">
        <f>MOD(360+P[[#This Row],[Moon]]-P[[#This Row],[Sun]],360)/12</f>
        <v>2.4928513692055767</v>
      </c>
      <c r="L53" s="129">
        <f t="shared" si="4"/>
        <v>4.9857027384111534</v>
      </c>
      <c r="M53" s="129"/>
      <c r="N53" s="129">
        <f t="shared" si="5"/>
        <v>12.029251528951182</v>
      </c>
      <c r="O53" s="129"/>
      <c r="P53" s="133"/>
    </row>
    <row r="54" spans="1:16" x14ac:dyDescent="0.2">
      <c r="A54" s="130">
        <f t="shared" si="6"/>
        <v>43091</v>
      </c>
      <c r="B54" s="130">
        <f t="shared" si="8"/>
        <v>43091.229166666664</v>
      </c>
      <c r="C54" s="132">
        <f>sunrise(Lat,Long,B54)+TimeZone/24+0.00103009259259259</f>
        <v>43091.270213650227</v>
      </c>
      <c r="D54" s="132">
        <f>sunset(Lat,Long,B54)+TimeZone/24-0.000277777777777778</f>
        <v>43090.740822136446</v>
      </c>
      <c r="E54" s="133">
        <f>P[[#This Row],[SunRise]]-TimeZone/24</f>
        <v>43091.041046983562</v>
      </c>
      <c r="F54" s="134">
        <f t="shared" si="1"/>
        <v>246.25685023596827</v>
      </c>
      <c r="G54" s="134">
        <f t="shared" si="7"/>
        <v>287.02203817897509</v>
      </c>
      <c r="H54" s="135">
        <f t="shared" si="3"/>
        <v>43091.041046983562</v>
      </c>
      <c r="I54" s="129" t="str">
        <f>naks(P[[#This Row],[Moon]])</f>
        <v>Sravana</v>
      </c>
      <c r="J54" s="136">
        <f>(C55-P[[#This Row],[SunRise]])/(G55-P[[#This Row],[Moon]])*(13.3333333333333-MOD(P[[#This Row],[Moon]],13.333333333333))+P[[#This Row],[SunRise]]</f>
        <v>43091.797548633491</v>
      </c>
      <c r="K54" s="129">
        <f>MOD(360+P[[#This Row],[Moon]]-P[[#This Row],[Sun]],360)/12</f>
        <v>3.3970989952505684</v>
      </c>
      <c r="L54" s="129">
        <f t="shared" si="4"/>
        <v>6.7941979905011367</v>
      </c>
      <c r="M54" s="129"/>
      <c r="N54" s="129">
        <f t="shared" si="5"/>
        <v>12.995916631445651</v>
      </c>
      <c r="O54" s="129"/>
      <c r="P54" s="133"/>
    </row>
    <row r="55" spans="1:16" x14ac:dyDescent="0.2">
      <c r="A55" s="130">
        <f t="shared" si="6"/>
        <v>43092</v>
      </c>
      <c r="B55" s="130">
        <f t="shared" si="8"/>
        <v>43092.229166666664</v>
      </c>
      <c r="C55" s="132">
        <f>sunrise(Lat,Long,B55)+TimeZone/24+0.00103009259259259</f>
        <v>43092.270554588795</v>
      </c>
      <c r="D55" s="132">
        <f>sunset(Lat,Long,B55)+TimeZone/24-0.000277777777777778</f>
        <v>43091.741170386827</v>
      </c>
      <c r="E55" s="133">
        <f>P[[#This Row],[SunRise]]-TimeZone/24</f>
        <v>43092.041387922131</v>
      </c>
      <c r="F55" s="134">
        <f t="shared" si="1"/>
        <v>247.2758750626183</v>
      </c>
      <c r="G55" s="134">
        <f t="shared" si="7"/>
        <v>298.99440321953659</v>
      </c>
      <c r="H55" s="135">
        <f t="shared" si="3"/>
        <v>43092.041387922131</v>
      </c>
      <c r="I55" s="129" t="str">
        <f>naks(P[[#This Row],[Moon]])</f>
        <v>Dhanistha</v>
      </c>
      <c r="J55" s="136">
        <f>(C56-P[[#This Row],[SunRise]])/(G56-P[[#This Row],[Moon]])*(13.3333333333333-MOD(P[[#This Row],[Moon]],13.333333333333))+P[[#This Row],[SunRise]]</f>
        <v>43092.902815376787</v>
      </c>
      <c r="K55" s="129">
        <f>MOD(360+P[[#This Row],[Moon]]-P[[#This Row],[Sun]],360)/12</f>
        <v>4.3098773464098583</v>
      </c>
      <c r="L55" s="129">
        <f t="shared" si="4"/>
        <v>1.6197546928197166</v>
      </c>
      <c r="M55" s="129"/>
      <c r="N55" s="129">
        <f t="shared" si="5"/>
        <v>13.970270871510873</v>
      </c>
      <c r="O55" s="129"/>
      <c r="P55" s="133"/>
    </row>
    <row r="56" spans="1:16" x14ac:dyDescent="0.2">
      <c r="A56" s="130">
        <f t="shared" si="6"/>
        <v>43093</v>
      </c>
      <c r="B56" s="130">
        <f t="shared" si="8"/>
        <v>43093.229166666664</v>
      </c>
      <c r="C56" s="132">
        <f>sunrise(Lat,Long,B56)+TimeZone/24+0.00103009259259259</f>
        <v>43093.27088932848</v>
      </c>
      <c r="D56" s="132">
        <f>sunset(Lat,Long,B56)+TimeZone/24-0.000277777777777778</f>
        <v>43092.74152451758</v>
      </c>
      <c r="E56" s="133">
        <f>P[[#This Row],[SunRise]]-TimeZone/24</f>
        <v>43093.041722661816</v>
      </c>
      <c r="F56" s="134">
        <f t="shared" si="1"/>
        <v>248.29495530866384</v>
      </c>
      <c r="G56" s="134">
        <f t="shared" si="7"/>
        <v>311.13311528883236</v>
      </c>
      <c r="H56" s="135">
        <f t="shared" si="3"/>
        <v>43093.041722661816</v>
      </c>
      <c r="I56" s="129" t="str">
        <f>naks(P[[#This Row],[Moon]])</f>
        <v>Satabhisaj</v>
      </c>
      <c r="J56" s="136">
        <f>(C57-P[[#This Row],[SunRise]])/(G57-P[[#This Row],[Moon]])*(13.3333333333333-MOD(P[[#This Row],[Moon]],13.333333333333))+P[[#This Row],[SunRise]]</f>
        <v>43093.98749574981</v>
      </c>
      <c r="K56" s="129">
        <f>MOD(360+P[[#This Row],[Moon]]-P[[#This Row],[Sun]],360)/12</f>
        <v>5.2365133316807162</v>
      </c>
      <c r="L56" s="129">
        <f t="shared" si="4"/>
        <v>3.4730266633614324</v>
      </c>
      <c r="M56" s="129"/>
      <c r="N56" s="129">
        <f t="shared" si="5"/>
        <v>14.957105295186144</v>
      </c>
      <c r="O56" s="129"/>
      <c r="P56" s="133"/>
    </row>
    <row r="57" spans="1:16" x14ac:dyDescent="0.2">
      <c r="A57" s="130">
        <f t="shared" si="6"/>
        <v>43094</v>
      </c>
      <c r="B57" s="130">
        <f t="shared" si="8"/>
        <v>43094.229166666664</v>
      </c>
      <c r="C57" s="132">
        <f>sunrise(Lat,Long,B57)+TimeZone/24+0.00103009259259259</f>
        <v>43094.271217074398</v>
      </c>
      <c r="D57" s="132">
        <f>sunset(Lat,Long,B57)+TimeZone/24-0.000277777777777778</f>
        <v>43093.741884370844</v>
      </c>
      <c r="E57" s="133">
        <f>P[[#This Row],[SunRise]]-TimeZone/24</f>
        <v>43094.042050407734</v>
      </c>
      <c r="F57" s="134">
        <f t="shared" si="1"/>
        <v>249.3140705824535</v>
      </c>
      <c r="G57" s="134">
        <f t="shared" si="7"/>
        <v>323.51060805533291</v>
      </c>
      <c r="H57" s="135">
        <f t="shared" si="3"/>
        <v>43094.042050407734</v>
      </c>
      <c r="I57" s="129" t="str">
        <f>naks(P[[#This Row],[Moon]])</f>
        <v>Purva Bhadrapada</v>
      </c>
      <c r="J57" s="136">
        <f>(C58-P[[#This Row],[SunRise]])/(G58-P[[#This Row],[Moon]])*(13.3333333333333-MOD(P[[#This Row],[Moon]],13.333333333333))+P[[#This Row],[SunRise]]</f>
        <v>43095.045345534803</v>
      </c>
      <c r="K57" s="129">
        <f>MOD(360+P[[#This Row],[Moon]]-P[[#This Row],[Sun]],360)/12</f>
        <v>6.1830447894066181</v>
      </c>
      <c r="L57" s="129">
        <f t="shared" si="4"/>
        <v>5.3660895788132361</v>
      </c>
      <c r="M57" s="129"/>
      <c r="N57" s="129">
        <f t="shared" si="5"/>
        <v>15.961850898233026</v>
      </c>
      <c r="O57" s="129"/>
      <c r="P57" s="133"/>
    </row>
    <row r="58" spans="1:16" x14ac:dyDescent="0.2">
      <c r="A58" s="130">
        <f t="shared" si="6"/>
        <v>43095</v>
      </c>
      <c r="B58" s="130">
        <f t="shared" si="8"/>
        <v>43095.229166666664</v>
      </c>
      <c r="C58" s="132">
        <f>sunrise(Lat,Long,B58)+TimeZone/24+0.00103009259259259</f>
        <v>43095.271537668224</v>
      </c>
      <c r="D58" s="132">
        <f>sunset(Lat,Long,B58)+TimeZone/24-0.000277777777777778</f>
        <v>43094.74224931006</v>
      </c>
      <c r="E58" s="133">
        <f>P[[#This Row],[SunRise]]-TimeZone/24</f>
        <v>43095.04237100156</v>
      </c>
      <c r="F58" s="134">
        <f t="shared" si="1"/>
        <v>250.33320297708735</v>
      </c>
      <c r="G58" s="134">
        <f t="shared" si="7"/>
        <v>336.20342957735761</v>
      </c>
      <c r="H58" s="135">
        <f t="shared" si="3"/>
        <v>43095.04237100156</v>
      </c>
      <c r="I58" s="129" t="str">
        <f>naks(P[[#This Row],[Moon]])</f>
        <v>Uttara Bhadrapada</v>
      </c>
      <c r="J58" s="136">
        <f>(C59-P[[#This Row],[SunRise]])/(G59-P[[#This Row],[Moon]])*(13.3333333333333-MOD(P[[#This Row],[Moon]],13.333333333333))+P[[#This Row],[SunRise]]</f>
        <v>43096.071638437686</v>
      </c>
      <c r="K58" s="129">
        <f>MOD(360+P[[#This Row],[Moon]]-P[[#This Row],[Sun]],360)/12</f>
        <v>7.1558522166891878</v>
      </c>
      <c r="L58" s="129">
        <f t="shared" si="4"/>
        <v>0.31170443337837561</v>
      </c>
      <c r="M58" s="129"/>
      <c r="N58" s="129">
        <f t="shared" si="5"/>
        <v>16.990247442008126</v>
      </c>
      <c r="O58" s="129"/>
      <c r="P58" s="133"/>
    </row>
    <row r="59" spans="1:16" x14ac:dyDescent="0.2">
      <c r="A59" s="130">
        <f t="shared" si="6"/>
        <v>43096</v>
      </c>
      <c r="B59" s="130">
        <f t="shared" si="8"/>
        <v>43096.229166666664</v>
      </c>
      <c r="C59" s="132">
        <f>sunrise(Lat,Long,B59)+TimeZone/24+0.00103009259259259</f>
        <v>43096.271850632191</v>
      </c>
      <c r="D59" s="132">
        <f>sunset(Lat,Long,B59)+TimeZone/24-0.000277777777777778</f>
        <v>43095.742619018114</v>
      </c>
      <c r="E59" s="133">
        <f>P[[#This Row],[SunRise]]-TimeZone/24</f>
        <v>43096.042683965527</v>
      </c>
      <c r="F59" s="134">
        <f t="shared" si="1"/>
        <v>251.35233664852112</v>
      </c>
      <c r="G59" s="134">
        <f t="shared" si="7"/>
        <v>349.28492144053808</v>
      </c>
      <c r="H59" s="135">
        <f t="shared" si="3"/>
        <v>43096.042683965527</v>
      </c>
      <c r="I59" s="129" t="str">
        <f>naks(P[[#This Row],[Moon]])</f>
        <v>Revati</v>
      </c>
      <c r="J59" s="136">
        <f>(C60-P[[#This Row],[SunRise]])/(G60-P[[#This Row],[Moon]])*(13.3333333333333-MOD(P[[#This Row],[Moon]],13.333333333333))+P[[#This Row],[SunRise]]</f>
        <v>43096.240914796559</v>
      </c>
      <c r="K59" s="129">
        <f>MOD(360+P[[#This Row],[Moon]]-P[[#This Row],[Sun]],360)/12</f>
        <v>8.161048732668073</v>
      </c>
      <c r="L59" s="129">
        <f t="shared" si="4"/>
        <v>2.3220974653361459</v>
      </c>
      <c r="M59" s="129"/>
      <c r="N59" s="129">
        <f t="shared" si="5"/>
        <v>18.047794357130631</v>
      </c>
      <c r="O59" s="129"/>
      <c r="P59" s="133"/>
    </row>
    <row r="60" spans="1:16" x14ac:dyDescent="0.2">
      <c r="A60" s="130">
        <f t="shared" si="6"/>
        <v>43097</v>
      </c>
      <c r="B60" s="130">
        <f t="shared" si="8"/>
        <v>43097.229166666664</v>
      </c>
      <c r="C60" s="132">
        <f>sunrise(Lat,Long,B60)+TimeZone/24+0.00103009259259259</f>
        <v>43097.272155649182</v>
      </c>
      <c r="D60" s="132">
        <f>sunset(Lat,Long,B60)+TimeZone/24-0.000277777777777778</f>
        <v>43096.742993017237</v>
      </c>
      <c r="E60" s="133">
        <f>P[[#This Row],[SunRise]]-TimeZone/24</f>
        <v>43097.042988982517</v>
      </c>
      <c r="F60" s="134">
        <f t="shared" si="1"/>
        <v>252.37145895375676</v>
      </c>
      <c r="G60" s="134">
        <f t="shared" si="7"/>
        <v>2.8146670516394399</v>
      </c>
      <c r="H60" s="135">
        <f t="shared" si="3"/>
        <v>43097.042988982517</v>
      </c>
      <c r="I60" s="129" t="str">
        <f>naks(P[[#This Row],[Moon]])</f>
        <v>Aswini</v>
      </c>
      <c r="J60" s="136">
        <f>(C61-P[[#This Row],[SunRise]])/(G61-P[[#This Row],[Moon]])*(13.3333333333333-MOD(P[[#This Row],[Moon]],13.333333333333))+P[[#This Row],[SunRise]]</f>
        <v>204155.69048351681</v>
      </c>
      <c r="K60" s="129">
        <f>MOD(360+P[[#This Row],[Moon]]-P[[#This Row],[Sun]],360)/12</f>
        <v>9.2036006748235568</v>
      </c>
      <c r="L60" s="129">
        <f t="shared" si="4"/>
        <v>4.4072013496471136</v>
      </c>
      <c r="M60" s="129"/>
      <c r="N60" s="129">
        <f t="shared" si="5"/>
        <v>19.138959450883188</v>
      </c>
      <c r="O60" s="129"/>
      <c r="P60" s="1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61"/>
  <sheetViews>
    <sheetView topLeftCell="A37" workbookViewId="0">
      <selection activeCell="E65" sqref="E65"/>
    </sheetView>
  </sheetViews>
  <sheetFormatPr defaultColWidth="21.85546875" defaultRowHeight="12.75" x14ac:dyDescent="0.2"/>
  <sheetData>
    <row r="1" spans="1:7" ht="21" thickBot="1" x14ac:dyDescent="0.35">
      <c r="A1" s="153">
        <f>Panchanga!A3</f>
        <v>43040</v>
      </c>
      <c r="B1" s="154" t="s">
        <v>53</v>
      </c>
      <c r="C1" s="154">
        <v>13.5</v>
      </c>
      <c r="D1" s="154" t="s">
        <v>54</v>
      </c>
      <c r="E1" s="154">
        <v>80.23</v>
      </c>
      <c r="F1" s="154" t="s">
        <v>55</v>
      </c>
      <c r="G1" s="155">
        <v>5.5</v>
      </c>
    </row>
    <row r="2" spans="1:7" ht="13.5" thickBot="1" x14ac:dyDescent="0.25">
      <c r="A2" s="157">
        <v>1</v>
      </c>
      <c r="B2" s="143">
        <v>2</v>
      </c>
      <c r="C2" s="143">
        <v>3</v>
      </c>
      <c r="D2" s="143">
        <v>4</v>
      </c>
      <c r="E2" s="143">
        <v>5</v>
      </c>
      <c r="F2" s="143">
        <v>6</v>
      </c>
      <c r="G2" s="168">
        <v>7</v>
      </c>
    </row>
    <row r="3" spans="1:7" ht="23.25" x14ac:dyDescent="0.35">
      <c r="A3" s="158">
        <f>IF(WEEKDAY(DATE(YEAR(CalMonth),MONTH(CalMonth),1))=A2,CalMonth,0)</f>
        <v>0</v>
      </c>
      <c r="B3" s="152">
        <f t="shared" ref="B3:G3" si="0">IF(WEEKDAY(DATE(YEAR(CalMonth+DAY(A3)),MONTH(CalMonth+DAY(A3)),1+DAY(A3)))=B2,CalMonth+DAY(A3),0)</f>
        <v>0</v>
      </c>
      <c r="C3" s="152">
        <f t="shared" si="0"/>
        <v>0</v>
      </c>
      <c r="D3" s="152">
        <f t="shared" si="0"/>
        <v>43040</v>
      </c>
      <c r="E3" s="152">
        <f t="shared" si="0"/>
        <v>43041</v>
      </c>
      <c r="F3" s="152">
        <f t="shared" si="0"/>
        <v>43042</v>
      </c>
      <c r="G3" s="158">
        <f t="shared" si="0"/>
        <v>43043</v>
      </c>
    </row>
    <row r="4" spans="1:7" x14ac:dyDescent="0.2">
      <c r="A4" s="159"/>
      <c r="B4" s="144"/>
      <c r="C4" s="144"/>
      <c r="D4" s="146">
        <f>VLOOKUP(D3,P[],2,TRUE)</f>
        <v>43040.229166666664</v>
      </c>
      <c r="E4" s="146">
        <f>VLOOKUP(E3,P[],2,TRUE)</f>
        <v>43041.229166666664</v>
      </c>
      <c r="F4" s="146">
        <f>VLOOKUP(F3,P[],2,TRUE)</f>
        <v>43042.229166666664</v>
      </c>
      <c r="G4" s="162">
        <f>VLOOKUP(G3,P[],2,TRUE)</f>
        <v>43043.229166666664</v>
      </c>
    </row>
    <row r="5" spans="1:7" x14ac:dyDescent="0.2">
      <c r="A5" s="159"/>
      <c r="B5" s="144"/>
      <c r="C5" s="144"/>
      <c r="D5" s="146">
        <f>VLOOKUP(D3,P[],3,TRUE)</f>
        <v>43040.253296262737</v>
      </c>
      <c r="E5" s="146">
        <f>VLOOKUP(E3,P[],3,TRUE)</f>
        <v>43041.253503368855</v>
      </c>
      <c r="F5" s="146">
        <f>VLOOKUP(F3,P[],3,TRUE)</f>
        <v>43042.253717309948</v>
      </c>
      <c r="G5" s="162">
        <f>VLOOKUP(G3,P[],3,TRUE)</f>
        <v>43043.25393856239</v>
      </c>
    </row>
    <row r="6" spans="1:7" x14ac:dyDescent="0.2">
      <c r="A6" s="159"/>
      <c r="B6" s="144"/>
      <c r="C6" s="144"/>
      <c r="D6" s="147">
        <f>VLOOKUP(D3,P[],6,TRUE)</f>
        <v>194.67726502073566</v>
      </c>
      <c r="E6" s="147">
        <f>VLOOKUP(E3,P[],6,TRUE)</f>
        <v>195.67771874622005</v>
      </c>
      <c r="F6" s="147">
        <f>VLOOKUP(F3,P[],6,TRUE)</f>
        <v>196.67865375851568</v>
      </c>
      <c r="G6" s="163">
        <f>VLOOKUP(G3,P[],6,TRUE)</f>
        <v>197.68008400115369</v>
      </c>
    </row>
    <row r="7" spans="1:7" x14ac:dyDescent="0.2">
      <c r="A7" s="159"/>
      <c r="B7" s="144"/>
      <c r="C7" s="144"/>
      <c r="D7" s="147">
        <f>VLOOKUP(D3,P[],7,TRUE)</f>
        <v>332.43472777643245</v>
      </c>
      <c r="E7" s="147">
        <f>VLOOKUP(E3,P[],7,TRUE)</f>
        <v>346.17630537810965</v>
      </c>
      <c r="F7" s="147">
        <f>VLOOKUP(F3,P[],7,TRUE)</f>
        <v>0.36721265348842785</v>
      </c>
      <c r="G7" s="163">
        <f>VLOOKUP(G3,P[],7,TRUE)</f>
        <v>14.939911393920529</v>
      </c>
    </row>
    <row r="8" spans="1:7" x14ac:dyDescent="0.2">
      <c r="A8" s="159"/>
      <c r="B8" s="144"/>
      <c r="C8" s="144"/>
      <c r="D8" s="148" t="str">
        <f>VLOOKUP(D3,P[],9,TRUE) &amp; " "&amp;ROUND(D7/13.333,2)</f>
        <v>Purva Bhadrapada 24.93</v>
      </c>
      <c r="E8" s="148" t="str">
        <f>VLOOKUP(E3,P[],9,TRUE) &amp; " "&amp;ROUND(E7/13.333,2)</f>
        <v>Uttara Bhadrapada 25.96</v>
      </c>
      <c r="F8" s="148" t="str">
        <f>VLOOKUP(F3,P[],9,TRUE) &amp; " "&amp;ROUND(F7/13.333,2)</f>
        <v>Aswini 0.03</v>
      </c>
      <c r="G8" s="164" t="str">
        <f>VLOOKUP(G3,P[],9,TRUE) &amp; " "&amp;ROUND(G7/13.333,2)</f>
        <v>Bharani 1.12</v>
      </c>
    </row>
    <row r="9" spans="1:7" x14ac:dyDescent="0.2">
      <c r="A9" s="159"/>
      <c r="B9" s="144"/>
      <c r="C9" s="144"/>
      <c r="D9" s="149">
        <f>VLOOKUP(D3,P[],10,TRUE)</f>
        <v>43040.318702993296</v>
      </c>
      <c r="E9" s="149">
        <f>VLOOKUP(E3,P[],10,TRUE)</f>
        <v>43041.252085053929</v>
      </c>
      <c r="F9" s="149">
        <f>VLOOKUP(F3,P[],10,TRUE)</f>
        <v>43043.143668423101</v>
      </c>
      <c r="G9" s="165">
        <f>VLOOKUP(G3,P[],10,TRUE)</f>
        <v>43044.044410267408</v>
      </c>
    </row>
    <row r="10" spans="1:7" x14ac:dyDescent="0.2">
      <c r="A10" s="159"/>
      <c r="B10" s="144"/>
      <c r="C10" s="144"/>
      <c r="D10" s="147">
        <f>VLOOKUP(D3,P[],11,TRUE)</f>
        <v>11.479788562974738</v>
      </c>
      <c r="E10" s="147">
        <f>VLOOKUP(E3,P[],11,TRUE)</f>
        <v>12.541548885990798</v>
      </c>
      <c r="F10" s="147">
        <f>VLOOKUP(F3,P[],11,TRUE)</f>
        <v>13.640713241247729</v>
      </c>
      <c r="G10" s="163">
        <f>VLOOKUP(G3,P[],11,TRUE)</f>
        <v>14.771652282730569</v>
      </c>
    </row>
    <row r="11" spans="1:7" x14ac:dyDescent="0.2">
      <c r="A11" s="159"/>
      <c r="B11" s="144"/>
      <c r="C11" s="144"/>
      <c r="D11" s="150">
        <f>VLOOKUP(D3,P[],12,TRUE)</f>
        <v>1.9595771259494761</v>
      </c>
      <c r="E11" s="150">
        <f>VLOOKUP(E3,P[],12,TRUE)</f>
        <v>4.0830977719815955</v>
      </c>
      <c r="F11" s="150">
        <f>VLOOKUP(F3,P[],12,TRUE)</f>
        <v>6.2814264824954584</v>
      </c>
      <c r="G11" s="166">
        <f>VLOOKUP(G3,P[],12,TRUE)</f>
        <v>1.5433045654611384</v>
      </c>
    </row>
    <row r="12" spans="1:7" x14ac:dyDescent="0.2">
      <c r="A12" s="159"/>
      <c r="B12" s="144"/>
      <c r="C12" s="144"/>
      <c r="D12" s="150">
        <f>VLOOKUP(D3,P[],13,TRUE)</f>
        <v>0</v>
      </c>
      <c r="E12" s="150">
        <f>VLOOKUP(E3,P[],13,TRUE)</f>
        <v>0</v>
      </c>
      <c r="F12" s="150">
        <f>VLOOKUP(F3,P[],13,TRUE)</f>
        <v>0</v>
      </c>
      <c r="G12" s="166">
        <f>VLOOKUP(G3,P[],13,TRUE)</f>
        <v>0</v>
      </c>
    </row>
    <row r="13" spans="1:7" ht="13.5" thickBot="1" x14ac:dyDescent="0.25">
      <c r="A13" s="160"/>
      <c r="B13" s="145"/>
      <c r="C13" s="145"/>
      <c r="D13" s="151">
        <f>VLOOKUP(D3,P[],14,TRUE)</f>
        <v>12.533399460100943</v>
      </c>
      <c r="E13" s="151">
        <f>VLOOKUP(E3,P[],14,TRUE)</f>
        <v>13.639051809665705</v>
      </c>
      <c r="F13" s="151">
        <f>VLOOKUP(F3,P[],14,TRUE)</f>
        <v>14.778439981269768</v>
      </c>
      <c r="G13" s="167">
        <f>VLOOKUP(G3,P[],14,TRUE)</f>
        <v>15.946499655029228</v>
      </c>
    </row>
    <row r="14" spans="1:7" ht="13.5" thickBot="1" x14ac:dyDescent="0.25">
      <c r="A14" s="161"/>
      <c r="B14" s="156"/>
      <c r="C14" s="156"/>
      <c r="D14" s="156"/>
      <c r="E14" s="156"/>
      <c r="F14" s="156"/>
      <c r="G14" s="169"/>
    </row>
    <row r="15" spans="1:7" ht="23.25" x14ac:dyDescent="0.35">
      <c r="A15" s="158">
        <f>G3+1</f>
        <v>43044</v>
      </c>
      <c r="B15" s="152">
        <f>A15+1</f>
        <v>43045</v>
      </c>
      <c r="C15" s="152">
        <f t="shared" ref="C15:G15" si="1">B15+1</f>
        <v>43046</v>
      </c>
      <c r="D15" s="152">
        <f t="shared" si="1"/>
        <v>43047</v>
      </c>
      <c r="E15" s="152">
        <f t="shared" si="1"/>
        <v>43048</v>
      </c>
      <c r="F15" s="152">
        <f t="shared" si="1"/>
        <v>43049</v>
      </c>
      <c r="G15" s="158">
        <f t="shared" si="1"/>
        <v>43050</v>
      </c>
    </row>
    <row r="16" spans="1:7" x14ac:dyDescent="0.2">
      <c r="A16" s="162">
        <f>VLOOKUP(A15,P[],2,TRUE)</f>
        <v>43044.229166666664</v>
      </c>
      <c r="B16" s="146">
        <f>VLOOKUP(B15,P[],2,TRUE)</f>
        <v>43045.229166666664</v>
      </c>
      <c r="C16" s="146">
        <f>VLOOKUP(C15,P[],2,TRUE)</f>
        <v>43046.229166666664</v>
      </c>
      <c r="D16" s="146">
        <f>VLOOKUP(D15,P[],2,TRUE)</f>
        <v>43047.229166666664</v>
      </c>
      <c r="E16" s="146">
        <f>VLOOKUP(E15,P[],2,TRUE)</f>
        <v>43048.229166666664</v>
      </c>
      <c r="F16" s="146">
        <f>VLOOKUP(F15,P[],2,TRUE)</f>
        <v>43049.229166666664</v>
      </c>
      <c r="G16" s="162">
        <f>VLOOKUP(G15,P[],2,TRUE)</f>
        <v>43050.229166666664</v>
      </c>
    </row>
    <row r="17" spans="1:7" x14ac:dyDescent="0.2">
      <c r="A17" s="162">
        <f>VLOOKUP(A15,P[],3,TRUE)</f>
        <v>43044.254166808132</v>
      </c>
      <c r="B17" s="146">
        <f>VLOOKUP(B15,P[],3,TRUE)</f>
        <v>43045.254402206898</v>
      </c>
      <c r="C17" s="146">
        <f>VLOOKUP(C15,P[],3,TRUE)</f>
        <v>43046.254644758221</v>
      </c>
      <c r="D17" s="146">
        <f>VLOOKUP(D15,P[],3,TRUE)</f>
        <v>43047.254894779682</v>
      </c>
      <c r="E17" s="146">
        <f>VLOOKUP(E15,P[],3,TRUE)</f>
        <v>43048.25515179491</v>
      </c>
      <c r="F17" s="146">
        <f>VLOOKUP(F15,P[],3,TRUE)</f>
        <v>43049.255416121487</v>
      </c>
      <c r="G17" s="162">
        <f>VLOOKUP(G15,P[],3,TRUE)</f>
        <v>43050.255687601086</v>
      </c>
    </row>
    <row r="18" spans="1:7" x14ac:dyDescent="0.2">
      <c r="A18" s="163">
        <f>VLOOKUP(A15,P[],6,TRUE)</f>
        <v>198.68202539575753</v>
      </c>
      <c r="B18" s="147">
        <f>VLOOKUP(B15,P[],6,TRUE)</f>
        <v>199.68449558286454</v>
      </c>
      <c r="C18" s="147">
        <f>VLOOKUP(C15,P[],6,TRUE)</f>
        <v>200.68751136213388</v>
      </c>
      <c r="D18" s="147">
        <f>VLOOKUP(D15,P[],6,TRUE)</f>
        <v>201.69108721328826</v>
      </c>
      <c r="E18" s="147">
        <f>VLOOKUP(E15,P[],6,TRUE)</f>
        <v>202.69523255741325</v>
      </c>
      <c r="F18" s="147">
        <f>VLOOKUP(F15,P[],6,TRUE)</f>
        <v>203.6999523432778</v>
      </c>
      <c r="G18" s="163">
        <f>VLOOKUP(G15,P[],6,TRUE)</f>
        <v>204.70524548026265</v>
      </c>
    </row>
    <row r="19" spans="1:7" x14ac:dyDescent="0.2">
      <c r="A19" s="163">
        <f>VLOOKUP(A15,P[],7,TRUE)</f>
        <v>29.778433481786802</v>
      </c>
      <c r="B19" s="147">
        <f>VLOOKUP(B15,P[],7,TRUE)</f>
        <v>44.734151679378286</v>
      </c>
      <c r="C19" s="147">
        <f>VLOOKUP(C15,P[],7,TRUE)</f>
        <v>59.651324182716046</v>
      </c>
      <c r="D19" s="147">
        <f>VLOOKUP(D15,P[],7,TRUE)</f>
        <v>74.394184492075496</v>
      </c>
      <c r="E19" s="147">
        <f>VLOOKUP(E15,P[],7,TRUE)</f>
        <v>88.866260141390242</v>
      </c>
      <c r="F19" s="147">
        <f>VLOOKUP(F15,P[],7,TRUE)</f>
        <v>103.01688236709727</v>
      </c>
      <c r="G19" s="163">
        <f>VLOOKUP(G15,P[],7,TRUE)</f>
        <v>116.83589322295938</v>
      </c>
    </row>
    <row r="20" spans="1:7" x14ac:dyDescent="0.2">
      <c r="A20" s="164" t="str">
        <f>VLOOKUP(A15,P[],9,TRUE) &amp; " "&amp;ROUND(A19/13.333,2)</f>
        <v>Krittika 2.23</v>
      </c>
      <c r="B20" s="148" t="str">
        <f>VLOOKUP(B15,P[],9,TRUE) &amp; " "&amp;ROUND(B19/13.333,2)</f>
        <v>Rohini 3.36</v>
      </c>
      <c r="C20" s="148" t="str">
        <f>VLOOKUP(C15,P[],9,TRUE) &amp; " "&amp;ROUND(C19/13.333,2)</f>
        <v>Mrigashira 4.47</v>
      </c>
      <c r="D20" s="148" t="str">
        <f>VLOOKUP(D15,P[],9,TRUE) &amp; " "&amp;ROUND(D19/13.333,2)</f>
        <v>Ardra 5.58</v>
      </c>
      <c r="E20" s="148" t="str">
        <f>VLOOKUP(E15,P[],9,TRUE) &amp; " "&amp;ROUND(E19/13.333,2)</f>
        <v>Punarvasu 6.67</v>
      </c>
      <c r="F20" s="148" t="str">
        <f>VLOOKUP(F15,P[],9,TRUE) &amp; " "&amp;ROUND(F19/13.333,2)</f>
        <v>Pushya 7.73</v>
      </c>
      <c r="G20" s="164" t="str">
        <f>VLOOKUP(G15,P[],9,TRUE) &amp; " "&amp;ROUND(G19/13.333,2)</f>
        <v>Aslesha 8.76</v>
      </c>
    </row>
    <row r="21" spans="1:7" x14ac:dyDescent="0.2">
      <c r="A21" s="165">
        <f>VLOOKUP(A15,P[],10,TRUE)</f>
        <v>43044.937783103065</v>
      </c>
      <c r="B21" s="149">
        <f>VLOOKUP(B15,P[],10,TRUE)</f>
        <v>43045.831003931853</v>
      </c>
      <c r="C21" s="149">
        <f>VLOOKUP(C15,P[],10,TRUE)</f>
        <v>43046.730610501836</v>
      </c>
      <c r="D21" s="149">
        <f>VLOOKUP(D15,P[],10,TRUE)</f>
        <v>43047.642348274516</v>
      </c>
      <c r="E21" s="149">
        <f>VLOOKUP(E15,P[],10,TRUE)</f>
        <v>43048.570915574543</v>
      </c>
      <c r="F21" s="149">
        <f>VLOOKUP(F15,P[],10,TRUE)</f>
        <v>43049.519601104017</v>
      </c>
      <c r="G21" s="165">
        <f>VLOOKUP(G15,P[],10,TRUE)</f>
        <v>43050.490030018605</v>
      </c>
    </row>
    <row r="22" spans="1:7" x14ac:dyDescent="0.2">
      <c r="A22" s="163">
        <f>VLOOKUP(A15,P[],11,TRUE)</f>
        <v>15.924700673835773</v>
      </c>
      <c r="B22" s="147">
        <f>VLOOKUP(B15,P[],11,TRUE)</f>
        <v>17.087471341376144</v>
      </c>
      <c r="C22" s="147">
        <f>VLOOKUP(C15,P[],11,TRUE)</f>
        <v>18.246984401715181</v>
      </c>
      <c r="D22" s="147">
        <f>VLOOKUP(D15,P[],11,TRUE)</f>
        <v>19.391924773232272</v>
      </c>
      <c r="E22" s="147">
        <f>VLOOKUP(E15,P[],11,TRUE)</f>
        <v>20.514252298664747</v>
      </c>
      <c r="F22" s="147">
        <f>VLOOKUP(F15,P[],11,TRUE)</f>
        <v>21.60974416865162</v>
      </c>
      <c r="G22" s="163">
        <f>VLOOKUP(G15,P[],11,TRUE)</f>
        <v>22.677553978558063</v>
      </c>
    </row>
    <row r="23" spans="1:7" x14ac:dyDescent="0.2">
      <c r="A23" s="166">
        <f>VLOOKUP(A15,P[],12,TRUE)</f>
        <v>3.8494013476715452</v>
      </c>
      <c r="B23" s="150">
        <f>VLOOKUP(B15,P[],12,TRUE)</f>
        <v>6.1749426827522882</v>
      </c>
      <c r="C23" s="150">
        <f>VLOOKUP(C15,P[],12,TRUE)</f>
        <v>1.4939688034303629</v>
      </c>
      <c r="D23" s="150">
        <f>VLOOKUP(D15,P[],12,TRUE)</f>
        <v>3.7838495464645447</v>
      </c>
      <c r="E23" s="150">
        <f>VLOOKUP(E15,P[],12,TRUE)</f>
        <v>6.0285045973294942</v>
      </c>
      <c r="F23" s="150">
        <f>VLOOKUP(F15,P[],12,TRUE)</f>
        <v>1.2194883373032397</v>
      </c>
      <c r="G23" s="166">
        <f>VLOOKUP(G15,P[],12,TRUE)</f>
        <v>3.3551079571161253</v>
      </c>
    </row>
    <row r="24" spans="1:7" x14ac:dyDescent="0.2">
      <c r="A24" s="166">
        <f>VLOOKUP(A15,P[],13,TRUE)</f>
        <v>0</v>
      </c>
      <c r="B24" s="150">
        <f>VLOOKUP(B15,P[],13,TRUE)</f>
        <v>0</v>
      </c>
      <c r="C24" s="150">
        <f>VLOOKUP(C15,P[],13,TRUE)</f>
        <v>0</v>
      </c>
      <c r="D24" s="150">
        <f>VLOOKUP(D15,P[],13,TRUE)</f>
        <v>0</v>
      </c>
      <c r="E24" s="150">
        <f>VLOOKUP(E15,P[],13,TRUE)</f>
        <v>0</v>
      </c>
      <c r="F24" s="150">
        <f>VLOOKUP(F15,P[],13,TRUE)</f>
        <v>0</v>
      </c>
      <c r="G24" s="166">
        <f>VLOOKUP(G15,P[],13,TRUE)</f>
        <v>0</v>
      </c>
    </row>
    <row r="25" spans="1:7" ht="13.5" thickBot="1" x14ac:dyDescent="0.25">
      <c r="A25" s="167">
        <f>VLOOKUP(A15,P[],14,TRUE)</f>
        <v>17.13453441624419</v>
      </c>
      <c r="B25" s="151">
        <f>VLOOKUP(B15,P[],14,TRUE)</f>
        <v>18.331398545126497</v>
      </c>
      <c r="C25" s="151">
        <f>VLOOKUP(C15,P[],14,TRUE)</f>
        <v>19.52541266635188</v>
      </c>
      <c r="D25" s="151">
        <f>VLOOKUP(D15,P[],14,TRUE)</f>
        <v>20.706395378419941</v>
      </c>
      <c r="E25" s="151">
        <f>VLOOKUP(E15,P[],14,TRUE)</f>
        <v>21.867111952956936</v>
      </c>
      <c r="F25" s="151">
        <f>VLOOKUP(F15,P[],14,TRUE)</f>
        <v>23.003762603853222</v>
      </c>
      <c r="G25" s="167">
        <f>VLOOKUP(G15,P[],14,TRUE)</f>
        <v>24.115585403344539</v>
      </c>
    </row>
    <row r="26" spans="1:7" ht="13.5" thickBot="1" x14ac:dyDescent="0.25">
      <c r="A26" s="161"/>
      <c r="B26" s="156"/>
      <c r="C26" s="156"/>
      <c r="D26" s="156"/>
      <c r="E26" s="156"/>
      <c r="F26" s="156"/>
      <c r="G26" s="169"/>
    </row>
    <row r="27" spans="1:7" ht="23.25" x14ac:dyDescent="0.35">
      <c r="A27" s="158">
        <f>G15+1</f>
        <v>43051</v>
      </c>
      <c r="B27" s="152">
        <f>A27+1</f>
        <v>43052</v>
      </c>
      <c r="C27" s="152">
        <f t="shared" ref="C27:G27" si="2">B27+1</f>
        <v>43053</v>
      </c>
      <c r="D27" s="152">
        <f t="shared" si="2"/>
        <v>43054</v>
      </c>
      <c r="E27" s="152">
        <f t="shared" si="2"/>
        <v>43055</v>
      </c>
      <c r="F27" s="152">
        <f t="shared" si="2"/>
        <v>43056</v>
      </c>
      <c r="G27" s="158">
        <f t="shared" si="2"/>
        <v>43057</v>
      </c>
    </row>
    <row r="28" spans="1:7" x14ac:dyDescent="0.2">
      <c r="A28" s="162">
        <f>VLOOKUP(A27,P[],2,TRUE)</f>
        <v>43051.229166666664</v>
      </c>
      <c r="B28" s="146">
        <f>VLOOKUP(B27,P[],2,TRUE)</f>
        <v>43052.229166666664</v>
      </c>
      <c r="C28" s="146">
        <f>VLOOKUP(C27,P[],2,TRUE)</f>
        <v>43053.229166666664</v>
      </c>
      <c r="D28" s="146">
        <f>VLOOKUP(D27,P[],2,TRUE)</f>
        <v>43054.229166666664</v>
      </c>
      <c r="E28" s="146">
        <f>VLOOKUP(E27,P[],2,TRUE)</f>
        <v>43055.229166666664</v>
      </c>
      <c r="F28" s="146">
        <f>VLOOKUP(F27,P[],2,TRUE)</f>
        <v>43056.229166666664</v>
      </c>
      <c r="G28" s="162">
        <f>VLOOKUP(G27,P[],2,TRUE)</f>
        <v>43057.229166666664</v>
      </c>
    </row>
    <row r="29" spans="1:7" x14ac:dyDescent="0.2">
      <c r="A29" s="162">
        <f>VLOOKUP(A27,P[],3,TRUE)</f>
        <v>43051.255966073986</v>
      </c>
      <c r="B29" s="146">
        <f>VLOOKUP(B27,P[],3,TRUE)</f>
        <v>43052.256251540188</v>
      </c>
      <c r="C29" s="146">
        <f>VLOOKUP(C27,P[],3,TRUE)</f>
        <v>43053.256543841366</v>
      </c>
      <c r="D29" s="146">
        <f>VLOOKUP(D27,P[],3,TRUE)</f>
        <v>43054.256842659473</v>
      </c>
      <c r="E29" s="146">
        <f>VLOOKUP(E27,P[],3,TRUE)</f>
        <v>43055.257148153301</v>
      </c>
      <c r="F29" s="146">
        <f>VLOOKUP(F27,P[],3,TRUE)</f>
        <v>43056.257459845547</v>
      </c>
      <c r="G29" s="162">
        <f>VLOOKUP(G27,P[],3,TRUE)</f>
        <v>43057.257777737141</v>
      </c>
    </row>
    <row r="30" spans="1:7" x14ac:dyDescent="0.2">
      <c r="A30" s="163">
        <f>VLOOKUP(A27,P[],6,TRUE)</f>
        <v>205.7111056666146</v>
      </c>
      <c r="B30" s="147">
        <f>VLOOKUP(B27,P[],6,TRUE)</f>
        <v>206.71752232284234</v>
      </c>
      <c r="C30" s="147">
        <f>VLOOKUP(C27,P[],6,TRUE)</f>
        <v>207.72448119981897</v>
      </c>
      <c r="D30" s="147">
        <f>VLOOKUP(D27,P[],6,TRUE)</f>
        <v>208.73196525038955</v>
      </c>
      <c r="E30" s="147">
        <f>VLOOKUP(E27,P[],6,TRUE)</f>
        <v>209.73995597396271</v>
      </c>
      <c r="F30" s="147">
        <f>VLOOKUP(F27,P[],6,TRUE)</f>
        <v>210.74843284438052</v>
      </c>
      <c r="G30" s="163">
        <f>VLOOKUP(G27,P[],6,TRUE)</f>
        <v>211.75737489697053</v>
      </c>
    </row>
    <row r="31" spans="1:7" x14ac:dyDescent="0.2">
      <c r="A31" s="163">
        <f>VLOOKUP(A27,P[],7,TRUE)</f>
        <v>130.34171913601097</v>
      </c>
      <c r="B31" s="147">
        <f>VLOOKUP(B27,P[],7,TRUE)</f>
        <v>143.56811410936513</v>
      </c>
      <c r="C31" s="147">
        <f>VLOOKUP(C27,P[],7,TRUE)</f>
        <v>156.55289828923682</v>
      </c>
      <c r="D31" s="147">
        <f>VLOOKUP(D27,P[],7,TRUE)</f>
        <v>169.33008246827006</v>
      </c>
      <c r="E31" s="147">
        <f>VLOOKUP(E27,P[],7,TRUE)</f>
        <v>181.92575266462552</v>
      </c>
      <c r="F31" s="147">
        <f>VLOOKUP(F27,P[],7,TRUE)</f>
        <v>194.35753015687342</v>
      </c>
      <c r="G31" s="163">
        <f>VLOOKUP(G27,P[],7,TRUE)</f>
        <v>206.63699407285873</v>
      </c>
    </row>
    <row r="32" spans="1:7" x14ac:dyDescent="0.2">
      <c r="A32" s="164" t="str">
        <f>VLOOKUP(A27,P[],9,TRUE) &amp; " "&amp;ROUND(A31/13.333,2)</f>
        <v>Makha 9.78</v>
      </c>
      <c r="B32" s="148" t="str">
        <f>VLOOKUP(B27,P[],9,TRUE) &amp; " "&amp;ROUND(B31/13.333,2)</f>
        <v>Purva Phalguni 10.77</v>
      </c>
      <c r="C32" s="148" t="str">
        <f>VLOOKUP(C27,P[],9,TRUE) &amp; " "&amp;ROUND(C31/13.333,2)</f>
        <v>Uttara Phalguni 11.74</v>
      </c>
      <c r="D32" s="148" t="str">
        <f>VLOOKUP(D27,P[],9,TRUE) &amp; " "&amp;ROUND(D31/13.333,2)</f>
        <v>Hasta 12.7</v>
      </c>
      <c r="E32" s="148" t="str">
        <f>VLOOKUP(E27,P[],9,TRUE) &amp; " "&amp;ROUND(E31/13.333,2)</f>
        <v>Chitra 13.64</v>
      </c>
      <c r="F32" s="148" t="str">
        <f>VLOOKUP(F27,P[],9,TRUE) &amp; " "&amp;ROUND(F31/13.333,2)</f>
        <v>Swati 14.58</v>
      </c>
      <c r="G32" s="164" t="str">
        <f>VLOOKUP(G27,P[],9,TRUE) &amp; " "&amp;ROUND(G31/13.333,2)</f>
        <v>Visakha 15.5</v>
      </c>
    </row>
    <row r="33" spans="1:7" x14ac:dyDescent="0.2">
      <c r="A33" s="165">
        <f>VLOOKUP(A27,P[],10,TRUE)</f>
        <v>43051.482215797216</v>
      </c>
      <c r="B33" s="149">
        <f>VLOOKUP(B27,P[],10,TRUE)</f>
        <v>43052.494950791937</v>
      </c>
      <c r="C33" s="149">
        <f>VLOOKUP(C27,P[],10,TRUE)</f>
        <v>43053.526410168626</v>
      </c>
      <c r="D33" s="149">
        <f>VLOOKUP(D27,P[],10,TRUE)</f>
        <v>43054.574767293183</v>
      </c>
      <c r="E33" s="149">
        <f>VLOOKUP(E27,P[],10,TRUE)</f>
        <v>43055.638621495396</v>
      </c>
      <c r="F33" s="149">
        <f>VLOOKUP(F27,P[],10,TRUE)</f>
        <v>43056.717110492798</v>
      </c>
      <c r="G33" s="165">
        <f>VLOOKUP(G27,P[],10,TRUE)</f>
        <v>43057.80968765205</v>
      </c>
    </row>
    <row r="34" spans="1:7" x14ac:dyDescent="0.2">
      <c r="A34" s="163">
        <f>VLOOKUP(A27,P[],11,TRUE)</f>
        <v>23.719217789116367</v>
      </c>
      <c r="B34" s="147">
        <f>VLOOKUP(B27,P[],11,TRUE)</f>
        <v>24.737549315543564</v>
      </c>
      <c r="C34" s="147">
        <f>VLOOKUP(C27,P[],11,TRUE)</f>
        <v>25.735701424118158</v>
      </c>
      <c r="D34" s="147">
        <f>VLOOKUP(D27,P[],11,TRUE)</f>
        <v>26.716509768156715</v>
      </c>
      <c r="E34" s="147">
        <f>VLOOKUP(E27,P[],11,TRUE)</f>
        <v>27.682149724221901</v>
      </c>
      <c r="F34" s="147">
        <f>VLOOKUP(F27,P[],11,TRUE)</f>
        <v>28.634091442707739</v>
      </c>
      <c r="G34" s="163">
        <f>VLOOKUP(G27,P[],11,TRUE)</f>
        <v>29.573301597990678</v>
      </c>
    </row>
    <row r="35" spans="1:7" x14ac:dyDescent="0.2">
      <c r="A35" s="166">
        <f>VLOOKUP(A27,P[],12,TRUE)</f>
        <v>5.4384355782327347</v>
      </c>
      <c r="B35" s="150">
        <f>VLOOKUP(B27,P[],12,TRUE)</f>
        <v>0.47509863108712835</v>
      </c>
      <c r="C35" s="150">
        <f>VLOOKUP(C27,P[],12,TRUE)</f>
        <v>2.4714028482363162</v>
      </c>
      <c r="D35" s="150">
        <f>VLOOKUP(D27,P[],12,TRUE)</f>
        <v>4.4330195363134308</v>
      </c>
      <c r="E35" s="150">
        <f>VLOOKUP(E27,P[],12,TRUE)</f>
        <v>6.364299448443802</v>
      </c>
      <c r="F35" s="150" t="str">
        <f>VLOOKUP(F27,P[],12,TRUE)</f>
        <v>S</v>
      </c>
      <c r="G35" s="166" t="str">
        <f>VLOOKUP(G27,P[],12,TRUE)</f>
        <v>S</v>
      </c>
    </row>
    <row r="36" spans="1:7" x14ac:dyDescent="0.2">
      <c r="A36" s="166">
        <f>VLOOKUP(A27,P[],13,TRUE)</f>
        <v>0</v>
      </c>
      <c r="B36" s="150">
        <f>VLOOKUP(B27,P[],13,TRUE)</f>
        <v>0</v>
      </c>
      <c r="C36" s="150">
        <f>VLOOKUP(C27,P[],13,TRUE)</f>
        <v>0</v>
      </c>
      <c r="D36" s="150">
        <f>VLOOKUP(D27,P[],13,TRUE)</f>
        <v>0</v>
      </c>
      <c r="E36" s="150">
        <f>VLOOKUP(E27,P[],13,TRUE)</f>
        <v>0</v>
      </c>
      <c r="F36" s="150">
        <f>VLOOKUP(F27,P[],13,TRUE)</f>
        <v>0</v>
      </c>
      <c r="G36" s="166">
        <f>VLOOKUP(G27,P[],13,TRUE)</f>
        <v>0</v>
      </c>
    </row>
    <row r="37" spans="1:7" ht="13.5" thickBot="1" x14ac:dyDescent="0.25">
      <c r="A37" s="167">
        <f>VLOOKUP(A27,P[],14,TRUE)</f>
        <v>25.203961860827015</v>
      </c>
      <c r="B37" s="151">
        <f>VLOOKUP(B27,P[],14,TRUE)</f>
        <v>26.271422733072345</v>
      </c>
      <c r="C37" s="151">
        <f>VLOOKUP(C27,P[],14,TRUE)</f>
        <v>0.32080346168720214</v>
      </c>
      <c r="D37" s="151">
        <f>VLOOKUP(D27,P[],14,TRUE)</f>
        <v>1.3546535789333394</v>
      </c>
      <c r="E37" s="151">
        <f>VLOOKUP(E27,P[],14,TRUE)</f>
        <v>2.3749281479534901</v>
      </c>
      <c r="F37" s="151">
        <f>VLOOKUP(F27,P[],14,TRUE)</f>
        <v>3.382947225178619</v>
      </c>
      <c r="G37" s="167">
        <f>VLOOKUP(G27,P[],14,TRUE)</f>
        <v>4.3795776728466835</v>
      </c>
    </row>
    <row r="38" spans="1:7" ht="13.5" thickBot="1" x14ac:dyDescent="0.25">
      <c r="A38" s="161"/>
      <c r="B38" s="156"/>
      <c r="C38" s="156"/>
      <c r="D38" s="156"/>
      <c r="E38" s="156"/>
      <c r="F38" s="156"/>
      <c r="G38" s="169"/>
    </row>
    <row r="39" spans="1:7" ht="23.25" x14ac:dyDescent="0.35">
      <c r="A39" s="158">
        <f>G27+1</f>
        <v>43058</v>
      </c>
      <c r="B39" s="152">
        <f>A39+1</f>
        <v>43059</v>
      </c>
      <c r="C39" s="152">
        <f t="shared" ref="C39:G39" si="3">B39+1</f>
        <v>43060</v>
      </c>
      <c r="D39" s="152">
        <f t="shared" si="3"/>
        <v>43061</v>
      </c>
      <c r="E39" s="152">
        <f t="shared" si="3"/>
        <v>43062</v>
      </c>
      <c r="F39" s="152">
        <f t="shared" si="3"/>
        <v>43063</v>
      </c>
      <c r="G39" s="158">
        <f t="shared" si="3"/>
        <v>43064</v>
      </c>
    </row>
    <row r="40" spans="1:7" x14ac:dyDescent="0.2">
      <c r="A40" s="162">
        <f>VLOOKUP(A39,P[],2,TRUE)</f>
        <v>43058.229166666664</v>
      </c>
      <c r="B40" s="146">
        <f>VLOOKUP(B39,P[],2,TRUE)</f>
        <v>43059.229166666664</v>
      </c>
      <c r="C40" s="146">
        <f>VLOOKUP(C39,P[],2,TRUE)</f>
        <v>43060.229166666664</v>
      </c>
      <c r="D40" s="146">
        <f>VLOOKUP(D39,P[],2,TRUE)</f>
        <v>43061.229166666664</v>
      </c>
      <c r="E40" s="146">
        <f>VLOOKUP(E39,P[],2,TRUE)</f>
        <v>43062.229166666664</v>
      </c>
      <c r="F40" s="146">
        <f>VLOOKUP(F39,P[],2,TRUE)</f>
        <v>43063.229166666664</v>
      </c>
      <c r="G40" s="162">
        <f>VLOOKUP(G39,P[],2,TRUE)</f>
        <v>43064.229166666664</v>
      </c>
    </row>
    <row r="41" spans="1:7" x14ac:dyDescent="0.2">
      <c r="A41" s="162">
        <f>VLOOKUP(A39,P[],3,TRUE)</f>
        <v>43058.258101509571</v>
      </c>
      <c r="B41" s="146">
        <f>VLOOKUP(B39,P[],3,TRUE)</f>
        <v>43059.258430845257</v>
      </c>
      <c r="C41" s="146">
        <f>VLOOKUP(C39,P[],3,TRUE)</f>
        <v>43060.258765584942</v>
      </c>
      <c r="D41" s="146">
        <f>VLOOKUP(D39,P[],3,TRUE)</f>
        <v>43061.259105569836</v>
      </c>
      <c r="E41" s="146">
        <f>VLOOKUP(E39,P[],3,TRUE)</f>
        <v>43062.259450481892</v>
      </c>
      <c r="F41" s="146">
        <f>VLOOKUP(F39,P[],3,TRUE)</f>
        <v>43063.259800003529</v>
      </c>
      <c r="G41" s="162">
        <f>VLOOKUP(G39,P[],3,TRUE)</f>
        <v>43064.2601538167</v>
      </c>
    </row>
    <row r="42" spans="1:7" x14ac:dyDescent="0.2">
      <c r="A42" s="163">
        <f>VLOOKUP(A39,P[],6,TRUE)</f>
        <v>212.76676038731239</v>
      </c>
      <c r="B42" s="147">
        <f>VLOOKUP(B39,P[],6,TRUE)</f>
        <v>213.77656760453212</v>
      </c>
      <c r="C42" s="147">
        <f>VLOOKUP(C39,P[],6,TRUE)</f>
        <v>214.78677551369603</v>
      </c>
      <c r="D42" s="147">
        <f>VLOOKUP(D39,P[],6,TRUE)</f>
        <v>215.79736399166001</v>
      </c>
      <c r="E42" s="147">
        <f>VLOOKUP(E39,P[],6,TRUE)</f>
        <v>216.80831392797265</v>
      </c>
      <c r="F42" s="147">
        <f>VLOOKUP(F39,P[],6,TRUE)</f>
        <v>217.81960751941267</v>
      </c>
      <c r="G42" s="163">
        <f>VLOOKUP(G39,P[],6,TRUE)</f>
        <v>218.83122835100014</v>
      </c>
    </row>
    <row r="43" spans="1:7" x14ac:dyDescent="0.2">
      <c r="A43" s="163">
        <f>VLOOKUP(A39,P[],7,TRUE)</f>
        <v>218.77395187984305</v>
      </c>
      <c r="B43" s="147">
        <f>VLOOKUP(B39,P[],7,TRUE)</f>
        <v>230.78143764507499</v>
      </c>
      <c r="C43" s="147">
        <f>VLOOKUP(C39,P[],7,TRUE)</f>
        <v>242.68039834766341</v>
      </c>
      <c r="D43" s="147">
        <f>VLOOKUP(D39,P[],7,TRUE)</f>
        <v>254.50328466212133</v>
      </c>
      <c r="E43" s="147">
        <f>VLOOKUP(E39,P[],7,TRUE)</f>
        <v>266.29612123768226</v>
      </c>
      <c r="F43" s="147">
        <f>VLOOKUP(F39,P[],7,TRUE)</f>
        <v>278.11901241471844</v>
      </c>
      <c r="G43" s="163">
        <f>VLOOKUP(G39,P[],7,TRUE)</f>
        <v>290.04517182055912</v>
      </c>
    </row>
    <row r="44" spans="1:7" x14ac:dyDescent="0.2">
      <c r="A44" s="164" t="str">
        <f>VLOOKUP(A39,P[],9,TRUE) &amp; " "&amp;ROUND(A43/13.333,2)</f>
        <v>Anuradha 16.41</v>
      </c>
      <c r="B44" s="148" t="str">
        <f>VLOOKUP(B39,P[],9,TRUE) &amp; " "&amp;ROUND(B43/13.333,2)</f>
        <v>Jyestha 17.31</v>
      </c>
      <c r="C44" s="148" t="str">
        <f>VLOOKUP(C39,P[],9,TRUE) &amp; " "&amp;ROUND(C43/13.333,2)</f>
        <v>Moola 18.2</v>
      </c>
      <c r="D44" s="148" t="str">
        <f>VLOOKUP(D39,P[],9,TRUE) &amp; " "&amp;ROUND(D43/13.333,2)</f>
        <v>Purva Asadha 19.09</v>
      </c>
      <c r="E44" s="148" t="str">
        <f>VLOOKUP(E39,P[],9,TRUE) &amp; " "&amp;ROUND(E43/13.333,2)</f>
        <v>Purva Asadha 19.97</v>
      </c>
      <c r="F44" s="148" t="str">
        <f>VLOOKUP(F39,P[],9,TRUE) &amp; " "&amp;ROUND(F43/13.333,2)</f>
        <v>Uttara Asadha 20.86</v>
      </c>
      <c r="G44" s="164" t="str">
        <f>VLOOKUP(G39,P[],9,TRUE) &amp; " "&amp;ROUND(G43/13.333,2)</f>
        <v>Sravana 21.75</v>
      </c>
    </row>
    <row r="45" spans="1:7" x14ac:dyDescent="0.2">
      <c r="A45" s="165">
        <f>VLOOKUP(A39,P[],10,TRUE)</f>
        <v>43058.915634176592</v>
      </c>
      <c r="B45" s="149">
        <f>VLOOKUP(B39,P[],10,TRUE)</f>
        <v>43060.033426948197</v>
      </c>
      <c r="C45" s="149">
        <f>VLOOKUP(C39,P[],10,TRUE)</f>
        <v>43061.160115436338</v>
      </c>
      <c r="D45" s="149">
        <f>VLOOKUP(D39,P[],10,TRUE)</f>
        <v>43062.290882549336</v>
      </c>
      <c r="E45" s="149">
        <f>VLOOKUP(E39,P[],10,TRUE)</f>
        <v>43062.290802791329</v>
      </c>
      <c r="F45" s="149">
        <f>VLOOKUP(F39,P[],10,TRUE)</f>
        <v>43063.417575280502</v>
      </c>
      <c r="G45" s="165">
        <f>VLOOKUP(G39,P[],10,TRUE)</f>
        <v>43064.53170391317</v>
      </c>
    </row>
    <row r="46" spans="1:7" x14ac:dyDescent="0.2">
      <c r="A46" s="163">
        <f>VLOOKUP(A39,P[],11,TRUE)</f>
        <v>0.50059929104421974</v>
      </c>
      <c r="B46" s="147">
        <f>VLOOKUP(B39,P[],11,TRUE)</f>
        <v>1.4170725033785725</v>
      </c>
      <c r="C46" s="147">
        <f>VLOOKUP(C39,P[],11,TRUE)</f>
        <v>2.3244685694972795</v>
      </c>
      <c r="D46" s="147">
        <f>VLOOKUP(D39,P[],11,TRUE)</f>
        <v>3.2254933892051127</v>
      </c>
      <c r="E46" s="147">
        <f>VLOOKUP(E39,P[],11,TRUE)</f>
        <v>4.1239839424757934</v>
      </c>
      <c r="F46" s="147">
        <f>VLOOKUP(F39,P[],11,TRUE)</f>
        <v>5.0249504079421472</v>
      </c>
      <c r="G46" s="163">
        <f>VLOOKUP(G39,P[],11,TRUE)</f>
        <v>5.9344952891299085</v>
      </c>
    </row>
    <row r="47" spans="1:7" x14ac:dyDescent="0.2">
      <c r="A47" s="166">
        <f>VLOOKUP(A39,P[],12,TRUE)</f>
        <v>1.0011985820884395</v>
      </c>
      <c r="B47" s="150">
        <f>VLOOKUP(B39,P[],12,TRUE)</f>
        <v>2.834145006757145</v>
      </c>
      <c r="C47" s="150">
        <f>VLOOKUP(C39,P[],12,TRUE)</f>
        <v>4.6489371389945591</v>
      </c>
      <c r="D47" s="150">
        <f>VLOOKUP(D39,P[],12,TRUE)</f>
        <v>6.4509867784102255</v>
      </c>
      <c r="E47" s="150">
        <f>VLOOKUP(E39,P[],12,TRUE)</f>
        <v>1.2479678849515867</v>
      </c>
      <c r="F47" s="150">
        <f>VLOOKUP(F39,P[],12,TRUE)</f>
        <v>3.0499008158842944</v>
      </c>
      <c r="G47" s="166">
        <f>VLOOKUP(G39,P[],12,TRUE)</f>
        <v>4.8689905782598171</v>
      </c>
    </row>
    <row r="48" spans="1:7" x14ac:dyDescent="0.2">
      <c r="A48" s="166">
        <f>VLOOKUP(A39,P[],13,TRUE)</f>
        <v>0</v>
      </c>
      <c r="B48" s="150">
        <f>VLOOKUP(B39,P[],13,TRUE)</f>
        <v>0</v>
      </c>
      <c r="C48" s="150">
        <f>VLOOKUP(C39,P[],13,TRUE)</f>
        <v>0</v>
      </c>
      <c r="D48" s="150">
        <f>VLOOKUP(D39,P[],13,TRUE)</f>
        <v>0</v>
      </c>
      <c r="E48" s="150">
        <f>VLOOKUP(E39,P[],13,TRUE)</f>
        <v>0</v>
      </c>
      <c r="F48" s="150">
        <f>VLOOKUP(F39,P[],13,TRUE)</f>
        <v>0</v>
      </c>
      <c r="G48" s="166">
        <f>VLOOKUP(G39,P[],13,TRUE)</f>
        <v>0</v>
      </c>
    </row>
    <row r="49" spans="1:7" ht="13.5" thickBot="1" x14ac:dyDescent="0.25">
      <c r="A49" s="167">
        <f>VLOOKUP(A39,P[],14,TRUE)</f>
        <v>5.3655534201707944</v>
      </c>
      <c r="B49" s="151">
        <f>VLOOKUP(B39,P[],14,TRUE)</f>
        <v>6.3418503938790787</v>
      </c>
      <c r="C49" s="151">
        <f>VLOOKUP(C39,P[],14,TRUE)</f>
        <v>7.3100380397847111</v>
      </c>
      <c r="D49" s="151">
        <f>VLOOKUP(D39,P[],14,TRUE)</f>
        <v>8.2725486492404112</v>
      </c>
      <c r="E49" s="151">
        <f>VLOOKUP(E39,P[],14,TRUE)</f>
        <v>9.232832637654937</v>
      </c>
      <c r="F49" s="151">
        <f>VLOOKUP(F39,P[],14,TRUE)</f>
        <v>10.195396495314718</v>
      </c>
      <c r="G49" s="167">
        <f>VLOOKUP(G39,P[],14,TRUE)</f>
        <v>11.165730013146085</v>
      </c>
    </row>
    <row r="50" spans="1:7" ht="13.5" thickBot="1" x14ac:dyDescent="0.25">
      <c r="A50" s="161"/>
      <c r="B50" s="156"/>
      <c r="C50" s="156"/>
      <c r="D50" s="156"/>
      <c r="E50" s="156"/>
      <c r="F50" s="156"/>
      <c r="G50" s="169"/>
    </row>
    <row r="51" spans="1:7" ht="23.25" x14ac:dyDescent="0.35">
      <c r="A51" s="158">
        <f>G39+1</f>
        <v>43065</v>
      </c>
      <c r="B51" s="152">
        <f>A51+1</f>
        <v>43066</v>
      </c>
      <c r="C51" s="152">
        <f t="shared" ref="C51:G51" si="4">B51+1</f>
        <v>43067</v>
      </c>
      <c r="D51" s="152">
        <f t="shared" si="4"/>
        <v>43068</v>
      </c>
      <c r="E51" s="152">
        <f t="shared" si="4"/>
        <v>43069</v>
      </c>
      <c r="F51" s="152">
        <f t="shared" si="4"/>
        <v>43070</v>
      </c>
      <c r="G51" s="158">
        <f t="shared" si="4"/>
        <v>43071</v>
      </c>
    </row>
    <row r="52" spans="1:7" x14ac:dyDescent="0.2">
      <c r="A52" s="162">
        <f>VLOOKUP(A51,P[],2,TRUE)</f>
        <v>43065.229166666664</v>
      </c>
      <c r="B52" s="146">
        <f>VLOOKUP(B51,P[],2,TRUE)</f>
        <v>43066.229166666664</v>
      </c>
      <c r="C52" s="146">
        <f>VLOOKUP(C51,P[],2,TRUE)</f>
        <v>43067.229166666664</v>
      </c>
      <c r="D52" s="146">
        <f>VLOOKUP(D51,P[],2,TRUE)</f>
        <v>43068.229166666664</v>
      </c>
      <c r="E52" s="146">
        <f>VLOOKUP(E51,P[],2,TRUE)</f>
        <v>43069.229166666664</v>
      </c>
      <c r="F52" s="146">
        <f>VLOOKUP(F51,P[],2,TRUE)</f>
        <v>43070.229166666664</v>
      </c>
      <c r="G52" s="162">
        <f>VLOOKUP(G51,P[],2,TRUE)</f>
        <v>43071.229166666664</v>
      </c>
    </row>
    <row r="53" spans="1:7" x14ac:dyDescent="0.2">
      <c r="A53" s="162">
        <f>VLOOKUP(A51,P[],3,TRUE)</f>
        <v>43065.260511603359</v>
      </c>
      <c r="B53" s="146">
        <f>VLOOKUP(B51,P[],3,TRUE)</f>
        <v>43066.260873363972</v>
      </c>
      <c r="C53" s="146">
        <f>VLOOKUP(C51,P[],3,TRUE)</f>
        <v>43067.261238462444</v>
      </c>
      <c r="D53" s="146">
        <f>VLOOKUP(D51,P[],3,TRUE)</f>
        <v>43068.261606898312</v>
      </c>
      <c r="E53" s="146">
        <f>VLOOKUP(E51,P[],3,TRUE)</f>
        <v>43069.261978036877</v>
      </c>
      <c r="F53" s="146">
        <f>VLOOKUP(F51,P[],3,TRUE)</f>
        <v>43070.262351877209</v>
      </c>
      <c r="G53" s="162">
        <f>VLOOKUP(G51,P[],3,TRUE)</f>
        <v>43071.262727942471</v>
      </c>
    </row>
    <row r="54" spans="1:7" x14ac:dyDescent="0.2">
      <c r="A54" s="163">
        <f>VLOOKUP(A51,P[],6,TRUE)</f>
        <v>219.84316152903045</v>
      </c>
      <c r="B54" s="147">
        <f>VLOOKUP(B51,P[],6,TRUE)</f>
        <v>220.85539426860913</v>
      </c>
      <c r="C54" s="147">
        <f>VLOOKUP(C51,P[],6,TRUE)</f>
        <v>221.86791535878424</v>
      </c>
      <c r="D54" s="147">
        <f>VLOOKUP(D51,P[],6,TRUE)</f>
        <v>222.88071704401202</v>
      </c>
      <c r="E54" s="147">
        <f>VLOOKUP(E51,P[],6,TRUE)</f>
        <v>223.89379442930104</v>
      </c>
      <c r="F54" s="147">
        <f>VLOOKUP(F51,P[],6,TRUE)</f>
        <v>224.90714741973434</v>
      </c>
      <c r="G54" s="163">
        <f>VLOOKUP(G51,P[],6,TRUE)</f>
        <v>225.92078000102271</v>
      </c>
    </row>
    <row r="55" spans="1:7" x14ac:dyDescent="0.2">
      <c r="A55" s="163">
        <f>VLOOKUP(A51,P[],7,TRUE)</f>
        <v>302.1583620417627</v>
      </c>
      <c r="B55" s="147">
        <f>VLOOKUP(B51,P[],7,TRUE)</f>
        <v>314.54832848213653</v>
      </c>
      <c r="C55" s="147">
        <f>VLOOKUP(C51,P[],7,TRUE)</f>
        <v>327.30366064707903</v>
      </c>
      <c r="D55" s="147">
        <f>VLOOKUP(D51,P[],7,TRUE)</f>
        <v>340.50161032025198</v>
      </c>
      <c r="E55" s="147">
        <f>VLOOKUP(E51,P[],7,TRUE)</f>
        <v>354.19460747096451</v>
      </c>
      <c r="F55" s="147">
        <f>VLOOKUP(F51,P[],7,TRUE)</f>
        <v>8.3946286929625398</v>
      </c>
      <c r="G55" s="163">
        <f>VLOOKUP(G51,P[],7,TRUE)</f>
        <v>23.059140691406814</v>
      </c>
    </row>
    <row r="56" spans="1:7" x14ac:dyDescent="0.2">
      <c r="A56" s="164" t="str">
        <f>VLOOKUP(A51,P[],9,TRUE) &amp; " "&amp;ROUND(A55/13.333,2)</f>
        <v>Dhanistha 22.66</v>
      </c>
      <c r="B56" s="148" t="str">
        <f>VLOOKUP(B51,P[],9,TRUE) &amp; " "&amp;ROUND(B55/13.333,2)</f>
        <v>Satabhisaj 23.59</v>
      </c>
      <c r="C56" s="148" t="str">
        <f>VLOOKUP(C51,P[],9,TRUE) &amp; " "&amp;ROUND(C55/13.333,2)</f>
        <v>Purva Bhadrapada 24.55</v>
      </c>
      <c r="D56" s="148" t="str">
        <f>VLOOKUP(D51,P[],9,TRUE) &amp; " "&amp;ROUND(D55/13.333,2)</f>
        <v>Uttara Bhadrapada 25.54</v>
      </c>
      <c r="E56" s="148" t="str">
        <f>VLOOKUP(E51,P[],9,TRUE) &amp; " "&amp;ROUND(E55/13.333,2)</f>
        <v>Revati 26.57</v>
      </c>
      <c r="F56" s="148" t="str">
        <f>VLOOKUP(F51,P[],9,TRUE) &amp; " "&amp;ROUND(F55/13.333,2)</f>
        <v>Aswini 0.63</v>
      </c>
      <c r="G56" s="164" t="str">
        <f>VLOOKUP(G51,P[],9,TRUE) &amp; " "&amp;ROUND(G55/13.333,2)</f>
        <v>Bharani 1.73</v>
      </c>
    </row>
    <row r="57" spans="1:7" x14ac:dyDescent="0.2">
      <c r="A57" s="165">
        <f>VLOOKUP(A51,P[],10,TRUE)</f>
        <v>43065.624510616079</v>
      </c>
      <c r="B57" s="149">
        <f>VLOOKUP(B51,P[],10,TRUE)</f>
        <v>43066.68843274418</v>
      </c>
      <c r="C57" s="149">
        <f>VLOOKUP(C51,P[],10,TRUE)</f>
        <v>43067.718271136706</v>
      </c>
      <c r="D57" s="149">
        <f>VLOOKUP(D51,P[],10,TRUE)</f>
        <v>43068.712008250819</v>
      </c>
      <c r="E57" s="149">
        <f>VLOOKUP(E51,P[],10,TRUE)</f>
        <v>43069.245183464365</v>
      </c>
      <c r="F57" s="149">
        <f>VLOOKUP(F51,P[],10,TRUE)</f>
        <v>43070.599257866044</v>
      </c>
      <c r="G57" s="165">
        <f>VLOOKUP(G51,P[],10,TRUE)</f>
        <v>43071.50290343805</v>
      </c>
    </row>
    <row r="58" spans="1:7" x14ac:dyDescent="0.2">
      <c r="A58" s="163">
        <f>VLOOKUP(A51,P[],11,TRUE)</f>
        <v>6.859600042727692</v>
      </c>
      <c r="B58" s="147">
        <f>VLOOKUP(B51,P[],11,TRUE)</f>
        <v>7.8077445177939495</v>
      </c>
      <c r="C58" s="147">
        <f>VLOOKUP(C51,P[],11,TRUE)</f>
        <v>8.7863121073579009</v>
      </c>
      <c r="D58" s="147">
        <f>VLOOKUP(D51,P[],11,TRUE)</f>
        <v>9.8017411063533277</v>
      </c>
      <c r="E58" s="147">
        <f>VLOOKUP(E51,P[],11,TRUE)</f>
        <v>10.858401086805287</v>
      </c>
      <c r="F58" s="147">
        <f>VLOOKUP(F51,P[],11,TRUE)</f>
        <v>11.95729010610235</v>
      </c>
      <c r="G58" s="163">
        <f>VLOOKUP(G51,P[],11,TRUE)</f>
        <v>13.094863390865342</v>
      </c>
    </row>
    <row r="59" spans="1:7" x14ac:dyDescent="0.2">
      <c r="A59" s="166">
        <f>VLOOKUP(A51,P[],12,TRUE)</f>
        <v>6.7192000854553839</v>
      </c>
      <c r="B59" s="150">
        <f>VLOOKUP(B51,P[],12,TRUE)</f>
        <v>1.615489035587899</v>
      </c>
      <c r="C59" s="150">
        <f>VLOOKUP(C51,P[],12,TRUE)</f>
        <v>3.5726242147158018</v>
      </c>
      <c r="D59" s="150">
        <f>VLOOKUP(D51,P[],12,TRUE)</f>
        <v>5.6034822127066555</v>
      </c>
      <c r="E59" s="150">
        <f>VLOOKUP(E51,P[],12,TRUE)</f>
        <v>0.7168021736105743</v>
      </c>
      <c r="F59" s="150">
        <f>VLOOKUP(F51,P[],12,TRUE)</f>
        <v>2.9145802122047009</v>
      </c>
      <c r="G59" s="166">
        <f>VLOOKUP(G51,P[],12,TRUE)</f>
        <v>5.189726781730684</v>
      </c>
    </row>
    <row r="60" spans="1:7" x14ac:dyDescent="0.2">
      <c r="A60" s="166">
        <f>VLOOKUP(A51,P[],13,TRUE)</f>
        <v>0</v>
      </c>
      <c r="B60" s="150">
        <f>VLOOKUP(B51,P[],13,TRUE)</f>
        <v>0</v>
      </c>
      <c r="C60" s="150">
        <f>VLOOKUP(C51,P[],13,TRUE)</f>
        <v>0</v>
      </c>
      <c r="D60" s="150">
        <f>VLOOKUP(D51,P[],13,TRUE)</f>
        <v>0</v>
      </c>
      <c r="E60" s="150">
        <f>VLOOKUP(E51,P[],13,TRUE)</f>
        <v>0</v>
      </c>
      <c r="F60" s="150">
        <f>VLOOKUP(F51,P[],13,TRUE)</f>
        <v>0</v>
      </c>
      <c r="G60" s="166">
        <f>VLOOKUP(G51,P[],13,TRUE)</f>
        <v>0</v>
      </c>
    </row>
    <row r="61" spans="1:7" ht="13.5" thickBot="1" x14ac:dyDescent="0.25">
      <c r="A61" s="167">
        <f>VLOOKUP(A51,P[],14,TRUE)</f>
        <v>12.150114268113235</v>
      </c>
      <c r="B61" s="151">
        <f>VLOOKUP(B51,P[],14,TRUE)</f>
        <v>13.155279206634802</v>
      </c>
      <c r="C61" s="151">
        <f>VLOOKUP(C51,P[],14,TRUE)</f>
        <v>14.187868200794439</v>
      </c>
      <c r="D61" s="151">
        <f>VLOOKUP(D51,P[],14,TRUE)</f>
        <v>15.253674552701144</v>
      </c>
      <c r="E61" s="151">
        <f>VLOOKUP(E51,P[],14,TRUE)</f>
        <v>16.356630142928832</v>
      </c>
      <c r="F61" s="151">
        <f>VLOOKUP(F51,P[],14,TRUE)</f>
        <v>17.497633208889706</v>
      </c>
      <c r="G61" s="167">
        <f>VLOOKUP(G51,P[],14,TRUE)</f>
        <v>18.67349405239905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Charts</vt:lpstr>
      <vt:lpstr>Basic</vt:lpstr>
      <vt:lpstr>Division</vt:lpstr>
      <vt:lpstr>Two Big Charts</vt:lpstr>
      <vt:lpstr>All Divisional Charts</vt:lpstr>
      <vt:lpstr>Panchanga</vt:lpstr>
      <vt:lpstr>Calendar</vt:lpstr>
      <vt:lpstr>CalLatitude</vt:lpstr>
      <vt:lpstr>CalLongitude</vt:lpstr>
      <vt:lpstr>CalMonth</vt:lpstr>
      <vt:lpstr>CalTimeZone</vt:lpstr>
      <vt:lpstr>Lat</vt:lpstr>
      <vt:lpstr>Long</vt:lpstr>
      <vt:lpstr>Basic!Print_Area</vt:lpstr>
      <vt:lpstr>Division!Print_Area</vt:lpstr>
      <vt:lpstr>TimeZone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2015-06-15T08:22:27Z</cp:lastPrinted>
  <dcterms:created xsi:type="dcterms:W3CDTF">2001-11-19T16:23:41Z</dcterms:created>
  <dcterms:modified xsi:type="dcterms:W3CDTF">2017-11-27T18:11:31Z</dcterms:modified>
</cp:coreProperties>
</file>