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WFSMNSV2NSF24\C_IND_Users\U608394\My Documents\SJC\JyotishCalc-master\"/>
    </mc:Choice>
  </mc:AlternateContent>
  <bookViews>
    <workbookView xWindow="0" yWindow="0" windowWidth="20490" windowHeight="7620"/>
  </bookViews>
  <sheets>
    <sheet name="Panchanga" sheetId="2" r:id="rId1"/>
    <sheet name="Calendar" sheetId="3" r:id="rId2"/>
  </sheets>
  <functionGroups builtInGroupCount="18"/>
  <externalReferences>
    <externalReference r:id="rId3"/>
  </externalReferences>
  <definedNames>
    <definedName name="CalLatitude">Calendar!$B$64</definedName>
    <definedName name="CalLongitude">Calendar!$D$64</definedName>
    <definedName name="CalMonth">Calendar!$A$1</definedName>
    <definedName name="CalTimeZone">Calendar!$F$64</definedName>
    <definedName name="Lat" localSheetId="1">Panchanga!$C$1</definedName>
    <definedName name="Lat">Panchanga!$C$1</definedName>
    <definedName name="Long" localSheetId="1">Panchanga!$F$1</definedName>
    <definedName name="Long">Panchanga!$F$1</definedName>
    <definedName name="_xlnm.Print_Area" localSheetId="1">Calendar!$A$1:$H$130</definedName>
    <definedName name="StarDeg">[1]DATA!$F$44</definedName>
    <definedName name="TimeZone" localSheetId="1">Panchanga!$H$1</definedName>
    <definedName name="TimeZone">Panchanga!$H$1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2" l="1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D13" i="3" l="1"/>
  <c r="F129" i="3" l="1"/>
  <c r="D129" i="3"/>
  <c r="B129" i="3"/>
  <c r="S1" i="2" l="1"/>
  <c r="T1" i="2"/>
  <c r="U1" i="2" s="1"/>
  <c r="V1" i="2" s="1"/>
  <c r="W1" i="2" s="1"/>
  <c r="X1" i="2" s="1"/>
  <c r="Y1" i="2" s="1"/>
  <c r="Z1" i="2" s="1"/>
  <c r="AA1" i="2" s="1"/>
  <c r="A1" i="3" l="1"/>
  <c r="A66" i="3" s="1"/>
  <c r="A68" i="3" s="1"/>
  <c r="B64" i="3"/>
  <c r="D64" i="3"/>
  <c r="F64" i="3"/>
  <c r="A10" i="2"/>
  <c r="A11" i="2" s="1"/>
  <c r="A12" i="2" s="1"/>
  <c r="B9" i="2"/>
  <c r="A8" i="2"/>
  <c r="B8" i="2" s="1"/>
  <c r="K1" i="2"/>
  <c r="L1" i="2" s="1"/>
  <c r="M1" i="2" s="1"/>
  <c r="N1" i="2" s="1"/>
  <c r="O1" i="2" s="1"/>
  <c r="P1" i="2" s="1"/>
  <c r="Q1" i="2" s="1"/>
  <c r="R1" i="2" s="1"/>
  <c r="AB1" i="2" s="1"/>
  <c r="C8" i="2"/>
  <c r="D9" i="2"/>
  <c r="C9" i="2"/>
  <c r="D8" i="2"/>
  <c r="B10" i="2" l="1"/>
  <c r="A3" i="3"/>
  <c r="B3" i="3" s="1"/>
  <c r="E9" i="2"/>
  <c r="E8" i="2"/>
  <c r="A13" i="2"/>
  <c r="B12" i="2"/>
  <c r="A7" i="2"/>
  <c r="B11" i="2"/>
  <c r="C10" i="2"/>
  <c r="Y9" i="2"/>
  <c r="V9" i="2"/>
  <c r="Z8" i="2"/>
  <c r="Z9" i="2"/>
  <c r="Y8" i="2"/>
  <c r="D10" i="2"/>
  <c r="T9" i="2"/>
  <c r="T8" i="2"/>
  <c r="I8" i="2"/>
  <c r="D12" i="2"/>
  <c r="U8" i="2"/>
  <c r="D11" i="2"/>
  <c r="C12" i="2"/>
  <c r="V8" i="2"/>
  <c r="S9" i="2"/>
  <c r="U9" i="2"/>
  <c r="W8" i="2"/>
  <c r="C11" i="2"/>
  <c r="W9" i="2"/>
  <c r="S8" i="2"/>
  <c r="X9" i="2"/>
  <c r="I9" i="2"/>
  <c r="X8" i="2"/>
  <c r="E10" i="2" l="1"/>
  <c r="B68" i="3"/>
  <c r="R8" i="2"/>
  <c r="Q9" i="2"/>
  <c r="N9" i="2" s="1"/>
  <c r="F9" i="2"/>
  <c r="G9" i="2"/>
  <c r="P9" i="2"/>
  <c r="J8" i="2"/>
  <c r="P8" i="2"/>
  <c r="G8" i="2"/>
  <c r="Q8" i="2"/>
  <c r="N8" i="2" s="1"/>
  <c r="F8" i="2"/>
  <c r="H10" i="2"/>
  <c r="H9" i="2"/>
  <c r="E11" i="2"/>
  <c r="E12" i="2"/>
  <c r="O8" i="2"/>
  <c r="H8" i="2"/>
  <c r="L9" i="2"/>
  <c r="M9" i="2" s="1"/>
  <c r="C3" i="3"/>
  <c r="B7" i="2"/>
  <c r="A6" i="2"/>
  <c r="A14" i="2"/>
  <c r="B13" i="2"/>
  <c r="D7" i="2"/>
  <c r="X10" i="2"/>
  <c r="T10" i="2"/>
  <c r="U11" i="2"/>
  <c r="Y11" i="2"/>
  <c r="V12" i="2"/>
  <c r="X11" i="2"/>
  <c r="T11" i="2"/>
  <c r="S10" i="2"/>
  <c r="D13" i="2"/>
  <c r="T12" i="2"/>
  <c r="C7" i="2"/>
  <c r="W12" i="2"/>
  <c r="X12" i="2"/>
  <c r="V10" i="2"/>
  <c r="Z10" i="2"/>
  <c r="Y10" i="2"/>
  <c r="Z11" i="2"/>
  <c r="C13" i="2"/>
  <c r="S12" i="2"/>
  <c r="S11" i="2"/>
  <c r="Z12" i="2"/>
  <c r="W10" i="2"/>
  <c r="U10" i="2"/>
  <c r="U12" i="2"/>
  <c r="Y12" i="2"/>
  <c r="W11" i="2"/>
  <c r="V11" i="2"/>
  <c r="I10" i="2"/>
  <c r="O9" i="2" l="1"/>
  <c r="G10" i="2"/>
  <c r="J9" i="2"/>
  <c r="P10" i="2"/>
  <c r="R9" i="2"/>
  <c r="F10" i="2"/>
  <c r="Q10" i="2"/>
  <c r="N10" i="2" s="1"/>
  <c r="C68" i="3"/>
  <c r="R10" i="2"/>
  <c r="R11" i="2"/>
  <c r="G11" i="2"/>
  <c r="P11" i="2"/>
  <c r="J10" i="2"/>
  <c r="Q11" i="2"/>
  <c r="N11" i="2" s="1"/>
  <c r="F11" i="2"/>
  <c r="P12" i="2"/>
  <c r="G12" i="2"/>
  <c r="J11" i="2"/>
  <c r="Q12" i="2"/>
  <c r="N12" i="2" s="1"/>
  <c r="F12" i="2"/>
  <c r="E13" i="2"/>
  <c r="E7" i="2"/>
  <c r="O12" i="2"/>
  <c r="H12" i="2"/>
  <c r="H11" i="2"/>
  <c r="K9" i="2"/>
  <c r="K8" i="2"/>
  <c r="L8" i="2"/>
  <c r="M8" i="2" s="1"/>
  <c r="K11" i="2"/>
  <c r="D3" i="3"/>
  <c r="B6" i="2"/>
  <c r="A5" i="2"/>
  <c r="A15" i="2"/>
  <c r="B14" i="2"/>
  <c r="I11" i="2"/>
  <c r="V13" i="2"/>
  <c r="X7" i="2"/>
  <c r="Z7" i="2"/>
  <c r="Y13" i="2"/>
  <c r="S7" i="2"/>
  <c r="I12" i="2"/>
  <c r="W7" i="2"/>
  <c r="C14" i="2"/>
  <c r="U7" i="2"/>
  <c r="X13" i="2"/>
  <c r="S13" i="2"/>
  <c r="U13" i="2"/>
  <c r="D6" i="2"/>
  <c r="W13" i="2"/>
  <c r="T7" i="2"/>
  <c r="Y7" i="2"/>
  <c r="T13" i="2"/>
  <c r="I13" i="2" s="1"/>
  <c r="V7" i="2"/>
  <c r="D14" i="2"/>
  <c r="Z13" i="2"/>
  <c r="I7" i="2"/>
  <c r="C6" i="2"/>
  <c r="K10" i="2" l="1"/>
  <c r="L11" i="2"/>
  <c r="M11" i="2" s="1"/>
  <c r="L10" i="2"/>
  <c r="M10" i="2" s="1"/>
  <c r="O10" i="2"/>
  <c r="D68" i="3"/>
  <c r="R7" i="2"/>
  <c r="R12" i="2"/>
  <c r="G13" i="2"/>
  <c r="P13" i="2"/>
  <c r="J12" i="2"/>
  <c r="Q13" i="2"/>
  <c r="N13" i="2" s="1"/>
  <c r="F13" i="2"/>
  <c r="G7" i="2"/>
  <c r="P7" i="2"/>
  <c r="J7" i="2"/>
  <c r="Q7" i="2"/>
  <c r="N7" i="2" s="1"/>
  <c r="F7" i="2"/>
  <c r="E14" i="2"/>
  <c r="E6" i="2"/>
  <c r="O11" i="2"/>
  <c r="K12" i="2"/>
  <c r="L12" i="2"/>
  <c r="M12" i="2" s="1"/>
  <c r="H7" i="2"/>
  <c r="H13" i="2"/>
  <c r="E3" i="3"/>
  <c r="B5" i="2"/>
  <c r="A4" i="2"/>
  <c r="A16" i="2"/>
  <c r="B15" i="2"/>
  <c r="V6" i="2"/>
  <c r="W14" i="2"/>
  <c r="S6" i="2"/>
  <c r="W6" i="2"/>
  <c r="D5" i="2"/>
  <c r="U6" i="2"/>
  <c r="Z14" i="2"/>
  <c r="C5" i="2"/>
  <c r="Y14" i="2"/>
  <c r="Z6" i="2"/>
  <c r="D15" i="2"/>
  <c r="X14" i="2"/>
  <c r="Y6" i="2"/>
  <c r="C15" i="2"/>
  <c r="S14" i="2"/>
  <c r="T6" i="2"/>
  <c r="X6" i="2"/>
  <c r="U14" i="2"/>
  <c r="V14" i="2"/>
  <c r="T14" i="2"/>
  <c r="E68" i="3" l="1"/>
  <c r="R6" i="2"/>
  <c r="R13" i="2"/>
  <c r="G6" i="2"/>
  <c r="P6" i="2"/>
  <c r="J6" i="2"/>
  <c r="Q6" i="2"/>
  <c r="N6" i="2" s="1"/>
  <c r="F6" i="2"/>
  <c r="G14" i="2"/>
  <c r="P14" i="2"/>
  <c r="J13" i="2"/>
  <c r="Q14" i="2"/>
  <c r="N14" i="2" s="1"/>
  <c r="F14" i="2"/>
  <c r="E15" i="2"/>
  <c r="E5" i="2"/>
  <c r="O13" i="2"/>
  <c r="L13" i="2"/>
  <c r="M13" i="2" s="1"/>
  <c r="K13" i="2"/>
  <c r="K7" i="2"/>
  <c r="O7" i="2"/>
  <c r="L7" i="2"/>
  <c r="M7" i="2" s="1"/>
  <c r="H6" i="2"/>
  <c r="H14" i="2"/>
  <c r="F3" i="3"/>
  <c r="A17" i="2"/>
  <c r="B16" i="2"/>
  <c r="B4" i="2"/>
  <c r="A3" i="2"/>
  <c r="B3" i="2" s="1"/>
  <c r="C16" i="2"/>
  <c r="U15" i="2"/>
  <c r="Z5" i="2"/>
  <c r="S15" i="2"/>
  <c r="Y15" i="2"/>
  <c r="D3" i="2"/>
  <c r="W15" i="2"/>
  <c r="C3" i="2"/>
  <c r="D4" i="2"/>
  <c r="Z15" i="2"/>
  <c r="T5" i="2"/>
  <c r="S5" i="2"/>
  <c r="T15" i="2"/>
  <c r="U5" i="2"/>
  <c r="Y5" i="2"/>
  <c r="X15" i="2"/>
  <c r="C4" i="2"/>
  <c r="I14" i="2"/>
  <c r="W5" i="2"/>
  <c r="I6" i="2"/>
  <c r="X5" i="2"/>
  <c r="V5" i="2"/>
  <c r="V15" i="2"/>
  <c r="D16" i="2"/>
  <c r="F68" i="3" l="1"/>
  <c r="R5" i="2"/>
  <c r="R14" i="2"/>
  <c r="G5" i="2"/>
  <c r="P5" i="2"/>
  <c r="J5" i="2"/>
  <c r="Q5" i="2"/>
  <c r="N5" i="2" s="1"/>
  <c r="F5" i="2"/>
  <c r="G15" i="2"/>
  <c r="P15" i="2"/>
  <c r="J14" i="2"/>
  <c r="Q15" i="2"/>
  <c r="N15" i="2" s="1"/>
  <c r="F15" i="2"/>
  <c r="E4" i="2"/>
  <c r="E3" i="2"/>
  <c r="E16" i="2"/>
  <c r="O14" i="2"/>
  <c r="L14" i="2"/>
  <c r="M14" i="2" s="1"/>
  <c r="K14" i="2"/>
  <c r="H5" i="2"/>
  <c r="O6" i="2"/>
  <c r="L6" i="2"/>
  <c r="M6" i="2" s="1"/>
  <c r="K6" i="2"/>
  <c r="H15" i="2"/>
  <c r="G3" i="3"/>
  <c r="A18" i="2"/>
  <c r="B17" i="2"/>
  <c r="I5" i="2"/>
  <c r="I15" i="2"/>
  <c r="Y16" i="2"/>
  <c r="W4" i="2"/>
  <c r="U4" i="2"/>
  <c r="X16" i="2"/>
  <c r="Y3" i="2"/>
  <c r="Y4" i="2"/>
  <c r="T16" i="2"/>
  <c r="S3" i="2"/>
  <c r="Z3" i="2"/>
  <c r="S4" i="2"/>
  <c r="W16" i="2"/>
  <c r="C17" i="2"/>
  <c r="V16" i="2"/>
  <c r="V3" i="2"/>
  <c r="W3" i="2"/>
  <c r="U3" i="2"/>
  <c r="D17" i="2"/>
  <c r="X4" i="2"/>
  <c r="X3" i="2"/>
  <c r="Z16" i="2"/>
  <c r="T3" i="2"/>
  <c r="I3" i="2" s="1"/>
  <c r="V4" i="2"/>
  <c r="U16" i="2"/>
  <c r="S16" i="2"/>
  <c r="T4" i="2"/>
  <c r="Z4" i="2"/>
  <c r="D17" i="3" l="1"/>
  <c r="G68" i="3"/>
  <c r="R3" i="2"/>
  <c r="R4" i="2"/>
  <c r="R15" i="2"/>
  <c r="G3" i="2"/>
  <c r="P3" i="2"/>
  <c r="Q3" i="2"/>
  <c r="N3" i="2" s="1"/>
  <c r="F3" i="2"/>
  <c r="P16" i="2"/>
  <c r="G16" i="2"/>
  <c r="J15" i="2"/>
  <c r="Q16" i="2"/>
  <c r="N16" i="2" s="1"/>
  <c r="F16" i="2"/>
  <c r="P4" i="2"/>
  <c r="G4" i="2"/>
  <c r="J3" i="2"/>
  <c r="J4" i="2"/>
  <c r="Q4" i="2"/>
  <c r="N4" i="2" s="1"/>
  <c r="F4" i="2"/>
  <c r="E17" i="2"/>
  <c r="L15" i="2"/>
  <c r="M15" i="2" s="1"/>
  <c r="K15" i="2"/>
  <c r="O15" i="2"/>
  <c r="H3" i="2"/>
  <c r="K5" i="2"/>
  <c r="O5" i="2"/>
  <c r="L5" i="2"/>
  <c r="M5" i="2" s="1"/>
  <c r="H16" i="2"/>
  <c r="H4" i="2"/>
  <c r="A13" i="3"/>
  <c r="A19" i="2"/>
  <c r="B18" i="2"/>
  <c r="Z17" i="2"/>
  <c r="X17" i="2"/>
  <c r="W17" i="2"/>
  <c r="D18" i="2"/>
  <c r="T17" i="2"/>
  <c r="I4" i="2"/>
  <c r="S17" i="2"/>
  <c r="U17" i="2"/>
  <c r="C18" i="2"/>
  <c r="I16" i="2"/>
  <c r="Y17" i="2"/>
  <c r="V17" i="2"/>
  <c r="A78" i="3" l="1"/>
  <c r="R16" i="2"/>
  <c r="G17" i="2"/>
  <c r="P17" i="2"/>
  <c r="J16" i="2"/>
  <c r="Q17" i="2"/>
  <c r="N17" i="2" s="1"/>
  <c r="F17" i="2"/>
  <c r="E18" i="2"/>
  <c r="K4" i="2"/>
  <c r="O4" i="2"/>
  <c r="L4" i="2"/>
  <c r="M4" i="2" s="1"/>
  <c r="O3" i="2"/>
  <c r="L3" i="2"/>
  <c r="M3" i="2" s="1"/>
  <c r="K3" i="2"/>
  <c r="O16" i="2"/>
  <c r="K16" i="2"/>
  <c r="L16" i="2"/>
  <c r="M16" i="2" s="1"/>
  <c r="H17" i="2"/>
  <c r="B13" i="3"/>
  <c r="A20" i="2"/>
  <c r="B19" i="2"/>
  <c r="D19" i="2"/>
  <c r="U18" i="2"/>
  <c r="Z18" i="2"/>
  <c r="V18" i="2"/>
  <c r="C19" i="2"/>
  <c r="S18" i="2"/>
  <c r="I17" i="2"/>
  <c r="T18" i="2"/>
  <c r="I18" i="2"/>
  <c r="W18" i="2"/>
  <c r="X18" i="2"/>
  <c r="Y18" i="2"/>
  <c r="B78" i="3" l="1"/>
  <c r="R17" i="2"/>
  <c r="G18" i="2"/>
  <c r="P18" i="2"/>
  <c r="J17" i="2"/>
  <c r="Q18" i="2"/>
  <c r="N18" i="2" s="1"/>
  <c r="F18" i="2"/>
  <c r="E19" i="2"/>
  <c r="O17" i="2"/>
  <c r="L17" i="2"/>
  <c r="M17" i="2" s="1"/>
  <c r="K17" i="2"/>
  <c r="H18" i="2"/>
  <c r="C13" i="3"/>
  <c r="A21" i="2"/>
  <c r="B20" i="2"/>
  <c r="S19" i="2"/>
  <c r="W19" i="2"/>
  <c r="T19" i="2"/>
  <c r="U19" i="2"/>
  <c r="V19" i="2"/>
  <c r="D20" i="2"/>
  <c r="X19" i="2"/>
  <c r="Z19" i="2"/>
  <c r="C20" i="2"/>
  <c r="Y19" i="2"/>
  <c r="C78" i="3" l="1"/>
  <c r="R18" i="2"/>
  <c r="G19" i="2"/>
  <c r="P19" i="2"/>
  <c r="J18" i="2"/>
  <c r="Q19" i="2"/>
  <c r="N19" i="2" s="1"/>
  <c r="F19" i="2"/>
  <c r="E20" i="2"/>
  <c r="L18" i="2"/>
  <c r="M18" i="2" s="1"/>
  <c r="K18" i="2"/>
  <c r="O18" i="2"/>
  <c r="H19" i="2"/>
  <c r="A22" i="2"/>
  <c r="B21" i="2"/>
  <c r="U20" i="2"/>
  <c r="Y20" i="2"/>
  <c r="X20" i="2"/>
  <c r="C21" i="2"/>
  <c r="W20" i="2"/>
  <c r="I19" i="2"/>
  <c r="T20" i="2"/>
  <c r="I20" i="2" s="1"/>
  <c r="V20" i="2"/>
  <c r="S20" i="2"/>
  <c r="Z20" i="2"/>
  <c r="D21" i="2"/>
  <c r="D78" i="3" l="1"/>
  <c r="R19" i="2"/>
  <c r="P20" i="2"/>
  <c r="G20" i="2"/>
  <c r="J19" i="2"/>
  <c r="Q20" i="2"/>
  <c r="N20" i="2" s="1"/>
  <c r="F20" i="2"/>
  <c r="E21" i="2"/>
  <c r="O19" i="2"/>
  <c r="L19" i="2"/>
  <c r="M19" i="2" s="1"/>
  <c r="K19" i="2"/>
  <c r="H20" i="2"/>
  <c r="E13" i="3"/>
  <c r="A23" i="2"/>
  <c r="B22" i="2"/>
  <c r="W21" i="2"/>
  <c r="D22" i="2"/>
  <c r="U21" i="2"/>
  <c r="Z21" i="2"/>
  <c r="V21" i="2"/>
  <c r="C22" i="2"/>
  <c r="X21" i="2"/>
  <c r="T21" i="2"/>
  <c r="I21" i="2" s="1"/>
  <c r="Y21" i="2"/>
  <c r="S21" i="2"/>
  <c r="E78" i="3" l="1"/>
  <c r="R20" i="2"/>
  <c r="G21" i="2"/>
  <c r="P21" i="2"/>
  <c r="J20" i="2"/>
  <c r="Q21" i="2"/>
  <c r="N21" i="2" s="1"/>
  <c r="F21" i="2"/>
  <c r="E22" i="2"/>
  <c r="L20" i="2"/>
  <c r="M20" i="2" s="1"/>
  <c r="K20" i="2"/>
  <c r="O20" i="2"/>
  <c r="H21" i="2"/>
  <c r="F13" i="3"/>
  <c r="A24" i="2"/>
  <c r="B23" i="2"/>
  <c r="T22" i="2"/>
  <c r="C23" i="2"/>
  <c r="U22" i="2"/>
  <c r="X22" i="2"/>
  <c r="Y22" i="2"/>
  <c r="V22" i="2"/>
  <c r="I22" i="2"/>
  <c r="W22" i="2"/>
  <c r="D23" i="2"/>
  <c r="Z22" i="2"/>
  <c r="S22" i="2"/>
  <c r="F78" i="3" l="1"/>
  <c r="R21" i="2"/>
  <c r="G22" i="2"/>
  <c r="P22" i="2"/>
  <c r="J21" i="2"/>
  <c r="Q22" i="2"/>
  <c r="N22" i="2" s="1"/>
  <c r="F22" i="2"/>
  <c r="E23" i="2"/>
  <c r="O21" i="2"/>
  <c r="L21" i="2"/>
  <c r="M21" i="2" s="1"/>
  <c r="K21" i="2"/>
  <c r="H22" i="2"/>
  <c r="G13" i="3"/>
  <c r="A25" i="2"/>
  <c r="B24" i="2"/>
  <c r="S23" i="2"/>
  <c r="U23" i="2"/>
  <c r="T23" i="2"/>
  <c r="Y23" i="2"/>
  <c r="W23" i="2"/>
  <c r="D24" i="2"/>
  <c r="C24" i="2"/>
  <c r="X23" i="2"/>
  <c r="Z23" i="2"/>
  <c r="V23" i="2"/>
  <c r="G78" i="3" l="1"/>
  <c r="R22" i="2"/>
  <c r="G23" i="2"/>
  <c r="P23" i="2"/>
  <c r="J22" i="2"/>
  <c r="Q23" i="2"/>
  <c r="N23" i="2" s="1"/>
  <c r="F23" i="2"/>
  <c r="E24" i="2"/>
  <c r="O22" i="2"/>
  <c r="L22" i="2"/>
  <c r="M22" i="2" s="1"/>
  <c r="K22" i="2"/>
  <c r="H23" i="2"/>
  <c r="A23" i="3"/>
  <c r="A26" i="2"/>
  <c r="B25" i="2"/>
  <c r="I23" i="2"/>
  <c r="S24" i="2"/>
  <c r="C25" i="2"/>
  <c r="D25" i="2"/>
  <c r="Z24" i="2"/>
  <c r="Y24" i="2"/>
  <c r="U24" i="2"/>
  <c r="T24" i="2"/>
  <c r="W24" i="2"/>
  <c r="V24" i="2"/>
  <c r="X24" i="2"/>
  <c r="A88" i="3" l="1"/>
  <c r="R23" i="2"/>
  <c r="P24" i="2"/>
  <c r="G24" i="2"/>
  <c r="J23" i="2"/>
  <c r="Q24" i="2"/>
  <c r="N24" i="2" s="1"/>
  <c r="F24" i="2"/>
  <c r="E25" i="2"/>
  <c r="O23" i="2"/>
  <c r="K23" i="2"/>
  <c r="L23" i="2"/>
  <c r="M23" i="2" s="1"/>
  <c r="H24" i="2"/>
  <c r="B23" i="3"/>
  <c r="A27" i="2"/>
  <c r="B26" i="2"/>
  <c r="I24" i="2"/>
  <c r="U25" i="2"/>
  <c r="W25" i="2"/>
  <c r="C26" i="2"/>
  <c r="Z25" i="2"/>
  <c r="D26" i="2"/>
  <c r="Y25" i="2"/>
  <c r="S25" i="2"/>
  <c r="V25" i="2"/>
  <c r="T25" i="2"/>
  <c r="X25" i="2"/>
  <c r="B88" i="3" l="1"/>
  <c r="R24" i="2"/>
  <c r="G25" i="2"/>
  <c r="P25" i="2"/>
  <c r="J24" i="2"/>
  <c r="Q25" i="2"/>
  <c r="N25" i="2" s="1"/>
  <c r="F25" i="2"/>
  <c r="E26" i="2"/>
  <c r="O24" i="2"/>
  <c r="L24" i="2"/>
  <c r="M24" i="2" s="1"/>
  <c r="K24" i="2"/>
  <c r="H25" i="2"/>
  <c r="C23" i="3"/>
  <c r="A28" i="2"/>
  <c r="B27" i="2"/>
  <c r="D27" i="2"/>
  <c r="Z26" i="2"/>
  <c r="S26" i="2"/>
  <c r="V26" i="2"/>
  <c r="T26" i="2"/>
  <c r="Y26" i="2"/>
  <c r="I25" i="2"/>
  <c r="U26" i="2"/>
  <c r="W26" i="2"/>
  <c r="X26" i="2"/>
  <c r="C27" i="2"/>
  <c r="C88" i="3" l="1"/>
  <c r="R25" i="2"/>
  <c r="G26" i="2"/>
  <c r="P26" i="2"/>
  <c r="J25" i="2"/>
  <c r="Q26" i="2"/>
  <c r="N26" i="2" s="1"/>
  <c r="F26" i="2"/>
  <c r="E27" i="2"/>
  <c r="L25" i="2"/>
  <c r="M25" i="2" s="1"/>
  <c r="O25" i="2"/>
  <c r="K25" i="2"/>
  <c r="H26" i="2"/>
  <c r="D23" i="3"/>
  <c r="B28" i="2"/>
  <c r="A29" i="2"/>
  <c r="I26" i="2"/>
  <c r="T27" i="2"/>
  <c r="Y27" i="2"/>
  <c r="S27" i="2"/>
  <c r="W27" i="2"/>
  <c r="C28" i="2"/>
  <c r="X27" i="2"/>
  <c r="D28" i="2"/>
  <c r="Z27" i="2"/>
  <c r="V27" i="2"/>
  <c r="U27" i="2"/>
  <c r="D88" i="3" l="1"/>
  <c r="R26" i="2"/>
  <c r="G27" i="2"/>
  <c r="P27" i="2"/>
  <c r="J26" i="2"/>
  <c r="Q27" i="2"/>
  <c r="N27" i="2" s="1"/>
  <c r="F27" i="2"/>
  <c r="E28" i="2"/>
  <c r="L26" i="2"/>
  <c r="M26" i="2" s="1"/>
  <c r="K26" i="2"/>
  <c r="O26" i="2"/>
  <c r="H27" i="2"/>
  <c r="E23" i="3"/>
  <c r="A30" i="2"/>
  <c r="B29" i="2"/>
  <c r="I27" i="2"/>
  <c r="V28" i="2"/>
  <c r="D29" i="2"/>
  <c r="S28" i="2"/>
  <c r="Z28" i="2"/>
  <c r="Y28" i="2"/>
  <c r="W28" i="2"/>
  <c r="C29" i="2"/>
  <c r="T28" i="2"/>
  <c r="U28" i="2"/>
  <c r="X28" i="2"/>
  <c r="E88" i="3" l="1"/>
  <c r="R27" i="2"/>
  <c r="P28" i="2"/>
  <c r="G28" i="2"/>
  <c r="J27" i="2"/>
  <c r="Q28" i="2"/>
  <c r="N28" i="2" s="1"/>
  <c r="F28" i="2"/>
  <c r="E29" i="2"/>
  <c r="L27" i="2"/>
  <c r="M27" i="2" s="1"/>
  <c r="K27" i="2"/>
  <c r="O27" i="2"/>
  <c r="H28" i="2"/>
  <c r="F23" i="3"/>
  <c r="A31" i="2"/>
  <c r="B30" i="2"/>
  <c r="I28" i="2"/>
  <c r="V29" i="2"/>
  <c r="W29" i="2"/>
  <c r="C30" i="2"/>
  <c r="X29" i="2"/>
  <c r="T29" i="2"/>
  <c r="Z29" i="2"/>
  <c r="D30" i="2"/>
  <c r="S29" i="2"/>
  <c r="Y29" i="2"/>
  <c r="U29" i="2"/>
  <c r="F88" i="3" l="1"/>
  <c r="R28" i="2"/>
  <c r="G29" i="2"/>
  <c r="P29" i="2"/>
  <c r="J28" i="2"/>
  <c r="Q29" i="2"/>
  <c r="N29" i="2" s="1"/>
  <c r="F29" i="2"/>
  <c r="E30" i="2"/>
  <c r="K28" i="2"/>
  <c r="L28" i="2"/>
  <c r="M28" i="2" s="1"/>
  <c r="O28" i="2"/>
  <c r="H29" i="2"/>
  <c r="G23" i="3"/>
  <c r="A32" i="2"/>
  <c r="B31" i="2"/>
  <c r="I29" i="2"/>
  <c r="V30" i="2"/>
  <c r="X30" i="2"/>
  <c r="C31" i="2"/>
  <c r="W30" i="2"/>
  <c r="T30" i="2"/>
  <c r="Y30" i="2"/>
  <c r="S30" i="2"/>
  <c r="U30" i="2"/>
  <c r="Z30" i="2"/>
  <c r="D31" i="2"/>
  <c r="G88" i="3" l="1"/>
  <c r="R29" i="2"/>
  <c r="G30" i="2"/>
  <c r="P30" i="2"/>
  <c r="J29" i="2"/>
  <c r="Q30" i="2"/>
  <c r="N30" i="2" s="1"/>
  <c r="F30" i="2"/>
  <c r="E31" i="2"/>
  <c r="L29" i="2"/>
  <c r="M29" i="2" s="1"/>
  <c r="K29" i="2"/>
  <c r="O29" i="2"/>
  <c r="H30" i="2"/>
  <c r="A33" i="3"/>
  <c r="A33" i="2"/>
  <c r="B32" i="2"/>
  <c r="I30" i="2"/>
  <c r="C32" i="2"/>
  <c r="T31" i="2"/>
  <c r="S31" i="2"/>
  <c r="V31" i="2"/>
  <c r="X31" i="2"/>
  <c r="Z31" i="2"/>
  <c r="D32" i="2"/>
  <c r="Y31" i="2"/>
  <c r="W31" i="2"/>
  <c r="U31" i="2"/>
  <c r="A98" i="3" l="1"/>
  <c r="R30" i="2"/>
  <c r="G31" i="2"/>
  <c r="P31" i="2"/>
  <c r="J30" i="2"/>
  <c r="Q31" i="2"/>
  <c r="N31" i="2" s="1"/>
  <c r="F31" i="2"/>
  <c r="E32" i="2"/>
  <c r="O30" i="2"/>
  <c r="L30" i="2"/>
  <c r="M30" i="2" s="1"/>
  <c r="K30" i="2"/>
  <c r="H31" i="2"/>
  <c r="B33" i="3"/>
  <c r="A34" i="2"/>
  <c r="B33" i="2"/>
  <c r="Y32" i="2"/>
  <c r="W32" i="2"/>
  <c r="C33" i="2"/>
  <c r="Z32" i="2"/>
  <c r="U32" i="2"/>
  <c r="V32" i="2"/>
  <c r="I31" i="2"/>
  <c r="D33" i="2"/>
  <c r="T32" i="2"/>
  <c r="S32" i="2"/>
  <c r="X32" i="2"/>
  <c r="B98" i="3" l="1"/>
  <c r="R31" i="2"/>
  <c r="P32" i="2"/>
  <c r="G32" i="2"/>
  <c r="J31" i="2"/>
  <c r="Q32" i="2"/>
  <c r="N32" i="2" s="1"/>
  <c r="F32" i="2"/>
  <c r="E33" i="2"/>
  <c r="K31" i="2"/>
  <c r="L31" i="2"/>
  <c r="M31" i="2" s="1"/>
  <c r="O31" i="2"/>
  <c r="H32" i="2"/>
  <c r="C33" i="3"/>
  <c r="B34" i="2"/>
  <c r="A35" i="2"/>
  <c r="X33" i="2"/>
  <c r="Z33" i="2"/>
  <c r="D34" i="2"/>
  <c r="W33" i="2"/>
  <c r="T33" i="2"/>
  <c r="I32" i="2"/>
  <c r="C34" i="2"/>
  <c r="U33" i="2"/>
  <c r="S33" i="2"/>
  <c r="V33" i="2"/>
  <c r="Y33" i="2"/>
  <c r="C98" i="3" l="1"/>
  <c r="R32" i="2"/>
  <c r="G33" i="2"/>
  <c r="P33" i="2"/>
  <c r="J32" i="2"/>
  <c r="Q33" i="2"/>
  <c r="N33" i="2" s="1"/>
  <c r="F33" i="2"/>
  <c r="E34" i="2"/>
  <c r="O32" i="2"/>
  <c r="K32" i="2"/>
  <c r="L32" i="2"/>
  <c r="M32" i="2" s="1"/>
  <c r="H33" i="2"/>
  <c r="D33" i="3"/>
  <c r="A36" i="2"/>
  <c r="B35" i="2"/>
  <c r="Y34" i="2"/>
  <c r="V34" i="2"/>
  <c r="W34" i="2"/>
  <c r="X34" i="2"/>
  <c r="I33" i="2"/>
  <c r="T34" i="2"/>
  <c r="S34" i="2"/>
  <c r="Z34" i="2"/>
  <c r="U34" i="2"/>
  <c r="D35" i="2"/>
  <c r="C35" i="2"/>
  <c r="D98" i="3" l="1"/>
  <c r="R33" i="2"/>
  <c r="G34" i="2"/>
  <c r="P34" i="2"/>
  <c r="J33" i="2"/>
  <c r="Q34" i="2"/>
  <c r="N34" i="2" s="1"/>
  <c r="F34" i="2"/>
  <c r="E35" i="2"/>
  <c r="O33" i="2"/>
  <c r="L33" i="2"/>
  <c r="M33" i="2" s="1"/>
  <c r="K33" i="2"/>
  <c r="H34" i="2"/>
  <c r="E33" i="3"/>
  <c r="A37" i="2"/>
  <c r="B36" i="2"/>
  <c r="D36" i="2"/>
  <c r="W35" i="2"/>
  <c r="C36" i="2"/>
  <c r="Y35" i="2"/>
  <c r="S35" i="2"/>
  <c r="U35" i="2"/>
  <c r="T35" i="2"/>
  <c r="Z35" i="2"/>
  <c r="I34" i="2"/>
  <c r="V35" i="2"/>
  <c r="X35" i="2"/>
  <c r="E98" i="3" l="1"/>
  <c r="R34" i="2"/>
  <c r="G35" i="2"/>
  <c r="P35" i="2"/>
  <c r="J34" i="2"/>
  <c r="Q35" i="2"/>
  <c r="N35" i="2" s="1"/>
  <c r="F35" i="2"/>
  <c r="E36" i="2"/>
  <c r="L34" i="2"/>
  <c r="M34" i="2" s="1"/>
  <c r="K34" i="2"/>
  <c r="O34" i="2"/>
  <c r="H35" i="2"/>
  <c r="F33" i="3"/>
  <c r="A38" i="2"/>
  <c r="B37" i="2"/>
  <c r="I35" i="2"/>
  <c r="D37" i="2"/>
  <c r="T36" i="2"/>
  <c r="S36" i="2"/>
  <c r="U36" i="2"/>
  <c r="X36" i="2"/>
  <c r="W36" i="2"/>
  <c r="C37" i="2"/>
  <c r="V36" i="2"/>
  <c r="Z36" i="2"/>
  <c r="Y36" i="2"/>
  <c r="F98" i="3" l="1"/>
  <c r="R35" i="2"/>
  <c r="P36" i="2"/>
  <c r="G36" i="2"/>
  <c r="J35" i="2"/>
  <c r="Q36" i="2"/>
  <c r="N36" i="2" s="1"/>
  <c r="F36" i="2"/>
  <c r="E37" i="2"/>
  <c r="O35" i="2"/>
  <c r="L35" i="2"/>
  <c r="M35" i="2" s="1"/>
  <c r="K35" i="2"/>
  <c r="H36" i="2"/>
  <c r="G33" i="3"/>
  <c r="A39" i="2"/>
  <c r="B38" i="2"/>
  <c r="I36" i="2"/>
  <c r="V37" i="2"/>
  <c r="Z37" i="2"/>
  <c r="D38" i="2"/>
  <c r="T37" i="2"/>
  <c r="S37" i="2"/>
  <c r="W37" i="2"/>
  <c r="Y37" i="2"/>
  <c r="C38" i="2"/>
  <c r="U37" i="2"/>
  <c r="X37" i="2"/>
  <c r="G98" i="3" l="1"/>
  <c r="R36" i="2"/>
  <c r="J36" i="2"/>
  <c r="G37" i="2"/>
  <c r="P37" i="2"/>
  <c r="Q37" i="2"/>
  <c r="N37" i="2" s="1"/>
  <c r="F37" i="2"/>
  <c r="E38" i="2"/>
  <c r="L36" i="2"/>
  <c r="M36" i="2" s="1"/>
  <c r="K36" i="2"/>
  <c r="O36" i="2"/>
  <c r="H37" i="2"/>
  <c r="A43" i="3"/>
  <c r="A40" i="2"/>
  <c r="B39" i="2"/>
  <c r="D39" i="2"/>
  <c r="X38" i="2"/>
  <c r="C39" i="2"/>
  <c r="Y38" i="2"/>
  <c r="I37" i="2"/>
  <c r="U38" i="2"/>
  <c r="W38" i="2"/>
  <c r="T38" i="2"/>
  <c r="V38" i="2"/>
  <c r="Z38" i="2"/>
  <c r="S38" i="2"/>
  <c r="A108" i="3" l="1"/>
  <c r="R37" i="2"/>
  <c r="J37" i="2"/>
  <c r="G38" i="2"/>
  <c r="P38" i="2"/>
  <c r="Q38" i="2"/>
  <c r="N38" i="2" s="1"/>
  <c r="F38" i="2"/>
  <c r="E39" i="2"/>
  <c r="O37" i="2"/>
  <c r="L37" i="2"/>
  <c r="M37" i="2" s="1"/>
  <c r="K37" i="2"/>
  <c r="H38" i="2"/>
  <c r="B43" i="3"/>
  <c r="A41" i="2"/>
  <c r="B40" i="2"/>
  <c r="Z39" i="2"/>
  <c r="W39" i="2"/>
  <c r="C40" i="2"/>
  <c r="T39" i="2"/>
  <c r="V39" i="2"/>
  <c r="X39" i="2"/>
  <c r="I38" i="2"/>
  <c r="S39" i="2"/>
  <c r="Y39" i="2"/>
  <c r="D40" i="2"/>
  <c r="U39" i="2"/>
  <c r="B108" i="3" l="1"/>
  <c r="R38" i="2"/>
  <c r="J38" i="2"/>
  <c r="G39" i="2"/>
  <c r="P39" i="2"/>
  <c r="Q39" i="2"/>
  <c r="N39" i="2" s="1"/>
  <c r="F39" i="2"/>
  <c r="E40" i="2"/>
  <c r="O38" i="2"/>
  <c r="L38" i="2"/>
  <c r="M38" i="2" s="1"/>
  <c r="K38" i="2"/>
  <c r="H39" i="2"/>
  <c r="C43" i="3"/>
  <c r="A42" i="2"/>
  <c r="B41" i="2"/>
  <c r="I39" i="2"/>
  <c r="S40" i="2"/>
  <c r="W40" i="2"/>
  <c r="X40" i="2"/>
  <c r="Y40" i="2"/>
  <c r="T40" i="2"/>
  <c r="C41" i="2"/>
  <c r="Z40" i="2"/>
  <c r="V40" i="2"/>
  <c r="U40" i="2"/>
  <c r="D41" i="2"/>
  <c r="C108" i="3" l="1"/>
  <c r="R39" i="2"/>
  <c r="J39" i="2"/>
  <c r="P40" i="2"/>
  <c r="G40" i="2"/>
  <c r="Q40" i="2"/>
  <c r="N40" i="2" s="1"/>
  <c r="F40" i="2"/>
  <c r="E41" i="2"/>
  <c r="O39" i="2"/>
  <c r="L39" i="2"/>
  <c r="M39" i="2" s="1"/>
  <c r="K39" i="2"/>
  <c r="H40" i="2"/>
  <c r="D43" i="3"/>
  <c r="A43" i="2"/>
  <c r="B42" i="2"/>
  <c r="U41" i="2"/>
  <c r="D42" i="2"/>
  <c r="Y41" i="2"/>
  <c r="C42" i="2"/>
  <c r="Z41" i="2"/>
  <c r="I40" i="2"/>
  <c r="V41" i="2"/>
  <c r="S41" i="2"/>
  <c r="X41" i="2"/>
  <c r="T41" i="2"/>
  <c r="I41" i="2" s="1"/>
  <c r="W41" i="2"/>
  <c r="D108" i="3" l="1"/>
  <c r="R40" i="2"/>
  <c r="J40" i="2"/>
  <c r="G41" i="2"/>
  <c r="P41" i="2"/>
  <c r="Q41" i="2"/>
  <c r="N41" i="2" s="1"/>
  <c r="F41" i="2"/>
  <c r="E42" i="2"/>
  <c r="L40" i="2"/>
  <c r="M40" i="2" s="1"/>
  <c r="O40" i="2"/>
  <c r="K40" i="2"/>
  <c r="H41" i="2"/>
  <c r="E43" i="3"/>
  <c r="A44" i="2"/>
  <c r="B43" i="2"/>
  <c r="D43" i="2"/>
  <c r="T42" i="2"/>
  <c r="V42" i="2"/>
  <c r="U42" i="2"/>
  <c r="X42" i="2"/>
  <c r="Y42" i="2"/>
  <c r="S42" i="2"/>
  <c r="Z42" i="2"/>
  <c r="W42" i="2"/>
  <c r="C43" i="2"/>
  <c r="E108" i="3" l="1"/>
  <c r="R41" i="2"/>
  <c r="J41" i="2"/>
  <c r="G42" i="2"/>
  <c r="P42" i="2"/>
  <c r="Q42" i="2"/>
  <c r="N42" i="2" s="1"/>
  <c r="F42" i="2"/>
  <c r="E43" i="2"/>
  <c r="L41" i="2"/>
  <c r="M41" i="2" s="1"/>
  <c r="K41" i="2"/>
  <c r="O41" i="2"/>
  <c r="H42" i="2"/>
  <c r="F43" i="3"/>
  <c r="A45" i="2"/>
  <c r="B44" i="2"/>
  <c r="C44" i="2"/>
  <c r="Y43" i="2"/>
  <c r="S43" i="2"/>
  <c r="V43" i="2"/>
  <c r="Z43" i="2"/>
  <c r="D44" i="2"/>
  <c r="T43" i="2"/>
  <c r="U43" i="2"/>
  <c r="W43" i="2"/>
  <c r="I43" i="2"/>
  <c r="I42" i="2"/>
  <c r="X43" i="2"/>
  <c r="F108" i="3" l="1"/>
  <c r="R42" i="2"/>
  <c r="J42" i="2"/>
  <c r="G43" i="2"/>
  <c r="P43" i="2"/>
  <c r="Q43" i="2"/>
  <c r="N43" i="2" s="1"/>
  <c r="F43" i="2"/>
  <c r="E44" i="2"/>
  <c r="L42" i="2"/>
  <c r="M42" i="2" s="1"/>
  <c r="K42" i="2"/>
  <c r="O42" i="2"/>
  <c r="H43" i="2"/>
  <c r="G43" i="3"/>
  <c r="A46" i="2"/>
  <c r="B45" i="2"/>
  <c r="C45" i="2"/>
  <c r="X44" i="2"/>
  <c r="Y44" i="2"/>
  <c r="U44" i="2"/>
  <c r="T44" i="2"/>
  <c r="S44" i="2"/>
  <c r="V44" i="2"/>
  <c r="Z44" i="2"/>
  <c r="W44" i="2"/>
  <c r="D45" i="2"/>
  <c r="G108" i="3" l="1"/>
  <c r="R43" i="2"/>
  <c r="J43" i="2"/>
  <c r="P44" i="2"/>
  <c r="G44" i="2"/>
  <c r="Q44" i="2"/>
  <c r="N44" i="2" s="1"/>
  <c r="F44" i="2"/>
  <c r="E45" i="2"/>
  <c r="O43" i="2"/>
  <c r="K43" i="2"/>
  <c r="L43" i="2"/>
  <c r="M43" i="2" s="1"/>
  <c r="H44" i="2"/>
  <c r="A53" i="3"/>
  <c r="A47" i="2"/>
  <c r="B46" i="2"/>
  <c r="I44" i="2"/>
  <c r="U45" i="2"/>
  <c r="S45" i="2"/>
  <c r="Z45" i="2"/>
  <c r="T45" i="2"/>
  <c r="V45" i="2"/>
  <c r="W45" i="2"/>
  <c r="D46" i="2"/>
  <c r="X45" i="2"/>
  <c r="C46" i="2"/>
  <c r="Y45" i="2"/>
  <c r="A118" i="3" l="1"/>
  <c r="R44" i="2"/>
  <c r="J44" i="2"/>
  <c r="G45" i="2"/>
  <c r="P45" i="2"/>
  <c r="Q45" i="2"/>
  <c r="N45" i="2" s="1"/>
  <c r="F45" i="2"/>
  <c r="E46" i="2"/>
  <c r="K44" i="2"/>
  <c r="O44" i="2"/>
  <c r="L44" i="2"/>
  <c r="M44" i="2" s="1"/>
  <c r="H45" i="2"/>
  <c r="B53" i="3"/>
  <c r="A48" i="2"/>
  <c r="B47" i="2"/>
  <c r="I45" i="2"/>
  <c r="V46" i="2"/>
  <c r="S46" i="2"/>
  <c r="Y46" i="2"/>
  <c r="T46" i="2"/>
  <c r="U46" i="2"/>
  <c r="W46" i="2"/>
  <c r="C47" i="2"/>
  <c r="X46" i="2"/>
  <c r="Z46" i="2"/>
  <c r="D47" i="2"/>
  <c r="B118" i="3" l="1"/>
  <c r="R45" i="2"/>
  <c r="J45" i="2"/>
  <c r="G46" i="2"/>
  <c r="P46" i="2"/>
  <c r="Q46" i="2"/>
  <c r="N46" i="2" s="1"/>
  <c r="F46" i="2"/>
  <c r="E47" i="2"/>
  <c r="L45" i="2"/>
  <c r="M45" i="2" s="1"/>
  <c r="O45" i="2"/>
  <c r="K45" i="2"/>
  <c r="H46" i="2"/>
  <c r="A49" i="2"/>
  <c r="B48" i="2"/>
  <c r="U47" i="2"/>
  <c r="X47" i="2"/>
  <c r="D48" i="2"/>
  <c r="T47" i="2"/>
  <c r="C48" i="2"/>
  <c r="Y47" i="2"/>
  <c r="I46" i="2"/>
  <c r="W47" i="2"/>
  <c r="S47" i="2"/>
  <c r="Z47" i="2"/>
  <c r="V47" i="2"/>
  <c r="R46" i="2" l="1"/>
  <c r="J46" i="2"/>
  <c r="G47" i="2"/>
  <c r="P47" i="2"/>
  <c r="Q47" i="2"/>
  <c r="N47" i="2" s="1"/>
  <c r="F47" i="2"/>
  <c r="E48" i="2"/>
  <c r="O46" i="2"/>
  <c r="L46" i="2"/>
  <c r="M46" i="2" s="1"/>
  <c r="K46" i="2"/>
  <c r="H47" i="2"/>
  <c r="A50" i="2"/>
  <c r="B49" i="2"/>
  <c r="D49" i="2"/>
  <c r="Z48" i="2"/>
  <c r="T48" i="2"/>
  <c r="U48" i="2"/>
  <c r="S48" i="2"/>
  <c r="Y48" i="2"/>
  <c r="W48" i="2"/>
  <c r="I47" i="2"/>
  <c r="X48" i="2"/>
  <c r="C49" i="2"/>
  <c r="V48" i="2"/>
  <c r="I48" i="2"/>
  <c r="R47" i="2" l="1"/>
  <c r="J47" i="2"/>
  <c r="P48" i="2"/>
  <c r="G48" i="2"/>
  <c r="Q48" i="2"/>
  <c r="N48" i="2" s="1"/>
  <c r="F48" i="2"/>
  <c r="E49" i="2"/>
  <c r="L47" i="2"/>
  <c r="M47" i="2" s="1"/>
  <c r="K47" i="2"/>
  <c r="O47" i="2"/>
  <c r="H48" i="2"/>
  <c r="A51" i="2"/>
  <c r="B50" i="2"/>
  <c r="Z49" i="2"/>
  <c r="T49" i="2"/>
  <c r="W49" i="2"/>
  <c r="U49" i="2"/>
  <c r="S49" i="2"/>
  <c r="C50" i="2"/>
  <c r="Y49" i="2"/>
  <c r="X49" i="2"/>
  <c r="D50" i="2"/>
  <c r="V49" i="2"/>
  <c r="R48" i="2" l="1"/>
  <c r="J48" i="2"/>
  <c r="G49" i="2"/>
  <c r="P49" i="2"/>
  <c r="Q49" i="2"/>
  <c r="N49" i="2" s="1"/>
  <c r="F49" i="2"/>
  <c r="E50" i="2"/>
  <c r="K48" i="2"/>
  <c r="O48" i="2"/>
  <c r="L48" i="2"/>
  <c r="M48" i="2" s="1"/>
  <c r="H49" i="2"/>
  <c r="A52" i="2"/>
  <c r="B51" i="2"/>
  <c r="I49" i="2"/>
  <c r="X50" i="2"/>
  <c r="Z50" i="2"/>
  <c r="Y50" i="2"/>
  <c r="U50" i="2"/>
  <c r="S50" i="2"/>
  <c r="W50" i="2"/>
  <c r="T50" i="2"/>
  <c r="V50" i="2"/>
  <c r="D51" i="2"/>
  <c r="C51" i="2"/>
  <c r="R49" i="2" l="1"/>
  <c r="J49" i="2"/>
  <c r="G50" i="2"/>
  <c r="P50" i="2"/>
  <c r="Q50" i="2"/>
  <c r="N50" i="2" s="1"/>
  <c r="F50" i="2"/>
  <c r="E51" i="2"/>
  <c r="L49" i="2"/>
  <c r="M49" i="2" s="1"/>
  <c r="K49" i="2"/>
  <c r="O49" i="2"/>
  <c r="H50" i="2"/>
  <c r="A53" i="2"/>
  <c r="B52" i="2"/>
  <c r="Z51" i="2"/>
  <c r="T51" i="2"/>
  <c r="Y51" i="2"/>
  <c r="X51" i="2"/>
  <c r="V51" i="2"/>
  <c r="S51" i="2"/>
  <c r="D52" i="2"/>
  <c r="I50" i="2"/>
  <c r="W51" i="2"/>
  <c r="U51" i="2"/>
  <c r="C52" i="2"/>
  <c r="R50" i="2" l="1"/>
  <c r="J50" i="2"/>
  <c r="G51" i="2"/>
  <c r="P51" i="2"/>
  <c r="Q51" i="2"/>
  <c r="N51" i="2" s="1"/>
  <c r="F51" i="2"/>
  <c r="E52" i="2"/>
  <c r="L50" i="2"/>
  <c r="M50" i="2" s="1"/>
  <c r="K50" i="2"/>
  <c r="O50" i="2"/>
  <c r="H51" i="2"/>
  <c r="A54" i="2"/>
  <c r="B53" i="2"/>
  <c r="I51" i="2"/>
  <c r="V52" i="2"/>
  <c r="S52" i="2"/>
  <c r="C53" i="2"/>
  <c r="Y52" i="2"/>
  <c r="X52" i="2"/>
  <c r="U52" i="2"/>
  <c r="D53" i="2"/>
  <c r="T52" i="2"/>
  <c r="Z52" i="2"/>
  <c r="W52" i="2"/>
  <c r="R51" i="2" l="1"/>
  <c r="J51" i="2"/>
  <c r="P52" i="2"/>
  <c r="G52" i="2"/>
  <c r="Q52" i="2"/>
  <c r="N52" i="2" s="1"/>
  <c r="F52" i="2"/>
  <c r="E53" i="2"/>
  <c r="O51" i="2"/>
  <c r="L51" i="2"/>
  <c r="M51" i="2" s="1"/>
  <c r="K51" i="2"/>
  <c r="H52" i="2"/>
  <c r="A55" i="2"/>
  <c r="B54" i="2"/>
  <c r="I52" i="2"/>
  <c r="U53" i="2"/>
  <c r="S53" i="2"/>
  <c r="Z53" i="2"/>
  <c r="T53" i="2"/>
  <c r="Y53" i="2"/>
  <c r="C54" i="2"/>
  <c r="X53" i="2"/>
  <c r="D54" i="2"/>
  <c r="W53" i="2"/>
  <c r="V53" i="2"/>
  <c r="R52" i="2" l="1"/>
  <c r="J52" i="2"/>
  <c r="G53" i="2"/>
  <c r="P53" i="2"/>
  <c r="Q53" i="2"/>
  <c r="N53" i="2" s="1"/>
  <c r="F53" i="2"/>
  <c r="E54" i="2"/>
  <c r="O52" i="2"/>
  <c r="L52" i="2"/>
  <c r="M52" i="2" s="1"/>
  <c r="K52" i="2"/>
  <c r="H53" i="2"/>
  <c r="A56" i="2"/>
  <c r="B55" i="2"/>
  <c r="I53" i="2"/>
  <c r="U54" i="2"/>
  <c r="D55" i="2"/>
  <c r="C55" i="2"/>
  <c r="W54" i="2"/>
  <c r="S54" i="2"/>
  <c r="Z54" i="2"/>
  <c r="Y54" i="2"/>
  <c r="X54" i="2"/>
  <c r="V54" i="2"/>
  <c r="T54" i="2"/>
  <c r="R53" i="2" l="1"/>
  <c r="J53" i="2"/>
  <c r="G54" i="2"/>
  <c r="P54" i="2"/>
  <c r="Q54" i="2"/>
  <c r="N54" i="2" s="1"/>
  <c r="F54" i="2"/>
  <c r="E55" i="2"/>
  <c r="O53" i="2"/>
  <c r="L53" i="2"/>
  <c r="M53" i="2" s="1"/>
  <c r="K53" i="2"/>
  <c r="H54" i="2"/>
  <c r="A57" i="2"/>
  <c r="B56" i="2"/>
  <c r="I54" i="2"/>
  <c r="Y55" i="2"/>
  <c r="S55" i="2"/>
  <c r="Z55" i="2"/>
  <c r="C56" i="2"/>
  <c r="X55" i="2"/>
  <c r="D56" i="2"/>
  <c r="V55" i="2"/>
  <c r="U55" i="2"/>
  <c r="W55" i="2"/>
  <c r="T55" i="2"/>
  <c r="R54" i="2" l="1"/>
  <c r="J54" i="2"/>
  <c r="G55" i="2"/>
  <c r="P55" i="2"/>
  <c r="Q55" i="2"/>
  <c r="N55" i="2" s="1"/>
  <c r="F55" i="2"/>
  <c r="E56" i="2"/>
  <c r="O54" i="2"/>
  <c r="L54" i="2"/>
  <c r="M54" i="2" s="1"/>
  <c r="K54" i="2"/>
  <c r="H55" i="2"/>
  <c r="A58" i="2"/>
  <c r="B57" i="2"/>
  <c r="I55" i="2"/>
  <c r="U56" i="2"/>
  <c r="T56" i="2"/>
  <c r="D57" i="2"/>
  <c r="W56" i="2"/>
  <c r="Y56" i="2"/>
  <c r="Z56" i="2"/>
  <c r="C57" i="2"/>
  <c r="S56" i="2"/>
  <c r="V56" i="2"/>
  <c r="X56" i="2"/>
  <c r="R55" i="2" l="1"/>
  <c r="J55" i="2"/>
  <c r="P56" i="2"/>
  <c r="G56" i="2"/>
  <c r="Q56" i="2"/>
  <c r="N56" i="2" s="1"/>
  <c r="F56" i="2"/>
  <c r="E57" i="2"/>
  <c r="K55" i="2"/>
  <c r="L55" i="2"/>
  <c r="M55" i="2" s="1"/>
  <c r="O55" i="2"/>
  <c r="H56" i="2"/>
  <c r="A59" i="2"/>
  <c r="B58" i="2"/>
  <c r="D58" i="2"/>
  <c r="U57" i="2"/>
  <c r="V57" i="2"/>
  <c r="Z57" i="2"/>
  <c r="X57" i="2"/>
  <c r="T57" i="2"/>
  <c r="S57" i="2"/>
  <c r="Y57" i="2"/>
  <c r="I56" i="2"/>
  <c r="W57" i="2"/>
  <c r="C58" i="2"/>
  <c r="R56" i="2" l="1"/>
  <c r="J56" i="2"/>
  <c r="G57" i="2"/>
  <c r="P57" i="2"/>
  <c r="Q57" i="2"/>
  <c r="N57" i="2" s="1"/>
  <c r="F57" i="2"/>
  <c r="E58" i="2"/>
  <c r="L56" i="2"/>
  <c r="M56" i="2" s="1"/>
  <c r="K56" i="2"/>
  <c r="O56" i="2"/>
  <c r="H57" i="2"/>
  <c r="A60" i="2"/>
  <c r="B59" i="2"/>
  <c r="C59" i="2"/>
  <c r="V58" i="2"/>
  <c r="T58" i="2"/>
  <c r="Y58" i="2"/>
  <c r="W58" i="2"/>
  <c r="I57" i="2"/>
  <c r="S58" i="2"/>
  <c r="Z58" i="2"/>
  <c r="D59" i="2"/>
  <c r="X58" i="2"/>
  <c r="U58" i="2"/>
  <c r="R57" i="2" l="1"/>
  <c r="J57" i="2"/>
  <c r="G58" i="2"/>
  <c r="P58" i="2"/>
  <c r="Q58" i="2"/>
  <c r="N58" i="2" s="1"/>
  <c r="F58" i="2"/>
  <c r="E59" i="2"/>
  <c r="O57" i="2"/>
  <c r="L57" i="2"/>
  <c r="M57" i="2" s="1"/>
  <c r="K57" i="2"/>
  <c r="H58" i="2"/>
  <c r="A61" i="2"/>
  <c r="B60" i="2"/>
  <c r="C60" i="2"/>
  <c r="Y59" i="2"/>
  <c r="T59" i="2"/>
  <c r="W59" i="2"/>
  <c r="I58" i="2"/>
  <c r="V59" i="2"/>
  <c r="U59" i="2"/>
  <c r="D60" i="2"/>
  <c r="S59" i="2"/>
  <c r="X59" i="2"/>
  <c r="Z59" i="2"/>
  <c r="R58" i="2" l="1"/>
  <c r="J58" i="2"/>
  <c r="G59" i="2"/>
  <c r="P59" i="2"/>
  <c r="Q59" i="2"/>
  <c r="N59" i="2" s="1"/>
  <c r="F59" i="2"/>
  <c r="E60" i="2"/>
  <c r="L58" i="2"/>
  <c r="M58" i="2" s="1"/>
  <c r="K58" i="2"/>
  <c r="O58" i="2"/>
  <c r="H59" i="2"/>
  <c r="A62" i="2"/>
  <c r="B61" i="2"/>
  <c r="I59" i="2"/>
  <c r="V60" i="2"/>
  <c r="T60" i="2"/>
  <c r="X60" i="2"/>
  <c r="C61" i="2"/>
  <c r="D61" i="2"/>
  <c r="Z60" i="2"/>
  <c r="U60" i="2"/>
  <c r="W60" i="2"/>
  <c r="Y60" i="2"/>
  <c r="S60" i="2"/>
  <c r="R59" i="2" l="1"/>
  <c r="J59" i="2"/>
  <c r="P60" i="2"/>
  <c r="G60" i="2"/>
  <c r="Q60" i="2"/>
  <c r="N60" i="2" s="1"/>
  <c r="F60" i="2"/>
  <c r="E61" i="2"/>
  <c r="O59" i="2"/>
  <c r="K59" i="2"/>
  <c r="L59" i="2"/>
  <c r="M59" i="2" s="1"/>
  <c r="H60" i="2"/>
  <c r="A63" i="2"/>
  <c r="B62" i="2"/>
  <c r="I60" i="2"/>
  <c r="W61" i="2"/>
  <c r="C62" i="2"/>
  <c r="D62" i="2"/>
  <c r="Y61" i="2"/>
  <c r="V61" i="2"/>
  <c r="Z61" i="2"/>
  <c r="X61" i="2"/>
  <c r="T61" i="2"/>
  <c r="S61" i="2"/>
  <c r="U61" i="2"/>
  <c r="R60" i="2" l="1"/>
  <c r="J60" i="2"/>
  <c r="G61" i="2"/>
  <c r="P61" i="2"/>
  <c r="Q61" i="2"/>
  <c r="N61" i="2" s="1"/>
  <c r="F61" i="2"/>
  <c r="E62" i="2"/>
  <c r="K60" i="2"/>
  <c r="L60" i="2"/>
  <c r="M60" i="2" s="1"/>
  <c r="O60" i="2"/>
  <c r="H61" i="2"/>
  <c r="A64" i="2"/>
  <c r="B63" i="2"/>
  <c r="C63" i="2"/>
  <c r="Z62" i="2"/>
  <c r="U62" i="2"/>
  <c r="Y62" i="2"/>
  <c r="W62" i="2"/>
  <c r="T62" i="2"/>
  <c r="V62" i="2"/>
  <c r="I61" i="2"/>
  <c r="X62" i="2"/>
  <c r="D63" i="2"/>
  <c r="S62" i="2"/>
  <c r="R61" i="2" l="1"/>
  <c r="J61" i="2"/>
  <c r="G62" i="2"/>
  <c r="P62" i="2"/>
  <c r="Q62" i="2"/>
  <c r="N62" i="2" s="1"/>
  <c r="F62" i="2"/>
  <c r="E63" i="2"/>
  <c r="O61" i="2"/>
  <c r="L61" i="2"/>
  <c r="M61" i="2" s="1"/>
  <c r="K61" i="2"/>
  <c r="H62" i="2"/>
  <c r="A65" i="2"/>
  <c r="B64" i="2"/>
  <c r="I62" i="2"/>
  <c r="V63" i="2"/>
  <c r="U63" i="2"/>
  <c r="C64" i="2"/>
  <c r="W63" i="2"/>
  <c r="Z63" i="2"/>
  <c r="Y63" i="2"/>
  <c r="X63" i="2"/>
  <c r="T63" i="2"/>
  <c r="S63" i="2"/>
  <c r="D64" i="2"/>
  <c r="R62" i="2" l="1"/>
  <c r="J62" i="2"/>
  <c r="G63" i="2"/>
  <c r="P63" i="2"/>
  <c r="Q63" i="2"/>
  <c r="N63" i="2" s="1"/>
  <c r="F63" i="2"/>
  <c r="E64" i="2"/>
  <c r="O62" i="2"/>
  <c r="L62" i="2"/>
  <c r="M62" i="2" s="1"/>
  <c r="K62" i="2"/>
  <c r="H63" i="2"/>
  <c r="A66" i="2"/>
  <c r="B65" i="2"/>
  <c r="I63" i="2"/>
  <c r="U64" i="2"/>
  <c r="V64" i="2"/>
  <c r="S64" i="2"/>
  <c r="D65" i="2"/>
  <c r="C65" i="2"/>
  <c r="Z64" i="2"/>
  <c r="W64" i="2"/>
  <c r="Y64" i="2"/>
  <c r="X64" i="2"/>
  <c r="T64" i="2"/>
  <c r="R63" i="2" l="1"/>
  <c r="J63" i="2"/>
  <c r="P64" i="2"/>
  <c r="G64" i="2"/>
  <c r="Q64" i="2"/>
  <c r="N64" i="2" s="1"/>
  <c r="F64" i="2"/>
  <c r="E65" i="2"/>
  <c r="L63" i="2"/>
  <c r="M63" i="2" s="1"/>
  <c r="K63" i="2"/>
  <c r="O63" i="2"/>
  <c r="H64" i="2"/>
  <c r="A67" i="2"/>
  <c r="B66" i="2"/>
  <c r="I64" i="2"/>
  <c r="V65" i="2"/>
  <c r="T65" i="2"/>
  <c r="S65" i="2"/>
  <c r="D66" i="2"/>
  <c r="U65" i="2"/>
  <c r="Y65" i="2"/>
  <c r="X65" i="2"/>
  <c r="C66" i="2"/>
  <c r="Z65" i="2"/>
  <c r="W65" i="2"/>
  <c r="R64" i="2" l="1"/>
  <c r="J64" i="2"/>
  <c r="G65" i="2"/>
  <c r="P65" i="2"/>
  <c r="Q65" i="2"/>
  <c r="N65" i="2" s="1"/>
  <c r="F65" i="2"/>
  <c r="E66" i="2"/>
  <c r="K64" i="2"/>
  <c r="O64" i="2"/>
  <c r="L64" i="2"/>
  <c r="M64" i="2" s="1"/>
  <c r="H65" i="2"/>
  <c r="A68" i="2"/>
  <c r="B67" i="2"/>
  <c r="C67" i="2"/>
  <c r="X66" i="2"/>
  <c r="D67" i="2"/>
  <c r="U66" i="2"/>
  <c r="W66" i="2"/>
  <c r="T66" i="2"/>
  <c r="I65" i="2"/>
  <c r="S66" i="2"/>
  <c r="Y66" i="2"/>
  <c r="Z66" i="2"/>
  <c r="V66" i="2"/>
  <c r="R65" i="2" l="1"/>
  <c r="J65" i="2"/>
  <c r="G66" i="2"/>
  <c r="P66" i="2"/>
  <c r="Q66" i="2"/>
  <c r="N66" i="2" s="1"/>
  <c r="F66" i="2"/>
  <c r="E67" i="2"/>
  <c r="L65" i="2"/>
  <c r="M65" i="2" s="1"/>
  <c r="K65" i="2"/>
  <c r="O65" i="2"/>
  <c r="H66" i="2"/>
  <c r="A69" i="2"/>
  <c r="B68" i="2"/>
  <c r="I66" i="2"/>
  <c r="Y67" i="2"/>
  <c r="V67" i="2"/>
  <c r="Z67" i="2"/>
  <c r="W67" i="2"/>
  <c r="C68" i="2"/>
  <c r="X67" i="2"/>
  <c r="D68" i="2"/>
  <c r="U67" i="2"/>
  <c r="T67" i="2"/>
  <c r="I67" i="2" s="1"/>
  <c r="S67" i="2"/>
  <c r="R66" i="2" l="1"/>
  <c r="J66" i="2"/>
  <c r="G67" i="2"/>
  <c r="P67" i="2"/>
  <c r="Q67" i="2"/>
  <c r="N67" i="2" s="1"/>
  <c r="F67" i="2"/>
  <c r="E68" i="2"/>
  <c r="L66" i="2"/>
  <c r="M66" i="2" s="1"/>
  <c r="K66" i="2"/>
  <c r="O66" i="2"/>
  <c r="H67" i="2"/>
  <c r="A70" i="2"/>
  <c r="B69" i="2"/>
  <c r="W68" i="2"/>
  <c r="Z68" i="2"/>
  <c r="C69" i="2"/>
  <c r="V68" i="2"/>
  <c r="T68" i="2"/>
  <c r="Y68" i="2"/>
  <c r="U68" i="2"/>
  <c r="S68" i="2"/>
  <c r="D69" i="2"/>
  <c r="X68" i="2"/>
  <c r="R67" i="2" l="1"/>
  <c r="J67" i="2"/>
  <c r="P68" i="2"/>
  <c r="G68" i="2"/>
  <c r="Q68" i="2"/>
  <c r="N68" i="2" s="1"/>
  <c r="F68" i="2"/>
  <c r="E69" i="2"/>
  <c r="O67" i="2"/>
  <c r="L67" i="2"/>
  <c r="M67" i="2" s="1"/>
  <c r="K67" i="2"/>
  <c r="H68" i="2"/>
  <c r="A71" i="2"/>
  <c r="B70" i="2"/>
  <c r="D70" i="2"/>
  <c r="W69" i="2"/>
  <c r="X69" i="2"/>
  <c r="Y69" i="2"/>
  <c r="C70" i="2"/>
  <c r="U69" i="2"/>
  <c r="S69" i="2"/>
  <c r="I68" i="2"/>
  <c r="T69" i="2"/>
  <c r="V69" i="2"/>
  <c r="Z69" i="2"/>
  <c r="R68" i="2" l="1"/>
  <c r="J68" i="2"/>
  <c r="G69" i="2"/>
  <c r="P69" i="2"/>
  <c r="Q69" i="2"/>
  <c r="N69" i="2" s="1"/>
  <c r="F69" i="2"/>
  <c r="E70" i="2"/>
  <c r="O68" i="2"/>
  <c r="L68" i="2"/>
  <c r="M68" i="2" s="1"/>
  <c r="K68" i="2"/>
  <c r="H69" i="2"/>
  <c r="A72" i="2"/>
  <c r="B71" i="2"/>
  <c r="I69" i="2"/>
  <c r="U70" i="2"/>
  <c r="D71" i="2"/>
  <c r="X70" i="2"/>
  <c r="Z70" i="2"/>
  <c r="Y70" i="2"/>
  <c r="T70" i="2"/>
  <c r="S70" i="2"/>
  <c r="W70" i="2"/>
  <c r="C71" i="2"/>
  <c r="V70" i="2"/>
  <c r="R69" i="2" l="1"/>
  <c r="J69" i="2"/>
  <c r="G70" i="2"/>
  <c r="P70" i="2"/>
  <c r="Q70" i="2"/>
  <c r="N70" i="2" s="1"/>
  <c r="F70" i="2"/>
  <c r="E71" i="2"/>
  <c r="K69" i="2"/>
  <c r="O69" i="2"/>
  <c r="L69" i="2"/>
  <c r="M69" i="2" s="1"/>
  <c r="H70" i="2"/>
  <c r="A73" i="2"/>
  <c r="B72" i="2"/>
  <c r="D72" i="2"/>
  <c r="Z71" i="2"/>
  <c r="S71" i="2"/>
  <c r="X71" i="2"/>
  <c r="I70" i="2"/>
  <c r="U71" i="2"/>
  <c r="V71" i="2"/>
  <c r="T71" i="2"/>
  <c r="W71" i="2"/>
  <c r="Y71" i="2"/>
  <c r="C72" i="2"/>
  <c r="R70" i="2" l="1"/>
  <c r="J70" i="2"/>
  <c r="G71" i="2"/>
  <c r="P71" i="2"/>
  <c r="Q71" i="2"/>
  <c r="N71" i="2" s="1"/>
  <c r="F71" i="2"/>
  <c r="E72" i="2"/>
  <c r="O70" i="2"/>
  <c r="L70" i="2"/>
  <c r="M70" i="2" s="1"/>
  <c r="K70" i="2"/>
  <c r="H71" i="2"/>
  <c r="A74" i="2"/>
  <c r="B73" i="2"/>
  <c r="I71" i="2"/>
  <c r="V72" i="2"/>
  <c r="S72" i="2"/>
  <c r="Y72" i="2"/>
  <c r="T72" i="2"/>
  <c r="U72" i="2"/>
  <c r="W72" i="2"/>
  <c r="D73" i="2"/>
  <c r="X72" i="2"/>
  <c r="C73" i="2"/>
  <c r="Z72" i="2"/>
  <c r="R71" i="2" l="1"/>
  <c r="J71" i="2"/>
  <c r="P72" i="2"/>
  <c r="G72" i="2"/>
  <c r="Q72" i="2"/>
  <c r="N72" i="2" s="1"/>
  <c r="F72" i="2"/>
  <c r="E73" i="2"/>
  <c r="K71" i="2"/>
  <c r="L71" i="2"/>
  <c r="M71" i="2" s="1"/>
  <c r="O71" i="2"/>
  <c r="H72" i="2"/>
  <c r="A75" i="2"/>
  <c r="B74" i="2"/>
  <c r="I72" i="2"/>
  <c r="W73" i="2"/>
  <c r="C74" i="2"/>
  <c r="S73" i="2"/>
  <c r="Y73" i="2"/>
  <c r="D74" i="2"/>
  <c r="Z73" i="2"/>
  <c r="X73" i="2"/>
  <c r="T73" i="2"/>
  <c r="U73" i="2"/>
  <c r="V73" i="2"/>
  <c r="R72" i="2" l="1"/>
  <c r="J72" i="2"/>
  <c r="G73" i="2"/>
  <c r="P73" i="2"/>
  <c r="Q73" i="2"/>
  <c r="N73" i="2" s="1"/>
  <c r="F73" i="2"/>
  <c r="E74" i="2"/>
  <c r="L72" i="2"/>
  <c r="M72" i="2" s="1"/>
  <c r="O72" i="2"/>
  <c r="K72" i="2"/>
  <c r="H73" i="2"/>
  <c r="A76" i="2"/>
  <c r="B75" i="2"/>
  <c r="I73" i="2"/>
  <c r="U74" i="2"/>
  <c r="T74" i="2"/>
  <c r="C75" i="2"/>
  <c r="X74" i="2"/>
  <c r="W74" i="2"/>
  <c r="Y74" i="2"/>
  <c r="Z74" i="2"/>
  <c r="D75" i="2"/>
  <c r="S74" i="2"/>
  <c r="V74" i="2"/>
  <c r="R73" i="2" l="1"/>
  <c r="J73" i="2"/>
  <c r="G74" i="2"/>
  <c r="P74" i="2"/>
  <c r="Q74" i="2"/>
  <c r="N74" i="2" s="1"/>
  <c r="F74" i="2"/>
  <c r="E75" i="2"/>
  <c r="L73" i="2"/>
  <c r="M73" i="2" s="1"/>
  <c r="K73" i="2"/>
  <c r="O73" i="2"/>
  <c r="H74" i="2"/>
  <c r="A77" i="2"/>
  <c r="B76" i="2"/>
  <c r="Z75" i="2"/>
  <c r="T75" i="2"/>
  <c r="V75" i="2"/>
  <c r="X75" i="2"/>
  <c r="D76" i="2"/>
  <c r="W75" i="2"/>
  <c r="C76" i="2"/>
  <c r="Y75" i="2"/>
  <c r="I74" i="2"/>
  <c r="U75" i="2"/>
  <c r="S75" i="2"/>
  <c r="R74" i="2" l="1"/>
  <c r="J74" i="2"/>
  <c r="G75" i="2"/>
  <c r="P75" i="2"/>
  <c r="Q75" i="2"/>
  <c r="N75" i="2" s="1"/>
  <c r="F75" i="2"/>
  <c r="E76" i="2"/>
  <c r="L74" i="2"/>
  <c r="M74" i="2" s="1"/>
  <c r="K74" i="2"/>
  <c r="O74" i="2"/>
  <c r="H75" i="2"/>
  <c r="A78" i="2"/>
  <c r="B77" i="2"/>
  <c r="W76" i="2"/>
  <c r="T76" i="2"/>
  <c r="V76" i="2"/>
  <c r="C77" i="2"/>
  <c r="Y76" i="2"/>
  <c r="I75" i="2"/>
  <c r="U76" i="2"/>
  <c r="S76" i="2"/>
  <c r="X76" i="2"/>
  <c r="Z76" i="2"/>
  <c r="D77" i="2"/>
  <c r="R75" i="2" l="1"/>
  <c r="J75" i="2"/>
  <c r="P76" i="2"/>
  <c r="G76" i="2"/>
  <c r="Q76" i="2"/>
  <c r="N76" i="2" s="1"/>
  <c r="F76" i="2"/>
  <c r="E77" i="2"/>
  <c r="O75" i="2"/>
  <c r="K75" i="2"/>
  <c r="L75" i="2"/>
  <c r="M75" i="2" s="1"/>
  <c r="H76" i="2"/>
  <c r="A79" i="2"/>
  <c r="B78" i="2"/>
  <c r="I76" i="2"/>
  <c r="V77" i="2"/>
  <c r="S77" i="2"/>
  <c r="C78" i="2"/>
  <c r="Z77" i="2"/>
  <c r="W77" i="2"/>
  <c r="Y77" i="2"/>
  <c r="D78" i="2"/>
  <c r="T77" i="2"/>
  <c r="U77" i="2"/>
  <c r="X77" i="2"/>
  <c r="R76" i="2" l="1"/>
  <c r="J76" i="2"/>
  <c r="G77" i="2"/>
  <c r="P77" i="2"/>
  <c r="Q77" i="2"/>
  <c r="N77" i="2" s="1"/>
  <c r="F77" i="2"/>
  <c r="E78" i="2"/>
  <c r="K76" i="2"/>
  <c r="O76" i="2"/>
  <c r="L76" i="2"/>
  <c r="M76" i="2" s="1"/>
  <c r="H77" i="2"/>
  <c r="A80" i="2"/>
  <c r="B79" i="2"/>
  <c r="I77" i="2"/>
  <c r="D79" i="2"/>
  <c r="Y78" i="2"/>
  <c r="Z78" i="2"/>
  <c r="C79" i="2"/>
  <c r="V78" i="2"/>
  <c r="W78" i="2"/>
  <c r="T78" i="2"/>
  <c r="X78" i="2"/>
  <c r="U78" i="2"/>
  <c r="S78" i="2"/>
  <c r="R77" i="2" l="1"/>
  <c r="J77" i="2"/>
  <c r="G78" i="2"/>
  <c r="P78" i="2"/>
  <c r="Q78" i="2"/>
  <c r="N78" i="2" s="1"/>
  <c r="F78" i="2"/>
  <c r="E79" i="2"/>
  <c r="K77" i="2"/>
  <c r="O77" i="2"/>
  <c r="L77" i="2"/>
  <c r="M77" i="2" s="1"/>
  <c r="H78" i="2"/>
  <c r="A81" i="2"/>
  <c r="B80" i="2"/>
  <c r="V79" i="2"/>
  <c r="Y79" i="2"/>
  <c r="I78" i="2"/>
  <c r="W79" i="2"/>
  <c r="S79" i="2"/>
  <c r="Z79" i="2"/>
  <c r="C80" i="2"/>
  <c r="U79" i="2"/>
  <c r="X79" i="2"/>
  <c r="D80" i="2"/>
  <c r="T79" i="2"/>
  <c r="R78" i="2" l="1"/>
  <c r="J78" i="2"/>
  <c r="G79" i="2"/>
  <c r="P79" i="2"/>
  <c r="Q79" i="2"/>
  <c r="N79" i="2" s="1"/>
  <c r="F79" i="2"/>
  <c r="E80" i="2"/>
  <c r="O78" i="2"/>
  <c r="L78" i="2"/>
  <c r="M78" i="2" s="1"/>
  <c r="K78" i="2"/>
  <c r="H79" i="2"/>
  <c r="A82" i="2"/>
  <c r="B81" i="2"/>
  <c r="W80" i="2"/>
  <c r="T80" i="2"/>
  <c r="X80" i="2"/>
  <c r="Z80" i="2"/>
  <c r="C81" i="2"/>
  <c r="V80" i="2"/>
  <c r="D81" i="2"/>
  <c r="Y80" i="2"/>
  <c r="I79" i="2"/>
  <c r="U80" i="2"/>
  <c r="S80" i="2"/>
  <c r="R79" i="2" l="1"/>
  <c r="J79" i="2"/>
  <c r="P80" i="2"/>
  <c r="G80" i="2"/>
  <c r="Q80" i="2"/>
  <c r="N80" i="2" s="1"/>
  <c r="F80" i="2"/>
  <c r="E81" i="2"/>
  <c r="L79" i="2"/>
  <c r="M79" i="2" s="1"/>
  <c r="K79" i="2"/>
  <c r="O79" i="2"/>
  <c r="H80" i="2"/>
  <c r="A83" i="2"/>
  <c r="B82" i="2"/>
  <c r="I80" i="2"/>
  <c r="W81" i="2"/>
  <c r="C82" i="2"/>
  <c r="D82" i="2"/>
  <c r="U81" i="2"/>
  <c r="V81" i="2"/>
  <c r="Z81" i="2"/>
  <c r="T81" i="2"/>
  <c r="Y81" i="2"/>
  <c r="X81" i="2"/>
  <c r="S81" i="2"/>
  <c r="R80" i="2" l="1"/>
  <c r="J80" i="2"/>
  <c r="G81" i="2"/>
  <c r="P81" i="2"/>
  <c r="Q81" i="2"/>
  <c r="N81" i="2" s="1"/>
  <c r="F81" i="2"/>
  <c r="E82" i="2"/>
  <c r="K80" i="2"/>
  <c r="O80" i="2"/>
  <c r="L80" i="2"/>
  <c r="M80" i="2" s="1"/>
  <c r="H81" i="2"/>
  <c r="A84" i="2"/>
  <c r="B83" i="2"/>
  <c r="X82" i="2"/>
  <c r="S82" i="2"/>
  <c r="W82" i="2"/>
  <c r="V82" i="2"/>
  <c r="D83" i="2"/>
  <c r="Z82" i="2"/>
  <c r="C83" i="2"/>
  <c r="U82" i="2"/>
  <c r="Y82" i="2"/>
  <c r="T82" i="2"/>
  <c r="I81" i="2"/>
  <c r="R81" i="2" l="1"/>
  <c r="J81" i="2"/>
  <c r="G82" i="2"/>
  <c r="P82" i="2"/>
  <c r="Q82" i="2"/>
  <c r="N82" i="2" s="1"/>
  <c r="F82" i="2"/>
  <c r="E83" i="2"/>
  <c r="L81" i="2"/>
  <c r="M81" i="2" s="1"/>
  <c r="K81" i="2"/>
  <c r="O81" i="2"/>
  <c r="H82" i="2"/>
  <c r="A85" i="2"/>
  <c r="B84" i="2"/>
  <c r="I82" i="2"/>
  <c r="C84" i="2"/>
  <c r="Y83" i="2"/>
  <c r="X83" i="2"/>
  <c r="D84" i="2"/>
  <c r="W83" i="2"/>
  <c r="Z83" i="2"/>
  <c r="T83" i="2"/>
  <c r="V83" i="2"/>
  <c r="U83" i="2"/>
  <c r="S83" i="2"/>
  <c r="R82" i="2" l="1"/>
  <c r="J82" i="2"/>
  <c r="G83" i="2"/>
  <c r="P83" i="2"/>
  <c r="Q83" i="2"/>
  <c r="N83" i="2" s="1"/>
  <c r="F83" i="2"/>
  <c r="E84" i="2"/>
  <c r="L82" i="2"/>
  <c r="M82" i="2" s="1"/>
  <c r="K82" i="2"/>
  <c r="O82" i="2"/>
  <c r="H83" i="2"/>
  <c r="A86" i="2"/>
  <c r="B85" i="2"/>
  <c r="I83" i="2"/>
  <c r="Z84" i="2"/>
  <c r="W84" i="2"/>
  <c r="U84" i="2"/>
  <c r="S84" i="2"/>
  <c r="C85" i="2"/>
  <c r="X84" i="2"/>
  <c r="V84" i="2"/>
  <c r="Y84" i="2"/>
  <c r="T84" i="2"/>
  <c r="I84" i="2"/>
  <c r="D85" i="2"/>
  <c r="R83" i="2" l="1"/>
  <c r="J83" i="2"/>
  <c r="P84" i="2"/>
  <c r="G84" i="2"/>
  <c r="Q84" i="2"/>
  <c r="N84" i="2" s="1"/>
  <c r="F84" i="2"/>
  <c r="E85" i="2"/>
  <c r="O83" i="2"/>
  <c r="L83" i="2"/>
  <c r="M83" i="2" s="1"/>
  <c r="K83" i="2"/>
  <c r="H84" i="2"/>
  <c r="A87" i="2"/>
  <c r="B86" i="2"/>
  <c r="D86" i="2"/>
  <c r="W85" i="2"/>
  <c r="U85" i="2"/>
  <c r="V85" i="2"/>
  <c r="C86" i="2"/>
  <c r="S85" i="2"/>
  <c r="X85" i="2"/>
  <c r="Y85" i="2"/>
  <c r="Z85" i="2"/>
  <c r="T85" i="2"/>
  <c r="R84" i="2" l="1"/>
  <c r="J84" i="2"/>
  <c r="G85" i="2"/>
  <c r="P85" i="2"/>
  <c r="Q85" i="2"/>
  <c r="N85" i="2" s="1"/>
  <c r="F85" i="2"/>
  <c r="E86" i="2"/>
  <c r="O84" i="2"/>
  <c r="L84" i="2"/>
  <c r="M84" i="2" s="1"/>
  <c r="K84" i="2"/>
  <c r="H85" i="2"/>
  <c r="A88" i="2"/>
  <c r="B87" i="2"/>
  <c r="I85" i="2"/>
  <c r="X86" i="2"/>
  <c r="S86" i="2"/>
  <c r="Y86" i="2"/>
  <c r="Z86" i="2"/>
  <c r="C87" i="2"/>
  <c r="W86" i="2"/>
  <c r="D87" i="2"/>
  <c r="T86" i="2"/>
  <c r="U86" i="2"/>
  <c r="V86" i="2"/>
  <c r="R85" i="2" l="1"/>
  <c r="J85" i="2"/>
  <c r="G86" i="2"/>
  <c r="P86" i="2"/>
  <c r="Q86" i="2"/>
  <c r="N86" i="2" s="1"/>
  <c r="F86" i="2"/>
  <c r="E87" i="2"/>
  <c r="K85" i="2"/>
  <c r="O85" i="2"/>
  <c r="L85" i="2"/>
  <c r="M85" i="2" s="1"/>
  <c r="H86" i="2"/>
  <c r="A89" i="2"/>
  <c r="B88" i="2"/>
  <c r="I86" i="2"/>
  <c r="U87" i="2"/>
  <c r="S87" i="2"/>
  <c r="Z87" i="2"/>
  <c r="T87" i="2"/>
  <c r="V87" i="2"/>
  <c r="X87" i="2"/>
  <c r="D88" i="2"/>
  <c r="W87" i="2"/>
  <c r="C88" i="2"/>
  <c r="Y87" i="2"/>
  <c r="R86" i="2" l="1"/>
  <c r="J86" i="2"/>
  <c r="G87" i="2"/>
  <c r="P87" i="2"/>
  <c r="Q87" i="2"/>
  <c r="N87" i="2" s="1"/>
  <c r="F87" i="2"/>
  <c r="E88" i="2"/>
  <c r="O86" i="2"/>
  <c r="L86" i="2"/>
  <c r="M86" i="2" s="1"/>
  <c r="K86" i="2"/>
  <c r="H87" i="2"/>
  <c r="A90" i="2"/>
  <c r="B89" i="2"/>
  <c r="Z88" i="2"/>
  <c r="D89" i="2"/>
  <c r="V88" i="2"/>
  <c r="T88" i="2"/>
  <c r="W88" i="2"/>
  <c r="I87" i="2"/>
  <c r="U88" i="2"/>
  <c r="S88" i="2"/>
  <c r="C89" i="2"/>
  <c r="X88" i="2"/>
  <c r="Y88" i="2"/>
  <c r="R87" i="2" l="1"/>
  <c r="J87" i="2"/>
  <c r="P88" i="2"/>
  <c r="G88" i="2"/>
  <c r="Q88" i="2"/>
  <c r="N88" i="2" s="1"/>
  <c r="F88" i="2"/>
  <c r="E89" i="2"/>
  <c r="K87" i="2"/>
  <c r="L87" i="2"/>
  <c r="M87" i="2" s="1"/>
  <c r="O87" i="2"/>
  <c r="H88" i="2"/>
  <c r="A91" i="2"/>
  <c r="B90" i="2"/>
  <c r="I88" i="2"/>
  <c r="U89" i="2"/>
  <c r="S89" i="2"/>
  <c r="Z89" i="2"/>
  <c r="T89" i="2"/>
  <c r="V89" i="2"/>
  <c r="W89" i="2"/>
  <c r="X89" i="2"/>
  <c r="C90" i="2"/>
  <c r="D90" i="2"/>
  <c r="Y89" i="2"/>
  <c r="R88" i="2" l="1"/>
  <c r="J88" i="2"/>
  <c r="G89" i="2"/>
  <c r="P89" i="2"/>
  <c r="Q89" i="2"/>
  <c r="N89" i="2" s="1"/>
  <c r="F89" i="2"/>
  <c r="E90" i="2"/>
  <c r="L88" i="2"/>
  <c r="M88" i="2" s="1"/>
  <c r="K88" i="2"/>
  <c r="O88" i="2"/>
  <c r="H89" i="2"/>
  <c r="A92" i="2"/>
  <c r="B91" i="2"/>
  <c r="I89" i="2"/>
  <c r="X90" i="2"/>
  <c r="S90" i="2"/>
  <c r="Y90" i="2"/>
  <c r="V90" i="2"/>
  <c r="U90" i="2"/>
  <c r="W90" i="2"/>
  <c r="D91" i="2"/>
  <c r="T90" i="2"/>
  <c r="C91" i="2"/>
  <c r="Z90" i="2"/>
  <c r="R89" i="2" l="1"/>
  <c r="J89" i="2"/>
  <c r="G90" i="2"/>
  <c r="P90" i="2"/>
  <c r="Q90" i="2"/>
  <c r="N90" i="2" s="1"/>
  <c r="F90" i="2"/>
  <c r="E91" i="2"/>
  <c r="L89" i="2"/>
  <c r="M89" i="2" s="1"/>
  <c r="K89" i="2"/>
  <c r="O89" i="2"/>
  <c r="H90" i="2"/>
  <c r="A93" i="2"/>
  <c r="B92" i="2"/>
  <c r="C92" i="2"/>
  <c r="D92" i="2"/>
  <c r="Y91" i="2"/>
  <c r="I90" i="2"/>
  <c r="U91" i="2"/>
  <c r="W91" i="2"/>
  <c r="Z91" i="2"/>
  <c r="T91" i="2"/>
  <c r="V91" i="2"/>
  <c r="X91" i="2"/>
  <c r="S91" i="2"/>
  <c r="R90" i="2" l="1"/>
  <c r="J90" i="2"/>
  <c r="G91" i="2"/>
  <c r="P91" i="2"/>
  <c r="Q91" i="2"/>
  <c r="N91" i="2" s="1"/>
  <c r="F91" i="2"/>
  <c r="E92" i="2"/>
  <c r="L90" i="2"/>
  <c r="M90" i="2" s="1"/>
  <c r="K90" i="2"/>
  <c r="O90" i="2"/>
  <c r="H91" i="2"/>
  <c r="A94" i="2"/>
  <c r="B93" i="2"/>
  <c r="I91" i="2"/>
  <c r="V92" i="2"/>
  <c r="S92" i="2"/>
  <c r="Y92" i="2"/>
  <c r="T92" i="2"/>
  <c r="U92" i="2"/>
  <c r="W92" i="2"/>
  <c r="C93" i="2"/>
  <c r="X92" i="2"/>
  <c r="D93" i="2"/>
  <c r="Z92" i="2"/>
  <c r="R91" i="2" l="1"/>
  <c r="J91" i="2"/>
  <c r="P92" i="2"/>
  <c r="G92" i="2"/>
  <c r="Q92" i="2"/>
  <c r="N92" i="2" s="1"/>
  <c r="F92" i="2"/>
  <c r="E93" i="2"/>
  <c r="O91" i="2"/>
  <c r="K91" i="2"/>
  <c r="L91" i="2"/>
  <c r="M91" i="2" s="1"/>
  <c r="H92" i="2"/>
  <c r="A95" i="2"/>
  <c r="B94" i="2"/>
  <c r="I92" i="2"/>
  <c r="U93" i="2"/>
  <c r="V93" i="2"/>
  <c r="Z93" i="2"/>
  <c r="T93" i="2"/>
  <c r="W93" i="2"/>
  <c r="X93" i="2"/>
  <c r="D94" i="2"/>
  <c r="S93" i="2"/>
  <c r="C94" i="2"/>
  <c r="Y93" i="2"/>
  <c r="R92" i="2" l="1"/>
  <c r="J92" i="2"/>
  <c r="G93" i="2"/>
  <c r="P93" i="2"/>
  <c r="Q93" i="2"/>
  <c r="N93" i="2" s="1"/>
  <c r="F93" i="2"/>
  <c r="E94" i="2"/>
  <c r="K92" i="2"/>
  <c r="L92" i="2"/>
  <c r="M92" i="2" s="1"/>
  <c r="O92" i="2"/>
  <c r="H93" i="2"/>
  <c r="A96" i="2"/>
  <c r="B95" i="2"/>
  <c r="W94" i="2"/>
  <c r="C95" i="2"/>
  <c r="T94" i="2"/>
  <c r="U94" i="2"/>
  <c r="Z94" i="2"/>
  <c r="I93" i="2"/>
  <c r="X94" i="2"/>
  <c r="S94" i="2"/>
  <c r="Y94" i="2"/>
  <c r="D95" i="2"/>
  <c r="V94" i="2"/>
  <c r="R93" i="2" l="1"/>
  <c r="J93" i="2"/>
  <c r="G94" i="2"/>
  <c r="P94" i="2"/>
  <c r="Q94" i="2"/>
  <c r="N94" i="2" s="1"/>
  <c r="F94" i="2"/>
  <c r="E95" i="2"/>
  <c r="O93" i="2"/>
  <c r="L93" i="2"/>
  <c r="M93" i="2" s="1"/>
  <c r="K93" i="2"/>
  <c r="H94" i="2"/>
  <c r="A97" i="2"/>
  <c r="B96" i="2"/>
  <c r="I94" i="2"/>
  <c r="U95" i="2"/>
  <c r="W95" i="2"/>
  <c r="D96" i="2"/>
  <c r="Y95" i="2"/>
  <c r="C96" i="2"/>
  <c r="X95" i="2"/>
  <c r="S95" i="2"/>
  <c r="Z95" i="2"/>
  <c r="T95" i="2"/>
  <c r="V95" i="2"/>
  <c r="R94" i="2" l="1"/>
  <c r="J94" i="2"/>
  <c r="G95" i="2"/>
  <c r="P95" i="2"/>
  <c r="Q95" i="2"/>
  <c r="N95" i="2" s="1"/>
  <c r="F95" i="2"/>
  <c r="E96" i="2"/>
  <c r="O94" i="2"/>
  <c r="L94" i="2"/>
  <c r="M94" i="2" s="1"/>
  <c r="K94" i="2"/>
  <c r="H95" i="2"/>
  <c r="A98" i="2"/>
  <c r="B97" i="2"/>
  <c r="I95" i="2"/>
  <c r="X96" i="2"/>
  <c r="S96" i="2"/>
  <c r="Y96" i="2"/>
  <c r="U96" i="2"/>
  <c r="V96" i="2"/>
  <c r="W96" i="2"/>
  <c r="C97" i="2"/>
  <c r="T96" i="2"/>
  <c r="D97" i="2"/>
  <c r="Z96" i="2"/>
  <c r="R95" i="2" l="1"/>
  <c r="J95" i="2"/>
  <c r="P96" i="2"/>
  <c r="G96" i="2"/>
  <c r="Q96" i="2"/>
  <c r="N96" i="2" s="1"/>
  <c r="F96" i="2"/>
  <c r="E97" i="2"/>
  <c r="L95" i="2"/>
  <c r="M95" i="2" s="1"/>
  <c r="K95" i="2"/>
  <c r="O95" i="2"/>
  <c r="H96" i="2"/>
  <c r="A99" i="2"/>
  <c r="B98" i="2"/>
  <c r="I96" i="2"/>
  <c r="U97" i="2"/>
  <c r="S97" i="2"/>
  <c r="Z97" i="2"/>
  <c r="T97" i="2"/>
  <c r="V97" i="2"/>
  <c r="D98" i="2"/>
  <c r="X97" i="2"/>
  <c r="W97" i="2"/>
  <c r="C98" i="2"/>
  <c r="Y97" i="2"/>
  <c r="R96" i="2" l="1"/>
  <c r="J96" i="2"/>
  <c r="G97" i="2"/>
  <c r="P97" i="2"/>
  <c r="Q97" i="2"/>
  <c r="N97" i="2" s="1"/>
  <c r="F97" i="2"/>
  <c r="E98" i="2"/>
  <c r="K96" i="2"/>
  <c r="O96" i="2"/>
  <c r="L96" i="2"/>
  <c r="M96" i="2" s="1"/>
  <c r="H97" i="2"/>
  <c r="A100" i="2"/>
  <c r="B99" i="2"/>
  <c r="I97" i="2"/>
  <c r="C99" i="2"/>
  <c r="Y98" i="2"/>
  <c r="Z98" i="2"/>
  <c r="V98" i="2"/>
  <c r="W98" i="2"/>
  <c r="T98" i="2"/>
  <c r="X98" i="2"/>
  <c r="U98" i="2"/>
  <c r="S98" i="2"/>
  <c r="D99" i="2"/>
  <c r="R97" i="2" l="1"/>
  <c r="J97" i="2"/>
  <c r="G98" i="2"/>
  <c r="P98" i="2"/>
  <c r="Q98" i="2"/>
  <c r="N98" i="2" s="1"/>
  <c r="F98" i="2"/>
  <c r="E99" i="2"/>
  <c r="O97" i="2"/>
  <c r="L97" i="2"/>
  <c r="M97" i="2" s="1"/>
  <c r="K97" i="2"/>
  <c r="H98" i="2"/>
  <c r="A101" i="2"/>
  <c r="B100" i="2"/>
  <c r="I98" i="2"/>
  <c r="Y99" i="2"/>
  <c r="U99" i="2"/>
  <c r="Z99" i="2"/>
  <c r="S99" i="2"/>
  <c r="T99" i="2"/>
  <c r="V99" i="2"/>
  <c r="D100" i="2"/>
  <c r="X99" i="2"/>
  <c r="W99" i="2"/>
  <c r="C100" i="2"/>
  <c r="R98" i="2" l="1"/>
  <c r="J98" i="2"/>
  <c r="G99" i="2"/>
  <c r="P99" i="2"/>
  <c r="Q99" i="2"/>
  <c r="N99" i="2" s="1"/>
  <c r="F99" i="2"/>
  <c r="E100" i="2"/>
  <c r="L98" i="2"/>
  <c r="M98" i="2" s="1"/>
  <c r="K98" i="2"/>
  <c r="O98" i="2"/>
  <c r="H99" i="2"/>
  <c r="A102" i="2"/>
  <c r="B101" i="2"/>
  <c r="V100" i="2"/>
  <c r="W100" i="2"/>
  <c r="C101" i="2"/>
  <c r="X100" i="2"/>
  <c r="D101" i="2"/>
  <c r="Z100" i="2"/>
  <c r="I99" i="2"/>
  <c r="S100" i="2"/>
  <c r="Y100" i="2"/>
  <c r="T100" i="2"/>
  <c r="U100" i="2"/>
  <c r="R99" i="2" l="1"/>
  <c r="J99" i="2"/>
  <c r="P100" i="2"/>
  <c r="G100" i="2"/>
  <c r="Q100" i="2"/>
  <c r="N100" i="2" s="1"/>
  <c r="F100" i="2"/>
  <c r="E101" i="2"/>
  <c r="O99" i="2"/>
  <c r="L99" i="2"/>
  <c r="M99" i="2" s="1"/>
  <c r="K99" i="2"/>
  <c r="H100" i="2"/>
  <c r="A103" i="2"/>
  <c r="B102" i="2"/>
  <c r="I100" i="2"/>
  <c r="U101" i="2"/>
  <c r="S101" i="2"/>
  <c r="Z101" i="2"/>
  <c r="T101" i="2"/>
  <c r="V101" i="2"/>
  <c r="X101" i="2"/>
  <c r="D102" i="2"/>
  <c r="C102" i="2"/>
  <c r="Y101" i="2"/>
  <c r="W101" i="2"/>
  <c r="R100" i="2" l="1"/>
  <c r="J100" i="2"/>
  <c r="G101" i="2"/>
  <c r="P101" i="2"/>
  <c r="Q101" i="2"/>
  <c r="N101" i="2" s="1"/>
  <c r="F101" i="2"/>
  <c r="E102" i="2"/>
  <c r="O100" i="2"/>
  <c r="L100" i="2"/>
  <c r="M100" i="2" s="1"/>
  <c r="K100" i="2"/>
  <c r="H101" i="2"/>
  <c r="A104" i="2"/>
  <c r="B103" i="2"/>
  <c r="I101" i="2"/>
  <c r="W102" i="2"/>
  <c r="S102" i="2"/>
  <c r="Y102" i="2"/>
  <c r="Z102" i="2"/>
  <c r="U102" i="2"/>
  <c r="X102" i="2"/>
  <c r="C103" i="2"/>
  <c r="T102" i="2"/>
  <c r="D103" i="2"/>
  <c r="V102" i="2"/>
  <c r="R101" i="2" l="1"/>
  <c r="J101" i="2"/>
  <c r="G102" i="2"/>
  <c r="P102" i="2"/>
  <c r="Q102" i="2"/>
  <c r="N102" i="2" s="1"/>
  <c r="F102" i="2"/>
  <c r="E103" i="2"/>
  <c r="O101" i="2"/>
  <c r="L101" i="2"/>
  <c r="M101" i="2" s="1"/>
  <c r="K101" i="2"/>
  <c r="H102" i="2"/>
  <c r="A105" i="2"/>
  <c r="B104" i="2"/>
  <c r="I102" i="2"/>
  <c r="U103" i="2"/>
  <c r="S103" i="2"/>
  <c r="Z103" i="2"/>
  <c r="T103" i="2"/>
  <c r="V103" i="2"/>
  <c r="X103" i="2"/>
  <c r="D104" i="2"/>
  <c r="C104" i="2"/>
  <c r="W103" i="2"/>
  <c r="Y103" i="2"/>
  <c r="R102" i="2" l="1"/>
  <c r="J102" i="2"/>
  <c r="G103" i="2"/>
  <c r="P103" i="2"/>
  <c r="Q103" i="2"/>
  <c r="N103" i="2" s="1"/>
  <c r="F103" i="2"/>
  <c r="E104" i="2"/>
  <c r="O102" i="2"/>
  <c r="L102" i="2"/>
  <c r="M102" i="2" s="1"/>
  <c r="K102" i="2"/>
  <c r="H103" i="2"/>
  <c r="A106" i="2"/>
  <c r="B105" i="2"/>
  <c r="I103" i="2"/>
  <c r="V104" i="2"/>
  <c r="S104" i="2"/>
  <c r="Y104" i="2"/>
  <c r="X104" i="2"/>
  <c r="W104" i="2"/>
  <c r="Z104" i="2"/>
  <c r="C105" i="2"/>
  <c r="T104" i="2"/>
  <c r="D105" i="2"/>
  <c r="U104" i="2"/>
  <c r="R103" i="2" l="1"/>
  <c r="J103" i="2"/>
  <c r="P104" i="2"/>
  <c r="G104" i="2"/>
  <c r="Q104" i="2"/>
  <c r="N104" i="2" s="1"/>
  <c r="F104" i="2"/>
  <c r="E105" i="2"/>
  <c r="K103" i="2"/>
  <c r="L103" i="2"/>
  <c r="M103" i="2" s="1"/>
  <c r="O103" i="2"/>
  <c r="H104" i="2"/>
  <c r="A107" i="2"/>
  <c r="B106" i="2"/>
  <c r="I104" i="2"/>
  <c r="U105" i="2"/>
  <c r="V105" i="2"/>
  <c r="Z105" i="2"/>
  <c r="T105" i="2"/>
  <c r="X105" i="2"/>
  <c r="D106" i="2"/>
  <c r="Y105" i="2"/>
  <c r="W105" i="2"/>
  <c r="S105" i="2"/>
  <c r="C106" i="2"/>
  <c r="R104" i="2" l="1"/>
  <c r="J104" i="2"/>
  <c r="G105" i="2"/>
  <c r="P105" i="2"/>
  <c r="Q105" i="2"/>
  <c r="N105" i="2" s="1"/>
  <c r="F105" i="2"/>
  <c r="E106" i="2"/>
  <c r="L104" i="2"/>
  <c r="M104" i="2" s="1"/>
  <c r="O104" i="2"/>
  <c r="K104" i="2"/>
  <c r="H105" i="2"/>
  <c r="A108" i="2"/>
  <c r="B107" i="2"/>
  <c r="I105" i="2"/>
  <c r="V106" i="2"/>
  <c r="S106" i="2"/>
  <c r="D107" i="2"/>
  <c r="Z106" i="2"/>
  <c r="Y106" i="2"/>
  <c r="W106" i="2"/>
  <c r="C107" i="2"/>
  <c r="X106" i="2"/>
  <c r="T106" i="2"/>
  <c r="U106" i="2"/>
  <c r="R105" i="2" l="1"/>
  <c r="J105" i="2"/>
  <c r="G106" i="2"/>
  <c r="P106" i="2"/>
  <c r="Q106" i="2"/>
  <c r="N106" i="2" s="1"/>
  <c r="F106" i="2"/>
  <c r="E107" i="2"/>
  <c r="O105" i="2"/>
  <c r="L105" i="2"/>
  <c r="M105" i="2" s="1"/>
  <c r="K105" i="2"/>
  <c r="H106" i="2"/>
  <c r="A109" i="2"/>
  <c r="B108" i="2"/>
  <c r="I106" i="2"/>
  <c r="U107" i="2"/>
  <c r="V107" i="2"/>
  <c r="Z107" i="2"/>
  <c r="T107" i="2"/>
  <c r="W107" i="2"/>
  <c r="X107" i="2"/>
  <c r="Y107" i="2"/>
  <c r="D108" i="2"/>
  <c r="S107" i="2"/>
  <c r="C108" i="2"/>
  <c r="R106" i="2" l="1"/>
  <c r="J106" i="2"/>
  <c r="G107" i="2"/>
  <c r="P107" i="2"/>
  <c r="Q107" i="2"/>
  <c r="N107" i="2" s="1"/>
  <c r="F107" i="2"/>
  <c r="E108" i="2"/>
  <c r="L106" i="2"/>
  <c r="M106" i="2" s="1"/>
  <c r="K106" i="2"/>
  <c r="O106" i="2"/>
  <c r="H107" i="2"/>
  <c r="A110" i="2"/>
  <c r="B109" i="2"/>
  <c r="I107" i="2"/>
  <c r="V108" i="2"/>
  <c r="S108" i="2"/>
  <c r="D109" i="2"/>
  <c r="Z108" i="2"/>
  <c r="U108" i="2"/>
  <c r="W108" i="2"/>
  <c r="C109" i="2"/>
  <c r="X108" i="2"/>
  <c r="T108" i="2"/>
  <c r="Y108" i="2"/>
  <c r="R107" i="2" l="1"/>
  <c r="J107" i="2"/>
  <c r="P108" i="2"/>
  <c r="G108" i="2"/>
  <c r="Q108" i="2"/>
  <c r="N108" i="2" s="1"/>
  <c r="F108" i="2"/>
  <c r="E109" i="2"/>
  <c r="O107" i="2"/>
  <c r="K107" i="2"/>
  <c r="L107" i="2"/>
  <c r="M107" i="2" s="1"/>
  <c r="H108" i="2"/>
  <c r="A111" i="2"/>
  <c r="B110" i="2"/>
  <c r="I108" i="2"/>
  <c r="U109" i="2"/>
  <c r="S109" i="2"/>
  <c r="Z109" i="2"/>
  <c r="T109" i="2"/>
  <c r="V109" i="2"/>
  <c r="X109" i="2"/>
  <c r="D110" i="2"/>
  <c r="W109" i="2"/>
  <c r="C110" i="2"/>
  <c r="Y109" i="2"/>
  <c r="R108" i="2" l="1"/>
  <c r="J108" i="2"/>
  <c r="G109" i="2"/>
  <c r="P109" i="2"/>
  <c r="Q109" i="2"/>
  <c r="N109" i="2" s="1"/>
  <c r="F109" i="2"/>
  <c r="E110" i="2"/>
  <c r="K108" i="2"/>
  <c r="O108" i="2"/>
  <c r="L108" i="2"/>
  <c r="M108" i="2" s="1"/>
  <c r="H109" i="2"/>
  <c r="A112" i="2"/>
  <c r="B111" i="2"/>
  <c r="D111" i="2"/>
  <c r="Z110" i="2"/>
  <c r="I109" i="2"/>
  <c r="X110" i="2"/>
  <c r="S110" i="2"/>
  <c r="Y110" i="2"/>
  <c r="V110" i="2"/>
  <c r="U110" i="2"/>
  <c r="W110" i="2"/>
  <c r="C111" i="2"/>
  <c r="T110" i="2"/>
  <c r="R109" i="2" l="1"/>
  <c r="J109" i="2"/>
  <c r="G110" i="2"/>
  <c r="P110" i="2"/>
  <c r="Q110" i="2"/>
  <c r="N110" i="2" s="1"/>
  <c r="F110" i="2"/>
  <c r="E111" i="2"/>
  <c r="O109" i="2"/>
  <c r="L109" i="2"/>
  <c r="M109" i="2" s="1"/>
  <c r="K109" i="2"/>
  <c r="H110" i="2"/>
  <c r="A113" i="2"/>
  <c r="B112" i="2"/>
  <c r="X111" i="2"/>
  <c r="C112" i="2"/>
  <c r="W111" i="2"/>
  <c r="D112" i="2"/>
  <c r="Y111" i="2"/>
  <c r="I110" i="2"/>
  <c r="U111" i="2"/>
  <c r="S111" i="2"/>
  <c r="Z111" i="2"/>
  <c r="T111" i="2"/>
  <c r="V111" i="2"/>
  <c r="R110" i="2" l="1"/>
  <c r="J110" i="2"/>
  <c r="G111" i="2"/>
  <c r="P111" i="2"/>
  <c r="Q111" i="2"/>
  <c r="N111" i="2" s="1"/>
  <c r="F111" i="2"/>
  <c r="E112" i="2"/>
  <c r="O110" i="2"/>
  <c r="L110" i="2"/>
  <c r="M110" i="2" s="1"/>
  <c r="K110" i="2"/>
  <c r="H111" i="2"/>
  <c r="A114" i="2"/>
  <c r="B113" i="2"/>
  <c r="I111" i="2"/>
  <c r="V112" i="2"/>
  <c r="S112" i="2"/>
  <c r="D113" i="2"/>
  <c r="Y112" i="2"/>
  <c r="U112" i="2"/>
  <c r="W112" i="2"/>
  <c r="C113" i="2"/>
  <c r="T112" i="2"/>
  <c r="X112" i="2"/>
  <c r="Z112" i="2"/>
  <c r="R111" i="2" l="1"/>
  <c r="J111" i="2"/>
  <c r="P112" i="2"/>
  <c r="G112" i="2"/>
  <c r="Q112" i="2"/>
  <c r="N112" i="2" s="1"/>
  <c r="F112" i="2"/>
  <c r="E113" i="2"/>
  <c r="L111" i="2"/>
  <c r="M111" i="2" s="1"/>
  <c r="K111" i="2"/>
  <c r="O111" i="2"/>
  <c r="H112" i="2"/>
  <c r="A115" i="2"/>
  <c r="B114" i="2"/>
  <c r="I112" i="2"/>
  <c r="U113" i="2"/>
  <c r="S113" i="2"/>
  <c r="Z113" i="2"/>
  <c r="T113" i="2"/>
  <c r="V113" i="2"/>
  <c r="X113" i="2"/>
  <c r="D114" i="2"/>
  <c r="W113" i="2"/>
  <c r="C114" i="2"/>
  <c r="Y113" i="2"/>
  <c r="R112" i="2" l="1"/>
  <c r="J112" i="2"/>
  <c r="G113" i="2"/>
  <c r="P113" i="2"/>
  <c r="Q113" i="2"/>
  <c r="N113" i="2" s="1"/>
  <c r="F113" i="2"/>
  <c r="E114" i="2"/>
  <c r="K112" i="2"/>
  <c r="O112" i="2"/>
  <c r="L112" i="2"/>
  <c r="M112" i="2" s="1"/>
  <c r="H113" i="2"/>
  <c r="A116" i="2"/>
  <c r="B115" i="2"/>
  <c r="I113" i="2"/>
  <c r="X114" i="2"/>
  <c r="S114" i="2"/>
  <c r="Y114" i="2"/>
  <c r="D115" i="2"/>
  <c r="V114" i="2"/>
  <c r="W114" i="2"/>
  <c r="C115" i="2"/>
  <c r="T114" i="2"/>
  <c r="U114" i="2"/>
  <c r="Z114" i="2"/>
  <c r="R113" i="2" l="1"/>
  <c r="J113" i="2"/>
  <c r="G114" i="2"/>
  <c r="P114" i="2"/>
  <c r="Q114" i="2"/>
  <c r="N114" i="2" s="1"/>
  <c r="F114" i="2"/>
  <c r="E115" i="2"/>
  <c r="O113" i="2"/>
  <c r="L113" i="2"/>
  <c r="M113" i="2" s="1"/>
  <c r="K113" i="2"/>
  <c r="H114" i="2"/>
  <c r="A117" i="2"/>
  <c r="B116" i="2"/>
  <c r="I114" i="2"/>
  <c r="C116" i="2"/>
  <c r="S115" i="2"/>
  <c r="X115" i="2"/>
  <c r="U115" i="2"/>
  <c r="T115" i="2"/>
  <c r="Y115" i="2"/>
  <c r="D116" i="2"/>
  <c r="V115" i="2"/>
  <c r="W115" i="2"/>
  <c r="Z115" i="2"/>
  <c r="R114" i="2" l="1"/>
  <c r="J114" i="2"/>
  <c r="G115" i="2"/>
  <c r="P115" i="2"/>
  <c r="Q115" i="2"/>
  <c r="N115" i="2" s="1"/>
  <c r="F115" i="2"/>
  <c r="E116" i="2"/>
  <c r="L114" i="2"/>
  <c r="M114" i="2" s="1"/>
  <c r="K114" i="2"/>
  <c r="O114" i="2"/>
  <c r="H115" i="2"/>
  <c r="A118" i="2"/>
  <c r="B117" i="2"/>
  <c r="I115" i="2"/>
  <c r="T116" i="2"/>
  <c r="X116" i="2"/>
  <c r="W116" i="2"/>
  <c r="S116" i="2"/>
  <c r="V116" i="2"/>
  <c r="D117" i="2"/>
  <c r="C117" i="2"/>
  <c r="Y116" i="2"/>
  <c r="U116" i="2"/>
  <c r="Z116" i="2"/>
  <c r="R115" i="2" l="1"/>
  <c r="J115" i="2"/>
  <c r="P116" i="2"/>
  <c r="G116" i="2"/>
  <c r="Q116" i="2"/>
  <c r="N116" i="2" s="1"/>
  <c r="F116" i="2"/>
  <c r="E117" i="2"/>
  <c r="O115" i="2"/>
  <c r="L115" i="2"/>
  <c r="M115" i="2" s="1"/>
  <c r="K115" i="2"/>
  <c r="H116" i="2"/>
  <c r="A119" i="2"/>
  <c r="B118" i="2"/>
  <c r="I116" i="2"/>
  <c r="U117" i="2"/>
  <c r="S117" i="2"/>
  <c r="Z117" i="2"/>
  <c r="T117" i="2"/>
  <c r="V117" i="2"/>
  <c r="X117" i="2"/>
  <c r="D118" i="2"/>
  <c r="W117" i="2"/>
  <c r="C118" i="2"/>
  <c r="Y117" i="2"/>
  <c r="R116" i="2" l="1"/>
  <c r="J116" i="2"/>
  <c r="G117" i="2"/>
  <c r="P117" i="2"/>
  <c r="Q117" i="2"/>
  <c r="N117" i="2" s="1"/>
  <c r="F117" i="2"/>
  <c r="E118" i="2"/>
  <c r="O116" i="2"/>
  <c r="L116" i="2"/>
  <c r="M116" i="2" s="1"/>
  <c r="K116" i="2"/>
  <c r="H117" i="2"/>
  <c r="A120" i="2"/>
  <c r="B119" i="2"/>
  <c r="X118" i="2"/>
  <c r="Y118" i="2"/>
  <c r="T118" i="2"/>
  <c r="U118" i="2"/>
  <c r="V118" i="2"/>
  <c r="S118" i="2"/>
  <c r="W118" i="2"/>
  <c r="Z118" i="2"/>
  <c r="I117" i="2"/>
  <c r="C119" i="2"/>
  <c r="D119" i="2"/>
  <c r="R117" i="2" l="1"/>
  <c r="J117" i="2"/>
  <c r="G118" i="2"/>
  <c r="P118" i="2"/>
  <c r="Q118" i="2"/>
  <c r="N118" i="2" s="1"/>
  <c r="F118" i="2"/>
  <c r="E119" i="2"/>
  <c r="O117" i="2"/>
  <c r="L117" i="2"/>
  <c r="M117" i="2" s="1"/>
  <c r="K117" i="2"/>
  <c r="H118" i="2"/>
  <c r="A121" i="2"/>
  <c r="B120" i="2"/>
  <c r="I118" i="2"/>
  <c r="V119" i="2"/>
  <c r="S119" i="2"/>
  <c r="Z119" i="2"/>
  <c r="T119" i="2"/>
  <c r="X119" i="2"/>
  <c r="Y119" i="2"/>
  <c r="C120" i="2"/>
  <c r="U119" i="2"/>
  <c r="D120" i="2"/>
  <c r="W119" i="2"/>
  <c r="R118" i="2" l="1"/>
  <c r="J118" i="2"/>
  <c r="G119" i="2"/>
  <c r="P119" i="2"/>
  <c r="Q119" i="2"/>
  <c r="N119" i="2" s="1"/>
  <c r="F119" i="2"/>
  <c r="E120" i="2"/>
  <c r="O118" i="2"/>
  <c r="L118" i="2"/>
  <c r="M118" i="2" s="1"/>
  <c r="K118" i="2"/>
  <c r="H119" i="2"/>
  <c r="A122" i="2"/>
  <c r="B121" i="2"/>
  <c r="W120" i="2"/>
  <c r="T120" i="2"/>
  <c r="U120" i="2"/>
  <c r="I120" i="2"/>
  <c r="V120" i="2"/>
  <c r="C121" i="2"/>
  <c r="D121" i="2"/>
  <c r="Y120" i="2"/>
  <c r="I119" i="2"/>
  <c r="Z120" i="2"/>
  <c r="X120" i="2"/>
  <c r="S120" i="2"/>
  <c r="R119" i="2" l="1"/>
  <c r="J119" i="2"/>
  <c r="P120" i="2"/>
  <c r="G120" i="2"/>
  <c r="Q120" i="2"/>
  <c r="N120" i="2" s="1"/>
  <c r="F120" i="2"/>
  <c r="E121" i="2"/>
  <c r="K119" i="2"/>
  <c r="L119" i="2"/>
  <c r="M119" i="2" s="1"/>
  <c r="O119" i="2"/>
  <c r="H120" i="2"/>
  <c r="A123" i="2"/>
  <c r="B122" i="2"/>
  <c r="D122" i="2"/>
  <c r="C122" i="2"/>
  <c r="V121" i="2"/>
  <c r="X121" i="2"/>
  <c r="Y121" i="2"/>
  <c r="Z121" i="2"/>
  <c r="T121" i="2"/>
  <c r="S121" i="2"/>
  <c r="U121" i="2"/>
  <c r="W121" i="2"/>
  <c r="R120" i="2" l="1"/>
  <c r="J120" i="2"/>
  <c r="G121" i="2"/>
  <c r="P121" i="2"/>
  <c r="Q121" i="2"/>
  <c r="N121" i="2" s="1"/>
  <c r="F121" i="2"/>
  <c r="E122" i="2"/>
  <c r="L120" i="2"/>
  <c r="M120" i="2" s="1"/>
  <c r="K120" i="2"/>
  <c r="O120" i="2"/>
  <c r="H121" i="2"/>
  <c r="A124" i="2"/>
  <c r="B123" i="2"/>
  <c r="I121" i="2"/>
  <c r="T122" i="2"/>
  <c r="U122" i="2"/>
  <c r="Y122" i="2"/>
  <c r="S122" i="2"/>
  <c r="W122" i="2"/>
  <c r="D123" i="2"/>
  <c r="Z122" i="2"/>
  <c r="V122" i="2"/>
  <c r="X122" i="2"/>
  <c r="C123" i="2"/>
  <c r="R121" i="2" l="1"/>
  <c r="J121" i="2"/>
  <c r="G122" i="2"/>
  <c r="P122" i="2"/>
  <c r="Q122" i="2"/>
  <c r="N122" i="2" s="1"/>
  <c r="F122" i="2"/>
  <c r="E123" i="2"/>
  <c r="L121" i="2"/>
  <c r="M121" i="2" s="1"/>
  <c r="K121" i="2"/>
  <c r="O121" i="2"/>
  <c r="H122" i="2"/>
  <c r="A125" i="2"/>
  <c r="B124" i="2"/>
  <c r="I122" i="2"/>
  <c r="Z123" i="2"/>
  <c r="T123" i="2"/>
  <c r="V123" i="2"/>
  <c r="U123" i="2"/>
  <c r="W123" i="2"/>
  <c r="D124" i="2"/>
  <c r="C124" i="2"/>
  <c r="Y123" i="2"/>
  <c r="X123" i="2"/>
  <c r="S123" i="2"/>
  <c r="R122" i="2" l="1"/>
  <c r="J122" i="2"/>
  <c r="G123" i="2"/>
  <c r="P123" i="2"/>
  <c r="Q123" i="2"/>
  <c r="N123" i="2" s="1"/>
  <c r="F123" i="2"/>
  <c r="E124" i="2"/>
  <c r="L122" i="2"/>
  <c r="M122" i="2" s="1"/>
  <c r="K122" i="2"/>
  <c r="O122" i="2"/>
  <c r="H123" i="2"/>
  <c r="A126" i="2"/>
  <c r="B125" i="2"/>
  <c r="Y124" i="2"/>
  <c r="T124" i="2"/>
  <c r="U124" i="2"/>
  <c r="I123" i="2"/>
  <c r="V124" i="2"/>
  <c r="S124" i="2"/>
  <c r="D125" i="2"/>
  <c r="Z124" i="2"/>
  <c r="I124" i="2"/>
  <c r="W124" i="2"/>
  <c r="C125" i="2"/>
  <c r="X124" i="2"/>
  <c r="R123" i="2" l="1"/>
  <c r="J123" i="2"/>
  <c r="P124" i="2"/>
  <c r="G124" i="2"/>
  <c r="Q124" i="2"/>
  <c r="N124" i="2" s="1"/>
  <c r="F124" i="2"/>
  <c r="E125" i="2"/>
  <c r="O123" i="2"/>
  <c r="K123" i="2"/>
  <c r="L123" i="2"/>
  <c r="M123" i="2" s="1"/>
  <c r="H124" i="2"/>
  <c r="A127" i="2"/>
  <c r="B126" i="2"/>
  <c r="D126" i="2"/>
  <c r="W125" i="2"/>
  <c r="T125" i="2"/>
  <c r="V125" i="2"/>
  <c r="U125" i="2"/>
  <c r="C126" i="2"/>
  <c r="Y125" i="2"/>
  <c r="X125" i="2"/>
  <c r="Z125" i="2"/>
  <c r="S125" i="2"/>
  <c r="R124" i="2" l="1"/>
  <c r="J124" i="2"/>
  <c r="G125" i="2"/>
  <c r="P125" i="2"/>
  <c r="Q125" i="2"/>
  <c r="N125" i="2" s="1"/>
  <c r="F125" i="2"/>
  <c r="E126" i="2"/>
  <c r="K124" i="2"/>
  <c r="L124" i="2"/>
  <c r="M124" i="2" s="1"/>
  <c r="O124" i="2"/>
  <c r="H125" i="2"/>
  <c r="B127" i="2"/>
  <c r="A128" i="2"/>
  <c r="I125" i="2"/>
  <c r="X126" i="2"/>
  <c r="Z126" i="2"/>
  <c r="D127" i="2"/>
  <c r="V126" i="2"/>
  <c r="C127" i="2"/>
  <c r="Y126" i="2"/>
  <c r="U126" i="2"/>
  <c r="S126" i="2"/>
  <c r="W126" i="2"/>
  <c r="T126" i="2"/>
  <c r="R125" i="2" l="1"/>
  <c r="J125" i="2"/>
  <c r="G126" i="2"/>
  <c r="P126" i="2"/>
  <c r="Q126" i="2"/>
  <c r="N126" i="2" s="1"/>
  <c r="F126" i="2"/>
  <c r="E127" i="2"/>
  <c r="K125" i="2"/>
  <c r="O125" i="2"/>
  <c r="L125" i="2"/>
  <c r="M125" i="2" s="1"/>
  <c r="H126" i="2"/>
  <c r="A129" i="2"/>
  <c r="B128" i="2"/>
  <c r="I126" i="2"/>
  <c r="X127" i="2"/>
  <c r="U127" i="2"/>
  <c r="Y127" i="2"/>
  <c r="C128" i="2"/>
  <c r="Z127" i="2"/>
  <c r="W127" i="2"/>
  <c r="V127" i="2"/>
  <c r="T127" i="2"/>
  <c r="D128" i="2"/>
  <c r="S127" i="2"/>
  <c r="R126" i="2" l="1"/>
  <c r="J126" i="2"/>
  <c r="G127" i="2"/>
  <c r="P127" i="2"/>
  <c r="Q127" i="2"/>
  <c r="N127" i="2" s="1"/>
  <c r="F127" i="2"/>
  <c r="E128" i="2"/>
  <c r="O126" i="2"/>
  <c r="L126" i="2"/>
  <c r="M126" i="2" s="1"/>
  <c r="K126" i="2"/>
  <c r="H127" i="2"/>
  <c r="A130" i="2"/>
  <c r="B129" i="2"/>
  <c r="D129" i="2"/>
  <c r="W128" i="2"/>
  <c r="Z128" i="2"/>
  <c r="U128" i="2"/>
  <c r="C129" i="2"/>
  <c r="S128" i="2"/>
  <c r="Y128" i="2"/>
  <c r="V128" i="2"/>
  <c r="I127" i="2"/>
  <c r="X128" i="2"/>
  <c r="T128" i="2"/>
  <c r="R127" i="2" l="1"/>
  <c r="J127" i="2"/>
  <c r="P128" i="2"/>
  <c r="G128" i="2"/>
  <c r="Q128" i="2"/>
  <c r="N128" i="2" s="1"/>
  <c r="F128" i="2"/>
  <c r="E129" i="2"/>
  <c r="L127" i="2"/>
  <c r="M127" i="2" s="1"/>
  <c r="K127" i="2"/>
  <c r="O127" i="2"/>
  <c r="H128" i="2"/>
  <c r="A131" i="2"/>
  <c r="B130" i="2"/>
  <c r="I128" i="2"/>
  <c r="D130" i="2"/>
  <c r="S129" i="2"/>
  <c r="C130" i="2"/>
  <c r="W129" i="2"/>
  <c r="U129" i="2"/>
  <c r="X129" i="2"/>
  <c r="Y129" i="2"/>
  <c r="T129" i="2"/>
  <c r="V129" i="2"/>
  <c r="Z129" i="2"/>
  <c r="R128" i="2" l="1"/>
  <c r="J128" i="2"/>
  <c r="G129" i="2"/>
  <c r="P129" i="2"/>
  <c r="Q129" i="2"/>
  <c r="N129" i="2" s="1"/>
  <c r="F129" i="2"/>
  <c r="E130" i="2"/>
  <c r="K128" i="2"/>
  <c r="O128" i="2"/>
  <c r="L128" i="2"/>
  <c r="M128" i="2" s="1"/>
  <c r="H129" i="2"/>
  <c r="A132" i="2"/>
  <c r="B131" i="2"/>
  <c r="D131" i="2"/>
  <c r="Y130" i="2"/>
  <c r="I129" i="2"/>
  <c r="U130" i="2"/>
  <c r="S130" i="2"/>
  <c r="Z130" i="2"/>
  <c r="W130" i="2"/>
  <c r="V130" i="2"/>
  <c r="X130" i="2"/>
  <c r="C131" i="2"/>
  <c r="T130" i="2"/>
  <c r="R129" i="2" l="1"/>
  <c r="J129" i="2"/>
  <c r="G130" i="2"/>
  <c r="P130" i="2"/>
  <c r="Q130" i="2"/>
  <c r="N130" i="2" s="1"/>
  <c r="F130" i="2"/>
  <c r="E131" i="2"/>
  <c r="L129" i="2"/>
  <c r="M129" i="2" s="1"/>
  <c r="O129" i="2"/>
  <c r="K129" i="2"/>
  <c r="H130" i="2"/>
  <c r="A133" i="2"/>
  <c r="B132" i="2"/>
  <c r="Y131" i="2"/>
  <c r="T131" i="2"/>
  <c r="U131" i="2"/>
  <c r="W131" i="2"/>
  <c r="C132" i="2"/>
  <c r="X131" i="2"/>
  <c r="Z131" i="2"/>
  <c r="I130" i="2"/>
  <c r="V131" i="2"/>
  <c r="S131" i="2"/>
  <c r="D132" i="2"/>
  <c r="R130" i="2" l="1"/>
  <c r="J130" i="2"/>
  <c r="G131" i="2"/>
  <c r="P131" i="2"/>
  <c r="Q131" i="2"/>
  <c r="N131" i="2" s="1"/>
  <c r="F131" i="2"/>
  <c r="E132" i="2"/>
  <c r="K130" i="2"/>
  <c r="L130" i="2"/>
  <c r="M130" i="2" s="1"/>
  <c r="O130" i="2"/>
  <c r="H131" i="2"/>
  <c r="A134" i="2"/>
  <c r="B133" i="2"/>
  <c r="I131" i="2"/>
  <c r="U132" i="2"/>
  <c r="S132" i="2"/>
  <c r="Z132" i="2"/>
  <c r="W132" i="2"/>
  <c r="V132" i="2"/>
  <c r="X132" i="2"/>
  <c r="C133" i="2"/>
  <c r="T132" i="2"/>
  <c r="D133" i="2"/>
  <c r="Y132" i="2"/>
  <c r="R131" i="2" l="1"/>
  <c r="J131" i="2"/>
  <c r="P132" i="2"/>
  <c r="G132" i="2"/>
  <c r="Q132" i="2"/>
  <c r="N132" i="2" s="1"/>
  <c r="F132" i="2"/>
  <c r="E133" i="2"/>
  <c r="O131" i="2"/>
  <c r="L131" i="2"/>
  <c r="M131" i="2" s="1"/>
  <c r="K131" i="2"/>
  <c r="H132" i="2"/>
  <c r="A135" i="2"/>
  <c r="B134" i="2"/>
  <c r="I132" i="2"/>
  <c r="V133" i="2"/>
  <c r="S133" i="2"/>
  <c r="Y133" i="2"/>
  <c r="T133" i="2"/>
  <c r="U133" i="2"/>
  <c r="W133" i="2"/>
  <c r="C134" i="2"/>
  <c r="X133" i="2"/>
  <c r="D134" i="2"/>
  <c r="Z133" i="2"/>
  <c r="R132" i="2" l="1"/>
  <c r="J132" i="2"/>
  <c r="G133" i="2"/>
  <c r="P133" i="2"/>
  <c r="Q133" i="2"/>
  <c r="N133" i="2" s="1"/>
  <c r="F133" i="2"/>
  <c r="E134" i="2"/>
  <c r="L132" i="2"/>
  <c r="M132" i="2" s="1"/>
  <c r="K132" i="2"/>
  <c r="O132" i="2"/>
  <c r="H133" i="2"/>
  <c r="A136" i="2"/>
  <c r="B135" i="2"/>
  <c r="X134" i="2"/>
  <c r="S134" i="2"/>
  <c r="Y134" i="2"/>
  <c r="D135" i="2"/>
  <c r="V134" i="2"/>
  <c r="C135" i="2"/>
  <c r="U134" i="2"/>
  <c r="I133" i="2"/>
  <c r="W134" i="2"/>
  <c r="T134" i="2"/>
  <c r="Z134" i="2"/>
  <c r="I134" i="2"/>
  <c r="R133" i="2" l="1"/>
  <c r="J133" i="2"/>
  <c r="G134" i="2"/>
  <c r="P134" i="2"/>
  <c r="Q134" i="2"/>
  <c r="N134" i="2" s="1"/>
  <c r="F134" i="2"/>
  <c r="E135" i="2"/>
  <c r="L133" i="2"/>
  <c r="M133" i="2" s="1"/>
  <c r="O133" i="2"/>
  <c r="K133" i="2"/>
  <c r="H134" i="2"/>
  <c r="A137" i="2"/>
  <c r="B136" i="2"/>
  <c r="W135" i="2"/>
  <c r="D136" i="2"/>
  <c r="X135" i="2"/>
  <c r="C136" i="2"/>
  <c r="Z135" i="2"/>
  <c r="V135" i="2"/>
  <c r="S135" i="2"/>
  <c r="Y135" i="2"/>
  <c r="T135" i="2"/>
  <c r="U135" i="2"/>
  <c r="R134" i="2" l="1"/>
  <c r="J134" i="2"/>
  <c r="G135" i="2"/>
  <c r="P135" i="2"/>
  <c r="Q135" i="2"/>
  <c r="N135" i="2" s="1"/>
  <c r="F135" i="2"/>
  <c r="E136" i="2"/>
  <c r="O134" i="2"/>
  <c r="K134" i="2"/>
  <c r="L134" i="2"/>
  <c r="M134" i="2" s="1"/>
  <c r="H135" i="2"/>
  <c r="A138" i="2"/>
  <c r="B137" i="2"/>
  <c r="I135" i="2"/>
  <c r="C137" i="2"/>
  <c r="Y136" i="2"/>
  <c r="X136" i="2"/>
  <c r="D137" i="2"/>
  <c r="W136" i="2"/>
  <c r="Z136" i="2"/>
  <c r="T136" i="2"/>
  <c r="V136" i="2"/>
  <c r="U136" i="2"/>
  <c r="S136" i="2"/>
  <c r="R135" i="2" l="1"/>
  <c r="J135" i="2"/>
  <c r="P136" i="2"/>
  <c r="G136" i="2"/>
  <c r="Q136" i="2"/>
  <c r="N136" i="2" s="1"/>
  <c r="F136" i="2"/>
  <c r="E137" i="2"/>
  <c r="L135" i="2"/>
  <c r="M135" i="2" s="1"/>
  <c r="K135" i="2"/>
  <c r="O135" i="2"/>
  <c r="H136" i="2"/>
  <c r="A139" i="2"/>
  <c r="B138" i="2"/>
  <c r="I136" i="2"/>
  <c r="D138" i="2"/>
  <c r="S137" i="2"/>
  <c r="Y137" i="2"/>
  <c r="T137" i="2"/>
  <c r="X137" i="2"/>
  <c r="W137" i="2"/>
  <c r="C138" i="2"/>
  <c r="V137" i="2"/>
  <c r="U137" i="2"/>
  <c r="Z137" i="2"/>
  <c r="R136" i="2" l="1"/>
  <c r="J136" i="2"/>
  <c r="G137" i="2"/>
  <c r="P137" i="2"/>
  <c r="Q137" i="2"/>
  <c r="N137" i="2" s="1"/>
  <c r="F137" i="2"/>
  <c r="E138" i="2"/>
  <c r="O136" i="2"/>
  <c r="L136" i="2"/>
  <c r="M136" i="2" s="1"/>
  <c r="K136" i="2"/>
  <c r="H137" i="2"/>
  <c r="A140" i="2"/>
  <c r="B139" i="2"/>
  <c r="I137" i="2"/>
  <c r="Y138" i="2"/>
  <c r="D139" i="2"/>
  <c r="C139" i="2"/>
  <c r="S138" i="2"/>
  <c r="V138" i="2"/>
  <c r="U138" i="2"/>
  <c r="Z138" i="2"/>
  <c r="W138" i="2"/>
  <c r="T138" i="2"/>
  <c r="I138" i="2"/>
  <c r="X138" i="2"/>
  <c r="R137" i="2" l="1"/>
  <c r="J137" i="2"/>
  <c r="G138" i="2"/>
  <c r="P138" i="2"/>
  <c r="Q138" i="2"/>
  <c r="N138" i="2" s="1"/>
  <c r="F138" i="2"/>
  <c r="E139" i="2"/>
  <c r="K137" i="2"/>
  <c r="O137" i="2"/>
  <c r="L137" i="2"/>
  <c r="M137" i="2" s="1"/>
  <c r="H138" i="2"/>
  <c r="A141" i="2"/>
  <c r="B140" i="2"/>
  <c r="D140" i="2"/>
  <c r="T139" i="2"/>
  <c r="V139" i="2"/>
  <c r="U139" i="2"/>
  <c r="W139" i="2"/>
  <c r="S139" i="2"/>
  <c r="X139" i="2"/>
  <c r="Z139" i="2"/>
  <c r="C140" i="2"/>
  <c r="Y139" i="2"/>
  <c r="R138" i="2" l="1"/>
  <c r="J138" i="2"/>
  <c r="G139" i="2"/>
  <c r="P139" i="2"/>
  <c r="Q139" i="2"/>
  <c r="N139" i="2" s="1"/>
  <c r="F139" i="2"/>
  <c r="E140" i="2"/>
  <c r="K138" i="2"/>
  <c r="L138" i="2"/>
  <c r="M138" i="2" s="1"/>
  <c r="O138" i="2"/>
  <c r="H139" i="2"/>
  <c r="A142" i="2"/>
  <c r="B141" i="2"/>
  <c r="Y140" i="2"/>
  <c r="C141" i="2"/>
  <c r="Z140" i="2"/>
  <c r="I139" i="2"/>
  <c r="D141" i="2"/>
  <c r="T140" i="2"/>
  <c r="X140" i="2"/>
  <c r="U140" i="2"/>
  <c r="W140" i="2"/>
  <c r="V140" i="2"/>
  <c r="S140" i="2"/>
  <c r="R139" i="2" l="1"/>
  <c r="J139" i="2"/>
  <c r="P140" i="2"/>
  <c r="G140" i="2"/>
  <c r="Q140" i="2"/>
  <c r="N140" i="2" s="1"/>
  <c r="F140" i="2"/>
  <c r="E141" i="2"/>
  <c r="O139" i="2"/>
  <c r="K139" i="2"/>
  <c r="L139" i="2"/>
  <c r="M139" i="2" s="1"/>
  <c r="H140" i="2"/>
  <c r="A143" i="2"/>
  <c r="B142" i="2"/>
  <c r="W141" i="2"/>
  <c r="X141" i="2"/>
  <c r="U141" i="2"/>
  <c r="Z141" i="2"/>
  <c r="C142" i="2"/>
  <c r="T141" i="2"/>
  <c r="Y141" i="2"/>
  <c r="I140" i="2"/>
  <c r="D142" i="2"/>
  <c r="V141" i="2"/>
  <c r="S141" i="2"/>
  <c r="R140" i="2" l="1"/>
  <c r="J140" i="2"/>
  <c r="G141" i="2"/>
  <c r="P141" i="2"/>
  <c r="Q141" i="2"/>
  <c r="N141" i="2" s="1"/>
  <c r="F141" i="2"/>
  <c r="E142" i="2"/>
  <c r="L140" i="2"/>
  <c r="M140" i="2" s="1"/>
  <c r="K140" i="2"/>
  <c r="O140" i="2"/>
  <c r="H141" i="2"/>
  <c r="A144" i="2"/>
  <c r="B143" i="2"/>
  <c r="I141" i="2"/>
  <c r="Y142" i="2"/>
  <c r="X142" i="2"/>
  <c r="Z142" i="2"/>
  <c r="U142" i="2"/>
  <c r="S142" i="2"/>
  <c r="W142" i="2"/>
  <c r="T142" i="2"/>
  <c r="C143" i="2"/>
  <c r="D143" i="2"/>
  <c r="V142" i="2"/>
  <c r="R141" i="2" l="1"/>
  <c r="J141" i="2"/>
  <c r="G142" i="2"/>
  <c r="P142" i="2"/>
  <c r="Q142" i="2"/>
  <c r="N142" i="2" s="1"/>
  <c r="F142" i="2"/>
  <c r="E143" i="2"/>
  <c r="O141" i="2"/>
  <c r="K141" i="2"/>
  <c r="L141" i="2"/>
  <c r="M141" i="2" s="1"/>
  <c r="H142" i="2"/>
  <c r="A145" i="2"/>
  <c r="B144" i="2"/>
  <c r="W143" i="2"/>
  <c r="T143" i="2"/>
  <c r="X143" i="2"/>
  <c r="Z143" i="2"/>
  <c r="D144" i="2"/>
  <c r="V143" i="2"/>
  <c r="C144" i="2"/>
  <c r="Y143" i="2"/>
  <c r="I142" i="2"/>
  <c r="S143" i="2"/>
  <c r="U143" i="2"/>
  <c r="R142" i="2" l="1"/>
  <c r="J142" i="2"/>
  <c r="G143" i="2"/>
  <c r="P143" i="2"/>
  <c r="Q143" i="2"/>
  <c r="N143" i="2" s="1"/>
  <c r="F143" i="2"/>
  <c r="E144" i="2"/>
  <c r="O142" i="2"/>
  <c r="L142" i="2"/>
  <c r="M142" i="2" s="1"/>
  <c r="K142" i="2"/>
  <c r="H143" i="2"/>
  <c r="A146" i="2"/>
  <c r="B145" i="2"/>
  <c r="X144" i="2"/>
  <c r="T144" i="2"/>
  <c r="W144" i="2"/>
  <c r="Y144" i="2"/>
  <c r="C145" i="2"/>
  <c r="U144" i="2"/>
  <c r="D145" i="2"/>
  <c r="Z144" i="2"/>
  <c r="I143" i="2"/>
  <c r="V144" i="2"/>
  <c r="S144" i="2"/>
  <c r="R143" i="2" l="1"/>
  <c r="J143" i="2"/>
  <c r="P144" i="2"/>
  <c r="G144" i="2"/>
  <c r="Q144" i="2"/>
  <c r="N144" i="2" s="1"/>
  <c r="F144" i="2"/>
  <c r="E145" i="2"/>
  <c r="L143" i="2"/>
  <c r="M143" i="2" s="1"/>
  <c r="K143" i="2"/>
  <c r="O143" i="2"/>
  <c r="H144" i="2"/>
  <c r="A147" i="2"/>
  <c r="B146" i="2"/>
  <c r="I144" i="2"/>
  <c r="V145" i="2"/>
  <c r="S145" i="2"/>
  <c r="Y145" i="2"/>
  <c r="T145" i="2"/>
  <c r="U145" i="2"/>
  <c r="Z145" i="2"/>
  <c r="X145" i="2"/>
  <c r="C146" i="2"/>
  <c r="W145" i="2"/>
  <c r="D146" i="2"/>
  <c r="R144" i="2" l="1"/>
  <c r="J144" i="2"/>
  <c r="G145" i="2"/>
  <c r="P145" i="2"/>
  <c r="Q145" i="2"/>
  <c r="N145" i="2" s="1"/>
  <c r="F145" i="2"/>
  <c r="E146" i="2"/>
  <c r="O144" i="2"/>
  <c r="L144" i="2"/>
  <c r="M144" i="2" s="1"/>
  <c r="K144" i="2"/>
  <c r="H145" i="2"/>
  <c r="A148" i="2"/>
  <c r="B147" i="2"/>
  <c r="I145" i="2"/>
  <c r="D147" i="2"/>
  <c r="W146" i="2"/>
  <c r="Z146" i="2"/>
  <c r="Y146" i="2"/>
  <c r="U146" i="2"/>
  <c r="X146" i="2"/>
  <c r="S146" i="2"/>
  <c r="T146" i="2"/>
  <c r="C147" i="2"/>
  <c r="V146" i="2"/>
  <c r="R145" i="2" l="1"/>
  <c r="J145" i="2"/>
  <c r="G146" i="2"/>
  <c r="P146" i="2"/>
  <c r="Q146" i="2"/>
  <c r="N146" i="2" s="1"/>
  <c r="F146" i="2"/>
  <c r="E147" i="2"/>
  <c r="L145" i="2"/>
  <c r="M145" i="2" s="1"/>
  <c r="O145" i="2"/>
  <c r="K145" i="2"/>
  <c r="H146" i="2"/>
  <c r="A149" i="2"/>
  <c r="B148" i="2"/>
  <c r="V147" i="2"/>
  <c r="D148" i="2"/>
  <c r="Z147" i="2"/>
  <c r="C148" i="2"/>
  <c r="U147" i="2"/>
  <c r="I146" i="2"/>
  <c r="Y147" i="2"/>
  <c r="T147" i="2"/>
  <c r="I147" i="2" s="1"/>
  <c r="X147" i="2"/>
  <c r="S147" i="2"/>
  <c r="W147" i="2"/>
  <c r="R146" i="2" l="1"/>
  <c r="J146" i="2"/>
  <c r="G147" i="2"/>
  <c r="P147" i="2"/>
  <c r="Q147" i="2"/>
  <c r="N147" i="2" s="1"/>
  <c r="F147" i="2"/>
  <c r="E148" i="2"/>
  <c r="L146" i="2"/>
  <c r="M146" i="2" s="1"/>
  <c r="K146" i="2"/>
  <c r="O146" i="2"/>
  <c r="H147" i="2"/>
  <c r="A150" i="2"/>
  <c r="B149" i="2"/>
  <c r="C149" i="2"/>
  <c r="S148" i="2"/>
  <c r="D149" i="2"/>
  <c r="U148" i="2"/>
  <c r="Y148" i="2"/>
  <c r="X148" i="2"/>
  <c r="T148" i="2"/>
  <c r="V148" i="2"/>
  <c r="I148" i="2"/>
  <c r="Z148" i="2"/>
  <c r="W148" i="2"/>
  <c r="R147" i="2" l="1"/>
  <c r="J147" i="2"/>
  <c r="P148" i="2"/>
  <c r="G148" i="2"/>
  <c r="Q148" i="2"/>
  <c r="N148" i="2" s="1"/>
  <c r="F148" i="2"/>
  <c r="E149" i="2"/>
  <c r="O147" i="2"/>
  <c r="L147" i="2"/>
  <c r="M147" i="2" s="1"/>
  <c r="K147" i="2"/>
  <c r="H148" i="2"/>
  <c r="A151" i="2"/>
  <c r="B150" i="2"/>
  <c r="C150" i="2"/>
  <c r="X149" i="2"/>
  <c r="V149" i="2"/>
  <c r="W149" i="2"/>
  <c r="T149" i="2"/>
  <c r="S149" i="2"/>
  <c r="D150" i="2"/>
  <c r="Y149" i="2"/>
  <c r="U149" i="2"/>
  <c r="Z149" i="2"/>
  <c r="R148" i="2" l="1"/>
  <c r="J148" i="2"/>
  <c r="G149" i="2"/>
  <c r="P149" i="2"/>
  <c r="Q149" i="2"/>
  <c r="N149" i="2" s="1"/>
  <c r="F149" i="2"/>
  <c r="E150" i="2"/>
  <c r="L148" i="2"/>
  <c r="M148" i="2" s="1"/>
  <c r="K148" i="2"/>
  <c r="O148" i="2"/>
  <c r="H149" i="2"/>
  <c r="A152" i="2"/>
  <c r="B151" i="2"/>
  <c r="I149" i="2"/>
  <c r="W150" i="2"/>
  <c r="C151" i="2"/>
  <c r="S150" i="2"/>
  <c r="D151" i="2"/>
  <c r="T150" i="2"/>
  <c r="V150" i="2"/>
  <c r="Y150" i="2"/>
  <c r="I150" i="2"/>
  <c r="Z150" i="2"/>
  <c r="X150" i="2"/>
  <c r="U150" i="2"/>
  <c r="R149" i="2" l="1"/>
  <c r="J149" i="2"/>
  <c r="G150" i="2"/>
  <c r="P150" i="2"/>
  <c r="Q150" i="2"/>
  <c r="N150" i="2" s="1"/>
  <c r="F150" i="2"/>
  <c r="E151" i="2"/>
  <c r="L149" i="2"/>
  <c r="M149" i="2" s="1"/>
  <c r="K149" i="2"/>
  <c r="O149" i="2"/>
  <c r="H150" i="2"/>
  <c r="A153" i="2"/>
  <c r="B152" i="2"/>
  <c r="W151" i="2"/>
  <c r="T151" i="2"/>
  <c r="X151" i="2"/>
  <c r="U151" i="2"/>
  <c r="S151" i="2"/>
  <c r="D152" i="2"/>
  <c r="Z151" i="2"/>
  <c r="C152" i="2"/>
  <c r="Y151" i="2"/>
  <c r="V151" i="2"/>
  <c r="R150" i="2" l="1"/>
  <c r="J150" i="2"/>
  <c r="G151" i="2"/>
  <c r="P151" i="2"/>
  <c r="Q151" i="2"/>
  <c r="N151" i="2" s="1"/>
  <c r="F151" i="2"/>
  <c r="E152" i="2"/>
  <c r="O150" i="2"/>
  <c r="K150" i="2"/>
  <c r="L150" i="2"/>
  <c r="M150" i="2" s="1"/>
  <c r="H151" i="2"/>
  <c r="A154" i="2"/>
  <c r="B153" i="2"/>
  <c r="U152" i="2"/>
  <c r="T152" i="2"/>
  <c r="Y152" i="2"/>
  <c r="I151" i="2"/>
  <c r="D153" i="2"/>
  <c r="X152" i="2"/>
  <c r="Z152" i="2"/>
  <c r="W152" i="2"/>
  <c r="C153" i="2"/>
  <c r="V152" i="2"/>
  <c r="S152" i="2"/>
  <c r="R151" i="2" l="1"/>
  <c r="J151" i="2"/>
  <c r="P152" i="2"/>
  <c r="G152" i="2"/>
  <c r="Q152" i="2"/>
  <c r="N152" i="2" s="1"/>
  <c r="F152" i="2"/>
  <c r="E153" i="2"/>
  <c r="L151" i="2"/>
  <c r="M151" i="2" s="1"/>
  <c r="K151" i="2"/>
  <c r="O151" i="2"/>
  <c r="H152" i="2"/>
  <c r="A155" i="2"/>
  <c r="B154" i="2"/>
  <c r="W153" i="2"/>
  <c r="T153" i="2"/>
  <c r="X153" i="2"/>
  <c r="Z153" i="2"/>
  <c r="D154" i="2"/>
  <c r="V153" i="2"/>
  <c r="C154" i="2"/>
  <c r="Y153" i="2"/>
  <c r="U153" i="2"/>
  <c r="S153" i="2"/>
  <c r="I152" i="2"/>
  <c r="R152" i="2" l="1"/>
  <c r="J152" i="2"/>
  <c r="G153" i="2"/>
  <c r="P153" i="2"/>
  <c r="Q153" i="2"/>
  <c r="N153" i="2" s="1"/>
  <c r="F153" i="2"/>
  <c r="E154" i="2"/>
  <c r="O152" i="2"/>
  <c r="L152" i="2"/>
  <c r="M152" i="2" s="1"/>
  <c r="K152" i="2"/>
  <c r="H153" i="2"/>
  <c r="A156" i="2"/>
  <c r="B155" i="2"/>
  <c r="I153" i="2"/>
  <c r="Z154" i="2"/>
  <c r="T154" i="2"/>
  <c r="V154" i="2"/>
  <c r="U154" i="2"/>
  <c r="W154" i="2"/>
  <c r="S154" i="2"/>
  <c r="C155" i="2"/>
  <c r="Y154" i="2"/>
  <c r="X154" i="2"/>
  <c r="D155" i="2"/>
  <c r="R153" i="2" l="1"/>
  <c r="J153" i="2"/>
  <c r="G154" i="2"/>
  <c r="P154" i="2"/>
  <c r="Q154" i="2"/>
  <c r="N154" i="2" s="1"/>
  <c r="F154" i="2"/>
  <c r="E155" i="2"/>
  <c r="K153" i="2"/>
  <c r="L153" i="2"/>
  <c r="M153" i="2" s="1"/>
  <c r="O153" i="2"/>
  <c r="H154" i="2"/>
  <c r="A157" i="2"/>
  <c r="B156" i="2"/>
  <c r="I154" i="2"/>
  <c r="U155" i="2"/>
  <c r="S155" i="2"/>
  <c r="C156" i="2"/>
  <c r="Y155" i="2"/>
  <c r="W155" i="2"/>
  <c r="Z155" i="2"/>
  <c r="D156" i="2"/>
  <c r="V155" i="2"/>
  <c r="T155" i="2"/>
  <c r="X155" i="2"/>
  <c r="R154" i="2" l="1"/>
  <c r="J154" i="2"/>
  <c r="G155" i="2"/>
  <c r="P155" i="2"/>
  <c r="Q155" i="2"/>
  <c r="N155" i="2" s="1"/>
  <c r="F155" i="2"/>
  <c r="E156" i="2"/>
  <c r="K154" i="2"/>
  <c r="L154" i="2"/>
  <c r="M154" i="2" s="1"/>
  <c r="O154" i="2"/>
  <c r="H155" i="2"/>
  <c r="A158" i="2"/>
  <c r="B157" i="2"/>
  <c r="I155" i="2"/>
  <c r="V156" i="2"/>
  <c r="W156" i="2"/>
  <c r="X156" i="2"/>
  <c r="T156" i="2"/>
  <c r="U156" i="2"/>
  <c r="Y156" i="2"/>
  <c r="D157" i="2"/>
  <c r="C157" i="2"/>
  <c r="Z156" i="2"/>
  <c r="S156" i="2"/>
  <c r="R155" i="2" l="1"/>
  <c r="J155" i="2"/>
  <c r="P156" i="2"/>
  <c r="G156" i="2"/>
  <c r="Q156" i="2"/>
  <c r="N156" i="2" s="1"/>
  <c r="F156" i="2"/>
  <c r="E157" i="2"/>
  <c r="O155" i="2"/>
  <c r="K155" i="2"/>
  <c r="L155" i="2"/>
  <c r="M155" i="2" s="1"/>
  <c r="H156" i="2"/>
  <c r="A159" i="2"/>
  <c r="B158" i="2"/>
  <c r="I156" i="2"/>
  <c r="C158" i="2"/>
  <c r="U157" i="2"/>
  <c r="V157" i="2"/>
  <c r="X157" i="2"/>
  <c r="W157" i="2"/>
  <c r="Z157" i="2"/>
  <c r="Y157" i="2"/>
  <c r="T157" i="2"/>
  <c r="S157" i="2"/>
  <c r="D158" i="2"/>
  <c r="R156" i="2" l="1"/>
  <c r="J156" i="2"/>
  <c r="G157" i="2"/>
  <c r="P157" i="2"/>
  <c r="Q157" i="2"/>
  <c r="N157" i="2" s="1"/>
  <c r="F157" i="2"/>
  <c r="E158" i="2"/>
  <c r="L156" i="2"/>
  <c r="M156" i="2" s="1"/>
  <c r="K156" i="2"/>
  <c r="O156" i="2"/>
  <c r="H157" i="2"/>
  <c r="A160" i="2"/>
  <c r="B159" i="2"/>
  <c r="I157" i="2"/>
  <c r="W158" i="2"/>
  <c r="S158" i="2"/>
  <c r="Z158" i="2"/>
  <c r="U158" i="2"/>
  <c r="V158" i="2"/>
  <c r="X158" i="2"/>
  <c r="D159" i="2"/>
  <c r="T158" i="2"/>
  <c r="C159" i="2"/>
  <c r="Y158" i="2"/>
  <c r="R157" i="2" l="1"/>
  <c r="J157" i="2"/>
  <c r="G158" i="2"/>
  <c r="P158" i="2"/>
  <c r="Q158" i="2"/>
  <c r="N158" i="2" s="1"/>
  <c r="F158" i="2"/>
  <c r="E159" i="2"/>
  <c r="O157" i="2"/>
  <c r="K157" i="2"/>
  <c r="L157" i="2"/>
  <c r="M157" i="2" s="1"/>
  <c r="H158" i="2"/>
  <c r="A161" i="2"/>
  <c r="B160" i="2"/>
  <c r="Y159" i="2"/>
  <c r="T159" i="2"/>
  <c r="U159" i="2"/>
  <c r="W159" i="2"/>
  <c r="C160" i="2"/>
  <c r="X159" i="2"/>
  <c r="D160" i="2"/>
  <c r="Z159" i="2"/>
  <c r="I158" i="2"/>
  <c r="V159" i="2"/>
  <c r="S159" i="2"/>
  <c r="R158" i="2" l="1"/>
  <c r="J158" i="2"/>
  <c r="G159" i="2"/>
  <c r="P159" i="2"/>
  <c r="Q159" i="2"/>
  <c r="N159" i="2" s="1"/>
  <c r="F159" i="2"/>
  <c r="E160" i="2"/>
  <c r="O158" i="2"/>
  <c r="L158" i="2"/>
  <c r="M158" i="2" s="1"/>
  <c r="K158" i="2"/>
  <c r="H159" i="2"/>
  <c r="A162" i="2"/>
  <c r="B161" i="2"/>
  <c r="I159" i="2"/>
  <c r="U160" i="2"/>
  <c r="S160" i="2"/>
  <c r="Z160" i="2"/>
  <c r="T160" i="2"/>
  <c r="V160" i="2"/>
  <c r="W160" i="2"/>
  <c r="C161" i="2"/>
  <c r="X160" i="2"/>
  <c r="D161" i="2"/>
  <c r="Y160" i="2"/>
  <c r="R159" i="2" l="1"/>
  <c r="J159" i="2"/>
  <c r="P160" i="2"/>
  <c r="G160" i="2"/>
  <c r="Q160" i="2"/>
  <c r="N160" i="2" s="1"/>
  <c r="F160" i="2"/>
  <c r="E161" i="2"/>
  <c r="L159" i="2"/>
  <c r="M159" i="2" s="1"/>
  <c r="K159" i="2"/>
  <c r="O159" i="2"/>
  <c r="H160" i="2"/>
  <c r="A163" i="2"/>
  <c r="B162" i="2"/>
  <c r="I160" i="2"/>
  <c r="Z161" i="2"/>
  <c r="T161" i="2"/>
  <c r="U161" i="2"/>
  <c r="S161" i="2"/>
  <c r="Y161" i="2"/>
  <c r="X161" i="2"/>
  <c r="D162" i="2"/>
  <c r="W161" i="2"/>
  <c r="C162" i="2"/>
  <c r="V161" i="2"/>
  <c r="I161" i="2"/>
  <c r="R160" i="2" l="1"/>
  <c r="J160" i="2"/>
  <c r="G161" i="2"/>
  <c r="P161" i="2"/>
  <c r="Q161" i="2"/>
  <c r="N161" i="2" s="1"/>
  <c r="F161" i="2"/>
  <c r="E162" i="2"/>
  <c r="O160" i="2"/>
  <c r="L160" i="2"/>
  <c r="M160" i="2" s="1"/>
  <c r="K160" i="2"/>
  <c r="H161" i="2"/>
  <c r="A164" i="2"/>
  <c r="B163" i="2"/>
  <c r="D163" i="2"/>
  <c r="W162" i="2"/>
  <c r="T162" i="2"/>
  <c r="V162" i="2"/>
  <c r="U162" i="2"/>
  <c r="S162" i="2"/>
  <c r="Y162" i="2"/>
  <c r="Z162" i="2"/>
  <c r="C163" i="2"/>
  <c r="X162" i="2"/>
  <c r="R161" i="2" l="1"/>
  <c r="J161" i="2"/>
  <c r="G162" i="2"/>
  <c r="P162" i="2"/>
  <c r="Q162" i="2"/>
  <c r="N162" i="2" s="1"/>
  <c r="F162" i="2"/>
  <c r="E163" i="2"/>
  <c r="L161" i="2"/>
  <c r="M161" i="2" s="1"/>
  <c r="O161" i="2"/>
  <c r="K161" i="2"/>
  <c r="H162" i="2"/>
  <c r="A165" i="2"/>
  <c r="B164" i="2"/>
  <c r="I162" i="2"/>
  <c r="X163" i="2"/>
  <c r="S163" i="2"/>
  <c r="Y163" i="2"/>
  <c r="Z163" i="2"/>
  <c r="C164" i="2"/>
  <c r="D164" i="2"/>
  <c r="T163" i="2"/>
  <c r="U163" i="2"/>
  <c r="V163" i="2"/>
  <c r="W163" i="2"/>
  <c r="R162" i="2" l="1"/>
  <c r="J162" i="2"/>
  <c r="G163" i="2"/>
  <c r="P163" i="2"/>
  <c r="Q163" i="2"/>
  <c r="N163" i="2" s="1"/>
  <c r="F163" i="2"/>
  <c r="E164" i="2"/>
  <c r="L162" i="2"/>
  <c r="M162" i="2" s="1"/>
  <c r="K162" i="2"/>
  <c r="O162" i="2"/>
  <c r="H163" i="2"/>
  <c r="A166" i="2"/>
  <c r="B165" i="2"/>
  <c r="Z164" i="2"/>
  <c r="T164" i="2"/>
  <c r="W164" i="2"/>
  <c r="X164" i="2"/>
  <c r="Y164" i="2"/>
  <c r="D165" i="2"/>
  <c r="C165" i="2"/>
  <c r="S164" i="2"/>
  <c r="I163" i="2"/>
  <c r="U164" i="2"/>
  <c r="V164" i="2"/>
  <c r="R163" i="2" l="1"/>
  <c r="J163" i="2"/>
  <c r="P164" i="2"/>
  <c r="G164" i="2"/>
  <c r="Q164" i="2"/>
  <c r="N164" i="2" s="1"/>
  <c r="F164" i="2"/>
  <c r="E165" i="2"/>
  <c r="O163" i="2"/>
  <c r="L163" i="2"/>
  <c r="M163" i="2" s="1"/>
  <c r="K163" i="2"/>
  <c r="H164" i="2"/>
  <c r="A167" i="2"/>
  <c r="B166" i="2"/>
  <c r="I164" i="2"/>
  <c r="V165" i="2"/>
  <c r="C166" i="2"/>
  <c r="D166" i="2"/>
  <c r="X165" i="2"/>
  <c r="T165" i="2"/>
  <c r="S165" i="2"/>
  <c r="Y165" i="2"/>
  <c r="U165" i="2"/>
  <c r="W165" i="2"/>
  <c r="Z165" i="2"/>
  <c r="R164" i="2" l="1"/>
  <c r="J164" i="2"/>
  <c r="G165" i="2"/>
  <c r="P165" i="2"/>
  <c r="Q165" i="2"/>
  <c r="N165" i="2" s="1"/>
  <c r="F165" i="2"/>
  <c r="E166" i="2"/>
  <c r="L164" i="2"/>
  <c r="M164" i="2" s="1"/>
  <c r="K164" i="2"/>
  <c r="O164" i="2"/>
  <c r="H165" i="2"/>
  <c r="A168" i="2"/>
  <c r="B167" i="2"/>
  <c r="I165" i="2"/>
  <c r="S166" i="2"/>
  <c r="X166" i="2"/>
  <c r="U166" i="2"/>
  <c r="C167" i="2"/>
  <c r="V166" i="2"/>
  <c r="D167" i="2"/>
  <c r="T166" i="2"/>
  <c r="W166" i="2"/>
  <c r="Z166" i="2"/>
  <c r="Y166" i="2"/>
  <c r="R165" i="2" l="1"/>
  <c r="J165" i="2"/>
  <c r="G166" i="2"/>
  <c r="P166" i="2"/>
  <c r="Q166" i="2"/>
  <c r="N166" i="2" s="1"/>
  <c r="F166" i="2"/>
  <c r="E167" i="2"/>
  <c r="L165" i="2"/>
  <c r="M165" i="2" s="1"/>
  <c r="O165" i="2"/>
  <c r="K165" i="2"/>
  <c r="H166" i="2"/>
  <c r="A169" i="2"/>
  <c r="B168" i="2"/>
  <c r="Y167" i="2"/>
  <c r="D168" i="2"/>
  <c r="V167" i="2"/>
  <c r="X167" i="2"/>
  <c r="S167" i="2"/>
  <c r="I166" i="2"/>
  <c r="U167" i="2"/>
  <c r="Z167" i="2"/>
  <c r="W167" i="2"/>
  <c r="C168" i="2"/>
  <c r="T167" i="2"/>
  <c r="R166" i="2" l="1"/>
  <c r="J166" i="2"/>
  <c r="G167" i="2"/>
  <c r="P167" i="2"/>
  <c r="Q167" i="2"/>
  <c r="N167" i="2" s="1"/>
  <c r="F167" i="2"/>
  <c r="E168" i="2"/>
  <c r="O166" i="2"/>
  <c r="K166" i="2"/>
  <c r="L166" i="2"/>
  <c r="M166" i="2" s="1"/>
  <c r="H167" i="2"/>
  <c r="A170" i="2"/>
  <c r="B169" i="2"/>
  <c r="I167" i="2"/>
  <c r="V168" i="2"/>
  <c r="S168" i="2"/>
  <c r="X168" i="2"/>
  <c r="Z168" i="2"/>
  <c r="T168" i="2"/>
  <c r="Y168" i="2"/>
  <c r="D169" i="2"/>
  <c r="U168" i="2"/>
  <c r="C169" i="2"/>
  <c r="W168" i="2"/>
  <c r="R167" i="2" l="1"/>
  <c r="J167" i="2"/>
  <c r="G168" i="2"/>
  <c r="P168" i="2"/>
  <c r="Q168" i="2"/>
  <c r="N168" i="2" s="1"/>
  <c r="F168" i="2"/>
  <c r="E169" i="2"/>
  <c r="L167" i="2"/>
  <c r="M167" i="2" s="1"/>
  <c r="K167" i="2"/>
  <c r="O167" i="2"/>
  <c r="H168" i="2"/>
  <c r="A171" i="2"/>
  <c r="B170" i="2"/>
  <c r="I168" i="2"/>
  <c r="V169" i="2"/>
  <c r="S169" i="2"/>
  <c r="T169" i="2"/>
  <c r="Y169" i="2"/>
  <c r="Z169" i="2"/>
  <c r="W169" i="2"/>
  <c r="C170" i="2"/>
  <c r="X169" i="2"/>
  <c r="U169" i="2"/>
  <c r="D170" i="2"/>
  <c r="R168" i="2" l="1"/>
  <c r="J168" i="2"/>
  <c r="G169" i="2"/>
  <c r="P169" i="2"/>
  <c r="Q169" i="2"/>
  <c r="N169" i="2" s="1"/>
  <c r="F169" i="2"/>
  <c r="E170" i="2"/>
  <c r="O168" i="2"/>
  <c r="L168" i="2"/>
  <c r="M168" i="2" s="1"/>
  <c r="K168" i="2"/>
  <c r="H169" i="2"/>
  <c r="A172" i="2"/>
  <c r="B171" i="2"/>
  <c r="I169" i="2"/>
  <c r="Y170" i="2"/>
  <c r="X170" i="2"/>
  <c r="Z170" i="2"/>
  <c r="S170" i="2"/>
  <c r="W170" i="2"/>
  <c r="V170" i="2"/>
  <c r="T170" i="2"/>
  <c r="C171" i="2"/>
  <c r="U170" i="2"/>
  <c r="D171" i="2"/>
  <c r="R169" i="2" l="1"/>
  <c r="J169" i="2"/>
  <c r="G170" i="2"/>
  <c r="P170" i="2"/>
  <c r="Q170" i="2"/>
  <c r="N170" i="2" s="1"/>
  <c r="F170" i="2"/>
  <c r="E171" i="2"/>
  <c r="K169" i="2"/>
  <c r="O169" i="2"/>
  <c r="L169" i="2"/>
  <c r="M169" i="2" s="1"/>
  <c r="H170" i="2"/>
  <c r="A173" i="2"/>
  <c r="B172" i="2"/>
  <c r="I170" i="2"/>
  <c r="W171" i="2"/>
  <c r="T171" i="2"/>
  <c r="U171" i="2"/>
  <c r="S171" i="2"/>
  <c r="I171" i="2"/>
  <c r="V171" i="2"/>
  <c r="D172" i="2"/>
  <c r="Z171" i="2"/>
  <c r="C172" i="2"/>
  <c r="X171" i="2"/>
  <c r="Y171" i="2"/>
  <c r="R170" i="2" l="1"/>
  <c r="J170" i="2"/>
  <c r="G171" i="2"/>
  <c r="P171" i="2"/>
  <c r="Q171" i="2"/>
  <c r="N171" i="2" s="1"/>
  <c r="F171" i="2"/>
  <c r="E172" i="2"/>
  <c r="K170" i="2"/>
  <c r="L170" i="2"/>
  <c r="M170" i="2" s="1"/>
  <c r="O170" i="2"/>
  <c r="H171" i="2"/>
  <c r="A174" i="2"/>
  <c r="B173" i="2"/>
  <c r="C173" i="2"/>
  <c r="W172" i="2"/>
  <c r="T172" i="2"/>
  <c r="V172" i="2"/>
  <c r="U172" i="2"/>
  <c r="X172" i="2"/>
  <c r="S172" i="2"/>
  <c r="D173" i="2"/>
  <c r="Y172" i="2"/>
  <c r="Z172" i="2"/>
  <c r="R171" i="2" l="1"/>
  <c r="J171" i="2"/>
  <c r="G172" i="2"/>
  <c r="P172" i="2"/>
  <c r="Q172" i="2"/>
  <c r="N172" i="2" s="1"/>
  <c r="F172" i="2"/>
  <c r="E173" i="2"/>
  <c r="O171" i="2"/>
  <c r="K171" i="2"/>
  <c r="L171" i="2"/>
  <c r="M171" i="2" s="1"/>
  <c r="H172" i="2"/>
  <c r="A175" i="2"/>
  <c r="B174" i="2"/>
  <c r="W173" i="2"/>
  <c r="T173" i="2"/>
  <c r="X173" i="2"/>
  <c r="Z173" i="2"/>
  <c r="C174" i="2"/>
  <c r="V173" i="2"/>
  <c r="Y173" i="2"/>
  <c r="I172" i="2"/>
  <c r="S173" i="2"/>
  <c r="D174" i="2"/>
  <c r="U173" i="2"/>
  <c r="R172" i="2" l="1"/>
  <c r="J172" i="2"/>
  <c r="G173" i="2"/>
  <c r="P173" i="2"/>
  <c r="Q173" i="2"/>
  <c r="N173" i="2" s="1"/>
  <c r="F173" i="2"/>
  <c r="E174" i="2"/>
  <c r="L172" i="2"/>
  <c r="M172" i="2" s="1"/>
  <c r="K172" i="2"/>
  <c r="O172" i="2"/>
  <c r="H173" i="2"/>
  <c r="A176" i="2"/>
  <c r="B175" i="2"/>
  <c r="I173" i="2"/>
  <c r="U174" i="2"/>
  <c r="V174" i="2"/>
  <c r="Z174" i="2"/>
  <c r="T174" i="2"/>
  <c r="W174" i="2"/>
  <c r="X174" i="2"/>
  <c r="Y174" i="2"/>
  <c r="D175" i="2"/>
  <c r="C175" i="2"/>
  <c r="S174" i="2"/>
  <c r="R173" i="2" l="1"/>
  <c r="J173" i="2"/>
  <c r="G174" i="2"/>
  <c r="P174" i="2"/>
  <c r="Q174" i="2"/>
  <c r="N174" i="2" s="1"/>
  <c r="F174" i="2"/>
  <c r="E175" i="2"/>
  <c r="O173" i="2"/>
  <c r="K173" i="2"/>
  <c r="L173" i="2"/>
  <c r="M173" i="2" s="1"/>
  <c r="H174" i="2"/>
  <c r="A177" i="2"/>
  <c r="B176" i="2"/>
  <c r="I174" i="2"/>
  <c r="X175" i="2"/>
  <c r="S175" i="2"/>
  <c r="D176" i="2"/>
  <c r="Y175" i="2"/>
  <c r="U175" i="2"/>
  <c r="C176" i="2"/>
  <c r="V175" i="2"/>
  <c r="W175" i="2"/>
  <c r="T175" i="2"/>
  <c r="Z175" i="2"/>
  <c r="R174" i="2" l="1"/>
  <c r="J174" i="2"/>
  <c r="G175" i="2"/>
  <c r="P175" i="2"/>
  <c r="Q175" i="2"/>
  <c r="N175" i="2" s="1"/>
  <c r="F175" i="2"/>
  <c r="E176" i="2"/>
  <c r="O174" i="2"/>
  <c r="L174" i="2"/>
  <c r="M174" i="2" s="1"/>
  <c r="K174" i="2"/>
  <c r="H175" i="2"/>
  <c r="A178" i="2"/>
  <c r="B177" i="2"/>
  <c r="C177" i="2"/>
  <c r="V176" i="2"/>
  <c r="Y176" i="2"/>
  <c r="I175" i="2"/>
  <c r="W176" i="2"/>
  <c r="T176" i="2"/>
  <c r="D177" i="2"/>
  <c r="U176" i="2"/>
  <c r="X176" i="2"/>
  <c r="Z176" i="2"/>
  <c r="S176" i="2"/>
  <c r="R175" i="2" l="1"/>
  <c r="J175" i="2"/>
  <c r="G176" i="2"/>
  <c r="P176" i="2"/>
  <c r="Q176" i="2"/>
  <c r="N176" i="2" s="1"/>
  <c r="F176" i="2"/>
  <c r="E177" i="2"/>
  <c r="L175" i="2"/>
  <c r="M175" i="2" s="1"/>
  <c r="K175" i="2"/>
  <c r="O175" i="2"/>
  <c r="H176" i="2"/>
  <c r="A179" i="2"/>
  <c r="B178" i="2"/>
  <c r="D178" i="2"/>
  <c r="Z177" i="2"/>
  <c r="I176" i="2"/>
  <c r="V177" i="2"/>
  <c r="S177" i="2"/>
  <c r="Y177" i="2"/>
  <c r="T177" i="2"/>
  <c r="U177" i="2"/>
  <c r="X177" i="2"/>
  <c r="C178" i="2"/>
  <c r="W177" i="2"/>
  <c r="R176" i="2" l="1"/>
  <c r="J176" i="2"/>
  <c r="G177" i="2"/>
  <c r="P177" i="2"/>
  <c r="Q177" i="2"/>
  <c r="N177" i="2" s="1"/>
  <c r="F177" i="2"/>
  <c r="E178" i="2"/>
  <c r="O176" i="2"/>
  <c r="L176" i="2"/>
  <c r="M176" i="2" s="1"/>
  <c r="K176" i="2"/>
  <c r="H177" i="2"/>
  <c r="A180" i="2"/>
  <c r="B179" i="2"/>
  <c r="I177" i="2"/>
  <c r="U178" i="2"/>
  <c r="V178" i="2"/>
  <c r="Z178" i="2"/>
  <c r="T178" i="2"/>
  <c r="W178" i="2"/>
  <c r="X178" i="2"/>
  <c r="Y178" i="2"/>
  <c r="D179" i="2"/>
  <c r="S178" i="2"/>
  <c r="C179" i="2"/>
  <c r="R177" i="2" l="1"/>
  <c r="J177" i="2"/>
  <c r="G178" i="2"/>
  <c r="P178" i="2"/>
  <c r="Q178" i="2"/>
  <c r="N178" i="2" s="1"/>
  <c r="F178" i="2"/>
  <c r="E179" i="2"/>
  <c r="L177" i="2"/>
  <c r="M177" i="2" s="1"/>
  <c r="O177" i="2"/>
  <c r="K177" i="2"/>
  <c r="H178" i="2"/>
  <c r="A181" i="2"/>
  <c r="B180" i="2"/>
  <c r="I178" i="2"/>
  <c r="V179" i="2"/>
  <c r="S179" i="2"/>
  <c r="Y179" i="2"/>
  <c r="T179" i="2"/>
  <c r="U179" i="2"/>
  <c r="W179" i="2"/>
  <c r="C180" i="2"/>
  <c r="X179" i="2"/>
  <c r="D180" i="2"/>
  <c r="Z179" i="2"/>
  <c r="R178" i="2" l="1"/>
  <c r="J178" i="2"/>
  <c r="G179" i="2"/>
  <c r="P179" i="2"/>
  <c r="Q179" i="2"/>
  <c r="N179" i="2" s="1"/>
  <c r="F179" i="2"/>
  <c r="E180" i="2"/>
  <c r="L178" i="2"/>
  <c r="M178" i="2" s="1"/>
  <c r="K178" i="2"/>
  <c r="O178" i="2"/>
  <c r="H179" i="2"/>
  <c r="A182" i="2"/>
  <c r="B181" i="2"/>
  <c r="I179" i="2"/>
  <c r="W180" i="2"/>
  <c r="C181" i="2"/>
  <c r="U180" i="2"/>
  <c r="V180" i="2"/>
  <c r="D181" i="2"/>
  <c r="Z180" i="2"/>
  <c r="T180" i="2"/>
  <c r="S180" i="2"/>
  <c r="Y180" i="2"/>
  <c r="X180" i="2"/>
  <c r="R179" i="2" l="1"/>
  <c r="J179" i="2"/>
  <c r="G180" i="2"/>
  <c r="P180" i="2"/>
  <c r="Q180" i="2"/>
  <c r="N180" i="2" s="1"/>
  <c r="F180" i="2"/>
  <c r="E181" i="2"/>
  <c r="O179" i="2"/>
  <c r="L179" i="2"/>
  <c r="M179" i="2" s="1"/>
  <c r="K179" i="2"/>
  <c r="H180" i="2"/>
  <c r="A183" i="2"/>
  <c r="B182" i="2"/>
  <c r="D182" i="2"/>
  <c r="Y181" i="2"/>
  <c r="T181" i="2"/>
  <c r="U181" i="2"/>
  <c r="I181" i="2"/>
  <c r="V181" i="2"/>
  <c r="S181" i="2"/>
  <c r="Z181" i="2"/>
  <c r="W181" i="2"/>
  <c r="C182" i="2"/>
  <c r="I180" i="2"/>
  <c r="X181" i="2"/>
  <c r="R180" i="2" l="1"/>
  <c r="J180" i="2"/>
  <c r="G181" i="2"/>
  <c r="P181" i="2"/>
  <c r="Q181" i="2"/>
  <c r="N181" i="2" s="1"/>
  <c r="F181" i="2"/>
  <c r="E182" i="2"/>
  <c r="L180" i="2"/>
  <c r="M180" i="2" s="1"/>
  <c r="K180" i="2"/>
  <c r="O180" i="2"/>
  <c r="H181" i="2"/>
  <c r="A184" i="2"/>
  <c r="B183" i="2"/>
  <c r="D183" i="2"/>
  <c r="T182" i="2"/>
  <c r="W182" i="2"/>
  <c r="C183" i="2"/>
  <c r="U182" i="2"/>
  <c r="S182" i="2"/>
  <c r="X182" i="2"/>
  <c r="Z182" i="2"/>
  <c r="Y182" i="2"/>
  <c r="V182" i="2"/>
  <c r="R181" i="2" l="1"/>
  <c r="J181" i="2"/>
  <c r="G182" i="2"/>
  <c r="P182" i="2"/>
  <c r="Q182" i="2"/>
  <c r="N182" i="2" s="1"/>
  <c r="F182" i="2"/>
  <c r="E183" i="2"/>
  <c r="L181" i="2"/>
  <c r="M181" i="2" s="1"/>
  <c r="K181" i="2"/>
  <c r="O181" i="2"/>
  <c r="H182" i="2"/>
  <c r="A185" i="2"/>
  <c r="B184" i="2"/>
  <c r="I182" i="2"/>
  <c r="X183" i="2"/>
  <c r="S183" i="2"/>
  <c r="D184" i="2"/>
  <c r="Z183" i="2"/>
  <c r="Y183" i="2"/>
  <c r="C184" i="2"/>
  <c r="T183" i="2"/>
  <c r="U183" i="2"/>
  <c r="W183" i="2"/>
  <c r="V183" i="2"/>
  <c r="R182" i="2" l="1"/>
  <c r="J182" i="2"/>
  <c r="G183" i="2"/>
  <c r="P183" i="2"/>
  <c r="Q183" i="2"/>
  <c r="N183" i="2" s="1"/>
  <c r="F183" i="2"/>
  <c r="E184" i="2"/>
  <c r="O182" i="2"/>
  <c r="K182" i="2"/>
  <c r="L182" i="2"/>
  <c r="M182" i="2" s="1"/>
  <c r="H183" i="2"/>
  <c r="A186" i="2"/>
  <c r="B185" i="2"/>
  <c r="I183" i="2"/>
  <c r="V184" i="2"/>
  <c r="S184" i="2"/>
  <c r="D185" i="2"/>
  <c r="Z184" i="2"/>
  <c r="U184" i="2"/>
  <c r="Y184" i="2"/>
  <c r="C185" i="2"/>
  <c r="X184" i="2"/>
  <c r="T184" i="2"/>
  <c r="W184" i="2"/>
  <c r="R183" i="2" l="1"/>
  <c r="J183" i="2"/>
  <c r="G184" i="2"/>
  <c r="P184" i="2"/>
  <c r="Q184" i="2"/>
  <c r="N184" i="2" s="1"/>
  <c r="F184" i="2"/>
  <c r="E185" i="2"/>
  <c r="L183" i="2"/>
  <c r="M183" i="2" s="1"/>
  <c r="K183" i="2"/>
  <c r="O183" i="2"/>
  <c r="H184" i="2"/>
  <c r="A187" i="2"/>
  <c r="B186" i="2"/>
  <c r="I184" i="2"/>
  <c r="U185" i="2"/>
  <c r="S185" i="2"/>
  <c r="W185" i="2"/>
  <c r="T185" i="2"/>
  <c r="X185" i="2"/>
  <c r="Z185" i="2"/>
  <c r="C186" i="2"/>
  <c r="V185" i="2"/>
  <c r="D186" i="2"/>
  <c r="Y185" i="2"/>
  <c r="R184" i="2" l="1"/>
  <c r="J184" i="2"/>
  <c r="G185" i="2"/>
  <c r="P185" i="2"/>
  <c r="Q185" i="2"/>
  <c r="N185" i="2" s="1"/>
  <c r="F185" i="2"/>
  <c r="E186" i="2"/>
  <c r="O184" i="2"/>
  <c r="L184" i="2"/>
  <c r="M184" i="2" s="1"/>
  <c r="K184" i="2"/>
  <c r="H185" i="2"/>
  <c r="A188" i="2"/>
  <c r="B187" i="2"/>
  <c r="I185" i="2"/>
  <c r="U186" i="2"/>
  <c r="Y186" i="2"/>
  <c r="Z186" i="2"/>
  <c r="T186" i="2"/>
  <c r="S186" i="2"/>
  <c r="X186" i="2"/>
  <c r="V186" i="2"/>
  <c r="W186" i="2"/>
  <c r="C187" i="2"/>
  <c r="D187" i="2"/>
  <c r="R185" i="2" l="1"/>
  <c r="J185" i="2"/>
  <c r="G186" i="2"/>
  <c r="P186" i="2"/>
  <c r="Q186" i="2"/>
  <c r="N186" i="2" s="1"/>
  <c r="F186" i="2"/>
  <c r="E187" i="2"/>
  <c r="K185" i="2"/>
  <c r="L185" i="2"/>
  <c r="M185" i="2" s="1"/>
  <c r="O185" i="2"/>
  <c r="H186" i="2"/>
  <c r="A189" i="2"/>
  <c r="B188" i="2"/>
  <c r="Y187" i="2"/>
  <c r="X187" i="2"/>
  <c r="D188" i="2"/>
  <c r="W187" i="2"/>
  <c r="C188" i="2"/>
  <c r="V187" i="2"/>
  <c r="I186" i="2"/>
  <c r="Z187" i="2"/>
  <c r="T187" i="2"/>
  <c r="I187" i="2" s="1"/>
  <c r="U187" i="2"/>
  <c r="S187" i="2"/>
  <c r="R186" i="2" l="1"/>
  <c r="J186" i="2"/>
  <c r="G187" i="2"/>
  <c r="P187" i="2"/>
  <c r="Q187" i="2"/>
  <c r="N187" i="2" s="1"/>
  <c r="F187" i="2"/>
  <c r="E188" i="2"/>
  <c r="K186" i="2"/>
  <c r="L186" i="2"/>
  <c r="M186" i="2" s="1"/>
  <c r="O186" i="2"/>
  <c r="H187" i="2"/>
  <c r="A190" i="2"/>
  <c r="B189" i="2"/>
  <c r="X188" i="2"/>
  <c r="D189" i="2"/>
  <c r="W188" i="2"/>
  <c r="C189" i="2"/>
  <c r="Y188" i="2"/>
  <c r="U188" i="2"/>
  <c r="S188" i="2"/>
  <c r="T188" i="2"/>
  <c r="V188" i="2"/>
  <c r="Z188" i="2"/>
  <c r="R187" i="2" l="1"/>
  <c r="J187" i="2"/>
  <c r="G188" i="2"/>
  <c r="P188" i="2"/>
  <c r="Q188" i="2"/>
  <c r="N188" i="2" s="1"/>
  <c r="F188" i="2"/>
  <c r="E189" i="2"/>
  <c r="O187" i="2"/>
  <c r="K187" i="2"/>
  <c r="L187" i="2"/>
  <c r="M187" i="2" s="1"/>
  <c r="H188" i="2"/>
  <c r="A191" i="2"/>
  <c r="B190" i="2"/>
  <c r="Z189" i="2"/>
  <c r="S189" i="2"/>
  <c r="W189" i="2"/>
  <c r="I188" i="2"/>
  <c r="Y189" i="2"/>
  <c r="T189" i="2"/>
  <c r="X189" i="2"/>
  <c r="U189" i="2"/>
  <c r="D190" i="2"/>
  <c r="C190" i="2"/>
  <c r="V189" i="2"/>
  <c r="R188" i="2" l="1"/>
  <c r="J188" i="2"/>
  <c r="G189" i="2"/>
  <c r="P189" i="2"/>
  <c r="Q189" i="2"/>
  <c r="N189" i="2" s="1"/>
  <c r="F189" i="2"/>
  <c r="E190" i="2"/>
  <c r="L188" i="2"/>
  <c r="M188" i="2" s="1"/>
  <c r="K188" i="2"/>
  <c r="O188" i="2"/>
  <c r="H189" i="2"/>
  <c r="A192" i="2"/>
  <c r="B191" i="2"/>
  <c r="I189" i="2"/>
  <c r="V190" i="2"/>
  <c r="C191" i="2"/>
  <c r="D191" i="2"/>
  <c r="W190" i="2"/>
  <c r="U190" i="2"/>
  <c r="Y190" i="2"/>
  <c r="Z190" i="2"/>
  <c r="T190" i="2"/>
  <c r="S190" i="2"/>
  <c r="X190" i="2"/>
  <c r="R189" i="2" l="1"/>
  <c r="J189" i="2"/>
  <c r="G190" i="2"/>
  <c r="P190" i="2"/>
  <c r="Q190" i="2"/>
  <c r="N190" i="2" s="1"/>
  <c r="F190" i="2"/>
  <c r="E191" i="2"/>
  <c r="O189" i="2"/>
  <c r="K189" i="2"/>
  <c r="L189" i="2"/>
  <c r="M189" i="2" s="1"/>
  <c r="H190" i="2"/>
  <c r="A193" i="2"/>
  <c r="B192" i="2"/>
  <c r="I190" i="2"/>
  <c r="Y191" i="2"/>
  <c r="T191" i="2"/>
  <c r="X191" i="2"/>
  <c r="S191" i="2"/>
  <c r="I191" i="2"/>
  <c r="V191" i="2"/>
  <c r="C192" i="2"/>
  <c r="Z191" i="2"/>
  <c r="D192" i="2"/>
  <c r="W191" i="2"/>
  <c r="U191" i="2"/>
  <c r="R190" i="2" l="1"/>
  <c r="J190" i="2"/>
  <c r="G191" i="2"/>
  <c r="P191" i="2"/>
  <c r="Q191" i="2"/>
  <c r="N191" i="2" s="1"/>
  <c r="F191" i="2"/>
  <c r="E192" i="2"/>
  <c r="O190" i="2"/>
  <c r="L190" i="2"/>
  <c r="M190" i="2" s="1"/>
  <c r="K190" i="2"/>
  <c r="H191" i="2"/>
  <c r="A194" i="2"/>
  <c r="B193" i="2"/>
  <c r="D193" i="2"/>
  <c r="X192" i="2"/>
  <c r="U192" i="2"/>
  <c r="Z192" i="2"/>
  <c r="T192" i="2"/>
  <c r="S192" i="2"/>
  <c r="Y192" i="2"/>
  <c r="C193" i="2"/>
  <c r="V192" i="2"/>
  <c r="W192" i="2"/>
  <c r="R191" i="2" l="1"/>
  <c r="J191" i="2"/>
  <c r="G192" i="2"/>
  <c r="P192" i="2"/>
  <c r="Q192" i="2"/>
  <c r="N192" i="2" s="1"/>
  <c r="F192" i="2"/>
  <c r="E193" i="2"/>
  <c r="L191" i="2"/>
  <c r="M191" i="2" s="1"/>
  <c r="K191" i="2"/>
  <c r="O191" i="2"/>
  <c r="H192" i="2"/>
  <c r="A195" i="2"/>
  <c r="B194" i="2"/>
  <c r="I192" i="2"/>
  <c r="V193" i="2"/>
  <c r="S193" i="2"/>
  <c r="Y193" i="2"/>
  <c r="Z193" i="2"/>
  <c r="D194" i="2"/>
  <c r="W193" i="2"/>
  <c r="C194" i="2"/>
  <c r="T193" i="2"/>
  <c r="U193" i="2"/>
  <c r="X193" i="2"/>
  <c r="R192" i="2" l="1"/>
  <c r="J192" i="2"/>
  <c r="G193" i="2"/>
  <c r="P193" i="2"/>
  <c r="Q193" i="2"/>
  <c r="N193" i="2" s="1"/>
  <c r="F193" i="2"/>
  <c r="E194" i="2"/>
  <c r="O192" i="2"/>
  <c r="L192" i="2"/>
  <c r="M192" i="2" s="1"/>
  <c r="K192" i="2"/>
  <c r="H193" i="2"/>
  <c r="A196" i="2"/>
  <c r="B195" i="2"/>
  <c r="I193" i="2"/>
  <c r="Y194" i="2"/>
  <c r="Z194" i="2"/>
  <c r="D195" i="2"/>
  <c r="T194" i="2"/>
  <c r="U194" i="2"/>
  <c r="W194" i="2"/>
  <c r="C195" i="2"/>
  <c r="V194" i="2"/>
  <c r="S194" i="2"/>
  <c r="X194" i="2"/>
  <c r="R193" i="2" l="1"/>
  <c r="J193" i="2"/>
  <c r="G194" i="2"/>
  <c r="P194" i="2"/>
  <c r="Q194" i="2"/>
  <c r="N194" i="2" s="1"/>
  <c r="F194" i="2"/>
  <c r="E195" i="2"/>
  <c r="L193" i="2"/>
  <c r="M193" i="2" s="1"/>
  <c r="O193" i="2"/>
  <c r="K193" i="2"/>
  <c r="H194" i="2"/>
  <c r="A197" i="2"/>
  <c r="B196" i="2"/>
  <c r="S195" i="2"/>
  <c r="X195" i="2"/>
  <c r="Z195" i="2"/>
  <c r="Y195" i="2"/>
  <c r="C196" i="2"/>
  <c r="I194" i="2"/>
  <c r="D196" i="2"/>
  <c r="T195" i="2"/>
  <c r="W195" i="2"/>
  <c r="V195" i="2"/>
  <c r="U195" i="2"/>
  <c r="R194" i="2" l="1"/>
  <c r="J194" i="2"/>
  <c r="G195" i="2"/>
  <c r="P195" i="2"/>
  <c r="Q195" i="2"/>
  <c r="N195" i="2" s="1"/>
  <c r="F195" i="2"/>
  <c r="E196" i="2"/>
  <c r="L194" i="2"/>
  <c r="M194" i="2" s="1"/>
  <c r="K194" i="2"/>
  <c r="O194" i="2"/>
  <c r="H195" i="2"/>
  <c r="A198" i="2"/>
  <c r="B197" i="2"/>
  <c r="I195" i="2"/>
  <c r="V196" i="2"/>
  <c r="S196" i="2"/>
  <c r="Z196" i="2"/>
  <c r="T196" i="2"/>
  <c r="D197" i="2"/>
  <c r="X196" i="2"/>
  <c r="C197" i="2"/>
  <c r="U196" i="2"/>
  <c r="W196" i="2"/>
  <c r="Y196" i="2"/>
  <c r="R195" i="2" l="1"/>
  <c r="J195" i="2"/>
  <c r="G196" i="2"/>
  <c r="P196" i="2"/>
  <c r="Q196" i="2"/>
  <c r="N196" i="2" s="1"/>
  <c r="F196" i="2"/>
  <c r="E197" i="2"/>
  <c r="O195" i="2"/>
  <c r="L195" i="2"/>
  <c r="M195" i="2" s="1"/>
  <c r="K195" i="2"/>
  <c r="H196" i="2"/>
  <c r="A199" i="2"/>
  <c r="B198" i="2"/>
  <c r="I196" i="2"/>
  <c r="Z197" i="2"/>
  <c r="T197" i="2"/>
  <c r="U197" i="2"/>
  <c r="S197" i="2"/>
  <c r="Y197" i="2"/>
  <c r="X197" i="2"/>
  <c r="D198" i="2"/>
  <c r="C198" i="2"/>
  <c r="V197" i="2"/>
  <c r="I197" i="2"/>
  <c r="W197" i="2"/>
  <c r="R196" i="2" l="1"/>
  <c r="J196" i="2"/>
  <c r="G197" i="2"/>
  <c r="P197" i="2"/>
  <c r="Q197" i="2"/>
  <c r="N197" i="2" s="1"/>
  <c r="F197" i="2"/>
  <c r="E198" i="2"/>
  <c r="L196" i="2"/>
  <c r="M196" i="2" s="1"/>
  <c r="K196" i="2"/>
  <c r="O196" i="2"/>
  <c r="H197" i="2"/>
  <c r="A200" i="2"/>
  <c r="B199" i="2"/>
  <c r="D199" i="2"/>
  <c r="W198" i="2"/>
  <c r="U198" i="2"/>
  <c r="V198" i="2"/>
  <c r="C199" i="2"/>
  <c r="X198" i="2"/>
  <c r="Z198" i="2"/>
  <c r="S198" i="2"/>
  <c r="Y198" i="2"/>
  <c r="T198" i="2"/>
  <c r="R197" i="2" l="1"/>
  <c r="J197" i="2"/>
  <c r="G198" i="2"/>
  <c r="P198" i="2"/>
  <c r="Q198" i="2"/>
  <c r="N198" i="2" s="1"/>
  <c r="F198" i="2"/>
  <c r="E199" i="2"/>
  <c r="L197" i="2"/>
  <c r="M197" i="2" s="1"/>
  <c r="O197" i="2"/>
  <c r="K197" i="2"/>
  <c r="H198" i="2"/>
  <c r="A201" i="2"/>
  <c r="B200" i="2"/>
  <c r="I198" i="2"/>
  <c r="S199" i="2"/>
  <c r="D200" i="2"/>
  <c r="Z199" i="2"/>
  <c r="V199" i="2"/>
  <c r="X199" i="2"/>
  <c r="W199" i="2"/>
  <c r="Y199" i="2"/>
  <c r="T199" i="2"/>
  <c r="U199" i="2"/>
  <c r="C200" i="2"/>
  <c r="R198" i="2" l="1"/>
  <c r="J198" i="2"/>
  <c r="G199" i="2"/>
  <c r="P199" i="2"/>
  <c r="Q199" i="2"/>
  <c r="N199" i="2" s="1"/>
  <c r="F199" i="2"/>
  <c r="E200" i="2"/>
  <c r="O198" i="2"/>
  <c r="K198" i="2"/>
  <c r="L198" i="2"/>
  <c r="M198" i="2" s="1"/>
  <c r="H199" i="2"/>
  <c r="A202" i="2"/>
  <c r="B201" i="2"/>
  <c r="I199" i="2"/>
  <c r="Y200" i="2"/>
  <c r="T200" i="2"/>
  <c r="V200" i="2"/>
  <c r="S200" i="2"/>
  <c r="Z200" i="2"/>
  <c r="X200" i="2"/>
  <c r="C201" i="2"/>
  <c r="W200" i="2"/>
  <c r="D201" i="2"/>
  <c r="U200" i="2"/>
  <c r="I200" i="2"/>
  <c r="R199" i="2" l="1"/>
  <c r="J199" i="2"/>
  <c r="G200" i="2"/>
  <c r="P200" i="2"/>
  <c r="Q200" i="2"/>
  <c r="N200" i="2" s="1"/>
  <c r="F200" i="2"/>
  <c r="E201" i="2"/>
  <c r="L199" i="2"/>
  <c r="M199" i="2" s="1"/>
  <c r="K199" i="2"/>
  <c r="O199" i="2"/>
  <c r="H200" i="2"/>
  <c r="A203" i="2"/>
  <c r="B202" i="2"/>
  <c r="Z201" i="2"/>
  <c r="Y201" i="2"/>
  <c r="T201" i="2"/>
  <c r="S201" i="2"/>
  <c r="W201" i="2"/>
  <c r="U201" i="2"/>
  <c r="D202" i="2"/>
  <c r="C202" i="2"/>
  <c r="X201" i="2"/>
  <c r="V201" i="2"/>
  <c r="R200" i="2" l="1"/>
  <c r="J200" i="2"/>
  <c r="G201" i="2"/>
  <c r="P201" i="2"/>
  <c r="Q201" i="2"/>
  <c r="N201" i="2" s="1"/>
  <c r="F201" i="2"/>
  <c r="E202" i="2"/>
  <c r="O200" i="2"/>
  <c r="L200" i="2"/>
  <c r="M200" i="2" s="1"/>
  <c r="K200" i="2"/>
  <c r="H201" i="2"/>
  <c r="A204" i="2"/>
  <c r="B203" i="2"/>
  <c r="I201" i="2"/>
  <c r="Z202" i="2"/>
  <c r="X202" i="2"/>
  <c r="Y202" i="2"/>
  <c r="W202" i="2"/>
  <c r="C203" i="2"/>
  <c r="V202" i="2"/>
  <c r="U202" i="2"/>
  <c r="D203" i="2"/>
  <c r="T202" i="2"/>
  <c r="S202" i="2"/>
  <c r="R201" i="2" l="1"/>
  <c r="J201" i="2"/>
  <c r="G202" i="2"/>
  <c r="P202" i="2"/>
  <c r="Q202" i="2"/>
  <c r="N202" i="2" s="1"/>
  <c r="F202" i="2"/>
  <c r="E203" i="2"/>
  <c r="K201" i="2"/>
  <c r="O201" i="2"/>
  <c r="L201" i="2"/>
  <c r="M201" i="2" s="1"/>
  <c r="H202" i="2"/>
  <c r="A205" i="2"/>
  <c r="B204" i="2"/>
  <c r="I202" i="2"/>
  <c r="U203" i="2"/>
  <c r="S203" i="2"/>
  <c r="W203" i="2"/>
  <c r="T203" i="2"/>
  <c r="X203" i="2"/>
  <c r="Z203" i="2"/>
  <c r="C204" i="2"/>
  <c r="D204" i="2"/>
  <c r="Y203" i="2"/>
  <c r="V203" i="2"/>
  <c r="R202" i="2" l="1"/>
  <c r="J202" i="2"/>
  <c r="G203" i="2"/>
  <c r="P203" i="2"/>
  <c r="Q203" i="2"/>
  <c r="N203" i="2" s="1"/>
  <c r="F203" i="2"/>
  <c r="E204" i="2"/>
  <c r="K202" i="2"/>
  <c r="L202" i="2"/>
  <c r="M202" i="2" s="1"/>
  <c r="O202" i="2"/>
  <c r="H203" i="2"/>
  <c r="A206" i="2"/>
  <c r="B205" i="2"/>
  <c r="I203" i="2"/>
  <c r="Y204" i="2"/>
  <c r="T204" i="2"/>
  <c r="V204" i="2"/>
  <c r="U204" i="2"/>
  <c r="I204" i="2"/>
  <c r="W204" i="2"/>
  <c r="C205" i="2"/>
  <c r="D205" i="2"/>
  <c r="Z204" i="2"/>
  <c r="S204" i="2"/>
  <c r="X204" i="2"/>
  <c r="R203" i="2" l="1"/>
  <c r="J203" i="2"/>
  <c r="G204" i="2"/>
  <c r="P204" i="2"/>
  <c r="Q204" i="2"/>
  <c r="N204" i="2" s="1"/>
  <c r="F204" i="2"/>
  <c r="E205" i="2"/>
  <c r="O203" i="2"/>
  <c r="K203" i="2"/>
  <c r="L203" i="2"/>
  <c r="M203" i="2" s="1"/>
  <c r="H204" i="2"/>
  <c r="A207" i="2"/>
  <c r="B206" i="2"/>
  <c r="C206" i="2"/>
  <c r="X205" i="2"/>
  <c r="T205" i="2"/>
  <c r="U205" i="2"/>
  <c r="V205" i="2"/>
  <c r="S205" i="2"/>
  <c r="D206" i="2"/>
  <c r="Z205" i="2"/>
  <c r="Y205" i="2"/>
  <c r="W205" i="2"/>
  <c r="R204" i="2" l="1"/>
  <c r="J204" i="2"/>
  <c r="G205" i="2"/>
  <c r="P205" i="2"/>
  <c r="Q205" i="2"/>
  <c r="N205" i="2" s="1"/>
  <c r="F205" i="2"/>
  <c r="E206" i="2"/>
  <c r="L204" i="2"/>
  <c r="M204" i="2" s="1"/>
  <c r="K204" i="2"/>
  <c r="O204" i="2"/>
  <c r="H205" i="2"/>
  <c r="A208" i="2"/>
  <c r="B207" i="2"/>
  <c r="I205" i="2"/>
  <c r="W206" i="2"/>
  <c r="Y206" i="2"/>
  <c r="D207" i="2"/>
  <c r="C207" i="2"/>
  <c r="X206" i="2"/>
  <c r="U206" i="2"/>
  <c r="V206" i="2"/>
  <c r="Z206" i="2"/>
  <c r="S206" i="2"/>
  <c r="T206" i="2"/>
  <c r="R205" i="2" l="1"/>
  <c r="J205" i="2"/>
  <c r="G206" i="2"/>
  <c r="P206" i="2"/>
  <c r="Q206" i="2"/>
  <c r="N206" i="2" s="1"/>
  <c r="F206" i="2"/>
  <c r="E207" i="2"/>
  <c r="O205" i="2"/>
  <c r="K205" i="2"/>
  <c r="L205" i="2"/>
  <c r="M205" i="2" s="1"/>
  <c r="H206" i="2"/>
  <c r="A209" i="2"/>
  <c r="B208" i="2"/>
  <c r="I206" i="2"/>
  <c r="Z207" i="2"/>
  <c r="Y207" i="2"/>
  <c r="U207" i="2"/>
  <c r="T207" i="2"/>
  <c r="D208" i="2"/>
  <c r="X207" i="2"/>
  <c r="V207" i="2"/>
  <c r="C208" i="2"/>
  <c r="S207" i="2"/>
  <c r="W207" i="2"/>
  <c r="R206" i="2" l="1"/>
  <c r="J206" i="2"/>
  <c r="G207" i="2"/>
  <c r="P207" i="2"/>
  <c r="Q207" i="2"/>
  <c r="N207" i="2" s="1"/>
  <c r="F207" i="2"/>
  <c r="E208" i="2"/>
  <c r="O206" i="2"/>
  <c r="L206" i="2"/>
  <c r="M206" i="2" s="1"/>
  <c r="K206" i="2"/>
  <c r="H207" i="2"/>
  <c r="A210" i="2"/>
  <c r="B209" i="2"/>
  <c r="S208" i="2"/>
  <c r="X208" i="2"/>
  <c r="Y208" i="2"/>
  <c r="I207" i="2"/>
  <c r="C209" i="2"/>
  <c r="W208" i="2"/>
  <c r="U208" i="2"/>
  <c r="V208" i="2"/>
  <c r="D209" i="2"/>
  <c r="Z208" i="2"/>
  <c r="T208" i="2"/>
  <c r="R207" i="2" l="1"/>
  <c r="J207" i="2"/>
  <c r="G208" i="2"/>
  <c r="P208" i="2"/>
  <c r="Q208" i="2"/>
  <c r="N208" i="2" s="1"/>
  <c r="F208" i="2"/>
  <c r="E209" i="2"/>
  <c r="L207" i="2"/>
  <c r="M207" i="2" s="1"/>
  <c r="K207" i="2"/>
  <c r="O207" i="2"/>
  <c r="H208" i="2"/>
  <c r="A211" i="2"/>
  <c r="B210" i="2"/>
  <c r="I208" i="2"/>
  <c r="X209" i="2"/>
  <c r="S209" i="2"/>
  <c r="Y209" i="2"/>
  <c r="U209" i="2"/>
  <c r="V209" i="2"/>
  <c r="W209" i="2"/>
  <c r="D210" i="2"/>
  <c r="T209" i="2"/>
  <c r="Z209" i="2"/>
  <c r="C210" i="2"/>
  <c r="R208" i="2" l="1"/>
  <c r="J208" i="2"/>
  <c r="G209" i="2"/>
  <c r="P209" i="2"/>
  <c r="Q209" i="2"/>
  <c r="N209" i="2" s="1"/>
  <c r="F209" i="2"/>
  <c r="E210" i="2"/>
  <c r="O208" i="2"/>
  <c r="L208" i="2"/>
  <c r="M208" i="2" s="1"/>
  <c r="K208" i="2"/>
  <c r="H209" i="2"/>
  <c r="A212" i="2"/>
  <c r="B211" i="2"/>
  <c r="I209" i="2"/>
  <c r="U210" i="2"/>
  <c r="D211" i="2"/>
  <c r="W210" i="2"/>
  <c r="C211" i="2"/>
  <c r="Y210" i="2"/>
  <c r="X210" i="2"/>
  <c r="V210" i="2"/>
  <c r="Z210" i="2"/>
  <c r="T210" i="2"/>
  <c r="S210" i="2"/>
  <c r="R209" i="2" l="1"/>
  <c r="J209" i="2"/>
  <c r="G210" i="2"/>
  <c r="P210" i="2"/>
  <c r="Q210" i="2"/>
  <c r="N210" i="2" s="1"/>
  <c r="F210" i="2"/>
  <c r="E211" i="2"/>
  <c r="L209" i="2"/>
  <c r="M209" i="2" s="1"/>
  <c r="O209" i="2"/>
  <c r="K209" i="2"/>
  <c r="H210" i="2"/>
  <c r="A213" i="2"/>
  <c r="B212" i="2"/>
  <c r="W211" i="2"/>
  <c r="D212" i="2"/>
  <c r="X211" i="2"/>
  <c r="C212" i="2"/>
  <c r="Z211" i="2"/>
  <c r="I210" i="2"/>
  <c r="V211" i="2"/>
  <c r="S211" i="2"/>
  <c r="Y211" i="2"/>
  <c r="T211" i="2"/>
  <c r="U211" i="2"/>
  <c r="R210" i="2" l="1"/>
  <c r="J210" i="2"/>
  <c r="G211" i="2"/>
  <c r="P211" i="2"/>
  <c r="Q211" i="2"/>
  <c r="N211" i="2" s="1"/>
  <c r="F211" i="2"/>
  <c r="E212" i="2"/>
  <c r="L210" i="2"/>
  <c r="M210" i="2" s="1"/>
  <c r="K210" i="2"/>
  <c r="O210" i="2"/>
  <c r="H211" i="2"/>
  <c r="A214" i="2"/>
  <c r="B213" i="2"/>
  <c r="I211" i="2"/>
  <c r="W212" i="2"/>
  <c r="S212" i="2"/>
  <c r="Z212" i="2"/>
  <c r="T212" i="2"/>
  <c r="U212" i="2"/>
  <c r="X212" i="2"/>
  <c r="C213" i="2"/>
  <c r="V212" i="2"/>
  <c r="Y212" i="2"/>
  <c r="D213" i="2"/>
  <c r="R211" i="2" l="1"/>
  <c r="J211" i="2"/>
  <c r="G212" i="2"/>
  <c r="P212" i="2"/>
  <c r="Q212" i="2"/>
  <c r="N212" i="2" s="1"/>
  <c r="F212" i="2"/>
  <c r="E213" i="2"/>
  <c r="O211" i="2"/>
  <c r="L211" i="2"/>
  <c r="M211" i="2" s="1"/>
  <c r="K211" i="2"/>
  <c r="H212" i="2"/>
  <c r="A215" i="2"/>
  <c r="B214" i="2"/>
  <c r="Y213" i="2"/>
  <c r="T213" i="2"/>
  <c r="W213" i="2"/>
  <c r="X213" i="2"/>
  <c r="D214" i="2"/>
  <c r="Z213" i="2"/>
  <c r="C214" i="2"/>
  <c r="S213" i="2"/>
  <c r="I212" i="2"/>
  <c r="V213" i="2"/>
  <c r="U213" i="2"/>
  <c r="R212" i="2" l="1"/>
  <c r="J212" i="2"/>
  <c r="G213" i="2"/>
  <c r="P213" i="2"/>
  <c r="Q213" i="2"/>
  <c r="N213" i="2" s="1"/>
  <c r="F213" i="2"/>
  <c r="E214" i="2"/>
  <c r="L212" i="2"/>
  <c r="M212" i="2" s="1"/>
  <c r="K212" i="2"/>
  <c r="O212" i="2"/>
  <c r="H213" i="2"/>
  <c r="A216" i="2"/>
  <c r="B215" i="2"/>
  <c r="V214" i="2"/>
  <c r="D215" i="2"/>
  <c r="Y214" i="2"/>
  <c r="Z214" i="2"/>
  <c r="T214" i="2"/>
  <c r="S214" i="2"/>
  <c r="X214" i="2"/>
  <c r="I213" i="2"/>
  <c r="C215" i="2"/>
  <c r="W214" i="2"/>
  <c r="U214" i="2"/>
  <c r="R213" i="2" l="1"/>
  <c r="J213" i="2"/>
  <c r="G214" i="2"/>
  <c r="P214" i="2"/>
  <c r="Q214" i="2"/>
  <c r="N214" i="2" s="1"/>
  <c r="F214" i="2"/>
  <c r="E215" i="2"/>
  <c r="L213" i="2"/>
  <c r="M213" i="2" s="1"/>
  <c r="K213" i="2"/>
  <c r="O213" i="2"/>
  <c r="H214" i="2"/>
  <c r="A217" i="2"/>
  <c r="B216" i="2"/>
  <c r="I214" i="2"/>
  <c r="U215" i="2"/>
  <c r="S215" i="2"/>
  <c r="W215" i="2"/>
  <c r="T215" i="2"/>
  <c r="X215" i="2"/>
  <c r="Z215" i="2"/>
  <c r="C216" i="2"/>
  <c r="V215" i="2"/>
  <c r="D216" i="2"/>
  <c r="Y215" i="2"/>
  <c r="R214" i="2" l="1"/>
  <c r="J214" i="2"/>
  <c r="G215" i="2"/>
  <c r="P215" i="2"/>
  <c r="Q215" i="2"/>
  <c r="N215" i="2" s="1"/>
  <c r="F215" i="2"/>
  <c r="E216" i="2"/>
  <c r="O214" i="2"/>
  <c r="K214" i="2"/>
  <c r="L214" i="2"/>
  <c r="M214" i="2" s="1"/>
  <c r="H215" i="2"/>
  <c r="A218" i="2"/>
  <c r="B217" i="2"/>
  <c r="I215" i="2"/>
  <c r="V216" i="2"/>
  <c r="U216" i="2"/>
  <c r="T216" i="2"/>
  <c r="Y216" i="2"/>
  <c r="S216" i="2"/>
  <c r="X216" i="2"/>
  <c r="D217" i="2"/>
  <c r="Z216" i="2"/>
  <c r="W216" i="2"/>
  <c r="C217" i="2"/>
  <c r="R215" i="2" l="1"/>
  <c r="J215" i="2"/>
  <c r="G216" i="2"/>
  <c r="P216" i="2"/>
  <c r="Q216" i="2"/>
  <c r="N216" i="2" s="1"/>
  <c r="F216" i="2"/>
  <c r="E217" i="2"/>
  <c r="L215" i="2"/>
  <c r="M215" i="2" s="1"/>
  <c r="K215" i="2"/>
  <c r="O215" i="2"/>
  <c r="H216" i="2"/>
  <c r="A219" i="2"/>
  <c r="B218" i="2"/>
  <c r="I216" i="2"/>
  <c r="X217" i="2"/>
  <c r="S217" i="2"/>
  <c r="U217" i="2"/>
  <c r="Y217" i="2"/>
  <c r="V217" i="2"/>
  <c r="W217" i="2"/>
  <c r="D218" i="2"/>
  <c r="T217" i="2"/>
  <c r="Z217" i="2"/>
  <c r="C218" i="2"/>
  <c r="R216" i="2" l="1"/>
  <c r="J216" i="2"/>
  <c r="G217" i="2"/>
  <c r="P217" i="2"/>
  <c r="Q217" i="2"/>
  <c r="N217" i="2" s="1"/>
  <c r="F217" i="2"/>
  <c r="E218" i="2"/>
  <c r="O216" i="2"/>
  <c r="L216" i="2"/>
  <c r="M216" i="2" s="1"/>
  <c r="K216" i="2"/>
  <c r="H217" i="2"/>
  <c r="A220" i="2"/>
  <c r="B219" i="2"/>
  <c r="W218" i="2"/>
  <c r="D219" i="2"/>
  <c r="X218" i="2"/>
  <c r="C219" i="2"/>
  <c r="Y218" i="2"/>
  <c r="I217" i="2"/>
  <c r="U218" i="2"/>
  <c r="S218" i="2"/>
  <c r="Z218" i="2"/>
  <c r="T218" i="2"/>
  <c r="V218" i="2"/>
  <c r="R217" i="2" l="1"/>
  <c r="J217" i="2"/>
  <c r="G218" i="2"/>
  <c r="P218" i="2"/>
  <c r="Q218" i="2"/>
  <c r="N218" i="2" s="1"/>
  <c r="F218" i="2"/>
  <c r="E219" i="2"/>
  <c r="K217" i="2"/>
  <c r="L217" i="2"/>
  <c r="M217" i="2" s="1"/>
  <c r="O217" i="2"/>
  <c r="H218" i="2"/>
  <c r="A221" i="2"/>
  <c r="B220" i="2"/>
  <c r="W219" i="2"/>
  <c r="T219" i="2"/>
  <c r="X219" i="2"/>
  <c r="Z219" i="2"/>
  <c r="D220" i="2"/>
  <c r="V219" i="2"/>
  <c r="C220" i="2"/>
  <c r="Y219" i="2"/>
  <c r="I218" i="2"/>
  <c r="U219" i="2"/>
  <c r="S219" i="2"/>
  <c r="R218" i="2" l="1"/>
  <c r="J218" i="2"/>
  <c r="G219" i="2"/>
  <c r="P219" i="2"/>
  <c r="Q219" i="2"/>
  <c r="N219" i="2" s="1"/>
  <c r="F219" i="2"/>
  <c r="E220" i="2"/>
  <c r="K218" i="2"/>
  <c r="L218" i="2"/>
  <c r="M218" i="2" s="1"/>
  <c r="O218" i="2"/>
  <c r="H219" i="2"/>
  <c r="A222" i="2"/>
  <c r="B221" i="2"/>
  <c r="W220" i="2"/>
  <c r="X220" i="2"/>
  <c r="C221" i="2"/>
  <c r="Z220" i="2"/>
  <c r="T220" i="2"/>
  <c r="V220" i="2"/>
  <c r="I219" i="2"/>
  <c r="U220" i="2"/>
  <c r="D221" i="2"/>
  <c r="Y220" i="2"/>
  <c r="S220" i="2"/>
  <c r="R219" i="2" l="1"/>
  <c r="J219" i="2"/>
  <c r="G220" i="2"/>
  <c r="P220" i="2"/>
  <c r="Q220" i="2"/>
  <c r="N220" i="2" s="1"/>
  <c r="F220" i="2"/>
  <c r="E221" i="2"/>
  <c r="O219" i="2"/>
  <c r="K219" i="2"/>
  <c r="L219" i="2"/>
  <c r="M219" i="2" s="1"/>
  <c r="H220" i="2"/>
  <c r="A223" i="2"/>
  <c r="B222" i="2"/>
  <c r="I220" i="2"/>
  <c r="V221" i="2"/>
  <c r="S221" i="2"/>
  <c r="Y221" i="2"/>
  <c r="T221" i="2"/>
  <c r="U221" i="2"/>
  <c r="X221" i="2"/>
  <c r="D222" i="2"/>
  <c r="W221" i="2"/>
  <c r="C222" i="2"/>
  <c r="Z221" i="2"/>
  <c r="R220" i="2" l="1"/>
  <c r="J220" i="2"/>
  <c r="G221" i="2"/>
  <c r="P221" i="2"/>
  <c r="Q221" i="2"/>
  <c r="N221" i="2" s="1"/>
  <c r="F221" i="2"/>
  <c r="E222" i="2"/>
  <c r="L220" i="2"/>
  <c r="M220" i="2" s="1"/>
  <c r="K220" i="2"/>
  <c r="O220" i="2"/>
  <c r="H221" i="2"/>
  <c r="A224" i="2"/>
  <c r="B223" i="2"/>
  <c r="I221" i="2"/>
  <c r="U222" i="2"/>
  <c r="V222" i="2"/>
  <c r="Z222" i="2"/>
  <c r="T222" i="2"/>
  <c r="W222" i="2"/>
  <c r="X222" i="2"/>
  <c r="D223" i="2"/>
  <c r="Y222" i="2"/>
  <c r="C223" i="2"/>
  <c r="S222" i="2"/>
  <c r="R221" i="2" l="1"/>
  <c r="J221" i="2"/>
  <c r="G222" i="2"/>
  <c r="P222" i="2"/>
  <c r="Q222" i="2"/>
  <c r="N222" i="2" s="1"/>
  <c r="F222" i="2"/>
  <c r="E223" i="2"/>
  <c r="O221" i="2"/>
  <c r="K221" i="2"/>
  <c r="L221" i="2"/>
  <c r="M221" i="2" s="1"/>
  <c r="H222" i="2"/>
  <c r="A225" i="2"/>
  <c r="B224" i="2"/>
  <c r="Z223" i="2"/>
  <c r="W223" i="2"/>
  <c r="T223" i="2"/>
  <c r="C224" i="2"/>
  <c r="U223" i="2"/>
  <c r="I222" i="2"/>
  <c r="Y223" i="2"/>
  <c r="S223" i="2"/>
  <c r="V223" i="2"/>
  <c r="X223" i="2"/>
  <c r="D224" i="2"/>
  <c r="R222" i="2" l="1"/>
  <c r="J222" i="2"/>
  <c r="G223" i="2"/>
  <c r="P223" i="2"/>
  <c r="Q223" i="2"/>
  <c r="N223" i="2" s="1"/>
  <c r="F223" i="2"/>
  <c r="E224" i="2"/>
  <c r="O222" i="2"/>
  <c r="L222" i="2"/>
  <c r="M222" i="2" s="1"/>
  <c r="K222" i="2"/>
  <c r="H223" i="2"/>
  <c r="A226" i="2"/>
  <c r="B225" i="2"/>
  <c r="I223" i="2"/>
  <c r="V224" i="2"/>
  <c r="S224" i="2"/>
  <c r="Y224" i="2"/>
  <c r="T224" i="2"/>
  <c r="U224" i="2"/>
  <c r="C225" i="2"/>
  <c r="W224" i="2"/>
  <c r="D225" i="2"/>
  <c r="Z224" i="2"/>
  <c r="X224" i="2"/>
  <c r="R223" i="2" l="1"/>
  <c r="J223" i="2"/>
  <c r="G224" i="2"/>
  <c r="P224" i="2"/>
  <c r="Q224" i="2"/>
  <c r="N224" i="2" s="1"/>
  <c r="F224" i="2"/>
  <c r="E225" i="2"/>
  <c r="L223" i="2"/>
  <c r="M223" i="2" s="1"/>
  <c r="K223" i="2"/>
  <c r="O223" i="2"/>
  <c r="H224" i="2"/>
  <c r="A227" i="2"/>
  <c r="B226" i="2"/>
  <c r="I224" i="2"/>
  <c r="V225" i="2"/>
  <c r="S225" i="2"/>
  <c r="D226" i="2"/>
  <c r="W225" i="2"/>
  <c r="T225" i="2"/>
  <c r="C226" i="2"/>
  <c r="U225" i="2"/>
  <c r="X225" i="2"/>
  <c r="Y225" i="2"/>
  <c r="Z225" i="2"/>
  <c r="R224" i="2" l="1"/>
  <c r="J224" i="2"/>
  <c r="G225" i="2"/>
  <c r="P225" i="2"/>
  <c r="Q225" i="2"/>
  <c r="N225" i="2" s="1"/>
  <c r="F225" i="2"/>
  <c r="E226" i="2"/>
  <c r="L224" i="2"/>
  <c r="M224" i="2" s="1"/>
  <c r="O224" i="2"/>
  <c r="K224" i="2"/>
  <c r="H225" i="2"/>
  <c r="A228" i="2"/>
  <c r="B227" i="2"/>
  <c r="X226" i="2"/>
  <c r="S226" i="2"/>
  <c r="W226" i="2"/>
  <c r="V226" i="2"/>
  <c r="D227" i="2"/>
  <c r="Z226" i="2"/>
  <c r="C227" i="2"/>
  <c r="U226" i="2"/>
  <c r="I225" i="2"/>
  <c r="T226" i="2"/>
  <c r="Y226" i="2"/>
  <c r="R225" i="2" l="1"/>
  <c r="J225" i="2"/>
  <c r="G226" i="2"/>
  <c r="P226" i="2"/>
  <c r="Q226" i="2"/>
  <c r="N226" i="2" s="1"/>
  <c r="F226" i="2"/>
  <c r="E227" i="2"/>
  <c r="O225" i="2"/>
  <c r="L225" i="2"/>
  <c r="M225" i="2" s="1"/>
  <c r="K225" i="2"/>
  <c r="H226" i="2"/>
  <c r="A229" i="2"/>
  <c r="B228" i="2"/>
  <c r="I226" i="2"/>
  <c r="C228" i="2"/>
  <c r="Y227" i="2"/>
  <c r="X227" i="2"/>
  <c r="D228" i="2"/>
  <c r="W227" i="2"/>
  <c r="V227" i="2"/>
  <c r="S227" i="2"/>
  <c r="Z227" i="2"/>
  <c r="T227" i="2"/>
  <c r="U227" i="2"/>
  <c r="R226" i="2" l="1"/>
  <c r="J226" i="2"/>
  <c r="G227" i="2"/>
  <c r="P227" i="2"/>
  <c r="Q227" i="2"/>
  <c r="N227" i="2" s="1"/>
  <c r="F227" i="2"/>
  <c r="E228" i="2"/>
  <c r="O226" i="2"/>
  <c r="L226" i="2"/>
  <c r="M226" i="2" s="1"/>
  <c r="K226" i="2"/>
  <c r="H227" i="2"/>
  <c r="A230" i="2"/>
  <c r="B229" i="2"/>
  <c r="X228" i="2"/>
  <c r="C229" i="2"/>
  <c r="W228" i="2"/>
  <c r="D229" i="2"/>
  <c r="Z228" i="2"/>
  <c r="I227" i="2"/>
  <c r="V228" i="2"/>
  <c r="S228" i="2"/>
  <c r="Y228" i="2"/>
  <c r="T228" i="2"/>
  <c r="U228" i="2"/>
  <c r="R227" i="2" l="1"/>
  <c r="J227" i="2"/>
  <c r="G228" i="2"/>
  <c r="P228" i="2"/>
  <c r="Q228" i="2"/>
  <c r="N228" i="2" s="1"/>
  <c r="F228" i="2"/>
  <c r="E229" i="2"/>
  <c r="L227" i="2"/>
  <c r="M227" i="2" s="1"/>
  <c r="K227" i="2"/>
  <c r="O227" i="2"/>
  <c r="H228" i="2"/>
  <c r="A231" i="2"/>
  <c r="B230" i="2"/>
  <c r="X229" i="2"/>
  <c r="D230" i="2"/>
  <c r="Y229" i="2"/>
  <c r="C230" i="2"/>
  <c r="S229" i="2"/>
  <c r="I228" i="2"/>
  <c r="U229" i="2"/>
  <c r="V229" i="2"/>
  <c r="Z229" i="2"/>
  <c r="T229" i="2"/>
  <c r="W229" i="2"/>
  <c r="R228" i="2" l="1"/>
  <c r="J228" i="2"/>
  <c r="G229" i="2"/>
  <c r="P229" i="2"/>
  <c r="Q229" i="2"/>
  <c r="N229" i="2" s="1"/>
  <c r="F229" i="2"/>
  <c r="E230" i="2"/>
  <c r="L228" i="2"/>
  <c r="M228" i="2" s="1"/>
  <c r="O228" i="2"/>
  <c r="K228" i="2"/>
  <c r="H229" i="2"/>
  <c r="A232" i="2"/>
  <c r="B231" i="2"/>
  <c r="I229" i="2"/>
  <c r="C231" i="2"/>
  <c r="Z230" i="2"/>
  <c r="S230" i="2"/>
  <c r="U230" i="2"/>
  <c r="X230" i="2"/>
  <c r="W230" i="2"/>
  <c r="V230" i="2"/>
  <c r="Y230" i="2"/>
  <c r="T230" i="2"/>
  <c r="D231" i="2"/>
  <c r="R229" i="2" l="1"/>
  <c r="J229" i="2"/>
  <c r="G230" i="2"/>
  <c r="P230" i="2"/>
  <c r="Q230" i="2"/>
  <c r="N230" i="2" s="1"/>
  <c r="F230" i="2"/>
  <c r="E231" i="2"/>
  <c r="L229" i="2"/>
  <c r="M229" i="2" s="1"/>
  <c r="K229" i="2"/>
  <c r="O229" i="2"/>
  <c r="H230" i="2"/>
  <c r="A233" i="2"/>
  <c r="B232" i="2"/>
  <c r="I230" i="2"/>
  <c r="Y231" i="2"/>
  <c r="T231" i="2"/>
  <c r="V231" i="2"/>
  <c r="S231" i="2"/>
  <c r="Z231" i="2"/>
  <c r="X231" i="2"/>
  <c r="C232" i="2"/>
  <c r="W231" i="2"/>
  <c r="D232" i="2"/>
  <c r="U231" i="2"/>
  <c r="I231" i="2"/>
  <c r="A69" i="3" l="1"/>
  <c r="B69" i="3"/>
  <c r="A70" i="3"/>
  <c r="C69" i="3"/>
  <c r="A74" i="3"/>
  <c r="A73" i="3"/>
  <c r="B74" i="3"/>
  <c r="D69" i="3"/>
  <c r="B70" i="3"/>
  <c r="A71" i="3"/>
  <c r="A75" i="3"/>
  <c r="A72" i="3"/>
  <c r="B71" i="3"/>
  <c r="C74" i="3"/>
  <c r="E69" i="3"/>
  <c r="B73" i="3"/>
  <c r="B75" i="3"/>
  <c r="C70" i="3"/>
  <c r="B72" i="3"/>
  <c r="D74" i="3"/>
  <c r="C71" i="3"/>
  <c r="D70" i="3"/>
  <c r="C73" i="3"/>
  <c r="C75" i="3"/>
  <c r="F69" i="3"/>
  <c r="D71" i="3"/>
  <c r="D73" i="3"/>
  <c r="D75" i="3"/>
  <c r="E70" i="3"/>
  <c r="E74" i="3"/>
  <c r="G69" i="3"/>
  <c r="C72" i="3"/>
  <c r="E73" i="3"/>
  <c r="F70" i="3"/>
  <c r="F74" i="3"/>
  <c r="A79" i="3"/>
  <c r="D72" i="3"/>
  <c r="E71" i="3"/>
  <c r="E75" i="3"/>
  <c r="F73" i="3"/>
  <c r="F71" i="3"/>
  <c r="G74" i="3"/>
  <c r="B79" i="3"/>
  <c r="G70" i="3"/>
  <c r="E72" i="3"/>
  <c r="F75" i="3"/>
  <c r="G73" i="3"/>
  <c r="F72" i="3"/>
  <c r="G75" i="3"/>
  <c r="A80" i="3"/>
  <c r="G71" i="3"/>
  <c r="A84" i="3"/>
  <c r="C79" i="3"/>
  <c r="A83" i="3"/>
  <c r="G72" i="3"/>
  <c r="A85" i="3"/>
  <c r="B80" i="3"/>
  <c r="A81" i="3"/>
  <c r="B84" i="3"/>
  <c r="D79" i="3"/>
  <c r="A82" i="3"/>
  <c r="B81" i="3"/>
  <c r="C84" i="3"/>
  <c r="E79" i="3"/>
  <c r="C80" i="3"/>
  <c r="B83" i="3"/>
  <c r="B85" i="3"/>
  <c r="B82" i="3"/>
  <c r="C85" i="3"/>
  <c r="C83" i="3"/>
  <c r="C81" i="3"/>
  <c r="D84" i="3"/>
  <c r="D80" i="3"/>
  <c r="F79" i="3"/>
  <c r="C82" i="3"/>
  <c r="D85" i="3"/>
  <c r="D81" i="3"/>
  <c r="E80" i="3"/>
  <c r="D83" i="3"/>
  <c r="G79" i="3"/>
  <c r="E84" i="3"/>
  <c r="D82" i="3"/>
  <c r="F84" i="3"/>
  <c r="E81" i="3"/>
  <c r="E82" i="3"/>
  <c r="E85" i="3"/>
  <c r="A89" i="3"/>
  <c r="F80" i="3"/>
  <c r="E83" i="3"/>
  <c r="G80" i="3"/>
  <c r="F83" i="3"/>
  <c r="F85" i="3"/>
  <c r="F81" i="3"/>
  <c r="G84" i="3"/>
  <c r="B89" i="3"/>
  <c r="G83" i="3"/>
  <c r="F82" i="3"/>
  <c r="G85" i="3"/>
  <c r="A90" i="3"/>
  <c r="A94" i="3"/>
  <c r="C89" i="3"/>
  <c r="G81" i="3"/>
  <c r="G82" i="3"/>
  <c r="A95" i="3"/>
  <c r="A91" i="3"/>
  <c r="B91" i="3"/>
  <c r="B94" i="3"/>
  <c r="A93" i="3"/>
  <c r="D89" i="3"/>
  <c r="B90" i="3"/>
  <c r="B93" i="3"/>
  <c r="C94" i="3"/>
  <c r="E89" i="3"/>
  <c r="C90" i="3"/>
  <c r="A92" i="3"/>
  <c r="B95" i="3"/>
  <c r="B92" i="3"/>
  <c r="D94" i="3"/>
  <c r="C93" i="3"/>
  <c r="C91" i="3"/>
  <c r="C92" i="3"/>
  <c r="C95" i="3"/>
  <c r="D90" i="3"/>
  <c r="F89" i="3"/>
  <c r="D93" i="3"/>
  <c r="E94" i="3"/>
  <c r="D91" i="3"/>
  <c r="D95" i="3"/>
  <c r="E90" i="3"/>
  <c r="G89" i="3"/>
  <c r="F90" i="3"/>
  <c r="D92" i="3"/>
  <c r="F94" i="3"/>
  <c r="A99" i="3"/>
  <c r="E91" i="3"/>
  <c r="E93" i="3"/>
  <c r="E95" i="3"/>
  <c r="E92" i="3"/>
  <c r="G90" i="3"/>
  <c r="F93" i="3"/>
  <c r="F95" i="3"/>
  <c r="F91" i="3"/>
  <c r="G94" i="3"/>
  <c r="B99" i="3"/>
  <c r="G93" i="3"/>
  <c r="F92" i="3"/>
  <c r="A104" i="3"/>
  <c r="C99" i="3"/>
  <c r="G95" i="3"/>
  <c r="G91" i="3"/>
  <c r="A100" i="3"/>
  <c r="G92" i="3"/>
  <c r="A105" i="3"/>
  <c r="B100" i="3"/>
  <c r="D99" i="3"/>
  <c r="B104" i="3"/>
  <c r="A103" i="3"/>
  <c r="A101" i="3"/>
  <c r="A102" i="3"/>
  <c r="B105" i="3"/>
  <c r="B101" i="3"/>
  <c r="C100" i="3"/>
  <c r="B103" i="3"/>
  <c r="C104" i="3"/>
  <c r="E99" i="3"/>
  <c r="D104" i="3"/>
  <c r="B102" i="3"/>
  <c r="D100" i="3"/>
  <c r="F99" i="3"/>
  <c r="C105" i="3"/>
  <c r="C103" i="3"/>
  <c r="C101" i="3"/>
  <c r="D103" i="3"/>
  <c r="D105" i="3"/>
  <c r="E100" i="3"/>
  <c r="G99" i="3"/>
  <c r="E104" i="3"/>
  <c r="C102" i="3"/>
  <c r="D101" i="3"/>
  <c r="D102" i="3"/>
  <c r="F100" i="3"/>
  <c r="E103" i="3"/>
  <c r="E105" i="3"/>
  <c r="E102" i="3"/>
  <c r="E101" i="3"/>
  <c r="F104" i="3"/>
  <c r="A109" i="3"/>
  <c r="F103" i="3"/>
  <c r="F105" i="3"/>
  <c r="F101" i="3"/>
  <c r="F102" i="3"/>
  <c r="G104" i="3"/>
  <c r="G100" i="3"/>
  <c r="B109" i="3"/>
  <c r="G103" i="3"/>
  <c r="G105" i="3"/>
  <c r="G101" i="3"/>
  <c r="A114" i="3"/>
  <c r="A110" i="3"/>
  <c r="C109" i="3"/>
  <c r="G102" i="3"/>
  <c r="A111" i="3"/>
  <c r="B114" i="3"/>
  <c r="D109" i="3"/>
  <c r="B110" i="3"/>
  <c r="A113" i="3"/>
  <c r="A115" i="3"/>
  <c r="A112" i="3"/>
  <c r="C110" i="3"/>
  <c r="B113" i="3"/>
  <c r="B115" i="3"/>
  <c r="B111" i="3"/>
  <c r="C114" i="3"/>
  <c r="E109" i="3"/>
  <c r="C113" i="3"/>
  <c r="B112" i="3"/>
  <c r="C115" i="3"/>
  <c r="D110" i="3"/>
  <c r="C111" i="3"/>
  <c r="D114" i="3"/>
  <c r="F109" i="3"/>
  <c r="C112" i="3"/>
  <c r="D115" i="3"/>
  <c r="D111" i="3"/>
  <c r="E110" i="3"/>
  <c r="E114" i="3"/>
  <c r="D113" i="3"/>
  <c r="G109" i="3"/>
  <c r="F114" i="3"/>
  <c r="E113" i="3"/>
  <c r="F110" i="3"/>
  <c r="A119" i="3"/>
  <c r="E115" i="3"/>
  <c r="D112" i="3"/>
  <c r="E111" i="3"/>
  <c r="E112" i="3"/>
  <c r="G114" i="3"/>
  <c r="G110" i="3"/>
  <c r="B119" i="3"/>
  <c r="F113" i="3"/>
  <c r="F115" i="3"/>
  <c r="F111" i="3"/>
  <c r="F112" i="3"/>
  <c r="G113" i="3"/>
  <c r="G111" i="3"/>
  <c r="G115" i="3"/>
  <c r="A120" i="3"/>
  <c r="A124" i="3"/>
  <c r="A121" i="3"/>
  <c r="G112" i="3"/>
  <c r="B124" i="3"/>
  <c r="B120" i="3"/>
  <c r="A123" i="3"/>
  <c r="A125" i="3"/>
  <c r="B125" i="3"/>
  <c r="A122" i="3"/>
  <c r="B122" i="3"/>
  <c r="B123" i="3"/>
  <c r="B121" i="3"/>
  <c r="R230" i="2"/>
  <c r="J230" i="2"/>
  <c r="G40" i="3"/>
  <c r="G36" i="3"/>
  <c r="G39" i="3"/>
  <c r="G35" i="3"/>
  <c r="G38" i="3"/>
  <c r="G34" i="3"/>
  <c r="G37" i="3"/>
  <c r="A48" i="3"/>
  <c r="A44" i="3"/>
  <c r="A47" i="3"/>
  <c r="A50" i="3"/>
  <c r="A46" i="3"/>
  <c r="A49" i="3"/>
  <c r="A45" i="3"/>
  <c r="B47" i="3"/>
  <c r="B50" i="3"/>
  <c r="B46" i="3"/>
  <c r="B49" i="3"/>
  <c r="B45" i="3"/>
  <c r="B48" i="3"/>
  <c r="B44" i="3"/>
  <c r="C48" i="3"/>
  <c r="C44" i="3"/>
  <c r="C47" i="3"/>
  <c r="C46" i="3"/>
  <c r="C49" i="3"/>
  <c r="C45" i="3"/>
  <c r="C50" i="3"/>
  <c r="D47" i="3"/>
  <c r="D50" i="3"/>
  <c r="D46" i="3"/>
  <c r="D49" i="3"/>
  <c r="D45" i="3"/>
  <c r="D48" i="3"/>
  <c r="D44" i="3"/>
  <c r="E48" i="3"/>
  <c r="E44" i="3"/>
  <c r="E47" i="3"/>
  <c r="E50" i="3"/>
  <c r="E46" i="3"/>
  <c r="E49" i="3"/>
  <c r="E45" i="3"/>
  <c r="F47" i="3"/>
  <c r="F50" i="3"/>
  <c r="F46" i="3"/>
  <c r="F49" i="3"/>
  <c r="F45" i="3"/>
  <c r="F48" i="3"/>
  <c r="F44" i="3"/>
  <c r="G48" i="3"/>
  <c r="G44" i="3"/>
  <c r="G47" i="3"/>
  <c r="G50" i="3"/>
  <c r="G46" i="3"/>
  <c r="G49" i="3"/>
  <c r="G45" i="3"/>
  <c r="A59" i="3"/>
  <c r="A57" i="3"/>
  <c r="A55" i="3"/>
  <c r="A60" i="3"/>
  <c r="A58" i="3"/>
  <c r="A56" i="3"/>
  <c r="A54" i="3"/>
  <c r="B59" i="3"/>
  <c r="B57" i="3"/>
  <c r="B55" i="3"/>
  <c r="B60" i="3"/>
  <c r="B56" i="3"/>
  <c r="B54" i="3"/>
  <c r="B58" i="3"/>
  <c r="F37" i="3"/>
  <c r="F40" i="3"/>
  <c r="F36" i="3"/>
  <c r="F39" i="3"/>
  <c r="F35" i="3"/>
  <c r="F38" i="3"/>
  <c r="F34" i="3"/>
  <c r="G231" i="2"/>
  <c r="P231" i="2"/>
  <c r="Q231" i="2"/>
  <c r="N231" i="2" s="1"/>
  <c r="F231" i="2"/>
  <c r="A6" i="3"/>
  <c r="A10" i="3"/>
  <c r="A5" i="3"/>
  <c r="A7" i="3"/>
  <c r="A4" i="3"/>
  <c r="B5" i="3"/>
  <c r="B6" i="3"/>
  <c r="B7" i="3"/>
  <c r="B4" i="3"/>
  <c r="C5" i="3"/>
  <c r="C7" i="3"/>
  <c r="C4" i="3"/>
  <c r="A9" i="3"/>
  <c r="A8" i="3"/>
  <c r="C6" i="3"/>
  <c r="D4" i="3"/>
  <c r="D5" i="3"/>
  <c r="D6" i="3"/>
  <c r="D7" i="3"/>
  <c r="E6" i="3"/>
  <c r="E5" i="3"/>
  <c r="E7" i="3"/>
  <c r="E4" i="3"/>
  <c r="F4" i="3"/>
  <c r="F5" i="3"/>
  <c r="F6" i="3"/>
  <c r="F7" i="3"/>
  <c r="G5" i="3"/>
  <c r="G7" i="3"/>
  <c r="G4" i="3"/>
  <c r="B9" i="3"/>
  <c r="G6" i="3"/>
  <c r="A17" i="3"/>
  <c r="A14" i="3"/>
  <c r="B8" i="3"/>
  <c r="A15" i="3"/>
  <c r="A16" i="3"/>
  <c r="B17" i="3"/>
  <c r="B14" i="3"/>
  <c r="B10" i="3"/>
  <c r="D9" i="3"/>
  <c r="C10" i="3"/>
  <c r="C9" i="3"/>
  <c r="B15" i="3"/>
  <c r="B16" i="3"/>
  <c r="C17" i="3"/>
  <c r="C14" i="3"/>
  <c r="C8" i="3"/>
  <c r="D8" i="3"/>
  <c r="C16" i="3"/>
  <c r="C15" i="3"/>
  <c r="D10" i="3"/>
  <c r="E9" i="3"/>
  <c r="D14" i="3"/>
  <c r="F9" i="3"/>
  <c r="D15" i="3"/>
  <c r="D16" i="3"/>
  <c r="E10" i="3"/>
  <c r="E8" i="3"/>
  <c r="E17" i="3"/>
  <c r="E14" i="3"/>
  <c r="G9" i="3"/>
  <c r="E15" i="3"/>
  <c r="E16" i="3"/>
  <c r="F10" i="3"/>
  <c r="F8" i="3"/>
  <c r="F17" i="3"/>
  <c r="F14" i="3"/>
  <c r="A19" i="3"/>
  <c r="G10" i="3"/>
  <c r="G8" i="3"/>
  <c r="F15" i="3"/>
  <c r="F16" i="3"/>
  <c r="G17" i="3"/>
  <c r="G14" i="3"/>
  <c r="B19" i="3"/>
  <c r="A20" i="3"/>
  <c r="A18" i="3"/>
  <c r="G15" i="3"/>
  <c r="G16" i="3"/>
  <c r="A27" i="3"/>
  <c r="A30" i="3"/>
  <c r="A24" i="3"/>
  <c r="B20" i="3"/>
  <c r="B18" i="3"/>
  <c r="C19" i="3"/>
  <c r="A29" i="3"/>
  <c r="A25" i="3"/>
  <c r="A28" i="3"/>
  <c r="A26" i="3"/>
  <c r="B28" i="3"/>
  <c r="B24" i="3"/>
  <c r="B25" i="3"/>
  <c r="C20" i="3"/>
  <c r="C18" i="3"/>
  <c r="B30" i="3"/>
  <c r="B26" i="3"/>
  <c r="B29" i="3"/>
  <c r="B27" i="3"/>
  <c r="D19" i="3"/>
  <c r="C27" i="3"/>
  <c r="C30" i="3"/>
  <c r="C28" i="3"/>
  <c r="C29" i="3"/>
  <c r="C25" i="3"/>
  <c r="C26" i="3"/>
  <c r="C24" i="3"/>
  <c r="E19" i="3"/>
  <c r="D20" i="3"/>
  <c r="D18" i="3"/>
  <c r="D28" i="3"/>
  <c r="D24" i="3"/>
  <c r="D27" i="3"/>
  <c r="E20" i="3"/>
  <c r="D30" i="3"/>
  <c r="D26" i="3"/>
  <c r="D29" i="3"/>
  <c r="D25" i="3"/>
  <c r="F19" i="3"/>
  <c r="E18" i="3"/>
  <c r="E27" i="3"/>
  <c r="E30" i="3"/>
  <c r="E24" i="3"/>
  <c r="F20" i="3"/>
  <c r="F18" i="3"/>
  <c r="G19" i="3"/>
  <c r="E29" i="3"/>
  <c r="E25" i="3"/>
  <c r="E28" i="3"/>
  <c r="E26" i="3"/>
  <c r="F28" i="3"/>
  <c r="F24" i="3"/>
  <c r="F25" i="3"/>
  <c r="G20" i="3"/>
  <c r="F30" i="3"/>
  <c r="F26" i="3"/>
  <c r="F29" i="3"/>
  <c r="F27" i="3"/>
  <c r="G18" i="3"/>
  <c r="G27" i="3"/>
  <c r="G30" i="3"/>
  <c r="G26" i="3"/>
  <c r="G29" i="3"/>
  <c r="G25" i="3"/>
  <c r="G28" i="3"/>
  <c r="G24" i="3"/>
  <c r="A38" i="3"/>
  <c r="A34" i="3"/>
  <c r="A37" i="3"/>
  <c r="A40" i="3"/>
  <c r="A36" i="3"/>
  <c r="A39" i="3"/>
  <c r="A35" i="3"/>
  <c r="B37" i="3"/>
  <c r="B40" i="3"/>
  <c r="B36" i="3"/>
  <c r="B39" i="3"/>
  <c r="B35" i="3"/>
  <c r="B38" i="3"/>
  <c r="B34" i="3"/>
  <c r="C38" i="3"/>
  <c r="C34" i="3"/>
  <c r="C37" i="3"/>
  <c r="C40" i="3"/>
  <c r="C36" i="3"/>
  <c r="C39" i="3"/>
  <c r="C35" i="3"/>
  <c r="D37" i="3"/>
  <c r="D40" i="3"/>
  <c r="D36" i="3"/>
  <c r="D39" i="3"/>
  <c r="D35" i="3"/>
  <c r="D38" i="3"/>
  <c r="D34" i="3"/>
  <c r="E38" i="3"/>
  <c r="E34" i="3"/>
  <c r="E37" i="3"/>
  <c r="E40" i="3"/>
  <c r="E36" i="3"/>
  <c r="E39" i="3"/>
  <c r="E35" i="3"/>
  <c r="E232" i="2"/>
  <c r="L230" i="2"/>
  <c r="M230" i="2" s="1"/>
  <c r="K230" i="2"/>
  <c r="O230" i="2"/>
  <c r="H231" i="2"/>
  <c r="A234" i="2"/>
  <c r="B233" i="2"/>
  <c r="W232" i="2"/>
  <c r="C233" i="2"/>
  <c r="Y232" i="2"/>
  <c r="S232" i="2"/>
  <c r="T232" i="2"/>
  <c r="Z232" i="2"/>
  <c r="V232" i="2"/>
  <c r="U232" i="2"/>
  <c r="D233" i="2"/>
  <c r="X232" i="2"/>
  <c r="R231" i="2" l="1"/>
  <c r="J231" i="2"/>
  <c r="G232" i="2"/>
  <c r="P232" i="2"/>
  <c r="Q232" i="2"/>
  <c r="N232" i="2" s="1"/>
  <c r="F232" i="2"/>
  <c r="E233" i="2"/>
  <c r="O231" i="2"/>
  <c r="K231" i="2"/>
  <c r="L231" i="2"/>
  <c r="M231" i="2" s="1"/>
  <c r="H232" i="2"/>
  <c r="A235" i="2"/>
  <c r="B234" i="2"/>
  <c r="X233" i="2"/>
  <c r="Y233" i="2"/>
  <c r="D234" i="2"/>
  <c r="C234" i="2"/>
  <c r="T233" i="2"/>
  <c r="I232" i="2"/>
  <c r="W233" i="2"/>
  <c r="V233" i="2"/>
  <c r="Z233" i="2"/>
  <c r="S233" i="2"/>
  <c r="U233" i="2"/>
  <c r="R232" i="2" l="1"/>
  <c r="J232" i="2"/>
  <c r="G233" i="2"/>
  <c r="P233" i="2"/>
  <c r="Q233" i="2"/>
  <c r="N233" i="2" s="1"/>
  <c r="F233" i="2"/>
  <c r="E234" i="2"/>
  <c r="K232" i="2"/>
  <c r="O232" i="2"/>
  <c r="L232" i="2"/>
  <c r="M232" i="2" s="1"/>
  <c r="H233" i="2"/>
  <c r="A236" i="2"/>
  <c r="B235" i="2"/>
  <c r="W234" i="2"/>
  <c r="D235" i="2"/>
  <c r="X234" i="2"/>
  <c r="C235" i="2"/>
  <c r="U234" i="2"/>
  <c r="I233" i="2"/>
  <c r="V234" i="2"/>
  <c r="S234" i="2"/>
  <c r="Y234" i="2"/>
  <c r="Z234" i="2"/>
  <c r="T234" i="2"/>
  <c r="R233" i="2" l="1"/>
  <c r="J233" i="2"/>
  <c r="G234" i="2"/>
  <c r="P234" i="2"/>
  <c r="Q234" i="2"/>
  <c r="N234" i="2" s="1"/>
  <c r="F234" i="2"/>
  <c r="E235" i="2"/>
  <c r="O233" i="2"/>
  <c r="L233" i="2"/>
  <c r="M233" i="2" s="1"/>
  <c r="K233" i="2"/>
  <c r="H234" i="2"/>
  <c r="A237" i="2"/>
  <c r="B236" i="2"/>
  <c r="Y235" i="2"/>
  <c r="Z235" i="2"/>
  <c r="U235" i="2"/>
  <c r="C236" i="2"/>
  <c r="S235" i="2"/>
  <c r="I234" i="2"/>
  <c r="V235" i="2"/>
  <c r="D236" i="2"/>
  <c r="X235" i="2"/>
  <c r="W235" i="2"/>
  <c r="T235" i="2"/>
  <c r="R234" i="2" l="1"/>
  <c r="J234" i="2"/>
  <c r="G235" i="2"/>
  <c r="P235" i="2"/>
  <c r="Q235" i="2"/>
  <c r="N235" i="2" s="1"/>
  <c r="F235" i="2"/>
  <c r="E236" i="2"/>
  <c r="O234" i="2"/>
  <c r="K234" i="2"/>
  <c r="L234" i="2"/>
  <c r="M234" i="2" s="1"/>
  <c r="H235" i="2"/>
  <c r="A238" i="2"/>
  <c r="B237" i="2"/>
  <c r="Z236" i="2"/>
  <c r="C237" i="2"/>
  <c r="D237" i="2"/>
  <c r="X236" i="2"/>
  <c r="Y236" i="2"/>
  <c r="I235" i="2"/>
  <c r="T236" i="2"/>
  <c r="S236" i="2"/>
  <c r="W236" i="2"/>
  <c r="V236" i="2"/>
  <c r="U236" i="2"/>
  <c r="R235" i="2" l="1"/>
  <c r="J235" i="2"/>
  <c r="G236" i="2"/>
  <c r="P236" i="2"/>
  <c r="Q236" i="2"/>
  <c r="N236" i="2" s="1"/>
  <c r="F236" i="2"/>
  <c r="E237" i="2"/>
  <c r="K235" i="2"/>
  <c r="L235" i="2"/>
  <c r="M235" i="2" s="1"/>
  <c r="O235" i="2"/>
  <c r="H236" i="2"/>
  <c r="A239" i="2"/>
  <c r="B238" i="2"/>
  <c r="X237" i="2"/>
  <c r="D238" i="2"/>
  <c r="V237" i="2"/>
  <c r="C238" i="2"/>
  <c r="Y237" i="2"/>
  <c r="I236" i="2"/>
  <c r="U237" i="2"/>
  <c r="S237" i="2"/>
  <c r="Z237" i="2"/>
  <c r="T237" i="2"/>
  <c r="W237" i="2"/>
  <c r="R236" i="2" l="1"/>
  <c r="J236" i="2"/>
  <c r="G237" i="2"/>
  <c r="P237" i="2"/>
  <c r="Q237" i="2"/>
  <c r="N237" i="2" s="1"/>
  <c r="F237" i="2"/>
  <c r="E238" i="2"/>
  <c r="O236" i="2"/>
  <c r="K236" i="2"/>
  <c r="L236" i="2"/>
  <c r="M236" i="2" s="1"/>
  <c r="H237" i="2"/>
  <c r="A240" i="2"/>
  <c r="B239" i="2"/>
  <c r="V238" i="2"/>
  <c r="W238" i="2"/>
  <c r="X238" i="2"/>
  <c r="C239" i="2"/>
  <c r="Y238" i="2"/>
  <c r="I237" i="2"/>
  <c r="Z238" i="2"/>
  <c r="D239" i="2"/>
  <c r="U238" i="2"/>
  <c r="S238" i="2"/>
  <c r="T238" i="2"/>
  <c r="R237" i="2" l="1"/>
  <c r="J237" i="2"/>
  <c r="G238" i="2"/>
  <c r="P238" i="2"/>
  <c r="Q238" i="2"/>
  <c r="N238" i="2" s="1"/>
  <c r="F238" i="2"/>
  <c r="E239" i="2"/>
  <c r="L237" i="2"/>
  <c r="M237" i="2" s="1"/>
  <c r="K237" i="2"/>
  <c r="O237" i="2"/>
  <c r="H238" i="2"/>
  <c r="A241" i="2"/>
  <c r="B240" i="2"/>
  <c r="I238" i="2"/>
  <c r="U239" i="2"/>
  <c r="V239" i="2"/>
  <c r="S239" i="2"/>
  <c r="D240" i="2"/>
  <c r="T239" i="2"/>
  <c r="Y239" i="2"/>
  <c r="Z239" i="2"/>
  <c r="W239" i="2"/>
  <c r="X239" i="2"/>
  <c r="C240" i="2"/>
  <c r="R238" i="2" l="1"/>
  <c r="J238" i="2"/>
  <c r="G239" i="2"/>
  <c r="P239" i="2"/>
  <c r="Q239" i="2"/>
  <c r="N239" i="2" s="1"/>
  <c r="F239" i="2"/>
  <c r="E240" i="2"/>
  <c r="L238" i="2"/>
  <c r="M238" i="2" s="1"/>
  <c r="K238" i="2"/>
  <c r="O238" i="2"/>
  <c r="H239" i="2"/>
  <c r="A242" i="2"/>
  <c r="B241" i="2"/>
  <c r="I239" i="2"/>
  <c r="U240" i="2"/>
  <c r="S240" i="2"/>
  <c r="D241" i="2"/>
  <c r="Y240" i="2"/>
  <c r="X240" i="2"/>
  <c r="Z240" i="2"/>
  <c r="C241" i="2"/>
  <c r="V240" i="2"/>
  <c r="T240" i="2"/>
  <c r="W240" i="2"/>
  <c r="R239" i="2" l="1"/>
  <c r="J239" i="2"/>
  <c r="G240" i="2"/>
  <c r="P240" i="2"/>
  <c r="Q240" i="2"/>
  <c r="N240" i="2" s="1"/>
  <c r="F240" i="2"/>
  <c r="E241" i="2"/>
  <c r="O239" i="2"/>
  <c r="L239" i="2"/>
  <c r="M239" i="2" s="1"/>
  <c r="K239" i="2"/>
  <c r="H240" i="2"/>
  <c r="A243" i="2"/>
  <c r="B242" i="2"/>
  <c r="Y241" i="2"/>
  <c r="Z241" i="2"/>
  <c r="T241" i="2"/>
  <c r="S241" i="2"/>
  <c r="X241" i="2"/>
  <c r="I240" i="2"/>
  <c r="V241" i="2"/>
  <c r="C242" i="2"/>
  <c r="D242" i="2"/>
  <c r="W241" i="2"/>
  <c r="U241" i="2"/>
  <c r="R240" i="2" l="1"/>
  <c r="J240" i="2"/>
  <c r="G241" i="2"/>
  <c r="P241" i="2"/>
  <c r="Q241" i="2"/>
  <c r="N241" i="2" s="1"/>
  <c r="F241" i="2"/>
  <c r="E242" i="2"/>
  <c r="L240" i="2"/>
  <c r="M240" i="2" s="1"/>
  <c r="O240" i="2"/>
  <c r="K240" i="2"/>
  <c r="H241" i="2"/>
  <c r="A244" i="2"/>
  <c r="B243" i="2"/>
  <c r="W242" i="2"/>
  <c r="D243" i="2"/>
  <c r="X242" i="2"/>
  <c r="C243" i="2"/>
  <c r="U242" i="2"/>
  <c r="I241" i="2"/>
  <c r="V242" i="2"/>
  <c r="S242" i="2"/>
  <c r="Y242" i="2"/>
  <c r="Z242" i="2"/>
  <c r="T242" i="2"/>
  <c r="R241" i="2" l="1"/>
  <c r="J241" i="2"/>
  <c r="G242" i="2"/>
  <c r="P242" i="2"/>
  <c r="Q242" i="2"/>
  <c r="N242" i="2" s="1"/>
  <c r="F242" i="2"/>
  <c r="E243" i="2"/>
  <c r="O241" i="2"/>
  <c r="L241" i="2"/>
  <c r="M241" i="2" s="1"/>
  <c r="K241" i="2"/>
  <c r="H242" i="2"/>
  <c r="A245" i="2"/>
  <c r="B244" i="2"/>
  <c r="X243" i="2"/>
  <c r="D244" i="2"/>
  <c r="W243" i="2"/>
  <c r="C244" i="2"/>
  <c r="V243" i="2"/>
  <c r="I242" i="2"/>
  <c r="U243" i="2"/>
  <c r="S243" i="2"/>
  <c r="Z243" i="2"/>
  <c r="Y243" i="2"/>
  <c r="T243" i="2"/>
  <c r="R242" i="2" l="1"/>
  <c r="J242" i="2"/>
  <c r="G243" i="2"/>
  <c r="P243" i="2"/>
  <c r="Q243" i="2"/>
  <c r="N243" i="2" s="1"/>
  <c r="F243" i="2"/>
  <c r="E244" i="2"/>
  <c r="O242" i="2"/>
  <c r="L242" i="2"/>
  <c r="M242" i="2" s="1"/>
  <c r="K242" i="2"/>
  <c r="H243" i="2"/>
  <c r="A246" i="2"/>
  <c r="B245" i="2"/>
  <c r="I243" i="2"/>
  <c r="X244" i="2"/>
  <c r="Z244" i="2"/>
  <c r="C245" i="2"/>
  <c r="T244" i="2"/>
  <c r="D245" i="2"/>
  <c r="Y244" i="2"/>
  <c r="U244" i="2"/>
  <c r="S244" i="2"/>
  <c r="W244" i="2"/>
  <c r="V244" i="2"/>
  <c r="R243" i="2" l="1"/>
  <c r="J243" i="2"/>
  <c r="G244" i="2"/>
  <c r="P244" i="2"/>
  <c r="Q244" i="2"/>
  <c r="N244" i="2" s="1"/>
  <c r="F244" i="2"/>
  <c r="E245" i="2"/>
  <c r="L243" i="2"/>
  <c r="M243" i="2" s="1"/>
  <c r="K243" i="2"/>
  <c r="O243" i="2"/>
  <c r="H244" i="2"/>
  <c r="A247" i="2"/>
  <c r="B246" i="2"/>
  <c r="I244" i="2"/>
  <c r="S245" i="2"/>
  <c r="T245" i="2"/>
  <c r="X245" i="2"/>
  <c r="D246" i="2"/>
  <c r="W245" i="2"/>
  <c r="C246" i="2"/>
  <c r="Y245" i="2"/>
  <c r="U245" i="2"/>
  <c r="Z245" i="2"/>
  <c r="V245" i="2"/>
  <c r="R244" i="2" l="1"/>
  <c r="J244" i="2"/>
  <c r="G245" i="2"/>
  <c r="P245" i="2"/>
  <c r="Q245" i="2"/>
  <c r="N245" i="2" s="1"/>
  <c r="F245" i="2"/>
  <c r="E246" i="2"/>
  <c r="L244" i="2"/>
  <c r="M244" i="2" s="1"/>
  <c r="K244" i="2"/>
  <c r="O244" i="2"/>
  <c r="H245" i="2"/>
  <c r="A248" i="2"/>
  <c r="B247" i="2"/>
  <c r="Z246" i="2"/>
  <c r="C247" i="2"/>
  <c r="T246" i="2"/>
  <c r="D247" i="2"/>
  <c r="Y246" i="2"/>
  <c r="I245" i="2"/>
  <c r="V246" i="2"/>
  <c r="S246" i="2"/>
  <c r="W246" i="2"/>
  <c r="X246" i="2"/>
  <c r="U246" i="2"/>
  <c r="R245" i="2" l="1"/>
  <c r="J245" i="2"/>
  <c r="G246" i="2"/>
  <c r="P246" i="2"/>
  <c r="Q246" i="2"/>
  <c r="N246" i="2" s="1"/>
  <c r="F246" i="2"/>
  <c r="E247" i="2"/>
  <c r="L245" i="2"/>
  <c r="M245" i="2" s="1"/>
  <c r="K245" i="2"/>
  <c r="O245" i="2"/>
  <c r="H246" i="2"/>
  <c r="A249" i="2"/>
  <c r="B248" i="2"/>
  <c r="I246" i="2"/>
  <c r="Y247" i="2"/>
  <c r="D248" i="2"/>
  <c r="U247" i="2"/>
  <c r="C248" i="2"/>
  <c r="Z247" i="2"/>
  <c r="V247" i="2"/>
  <c r="S247" i="2"/>
  <c r="X247" i="2"/>
  <c r="T247" i="2"/>
  <c r="W247" i="2"/>
  <c r="R246" i="2" l="1"/>
  <c r="J246" i="2"/>
  <c r="G247" i="2"/>
  <c r="P247" i="2"/>
  <c r="Q247" i="2"/>
  <c r="N247" i="2" s="1"/>
  <c r="F247" i="2"/>
  <c r="E248" i="2"/>
  <c r="L246" i="2"/>
  <c r="M246" i="2" s="1"/>
  <c r="K246" i="2"/>
  <c r="O246" i="2"/>
  <c r="H247" i="2"/>
  <c r="A250" i="2"/>
  <c r="B249" i="2"/>
  <c r="V248" i="2"/>
  <c r="D249" i="2"/>
  <c r="Z248" i="2"/>
  <c r="C249" i="2"/>
  <c r="U248" i="2"/>
  <c r="I247" i="2"/>
  <c r="Y248" i="2"/>
  <c r="T248" i="2"/>
  <c r="I248" i="2" s="1"/>
  <c r="X248" i="2"/>
  <c r="S248" i="2"/>
  <c r="W248" i="2"/>
  <c r="R247" i="2" l="1"/>
  <c r="J247" i="2"/>
  <c r="G248" i="2"/>
  <c r="P248" i="2"/>
  <c r="Q248" i="2"/>
  <c r="N248" i="2" s="1"/>
  <c r="F248" i="2"/>
  <c r="E249" i="2"/>
  <c r="O247" i="2"/>
  <c r="K247" i="2"/>
  <c r="L247" i="2"/>
  <c r="M247" i="2" s="1"/>
  <c r="H248" i="2"/>
  <c r="A251" i="2"/>
  <c r="B250" i="2"/>
  <c r="D250" i="2"/>
  <c r="S249" i="2"/>
  <c r="X249" i="2"/>
  <c r="Y249" i="2"/>
  <c r="Z249" i="2"/>
  <c r="V249" i="2"/>
  <c r="T249" i="2"/>
  <c r="W249" i="2"/>
  <c r="U249" i="2"/>
  <c r="C250" i="2"/>
  <c r="R248" i="2" l="1"/>
  <c r="J248" i="2"/>
  <c r="G249" i="2"/>
  <c r="P249" i="2"/>
  <c r="Q249" i="2"/>
  <c r="N249" i="2" s="1"/>
  <c r="F249" i="2"/>
  <c r="E250" i="2"/>
  <c r="K248" i="2"/>
  <c r="L248" i="2"/>
  <c r="M248" i="2" s="1"/>
  <c r="O248" i="2"/>
  <c r="H249" i="2"/>
  <c r="A252" i="2"/>
  <c r="B251" i="2"/>
  <c r="I249" i="2"/>
  <c r="Y250" i="2"/>
  <c r="T250" i="2"/>
  <c r="X250" i="2"/>
  <c r="S250" i="2"/>
  <c r="W250" i="2"/>
  <c r="V250" i="2"/>
  <c r="C251" i="2"/>
  <c r="Z250" i="2"/>
  <c r="D251" i="2"/>
  <c r="U250" i="2"/>
  <c r="I250" i="2"/>
  <c r="R249" i="2" l="1"/>
  <c r="J249" i="2"/>
  <c r="G250" i="2"/>
  <c r="P250" i="2"/>
  <c r="Q250" i="2"/>
  <c r="N250" i="2" s="1"/>
  <c r="F250" i="2"/>
  <c r="E251" i="2"/>
  <c r="O249" i="2"/>
  <c r="L249" i="2"/>
  <c r="M249" i="2" s="1"/>
  <c r="K249" i="2"/>
  <c r="H250" i="2"/>
  <c r="A253" i="2"/>
  <c r="B252" i="2"/>
  <c r="D252" i="2"/>
  <c r="W251" i="2"/>
  <c r="U251" i="2"/>
  <c r="V251" i="2"/>
  <c r="C252" i="2"/>
  <c r="S251" i="2"/>
  <c r="X251" i="2"/>
  <c r="Z251" i="2"/>
  <c r="T251" i="2"/>
  <c r="Y251" i="2"/>
  <c r="R250" i="2" l="1"/>
  <c r="J250" i="2"/>
  <c r="G251" i="2"/>
  <c r="P251" i="2"/>
  <c r="Q251" i="2"/>
  <c r="N251" i="2" s="1"/>
  <c r="F251" i="2"/>
  <c r="E252" i="2"/>
  <c r="O250" i="2"/>
  <c r="K250" i="2"/>
  <c r="L250" i="2"/>
  <c r="M250" i="2" s="1"/>
  <c r="H251" i="2"/>
  <c r="A254" i="2"/>
  <c r="B253" i="2"/>
  <c r="Y252" i="2"/>
  <c r="D253" i="2"/>
  <c r="V252" i="2"/>
  <c r="X252" i="2"/>
  <c r="C253" i="2"/>
  <c r="T252" i="2"/>
  <c r="U252" i="2"/>
  <c r="I251" i="2"/>
  <c r="W252" i="2"/>
  <c r="S252" i="2"/>
  <c r="Z252" i="2"/>
  <c r="R251" i="2" l="1"/>
  <c r="J251" i="2"/>
  <c r="G252" i="2"/>
  <c r="P252" i="2"/>
  <c r="Q252" i="2"/>
  <c r="N252" i="2" s="1"/>
  <c r="F252" i="2"/>
  <c r="E253" i="2"/>
  <c r="K251" i="2"/>
  <c r="L251" i="2"/>
  <c r="M251" i="2" s="1"/>
  <c r="O251" i="2"/>
  <c r="H252" i="2"/>
  <c r="A255" i="2"/>
  <c r="B254" i="2"/>
  <c r="I252" i="2"/>
  <c r="U253" i="2"/>
  <c r="S253" i="2"/>
  <c r="Z253" i="2"/>
  <c r="T253" i="2"/>
  <c r="V253" i="2"/>
  <c r="X253" i="2"/>
  <c r="W253" i="2"/>
  <c r="C254" i="2"/>
  <c r="Y253" i="2"/>
  <c r="D254" i="2"/>
  <c r="R252" i="2" l="1"/>
  <c r="J252" i="2"/>
  <c r="G253" i="2"/>
  <c r="P253" i="2"/>
  <c r="Q253" i="2"/>
  <c r="N253" i="2" s="1"/>
  <c r="F253" i="2"/>
  <c r="E254" i="2"/>
  <c r="O252" i="2"/>
  <c r="K252" i="2"/>
  <c r="L252" i="2"/>
  <c r="M252" i="2" s="1"/>
  <c r="H253" i="2"/>
  <c r="A256" i="2"/>
  <c r="B255" i="2"/>
  <c r="I253" i="2"/>
  <c r="V254" i="2"/>
  <c r="U254" i="2"/>
  <c r="Y254" i="2"/>
  <c r="T254" i="2"/>
  <c r="X254" i="2"/>
  <c r="W254" i="2"/>
  <c r="D255" i="2"/>
  <c r="Z254" i="2"/>
  <c r="C255" i="2"/>
  <c r="S254" i="2"/>
  <c r="R253" i="2" l="1"/>
  <c r="J253" i="2"/>
  <c r="G254" i="2"/>
  <c r="P254" i="2"/>
  <c r="Q254" i="2"/>
  <c r="N254" i="2" s="1"/>
  <c r="F254" i="2"/>
  <c r="E255" i="2"/>
  <c r="L253" i="2"/>
  <c r="M253" i="2" s="1"/>
  <c r="K253" i="2"/>
  <c r="O253" i="2"/>
  <c r="H254" i="2"/>
  <c r="A257" i="2"/>
  <c r="B256" i="2"/>
  <c r="X255" i="2"/>
  <c r="D256" i="2"/>
  <c r="W255" i="2"/>
  <c r="T255" i="2"/>
  <c r="V255" i="2"/>
  <c r="I254" i="2"/>
  <c r="U255" i="2"/>
  <c r="S255" i="2"/>
  <c r="C256" i="2"/>
  <c r="Y255" i="2"/>
  <c r="Z255" i="2"/>
  <c r="R254" i="2" l="1"/>
  <c r="J254" i="2"/>
  <c r="G255" i="2"/>
  <c r="P255" i="2"/>
  <c r="Q255" i="2"/>
  <c r="N255" i="2" s="1"/>
  <c r="F255" i="2"/>
  <c r="E256" i="2"/>
  <c r="L254" i="2"/>
  <c r="M254" i="2" s="1"/>
  <c r="K254" i="2"/>
  <c r="O254" i="2"/>
  <c r="H255" i="2"/>
  <c r="A258" i="2"/>
  <c r="B257" i="2"/>
  <c r="X256" i="2"/>
  <c r="D257" i="2"/>
  <c r="Y256" i="2"/>
  <c r="I255" i="2"/>
  <c r="U256" i="2"/>
  <c r="S256" i="2"/>
  <c r="W256" i="2"/>
  <c r="T256" i="2"/>
  <c r="Z256" i="2"/>
  <c r="C257" i="2"/>
  <c r="V256" i="2"/>
  <c r="R255" i="2" l="1"/>
  <c r="J255" i="2"/>
  <c r="G256" i="2"/>
  <c r="P256" i="2"/>
  <c r="Q256" i="2"/>
  <c r="N256" i="2" s="1"/>
  <c r="F256" i="2"/>
  <c r="E257" i="2"/>
  <c r="O255" i="2"/>
  <c r="L255" i="2"/>
  <c r="M255" i="2" s="1"/>
  <c r="K255" i="2"/>
  <c r="H256" i="2"/>
  <c r="A259" i="2"/>
  <c r="B258" i="2"/>
  <c r="I256" i="2"/>
  <c r="V257" i="2"/>
  <c r="C258" i="2"/>
  <c r="D258" i="2"/>
  <c r="W257" i="2"/>
  <c r="U257" i="2"/>
  <c r="Y257" i="2"/>
  <c r="Z257" i="2"/>
  <c r="T257" i="2"/>
  <c r="S257" i="2"/>
  <c r="X257" i="2"/>
  <c r="R256" i="2" l="1"/>
  <c r="J256" i="2"/>
  <c r="G257" i="2"/>
  <c r="P257" i="2"/>
  <c r="Q257" i="2"/>
  <c r="N257" i="2" s="1"/>
  <c r="F257" i="2"/>
  <c r="E258" i="2"/>
  <c r="L256" i="2"/>
  <c r="M256" i="2" s="1"/>
  <c r="O256" i="2"/>
  <c r="K256" i="2"/>
  <c r="H257" i="2"/>
  <c r="A260" i="2"/>
  <c r="B259" i="2"/>
  <c r="I257" i="2"/>
  <c r="V258" i="2"/>
  <c r="S258" i="2"/>
  <c r="Y258" i="2"/>
  <c r="T258" i="2"/>
  <c r="U258" i="2"/>
  <c r="C259" i="2"/>
  <c r="Z258" i="2"/>
  <c r="W258" i="2"/>
  <c r="X258" i="2"/>
  <c r="D259" i="2"/>
  <c r="R257" i="2" l="1"/>
  <c r="J257" i="2"/>
  <c r="G258" i="2"/>
  <c r="P258" i="2"/>
  <c r="Q258" i="2"/>
  <c r="N258" i="2" s="1"/>
  <c r="F258" i="2"/>
  <c r="E259" i="2"/>
  <c r="O257" i="2"/>
  <c r="L257" i="2"/>
  <c r="M257" i="2" s="1"/>
  <c r="K257" i="2"/>
  <c r="H258" i="2"/>
  <c r="A261" i="2"/>
  <c r="B260" i="2"/>
  <c r="I258" i="2"/>
  <c r="U259" i="2"/>
  <c r="S259" i="2"/>
  <c r="C260" i="2"/>
  <c r="Y259" i="2"/>
  <c r="Z259" i="2"/>
  <c r="X259" i="2"/>
  <c r="D260" i="2"/>
  <c r="T259" i="2"/>
  <c r="V259" i="2"/>
  <c r="W259" i="2"/>
  <c r="R258" i="2" l="1"/>
  <c r="J258" i="2"/>
  <c r="G259" i="2"/>
  <c r="P259" i="2"/>
  <c r="Q259" i="2"/>
  <c r="N259" i="2" s="1"/>
  <c r="F259" i="2"/>
  <c r="E260" i="2"/>
  <c r="L258" i="2"/>
  <c r="M258" i="2" s="1"/>
  <c r="O258" i="2"/>
  <c r="K258" i="2"/>
  <c r="H259" i="2"/>
  <c r="A262" i="2"/>
  <c r="B261" i="2"/>
  <c r="I259" i="2"/>
  <c r="X260" i="2"/>
  <c r="V260" i="2"/>
  <c r="Y260" i="2"/>
  <c r="U260" i="2"/>
  <c r="T260" i="2"/>
  <c r="W260" i="2"/>
  <c r="C261" i="2"/>
  <c r="Z260" i="2"/>
  <c r="D261" i="2"/>
  <c r="S260" i="2"/>
  <c r="R259" i="2" l="1"/>
  <c r="J259" i="2"/>
  <c r="G260" i="2"/>
  <c r="P260" i="2"/>
  <c r="Q260" i="2"/>
  <c r="N260" i="2" s="1"/>
  <c r="F260" i="2"/>
  <c r="E261" i="2"/>
  <c r="L259" i="2"/>
  <c r="M259" i="2" s="1"/>
  <c r="K259" i="2"/>
  <c r="O259" i="2"/>
  <c r="H260" i="2"/>
  <c r="A263" i="2"/>
  <c r="B262" i="2"/>
  <c r="I260" i="2"/>
  <c r="U261" i="2"/>
  <c r="S261" i="2"/>
  <c r="C262" i="2"/>
  <c r="Y261" i="2"/>
  <c r="V261" i="2"/>
  <c r="X261" i="2"/>
  <c r="W261" i="2"/>
  <c r="T261" i="2"/>
  <c r="Z261" i="2"/>
  <c r="D262" i="2"/>
  <c r="R260" i="2" l="1"/>
  <c r="J260" i="2"/>
  <c r="G261" i="2"/>
  <c r="P261" i="2"/>
  <c r="Q261" i="2"/>
  <c r="N261" i="2" s="1"/>
  <c r="F261" i="2"/>
  <c r="E262" i="2"/>
  <c r="L260" i="2"/>
  <c r="M260" i="2" s="1"/>
  <c r="O260" i="2"/>
  <c r="K260" i="2"/>
  <c r="H261" i="2"/>
  <c r="A264" i="2"/>
  <c r="B263" i="2"/>
  <c r="I261" i="2"/>
  <c r="Y262" i="2"/>
  <c r="T262" i="2"/>
  <c r="Z262" i="2"/>
  <c r="X262" i="2"/>
  <c r="V262" i="2"/>
  <c r="S262" i="2"/>
  <c r="D263" i="2"/>
  <c r="W262" i="2"/>
  <c r="U262" i="2"/>
  <c r="C263" i="2"/>
  <c r="R261" i="2" l="1"/>
  <c r="J261" i="2"/>
  <c r="G262" i="2"/>
  <c r="P262" i="2"/>
  <c r="Q262" i="2"/>
  <c r="N262" i="2" s="1"/>
  <c r="F262" i="2"/>
  <c r="E263" i="2"/>
  <c r="L261" i="2"/>
  <c r="M261" i="2" s="1"/>
  <c r="K261" i="2"/>
  <c r="O261" i="2"/>
  <c r="H262" i="2"/>
  <c r="A265" i="2"/>
  <c r="B264" i="2"/>
  <c r="Z263" i="2"/>
  <c r="V263" i="2"/>
  <c r="U263" i="2"/>
  <c r="X263" i="2"/>
  <c r="D264" i="2"/>
  <c r="T263" i="2"/>
  <c r="C264" i="2"/>
  <c r="Y263" i="2"/>
  <c r="I262" i="2"/>
  <c r="W263" i="2"/>
  <c r="S263" i="2"/>
  <c r="R262" i="2" l="1"/>
  <c r="J262" i="2"/>
  <c r="G263" i="2"/>
  <c r="P263" i="2"/>
  <c r="Q263" i="2"/>
  <c r="N263" i="2" s="1"/>
  <c r="F263" i="2"/>
  <c r="E264" i="2"/>
  <c r="O262" i="2"/>
  <c r="L262" i="2"/>
  <c r="M262" i="2" s="1"/>
  <c r="K262" i="2"/>
  <c r="H263" i="2"/>
  <c r="A266" i="2"/>
  <c r="B265" i="2"/>
  <c r="I263" i="2"/>
  <c r="Z264" i="2"/>
  <c r="T264" i="2"/>
  <c r="U264" i="2"/>
  <c r="S264" i="2"/>
  <c r="Y264" i="2"/>
  <c r="X264" i="2"/>
  <c r="D265" i="2"/>
  <c r="W264" i="2"/>
  <c r="V264" i="2"/>
  <c r="C265" i="2"/>
  <c r="R263" i="2" l="1"/>
  <c r="J263" i="2"/>
  <c r="G264" i="2"/>
  <c r="P264" i="2"/>
  <c r="Q264" i="2"/>
  <c r="N264" i="2" s="1"/>
  <c r="F264" i="2"/>
  <c r="E265" i="2"/>
  <c r="O263" i="2"/>
  <c r="K263" i="2"/>
  <c r="L263" i="2"/>
  <c r="M263" i="2" s="1"/>
  <c r="H264" i="2"/>
  <c r="A267" i="2"/>
  <c r="B266" i="2"/>
  <c r="I264" i="2"/>
  <c r="V265" i="2"/>
  <c r="C266" i="2"/>
  <c r="D266" i="2"/>
  <c r="W265" i="2"/>
  <c r="U265" i="2"/>
  <c r="Y265" i="2"/>
  <c r="Z265" i="2"/>
  <c r="T265" i="2"/>
  <c r="S265" i="2"/>
  <c r="X265" i="2"/>
  <c r="R264" i="2" l="1"/>
  <c r="J264" i="2"/>
  <c r="G265" i="2"/>
  <c r="P265" i="2"/>
  <c r="Q265" i="2"/>
  <c r="N265" i="2" s="1"/>
  <c r="F265" i="2"/>
  <c r="E266" i="2"/>
  <c r="K264" i="2"/>
  <c r="O264" i="2"/>
  <c r="L264" i="2"/>
  <c r="M264" i="2" s="1"/>
  <c r="H265" i="2"/>
  <c r="A268" i="2"/>
  <c r="B267" i="2"/>
  <c r="I265" i="2"/>
  <c r="D267" i="2"/>
  <c r="S266" i="2"/>
  <c r="U266" i="2"/>
  <c r="Z266" i="2"/>
  <c r="Y266" i="2"/>
  <c r="W266" i="2"/>
  <c r="C267" i="2"/>
  <c r="V266" i="2"/>
  <c r="T266" i="2"/>
  <c r="X266" i="2"/>
  <c r="R265" i="2" l="1"/>
  <c r="J265" i="2"/>
  <c r="G266" i="2"/>
  <c r="P266" i="2"/>
  <c r="Q266" i="2"/>
  <c r="N266" i="2" s="1"/>
  <c r="F266" i="2"/>
  <c r="E267" i="2"/>
  <c r="O265" i="2"/>
  <c r="L265" i="2"/>
  <c r="M265" i="2" s="1"/>
  <c r="K265" i="2"/>
  <c r="H266" i="2"/>
  <c r="A269" i="2"/>
  <c r="B268" i="2"/>
  <c r="I266" i="2"/>
  <c r="V267" i="2"/>
  <c r="S267" i="2"/>
  <c r="X267" i="2"/>
  <c r="T267" i="2"/>
  <c r="W267" i="2"/>
  <c r="Y267" i="2"/>
  <c r="D268" i="2"/>
  <c r="C268" i="2"/>
  <c r="Z267" i="2"/>
  <c r="U267" i="2"/>
  <c r="R266" i="2" l="1"/>
  <c r="J266" i="2"/>
  <c r="G267" i="2"/>
  <c r="P267" i="2"/>
  <c r="Q267" i="2"/>
  <c r="N267" i="2" s="1"/>
  <c r="F267" i="2"/>
  <c r="E268" i="2"/>
  <c r="L266" i="2"/>
  <c r="M266" i="2" s="1"/>
  <c r="K266" i="2"/>
  <c r="O266" i="2"/>
  <c r="H267" i="2"/>
  <c r="A270" i="2"/>
  <c r="B269" i="2"/>
  <c r="W268" i="2"/>
  <c r="C269" i="2"/>
  <c r="Z268" i="2"/>
  <c r="I267" i="2"/>
  <c r="D269" i="2"/>
  <c r="T268" i="2"/>
  <c r="Y268" i="2"/>
  <c r="V268" i="2"/>
  <c r="X268" i="2"/>
  <c r="S268" i="2"/>
  <c r="U268" i="2"/>
  <c r="R267" i="2" l="1"/>
  <c r="J267" i="2"/>
  <c r="G268" i="2"/>
  <c r="P268" i="2"/>
  <c r="Q268" i="2"/>
  <c r="N268" i="2" s="1"/>
  <c r="F268" i="2"/>
  <c r="E269" i="2"/>
  <c r="K267" i="2"/>
  <c r="L267" i="2"/>
  <c r="M267" i="2" s="1"/>
  <c r="O267" i="2"/>
  <c r="H268" i="2"/>
  <c r="A271" i="2"/>
  <c r="B270" i="2"/>
  <c r="I268" i="2"/>
  <c r="W269" i="2"/>
  <c r="S269" i="2"/>
  <c r="Z269" i="2"/>
  <c r="U269" i="2"/>
  <c r="V269" i="2"/>
  <c r="X269" i="2"/>
  <c r="D270" i="2"/>
  <c r="T269" i="2"/>
  <c r="C270" i="2"/>
  <c r="Y269" i="2"/>
  <c r="R268" i="2" l="1"/>
  <c r="J268" i="2"/>
  <c r="G269" i="2"/>
  <c r="P269" i="2"/>
  <c r="Q269" i="2"/>
  <c r="N269" i="2" s="1"/>
  <c r="F269" i="2"/>
  <c r="E270" i="2"/>
  <c r="O268" i="2"/>
  <c r="K268" i="2"/>
  <c r="L268" i="2"/>
  <c r="M268" i="2" s="1"/>
  <c r="H269" i="2"/>
  <c r="A272" i="2"/>
  <c r="B271" i="2"/>
  <c r="I269" i="2"/>
  <c r="U270" i="2"/>
  <c r="S270" i="2"/>
  <c r="W270" i="2"/>
  <c r="T270" i="2"/>
  <c r="X270" i="2"/>
  <c r="Z270" i="2"/>
  <c r="D271" i="2"/>
  <c r="V270" i="2"/>
  <c r="C271" i="2"/>
  <c r="Y270" i="2"/>
  <c r="R269" i="2" l="1"/>
  <c r="J269" i="2"/>
  <c r="G270" i="2"/>
  <c r="P270" i="2"/>
  <c r="Q270" i="2"/>
  <c r="N270" i="2" s="1"/>
  <c r="F270" i="2"/>
  <c r="E271" i="2"/>
  <c r="L269" i="2"/>
  <c r="M269" i="2" s="1"/>
  <c r="K269" i="2"/>
  <c r="O269" i="2"/>
  <c r="H270" i="2"/>
  <c r="A273" i="2"/>
  <c r="B272" i="2"/>
  <c r="I270" i="2"/>
  <c r="Y271" i="2"/>
  <c r="T271" i="2"/>
  <c r="V271" i="2"/>
  <c r="S271" i="2"/>
  <c r="Z271" i="2"/>
  <c r="W271" i="2"/>
  <c r="C272" i="2"/>
  <c r="X271" i="2"/>
  <c r="D272" i="2"/>
  <c r="U271" i="2"/>
  <c r="I271" i="2"/>
  <c r="R270" i="2" l="1"/>
  <c r="J270" i="2"/>
  <c r="G271" i="2"/>
  <c r="P271" i="2"/>
  <c r="Q271" i="2"/>
  <c r="N271" i="2" s="1"/>
  <c r="F271" i="2"/>
  <c r="E272" i="2"/>
  <c r="O270" i="2"/>
  <c r="L270" i="2"/>
  <c r="M270" i="2" s="1"/>
  <c r="K270" i="2"/>
  <c r="H271" i="2"/>
  <c r="A274" i="2"/>
  <c r="B273" i="2"/>
  <c r="D273" i="2"/>
  <c r="X272" i="2"/>
  <c r="C273" i="2"/>
  <c r="S272" i="2"/>
  <c r="Z272" i="2"/>
  <c r="Y272" i="2"/>
  <c r="W272" i="2"/>
  <c r="T272" i="2"/>
  <c r="V272" i="2"/>
  <c r="U272" i="2"/>
  <c r="R271" i="2" l="1"/>
  <c r="J271" i="2"/>
  <c r="G272" i="2"/>
  <c r="P272" i="2"/>
  <c r="Q272" i="2"/>
  <c r="N272" i="2" s="1"/>
  <c r="F272" i="2"/>
  <c r="E273" i="2"/>
  <c r="O271" i="2"/>
  <c r="L271" i="2"/>
  <c r="M271" i="2" s="1"/>
  <c r="K271" i="2"/>
  <c r="H272" i="2"/>
  <c r="A275" i="2"/>
  <c r="B274" i="2"/>
  <c r="W273" i="2"/>
  <c r="V273" i="2"/>
  <c r="X273" i="2"/>
  <c r="C274" i="2"/>
  <c r="D274" i="2"/>
  <c r="I272" i="2"/>
  <c r="U273" i="2"/>
  <c r="Y273" i="2"/>
  <c r="Z273" i="2"/>
  <c r="T273" i="2"/>
  <c r="S273" i="2"/>
  <c r="R272" i="2" l="1"/>
  <c r="J272" i="2"/>
  <c r="G273" i="2"/>
  <c r="P273" i="2"/>
  <c r="Q273" i="2"/>
  <c r="N273" i="2" s="1"/>
  <c r="F273" i="2"/>
  <c r="E274" i="2"/>
  <c r="L272" i="2"/>
  <c r="M272" i="2" s="1"/>
  <c r="O272" i="2"/>
  <c r="K272" i="2"/>
  <c r="H273" i="2"/>
  <c r="A276" i="2"/>
  <c r="B275" i="2"/>
  <c r="I273" i="2"/>
  <c r="V274" i="2"/>
  <c r="S274" i="2"/>
  <c r="Y274" i="2"/>
  <c r="T274" i="2"/>
  <c r="U274" i="2"/>
  <c r="D275" i="2"/>
  <c r="C275" i="2"/>
  <c r="W274" i="2"/>
  <c r="X274" i="2"/>
  <c r="Z274" i="2"/>
  <c r="R273" i="2" l="1"/>
  <c r="J273" i="2"/>
  <c r="G274" i="2"/>
  <c r="P274" i="2"/>
  <c r="Q274" i="2"/>
  <c r="N274" i="2" s="1"/>
  <c r="F274" i="2"/>
  <c r="E275" i="2"/>
  <c r="O273" i="2"/>
  <c r="L273" i="2"/>
  <c r="M273" i="2" s="1"/>
  <c r="K273" i="2"/>
  <c r="H274" i="2"/>
  <c r="A277" i="2"/>
  <c r="B276" i="2"/>
  <c r="I274" i="2"/>
  <c r="U275" i="2"/>
  <c r="S275" i="2"/>
  <c r="Z275" i="2"/>
  <c r="T275" i="2"/>
  <c r="V275" i="2"/>
  <c r="W275" i="2"/>
  <c r="Y275" i="2"/>
  <c r="X275" i="2"/>
  <c r="C276" i="2"/>
  <c r="D276" i="2"/>
  <c r="R274" i="2" l="1"/>
  <c r="J274" i="2"/>
  <c r="G275" i="2"/>
  <c r="P275" i="2"/>
  <c r="Q275" i="2"/>
  <c r="N275" i="2" s="1"/>
  <c r="F275" i="2"/>
  <c r="E276" i="2"/>
  <c r="L274" i="2"/>
  <c r="M274" i="2" s="1"/>
  <c r="K274" i="2"/>
  <c r="O274" i="2"/>
  <c r="H275" i="2"/>
  <c r="A278" i="2"/>
  <c r="B277" i="2"/>
  <c r="I275" i="2"/>
  <c r="Z276" i="2"/>
  <c r="X276" i="2"/>
  <c r="T276" i="2"/>
  <c r="U276" i="2"/>
  <c r="I276" i="2"/>
  <c r="V276" i="2"/>
  <c r="C277" i="2"/>
  <c r="W276" i="2"/>
  <c r="S276" i="2"/>
  <c r="Y276" i="2"/>
  <c r="D277" i="2"/>
  <c r="R275" i="2" l="1"/>
  <c r="J275" i="2"/>
  <c r="G276" i="2"/>
  <c r="P276" i="2"/>
  <c r="Q276" i="2"/>
  <c r="N276" i="2" s="1"/>
  <c r="F276" i="2"/>
  <c r="E277" i="2"/>
  <c r="L275" i="2"/>
  <c r="M275" i="2" s="1"/>
  <c r="K275" i="2"/>
  <c r="O275" i="2"/>
  <c r="H276" i="2"/>
  <c r="A279" i="2"/>
  <c r="B278" i="2"/>
  <c r="D278" i="2"/>
  <c r="W277" i="2"/>
  <c r="C278" i="2"/>
  <c r="V277" i="2"/>
  <c r="X277" i="2"/>
  <c r="S277" i="2"/>
  <c r="Z277" i="2"/>
  <c r="Y277" i="2"/>
  <c r="U277" i="2"/>
  <c r="T277" i="2"/>
  <c r="R276" i="2" l="1"/>
  <c r="J276" i="2"/>
  <c r="G277" i="2"/>
  <c r="P277" i="2"/>
  <c r="Q277" i="2"/>
  <c r="N277" i="2" s="1"/>
  <c r="F277" i="2"/>
  <c r="E278" i="2"/>
  <c r="L276" i="2"/>
  <c r="M276" i="2" s="1"/>
  <c r="K276" i="2"/>
  <c r="O276" i="2"/>
  <c r="H277" i="2"/>
  <c r="A280" i="2"/>
  <c r="B279" i="2"/>
  <c r="U278" i="2"/>
  <c r="S278" i="2"/>
  <c r="Y278" i="2"/>
  <c r="X278" i="2"/>
  <c r="D279" i="2"/>
  <c r="W278" i="2"/>
  <c r="C279" i="2"/>
  <c r="V278" i="2"/>
  <c r="I277" i="2"/>
  <c r="Z278" i="2"/>
  <c r="T278" i="2"/>
  <c r="R277" i="2" l="1"/>
  <c r="J277" i="2"/>
  <c r="G278" i="2"/>
  <c r="P278" i="2"/>
  <c r="Q278" i="2"/>
  <c r="N278" i="2" s="1"/>
  <c r="F278" i="2"/>
  <c r="E279" i="2"/>
  <c r="L277" i="2"/>
  <c r="M277" i="2" s="1"/>
  <c r="K277" i="2"/>
  <c r="O277" i="2"/>
  <c r="H278" i="2"/>
  <c r="A281" i="2"/>
  <c r="B280" i="2"/>
  <c r="I278" i="2"/>
  <c r="S279" i="2"/>
  <c r="X279" i="2"/>
  <c r="Y279" i="2"/>
  <c r="C280" i="2"/>
  <c r="Z279" i="2"/>
  <c r="D280" i="2"/>
  <c r="U279" i="2"/>
  <c r="V279" i="2"/>
  <c r="T279" i="2"/>
  <c r="W279" i="2"/>
  <c r="R278" i="2" l="1"/>
  <c r="J278" i="2"/>
  <c r="G279" i="2"/>
  <c r="P279" i="2"/>
  <c r="Q279" i="2"/>
  <c r="N279" i="2" s="1"/>
  <c r="F279" i="2"/>
  <c r="E280" i="2"/>
  <c r="O278" i="2"/>
  <c r="L278" i="2"/>
  <c r="M278" i="2" s="1"/>
  <c r="K278" i="2"/>
  <c r="H279" i="2"/>
  <c r="A282" i="2"/>
  <c r="B281" i="2"/>
  <c r="Y280" i="2"/>
  <c r="T280" i="2"/>
  <c r="U280" i="2"/>
  <c r="W280" i="2"/>
  <c r="D281" i="2"/>
  <c r="X280" i="2"/>
  <c r="C281" i="2"/>
  <c r="I279" i="2"/>
  <c r="V280" i="2"/>
  <c r="S280" i="2"/>
  <c r="Z280" i="2"/>
  <c r="R279" i="2" l="1"/>
  <c r="J279" i="2"/>
  <c r="G280" i="2"/>
  <c r="P280" i="2"/>
  <c r="Q280" i="2"/>
  <c r="N280" i="2" s="1"/>
  <c r="F280" i="2"/>
  <c r="E281" i="2"/>
  <c r="O279" i="2"/>
  <c r="K279" i="2"/>
  <c r="L279" i="2"/>
  <c r="M279" i="2" s="1"/>
  <c r="H280" i="2"/>
  <c r="A283" i="2"/>
  <c r="B282" i="2"/>
  <c r="U281" i="2"/>
  <c r="V281" i="2"/>
  <c r="X281" i="2"/>
  <c r="D282" i="2"/>
  <c r="W281" i="2"/>
  <c r="C282" i="2"/>
  <c r="Y281" i="2"/>
  <c r="I280" i="2"/>
  <c r="S281" i="2"/>
  <c r="Z281" i="2"/>
  <c r="T281" i="2"/>
  <c r="R280" i="2" l="1"/>
  <c r="J280" i="2"/>
  <c r="G281" i="2"/>
  <c r="P281" i="2"/>
  <c r="Q281" i="2"/>
  <c r="N281" i="2" s="1"/>
  <c r="F281" i="2"/>
  <c r="E282" i="2"/>
  <c r="K280" i="2"/>
  <c r="L280" i="2"/>
  <c r="M280" i="2" s="1"/>
  <c r="O280" i="2"/>
  <c r="H281" i="2"/>
  <c r="A284" i="2"/>
  <c r="B283" i="2"/>
  <c r="I281" i="2"/>
  <c r="V282" i="2"/>
  <c r="S282" i="2"/>
  <c r="Y282" i="2"/>
  <c r="T282" i="2"/>
  <c r="U282" i="2"/>
  <c r="W282" i="2"/>
  <c r="C283" i="2"/>
  <c r="X282" i="2"/>
  <c r="D283" i="2"/>
  <c r="Z282" i="2"/>
  <c r="R281" i="2" l="1"/>
  <c r="J281" i="2"/>
  <c r="G282" i="2"/>
  <c r="P282" i="2"/>
  <c r="Q282" i="2"/>
  <c r="N282" i="2" s="1"/>
  <c r="F282" i="2"/>
  <c r="E283" i="2"/>
  <c r="O281" i="2"/>
  <c r="L281" i="2"/>
  <c r="M281" i="2" s="1"/>
  <c r="K281" i="2"/>
  <c r="H282" i="2"/>
  <c r="A285" i="2"/>
  <c r="B284" i="2"/>
  <c r="I282" i="2"/>
  <c r="U283" i="2"/>
  <c r="S283" i="2"/>
  <c r="Z283" i="2"/>
  <c r="T283" i="2"/>
  <c r="V283" i="2"/>
  <c r="W283" i="2"/>
  <c r="D284" i="2"/>
  <c r="X283" i="2"/>
  <c r="C284" i="2"/>
  <c r="Y283" i="2"/>
  <c r="R282" i="2" l="1"/>
  <c r="J282" i="2"/>
  <c r="G283" i="2"/>
  <c r="P283" i="2"/>
  <c r="Q283" i="2"/>
  <c r="N283" i="2" s="1"/>
  <c r="F283" i="2"/>
  <c r="E284" i="2"/>
  <c r="L282" i="2"/>
  <c r="M282" i="2" s="1"/>
  <c r="K282" i="2"/>
  <c r="O282" i="2"/>
  <c r="H283" i="2"/>
  <c r="A286" i="2"/>
  <c r="B285" i="2"/>
  <c r="I283" i="2"/>
  <c r="V284" i="2"/>
  <c r="S284" i="2"/>
  <c r="Y284" i="2"/>
  <c r="T284" i="2"/>
  <c r="U284" i="2"/>
  <c r="W284" i="2"/>
  <c r="C285" i="2"/>
  <c r="D285" i="2"/>
  <c r="Z284" i="2"/>
  <c r="X284" i="2"/>
  <c r="R283" i="2" l="1"/>
  <c r="J283" i="2"/>
  <c r="G284" i="2"/>
  <c r="P284" i="2"/>
  <c r="Q284" i="2"/>
  <c r="N284" i="2" s="1"/>
  <c r="F284" i="2"/>
  <c r="E285" i="2"/>
  <c r="K283" i="2"/>
  <c r="L283" i="2"/>
  <c r="M283" i="2" s="1"/>
  <c r="O283" i="2"/>
  <c r="H284" i="2"/>
  <c r="A287" i="2"/>
  <c r="B286" i="2"/>
  <c r="X285" i="2"/>
  <c r="Y285" i="2"/>
  <c r="D286" i="2"/>
  <c r="Z285" i="2"/>
  <c r="T285" i="2"/>
  <c r="I284" i="2"/>
  <c r="U285" i="2"/>
  <c r="V285" i="2"/>
  <c r="S285" i="2"/>
  <c r="C286" i="2"/>
  <c r="W285" i="2"/>
  <c r="R284" i="2" l="1"/>
  <c r="J284" i="2"/>
  <c r="G285" i="2"/>
  <c r="P285" i="2"/>
  <c r="Q285" i="2"/>
  <c r="N285" i="2" s="1"/>
  <c r="F285" i="2"/>
  <c r="E286" i="2"/>
  <c r="O284" i="2"/>
  <c r="K284" i="2"/>
  <c r="L284" i="2"/>
  <c r="M284" i="2" s="1"/>
  <c r="H285" i="2"/>
  <c r="A288" i="2"/>
  <c r="B287" i="2"/>
  <c r="I285" i="2"/>
  <c r="X286" i="2"/>
  <c r="S286" i="2"/>
  <c r="Y286" i="2"/>
  <c r="Z286" i="2"/>
  <c r="U286" i="2"/>
  <c r="W286" i="2"/>
  <c r="C287" i="2"/>
  <c r="T286" i="2"/>
  <c r="D287" i="2"/>
  <c r="V286" i="2"/>
  <c r="R285" i="2" l="1"/>
  <c r="J285" i="2"/>
  <c r="G286" i="2"/>
  <c r="P286" i="2"/>
  <c r="Q286" i="2"/>
  <c r="N286" i="2" s="1"/>
  <c r="F286" i="2"/>
  <c r="E287" i="2"/>
  <c r="L285" i="2"/>
  <c r="M285" i="2" s="1"/>
  <c r="K285" i="2"/>
  <c r="O285" i="2"/>
  <c r="H286" i="2"/>
  <c r="A289" i="2"/>
  <c r="B288" i="2"/>
  <c r="D288" i="2"/>
  <c r="U287" i="2"/>
  <c r="I286" i="2"/>
  <c r="Y287" i="2"/>
  <c r="C288" i="2"/>
  <c r="V287" i="2"/>
  <c r="S287" i="2"/>
  <c r="X287" i="2"/>
  <c r="W287" i="2"/>
  <c r="T287" i="2"/>
  <c r="Z287" i="2"/>
  <c r="R286" i="2" l="1"/>
  <c r="J286" i="2"/>
  <c r="G287" i="2"/>
  <c r="P287" i="2"/>
  <c r="Q287" i="2"/>
  <c r="N287" i="2" s="1"/>
  <c r="F287" i="2"/>
  <c r="E288" i="2"/>
  <c r="O286" i="2"/>
  <c r="L286" i="2"/>
  <c r="M286" i="2" s="1"/>
  <c r="K286" i="2"/>
  <c r="H287" i="2"/>
  <c r="A290" i="2"/>
  <c r="B289" i="2"/>
  <c r="I287" i="2"/>
  <c r="V288" i="2"/>
  <c r="Z288" i="2"/>
  <c r="W288" i="2"/>
  <c r="C289" i="2"/>
  <c r="U288" i="2"/>
  <c r="Y288" i="2"/>
  <c r="X288" i="2"/>
  <c r="T288" i="2"/>
  <c r="D289" i="2"/>
  <c r="S288" i="2"/>
  <c r="R287" i="2" l="1"/>
  <c r="J287" i="2"/>
  <c r="G288" i="2"/>
  <c r="P288" i="2"/>
  <c r="Q288" i="2"/>
  <c r="N288" i="2" s="1"/>
  <c r="F288" i="2"/>
  <c r="E289" i="2"/>
  <c r="O287" i="2"/>
  <c r="L287" i="2"/>
  <c r="M287" i="2" s="1"/>
  <c r="K287" i="2"/>
  <c r="H288" i="2"/>
  <c r="A291" i="2"/>
  <c r="B290" i="2"/>
  <c r="I288" i="2"/>
  <c r="U289" i="2"/>
  <c r="S289" i="2"/>
  <c r="Z289" i="2"/>
  <c r="X289" i="2"/>
  <c r="D290" i="2"/>
  <c r="W289" i="2"/>
  <c r="C290" i="2"/>
  <c r="Y289" i="2"/>
  <c r="T289" i="2"/>
  <c r="V289" i="2"/>
  <c r="R288" i="2" l="1"/>
  <c r="J288" i="2"/>
  <c r="G289" i="2"/>
  <c r="P289" i="2"/>
  <c r="Q289" i="2"/>
  <c r="N289" i="2" s="1"/>
  <c r="F289" i="2"/>
  <c r="E290" i="2"/>
  <c r="L288" i="2"/>
  <c r="M288" i="2" s="1"/>
  <c r="O288" i="2"/>
  <c r="K288" i="2"/>
  <c r="H289" i="2"/>
  <c r="A292" i="2"/>
  <c r="B291" i="2"/>
  <c r="I289" i="2"/>
  <c r="T290" i="2"/>
  <c r="U290" i="2"/>
  <c r="D291" i="2"/>
  <c r="V290" i="2"/>
  <c r="C291" i="2"/>
  <c r="W290" i="2"/>
  <c r="Y290" i="2"/>
  <c r="S290" i="2"/>
  <c r="Z290" i="2"/>
  <c r="X290" i="2"/>
  <c r="R289" i="2" l="1"/>
  <c r="J289" i="2"/>
  <c r="G290" i="2"/>
  <c r="P290" i="2"/>
  <c r="Q290" i="2"/>
  <c r="N290" i="2" s="1"/>
  <c r="F290" i="2"/>
  <c r="E291" i="2"/>
  <c r="O289" i="2"/>
  <c r="L289" i="2"/>
  <c r="M289" i="2" s="1"/>
  <c r="K289" i="2"/>
  <c r="H290" i="2"/>
  <c r="A293" i="2"/>
  <c r="B292" i="2"/>
  <c r="X291" i="2"/>
  <c r="V291" i="2"/>
  <c r="W291" i="2"/>
  <c r="Y291" i="2"/>
  <c r="D292" i="2"/>
  <c r="T291" i="2"/>
  <c r="Z291" i="2"/>
  <c r="I290" i="2"/>
  <c r="U291" i="2"/>
  <c r="S291" i="2"/>
  <c r="C292" i="2"/>
  <c r="R290" i="2" l="1"/>
  <c r="J290" i="2"/>
  <c r="G291" i="2"/>
  <c r="P291" i="2"/>
  <c r="Q291" i="2"/>
  <c r="N291" i="2" s="1"/>
  <c r="F291" i="2"/>
  <c r="E292" i="2"/>
  <c r="L290" i="2"/>
  <c r="M290" i="2" s="1"/>
  <c r="K290" i="2"/>
  <c r="O290" i="2"/>
  <c r="H291" i="2"/>
  <c r="A294" i="2"/>
  <c r="B293" i="2"/>
  <c r="I291" i="2"/>
  <c r="V292" i="2"/>
  <c r="S292" i="2"/>
  <c r="Y292" i="2"/>
  <c r="T292" i="2"/>
  <c r="U292" i="2"/>
  <c r="W292" i="2"/>
  <c r="C293" i="2"/>
  <c r="X292" i="2"/>
  <c r="D293" i="2"/>
  <c r="Z292" i="2"/>
  <c r="R291" i="2" l="1"/>
  <c r="J291" i="2"/>
  <c r="G292" i="2"/>
  <c r="P292" i="2"/>
  <c r="Q292" i="2"/>
  <c r="N292" i="2" s="1"/>
  <c r="F292" i="2"/>
  <c r="E293" i="2"/>
  <c r="L291" i="2"/>
  <c r="M291" i="2" s="1"/>
  <c r="K291" i="2"/>
  <c r="O291" i="2"/>
  <c r="H292" i="2"/>
  <c r="A295" i="2"/>
  <c r="B294" i="2"/>
  <c r="I292" i="2"/>
  <c r="W293" i="2"/>
  <c r="V293" i="2"/>
  <c r="Z293" i="2"/>
  <c r="U293" i="2"/>
  <c r="T293" i="2"/>
  <c r="Y293" i="2"/>
  <c r="D294" i="2"/>
  <c r="S293" i="2"/>
  <c r="X293" i="2"/>
  <c r="C294" i="2"/>
  <c r="R292" i="2" l="1"/>
  <c r="J292" i="2"/>
  <c r="G293" i="2"/>
  <c r="P293" i="2"/>
  <c r="Q293" i="2"/>
  <c r="N293" i="2" s="1"/>
  <c r="F293" i="2"/>
  <c r="E294" i="2"/>
  <c r="L292" i="2"/>
  <c r="M292" i="2" s="1"/>
  <c r="O292" i="2"/>
  <c r="K292" i="2"/>
  <c r="H293" i="2"/>
  <c r="A296" i="2"/>
  <c r="B295" i="2"/>
  <c r="I293" i="2"/>
  <c r="V294" i="2"/>
  <c r="S294" i="2"/>
  <c r="Y294" i="2"/>
  <c r="T294" i="2"/>
  <c r="U294" i="2"/>
  <c r="W294" i="2"/>
  <c r="C295" i="2"/>
  <c r="X294" i="2"/>
  <c r="D295" i="2"/>
  <c r="Z294" i="2"/>
  <c r="R293" i="2" l="1"/>
  <c r="J293" i="2"/>
  <c r="G294" i="2"/>
  <c r="P294" i="2"/>
  <c r="Q294" i="2"/>
  <c r="N294" i="2" s="1"/>
  <c r="F294" i="2"/>
  <c r="E295" i="2"/>
  <c r="L293" i="2"/>
  <c r="M293" i="2" s="1"/>
  <c r="K293" i="2"/>
  <c r="O293" i="2"/>
  <c r="H294" i="2"/>
  <c r="A297" i="2"/>
  <c r="B296" i="2"/>
  <c r="I294" i="2"/>
  <c r="W295" i="2"/>
  <c r="S295" i="2"/>
  <c r="D296" i="2"/>
  <c r="Y295" i="2"/>
  <c r="Z295" i="2"/>
  <c r="X295" i="2"/>
  <c r="C296" i="2"/>
  <c r="T295" i="2"/>
  <c r="U295" i="2"/>
  <c r="V295" i="2"/>
  <c r="R294" i="2" l="1"/>
  <c r="J294" i="2"/>
  <c r="G295" i="2"/>
  <c r="P295" i="2"/>
  <c r="Q295" i="2"/>
  <c r="N295" i="2" s="1"/>
  <c r="F295" i="2"/>
  <c r="E296" i="2"/>
  <c r="O294" i="2"/>
  <c r="L294" i="2"/>
  <c r="M294" i="2" s="1"/>
  <c r="K294" i="2"/>
  <c r="H295" i="2"/>
  <c r="A298" i="2"/>
  <c r="B297" i="2"/>
  <c r="I295" i="2"/>
  <c r="V296" i="2"/>
  <c r="S296" i="2"/>
  <c r="Z296" i="2"/>
  <c r="W296" i="2"/>
  <c r="C297" i="2"/>
  <c r="X296" i="2"/>
  <c r="T296" i="2"/>
  <c r="U296" i="2"/>
  <c r="D297" i="2"/>
  <c r="Y296" i="2"/>
  <c r="R295" i="2" l="1"/>
  <c r="J295" i="2"/>
  <c r="G296" i="2"/>
  <c r="P296" i="2"/>
  <c r="Q296" i="2"/>
  <c r="N296" i="2" s="1"/>
  <c r="F296" i="2"/>
  <c r="E297" i="2"/>
  <c r="O295" i="2"/>
  <c r="K295" i="2"/>
  <c r="L295" i="2"/>
  <c r="M295" i="2" s="1"/>
  <c r="H296" i="2"/>
  <c r="A299" i="2"/>
  <c r="B298" i="2"/>
  <c r="X297" i="2"/>
  <c r="Y297" i="2"/>
  <c r="V297" i="2"/>
  <c r="C298" i="2"/>
  <c r="D298" i="2"/>
  <c r="I296" i="2"/>
  <c r="U297" i="2"/>
  <c r="W297" i="2"/>
  <c r="Z297" i="2"/>
  <c r="S297" i="2"/>
  <c r="T297" i="2"/>
  <c r="R296" i="2" l="1"/>
  <c r="J296" i="2"/>
  <c r="G297" i="2"/>
  <c r="P297" i="2"/>
  <c r="Q297" i="2"/>
  <c r="N297" i="2" s="1"/>
  <c r="F297" i="2"/>
  <c r="E298" i="2"/>
  <c r="K296" i="2"/>
  <c r="L296" i="2"/>
  <c r="M296" i="2" s="1"/>
  <c r="O296" i="2"/>
  <c r="H297" i="2"/>
  <c r="A300" i="2"/>
  <c r="B299" i="2"/>
  <c r="Y298" i="2"/>
  <c r="T298" i="2"/>
  <c r="U298" i="2"/>
  <c r="W298" i="2"/>
  <c r="C299" i="2"/>
  <c r="X298" i="2"/>
  <c r="D299" i="2"/>
  <c r="Z298" i="2"/>
  <c r="I297" i="2"/>
  <c r="V298" i="2"/>
  <c r="S298" i="2"/>
  <c r="R297" i="2" l="1"/>
  <c r="J297" i="2"/>
  <c r="G298" i="2"/>
  <c r="P298" i="2"/>
  <c r="Q298" i="2"/>
  <c r="N298" i="2" s="1"/>
  <c r="F298" i="2"/>
  <c r="E299" i="2"/>
  <c r="K297" i="2"/>
  <c r="O297" i="2"/>
  <c r="L297" i="2"/>
  <c r="M297" i="2" s="1"/>
  <c r="H298" i="2"/>
  <c r="A301" i="2"/>
  <c r="B300" i="2"/>
  <c r="I298" i="2"/>
  <c r="V299" i="2"/>
  <c r="S299" i="2"/>
  <c r="C300" i="2"/>
  <c r="Z299" i="2"/>
  <c r="X299" i="2"/>
  <c r="Y299" i="2"/>
  <c r="D300" i="2"/>
  <c r="U299" i="2"/>
  <c r="T299" i="2"/>
  <c r="W299" i="2"/>
  <c r="R298" i="2" l="1"/>
  <c r="J298" i="2"/>
  <c r="G299" i="2"/>
  <c r="P299" i="2"/>
  <c r="Q299" i="2"/>
  <c r="N299" i="2" s="1"/>
  <c r="F299" i="2"/>
  <c r="E300" i="2"/>
  <c r="O298" i="2"/>
  <c r="L298" i="2"/>
  <c r="M298" i="2" s="1"/>
  <c r="K298" i="2"/>
  <c r="H299" i="2"/>
  <c r="A302" i="2"/>
  <c r="B301" i="2"/>
  <c r="I299" i="2"/>
  <c r="D301" i="2"/>
  <c r="W300" i="2"/>
  <c r="C301" i="2"/>
  <c r="X300" i="2"/>
  <c r="T300" i="2"/>
  <c r="Y300" i="2"/>
  <c r="V300" i="2"/>
  <c r="S300" i="2"/>
  <c r="U300" i="2"/>
  <c r="Z300" i="2"/>
  <c r="R299" i="2" l="1"/>
  <c r="J299" i="2"/>
  <c r="G300" i="2"/>
  <c r="P300" i="2"/>
  <c r="Q300" i="2"/>
  <c r="N300" i="2" s="1"/>
  <c r="F300" i="2"/>
  <c r="E301" i="2"/>
  <c r="L299" i="2"/>
  <c r="M299" i="2" s="1"/>
  <c r="O299" i="2"/>
  <c r="K299" i="2"/>
  <c r="H300" i="2"/>
  <c r="A303" i="2"/>
  <c r="B302" i="2"/>
  <c r="I300" i="2"/>
  <c r="U301" i="2"/>
  <c r="S301" i="2"/>
  <c r="Z301" i="2"/>
  <c r="T301" i="2"/>
  <c r="V301" i="2"/>
  <c r="W301" i="2"/>
  <c r="C302" i="2"/>
  <c r="X301" i="2"/>
  <c r="D302" i="2"/>
  <c r="Y301" i="2"/>
  <c r="R300" i="2" l="1"/>
  <c r="J300" i="2"/>
  <c r="G301" i="2"/>
  <c r="P301" i="2"/>
  <c r="Q301" i="2"/>
  <c r="N301" i="2" s="1"/>
  <c r="F301" i="2"/>
  <c r="E302" i="2"/>
  <c r="K300" i="2"/>
  <c r="L300" i="2"/>
  <c r="M300" i="2" s="1"/>
  <c r="O300" i="2"/>
  <c r="H301" i="2"/>
  <c r="A304" i="2"/>
  <c r="B303" i="2"/>
  <c r="Y302" i="2"/>
  <c r="W302" i="2"/>
  <c r="U302" i="2"/>
  <c r="Z302" i="2"/>
  <c r="C303" i="2"/>
  <c r="T302" i="2"/>
  <c r="D303" i="2"/>
  <c r="I301" i="2"/>
  <c r="V302" i="2"/>
  <c r="S302" i="2"/>
  <c r="X302" i="2"/>
  <c r="R301" i="2" l="1"/>
  <c r="J301" i="2"/>
  <c r="G302" i="2"/>
  <c r="P302" i="2"/>
  <c r="Q302" i="2"/>
  <c r="N302" i="2" s="1"/>
  <c r="F302" i="2"/>
  <c r="E303" i="2"/>
  <c r="O301" i="2"/>
  <c r="L301" i="2"/>
  <c r="M301" i="2" s="1"/>
  <c r="K301" i="2"/>
  <c r="H302" i="2"/>
  <c r="A305" i="2"/>
  <c r="B304" i="2"/>
  <c r="Z303" i="2"/>
  <c r="V303" i="2"/>
  <c r="U303" i="2"/>
  <c r="X303" i="2"/>
  <c r="D304" i="2"/>
  <c r="T303" i="2"/>
  <c r="C304" i="2"/>
  <c r="Y303" i="2"/>
  <c r="I302" i="2"/>
  <c r="W303" i="2"/>
  <c r="S303" i="2"/>
  <c r="R302" i="2" l="1"/>
  <c r="J302" i="2"/>
  <c r="G303" i="2"/>
  <c r="P303" i="2"/>
  <c r="Q303" i="2"/>
  <c r="N303" i="2" s="1"/>
  <c r="F303" i="2"/>
  <c r="E304" i="2"/>
  <c r="K302" i="2"/>
  <c r="O302" i="2"/>
  <c r="L302" i="2"/>
  <c r="M302" i="2" s="1"/>
  <c r="H303" i="2"/>
  <c r="A306" i="2"/>
  <c r="B305" i="2"/>
  <c r="I303" i="2"/>
  <c r="V304" i="2"/>
  <c r="S304" i="2"/>
  <c r="Y304" i="2"/>
  <c r="T304" i="2"/>
  <c r="U304" i="2"/>
  <c r="W304" i="2"/>
  <c r="C305" i="2"/>
  <c r="D305" i="2"/>
  <c r="Z304" i="2"/>
  <c r="X304" i="2"/>
  <c r="R303" i="2" l="1"/>
  <c r="J303" i="2"/>
  <c r="G304" i="2"/>
  <c r="P304" i="2"/>
  <c r="Q304" i="2"/>
  <c r="N304" i="2" s="1"/>
  <c r="F304" i="2"/>
  <c r="E305" i="2"/>
  <c r="K303" i="2"/>
  <c r="O303" i="2"/>
  <c r="L303" i="2"/>
  <c r="M303" i="2" s="1"/>
  <c r="H304" i="2"/>
  <c r="A307" i="2"/>
  <c r="B306" i="2"/>
  <c r="D306" i="2"/>
  <c r="S305" i="2"/>
  <c r="Z305" i="2"/>
  <c r="I304" i="2"/>
  <c r="C306" i="2"/>
  <c r="U305" i="2"/>
  <c r="T305" i="2"/>
  <c r="I305" i="2" s="1"/>
  <c r="V305" i="2"/>
  <c r="Y305" i="2"/>
  <c r="W305" i="2"/>
  <c r="X305" i="2"/>
  <c r="R304" i="2" l="1"/>
  <c r="J304" i="2"/>
  <c r="G305" i="2"/>
  <c r="P305" i="2"/>
  <c r="Q305" i="2"/>
  <c r="N305" i="2" s="1"/>
  <c r="F305" i="2"/>
  <c r="E306" i="2"/>
  <c r="O304" i="2"/>
  <c r="K304" i="2"/>
  <c r="L304" i="2"/>
  <c r="M304" i="2" s="1"/>
  <c r="H305" i="2"/>
  <c r="A308" i="2"/>
  <c r="B307" i="2"/>
  <c r="C307" i="2"/>
  <c r="S306" i="2"/>
  <c r="Z306" i="2"/>
  <c r="Y306" i="2"/>
  <c r="W306" i="2"/>
  <c r="T306" i="2"/>
  <c r="V306" i="2"/>
  <c r="U306" i="2"/>
  <c r="X306" i="2"/>
  <c r="D307" i="2"/>
  <c r="R305" i="2" l="1"/>
  <c r="J305" i="2"/>
  <c r="G306" i="2"/>
  <c r="P306" i="2"/>
  <c r="Q306" i="2"/>
  <c r="N306" i="2" s="1"/>
  <c r="F306" i="2"/>
  <c r="E307" i="2"/>
  <c r="K305" i="2"/>
  <c r="O305" i="2"/>
  <c r="L305" i="2"/>
  <c r="M305" i="2" s="1"/>
  <c r="H306" i="2"/>
  <c r="A309" i="2"/>
  <c r="B308" i="2"/>
  <c r="I306" i="2"/>
  <c r="V307" i="2"/>
  <c r="S307" i="2"/>
  <c r="X307" i="2"/>
  <c r="T307" i="2"/>
  <c r="W307" i="2"/>
  <c r="Y307" i="2"/>
  <c r="D308" i="2"/>
  <c r="U307" i="2"/>
  <c r="C308" i="2"/>
  <c r="Z307" i="2"/>
  <c r="R306" i="2" l="1"/>
  <c r="J306" i="2"/>
  <c r="G307" i="2"/>
  <c r="P307" i="2"/>
  <c r="Q307" i="2"/>
  <c r="N307" i="2" s="1"/>
  <c r="F307" i="2"/>
  <c r="E308" i="2"/>
  <c r="O306" i="2"/>
  <c r="L306" i="2"/>
  <c r="M306" i="2" s="1"/>
  <c r="K306" i="2"/>
  <c r="H307" i="2"/>
  <c r="A310" i="2"/>
  <c r="B309" i="2"/>
  <c r="C309" i="2"/>
  <c r="Z308" i="2"/>
  <c r="D309" i="2"/>
  <c r="I307" i="2"/>
  <c r="W308" i="2"/>
  <c r="V308" i="2"/>
  <c r="T308" i="2"/>
  <c r="X308" i="2"/>
  <c r="S308" i="2"/>
  <c r="U308" i="2"/>
  <c r="I308" i="2"/>
  <c r="Y308" i="2"/>
  <c r="R307" i="2" l="1"/>
  <c r="J307" i="2"/>
  <c r="G308" i="2"/>
  <c r="P308" i="2"/>
  <c r="Q308" i="2"/>
  <c r="N308" i="2" s="1"/>
  <c r="F308" i="2"/>
  <c r="E309" i="2"/>
  <c r="O307" i="2"/>
  <c r="L307" i="2"/>
  <c r="M307" i="2" s="1"/>
  <c r="K307" i="2"/>
  <c r="H308" i="2"/>
  <c r="A311" i="2"/>
  <c r="B310" i="2"/>
  <c r="W309" i="2"/>
  <c r="U309" i="2"/>
  <c r="Z309" i="2"/>
  <c r="S309" i="2"/>
  <c r="D310" i="2"/>
  <c r="X309" i="2"/>
  <c r="Y309" i="2"/>
  <c r="C310" i="2"/>
  <c r="V309" i="2"/>
  <c r="T309" i="2"/>
  <c r="R308" i="2" l="1"/>
  <c r="J308" i="2"/>
  <c r="G309" i="2"/>
  <c r="P309" i="2"/>
  <c r="Q309" i="2"/>
  <c r="N309" i="2" s="1"/>
  <c r="F309" i="2"/>
  <c r="E310" i="2"/>
  <c r="O308" i="2"/>
  <c r="L308" i="2"/>
  <c r="M308" i="2" s="1"/>
  <c r="K308" i="2"/>
  <c r="H309" i="2"/>
  <c r="A312" i="2"/>
  <c r="B311" i="2"/>
  <c r="I309" i="2"/>
  <c r="S310" i="2"/>
  <c r="W310" i="2"/>
  <c r="Z310" i="2"/>
  <c r="Y310" i="2"/>
  <c r="T310" i="2"/>
  <c r="C311" i="2"/>
  <c r="V310" i="2"/>
  <c r="U310" i="2"/>
  <c r="D311" i="2"/>
  <c r="X310" i="2"/>
  <c r="R309" i="2" l="1"/>
  <c r="J309" i="2"/>
  <c r="G310" i="2"/>
  <c r="P310" i="2"/>
  <c r="Q310" i="2"/>
  <c r="N310" i="2" s="1"/>
  <c r="F310" i="2"/>
  <c r="E311" i="2"/>
  <c r="O309" i="2"/>
  <c r="L309" i="2"/>
  <c r="M309" i="2" s="1"/>
  <c r="K309" i="2"/>
  <c r="H310" i="2"/>
  <c r="A313" i="2"/>
  <c r="B312" i="2"/>
  <c r="I310" i="2"/>
  <c r="Y311" i="2"/>
  <c r="S311" i="2"/>
  <c r="X311" i="2"/>
  <c r="V311" i="2"/>
  <c r="T311" i="2"/>
  <c r="U311" i="2"/>
  <c r="W311" i="2"/>
  <c r="C312" i="2"/>
  <c r="D312" i="2"/>
  <c r="Z311" i="2"/>
  <c r="R310" i="2" l="1"/>
  <c r="J310" i="2"/>
  <c r="G311" i="2"/>
  <c r="P311" i="2"/>
  <c r="Q311" i="2"/>
  <c r="N311" i="2" s="1"/>
  <c r="F311" i="2"/>
  <c r="E312" i="2"/>
  <c r="K310" i="2"/>
  <c r="O310" i="2"/>
  <c r="L310" i="2"/>
  <c r="M310" i="2" s="1"/>
  <c r="H311" i="2"/>
  <c r="A314" i="2"/>
  <c r="B313" i="2"/>
  <c r="C313" i="2"/>
  <c r="Z312" i="2"/>
  <c r="D313" i="2"/>
  <c r="I311" i="2"/>
  <c r="W312" i="2"/>
  <c r="V312" i="2"/>
  <c r="T312" i="2"/>
  <c r="X312" i="2"/>
  <c r="S312" i="2"/>
  <c r="U312" i="2"/>
  <c r="I312" i="2"/>
  <c r="Y312" i="2"/>
  <c r="R311" i="2" l="1"/>
  <c r="J311" i="2"/>
  <c r="G312" i="2"/>
  <c r="P312" i="2"/>
  <c r="Q312" i="2"/>
  <c r="N312" i="2" s="1"/>
  <c r="F312" i="2"/>
  <c r="E313" i="2"/>
  <c r="K311" i="2"/>
  <c r="L311" i="2"/>
  <c r="M311" i="2" s="1"/>
  <c r="O311" i="2"/>
  <c r="H312" i="2"/>
  <c r="A315" i="2"/>
  <c r="B314" i="2"/>
  <c r="W313" i="2"/>
  <c r="D314" i="2"/>
  <c r="X313" i="2"/>
  <c r="C314" i="2"/>
  <c r="U313" i="2"/>
  <c r="Y313" i="2"/>
  <c r="T313" i="2"/>
  <c r="I313" i="2" s="1"/>
  <c r="V313" i="2"/>
  <c r="S313" i="2"/>
  <c r="Z313" i="2"/>
  <c r="R312" i="2" l="1"/>
  <c r="J312" i="2"/>
  <c r="G313" i="2"/>
  <c r="P313" i="2"/>
  <c r="Q313" i="2"/>
  <c r="N313" i="2" s="1"/>
  <c r="F313" i="2"/>
  <c r="E314" i="2"/>
  <c r="L312" i="2"/>
  <c r="M312" i="2" s="1"/>
  <c r="O312" i="2"/>
  <c r="K312" i="2"/>
  <c r="H313" i="2"/>
  <c r="A316" i="2"/>
  <c r="B315" i="2"/>
  <c r="D315" i="2"/>
  <c r="S314" i="2"/>
  <c r="W314" i="2"/>
  <c r="Y314" i="2"/>
  <c r="X314" i="2"/>
  <c r="V314" i="2"/>
  <c r="C315" i="2"/>
  <c r="T314" i="2"/>
  <c r="U314" i="2"/>
  <c r="Z314" i="2"/>
  <c r="R313" i="2" l="1"/>
  <c r="J313" i="2"/>
  <c r="G314" i="2"/>
  <c r="P314" i="2"/>
  <c r="Q314" i="2"/>
  <c r="N314" i="2" s="1"/>
  <c r="F314" i="2"/>
  <c r="E315" i="2"/>
  <c r="K313" i="2"/>
  <c r="O313" i="2"/>
  <c r="L313" i="2"/>
  <c r="M313" i="2" s="1"/>
  <c r="H314" i="2"/>
  <c r="A317" i="2"/>
  <c r="B316" i="2"/>
  <c r="I314" i="2"/>
  <c r="D316" i="2"/>
  <c r="U315" i="2"/>
  <c r="X315" i="2"/>
  <c r="W315" i="2"/>
  <c r="C316" i="2"/>
  <c r="Y315" i="2"/>
  <c r="S315" i="2"/>
  <c r="T315" i="2"/>
  <c r="V315" i="2"/>
  <c r="Z315" i="2"/>
  <c r="R314" i="2" l="1"/>
  <c r="J314" i="2"/>
  <c r="G315" i="2"/>
  <c r="P315" i="2"/>
  <c r="Q315" i="2"/>
  <c r="N315" i="2" s="1"/>
  <c r="F315" i="2"/>
  <c r="E316" i="2"/>
  <c r="O314" i="2"/>
  <c r="L314" i="2"/>
  <c r="M314" i="2" s="1"/>
  <c r="K314" i="2"/>
  <c r="H315" i="2"/>
  <c r="A318" i="2"/>
  <c r="B317" i="2"/>
  <c r="C317" i="2"/>
  <c r="Z316" i="2"/>
  <c r="D317" i="2"/>
  <c r="I315" i="2"/>
  <c r="W316" i="2"/>
  <c r="V316" i="2"/>
  <c r="T316" i="2"/>
  <c r="X316" i="2"/>
  <c r="S316" i="2"/>
  <c r="U316" i="2"/>
  <c r="I316" i="2"/>
  <c r="Y316" i="2"/>
  <c r="R315" i="2" l="1"/>
  <c r="J315" i="2"/>
  <c r="G316" i="2"/>
  <c r="P316" i="2"/>
  <c r="Q316" i="2"/>
  <c r="N316" i="2" s="1"/>
  <c r="F316" i="2"/>
  <c r="E317" i="2"/>
  <c r="L315" i="2"/>
  <c r="M315" i="2" s="1"/>
  <c r="O315" i="2"/>
  <c r="K315" i="2"/>
  <c r="H316" i="2"/>
  <c r="A319" i="2"/>
  <c r="B318" i="2"/>
  <c r="W317" i="2"/>
  <c r="U317" i="2"/>
  <c r="S317" i="2"/>
  <c r="D318" i="2"/>
  <c r="V317" i="2"/>
  <c r="Y317" i="2"/>
  <c r="C318" i="2"/>
  <c r="X317" i="2"/>
  <c r="T317" i="2"/>
  <c r="Z317" i="2"/>
  <c r="R316" i="2" l="1"/>
  <c r="J316" i="2"/>
  <c r="G317" i="2"/>
  <c r="P317" i="2"/>
  <c r="Q317" i="2"/>
  <c r="N317" i="2" s="1"/>
  <c r="F317" i="2"/>
  <c r="E318" i="2"/>
  <c r="K316" i="2"/>
  <c r="L316" i="2"/>
  <c r="M316" i="2" s="1"/>
  <c r="O316" i="2"/>
  <c r="H317" i="2"/>
  <c r="A320" i="2"/>
  <c r="B319" i="2"/>
  <c r="I317" i="2"/>
  <c r="S318" i="2"/>
  <c r="Z318" i="2"/>
  <c r="Y318" i="2"/>
  <c r="W318" i="2"/>
  <c r="T318" i="2"/>
  <c r="V318" i="2"/>
  <c r="U318" i="2"/>
  <c r="X318" i="2"/>
  <c r="D319" i="2"/>
  <c r="C319" i="2"/>
  <c r="R317" i="2" l="1"/>
  <c r="J317" i="2"/>
  <c r="G318" i="2"/>
  <c r="P318" i="2"/>
  <c r="Q318" i="2"/>
  <c r="N318" i="2" s="1"/>
  <c r="F318" i="2"/>
  <c r="E319" i="2"/>
  <c r="O317" i="2"/>
  <c r="L317" i="2"/>
  <c r="M317" i="2" s="1"/>
  <c r="K317" i="2"/>
  <c r="H318" i="2"/>
  <c r="A321" i="2"/>
  <c r="B320" i="2"/>
  <c r="U319" i="2"/>
  <c r="D320" i="2"/>
  <c r="W319" i="2"/>
  <c r="C320" i="2"/>
  <c r="Z319" i="2"/>
  <c r="I318" i="2"/>
  <c r="V319" i="2"/>
  <c r="S319" i="2"/>
  <c r="X319" i="2"/>
  <c r="T319" i="2"/>
  <c r="Y319" i="2"/>
  <c r="R318" i="2" l="1"/>
  <c r="J318" i="2"/>
  <c r="G319" i="2"/>
  <c r="P319" i="2"/>
  <c r="Q319" i="2"/>
  <c r="N319" i="2" s="1"/>
  <c r="F319" i="2"/>
  <c r="E320" i="2"/>
  <c r="K318" i="2"/>
  <c r="O318" i="2"/>
  <c r="L318" i="2"/>
  <c r="M318" i="2" s="1"/>
  <c r="H319" i="2"/>
  <c r="A322" i="2"/>
  <c r="B321" i="2"/>
  <c r="T320" i="2"/>
  <c r="U320" i="2"/>
  <c r="S320" i="2"/>
  <c r="V320" i="2"/>
  <c r="I320" i="2"/>
  <c r="Z320" i="2"/>
  <c r="C321" i="2"/>
  <c r="W320" i="2"/>
  <c r="D321" i="2"/>
  <c r="I319" i="2"/>
  <c r="Y320" i="2"/>
  <c r="X320" i="2"/>
  <c r="R319" i="2" l="1"/>
  <c r="J319" i="2"/>
  <c r="G320" i="2"/>
  <c r="P320" i="2"/>
  <c r="Q320" i="2"/>
  <c r="N320" i="2" s="1"/>
  <c r="F320" i="2"/>
  <c r="E321" i="2"/>
  <c r="K319" i="2"/>
  <c r="O319" i="2"/>
  <c r="L319" i="2"/>
  <c r="M319" i="2" s="1"/>
  <c r="H320" i="2"/>
  <c r="A323" i="2"/>
  <c r="B322" i="2"/>
  <c r="X321" i="2"/>
  <c r="D322" i="2"/>
  <c r="W321" i="2"/>
  <c r="C322" i="2"/>
  <c r="U321" i="2"/>
  <c r="Y321" i="2"/>
  <c r="V321" i="2"/>
  <c r="S321" i="2"/>
  <c r="Z321" i="2"/>
  <c r="T321" i="2"/>
  <c r="I321" i="2" s="1"/>
  <c r="R320" i="2" l="1"/>
  <c r="J320" i="2"/>
  <c r="G321" i="2"/>
  <c r="P321" i="2"/>
  <c r="Q321" i="2"/>
  <c r="N321" i="2" s="1"/>
  <c r="F321" i="2"/>
  <c r="E322" i="2"/>
  <c r="O320" i="2"/>
  <c r="K320" i="2"/>
  <c r="L320" i="2"/>
  <c r="M320" i="2" s="1"/>
  <c r="H321" i="2"/>
  <c r="A324" i="2"/>
  <c r="B323" i="2"/>
  <c r="C323" i="2"/>
  <c r="V322" i="2"/>
  <c r="X322" i="2"/>
  <c r="U322" i="2"/>
  <c r="D323" i="2"/>
  <c r="S322" i="2"/>
  <c r="Y322" i="2"/>
  <c r="W322" i="2"/>
  <c r="T322" i="2"/>
  <c r="Z322" i="2"/>
  <c r="R321" i="2" l="1"/>
  <c r="J321" i="2"/>
  <c r="G322" i="2"/>
  <c r="P322" i="2"/>
  <c r="Q322" i="2"/>
  <c r="N322" i="2" s="1"/>
  <c r="F322" i="2"/>
  <c r="E323" i="2"/>
  <c r="K321" i="2"/>
  <c r="O321" i="2"/>
  <c r="L321" i="2"/>
  <c r="M321" i="2" s="1"/>
  <c r="H322" i="2"/>
  <c r="A325" i="2"/>
  <c r="B324" i="2"/>
  <c r="I322" i="2"/>
  <c r="V323" i="2"/>
  <c r="S323" i="2"/>
  <c r="X323" i="2"/>
  <c r="T323" i="2"/>
  <c r="W323" i="2"/>
  <c r="Y323" i="2"/>
  <c r="U323" i="2"/>
  <c r="C324" i="2"/>
  <c r="Z323" i="2"/>
  <c r="D324" i="2"/>
  <c r="R322" i="2" l="1"/>
  <c r="J322" i="2"/>
  <c r="G323" i="2"/>
  <c r="P323" i="2"/>
  <c r="Q323" i="2"/>
  <c r="N323" i="2" s="1"/>
  <c r="F323" i="2"/>
  <c r="E324" i="2"/>
  <c r="O322" i="2"/>
  <c r="L322" i="2"/>
  <c r="M322" i="2" s="1"/>
  <c r="K322" i="2"/>
  <c r="H323" i="2"/>
  <c r="A326" i="2"/>
  <c r="B325" i="2"/>
  <c r="I323" i="2"/>
  <c r="Y324" i="2"/>
  <c r="D325" i="2"/>
  <c r="C325" i="2"/>
  <c r="W324" i="2"/>
  <c r="Z324" i="2"/>
  <c r="V324" i="2"/>
  <c r="S324" i="2"/>
  <c r="U324" i="2"/>
  <c r="T324" i="2"/>
  <c r="X324" i="2"/>
  <c r="R323" i="2" l="1"/>
  <c r="J323" i="2"/>
  <c r="G324" i="2"/>
  <c r="P324" i="2"/>
  <c r="Q324" i="2"/>
  <c r="N324" i="2" s="1"/>
  <c r="F324" i="2"/>
  <c r="E325" i="2"/>
  <c r="L323" i="2"/>
  <c r="M323" i="2" s="1"/>
  <c r="O323" i="2"/>
  <c r="K323" i="2"/>
  <c r="H324" i="2"/>
  <c r="A327" i="2"/>
  <c r="B326" i="2"/>
  <c r="I324" i="2"/>
  <c r="V325" i="2"/>
  <c r="W325" i="2"/>
  <c r="D326" i="2"/>
  <c r="X325" i="2"/>
  <c r="Z325" i="2"/>
  <c r="S325" i="2"/>
  <c r="Y325" i="2"/>
  <c r="T325" i="2"/>
  <c r="I325" i="2" s="1"/>
  <c r="C326" i="2"/>
  <c r="U325" i="2"/>
  <c r="R324" i="2" l="1"/>
  <c r="J324" i="2"/>
  <c r="G325" i="2"/>
  <c r="P325" i="2"/>
  <c r="Q325" i="2"/>
  <c r="N325" i="2" s="1"/>
  <c r="F325" i="2"/>
  <c r="E326" i="2"/>
  <c r="O324" i="2"/>
  <c r="K324" i="2"/>
  <c r="L324" i="2"/>
  <c r="M324" i="2" s="1"/>
  <c r="H325" i="2"/>
  <c r="A328" i="2"/>
  <c r="B327" i="2"/>
  <c r="C327" i="2"/>
  <c r="V326" i="2"/>
  <c r="U326" i="2"/>
  <c r="X326" i="2"/>
  <c r="D327" i="2"/>
  <c r="S326" i="2"/>
  <c r="Z326" i="2"/>
  <c r="Y326" i="2"/>
  <c r="W326" i="2"/>
  <c r="T326" i="2"/>
  <c r="R325" i="2" l="1"/>
  <c r="J325" i="2"/>
  <c r="G326" i="2"/>
  <c r="P326" i="2"/>
  <c r="Q326" i="2"/>
  <c r="N326" i="2" s="1"/>
  <c r="F326" i="2"/>
  <c r="E327" i="2"/>
  <c r="O325" i="2"/>
  <c r="L325" i="2"/>
  <c r="M325" i="2" s="1"/>
  <c r="K325" i="2"/>
  <c r="H326" i="2"/>
  <c r="A329" i="2"/>
  <c r="B328" i="2"/>
  <c r="I326" i="2"/>
  <c r="V327" i="2"/>
  <c r="S327" i="2"/>
  <c r="X327" i="2"/>
  <c r="T327" i="2"/>
  <c r="W327" i="2"/>
  <c r="Y327" i="2"/>
  <c r="U327" i="2"/>
  <c r="C328" i="2"/>
  <c r="Z327" i="2"/>
  <c r="D328" i="2"/>
  <c r="R326" i="2" l="1"/>
  <c r="J326" i="2"/>
  <c r="G327" i="2"/>
  <c r="P327" i="2"/>
  <c r="Q327" i="2"/>
  <c r="N327" i="2" s="1"/>
  <c r="F327" i="2"/>
  <c r="E328" i="2"/>
  <c r="K326" i="2"/>
  <c r="O326" i="2"/>
  <c r="L326" i="2"/>
  <c r="M326" i="2" s="1"/>
  <c r="H327" i="2"/>
  <c r="A330" i="2"/>
  <c r="B329" i="2"/>
  <c r="C329" i="2"/>
  <c r="V328" i="2"/>
  <c r="U328" i="2"/>
  <c r="I327" i="2"/>
  <c r="T328" i="2"/>
  <c r="X328" i="2"/>
  <c r="I328" i="2"/>
  <c r="Z328" i="2"/>
  <c r="Y328" i="2"/>
  <c r="S328" i="2"/>
  <c r="W328" i="2"/>
  <c r="D329" i="2"/>
  <c r="R327" i="2" l="1"/>
  <c r="J327" i="2"/>
  <c r="G328" i="2"/>
  <c r="P328" i="2"/>
  <c r="Q328" i="2"/>
  <c r="N328" i="2" s="1"/>
  <c r="F328" i="2"/>
  <c r="E329" i="2"/>
  <c r="K327" i="2"/>
  <c r="L327" i="2"/>
  <c r="M327" i="2" s="1"/>
  <c r="O327" i="2"/>
  <c r="H328" i="2"/>
  <c r="A331" i="2"/>
  <c r="B330" i="2"/>
  <c r="W329" i="2"/>
  <c r="D330" i="2"/>
  <c r="X329" i="2"/>
  <c r="C330" i="2"/>
  <c r="U329" i="2"/>
  <c r="Y329" i="2"/>
  <c r="T329" i="2"/>
  <c r="I329" i="2" s="1"/>
  <c r="V329" i="2"/>
  <c r="S329" i="2"/>
  <c r="Z329" i="2"/>
  <c r="R328" i="2" l="1"/>
  <c r="J328" i="2"/>
  <c r="G329" i="2"/>
  <c r="P329" i="2"/>
  <c r="Q329" i="2"/>
  <c r="N329" i="2" s="1"/>
  <c r="F329" i="2"/>
  <c r="E330" i="2"/>
  <c r="L328" i="2"/>
  <c r="M328" i="2" s="1"/>
  <c r="K328" i="2"/>
  <c r="O328" i="2"/>
  <c r="H329" i="2"/>
  <c r="A332" i="2"/>
  <c r="B331" i="2"/>
  <c r="C331" i="2"/>
  <c r="T330" i="2"/>
  <c r="V330" i="2"/>
  <c r="U330" i="2"/>
  <c r="X330" i="2"/>
  <c r="S330" i="2"/>
  <c r="Z330" i="2"/>
  <c r="Y330" i="2"/>
  <c r="W330" i="2"/>
  <c r="D331" i="2"/>
  <c r="R329" i="2" l="1"/>
  <c r="J329" i="2"/>
  <c r="G330" i="2"/>
  <c r="P330" i="2"/>
  <c r="Q330" i="2"/>
  <c r="N330" i="2" s="1"/>
  <c r="F330" i="2"/>
  <c r="E331" i="2"/>
  <c r="K329" i="2"/>
  <c r="O329" i="2"/>
  <c r="L329" i="2"/>
  <c r="M329" i="2" s="1"/>
  <c r="H330" i="2"/>
  <c r="A333" i="2"/>
  <c r="B332" i="2"/>
  <c r="I330" i="2"/>
  <c r="U331" i="2"/>
  <c r="S331" i="2"/>
  <c r="C332" i="2"/>
  <c r="Y331" i="2"/>
  <c r="Z331" i="2"/>
  <c r="X331" i="2"/>
  <c r="D332" i="2"/>
  <c r="W331" i="2"/>
  <c r="T331" i="2"/>
  <c r="V331" i="2"/>
  <c r="R330" i="2" l="1"/>
  <c r="J330" i="2"/>
  <c r="G331" i="2"/>
  <c r="P331" i="2"/>
  <c r="Q331" i="2"/>
  <c r="N331" i="2" s="1"/>
  <c r="F331" i="2"/>
  <c r="E332" i="2"/>
  <c r="O330" i="2"/>
  <c r="L330" i="2"/>
  <c r="M330" i="2" s="1"/>
  <c r="K330" i="2"/>
  <c r="H331" i="2"/>
  <c r="A334" i="2"/>
  <c r="B333" i="2"/>
  <c r="C333" i="2"/>
  <c r="S332" i="2"/>
  <c r="W332" i="2"/>
  <c r="U332" i="2"/>
  <c r="D333" i="2"/>
  <c r="I331" i="2"/>
  <c r="T332" i="2"/>
  <c r="V332" i="2"/>
  <c r="I332" i="2"/>
  <c r="Y332" i="2"/>
  <c r="Z332" i="2"/>
  <c r="X332" i="2"/>
  <c r="R331" i="2" l="1"/>
  <c r="J331" i="2"/>
  <c r="G332" i="2"/>
  <c r="P332" i="2"/>
  <c r="Q332" i="2"/>
  <c r="N332" i="2" s="1"/>
  <c r="F332" i="2"/>
  <c r="E333" i="2"/>
  <c r="O331" i="2"/>
  <c r="L331" i="2"/>
  <c r="M331" i="2" s="1"/>
  <c r="K331" i="2"/>
  <c r="H332" i="2"/>
  <c r="A335" i="2"/>
  <c r="B334" i="2"/>
  <c r="C334" i="2"/>
  <c r="U333" i="2"/>
  <c r="W333" i="2"/>
  <c r="D334" i="2"/>
  <c r="X333" i="2"/>
  <c r="V333" i="2"/>
  <c r="S333" i="2"/>
  <c r="Z333" i="2"/>
  <c r="Y333" i="2"/>
  <c r="T333" i="2"/>
  <c r="R332" i="2" l="1"/>
  <c r="J332" i="2"/>
  <c r="G333" i="2"/>
  <c r="P333" i="2"/>
  <c r="Q333" i="2"/>
  <c r="N333" i="2" s="1"/>
  <c r="F333" i="2"/>
  <c r="E334" i="2"/>
  <c r="K332" i="2"/>
  <c r="L332" i="2"/>
  <c r="M332" i="2" s="1"/>
  <c r="O332" i="2"/>
  <c r="H333" i="2"/>
  <c r="A336" i="2"/>
  <c r="B335" i="2"/>
  <c r="I333" i="2"/>
  <c r="Z334" i="2"/>
  <c r="Y334" i="2"/>
  <c r="W334" i="2"/>
  <c r="X334" i="2"/>
  <c r="T334" i="2"/>
  <c r="C335" i="2"/>
  <c r="V334" i="2"/>
  <c r="S334" i="2"/>
  <c r="D335" i="2"/>
  <c r="U334" i="2"/>
  <c r="R333" i="2" l="1"/>
  <c r="J333" i="2"/>
  <c r="G334" i="2"/>
  <c r="P334" i="2"/>
  <c r="Q334" i="2"/>
  <c r="N334" i="2" s="1"/>
  <c r="F334" i="2"/>
  <c r="E335" i="2"/>
  <c r="O333" i="2"/>
  <c r="L333" i="2"/>
  <c r="M333" i="2" s="1"/>
  <c r="K333" i="2"/>
  <c r="H334" i="2"/>
  <c r="A337" i="2"/>
  <c r="B336" i="2"/>
  <c r="Y335" i="2"/>
  <c r="Z335" i="2"/>
  <c r="V335" i="2"/>
  <c r="W335" i="2"/>
  <c r="T335" i="2"/>
  <c r="I334" i="2"/>
  <c r="U335" i="2"/>
  <c r="D336" i="2"/>
  <c r="X335" i="2"/>
  <c r="C336" i="2"/>
  <c r="S335" i="2"/>
  <c r="R334" i="2" l="1"/>
  <c r="J334" i="2"/>
  <c r="G335" i="2"/>
  <c r="P335" i="2"/>
  <c r="Q335" i="2"/>
  <c r="N335" i="2" s="1"/>
  <c r="F335" i="2"/>
  <c r="E336" i="2"/>
  <c r="K334" i="2"/>
  <c r="O334" i="2"/>
  <c r="L334" i="2"/>
  <c r="M334" i="2" s="1"/>
  <c r="H335" i="2"/>
  <c r="A338" i="2"/>
  <c r="B337" i="2"/>
  <c r="C337" i="2"/>
  <c r="Z336" i="2"/>
  <c r="D337" i="2"/>
  <c r="I335" i="2"/>
  <c r="U336" i="2"/>
  <c r="V336" i="2"/>
  <c r="T336" i="2"/>
  <c r="X336" i="2"/>
  <c r="I336" i="2"/>
  <c r="W336" i="2"/>
  <c r="Y336" i="2"/>
  <c r="S336" i="2"/>
  <c r="R335" i="2" l="1"/>
  <c r="J335" i="2"/>
  <c r="G336" i="2"/>
  <c r="P336" i="2"/>
  <c r="Q336" i="2"/>
  <c r="N336" i="2" s="1"/>
  <c r="F336" i="2"/>
  <c r="E337" i="2"/>
  <c r="K335" i="2"/>
  <c r="O335" i="2"/>
  <c r="L335" i="2"/>
  <c r="M335" i="2" s="1"/>
  <c r="H336" i="2"/>
  <c r="A339" i="2"/>
  <c r="B338" i="2"/>
  <c r="Y337" i="2"/>
  <c r="D338" i="2"/>
  <c r="V337" i="2"/>
  <c r="C338" i="2"/>
  <c r="Z337" i="2"/>
  <c r="W337" i="2"/>
  <c r="T337" i="2"/>
  <c r="I337" i="2" s="1"/>
  <c r="X337" i="2"/>
  <c r="S337" i="2"/>
  <c r="U337" i="2"/>
  <c r="R336" i="2" l="1"/>
  <c r="J336" i="2"/>
  <c r="G337" i="2"/>
  <c r="P337" i="2"/>
  <c r="Q337" i="2"/>
  <c r="N337" i="2" s="1"/>
  <c r="F337" i="2"/>
  <c r="E338" i="2"/>
  <c r="O336" i="2"/>
  <c r="K336" i="2"/>
  <c r="L336" i="2"/>
  <c r="M336" i="2" s="1"/>
  <c r="H337" i="2"/>
  <c r="A340" i="2"/>
  <c r="B339" i="2"/>
  <c r="Z338" i="2"/>
  <c r="D339" i="2"/>
  <c r="V338" i="2"/>
  <c r="T338" i="2"/>
  <c r="X338" i="2"/>
  <c r="U338" i="2"/>
  <c r="S338" i="2"/>
  <c r="W338" i="2"/>
  <c r="Y338" i="2"/>
  <c r="C339" i="2"/>
  <c r="R337" i="2" l="1"/>
  <c r="J337" i="2"/>
  <c r="G338" i="2"/>
  <c r="P338" i="2"/>
  <c r="Q338" i="2"/>
  <c r="N338" i="2" s="1"/>
  <c r="F338" i="2"/>
  <c r="E339" i="2"/>
  <c r="K337" i="2"/>
  <c r="O337" i="2"/>
  <c r="L337" i="2"/>
  <c r="M337" i="2" s="1"/>
  <c r="H338" i="2"/>
  <c r="A341" i="2"/>
  <c r="B340" i="2"/>
  <c r="I338" i="2"/>
  <c r="W339" i="2"/>
  <c r="V339" i="2"/>
  <c r="D340" i="2"/>
  <c r="C340" i="2"/>
  <c r="T339" i="2"/>
  <c r="Y339" i="2"/>
  <c r="Z339" i="2"/>
  <c r="U339" i="2"/>
  <c r="S339" i="2"/>
  <c r="X339" i="2"/>
  <c r="R338" i="2" l="1"/>
  <c r="J338" i="2"/>
  <c r="G339" i="2"/>
  <c r="P339" i="2"/>
  <c r="Q339" i="2"/>
  <c r="N339" i="2" s="1"/>
  <c r="F339" i="2"/>
  <c r="E340" i="2"/>
  <c r="O338" i="2"/>
  <c r="L338" i="2"/>
  <c r="M338" i="2" s="1"/>
  <c r="K338" i="2"/>
  <c r="H339" i="2"/>
  <c r="A342" i="2"/>
  <c r="B341" i="2"/>
  <c r="C341" i="2"/>
  <c r="S340" i="2"/>
  <c r="D341" i="2"/>
  <c r="I339" i="2"/>
  <c r="Y340" i="2"/>
  <c r="V340" i="2"/>
  <c r="X340" i="2"/>
  <c r="U340" i="2"/>
  <c r="W340" i="2"/>
  <c r="Z340" i="2"/>
  <c r="T340" i="2"/>
  <c r="I340" i="2" s="1"/>
  <c r="R339" i="2" l="1"/>
  <c r="J339" i="2"/>
  <c r="G340" i="2"/>
  <c r="P340" i="2"/>
  <c r="Q340" i="2"/>
  <c r="N340" i="2" s="1"/>
  <c r="F340" i="2"/>
  <c r="E341" i="2"/>
  <c r="L339" i="2"/>
  <c r="M339" i="2" s="1"/>
  <c r="O339" i="2"/>
  <c r="K339" i="2"/>
  <c r="H340" i="2"/>
  <c r="A343" i="2"/>
  <c r="B342" i="2"/>
  <c r="D342" i="2"/>
  <c r="X341" i="2"/>
  <c r="Y341" i="2"/>
  <c r="U341" i="2"/>
  <c r="C342" i="2"/>
  <c r="T341" i="2"/>
  <c r="I341" i="2" s="1"/>
  <c r="W341" i="2"/>
  <c r="V341" i="2"/>
  <c r="Z341" i="2"/>
  <c r="S341" i="2"/>
  <c r="R340" i="2" l="1"/>
  <c r="J340" i="2"/>
  <c r="G341" i="2"/>
  <c r="P341" i="2"/>
  <c r="Q341" i="2"/>
  <c r="N341" i="2" s="1"/>
  <c r="F341" i="2"/>
  <c r="E342" i="2"/>
  <c r="O340" i="2"/>
  <c r="L340" i="2"/>
  <c r="M340" i="2" s="1"/>
  <c r="K340" i="2"/>
  <c r="H341" i="2"/>
  <c r="A344" i="2"/>
  <c r="B343" i="2"/>
  <c r="C343" i="2"/>
  <c r="V342" i="2"/>
  <c r="U342" i="2"/>
  <c r="X342" i="2"/>
  <c r="Z342" i="2"/>
  <c r="D343" i="2"/>
  <c r="S342" i="2"/>
  <c r="Y342" i="2"/>
  <c r="W342" i="2"/>
  <c r="T342" i="2"/>
  <c r="R341" i="2" l="1"/>
  <c r="J341" i="2"/>
  <c r="G342" i="2"/>
  <c r="P342" i="2"/>
  <c r="Q342" i="2"/>
  <c r="N342" i="2" s="1"/>
  <c r="F342" i="2"/>
  <c r="E343" i="2"/>
  <c r="O341" i="2"/>
  <c r="L341" i="2"/>
  <c r="M341" i="2" s="1"/>
  <c r="K341" i="2"/>
  <c r="H342" i="2"/>
  <c r="A345" i="2"/>
  <c r="B344" i="2"/>
  <c r="D344" i="2"/>
  <c r="U343" i="2"/>
  <c r="S343" i="2"/>
  <c r="C344" i="2"/>
  <c r="T343" i="2"/>
  <c r="V343" i="2"/>
  <c r="I342" i="2"/>
  <c r="W343" i="2"/>
  <c r="Z343" i="2"/>
  <c r="Y343" i="2"/>
  <c r="X343" i="2"/>
  <c r="R342" i="2" l="1"/>
  <c r="J342" i="2"/>
  <c r="G343" i="2"/>
  <c r="P343" i="2"/>
  <c r="Q343" i="2"/>
  <c r="N343" i="2" s="1"/>
  <c r="F343" i="2"/>
  <c r="E344" i="2"/>
  <c r="K342" i="2"/>
  <c r="O342" i="2"/>
  <c r="L342" i="2"/>
  <c r="M342" i="2" s="1"/>
  <c r="H343" i="2"/>
  <c r="A346" i="2"/>
  <c r="B345" i="2"/>
  <c r="C345" i="2"/>
  <c r="W344" i="2"/>
  <c r="D345" i="2"/>
  <c r="I343" i="2"/>
  <c r="Y344" i="2"/>
  <c r="X344" i="2"/>
  <c r="T344" i="2"/>
  <c r="U344" i="2"/>
  <c r="I344" i="2"/>
  <c r="S344" i="2"/>
  <c r="Z344" i="2"/>
  <c r="V344" i="2"/>
  <c r="R343" i="2" l="1"/>
  <c r="J343" i="2"/>
  <c r="G344" i="2"/>
  <c r="P344" i="2"/>
  <c r="Q344" i="2"/>
  <c r="N344" i="2" s="1"/>
  <c r="F344" i="2"/>
  <c r="E345" i="2"/>
  <c r="K343" i="2"/>
  <c r="L343" i="2"/>
  <c r="M343" i="2" s="1"/>
  <c r="O343" i="2"/>
  <c r="H344" i="2"/>
  <c r="A347" i="2"/>
  <c r="B346" i="2"/>
  <c r="W345" i="2"/>
  <c r="T345" i="2"/>
  <c r="Y345" i="2"/>
  <c r="I345" i="2"/>
  <c r="C346" i="2"/>
  <c r="S345" i="2"/>
  <c r="X345" i="2"/>
  <c r="U345" i="2"/>
  <c r="V345" i="2"/>
  <c r="D346" i="2"/>
  <c r="Z345" i="2"/>
  <c r="R344" i="2" l="1"/>
  <c r="J344" i="2"/>
  <c r="G345" i="2"/>
  <c r="P345" i="2"/>
  <c r="Q345" i="2"/>
  <c r="N345" i="2" s="1"/>
  <c r="F345" i="2"/>
  <c r="E346" i="2"/>
  <c r="L344" i="2"/>
  <c r="M344" i="2" s="1"/>
  <c r="O344" i="2"/>
  <c r="K344" i="2"/>
  <c r="H345" i="2"/>
  <c r="A348" i="2"/>
  <c r="B347" i="2"/>
  <c r="C347" i="2"/>
  <c r="V346" i="2"/>
  <c r="U346" i="2"/>
  <c r="X346" i="2"/>
  <c r="D347" i="2"/>
  <c r="S346" i="2"/>
  <c r="Z346" i="2"/>
  <c r="Y346" i="2"/>
  <c r="W346" i="2"/>
  <c r="T346" i="2"/>
  <c r="R345" i="2" l="1"/>
  <c r="J345" i="2"/>
  <c r="G346" i="2"/>
  <c r="P346" i="2"/>
  <c r="Q346" i="2"/>
  <c r="N346" i="2" s="1"/>
  <c r="F346" i="2"/>
  <c r="E347" i="2"/>
  <c r="K345" i="2"/>
  <c r="O345" i="2"/>
  <c r="L345" i="2"/>
  <c r="M345" i="2" s="1"/>
  <c r="H346" i="2"/>
  <c r="A349" i="2"/>
  <c r="B348" i="2"/>
  <c r="I346" i="2"/>
  <c r="V347" i="2"/>
  <c r="W347" i="2"/>
  <c r="X347" i="2"/>
  <c r="T347" i="2"/>
  <c r="U347" i="2"/>
  <c r="Y347" i="2"/>
  <c r="Z347" i="2"/>
  <c r="D348" i="2"/>
  <c r="C348" i="2"/>
  <c r="S347" i="2"/>
  <c r="R346" i="2" l="1"/>
  <c r="J346" i="2"/>
  <c r="G347" i="2"/>
  <c r="P347" i="2"/>
  <c r="Q347" i="2"/>
  <c r="N347" i="2" s="1"/>
  <c r="F347" i="2"/>
  <c r="E348" i="2"/>
  <c r="O346" i="2"/>
  <c r="L346" i="2"/>
  <c r="M346" i="2" s="1"/>
  <c r="K346" i="2"/>
  <c r="H347" i="2"/>
  <c r="A350" i="2"/>
  <c r="B349" i="2"/>
  <c r="C349" i="2"/>
  <c r="W348" i="2"/>
  <c r="D349" i="2"/>
  <c r="I347" i="2"/>
  <c r="Y348" i="2"/>
  <c r="X348" i="2"/>
  <c r="T348" i="2"/>
  <c r="U348" i="2"/>
  <c r="S348" i="2"/>
  <c r="V348" i="2"/>
  <c r="I348" i="2"/>
  <c r="Z348" i="2"/>
  <c r="R347" i="2" l="1"/>
  <c r="J347" i="2"/>
  <c r="G348" i="2"/>
  <c r="P348" i="2"/>
  <c r="Q348" i="2"/>
  <c r="N348" i="2" s="1"/>
  <c r="F348" i="2"/>
  <c r="E349" i="2"/>
  <c r="O347" i="2"/>
  <c r="L347" i="2"/>
  <c r="M347" i="2" s="1"/>
  <c r="K347" i="2"/>
  <c r="H348" i="2"/>
  <c r="A351" i="2"/>
  <c r="B350" i="2"/>
  <c r="Z349" i="2"/>
  <c r="T349" i="2"/>
  <c r="W349" i="2"/>
  <c r="S349" i="2"/>
  <c r="X349" i="2"/>
  <c r="U349" i="2"/>
  <c r="D350" i="2"/>
  <c r="Y349" i="2"/>
  <c r="C350" i="2"/>
  <c r="V349" i="2"/>
  <c r="I349" i="2"/>
  <c r="R348" i="2" l="1"/>
  <c r="J348" i="2"/>
  <c r="G349" i="2"/>
  <c r="P349" i="2"/>
  <c r="Q349" i="2"/>
  <c r="N349" i="2" s="1"/>
  <c r="F349" i="2"/>
  <c r="E350" i="2"/>
  <c r="K348" i="2"/>
  <c r="L348" i="2"/>
  <c r="M348" i="2" s="1"/>
  <c r="O348" i="2"/>
  <c r="H349" i="2"/>
  <c r="A352" i="2"/>
  <c r="B351" i="2"/>
  <c r="Y350" i="2"/>
  <c r="Z350" i="2"/>
  <c r="W350" i="2"/>
  <c r="S350" i="2"/>
  <c r="D351" i="2"/>
  <c r="X350" i="2"/>
  <c r="U350" i="2"/>
  <c r="C351" i="2"/>
  <c r="V350" i="2"/>
  <c r="T350" i="2"/>
  <c r="R349" i="2" l="1"/>
  <c r="J349" i="2"/>
  <c r="G350" i="2"/>
  <c r="P350" i="2"/>
  <c r="Q350" i="2"/>
  <c r="N350" i="2" s="1"/>
  <c r="F350" i="2"/>
  <c r="E351" i="2"/>
  <c r="O349" i="2"/>
  <c r="L349" i="2"/>
  <c r="M349" i="2" s="1"/>
  <c r="K349" i="2"/>
  <c r="H350" i="2"/>
  <c r="A353" i="2"/>
  <c r="B352" i="2"/>
  <c r="I350" i="2"/>
  <c r="V351" i="2"/>
  <c r="S351" i="2"/>
  <c r="X351" i="2"/>
  <c r="T351" i="2"/>
  <c r="W351" i="2"/>
  <c r="Y351" i="2"/>
  <c r="D352" i="2"/>
  <c r="U351" i="2"/>
  <c r="C352" i="2"/>
  <c r="Z351" i="2"/>
  <c r="R350" i="2" l="1"/>
  <c r="J350" i="2"/>
  <c r="G351" i="2"/>
  <c r="P351" i="2"/>
  <c r="Q351" i="2"/>
  <c r="N351" i="2" s="1"/>
  <c r="F351" i="2"/>
  <c r="E352" i="2"/>
  <c r="K350" i="2"/>
  <c r="O350" i="2"/>
  <c r="L350" i="2"/>
  <c r="M350" i="2" s="1"/>
  <c r="H351" i="2"/>
  <c r="A354" i="2"/>
  <c r="B353" i="2"/>
  <c r="C353" i="2"/>
  <c r="Z352" i="2"/>
  <c r="D353" i="2"/>
  <c r="I351" i="2"/>
  <c r="W352" i="2"/>
  <c r="V352" i="2"/>
  <c r="T352" i="2"/>
  <c r="X352" i="2"/>
  <c r="S352" i="2"/>
  <c r="U352" i="2"/>
  <c r="I352" i="2"/>
  <c r="Y352" i="2"/>
  <c r="R351" i="2" l="1"/>
  <c r="J351" i="2"/>
  <c r="G352" i="2"/>
  <c r="P352" i="2"/>
  <c r="Q352" i="2"/>
  <c r="N352" i="2" s="1"/>
  <c r="F352" i="2"/>
  <c r="E353" i="2"/>
  <c r="K351" i="2"/>
  <c r="O351" i="2"/>
  <c r="L351" i="2"/>
  <c r="M351" i="2" s="1"/>
  <c r="H352" i="2"/>
  <c r="A355" i="2"/>
  <c r="B354" i="2"/>
  <c r="Y353" i="2"/>
  <c r="D354" i="2"/>
  <c r="V353" i="2"/>
  <c r="C354" i="2"/>
  <c r="W353" i="2"/>
  <c r="X353" i="2"/>
  <c r="T353" i="2"/>
  <c r="I353" i="2" s="1"/>
  <c r="U353" i="2"/>
  <c r="S353" i="2"/>
  <c r="Z353" i="2"/>
  <c r="R352" i="2" l="1"/>
  <c r="J352" i="2"/>
  <c r="G353" i="2"/>
  <c r="P353" i="2"/>
  <c r="Q353" i="2"/>
  <c r="N353" i="2" s="1"/>
  <c r="F353" i="2"/>
  <c r="E354" i="2"/>
  <c r="O352" i="2"/>
  <c r="K352" i="2"/>
  <c r="L352" i="2"/>
  <c r="M352" i="2" s="1"/>
  <c r="H353" i="2"/>
  <c r="A356" i="2"/>
  <c r="B355" i="2"/>
  <c r="C355" i="2"/>
  <c r="V354" i="2"/>
  <c r="X354" i="2"/>
  <c r="S354" i="2"/>
  <c r="Z354" i="2"/>
  <c r="Y354" i="2"/>
  <c r="W354" i="2"/>
  <c r="T354" i="2"/>
  <c r="U354" i="2"/>
  <c r="D355" i="2"/>
  <c r="R353" i="2" l="1"/>
  <c r="J353" i="2"/>
  <c r="G354" i="2"/>
  <c r="P354" i="2"/>
  <c r="Q354" i="2"/>
  <c r="N354" i="2" s="1"/>
  <c r="F354" i="2"/>
  <c r="E355" i="2"/>
  <c r="K353" i="2"/>
  <c r="O353" i="2"/>
  <c r="L353" i="2"/>
  <c r="M353" i="2" s="1"/>
  <c r="H354" i="2"/>
  <c r="A357" i="2"/>
  <c r="B356" i="2"/>
  <c r="I354" i="2"/>
  <c r="V355" i="2"/>
  <c r="W355" i="2"/>
  <c r="X355" i="2"/>
  <c r="T355" i="2"/>
  <c r="U355" i="2"/>
  <c r="Y355" i="2"/>
  <c r="D356" i="2"/>
  <c r="S355" i="2"/>
  <c r="C356" i="2"/>
  <c r="Z355" i="2"/>
  <c r="R354" i="2" l="1"/>
  <c r="J354" i="2"/>
  <c r="G355" i="2"/>
  <c r="P355" i="2"/>
  <c r="Q355" i="2"/>
  <c r="N355" i="2" s="1"/>
  <c r="F355" i="2"/>
  <c r="E356" i="2"/>
  <c r="O354" i="2"/>
  <c r="L354" i="2"/>
  <c r="M354" i="2" s="1"/>
  <c r="K354" i="2"/>
  <c r="H355" i="2"/>
  <c r="A358" i="2"/>
  <c r="B357" i="2"/>
  <c r="C357" i="2"/>
  <c r="Z356" i="2"/>
  <c r="D357" i="2"/>
  <c r="I355" i="2"/>
  <c r="W356" i="2"/>
  <c r="V356" i="2"/>
  <c r="T356" i="2"/>
  <c r="X356" i="2"/>
  <c r="S356" i="2"/>
  <c r="U356" i="2"/>
  <c r="I356" i="2"/>
  <c r="Y356" i="2"/>
  <c r="R355" i="2" l="1"/>
  <c r="J355" i="2"/>
  <c r="G356" i="2"/>
  <c r="P356" i="2"/>
  <c r="Q356" i="2"/>
  <c r="N356" i="2" s="1"/>
  <c r="F356" i="2"/>
  <c r="E357" i="2"/>
  <c r="L355" i="2"/>
  <c r="M355" i="2" s="1"/>
  <c r="O355" i="2"/>
  <c r="K355" i="2"/>
  <c r="H356" i="2"/>
  <c r="A359" i="2"/>
  <c r="B358" i="2"/>
  <c r="Y357" i="2"/>
  <c r="D358" i="2"/>
  <c r="V357" i="2"/>
  <c r="C358" i="2"/>
  <c r="Z357" i="2"/>
  <c r="T357" i="2"/>
  <c r="I357" i="2" s="1"/>
  <c r="X357" i="2"/>
  <c r="S357" i="2"/>
  <c r="W357" i="2"/>
  <c r="U357" i="2"/>
  <c r="R356" i="2" l="1"/>
  <c r="J356" i="2"/>
  <c r="G357" i="2"/>
  <c r="P357" i="2"/>
  <c r="Q357" i="2"/>
  <c r="N357" i="2" s="1"/>
  <c r="F357" i="2"/>
  <c r="E358" i="2"/>
  <c r="O356" i="2"/>
  <c r="K356" i="2"/>
  <c r="L356" i="2"/>
  <c r="M356" i="2" s="1"/>
  <c r="H357" i="2"/>
  <c r="A360" i="2"/>
  <c r="B359" i="2"/>
  <c r="D359" i="2"/>
  <c r="S358" i="2"/>
  <c r="Y358" i="2"/>
  <c r="U358" i="2"/>
  <c r="W358" i="2"/>
  <c r="T358" i="2"/>
  <c r="C359" i="2"/>
  <c r="V358" i="2"/>
  <c r="Z358" i="2"/>
  <c r="X358" i="2"/>
  <c r="R357" i="2" l="1"/>
  <c r="J357" i="2"/>
  <c r="G358" i="2"/>
  <c r="P358" i="2"/>
  <c r="Q358" i="2"/>
  <c r="N358" i="2" s="1"/>
  <c r="F358" i="2"/>
  <c r="E359" i="2"/>
  <c r="O357" i="2"/>
  <c r="L357" i="2"/>
  <c r="M357" i="2" s="1"/>
  <c r="K357" i="2"/>
  <c r="H358" i="2"/>
  <c r="A361" i="2"/>
  <c r="B360" i="2"/>
  <c r="I358" i="2"/>
  <c r="V359" i="2"/>
  <c r="D360" i="2"/>
  <c r="X359" i="2"/>
  <c r="W359" i="2"/>
  <c r="T359" i="2"/>
  <c r="Y359" i="2"/>
  <c r="U359" i="2"/>
  <c r="C360" i="2"/>
  <c r="Z359" i="2"/>
  <c r="S359" i="2"/>
  <c r="R358" i="2" l="1"/>
  <c r="J358" i="2"/>
  <c r="G359" i="2"/>
  <c r="P359" i="2"/>
  <c r="Q359" i="2"/>
  <c r="N359" i="2" s="1"/>
  <c r="F359" i="2"/>
  <c r="E360" i="2"/>
  <c r="K358" i="2"/>
  <c r="O358" i="2"/>
  <c r="L358" i="2"/>
  <c r="M358" i="2" s="1"/>
  <c r="H359" i="2"/>
  <c r="A362" i="2"/>
  <c r="B361" i="2"/>
  <c r="C361" i="2"/>
  <c r="Z360" i="2"/>
  <c r="D361" i="2"/>
  <c r="I359" i="2"/>
  <c r="W360" i="2"/>
  <c r="V360" i="2"/>
  <c r="T360" i="2"/>
  <c r="X360" i="2"/>
  <c r="S360" i="2"/>
  <c r="U360" i="2"/>
  <c r="I360" i="2"/>
  <c r="Y360" i="2"/>
  <c r="R359" i="2" l="1"/>
  <c r="J359" i="2"/>
  <c r="G360" i="2"/>
  <c r="P360" i="2"/>
  <c r="Q360" i="2"/>
  <c r="N360" i="2" s="1"/>
  <c r="F360" i="2"/>
  <c r="E361" i="2"/>
  <c r="K359" i="2"/>
  <c r="L359" i="2"/>
  <c r="M359" i="2" s="1"/>
  <c r="O359" i="2"/>
  <c r="H360" i="2"/>
  <c r="A363" i="2"/>
  <c r="B362" i="2"/>
  <c r="V361" i="2"/>
  <c r="D362" i="2"/>
  <c r="S361" i="2"/>
  <c r="X361" i="2"/>
  <c r="Y361" i="2"/>
  <c r="C362" i="2"/>
  <c r="T361" i="2"/>
  <c r="W361" i="2"/>
  <c r="U361" i="2"/>
  <c r="Z361" i="2"/>
  <c r="R360" i="2" l="1"/>
  <c r="J360" i="2"/>
  <c r="G361" i="2"/>
  <c r="P361" i="2"/>
  <c r="Q361" i="2"/>
  <c r="N361" i="2" s="1"/>
  <c r="F361" i="2"/>
  <c r="E362" i="2"/>
  <c r="L360" i="2"/>
  <c r="M360" i="2" s="1"/>
  <c r="K360" i="2"/>
  <c r="O360" i="2"/>
  <c r="H361" i="2"/>
  <c r="A364" i="2"/>
  <c r="B363" i="2"/>
  <c r="I361" i="2"/>
  <c r="U362" i="2"/>
  <c r="X362" i="2"/>
  <c r="C363" i="2"/>
  <c r="T362" i="2"/>
  <c r="V362" i="2"/>
  <c r="Y362" i="2"/>
  <c r="D363" i="2"/>
  <c r="S362" i="2"/>
  <c r="Z362" i="2"/>
  <c r="W362" i="2"/>
  <c r="R361" i="2" l="1"/>
  <c r="J361" i="2"/>
  <c r="G362" i="2"/>
  <c r="P362" i="2"/>
  <c r="Q362" i="2"/>
  <c r="N362" i="2" s="1"/>
  <c r="F362" i="2"/>
  <c r="E363" i="2"/>
  <c r="K361" i="2"/>
  <c r="O361" i="2"/>
  <c r="L361" i="2"/>
  <c r="M361" i="2" s="1"/>
  <c r="H362" i="2"/>
  <c r="A365" i="2"/>
  <c r="B364" i="2"/>
  <c r="I362" i="2"/>
  <c r="C364" i="2"/>
  <c r="Y363" i="2"/>
  <c r="X363" i="2"/>
  <c r="D364" i="2"/>
  <c r="W363" i="2"/>
  <c r="Z363" i="2"/>
  <c r="T363" i="2"/>
  <c r="V363" i="2"/>
  <c r="U363" i="2"/>
  <c r="S363" i="2"/>
  <c r="R362" i="2" l="1"/>
  <c r="J362" i="2"/>
  <c r="G363" i="2"/>
  <c r="P363" i="2"/>
  <c r="Q363" i="2"/>
  <c r="N363" i="2" s="1"/>
  <c r="F363" i="2"/>
  <c r="E364" i="2"/>
  <c r="O362" i="2"/>
  <c r="L362" i="2"/>
  <c r="M362" i="2" s="1"/>
  <c r="K362" i="2"/>
  <c r="H363" i="2"/>
  <c r="A366" i="2"/>
  <c r="B365" i="2"/>
  <c r="C365" i="2"/>
  <c r="Y364" i="2"/>
  <c r="D365" i="2"/>
  <c r="W364" i="2"/>
  <c r="V364" i="2"/>
  <c r="I363" i="2"/>
  <c r="T364" i="2"/>
  <c r="X364" i="2"/>
  <c r="U364" i="2"/>
  <c r="I364" i="2"/>
  <c r="S364" i="2"/>
  <c r="Z364" i="2"/>
  <c r="R363" i="2" l="1"/>
  <c r="J363" i="2"/>
  <c r="G364" i="2"/>
  <c r="P364" i="2"/>
  <c r="Q364" i="2"/>
  <c r="N364" i="2" s="1"/>
  <c r="F364" i="2"/>
  <c r="E365" i="2"/>
  <c r="O363" i="2"/>
  <c r="L363" i="2"/>
  <c r="M363" i="2" s="1"/>
  <c r="K363" i="2"/>
  <c r="H364" i="2"/>
  <c r="A367" i="2"/>
  <c r="B366" i="2"/>
  <c r="Y365" i="2"/>
  <c r="Z365" i="2"/>
  <c r="S365" i="2"/>
  <c r="D366" i="2"/>
  <c r="T365" i="2"/>
  <c r="W365" i="2"/>
  <c r="U365" i="2"/>
  <c r="C366" i="2"/>
  <c r="X365" i="2"/>
  <c r="V365" i="2"/>
  <c r="R364" i="2" l="1"/>
  <c r="J364" i="2"/>
  <c r="G365" i="2"/>
  <c r="P365" i="2"/>
  <c r="Q365" i="2"/>
  <c r="N365" i="2" s="1"/>
  <c r="F365" i="2"/>
  <c r="E366" i="2"/>
  <c r="K364" i="2"/>
  <c r="L364" i="2"/>
  <c r="M364" i="2" s="1"/>
  <c r="O364" i="2"/>
  <c r="H365" i="2"/>
  <c r="A368" i="2"/>
  <c r="B367" i="2"/>
  <c r="S366" i="2"/>
  <c r="W366" i="2"/>
  <c r="Z366" i="2"/>
  <c r="D367" i="2"/>
  <c r="Y366" i="2"/>
  <c r="I365" i="2"/>
  <c r="C367" i="2"/>
  <c r="X366" i="2"/>
  <c r="V366" i="2"/>
  <c r="U366" i="2"/>
  <c r="T366" i="2"/>
  <c r="R365" i="2" l="1"/>
  <c r="J365" i="2"/>
  <c r="G366" i="2"/>
  <c r="P366" i="2"/>
  <c r="Q366" i="2"/>
  <c r="N366" i="2" s="1"/>
  <c r="F366" i="2"/>
  <c r="E367" i="2"/>
  <c r="O365" i="2"/>
  <c r="L365" i="2"/>
  <c r="M365" i="2" s="1"/>
  <c r="K365" i="2"/>
  <c r="H366" i="2"/>
  <c r="A369" i="2"/>
  <c r="B368" i="2"/>
  <c r="I366" i="2"/>
  <c r="S367" i="2"/>
  <c r="Y367" i="2"/>
  <c r="Z367" i="2"/>
  <c r="V367" i="2"/>
  <c r="C368" i="2"/>
  <c r="D368" i="2"/>
  <c r="U367" i="2"/>
  <c r="T367" i="2"/>
  <c r="X367" i="2"/>
  <c r="W367" i="2"/>
  <c r="R366" i="2" l="1"/>
  <c r="J366" i="2"/>
  <c r="G367" i="2"/>
  <c r="P367" i="2"/>
  <c r="Q367" i="2"/>
  <c r="N367" i="2" s="1"/>
  <c r="F367" i="2"/>
  <c r="E368" i="2"/>
  <c r="K366" i="2"/>
  <c r="O366" i="2"/>
  <c r="L366" i="2"/>
  <c r="M366" i="2" s="1"/>
  <c r="H367" i="2"/>
  <c r="A370" i="2"/>
  <c r="B369" i="2"/>
  <c r="C369" i="2"/>
  <c r="S368" i="2"/>
  <c r="W368" i="2"/>
  <c r="I367" i="2"/>
  <c r="U368" i="2"/>
  <c r="Y368" i="2"/>
  <c r="T368" i="2"/>
  <c r="X368" i="2"/>
  <c r="I368" i="2"/>
  <c r="Z368" i="2"/>
  <c r="D369" i="2"/>
  <c r="V368" i="2"/>
  <c r="R367" i="2" l="1"/>
  <c r="J367" i="2"/>
  <c r="G368" i="2"/>
  <c r="P368" i="2"/>
  <c r="Q368" i="2"/>
  <c r="N368" i="2" s="1"/>
  <c r="F368" i="2"/>
  <c r="E369" i="2"/>
  <c r="K367" i="2"/>
  <c r="O367" i="2"/>
  <c r="L367" i="2"/>
  <c r="M367" i="2" s="1"/>
  <c r="H368" i="2"/>
  <c r="A371" i="2"/>
  <c r="B370" i="2"/>
  <c r="W369" i="2"/>
  <c r="D370" i="2"/>
  <c r="V369" i="2"/>
  <c r="S369" i="2"/>
  <c r="X369" i="2"/>
  <c r="Y369" i="2"/>
  <c r="Z369" i="2"/>
  <c r="C370" i="2"/>
  <c r="T369" i="2"/>
  <c r="U369" i="2"/>
  <c r="R368" i="2" l="1"/>
  <c r="J368" i="2"/>
  <c r="G369" i="2"/>
  <c r="P369" i="2"/>
  <c r="Q369" i="2"/>
  <c r="N369" i="2" s="1"/>
  <c r="F369" i="2"/>
  <c r="E370" i="2"/>
  <c r="K368" i="2"/>
  <c r="O368" i="2"/>
  <c r="L368" i="2"/>
  <c r="M368" i="2" s="1"/>
  <c r="H369" i="2"/>
  <c r="A372" i="2"/>
  <c r="B371" i="2"/>
  <c r="I369" i="2"/>
  <c r="U370" i="2"/>
  <c r="T370" i="2"/>
  <c r="Y370" i="2"/>
  <c r="S370" i="2"/>
  <c r="W370" i="2"/>
  <c r="X370" i="2"/>
  <c r="C371" i="2"/>
  <c r="V370" i="2"/>
  <c r="D371" i="2"/>
  <c r="Z370" i="2"/>
  <c r="I370" i="2"/>
  <c r="R369" i="2" l="1"/>
  <c r="J369" i="2"/>
  <c r="G370" i="2"/>
  <c r="P370" i="2"/>
  <c r="Q370" i="2"/>
  <c r="N370" i="2" s="1"/>
  <c r="F370" i="2"/>
  <c r="E371" i="2"/>
  <c r="O369" i="2"/>
  <c r="L369" i="2"/>
  <c r="M369" i="2" s="1"/>
  <c r="K369" i="2"/>
  <c r="H370" i="2"/>
  <c r="A373" i="2"/>
  <c r="B372" i="2"/>
  <c r="U371" i="2"/>
  <c r="D372" i="2"/>
  <c r="Y371" i="2"/>
  <c r="C372" i="2"/>
  <c r="Z371" i="2"/>
  <c r="W371" i="2"/>
  <c r="T371" i="2"/>
  <c r="I371" i="2" s="1"/>
  <c r="V371" i="2"/>
  <c r="X371" i="2"/>
  <c r="S371" i="2"/>
  <c r="R370" i="2" l="1"/>
  <c r="J370" i="2"/>
  <c r="G371" i="2"/>
  <c r="P371" i="2"/>
  <c r="Q371" i="2"/>
  <c r="N371" i="2" s="1"/>
  <c r="F371" i="2"/>
  <c r="E372" i="2"/>
  <c r="O370" i="2"/>
  <c r="K370" i="2"/>
  <c r="L370" i="2"/>
  <c r="M370" i="2" s="1"/>
  <c r="H371" i="2"/>
  <c r="A374" i="2"/>
  <c r="B373" i="2"/>
  <c r="C373" i="2"/>
  <c r="V372" i="2"/>
  <c r="T372" i="2"/>
  <c r="X372" i="2"/>
  <c r="U372" i="2"/>
  <c r="S372" i="2"/>
  <c r="Z372" i="2"/>
  <c r="Y372" i="2"/>
  <c r="W372" i="2"/>
  <c r="D373" i="2"/>
  <c r="R371" i="2" l="1"/>
  <c r="J371" i="2"/>
  <c r="G372" i="2"/>
  <c r="P372" i="2"/>
  <c r="Q372" i="2"/>
  <c r="N372" i="2" s="1"/>
  <c r="F372" i="2"/>
  <c r="E373" i="2"/>
  <c r="L371" i="2"/>
  <c r="M371" i="2" s="1"/>
  <c r="O371" i="2"/>
  <c r="K371" i="2"/>
  <c r="H372" i="2"/>
  <c r="A375" i="2"/>
  <c r="B374" i="2"/>
  <c r="Z373" i="2"/>
  <c r="X373" i="2"/>
  <c r="T373" i="2"/>
  <c r="S373" i="2"/>
  <c r="Y373" i="2"/>
  <c r="I372" i="2"/>
  <c r="W373" i="2"/>
  <c r="C374" i="2"/>
  <c r="D374" i="2"/>
  <c r="U373" i="2"/>
  <c r="V373" i="2"/>
  <c r="R372" i="2" l="1"/>
  <c r="J372" i="2"/>
  <c r="G373" i="2"/>
  <c r="P373" i="2"/>
  <c r="Q373" i="2"/>
  <c r="N373" i="2" s="1"/>
  <c r="F373" i="2"/>
  <c r="E374" i="2"/>
  <c r="O372" i="2"/>
  <c r="L372" i="2"/>
  <c r="M372" i="2" s="1"/>
  <c r="K372" i="2"/>
  <c r="H373" i="2"/>
  <c r="A376" i="2"/>
  <c r="B375" i="2"/>
  <c r="C375" i="2"/>
  <c r="Z374" i="2"/>
  <c r="Y374" i="2"/>
  <c r="I373" i="2"/>
  <c r="W374" i="2"/>
  <c r="V374" i="2"/>
  <c r="T374" i="2"/>
  <c r="X374" i="2"/>
  <c r="D375" i="2"/>
  <c r="U374" i="2"/>
  <c r="I374" i="2"/>
  <c r="S374" i="2"/>
  <c r="R373" i="2" l="1"/>
  <c r="J373" i="2"/>
  <c r="G374" i="2"/>
  <c r="P374" i="2"/>
  <c r="Q374" i="2"/>
  <c r="N374" i="2" s="1"/>
  <c r="F374" i="2"/>
  <c r="E375" i="2"/>
  <c r="K373" i="2"/>
  <c r="O373" i="2"/>
  <c r="L373" i="2"/>
  <c r="M373" i="2" s="1"/>
  <c r="H374" i="2"/>
  <c r="A377" i="2"/>
  <c r="B376" i="2"/>
  <c r="U375" i="2"/>
  <c r="V375" i="2"/>
  <c r="Z375" i="2"/>
  <c r="C376" i="2"/>
  <c r="S375" i="2"/>
  <c r="D376" i="2"/>
  <c r="Y375" i="2"/>
  <c r="W375" i="2"/>
  <c r="X375" i="2"/>
  <c r="T375" i="2"/>
  <c r="R374" i="2" l="1"/>
  <c r="J374" i="2"/>
  <c r="G375" i="2"/>
  <c r="P375" i="2"/>
  <c r="Q375" i="2"/>
  <c r="N375" i="2" s="1"/>
  <c r="F375" i="2"/>
  <c r="E376" i="2"/>
  <c r="O374" i="2"/>
  <c r="L374" i="2"/>
  <c r="M374" i="2" s="1"/>
  <c r="K374" i="2"/>
  <c r="H375" i="2"/>
  <c r="A378" i="2"/>
  <c r="B377" i="2"/>
  <c r="I375" i="2"/>
  <c r="X376" i="2"/>
  <c r="D377" i="2"/>
  <c r="C377" i="2"/>
  <c r="Z376" i="2"/>
  <c r="V376" i="2"/>
  <c r="U376" i="2"/>
  <c r="W376" i="2"/>
  <c r="T376" i="2"/>
  <c r="S376" i="2"/>
  <c r="Y376" i="2"/>
  <c r="R375" i="2" l="1"/>
  <c r="J375" i="2"/>
  <c r="G376" i="2"/>
  <c r="P376" i="2"/>
  <c r="Q376" i="2"/>
  <c r="N376" i="2" s="1"/>
  <c r="F376" i="2"/>
  <c r="E377" i="2"/>
  <c r="K375" i="2"/>
  <c r="L375" i="2"/>
  <c r="M375" i="2" s="1"/>
  <c r="O375" i="2"/>
  <c r="H376" i="2"/>
  <c r="A379" i="2"/>
  <c r="B378" i="2"/>
  <c r="I376" i="2"/>
  <c r="U377" i="2"/>
  <c r="V377" i="2"/>
  <c r="Z377" i="2"/>
  <c r="T377" i="2"/>
  <c r="W377" i="2"/>
  <c r="D378" i="2"/>
  <c r="S377" i="2"/>
  <c r="X377" i="2"/>
  <c r="Y377" i="2"/>
  <c r="C378" i="2"/>
  <c r="R376" i="2" l="1"/>
  <c r="J376" i="2"/>
  <c r="G377" i="2"/>
  <c r="P377" i="2"/>
  <c r="Q377" i="2"/>
  <c r="N377" i="2" s="1"/>
  <c r="F377" i="2"/>
  <c r="E378" i="2"/>
  <c r="K376" i="2"/>
  <c r="O376" i="2"/>
  <c r="L376" i="2"/>
  <c r="M376" i="2" s="1"/>
  <c r="H377" i="2"/>
  <c r="A380" i="2"/>
  <c r="B379" i="2"/>
  <c r="C379" i="2"/>
  <c r="Y378" i="2"/>
  <c r="I377" i="2"/>
  <c r="D379" i="2"/>
  <c r="V378" i="2"/>
  <c r="T378" i="2"/>
  <c r="I378" i="2" s="1"/>
  <c r="X378" i="2"/>
  <c r="Z378" i="2"/>
  <c r="U378" i="2"/>
  <c r="S378" i="2"/>
  <c r="W378" i="2"/>
  <c r="R377" i="2" l="1"/>
  <c r="J377" i="2"/>
  <c r="G378" i="2"/>
  <c r="P378" i="2"/>
  <c r="Q378" i="2"/>
  <c r="N378" i="2" s="1"/>
  <c r="F378" i="2"/>
  <c r="E379" i="2"/>
  <c r="O377" i="2"/>
  <c r="L377" i="2"/>
  <c r="M377" i="2" s="1"/>
  <c r="K377" i="2"/>
  <c r="H378" i="2"/>
  <c r="A381" i="2"/>
  <c r="B380" i="2"/>
  <c r="W379" i="2"/>
  <c r="D380" i="2"/>
  <c r="X379" i="2"/>
  <c r="C380" i="2"/>
  <c r="U379" i="2"/>
  <c r="Y379" i="2"/>
  <c r="T379" i="2"/>
  <c r="I379" i="2" s="1"/>
  <c r="V379" i="2"/>
  <c r="S379" i="2"/>
  <c r="Z379" i="2"/>
  <c r="R378" i="2" l="1"/>
  <c r="J378" i="2"/>
  <c r="G379" i="2"/>
  <c r="P379" i="2"/>
  <c r="Q379" i="2"/>
  <c r="N379" i="2" s="1"/>
  <c r="F379" i="2"/>
  <c r="E380" i="2"/>
  <c r="L378" i="2"/>
  <c r="M378" i="2" s="1"/>
  <c r="O378" i="2"/>
  <c r="K378" i="2"/>
  <c r="H379" i="2"/>
  <c r="A382" i="2"/>
  <c r="B381" i="2"/>
  <c r="V380" i="2"/>
  <c r="S380" i="2"/>
  <c r="Z380" i="2"/>
  <c r="Y380" i="2"/>
  <c r="W380" i="2"/>
  <c r="T380" i="2"/>
  <c r="C381" i="2"/>
  <c r="U380" i="2"/>
  <c r="X380" i="2"/>
  <c r="D381" i="2"/>
  <c r="R379" i="2" l="1"/>
  <c r="J379" i="2"/>
  <c r="G380" i="2"/>
  <c r="P380" i="2"/>
  <c r="Q380" i="2"/>
  <c r="N380" i="2" s="1"/>
  <c r="F380" i="2"/>
  <c r="E381" i="2"/>
  <c r="O379" i="2"/>
  <c r="L379" i="2"/>
  <c r="M379" i="2" s="1"/>
  <c r="K379" i="2"/>
  <c r="H380" i="2"/>
  <c r="A383" i="2"/>
  <c r="B382" i="2"/>
  <c r="I380" i="2"/>
  <c r="Z381" i="2"/>
  <c r="S381" i="2"/>
  <c r="X381" i="2"/>
  <c r="T381" i="2"/>
  <c r="W381" i="2"/>
  <c r="V381" i="2"/>
  <c r="D382" i="2"/>
  <c r="Y381" i="2"/>
  <c r="C382" i="2"/>
  <c r="U381" i="2"/>
  <c r="R380" i="2" l="1"/>
  <c r="J380" i="2"/>
  <c r="G381" i="2"/>
  <c r="P381" i="2"/>
  <c r="Q381" i="2"/>
  <c r="N381" i="2" s="1"/>
  <c r="F381" i="2"/>
  <c r="E382" i="2"/>
  <c r="L380" i="2"/>
  <c r="M380" i="2" s="1"/>
  <c r="O380" i="2"/>
  <c r="K380" i="2"/>
  <c r="H381" i="2"/>
  <c r="A384" i="2"/>
  <c r="B383" i="2"/>
  <c r="I381" i="2"/>
  <c r="U382" i="2"/>
  <c r="S382" i="2"/>
  <c r="W382" i="2"/>
  <c r="T382" i="2"/>
  <c r="X382" i="2"/>
  <c r="Z382" i="2"/>
  <c r="V382" i="2"/>
  <c r="D383" i="2"/>
  <c r="Y382" i="2"/>
  <c r="C383" i="2"/>
  <c r="R381" i="2" l="1"/>
  <c r="J381" i="2"/>
  <c r="G382" i="2"/>
  <c r="P382" i="2"/>
  <c r="Q382" i="2"/>
  <c r="N382" i="2" s="1"/>
  <c r="F382" i="2"/>
  <c r="E383" i="2"/>
  <c r="K381" i="2"/>
  <c r="O381" i="2"/>
  <c r="L381" i="2"/>
  <c r="M381" i="2" s="1"/>
  <c r="H382" i="2"/>
  <c r="A385" i="2"/>
  <c r="B384" i="2"/>
  <c r="I382" i="2"/>
  <c r="Y383" i="2"/>
  <c r="W383" i="2"/>
  <c r="C384" i="2"/>
  <c r="S383" i="2"/>
  <c r="Z383" i="2"/>
  <c r="U383" i="2"/>
  <c r="D384" i="2"/>
  <c r="X383" i="2"/>
  <c r="T383" i="2"/>
  <c r="V383" i="2"/>
  <c r="I383" i="2"/>
  <c r="R382" i="2" l="1"/>
  <c r="J382" i="2"/>
  <c r="G383" i="2"/>
  <c r="P383" i="2"/>
  <c r="Q383" i="2"/>
  <c r="N383" i="2" s="1"/>
  <c r="F383" i="2"/>
  <c r="E384" i="2"/>
  <c r="K382" i="2"/>
  <c r="L382" i="2"/>
  <c r="M382" i="2" s="1"/>
  <c r="O382" i="2"/>
  <c r="H383" i="2"/>
  <c r="A386" i="2"/>
  <c r="B385" i="2"/>
  <c r="Y384" i="2"/>
  <c r="W384" i="2"/>
  <c r="T384" i="2"/>
  <c r="S384" i="2"/>
  <c r="Z384" i="2"/>
  <c r="X384" i="2"/>
  <c r="D385" i="2"/>
  <c r="C385" i="2"/>
  <c r="V384" i="2"/>
  <c r="U384" i="2"/>
  <c r="R383" i="2" l="1"/>
  <c r="J383" i="2"/>
  <c r="G384" i="2"/>
  <c r="P384" i="2"/>
  <c r="Q384" i="2"/>
  <c r="N384" i="2" s="1"/>
  <c r="F384" i="2"/>
  <c r="E385" i="2"/>
  <c r="K383" i="2"/>
  <c r="O383" i="2"/>
  <c r="L383" i="2"/>
  <c r="M383" i="2" s="1"/>
  <c r="H384" i="2"/>
  <c r="A387" i="2"/>
  <c r="B386" i="2"/>
  <c r="I384" i="2"/>
  <c r="X385" i="2"/>
  <c r="Y385" i="2"/>
  <c r="Z385" i="2"/>
  <c r="C386" i="2"/>
  <c r="V385" i="2"/>
  <c r="W385" i="2"/>
  <c r="D386" i="2"/>
  <c r="U385" i="2"/>
  <c r="S385" i="2"/>
  <c r="T385" i="2"/>
  <c r="R384" i="2" l="1"/>
  <c r="J384" i="2"/>
  <c r="G385" i="2"/>
  <c r="P385" i="2"/>
  <c r="Q385" i="2"/>
  <c r="N385" i="2" s="1"/>
  <c r="F385" i="2"/>
  <c r="E386" i="2"/>
  <c r="K384" i="2"/>
  <c r="L384" i="2"/>
  <c r="M384" i="2" s="1"/>
  <c r="O384" i="2"/>
  <c r="H385" i="2"/>
  <c r="A388" i="2"/>
  <c r="B387" i="2"/>
  <c r="I385" i="2"/>
  <c r="U386" i="2"/>
  <c r="V386" i="2"/>
  <c r="W386" i="2"/>
  <c r="T386" i="2"/>
  <c r="Y386" i="2"/>
  <c r="Z386" i="2"/>
  <c r="C387" i="2"/>
  <c r="S386" i="2"/>
  <c r="D387" i="2"/>
  <c r="X386" i="2"/>
  <c r="R385" i="2" l="1"/>
  <c r="J385" i="2"/>
  <c r="G386" i="2"/>
  <c r="P386" i="2"/>
  <c r="Q386" i="2"/>
  <c r="N386" i="2" s="1"/>
  <c r="F386" i="2"/>
  <c r="E387" i="2"/>
  <c r="O385" i="2"/>
  <c r="L385" i="2"/>
  <c r="M385" i="2" s="1"/>
  <c r="K385" i="2"/>
  <c r="H386" i="2"/>
  <c r="A389" i="2"/>
  <c r="B388" i="2"/>
  <c r="I386" i="2"/>
  <c r="Z387" i="2"/>
  <c r="U387" i="2"/>
  <c r="C388" i="2"/>
  <c r="S387" i="2"/>
  <c r="X387" i="2"/>
  <c r="D388" i="2"/>
  <c r="Y387" i="2"/>
  <c r="T387" i="2"/>
  <c r="W387" i="2"/>
  <c r="I387" i="2"/>
  <c r="V387" i="2"/>
  <c r="R386" i="2" l="1"/>
  <c r="J386" i="2"/>
  <c r="G387" i="2"/>
  <c r="P387" i="2"/>
  <c r="Q387" i="2"/>
  <c r="N387" i="2" s="1"/>
  <c r="F387" i="2"/>
  <c r="E388" i="2"/>
  <c r="O386" i="2"/>
  <c r="K386" i="2"/>
  <c r="L386" i="2"/>
  <c r="M386" i="2" s="1"/>
  <c r="H387" i="2"/>
  <c r="A390" i="2"/>
  <c r="B389" i="2"/>
  <c r="T388" i="2"/>
  <c r="S388" i="2"/>
  <c r="Z388" i="2"/>
  <c r="Y388" i="2"/>
  <c r="W388" i="2"/>
  <c r="X388" i="2"/>
  <c r="C389" i="2"/>
  <c r="V388" i="2"/>
  <c r="U388" i="2"/>
  <c r="D389" i="2"/>
  <c r="R387" i="2" l="1"/>
  <c r="J387" i="2"/>
  <c r="G388" i="2"/>
  <c r="P388" i="2"/>
  <c r="Q388" i="2"/>
  <c r="N388" i="2" s="1"/>
  <c r="F388" i="2"/>
  <c r="E389" i="2"/>
  <c r="L387" i="2"/>
  <c r="M387" i="2" s="1"/>
  <c r="O387" i="2"/>
  <c r="K387" i="2"/>
  <c r="H388" i="2"/>
  <c r="A391" i="2"/>
  <c r="B390" i="2"/>
  <c r="I388" i="2"/>
  <c r="V389" i="2"/>
  <c r="S389" i="2"/>
  <c r="X389" i="2"/>
  <c r="Z389" i="2"/>
  <c r="T389" i="2"/>
  <c r="Y389" i="2"/>
  <c r="D390" i="2"/>
  <c r="C390" i="2"/>
  <c r="W389" i="2"/>
  <c r="U389" i="2"/>
  <c r="R388" i="2" l="1"/>
  <c r="J388" i="2"/>
  <c r="G389" i="2"/>
  <c r="P389" i="2"/>
  <c r="Q389" i="2"/>
  <c r="N389" i="2" s="1"/>
  <c r="F389" i="2"/>
  <c r="E390" i="2"/>
  <c r="O388" i="2"/>
  <c r="L388" i="2"/>
  <c r="M388" i="2" s="1"/>
  <c r="K388" i="2"/>
  <c r="H389" i="2"/>
  <c r="A392" i="2"/>
  <c r="B391" i="2"/>
  <c r="I389" i="2"/>
  <c r="V390" i="2"/>
  <c r="S390" i="2"/>
  <c r="W390" i="2"/>
  <c r="X390" i="2"/>
  <c r="U390" i="2"/>
  <c r="C391" i="2"/>
  <c r="Y390" i="2"/>
  <c r="Z390" i="2"/>
  <c r="T390" i="2"/>
  <c r="D391" i="2"/>
  <c r="R389" i="2" l="1"/>
  <c r="J389" i="2"/>
  <c r="G390" i="2"/>
  <c r="P390" i="2"/>
  <c r="Q390" i="2"/>
  <c r="N390" i="2" s="1"/>
  <c r="F390" i="2"/>
  <c r="E391" i="2"/>
  <c r="K389" i="2"/>
  <c r="O389" i="2"/>
  <c r="L389" i="2"/>
  <c r="M389" i="2" s="1"/>
  <c r="H390" i="2"/>
  <c r="A393" i="2"/>
  <c r="B392" i="2"/>
  <c r="I390" i="2"/>
  <c r="Z391" i="2"/>
  <c r="U391" i="2"/>
  <c r="C392" i="2"/>
  <c r="S391" i="2"/>
  <c r="X391" i="2"/>
  <c r="V391" i="2"/>
  <c r="D392" i="2"/>
  <c r="Y391" i="2"/>
  <c r="T391" i="2"/>
  <c r="W391" i="2"/>
  <c r="R390" i="2" l="1"/>
  <c r="J390" i="2"/>
  <c r="G391" i="2"/>
  <c r="P391" i="2"/>
  <c r="Q391" i="2"/>
  <c r="N391" i="2" s="1"/>
  <c r="F391" i="2"/>
  <c r="E392" i="2"/>
  <c r="O390" i="2"/>
  <c r="K390" i="2"/>
  <c r="L390" i="2"/>
  <c r="M390" i="2" s="1"/>
  <c r="H391" i="2"/>
  <c r="A394" i="2"/>
  <c r="B393" i="2"/>
  <c r="I391" i="2"/>
  <c r="V392" i="2"/>
  <c r="U392" i="2"/>
  <c r="W392" i="2"/>
  <c r="C393" i="2"/>
  <c r="T392" i="2"/>
  <c r="Z392" i="2"/>
  <c r="Y392" i="2"/>
  <c r="D393" i="2"/>
  <c r="X392" i="2"/>
  <c r="S392" i="2"/>
  <c r="R391" i="2" l="1"/>
  <c r="J391" i="2"/>
  <c r="G392" i="2"/>
  <c r="P392" i="2"/>
  <c r="Q392" i="2"/>
  <c r="N392" i="2" s="1"/>
  <c r="F392" i="2"/>
  <c r="E393" i="2"/>
  <c r="K391" i="2"/>
  <c r="L391" i="2"/>
  <c r="M391" i="2" s="1"/>
  <c r="O391" i="2"/>
  <c r="H392" i="2"/>
  <c r="A395" i="2"/>
  <c r="B394" i="2"/>
  <c r="I392" i="2"/>
  <c r="Y393" i="2"/>
  <c r="S393" i="2"/>
  <c r="W393" i="2"/>
  <c r="T393" i="2"/>
  <c r="Z393" i="2"/>
  <c r="U393" i="2"/>
  <c r="D394" i="2"/>
  <c r="X393" i="2"/>
  <c r="C394" i="2"/>
  <c r="V393" i="2"/>
  <c r="R392" i="2" l="1"/>
  <c r="J392" i="2"/>
  <c r="G393" i="2"/>
  <c r="P393" i="2"/>
  <c r="Q393" i="2"/>
  <c r="N393" i="2" s="1"/>
  <c r="F393" i="2"/>
  <c r="E394" i="2"/>
  <c r="K392" i="2"/>
  <c r="O392" i="2"/>
  <c r="L392" i="2"/>
  <c r="M392" i="2" s="1"/>
  <c r="H393" i="2"/>
  <c r="A396" i="2"/>
  <c r="B395" i="2"/>
  <c r="I393" i="2"/>
  <c r="U394" i="2"/>
  <c r="Y394" i="2"/>
  <c r="W394" i="2"/>
  <c r="T394" i="2"/>
  <c r="V394" i="2"/>
  <c r="Z394" i="2"/>
  <c r="C395" i="2"/>
  <c r="X394" i="2"/>
  <c r="D395" i="2"/>
  <c r="S394" i="2"/>
  <c r="R393" i="2" l="1"/>
  <c r="J393" i="2"/>
  <c r="G394" i="2"/>
  <c r="P394" i="2"/>
  <c r="Q394" i="2"/>
  <c r="N394" i="2" s="1"/>
  <c r="F394" i="2"/>
  <c r="E395" i="2"/>
  <c r="O393" i="2"/>
  <c r="L393" i="2"/>
  <c r="M393" i="2" s="1"/>
  <c r="K393" i="2"/>
  <c r="H394" i="2"/>
  <c r="A397" i="2"/>
  <c r="B396" i="2"/>
  <c r="I394" i="2"/>
  <c r="V395" i="2"/>
  <c r="S395" i="2"/>
  <c r="T395" i="2"/>
  <c r="C396" i="2"/>
  <c r="W395" i="2"/>
  <c r="Y395" i="2"/>
  <c r="D396" i="2"/>
  <c r="U395" i="2"/>
  <c r="X395" i="2"/>
  <c r="Z395" i="2"/>
  <c r="R394" i="2" l="1"/>
  <c r="J394" i="2"/>
  <c r="G395" i="2"/>
  <c r="P395" i="2"/>
  <c r="Q395" i="2"/>
  <c r="N395" i="2" s="1"/>
  <c r="F395" i="2"/>
  <c r="E396" i="2"/>
  <c r="L394" i="2"/>
  <c r="M394" i="2" s="1"/>
  <c r="K394" i="2"/>
  <c r="O394" i="2"/>
  <c r="H395" i="2"/>
  <c r="A398" i="2"/>
  <c r="B397" i="2"/>
  <c r="W396" i="2"/>
  <c r="T396" i="2"/>
  <c r="X396" i="2"/>
  <c r="Z396" i="2"/>
  <c r="C397" i="2"/>
  <c r="V396" i="2"/>
  <c r="D397" i="2"/>
  <c r="Y396" i="2"/>
  <c r="I395" i="2"/>
  <c r="S396" i="2"/>
  <c r="U396" i="2"/>
  <c r="R395" i="2" l="1"/>
  <c r="J395" i="2"/>
  <c r="G396" i="2"/>
  <c r="P396" i="2"/>
  <c r="Q396" i="2"/>
  <c r="N396" i="2" s="1"/>
  <c r="F396" i="2"/>
  <c r="E397" i="2"/>
  <c r="O395" i="2"/>
  <c r="L395" i="2"/>
  <c r="M395" i="2" s="1"/>
  <c r="K395" i="2"/>
  <c r="H396" i="2"/>
  <c r="A399" i="2"/>
  <c r="B398" i="2"/>
  <c r="I396" i="2"/>
  <c r="Z397" i="2"/>
  <c r="S397" i="2"/>
  <c r="X397" i="2"/>
  <c r="T397" i="2"/>
  <c r="W397" i="2"/>
  <c r="V397" i="2"/>
  <c r="D398" i="2"/>
  <c r="U397" i="2"/>
  <c r="C398" i="2"/>
  <c r="Y397" i="2"/>
  <c r="R396" i="2" l="1"/>
  <c r="J396" i="2"/>
  <c r="G397" i="2"/>
  <c r="P397" i="2"/>
  <c r="Q397" i="2"/>
  <c r="N397" i="2" s="1"/>
  <c r="F397" i="2"/>
  <c r="E398" i="2"/>
  <c r="L396" i="2"/>
  <c r="M396" i="2" s="1"/>
  <c r="O396" i="2"/>
  <c r="K396" i="2"/>
  <c r="H397" i="2"/>
  <c r="A400" i="2"/>
  <c r="B399" i="2"/>
  <c r="Z398" i="2"/>
  <c r="C399" i="2"/>
  <c r="V398" i="2"/>
  <c r="D399" i="2"/>
  <c r="Y398" i="2"/>
  <c r="I397" i="2"/>
  <c r="U398" i="2"/>
  <c r="S398" i="2"/>
  <c r="W398" i="2"/>
  <c r="T398" i="2"/>
  <c r="X398" i="2"/>
  <c r="R397" i="2" l="1"/>
  <c r="J397" i="2"/>
  <c r="G398" i="2"/>
  <c r="P398" i="2"/>
  <c r="Q398" i="2"/>
  <c r="N398" i="2" s="1"/>
  <c r="F398" i="2"/>
  <c r="E399" i="2"/>
  <c r="K397" i="2"/>
  <c r="O397" i="2"/>
  <c r="L397" i="2"/>
  <c r="M397" i="2" s="1"/>
  <c r="H398" i="2"/>
  <c r="A401" i="2"/>
  <c r="B400" i="2"/>
  <c r="I398" i="2"/>
  <c r="V399" i="2"/>
  <c r="S399" i="2"/>
  <c r="X399" i="2"/>
  <c r="Z399" i="2"/>
  <c r="T399" i="2"/>
  <c r="Y399" i="2"/>
  <c r="U399" i="2"/>
  <c r="C400" i="2"/>
  <c r="D400" i="2"/>
  <c r="W399" i="2"/>
  <c r="R398" i="2" l="1"/>
  <c r="J398" i="2"/>
  <c r="G399" i="2"/>
  <c r="P399" i="2"/>
  <c r="Q399" i="2"/>
  <c r="N399" i="2" s="1"/>
  <c r="F399" i="2"/>
  <c r="E400" i="2"/>
  <c r="K398" i="2"/>
  <c r="L398" i="2"/>
  <c r="M398" i="2" s="1"/>
  <c r="O398" i="2"/>
  <c r="H399" i="2"/>
  <c r="A402" i="2"/>
  <c r="B401" i="2"/>
  <c r="I399" i="2"/>
  <c r="Z400" i="2"/>
  <c r="Y400" i="2"/>
  <c r="W400" i="2"/>
  <c r="T400" i="2"/>
  <c r="X400" i="2"/>
  <c r="V400" i="2"/>
  <c r="C401" i="2"/>
  <c r="U400" i="2"/>
  <c r="D401" i="2"/>
  <c r="S400" i="2"/>
  <c r="R399" i="2" l="1"/>
  <c r="J399" i="2"/>
  <c r="G400" i="2"/>
  <c r="P400" i="2"/>
  <c r="Q400" i="2"/>
  <c r="N400" i="2" s="1"/>
  <c r="F400" i="2"/>
  <c r="E401" i="2"/>
  <c r="K399" i="2"/>
  <c r="O399" i="2"/>
  <c r="L399" i="2"/>
  <c r="M399" i="2" s="1"/>
  <c r="H400" i="2"/>
  <c r="A403" i="2"/>
  <c r="B402" i="2"/>
  <c r="D402" i="2"/>
  <c r="W401" i="2"/>
  <c r="Y401" i="2"/>
  <c r="V401" i="2"/>
  <c r="X401" i="2"/>
  <c r="T401" i="2"/>
  <c r="S401" i="2"/>
  <c r="U401" i="2"/>
  <c r="I400" i="2"/>
  <c r="Z401" i="2"/>
  <c r="C402" i="2"/>
  <c r="R400" i="2" l="1"/>
  <c r="J400" i="2"/>
  <c r="G401" i="2"/>
  <c r="P401" i="2"/>
  <c r="Q401" i="2"/>
  <c r="N401" i="2" s="1"/>
  <c r="F401" i="2"/>
  <c r="E402" i="2"/>
  <c r="K400" i="2"/>
  <c r="L400" i="2"/>
  <c r="M400" i="2" s="1"/>
  <c r="O400" i="2"/>
  <c r="H401" i="2"/>
  <c r="A404" i="2"/>
  <c r="B403" i="2"/>
  <c r="I401" i="2"/>
  <c r="U402" i="2"/>
  <c r="X402" i="2"/>
  <c r="W402" i="2"/>
  <c r="T402" i="2"/>
  <c r="V402" i="2"/>
  <c r="Z402" i="2"/>
  <c r="C403" i="2"/>
  <c r="S402" i="2"/>
  <c r="D403" i="2"/>
  <c r="Y402" i="2"/>
  <c r="R401" i="2" l="1"/>
  <c r="J401" i="2"/>
  <c r="G402" i="2"/>
  <c r="P402" i="2"/>
  <c r="Q402" i="2"/>
  <c r="N402" i="2" s="1"/>
  <c r="F402" i="2"/>
  <c r="E403" i="2"/>
  <c r="O401" i="2"/>
  <c r="L401" i="2"/>
  <c r="M401" i="2" s="1"/>
  <c r="K401" i="2"/>
  <c r="H402" i="2"/>
  <c r="A405" i="2"/>
  <c r="B404" i="2"/>
  <c r="I402" i="2"/>
  <c r="Y403" i="2"/>
  <c r="W403" i="2"/>
  <c r="X403" i="2"/>
  <c r="T403" i="2"/>
  <c r="Z403" i="2"/>
  <c r="U403" i="2"/>
  <c r="D404" i="2"/>
  <c r="V403" i="2"/>
  <c r="C404" i="2"/>
  <c r="S403" i="2"/>
  <c r="R402" i="2" l="1"/>
  <c r="J402" i="2"/>
  <c r="G403" i="2"/>
  <c r="P403" i="2"/>
  <c r="Q403" i="2"/>
  <c r="N403" i="2" s="1"/>
  <c r="F403" i="2"/>
  <c r="E404" i="2"/>
  <c r="O402" i="2"/>
  <c r="K402" i="2"/>
  <c r="L402" i="2"/>
  <c r="M402" i="2" s="1"/>
  <c r="H403" i="2"/>
  <c r="A406" i="2"/>
  <c r="B405" i="2"/>
  <c r="I403" i="2"/>
  <c r="S404" i="2"/>
  <c r="Z404" i="2"/>
  <c r="U404" i="2"/>
  <c r="X404" i="2"/>
  <c r="D405" i="2"/>
  <c r="C405" i="2"/>
  <c r="V404" i="2"/>
  <c r="T404" i="2"/>
  <c r="Y404" i="2"/>
  <c r="W404" i="2"/>
  <c r="R403" i="2" l="1"/>
  <c r="J403" i="2"/>
  <c r="G404" i="2"/>
  <c r="P404" i="2"/>
  <c r="Q404" i="2"/>
  <c r="N404" i="2" s="1"/>
  <c r="F404" i="2"/>
  <c r="E405" i="2"/>
  <c r="L403" i="2"/>
  <c r="M403" i="2" s="1"/>
  <c r="O403" i="2"/>
  <c r="K403" i="2"/>
  <c r="H404" i="2"/>
  <c r="A407" i="2"/>
  <c r="B406" i="2"/>
  <c r="I404" i="2"/>
  <c r="W405" i="2"/>
  <c r="S405" i="2"/>
  <c r="C406" i="2"/>
  <c r="V405" i="2"/>
  <c r="T405" i="2"/>
  <c r="U405" i="2"/>
  <c r="X405" i="2"/>
  <c r="Y405" i="2"/>
  <c r="Z405" i="2"/>
  <c r="D406" i="2"/>
  <c r="R404" i="2" l="1"/>
  <c r="J404" i="2"/>
  <c r="G405" i="2"/>
  <c r="P405" i="2"/>
  <c r="Q405" i="2"/>
  <c r="N405" i="2" s="1"/>
  <c r="F405" i="2"/>
  <c r="E406" i="2"/>
  <c r="O404" i="2"/>
  <c r="L404" i="2"/>
  <c r="M404" i="2" s="1"/>
  <c r="K404" i="2"/>
  <c r="H405" i="2"/>
  <c r="A408" i="2"/>
  <c r="B407" i="2"/>
  <c r="I405" i="2"/>
  <c r="Y406" i="2"/>
  <c r="C407" i="2"/>
  <c r="W406" i="2"/>
  <c r="X406" i="2"/>
  <c r="D407" i="2"/>
  <c r="U406" i="2"/>
  <c r="Z406" i="2"/>
  <c r="V406" i="2"/>
  <c r="T406" i="2"/>
  <c r="S406" i="2"/>
  <c r="R405" i="2" l="1"/>
  <c r="J405" i="2"/>
  <c r="G406" i="2"/>
  <c r="P406" i="2"/>
  <c r="Q406" i="2"/>
  <c r="N406" i="2" s="1"/>
  <c r="F406" i="2"/>
  <c r="E407" i="2"/>
  <c r="K405" i="2"/>
  <c r="O405" i="2"/>
  <c r="L405" i="2"/>
  <c r="M405" i="2" s="1"/>
  <c r="H406" i="2"/>
  <c r="A409" i="2"/>
  <c r="B408" i="2"/>
  <c r="I406" i="2"/>
  <c r="U407" i="2"/>
  <c r="S407" i="2"/>
  <c r="Z407" i="2"/>
  <c r="Y407" i="2"/>
  <c r="T407" i="2"/>
  <c r="D408" i="2"/>
  <c r="W407" i="2"/>
  <c r="X407" i="2"/>
  <c r="V407" i="2"/>
  <c r="C408" i="2"/>
  <c r="R406" i="2" l="1"/>
  <c r="J406" i="2"/>
  <c r="G407" i="2"/>
  <c r="P407" i="2"/>
  <c r="Q407" i="2"/>
  <c r="N407" i="2" s="1"/>
  <c r="F407" i="2"/>
  <c r="E408" i="2"/>
  <c r="O406" i="2"/>
  <c r="L406" i="2"/>
  <c r="M406" i="2" s="1"/>
  <c r="K406" i="2"/>
  <c r="H407" i="2"/>
  <c r="A410" i="2"/>
  <c r="B409" i="2"/>
  <c r="I407" i="2"/>
  <c r="U408" i="2"/>
  <c r="X408" i="2"/>
  <c r="T408" i="2"/>
  <c r="V408" i="2"/>
  <c r="D409" i="2"/>
  <c r="Z408" i="2"/>
  <c r="Y408" i="2"/>
  <c r="C409" i="2"/>
  <c r="S408" i="2"/>
  <c r="W408" i="2"/>
  <c r="R407" i="2" l="1"/>
  <c r="J407" i="2"/>
  <c r="G408" i="2"/>
  <c r="P408" i="2"/>
  <c r="Q408" i="2"/>
  <c r="N408" i="2" s="1"/>
  <c r="F408" i="2"/>
  <c r="E409" i="2"/>
  <c r="K407" i="2"/>
  <c r="L407" i="2"/>
  <c r="M407" i="2" s="1"/>
  <c r="O407" i="2"/>
  <c r="H408" i="2"/>
  <c r="A411" i="2"/>
  <c r="B410" i="2"/>
  <c r="I408" i="2"/>
  <c r="Y409" i="2"/>
  <c r="S409" i="2"/>
  <c r="C410" i="2"/>
  <c r="V409" i="2"/>
  <c r="Z409" i="2"/>
  <c r="U409" i="2"/>
  <c r="D410" i="2"/>
  <c r="W409" i="2"/>
  <c r="T409" i="2"/>
  <c r="X409" i="2"/>
  <c r="R408" i="2" l="1"/>
  <c r="J408" i="2"/>
  <c r="G409" i="2"/>
  <c r="P409" i="2"/>
  <c r="Q409" i="2"/>
  <c r="N409" i="2" s="1"/>
  <c r="F409" i="2"/>
  <c r="E410" i="2"/>
  <c r="K408" i="2"/>
  <c r="O408" i="2"/>
  <c r="L408" i="2"/>
  <c r="M408" i="2" s="1"/>
  <c r="H409" i="2"/>
  <c r="A412" i="2"/>
  <c r="B411" i="2"/>
  <c r="U410" i="2"/>
  <c r="D411" i="2"/>
  <c r="Z410" i="2"/>
  <c r="X410" i="2"/>
  <c r="S410" i="2"/>
  <c r="I409" i="2"/>
  <c r="Y410" i="2"/>
  <c r="W410" i="2"/>
  <c r="T410" i="2"/>
  <c r="C411" i="2"/>
  <c r="V410" i="2"/>
  <c r="R409" i="2" l="1"/>
  <c r="J409" i="2"/>
  <c r="G410" i="2"/>
  <c r="P410" i="2"/>
  <c r="Q410" i="2"/>
  <c r="N410" i="2" s="1"/>
  <c r="F410" i="2"/>
  <c r="E411" i="2"/>
  <c r="O409" i="2"/>
  <c r="L409" i="2"/>
  <c r="M409" i="2" s="1"/>
  <c r="K409" i="2"/>
  <c r="H410" i="2"/>
  <c r="A413" i="2"/>
  <c r="B412" i="2"/>
  <c r="I410" i="2"/>
  <c r="Z411" i="2"/>
  <c r="U411" i="2"/>
  <c r="C412" i="2"/>
  <c r="S411" i="2"/>
  <c r="X411" i="2"/>
  <c r="V411" i="2"/>
  <c r="D412" i="2"/>
  <c r="Y411" i="2"/>
  <c r="T411" i="2"/>
  <c r="W411" i="2"/>
  <c r="I411" i="2"/>
  <c r="R410" i="2" l="1"/>
  <c r="J410" i="2"/>
  <c r="G411" i="2"/>
  <c r="P411" i="2"/>
  <c r="Q411" i="2"/>
  <c r="N411" i="2" s="1"/>
  <c r="F411" i="2"/>
  <c r="E412" i="2"/>
  <c r="L410" i="2"/>
  <c r="M410" i="2" s="1"/>
  <c r="O410" i="2"/>
  <c r="K410" i="2"/>
  <c r="H411" i="2"/>
  <c r="A414" i="2"/>
  <c r="B413" i="2"/>
  <c r="C413" i="2"/>
  <c r="V412" i="2"/>
  <c r="U412" i="2"/>
  <c r="W412" i="2"/>
  <c r="X412" i="2"/>
  <c r="S412" i="2"/>
  <c r="Z412" i="2"/>
  <c r="Y412" i="2"/>
  <c r="D413" i="2"/>
  <c r="T412" i="2"/>
  <c r="R411" i="2" l="1"/>
  <c r="J411" i="2"/>
  <c r="G412" i="2"/>
  <c r="P412" i="2"/>
  <c r="Q412" i="2"/>
  <c r="N412" i="2" s="1"/>
  <c r="F412" i="2"/>
  <c r="E413" i="2"/>
  <c r="O411" i="2"/>
  <c r="L411" i="2"/>
  <c r="M411" i="2" s="1"/>
  <c r="K411" i="2"/>
  <c r="H412" i="2"/>
  <c r="A415" i="2"/>
  <c r="B414" i="2"/>
  <c r="I412" i="2"/>
  <c r="Z413" i="2"/>
  <c r="S413" i="2"/>
  <c r="X413" i="2"/>
  <c r="T413" i="2"/>
  <c r="W413" i="2"/>
  <c r="V413" i="2"/>
  <c r="D414" i="2"/>
  <c r="U413" i="2"/>
  <c r="C414" i="2"/>
  <c r="Y413" i="2"/>
  <c r="R412" i="2" l="1"/>
  <c r="J412" i="2"/>
  <c r="G413" i="2"/>
  <c r="P413" i="2"/>
  <c r="Q413" i="2"/>
  <c r="N413" i="2" s="1"/>
  <c r="F413" i="2"/>
  <c r="E414" i="2"/>
  <c r="L412" i="2"/>
  <c r="M412" i="2" s="1"/>
  <c r="O412" i="2"/>
  <c r="K412" i="2"/>
  <c r="H413" i="2"/>
  <c r="A416" i="2"/>
  <c r="B415" i="2"/>
  <c r="I413" i="2"/>
  <c r="Z414" i="2"/>
  <c r="S414" i="2"/>
  <c r="C415" i="2"/>
  <c r="Y414" i="2"/>
  <c r="X414" i="2"/>
  <c r="W414" i="2"/>
  <c r="V414" i="2"/>
  <c r="T414" i="2"/>
  <c r="U414" i="2"/>
  <c r="D415" i="2"/>
  <c r="R413" i="2" l="1"/>
  <c r="J413" i="2"/>
  <c r="G414" i="2"/>
  <c r="P414" i="2"/>
  <c r="Q414" i="2"/>
  <c r="N414" i="2" s="1"/>
  <c r="F414" i="2"/>
  <c r="E415" i="2"/>
  <c r="K413" i="2"/>
  <c r="O413" i="2"/>
  <c r="L413" i="2"/>
  <c r="M413" i="2" s="1"/>
  <c r="H414" i="2"/>
  <c r="A417" i="2"/>
  <c r="B416" i="2"/>
  <c r="U415" i="2"/>
  <c r="D416" i="2"/>
  <c r="X415" i="2"/>
  <c r="I414" i="2"/>
  <c r="C416" i="2"/>
  <c r="Z415" i="2"/>
  <c r="W415" i="2"/>
  <c r="T415" i="2"/>
  <c r="V415" i="2"/>
  <c r="Y415" i="2"/>
  <c r="S415" i="2"/>
  <c r="R414" i="2" l="1"/>
  <c r="J414" i="2"/>
  <c r="G415" i="2"/>
  <c r="P415" i="2"/>
  <c r="Q415" i="2"/>
  <c r="N415" i="2" s="1"/>
  <c r="F415" i="2"/>
  <c r="E416" i="2"/>
  <c r="K414" i="2"/>
  <c r="L414" i="2"/>
  <c r="M414" i="2" s="1"/>
  <c r="O414" i="2"/>
  <c r="H415" i="2"/>
  <c r="A418" i="2"/>
  <c r="B417" i="2"/>
  <c r="I415" i="2"/>
  <c r="Y416" i="2"/>
  <c r="S416" i="2"/>
  <c r="X416" i="2"/>
  <c r="V416" i="2"/>
  <c r="U416" i="2"/>
  <c r="W416" i="2"/>
  <c r="T416" i="2"/>
  <c r="C417" i="2"/>
  <c r="Z416" i="2"/>
  <c r="D417" i="2"/>
  <c r="R415" i="2" l="1"/>
  <c r="J415" i="2"/>
  <c r="G416" i="2"/>
  <c r="P416" i="2"/>
  <c r="Q416" i="2"/>
  <c r="N416" i="2" s="1"/>
  <c r="F416" i="2"/>
  <c r="E417" i="2"/>
  <c r="O415" i="2"/>
  <c r="K415" i="2"/>
  <c r="L415" i="2"/>
  <c r="M415" i="2" s="1"/>
  <c r="H416" i="2"/>
  <c r="A419" i="2"/>
  <c r="B418" i="2"/>
  <c r="T417" i="2"/>
  <c r="Z417" i="2"/>
  <c r="Y417" i="2"/>
  <c r="I416" i="2"/>
  <c r="S417" i="2"/>
  <c r="C418" i="2"/>
  <c r="X417" i="2"/>
  <c r="W417" i="2"/>
  <c r="V417" i="2"/>
  <c r="D418" i="2"/>
  <c r="U417" i="2"/>
  <c r="R416" i="2" l="1"/>
  <c r="J416" i="2"/>
  <c r="G417" i="2"/>
  <c r="P417" i="2"/>
  <c r="Q417" i="2"/>
  <c r="N417" i="2" s="1"/>
  <c r="F417" i="2"/>
  <c r="E418" i="2"/>
  <c r="K416" i="2"/>
  <c r="L416" i="2"/>
  <c r="M416" i="2" s="1"/>
  <c r="O416" i="2"/>
  <c r="H417" i="2"/>
  <c r="A420" i="2"/>
  <c r="B419" i="2"/>
  <c r="I417" i="2"/>
  <c r="Z418" i="2"/>
  <c r="C419" i="2"/>
  <c r="T418" i="2"/>
  <c r="X418" i="2"/>
  <c r="S418" i="2"/>
  <c r="V418" i="2"/>
  <c r="U418" i="2"/>
  <c r="W418" i="2"/>
  <c r="D419" i="2"/>
  <c r="Y418" i="2"/>
  <c r="R417" i="2" l="1"/>
  <c r="J417" i="2"/>
  <c r="G418" i="2"/>
  <c r="P418" i="2"/>
  <c r="Q418" i="2"/>
  <c r="N418" i="2" s="1"/>
  <c r="F418" i="2"/>
  <c r="E419" i="2"/>
  <c r="O417" i="2"/>
  <c r="L417" i="2"/>
  <c r="M417" i="2" s="1"/>
  <c r="K417" i="2"/>
  <c r="H418" i="2"/>
  <c r="A421" i="2"/>
  <c r="B420" i="2"/>
  <c r="I418" i="2"/>
  <c r="V419" i="2"/>
  <c r="S419" i="2"/>
  <c r="C420" i="2"/>
  <c r="W419" i="2"/>
  <c r="T419" i="2"/>
  <c r="Y419" i="2"/>
  <c r="D420" i="2"/>
  <c r="U419" i="2"/>
  <c r="Z419" i="2"/>
  <c r="X419" i="2"/>
  <c r="R418" i="2" l="1"/>
  <c r="J418" i="2"/>
  <c r="G419" i="2"/>
  <c r="P419" i="2"/>
  <c r="Q419" i="2"/>
  <c r="N419" i="2" s="1"/>
  <c r="F419" i="2"/>
  <c r="E420" i="2"/>
  <c r="O418" i="2"/>
  <c r="K418" i="2"/>
  <c r="L418" i="2"/>
  <c r="M418" i="2" s="1"/>
  <c r="H419" i="2"/>
  <c r="A422" i="2"/>
  <c r="B421" i="2"/>
  <c r="Z420" i="2"/>
  <c r="D421" i="2"/>
  <c r="Y420" i="2"/>
  <c r="I419" i="2"/>
  <c r="C421" i="2"/>
  <c r="V420" i="2"/>
  <c r="W420" i="2"/>
  <c r="T420" i="2"/>
  <c r="X420" i="2"/>
  <c r="U420" i="2"/>
  <c r="S420" i="2"/>
  <c r="R419" i="2" l="1"/>
  <c r="J419" i="2"/>
  <c r="G420" i="2"/>
  <c r="P420" i="2"/>
  <c r="Q420" i="2"/>
  <c r="N420" i="2" s="1"/>
  <c r="F420" i="2"/>
  <c r="E421" i="2"/>
  <c r="O419" i="2"/>
  <c r="L419" i="2"/>
  <c r="M419" i="2" s="1"/>
  <c r="K419" i="2"/>
  <c r="H420" i="2"/>
  <c r="A423" i="2"/>
  <c r="B422" i="2"/>
  <c r="D422" i="2"/>
  <c r="X421" i="2"/>
  <c r="C422" i="2"/>
  <c r="I420" i="2"/>
  <c r="Z421" i="2"/>
  <c r="W421" i="2"/>
  <c r="V421" i="2"/>
  <c r="U421" i="2"/>
  <c r="T421" i="2"/>
  <c r="I421" i="2" s="1"/>
  <c r="S421" i="2"/>
  <c r="Y421" i="2"/>
  <c r="R420" i="2" l="1"/>
  <c r="J420" i="2"/>
  <c r="G421" i="2"/>
  <c r="P421" i="2"/>
  <c r="Q421" i="2"/>
  <c r="N421" i="2" s="1"/>
  <c r="F421" i="2"/>
  <c r="E422" i="2"/>
  <c r="K420" i="2"/>
  <c r="L420" i="2"/>
  <c r="M420" i="2" s="1"/>
  <c r="O420" i="2"/>
  <c r="H421" i="2"/>
  <c r="A424" i="2"/>
  <c r="B423" i="2"/>
  <c r="C423" i="2"/>
  <c r="W422" i="2"/>
  <c r="V422" i="2"/>
  <c r="X422" i="2"/>
  <c r="Z422" i="2"/>
  <c r="Y422" i="2"/>
  <c r="U422" i="2"/>
  <c r="D423" i="2"/>
  <c r="S422" i="2"/>
  <c r="T422" i="2"/>
  <c r="R421" i="2" l="1"/>
  <c r="J421" i="2"/>
  <c r="G422" i="2"/>
  <c r="P422" i="2"/>
  <c r="Q422" i="2"/>
  <c r="N422" i="2" s="1"/>
  <c r="F422" i="2"/>
  <c r="E423" i="2"/>
  <c r="K421" i="2"/>
  <c r="O421" i="2"/>
  <c r="L421" i="2"/>
  <c r="M421" i="2" s="1"/>
  <c r="H422" i="2"/>
  <c r="A425" i="2"/>
  <c r="B424" i="2"/>
  <c r="D424" i="2"/>
  <c r="Y423" i="2"/>
  <c r="C424" i="2"/>
  <c r="I422" i="2"/>
  <c r="Z423" i="2"/>
  <c r="U423" i="2"/>
  <c r="T423" i="2"/>
  <c r="X423" i="2"/>
  <c r="S423" i="2"/>
  <c r="V423" i="2"/>
  <c r="I423" i="2"/>
  <c r="W423" i="2"/>
  <c r="R422" i="2" l="1"/>
  <c r="J422" i="2"/>
  <c r="G423" i="2"/>
  <c r="P423" i="2"/>
  <c r="Q423" i="2"/>
  <c r="N423" i="2" s="1"/>
  <c r="F423" i="2"/>
  <c r="E424" i="2"/>
  <c r="L422" i="2"/>
  <c r="M422" i="2" s="1"/>
  <c r="K422" i="2"/>
  <c r="O422" i="2"/>
  <c r="H423" i="2"/>
  <c r="A426" i="2"/>
  <c r="B425" i="2"/>
  <c r="C425" i="2"/>
  <c r="V424" i="2"/>
  <c r="T424" i="2"/>
  <c r="X424" i="2"/>
  <c r="U424" i="2"/>
  <c r="D425" i="2"/>
  <c r="W424" i="2"/>
  <c r="S424" i="2"/>
  <c r="Y424" i="2"/>
  <c r="Z424" i="2"/>
  <c r="R423" i="2" l="1"/>
  <c r="J423" i="2"/>
  <c r="G424" i="2"/>
  <c r="P424" i="2"/>
  <c r="Q424" i="2"/>
  <c r="N424" i="2" s="1"/>
  <c r="F424" i="2"/>
  <c r="E425" i="2"/>
  <c r="L423" i="2"/>
  <c r="M423" i="2" s="1"/>
  <c r="K423" i="2"/>
  <c r="O423" i="2"/>
  <c r="H424" i="2"/>
  <c r="A427" i="2"/>
  <c r="B426" i="2"/>
  <c r="Z425" i="2"/>
  <c r="X425" i="2"/>
  <c r="T425" i="2"/>
  <c r="S425" i="2"/>
  <c r="Y425" i="2"/>
  <c r="I424" i="2"/>
  <c r="W425" i="2"/>
  <c r="C426" i="2"/>
  <c r="D426" i="2"/>
  <c r="U425" i="2"/>
  <c r="V425" i="2"/>
  <c r="R424" i="2" l="1"/>
  <c r="J424" i="2"/>
  <c r="G425" i="2"/>
  <c r="P425" i="2"/>
  <c r="Q425" i="2"/>
  <c r="N425" i="2" s="1"/>
  <c r="F425" i="2"/>
  <c r="E426" i="2"/>
  <c r="O424" i="2"/>
  <c r="L424" i="2"/>
  <c r="M424" i="2" s="1"/>
  <c r="K424" i="2"/>
  <c r="H425" i="2"/>
  <c r="A428" i="2"/>
  <c r="B427" i="2"/>
  <c r="C427" i="2"/>
  <c r="I425" i="2"/>
  <c r="T426" i="2"/>
  <c r="X426" i="2"/>
  <c r="S426" i="2"/>
  <c r="U426" i="2"/>
  <c r="I426" i="2"/>
  <c r="Y426" i="2"/>
  <c r="Z426" i="2"/>
  <c r="D427" i="2"/>
  <c r="W426" i="2"/>
  <c r="V426" i="2"/>
  <c r="R425" i="2" l="1"/>
  <c r="J425" i="2"/>
  <c r="G426" i="2"/>
  <c r="P426" i="2"/>
  <c r="Q426" i="2"/>
  <c r="N426" i="2" s="1"/>
  <c r="F426" i="2"/>
  <c r="E427" i="2"/>
  <c r="O425" i="2"/>
  <c r="L425" i="2"/>
  <c r="M425" i="2" s="1"/>
  <c r="K425" i="2"/>
  <c r="H426" i="2"/>
  <c r="A429" i="2"/>
  <c r="B428" i="2"/>
  <c r="D428" i="2"/>
  <c r="T427" i="2"/>
  <c r="V427" i="2"/>
  <c r="Y427" i="2"/>
  <c r="Z427" i="2"/>
  <c r="W427" i="2"/>
  <c r="X427" i="2"/>
  <c r="C428" i="2"/>
  <c r="U427" i="2"/>
  <c r="S427" i="2"/>
  <c r="I427" i="2"/>
  <c r="R426" i="2" l="1"/>
  <c r="J426" i="2"/>
  <c r="G427" i="2"/>
  <c r="P427" i="2"/>
  <c r="Q427" i="2"/>
  <c r="N427" i="2" s="1"/>
  <c r="F427" i="2"/>
  <c r="E428" i="2"/>
  <c r="K426" i="2"/>
  <c r="O426" i="2"/>
  <c r="L426" i="2"/>
  <c r="M426" i="2" s="1"/>
  <c r="H427" i="2"/>
  <c r="A430" i="2"/>
  <c r="B429" i="2"/>
  <c r="C429" i="2"/>
  <c r="V428" i="2"/>
  <c r="U428" i="2"/>
  <c r="X428" i="2"/>
  <c r="D429" i="2"/>
  <c r="S428" i="2"/>
  <c r="Z428" i="2"/>
  <c r="Y428" i="2"/>
  <c r="W428" i="2"/>
  <c r="T428" i="2"/>
  <c r="R427" i="2" l="1"/>
  <c r="J427" i="2"/>
  <c r="G428" i="2"/>
  <c r="P428" i="2"/>
  <c r="Q428" i="2"/>
  <c r="N428" i="2" s="1"/>
  <c r="F428" i="2"/>
  <c r="E429" i="2"/>
  <c r="L427" i="2"/>
  <c r="M427" i="2" s="1"/>
  <c r="O427" i="2"/>
  <c r="K427" i="2"/>
  <c r="H428" i="2"/>
  <c r="A431" i="2"/>
  <c r="B430" i="2"/>
  <c r="D430" i="2"/>
  <c r="Y429" i="2"/>
  <c r="C430" i="2"/>
  <c r="I428" i="2"/>
  <c r="X429" i="2"/>
  <c r="U429" i="2"/>
  <c r="T429" i="2"/>
  <c r="W429" i="2"/>
  <c r="S429" i="2"/>
  <c r="V429" i="2"/>
  <c r="I429" i="2"/>
  <c r="Z429" i="2"/>
  <c r="R428" i="2" l="1"/>
  <c r="J428" i="2"/>
  <c r="G429" i="2"/>
  <c r="P429" i="2"/>
  <c r="Q429" i="2"/>
  <c r="N429" i="2" s="1"/>
  <c r="F429" i="2"/>
  <c r="E430" i="2"/>
  <c r="K428" i="2"/>
  <c r="L428" i="2"/>
  <c r="M428" i="2" s="1"/>
  <c r="O428" i="2"/>
  <c r="H429" i="2"/>
  <c r="A432" i="2"/>
  <c r="B431" i="2"/>
  <c r="C431" i="2"/>
  <c r="X430" i="2"/>
  <c r="T430" i="2"/>
  <c r="U430" i="2"/>
  <c r="D431" i="2"/>
  <c r="S430" i="2"/>
  <c r="W430" i="2"/>
  <c r="Z430" i="2"/>
  <c r="Y430" i="2"/>
  <c r="V430" i="2"/>
  <c r="R429" i="2" l="1"/>
  <c r="J429" i="2"/>
  <c r="G430" i="2"/>
  <c r="P430" i="2"/>
  <c r="Q430" i="2"/>
  <c r="N430" i="2" s="1"/>
  <c r="F430" i="2"/>
  <c r="E431" i="2"/>
  <c r="K429" i="2"/>
  <c r="O429" i="2"/>
  <c r="L429" i="2"/>
  <c r="M429" i="2" s="1"/>
  <c r="H430" i="2"/>
  <c r="A433" i="2"/>
  <c r="B432" i="2"/>
  <c r="C432" i="2"/>
  <c r="S431" i="2"/>
  <c r="I430" i="2"/>
  <c r="U431" i="2"/>
  <c r="Z431" i="2"/>
  <c r="T431" i="2"/>
  <c r="I431" i="2" s="1"/>
  <c r="Y431" i="2"/>
  <c r="W431" i="2"/>
  <c r="X431" i="2"/>
  <c r="D432" i="2"/>
  <c r="V431" i="2"/>
  <c r="R430" i="2" l="1"/>
  <c r="J430" i="2"/>
  <c r="G431" i="2"/>
  <c r="P431" i="2"/>
  <c r="Q431" i="2"/>
  <c r="N431" i="2" s="1"/>
  <c r="F431" i="2"/>
  <c r="E432" i="2"/>
  <c r="L430" i="2"/>
  <c r="M430" i="2" s="1"/>
  <c r="K430" i="2"/>
  <c r="O430" i="2"/>
  <c r="H431" i="2"/>
  <c r="A434" i="2"/>
  <c r="B433" i="2"/>
  <c r="C433" i="2"/>
  <c r="Z432" i="2"/>
  <c r="Y432" i="2"/>
  <c r="V432" i="2"/>
  <c r="D433" i="2"/>
  <c r="U432" i="2"/>
  <c r="X432" i="2"/>
  <c r="W432" i="2"/>
  <c r="T432" i="2"/>
  <c r="S432" i="2"/>
  <c r="R431" i="2" l="1"/>
  <c r="J431" i="2"/>
  <c r="G432" i="2"/>
  <c r="P432" i="2"/>
  <c r="Q432" i="2"/>
  <c r="N432" i="2" s="1"/>
  <c r="F432" i="2"/>
  <c r="E433" i="2"/>
  <c r="L431" i="2"/>
  <c r="M431" i="2" s="1"/>
  <c r="K431" i="2"/>
  <c r="O431" i="2"/>
  <c r="H432" i="2"/>
  <c r="A435" i="2"/>
  <c r="B434" i="2"/>
  <c r="V433" i="2"/>
  <c r="X433" i="2"/>
  <c r="D434" i="2"/>
  <c r="Y433" i="2"/>
  <c r="Z433" i="2"/>
  <c r="T433" i="2"/>
  <c r="C434" i="2"/>
  <c r="W433" i="2"/>
  <c r="I432" i="2"/>
  <c r="U433" i="2"/>
  <c r="S433" i="2"/>
  <c r="R432" i="2" l="1"/>
  <c r="J432" i="2"/>
  <c r="G433" i="2"/>
  <c r="P433" i="2"/>
  <c r="Q433" i="2"/>
  <c r="N433" i="2" s="1"/>
  <c r="F433" i="2"/>
  <c r="E434" i="2"/>
  <c r="O432" i="2"/>
  <c r="L432" i="2"/>
  <c r="M432" i="2" s="1"/>
  <c r="K432" i="2"/>
  <c r="H433" i="2"/>
  <c r="A436" i="2"/>
  <c r="B435" i="2"/>
  <c r="C435" i="2"/>
  <c r="Z434" i="2"/>
  <c r="T434" i="2"/>
  <c r="V434" i="2"/>
  <c r="S434" i="2"/>
  <c r="X434" i="2"/>
  <c r="D435" i="2"/>
  <c r="W434" i="2"/>
  <c r="Y434" i="2"/>
  <c r="U434" i="2"/>
  <c r="I433" i="2"/>
  <c r="I434" i="2"/>
  <c r="R433" i="2" l="1"/>
  <c r="J433" i="2"/>
  <c r="G434" i="2"/>
  <c r="P434" i="2"/>
  <c r="Q434" i="2"/>
  <c r="N434" i="2" s="1"/>
  <c r="F434" i="2"/>
  <c r="E435" i="2"/>
  <c r="L433" i="2"/>
  <c r="M433" i="2" s="1"/>
  <c r="O433" i="2"/>
  <c r="K433" i="2"/>
  <c r="H434" i="2"/>
  <c r="A437" i="2"/>
  <c r="B436" i="2"/>
  <c r="U435" i="2"/>
  <c r="D436" i="2"/>
  <c r="X435" i="2"/>
  <c r="C436" i="2"/>
  <c r="W435" i="2"/>
  <c r="Y435" i="2"/>
  <c r="T435" i="2"/>
  <c r="I435" i="2" s="1"/>
  <c r="V435" i="2"/>
  <c r="S435" i="2"/>
  <c r="Z435" i="2"/>
  <c r="R434" i="2" l="1"/>
  <c r="J434" i="2"/>
  <c r="G435" i="2"/>
  <c r="P435" i="2"/>
  <c r="Q435" i="2"/>
  <c r="N435" i="2" s="1"/>
  <c r="F435" i="2"/>
  <c r="E436" i="2"/>
  <c r="L434" i="2"/>
  <c r="M434" i="2" s="1"/>
  <c r="O434" i="2"/>
  <c r="K434" i="2"/>
  <c r="H435" i="2"/>
  <c r="A438" i="2"/>
  <c r="B437" i="2"/>
  <c r="X436" i="2"/>
  <c r="Y436" i="2"/>
  <c r="S436" i="2"/>
  <c r="D437" i="2"/>
  <c r="T436" i="2"/>
  <c r="V436" i="2"/>
  <c r="W436" i="2"/>
  <c r="Z436" i="2"/>
  <c r="C437" i="2"/>
  <c r="U436" i="2"/>
  <c r="R435" i="2" l="1"/>
  <c r="J435" i="2"/>
  <c r="G436" i="2"/>
  <c r="P436" i="2"/>
  <c r="Q436" i="2"/>
  <c r="N436" i="2" s="1"/>
  <c r="F436" i="2"/>
  <c r="E437" i="2"/>
  <c r="O435" i="2"/>
  <c r="L435" i="2"/>
  <c r="M435" i="2" s="1"/>
  <c r="K435" i="2"/>
  <c r="H436" i="2"/>
  <c r="A439" i="2"/>
  <c r="B438" i="2"/>
  <c r="I436" i="2"/>
  <c r="C438" i="2"/>
  <c r="W437" i="2"/>
  <c r="U437" i="2"/>
  <c r="D438" i="2"/>
  <c r="T437" i="2"/>
  <c r="V437" i="2"/>
  <c r="S437" i="2"/>
  <c r="Z437" i="2"/>
  <c r="Y437" i="2"/>
  <c r="X437" i="2"/>
  <c r="R436" i="2" l="1"/>
  <c r="J436" i="2"/>
  <c r="G437" i="2"/>
  <c r="P437" i="2"/>
  <c r="Q437" i="2"/>
  <c r="N437" i="2" s="1"/>
  <c r="F437" i="2"/>
  <c r="E438" i="2"/>
  <c r="K436" i="2"/>
  <c r="O436" i="2"/>
  <c r="L436" i="2"/>
  <c r="M436" i="2" s="1"/>
  <c r="H437" i="2"/>
  <c r="A440" i="2"/>
  <c r="B439" i="2"/>
  <c r="I437" i="2"/>
  <c r="S438" i="2"/>
  <c r="X438" i="2"/>
  <c r="Y438" i="2"/>
  <c r="W438" i="2"/>
  <c r="T438" i="2"/>
  <c r="C439" i="2"/>
  <c r="Z438" i="2"/>
  <c r="U438" i="2"/>
  <c r="V438" i="2"/>
  <c r="D439" i="2"/>
  <c r="R437" i="2" l="1"/>
  <c r="J437" i="2"/>
  <c r="G438" i="2"/>
  <c r="P438" i="2"/>
  <c r="Q438" i="2"/>
  <c r="N438" i="2" s="1"/>
  <c r="F438" i="2"/>
  <c r="E439" i="2"/>
  <c r="L437" i="2"/>
  <c r="M437" i="2" s="1"/>
  <c r="O437" i="2"/>
  <c r="K437" i="2"/>
  <c r="H438" i="2"/>
  <c r="A441" i="2"/>
  <c r="B440" i="2"/>
  <c r="D440" i="2"/>
  <c r="S439" i="2"/>
  <c r="Y439" i="2"/>
  <c r="I438" i="2"/>
  <c r="Z439" i="2"/>
  <c r="X439" i="2"/>
  <c r="T439" i="2"/>
  <c r="W439" i="2"/>
  <c r="U439" i="2"/>
  <c r="V439" i="2"/>
  <c r="C440" i="2"/>
  <c r="I439" i="2"/>
  <c r="R438" i="2" l="1"/>
  <c r="J438" i="2"/>
  <c r="G439" i="2"/>
  <c r="P439" i="2"/>
  <c r="Q439" i="2"/>
  <c r="N439" i="2" s="1"/>
  <c r="F439" i="2"/>
  <c r="E440" i="2"/>
  <c r="K438" i="2"/>
  <c r="L438" i="2"/>
  <c r="M438" i="2" s="1"/>
  <c r="O438" i="2"/>
  <c r="H439" i="2"/>
  <c r="A442" i="2"/>
  <c r="B441" i="2"/>
  <c r="V440" i="2"/>
  <c r="C441" i="2"/>
  <c r="Z440" i="2"/>
  <c r="D441" i="2"/>
  <c r="W440" i="2"/>
  <c r="X440" i="2"/>
  <c r="T440" i="2"/>
  <c r="I440" i="2" s="1"/>
  <c r="U440" i="2"/>
  <c r="S440" i="2"/>
  <c r="Y440" i="2"/>
  <c r="R439" i="2" l="1"/>
  <c r="J439" i="2"/>
  <c r="G440" i="2"/>
  <c r="P440" i="2"/>
  <c r="Q440" i="2"/>
  <c r="N440" i="2" s="1"/>
  <c r="F440" i="2"/>
  <c r="E441" i="2"/>
  <c r="L439" i="2"/>
  <c r="M439" i="2" s="1"/>
  <c r="O439" i="2"/>
  <c r="K439" i="2"/>
  <c r="H440" i="2"/>
  <c r="A443" i="2"/>
  <c r="B442" i="2"/>
  <c r="D442" i="2"/>
  <c r="W441" i="2"/>
  <c r="V441" i="2"/>
  <c r="U441" i="2"/>
  <c r="C442" i="2"/>
  <c r="S441" i="2"/>
  <c r="Y441" i="2"/>
  <c r="Z441" i="2"/>
  <c r="X441" i="2"/>
  <c r="T441" i="2"/>
  <c r="R440" i="2" l="1"/>
  <c r="J440" i="2"/>
  <c r="G441" i="2"/>
  <c r="P441" i="2"/>
  <c r="Q441" i="2"/>
  <c r="N441" i="2" s="1"/>
  <c r="F441" i="2"/>
  <c r="E442" i="2"/>
  <c r="L440" i="2"/>
  <c r="M440" i="2" s="1"/>
  <c r="K440" i="2"/>
  <c r="O440" i="2"/>
  <c r="H441" i="2"/>
  <c r="A444" i="2"/>
  <c r="B443" i="2"/>
  <c r="C443" i="2"/>
  <c r="X442" i="2"/>
  <c r="D443" i="2"/>
  <c r="I441" i="2"/>
  <c r="Y442" i="2"/>
  <c r="T442" i="2"/>
  <c r="I442" i="2" s="1"/>
  <c r="V442" i="2"/>
  <c r="S442" i="2"/>
  <c r="U442" i="2"/>
  <c r="Z442" i="2"/>
  <c r="W442" i="2"/>
  <c r="R441" i="2" l="1"/>
  <c r="J441" i="2"/>
  <c r="G442" i="2"/>
  <c r="P442" i="2"/>
  <c r="Q442" i="2"/>
  <c r="N442" i="2" s="1"/>
  <c r="F442" i="2"/>
  <c r="E443" i="2"/>
  <c r="K441" i="2"/>
  <c r="L441" i="2"/>
  <c r="M441" i="2" s="1"/>
  <c r="O441" i="2"/>
  <c r="H442" i="2"/>
  <c r="A445" i="2"/>
  <c r="B444" i="2"/>
  <c r="U443" i="2"/>
  <c r="D444" i="2"/>
  <c r="X443" i="2"/>
  <c r="S443" i="2"/>
  <c r="Z443" i="2"/>
  <c r="Y443" i="2"/>
  <c r="T443" i="2"/>
  <c r="I443" i="2" s="1"/>
  <c r="C444" i="2"/>
  <c r="V443" i="2"/>
  <c r="W443" i="2"/>
  <c r="R442" i="2" l="1"/>
  <c r="J442" i="2"/>
  <c r="G443" i="2"/>
  <c r="P443" i="2"/>
  <c r="Q443" i="2"/>
  <c r="N443" i="2" s="1"/>
  <c r="F443" i="2"/>
  <c r="E444" i="2"/>
  <c r="O442" i="2"/>
  <c r="L442" i="2"/>
  <c r="M442" i="2" s="1"/>
  <c r="K442" i="2"/>
  <c r="H443" i="2"/>
  <c r="A446" i="2"/>
  <c r="B445" i="2"/>
  <c r="V444" i="2"/>
  <c r="W444" i="2"/>
  <c r="D445" i="2"/>
  <c r="C445" i="2"/>
  <c r="T444" i="2"/>
  <c r="Z444" i="2"/>
  <c r="X444" i="2"/>
  <c r="Y444" i="2"/>
  <c r="U444" i="2"/>
  <c r="S444" i="2"/>
  <c r="R443" i="2" l="1"/>
  <c r="J443" i="2"/>
  <c r="G444" i="2"/>
  <c r="P444" i="2"/>
  <c r="Q444" i="2"/>
  <c r="N444" i="2" s="1"/>
  <c r="F444" i="2"/>
  <c r="E445" i="2"/>
  <c r="K443" i="2"/>
  <c r="O443" i="2"/>
  <c r="L443" i="2"/>
  <c r="M443" i="2" s="1"/>
  <c r="H444" i="2"/>
  <c r="A447" i="2"/>
  <c r="B446" i="2"/>
  <c r="I444" i="2"/>
  <c r="C446" i="2"/>
  <c r="W445" i="2"/>
  <c r="U445" i="2"/>
  <c r="D446" i="2"/>
  <c r="X445" i="2"/>
  <c r="V445" i="2"/>
  <c r="S445" i="2"/>
  <c r="Z445" i="2"/>
  <c r="Y445" i="2"/>
  <c r="T445" i="2"/>
  <c r="R444" i="2" l="1"/>
  <c r="J444" i="2"/>
  <c r="G445" i="2"/>
  <c r="P445" i="2"/>
  <c r="Q445" i="2"/>
  <c r="N445" i="2" s="1"/>
  <c r="F445" i="2"/>
  <c r="E446" i="2"/>
  <c r="O444" i="2"/>
  <c r="L444" i="2"/>
  <c r="M444" i="2" s="1"/>
  <c r="K444" i="2"/>
  <c r="H445" i="2"/>
  <c r="A448" i="2"/>
  <c r="B447" i="2"/>
  <c r="I445" i="2"/>
  <c r="S446" i="2"/>
  <c r="U446" i="2"/>
  <c r="X446" i="2"/>
  <c r="W446" i="2"/>
  <c r="T446" i="2"/>
  <c r="C447" i="2"/>
  <c r="Z446" i="2"/>
  <c r="Y446" i="2"/>
  <c r="V446" i="2"/>
  <c r="D447" i="2"/>
  <c r="R445" i="2" l="1"/>
  <c r="J445" i="2"/>
  <c r="G446" i="2"/>
  <c r="P446" i="2"/>
  <c r="Q446" i="2"/>
  <c r="N446" i="2" s="1"/>
  <c r="F446" i="2"/>
  <c r="E447" i="2"/>
  <c r="K445" i="2"/>
  <c r="L445" i="2"/>
  <c r="M445" i="2" s="1"/>
  <c r="O445" i="2"/>
  <c r="H446" i="2"/>
  <c r="A449" i="2"/>
  <c r="B448" i="2"/>
  <c r="D448" i="2"/>
  <c r="Y447" i="2"/>
  <c r="U447" i="2"/>
  <c r="X447" i="2"/>
  <c r="Z447" i="2"/>
  <c r="V447" i="2"/>
  <c r="T447" i="2"/>
  <c r="W447" i="2"/>
  <c r="S447" i="2"/>
  <c r="I447" i="2"/>
  <c r="I446" i="2"/>
  <c r="C448" i="2"/>
  <c r="R446" i="2" l="1"/>
  <c r="J446" i="2"/>
  <c r="G447" i="2"/>
  <c r="P447" i="2"/>
  <c r="Q447" i="2"/>
  <c r="N447" i="2" s="1"/>
  <c r="F447" i="2"/>
  <c r="E448" i="2"/>
  <c r="K446" i="2"/>
  <c r="O446" i="2"/>
  <c r="L446" i="2"/>
  <c r="M446" i="2" s="1"/>
  <c r="H447" i="2"/>
  <c r="A450" i="2"/>
  <c r="B449" i="2"/>
  <c r="X448" i="2"/>
  <c r="C449" i="2"/>
  <c r="U448" i="2"/>
  <c r="D449" i="2"/>
  <c r="Y448" i="2"/>
  <c r="V448" i="2"/>
  <c r="T448" i="2"/>
  <c r="I448" i="2" s="1"/>
  <c r="Z448" i="2"/>
  <c r="S448" i="2"/>
  <c r="W448" i="2"/>
  <c r="R447" i="2" l="1"/>
  <c r="J447" i="2"/>
  <c r="G448" i="2"/>
  <c r="P448" i="2"/>
  <c r="Q448" i="2"/>
  <c r="N448" i="2" s="1"/>
  <c r="F448" i="2"/>
  <c r="E449" i="2"/>
  <c r="O447" i="2"/>
  <c r="L447" i="2"/>
  <c r="M447" i="2" s="1"/>
  <c r="K447" i="2"/>
  <c r="H448" i="2"/>
  <c r="A451" i="2"/>
  <c r="B450" i="2"/>
  <c r="Z449" i="2"/>
  <c r="X449" i="2"/>
  <c r="T449" i="2"/>
  <c r="W449" i="2"/>
  <c r="V449" i="2"/>
  <c r="D450" i="2"/>
  <c r="U449" i="2"/>
  <c r="C450" i="2"/>
  <c r="S449" i="2"/>
  <c r="Y449" i="2"/>
  <c r="R448" i="2" l="1"/>
  <c r="J448" i="2"/>
  <c r="G449" i="2"/>
  <c r="P449" i="2"/>
  <c r="Q449" i="2"/>
  <c r="N449" i="2" s="1"/>
  <c r="F449" i="2"/>
  <c r="E450" i="2"/>
  <c r="O448" i="2"/>
  <c r="K448" i="2"/>
  <c r="L448" i="2"/>
  <c r="M448" i="2" s="1"/>
  <c r="H449" i="2"/>
  <c r="A452" i="2"/>
  <c r="B451" i="2"/>
  <c r="C451" i="2"/>
  <c r="X450" i="2"/>
  <c r="S450" i="2"/>
  <c r="I449" i="2"/>
  <c r="W450" i="2"/>
  <c r="Y450" i="2"/>
  <c r="T450" i="2"/>
  <c r="V450" i="2"/>
  <c r="D451" i="2"/>
  <c r="U450" i="2"/>
  <c r="I450" i="2"/>
  <c r="Z450" i="2"/>
  <c r="R449" i="2" l="1"/>
  <c r="J449" i="2"/>
  <c r="G450" i="2"/>
  <c r="P450" i="2"/>
  <c r="Q450" i="2"/>
  <c r="N450" i="2" s="1"/>
  <c r="F450" i="2"/>
  <c r="E451" i="2"/>
  <c r="O449" i="2"/>
  <c r="L449" i="2"/>
  <c r="M449" i="2" s="1"/>
  <c r="K449" i="2"/>
  <c r="H450" i="2"/>
  <c r="A453" i="2"/>
  <c r="B452" i="2"/>
  <c r="W451" i="2"/>
  <c r="V451" i="2"/>
  <c r="S451" i="2"/>
  <c r="X451" i="2"/>
  <c r="T451" i="2"/>
  <c r="Y451" i="2"/>
  <c r="U451" i="2"/>
  <c r="I451" i="2"/>
  <c r="C452" i="2"/>
  <c r="Z451" i="2"/>
  <c r="D452" i="2"/>
  <c r="R450" i="2" l="1"/>
  <c r="J450" i="2"/>
  <c r="G451" i="2"/>
  <c r="P451" i="2"/>
  <c r="Q451" i="2"/>
  <c r="N451" i="2" s="1"/>
  <c r="F451" i="2"/>
  <c r="E452" i="2"/>
  <c r="L450" i="2"/>
  <c r="M450" i="2" s="1"/>
  <c r="O450" i="2"/>
  <c r="K450" i="2"/>
  <c r="H451" i="2"/>
  <c r="A454" i="2"/>
  <c r="B453" i="2"/>
  <c r="X452" i="2"/>
  <c r="D453" i="2"/>
  <c r="V452" i="2"/>
  <c r="Y452" i="2"/>
  <c r="C453" i="2"/>
  <c r="U452" i="2"/>
  <c r="Z452" i="2"/>
  <c r="W452" i="2"/>
  <c r="T452" i="2"/>
  <c r="S452" i="2"/>
  <c r="R451" i="2" l="1"/>
  <c r="J451" i="2"/>
  <c r="G452" i="2"/>
  <c r="P452" i="2"/>
  <c r="Q452" i="2"/>
  <c r="N452" i="2" s="1"/>
  <c r="F452" i="2"/>
  <c r="E453" i="2"/>
  <c r="L451" i="2"/>
  <c r="M451" i="2" s="1"/>
  <c r="O451" i="2"/>
  <c r="K451" i="2"/>
  <c r="H452" i="2"/>
  <c r="A455" i="2"/>
  <c r="B454" i="2"/>
  <c r="C454" i="2"/>
  <c r="Z453" i="2"/>
  <c r="D454" i="2"/>
  <c r="I452" i="2"/>
  <c r="Y453" i="2"/>
  <c r="V453" i="2"/>
  <c r="T453" i="2"/>
  <c r="U453" i="2"/>
  <c r="S453" i="2"/>
  <c r="W453" i="2"/>
  <c r="I453" i="2"/>
  <c r="X453" i="2"/>
  <c r="R452" i="2" l="1"/>
  <c r="J452" i="2"/>
  <c r="G453" i="2"/>
  <c r="P453" i="2"/>
  <c r="Q453" i="2"/>
  <c r="N453" i="2" s="1"/>
  <c r="F453" i="2"/>
  <c r="E454" i="2"/>
  <c r="O452" i="2"/>
  <c r="K452" i="2"/>
  <c r="L452" i="2"/>
  <c r="M452" i="2" s="1"/>
  <c r="H453" i="2"/>
  <c r="A456" i="2"/>
  <c r="B455" i="2"/>
  <c r="D455" i="2"/>
  <c r="Y454" i="2"/>
  <c r="X454" i="2"/>
  <c r="U454" i="2"/>
  <c r="T454" i="2"/>
  <c r="S454" i="2"/>
  <c r="Z454" i="2"/>
  <c r="V454" i="2"/>
  <c r="C455" i="2"/>
  <c r="W454" i="2"/>
  <c r="R453" i="2" l="1"/>
  <c r="J453" i="2"/>
  <c r="G454" i="2"/>
  <c r="P454" i="2"/>
  <c r="Q454" i="2"/>
  <c r="N454" i="2" s="1"/>
  <c r="F454" i="2"/>
  <c r="E455" i="2"/>
  <c r="K453" i="2"/>
  <c r="O453" i="2"/>
  <c r="L453" i="2"/>
  <c r="M453" i="2" s="1"/>
  <c r="H454" i="2"/>
  <c r="A457" i="2"/>
  <c r="B456" i="2"/>
  <c r="I454" i="2"/>
  <c r="Z455" i="2"/>
  <c r="V455" i="2"/>
  <c r="D456" i="2"/>
  <c r="S455" i="2"/>
  <c r="X455" i="2"/>
  <c r="Y455" i="2"/>
  <c r="C456" i="2"/>
  <c r="T455" i="2"/>
  <c r="W455" i="2"/>
  <c r="I455" i="2"/>
  <c r="U455" i="2"/>
  <c r="R454" i="2" l="1"/>
  <c r="J454" i="2"/>
  <c r="G455" i="2"/>
  <c r="P455" i="2"/>
  <c r="Q455" i="2"/>
  <c r="N455" i="2" s="1"/>
  <c r="F455" i="2"/>
  <c r="E456" i="2"/>
  <c r="K454" i="2"/>
  <c r="O454" i="2"/>
  <c r="L454" i="2"/>
  <c r="M454" i="2" s="1"/>
  <c r="H455" i="2"/>
  <c r="A458" i="2"/>
  <c r="B457" i="2"/>
  <c r="Y456" i="2"/>
  <c r="U456" i="2"/>
  <c r="C457" i="2"/>
  <c r="D457" i="2"/>
  <c r="W456" i="2"/>
  <c r="Z456" i="2"/>
  <c r="X456" i="2"/>
  <c r="T456" i="2"/>
  <c r="S456" i="2"/>
  <c r="V456" i="2"/>
  <c r="R455" i="2" l="1"/>
  <c r="J455" i="2"/>
  <c r="G456" i="2"/>
  <c r="P456" i="2"/>
  <c r="Q456" i="2"/>
  <c r="N456" i="2" s="1"/>
  <c r="F456" i="2"/>
  <c r="E457" i="2"/>
  <c r="K455" i="2"/>
  <c r="L455" i="2"/>
  <c r="M455" i="2" s="1"/>
  <c r="O455" i="2"/>
  <c r="H456" i="2"/>
  <c r="A459" i="2"/>
  <c r="B458" i="2"/>
  <c r="C458" i="2"/>
  <c r="S457" i="2"/>
  <c r="D458" i="2"/>
  <c r="I456" i="2"/>
  <c r="W457" i="2"/>
  <c r="X457" i="2"/>
  <c r="Z457" i="2"/>
  <c r="Y457" i="2"/>
  <c r="U457" i="2"/>
  <c r="T457" i="2"/>
  <c r="I457" i="2" s="1"/>
  <c r="V457" i="2"/>
  <c r="R456" i="2" l="1"/>
  <c r="J456" i="2"/>
  <c r="G457" i="2"/>
  <c r="P457" i="2"/>
  <c r="Q457" i="2"/>
  <c r="N457" i="2" s="1"/>
  <c r="F457" i="2"/>
  <c r="E458" i="2"/>
  <c r="K456" i="2"/>
  <c r="O456" i="2"/>
  <c r="L456" i="2"/>
  <c r="M456" i="2" s="1"/>
  <c r="H457" i="2"/>
  <c r="A460" i="2"/>
  <c r="B459" i="2"/>
  <c r="U458" i="2"/>
  <c r="D459" i="2"/>
  <c r="W458" i="2"/>
  <c r="C459" i="2"/>
  <c r="Z458" i="2"/>
  <c r="X458" i="2"/>
  <c r="Y458" i="2"/>
  <c r="T458" i="2"/>
  <c r="V458" i="2"/>
  <c r="S458" i="2"/>
  <c r="I458" i="2"/>
  <c r="R457" i="2" l="1"/>
  <c r="J457" i="2"/>
  <c r="G458" i="2"/>
  <c r="P458" i="2"/>
  <c r="Q458" i="2"/>
  <c r="N458" i="2" s="1"/>
  <c r="F458" i="2"/>
  <c r="E459" i="2"/>
  <c r="L457" i="2"/>
  <c r="M457" i="2" s="1"/>
  <c r="K457" i="2"/>
  <c r="O457" i="2"/>
  <c r="H458" i="2"/>
  <c r="A461" i="2"/>
  <c r="B460" i="2"/>
  <c r="Z459" i="2"/>
  <c r="C460" i="2"/>
  <c r="Y459" i="2"/>
  <c r="W459" i="2"/>
  <c r="S459" i="2"/>
  <c r="V459" i="2"/>
  <c r="T459" i="2"/>
  <c r="I459" i="2" s="1"/>
  <c r="U459" i="2"/>
  <c r="D460" i="2"/>
  <c r="X459" i="2"/>
  <c r="R458" i="2" l="1"/>
  <c r="J458" i="2"/>
  <c r="G459" i="2"/>
  <c r="P459" i="2"/>
  <c r="Q459" i="2"/>
  <c r="N459" i="2" s="1"/>
  <c r="F459" i="2"/>
  <c r="E460" i="2"/>
  <c r="K458" i="2"/>
  <c r="L458" i="2"/>
  <c r="M458" i="2" s="1"/>
  <c r="O458" i="2"/>
  <c r="H459" i="2"/>
  <c r="A462" i="2"/>
  <c r="B461" i="2"/>
  <c r="Y460" i="2"/>
  <c r="U460" i="2"/>
  <c r="V460" i="2"/>
  <c r="D461" i="2"/>
  <c r="C461" i="2"/>
  <c r="X460" i="2"/>
  <c r="T460" i="2"/>
  <c r="I460" i="2" s="1"/>
  <c r="S460" i="2"/>
  <c r="W460" i="2"/>
  <c r="Z460" i="2"/>
  <c r="R459" i="2" l="1"/>
  <c r="J459" i="2"/>
  <c r="G460" i="2"/>
  <c r="P460" i="2"/>
  <c r="Q460" i="2"/>
  <c r="N460" i="2" s="1"/>
  <c r="F460" i="2"/>
  <c r="E461" i="2"/>
  <c r="O459" i="2"/>
  <c r="L459" i="2"/>
  <c r="M459" i="2" s="1"/>
  <c r="K459" i="2"/>
  <c r="H460" i="2"/>
  <c r="A463" i="2"/>
  <c r="B463" i="2" s="1"/>
  <c r="B462" i="2"/>
  <c r="C462" i="2"/>
  <c r="W461" i="2"/>
  <c r="T461" i="2"/>
  <c r="S461" i="2"/>
  <c r="D463" i="2"/>
  <c r="Y461" i="2"/>
  <c r="X461" i="2"/>
  <c r="D462" i="2"/>
  <c r="V461" i="2"/>
  <c r="Z461" i="2"/>
  <c r="U461" i="2"/>
  <c r="C463" i="2"/>
  <c r="R460" i="2" l="1"/>
  <c r="J460" i="2"/>
  <c r="G461" i="2"/>
  <c r="P461" i="2"/>
  <c r="Q461" i="2"/>
  <c r="N461" i="2" s="1"/>
  <c r="F461" i="2"/>
  <c r="E462" i="2"/>
  <c r="E463" i="2"/>
  <c r="O460" i="2"/>
  <c r="K460" i="2"/>
  <c r="L460" i="2"/>
  <c r="M460" i="2" s="1"/>
  <c r="H461" i="2"/>
  <c r="U463" i="2"/>
  <c r="Z463" i="2"/>
  <c r="U462" i="2"/>
  <c r="S462" i="2"/>
  <c r="T463" i="2"/>
  <c r="X462" i="2"/>
  <c r="T462" i="2"/>
  <c r="V463" i="2"/>
  <c r="I463" i="2"/>
  <c r="I461" i="2"/>
  <c r="Y463" i="2"/>
  <c r="Y462" i="2"/>
  <c r="Z462" i="2"/>
  <c r="W462" i="2"/>
  <c r="S463" i="2"/>
  <c r="X463" i="2"/>
  <c r="W463" i="2"/>
  <c r="V462" i="2"/>
  <c r="R461" i="2" l="1"/>
  <c r="R462" i="2"/>
  <c r="R463" i="2"/>
  <c r="J462" i="2"/>
  <c r="J463" i="2"/>
  <c r="J461" i="2"/>
  <c r="G463" i="2"/>
  <c r="P463" i="2"/>
  <c r="Q463" i="2"/>
  <c r="N463" i="2" s="1"/>
  <c r="F463" i="2"/>
  <c r="G462" i="2"/>
  <c r="P462" i="2"/>
  <c r="Q462" i="2"/>
  <c r="N462" i="2" s="1"/>
  <c r="F462" i="2"/>
  <c r="L461" i="2"/>
  <c r="M461" i="2" s="1"/>
  <c r="K461" i="2"/>
  <c r="O461" i="2"/>
  <c r="H463" i="2"/>
  <c r="H462" i="2"/>
  <c r="I462" i="2"/>
  <c r="L462" i="2" l="1"/>
  <c r="M462" i="2" s="1"/>
  <c r="K462" i="2"/>
  <c r="O462" i="2"/>
  <c r="L463" i="2"/>
  <c r="M463" i="2" s="1"/>
  <c r="O463" i="2"/>
  <c r="K463" i="2"/>
</calcChain>
</file>

<file path=xl/comments1.xml><?xml version="1.0" encoding="utf-8"?>
<comments xmlns="http://schemas.openxmlformats.org/spreadsheetml/2006/main">
  <authors>
    <author>Prabhakaran, Sanjay</author>
  </authors>
  <commentList>
    <comment ref="A9" authorId="0" shapeId="0">
      <text>
        <r>
          <rPr>
            <sz val="18"/>
            <color indexed="81"/>
            <rFont val="Tahoma"/>
            <family val="2"/>
          </rPr>
          <t>Enter 1) Starting month/year, 2) Latitude, 3) Longitude,4) Time Zone in the cells marked Yellow.</t>
        </r>
      </text>
    </comment>
  </commentList>
</comments>
</file>

<file path=xl/sharedStrings.xml><?xml version="1.0" encoding="utf-8"?>
<sst xmlns="http://schemas.openxmlformats.org/spreadsheetml/2006/main" count="54" uniqueCount="41">
  <si>
    <t>Lat=</t>
  </si>
  <si>
    <t>Long=</t>
  </si>
  <si>
    <t>Time Zone=</t>
  </si>
  <si>
    <t>Column Numbers=9</t>
  </si>
  <si>
    <t>Date</t>
  </si>
  <si>
    <t>GMT</t>
  </si>
  <si>
    <t>SunRise</t>
  </si>
  <si>
    <t>Sun Set</t>
  </si>
  <si>
    <t>GMT Sun Rise</t>
  </si>
  <si>
    <t>Sun</t>
  </si>
  <si>
    <t>Moon</t>
  </si>
  <si>
    <t>Vaara</t>
  </si>
  <si>
    <t>Nakshatra</t>
  </si>
  <si>
    <t>Nx Ending</t>
  </si>
  <si>
    <t>TithiD</t>
  </si>
  <si>
    <t>Karana1</t>
  </si>
  <si>
    <t>Karana2</t>
  </si>
  <si>
    <t>Yoga</t>
  </si>
  <si>
    <t>Column1</t>
  </si>
  <si>
    <t>Tithi</t>
  </si>
  <si>
    <t>YogaNumber</t>
  </si>
  <si>
    <t>Graha</t>
  </si>
  <si>
    <t>MARs</t>
  </si>
  <si>
    <t>Merc</t>
  </si>
  <si>
    <t>Jup</t>
  </si>
  <si>
    <t>Venu</t>
  </si>
  <si>
    <t>Sat</t>
  </si>
  <si>
    <t>Rah</t>
  </si>
  <si>
    <t>TithiEnd</t>
  </si>
  <si>
    <t>Longitude</t>
  </si>
  <si>
    <t xml:space="preserve">Calendar for Latitude </t>
  </si>
  <si>
    <t>Nakshatra Ending Time</t>
  </si>
  <si>
    <t>Nakshatra(in Decimal)</t>
  </si>
  <si>
    <t>SunS</t>
  </si>
  <si>
    <t>MoonS</t>
  </si>
  <si>
    <t>Sun Rise - Sun Set</t>
  </si>
  <si>
    <t>Sun,Moon Position</t>
  </si>
  <si>
    <t>Tithi Ending Time</t>
  </si>
  <si>
    <t>Graha summary</t>
  </si>
  <si>
    <t>Download: https://github.com/SanjayPrabhakaran/JyotishCalc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</si>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</sst>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809]dd\ mmmm\ yyyy;@"/>
    <numFmt numFmtId="165" formatCode="[$-F400]h:mm:ss\ AM/PM"/>
    <numFmt numFmtId="166" formatCode="ddd"/>
    <numFmt numFmtId="167" formatCode="0.000"/>
    <numFmt numFmtId="168" formatCode="dd/mm/yyyy\ hh:mm"/>
    <numFmt numFmtId="169" formatCode="0.0"/>
    <numFmt numFmtId="170" formatCode="d"/>
    <numFmt numFmtId="171" formatCode="dddd"/>
    <numFmt numFmtId="172" formatCode="mmmm\ yyyy"/>
    <numFmt numFmtId="173" formatCode="[$-409]h:mm\ AM/PM;@"/>
  </numFmts>
  <fonts count="23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sz val="15"/>
      <name val="Arial"/>
      <family val="2"/>
    </font>
    <font>
      <sz val="30"/>
      <name val="Arial"/>
      <family val="2"/>
    </font>
    <font>
      <b/>
      <sz val="18"/>
      <color rgb="FF002060"/>
      <name val="Arial"/>
      <family val="2"/>
    </font>
    <font>
      <sz val="22"/>
      <name val="Arial"/>
      <family val="2"/>
    </font>
    <font>
      <sz val="28"/>
      <name val="Arial"/>
      <family val="2"/>
    </font>
    <font>
      <sz val="18"/>
      <color indexed="81"/>
      <name val="Tahoma"/>
      <family val="2"/>
    </font>
    <font>
      <sz val="10"/>
      <color rgb="FFFF0000"/>
      <name val="Arial"/>
      <family val="2"/>
    </font>
    <font>
      <b/>
      <sz val="26"/>
      <color rgb="FFFF0000"/>
      <name val="Arial"/>
      <family val="2"/>
    </font>
    <font>
      <sz val="26"/>
      <name val="Arial"/>
      <family val="2"/>
    </font>
    <font>
      <b/>
      <sz val="26"/>
      <color rgb="FF002060"/>
      <name val="Arial"/>
      <family val="2"/>
    </font>
    <font>
      <b/>
      <sz val="26"/>
      <name val="Arial"/>
      <family val="2"/>
    </font>
    <font>
      <b/>
      <sz val="36"/>
      <color rgb="FFFF0000"/>
      <name val="Arial"/>
      <family val="2"/>
    </font>
    <font>
      <sz val="36"/>
      <name val="Arial"/>
      <family val="2"/>
    </font>
    <font>
      <b/>
      <sz val="36"/>
      <color rgb="FF002060"/>
      <name val="Arial"/>
      <family val="2"/>
    </font>
    <font>
      <b/>
      <sz val="72"/>
      <name val="Arial"/>
      <family val="2"/>
    </font>
    <font>
      <sz val="10"/>
      <color rgb="FFFF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83">
    <xf numFmtId="0" fontId="0" fillId="0" borderId="0" xfId="0"/>
    <xf numFmtId="0" fontId="1" fillId="0" borderId="0" xfId="1" applyAlignment="1">
      <alignment horizontal="center"/>
    </xf>
    <xf numFmtId="0" fontId="2" fillId="2" borderId="0" xfId="1" applyFont="1" applyFill="1" applyAlignment="1">
      <alignment horizontal="center"/>
    </xf>
    <xf numFmtId="164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22" fontId="3" fillId="0" borderId="0" xfId="1" applyNumberFormat="1" applyFont="1" applyAlignment="1">
      <alignment horizontal="center"/>
    </xf>
    <xf numFmtId="2" fontId="3" fillId="0" borderId="0" xfId="1" applyNumberFormat="1" applyFont="1" applyFill="1" applyAlignment="1" applyProtection="1">
      <alignment horizontal="center"/>
      <protection locked="0" hidden="1"/>
    </xf>
    <xf numFmtId="166" fontId="3" fillId="0" borderId="0" xfId="1" applyNumberFormat="1" applyFont="1" applyFill="1" applyAlignment="1" applyProtection="1">
      <alignment horizontal="center"/>
      <protection locked="0" hidden="1"/>
    </xf>
    <xf numFmtId="2" fontId="3" fillId="0" borderId="0" xfId="1" applyNumberFormat="1" applyFont="1" applyAlignment="1">
      <alignment horizontal="center"/>
    </xf>
    <xf numFmtId="2" fontId="1" fillId="0" borderId="0" xfId="1" applyNumberFormat="1" applyAlignment="1">
      <alignment horizontal="left" vertical="top"/>
    </xf>
    <xf numFmtId="164" fontId="4" fillId="2" borderId="0" xfId="1" applyNumberFormat="1" applyFont="1" applyFill="1" applyAlignment="1">
      <alignment horizontal="center"/>
    </xf>
    <xf numFmtId="2" fontId="1" fillId="0" borderId="0" xfId="1" applyNumberFormat="1" applyFill="1" applyBorder="1" applyAlignment="1" applyProtection="1">
      <alignment horizontal="center"/>
      <protection locked="0" hidden="1"/>
    </xf>
    <xf numFmtId="166" fontId="1" fillId="0" borderId="0" xfId="1" applyNumberFormat="1" applyFill="1" applyBorder="1" applyAlignment="1" applyProtection="1">
      <alignment horizontal="center"/>
      <protection locked="0" hidden="1"/>
    </xf>
    <xf numFmtId="165" fontId="1" fillId="0" borderId="0" xfId="1" applyNumberFormat="1" applyAlignment="1">
      <alignment horizontal="center"/>
    </xf>
    <xf numFmtId="167" fontId="1" fillId="0" borderId="0" xfId="1" applyNumberFormat="1" applyFill="1" applyBorder="1" applyAlignment="1" applyProtection="1">
      <alignment horizontal="center"/>
      <protection locked="0" hidden="1"/>
    </xf>
    <xf numFmtId="168" fontId="1" fillId="0" borderId="0" xfId="1" applyNumberFormat="1" applyAlignment="1">
      <alignment horizontal="center"/>
    </xf>
    <xf numFmtId="2" fontId="1" fillId="0" borderId="0" xfId="1" applyNumberFormat="1" applyFill="1" applyAlignment="1" applyProtection="1">
      <alignment horizontal="center"/>
      <protection locked="0" hidden="1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8" fillId="0" borderId="0" xfId="1" applyFont="1"/>
    <xf numFmtId="0" fontId="10" fillId="0" borderId="0" xfId="1" applyFont="1"/>
    <xf numFmtId="0" fontId="11" fillId="0" borderId="0" xfId="1" applyFont="1"/>
    <xf numFmtId="164" fontId="13" fillId="0" borderId="0" xfId="1" applyNumberFormat="1" applyFont="1" applyAlignment="1">
      <alignment horizontal="center"/>
    </xf>
    <xf numFmtId="0" fontId="13" fillId="0" borderId="0" xfId="1" applyFont="1" applyAlignment="1">
      <alignment horizontal="center"/>
    </xf>
    <xf numFmtId="2" fontId="13" fillId="0" borderId="0" xfId="1" applyNumberFormat="1" applyFont="1" applyAlignment="1">
      <alignment horizontal="center"/>
    </xf>
    <xf numFmtId="0" fontId="5" fillId="0" borderId="0" xfId="1" applyFont="1" applyAlignment="1">
      <alignment shrinkToFit="1"/>
    </xf>
    <xf numFmtId="173" fontId="14" fillId="0" borderId="1" xfId="1" applyNumberFormat="1" applyFont="1" applyBorder="1"/>
    <xf numFmtId="173" fontId="15" fillId="0" borderId="1" xfId="1" applyNumberFormat="1" applyFont="1" applyBorder="1"/>
    <xf numFmtId="173" fontId="16" fillId="0" borderId="1" xfId="1" applyNumberFormat="1" applyFont="1" applyBorder="1" applyAlignment="1">
      <alignment shrinkToFit="1"/>
    </xf>
    <xf numFmtId="2" fontId="14" fillId="0" borderId="1" xfId="1" applyNumberFormat="1" applyFont="1" applyBorder="1"/>
    <xf numFmtId="2" fontId="15" fillId="0" borderId="1" xfId="1" applyNumberFormat="1" applyFont="1" applyBorder="1"/>
    <xf numFmtId="2" fontId="16" fillId="0" borderId="1" xfId="1" applyNumberFormat="1" applyFont="1" applyBorder="1" applyAlignment="1">
      <alignment shrinkToFit="1"/>
    </xf>
    <xf numFmtId="0" fontId="14" fillId="0" borderId="1" xfId="1" applyNumberFormat="1" applyFont="1" applyBorder="1"/>
    <xf numFmtId="0" fontId="15" fillId="0" borderId="1" xfId="1" applyNumberFormat="1" applyFont="1" applyBorder="1"/>
    <xf numFmtId="0" fontId="16" fillId="0" borderId="1" xfId="1" applyNumberFormat="1" applyFont="1" applyBorder="1" applyAlignment="1">
      <alignment shrinkToFit="1"/>
    </xf>
    <xf numFmtId="169" fontId="14" fillId="0" borderId="1" xfId="1" applyNumberFormat="1" applyFont="1" applyBorder="1"/>
    <xf numFmtId="169" fontId="15" fillId="0" borderId="1" xfId="1" applyNumberFormat="1" applyFont="1" applyBorder="1"/>
    <xf numFmtId="169" fontId="16" fillId="0" borderId="1" xfId="1" applyNumberFormat="1" applyFont="1" applyBorder="1" applyAlignment="1">
      <alignment shrinkToFit="1"/>
    </xf>
    <xf numFmtId="0" fontId="15" fillId="4" borderId="0" xfId="1" applyFont="1" applyFill="1" applyBorder="1"/>
    <xf numFmtId="0" fontId="16" fillId="4" borderId="3" xfId="1" applyFont="1" applyFill="1" applyBorder="1" applyAlignment="1">
      <alignment shrinkToFit="1"/>
    </xf>
    <xf numFmtId="0" fontId="17" fillId="0" borderId="0" xfId="1" applyFont="1"/>
    <xf numFmtId="0" fontId="15" fillId="0" borderId="0" xfId="1" applyFont="1"/>
    <xf numFmtId="0" fontId="15" fillId="0" borderId="0" xfId="1" applyFont="1" applyAlignment="1">
      <alignment shrinkToFit="1"/>
    </xf>
    <xf numFmtId="0" fontId="14" fillId="4" borderId="7" xfId="1" applyFont="1" applyFill="1" applyBorder="1"/>
    <xf numFmtId="0" fontId="15" fillId="4" borderId="7" xfId="1" applyFont="1" applyFill="1" applyBorder="1"/>
    <xf numFmtId="169" fontId="15" fillId="0" borderId="0" xfId="1" applyNumberFormat="1" applyFont="1" applyBorder="1"/>
    <xf numFmtId="169" fontId="16" fillId="0" borderId="3" xfId="1" applyNumberFormat="1" applyFont="1" applyBorder="1" applyAlignment="1">
      <alignment shrinkToFit="1"/>
    </xf>
    <xf numFmtId="0" fontId="7" fillId="0" borderId="0" xfId="1" applyFont="1" applyAlignment="1">
      <alignment horizontal="left" vertical="top"/>
    </xf>
    <xf numFmtId="173" fontId="15" fillId="0" borderId="0" xfId="1" applyNumberFormat="1" applyFont="1" applyBorder="1"/>
    <xf numFmtId="2" fontId="15" fillId="0" borderId="0" xfId="1" applyNumberFormat="1" applyFont="1" applyBorder="1"/>
    <xf numFmtId="0" fontId="15" fillId="0" borderId="0" xfId="1" applyNumberFormat="1" applyFont="1" applyBorder="1"/>
    <xf numFmtId="173" fontId="16" fillId="0" borderId="3" xfId="1" applyNumberFormat="1" applyFont="1" applyBorder="1" applyAlignment="1">
      <alignment shrinkToFit="1"/>
    </xf>
    <xf numFmtId="2" fontId="16" fillId="0" borderId="3" xfId="1" applyNumberFormat="1" applyFont="1" applyBorder="1" applyAlignment="1">
      <alignment shrinkToFit="1"/>
    </xf>
    <xf numFmtId="0" fontId="16" fillId="0" borderId="3" xfId="1" applyNumberFormat="1" applyFont="1" applyBorder="1" applyAlignment="1">
      <alignment shrinkToFit="1"/>
    </xf>
    <xf numFmtId="171" fontId="18" fillId="5" borderId="6" xfId="1" applyNumberFormat="1" applyFont="1" applyFill="1" applyBorder="1" applyAlignment="1">
      <alignment horizontal="left" vertical="top"/>
    </xf>
    <xf numFmtId="171" fontId="19" fillId="5" borderId="5" xfId="1" applyNumberFormat="1" applyFont="1" applyFill="1" applyBorder="1" applyAlignment="1">
      <alignment horizontal="left" vertical="top"/>
    </xf>
    <xf numFmtId="171" fontId="20" fillId="5" borderId="4" xfId="1" applyNumberFormat="1" applyFont="1" applyFill="1" applyBorder="1" applyAlignment="1">
      <alignment horizontal="left" vertical="top" shrinkToFit="1"/>
    </xf>
    <xf numFmtId="170" fontId="18" fillId="3" borderId="2" xfId="1" applyNumberFormat="1" applyFont="1" applyFill="1" applyBorder="1" applyAlignment="1">
      <alignment horizontal="left" vertical="top"/>
    </xf>
    <xf numFmtId="170" fontId="19" fillId="3" borderId="2" xfId="1" applyNumberFormat="1" applyFont="1" applyFill="1" applyBorder="1" applyAlignment="1">
      <alignment horizontal="left" vertical="top"/>
    </xf>
    <xf numFmtId="170" fontId="19" fillId="3" borderId="9" xfId="1" applyNumberFormat="1" applyFont="1" applyFill="1" applyBorder="1" applyAlignment="1">
      <alignment horizontal="left" vertical="top"/>
    </xf>
    <xf numFmtId="170" fontId="20" fillId="3" borderId="8" xfId="1" applyNumberFormat="1" applyFont="1" applyFill="1" applyBorder="1" applyAlignment="1">
      <alignment horizontal="left" vertical="top" shrinkToFit="1"/>
    </xf>
    <xf numFmtId="0" fontId="5" fillId="0" borderId="6" xfId="1" applyFont="1" applyBorder="1" applyAlignment="1">
      <alignment horizontal="right"/>
    </xf>
    <xf numFmtId="0" fontId="5" fillId="0" borderId="5" xfId="1" applyFont="1" applyBorder="1" applyAlignment="1">
      <alignment horizontal="left"/>
    </xf>
    <xf numFmtId="0" fontId="5" fillId="0" borderId="5" xfId="1" applyFont="1" applyBorder="1" applyAlignment="1">
      <alignment horizontal="right"/>
    </xf>
    <xf numFmtId="0" fontId="5" fillId="0" borderId="4" xfId="1" applyFont="1" applyBorder="1" applyAlignment="1">
      <alignment horizontal="left"/>
    </xf>
    <xf numFmtId="170" fontId="20" fillId="3" borderId="2" xfId="1" applyNumberFormat="1" applyFont="1" applyFill="1" applyBorder="1" applyAlignment="1">
      <alignment horizontal="left" vertical="top" shrinkToFit="1"/>
    </xf>
    <xf numFmtId="0" fontId="16" fillId="4" borderId="7" xfId="1" applyFont="1" applyFill="1" applyBorder="1" applyAlignment="1">
      <alignment shrinkToFit="1"/>
    </xf>
    <xf numFmtId="169" fontId="15" fillId="0" borderId="1" xfId="1" applyNumberFormat="1" applyFont="1" applyBorder="1" applyAlignment="1">
      <alignment horizontal="left" vertical="top" wrapText="1"/>
    </xf>
    <xf numFmtId="169" fontId="5" fillId="0" borderId="1" xfId="1" applyNumberFormat="1" applyFont="1" applyBorder="1" applyAlignment="1">
      <alignment horizontal="left" vertical="top" wrapText="1"/>
    </xf>
    <xf numFmtId="169" fontId="16" fillId="0" borderId="1" xfId="1" applyNumberFormat="1" applyFont="1" applyBorder="1" applyAlignment="1">
      <alignment horizontal="left" vertical="top" wrapText="1" shrinkToFit="1"/>
    </xf>
    <xf numFmtId="169" fontId="9" fillId="0" borderId="1" xfId="1" applyNumberFormat="1" applyFont="1" applyBorder="1" applyAlignment="1">
      <alignment horizontal="left" vertical="top" wrapText="1" shrinkToFit="1"/>
    </xf>
    <xf numFmtId="169" fontId="14" fillId="0" borderId="1" xfId="1" applyNumberFormat="1" applyFont="1" applyBorder="1" applyAlignment="1">
      <alignment horizontal="left" vertical="top" wrapText="1"/>
    </xf>
    <xf numFmtId="169" fontId="16" fillId="0" borderId="3" xfId="1" applyNumberFormat="1" applyFont="1" applyBorder="1" applyAlignment="1">
      <alignment horizontal="left" vertical="top" wrapText="1" shrinkToFit="1"/>
    </xf>
    <xf numFmtId="169" fontId="9" fillId="0" borderId="3" xfId="1" applyNumberFormat="1" applyFont="1" applyBorder="1" applyAlignment="1">
      <alignment horizontal="left" vertical="top" wrapText="1" shrinkToFit="1"/>
    </xf>
    <xf numFmtId="169" fontId="15" fillId="0" borderId="0" xfId="1" applyNumberFormat="1" applyFont="1" applyBorder="1" applyAlignment="1">
      <alignment horizontal="left" vertical="top" wrapText="1"/>
    </xf>
    <xf numFmtId="169" fontId="5" fillId="0" borderId="0" xfId="1" applyNumberFormat="1" applyFont="1" applyBorder="1" applyAlignment="1">
      <alignment horizontal="left" vertical="top" wrapText="1"/>
    </xf>
    <xf numFmtId="172" fontId="21" fillId="5" borderId="6" xfId="1" applyNumberFormat="1" applyFont="1" applyFill="1" applyBorder="1" applyAlignment="1">
      <alignment horizontal="center"/>
    </xf>
    <xf numFmtId="172" fontId="21" fillId="5" borderId="5" xfId="1" applyNumberFormat="1" applyFont="1" applyFill="1" applyBorder="1" applyAlignment="1">
      <alignment horizontal="center"/>
    </xf>
    <xf numFmtId="172" fontId="21" fillId="5" borderId="4" xfId="1" applyNumberFormat="1" applyFont="1" applyFill="1" applyBorder="1" applyAlignment="1">
      <alignment horizontal="center"/>
    </xf>
    <xf numFmtId="0" fontId="22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30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left" vertical="top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6" formatCode="ddd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numFmt numFmtId="168" formatCode="dd/mm/yyyy\ hh:m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5" formatCode="[$-F400]h:mm:ss\ AM/PM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numFmt numFmtId="164" formatCode="[$-809]dd\ mmmm\ 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2143125</xdr:colOff>
      <xdr:row>0</xdr:row>
      <xdr:rowOff>2143125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65</xdr:row>
      <xdr:rowOff>0</xdr:rowOff>
    </xdr:from>
    <xdr:ext cx="2143125" cy="2143125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43125" cy="21431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id="1" name="P" displayName="P" ref="A2:AB463" totalsRowShown="0" headerRowDxfId="29" dataDxfId="28">
  <tableColumns count="28">
    <tableColumn id="1" name="Date" dataDxfId="27"/>
    <tableColumn id="2" name="GMT" dataDxfId="26">
      <calculatedColumnFormula>A3+TimeZone/24</calculatedColumnFormula>
    </tableColumn>
    <tableColumn id="3" name="SunRise" dataDxfId="25">
      <calculatedColumnFormula>sunrise(Lat,Long,B3)+TimeZone/24+0.00103009259259259</calculatedColumnFormula>
    </tableColumn>
    <tableColumn id="4" name="Sun Set" dataDxfId="24">
      <calculatedColumnFormula>sunset(Lat,Long,B3)+TimeZone/24-0.000277777777777778</calculatedColumnFormula>
    </tableColumn>
    <tableColumn id="5" name="GMT Sun Rise" dataDxfId="23">
      <calculatedColumnFormula>Panchanga!$C3-TimeZone/24</calculatedColumnFormula>
    </tableColumn>
    <tableColumn id="6" name="SunS" dataDxfId="22">
      <calculatedColumnFormula>INT(P[Sun]/30)&amp;"s"&amp;ROUNDUP(MOD(P[Sun],30),2)</calculatedColumnFormula>
    </tableColumn>
    <tableColumn id="7" name="MoonS" dataDxfId="21">
      <calculatedColumnFormula>INT(P[Moon]/30)&amp;"s"&amp;ROUNDUP(MOD(P[Moon],30),2)</calculatedColumnFormula>
    </tableColumn>
    <tableColumn id="8" name="Vaara" dataDxfId="20">
      <calculatedColumnFormula>E3</calculatedColumnFormula>
    </tableColumn>
    <tableColumn id="9" name="Nakshatra" dataDxfId="19">
      <calculatedColumnFormula>naks(P[[#This Row],[Moon]])</calculatedColumnFormula>
    </tableColumn>
    <tableColumn id="14" name="Nx Ending" dataDxfId="18">
      <calculatedColumnFormula>(C4-P[[#This Row],[SunRise]])/(T4-P[[#This Row],[Moon]])*(13.3333333333333-MOD(P[[#This Row],[Moon]],13.333333333333))+P[[#This Row],[SunRise]]</calculatedColumnFormula>
    </tableColumn>
    <tableColumn id="10" name="TithiD" dataDxfId="17">
      <calculatedColumnFormula>IF(Panchanga!$P3&gt;15,"K","S")&amp;ROUNDUP(MOD(Panchanga!$P3,15),0)&amp;" ("&amp;ROUND(Panchanga!$P3,2)&amp;")"</calculatedColumnFormula>
    </tableColumn>
    <tableColumn id="11" name="Karana1" dataDxfId="16">
      <calculatedColumnFormula>IF(AND(Panchanga!$P3&lt;28.5,Panchanga!$P3&gt;0.49999),MOD((Panchanga!$P3-0.5)*2,7),MOD((Panchanga!$P3+30-28.5),30)*2+7)</calculatedColumnFormula>
    </tableColumn>
    <tableColumn id="12" name="Karana2" dataDxfId="15">
      <calculatedColumnFormula>CHOOSE(ROUNDUP(Panchanga!$L3,0),"Bhava","Baalava","Kaulava","Taitula","Garija","Vanija","Vishti","Shakuni","Chatushapda","Naaga","Kimstugna")</calculatedColumnFormula>
    </tableColumn>
    <tableColumn id="13" name="Yoga" dataDxfId="14">
      <calculatedColumnFormula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calculatedColumnFormula>
    </tableColumn>
    <tableColumn id="15" name="Column1" dataDxfId="13">
      <calculatedColumnFormula>IF(AND(Panchanga!$P3&lt;28.5,Panchanga!$P3&gt;0.49999),MOD((Panchanga!$P3-0.5)*2,7),MOD((Panchanga!$P3+30-28.5),30)*2+7)</calculatedColumnFormula>
    </tableColumn>
    <tableColumn id="16" name="Tithi" dataDxfId="12">
      <calculatedColumnFormula>ROUNDUP(MOD(360+P[Moon]-P[Sun],360)/12,4)</calculatedColumnFormula>
    </tableColumn>
    <tableColumn id="17" name="YogaNumber" dataDxfId="11">
      <calculatedColumnFormula>ROUNDUP(MOD(P[Sun]+P[Moon],360)/13.333333333,2)</calculatedColumnFormula>
    </tableColumn>
    <tableColumn id="18" name="Graha" dataDxfId="10">
      <calculatedColumnFormula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calculatedColumnFormula>
    </tableColumn>
    <tableColumn id="26" name="Sun" dataDxfId="9" dataCellStyle="Normal 2">
      <calculatedColumnFormula>Planet($E3,0)</calculatedColumnFormula>
    </tableColumn>
    <tableColumn id="27" name="Moon" dataDxfId="8" dataCellStyle="Normal 2">
      <calculatedColumnFormula>Planet($E3,1)</calculatedColumnFormula>
    </tableColumn>
    <tableColumn id="19" name="MARs" dataDxfId="7">
      <calculatedColumnFormula>Planet(Panchanga!$E3,4)</calculatedColumnFormula>
    </tableColumn>
    <tableColumn id="20" name="Merc" dataDxfId="6">
      <calculatedColumnFormula>Planet(Panchanga!$E3,2)</calculatedColumnFormula>
    </tableColumn>
    <tableColumn id="21" name="Jup" dataDxfId="5">
      <calculatedColumnFormula>Planet(Panchanga!$E3,5)</calculatedColumnFormula>
    </tableColumn>
    <tableColumn id="22" name="Venu" dataDxfId="4">
      <calculatedColumnFormula>Planet(Panchanga!$E3,3)</calculatedColumnFormula>
    </tableColumn>
    <tableColumn id="23" name="Sat" dataDxfId="3">
      <calculatedColumnFormula>Planet(Panchanga!$E3,6)</calculatedColumnFormula>
    </tableColumn>
    <tableColumn id="24" name="Rah" dataDxfId="2">
      <calculatedColumnFormula>Planet(Panchanga!$E3,10)</calculatedColumnFormula>
    </tableColumn>
    <tableColumn id="25" name="TithiEnd" dataDxfId="0">
      <calculatedColumnFormula>TEXT(Panchanga!$C3+($C4-Panchanga!$C3)/ABS(IF($P4&lt;1,$P4+30,$P4)-Panchanga!$P3)*(ROUNDUP(Panchanga!$P3,0)-Panchanga!$P3),"hh:mm AM/PM")</calculatedColumnFormula>
    </tableColumn>
    <tableColumn id="28" name="Column2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nchanga"/>
  <dimension ref="A1:AB463"/>
  <sheetViews>
    <sheetView tabSelected="1" zoomScaleNormal="100" workbookViewId="0">
      <pane xSplit="8" ySplit="2" topLeftCell="U3" activePane="bottomRight" state="frozen"/>
      <selection pane="topRight" activeCell="I1" sqref="I1"/>
      <selection pane="bottomLeft" activeCell="A3" sqref="A3"/>
      <selection pane="bottomRight" activeCell="AB3" sqref="AB3"/>
    </sheetView>
  </sheetViews>
  <sheetFormatPr defaultColWidth="9.140625" defaultRowHeight="12.75" x14ac:dyDescent="0.2"/>
  <cols>
    <col min="1" max="1" width="18.28515625" style="3" bestFit="1" customWidth="1"/>
    <col min="2" max="2" width="18.28515625" style="1" bestFit="1" customWidth="1"/>
    <col min="3" max="4" width="10.5703125" style="1" bestFit="1" customWidth="1"/>
    <col min="5" max="5" width="15.42578125" style="1" bestFit="1" customWidth="1"/>
    <col min="6" max="6" width="8.5703125" style="1" bestFit="1" customWidth="1"/>
    <col min="7" max="7" width="9.140625" style="1"/>
    <col min="8" max="8" width="8.42578125" style="1" bestFit="1" customWidth="1"/>
    <col min="9" max="9" width="16.5703125" style="1" bestFit="1" customWidth="1"/>
    <col min="10" max="10" width="15.140625" style="1" customWidth="1"/>
    <col min="11" max="11" width="11.140625" style="1" bestFit="1" customWidth="1"/>
    <col min="12" max="12" width="10" style="1" customWidth="1"/>
    <col min="13" max="13" width="12.85546875" style="1" bestFit="1" customWidth="1"/>
    <col min="14" max="14" width="18.5703125" style="4" customWidth="1"/>
    <col min="15" max="15" width="9.140625" style="1"/>
    <col min="16" max="16" width="15.42578125" style="1" bestFit="1" customWidth="1"/>
    <col min="17" max="17" width="12.7109375" style="1" bestFit="1" customWidth="1"/>
    <col min="18" max="18" width="22.28515625" style="1" bestFit="1" customWidth="1"/>
    <col min="19" max="20" width="22.28515625" style="1" customWidth="1"/>
    <col min="21" max="16384" width="9.140625" style="1"/>
  </cols>
  <sheetData>
    <row r="1" spans="1:28" ht="15.75" x14ac:dyDescent="0.25">
      <c r="A1" s="1" t="s">
        <v>0</v>
      </c>
      <c r="C1" s="2">
        <v>13.5</v>
      </c>
      <c r="D1" s="1" t="s">
        <v>1</v>
      </c>
      <c r="F1" s="2">
        <v>80.23</v>
      </c>
      <c r="G1" s="1" t="s">
        <v>2</v>
      </c>
      <c r="H1" s="2">
        <v>5.5</v>
      </c>
      <c r="I1" s="1" t="s">
        <v>3</v>
      </c>
      <c r="J1" s="1">
        <v>10</v>
      </c>
      <c r="K1" s="1">
        <f t="shared" ref="K1:AB1" si="0">J1+1</f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ref="S1" si="1">R1+1</f>
        <v>19</v>
      </c>
      <c r="T1" s="1">
        <f t="shared" ref="T1" si="2">S1+1</f>
        <v>20</v>
      </c>
      <c r="U1" s="1">
        <f t="shared" ref="U1" si="3">T1+1</f>
        <v>21</v>
      </c>
      <c r="V1" s="1">
        <f t="shared" ref="V1" si="4">U1+1</f>
        <v>22</v>
      </c>
      <c r="W1" s="1">
        <f t="shared" ref="W1" si="5">V1+1</f>
        <v>23</v>
      </c>
      <c r="X1" s="1">
        <f t="shared" ref="X1" si="6">W1+1</f>
        <v>24</v>
      </c>
      <c r="Y1" s="1">
        <f t="shared" ref="Y1" si="7">X1+1</f>
        <v>25</v>
      </c>
      <c r="Z1" s="1">
        <f t="shared" ref="Z1" si="8">Y1+1</f>
        <v>26</v>
      </c>
      <c r="AA1" s="1">
        <f t="shared" ref="AA1" si="9">Z1+1</f>
        <v>27</v>
      </c>
      <c r="AB1" s="1">
        <f t="shared" si="0"/>
        <v>28</v>
      </c>
    </row>
    <row r="2" spans="1:28" s="26" customFormat="1" x14ac:dyDescent="0.2">
      <c r="A2" s="25" t="s">
        <v>4</v>
      </c>
      <c r="B2" s="26" t="s">
        <v>5</v>
      </c>
      <c r="C2" s="26" t="s">
        <v>6</v>
      </c>
      <c r="D2" s="26" t="s">
        <v>7</v>
      </c>
      <c r="E2" s="26" t="s">
        <v>8</v>
      </c>
      <c r="F2" s="26" t="s">
        <v>33</v>
      </c>
      <c r="G2" s="26" t="s">
        <v>34</v>
      </c>
      <c r="H2" s="26" t="s">
        <v>11</v>
      </c>
      <c r="I2" s="26" t="s">
        <v>12</v>
      </c>
      <c r="J2" s="26" t="s">
        <v>13</v>
      </c>
      <c r="K2" s="26" t="s">
        <v>14</v>
      </c>
      <c r="L2" s="26" t="s">
        <v>15</v>
      </c>
      <c r="M2" s="26" t="s">
        <v>16</v>
      </c>
      <c r="N2" s="27" t="s">
        <v>17</v>
      </c>
      <c r="O2" s="26" t="s">
        <v>18</v>
      </c>
      <c r="P2" s="26" t="s">
        <v>19</v>
      </c>
      <c r="Q2" s="26" t="s">
        <v>20</v>
      </c>
      <c r="R2" s="26" t="s">
        <v>21</v>
      </c>
      <c r="S2" s="26" t="s">
        <v>9</v>
      </c>
      <c r="T2" s="26" t="s">
        <v>10</v>
      </c>
      <c r="U2" s="26" t="s">
        <v>22</v>
      </c>
      <c r="V2" s="26" t="s">
        <v>23</v>
      </c>
      <c r="W2" s="26" t="s">
        <v>24</v>
      </c>
      <c r="X2" s="26" t="s">
        <v>25</v>
      </c>
      <c r="Y2" s="26" t="s">
        <v>26</v>
      </c>
      <c r="Z2" s="26" t="s">
        <v>27</v>
      </c>
      <c r="AA2" s="26" t="s">
        <v>28</v>
      </c>
      <c r="AB2" s="82" t="s">
        <v>40</v>
      </c>
    </row>
    <row r="3" spans="1:28" x14ac:dyDescent="0.2">
      <c r="A3" s="3">
        <f t="shared" ref="A3:A8" si="10">A4-1</f>
        <v>43519</v>
      </c>
      <c r="B3" s="5">
        <f t="shared" ref="B3:B8" si="11">A3+TimeZone/24</f>
        <v>43519.229166666664</v>
      </c>
      <c r="C3" s="6">
        <f t="shared" ref="C3:C34" si="12">sunrise(Lat,Long,B3)+TimeZone/24+0.00103009259259259</f>
        <v>43519.270961012844</v>
      </c>
      <c r="D3" s="6">
        <f t="shared" ref="D3:D34" si="13">sunset(Lat,Long,B3)+TimeZone/24-0.000277777777777778</f>
        <v>43518.760987579866</v>
      </c>
      <c r="E3" s="7">
        <f>Panchanga!$C3-TimeZone/24</f>
        <v>43519.04179434618</v>
      </c>
      <c r="F3" s="8" t="str">
        <f>INT(P[Sun]/30)&amp;"s"&amp;ROUNDUP(MOD(P[Sun],30),2)</f>
        <v>10s10</v>
      </c>
      <c r="G3" s="8" t="str">
        <f>INT(P[Moon]/30)&amp;"s"&amp;ROUNDUP(MOD(P[Moon],30),2)</f>
        <v>5s27.07</v>
      </c>
      <c r="H3" s="9">
        <f t="shared" ref="H3:H8" si="14">E3</f>
        <v>43519.04179434618</v>
      </c>
      <c r="I3" s="10" t="str">
        <f>naks(P[[#This Row],[Moon]])</f>
        <v>Chitra</v>
      </c>
      <c r="J3" s="6">
        <f>(C4-P[[#This Row],[SunRise]])/(T4-P[[#This Row],[Moon]])*(13.3333333333333-MOD(P[[#This Row],[Moon]],13.333333333333))+P[[#This Row],[SunRise]]</f>
        <v>43519.952869828623</v>
      </c>
      <c r="K3" s="10" t="str">
        <f>IF(Panchanga!$P3&gt;15,"K","S")&amp;ROUNDUP(MOD(Panchanga!$P3,15),0)&amp;" ("&amp;ROUND(Panchanga!$P3,2)&amp;")"</f>
        <v>K4 (18.92)</v>
      </c>
      <c r="L3" s="10">
        <f>IF(AND(Panchanga!$P3&lt;28.5,Panchanga!$P3&gt;0.49999),MOD((Panchanga!$P3-0.5)*2,7),MOD((Panchanga!$P3+30-28.5),30)*2+7)</f>
        <v>1.8451999999999984</v>
      </c>
      <c r="M3" s="10" t="str">
        <f>CHOOSE(ROUNDUP(Panchanga!$L3,0),"Bhava","Baalava","Kaulava","Taitula","Garija","Vanija","Vishti","Shakuni","Chatushapda","Naaga","Kimstugna")</f>
        <v>Baalava</v>
      </c>
      <c r="N3" s="11" t="str">
        <f>CHOOSE(ROUNDUP(Panchanga!$Q3,0),"viṣkambha","prīti","āyuṣmāna","saubhāgya","śobhana","atigaṇḍa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("&amp;Panchanga!$Q3&amp;")"</f>
        <v>gaṇḍa  (9.53)</v>
      </c>
      <c r="O3" s="4">
        <f>IF(AND(Panchanga!$P3&lt;28.5,Panchanga!$P3&gt;0.49999),MOD((Panchanga!$P3-0.5)*2,7),MOD((Panchanga!$P3+30-28.5),30)*2+7)</f>
        <v>1.8451999999999984</v>
      </c>
      <c r="P3" s="10">
        <f>ROUNDUP(MOD(360+P[Moon]-P[Sun],360)/12,4)</f>
        <v>18.922599999999999</v>
      </c>
      <c r="Q3" s="4">
        <f>ROUNDUP(MOD(P[Sun]+P[Moon],360)/13.333333333,2)</f>
        <v>9.5299999999999994</v>
      </c>
      <c r="R3" s="4" t="str">
        <f>SIGN(U4-Panchanga!$U3)*INT(Panchanga!$U3/30+1)&amp;"Ma,"&amp;SIGN(V4-Panchanga!$V3)*INT(Panchanga!$V3/30+1)&amp;"Me,"&amp;SIGN(W4-Panchanga!$W3)*INT(Panchanga!$W3/30+1)&amp;"J, "&amp;SIGN(X4-Panchanga!$X3)*INT(Panchanga!$X3/30+1)&amp;"V,"&amp;SIGN(Y4-Panchanga!$Y3)*INT(Panchanga!$Y3/30+1)&amp;"S,"&amp;INT(Panchanga!$Z3/30+1)&amp;"R"</f>
        <v>1Ma,11Me,8J, 9V,9S,4R</v>
      </c>
      <c r="S3" s="4">
        <f t="shared" ref="S3:S66" si="15">Planet($E3,0)</f>
        <v>309.99099498887728</v>
      </c>
      <c r="T3" s="4">
        <f t="shared" ref="T3:T66" si="16">Planet($E3,1)</f>
        <v>177.0616619567343</v>
      </c>
      <c r="U3" s="4">
        <f>Planet(Panchanga!$E3,4)</f>
        <v>11.675870862214675</v>
      </c>
      <c r="V3" s="4">
        <f>Planet(Panchanga!$E3,2)</f>
        <v>327.24781770639294</v>
      </c>
      <c r="W3" s="4">
        <f>Planet(Panchanga!$E3,5)</f>
        <v>237.01530956764961</v>
      </c>
      <c r="X3" s="4">
        <f>Planet(Panchanga!$E3,3)</f>
        <v>268.02715250969794</v>
      </c>
      <c r="Y3" s="4">
        <f>Planet(Panchanga!$E3,6)</f>
        <v>263.08449198352571</v>
      </c>
      <c r="Z3" s="4">
        <f>Planet(Panchanga!$E3,10)</f>
        <v>90.638565513346634</v>
      </c>
      <c r="AA3" s="4" t="str">
        <f>TEXT(Panchanga!$C3+($C4-Panchanga!$C3)/ABS(IF($P4&lt;1,$P4+30,$P4)-Panchanga!$P3)*(ROUNDUP(Panchanga!$P3,0)-Panchanga!$P3),"hh:mm AM/PM")</f>
        <v>08:12 AM</v>
      </c>
      <c r="AB3" s="4"/>
    </row>
    <row r="4" spans="1:28" x14ac:dyDescent="0.2">
      <c r="A4" s="3">
        <f t="shared" si="10"/>
        <v>43520</v>
      </c>
      <c r="B4" s="5">
        <f t="shared" si="11"/>
        <v>43520.229166666664</v>
      </c>
      <c r="C4" s="6">
        <f t="shared" si="12"/>
        <v>43520.270615941998</v>
      </c>
      <c r="D4" s="6">
        <f t="shared" si="13"/>
        <v>43519.761143823664</v>
      </c>
      <c r="E4" s="7">
        <f>Panchanga!$C4-TimeZone/24</f>
        <v>43520.041449275333</v>
      </c>
      <c r="F4" s="8" t="str">
        <f>INT(P[Sun]/30)&amp;"s"&amp;ROUNDUP(MOD(P[Sun],30),2)</f>
        <v>10s11</v>
      </c>
      <c r="G4" s="8" t="str">
        <f>INT(P[Moon]/30)&amp;"s"&amp;ROUNDUP(MOD(P[Moon],30),2)</f>
        <v>6s11.15</v>
      </c>
      <c r="H4" s="9">
        <f t="shared" si="14"/>
        <v>43520.041449275333</v>
      </c>
      <c r="I4" s="10" t="str">
        <f>naks(P[[#This Row],[Moon]])</f>
        <v>Swati</v>
      </c>
      <c r="J4" s="6">
        <f>(C5-P[[#This Row],[SunRise]])/(T5-P[[#This Row],[Moon]])*(13.3333333333333-MOD(P[[#This Row],[Moon]],13.333333333333))+P[[#This Row],[SunRise]]</f>
        <v>43520.922188773613</v>
      </c>
      <c r="K4" s="10" t="str">
        <f>IF(Panchanga!$P4&gt;15,"K","S")&amp;ROUNDUP(MOD(Panchanga!$P4,15),0)&amp;" ("&amp;ROUND(Panchanga!$P4,2)&amp;")"</f>
        <v>K6 (20.01)</v>
      </c>
      <c r="L4" s="10">
        <f>IF(AND(Panchanga!$P4&lt;28.5,Panchanga!$P4&gt;0.49999),MOD((Panchanga!$P4-0.5)*2,7),MOD((Panchanga!$P4+30-28.5),30)*2+7)</f>
        <v>4.0242000000000004</v>
      </c>
      <c r="M4" s="10" t="str">
        <f>CHOOSE(ROUNDUP(Panchanga!$L4,0),"Bhava","Baalava","Kaulava","Taitula","Garija","Vanija","Vishti","Shakuni","Chatushapda","Naaga","Kimstugna")</f>
        <v>Garija</v>
      </c>
      <c r="N4" s="11" t="str">
        <f>CHOOSE(ROUNDUP(Panchanga!$Q4,0),"viṣkambha","prīti","āyuṣmāna","saubhāgya","śobhana","atigaṇḍa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("&amp;Panchanga!$Q4&amp;")"</f>
        <v>vṛddhi  (10.67)</v>
      </c>
      <c r="O4" s="4">
        <f>IF(AND(Panchanga!$P4&lt;28.5,Panchanga!$P4&gt;0.49999),MOD((Panchanga!$P4-0.5)*2,7),MOD((Panchanga!$P4+30-28.5),30)*2+7)</f>
        <v>4.0242000000000004</v>
      </c>
      <c r="P4" s="10">
        <f>ROUNDUP(MOD(360+P[Moon]-P[Sun],360)/12,4)</f>
        <v>20.0121</v>
      </c>
      <c r="Q4" s="4">
        <f>ROUNDUP(MOD(P[Sun]+P[Moon],360)/13.333333333,2)</f>
        <v>10.67</v>
      </c>
      <c r="R4" s="4" t="str">
        <f>SIGN(U5-Panchanga!$U4)*INT(Panchanga!$U4/30+1)&amp;"Ma,"&amp;SIGN(V5-Panchanga!$V4)*INT(Panchanga!$V4/30+1)&amp;"Me,"&amp;SIGN(W5-Panchanga!$W4)*INT(Panchanga!$W4/30+1)&amp;"J, "&amp;SIGN(X5-Panchanga!$X4)*INT(Panchanga!$X4/30+1)&amp;"V,"&amp;SIGN(Y5-Panchanga!$Y4)*INT(Panchanga!$Y4/30+1)&amp;"S,"&amp;INT(Panchanga!$Z4/30+1)&amp;"R"</f>
        <v>1Ma,11Me,8J, 9V,9S,4R</v>
      </c>
      <c r="S4" s="4">
        <f t="shared" si="15"/>
        <v>310.9971115296878</v>
      </c>
      <c r="T4" s="4">
        <f t="shared" si="16"/>
        <v>191.14226933514198</v>
      </c>
      <c r="U4" s="4">
        <f>Planet(Panchanga!$E4,4)</f>
        <v>12.349109659218682</v>
      </c>
      <c r="V4" s="4">
        <f>Planet(Panchanga!$E4,2)</f>
        <v>328.61056550391123</v>
      </c>
      <c r="W4" s="4">
        <f>Planet(Panchanga!$E4,5)</f>
        <v>237.14450394569212</v>
      </c>
      <c r="X4" s="4">
        <f>Planet(Panchanga!$E4,3)</f>
        <v>269.20273446766311</v>
      </c>
      <c r="Y4" s="4">
        <f>Planet(Panchanga!$E4,6)</f>
        <v>263.1766885388235</v>
      </c>
      <c r="Z4" s="4">
        <f>Planet(Panchanga!$E4,10)</f>
        <v>90.585591802551718</v>
      </c>
      <c r="AA4" s="4" t="str">
        <f>TEXT(Panchanga!$C4+($C5-Panchanga!$C4)/ABS(IF($P5&lt;1,$P5+30,$P5)-Panchanga!$P4)*(ROUNDUP(Panchanga!$P4,0)-Panchanga!$P4),"hh:mm AM/PM")</f>
        <v>05:05 AM</v>
      </c>
      <c r="AB4" s="4"/>
    </row>
    <row r="5" spans="1:28" x14ac:dyDescent="0.2">
      <c r="A5" s="3">
        <f t="shared" si="10"/>
        <v>43521</v>
      </c>
      <c r="B5" s="5">
        <f t="shared" si="11"/>
        <v>43521.229166666664</v>
      </c>
      <c r="C5" s="6">
        <f t="shared" si="12"/>
        <v>43521.270262923244</v>
      </c>
      <c r="D5" s="6">
        <f t="shared" si="13"/>
        <v>43520.761294504206</v>
      </c>
      <c r="E5" s="7">
        <f>Panchanga!$C5-TimeZone/24</f>
        <v>43521.04109625658</v>
      </c>
      <c r="F5" s="8" t="str">
        <f>INT(P[Sun]/30)&amp;"s"&amp;ROUNDUP(MOD(P[Sun],30),2)</f>
        <v>10s12.01</v>
      </c>
      <c r="G5" s="8" t="str">
        <f>INT(P[Moon]/30)&amp;"s"&amp;ROUNDUP(MOD(P[Moon],30),2)</f>
        <v>6s24.74</v>
      </c>
      <c r="H5" s="9">
        <f t="shared" si="14"/>
        <v>43521.04109625658</v>
      </c>
      <c r="I5" s="10" t="str">
        <f>naks(P[[#This Row],[Moon]])</f>
        <v>Visakha</v>
      </c>
      <c r="J5" s="6">
        <f>(C6-P[[#This Row],[SunRise]])/(T6-P[[#This Row],[Moon]])*(13.3333333333333-MOD(P[[#This Row],[Moon]],13.333333333333))+P[[#This Row],[SunRise]]</f>
        <v>43521.925660541412</v>
      </c>
      <c r="K5" s="10" t="str">
        <f>IF(Panchanga!$P5&gt;15,"K","S")&amp;ROUNDUP(MOD(Panchanga!$P5,15),0)&amp;" ("&amp;ROUND(Panchanga!$P5,2)&amp;")"</f>
        <v>K7 (21.06)</v>
      </c>
      <c r="L5" s="10">
        <f>IF(AND(Panchanga!$P5&lt;28.5,Panchanga!$P5&gt;0.49999),MOD((Panchanga!$P5-0.5)*2,7),MOD((Panchanga!$P5+30-28.5),30)*2+7)</f>
        <v>6.1216000000000008</v>
      </c>
      <c r="M5" s="10" t="str">
        <f>CHOOSE(ROUNDUP(Panchanga!$L5,0),"Bhava","Baalava","Kaulava","Taitula","Garija","Vanija","Vishti","Shakuni","Chatushapda","Naaga","Kimstugna")</f>
        <v>Vishti</v>
      </c>
      <c r="N5" s="11" t="str">
        <f>CHOOSE(ROUNDUP(Panchanga!$Q5,0),"viṣkambha","prīti","āyuṣmāna","saubhāgya","śobhana","atigaṇḍa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("&amp;Panchanga!$Q5&amp;")"</f>
        <v>dhruva  (11.76)</v>
      </c>
      <c r="O5" s="4">
        <f>IF(AND(Panchanga!$P5&lt;28.5,Panchanga!$P5&gt;0.49999),MOD((Panchanga!$P5-0.5)*2,7),MOD((Panchanga!$P5+30-28.5),30)*2+7)</f>
        <v>6.1216000000000008</v>
      </c>
      <c r="P5" s="10">
        <f>ROUNDUP(MOD(360+P[Moon]-P[Sun],360)/12,4)</f>
        <v>21.0608</v>
      </c>
      <c r="Q5" s="4">
        <f>ROUNDUP(MOD(P[Sun]+P[Moon],360)/13.333333333,2)</f>
        <v>11.76</v>
      </c>
      <c r="R5" s="4" t="str">
        <f>SIGN(U6-Panchanga!$U5)*INT(Panchanga!$U5/30+1)&amp;"Ma,"&amp;SIGN(V6-Panchanga!$V5)*INT(Panchanga!$V5/30+1)&amp;"Me,"&amp;SIGN(W6-Panchanga!$W5)*INT(Panchanga!$W5/30+1)&amp;"J, "&amp;SIGN(X6-Panchanga!$X5)*INT(Panchanga!$X5/30+1)&amp;"V,"&amp;SIGN(Y6-Panchanga!$Y5)*INT(Panchanga!$Y5/30+1)&amp;"S,"&amp;INT(Panchanga!$Z5/30+1)&amp;"R"</f>
        <v>1Ma,11Me,8J, 10V,9S,4R</v>
      </c>
      <c r="S5" s="4">
        <f t="shared" si="15"/>
        <v>312.00283429526797</v>
      </c>
      <c r="T5" s="4">
        <f t="shared" si="16"/>
        <v>204.73185332359375</v>
      </c>
      <c r="U5" s="4">
        <f>Planet(Panchanga!$E5,4)</f>
        <v>13.022089234713253</v>
      </c>
      <c r="V5" s="4">
        <f>Planet(Panchanga!$E5,2)</f>
        <v>329.87908534670538</v>
      </c>
      <c r="W5" s="4">
        <f>Planet(Panchanga!$E5,5)</f>
        <v>237.27144413533111</v>
      </c>
      <c r="X5" s="4">
        <f>Planet(Panchanga!$E5,3)</f>
        <v>270.37968781470488</v>
      </c>
      <c r="Y5" s="4">
        <f>Planet(Panchanga!$E5,6)</f>
        <v>263.26790849808373</v>
      </c>
      <c r="Z5" s="4">
        <f>Planet(Panchanga!$E5,10)</f>
        <v>90.532618512872048</v>
      </c>
      <c r="AA5" s="4" t="str">
        <f>TEXT(Panchanga!$C5+($C6-Panchanga!$C5)/ABS(IF($P6&lt;1,$P6+30,$P6)-Panchanga!$P5)*(ROUNDUP(Panchanga!$P5,0)-Panchanga!$P5),"hh:mm AM/PM")</f>
        <v>04:48 AM</v>
      </c>
      <c r="AB5" s="4"/>
    </row>
    <row r="6" spans="1:28" x14ac:dyDescent="0.2">
      <c r="A6" s="3">
        <f t="shared" si="10"/>
        <v>43522</v>
      </c>
      <c r="B6" s="5">
        <f t="shared" si="11"/>
        <v>43522.229166666664</v>
      </c>
      <c r="C6" s="6">
        <f t="shared" si="12"/>
        <v>43522.269902275562</v>
      </c>
      <c r="D6" s="6">
        <f t="shared" si="13"/>
        <v>43521.761439621492</v>
      </c>
      <c r="E6" s="7">
        <f>Panchanga!$C6-TimeZone/24</f>
        <v>43522.040735608898</v>
      </c>
      <c r="F6" s="8" t="str">
        <f>INT(P[Sun]/30)&amp;"s"&amp;ROUNDUP(MOD(P[Sun],30),2)</f>
        <v>10s13.01</v>
      </c>
      <c r="G6" s="8" t="str">
        <f>INT(P[Moon]/30)&amp;"s"&amp;ROUNDUP(MOD(P[Moon],30),2)</f>
        <v>7s7.86</v>
      </c>
      <c r="H6" s="9">
        <f t="shared" si="14"/>
        <v>43522.040735608898</v>
      </c>
      <c r="I6" s="10" t="str">
        <f>naks(P[[#This Row],[Moon]])</f>
        <v>Anuradha</v>
      </c>
      <c r="J6" s="6">
        <f>(C7-P[[#This Row],[SunRise]])/(T7-P[[#This Row],[Moon]])*(13.3333333333333-MOD(P[[#This Row],[Moon]],13.333333333333))+P[[#This Row],[SunRise]]</f>
        <v>43522.963609784776</v>
      </c>
      <c r="K6" s="10" t="str">
        <f>IF(Panchanga!$P6&gt;15,"K","S")&amp;ROUNDUP(MOD(Panchanga!$P6,15),0)&amp;" ("&amp;ROUND(Panchanga!$P6,2)&amp;")"</f>
        <v>K8 (22.07)</v>
      </c>
      <c r="L6" s="10">
        <f>IF(AND(Panchanga!$P6&lt;28.5,Panchanga!$P6&gt;0.49999),MOD((Panchanga!$P6-0.5)*2,7),MOD((Panchanga!$P6+30-28.5),30)*2+7)</f>
        <v>1.1405999999999992</v>
      </c>
      <c r="M6" s="10" t="str">
        <f>CHOOSE(ROUNDUP(Panchanga!$L6,0),"Bhava","Baalava","Kaulava","Taitula","Garija","Vanija","Vishti","Shakuni","Chatushapda","Naaga","Kimstugna")</f>
        <v>Baalava</v>
      </c>
      <c r="N6" s="11" t="str">
        <f>CHOOSE(ROUNDUP(Panchanga!$Q6,0),"viṣkambha","prīti","āyuṣmāna","saubhāgya","śobhana","atigaṇḍa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("&amp;Panchanga!$Q6&amp;")"</f>
        <v>vyāghāta (12.82)</v>
      </c>
      <c r="O6" s="4">
        <f>IF(AND(Panchanga!$P6&lt;28.5,Panchanga!$P6&gt;0.49999),MOD((Panchanga!$P6-0.5)*2,7),MOD((Panchanga!$P6+30-28.5),30)*2+7)</f>
        <v>1.1405999999999992</v>
      </c>
      <c r="P6" s="10">
        <f>ROUNDUP(MOD(360+P[Moon]-P[Sun],360)/12,4)</f>
        <v>22.0703</v>
      </c>
      <c r="Q6" s="4">
        <f>ROUNDUP(MOD(P[Sun]+P[Moon],360)/13.333333333,2)</f>
        <v>12.82</v>
      </c>
      <c r="R6" s="4" t="str">
        <f>SIGN(U7-Panchanga!$U6)*INT(Panchanga!$U6/30+1)&amp;"Ma,"&amp;SIGN(V7-Panchanga!$V6)*INT(Panchanga!$V6/30+1)&amp;"Me,"&amp;SIGN(W7-Panchanga!$W6)*INT(Panchanga!$W6/30+1)&amp;"J, "&amp;SIGN(X7-Panchanga!$X6)*INT(Panchanga!$X6/30+1)&amp;"V,"&amp;SIGN(Y7-Panchanga!$Y6)*INT(Panchanga!$Y6/30+1)&amp;"S,"&amp;INT(Panchanga!$Z6/30+1)&amp;"R"</f>
        <v>1Ma,12Me,8J, 10V,9S,4R</v>
      </c>
      <c r="S6" s="4">
        <f t="shared" si="15"/>
        <v>313.00816251046831</v>
      </c>
      <c r="T6" s="4">
        <f t="shared" si="16"/>
        <v>217.85118373856332</v>
      </c>
      <c r="U6" s="4">
        <f>Planet(Panchanga!$E6,4)</f>
        <v>13.694815049475171</v>
      </c>
      <c r="V6" s="4">
        <f>Planet(Panchanga!$E6,2)</f>
        <v>331.04272155565224</v>
      </c>
      <c r="W6" s="4">
        <f>Planet(Panchanga!$E6,5)</f>
        <v>237.39609890266595</v>
      </c>
      <c r="X6" s="4">
        <f>Planet(Panchanga!$E6,3)</f>
        <v>271.55796327573137</v>
      </c>
      <c r="Y6" s="4">
        <f>Planet(Panchanga!$E6,6)</f>
        <v>263.35813374728201</v>
      </c>
      <c r="Z6" s="4">
        <f>Planet(Panchanga!$E6,10)</f>
        <v>90.479645627523439</v>
      </c>
      <c r="AA6" s="4" t="str">
        <f>TEXT(Panchanga!$C6+($C7-Panchanga!$C6)/ABS(IF($P7&lt;1,$P7+30,$P7)-Panchanga!$P6)*(ROUNDUP(Panchanga!$P6,0)-Panchanga!$P6),"hh:mm AM/PM")</f>
        <v>05:21 AM</v>
      </c>
      <c r="AB6" s="4"/>
    </row>
    <row r="7" spans="1:28" x14ac:dyDescent="0.2">
      <c r="A7" s="3">
        <f t="shared" si="10"/>
        <v>43523</v>
      </c>
      <c r="B7" s="5">
        <f t="shared" si="11"/>
        <v>43523.229166666664</v>
      </c>
      <c r="C7" s="6">
        <f t="shared" si="12"/>
        <v>43523.269533998486</v>
      </c>
      <c r="D7" s="6">
        <f t="shared" si="13"/>
        <v>43522.761579494036</v>
      </c>
      <c r="E7" s="7">
        <f>Panchanga!$C7-TimeZone/24</f>
        <v>43523.040367331821</v>
      </c>
      <c r="F7" s="8" t="str">
        <f>INT(P[Sun]/30)&amp;"s"&amp;ROUNDUP(MOD(P[Sun],30),2)</f>
        <v>10s14.02</v>
      </c>
      <c r="G7" s="8" t="str">
        <f>INT(P[Moon]/30)&amp;"s"&amp;ROUNDUP(MOD(P[Moon],30),2)</f>
        <v>7s20.56</v>
      </c>
      <c r="H7" s="9">
        <f t="shared" si="14"/>
        <v>43523.040367331821</v>
      </c>
      <c r="I7" s="10" t="str">
        <f>naks(P[[#This Row],[Moon]])</f>
        <v>Jyestha</v>
      </c>
      <c r="J7" s="6">
        <f>(C8-P[[#This Row],[SunRise]])/(T8-P[[#This Row],[Moon]])*(13.3333333333333-MOD(P[[#This Row],[Moon]],13.333333333333))+P[[#This Row],[SunRise]]</f>
        <v>43524.033439875551</v>
      </c>
      <c r="K7" s="10" t="str">
        <f>IF(Panchanga!$P7&gt;15,"K","S")&amp;ROUNDUP(MOD(Panchanga!$P7,15),0)&amp;" ("&amp;ROUND(Panchanga!$P7,2)&amp;")"</f>
        <v>K9 (23.05)</v>
      </c>
      <c r="L7" s="10">
        <f>IF(AND(Panchanga!$P7&lt;28.5,Panchanga!$P7&gt;0.49999),MOD((Panchanga!$P7-0.5)*2,7),MOD((Panchanga!$P7+30-28.5),30)*2+7)</f>
        <v>3.0902000000000029</v>
      </c>
      <c r="M7" s="10" t="str">
        <f>CHOOSE(ROUNDUP(Panchanga!$L7,0),"Bhava","Baalava","Kaulava","Taitula","Garija","Vanija","Vishti","Shakuni","Chatushapda","Naaga","Kimstugna")</f>
        <v>Taitula</v>
      </c>
      <c r="N7" s="11" t="str">
        <f>CHOOSE(ROUNDUP(Panchanga!$Q7,0),"viṣkambha","prīti","āyuṣmāna","saubhāgya","śobhana","atigaṇḍa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("&amp;Panchanga!$Q7&amp;")"</f>
        <v>harṣaṇa (13.85)</v>
      </c>
      <c r="O7" s="4">
        <f>IF(AND(Panchanga!$P7&lt;28.5,Panchanga!$P7&gt;0.49999),MOD((Panchanga!$P7-0.5)*2,7),MOD((Panchanga!$P7+30-28.5),30)*2+7)</f>
        <v>3.0902000000000029</v>
      </c>
      <c r="P7" s="10">
        <f>ROUNDUP(MOD(360+P[Moon]-P[Sun],360)/12,4)</f>
        <v>23.045100000000001</v>
      </c>
      <c r="Q7" s="4">
        <f>ROUNDUP(MOD(P[Sun]+P[Moon],360)/13.333333333,2)</f>
        <v>13.85</v>
      </c>
      <c r="R7" s="4" t="str">
        <f>SIGN(U8-Panchanga!$U7)*INT(Panchanga!$U7/30+1)&amp;"Ma,"&amp;SIGN(V8-Panchanga!$V7)*INT(Panchanga!$V7/30+1)&amp;"Me,"&amp;SIGN(W8-Panchanga!$W7)*INT(Panchanga!$W7/30+1)&amp;"J, "&amp;SIGN(X8-Panchanga!$X7)*INT(Panchanga!$X7/30+1)&amp;"V,"&amp;SIGN(Y8-Panchanga!$Y7)*INT(Panchanga!$Y7/30+1)&amp;"S,"&amp;INT(Panchanga!$Z7/30+1)&amp;"R"</f>
        <v>1Ma,12Me,8J, 10V,9S,4R</v>
      </c>
      <c r="S7" s="4">
        <f t="shared" si="15"/>
        <v>314.01309130210916</v>
      </c>
      <c r="T7" s="4">
        <f t="shared" si="16"/>
        <v>230.55428449901342</v>
      </c>
      <c r="U7" s="4">
        <f>Planet(Panchanga!$E7,4)</f>
        <v>14.367290797715874</v>
      </c>
      <c r="V7" s="4">
        <f>Planet(Panchanga!$E7,2)</f>
        <v>332.09110500055397</v>
      </c>
      <c r="W7" s="4">
        <f>Planet(Panchanga!$E7,5)</f>
        <v>237.51843688115744</v>
      </c>
      <c r="X7" s="4">
        <f>Planet(Panchanga!$E7,3)</f>
        <v>272.73751063304888</v>
      </c>
      <c r="Y7" s="4">
        <f>Planet(Panchanga!$E7,6)</f>
        <v>263.44734595934119</v>
      </c>
      <c r="Z7" s="4">
        <f>Planet(Panchanga!$E7,10)</f>
        <v>90.426673146456039</v>
      </c>
      <c r="AA7" s="4" t="str">
        <f>TEXT(Panchanga!$C7+($C8-Panchanga!$C7)/ABS(IF($P8&lt;1,$P8+30,$P8)-Panchanga!$P7)*(ROUNDUP(Panchanga!$P7,0)-Panchanga!$P7),"hh:mm AM/PM")</f>
        <v>06:40 AM</v>
      </c>
      <c r="AB7" s="4"/>
    </row>
    <row r="8" spans="1:28" x14ac:dyDescent="0.2">
      <c r="A8" s="3">
        <f t="shared" si="10"/>
        <v>43524</v>
      </c>
      <c r="B8" s="5">
        <f t="shared" si="11"/>
        <v>43524.229166666664</v>
      </c>
      <c r="C8" s="6">
        <f t="shared" si="12"/>
        <v>43524.269158727642</v>
      </c>
      <c r="D8" s="6">
        <f t="shared" si="13"/>
        <v>43523.761714120905</v>
      </c>
      <c r="E8" s="7">
        <f>Panchanga!$C8-TimeZone/24</f>
        <v>43524.039992060978</v>
      </c>
      <c r="F8" s="8" t="str">
        <f>INT(P[Sun]/30)&amp;"s"&amp;ROUNDUP(MOD(P[Sun],30),2)</f>
        <v>10s15.02</v>
      </c>
      <c r="G8" s="8" t="str">
        <f>INT(P[Moon]/30)&amp;"s"&amp;ROUNDUP(MOD(P[Moon],30),2)</f>
        <v>8s2.92</v>
      </c>
      <c r="H8" s="9">
        <f t="shared" si="14"/>
        <v>43524.039992060978</v>
      </c>
      <c r="I8" s="10" t="str">
        <f>naks(P[[#This Row],[Moon]])</f>
        <v>Moola</v>
      </c>
      <c r="J8" s="6">
        <f>(C9-P[[#This Row],[SunRise]])/(T9-P[[#This Row],[Moon]])*(13.3333333333333-MOD(P[[#This Row],[Moon]],13.333333333333))+P[[#This Row],[SunRise]]</f>
        <v>43525.129937076425</v>
      </c>
      <c r="K8" s="10" t="str">
        <f>IF(Panchanga!$P8&gt;15,"K","S")&amp;ROUNDUP(MOD(Panchanga!$P8,15),0)&amp;" ("&amp;ROUND(Panchanga!$P8,2)&amp;")"</f>
        <v>K9 (23.99)</v>
      </c>
      <c r="L8" s="10">
        <f>IF(AND(Panchanga!$P8&lt;28.5,Panchanga!$P8&gt;0.49999),MOD((Panchanga!$P8-0.5)*2,7),MOD((Panchanga!$P8+30-28.5),30)*2+7)</f>
        <v>4.982999999999997</v>
      </c>
      <c r="M8" s="10" t="str">
        <f>CHOOSE(ROUNDUP(Panchanga!$L8,0),"Bhava","Baalava","Kaulava","Taitula","Garija","Vanija","Vishti","Shakuni","Chatushapda","Naaga","Kimstugna")</f>
        <v>Garija</v>
      </c>
      <c r="N8" s="11" t="str">
        <f>CHOOSE(ROUNDUP(Panchanga!$Q8,0),"viṣkambha","prīti","āyuṣmāna","saubhāgya","śobhana","atigaṇḍa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("&amp;Panchanga!$Q8&amp;")"</f>
        <v>vajra (14.85)</v>
      </c>
      <c r="O8" s="4">
        <f>IF(AND(Panchanga!$P8&lt;28.5,Panchanga!$P8&gt;0.49999),MOD((Panchanga!$P8-0.5)*2,7),MOD((Panchanga!$P8+30-28.5),30)*2+7)</f>
        <v>4.982999999999997</v>
      </c>
      <c r="P8" s="10">
        <f>ROUNDUP(MOD(360+P[Moon]-P[Sun],360)/12,4)</f>
        <v>23.991499999999998</v>
      </c>
      <c r="Q8" s="4">
        <f>ROUNDUP(MOD(P[Sun]+P[Moon],360)/13.333333333,2)</f>
        <v>14.85</v>
      </c>
      <c r="R8" s="4" t="str">
        <f>SIGN(U9-Panchanga!$U8)*INT(Panchanga!$U8/30+1)&amp;"Ma,"&amp;SIGN(V9-Panchanga!$V8)*INT(Panchanga!$V8/30+1)&amp;"Me,"&amp;SIGN(W9-Panchanga!$W8)*INT(Panchanga!$W8/30+1)&amp;"J, "&amp;SIGN(X9-Panchanga!$X8)*INT(Panchanga!$X8/30+1)&amp;"V,"&amp;SIGN(Y9-Panchanga!$Y8)*INT(Panchanga!$Y8/30+1)&amp;"S,"&amp;INT(Panchanga!$Z8/30+1)&amp;"R"</f>
        <v>1Ma,12Me,8J, 10V,9S,4R</v>
      </c>
      <c r="S8" s="4">
        <f t="shared" si="15"/>
        <v>315.01761332623221</v>
      </c>
      <c r="T8" s="4">
        <f t="shared" si="16"/>
        <v>242.91466957113309</v>
      </c>
      <c r="U8" s="4">
        <f>Planet(Panchanga!$E8,4)</f>
        <v>15.03951890331</v>
      </c>
      <c r="V8" s="4">
        <f>Planet(Panchanga!$E8,2)</f>
        <v>333.01442940960067</v>
      </c>
      <c r="W8" s="4">
        <f>Planet(Panchanga!$E8,5)</f>
        <v>237.63842690536649</v>
      </c>
      <c r="X8" s="4">
        <f>Planet(Panchanga!$E8,3)</f>
        <v>273.91828068521346</v>
      </c>
      <c r="Y8" s="4">
        <f>Planet(Panchanga!$E8,6)</f>
        <v>263.53552679748151</v>
      </c>
      <c r="Z8" s="4">
        <f>Planet(Panchanga!$E8,10)</f>
        <v>90.373701036018844</v>
      </c>
      <c r="AA8" s="4" t="str">
        <f>TEXT(Panchanga!$C8+($C9-Panchanga!$C8)/ABS(IF($P9&lt;1,$P9+30,$P9)-Panchanga!$P8)*(ROUNDUP(Panchanga!$P8,0)-Panchanga!$P8),"hh:mm AM/PM")</f>
        <v>06:40 AM</v>
      </c>
      <c r="AB8" s="4"/>
    </row>
    <row r="9" spans="1:28" x14ac:dyDescent="0.2">
      <c r="A9" s="12">
        <v>43525</v>
      </c>
      <c r="B9" s="3">
        <f>A9+TimeZone/24</f>
        <v>43525.229166666664</v>
      </c>
      <c r="C9" s="6">
        <f>sunrise(Lat,Long,B9)+TimeZone/24+0.00103009259259259</f>
        <v>43525.268776463032</v>
      </c>
      <c r="D9" s="6">
        <f>sunset(Lat,Long,B9)+TimeZone/24-0.000277777777777778</f>
        <v>43524.761843661821</v>
      </c>
      <c r="E9" s="7">
        <f>Panchanga!$C9-TimeZone/24</f>
        <v>43525.039609796368</v>
      </c>
      <c r="F9" s="8" t="str">
        <f>INT(P[Sun]/30)&amp;"s"&amp;ROUNDUP(MOD(P[Sun],30),2)</f>
        <v>10s16.03</v>
      </c>
      <c r="G9" s="8" t="str">
        <f>INT(P[Moon]/30)&amp;"s"&amp;ROUNDUP(MOD(P[Moon],30),2)</f>
        <v>8s15.02</v>
      </c>
      <c r="H9" s="14">
        <f>E9</f>
        <v>43525.039609796368</v>
      </c>
      <c r="I9" s="4" t="str">
        <f>naks(P[[#This Row],[Moon]])</f>
        <v>Purva Asadha</v>
      </c>
      <c r="J9" s="15">
        <f>(C10-P[[#This Row],[SunRise]])/(T10-P[[#This Row],[Moon]])*(13.3333333333333-MOD(P[[#This Row],[Moon]],13.333333333333))+P[[#This Row],[SunRise]]</f>
        <v>43526.246082392783</v>
      </c>
      <c r="K9" s="10" t="str">
        <f>IF(Panchanga!$P9&gt;15,"K","S")&amp;ROUNDUP(MOD(Panchanga!$P9,15),0)&amp;" ("&amp;ROUND(Panchanga!$P9,2)&amp;")"</f>
        <v>K10 (24.92)</v>
      </c>
      <c r="L9" s="4">
        <f>IF(AND(Panchanga!$P9&lt;28.5,Panchanga!$P9&gt;0.49999),MOD((Panchanga!$P9-0.5)*2,7),MOD((Panchanga!$P9+30-28.5),30)*2+7)</f>
        <v>6.8322000000000003</v>
      </c>
      <c r="M9" s="4" t="str">
        <f>CHOOSE(ROUNDUP(Panchanga!$L9,0),"Bhava","Baalava","Kaulava","Taitula","Garija","Vanija","Vishti","Shakuni","Chatushapda","Naaga","Kimstugna")</f>
        <v>Vishti</v>
      </c>
      <c r="N9" s="11" t="str">
        <f>CHOOSE(ROUNDUP(Panchanga!$Q9,0),"viṣkambha","prīti","āyuṣmāna","saubhāgya","śobhana","atigaṇḍa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("&amp;Panchanga!$Q9&amp;")"</f>
        <v>siddhi (15.83)</v>
      </c>
      <c r="O9" s="4">
        <f>IF(AND(Panchanga!$P9&lt;28.5,Panchanga!$P9&gt;0.49999),MOD((Panchanga!$P9-0.5)*2,7),MOD((Panchanga!$P9+30-28.5),30)*2+7)</f>
        <v>6.8322000000000003</v>
      </c>
      <c r="P9" s="4">
        <f>ROUNDUP(MOD(360+P[Moon]-P[Sun],360)/12,4)</f>
        <v>24.9161</v>
      </c>
      <c r="Q9" s="4">
        <f>ROUNDUP(MOD(P[Sun]+P[Moon],360)/13.333333333,2)</f>
        <v>15.83</v>
      </c>
      <c r="R9" s="4" t="str">
        <f>SIGN(U10-Panchanga!$U9)*INT(Panchanga!$U9/30+1)&amp;"Ma,"&amp;SIGN(V10-Panchanga!$V9)*INT(Panchanga!$V9/30+1)&amp;"Me,"&amp;SIGN(W10-Panchanga!$W9)*INT(Panchanga!$W9/30+1)&amp;"J, "&amp;SIGN(X10-Panchanga!$X9)*INT(Panchanga!$X9/30+1)&amp;"V,"&amp;SIGN(Y10-Panchanga!$Y9)*INT(Panchanga!$Y9/30+1)&amp;"S,"&amp;INT(Panchanga!$Z9/30+1)&amp;"R"</f>
        <v>1Ma,12Me,8J, 10V,9S,4R</v>
      </c>
      <c r="S9" s="8">
        <f>Planet($E9,0)</f>
        <v>316.0217181022856</v>
      </c>
      <c r="T9" s="13">
        <f t="shared" si="16"/>
        <v>255.01381343374442</v>
      </c>
      <c r="U9" s="4">
        <f>Planet(Panchanga!$E9,4)</f>
        <v>15.711499677074546</v>
      </c>
      <c r="V9" s="4">
        <f>Planet(Panchanga!$E9,2)</f>
        <v>333.80373634797206</v>
      </c>
      <c r="W9" s="4">
        <f>Planet(Panchanga!$E9,5)</f>
        <v>237.75603800988043</v>
      </c>
      <c r="X9" s="4">
        <f>Planet(Panchanga!$E9,3)</f>
        <v>275.10022432251793</v>
      </c>
      <c r="Y9" s="4">
        <f>Planet(Panchanga!$E9,6)</f>
        <v>263.62265789281537</v>
      </c>
      <c r="Z9" s="4">
        <f>Planet(Panchanga!$E9,10)</f>
        <v>90.320729296195168</v>
      </c>
      <c r="AA9" s="4" t="str">
        <f>TEXT(Panchanga!$C9+($C10-Panchanga!$C9)/ABS(IF($P10&lt;1,$P10+30,$P10)-Panchanga!$P9)*(ROUNDUP(Panchanga!$P9,0)-Panchanga!$P9),"hh:mm AM/PM")</f>
        <v>08:39 AM</v>
      </c>
      <c r="AB9" s="4"/>
    </row>
    <row r="10" spans="1:28" x14ac:dyDescent="0.2">
      <c r="A10" s="3">
        <f>A9+1</f>
        <v>43526</v>
      </c>
      <c r="B10" s="3">
        <f t="shared" ref="B10:B40" si="17">A10+TimeZone/24</f>
        <v>43526.229166666664</v>
      </c>
      <c r="C10" s="6">
        <f>sunrise(Lat,Long,B10)+TimeZone/24+0.00103009259259259</f>
        <v>43526.268387363911</v>
      </c>
      <c r="D10" s="6">
        <f t="shared" si="13"/>
        <v>43525.76196827511</v>
      </c>
      <c r="E10" s="7">
        <f>Panchanga!$C10-TimeZone/24</f>
        <v>43526.039220697246</v>
      </c>
      <c r="F10" s="8" t="str">
        <f>INT(P[Sun]/30)&amp;"s"&amp;ROUNDUP(MOD(P[Sun],30),2)</f>
        <v>10s17.03</v>
      </c>
      <c r="G10" s="13" t="str">
        <f>INT(P[Moon]/30)&amp;"s"&amp;ROUNDUP(MOD(P[Moon],30),2)</f>
        <v>8s26.94</v>
      </c>
      <c r="H10" s="14">
        <f t="shared" ref="H10:H73" si="18">E10</f>
        <v>43526.039220697246</v>
      </c>
      <c r="I10" s="4" t="str">
        <f>naks(P[[#This Row],[Moon]])</f>
        <v>Uttara Asadha</v>
      </c>
      <c r="J10" s="6">
        <f>(C11-P[[#This Row],[SunRise]])/(T11-P[[#This Row],[Moon]])*(13.3333333333333-MOD(P[[#This Row],[Moon]],13.333333333333))+P[[#This Row],[SunRise]]</f>
        <v>43527.374131722558</v>
      </c>
      <c r="K10" s="4" t="str">
        <f>IF(Panchanga!$P10&gt;15,"K","S")&amp;ROUNDUP(MOD(Panchanga!$P10,15),0)&amp;" ("&amp;ROUND(Panchanga!$P10,2)&amp;")"</f>
        <v>K11 (25.83)</v>
      </c>
      <c r="L10" s="4">
        <f>IF(AND(Panchanga!$P10&lt;28.5,Panchanga!$P10&gt;0.49999),MOD((Panchanga!$P10-0.5)*2,7),MOD((Panchanga!$P10+30-28.5),30)*2+7)</f>
        <v>1.6514000000000024</v>
      </c>
      <c r="M10" s="4" t="str">
        <f>CHOOSE(ROUNDUP(Panchanga!$L10,0),"Bhava","Baalava","Kaulava","Taitula","Garija","Vanija","Vishti","Shakuni","Chatushapda","Naaga","Kimstugna")</f>
        <v>Baalava</v>
      </c>
      <c r="N10" s="11" t="str">
        <f>CHOOSE(ROUNDUP(Panchanga!$Q10,0),"viṣkambha","prīti","āyuṣmāna","saubhāgya","śobhana","atigaṇḍa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("&amp;Panchanga!$Q10&amp;")"</f>
        <v>vyatipāta (16.8)</v>
      </c>
      <c r="O10" s="4">
        <f>IF(AND(Panchanga!$P10&lt;28.5,Panchanga!$P10&gt;0.49999),MOD((Panchanga!$P10-0.5)*2,7),MOD((Panchanga!$P10+30-28.5),30)*2+7)</f>
        <v>1.6514000000000024</v>
      </c>
      <c r="P10" s="4">
        <f>ROUNDUP(MOD(360+P[Moon]-P[Sun],360)/12,4)</f>
        <v>25.825700000000001</v>
      </c>
      <c r="Q10" s="4">
        <f>ROUNDUP(MOD(P[Sun]+P[Moon],360)/13.333333333,2)</f>
        <v>16.8</v>
      </c>
      <c r="R10" s="4" t="str">
        <f>SIGN(U11-Panchanga!$U10)*INT(Panchanga!$U10/30+1)&amp;"Ma,"&amp;SIGN(V11-Panchanga!$V10)*INT(Panchanga!$V10/30+1)&amp;"Me,"&amp;SIGN(W11-Panchanga!$W10)*INT(Panchanga!$W10/30+1)&amp;"J, "&amp;SIGN(X11-Panchanga!$X10)*INT(Panchanga!$X10/30+1)&amp;"V,"&amp;SIGN(Y11-Panchanga!$Y10)*INT(Panchanga!$Y10/30+1)&amp;"S,"&amp;INT(Panchanga!$Z10/30+1)&amp;"R"</f>
        <v>1Ma,12Me,8J, 10V,9S,4R</v>
      </c>
      <c r="S10" s="4">
        <f t="shared" si="15"/>
        <v>317.02539333312529</v>
      </c>
      <c r="T10" s="4">
        <f t="shared" si="16"/>
        <v>266.93261875700716</v>
      </c>
      <c r="U10" s="4">
        <f>Planet(Panchanga!$E10,4)</f>
        <v>16.383231955510588</v>
      </c>
      <c r="V10" s="4">
        <f>Planet(Panchanga!$E10,2)</f>
        <v>334.45120796122319</v>
      </c>
      <c r="W10" s="4">
        <f>Planet(Panchanga!$E10,5)</f>
        <v>237.87123963346744</v>
      </c>
      <c r="X10" s="4">
        <f>Planet(Panchanga!$E10,3)</f>
        <v>276.2832938210538</v>
      </c>
      <c r="Y10" s="4">
        <f>Planet(Panchanga!$E10,6)</f>
        <v>263.70872098601387</v>
      </c>
      <c r="Z10" s="4">
        <f>Planet(Panchanga!$E10,10)</f>
        <v>90.267757918518257</v>
      </c>
      <c r="AA10" s="4" t="str">
        <f>TEXT(Panchanga!$C10+($C11-Panchanga!$C10)/ABS(IF($P11&lt;1,$P11+30,$P11)-Panchanga!$P10)*(ROUNDUP(Panchanga!$P10,0)-Panchanga!$P10),"hh:mm AM/PM")</f>
        <v>11:05 AM</v>
      </c>
      <c r="AB10" s="4"/>
    </row>
    <row r="11" spans="1:28" x14ac:dyDescent="0.2">
      <c r="A11" s="3">
        <f t="shared" ref="A11:A74" si="19">A10+1</f>
        <v>43527</v>
      </c>
      <c r="B11" s="3">
        <f t="shared" si="17"/>
        <v>43527.229166666664</v>
      </c>
      <c r="C11" s="6">
        <f>sunrise(Lat,Long,B11)+TimeZone/24+0.00103009259259259</f>
        <v>43527.267991907116</v>
      </c>
      <c r="D11" s="6">
        <f t="shared" si="13"/>
        <v>43526.762087961237</v>
      </c>
      <c r="E11" s="7">
        <f>Panchanga!$C11-TimeZone/24</f>
        <v>43527.038825240452</v>
      </c>
      <c r="F11" s="8" t="str">
        <f>INT(P[Sun]/30)&amp;"s"&amp;ROUNDUP(MOD(P[Sun],30),2)</f>
        <v>10s18.03</v>
      </c>
      <c r="G11" s="13" t="str">
        <f>INT(P[Moon]/30)&amp;"s"&amp;ROUNDUP(MOD(P[Moon],30),2)</f>
        <v>9s8.75</v>
      </c>
      <c r="H11" s="14">
        <f t="shared" si="18"/>
        <v>43527.038825240452</v>
      </c>
      <c r="I11" s="4" t="str">
        <f>naks(P[[#This Row],[Moon]])</f>
        <v>Uttara Asadha</v>
      </c>
      <c r="J11" s="6">
        <f>(C12-P[[#This Row],[SunRise]])/(T12-P[[#This Row],[Moon]])*(13.3333333333333-MOD(P[[#This Row],[Moon]],13.333333333333))+P[[#This Row],[SunRise]]</f>
        <v>43527.374499666977</v>
      </c>
      <c r="K11" s="4" t="str">
        <f>IF(Panchanga!$P11&gt;15,"K","S")&amp;ROUNDUP(MOD(Panchanga!$P11,15),0)&amp;" ("&amp;ROUND(Panchanga!$P11,2)&amp;")"</f>
        <v>K12 (26.73)</v>
      </c>
      <c r="L11" s="4">
        <f>IF(AND(Panchanga!$P11&lt;28.5,Panchanga!$P11&gt;0.49999),MOD((Panchanga!$P11-0.5)*2,7),MOD((Panchanga!$P11+30-28.5),30)*2+7)</f>
        <v>3.453000000000003</v>
      </c>
      <c r="M11" s="4" t="str">
        <f>CHOOSE(ROUNDUP(Panchanga!$L11,0),"Bhava","Baalava","Kaulava","Taitula","Garija","Vanija","Vishti","Shakuni","Chatushapda","Naaga","Kimstugna")</f>
        <v>Taitula</v>
      </c>
      <c r="N11" s="11" t="str">
        <f>CHOOSE(ROUNDUP(Panchanga!$Q11,0),"viṣkambha","prīti","āyuṣmāna","saubhāgya","śobhana","atigaṇḍa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("&amp;Panchanga!$Q11&amp;")"</f>
        <v>varīyas (17.76)</v>
      </c>
      <c r="O11" s="4">
        <f>IF(AND(Panchanga!$P11&lt;28.5,Panchanga!$P11&gt;0.49999),MOD((Panchanga!$P11-0.5)*2,7),MOD((Panchanga!$P11+30-28.5),30)*2+7)</f>
        <v>3.453000000000003</v>
      </c>
      <c r="P11" s="4">
        <f>ROUNDUP(MOD(360+P[Moon]-P[Sun],360)/12,4)</f>
        <v>26.726500000000001</v>
      </c>
      <c r="Q11" s="4">
        <f>ROUNDUP(MOD(P[Sun]+P[Moon],360)/13.333333333,2)</f>
        <v>17.760000000000002</v>
      </c>
      <c r="R11" s="4" t="str">
        <f>SIGN(U12-Panchanga!$U11)*INT(Panchanga!$U11/30+1)&amp;"Ma,"&amp;SIGN(V12-Panchanga!$V11)*INT(Panchanga!$V11/30+1)&amp;"Me,"&amp;SIGN(W12-Panchanga!$W11)*INT(Panchanga!$W11/30+1)&amp;"J, "&amp;SIGN(X12-Panchanga!$X11)*INT(Panchanga!$X11/30+1)&amp;"V,"&amp;SIGN(Y12-Panchanga!$Y11)*INT(Panchanga!$Y11/30+1)&amp;"S,"&amp;INT(Panchanga!$Z11/30+1)&amp;"R"</f>
        <v>1Ma,12Me,8J, 10V,9S,4R</v>
      </c>
      <c r="S11" s="4">
        <f t="shared" si="15"/>
        <v>318.02862548782514</v>
      </c>
      <c r="T11" s="4">
        <f t="shared" si="16"/>
        <v>278.74566899427253</v>
      </c>
      <c r="U11" s="4">
        <f>Planet(Panchanga!$E11,4)</f>
        <v>17.054713363010777</v>
      </c>
      <c r="V11" s="4">
        <f>Planet(Panchanga!$E11,2)</f>
        <v>334.95046056002104</v>
      </c>
      <c r="W11" s="4">
        <f>Planet(Panchanga!$E11,5)</f>
        <v>237.98400170448383</v>
      </c>
      <c r="X11" s="4">
        <f>Planet(Panchanga!$E11,3)</f>
        <v>277.46744322335923</v>
      </c>
      <c r="Y11" s="4">
        <f>Planet(Panchanga!$E11,6)</f>
        <v>263.79369799046958</v>
      </c>
      <c r="Z11" s="4">
        <f>Planet(Panchanga!$E11,10)</f>
        <v>90.214786877770635</v>
      </c>
      <c r="AA11" s="4" t="str">
        <f>TEXT(Panchanga!$C11+($C12-Panchanga!$C11)/ABS(IF($P12&lt;1,$P12+30,$P12)-Panchanga!$P11)*(ROUNDUP(Panchanga!$P11,0)-Panchanga!$P11),"hh:mm AM/PM")</f>
        <v>01:44 PM</v>
      </c>
      <c r="AB11" s="4"/>
    </row>
    <row r="12" spans="1:28" x14ac:dyDescent="0.2">
      <c r="A12" s="3">
        <f t="shared" si="19"/>
        <v>43528</v>
      </c>
      <c r="B12" s="3">
        <f t="shared" si="17"/>
        <v>43528.229166666664</v>
      </c>
      <c r="C12" s="6">
        <f t="shared" si="12"/>
        <v>43528.267590250973</v>
      </c>
      <c r="D12" s="6">
        <f t="shared" si="13"/>
        <v>43527.762203037782</v>
      </c>
      <c r="E12" s="7">
        <f>Panchanga!$C12-TimeZone/24</f>
        <v>43528.038423584308</v>
      </c>
      <c r="F12" s="8" t="str">
        <f>INT(P[Sun]/30)&amp;"s"&amp;ROUNDUP(MOD(P[Sun],30),2)</f>
        <v>10s19.04</v>
      </c>
      <c r="G12" s="13" t="str">
        <f>INT(P[Moon]/30)&amp;"s"&amp;ROUNDUP(MOD(P[Moon],30),2)</f>
        <v>9s20.52</v>
      </c>
      <c r="H12" s="14">
        <f t="shared" si="18"/>
        <v>43528.038423584308</v>
      </c>
      <c r="I12" s="4" t="str">
        <f>naks(P[[#This Row],[Moon]])</f>
        <v>Sravana</v>
      </c>
      <c r="J12" s="6">
        <f>(C13-P[[#This Row],[SunRise]])/(T13-P[[#This Row],[Moon]])*(13.3333333333333-MOD(P[[#This Row],[Moon]],13.333333333333))+P[[#This Row],[SunRise]]</f>
        <v>43528.506398923404</v>
      </c>
      <c r="K12" s="4" t="str">
        <f>IF(Panchanga!$P12&gt;15,"K","S")&amp;ROUNDUP(MOD(Panchanga!$P12,15),0)&amp;" ("&amp;ROUND(Panchanga!$P12,2)&amp;")"</f>
        <v>K13 (27.62)</v>
      </c>
      <c r="L12" s="4">
        <f>IF(AND(Panchanga!$P12&lt;28.5,Panchanga!$P12&gt;0.49999),MOD((Panchanga!$P12-0.5)*2,7),MOD((Panchanga!$P12+30-28.5),30)*2+7)</f>
        <v>5.247799999999998</v>
      </c>
      <c r="M12" s="4" t="str">
        <f>CHOOSE(ROUNDUP(Panchanga!$L12,0),"Bhava","Baalava","Kaulava","Taitula","Garija","Vanija","Vishti","Shakuni","Chatushapda","Naaga","Kimstugna")</f>
        <v>Vanija</v>
      </c>
      <c r="N12" s="11" t="str">
        <f>CHOOSE(ROUNDUP(Panchanga!$Q12,0),"viṣkambha","prīti","āyuṣmāna","saubhāgya","śobhana","atigaṇḍa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("&amp;Panchanga!$Q12&amp;")"</f>
        <v>parigha (18.72)</v>
      </c>
      <c r="O12" s="4">
        <f>IF(AND(Panchanga!$P12&lt;28.5,Panchanga!$P12&gt;0.49999),MOD((Panchanga!$P12-0.5)*2,7),MOD((Panchanga!$P12+30-28.5),30)*2+7)</f>
        <v>5.247799999999998</v>
      </c>
      <c r="P12" s="4">
        <f>ROUNDUP(MOD(360+P[Moon]-P[Sun],360)/12,4)</f>
        <v>27.623899999999999</v>
      </c>
      <c r="Q12" s="4">
        <f>ROUNDUP(MOD(P[Sun]+P[Moon],360)/13.333333333,2)</f>
        <v>18.720000000000002</v>
      </c>
      <c r="R12" s="4" t="str">
        <f>SIGN(U13-Panchanga!$U12)*INT(Panchanga!$U12/30+1)&amp;"Ma,"&amp;SIGN(V13-Panchanga!$V12)*INT(Panchanga!$V12/30+1)&amp;"Me,"&amp;SIGN(W13-Panchanga!$W12)*INT(Panchanga!$W12/30+1)&amp;"J, "&amp;SIGN(X13-Panchanga!$X12)*INT(Panchanga!$X12/30+1)&amp;"V,"&amp;SIGN(Y13-Panchanga!$Y12)*INT(Panchanga!$Y12/30+1)&amp;"S,"&amp;INT(Panchanga!$Z12/30+1)&amp;"R"</f>
        <v>1Ma,12Me,8J, 10V,9S,4R</v>
      </c>
      <c r="S12" s="4">
        <f t="shared" si="15"/>
        <v>319.03139947634355</v>
      </c>
      <c r="T12" s="4">
        <f t="shared" si="16"/>
        <v>290.5178365585453</v>
      </c>
      <c r="U12" s="4">
        <f>Planet(Panchanga!$E12,4)</f>
        <v>17.725940042613999</v>
      </c>
      <c r="V12" s="4">
        <f>Planet(Panchanga!$E12,2)</f>
        <v>335.2968366288369</v>
      </c>
      <c r="W12" s="4">
        <f>Planet(Panchanga!$E12,5)</f>
        <v>238.09429461511962</v>
      </c>
      <c r="X12" s="4">
        <f>Planet(Panchanga!$E12,3)</f>
        <v>278.65262766231308</v>
      </c>
      <c r="Y12" s="4">
        <f>Planet(Panchanga!$E12,6)</f>
        <v>263.87757097252529</v>
      </c>
      <c r="Z12" s="4">
        <f>Planet(Panchanga!$E12,10)</f>
        <v>90.161816165535114</v>
      </c>
      <c r="AA12" s="4" t="str">
        <f>TEXT(Panchanga!$C12+($C13-Panchanga!$C12)/ABS(IF($P13&lt;1,$P13+30,$P13)-Panchanga!$P12)*(ROUNDUP(Panchanga!$P12,0)-Panchanga!$P12),"hh:mm AM/PM")</f>
        <v>04:27 PM</v>
      </c>
      <c r="AB12" s="4"/>
    </row>
    <row r="13" spans="1:28" x14ac:dyDescent="0.2">
      <c r="A13" s="3">
        <f t="shared" si="19"/>
        <v>43529</v>
      </c>
      <c r="B13" s="3">
        <f t="shared" si="17"/>
        <v>43529.229166666664</v>
      </c>
      <c r="C13" s="6">
        <f t="shared" si="12"/>
        <v>43529.267182555202</v>
      </c>
      <c r="D13" s="6">
        <f t="shared" si="13"/>
        <v>43528.762313664003</v>
      </c>
      <c r="E13" s="7">
        <f>Panchanga!$C13-TimeZone/24</f>
        <v>43529.038015888538</v>
      </c>
      <c r="F13" s="8" t="str">
        <f>INT(P[Sun]/30)&amp;"s"&amp;ROUNDUP(MOD(P[Sun],30),2)</f>
        <v>10s20.04</v>
      </c>
      <c r="G13" s="13" t="str">
        <f>INT(P[Moon]/30)&amp;"s"&amp;ROUNDUP(MOD(P[Moon],30),2)</f>
        <v>10s2.31</v>
      </c>
      <c r="H13" s="14">
        <f t="shared" si="18"/>
        <v>43529.038015888538</v>
      </c>
      <c r="I13" s="4" t="str">
        <f>naks(P[[#This Row],[Moon]])</f>
        <v>Dhanistha</v>
      </c>
      <c r="J13" s="6">
        <f>(C14-P[[#This Row],[SunRise]])/(T14-P[[#This Row],[Moon]])*(13.3333333333333-MOD(P[[#This Row],[Moon]],13.333333333333))+P[[#This Row],[SunRise]]</f>
        <v>43529.635594587482</v>
      </c>
      <c r="K13" s="4" t="str">
        <f>IF(Panchanga!$P13&gt;15,"K","S")&amp;ROUNDUP(MOD(Panchanga!$P13,15),0)&amp;" ("&amp;ROUND(Panchanga!$P13,2)&amp;")"</f>
        <v>K14 (28.52)</v>
      </c>
      <c r="L13" s="4">
        <f>IF(AND(Panchanga!$P13&lt;28.5,Panchanga!$P13&gt;0.49999),MOD((Panchanga!$P13-0.5)*2,7),MOD((Panchanga!$P13+30-28.5),30)*2+7)</f>
        <v>7.0450000000000017</v>
      </c>
      <c r="M13" s="4" t="str">
        <f>CHOOSE(ROUNDUP(Panchanga!$L13,0),"Bhava","Baalava","Kaulava","Taitula","Garija","Vanija","Vishti","Shakuni","Chatushapda","Naaga","Kimstugna")</f>
        <v>Shakuni</v>
      </c>
      <c r="N13" s="11" t="str">
        <f>CHOOSE(ROUNDUP(Panchanga!$Q13,0),"viṣkambha","prīti","āyuṣmāna","saubhāgya","śobhana","atigaṇḍa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("&amp;Panchanga!$Q13&amp;")"</f>
        <v>śiva (19.68)</v>
      </c>
      <c r="O13" s="4">
        <f>IF(AND(Panchanga!$P13&lt;28.5,Panchanga!$P13&gt;0.49999),MOD((Panchanga!$P13-0.5)*2,7),MOD((Panchanga!$P13+30-28.5),30)*2+7)</f>
        <v>7.0450000000000017</v>
      </c>
      <c r="P13" s="4">
        <f>ROUNDUP(MOD(360+P[Moon]-P[Sun],360)/12,4)</f>
        <v>28.522500000000001</v>
      </c>
      <c r="Q13" s="4">
        <f>ROUNDUP(MOD(P[Sun]+P[Moon],360)/13.333333333,2)</f>
        <v>19.680000000000003</v>
      </c>
      <c r="R13" s="4" t="str">
        <f>SIGN(U14-Panchanga!$U13)*INT(Panchanga!$U13/30+1)&amp;"Ma,"&amp;SIGN(V14-Panchanga!$V13)*INT(Panchanga!$V13/30+1)&amp;"Me,"&amp;SIGN(W14-Panchanga!$W13)*INT(Panchanga!$W13/30+1)&amp;"J, "&amp;SIGN(X14-Panchanga!$X13)*INT(Panchanga!$X13/30+1)&amp;"V,"&amp;SIGN(Y14-Panchanga!$Y13)*INT(Panchanga!$Y13/30+1)&amp;"S,"&amp;INT(Panchanga!$Z13/30+1)&amp;"R"</f>
        <v>1Ma,12Me,8J, 10V,9S,4R</v>
      </c>
      <c r="S13" s="4">
        <f t="shared" si="15"/>
        <v>320.03369916929807</v>
      </c>
      <c r="T13" s="4">
        <f t="shared" si="16"/>
        <v>302.30278925739947</v>
      </c>
      <c r="U13" s="4">
        <f>Planet(Panchanga!$E13,4)</f>
        <v>18.396906978251241</v>
      </c>
      <c r="V13" s="4">
        <f>Planet(Panchanga!$E13,2)</f>
        <v>335.48769255960531</v>
      </c>
      <c r="W13" s="4">
        <f>Planet(Panchanga!$E13,5)</f>
        <v>238.20208930597937</v>
      </c>
      <c r="X13" s="4">
        <f>Planet(Panchanga!$E13,3)</f>
        <v>279.83880375587762</v>
      </c>
      <c r="Y13" s="4">
        <f>Planet(Panchanga!$E13,6)</f>
        <v>263.96032221143685</v>
      </c>
      <c r="Z13" s="4">
        <f>Planet(Panchanga!$E13,10)</f>
        <v>90.108845773361807</v>
      </c>
      <c r="AA13" s="4" t="str">
        <f>TEXT(Panchanga!$C13+($C14-Panchanga!$C13)/ABS(IF($P14&lt;1,$P14+30,$P14)-Panchanga!$P13)*(ROUNDUP(Panchanga!$P13,0)-Panchanga!$P13),"hh:mm AM/PM")</f>
        <v>07:05 PM</v>
      </c>
      <c r="AB13" s="4"/>
    </row>
    <row r="14" spans="1:28" x14ac:dyDescent="0.2">
      <c r="A14" s="3">
        <f t="shared" si="19"/>
        <v>43530</v>
      </c>
      <c r="B14" s="3">
        <f t="shared" si="17"/>
        <v>43530.229166666664</v>
      </c>
      <c r="C14" s="6">
        <f t="shared" si="12"/>
        <v>43530.266769137386</v>
      </c>
      <c r="D14" s="6">
        <f t="shared" si="13"/>
        <v>43529.762419681108</v>
      </c>
      <c r="E14" s="7">
        <f>Panchanga!$C14-TimeZone/24</f>
        <v>43530.037602470722</v>
      </c>
      <c r="F14" s="8" t="str">
        <f>INT(P[Sun]/30)&amp;"s"&amp;ROUNDUP(MOD(P[Sun],30),2)</f>
        <v>10s21.04</v>
      </c>
      <c r="G14" s="13" t="str">
        <f>INT(P[Moon]/30)&amp;"s"&amp;ROUNDUP(MOD(P[Moon],30),2)</f>
        <v>10s14.15</v>
      </c>
      <c r="H14" s="14">
        <f t="shared" si="18"/>
        <v>43530.037602470722</v>
      </c>
      <c r="I14" s="4" t="str">
        <f>naks(P[[#This Row],[Moon]])</f>
        <v>Satabhisaj</v>
      </c>
      <c r="J14" s="6">
        <f>(C15-P[[#This Row],[SunRise]])/(T15-P[[#This Row],[Moon]])*(13.3333333333333-MOD(P[[#This Row],[Moon]],13.333333333333))+P[[#This Row],[SunRise]]</f>
        <v>43530.75759377105</v>
      </c>
      <c r="K14" s="4" t="str">
        <f>IF(Panchanga!$P14&gt;15,"K","S")&amp;ROUNDUP(MOD(Panchanga!$P14,15),0)&amp;" ("&amp;ROUND(Panchanga!$P14,2)&amp;")"</f>
        <v>K15 (29.43)</v>
      </c>
      <c r="L14" s="4">
        <f>IF(AND(Panchanga!$P14&lt;28.5,Panchanga!$P14&gt;0.49999),MOD((Panchanga!$P14-0.5)*2,7),MOD((Panchanga!$P14+30-28.5),30)*2+7)</f>
        <v>8.8513999999999982</v>
      </c>
      <c r="M14" s="4" t="str">
        <f>CHOOSE(ROUNDUP(Panchanga!$L14,0),"Bhava","Baalava","Kaulava","Taitula","Garija","Vanija","Vishti","Shakuni","Chatushapda","Naaga","Kimstugna")</f>
        <v>Chatushapda</v>
      </c>
      <c r="N14" s="11" t="str">
        <f>CHOOSE(ROUNDUP(Panchanga!$Q14,0),"viṣkambha","prīti","āyuṣmāna","saubhāgya","śobhana","atigaṇḍa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("&amp;Panchanga!$Q14&amp;")"</f>
        <v>siddha (20.64)</v>
      </c>
      <c r="O14" s="4">
        <f>IF(AND(Panchanga!$P14&lt;28.5,Panchanga!$P14&gt;0.49999),MOD((Panchanga!$P14-0.5)*2,7),MOD((Panchanga!$P14+30-28.5),30)*2+7)</f>
        <v>8.8513999999999982</v>
      </c>
      <c r="P14" s="4">
        <f>ROUNDUP(MOD(360+P[Moon]-P[Sun],360)/12,4)</f>
        <v>29.425699999999999</v>
      </c>
      <c r="Q14" s="4">
        <f>ROUNDUP(MOD(P[Sun]+P[Moon],360)/13.333333333,2)</f>
        <v>20.64</v>
      </c>
      <c r="R14" s="4" t="str">
        <f>SIGN(U15-Panchanga!$U14)*INT(Panchanga!$U14/30+1)&amp;"Ma,"&amp;SIGN(V15-Panchanga!$V14)*INT(Panchanga!$V14/30+1)&amp;"Me,"&amp;SIGN(W15-Panchanga!$W14)*INT(Panchanga!$W14/30+1)&amp;"J, "&amp;SIGN(X15-Panchanga!$X14)*INT(Panchanga!$X14/30+1)&amp;"V,"&amp;SIGN(Y15-Panchanga!$Y14)*INT(Panchanga!$Y14/30+1)&amp;"S,"&amp;INT(Panchanga!$Z14/30+1)&amp;"R"</f>
        <v>1Ma,-12Me,8J, 10V,9S,4R</v>
      </c>
      <c r="S14" s="4">
        <f t="shared" si="15"/>
        <v>321.03550770449488</v>
      </c>
      <c r="T14" s="4">
        <f t="shared" si="16"/>
        <v>314.14299240596984</v>
      </c>
      <c r="U14" s="4">
        <f>Planet(Panchanga!$E14,4)</f>
        <v>19.067608142574599</v>
      </c>
      <c r="V14" s="4">
        <f>Planet(Panchanga!$E14,2)</f>
        <v>335.52267446571619</v>
      </c>
      <c r="W14" s="4">
        <f>Planet(Panchanga!$E14,5)</f>
        <v>238.30735734385604</v>
      </c>
      <c r="X14" s="4">
        <f>Planet(Panchanga!$E14,3)</f>
        <v>281.02592984713482</v>
      </c>
      <c r="Y14" s="4">
        <f>Planet(Panchanga!$E14,6)</f>
        <v>264.04193424553546</v>
      </c>
      <c r="Z14" s="4">
        <f>Planet(Panchanga!$E14,10)</f>
        <v>90.055875684433289</v>
      </c>
      <c r="AA14" s="4" t="str">
        <f>TEXT(Panchanga!$C14+($C15-Panchanga!$C14)/ABS(IF($P15&lt;1,$P15+30,$P15)-Panchanga!$P14)*(ROUNDUP(Panchanga!$P14,0)-Panchanga!$P14),"hh:mm AM/PM")</f>
        <v>09:32 PM</v>
      </c>
      <c r="AB14" s="4"/>
    </row>
    <row r="15" spans="1:28" x14ac:dyDescent="0.2">
      <c r="A15" s="3">
        <f t="shared" si="19"/>
        <v>43531</v>
      </c>
      <c r="B15" s="3">
        <f t="shared" si="17"/>
        <v>43531.229166666664</v>
      </c>
      <c r="C15" s="6">
        <f t="shared" si="12"/>
        <v>43531.26635015678</v>
      </c>
      <c r="D15" s="6">
        <f t="shared" si="13"/>
        <v>43530.762521406214</v>
      </c>
      <c r="E15" s="7">
        <f>Panchanga!$C15-TimeZone/24</f>
        <v>43531.037183490116</v>
      </c>
      <c r="F15" s="8" t="str">
        <f>INT(P[Sun]/30)&amp;"s"&amp;ROUNDUP(MOD(P[Sun],30),2)</f>
        <v>10s22.04</v>
      </c>
      <c r="G15" s="13" t="str">
        <f>INT(P[Moon]/30)&amp;"s"&amp;ROUNDUP(MOD(P[Moon],30),2)</f>
        <v>10s26.08</v>
      </c>
      <c r="H15" s="14">
        <f t="shared" si="18"/>
        <v>43531.037183490116</v>
      </c>
      <c r="I15" s="4" t="str">
        <f>naks(P[[#This Row],[Moon]])</f>
        <v>Purva Bhadrapada</v>
      </c>
      <c r="J15" s="6">
        <f>(C16-P[[#This Row],[SunRise]])/(T16-P[[#This Row],[Moon]])*(13.3333333333333-MOD(P[[#This Row],[Moon]],13.333333333333))+P[[#This Row],[SunRise]]</f>
        <v>43531.869237893268</v>
      </c>
      <c r="K15" s="4" t="str">
        <f>IF(Panchanga!$P15&gt;15,"K","S")&amp;ROUNDUP(MOD(Panchanga!$P15,15),0)&amp;" ("&amp;ROUND(Panchanga!$P15,2)&amp;")"</f>
        <v>S1 (0.34)</v>
      </c>
      <c r="L15" s="4">
        <f>IF(AND(Panchanga!$P15&lt;28.5,Panchanga!$P15&gt;0.49999),MOD((Panchanga!$P15-0.5)*2,7),MOD((Panchanga!$P15+30-28.5),30)*2+7)</f>
        <v>10.672400000000003</v>
      </c>
      <c r="M15" s="4" t="str">
        <f>CHOOSE(ROUNDUP(Panchanga!$L15,0),"Bhava","Baalava","Kaulava","Taitula","Garija","Vanija","Vishti","Shakuni","Chatushapda","Naaga","Kimstugna")</f>
        <v>Kimstugna</v>
      </c>
      <c r="N15" s="11" t="str">
        <f>CHOOSE(ROUNDUP(Panchanga!$Q15,0),"viṣkambha","prīti","āyuṣmāna","saubhāgya","śobhana","atigaṇḍa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("&amp;Panchanga!$Q15&amp;")"</f>
        <v>sādhya (21.61)</v>
      </c>
      <c r="O15" s="4">
        <f>IF(AND(Panchanga!$P15&lt;28.5,Panchanga!$P15&gt;0.49999),MOD((Panchanga!$P15-0.5)*2,7),MOD((Panchanga!$P15+30-28.5),30)*2+7)</f>
        <v>10.672400000000003</v>
      </c>
      <c r="P15" s="4">
        <f>ROUNDUP(MOD(360+P[Moon]-P[Sun],360)/12,4)</f>
        <v>0.3362</v>
      </c>
      <c r="Q15" s="4">
        <f>ROUNDUP(MOD(P[Sun]+P[Moon],360)/13.333333333,2)</f>
        <v>21.610000000000003</v>
      </c>
      <c r="R15" s="4" t="str">
        <f>SIGN(U16-Panchanga!$U15)*INT(Panchanga!$U15/30+1)&amp;"Ma,"&amp;SIGN(V16-Panchanga!$V15)*INT(Panchanga!$V15/30+1)&amp;"Me,"&amp;SIGN(W16-Panchanga!$W15)*INT(Panchanga!$W15/30+1)&amp;"J, "&amp;SIGN(X16-Panchanga!$X15)*INT(Panchanga!$X15/30+1)&amp;"V,"&amp;SIGN(Y16-Panchanga!$Y15)*INT(Panchanga!$Y15/30+1)&amp;"S,"&amp;INT(Panchanga!$Z15/30+1)&amp;"R"</f>
        <v>1Ma,-12Me,8J, 10V,9S,4R</v>
      </c>
      <c r="S15" s="4">
        <f t="shared" si="15"/>
        <v>322.03680734443236</v>
      </c>
      <c r="T15" s="4">
        <f t="shared" si="16"/>
        <v>326.0709870907005</v>
      </c>
      <c r="U15" s="4">
        <f>Planet(Panchanga!$E15,4)</f>
        <v>19.738036276145142</v>
      </c>
      <c r="V15" s="4">
        <f>Planet(Panchanga!$E15,2)</f>
        <v>335.40397057525848</v>
      </c>
      <c r="W15" s="4">
        <f>Planet(Panchanga!$E15,5)</f>
        <v>238.41007097268977</v>
      </c>
      <c r="X15" s="4">
        <f>Planet(Panchanga!$E15,3)</f>
        <v>282.21396576897359</v>
      </c>
      <c r="Y15" s="4">
        <f>Planet(Panchanga!$E15,6)</f>
        <v>264.12238989007437</v>
      </c>
      <c r="Z15" s="4">
        <f>Planet(Panchanga!$E15,10)</f>
        <v>90.002905890266263</v>
      </c>
      <c r="AA15" s="4" t="str">
        <f>TEXT(Panchanga!$C15+($C16-Panchanga!$C15)/ABS(IF($P16&lt;1,$P16+30,$P16)-Panchanga!$P15)*(ROUNDUP(Panchanga!$P15,0)-Panchanga!$P15),"hh:mm AM/PM")</f>
        <v>11:42 PM</v>
      </c>
      <c r="AB15" s="4"/>
    </row>
    <row r="16" spans="1:28" x14ac:dyDescent="0.2">
      <c r="A16" s="3">
        <f t="shared" si="19"/>
        <v>43532</v>
      </c>
      <c r="B16" s="3">
        <f t="shared" si="17"/>
        <v>43532.229166666664</v>
      </c>
      <c r="C16" s="6">
        <f t="shared" si="12"/>
        <v>43532.2659259305</v>
      </c>
      <c r="D16" s="6">
        <f t="shared" si="13"/>
        <v>43531.762618999041</v>
      </c>
      <c r="E16" s="7">
        <f>Panchanga!$C16-TimeZone/24</f>
        <v>43532.036759263836</v>
      </c>
      <c r="F16" s="8" t="str">
        <f>INT(P[Sun]/30)&amp;"s"&amp;ROUNDUP(MOD(P[Sun],30),2)</f>
        <v>10s23.04</v>
      </c>
      <c r="G16" s="13" t="str">
        <f>INT(P[Moon]/30)&amp;"s"&amp;ROUNDUP(MOD(P[Moon],30),2)</f>
        <v>11s8.12</v>
      </c>
      <c r="H16" s="14">
        <f t="shared" si="18"/>
        <v>43532.036759263836</v>
      </c>
      <c r="I16" s="4" t="str">
        <f>naks(P[[#This Row],[Moon]])</f>
        <v>Uttara Bhadrapada</v>
      </c>
      <c r="J16" s="6">
        <f>(C17-P[[#This Row],[SunRise]])/(T17-P[[#This Row],[Moon]])*(13.3333333333333-MOD(P[[#This Row],[Moon]],13.333333333333))+P[[#This Row],[SunRise]]</f>
        <v>43532.968311619537</v>
      </c>
      <c r="K16" s="4" t="str">
        <f>IF(Panchanga!$P16&gt;15,"K","S")&amp;ROUNDUP(MOD(Panchanga!$P16,15),0)&amp;" ("&amp;ROUND(Panchanga!$P16,2)&amp;")"</f>
        <v>S2 (1.26)</v>
      </c>
      <c r="L16" s="4">
        <f>IF(AND(Panchanga!$P16&lt;28.5,Panchanga!$P16&gt;0.49999),MOD((Panchanga!$P16-0.5)*2,7),MOD((Panchanga!$P16+30-28.5),30)*2+7)</f>
        <v>1.5124</v>
      </c>
      <c r="M16" s="4" t="str">
        <f>CHOOSE(ROUNDUP(Panchanga!$L16,0),"Bhava","Baalava","Kaulava","Taitula","Garija","Vanija","Vishti","Shakuni","Chatushapda","Naaga","Kimstugna")</f>
        <v>Baalava</v>
      </c>
      <c r="N16" s="11" t="str">
        <f>CHOOSE(ROUNDUP(Panchanga!$Q16,0),"viṣkambha","prīti","āyuṣmāna","saubhāgya","śobhana","atigaṇḍa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("&amp;Panchanga!$Q16&amp;")"</f>
        <v>śubha (22.59)</v>
      </c>
      <c r="O16" s="4">
        <f>IF(AND(Panchanga!$P16&lt;28.5,Panchanga!$P16&gt;0.49999),MOD((Panchanga!$P16-0.5)*2,7),MOD((Panchanga!$P16+30-28.5),30)*2+7)</f>
        <v>1.5124</v>
      </c>
      <c r="P16" s="4">
        <f>ROUNDUP(MOD(360+P[Moon]-P[Sun],360)/12,4)</f>
        <v>1.2562</v>
      </c>
      <c r="Q16" s="4">
        <f>ROUNDUP(MOD(P[Sun]+P[Moon],360)/13.333333333,2)</f>
        <v>22.59</v>
      </c>
      <c r="R16" s="4" t="str">
        <f>SIGN(U17-Panchanga!$U16)*INT(Panchanga!$U16/30+1)&amp;"Ma,"&amp;SIGN(V17-Panchanga!$V16)*INT(Panchanga!$V16/30+1)&amp;"Me,"&amp;SIGN(W17-Panchanga!$W16)*INT(Panchanga!$W16/30+1)&amp;"J, "&amp;SIGN(X17-Panchanga!$X16)*INT(Panchanga!$X16/30+1)&amp;"V,"&amp;SIGN(Y17-Panchanga!$Y16)*INT(Panchanga!$Y16/30+1)&amp;"S,"&amp;INT(Panchanga!$Z16/30+1)&amp;"R"</f>
        <v>1Ma,-12Me,8J, 10V,9S,3R</v>
      </c>
      <c r="S16" s="4">
        <f t="shared" si="15"/>
        <v>323.03758007188435</v>
      </c>
      <c r="T16" s="4">
        <f t="shared" si="16"/>
        <v>338.11181148490203</v>
      </c>
      <c r="U16" s="4">
        <f>Planet(Panchanga!$E16,4)</f>
        <v>20.408183095299062</v>
      </c>
      <c r="V16" s="4">
        <f>Planet(Panchanga!$E16,2)</f>
        <v>335.13652204255419</v>
      </c>
      <c r="W16" s="4">
        <f>Planet(Panchanga!$E16,5)</f>
        <v>238.51020324407907</v>
      </c>
      <c r="X16" s="4">
        <f>Planet(Panchanga!$E16,3)</f>
        <v>283.40287346500349</v>
      </c>
      <c r="Y16" s="4">
        <f>Planet(Panchanga!$E16,6)</f>
        <v>264.20167232202294</v>
      </c>
      <c r="Z16" s="4">
        <f>Planet(Panchanga!$E16,10)</f>
        <v>89.949936374093284</v>
      </c>
      <c r="AA16" s="4" t="str">
        <f>TEXT(Panchanga!$C16+($C17-Panchanga!$C16)/ABS(IF($P17&lt;1,$P17+30,$P17)-Panchanga!$P16)*(ROUNDUP(Panchanga!$P16,0)-Panchanga!$P16),"hh:mm AM/PM")</f>
        <v>01:32 AM</v>
      </c>
      <c r="AB16" s="4"/>
    </row>
    <row r="17" spans="1:28" x14ac:dyDescent="0.2">
      <c r="A17" s="3">
        <f t="shared" si="19"/>
        <v>43533</v>
      </c>
      <c r="B17" s="3">
        <f t="shared" si="17"/>
        <v>43533.229166666664</v>
      </c>
      <c r="C17" s="6">
        <f t="shared" si="12"/>
        <v>43533.265496777058</v>
      </c>
      <c r="D17" s="6">
        <f t="shared" si="13"/>
        <v>43532.762712617914</v>
      </c>
      <c r="E17" s="7">
        <f>Panchanga!$C17-TimeZone/24</f>
        <v>43533.036330110393</v>
      </c>
      <c r="F17" s="8" t="str">
        <f>INT(P[Sun]/30)&amp;"s"&amp;ROUNDUP(MOD(P[Sun],30),2)</f>
        <v>10s24.04</v>
      </c>
      <c r="G17" s="13" t="str">
        <f>INT(P[Moon]/30)&amp;"s"&amp;ROUNDUP(MOD(P[Moon],30),2)</f>
        <v>11s20.29</v>
      </c>
      <c r="H17" s="14">
        <f t="shared" si="18"/>
        <v>43533.036330110393</v>
      </c>
      <c r="I17" s="4" t="str">
        <f>naks(P[[#This Row],[Moon]])</f>
        <v>Revati</v>
      </c>
      <c r="J17" s="6">
        <f>(C18-P[[#This Row],[SunRise]])/(T18-P[[#This Row],[Moon]])*(13.3333333333333-MOD(P[[#This Row],[Moon]],13.333333333333))+P[[#This Row],[SunRise]]</f>
        <v>43533.237569588273</v>
      </c>
      <c r="K17" s="4" t="str">
        <f>IF(Panchanga!$P17&gt;15,"K","S")&amp;ROUNDUP(MOD(Panchanga!$P17,15),0)&amp;" ("&amp;ROUND(Panchanga!$P17,2)&amp;")"</f>
        <v>S3 (2.19)</v>
      </c>
      <c r="L17" s="4">
        <f>IF(AND(Panchanga!$P17&lt;28.5,Panchanga!$P17&gt;0.49999),MOD((Panchanga!$P17-0.5)*2,7),MOD((Panchanga!$P17+30-28.5),30)*2+7)</f>
        <v>3.3748000000000005</v>
      </c>
      <c r="M17" s="4" t="str">
        <f>CHOOSE(ROUNDUP(Panchanga!$L17,0),"Bhava","Baalava","Kaulava","Taitula","Garija","Vanija","Vishti","Shakuni","Chatushapda","Naaga","Kimstugna")</f>
        <v>Taitula</v>
      </c>
      <c r="N17" s="11" t="str">
        <f>CHOOSE(ROUNDUP(Panchanga!$Q17,0),"viṣkambha","prīti","āyuṣmāna","saubhāgya","śobhana","atigaṇḍa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("&amp;Panchanga!$Q17&amp;")"</f>
        <v>śukla (23.58)</v>
      </c>
      <c r="O17" s="4">
        <f>IF(AND(Panchanga!$P17&lt;28.5,Panchanga!$P17&gt;0.49999),MOD((Panchanga!$P17-0.5)*2,7),MOD((Panchanga!$P17+30-28.5),30)*2+7)</f>
        <v>3.3748000000000005</v>
      </c>
      <c r="P17" s="4">
        <f>ROUNDUP(MOD(360+P[Moon]-P[Sun],360)/12,4)</f>
        <v>2.1874000000000002</v>
      </c>
      <c r="Q17" s="4">
        <f>ROUNDUP(MOD(P[Sun]+P[Moon],360)/13.333333333,2)</f>
        <v>23.580000000000002</v>
      </c>
      <c r="R17" s="4" t="str">
        <f>SIGN(U18-Panchanga!$U17)*INT(Panchanga!$U17/30+1)&amp;"Ma,"&amp;SIGN(V18-Panchanga!$V17)*INT(Panchanga!$V17/30+1)&amp;"Me,"&amp;SIGN(W18-Panchanga!$W17)*INT(Panchanga!$W17/30+1)&amp;"J, "&amp;SIGN(X18-Panchanga!$X17)*INT(Panchanga!$X17/30+1)&amp;"V,"&amp;SIGN(Y18-Panchanga!$Y17)*INT(Panchanga!$Y17/30+1)&amp;"S,"&amp;INT(Panchanga!$Z17/30+1)&amp;"R"</f>
        <v>1Ma,-12Me,8J, 10V,9S,3R</v>
      </c>
      <c r="S17" s="4">
        <f t="shared" si="15"/>
        <v>324.0378078356166</v>
      </c>
      <c r="T17" s="4">
        <f t="shared" si="16"/>
        <v>350.28629620136331</v>
      </c>
      <c r="U17" s="4">
        <f>Planet(Panchanga!$E17,4)</f>
        <v>21.078039238153139</v>
      </c>
      <c r="V17" s="4">
        <f>Planet(Panchanga!$E17,2)</f>
        <v>334.72816708754112</v>
      </c>
      <c r="W17" s="4">
        <f>Planet(Panchanga!$E17,5)</f>
        <v>238.60772809278421</v>
      </c>
      <c r="X17" s="4">
        <f>Planet(Panchanga!$E17,3)</f>
        <v>284.59261711286138</v>
      </c>
      <c r="Y17" s="4">
        <f>Planet(Panchanga!$E17,6)</f>
        <v>264.27976512192885</v>
      </c>
      <c r="Z17" s="4">
        <f>Planet(Panchanga!$E17,10)</f>
        <v>89.896967118997395</v>
      </c>
      <c r="AA17" s="4" t="str">
        <f>TEXT(Panchanga!$C17+($C18-Panchanga!$C17)/ABS(IF($P18&lt;1,$P18+30,$P18)-Panchanga!$P17)*(ROUNDUP(Panchanga!$P17,0)-Panchanga!$P17),"hh:mm AM/PM")</f>
        <v>03:01 AM</v>
      </c>
      <c r="AB17" s="4"/>
    </row>
    <row r="18" spans="1:28" x14ac:dyDescent="0.2">
      <c r="A18" s="3">
        <f t="shared" si="19"/>
        <v>43534</v>
      </c>
      <c r="B18" s="3">
        <f t="shared" si="17"/>
        <v>43534.229166666664</v>
      </c>
      <c r="C18" s="6">
        <f t="shared" si="12"/>
        <v>43534.265062696453</v>
      </c>
      <c r="D18" s="6">
        <f t="shared" si="13"/>
        <v>43533.7628022633</v>
      </c>
      <c r="E18" s="7">
        <f>Panchanga!$C18-TimeZone/24</f>
        <v>43534.035896029789</v>
      </c>
      <c r="F18" s="8" t="str">
        <f>INT(P[Sun]/30)&amp;"s"&amp;ROUNDUP(MOD(P[Sun],30),2)</f>
        <v>10s25.04</v>
      </c>
      <c r="G18" s="13" t="str">
        <f>INT(P[Moon]/30)&amp;"s"&amp;ROUNDUP(MOD(P[Moon],30),2)</f>
        <v>0s2.62</v>
      </c>
      <c r="H18" s="14">
        <f t="shared" si="18"/>
        <v>43534.035896029789</v>
      </c>
      <c r="I18" s="4" t="str">
        <f>naks(P[[#This Row],[Moon]])</f>
        <v>Aswini</v>
      </c>
      <c r="J18" s="6">
        <f>(C19-P[[#This Row],[SunRise]])/(T19-P[[#This Row],[Moon]])*(13.3333333333333-MOD(P[[#This Row],[Moon]],13.333333333333))+P[[#This Row],[SunRise]]</f>
        <v>43535.121753335276</v>
      </c>
      <c r="K18" s="4" t="str">
        <f>IF(Panchanga!$P18&gt;15,"K","S")&amp;ROUNDUP(MOD(Panchanga!$P18,15),0)&amp;" ("&amp;ROUND(Panchanga!$P18,2)&amp;")"</f>
        <v>S4 (3.13)</v>
      </c>
      <c r="L18" s="4">
        <f>IF(AND(Panchanga!$P18&lt;28.5,Panchanga!$P18&gt;0.49999),MOD((Panchanga!$P18-0.5)*2,7),MOD((Panchanga!$P18+30-28.5),30)*2+7)</f>
        <v>5.2630000000000008</v>
      </c>
      <c r="M18" s="4" t="str">
        <f>CHOOSE(ROUNDUP(Panchanga!$L18,0),"Bhava","Baalava","Kaulava","Taitula","Garija","Vanija","Vishti","Shakuni","Chatushapda","Naaga","Kimstugna")</f>
        <v>Vanija</v>
      </c>
      <c r="N18" s="11" t="str">
        <f>CHOOSE(ROUNDUP(Panchanga!$Q18,0),"viṣkambha","prīti","āyuṣmāna","saubhāgya","śobhana","atigaṇḍa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("&amp;Panchanga!$Q18&amp;")"</f>
        <v>brahma (24.58)</v>
      </c>
      <c r="O18" s="4">
        <f>IF(AND(Panchanga!$P18&lt;28.5,Panchanga!$P18&gt;0.49999),MOD((Panchanga!$P18-0.5)*2,7),MOD((Panchanga!$P18+30-28.5),30)*2+7)</f>
        <v>5.2630000000000008</v>
      </c>
      <c r="P18" s="4">
        <f>ROUNDUP(MOD(360+P[Moon]-P[Sun],360)/12,4)</f>
        <v>3.1315000000000004</v>
      </c>
      <c r="Q18" s="4">
        <f>ROUNDUP(MOD(P[Sun]+P[Moon],360)/13.333333333,2)</f>
        <v>24.580000000000002</v>
      </c>
      <c r="R18" s="4" t="str">
        <f>SIGN(U19-Panchanga!$U18)*INT(Panchanga!$U18/30+1)&amp;"Ma,"&amp;SIGN(V19-Panchanga!$V18)*INT(Panchanga!$V18/30+1)&amp;"Me,"&amp;SIGN(W19-Panchanga!$W18)*INT(Panchanga!$W18/30+1)&amp;"J, "&amp;SIGN(X19-Panchanga!$X18)*INT(Panchanga!$X18/30+1)&amp;"V,"&amp;SIGN(Y19-Panchanga!$Y18)*INT(Panchanga!$Y18/30+1)&amp;"S,"&amp;INT(Panchanga!$Z18/30+1)&amp;"R"</f>
        <v>1Ma,-12Me,8J, 10V,9S,3R</v>
      </c>
      <c r="S18" s="4">
        <f t="shared" si="15"/>
        <v>325.03747270345582</v>
      </c>
      <c r="T18" s="4">
        <f t="shared" si="16"/>
        <v>2.6148085961787135</v>
      </c>
      <c r="U18" s="4">
        <f>Planet(Panchanga!$E18,4)</f>
        <v>21.747594172408487</v>
      </c>
      <c r="V18" s="4">
        <f>Planet(Panchanga!$E18,2)</f>
        <v>334.18968911062694</v>
      </c>
      <c r="W18" s="4">
        <f>Planet(Panchanga!$E18,5)</f>
        <v>238.70262037533192</v>
      </c>
      <c r="X18" s="4">
        <f>Planet(Panchanga!$E18,3)</f>
        <v>285.78316303373572</v>
      </c>
      <c r="Y18" s="4">
        <f>Planet(Panchanga!$E18,6)</f>
        <v>264.35665230540894</v>
      </c>
      <c r="Z18" s="4">
        <f>Planet(Panchanga!$E18,10)</f>
        <v>89.843998125044976</v>
      </c>
      <c r="AA18" s="4" t="str">
        <f>TEXT(Panchanga!$C18+($C19-Panchanga!$C18)/ABS(IF($P19&lt;1,$P19+30,$P19)-Panchanga!$P18)*(ROUNDUP(Panchanga!$P18,0)-Panchanga!$P18),"hh:mm AM/PM")</f>
        <v>04:05 AM</v>
      </c>
      <c r="AB18" s="4"/>
    </row>
    <row r="19" spans="1:28" x14ac:dyDescent="0.2">
      <c r="A19" s="3">
        <f t="shared" si="19"/>
        <v>43535</v>
      </c>
      <c r="B19" s="3">
        <f t="shared" si="17"/>
        <v>43535.229166666664</v>
      </c>
      <c r="C19" s="6">
        <f t="shared" si="12"/>
        <v>43535.264624165058</v>
      </c>
      <c r="D19" s="6">
        <f t="shared" si="13"/>
        <v>43534.762888252779</v>
      </c>
      <c r="E19" s="7">
        <f>Panchanga!$C19-TimeZone/24</f>
        <v>43535.035457498394</v>
      </c>
      <c r="F19" s="8" t="str">
        <f>INT(P[Sun]/30)&amp;"s"&amp;ROUNDUP(MOD(P[Sun],30),2)</f>
        <v>10s26.04</v>
      </c>
      <c r="G19" s="13" t="str">
        <f>INT(P[Moon]/30)&amp;"s"&amp;ROUNDUP(MOD(P[Moon],30),2)</f>
        <v>0s15.13</v>
      </c>
      <c r="H19" s="14">
        <f t="shared" si="18"/>
        <v>43535.035457498394</v>
      </c>
      <c r="I19" s="4" t="str">
        <f>naks(P[[#This Row],[Moon]])</f>
        <v>Bharani</v>
      </c>
      <c r="J19" s="6">
        <f>(C20-P[[#This Row],[SunRise]])/(T20-P[[#This Row],[Moon]])*(13.3333333333333-MOD(P[[#This Row],[Moon]],13.333333333333))+P[[#This Row],[SunRise]]</f>
        <v>43536.172415044843</v>
      </c>
      <c r="K19" s="4" t="str">
        <f>IF(Panchanga!$P19&gt;15,"K","S")&amp;ROUNDUP(MOD(Panchanga!$P19,15),0)&amp;" ("&amp;ROUND(Panchanga!$P19,2)&amp;")"</f>
        <v>S5 (4.09)</v>
      </c>
      <c r="L19" s="4">
        <f>IF(AND(Panchanga!$P19&lt;28.5,Panchanga!$P19&gt;0.49999),MOD((Panchanga!$P19-0.5)*2,7),MOD((Panchanga!$P19+30-28.5),30)*2+7)</f>
        <v>0.18079999999999963</v>
      </c>
      <c r="M19" s="4" t="str">
        <f>CHOOSE(ROUNDUP(Panchanga!$L19,0),"Bhava","Baalava","Kaulava","Taitula","Garija","Vanija","Vishti","Shakuni","Chatushapda","Naaga","Kimstugna")</f>
        <v>Bhava</v>
      </c>
      <c r="N19" s="11" t="str">
        <f>CHOOSE(ROUNDUP(Panchanga!$Q19,0),"viṣkambha","prīti","āyuṣmāna","saubhāgya","śobhana","atigaṇḍa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("&amp;Panchanga!$Q19&amp;")"</f>
        <v>mahendra (25.59)</v>
      </c>
      <c r="O19" s="4">
        <f>IF(AND(Panchanga!$P19&lt;28.5,Panchanga!$P19&gt;0.49999),MOD((Panchanga!$P19-0.5)*2,7),MOD((Panchanga!$P19+30-28.5),30)*2+7)</f>
        <v>0.18079999999999963</v>
      </c>
      <c r="P19" s="4">
        <f>ROUNDUP(MOD(360+P[Moon]-P[Sun],360)/12,4)</f>
        <v>4.0903999999999998</v>
      </c>
      <c r="Q19" s="4">
        <f>ROUNDUP(MOD(P[Sun]+P[Moon],360)/13.333333333,2)</f>
        <v>25.59</v>
      </c>
      <c r="R19" s="4" t="str">
        <f>SIGN(U20-Panchanga!$U19)*INT(Panchanga!$U19/30+1)&amp;"Ma,"&amp;SIGN(V20-Panchanga!$V19)*INT(Panchanga!$V19/30+1)&amp;"Me,"&amp;SIGN(W20-Panchanga!$W19)*INT(Panchanga!$W19/30+1)&amp;"J, "&amp;SIGN(X20-Panchanga!$X19)*INT(Panchanga!$X19/30+1)&amp;"V,"&amp;SIGN(Y20-Panchanga!$Y19)*INT(Panchanga!$Y19/30+1)&amp;"S,"&amp;INT(Panchanga!$Z19/30+1)&amp;"R"</f>
        <v>1Ma,-12Me,8J, 10V,9S,3R</v>
      </c>
      <c r="S19" s="4">
        <f t="shared" si="15"/>
        <v>326.03655813781859</v>
      </c>
      <c r="T19" s="4">
        <f t="shared" si="16"/>
        <v>15.120868359168776</v>
      </c>
      <c r="U19" s="4">
        <f>Planet(Panchanga!$E19,4)</f>
        <v>22.416836909258887</v>
      </c>
      <c r="V19" s="4">
        <f>Planet(Panchanga!$E19,2)</f>
        <v>333.53473800847502</v>
      </c>
      <c r="W19" s="4">
        <f>Planet(Panchanga!$E19,5)</f>
        <v>238.79485598655182</v>
      </c>
      <c r="X19" s="4">
        <f>Planet(Panchanga!$E19,3)</f>
        <v>286.97448087024293</v>
      </c>
      <c r="Y19" s="4">
        <f>Planet(Panchanga!$E19,6)</f>
        <v>264.43231842525296</v>
      </c>
      <c r="Z19" s="4">
        <f>Planet(Panchanga!$E19,10)</f>
        <v>89.791029366918977</v>
      </c>
      <c r="AA19" s="4" t="str">
        <f>TEXT(Panchanga!$C19+($C20-Panchanga!$C19)/ABS(IF($P20&lt;1,$P20+30,$P20)-Panchanga!$P19)*(ROUNDUP(Panchanga!$P19,0)-Panchanga!$P19),"hh:mm AM/PM")</f>
        <v>04:42 AM</v>
      </c>
      <c r="AB19" s="4"/>
    </row>
    <row r="20" spans="1:28" x14ac:dyDescent="0.2">
      <c r="A20" s="3">
        <f t="shared" si="19"/>
        <v>43536</v>
      </c>
      <c r="B20" s="3">
        <f t="shared" si="17"/>
        <v>43536.229166666664</v>
      </c>
      <c r="C20" s="6">
        <f t="shared" si="12"/>
        <v>43536.264181342129</v>
      </c>
      <c r="D20" s="6">
        <f t="shared" si="13"/>
        <v>43535.762970586817</v>
      </c>
      <c r="E20" s="7">
        <f>Panchanga!$C20-TimeZone/24</f>
        <v>43536.035014675464</v>
      </c>
      <c r="F20" s="8" t="str">
        <f>INT(P[Sun]/30)&amp;"s"&amp;ROUNDUP(MOD(P[Sun],30),2)</f>
        <v>10s27.04</v>
      </c>
      <c r="G20" s="16" t="str">
        <f>INT(P[Moon]/30)&amp;"s"&amp;ROUNDUP(MOD(P[Moon],30),2)</f>
        <v>0s27.84</v>
      </c>
      <c r="H20" s="14">
        <f t="shared" si="18"/>
        <v>43536.035014675464</v>
      </c>
      <c r="I20" s="4" t="str">
        <f>naks(P[[#This Row],[Moon]])</f>
        <v>Krittika</v>
      </c>
      <c r="J20" s="6">
        <f>(C21-P[[#This Row],[SunRise]])/(T21-P[[#This Row],[Moon]])*(13.3333333333333-MOD(P[[#This Row],[Moon]],13.333333333333))+P[[#This Row],[SunRise]]</f>
        <v>43537.202822573767</v>
      </c>
      <c r="K20" s="4" t="str">
        <f>IF(Panchanga!$P20&gt;15,"K","S")&amp;ROUNDUP(MOD(Panchanga!$P20,15),0)&amp;" ("&amp;ROUND(Panchanga!$P20,2)&amp;")"</f>
        <v>S6 (5.07)</v>
      </c>
      <c r="L20" s="4">
        <f>IF(AND(Panchanga!$P20&lt;28.5,Panchanga!$P20&gt;0.49999),MOD((Panchanga!$P20-0.5)*2,7),MOD((Panchanga!$P20+30-28.5),30)*2+7)</f>
        <v>2.1331999999999987</v>
      </c>
      <c r="M20" s="4" t="str">
        <f>CHOOSE(ROUNDUP(Panchanga!$L20,0),"Bhava","Baalava","Kaulava","Taitula","Garija","Vanija","Vishti","Shakuni","Chatushapda","Naaga","Kimstugna")</f>
        <v>Kaulava</v>
      </c>
      <c r="N20" s="11" t="str">
        <f>CHOOSE(ROUNDUP(Panchanga!$Q20,0),"viṣkambha","prīti","āyuṣmāna","saubhāgya","śobhana","atigaṇḍa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("&amp;Panchanga!$Q20&amp;")"</f>
        <v>vaidhṛti (26.62)</v>
      </c>
      <c r="O20" s="4">
        <f>IF(AND(Panchanga!$P20&lt;28.5,Panchanga!$P20&gt;0.49999),MOD((Panchanga!$P20-0.5)*2,7),MOD((Panchanga!$P20+30-28.5),30)*2+7)</f>
        <v>2.1331999999999987</v>
      </c>
      <c r="P20" s="4">
        <f>ROUNDUP(MOD(360+P[Moon]-P[Sun],360)/12,4)</f>
        <v>5.0665999999999993</v>
      </c>
      <c r="Q20" s="4">
        <f>ROUNDUP(MOD(P[Sun]+P[Moon],360)/13.333333333,2)</f>
        <v>26.62</v>
      </c>
      <c r="R20" s="4" t="str">
        <f>SIGN(U21-Panchanga!$U20)*INT(Panchanga!$U20/30+1)&amp;"Ma,"&amp;SIGN(V21-Panchanga!$V20)*INT(Panchanga!$V20/30+1)&amp;"Me,"&amp;SIGN(W21-Panchanga!$W20)*INT(Panchanga!$W20/30+1)&amp;"J, "&amp;SIGN(X21-Panchanga!$X20)*INT(Panchanga!$X20/30+1)&amp;"V,"&amp;SIGN(Y21-Panchanga!$Y20)*INT(Panchanga!$Y20/30+1)&amp;"S,"&amp;INT(Panchanga!$Z20/30+1)&amp;"R"</f>
        <v>1Ma,-12Me,8J, 10V,9S,3R</v>
      </c>
      <c r="S20" s="4">
        <f t="shared" si="15"/>
        <v>327.03504863251356</v>
      </c>
      <c r="T20" s="4">
        <f t="shared" si="16"/>
        <v>27.833802384215808</v>
      </c>
      <c r="U20" s="4">
        <f>Planet(Panchanga!$E20,4)</f>
        <v>23.085755669116697</v>
      </c>
      <c r="V20" s="4">
        <f>Planet(Panchanga!$E20,2)</f>
        <v>332.77960206078194</v>
      </c>
      <c r="W20" s="4">
        <f>Planet(Panchanga!$E20,5)</f>
        <v>238.88441180008229</v>
      </c>
      <c r="X20" s="4">
        <f>Planet(Panchanga!$E20,3)</f>
        <v>288.16654280018707</v>
      </c>
      <c r="Y20" s="4">
        <f>Planet(Panchanga!$E20,6)</f>
        <v>264.50674853752753</v>
      </c>
      <c r="Z20" s="4">
        <f>Planet(Panchanga!$E20,10)</f>
        <v>89.738060836202422</v>
      </c>
      <c r="AA20" s="4" t="str">
        <f>TEXT(Panchanga!$C20+($C21-Panchanga!$C20)/ABS(IF($P21&lt;1,$P21+30,$P21)-Panchanga!$P20)*(ROUNDUP(Panchanga!$P20,0)-Panchanga!$P20),"hh:mm AM/PM")</f>
        <v>04:48 AM</v>
      </c>
      <c r="AB20" s="4"/>
    </row>
    <row r="21" spans="1:28" x14ac:dyDescent="0.2">
      <c r="A21" s="3">
        <f t="shared" si="19"/>
        <v>43537</v>
      </c>
      <c r="B21" s="3">
        <f t="shared" si="17"/>
        <v>43537.229166666664</v>
      </c>
      <c r="C21" s="6">
        <f t="shared" si="12"/>
        <v>43537.263734386921</v>
      </c>
      <c r="D21" s="6">
        <f t="shared" si="13"/>
        <v>43536.763049423738</v>
      </c>
      <c r="E21" s="7">
        <f>Panchanga!$C21-TimeZone/24</f>
        <v>43537.034567720257</v>
      </c>
      <c r="F21" s="8" t="str">
        <f>INT(P[Sun]/30)&amp;"s"&amp;ROUNDUP(MOD(P[Sun],30),2)</f>
        <v>10s28.04</v>
      </c>
      <c r="G21" s="13" t="str">
        <f>INT(P[Moon]/30)&amp;"s"&amp;ROUNDUP(MOD(P[Moon],30),2)</f>
        <v>1s10.79</v>
      </c>
      <c r="H21" s="14">
        <f t="shared" si="18"/>
        <v>43537.034567720257</v>
      </c>
      <c r="I21" s="4" t="str">
        <f>naks(P[[#This Row],[Moon]])</f>
        <v>Rohini</v>
      </c>
      <c r="J21" s="6">
        <f>(C22-P[[#This Row],[SunRise]])/(T22-P[[#This Row],[Moon]])*(13.3333333333333-MOD(P[[#This Row],[Moon]],13.333333333333))+P[[#This Row],[SunRise]]</f>
        <v>43538.210801165245</v>
      </c>
      <c r="K21" s="4" t="str">
        <f>IF(Panchanga!$P21&gt;15,"K","S")&amp;ROUNDUP(MOD(Panchanga!$P21,15),0)&amp;" ("&amp;ROUND(Panchanga!$P21,2)&amp;")"</f>
        <v>S7 (6.06)</v>
      </c>
      <c r="L21" s="4">
        <f>IF(AND(Panchanga!$P21&lt;28.5,Panchanga!$P21&gt;0.49999),MOD((Panchanga!$P21-0.5)*2,7),MOD((Panchanga!$P21+30-28.5),30)*2+7)</f>
        <v>4.126199999999999</v>
      </c>
      <c r="M21" s="4" t="str">
        <f>CHOOSE(ROUNDUP(Panchanga!$L21,0),"Bhava","Baalava","Kaulava","Taitula","Garija","Vanija","Vishti","Shakuni","Chatushapda","Naaga","Kimstugna")</f>
        <v>Garija</v>
      </c>
      <c r="N21" s="11" t="str">
        <f>CHOOSE(ROUNDUP(Panchanga!$Q21,0),"viṣkambha","prīti","āyuṣmāna","saubhāgya","śobhana","atigaṇḍa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("&amp;Panchanga!$Q21&amp;")"</f>
        <v>viṣkambha (0.67)</v>
      </c>
      <c r="O21" s="4">
        <f>IF(AND(Panchanga!$P21&lt;28.5,Panchanga!$P21&gt;0.49999),MOD((Panchanga!$P21-0.5)*2,7),MOD((Panchanga!$P21+30-28.5),30)*2+7)</f>
        <v>4.126199999999999</v>
      </c>
      <c r="P21" s="4">
        <f>ROUNDUP(MOD(360+P[Moon]-P[Sun],360)/12,4)</f>
        <v>6.0630999999999995</v>
      </c>
      <c r="Q21" s="4">
        <f>ROUNDUP(MOD(P[Sun]+P[Moon],360)/13.333333333,2)</f>
        <v>0.67</v>
      </c>
      <c r="R21" s="4" t="str">
        <f>SIGN(U22-Panchanga!$U21)*INT(Panchanga!$U21/30+1)&amp;"Ma,"&amp;SIGN(V22-Panchanga!$V21)*INT(Panchanga!$V21/30+1)&amp;"Me,"&amp;SIGN(W22-Panchanga!$W21)*INT(Panchanga!$W21/30+1)&amp;"J, "&amp;SIGN(X22-Panchanga!$X21)*INT(Panchanga!$X21/30+1)&amp;"V,"&amp;SIGN(Y22-Panchanga!$Y21)*INT(Panchanga!$Y21/30+1)&amp;"S,"&amp;INT(Panchanga!$Z21/30+1)&amp;"R"</f>
        <v>1Ma,-12Me,8J, 10V,9S,3R</v>
      </c>
      <c r="S21" s="4">
        <f t="shared" si="15"/>
        <v>328.03293043313909</v>
      </c>
      <c r="T21" s="4">
        <f t="shared" si="16"/>
        <v>40.789508420280903</v>
      </c>
      <c r="U21" s="4">
        <f>Planet(Panchanga!$E21,4)</f>
        <v>23.754338283025838</v>
      </c>
      <c r="V21" s="4">
        <f>Planet(Panchanga!$E21,2)</f>
        <v>331.94281813887693</v>
      </c>
      <c r="W21" s="4">
        <f>Planet(Panchanga!$E21,5)</f>
        <v>238.97126570848687</v>
      </c>
      <c r="X21" s="4">
        <f>Planet(Panchanga!$E21,3)</f>
        <v>289.35932405481975</v>
      </c>
      <c r="Y21" s="4">
        <f>Planet(Panchanga!$E21,6)</f>
        <v>264.57992825053151</v>
      </c>
      <c r="Z21" s="4">
        <f>Planet(Panchanga!$E21,10)</f>
        <v>89.68509252449482</v>
      </c>
      <c r="AA21" s="4" t="str">
        <f>TEXT(Panchanga!$C21+($C22-Panchanga!$C21)/ABS(IF($P22&lt;1,$P22+30,$P22)-Panchanga!$P21)*(ROUNDUP(Panchanga!$P21,0)-Panchanga!$P21),"hh:mm AM/PM")</f>
        <v>04:21 AM</v>
      </c>
      <c r="AB21" s="4"/>
    </row>
    <row r="22" spans="1:28" x14ac:dyDescent="0.2">
      <c r="A22" s="3">
        <f t="shared" si="19"/>
        <v>43538</v>
      </c>
      <c r="B22" s="3">
        <f t="shared" si="17"/>
        <v>43538.229166666664</v>
      </c>
      <c r="C22" s="6">
        <f t="shared" si="12"/>
        <v>43538.263283617016</v>
      </c>
      <c r="D22" s="6">
        <f t="shared" si="13"/>
        <v>43537.763125082056</v>
      </c>
      <c r="E22" s="7">
        <f>Panchanga!$C22-TimeZone/24</f>
        <v>43538.034116950352</v>
      </c>
      <c r="F22" s="8" t="str">
        <f>INT(P[Sun]/30)&amp;"s"&amp;ROUNDUP(MOD(P[Sun],30),2)</f>
        <v>10s29.04</v>
      </c>
      <c r="G22" s="13" t="str">
        <f>INT(P[Moon]/30)&amp;"s"&amp;ROUNDUP(MOD(P[Moon],30),2)</f>
        <v>1s24.03</v>
      </c>
      <c r="H22" s="14">
        <f t="shared" si="18"/>
        <v>43538.034116950352</v>
      </c>
      <c r="I22" s="4" t="str">
        <f>naks(P[[#This Row],[Moon]])</f>
        <v>Mrigashira</v>
      </c>
      <c r="J22" s="6">
        <f>(C23-P[[#This Row],[SunRise]])/(T23-P[[#This Row],[Moon]])*(13.3333333333333-MOD(P[[#This Row],[Moon]],13.333333333333))+P[[#This Row],[SunRise]]</f>
        <v>43539.194741567051</v>
      </c>
      <c r="K22" s="4" t="str">
        <f>IF(Panchanga!$P22&gt;15,"K","S")&amp;ROUNDUP(MOD(Panchanga!$P22,15),0)&amp;" ("&amp;ROUND(Panchanga!$P22,2)&amp;")"</f>
        <v>S8 (7.08)</v>
      </c>
      <c r="L22" s="4">
        <f>IF(AND(Panchanga!$P22&lt;28.5,Panchanga!$P22&gt;0.49999),MOD((Panchanga!$P22-0.5)*2,7),MOD((Panchanga!$P22+30-28.5),30)*2+7)</f>
        <v>6.1663999999999994</v>
      </c>
      <c r="M22" s="4" t="str">
        <f>CHOOSE(ROUNDUP(Panchanga!$L22,0),"Bhava","Baalava","Kaulava","Taitula","Garija","Vanija","Vishti","Shakuni","Chatushapda","Naaga","Kimstugna")</f>
        <v>Vishti</v>
      </c>
      <c r="N22" s="11" t="str">
        <f>CHOOSE(ROUNDUP(Panchanga!$Q22,0),"viṣkambha","prīti","āyuṣmāna","saubhāgya","śobhana","atigaṇḍa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("&amp;Panchanga!$Q22&amp;")"</f>
        <v>prīti (1.73)</v>
      </c>
      <c r="O22" s="4">
        <f>IF(AND(Panchanga!$P22&lt;28.5,Panchanga!$P22&gt;0.49999),MOD((Panchanga!$P22-0.5)*2,7),MOD((Panchanga!$P22+30-28.5),30)*2+7)</f>
        <v>6.1663999999999994</v>
      </c>
      <c r="P22" s="4">
        <f>ROUNDUP(MOD(360+P[Moon]-P[Sun],360)/12,4)</f>
        <v>7.0831999999999997</v>
      </c>
      <c r="Q22" s="4">
        <f>ROUNDUP(MOD(P[Sun]+P[Moon],360)/13.333333333,2)</f>
        <v>1.73</v>
      </c>
      <c r="R22" s="4" t="str">
        <f>SIGN(U23-Panchanga!$U22)*INT(Panchanga!$U22/30+1)&amp;"Ma,"&amp;SIGN(V23-Panchanga!$V22)*INT(Panchanga!$V22/30+1)&amp;"Me,"&amp;SIGN(W23-Panchanga!$W22)*INT(Panchanga!$W22/30+1)&amp;"J, "&amp;SIGN(X23-Panchanga!$X22)*INT(Panchanga!$X22/30+1)&amp;"V,"&amp;SIGN(Y23-Panchanga!$Y22)*INT(Panchanga!$Y22/30+1)&amp;"S,"&amp;INT(Panchanga!$Z22/30+1)&amp;"R"</f>
        <v>1Ma,-12Me,8J, 10V,9S,3R</v>
      </c>
      <c r="S22" s="4">
        <f t="shared" si="15"/>
        <v>329.03019216727125</v>
      </c>
      <c r="T22" s="4">
        <f t="shared" si="16"/>
        <v>54.028459274955985</v>
      </c>
      <c r="U22" s="4">
        <f>Planet(Panchanga!$E22,4)</f>
        <v>24.422572501692699</v>
      </c>
      <c r="V22" s="4">
        <f>Planet(Panchanga!$E22,2)</f>
        <v>331.04462844851093</v>
      </c>
      <c r="W22" s="4">
        <f>Planet(Panchanga!$E22,5)</f>
        <v>239.05539663933394</v>
      </c>
      <c r="X22" s="4">
        <f>Planet(Panchanga!$E22,3)</f>
        <v>290.55280331035641</v>
      </c>
      <c r="Y22" s="4">
        <f>Planet(Panchanga!$E22,6)</f>
        <v>264.65184375921837</v>
      </c>
      <c r="Z22" s="4">
        <f>Planet(Panchanga!$E22,10)</f>
        <v>89.632124414929251</v>
      </c>
      <c r="AA22" s="4" t="str">
        <f>TEXT(Panchanga!$C22+($C23-Panchanga!$C22)/ABS(IF($P23&lt;1,$P23+30,$P23)-Panchanga!$P22)*(ROUNDUP(Panchanga!$P22,0)-Panchanga!$P22),"hh:mm AM/PM")</f>
        <v>03:19 AM</v>
      </c>
      <c r="AB22" s="4"/>
    </row>
    <row r="23" spans="1:28" x14ac:dyDescent="0.2">
      <c r="A23" s="3">
        <f t="shared" si="19"/>
        <v>43539</v>
      </c>
      <c r="B23" s="3">
        <f t="shared" si="17"/>
        <v>43539.229166666664</v>
      </c>
      <c r="C23" s="6">
        <f t="shared" si="12"/>
        <v>43539.262829508785</v>
      </c>
      <c r="D23" s="6">
        <f t="shared" si="13"/>
        <v>43538.763197561304</v>
      </c>
      <c r="E23" s="7">
        <f>Panchanga!$C23-TimeZone/24</f>
        <v>43539.033662842121</v>
      </c>
      <c r="F23" s="8" t="str">
        <f>INT(P[Sun]/30)&amp;"s"&amp;ROUNDUP(MOD(P[Sun],30),2)</f>
        <v>11s0.03</v>
      </c>
      <c r="G23" s="13" t="str">
        <f>INT(P[Moon]/30)&amp;"s"&amp;ROUNDUP(MOD(P[Moon],30),2)</f>
        <v>2s7.6</v>
      </c>
      <c r="H23" s="14">
        <f t="shared" si="18"/>
        <v>43539.033662842121</v>
      </c>
      <c r="I23" s="4" t="str">
        <f>naks(P[[#This Row],[Moon]])</f>
        <v>Ardra</v>
      </c>
      <c r="J23" s="6">
        <f>(C24-P[[#This Row],[SunRise]])/(T24-P[[#This Row],[Moon]])*(13.3333333333333-MOD(P[[#This Row],[Moon]],13.333333333333))+P[[#This Row],[SunRise]]</f>
        <v>43540.154173329945</v>
      </c>
      <c r="K23" s="4" t="str">
        <f>IF(Panchanga!$P23&gt;15,"K","S")&amp;ROUNDUP(MOD(Panchanga!$P23,15),0)&amp;" ("&amp;ROUND(Panchanga!$P23,2)&amp;")"</f>
        <v>S9 (8.13)</v>
      </c>
      <c r="L23" s="4">
        <f>IF(AND(Panchanga!$P23&lt;28.5,Panchanga!$P23&gt;0.49999),MOD((Panchanga!$P23-0.5)*2,7),MOD((Panchanga!$P23+30-28.5),30)*2+7)</f>
        <v>1.2607999999999997</v>
      </c>
      <c r="M23" s="4" t="str">
        <f>CHOOSE(ROUNDUP(Panchanga!$L23,0),"Bhava","Baalava","Kaulava","Taitula","Garija","Vanija","Vishti","Shakuni","Chatushapda","Naaga","Kimstugna")</f>
        <v>Baalava</v>
      </c>
      <c r="N23" s="11" t="str">
        <f>CHOOSE(ROUNDUP(Panchanga!$Q23,0),"viṣkambha","prīti","āyuṣmāna","saubhāgya","śobhana","atigaṇḍa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("&amp;Panchanga!$Q23&amp;")"</f>
        <v>āyuṣmāna (2.83)</v>
      </c>
      <c r="O23" s="4">
        <f>IF(AND(Panchanga!$P23&lt;28.5,Panchanga!$P23&gt;0.49999),MOD((Panchanga!$P23-0.5)*2,7),MOD((Panchanga!$P23+30-28.5),30)*2+7)</f>
        <v>1.2607999999999997</v>
      </c>
      <c r="P23" s="4">
        <f>ROUNDUP(MOD(360+P[Moon]-P[Sun],360)/12,4)</f>
        <v>8.1303999999999998</v>
      </c>
      <c r="Q23" s="4">
        <f>ROUNDUP(MOD(P[Sun]+P[Moon],360)/13.333333333,2)</f>
        <v>2.8299999999999996</v>
      </c>
      <c r="R23" s="4" t="str">
        <f>SIGN(U24-Panchanga!$U23)*INT(Panchanga!$U23/30+1)&amp;"Ma,"&amp;SIGN(V24-Panchanga!$V23)*INT(Panchanga!$V23/30+1)&amp;"Me,"&amp;SIGN(W24-Panchanga!$W23)*INT(Panchanga!$W23/30+1)&amp;"J, "&amp;SIGN(X24-Panchanga!$X23)*INT(Panchanga!$X23/30+1)&amp;"V,"&amp;SIGN(Y24-Panchanga!$Y23)*INT(Panchanga!$Y23/30+1)&amp;"S,"&amp;INT(Panchanga!$Z23/30+1)&amp;"R"</f>
        <v>1Ma,-12Me,8J, 10V,9S,3R</v>
      </c>
      <c r="S23" s="4">
        <f t="shared" si="15"/>
        <v>330.02682548658839</v>
      </c>
      <c r="T23" s="4">
        <f t="shared" si="16"/>
        <v>67.590497450922484</v>
      </c>
      <c r="U23" s="4">
        <f>Planet(Panchanga!$E23,4)</f>
        <v>25.090446274304256</v>
      </c>
      <c r="V23" s="4">
        <f>Planet(Panchanga!$E23,2)</f>
        <v>330.10631306824854</v>
      </c>
      <c r="W23" s="4">
        <f>Planet(Panchanga!$E23,5)</f>
        <v>239.13678453444749</v>
      </c>
      <c r="X23" s="4">
        <f>Planet(Panchanga!$E23,3)</f>
        <v>291.74696297068016</v>
      </c>
      <c r="Y23" s="4">
        <f>Planet(Panchanga!$E23,6)</f>
        <v>264.72248186462497</v>
      </c>
      <c r="Z23" s="4">
        <f>Planet(Panchanga!$E23,10)</f>
        <v>89.579156482287857</v>
      </c>
      <c r="AA23" s="4" t="str">
        <f>TEXT(Panchanga!$C23+($C24-Panchanga!$C23)/ABS(IF($P24&lt;1,$P24+30,$P24)-Panchanga!$P23)*(ROUNDUP(Panchanga!$P23,0)-Panchanga!$P23),"hh:mm AM/PM")</f>
        <v>01:41 AM</v>
      </c>
      <c r="AB23" s="4"/>
    </row>
    <row r="24" spans="1:28" x14ac:dyDescent="0.2">
      <c r="A24" s="3">
        <f t="shared" si="19"/>
        <v>43540</v>
      </c>
      <c r="B24" s="3">
        <f t="shared" si="17"/>
        <v>43540.229166666664</v>
      </c>
      <c r="C24" s="6">
        <f t="shared" si="12"/>
        <v>43540.26237206316</v>
      </c>
      <c r="D24" s="6">
        <f t="shared" si="13"/>
        <v>43539.763267020739</v>
      </c>
      <c r="E24" s="7">
        <f>Panchanga!$C24-TimeZone/24</f>
        <v>43540.033205396496</v>
      </c>
      <c r="F24" s="8" t="str">
        <f>INT(P[Sun]/30)&amp;"s"&amp;ROUNDUP(MOD(P[Sun],30),2)</f>
        <v>11s1.03</v>
      </c>
      <c r="G24" s="13" t="str">
        <f>INT(P[Moon]/30)&amp;"s"&amp;ROUNDUP(MOD(P[Moon],30),2)</f>
        <v>2s21.51</v>
      </c>
      <c r="H24" s="14">
        <f t="shared" si="18"/>
        <v>43540.033205396496</v>
      </c>
      <c r="I24" s="4" t="str">
        <f>naks(P[[#This Row],[Moon]])</f>
        <v>Punarvasu</v>
      </c>
      <c r="J24" s="6">
        <f>(C25-P[[#This Row],[SunRise]])/(T25-P[[#This Row],[Moon]])*(13.3333333333333-MOD(P[[#This Row],[Moon]],13.333333333333))+P[[#This Row],[SunRise]]</f>
        <v>43541.09020840039</v>
      </c>
      <c r="K24" s="4" t="str">
        <f>IF(Panchanga!$P24&gt;15,"K","S")&amp;ROUNDUP(MOD(Panchanga!$P24,15),0)&amp;" ("&amp;ROUND(Panchanga!$P24,2)&amp;")"</f>
        <v>S10 (9.21)</v>
      </c>
      <c r="L24" s="4">
        <f>IF(AND(Panchanga!$P24&lt;28.5,Panchanga!$P24&gt;0.49999),MOD((Panchanga!$P24-0.5)*2,7),MOD((Panchanga!$P24+30-28.5),30)*2+7)</f>
        <v>3.4139999999999979</v>
      </c>
      <c r="M24" s="4" t="str">
        <f>CHOOSE(ROUNDUP(Panchanga!$L24,0),"Bhava","Baalava","Kaulava","Taitula","Garija","Vanija","Vishti","Shakuni","Chatushapda","Naaga","Kimstugna")</f>
        <v>Taitula</v>
      </c>
      <c r="N24" s="11" t="str">
        <f>CHOOSE(ROUNDUP(Panchanga!$Q24,0),"viṣkambha","prīti","āyuṣmāna","saubhāgya","śobhana","atigaṇḍa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("&amp;Panchanga!$Q24&amp;")"</f>
        <v>saubhāgya (3.94)</v>
      </c>
      <c r="O24" s="4">
        <f>IF(AND(Panchanga!$P24&lt;28.5,Panchanga!$P24&gt;0.49999),MOD((Panchanga!$P24-0.5)*2,7),MOD((Panchanga!$P24+30-28.5),30)*2+7)</f>
        <v>3.4139999999999979</v>
      </c>
      <c r="P24" s="4">
        <f>ROUNDUP(MOD(360+P[Moon]-P[Sun],360)/12,4)</f>
        <v>9.206999999999999</v>
      </c>
      <c r="Q24" s="4">
        <f>ROUNDUP(MOD(P[Sun]+P[Moon],360)/13.333333333,2)</f>
        <v>3.94</v>
      </c>
      <c r="R24" s="4" t="str">
        <f>SIGN(U25-Panchanga!$U24)*INT(Panchanga!$U24/30+1)&amp;"Ma,"&amp;SIGN(V25-Panchanga!$V24)*INT(Panchanga!$V24/30+1)&amp;"Me,"&amp;SIGN(W25-Panchanga!$W24)*INT(Panchanga!$W24/30+1)&amp;"J, "&amp;SIGN(X25-Panchanga!$X24)*INT(Panchanga!$X24/30+1)&amp;"V,"&amp;SIGN(Y25-Panchanga!$Y24)*INT(Panchanga!$Y24/30+1)&amp;"S,"&amp;INT(Panchanga!$Z24/30+1)&amp;"R"</f>
        <v>1Ma,-11Me,8J, 10V,9S,3R</v>
      </c>
      <c r="S24" s="4">
        <f t="shared" si="15"/>
        <v>331.02282530209891</v>
      </c>
      <c r="T24" s="4">
        <f t="shared" si="16"/>
        <v>81.506368725221577</v>
      </c>
      <c r="U24" s="4">
        <f>Planet(Panchanga!$E24,4)</f>
        <v>25.757947779279775</v>
      </c>
      <c r="V24" s="4">
        <f>Planet(Panchanga!$E24,2)</f>
        <v>329.14944728558663</v>
      </c>
      <c r="W24" s="4">
        <f>Planet(Panchanga!$E24,5)</f>
        <v>239.21541022129543</v>
      </c>
      <c r="X24" s="4">
        <f>Planet(Panchanga!$E24,3)</f>
        <v>292.94178871760647</v>
      </c>
      <c r="Y24" s="4">
        <f>Planet(Panchanga!$E24,6)</f>
        <v>264.79182993203557</v>
      </c>
      <c r="Z24" s="4">
        <f>Planet(Panchanga!$E24,10)</f>
        <v>89.526188726487973</v>
      </c>
      <c r="AA24" s="4" t="str">
        <f>TEXT(Panchanga!$C24+($C25-Panchanga!$C24)/ABS(IF($P25&lt;1,$P25+30,$P25)-Panchanga!$P24)*(ROUNDUP(Panchanga!$P24,0)-Panchanga!$P24),"hh:mm AM/PM")</f>
        <v>11:28 PM</v>
      </c>
      <c r="AB24" s="4"/>
    </row>
    <row r="25" spans="1:28" x14ac:dyDescent="0.2">
      <c r="A25" s="3">
        <f t="shared" si="19"/>
        <v>43541</v>
      </c>
      <c r="B25" s="3">
        <f t="shared" si="17"/>
        <v>43541.229166666664</v>
      </c>
      <c r="C25" s="6">
        <f t="shared" si="12"/>
        <v>43541.261911597256</v>
      </c>
      <c r="D25" s="6">
        <f t="shared" si="13"/>
        <v>43540.763333936731</v>
      </c>
      <c r="E25" s="7">
        <f>Panchanga!$C25-TimeZone/24</f>
        <v>43541.032744930591</v>
      </c>
      <c r="F25" s="8" t="str">
        <f>INT(P[Sun]/30)&amp;"s"&amp;ROUNDUP(MOD(P[Sun],30),2)</f>
        <v>11s2.02</v>
      </c>
      <c r="G25" s="13" t="str">
        <f>INT(P[Moon]/30)&amp;"s"&amp;ROUNDUP(MOD(P[Moon],30),2)</f>
        <v>3s5.79</v>
      </c>
      <c r="H25" s="14">
        <f t="shared" si="18"/>
        <v>43541.032744930591</v>
      </c>
      <c r="I25" s="4" t="str">
        <f>naks(P[[#This Row],[Moon]])</f>
        <v>Pushya</v>
      </c>
      <c r="J25" s="6">
        <f>(C26-P[[#This Row],[SunRise]])/(T26-P[[#This Row],[Moon]])*(13.3333333333333-MOD(P[[#This Row],[Moon]],13.333333333333))+P[[#This Row],[SunRise]]</f>
        <v>43542.00570778922</v>
      </c>
      <c r="K25" s="4" t="str">
        <f>IF(Panchanga!$P25&gt;15,"K","S")&amp;ROUNDUP(MOD(Panchanga!$P25,15),0)&amp;" ("&amp;ROUND(Panchanga!$P25,2)&amp;")"</f>
        <v>S11 (10.31)</v>
      </c>
      <c r="L25" s="4">
        <f>IF(AND(Panchanga!$P25&lt;28.5,Panchanga!$P25&gt;0.49999),MOD((Panchanga!$P25-0.5)*2,7),MOD((Panchanga!$P25+30-28.5),30)*2+7)</f>
        <v>5.6281999999999996</v>
      </c>
      <c r="M25" s="4" t="str">
        <f>CHOOSE(ROUNDUP(Panchanga!$L25,0),"Bhava","Baalava","Kaulava","Taitula","Garija","Vanija","Vishti","Shakuni","Chatushapda","Naaga","Kimstugna")</f>
        <v>Vanija</v>
      </c>
      <c r="N25" s="11" t="str">
        <f>CHOOSE(ROUNDUP(Panchanga!$Q25,0),"viṣkambha","prīti","āyuṣmāna","saubhāgya","śobhana","atigaṇḍa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("&amp;Panchanga!$Q25&amp;")"</f>
        <v>atigaṇḍa  (5.09)</v>
      </c>
      <c r="O25" s="4">
        <f>IF(AND(Panchanga!$P25&lt;28.5,Panchanga!$P25&gt;0.49999),MOD((Panchanga!$P25-0.5)*2,7),MOD((Panchanga!$P25+30-28.5),30)*2+7)</f>
        <v>5.6281999999999996</v>
      </c>
      <c r="P25" s="4">
        <f>ROUNDUP(MOD(360+P[Moon]-P[Sun],360)/12,4)</f>
        <v>10.3141</v>
      </c>
      <c r="Q25" s="4">
        <f>ROUNDUP(MOD(P[Sun]+P[Moon],360)/13.333333333,2)</f>
        <v>5.09</v>
      </c>
      <c r="R25" s="4" t="str">
        <f>SIGN(U26-Panchanga!$U25)*INT(Panchanga!$U25/30+1)&amp;"Ma,"&amp;SIGN(V26-Panchanga!$V25)*INT(Panchanga!$V25/30+1)&amp;"Me,"&amp;SIGN(W26-Panchanga!$W25)*INT(Panchanga!$W25/30+1)&amp;"J, "&amp;SIGN(X26-Panchanga!$X25)*INT(Panchanga!$X25/30+1)&amp;"V,"&amp;SIGN(Y26-Panchanga!$Y25)*INT(Panchanga!$Y25/30+1)&amp;"S,"&amp;INT(Panchanga!$Z25/30+1)&amp;"R"</f>
        <v>1Ma,-11Me,8J, 10V,9S,3R</v>
      </c>
      <c r="S25" s="4">
        <f t="shared" si="15"/>
        <v>332.01819154201809</v>
      </c>
      <c r="T25" s="4">
        <f t="shared" si="16"/>
        <v>95.786387809353613</v>
      </c>
      <c r="U25" s="4">
        <f>Planet(Panchanga!$E25,4)</f>
        <v>26.425066633924217</v>
      </c>
      <c r="V25" s="4">
        <f>Planet(Panchanga!$E25,2)</f>
        <v>328.19514298539036</v>
      </c>
      <c r="W25" s="4">
        <f>Planet(Panchanga!$E25,5)</f>
        <v>239.2912552892642</v>
      </c>
      <c r="X25" s="4">
        <f>Planet(Panchanga!$E25,3)</f>
        <v>294.13727059355898</v>
      </c>
      <c r="Y25" s="4">
        <f>Planet(Panchanga!$E25,6)</f>
        <v>264.85987590568493</v>
      </c>
      <c r="Z25" s="4">
        <f>Planet(Panchanga!$E25,10)</f>
        <v>89.47322113072876</v>
      </c>
      <c r="AA25" s="4" t="str">
        <f>TEXT(Panchanga!$C25+($C26-Panchanga!$C25)/ABS(IF($P26&lt;1,$P26+30,$P26)-Panchanga!$P25)*(ROUNDUP(Panchanga!$P25,0)-Panchanga!$P25),"hh:mm AM/PM")</f>
        <v>08:46 PM</v>
      </c>
      <c r="AB25" s="4"/>
    </row>
    <row r="26" spans="1:28" x14ac:dyDescent="0.2">
      <c r="A26" s="3">
        <f t="shared" si="19"/>
        <v>43542</v>
      </c>
      <c r="B26" s="3">
        <f t="shared" si="17"/>
        <v>43542.229166666664</v>
      </c>
      <c r="C26" s="6">
        <f t="shared" si="12"/>
        <v>43542.261448588375</v>
      </c>
      <c r="D26" s="6">
        <f t="shared" si="13"/>
        <v>43541.763398150957</v>
      </c>
      <c r="E26" s="7">
        <f>Panchanga!$C26-TimeZone/24</f>
        <v>43542.032281921711</v>
      </c>
      <c r="F26" s="8" t="str">
        <f>INT(P[Sun]/30)&amp;"s"&amp;ROUNDUP(MOD(P[Sun],30),2)</f>
        <v>11s3.02</v>
      </c>
      <c r="G26" s="13" t="str">
        <f>INT(P[Moon]/30)&amp;"s"&amp;ROUNDUP(MOD(P[Moon],30),2)</f>
        <v>3s20.41</v>
      </c>
      <c r="H26" s="14">
        <f t="shared" si="18"/>
        <v>43542.032281921711</v>
      </c>
      <c r="I26" s="4" t="str">
        <f>naks(P[[#This Row],[Moon]])</f>
        <v>Aslesha</v>
      </c>
      <c r="J26" s="6">
        <f>(C27-P[[#This Row],[SunRise]])/(T27-P[[#This Row],[Moon]])*(13.3333333333333-MOD(P[[#This Row],[Moon]],13.333333333333))+P[[#This Row],[SunRise]]</f>
        <v>43542.905113236629</v>
      </c>
      <c r="K26" s="4" t="str">
        <f>IF(Panchanga!$P26&gt;15,"K","S")&amp;ROUNDUP(MOD(Panchanga!$P26,15),0)&amp;" ("&amp;ROUND(Panchanga!$P26,2)&amp;")"</f>
        <v>S12 (11.45)</v>
      </c>
      <c r="L26" s="4">
        <f>IF(AND(Panchanga!$P26&lt;28.5,Panchanga!$P26&gt;0.49999),MOD((Panchanga!$P26-0.5)*2,7),MOD((Panchanga!$P26+30-28.5),30)*2+7)</f>
        <v>0.89920000000000044</v>
      </c>
      <c r="M26" s="4" t="str">
        <f>CHOOSE(ROUNDUP(Panchanga!$L26,0),"Bhava","Baalava","Kaulava","Taitula","Garija","Vanija","Vishti","Shakuni","Chatushapda","Naaga","Kimstugna")</f>
        <v>Bhava</v>
      </c>
      <c r="N26" s="11" t="str">
        <f>CHOOSE(ROUNDUP(Panchanga!$Q26,0),"viṣkambha","prīti","āyuṣmāna","saubhāgya","śobhana","atigaṇḍa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("&amp;Panchanga!$Q26&amp;")"</f>
        <v>sukarmā  (6.26)</v>
      </c>
      <c r="O26" s="4">
        <f>IF(AND(Panchanga!$P26&lt;28.5,Panchanga!$P26&gt;0.49999),MOD((Panchanga!$P26-0.5)*2,7),MOD((Panchanga!$P26+30-28.5),30)*2+7)</f>
        <v>0.89920000000000044</v>
      </c>
      <c r="P26" s="4">
        <f>ROUNDUP(MOD(360+P[Moon]-P[Sun],360)/12,4)</f>
        <v>11.4496</v>
      </c>
      <c r="Q26" s="4">
        <f>ROUNDUP(MOD(P[Sun]+P[Moon],360)/13.333333333,2)</f>
        <v>6.26</v>
      </c>
      <c r="R26" s="4" t="str">
        <f>SIGN(U27-Panchanga!$U26)*INT(Panchanga!$U26/30+1)&amp;"Ma,"&amp;SIGN(V27-Panchanga!$V26)*INT(Panchanga!$V26/30+1)&amp;"Me,"&amp;SIGN(W27-Panchanga!$W26)*INT(Panchanga!$W26/30+1)&amp;"J, "&amp;SIGN(X27-Panchanga!$X26)*INT(Panchanga!$X26/30+1)&amp;"V,"&amp;SIGN(Y27-Panchanga!$Y26)*INT(Panchanga!$Y26/30+1)&amp;"S,"&amp;INT(Panchanga!$Z26/30+1)&amp;"R"</f>
        <v>1Ma,-11Me,8J, 10V,9S,3R</v>
      </c>
      <c r="S26" s="4">
        <f t="shared" si="15"/>
        <v>333.0129297752037</v>
      </c>
      <c r="T26" s="4">
        <f t="shared" si="16"/>
        <v>110.40765275945328</v>
      </c>
      <c r="U26" s="4">
        <f>Planet(Panchanga!$E26,4)</f>
        <v>27.091794651198018</v>
      </c>
      <c r="V26" s="4">
        <f>Planet(Panchanga!$E26,2)</f>
        <v>327.26334061149549</v>
      </c>
      <c r="W26" s="4">
        <f>Planet(Panchanga!$E26,5)</f>
        <v>239.36430175381727</v>
      </c>
      <c r="X26" s="4">
        <f>Planet(Panchanga!$E26,3)</f>
        <v>295.33340254325429</v>
      </c>
      <c r="Y26" s="4">
        <f>Planet(Panchanga!$E26,6)</f>
        <v>264.92660818005265</v>
      </c>
      <c r="Z26" s="4">
        <f>Planet(Panchanga!$E26,10)</f>
        <v>89.420253669742706</v>
      </c>
      <c r="AA26" s="4" t="str">
        <f>TEXT(Panchanga!$C26+($C27-Panchanga!$C26)/ABS(IF($P27&lt;1,$P27+30,$P27)-Panchanga!$P26)*(ROUNDUP(Panchanga!$P26,0)-Panchanga!$P26),"hh:mm AM/PM")</f>
        <v>05:40 PM</v>
      </c>
      <c r="AB26" s="4"/>
    </row>
    <row r="27" spans="1:28" x14ac:dyDescent="0.2">
      <c r="A27" s="3">
        <f t="shared" si="19"/>
        <v>43543</v>
      </c>
      <c r="B27" s="3">
        <f t="shared" si="17"/>
        <v>43543.229166666664</v>
      </c>
      <c r="C27" s="6">
        <f t="shared" si="12"/>
        <v>43543.260983195309</v>
      </c>
      <c r="D27" s="6">
        <f t="shared" si="13"/>
        <v>43542.763460139788</v>
      </c>
      <c r="E27" s="7">
        <f>Panchanga!$C27-TimeZone/24</f>
        <v>43543.031816528644</v>
      </c>
      <c r="F27" s="8" t="str">
        <f>INT(P[Sun]/30)&amp;"s"&amp;ROUNDUP(MOD(P[Sun],30),2)</f>
        <v>11s4.01</v>
      </c>
      <c r="G27" s="13" t="str">
        <f>INT(P[Moon]/30)&amp;"s"&amp;ROUNDUP(MOD(P[Moon],30),2)</f>
        <v>4s5.31</v>
      </c>
      <c r="H27" s="14">
        <f t="shared" si="18"/>
        <v>43543.031816528644</v>
      </c>
      <c r="I27" s="4" t="str">
        <f>naks(P[[#This Row],[Moon]])</f>
        <v>Makha</v>
      </c>
      <c r="J27" s="6">
        <f>(C28-P[[#This Row],[SunRise]])/(T28-P[[#This Row],[Moon]])*(13.3333333333333-MOD(P[[#This Row],[Moon]],13.333333333333))+P[[#This Row],[SunRise]]</f>
        <v>43543.794039005021</v>
      </c>
      <c r="K27" s="4" t="str">
        <f>IF(Panchanga!$P27&gt;15,"K","S")&amp;ROUNDUP(MOD(Panchanga!$P27,15),0)&amp;" ("&amp;ROUND(Panchanga!$P27,2)&amp;")"</f>
        <v>S13 (12.61)</v>
      </c>
      <c r="L27" s="4">
        <f>IF(AND(Panchanga!$P27&lt;28.5,Panchanga!$P27&gt;0.49999),MOD((Panchanga!$P27-0.5)*2,7),MOD((Panchanga!$P27+30-28.5),30)*2+7)</f>
        <v>3.2162000000000006</v>
      </c>
      <c r="M27" s="4" t="str">
        <f>CHOOSE(ROUNDUP(Panchanga!$L27,0),"Bhava","Baalava","Kaulava","Taitula","Garija","Vanija","Vishti","Shakuni","Chatushapda","Naaga","Kimstugna")</f>
        <v>Taitula</v>
      </c>
      <c r="N27" s="11" t="str">
        <f>CHOOSE(ROUNDUP(Panchanga!$Q27,0),"viṣkambha","prīti","āyuṣmāna","saubhāgya","śobhana","atigaṇḍa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("&amp;Panchanga!$Q27&amp;")"</f>
        <v>dhṛti  (7.45)</v>
      </c>
      <c r="O27" s="4">
        <f>IF(AND(Panchanga!$P27&lt;28.5,Panchanga!$P27&gt;0.49999),MOD((Panchanga!$P27-0.5)*2,7),MOD((Panchanga!$P27+30-28.5),30)*2+7)</f>
        <v>3.2162000000000006</v>
      </c>
      <c r="P27" s="4">
        <f>ROUNDUP(MOD(360+P[Moon]-P[Sun],360)/12,4)</f>
        <v>12.6081</v>
      </c>
      <c r="Q27" s="4">
        <f>ROUNDUP(MOD(P[Sun]+P[Moon],360)/13.333333333,2)</f>
        <v>7.45</v>
      </c>
      <c r="R27" s="4" t="str">
        <f>SIGN(U28-Panchanga!$U27)*INT(Panchanga!$U27/30+1)&amp;"Ma,"&amp;SIGN(V28-Panchanga!$V27)*INT(Panchanga!$V27/30+1)&amp;"Me,"&amp;SIGN(W28-Panchanga!$W27)*INT(Panchanga!$W27/30+1)&amp;"J, "&amp;SIGN(X28-Panchanga!$X27)*INT(Panchanga!$X27/30+1)&amp;"V,"&amp;SIGN(Y28-Panchanga!$Y27)*INT(Panchanga!$Y27/30+1)&amp;"S,"&amp;INT(Panchanga!$Z27/30+1)&amp;"R"</f>
        <v>1Ma,-11Me,8J, 10V,9S,3R</v>
      </c>
      <c r="S27" s="4">
        <f t="shared" si="15"/>
        <v>334.00705095043969</v>
      </c>
      <c r="T27" s="4">
        <f t="shared" si="16"/>
        <v>125.30342659862067</v>
      </c>
      <c r="U27" s="4">
        <f>Planet(Panchanga!$E27,4)</f>
        <v>27.758126392903051</v>
      </c>
      <c r="V27" s="4">
        <f>Planet(Panchanga!$E27,2)</f>
        <v>326.37220808971483</v>
      </c>
      <c r="W27" s="4">
        <f>Planet(Panchanga!$E27,5)</f>
        <v>239.4345315916338</v>
      </c>
      <c r="X27" s="4">
        <f>Planet(Panchanga!$E27,3)</f>
        <v>296.53018098559994</v>
      </c>
      <c r="Y27" s="4">
        <f>Planet(Panchanga!$E27,6)</f>
        <v>264.99201537844243</v>
      </c>
      <c r="Z27" s="4">
        <f>Planet(Panchanga!$E27,10)</f>
        <v>89.367286335079953</v>
      </c>
      <c r="AA27" s="4" t="str">
        <f>TEXT(Panchanga!$C27+($C28-Panchanga!$C27)/ABS(IF($P28&lt;1,$P28+30,$P28)-Panchanga!$P27)*(ROUNDUP(Panchanga!$P27,0)-Panchanga!$P27),"hh:mm AM/PM")</f>
        <v>02:17 PM</v>
      </c>
      <c r="AB27" s="4"/>
    </row>
    <row r="28" spans="1:28" x14ac:dyDescent="0.2">
      <c r="A28" s="3">
        <f t="shared" si="19"/>
        <v>43544</v>
      </c>
      <c r="B28" s="3">
        <f t="shared" si="17"/>
        <v>43544.229166666664</v>
      </c>
      <c r="C28" s="6">
        <f t="shared" si="12"/>
        <v>43544.260515894894</v>
      </c>
      <c r="D28" s="6">
        <f t="shared" si="13"/>
        <v>43543.763520062013</v>
      </c>
      <c r="E28" s="7">
        <f>Panchanga!$C28-TimeZone/24</f>
        <v>43544.031349228229</v>
      </c>
      <c r="F28" s="8" t="str">
        <f>INT(P[Sun]/30)&amp;"s"&amp;ROUNDUP(MOD(P[Sun],30),2)</f>
        <v>11s5.01</v>
      </c>
      <c r="G28" s="13" t="str">
        <f>INT(P[Moon]/30)&amp;"s"&amp;ROUNDUP(MOD(P[Moon],30),2)</f>
        <v>4s20.37</v>
      </c>
      <c r="H28" s="14">
        <f t="shared" si="18"/>
        <v>43544.031349228229</v>
      </c>
      <c r="I28" s="4" t="str">
        <f>naks(P[[#This Row],[Moon]])</f>
        <v>Purva Phalguni</v>
      </c>
      <c r="J28" s="6">
        <f>(C29-P[[#This Row],[SunRise]])/(T29-P[[#This Row],[Moon]])*(13.3333333333333-MOD(P[[#This Row],[Moon]],13.333333333333))+P[[#This Row],[SunRise]]</f>
        <v>43544.678856981278</v>
      </c>
      <c r="K28" s="4" t="str">
        <f>IF(Panchanga!$P28&gt;15,"K","S")&amp;ROUNDUP(MOD(Panchanga!$P28,15),0)&amp;" ("&amp;ROUND(Panchanga!$P28,2)&amp;")"</f>
        <v>S14 (13.78)</v>
      </c>
      <c r="L28" s="4">
        <f>IF(AND(Panchanga!$P28&lt;28.5,Panchanga!$P28&gt;0.49999),MOD((Panchanga!$P28-0.5)*2,7),MOD((Panchanga!$P28+30-28.5),30)*2+7)</f>
        <v>5.5599999999999987</v>
      </c>
      <c r="M28" s="4" t="str">
        <f>CHOOSE(ROUNDUP(Panchanga!$L28,0),"Bhava","Baalava","Kaulava","Taitula","Garija","Vanija","Vishti","Shakuni","Chatushapda","Naaga","Kimstugna")</f>
        <v>Vanija</v>
      </c>
      <c r="N28" s="11" t="str">
        <f>CHOOSE(ROUNDUP(Panchanga!$Q28,0),"viṣkambha","prīti","āyuṣmāna","saubhāgya","śobhana","atigaṇḍa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("&amp;Panchanga!$Q28&amp;")"</f>
        <v>śūla  (8.66)</v>
      </c>
      <c r="O28" s="4">
        <f>IF(AND(Panchanga!$P28&lt;28.5,Panchanga!$P28&gt;0.49999),MOD((Panchanga!$P28-0.5)*2,7),MOD((Panchanga!$P28+30-28.5),30)*2+7)</f>
        <v>5.5599999999999987</v>
      </c>
      <c r="P28" s="4">
        <f>ROUNDUP(MOD(360+P[Moon]-P[Sun],360)/12,4)</f>
        <v>13.78</v>
      </c>
      <c r="Q28" s="4">
        <f>ROUNDUP(MOD(P[Sun]+P[Moon],360)/13.333333333,2)</f>
        <v>8.66</v>
      </c>
      <c r="R28" s="4" t="str">
        <f>SIGN(U29-Panchanga!$U28)*INT(Panchanga!$U28/30+1)&amp;"Ma,"&amp;SIGN(V29-Panchanga!$V28)*INT(Panchanga!$V28/30+1)&amp;"Me,"&amp;SIGN(W29-Panchanga!$W28)*INT(Panchanga!$W28/30+1)&amp;"J, "&amp;SIGN(X29-Panchanga!$X28)*INT(Panchanga!$X28/30+1)&amp;"V,"&amp;SIGN(Y29-Panchanga!$Y28)*INT(Panchanga!$Y28/30+1)&amp;"S,"&amp;INT(Panchanga!$Z28/30+1)&amp;"R"</f>
        <v>1Ma,-11Me,8J, 10V,9S,3R</v>
      </c>
      <c r="S28" s="4">
        <f t="shared" si="15"/>
        <v>335.00057138686975</v>
      </c>
      <c r="T28" s="4">
        <f t="shared" si="16"/>
        <v>140.36030096292239</v>
      </c>
      <c r="U28" s="4">
        <f>Planet(Panchanga!$E28,4)</f>
        <v>28.424060218724282</v>
      </c>
      <c r="V28" s="4">
        <f>Planet(Panchanga!$E28,2)</f>
        <v>325.53768653587548</v>
      </c>
      <c r="W28" s="4">
        <f>Planet(Panchanga!$E28,5)</f>
        <v>239.50192633564953</v>
      </c>
      <c r="X28" s="4">
        <f>Planet(Panchanga!$E28,3)</f>
        <v>297.72760413849358</v>
      </c>
      <c r="Y28" s="4">
        <f>Planet(Panchanga!$E28,6)</f>
        <v>265.05608615053399</v>
      </c>
      <c r="Z28" s="4">
        <f>Planet(Panchanga!$E28,10)</f>
        <v>89.314319101539084</v>
      </c>
      <c r="AA28" s="4" t="str">
        <f>TEXT(Panchanga!$C28+($C29-Panchanga!$C28)/ABS(IF($P29&lt;1,$P29+30,$P29)-Panchanga!$P28)*(ROUNDUP(Panchanga!$P28,0)-Panchanga!$P28),"hh:mm AM/PM")</f>
        <v>10:45 AM</v>
      </c>
      <c r="AB28" s="4"/>
    </row>
    <row r="29" spans="1:28" x14ac:dyDescent="0.2">
      <c r="A29" s="3">
        <f t="shared" si="19"/>
        <v>43545</v>
      </c>
      <c r="B29" s="3">
        <f t="shared" si="17"/>
        <v>43545.229166666664</v>
      </c>
      <c r="C29" s="6">
        <f t="shared" si="12"/>
        <v>43545.260046846386</v>
      </c>
      <c r="D29" s="6">
        <f t="shared" si="13"/>
        <v>43544.763578077356</v>
      </c>
      <c r="E29" s="7">
        <f>Panchanga!$C29-TimeZone/24</f>
        <v>43545.030880179722</v>
      </c>
      <c r="F29" s="8" t="str">
        <f>INT(P[Sun]/30)&amp;"s"&amp;ROUNDUP(MOD(P[Sun],30),2)</f>
        <v>11s6</v>
      </c>
      <c r="G29" s="13" t="str">
        <f>INT(P[Moon]/30)&amp;"s"&amp;ROUNDUP(MOD(P[Moon],30),2)</f>
        <v>5s5.43</v>
      </c>
      <c r="H29" s="14">
        <f t="shared" si="18"/>
        <v>43545.030880179722</v>
      </c>
      <c r="I29" s="4" t="str">
        <f>naks(P[[#This Row],[Moon]])</f>
        <v>Uttara Phalguni</v>
      </c>
      <c r="J29" s="6">
        <f>(C30-P[[#This Row],[SunRise]])/(T30-P[[#This Row],[Moon]])*(13.3333333333333-MOD(P[[#This Row],[Moon]],13.333333333333))+P[[#This Row],[SunRise]]</f>
        <v>43545.56647550418</v>
      </c>
      <c r="K29" s="4" t="str">
        <f>IF(Panchanga!$P29&gt;15,"K","S")&amp;ROUNDUP(MOD(Panchanga!$P29,15),0)&amp;" ("&amp;ROUND(Panchanga!$P29,2)&amp;")"</f>
        <v>S15 (14.95)</v>
      </c>
      <c r="L29" s="4">
        <f>IF(AND(Panchanga!$P29&lt;28.5,Panchanga!$P29&gt;0.49999),MOD((Panchanga!$P29-0.5)*2,7),MOD((Panchanga!$P29+30-28.5),30)*2+7)</f>
        <v>0.90579999999999927</v>
      </c>
      <c r="M29" s="4" t="str">
        <f>CHOOSE(ROUNDUP(Panchanga!$L29,0),"Bhava","Baalava","Kaulava","Taitula","Garija","Vanija","Vishti","Shakuni","Chatushapda","Naaga","Kimstugna")</f>
        <v>Bhava</v>
      </c>
      <c r="N29" s="11" t="str">
        <f>CHOOSE(ROUNDUP(Panchanga!$Q29,0),"viṣkambha","prīti","āyuṣmāna","saubhāgya","śobhana","atigaṇḍa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("&amp;Panchanga!$Q29&amp;")"</f>
        <v>gaṇḍa  (9.86)</v>
      </c>
      <c r="O29" s="4">
        <f>IF(AND(Panchanga!$P29&lt;28.5,Panchanga!$P29&gt;0.49999),MOD((Panchanga!$P29-0.5)*2,7),MOD((Panchanga!$P29+30-28.5),30)*2+7)</f>
        <v>0.90579999999999927</v>
      </c>
      <c r="P29" s="4">
        <f>ROUNDUP(MOD(360+P[Moon]-P[Sun],360)/12,4)</f>
        <v>14.9529</v>
      </c>
      <c r="Q29" s="4">
        <f>ROUNDUP(MOD(P[Sun]+P[Moon],360)/13.333333333,2)</f>
        <v>9.86</v>
      </c>
      <c r="R29" s="4" t="str">
        <f>SIGN(U30-Panchanga!$U29)*INT(Panchanga!$U29/30+1)&amp;"Ma,"&amp;SIGN(V30-Panchanga!$V29)*INT(Panchanga!$V29/30+1)&amp;"Me,"&amp;SIGN(W30-Panchanga!$W29)*INT(Panchanga!$W29/30+1)&amp;"J, "&amp;SIGN(X30-Panchanga!$X29)*INT(Panchanga!$X29/30+1)&amp;"V,"&amp;SIGN(Y30-Panchanga!$Y29)*INT(Panchanga!$Y29/30+1)&amp;"S,"&amp;INT(Panchanga!$Z29/30+1)&amp;"R"</f>
        <v>1Ma,-11Me,8J, 10V,9S,3R</v>
      </c>
      <c r="S29" s="4">
        <f t="shared" si="15"/>
        <v>335.99351063314424</v>
      </c>
      <c r="T29" s="4">
        <f t="shared" si="16"/>
        <v>155.42792859388797</v>
      </c>
      <c r="U29" s="4">
        <f>Planet(Panchanga!$E29,4)</f>
        <v>29.089598025072249</v>
      </c>
      <c r="V29" s="4">
        <f>Planet(Panchanga!$E29,2)</f>
        <v>324.773205712736</v>
      </c>
      <c r="W29" s="4">
        <f>Planet(Panchanga!$E29,5)</f>
        <v>239.5664666742465</v>
      </c>
      <c r="X29" s="4">
        <f>Planet(Panchanga!$E29,3)</f>
        <v>298.92566950472536</v>
      </c>
      <c r="Y29" s="4">
        <f>Planet(Panchanga!$E29,6)</f>
        <v>265.11880888222578</v>
      </c>
      <c r="Z29" s="4">
        <f>Planet(Panchanga!$E29,10)</f>
        <v>89.261351960603903</v>
      </c>
      <c r="AA29" s="4" t="str">
        <f>TEXT(Panchanga!$C29+($C30-Panchanga!$C29)/ABS(IF($P30&lt;1,$P30+30,$P30)-Panchanga!$P29)*(ROUNDUP(Panchanga!$P29,0)-Panchanga!$P29),"hh:mm AM/PM")</f>
        <v>07:12 AM</v>
      </c>
      <c r="AB29" s="4"/>
    </row>
    <row r="30" spans="1:28" x14ac:dyDescent="0.2">
      <c r="A30" s="3">
        <f t="shared" si="19"/>
        <v>43546</v>
      </c>
      <c r="B30" s="3">
        <f t="shared" si="17"/>
        <v>43546.229166666664</v>
      </c>
      <c r="C30" s="6">
        <f t="shared" si="12"/>
        <v>43546.259576525692</v>
      </c>
      <c r="D30" s="6">
        <f t="shared" si="13"/>
        <v>43545.763634662188</v>
      </c>
      <c r="E30" s="7">
        <f>Panchanga!$C30-TimeZone/24</f>
        <v>43546.030409859028</v>
      </c>
      <c r="F30" s="8" t="str">
        <f>INT(P[Sun]/30)&amp;"s"&amp;ROUNDUP(MOD(P[Sun],30),2)</f>
        <v>11s6.99</v>
      </c>
      <c r="G30" s="13" t="str">
        <f>INT(P[Moon]/30)&amp;"s"&amp;ROUNDUP(MOD(P[Moon],30),2)</f>
        <v>5s20.35</v>
      </c>
      <c r="H30" s="14">
        <f t="shared" si="18"/>
        <v>43546.030409859028</v>
      </c>
      <c r="I30" s="4" t="str">
        <f>naks(P[[#This Row],[Moon]])</f>
        <v>Hasta</v>
      </c>
      <c r="J30" s="6">
        <f>(C31-P[[#This Row],[SunRise]])/(T31-P[[#This Row],[Moon]])*(13.3333333333333-MOD(P[[#This Row],[Moon]],13.333333333333))+P[[#This Row],[SunRise]]</f>
        <v>43546.464285488109</v>
      </c>
      <c r="K30" s="4" t="str">
        <f>IF(Panchanga!$P30&gt;15,"K","S")&amp;ROUNDUP(MOD(Panchanga!$P30,15),0)&amp;" ("&amp;ROUND(Panchanga!$P30,2)&amp;")"</f>
        <v>K2 (16.11)</v>
      </c>
      <c r="L30" s="4">
        <f>IF(AND(Panchanga!$P30&lt;28.5,Panchanga!$P30&gt;0.49999),MOD((Panchanga!$P30-0.5)*2,7),MOD((Panchanga!$P30+30-28.5),30)*2+7)</f>
        <v>3.2259999999999991</v>
      </c>
      <c r="M30" s="4" t="str">
        <f>CHOOSE(ROUNDUP(Panchanga!$L30,0),"Bhava","Baalava","Kaulava","Taitula","Garija","Vanija","Vishti","Shakuni","Chatushapda","Naaga","Kimstugna")</f>
        <v>Taitula</v>
      </c>
      <c r="N30" s="11" t="str">
        <f>CHOOSE(ROUNDUP(Panchanga!$Q30,0),"viṣkambha","prīti","āyuṣmāna","saubhāgya","śobhana","atigaṇḍa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("&amp;Panchanga!$Q30&amp;")"</f>
        <v>dhruva  (11.05)</v>
      </c>
      <c r="O30" s="4">
        <f>IF(AND(Panchanga!$P30&lt;28.5,Panchanga!$P30&gt;0.49999),MOD((Panchanga!$P30-0.5)*2,7),MOD((Panchanga!$P30+30-28.5),30)*2+7)</f>
        <v>3.2259999999999991</v>
      </c>
      <c r="P30" s="4">
        <f>ROUNDUP(MOD(360+P[Moon]-P[Sun],360)/12,4)</f>
        <v>16.113</v>
      </c>
      <c r="Q30" s="4">
        <f>ROUNDUP(MOD(P[Sun]+P[Moon],360)/13.333333333,2)</f>
        <v>11.049999999999999</v>
      </c>
      <c r="R30" s="4" t="str">
        <f>SIGN(U31-Panchanga!$U30)*INT(Panchanga!$U30/30+1)&amp;"Ma,"&amp;SIGN(V31-Panchanga!$V30)*INT(Panchanga!$V30/30+1)&amp;"Me,"&amp;SIGN(W31-Panchanga!$W30)*INT(Panchanga!$W30/30+1)&amp;"J, "&amp;SIGN(X31-Panchanga!$X30)*INT(Panchanga!$X30/30+1)&amp;"V,"&amp;SIGN(Y31-Panchanga!$Y30)*INT(Panchanga!$Y30/30+1)&amp;"S,"&amp;INT(Panchanga!$Z30/30+1)&amp;"R"</f>
        <v>1Ma,-11Me,8J, 11V,9S,3R</v>
      </c>
      <c r="S30" s="4">
        <f t="shared" si="15"/>
        <v>336.98589000284738</v>
      </c>
      <c r="T30" s="4">
        <f t="shared" si="16"/>
        <v>170.34141971206162</v>
      </c>
      <c r="U30" s="4">
        <f>Planet(Panchanga!$E30,4)</f>
        <v>29.754745274674605</v>
      </c>
      <c r="V30" s="4">
        <f>Planet(Panchanga!$E30,2)</f>
        <v>324.08956701890475</v>
      </c>
      <c r="W30" s="4">
        <f>Planet(Panchanga!$E30,5)</f>
        <v>239.62813233410319</v>
      </c>
      <c r="X30" s="4">
        <f>Planet(Panchanga!$E30,3)</f>
        <v>300.12437294561482</v>
      </c>
      <c r="Y30" s="4">
        <f>Planet(Panchanga!$E30,6)</f>
        <v>265.18017155245661</v>
      </c>
      <c r="Z30" s="4">
        <f>Planet(Panchanga!$E30,10)</f>
        <v>89.208384887106462</v>
      </c>
      <c r="AA30" s="4" t="str">
        <f>TEXT(Panchanga!$C30+($C31-Panchanga!$C30)/ABS(IF($P31&lt;1,$P31+30,$P31)-Panchanga!$P30)*(ROUNDUP(Panchanga!$P30,0)-Panchanga!$P30),"hh:mm AM/PM")</f>
        <v>12:58 AM</v>
      </c>
      <c r="AB30" s="4"/>
    </row>
    <row r="31" spans="1:28" x14ac:dyDescent="0.2">
      <c r="A31" s="3">
        <f t="shared" si="19"/>
        <v>43547</v>
      </c>
      <c r="B31" s="3">
        <f t="shared" si="17"/>
        <v>43547.229166666664</v>
      </c>
      <c r="C31" s="6">
        <f t="shared" si="12"/>
        <v>43547.259105092999</v>
      </c>
      <c r="D31" s="6">
        <f t="shared" si="13"/>
        <v>43546.763689975298</v>
      </c>
      <c r="E31" s="7">
        <f>Panchanga!$C31-TimeZone/24</f>
        <v>43547.029938426334</v>
      </c>
      <c r="F31" s="8" t="str">
        <f>INT(P[Sun]/30)&amp;"s"&amp;ROUNDUP(MOD(P[Sun],30),2)</f>
        <v>11s7.98</v>
      </c>
      <c r="G31" s="13" t="str">
        <f>INT(P[Moon]/30)&amp;"s"&amp;ROUNDUP(MOD(P[Moon],30),2)</f>
        <v>6s4.95</v>
      </c>
      <c r="H31" s="14">
        <f t="shared" si="18"/>
        <v>43547.029938426334</v>
      </c>
      <c r="I31" s="4" t="str">
        <f>naks(P[[#This Row],[Moon]])</f>
        <v>Chitra</v>
      </c>
      <c r="J31" s="6">
        <f>(C32-P[[#This Row],[SunRise]])/(T32-P[[#This Row],[Moon]])*(13.3333333333333-MOD(P[[#This Row],[Moon]],13.333333333333))+P[[#This Row],[SunRise]]</f>
        <v>43547.380010314417</v>
      </c>
      <c r="K31" s="4" t="str">
        <f>IF(Panchanga!$P31&gt;15,"K","S")&amp;ROUNDUP(MOD(Panchanga!$P31,15),0)&amp;" ("&amp;ROUND(Panchanga!$P31,2)&amp;")"</f>
        <v>K3 (17.25)</v>
      </c>
      <c r="L31" s="4">
        <f>IF(AND(Panchanga!$P31&lt;28.5,Panchanga!$P31&gt;0.49999),MOD((Panchanga!$P31-0.5)*2,7),MOD((Panchanga!$P31+30-28.5),30)*2+7)</f>
        <v>5.4953999999999965</v>
      </c>
      <c r="M31" s="4" t="str">
        <f>CHOOSE(ROUNDUP(Panchanga!$L31,0),"Bhava","Baalava","Kaulava","Taitula","Garija","Vanija","Vishti","Shakuni","Chatushapda","Naaga","Kimstugna")</f>
        <v>Vanija</v>
      </c>
      <c r="N31" s="11" t="str">
        <f>CHOOSE(ROUNDUP(Panchanga!$Q31,0),"viṣkambha","prīti","āyuṣmāna","saubhāgya","śobhana","atigaṇḍa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("&amp;Panchanga!$Q31&amp;")"</f>
        <v>vyāghāta (12.22)</v>
      </c>
      <c r="O31" s="4">
        <f>IF(AND(Panchanga!$P31&lt;28.5,Panchanga!$P31&gt;0.49999),MOD((Panchanga!$P31-0.5)*2,7),MOD((Panchanga!$P31+30-28.5),30)*2+7)</f>
        <v>5.4953999999999965</v>
      </c>
      <c r="P31" s="4">
        <f>ROUNDUP(MOD(360+P[Moon]-P[Sun],360)/12,4)</f>
        <v>17.247699999999998</v>
      </c>
      <c r="Q31" s="4">
        <f>ROUNDUP(MOD(P[Sun]+P[Moon],360)/13.333333333,2)</f>
        <v>12.22</v>
      </c>
      <c r="R31" s="4" t="str">
        <f>SIGN(U32-Panchanga!$U31)*INT(Panchanga!$U31/30+1)&amp;"Ma,"&amp;SIGN(V32-Panchanga!$V31)*INT(Panchanga!$V31/30+1)&amp;"Me,"&amp;SIGN(W32-Panchanga!$W31)*INT(Panchanga!$W31/30+1)&amp;"J, "&amp;SIGN(X32-Panchanga!$X31)*INT(Panchanga!$X31/30+1)&amp;"V,"&amp;SIGN(Y32-Panchanga!$Y31)*INT(Panchanga!$Y31/30+1)&amp;"S,"&amp;INT(Panchanga!$Z31/30+1)&amp;"R"</f>
        <v>2Ma,-11Me,8J, 11V,9S,3R</v>
      </c>
      <c r="S31" s="4">
        <f t="shared" si="15"/>
        <v>337.97772976429644</v>
      </c>
      <c r="T31" s="4">
        <f t="shared" si="16"/>
        <v>184.94997959178906</v>
      </c>
      <c r="U31" s="4">
        <f>Planet(Panchanga!$E31,4)</f>
        <v>30.419509731130304</v>
      </c>
      <c r="V31" s="4">
        <f>Planet(Panchanga!$E31,2)</f>
        <v>323.49497854223279</v>
      </c>
      <c r="W31" s="4">
        <f>Planet(Panchanga!$E31,5)</f>
        <v>239.68690211597581</v>
      </c>
      <c r="X31" s="4">
        <f>Planet(Panchanga!$E31,3)</f>
        <v>301.32370670343249</v>
      </c>
      <c r="Y31" s="4">
        <f>Planet(Panchanga!$E31,6)</f>
        <v>265.2401616103794</v>
      </c>
      <c r="Z31" s="4">
        <f>Planet(Panchanga!$E31,10)</f>
        <v>89.155417872530293</v>
      </c>
      <c r="AA31" s="4" t="str">
        <f>TEXT(Panchanga!$C31+($C32-Panchanga!$C31)/ABS(IF($P32&lt;1,$P32+30,$P32)-Panchanga!$P31)*(ROUNDUP(Panchanga!$P31,0)-Panchanga!$P31),"hh:mm AM/PM")</f>
        <v>10:37 PM</v>
      </c>
      <c r="AB31" s="4"/>
    </row>
    <row r="32" spans="1:28" x14ac:dyDescent="0.2">
      <c r="A32" s="3">
        <f t="shared" si="19"/>
        <v>43548</v>
      </c>
      <c r="B32" s="3">
        <f t="shared" si="17"/>
        <v>43548.229166666664</v>
      </c>
      <c r="C32" s="6">
        <f t="shared" si="12"/>
        <v>43548.258633024212</v>
      </c>
      <c r="D32" s="6">
        <f t="shared" si="13"/>
        <v>43547.763744175478</v>
      </c>
      <c r="E32" s="7">
        <f>Panchanga!$C32-TimeZone/24</f>
        <v>43548.029466357548</v>
      </c>
      <c r="F32" s="8" t="str">
        <f>INT(P[Sun]/30)&amp;"s"&amp;ROUNDUP(MOD(P[Sun],30),2)</f>
        <v>11s8.97</v>
      </c>
      <c r="G32" s="13" t="str">
        <f>INT(P[Moon]/30)&amp;"s"&amp;ROUNDUP(MOD(P[Moon],30),2)</f>
        <v>6s19.15</v>
      </c>
      <c r="H32" s="14">
        <f t="shared" si="18"/>
        <v>43548.029466357548</v>
      </c>
      <c r="I32" s="4" t="str">
        <f>naks(P[[#This Row],[Moon]])</f>
        <v>Swati</v>
      </c>
      <c r="J32" s="6">
        <f>(C33-P[[#This Row],[SunRise]])/(T33-P[[#This Row],[Moon]])*(13.3333333333333-MOD(P[[#This Row],[Moon]],13.333333333333))+P[[#This Row],[SunRise]]</f>
        <v>43548.321165270696</v>
      </c>
      <c r="K32" s="4" t="str">
        <f>IF(Panchanga!$P32&gt;15,"K","S")&amp;ROUNDUP(MOD(Panchanga!$P32,15),0)&amp;" ("&amp;ROUND(Panchanga!$P32,2)&amp;")"</f>
        <v>K4 (18.35)</v>
      </c>
      <c r="L32" s="4">
        <f>IF(AND(Panchanga!$P32&lt;28.5,Panchanga!$P32&gt;0.49999),MOD((Panchanga!$P32-0.5)*2,7),MOD((Panchanga!$P32+30-28.5),30)*2+7)</f>
        <v>0.69559999999999889</v>
      </c>
      <c r="M32" s="4" t="str">
        <f>CHOOSE(ROUNDUP(Panchanga!$L32,0),"Bhava","Baalava","Kaulava","Taitula","Garija","Vanija","Vishti","Shakuni","Chatushapda","Naaga","Kimstugna")</f>
        <v>Bhava</v>
      </c>
      <c r="N32" s="11" t="str">
        <f>CHOOSE(ROUNDUP(Panchanga!$Q32,0),"viṣkambha","prīti","āyuṣmāna","saubhāgya","śobhana","atigaṇḍa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("&amp;Panchanga!$Q32&amp;")"</f>
        <v>harṣaṇa (13.36)</v>
      </c>
      <c r="O32" s="4">
        <f>IF(AND(Panchanga!$P32&lt;28.5,Panchanga!$P32&gt;0.49999),MOD((Panchanga!$P32-0.5)*2,7),MOD((Panchanga!$P32+30-28.5),30)*2+7)</f>
        <v>0.69559999999999889</v>
      </c>
      <c r="P32" s="4">
        <f>ROUNDUP(MOD(360+P[Moon]-P[Sun],360)/12,4)</f>
        <v>18.347799999999999</v>
      </c>
      <c r="Q32" s="4">
        <f>ROUNDUP(MOD(P[Sun]+P[Moon],360)/13.333333333,2)</f>
        <v>13.36</v>
      </c>
      <c r="R32" s="4" t="str">
        <f>SIGN(U33-Panchanga!$U32)*INT(Panchanga!$U32/30+1)&amp;"Ma,"&amp;SIGN(V33-Panchanga!$V32)*INT(Panchanga!$V32/30+1)&amp;"Me,"&amp;SIGN(W33-Panchanga!$W32)*INT(Panchanga!$W32/30+1)&amp;"J, "&amp;SIGN(X33-Panchanga!$X32)*INT(Panchanga!$X32/30+1)&amp;"V,"&amp;SIGN(Y33-Panchanga!$Y32)*INT(Panchanga!$Y32/30+1)&amp;"S,"&amp;INT(Panchanga!$Z32/30+1)&amp;"R"</f>
        <v>2Ma,-11Me,8J, 11V,9S,3R</v>
      </c>
      <c r="S32" s="4">
        <f t="shared" si="15"/>
        <v>338.96904796047727</v>
      </c>
      <c r="T32" s="4">
        <f t="shared" si="16"/>
        <v>199.14189504738673</v>
      </c>
      <c r="U32" s="4">
        <f>Planet(Panchanga!$E32,4)</f>
        <v>31.083900797723025</v>
      </c>
      <c r="V32" s="4">
        <f>Planet(Panchanga!$E32,2)</f>
        <v>322.99521070788222</v>
      </c>
      <c r="W32" s="4">
        <f>Planet(Panchanga!$E32,5)</f>
        <v>239.742754211864</v>
      </c>
      <c r="X32" s="4">
        <f>Planet(Panchanga!$E32,3)</f>
        <v>302.52365960546183</v>
      </c>
      <c r="Y32" s="4">
        <f>Planet(Panchanga!$E32,6)</f>
        <v>265.29876604037486</v>
      </c>
      <c r="Z32" s="4">
        <f>Planet(Panchanga!$E32,10)</f>
        <v>89.102450891641041</v>
      </c>
      <c r="AA32" s="4" t="str">
        <f>TEXT(Panchanga!$C32+($C33-Panchanga!$C32)/ABS(IF($P33&lt;1,$P33+30,$P33)-Panchanga!$P32)*(ROUNDUP(Panchanga!$P32,0)-Panchanga!$P32),"hh:mm AM/PM")</f>
        <v>08:57 PM</v>
      </c>
      <c r="AB32" s="4"/>
    </row>
    <row r="33" spans="1:28" x14ac:dyDescent="0.2">
      <c r="A33" s="3">
        <f t="shared" si="19"/>
        <v>43549</v>
      </c>
      <c r="B33" s="3">
        <f t="shared" si="17"/>
        <v>43549.229166666664</v>
      </c>
      <c r="C33" s="6">
        <f t="shared" si="12"/>
        <v>43549.258160478588</v>
      </c>
      <c r="D33" s="6">
        <f t="shared" si="13"/>
        <v>43548.763797422449</v>
      </c>
      <c r="E33" s="7">
        <f>Panchanga!$C33-TimeZone/24</f>
        <v>43549.028993811924</v>
      </c>
      <c r="F33" s="8" t="str">
        <f>INT(P[Sun]/30)&amp;"s"&amp;ROUNDUP(MOD(P[Sun],30),2)</f>
        <v>11s9.96</v>
      </c>
      <c r="G33" s="13" t="str">
        <f>INT(P[Moon]/30)&amp;"s"&amp;ROUNDUP(MOD(P[Moon],30),2)</f>
        <v>7s2.86</v>
      </c>
      <c r="H33" s="14">
        <f t="shared" si="18"/>
        <v>43549.028993811924</v>
      </c>
      <c r="I33" s="4" t="str">
        <f>naks(P[[#This Row],[Moon]])</f>
        <v>Visakha</v>
      </c>
      <c r="J33" s="6">
        <f>(C34-P[[#This Row],[SunRise]])/(T34-P[[#This Row],[Moon]])*(13.3333333333333-MOD(P[[#This Row],[Moon]],13.333333333333))+P[[#This Row],[SunRise]]</f>
        <v>43549.294060524102</v>
      </c>
      <c r="K33" s="4" t="str">
        <f>IF(Panchanga!$P33&gt;15,"K","S")&amp;ROUNDUP(MOD(Panchanga!$P33,15),0)&amp;" ("&amp;ROUND(Panchanga!$P33,2)&amp;")"</f>
        <v>K5 (19.41)</v>
      </c>
      <c r="L33" s="4">
        <f>IF(AND(Panchanga!$P33&lt;28.5,Panchanga!$P33&gt;0.49999),MOD((Panchanga!$P33-0.5)*2,7),MOD((Panchanga!$P33+30-28.5),30)*2+7)</f>
        <v>2.8164000000000016</v>
      </c>
      <c r="M33" s="4" t="str">
        <f>CHOOSE(ROUNDUP(Panchanga!$L33,0),"Bhava","Baalava","Kaulava","Taitula","Garija","Vanija","Vishti","Shakuni","Chatushapda","Naaga","Kimstugna")</f>
        <v>Kaulava</v>
      </c>
      <c r="N33" s="11" t="str">
        <f>CHOOSE(ROUNDUP(Panchanga!$Q33,0),"viṣkambha","prīti","āyuṣmāna","saubhāgya","śobhana","atigaṇḍa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("&amp;Panchanga!$Q33&amp;")"</f>
        <v>vajra (14.47)</v>
      </c>
      <c r="O33" s="4">
        <f>IF(AND(Panchanga!$P33&lt;28.5,Panchanga!$P33&gt;0.49999),MOD((Panchanga!$P33-0.5)*2,7),MOD((Panchanga!$P33+30-28.5),30)*2+7)</f>
        <v>2.8164000000000016</v>
      </c>
      <c r="P33" s="4">
        <f>ROUNDUP(MOD(360+P[Moon]-P[Sun],360)/12,4)</f>
        <v>19.408200000000001</v>
      </c>
      <c r="Q33" s="4">
        <f>ROUNDUP(MOD(P[Sun]+P[Moon],360)/13.333333333,2)</f>
        <v>14.47</v>
      </c>
      <c r="R33" s="4" t="str">
        <f>SIGN(U34-Panchanga!$U33)*INT(Panchanga!$U33/30+1)&amp;"Ma,"&amp;SIGN(V34-Panchanga!$V33)*INT(Panchanga!$V33/30+1)&amp;"Me,"&amp;SIGN(W34-Panchanga!$W33)*INT(Panchanga!$W33/30+1)&amp;"J, "&amp;SIGN(X34-Panchanga!$X33)*INT(Panchanga!$X33/30+1)&amp;"V,"&amp;SIGN(Y34-Panchanga!$Y33)*INT(Panchanga!$Y33/30+1)&amp;"S,"&amp;INT(Panchanga!$Z33/30+1)&amp;"R"</f>
        <v>2Ma,-11Me,8J, 11V,9S,3R</v>
      </c>
      <c r="S33" s="4">
        <f t="shared" si="15"/>
        <v>339.95985863669733</v>
      </c>
      <c r="T33" s="4">
        <f t="shared" si="16"/>
        <v>212.85800964512677</v>
      </c>
      <c r="U33" s="4">
        <f>Planet(Panchanga!$E33,4)</f>
        <v>31.747928030351993</v>
      </c>
      <c r="V33" s="4">
        <f>Planet(Panchanga!$E33,2)</f>
        <v>322.59383895792905</v>
      </c>
      <c r="W33" s="4">
        <f>Planet(Panchanga!$E33,5)</f>
        <v>239.79566656674228</v>
      </c>
      <c r="X33" s="4">
        <f>Planet(Panchanga!$E33,3)</f>
        <v>303.72421640858914</v>
      </c>
      <c r="Y33" s="4">
        <f>Planet(Panchanga!$E33,6)</f>
        <v>265.3559714420058</v>
      </c>
      <c r="Z33" s="4">
        <f>Planet(Panchanga!$E33,10)</f>
        <v>89.049483936055012</v>
      </c>
      <c r="AA33" s="4" t="str">
        <f>TEXT(Panchanga!$C33+($C34-Panchanga!$C33)/ABS(IF($P34&lt;1,$P34+30,$P34)-Panchanga!$P33)*(ROUNDUP(Panchanga!$P33,0)-Panchanga!$P33),"hh:mm AM/PM")</f>
        <v>08:06 PM</v>
      </c>
      <c r="AB33" s="4"/>
    </row>
    <row r="34" spans="1:28" x14ac:dyDescent="0.2">
      <c r="A34" s="3">
        <f t="shared" si="19"/>
        <v>43550</v>
      </c>
      <c r="B34" s="3">
        <f t="shared" si="17"/>
        <v>43550.229166666664</v>
      </c>
      <c r="C34" s="6">
        <f t="shared" si="12"/>
        <v>43550.257687932964</v>
      </c>
      <c r="D34" s="6">
        <f t="shared" si="13"/>
        <v>43549.763850351374</v>
      </c>
      <c r="E34" s="7">
        <f>Panchanga!$C34-TimeZone/24</f>
        <v>43550.0285212663</v>
      </c>
      <c r="F34" s="8" t="str">
        <f>INT(P[Sun]/30)&amp;"s"&amp;ROUNDUP(MOD(P[Sun],30),2)</f>
        <v>11s10.96</v>
      </c>
      <c r="G34" s="13" t="str">
        <f>INT(P[Moon]/30)&amp;"s"&amp;ROUNDUP(MOD(P[Moon],30),2)</f>
        <v>7s16.1</v>
      </c>
      <c r="H34" s="14">
        <f t="shared" si="18"/>
        <v>43550.0285212663</v>
      </c>
      <c r="I34" s="4" t="str">
        <f>naks(P[[#This Row],[Moon]])</f>
        <v>Anuradha</v>
      </c>
      <c r="J34" s="6">
        <f>(C35-P[[#This Row],[SunRise]])/(T35-P[[#This Row],[Moon]])*(13.3333333333333-MOD(P[[#This Row],[Moon]],13.333333333333))+P[[#This Row],[SunRise]]</f>
        <v>43550.302605518169</v>
      </c>
      <c r="K34" s="4" t="str">
        <f>IF(Panchanga!$P34&gt;15,"K","S")&amp;ROUNDUP(MOD(Panchanga!$P34,15),0)&amp;" ("&amp;ROUND(Panchanga!$P34,2)&amp;")"</f>
        <v>K6 (20.43)</v>
      </c>
      <c r="L34" s="4">
        <f>IF(AND(Panchanga!$P34&lt;28.5,Panchanga!$P34&gt;0.49999),MOD((Panchanga!$P34-0.5)*2,7),MOD((Panchanga!$P34+30-28.5),30)*2+7)</f>
        <v>4.8569999999999993</v>
      </c>
      <c r="M34" s="4" t="str">
        <f>CHOOSE(ROUNDUP(Panchanga!$L34,0),"Bhava","Baalava","Kaulava","Taitula","Garija","Vanija","Vishti","Shakuni","Chatushapda","Naaga","Kimstugna")</f>
        <v>Garija</v>
      </c>
      <c r="N34" s="11" t="str">
        <f>CHOOSE(ROUNDUP(Panchanga!$Q34,0),"viṣkambha","prīti","āyuṣmāna","saubhāgya","śobhana","atigaṇḍa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("&amp;Panchanga!$Q34&amp;")"</f>
        <v>siddhi (15.53)</v>
      </c>
      <c r="O34" s="4">
        <f>IF(AND(Panchanga!$P34&lt;28.5,Panchanga!$P34&gt;0.49999),MOD((Panchanga!$P34-0.5)*2,7),MOD((Panchanga!$P34+30-28.5),30)*2+7)</f>
        <v>4.8569999999999993</v>
      </c>
      <c r="P34" s="4">
        <f>ROUNDUP(MOD(360+P[Moon]-P[Sun],360)/12,4)</f>
        <v>20.4285</v>
      </c>
      <c r="Q34" s="4">
        <f>ROUNDUP(MOD(P[Sun]+P[Moon],360)/13.333333333,2)</f>
        <v>15.53</v>
      </c>
      <c r="R34" s="4" t="str">
        <f>SIGN(U35-Panchanga!$U34)*INT(Panchanga!$U34/30+1)&amp;"Ma,"&amp;SIGN(V35-Panchanga!$V34)*INT(Panchanga!$V34/30+1)&amp;"Me,"&amp;SIGN(W35-Panchanga!$W34)*INT(Panchanga!$W34/30+1)&amp;"J, "&amp;SIGN(X35-Panchanga!$X34)*INT(Panchanga!$X34/30+1)&amp;"V,"&amp;SIGN(Y35-Panchanga!$Y34)*INT(Panchanga!$Y34/30+1)&amp;"S,"&amp;INT(Panchanga!$Z34/30+1)&amp;"R"</f>
        <v>2Ma,-11Me,8J, 11V,9S,3R</v>
      </c>
      <c r="S34" s="4">
        <f t="shared" si="15"/>
        <v>340.95017203683722</v>
      </c>
      <c r="T34" s="4">
        <f t="shared" si="16"/>
        <v>226.0919504178753</v>
      </c>
      <c r="U34" s="4">
        <f>Planet(Panchanga!$E34,4)</f>
        <v>32.411600700341147</v>
      </c>
      <c r="V34" s="4">
        <f>Planet(Panchanga!$E34,2)</f>
        <v>322.29253676150665</v>
      </c>
      <c r="W34" s="4">
        <f>Planet(Panchanga!$E34,5)</f>
        <v>239.84561733916757</v>
      </c>
      <c r="X34" s="4">
        <f>Planet(Panchanga!$E34,3)</f>
        <v>304.92535914778705</v>
      </c>
      <c r="Y34" s="4">
        <f>Planet(Panchanga!$E34,6)</f>
        <v>265.41176422822429</v>
      </c>
      <c r="Z34" s="4">
        <f>Planet(Panchanga!$E34,10)</f>
        <v>88.996516980438528</v>
      </c>
      <c r="AA34" s="4" t="str">
        <f>TEXT(Panchanga!$C34+($C35-Panchanga!$C34)/ABS(IF($P35&lt;1,$P35+30,$P35)-Panchanga!$P34)*(ROUNDUP(Panchanga!$P34,0)-Panchanga!$P34),"hh:mm AM/PM")</f>
        <v>08:07 PM</v>
      </c>
      <c r="AB34" s="4"/>
    </row>
    <row r="35" spans="1:28" x14ac:dyDescent="0.2">
      <c r="A35" s="3">
        <f t="shared" si="19"/>
        <v>43551</v>
      </c>
      <c r="B35" s="3">
        <f t="shared" si="17"/>
        <v>43551.229166666664</v>
      </c>
      <c r="C35" s="6">
        <f t="shared" ref="C35:C66" si="20">sunrise(Lat,Long,B35)+TimeZone/24+0.00103009259259259</f>
        <v>43551.257215546131</v>
      </c>
      <c r="D35" s="6">
        <f t="shared" ref="D35:D66" si="21">sunset(Lat,Long,B35)+TimeZone/24-0.000277777777777778</f>
        <v>43550.763902803461</v>
      </c>
      <c r="E35" s="7">
        <f>Panchanga!$C35-TimeZone/24</f>
        <v>43551.028048879467</v>
      </c>
      <c r="F35" s="8" t="str">
        <f>INT(P[Sun]/30)&amp;"s"&amp;ROUNDUP(MOD(P[Sun],30),2)</f>
        <v>11s11.94</v>
      </c>
      <c r="G35" s="13" t="str">
        <f>INT(P[Moon]/30)&amp;"s"&amp;ROUNDUP(MOD(P[Moon],30),2)</f>
        <v>7s28.89</v>
      </c>
      <c r="H35" s="14">
        <f t="shared" si="18"/>
        <v>43551.028048879467</v>
      </c>
      <c r="I35" s="4" t="str">
        <f>naks(P[[#This Row],[Moon]])</f>
        <v>Jyestha</v>
      </c>
      <c r="J35" s="6">
        <f>(C36-P[[#This Row],[SunRise]])/(T36-P[[#This Row],[Moon]])*(13.3333333333333-MOD(P[[#This Row],[Moon]],13.333333333333))+P[[#This Row],[SunRise]]</f>
        <v>43551.347349248434</v>
      </c>
      <c r="K35" s="4" t="str">
        <f>IF(Panchanga!$P35&gt;15,"K","S")&amp;ROUNDUP(MOD(Panchanga!$P35,15),0)&amp;" ("&amp;ROUND(Panchanga!$P35,2)&amp;")"</f>
        <v>K7 (21.41)</v>
      </c>
      <c r="L35" s="4">
        <f>IF(AND(Panchanga!$P35&lt;28.5,Panchanga!$P35&gt;0.49999),MOD((Panchanga!$P35-0.5)*2,7),MOD((Panchanga!$P35+30-28.5),30)*2+7)</f>
        <v>6.823599999999999</v>
      </c>
      <c r="M35" s="4" t="str">
        <f>CHOOSE(ROUNDUP(Panchanga!$L35,0),"Bhava","Baalava","Kaulava","Taitula","Garija","Vanija","Vishti","Shakuni","Chatushapda","Naaga","Kimstugna")</f>
        <v>Vishti</v>
      </c>
      <c r="N35" s="11" t="str">
        <f>CHOOSE(ROUNDUP(Panchanga!$Q35,0),"viṣkambha","prīti","āyuṣmāna","saubhāgya","śobhana","atigaṇḍa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("&amp;Panchanga!$Q35&amp;")"</f>
        <v>vyatipāta (16.57)</v>
      </c>
      <c r="O35" s="4">
        <f>IF(AND(Panchanga!$P35&lt;28.5,Panchanga!$P35&gt;0.49999),MOD((Panchanga!$P35-0.5)*2,7),MOD((Panchanga!$P35+30-28.5),30)*2+7)</f>
        <v>6.823599999999999</v>
      </c>
      <c r="P35" s="4">
        <f>ROUNDUP(MOD(360+P[Moon]-P[Sun],360)/12,4)</f>
        <v>21.411799999999999</v>
      </c>
      <c r="Q35" s="4">
        <f>ROUNDUP(MOD(P[Sun]+P[Moon],360)/13.333333333,2)</f>
        <v>16.57</v>
      </c>
      <c r="R35" s="4" t="str">
        <f>SIGN(U36-Panchanga!$U35)*INT(Panchanga!$U35/30+1)&amp;"Ma,"&amp;SIGN(V36-Panchanga!$V35)*INT(Panchanga!$V35/30+1)&amp;"Me,"&amp;SIGN(W36-Panchanga!$W35)*INT(Panchanga!$W35/30+1)&amp;"J, "&amp;SIGN(X36-Panchanga!$X35)*INT(Panchanga!$X35/30+1)&amp;"V,"&amp;SIGN(Y36-Panchanga!$Y35)*INT(Panchanga!$Y35/30+1)&amp;"S,"&amp;INT(Panchanga!$Z35/30+1)&amp;"R"</f>
        <v>2Ma,-11Me,8J, 11V,9S,3R</v>
      </c>
      <c r="S35" s="4">
        <f t="shared" si="15"/>
        <v>341.93999409137001</v>
      </c>
      <c r="T35" s="4">
        <f t="shared" si="16"/>
        <v>238.88081156931861</v>
      </c>
      <c r="U35" s="4">
        <f>Planet(Panchanga!$E35,4)</f>
        <v>33.074926793428745</v>
      </c>
      <c r="V35" s="4">
        <f>Planet(Panchanga!$E35,2)</f>
        <v>322.09138929332619</v>
      </c>
      <c r="W35" s="4">
        <f>Planet(Panchanga!$E35,5)</f>
        <v>239.89258524492712</v>
      </c>
      <c r="X35" s="4">
        <f>Planet(Panchanga!$E35,3)</f>
        <v>306.12706717415637</v>
      </c>
      <c r="Y35" s="4">
        <f>Planet(Panchanga!$E35,6)</f>
        <v>265.46613076269375</v>
      </c>
      <c r="Z35" s="4">
        <f>Planet(Panchanga!$E35,10)</f>
        <v>88.943550016440867</v>
      </c>
      <c r="AA35" s="4" t="str">
        <f>TEXT(Panchanga!$C35+($C36-Panchanga!$C35)/ABS(IF($P36&lt;1,$P36+30,$P36)-Panchanga!$P35)*(ROUNDUP(Panchanga!$P35,0)-Panchanga!$P35),"hh:mm AM/PM")</f>
        <v>08:59 PM</v>
      </c>
      <c r="AB35" s="4"/>
    </row>
    <row r="36" spans="1:28" x14ac:dyDescent="0.2">
      <c r="A36" s="3">
        <f t="shared" si="19"/>
        <v>43552</v>
      </c>
      <c r="B36" s="3">
        <f t="shared" si="17"/>
        <v>43552.229166666664</v>
      </c>
      <c r="C36" s="6">
        <f t="shared" si="20"/>
        <v>43552.256743636135</v>
      </c>
      <c r="D36" s="6">
        <f t="shared" si="21"/>
        <v>43551.763955096758</v>
      </c>
      <c r="E36" s="7">
        <f>Panchanga!$C36-TimeZone/24</f>
        <v>43552.027576969471</v>
      </c>
      <c r="F36" s="8" t="str">
        <f>INT(P[Sun]/30)&amp;"s"&amp;ROUNDUP(MOD(P[Sun],30),2)</f>
        <v>11s12.93</v>
      </c>
      <c r="G36" s="13" t="str">
        <f>INT(P[Moon]/30)&amp;"s"&amp;ROUNDUP(MOD(P[Moon],30),2)</f>
        <v>8s11.3</v>
      </c>
      <c r="H36" s="14">
        <f t="shared" si="18"/>
        <v>43552.027576969471</v>
      </c>
      <c r="I36" s="4" t="str">
        <f>naks(P[[#This Row],[Moon]])</f>
        <v>Moola</v>
      </c>
      <c r="J36" s="6">
        <f>(C37-P[[#This Row],[SunRise]])/(T37-P[[#This Row],[Moon]])*(13.3333333333333-MOD(P[[#This Row],[Moon]],13.333333333333))+P[[#This Row],[SunRise]]</f>
        <v>43552.425124261223</v>
      </c>
      <c r="K36" s="4" t="str">
        <f>IF(Panchanga!$P36&gt;15,"K","S")&amp;ROUNDUP(MOD(Panchanga!$P36,15),0)&amp;" ("&amp;ROUND(Panchanga!$P36,2)&amp;")"</f>
        <v>K8 (22.36)</v>
      </c>
      <c r="L36" s="4">
        <f>IF(AND(Panchanga!$P36&lt;28.5,Panchanga!$P36&gt;0.49999),MOD((Panchanga!$P36-0.5)*2,7),MOD((Panchanga!$P36+30-28.5),30)*2+7)</f>
        <v>1.7271999999999963</v>
      </c>
      <c r="M36" s="4" t="str">
        <f>CHOOSE(ROUNDUP(Panchanga!$L36,0),"Bhava","Baalava","Kaulava","Taitula","Garija","Vanija","Vishti","Shakuni","Chatushapda","Naaga","Kimstugna")</f>
        <v>Baalava</v>
      </c>
      <c r="N36" s="11" t="str">
        <f>CHOOSE(ROUNDUP(Panchanga!$Q36,0),"viṣkambha","prīti","āyuṣmāna","saubhāgya","śobhana","atigaṇḍa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("&amp;Panchanga!$Q36&amp;")"</f>
        <v>varīyas (17.57)</v>
      </c>
      <c r="O36" s="4">
        <f>IF(AND(Panchanga!$P36&lt;28.5,Panchanga!$P36&gt;0.49999),MOD((Panchanga!$P36-0.5)*2,7),MOD((Panchanga!$P36+30-28.5),30)*2+7)</f>
        <v>1.7271999999999963</v>
      </c>
      <c r="P36" s="4">
        <f>ROUNDUP(MOD(360+P[Moon]-P[Sun],360)/12,4)</f>
        <v>22.363599999999998</v>
      </c>
      <c r="Q36" s="4">
        <f>ROUNDUP(MOD(P[Sun]+P[Moon],360)/13.333333333,2)</f>
        <v>17.57</v>
      </c>
      <c r="R36" s="4" t="str">
        <f>SIGN(U37-Panchanga!$U36)*INT(Panchanga!$U36/30+1)&amp;"Ma,"&amp;SIGN(V37-Panchanga!$V36)*INT(Panchanga!$V36/30+1)&amp;"Me,"&amp;SIGN(W37-Panchanga!$W36)*INT(Panchanga!$W36/30+1)&amp;"J, "&amp;SIGN(X37-Panchanga!$X36)*INT(Panchanga!$X36/30+1)&amp;"V,"&amp;SIGN(Y37-Panchanga!$Y36)*INT(Panchanga!$Y36/30+1)&amp;"S,"&amp;INT(Panchanga!$Z36/30+1)&amp;"R"</f>
        <v>2Ma,-11Me,8J, 11V,9S,3R</v>
      </c>
      <c r="S36" s="4">
        <f t="shared" si="15"/>
        <v>342.92932735245199</v>
      </c>
      <c r="T36" s="4">
        <f t="shared" si="16"/>
        <v>251.29193244768902</v>
      </c>
      <c r="U36" s="4">
        <f>Planet(Panchanga!$E36,4)</f>
        <v>33.73791303451933</v>
      </c>
      <c r="V36" s="4">
        <f>Planet(Panchanga!$E36,2)</f>
        <v>321.98920249665593</v>
      </c>
      <c r="W36" s="4">
        <f>Planet(Panchanga!$E36,5)</f>
        <v>239.93654987529595</v>
      </c>
      <c r="X36" s="4">
        <f>Planet(Panchanga!$E36,3)</f>
        <v>307.32931854260863</v>
      </c>
      <c r="Y36" s="4">
        <f>Planet(Panchanga!$E36,6)</f>
        <v>265.51905753524397</v>
      </c>
      <c r="Z36" s="4">
        <f>Planet(Panchanga!$E36,10)</f>
        <v>88.890583027161867</v>
      </c>
      <c r="AA36" s="4" t="str">
        <f>TEXT(Panchanga!$C36+($C37-Panchanga!$C36)/ABS(IF($P37&lt;1,$P37+30,$P37)-Panchanga!$P36)*(ROUNDUP(Panchanga!$P36,0)-Panchanga!$P36),"hh:mm AM/PM")</f>
        <v>10:37 PM</v>
      </c>
      <c r="AB36" s="4"/>
    </row>
    <row r="37" spans="1:28" x14ac:dyDescent="0.2">
      <c r="A37" s="3">
        <f t="shared" si="19"/>
        <v>43553</v>
      </c>
      <c r="B37" s="3">
        <f t="shared" si="17"/>
        <v>43553.229166666664</v>
      </c>
      <c r="C37" s="6">
        <f t="shared" si="20"/>
        <v>43553.256272362232</v>
      </c>
      <c r="D37" s="6">
        <f t="shared" si="21"/>
        <v>43552.764007389589</v>
      </c>
      <c r="E37" s="7">
        <f>Panchanga!$C37-TimeZone/24</f>
        <v>43553.027105695568</v>
      </c>
      <c r="F37" s="8" t="str">
        <f>INT(P[Sun]/30)&amp;"s"&amp;ROUNDUP(MOD(P[Sun],30),2)</f>
        <v>11s13.92</v>
      </c>
      <c r="G37" s="13" t="str">
        <f>INT(P[Moon]/30)&amp;"s"&amp;ROUNDUP(MOD(P[Moon],30),2)</f>
        <v>8s23.41</v>
      </c>
      <c r="H37" s="14">
        <f t="shared" si="18"/>
        <v>43553.027105695568</v>
      </c>
      <c r="I37" s="4" t="str">
        <f>naks(P[[#This Row],[Moon]])</f>
        <v>Purva Asadha</v>
      </c>
      <c r="J37" s="6">
        <f>(C38-P[[#This Row],[SunRise]])/(T38-P[[#This Row],[Moon]])*(13.3333333333333-MOD(P[[#This Row],[Moon]],13.333333333333))+P[[#This Row],[SunRise]]</f>
        <v>43553.529448041976</v>
      </c>
      <c r="K37" s="4" t="str">
        <f>IF(Panchanga!$P37&gt;15,"K","S")&amp;ROUNDUP(MOD(Panchanga!$P37,15),0)&amp;" ("&amp;ROUND(Panchanga!$P37,2)&amp;")"</f>
        <v>K9 (23.29)</v>
      </c>
      <c r="L37" s="4">
        <f>IF(AND(Panchanga!$P37&lt;28.5,Panchanga!$P37&gt;0.49999),MOD((Panchanga!$P37-0.5)*2,7),MOD((Panchanga!$P37+30-28.5),30)*2+7)</f>
        <v>3.5820000000000007</v>
      </c>
      <c r="M37" s="4" t="str">
        <f>CHOOSE(ROUNDUP(Panchanga!$L37,0),"Bhava","Baalava","Kaulava","Taitula","Garija","Vanija","Vishti","Shakuni","Chatushapda","Naaga","Kimstugna")</f>
        <v>Taitula</v>
      </c>
      <c r="N37" s="11" t="str">
        <f>CHOOSE(ROUNDUP(Panchanga!$Q37,0),"viṣkambha","prīti","āyuṣmāna","saubhāgya","śobhana","atigaṇḍa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("&amp;Panchanga!$Q37&amp;")"</f>
        <v>parigha (18.55)</v>
      </c>
      <c r="O37" s="4">
        <f>IF(AND(Panchanga!$P37&lt;28.5,Panchanga!$P37&gt;0.49999),MOD((Panchanga!$P37-0.5)*2,7),MOD((Panchanga!$P37+30-28.5),30)*2+7)</f>
        <v>3.5820000000000007</v>
      </c>
      <c r="P37" s="4">
        <f>ROUNDUP(MOD(360+P[Moon]-P[Sun],360)/12,4)</f>
        <v>23.291</v>
      </c>
      <c r="Q37" s="4">
        <f>ROUNDUP(MOD(P[Sun]+P[Moon],360)/13.333333333,2)</f>
        <v>18.55</v>
      </c>
      <c r="R37" s="4" t="str">
        <f>SIGN(U38-Panchanga!$U37)*INT(Panchanga!$U37/30+1)&amp;"Ma,"&amp;SIGN(V38-Panchanga!$V37)*INT(Panchanga!$V37/30+1)&amp;"Me,"&amp;SIGN(W38-Panchanga!$W37)*INT(Panchanga!$W37/30+1)&amp;"J, "&amp;SIGN(X38-Panchanga!$X37)*INT(Panchanga!$X37/30+1)&amp;"V,"&amp;SIGN(Y38-Panchanga!$Y37)*INT(Panchanga!$Y37/30+1)&amp;"S,"&amp;INT(Panchanga!$Z37/30+1)&amp;"R"</f>
        <v>2Ma,11Me,8J, 11V,9S,3R</v>
      </c>
      <c r="S37" s="4">
        <f t="shared" si="15"/>
        <v>343.91817125774207</v>
      </c>
      <c r="T37" s="4">
        <f t="shared" si="16"/>
        <v>263.40994677137212</v>
      </c>
      <c r="U37" s="4">
        <f>Planet(Panchanga!$E37,4)</f>
        <v>34.40056459895024</v>
      </c>
      <c r="V37" s="4">
        <f>Planet(Panchanga!$E37,2)</f>
        <v>321.98379124290744</v>
      </c>
      <c r="W37" s="4">
        <f>Planet(Panchanga!$E37,5)</f>
        <v>239.97749188327629</v>
      </c>
      <c r="X37" s="4">
        <f>Planet(Panchanga!$E37,3)</f>
        <v>308.53209029514755</v>
      </c>
      <c r="Y37" s="4">
        <f>Planet(Panchanga!$E37,6)</f>
        <v>265.57053125673008</v>
      </c>
      <c r="Z37" s="4">
        <f>Planet(Panchanga!$E37,10)</f>
        <v>88.83761600418454</v>
      </c>
      <c r="AA37" s="4" t="str">
        <f>TEXT(Panchanga!$C37+($C38-Panchanga!$C37)/ABS(IF($P38&lt;1,$P38+30,$P38)-Panchanga!$P37)*(ROUNDUP(Panchanga!$P37,0)-Panchanga!$P37),"hh:mm AM/PM")</f>
        <v>12:49 AM</v>
      </c>
      <c r="AB37" s="4"/>
    </row>
    <row r="38" spans="1:28" x14ac:dyDescent="0.2">
      <c r="A38" s="3">
        <f t="shared" si="19"/>
        <v>43554</v>
      </c>
      <c r="B38" s="3">
        <f t="shared" si="17"/>
        <v>43554.229166666664</v>
      </c>
      <c r="C38" s="6">
        <f t="shared" si="20"/>
        <v>43554.255802200794</v>
      </c>
      <c r="D38" s="6">
        <f t="shared" si="21"/>
        <v>43553.764060000933</v>
      </c>
      <c r="E38" s="7">
        <f>Panchanga!$C38-TimeZone/24</f>
        <v>43554.02663553413</v>
      </c>
      <c r="F38" s="8" t="str">
        <f>INT(P[Sun]/30)&amp;"s"&amp;ROUNDUP(MOD(P[Sun],30),2)</f>
        <v>11s14.91</v>
      </c>
      <c r="G38" s="13" t="str">
        <f>INT(P[Moon]/30)&amp;"s"&amp;ROUNDUP(MOD(P[Moon],30),2)</f>
        <v>9s5.33</v>
      </c>
      <c r="H38" s="14">
        <f t="shared" si="18"/>
        <v>43554.02663553413</v>
      </c>
      <c r="I38" s="4" t="str">
        <f>naks(P[[#This Row],[Moon]])</f>
        <v>Uttara Asadha</v>
      </c>
      <c r="J38" s="6">
        <f>(C39-P[[#This Row],[SunRise]])/(T39-P[[#This Row],[Moon]])*(13.3333333333333-MOD(P[[#This Row],[Moon]],13.333333333333))+P[[#This Row],[SunRise]]</f>
        <v>43554.651586230582</v>
      </c>
      <c r="K38" s="4" t="str">
        <f>IF(Panchanga!$P38&gt;15,"K","S")&amp;ROUNDUP(MOD(Panchanga!$P38,15),0)&amp;" ("&amp;ROUND(Panchanga!$P38,2)&amp;")"</f>
        <v>K10 (24.2)</v>
      </c>
      <c r="L38" s="4">
        <f>IF(AND(Panchanga!$P38&lt;28.5,Panchanga!$P38&gt;0.49999),MOD((Panchanga!$P38-0.5)*2,7),MOD((Panchanga!$P38+30-28.5),30)*2+7)</f>
        <v>5.4033999999999978</v>
      </c>
      <c r="M38" s="4" t="str">
        <f>CHOOSE(ROUNDUP(Panchanga!$L38,0),"Bhava","Baalava","Kaulava","Taitula","Garija","Vanija","Vishti","Shakuni","Chatushapda","Naaga","Kimstugna")</f>
        <v>Vanija</v>
      </c>
      <c r="N38" s="11" t="str">
        <f>CHOOSE(ROUNDUP(Panchanga!$Q38,0),"viṣkambha","prīti","āyuṣmāna","saubhāgya","śobhana","atigaṇḍa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("&amp;Panchanga!$Q38&amp;")"</f>
        <v>śiva (19.52)</v>
      </c>
      <c r="O38" s="4">
        <f>IF(AND(Panchanga!$P38&lt;28.5,Panchanga!$P38&gt;0.49999),MOD((Panchanga!$P38-0.5)*2,7),MOD((Panchanga!$P38+30-28.5),30)*2+7)</f>
        <v>5.4033999999999978</v>
      </c>
      <c r="P38" s="4">
        <f>ROUNDUP(MOD(360+P[Moon]-P[Sun],360)/12,4)</f>
        <v>24.201699999999999</v>
      </c>
      <c r="Q38" s="4">
        <f>ROUNDUP(MOD(P[Sun]+P[Moon],360)/13.333333333,2)</f>
        <v>19.520000000000003</v>
      </c>
      <c r="R38" s="4" t="str">
        <f>SIGN(U39-Panchanga!$U38)*INT(Panchanga!$U38/30+1)&amp;"Ma,"&amp;SIGN(V39-Panchanga!$V38)*INT(Panchanga!$V38/30+1)&amp;"Me,"&amp;SIGN(W39-Panchanga!$W38)*INT(Panchanga!$W38/30+1)&amp;"J, "&amp;SIGN(X39-Panchanga!$X38)*INT(Panchanga!$X38/30+1)&amp;"V,"&amp;SIGN(Y39-Panchanga!$Y38)*INT(Panchanga!$Y38/30+1)&amp;"S,"&amp;INT(Panchanga!$Z38/30+1)&amp;"R"</f>
        <v>2Ma,11Me,9J, 11V,9S,3R</v>
      </c>
      <c r="S38" s="4">
        <f t="shared" si="15"/>
        <v>344.9065231634064</v>
      </c>
      <c r="T38" s="4">
        <f t="shared" si="16"/>
        <v>275.32604674849182</v>
      </c>
      <c r="U38" s="4">
        <f>Planet(Panchanga!$E38,4)</f>
        <v>35.062885500925461</v>
      </c>
      <c r="V38" s="4">
        <f>Planet(Panchanga!$E38,2)</f>
        <v>322.07223600665765</v>
      </c>
      <c r="W38" s="4">
        <f>Planet(Panchanga!$E38,5)</f>
        <v>240.01539312634696</v>
      </c>
      <c r="X38" s="4">
        <f>Planet(Panchanga!$E38,3)</f>
        <v>309.73535950970734</v>
      </c>
      <c r="Y38" s="4">
        <f>Planet(Panchanga!$E38,6)</f>
        <v>265.62053896305815</v>
      </c>
      <c r="Z38" s="4">
        <f>Planet(Panchanga!$E38,10)</f>
        <v>88.784648922274684</v>
      </c>
      <c r="AA38" s="4" t="str">
        <f>TEXT(Panchanga!$C38+($C39-Panchanga!$C38)/ABS(IF($P39&lt;1,$P39+30,$P39)-Panchanga!$P38)*(ROUNDUP(Panchanga!$P38,0)-Panchanga!$P38),"hh:mm AM/PM")</f>
        <v>03:23 AM</v>
      </c>
      <c r="AB38" s="4"/>
    </row>
    <row r="39" spans="1:28" x14ac:dyDescent="0.2">
      <c r="A39" s="3">
        <f t="shared" si="19"/>
        <v>43555</v>
      </c>
      <c r="B39" s="3">
        <f t="shared" si="17"/>
        <v>43555.229166666664</v>
      </c>
      <c r="C39" s="6">
        <f t="shared" si="20"/>
        <v>43555.255333311077</v>
      </c>
      <c r="D39" s="6">
        <f t="shared" si="21"/>
        <v>43554.764112929857</v>
      </c>
      <c r="E39" s="7">
        <f>Panchanga!$C39-TimeZone/24</f>
        <v>43555.026166644413</v>
      </c>
      <c r="F39" s="8" t="str">
        <f>INT(P[Sun]/30)&amp;"s"&amp;ROUNDUP(MOD(P[Sun],30),2)</f>
        <v>11s15.9</v>
      </c>
      <c r="G39" s="13" t="str">
        <f>INT(P[Moon]/30)&amp;"s"&amp;ROUNDUP(MOD(P[Moon],30),2)</f>
        <v>9s17.13</v>
      </c>
      <c r="H39" s="14">
        <f t="shared" si="18"/>
        <v>43555.026166644413</v>
      </c>
      <c r="I39" s="4" t="str">
        <f>naks(P[[#This Row],[Moon]])</f>
        <v>Sravana</v>
      </c>
      <c r="J39" s="6">
        <f>(C40-P[[#This Row],[SunRise]])/(T40-P[[#This Row],[Moon]])*(13.3333333333333-MOD(P[[#This Row],[Moon]],13.333333333333))+P[[#This Row],[SunRise]]</f>
        <v>43555.781971104196</v>
      </c>
      <c r="K39" s="4" t="str">
        <f>IF(Panchanga!$P39&gt;15,"K","S")&amp;ROUNDUP(MOD(Panchanga!$P39,15),0)&amp;" ("&amp;ROUND(Panchanga!$P39,2)&amp;")"</f>
        <v>K11 (25.1)</v>
      </c>
      <c r="L39" s="4">
        <f>IF(AND(Panchanga!$P39&lt;28.5,Panchanga!$P39&gt;0.49999),MOD((Panchanga!$P39-0.5)*2,7),MOD((Panchanga!$P39+30-28.5),30)*2+7)</f>
        <v>0.20600000000000307</v>
      </c>
      <c r="M39" s="4" t="str">
        <f>CHOOSE(ROUNDUP(Panchanga!$L39,0),"Bhava","Baalava","Kaulava","Taitula","Garija","Vanija","Vishti","Shakuni","Chatushapda","Naaga","Kimstugna")</f>
        <v>Bhava</v>
      </c>
      <c r="N39" s="11" t="str">
        <f>CHOOSE(ROUNDUP(Panchanga!$Q39,0),"viṣkambha","prīti","āyuṣmāna","saubhāgya","śobhana","atigaṇḍa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("&amp;Panchanga!$Q39&amp;")"</f>
        <v>siddha (20.48)</v>
      </c>
      <c r="O39" s="4">
        <f>IF(AND(Panchanga!$P39&lt;28.5,Panchanga!$P39&gt;0.49999),MOD((Panchanga!$P39-0.5)*2,7),MOD((Panchanga!$P39+30-28.5),30)*2+7)</f>
        <v>0.20600000000000307</v>
      </c>
      <c r="P39" s="4">
        <f>ROUNDUP(MOD(360+P[Moon]-P[Sun],360)/12,4)</f>
        <v>25.103000000000002</v>
      </c>
      <c r="Q39" s="4">
        <f>ROUNDUP(MOD(P[Sun]+P[Moon],360)/13.333333333,2)</f>
        <v>20.48</v>
      </c>
      <c r="R39" s="4" t="str">
        <f>SIGN(U40-Panchanga!$U39)*INT(Panchanga!$U39/30+1)&amp;"Ma,"&amp;SIGN(V40-Panchanga!$V39)*INT(Panchanga!$V39/30+1)&amp;"Me,"&amp;SIGN(W40-Panchanga!$W39)*INT(Panchanga!$W39/30+1)&amp;"J, "&amp;SIGN(X40-Panchanga!$X39)*INT(Panchanga!$X39/30+1)&amp;"V,"&amp;SIGN(Y40-Panchanga!$Y39)*INT(Panchanga!$Y39/30+1)&amp;"S,"&amp;INT(Panchanga!$Z39/30+1)&amp;"R"</f>
        <v>2Ma,11Me,9J, 11V,9S,3R</v>
      </c>
      <c r="S39" s="4">
        <f t="shared" si="15"/>
        <v>345.89437815684755</v>
      </c>
      <c r="T39" s="4">
        <f t="shared" si="16"/>
        <v>287.12986229243535</v>
      </c>
      <c r="U39" s="4">
        <f>Planet(Panchanga!$E39,4)</f>
        <v>35.724878306726097</v>
      </c>
      <c r="V39" s="4">
        <f>Planet(Panchanga!$E39,2)</f>
        <v>322.25110337843097</v>
      </c>
      <c r="W39" s="4">
        <f>Planet(Panchanga!$E39,5)</f>
        <v>240.05023671081082</v>
      </c>
      <c r="X39" s="4">
        <f>Planet(Panchanga!$E39,3)</f>
        <v>310.93910280709042</v>
      </c>
      <c r="Y39" s="4">
        <f>Planet(Panchanga!$E39,6)</f>
        <v>265.66906802470078</v>
      </c>
      <c r="Z39" s="4">
        <f>Planet(Panchanga!$E39,10)</f>
        <v>88.731681772932404</v>
      </c>
      <c r="AA39" s="4" t="str">
        <f>TEXT(Panchanga!$C39+($C40-Panchanga!$C39)/ABS(IF($P40&lt;1,$P40+30,$P40)-Panchanga!$P39)*(ROUNDUP(Panchanga!$P39,0)-Panchanga!$P39),"hh:mm AM/PM")</f>
        <v>06:03 AM</v>
      </c>
      <c r="AB39" s="4"/>
    </row>
    <row r="40" spans="1:28" x14ac:dyDescent="0.2">
      <c r="A40" s="3">
        <f t="shared" si="19"/>
        <v>43556</v>
      </c>
      <c r="B40" s="3">
        <f t="shared" si="17"/>
        <v>43556.229166666664</v>
      </c>
      <c r="C40" s="6">
        <f t="shared" si="20"/>
        <v>43556.254865851406</v>
      </c>
      <c r="D40" s="6">
        <f t="shared" si="21"/>
        <v>43555.764166494409</v>
      </c>
      <c r="E40" s="7">
        <f>Panchanga!$C40-TimeZone/24</f>
        <v>43556.025699184742</v>
      </c>
      <c r="F40" s="8" t="str">
        <f>INT(P[Sun]/30)&amp;"s"&amp;ROUNDUP(MOD(P[Sun],30),2)</f>
        <v>11s16.89</v>
      </c>
      <c r="G40" s="13" t="str">
        <f>INT(P[Moon]/30)&amp;"s"&amp;ROUNDUP(MOD(P[Moon],30),2)</f>
        <v>9s28.91</v>
      </c>
      <c r="H40" s="14">
        <f t="shared" si="18"/>
        <v>43556.025699184742</v>
      </c>
      <c r="I40" s="4" t="str">
        <f>naks(P[[#This Row],[Moon]])</f>
        <v>Dhanistha</v>
      </c>
      <c r="J40" s="6">
        <f>(C41-P[[#This Row],[SunRise]])/(T41-P[[#This Row],[Moon]])*(13.3333333333333-MOD(P[[#This Row],[Moon]],13.333333333333))+P[[#This Row],[SunRise]]</f>
        <v>43556.911590460913</v>
      </c>
      <c r="K40" s="4" t="str">
        <f>IF(Panchanga!$P40&gt;15,"K","S")&amp;ROUNDUP(MOD(Panchanga!$P40,15),0)&amp;" ("&amp;ROUND(Panchanga!$P40,2)&amp;")"</f>
        <v>K12 (26)</v>
      </c>
      <c r="L40" s="4">
        <f>IF(AND(Panchanga!$P40&lt;28.5,Panchanga!$P40&gt;0.49999),MOD((Panchanga!$P40-0.5)*2,7),MOD((Panchanga!$P40+30-28.5),30)*2+7)</f>
        <v>2.0037999999999982</v>
      </c>
      <c r="M40" s="4" t="str">
        <f>CHOOSE(ROUNDUP(Panchanga!$L40,0),"Bhava","Baalava","Kaulava","Taitula","Garija","Vanija","Vishti","Shakuni","Chatushapda","Naaga","Kimstugna")</f>
        <v>Kaulava</v>
      </c>
      <c r="N40" s="11" t="str">
        <f>CHOOSE(ROUNDUP(Panchanga!$Q40,0),"viṣkambha","prīti","āyuṣmāna","saubhāgya","śobhana","atigaṇḍa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("&amp;Panchanga!$Q40&amp;")"</f>
        <v>sādhya (21.44)</v>
      </c>
      <c r="O40" s="4">
        <f>IF(AND(Panchanga!$P40&lt;28.5,Panchanga!$P40&gt;0.49999),MOD((Panchanga!$P40-0.5)*2,7),MOD((Panchanga!$P40+30-28.5),30)*2+7)</f>
        <v>2.0037999999999982</v>
      </c>
      <c r="P40" s="4">
        <f>ROUNDUP(MOD(360+P[Moon]-P[Sun],360)/12,4)</f>
        <v>26.001899999999999</v>
      </c>
      <c r="Q40" s="4">
        <f>ROUNDUP(MOD(P[Sun]+P[Moon],360)/13.333333333,2)</f>
        <v>21.44</v>
      </c>
      <c r="R40" s="4" t="str">
        <f>SIGN(U41-Panchanga!$U40)*INT(Panchanga!$U40/30+1)&amp;"Ma,"&amp;SIGN(V41-Panchanga!$V40)*INT(Panchanga!$V40/30+1)&amp;"Me,"&amp;SIGN(W41-Panchanga!$W40)*INT(Panchanga!$W40/30+1)&amp;"J, "&amp;SIGN(X41-Panchanga!$X40)*INT(Panchanga!$X40/30+1)&amp;"V,"&amp;SIGN(Y41-Panchanga!$Y40)*INT(Panchanga!$Y40/30+1)&amp;"S,"&amp;INT(Panchanga!$Z40/30+1)&amp;"R"</f>
        <v>2Ma,11Me,9J, 11V,9S,3R</v>
      </c>
      <c r="S40" s="4">
        <f t="shared" si="15"/>
        <v>346.88172965213124</v>
      </c>
      <c r="T40" s="4">
        <f t="shared" si="16"/>
        <v>298.90374416986521</v>
      </c>
      <c r="U40" s="4">
        <f>Planet(Panchanga!$E40,4)</f>
        <v>36.386544477189638</v>
      </c>
      <c r="V40" s="4">
        <f>Planet(Panchanga!$E40,2)</f>
        <v>322.51662964074927</v>
      </c>
      <c r="W40" s="4">
        <f>Planet(Panchanga!$E40,5)</f>
        <v>240.08200705253967</v>
      </c>
      <c r="X40" s="4">
        <f>Planet(Panchanga!$E40,3)</f>
        <v>312.14329684422756</v>
      </c>
      <c r="Y40" s="4">
        <f>Planet(Panchanga!$E40,6)</f>
        <v>265.71610619392663</v>
      </c>
      <c r="Z40" s="4">
        <f>Planet(Panchanga!$E40,10)</f>
        <v>88.678714547856785</v>
      </c>
      <c r="AA40" s="4" t="str">
        <f>TEXT(Panchanga!$C40+($C41-Panchanga!$C40)/ABS(IF($P41&lt;1,$P41+30,$P41)-Panchanga!$P40)*(ROUNDUP(Panchanga!$P40,0)-Panchanga!$P40),"hh:mm AM/PM")</f>
        <v>08:39 AM</v>
      </c>
      <c r="AB40" s="4"/>
    </row>
    <row r="41" spans="1:28" x14ac:dyDescent="0.2">
      <c r="A41" s="3">
        <f t="shared" si="19"/>
        <v>43557</v>
      </c>
      <c r="B41" s="3">
        <f t="shared" ref="B41:B66" si="22">A41+TimeZone/24</f>
        <v>43557.229166666664</v>
      </c>
      <c r="C41" s="6">
        <f t="shared" si="20"/>
        <v>43557.254400299549</v>
      </c>
      <c r="D41" s="6">
        <f t="shared" si="21"/>
        <v>43556.764220695055</v>
      </c>
      <c r="E41" s="7">
        <f>Panchanga!$C41-TimeZone/24</f>
        <v>43557.025233632885</v>
      </c>
      <c r="F41" s="8" t="str">
        <f>INT(P[Sun]/30)&amp;"s"&amp;ROUNDUP(MOD(P[Sun],30),2)</f>
        <v>11s17.87</v>
      </c>
      <c r="G41" s="13" t="str">
        <f>INT(P[Moon]/30)&amp;"s"&amp;ROUNDUP(MOD(P[Moon],30),2)</f>
        <v>10s10.72</v>
      </c>
      <c r="H41" s="14">
        <f t="shared" si="18"/>
        <v>43557.025233632885</v>
      </c>
      <c r="I41" s="4" t="str">
        <f>naks(P[[#This Row],[Moon]])</f>
        <v>Satabhisaj</v>
      </c>
      <c r="J41" s="6">
        <f>(C42-P[[#This Row],[SunRise]])/(T42-P[[#This Row],[Moon]])*(13.3333333333333-MOD(P[[#This Row],[Moon]],13.333333333333))+P[[#This Row],[SunRise]]</f>
        <v>43558.033047716381</v>
      </c>
      <c r="K41" s="4" t="str">
        <f>IF(Panchanga!$P41&gt;15,"K","S")&amp;ROUNDUP(MOD(Panchanga!$P41,15),0)&amp;" ("&amp;ROUND(Panchanga!$P41,2)&amp;")"</f>
        <v>K12 (26.9)</v>
      </c>
      <c r="L41" s="4">
        <f>IF(AND(Panchanga!$P41&lt;28.5,Panchanga!$P41&gt;0.49999),MOD((Panchanga!$P41-0.5)*2,7),MOD((Panchanga!$P41+30-28.5),30)*2+7)</f>
        <v>3.8083999999999989</v>
      </c>
      <c r="M41" s="4" t="str">
        <f>CHOOSE(ROUNDUP(Panchanga!$L41,0),"Bhava","Baalava","Kaulava","Taitula","Garija","Vanija","Vishti","Shakuni","Chatushapda","Naaga","Kimstugna")</f>
        <v>Taitula</v>
      </c>
      <c r="N41" s="11" t="str">
        <f>CHOOSE(ROUNDUP(Panchanga!$Q41,0),"viṣkambha","prīti","āyuṣmāna","saubhāgya","śobhana","atigaṇḍa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("&amp;Panchanga!$Q41&amp;")"</f>
        <v>śubha (22.4)</v>
      </c>
      <c r="O41" s="4">
        <f>IF(AND(Panchanga!$P41&lt;28.5,Panchanga!$P41&gt;0.49999),MOD((Panchanga!$P41-0.5)*2,7),MOD((Panchanga!$P41+30-28.5),30)*2+7)</f>
        <v>3.8083999999999989</v>
      </c>
      <c r="P41" s="4">
        <f>ROUNDUP(MOD(360+P[Moon]-P[Sun],360)/12,4)</f>
        <v>26.904199999999999</v>
      </c>
      <c r="Q41" s="4">
        <f>ROUNDUP(MOD(P[Sun]+P[Moon],360)/13.333333333,2)</f>
        <v>22.400000000000002</v>
      </c>
      <c r="R41" s="4" t="str">
        <f>SIGN(U42-Panchanga!$U41)*INT(Panchanga!$U41/30+1)&amp;"Ma,"&amp;SIGN(V42-Panchanga!$V41)*INT(Panchanga!$V41/30+1)&amp;"Me,"&amp;SIGN(W42-Panchanga!$W41)*INT(Panchanga!$W41/30+1)&amp;"J, "&amp;SIGN(X42-Panchanga!$X41)*INT(Panchanga!$X41/30+1)&amp;"V,"&amp;SIGN(Y42-Panchanga!$Y41)*INT(Panchanga!$Y41/30+1)&amp;"S,"&amp;INT(Panchanga!$Z41/30+1)&amp;"R"</f>
        <v>2Ma,11Me,9J, 11V,9S,3R</v>
      </c>
      <c r="S41" s="4">
        <f t="shared" si="15"/>
        <v>347.86856983619964</v>
      </c>
      <c r="T41" s="4">
        <f t="shared" si="16"/>
        <v>310.71890739274068</v>
      </c>
      <c r="U41" s="4">
        <f>Planet(Panchanga!$E41,4)</f>
        <v>37.047884656434128</v>
      </c>
      <c r="V41" s="4">
        <f>Planet(Panchanga!$E41,2)</f>
        <v>322.8648696315891</v>
      </c>
      <c r="W41" s="4">
        <f>Planet(Panchanga!$E41,5)</f>
        <v>240.11068994055046</v>
      </c>
      <c r="X41" s="4">
        <f>Planet(Panchanga!$E41,3)</f>
        <v>313.34791872767153</v>
      </c>
      <c r="Y41" s="4">
        <f>Planet(Panchanga!$E41,6)</f>
        <v>265.76164164188731</v>
      </c>
      <c r="Z41" s="4">
        <f>Planet(Panchanga!$E41,10)</f>
        <v>88.625747221664483</v>
      </c>
      <c r="AA41" s="4" t="str">
        <f>TEXT(Panchanga!$C41+($C42-Panchanga!$C41)/ABS(IF($P42&lt;1,$P42+30,$P42)-Panchanga!$P41)*(ROUNDUP(Panchanga!$P41,0)-Panchanga!$P41),"hh:mm AM/PM")</f>
        <v>08:37 AM</v>
      </c>
      <c r="AB41" s="4"/>
    </row>
    <row r="42" spans="1:28" x14ac:dyDescent="0.2">
      <c r="A42" s="3">
        <f t="shared" si="19"/>
        <v>43558</v>
      </c>
      <c r="B42" s="3">
        <f t="shared" si="22"/>
        <v>43558.229166666664</v>
      </c>
      <c r="C42" s="6">
        <f t="shared" si="20"/>
        <v>43558.253936655041</v>
      </c>
      <c r="D42" s="6">
        <f t="shared" si="21"/>
        <v>43557.764275848909</v>
      </c>
      <c r="E42" s="7">
        <f>Panchanga!$C42-TimeZone/24</f>
        <v>43558.024769988377</v>
      </c>
      <c r="F42" s="8" t="str">
        <f>INT(P[Sun]/30)&amp;"s"&amp;ROUNDUP(MOD(P[Sun],30),2)</f>
        <v>11s18.86</v>
      </c>
      <c r="G42" s="13" t="str">
        <f>INT(P[Moon]/30)&amp;"s"&amp;ROUNDUP(MOD(P[Moon],30),2)</f>
        <v>10s22.64</v>
      </c>
      <c r="H42" s="14">
        <f t="shared" si="18"/>
        <v>43558.024769988377</v>
      </c>
      <c r="I42" s="4" t="str">
        <f>naks(P[[#This Row],[Moon]])</f>
        <v>Purva Bhadrapada</v>
      </c>
      <c r="J42" s="6">
        <f>(C43-P[[#This Row],[SunRise]])/(T43-P[[#This Row],[Moon]])*(13.3333333333333-MOD(P[[#This Row],[Moon]],13.333333333333))+P[[#This Row],[SunRise]]</f>
        <v>43559.141142006709</v>
      </c>
      <c r="K42" s="4" t="str">
        <f>IF(Panchanga!$P42&gt;15,"K","S")&amp;ROUNDUP(MOD(Panchanga!$P42,15),0)&amp;" ("&amp;ROUND(Panchanga!$P42,2)&amp;")"</f>
        <v>K13 (27.81)</v>
      </c>
      <c r="L42" s="4">
        <f>IF(AND(Panchanga!$P42&lt;28.5,Panchanga!$P42&gt;0.49999),MOD((Panchanga!$P42-0.5)*2,7),MOD((Panchanga!$P42+30-28.5),30)*2+7)</f>
        <v>5.629800000000003</v>
      </c>
      <c r="M42" s="4" t="str">
        <f>CHOOSE(ROUNDUP(Panchanga!$L42,0),"Bhava","Baalava","Kaulava","Taitula","Garija","Vanija","Vishti","Shakuni","Chatushapda","Naaga","Kimstugna")</f>
        <v>Vanija</v>
      </c>
      <c r="N42" s="11" t="str">
        <f>CHOOSE(ROUNDUP(Panchanga!$Q42,0),"viṣkambha","prīti","āyuṣmāna","saubhāgya","śobhana","atigaṇḍa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("&amp;Panchanga!$Q42&amp;")"</f>
        <v>śukla (23.37)</v>
      </c>
      <c r="O42" s="4">
        <f>IF(AND(Panchanga!$P42&lt;28.5,Panchanga!$P42&gt;0.49999),MOD((Panchanga!$P42-0.5)*2,7),MOD((Panchanga!$P42+30-28.5),30)*2+7)</f>
        <v>5.629800000000003</v>
      </c>
      <c r="P42" s="4">
        <f>ROUNDUP(MOD(360+P[Moon]-P[Sun],360)/12,4)</f>
        <v>27.814900000000002</v>
      </c>
      <c r="Q42" s="4">
        <f>ROUNDUP(MOD(P[Sun]+P[Moon],360)/13.333333333,2)</f>
        <v>23.37</v>
      </c>
      <c r="R42" s="4" t="str">
        <f>SIGN(U43-Panchanga!$U42)*INT(Panchanga!$U42/30+1)&amp;"Ma,"&amp;SIGN(V43-Panchanga!$V42)*INT(Panchanga!$V42/30+1)&amp;"Me,"&amp;SIGN(W43-Panchanga!$W42)*INT(Panchanga!$W42/30+1)&amp;"J, "&amp;SIGN(X43-Panchanga!$X42)*INT(Panchanga!$X42/30+1)&amp;"V,"&amp;SIGN(Y43-Panchanga!$Y42)*INT(Panchanga!$Y42/30+1)&amp;"S,"&amp;INT(Panchanga!$Z42/30+1)&amp;"R"</f>
        <v>2Ma,11Me,9J, 11V,9S,3R</v>
      </c>
      <c r="S42" s="4">
        <f t="shared" si="15"/>
        <v>348.85488890347244</v>
      </c>
      <c r="T42" s="4">
        <f t="shared" si="16"/>
        <v>322.63288704397007</v>
      </c>
      <c r="U42" s="4">
        <f>Planet(Panchanga!$E42,4)</f>
        <v>37.708898133595419</v>
      </c>
      <c r="V42" s="4">
        <f>Planet(Panchanga!$E42,2)</f>
        <v>323.29181393215055</v>
      </c>
      <c r="W42" s="4">
        <f>Planet(Panchanga!$E42,5)</f>
        <v>240.13627259768913</v>
      </c>
      <c r="X42" s="4">
        <f>Planet(Panchanga!$E42,3)</f>
        <v>314.55294506742462</v>
      </c>
      <c r="Y42" s="4">
        <f>Planet(Panchanga!$E42,6)</f>
        <v>265.80566295706109</v>
      </c>
      <c r="Z42" s="4">
        <f>Planet(Panchanga!$E42,10)</f>
        <v>88.572779794405179</v>
      </c>
      <c r="AA42" s="4" t="str">
        <f>TEXT(Panchanga!$C42+($C43-Panchanga!$C42)/ABS(IF($P43&lt;1,$P43+30,$P43)-Panchanga!$P42)*(ROUNDUP(Panchanga!$P42,0)-Panchanga!$P42),"hh:mm AM/PM")</f>
        <v>10:54 AM</v>
      </c>
      <c r="AB42" s="4"/>
    </row>
    <row r="43" spans="1:28" x14ac:dyDescent="0.2">
      <c r="A43" s="3">
        <f t="shared" si="19"/>
        <v>43559</v>
      </c>
      <c r="B43" s="3">
        <f t="shared" si="22"/>
        <v>43559.229166666664</v>
      </c>
      <c r="C43" s="6">
        <f t="shared" si="20"/>
        <v>43559.253475235462</v>
      </c>
      <c r="D43" s="6">
        <f t="shared" si="21"/>
        <v>43558.764331956903</v>
      </c>
      <c r="E43" s="7">
        <f>Panchanga!$C43-TimeZone/24</f>
        <v>43559.024308568798</v>
      </c>
      <c r="F43" s="8" t="str">
        <f>INT(P[Sun]/30)&amp;"s"&amp;ROUNDUP(MOD(P[Sun],30),2)</f>
        <v>11s19.85</v>
      </c>
      <c r="G43" s="13" t="str">
        <f>INT(P[Moon]/30)&amp;"s"&amp;ROUNDUP(MOD(P[Moon],30),2)</f>
        <v>11s4.69</v>
      </c>
      <c r="H43" s="14">
        <f t="shared" si="18"/>
        <v>43559.024308568798</v>
      </c>
      <c r="I43" s="4" t="str">
        <f>naks(P[[#This Row],[Moon]])</f>
        <v>Uttara Bhadrapada</v>
      </c>
      <c r="J43" s="6">
        <f>(C44-P[[#This Row],[SunRise]])/(T44-P[[#This Row],[Moon]])*(13.3333333333333-MOD(P[[#This Row],[Moon]],13.333333333333))+P[[#This Row],[SunRise]]</f>
        <v>43560.232938599409</v>
      </c>
      <c r="K43" s="4" t="str">
        <f>IF(Panchanga!$P43&gt;15,"K","S")&amp;ROUNDUP(MOD(Panchanga!$P43,15),0)&amp;" ("&amp;ROUND(Panchanga!$P43,2)&amp;")"</f>
        <v>K14 (28.74)</v>
      </c>
      <c r="L43" s="4">
        <f>IF(AND(Panchanga!$P43&lt;28.5,Panchanga!$P43&gt;0.49999),MOD((Panchanga!$P43-0.5)*2,7),MOD((Panchanga!$P43+30-28.5),30)*2+7)</f>
        <v>7.4746000000000095</v>
      </c>
      <c r="M43" s="4" t="str">
        <f>CHOOSE(ROUNDUP(Panchanga!$L43,0),"Bhava","Baalava","Kaulava","Taitula","Garija","Vanija","Vishti","Shakuni","Chatushapda","Naaga","Kimstugna")</f>
        <v>Shakuni</v>
      </c>
      <c r="N43" s="11" t="str">
        <f>CHOOSE(ROUNDUP(Panchanga!$Q43,0),"viṣkambha","prīti","āyuṣmāna","saubhāgya","śobhana","atigaṇḍa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("&amp;Panchanga!$Q43&amp;")"</f>
        <v>brahma (24.34)</v>
      </c>
      <c r="O43" s="4">
        <f>IF(AND(Panchanga!$P43&lt;28.5,Panchanga!$P43&gt;0.49999),MOD((Panchanga!$P43-0.5)*2,7),MOD((Panchanga!$P43+30-28.5),30)*2+7)</f>
        <v>7.4746000000000095</v>
      </c>
      <c r="P43" s="4">
        <f>ROUNDUP(MOD(360+P[Moon]-P[Sun],360)/12,4)</f>
        <v>28.737300000000001</v>
      </c>
      <c r="Q43" s="4">
        <f>ROUNDUP(MOD(P[Sun]+P[Moon],360)/13.333333333,2)</f>
        <v>24.34</v>
      </c>
      <c r="R43" s="4" t="str">
        <f>SIGN(U44-Panchanga!$U43)*INT(Panchanga!$U43/30+1)&amp;"Ma,"&amp;SIGN(V44-Panchanga!$V43)*INT(Panchanga!$V43/30+1)&amp;"Me,"&amp;SIGN(W44-Panchanga!$W43)*INT(Panchanga!$W43/30+1)&amp;"J, "&amp;SIGN(X44-Panchanga!$X43)*INT(Panchanga!$X43/30+1)&amp;"V,"&amp;SIGN(Y44-Panchanga!$Y43)*INT(Panchanga!$Y43/30+1)&amp;"S,"&amp;INT(Panchanga!$Z43/30+1)&amp;"R"</f>
        <v>2Ma,11Me,9J, 11V,9S,3R</v>
      </c>
      <c r="S43" s="4">
        <f t="shared" si="15"/>
        <v>349.84067587204879</v>
      </c>
      <c r="T43" s="4">
        <f t="shared" si="16"/>
        <v>334.6881670012051</v>
      </c>
      <c r="U43" s="4">
        <f>Planet(Panchanga!$E43,4)</f>
        <v>38.369583298040908</v>
      </c>
      <c r="V43" s="4">
        <f>Planet(Panchanga!$E43,2)</f>
        <v>323.79347952706814</v>
      </c>
      <c r="W43" s="4">
        <f>Planet(Panchanga!$E43,5)</f>
        <v>240.15874382341318</v>
      </c>
      <c r="X43" s="4">
        <f>Planet(Panchanga!$E43,3)</f>
        <v>315.75835303928437</v>
      </c>
      <c r="Y43" s="4">
        <f>Planet(Panchanga!$E43,6)</f>
        <v>265.8481592328136</v>
      </c>
      <c r="Z43" s="4">
        <f>Planet(Panchanga!$E43,10)</f>
        <v>88.519812249211753</v>
      </c>
      <c r="AA43" s="4" t="str">
        <f>TEXT(Panchanga!$C43+($C44-Panchanga!$C43)/ABS(IF($P44&lt;1,$P44+30,$P44)-Panchanga!$P43)*(ROUNDUP(Panchanga!$P43,0)-Panchanga!$P43),"hh:mm AM/PM")</f>
        <v>12:48 PM</v>
      </c>
      <c r="AB43" s="4"/>
    </row>
    <row r="44" spans="1:28" x14ac:dyDescent="0.2">
      <c r="A44" s="3">
        <f t="shared" si="19"/>
        <v>43560</v>
      </c>
      <c r="B44" s="3">
        <f t="shared" si="22"/>
        <v>43560.229166666664</v>
      </c>
      <c r="C44" s="6">
        <f t="shared" si="20"/>
        <v>43560.253016200069</v>
      </c>
      <c r="D44" s="6">
        <f t="shared" si="21"/>
        <v>43559.764389336153</v>
      </c>
      <c r="E44" s="7">
        <f>Panchanga!$C44-TimeZone/24</f>
        <v>43560.023849533405</v>
      </c>
      <c r="F44" s="8" t="str">
        <f>INT(P[Sun]/30)&amp;"s"&amp;ROUNDUP(MOD(P[Sun],30),2)</f>
        <v>11s20.83</v>
      </c>
      <c r="G44" s="13" t="str">
        <f>INT(P[Moon]/30)&amp;"s"&amp;ROUNDUP(MOD(P[Moon],30),2)</f>
        <v>11s16.92</v>
      </c>
      <c r="H44" s="14">
        <f t="shared" si="18"/>
        <v>43560.023849533405</v>
      </c>
      <c r="I44" s="4" t="str">
        <f>naks(P[[#This Row],[Moon]])</f>
        <v>Revati</v>
      </c>
      <c r="J44" s="6">
        <f>(C45-P[[#This Row],[SunRise]])/(T45-P[[#This Row],[Moon]])*(13.3333333333333-MOD(P[[#This Row],[Moon]],13.333333333333))+P[[#This Row],[SunRise]]</f>
        <v>43561.307404049789</v>
      </c>
      <c r="K44" s="4" t="str">
        <f>IF(Panchanga!$P44&gt;15,"K","S")&amp;ROUNDUP(MOD(Panchanga!$P44,15),0)&amp;" ("&amp;ROUND(Panchanga!$P44,2)&amp;")"</f>
        <v>K15 (29.67)</v>
      </c>
      <c r="L44" s="4">
        <f>IF(AND(Panchanga!$P44&lt;28.5,Panchanga!$P44&gt;0.49999),MOD((Panchanga!$P44-0.5)*2,7),MOD((Panchanga!$P44+30-28.5),30)*2+7)</f>
        <v>9.3478000000000065</v>
      </c>
      <c r="M44" s="4" t="str">
        <f>CHOOSE(ROUNDUP(Panchanga!$L44,0),"Bhava","Baalava","Kaulava","Taitula","Garija","Vanija","Vishti","Shakuni","Chatushapda","Naaga","Kimstugna")</f>
        <v>Naaga</v>
      </c>
      <c r="N44" s="11" t="str">
        <f>CHOOSE(ROUNDUP(Panchanga!$Q44,0),"viṣkambha","prīti","āyuṣmāna","saubhāgya","śobhana","atigaṇḍa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("&amp;Panchanga!$Q44&amp;")"</f>
        <v>mahendra (25.34)</v>
      </c>
      <c r="O44" s="4">
        <f>IF(AND(Panchanga!$P44&lt;28.5,Panchanga!$P44&gt;0.49999),MOD((Panchanga!$P44-0.5)*2,7),MOD((Panchanga!$P44+30-28.5),30)*2+7)</f>
        <v>9.3478000000000065</v>
      </c>
      <c r="P44" s="4">
        <f>ROUNDUP(MOD(360+P[Moon]-P[Sun],360)/12,4)</f>
        <v>29.6739</v>
      </c>
      <c r="Q44" s="4">
        <f>ROUNDUP(MOD(P[Sun]+P[Moon],360)/13.333333333,2)</f>
        <v>25.34</v>
      </c>
      <c r="R44" s="4" t="str">
        <f>SIGN(U45-Panchanga!$U44)*INT(Panchanga!$U44/30+1)&amp;"Ma,"&amp;SIGN(V45-Panchanga!$V44)*INT(Panchanga!$V44/30+1)&amp;"Me,"&amp;SIGN(W45-Panchanga!$W44)*INT(Panchanga!$W44/30+1)&amp;"J, "&amp;SIGN(X45-Panchanga!$X44)*INT(Panchanga!$X44/30+1)&amp;"V,"&amp;SIGN(Y45-Panchanga!$Y44)*INT(Panchanga!$Y44/30+1)&amp;"S,"&amp;INT(Panchanga!$Z44/30+1)&amp;"R"</f>
        <v>2Ma,11Me,9J, 11V,9S,3R</v>
      </c>
      <c r="S44" s="4">
        <f t="shared" si="15"/>
        <v>350.82591824320838</v>
      </c>
      <c r="T44" s="4">
        <f t="shared" si="16"/>
        <v>346.9122088091014</v>
      </c>
      <c r="U44" s="4">
        <f>Planet(Panchanga!$E44,4)</f>
        <v>39.029937233506082</v>
      </c>
      <c r="V44" s="4">
        <f>Planet(Panchanga!$E44,2)</f>
        <v>324.36597737174543</v>
      </c>
      <c r="W44" s="4">
        <f>Planet(Panchanga!$E44,5)</f>
        <v>240.1780941186482</v>
      </c>
      <c r="X44" s="4">
        <f>Planet(Panchanga!$E44,3)</f>
        <v>316.96412002941997</v>
      </c>
      <c r="Y44" s="4">
        <f>Planet(Panchanga!$E44,6)</f>
        <v>265.88912011442653</v>
      </c>
      <c r="Z44" s="4">
        <f>Planet(Panchanga!$E44,10)</f>
        <v>88.466844577733539</v>
      </c>
      <c r="AA44" s="4" t="str">
        <f>TEXT(Panchanga!$C44+($C45-Panchanga!$C44)/ABS(IF($P45&lt;1,$P45+30,$P45)-Panchanga!$P44)*(ROUNDUP(Panchanga!$P44,0)-Panchanga!$P44),"hh:mm AM/PM")</f>
        <v>02:17 PM</v>
      </c>
      <c r="AB44" s="4"/>
    </row>
    <row r="45" spans="1:28" x14ac:dyDescent="0.2">
      <c r="A45" s="3">
        <f t="shared" si="19"/>
        <v>43561</v>
      </c>
      <c r="B45" s="3">
        <f t="shared" si="22"/>
        <v>43561.229166666664</v>
      </c>
      <c r="C45" s="6">
        <f t="shared" si="20"/>
        <v>43561.252560026165</v>
      </c>
      <c r="D45" s="6">
        <f t="shared" si="21"/>
        <v>43560.764447828333</v>
      </c>
      <c r="E45" s="7">
        <f>Panchanga!$C45-TimeZone/24</f>
        <v>43561.023393359501</v>
      </c>
      <c r="F45" s="8" t="str">
        <f>INT(P[Sun]/30)&amp;"s"&amp;ROUNDUP(MOD(P[Sun],30),2)</f>
        <v>11s21.82</v>
      </c>
      <c r="G45" s="13" t="str">
        <f>INT(P[Moon]/30)&amp;"s"&amp;ROUNDUP(MOD(P[Moon],30),2)</f>
        <v>11s29.32</v>
      </c>
      <c r="H45" s="14">
        <f t="shared" si="18"/>
        <v>43561.023393359501</v>
      </c>
      <c r="I45" s="4" t="str">
        <f>naks(P[[#This Row],[Moon]])</f>
        <v>Revati</v>
      </c>
      <c r="J45" s="6">
        <f>(C46-P[[#This Row],[SunRise]])/(T46-P[[#This Row],[Moon]])*(13.3333333333333-MOD(P[[#This Row],[Moon]],13.333333333333))+P[[#This Row],[SunRise]]</f>
        <v>43561.250601354281</v>
      </c>
      <c r="K45" s="4" t="str">
        <f>IF(Panchanga!$P45&gt;15,"K","S")&amp;ROUNDUP(MOD(Panchanga!$P45,15),0)&amp;" ("&amp;ROUND(Panchanga!$P45,2)&amp;")"</f>
        <v>S1 (0.63)</v>
      </c>
      <c r="L45" s="4">
        <f>IF(AND(Panchanga!$P45&lt;28.5,Panchanga!$P45&gt;0.49999),MOD((Panchanga!$P45-0.5)*2,7),MOD((Panchanga!$P45+30-28.5),30)*2+7)</f>
        <v>0.25160000000000005</v>
      </c>
      <c r="M45" s="4" t="str">
        <f>CHOOSE(ROUNDUP(Panchanga!$L45,0),"Bhava","Baalava","Kaulava","Taitula","Garija","Vanija","Vishti","Shakuni","Chatushapda","Naaga","Kimstugna")</f>
        <v>Bhava</v>
      </c>
      <c r="N45" s="11" t="str">
        <f>CHOOSE(ROUNDUP(Panchanga!$Q45,0),"viṣkambha","prīti","āyuṣmāna","saubhāgya","śobhana","atigaṇḍa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("&amp;Panchanga!$Q45&amp;")"</f>
        <v>vaidhṛti (26.34)</v>
      </c>
      <c r="O45" s="4">
        <f>IF(AND(Panchanga!$P45&lt;28.5,Panchanga!$P45&gt;0.49999),MOD((Panchanga!$P45-0.5)*2,7),MOD((Panchanga!$P45+30-28.5),30)*2+7)</f>
        <v>0.25160000000000005</v>
      </c>
      <c r="P45" s="4">
        <f>ROUNDUP(MOD(360+P[Moon]-P[Sun],360)/12,4)</f>
        <v>0.62580000000000002</v>
      </c>
      <c r="Q45" s="4">
        <f>ROUNDUP(MOD(P[Sun]+P[Moon],360)/13.333333333,2)</f>
        <v>26.34</v>
      </c>
      <c r="R45" s="4" t="str">
        <f>SIGN(U46-Panchanga!$U45)*INT(Panchanga!$U45/30+1)&amp;"Ma,"&amp;SIGN(V46-Panchanga!$V45)*INT(Panchanga!$V45/30+1)&amp;"Me,"&amp;SIGN(W46-Panchanga!$W45)*INT(Panchanga!$W45/30+1)&amp;"J, "&amp;SIGN(X46-Panchanga!$X45)*INT(Panchanga!$X45/30+1)&amp;"V,"&amp;SIGN(Y46-Panchanga!$Y45)*INT(Panchanga!$Y45/30+1)&amp;"S,"&amp;INT(Panchanga!$Z45/30+1)&amp;"R"</f>
        <v>2Ma,11Me,9J, 11V,9S,3R</v>
      </c>
      <c r="S45" s="4">
        <f t="shared" si="15"/>
        <v>351.81060277909688</v>
      </c>
      <c r="T45" s="4">
        <f t="shared" si="16"/>
        <v>359.31923804944063</v>
      </c>
      <c r="U45" s="4">
        <f>Planet(Panchanga!$E45,4)</f>
        <v>39.689955995177414</v>
      </c>
      <c r="V45" s="4">
        <f>Planet(Panchanga!$E45,2)</f>
        <v>325.00556175236579</v>
      </c>
      <c r="W45" s="4">
        <f>Planet(Panchanga!$E45,5)</f>
        <v>240.19431582428922</v>
      </c>
      <c r="X45" s="4">
        <f>Planet(Panchanga!$E45,3)</f>
        <v>318.17022455351321</v>
      </c>
      <c r="Y45" s="4">
        <f>Planet(Panchanga!$E45,6)</f>
        <v>265.92853589356554</v>
      </c>
      <c r="Z45" s="4">
        <f>Planet(Panchanga!$E45,10)</f>
        <v>88.413876754603862</v>
      </c>
      <c r="AA45" s="4" t="str">
        <f>TEXT(Panchanga!$C45+($C46-Panchanga!$C45)/ABS(IF($P46&lt;1,$P46+30,$P46)-Panchanga!$P45)*(ROUNDUP(Panchanga!$P45,0)-Panchanga!$P45),"hh:mm AM/PM")</f>
        <v>03:20 PM</v>
      </c>
      <c r="AB45" s="4"/>
    </row>
    <row r="46" spans="1:28" x14ac:dyDescent="0.2">
      <c r="A46" s="3">
        <f t="shared" si="19"/>
        <v>43562</v>
      </c>
      <c r="B46" s="3">
        <f t="shared" si="22"/>
        <v>43562.229166666664</v>
      </c>
      <c r="C46" s="6">
        <f t="shared" si="20"/>
        <v>43562.252106712818</v>
      </c>
      <c r="D46" s="6">
        <f t="shared" si="21"/>
        <v>43561.764507909815</v>
      </c>
      <c r="E46" s="7">
        <f>Panchanga!$C46-TimeZone/24</f>
        <v>43562.022940046154</v>
      </c>
      <c r="F46" s="8" t="str">
        <f>INT(P[Sun]/30)&amp;"s"&amp;ROUNDUP(MOD(P[Sun],30),2)</f>
        <v>11s22.8</v>
      </c>
      <c r="G46" s="13" t="str">
        <f>INT(P[Moon]/30)&amp;"s"&amp;ROUNDUP(MOD(P[Moon],30),2)</f>
        <v>0s11.92</v>
      </c>
      <c r="H46" s="14">
        <f t="shared" si="18"/>
        <v>43562.022940046154</v>
      </c>
      <c r="I46" s="4" t="str">
        <f>naks(P[[#This Row],[Moon]])</f>
        <v>Aswini</v>
      </c>
      <c r="J46" s="6">
        <f>(C47-P[[#This Row],[SunRise]])/(T47-P[[#This Row],[Moon]])*(13.3333333333333-MOD(P[[#This Row],[Moon]],13.333333333333))+P[[#This Row],[SunRise]]</f>
        <v>43562.363120986018</v>
      </c>
      <c r="K46" s="4" t="str">
        <f>IF(Panchanga!$P46&gt;15,"K","S")&amp;ROUNDUP(MOD(Panchanga!$P46,15),0)&amp;" ("&amp;ROUND(Panchanga!$P46,2)&amp;")"</f>
        <v>S2 (1.59)</v>
      </c>
      <c r="L46" s="4">
        <f>IF(AND(Panchanga!$P46&lt;28.5,Panchanga!$P46&gt;0.49999),MOD((Panchanga!$P46-0.5)*2,7),MOD((Panchanga!$P46+30-28.5),30)*2+7)</f>
        <v>2.1865999999999999</v>
      </c>
      <c r="M46" s="4" t="str">
        <f>CHOOSE(ROUNDUP(Panchanga!$L46,0),"Bhava","Baalava","Kaulava","Taitula","Garija","Vanija","Vishti","Shakuni","Chatushapda","Naaga","Kimstugna")</f>
        <v>Kaulava</v>
      </c>
      <c r="N46" s="11" t="str">
        <f>CHOOSE(ROUNDUP(Panchanga!$Q46,0),"viṣkambha","prīti","āyuṣmāna","saubhāgya","śobhana","atigaṇḍa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("&amp;Panchanga!$Q46&amp;")"</f>
        <v>viṣkambha (0.36)</v>
      </c>
      <c r="O46" s="4">
        <f>IF(AND(Panchanga!$P46&lt;28.5,Panchanga!$P46&gt;0.49999),MOD((Panchanga!$P46-0.5)*2,7),MOD((Panchanga!$P46+30-28.5),30)*2+7)</f>
        <v>2.1865999999999999</v>
      </c>
      <c r="P46" s="4">
        <f>ROUNDUP(MOD(360+P[Moon]-P[Sun],360)/12,4)</f>
        <v>1.5932999999999999</v>
      </c>
      <c r="Q46" s="4">
        <f>ROUNDUP(MOD(P[Sun]+P[Moon],360)/13.333333333,2)</f>
        <v>0.36</v>
      </c>
      <c r="R46" s="4" t="str">
        <f>SIGN(U47-Panchanga!$U46)*INT(Panchanga!$U46/30+1)&amp;"Ma,"&amp;SIGN(V47-Panchanga!$V46)*INT(Panchanga!$V46/30+1)&amp;"Me,"&amp;SIGN(W47-Panchanga!$W46)*INT(Panchanga!$W46/30+1)&amp;"J, "&amp;SIGN(X47-Panchanga!$X46)*INT(Panchanga!$X46/30+1)&amp;"V,"&amp;SIGN(Y47-Panchanga!$Y46)*INT(Panchanga!$Y46/30+1)&amp;"S,"&amp;INT(Panchanga!$Z46/30+1)&amp;"R"</f>
        <v>2Ma,11Me,9J, 11V,9S,3R</v>
      </c>
      <c r="S46" s="4">
        <f t="shared" si="15"/>
        <v>352.7947151795463</v>
      </c>
      <c r="T46" s="4">
        <f t="shared" si="16"/>
        <v>11.91375499711282</v>
      </c>
      <c r="U46" s="4">
        <f>Planet(Panchanga!$E46,4)</f>
        <v>40.349634129951838</v>
      </c>
      <c r="V46" s="4">
        <f>Planet(Panchanga!$E46,2)</f>
        <v>325.70866380308314</v>
      </c>
      <c r="W46" s="4">
        <f>Planet(Panchanga!$E46,5)</f>
        <v>240.20740320001778</v>
      </c>
      <c r="X46" s="4">
        <f>Planet(Panchanga!$E46,3)</f>
        <v>319.37664569386703</v>
      </c>
      <c r="Y46" s="4">
        <f>Planet(Panchanga!$E46,6)</f>
        <v>265.96639753973193</v>
      </c>
      <c r="Z46" s="4">
        <f>Planet(Panchanga!$E46,10)</f>
        <v>88.360908779872247</v>
      </c>
      <c r="AA46" s="4" t="str">
        <f>TEXT(Panchanga!$C46+($C47-Panchanga!$C46)/ABS(IF($P47&lt;1,$P47+30,$P47)-Panchanga!$P46)*(ROUNDUP(Panchanga!$P46,0)-Panchanga!$P46),"hh:mm AM/PM")</f>
        <v>03:58 PM</v>
      </c>
      <c r="AB46" s="4"/>
    </row>
    <row r="47" spans="1:28" x14ac:dyDescent="0.2">
      <c r="A47" s="3">
        <f t="shared" si="19"/>
        <v>43563</v>
      </c>
      <c r="B47" s="3">
        <f t="shared" si="22"/>
        <v>43563.229166666664</v>
      </c>
      <c r="C47" s="6">
        <f t="shared" si="20"/>
        <v>43563.25165641975</v>
      </c>
      <c r="D47" s="6">
        <f t="shared" si="21"/>
        <v>43562.764569421808</v>
      </c>
      <c r="E47" s="7">
        <f>Panchanga!$C47-TimeZone/24</f>
        <v>43563.022489753086</v>
      </c>
      <c r="F47" s="8" t="str">
        <f>INT(P[Sun]/30)&amp;"s"&amp;ROUNDUP(MOD(P[Sun],30),2)</f>
        <v>11s23.78</v>
      </c>
      <c r="G47" s="13" t="str">
        <f>INT(P[Moon]/30)&amp;"s"&amp;ROUNDUP(MOD(P[Moon],30),2)</f>
        <v>0s24.7</v>
      </c>
      <c r="H47" s="14">
        <f t="shared" si="18"/>
        <v>43563.022489753086</v>
      </c>
      <c r="I47" s="4" t="str">
        <f>naks(P[[#This Row],[Moon]])</f>
        <v>Bharani</v>
      </c>
      <c r="J47" s="6">
        <f>(C48-P[[#This Row],[SunRise]])/(T48-P[[#This Row],[Moon]])*(13.3333333333333-MOD(P[[#This Row],[Moon]],13.333333333333))+P[[#This Row],[SunRise]]</f>
        <v>43563.40359592178</v>
      </c>
      <c r="K47" s="4" t="str">
        <f>IF(Panchanga!$P47&gt;15,"K","S")&amp;ROUNDUP(MOD(Panchanga!$P47,15),0)&amp;" ("&amp;ROUND(Panchanga!$P47,2)&amp;")"</f>
        <v>S3 (2.58)</v>
      </c>
      <c r="L47" s="4">
        <f>IF(AND(Panchanga!$P47&lt;28.5,Panchanga!$P47&gt;0.49999),MOD((Panchanga!$P47-0.5)*2,7),MOD((Panchanga!$P47+30-28.5),30)*2+7)</f>
        <v>4.1530000000000005</v>
      </c>
      <c r="M47" s="4" t="str">
        <f>CHOOSE(ROUNDUP(Panchanga!$L47,0),"Bhava","Baalava","Kaulava","Taitula","Garija","Vanija","Vishti","Shakuni","Chatushapda","Naaga","Kimstugna")</f>
        <v>Garija</v>
      </c>
      <c r="N47" s="11" t="str">
        <f>CHOOSE(ROUNDUP(Panchanga!$Q47,0),"viṣkambha","prīti","āyuṣmāna","saubhāgya","śobhana","atigaṇḍa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("&amp;Panchanga!$Q47&amp;")"</f>
        <v>prīti (1.39)</v>
      </c>
      <c r="O47" s="4">
        <f>IF(AND(Panchanga!$P47&lt;28.5,Panchanga!$P47&gt;0.49999),MOD((Panchanga!$P47-0.5)*2,7),MOD((Panchanga!$P47+30-28.5),30)*2+7)</f>
        <v>4.1530000000000005</v>
      </c>
      <c r="P47" s="4">
        <f>ROUNDUP(MOD(360+P[Moon]-P[Sun],360)/12,4)</f>
        <v>2.5765000000000002</v>
      </c>
      <c r="Q47" s="4">
        <f>ROUNDUP(MOD(P[Sun]+P[Moon],360)/13.333333333,2)</f>
        <v>1.39</v>
      </c>
      <c r="R47" s="4" t="str">
        <f>SIGN(U48-Panchanga!$U47)*INT(Panchanga!$U47/30+1)&amp;"Ma,"&amp;SIGN(V48-Panchanga!$V47)*INT(Panchanga!$V47/30+1)&amp;"Me,"&amp;SIGN(W48-Panchanga!$W47)*INT(Panchanga!$W47/30+1)&amp;"J, "&amp;SIGN(X48-Panchanga!$X47)*INT(Panchanga!$X47/30+1)&amp;"V,"&amp;SIGN(Y48-Panchanga!$Y47)*INT(Panchanga!$Y47/30+1)&amp;"S,"&amp;INT(Panchanga!$Z47/30+1)&amp;"R"</f>
        <v>2Ma,11Me,9J, 11V,9S,3R</v>
      </c>
      <c r="S47" s="4">
        <f t="shared" si="15"/>
        <v>353.77824126386315</v>
      </c>
      <c r="T47" s="4">
        <f t="shared" si="16"/>
        <v>24.695346670366746</v>
      </c>
      <c r="U47" s="4">
        <f>Planet(Panchanga!$E47,4)</f>
        <v>41.008965230272239</v>
      </c>
      <c r="V47" s="4">
        <f>Planet(Panchanga!$E47,2)</f>
        <v>326.4719138617989</v>
      </c>
      <c r="W47" s="4">
        <f>Planet(Panchanga!$E47,5)</f>
        <v>240.21735248541776</v>
      </c>
      <c r="X47" s="4">
        <f>Planet(Panchanga!$E47,3)</f>
        <v>320.58336425777117</v>
      </c>
      <c r="Y47" s="4">
        <f>Planet(Panchanga!$E47,6)</f>
        <v>266.00269677625283</v>
      </c>
      <c r="Z47" s="4">
        <f>Planet(Panchanga!$E47,10)</f>
        <v>88.307940645105305</v>
      </c>
      <c r="AA47" s="4" t="str">
        <f>TEXT(Panchanga!$C47+($C48-Panchanga!$C47)/ABS(IF($P48&lt;1,$P48+30,$P48)-Panchanga!$P47)*(ROUNDUP(Panchanga!$P47,0)-Panchanga!$P47),"hh:mm AM/PM")</f>
        <v>04:12 PM</v>
      </c>
      <c r="AB47" s="4"/>
    </row>
    <row r="48" spans="1:28" x14ac:dyDescent="0.2">
      <c r="A48" s="3">
        <f t="shared" si="19"/>
        <v>43564</v>
      </c>
      <c r="B48" s="3">
        <f t="shared" si="22"/>
        <v>43564.229166666664</v>
      </c>
      <c r="C48" s="6">
        <f t="shared" si="20"/>
        <v>43564.251209623333</v>
      </c>
      <c r="D48" s="6">
        <f t="shared" si="21"/>
        <v>43563.76463268236</v>
      </c>
      <c r="E48" s="7">
        <f>Panchanga!$C48-TimeZone/24</f>
        <v>43564.022042956669</v>
      </c>
      <c r="F48" s="8" t="str">
        <f>INT(P[Sun]/30)&amp;"s"&amp;ROUNDUP(MOD(P[Sun],30),2)</f>
        <v>11s24.77</v>
      </c>
      <c r="G48" s="13" t="str">
        <f>INT(P[Moon]/30)&amp;"s"&amp;ROUNDUP(MOD(P[Moon],30),2)</f>
        <v>1s7.67</v>
      </c>
      <c r="H48" s="14">
        <f t="shared" si="18"/>
        <v>43564.022042956669</v>
      </c>
      <c r="I48" s="4" t="str">
        <f>naks(P[[#This Row],[Moon]])</f>
        <v>Krittika</v>
      </c>
      <c r="J48" s="6">
        <f>(C49-P[[#This Row],[SunRise]])/(T49-P[[#This Row],[Moon]])*(13.3333333333333-MOD(P[[#This Row],[Moon]],13.333333333333))+P[[#This Row],[SunRise]]</f>
        <v>43564.42864107115</v>
      </c>
      <c r="K48" s="4" t="str">
        <f>IF(Panchanga!$P48&gt;15,"K","S")&amp;ROUNDUP(MOD(Panchanga!$P48,15),0)&amp;" ("&amp;ROUND(Panchanga!$P48,2)&amp;")"</f>
        <v>S4 (3.58)</v>
      </c>
      <c r="L48" s="4">
        <f>IF(AND(Panchanga!$P48&lt;28.5,Panchanga!$P48&gt;0.49999),MOD((Panchanga!$P48-0.5)*2,7),MOD((Panchanga!$P48+30-28.5),30)*2+7)</f>
        <v>6.1506000000000007</v>
      </c>
      <c r="M48" s="4" t="str">
        <f>CHOOSE(ROUNDUP(Panchanga!$L48,0),"Bhava","Baalava","Kaulava","Taitula","Garija","Vanija","Vishti","Shakuni","Chatushapda","Naaga","Kimstugna")</f>
        <v>Vishti</v>
      </c>
      <c r="N48" s="11" t="str">
        <f>CHOOSE(ROUNDUP(Panchanga!$Q48,0),"viṣkambha","prīti","āyuṣmāna","saubhāgya","śobhana","atigaṇḍa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("&amp;Panchanga!$Q48&amp;")"</f>
        <v>āyuṣmāna (2.44)</v>
      </c>
      <c r="O48" s="4">
        <f>IF(AND(Panchanga!$P48&lt;28.5,Panchanga!$P48&gt;0.49999),MOD((Panchanga!$P48-0.5)*2,7),MOD((Panchanga!$P48+30-28.5),30)*2+7)</f>
        <v>6.1506000000000007</v>
      </c>
      <c r="P48" s="4">
        <f>ROUNDUP(MOD(360+P[Moon]-P[Sun],360)/12,4)</f>
        <v>3.5753000000000004</v>
      </c>
      <c r="Q48" s="4">
        <f>ROUNDUP(MOD(P[Sun]+P[Moon],360)/13.333333333,2)</f>
        <v>2.44</v>
      </c>
      <c r="R48" s="4" t="str">
        <f>SIGN(U49-Panchanga!$U48)*INT(Panchanga!$U48/30+1)&amp;"Ma,"&amp;SIGN(V49-Panchanga!$V48)*INT(Panchanga!$V48/30+1)&amp;"Me,"&amp;SIGN(W49-Panchanga!$W48)*INT(Panchanga!$W48/30+1)&amp;"J, "&amp;SIGN(X49-Panchanga!$X48)*INT(Panchanga!$X48/30+1)&amp;"V,"&amp;SIGN(Y49-Panchanga!$Y48)*INT(Panchanga!$Y48/30+1)&amp;"S,"&amp;INT(Panchanga!$Z48/30+1)&amp;"R"</f>
        <v>2Ma,11Me,9J, 11V,9S,3R</v>
      </c>
      <c r="S48" s="4">
        <f t="shared" si="15"/>
        <v>354.76116770044109</v>
      </c>
      <c r="T48" s="4">
        <f t="shared" si="16"/>
        <v>37.663924237534104</v>
      </c>
      <c r="U48" s="4">
        <f>Planet(Panchanga!$E48,4)</f>
        <v>41.667942230411107</v>
      </c>
      <c r="V48" s="4">
        <f>Planet(Panchanga!$E48,2)</f>
        <v>327.29215432597869</v>
      </c>
      <c r="W48" s="4">
        <f>Planet(Panchanga!$E48,5)</f>
        <v>240.22416190297344</v>
      </c>
      <c r="X48" s="4">
        <f>Planet(Panchanga!$E48,3)</f>
        <v>321.79036331307026</v>
      </c>
      <c r="Y48" s="4">
        <f>Planet(Panchanga!$E48,6)</f>
        <v>266.03742611331438</v>
      </c>
      <c r="Z48" s="4">
        <f>Planet(Panchanga!$E48,10)</f>
        <v>88.254972325035524</v>
      </c>
      <c r="AA48" s="4" t="str">
        <f>TEXT(Panchanga!$C48+($C49-Panchanga!$C48)/ABS(IF($P49&lt;1,$P49+30,$P49)-Panchanga!$P48)*(ROUNDUP(Panchanga!$P48,0)-Panchanga!$P48),"hh:mm AM/PM")</f>
        <v>04:04 PM</v>
      </c>
      <c r="AB48" s="4"/>
    </row>
    <row r="49" spans="1:28" x14ac:dyDescent="0.2">
      <c r="A49" s="3">
        <f t="shared" si="19"/>
        <v>43565</v>
      </c>
      <c r="B49" s="3">
        <f t="shared" si="22"/>
        <v>43565.229166666664</v>
      </c>
      <c r="C49" s="6">
        <f t="shared" si="20"/>
        <v>43565.250766482357</v>
      </c>
      <c r="D49" s="6">
        <f t="shared" si="21"/>
        <v>43564.764697532213</v>
      </c>
      <c r="E49" s="7">
        <f>Panchanga!$C49-TimeZone/24</f>
        <v>43565.021599815693</v>
      </c>
      <c r="F49" s="8" t="str">
        <f>INT(P[Sun]/30)&amp;"s"&amp;ROUNDUP(MOD(P[Sun],30),2)</f>
        <v>11s25.75</v>
      </c>
      <c r="G49" s="13" t="str">
        <f>INT(P[Moon]/30)&amp;"s"&amp;ROUNDUP(MOD(P[Moon],30),2)</f>
        <v>1s20.83</v>
      </c>
      <c r="H49" s="14">
        <f t="shared" si="18"/>
        <v>43565.021599815693</v>
      </c>
      <c r="I49" s="4" t="str">
        <f>naks(P[[#This Row],[Moon]])</f>
        <v>Rohini</v>
      </c>
      <c r="J49" s="6">
        <f>(C50-P[[#This Row],[SunRise]])/(T50-P[[#This Row],[Moon]])*(13.3333333333333-MOD(P[[#This Row],[Moon]],13.333333333333))+P[[#This Row],[SunRise]]</f>
        <v>43565.438445380067</v>
      </c>
      <c r="K49" s="4" t="str">
        <f>IF(Panchanga!$P49&gt;15,"K","S")&amp;ROUNDUP(MOD(Panchanga!$P49,15),0)&amp;" ("&amp;ROUND(Panchanga!$P49,2)&amp;")"</f>
        <v>S5 (4.59)</v>
      </c>
      <c r="L49" s="4">
        <f>IF(AND(Panchanga!$P49&lt;28.5,Panchanga!$P49&gt;0.49999),MOD((Panchanga!$P49-0.5)*2,7),MOD((Panchanga!$P49+30-28.5),30)*2+7)</f>
        <v>1.1801999999999992</v>
      </c>
      <c r="M49" s="4" t="str">
        <f>CHOOSE(ROUNDUP(Panchanga!$L49,0),"Bhava","Baalava","Kaulava","Taitula","Garija","Vanija","Vishti","Shakuni","Chatushapda","Naaga","Kimstugna")</f>
        <v>Baalava</v>
      </c>
      <c r="N49" s="11" t="str">
        <f>CHOOSE(ROUNDUP(Panchanga!$Q49,0),"viṣkambha","prīti","āyuṣmāna","saubhāgya","śobhana","atigaṇḍa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("&amp;Panchanga!$Q49&amp;")"</f>
        <v>saubhāgya (3.5)</v>
      </c>
      <c r="O49" s="4">
        <f>IF(AND(Panchanga!$P49&lt;28.5,Panchanga!$P49&gt;0.49999),MOD((Panchanga!$P49-0.5)*2,7),MOD((Panchanga!$P49+30-28.5),30)*2+7)</f>
        <v>1.1801999999999992</v>
      </c>
      <c r="P49" s="4">
        <f>ROUNDUP(MOD(360+P[Moon]-P[Sun],360)/12,4)</f>
        <v>4.5900999999999996</v>
      </c>
      <c r="Q49" s="4">
        <f>ROUNDUP(MOD(P[Sun]+P[Moon],360)/13.333333333,2)</f>
        <v>3.5</v>
      </c>
      <c r="R49" s="4" t="str">
        <f>SIGN(U50-Panchanga!$U49)*INT(Panchanga!$U49/30+1)&amp;"Ma,"&amp;SIGN(V50-Panchanga!$V49)*INT(Panchanga!$V49/30+1)&amp;"Me,"&amp;SIGN(W50-Panchanga!$W49)*INT(Panchanga!$W49/30+1)&amp;"J, "&amp;SIGN(X50-Panchanga!$X49)*INT(Panchanga!$X49/30+1)&amp;"V,"&amp;SIGN(Y50-Panchanga!$Y49)*INT(Panchanga!$Y49/30+1)&amp;"S,"&amp;INT(Panchanga!$Z49/30+1)&amp;"R"</f>
        <v>2Ma,11Me,9J, 11V,9S,3R</v>
      </c>
      <c r="S49" s="4">
        <f t="shared" si="15"/>
        <v>355.7434819538372</v>
      </c>
      <c r="T49" s="4">
        <f t="shared" si="16"/>
        <v>50.824164884289743</v>
      </c>
      <c r="U49" s="4">
        <f>Planet(Panchanga!$E49,4)</f>
        <v>42.326557207726751</v>
      </c>
      <c r="V49" s="4">
        <f>Planet(Panchanga!$E49,2)</f>
        <v>328.16644479927584</v>
      </c>
      <c r="W49" s="4">
        <f>Planet(Panchanga!$E49,5)</f>
        <v>240.22783162710806</v>
      </c>
      <c r="X49" s="4">
        <f>Planet(Panchanga!$E49,3)</f>
        <v>322.99762772571182</v>
      </c>
      <c r="Y49" s="4">
        <f>Planet(Panchanga!$E49,6)</f>
        <v>266.07057883975529</v>
      </c>
      <c r="Z49" s="4">
        <f>Planet(Panchanga!$E49,10)</f>
        <v>88.202003811279141</v>
      </c>
      <c r="AA49" s="4" t="str">
        <f>TEXT(Panchanga!$C49+($C50-Panchanga!$C49)/ABS(IF($P50&lt;1,$P50+30,$P50)-Panchanga!$P49)*(ROUNDUP(Panchanga!$P49,0)-Panchanga!$P49),"hh:mm AM/PM")</f>
        <v>03:32 PM</v>
      </c>
      <c r="AB49" s="4"/>
    </row>
    <row r="50" spans="1:28" x14ac:dyDescent="0.2">
      <c r="A50" s="3">
        <f t="shared" si="19"/>
        <v>43566</v>
      </c>
      <c r="B50" s="3">
        <f t="shared" si="22"/>
        <v>43566.229166666664</v>
      </c>
      <c r="C50" s="6">
        <f t="shared" si="20"/>
        <v>43566.250326997753</v>
      </c>
      <c r="D50" s="6">
        <f t="shared" si="21"/>
        <v>43565.764764448206</v>
      </c>
      <c r="E50" s="7">
        <f>Panchanga!$C50-TimeZone/24</f>
        <v>43566.021160331089</v>
      </c>
      <c r="F50" s="8" t="str">
        <f>INT(P[Sun]/30)&amp;"s"&amp;ROUNDUP(MOD(P[Sun],30),2)</f>
        <v>11s26.73</v>
      </c>
      <c r="G50" s="13" t="str">
        <f>INT(P[Moon]/30)&amp;"s"&amp;ROUNDUP(MOD(P[Moon],30),2)</f>
        <v>2s4.19</v>
      </c>
      <c r="H50" s="14">
        <f t="shared" si="18"/>
        <v>43566.021160331089</v>
      </c>
      <c r="I50" s="4" t="str">
        <f>naks(P[[#This Row],[Moon]])</f>
        <v>Mrigashira</v>
      </c>
      <c r="J50" s="6">
        <f>(C51-P[[#This Row],[SunRise]])/(T51-P[[#This Row],[Moon]])*(13.3333333333333-MOD(P[[#This Row],[Moon]],13.333333333333))+P[[#This Row],[SunRise]]</f>
        <v>43566.432726723171</v>
      </c>
      <c r="K50" s="4" t="str">
        <f>IF(Panchanga!$P50&gt;15,"K","S")&amp;ROUNDUP(MOD(Panchanga!$P50,15),0)&amp;" ("&amp;ROUND(Panchanga!$P50,2)&amp;")"</f>
        <v>S6 (5.62)</v>
      </c>
      <c r="L50" s="4">
        <f>IF(AND(Panchanga!$P50&lt;28.5,Panchanga!$P50&gt;0.49999),MOD((Panchanga!$P50-0.5)*2,7),MOD((Panchanga!$P50+30-28.5),30)*2+7)</f>
        <v>3.2438000000000002</v>
      </c>
      <c r="M50" s="4" t="str">
        <f>CHOOSE(ROUNDUP(Panchanga!$L50,0),"Bhava","Baalava","Kaulava","Taitula","Garija","Vanija","Vishti","Shakuni","Chatushapda","Naaga","Kimstugna")</f>
        <v>Taitula</v>
      </c>
      <c r="N50" s="11" t="str">
        <f>CHOOSE(ROUNDUP(Panchanga!$Q50,0),"viṣkambha","prīti","āyuṣmāna","saubhāgya","śobhana","atigaṇḍa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("&amp;Panchanga!$Q50&amp;")"</f>
        <v>śobhana (4.57)</v>
      </c>
      <c r="O50" s="4">
        <f>IF(AND(Panchanga!$P50&lt;28.5,Panchanga!$P50&gt;0.49999),MOD((Panchanga!$P50-0.5)*2,7),MOD((Panchanga!$P50+30-28.5),30)*2+7)</f>
        <v>3.2438000000000002</v>
      </c>
      <c r="P50" s="4">
        <f>ROUNDUP(MOD(360+P[Moon]-P[Sun],360)/12,4)</f>
        <v>5.6219000000000001</v>
      </c>
      <c r="Q50" s="4">
        <f>ROUNDUP(MOD(P[Sun]+P[Moon],360)/13.333333333,2)</f>
        <v>4.5699999999999994</v>
      </c>
      <c r="R50" s="4" t="str">
        <f>SIGN(U51-Panchanga!$U50)*INT(Panchanga!$U50/30+1)&amp;"Ma,"&amp;SIGN(V51-Panchanga!$V50)*INT(Panchanga!$V50/30+1)&amp;"Me,"&amp;SIGN(W51-Panchanga!$W50)*INT(Panchanga!$W50/30+1)&amp;"J, "&amp;SIGN(X51-Panchanga!$X50)*INT(Panchanga!$X50/30+1)&amp;"V,"&amp;SIGN(Y51-Panchanga!$Y50)*INT(Panchanga!$Y50/30+1)&amp;"S,"&amp;INT(Panchanga!$Z50/30+1)&amp;"R"</f>
        <v>2Ma,11Me,-9J, 11V,9S,3R</v>
      </c>
      <c r="S50" s="4">
        <f t="shared" si="15"/>
        <v>356.7251730646783</v>
      </c>
      <c r="T50" s="4">
        <f t="shared" si="16"/>
        <v>64.187764834555637</v>
      </c>
      <c r="U50" s="4">
        <f>Planet(Panchanga!$E50,4)</f>
        <v>42.984801746052732</v>
      </c>
      <c r="V50" s="4">
        <f>Planet(Panchanga!$E50,2)</f>
        <v>329.0920626611599</v>
      </c>
      <c r="W50" s="4">
        <f>Planet(Panchanga!$E50,5)</f>
        <v>240.22836373577374</v>
      </c>
      <c r="X50" s="4">
        <f>Planet(Panchanga!$E50,3)</f>
        <v>324.20514467106949</v>
      </c>
      <c r="Y50" s="4">
        <f>Planet(Panchanga!$E50,6)</f>
        <v>266.10214903341432</v>
      </c>
      <c r="Z50" s="4">
        <f>Planet(Panchanga!$E50,10)</f>
        <v>88.149035103736693</v>
      </c>
      <c r="AA50" s="4" t="str">
        <f>TEXT(Panchanga!$C50+($C51-Panchanga!$C50)/ABS(IF($P51&lt;1,$P51+30,$P51)-Panchanga!$P50)*(ROUNDUP(Panchanga!$P50,0)-Panchanga!$P50),"hh:mm AM/PM")</f>
        <v>02:38 PM</v>
      </c>
      <c r="AB50" s="4"/>
    </row>
    <row r="51" spans="1:28" x14ac:dyDescent="0.2">
      <c r="A51" s="3">
        <f t="shared" si="19"/>
        <v>43567</v>
      </c>
      <c r="B51" s="3">
        <f t="shared" si="22"/>
        <v>43567.229166666664</v>
      </c>
      <c r="C51" s="6">
        <f t="shared" si="20"/>
        <v>43567.249891486172</v>
      </c>
      <c r="D51" s="6">
        <f t="shared" si="21"/>
        <v>43566.764833271547</v>
      </c>
      <c r="E51" s="7">
        <f>Panchanga!$C51-TimeZone/24</f>
        <v>43567.020724819507</v>
      </c>
      <c r="F51" s="8" t="str">
        <f>INT(P[Sun]/30)&amp;"s"&amp;ROUNDUP(MOD(P[Sun],30),2)</f>
        <v>11s27.71</v>
      </c>
      <c r="G51" s="13" t="str">
        <f>INT(P[Moon]/30)&amp;"s"&amp;ROUNDUP(MOD(P[Moon],30),2)</f>
        <v>2s17.78</v>
      </c>
      <c r="H51" s="14">
        <f t="shared" si="18"/>
        <v>43567.020724819507</v>
      </c>
      <c r="I51" s="4" t="str">
        <f>naks(P[[#This Row],[Moon]])</f>
        <v>Ardra</v>
      </c>
      <c r="J51" s="6">
        <f>(C52-P[[#This Row],[SunRise]])/(T52-P[[#This Row],[Moon]])*(13.3333333333333-MOD(P[[#This Row],[Moon]],13.333333333333))+P[[#This Row],[SunRise]]</f>
        <v>43567.41096483537</v>
      </c>
      <c r="K51" s="4" t="str">
        <f>IF(Panchanga!$P51&gt;15,"K","S")&amp;ROUNDUP(MOD(Panchanga!$P51,15),0)&amp;" ("&amp;ROUND(Panchanga!$P51,2)&amp;")"</f>
        <v>S7 (6.67)</v>
      </c>
      <c r="L51" s="4">
        <f>IF(AND(Panchanga!$P51&lt;28.5,Panchanga!$P51&gt;0.49999),MOD((Panchanga!$P51-0.5)*2,7),MOD((Panchanga!$P51+30-28.5),30)*2+7)</f>
        <v>5.3444000000000003</v>
      </c>
      <c r="M51" s="4" t="str">
        <f>CHOOSE(ROUNDUP(Panchanga!$L51,0),"Bhava","Baalava","Kaulava","Taitula","Garija","Vanija","Vishti","Shakuni","Chatushapda","Naaga","Kimstugna")</f>
        <v>Vanija</v>
      </c>
      <c r="N51" s="11" t="str">
        <f>CHOOSE(ROUNDUP(Panchanga!$Q51,0),"viṣkambha","prīti","āyuṣmāna","saubhāgya","śobhana","atigaṇḍa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("&amp;Panchanga!$Q51&amp;")"</f>
        <v>atigaṇḍa  (5.67)</v>
      </c>
      <c r="O51" s="4">
        <f>IF(AND(Panchanga!$P51&lt;28.5,Panchanga!$P51&gt;0.49999),MOD((Panchanga!$P51-0.5)*2,7),MOD((Panchanga!$P51+30-28.5),30)*2+7)</f>
        <v>5.3444000000000003</v>
      </c>
      <c r="P51" s="4">
        <f>ROUNDUP(MOD(360+P[Moon]-P[Sun],360)/12,4)</f>
        <v>6.6722000000000001</v>
      </c>
      <c r="Q51" s="4">
        <f>ROUNDUP(MOD(P[Sun]+P[Moon],360)/13.333333333,2)</f>
        <v>5.67</v>
      </c>
      <c r="R51" s="4" t="str">
        <f>SIGN(U52-Panchanga!$U51)*INT(Panchanga!$U51/30+1)&amp;"Ma,"&amp;SIGN(V52-Panchanga!$V51)*INT(Panchanga!$V51/30+1)&amp;"Me,"&amp;SIGN(W52-Panchanga!$W51)*INT(Panchanga!$W51/30+1)&amp;"J, "&amp;SIGN(X52-Panchanga!$X51)*INT(Panchanga!$X51/30+1)&amp;"V,"&amp;SIGN(Y52-Panchanga!$Y51)*INT(Panchanga!$Y51/30+1)&amp;"S,"&amp;INT(Panchanga!$Z51/30+1)&amp;"R"</f>
        <v>2Ma,12Me,-9J, 11V,9S,3R</v>
      </c>
      <c r="S51" s="4">
        <f t="shared" si="15"/>
        <v>357.7062328398452</v>
      </c>
      <c r="T51" s="4">
        <f t="shared" si="16"/>
        <v>77.772337047748408</v>
      </c>
      <c r="U51" s="4">
        <f>Planet(Panchanga!$E51,4)</f>
        <v>43.642667570348898</v>
      </c>
      <c r="V51" s="4">
        <f>Planet(Panchanga!$E51,2)</f>
        <v>330.06650034406852</v>
      </c>
      <c r="W51" s="4">
        <f>Planet(Panchanga!$E51,5)</f>
        <v>240.22576211326324</v>
      </c>
      <c r="X51" s="4">
        <f>Planet(Panchanga!$E51,3)</f>
        <v>325.41290454748844</v>
      </c>
      <c r="Y51" s="4">
        <f>Planet(Panchanga!$E51,6)</f>
        <v>266.13213156240511</v>
      </c>
      <c r="Z51" s="4">
        <f>Planet(Panchanga!$E51,10)</f>
        <v>88.096066185690361</v>
      </c>
      <c r="AA51" s="4" t="str">
        <f>TEXT(Panchanga!$C51+($C52-Panchanga!$C51)/ABS(IF($P52&lt;1,$P52+30,$P52)-Panchanga!$P51)*(ROUNDUP(Panchanga!$P51,0)-Panchanga!$P51),"hh:mm AM/PM")</f>
        <v>01:20 PM</v>
      </c>
      <c r="AB51" s="4"/>
    </row>
    <row r="52" spans="1:28" x14ac:dyDescent="0.2">
      <c r="A52" s="3">
        <f t="shared" si="19"/>
        <v>43568</v>
      </c>
      <c r="B52" s="3">
        <f t="shared" si="22"/>
        <v>43568.229166666664</v>
      </c>
      <c r="C52" s="6">
        <f t="shared" si="20"/>
        <v>43568.249460425381</v>
      </c>
      <c r="D52" s="6">
        <f t="shared" si="21"/>
        <v>43567.764904161493</v>
      </c>
      <c r="E52" s="7">
        <f>Panchanga!$C52-TimeZone/24</f>
        <v>43568.020293758716</v>
      </c>
      <c r="F52" s="8" t="str">
        <f>INT(P[Sun]/30)&amp;"s"&amp;ROUNDUP(MOD(P[Sun],30),2)</f>
        <v>11s28.69</v>
      </c>
      <c r="G52" s="13" t="str">
        <f>INT(P[Moon]/30)&amp;"s"&amp;ROUNDUP(MOD(P[Moon],30),2)</f>
        <v>3s1.6</v>
      </c>
      <c r="H52" s="14">
        <f t="shared" si="18"/>
        <v>43568.020293758716</v>
      </c>
      <c r="I52" s="4" t="str">
        <f>naks(P[[#This Row],[Moon]])</f>
        <v>Punarvasu</v>
      </c>
      <c r="J52" s="6">
        <f>(C53-P[[#This Row],[SunRise]])/(T53-P[[#This Row],[Moon]])*(13.3333333333333-MOD(P[[#This Row],[Moon]],13.333333333333))+P[[#This Row],[SunRise]]</f>
        <v>43568.372807109481</v>
      </c>
      <c r="K52" s="4" t="str">
        <f>IF(Panchanga!$P52&gt;15,"K","S")&amp;ROUNDUP(MOD(Panchanga!$P52,15),0)&amp;" ("&amp;ROUND(Panchanga!$P52,2)&amp;")"</f>
        <v>S8 (7.74)</v>
      </c>
      <c r="L52" s="4">
        <f>IF(AND(Panchanga!$P52&lt;28.5,Panchanga!$P52&gt;0.49999),MOD((Panchanga!$P52-0.5)*2,7),MOD((Panchanga!$P52+30-28.5),30)*2+7)</f>
        <v>0.48499999999999943</v>
      </c>
      <c r="M52" s="4" t="str">
        <f>CHOOSE(ROUNDUP(Panchanga!$L52,0),"Bhava","Baalava","Kaulava","Taitula","Garija","Vanija","Vishti","Shakuni","Chatushapda","Naaga","Kimstugna")</f>
        <v>Bhava</v>
      </c>
      <c r="N52" s="11" t="str">
        <f>CHOOSE(ROUNDUP(Panchanga!$Q52,0),"viṣkambha","prīti","āyuṣmāna","saubhāgya","śobhana","atigaṇḍa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("&amp;Panchanga!$Q52&amp;")"</f>
        <v>sukarmā  (6.78)</v>
      </c>
      <c r="O52" s="4">
        <f>IF(AND(Panchanga!$P52&lt;28.5,Panchanga!$P52&gt;0.49999),MOD((Panchanga!$P52-0.5)*2,7),MOD((Panchanga!$P52+30-28.5),30)*2+7)</f>
        <v>0.48499999999999943</v>
      </c>
      <c r="P52" s="4">
        <f>ROUNDUP(MOD(360+P[Moon]-P[Sun],360)/12,4)</f>
        <v>7.7424999999999997</v>
      </c>
      <c r="Q52" s="4">
        <f>ROUNDUP(MOD(P[Sun]+P[Moon],360)/13.333333333,2)</f>
        <v>6.7799999999999994</v>
      </c>
      <c r="R52" s="4" t="str">
        <f>SIGN(U53-Panchanga!$U52)*INT(Panchanga!$U52/30+1)&amp;"Ma,"&amp;SIGN(V53-Panchanga!$V52)*INT(Panchanga!$V52/30+1)&amp;"Me,"&amp;SIGN(W53-Panchanga!$W52)*INT(Panchanga!$W52/30+1)&amp;"J, "&amp;SIGN(X53-Panchanga!$X52)*INT(Panchanga!$X52/30+1)&amp;"V,"&amp;SIGN(Y53-Panchanga!$Y52)*INT(Panchanga!$Y52/30+1)&amp;"S,"&amp;INT(Panchanga!$Z52/30+1)&amp;"R"</f>
        <v>2Ma,12Me,-9J, 11V,9S,3R</v>
      </c>
      <c r="S52" s="4">
        <f t="shared" si="15"/>
        <v>358.68665655797361</v>
      </c>
      <c r="T52" s="4">
        <f t="shared" si="16"/>
        <v>91.59649048602364</v>
      </c>
      <c r="U52" s="4">
        <f>Planet(Panchanga!$E52,4)</f>
        <v>44.300146884397364</v>
      </c>
      <c r="V52" s="4">
        <f>Planet(Panchanga!$E52,2)</f>
        <v>331.08745949142394</v>
      </c>
      <c r="W52" s="4">
        <f>Planet(Panchanga!$E52,5)</f>
        <v>240.22003227994514</v>
      </c>
      <c r="X52" s="4">
        <f>Planet(Panchanga!$E52,3)</f>
        <v>326.62090113841384</v>
      </c>
      <c r="Y52" s="4">
        <f>Planet(Panchanga!$E52,6)</f>
        <v>266.16052203750877</v>
      </c>
      <c r="Z52" s="4">
        <f>Planet(Panchanga!$E52,10)</f>
        <v>88.043097031773186</v>
      </c>
      <c r="AA52" s="4" t="str">
        <f>TEXT(Panchanga!$C52+($C53-Panchanga!$C52)/ABS(IF($P53&lt;1,$P53+30,$P53)-Panchanga!$P52)*(ROUNDUP(Panchanga!$P52,0)-Panchanga!$P52),"hh:mm AM/PM")</f>
        <v>11:38 AM</v>
      </c>
      <c r="AB52" s="4"/>
    </row>
    <row r="53" spans="1:28" x14ac:dyDescent="0.2">
      <c r="A53" s="3">
        <f t="shared" si="19"/>
        <v>43569</v>
      </c>
      <c r="B53" s="3">
        <f t="shared" si="22"/>
        <v>43569.229166666664</v>
      </c>
      <c r="C53" s="6">
        <f t="shared" si="20"/>
        <v>43569.249033656124</v>
      </c>
      <c r="D53" s="6">
        <f t="shared" si="21"/>
        <v>43568.764977435625</v>
      </c>
      <c r="E53" s="7">
        <f>Panchanga!$C53-TimeZone/24</f>
        <v>43569.01986698946</v>
      </c>
      <c r="F53" s="8" t="str">
        <f>INT(P[Sun]/30)&amp;"s"&amp;ROUNDUP(MOD(P[Sun],30),2)</f>
        <v>11s29.67</v>
      </c>
      <c r="G53" s="13" t="str">
        <f>INT(P[Moon]/30)&amp;"s"&amp;ROUNDUP(MOD(P[Moon],30),2)</f>
        <v>3s15.68</v>
      </c>
      <c r="H53" s="14">
        <f t="shared" si="18"/>
        <v>43569.01986698946</v>
      </c>
      <c r="I53" s="4" t="str">
        <f>naks(P[[#This Row],[Moon]])</f>
        <v>Pushya</v>
      </c>
      <c r="J53" s="6">
        <f>(C54-P[[#This Row],[SunRise]])/(T54-P[[#This Row],[Moon]])*(13.3333333333333-MOD(P[[#This Row],[Moon]],13.333333333333))+P[[#This Row],[SunRise]]</f>
        <v>43569.318505898074</v>
      </c>
      <c r="K53" s="4" t="str">
        <f>IF(Panchanga!$P53&gt;15,"K","S")&amp;ROUNDUP(MOD(Panchanga!$P53,15),0)&amp;" ("&amp;ROUND(Panchanga!$P53,2)&amp;")"</f>
        <v>S9 (8.83)</v>
      </c>
      <c r="L53" s="4">
        <f>IF(AND(Panchanga!$P53&lt;28.5,Panchanga!$P53&gt;0.49999),MOD((Panchanga!$P53-0.5)*2,7),MOD((Panchanga!$P53+30-28.5),30)*2+7)</f>
        <v>2.6676000000000002</v>
      </c>
      <c r="M53" s="4" t="str">
        <f>CHOOSE(ROUNDUP(Panchanga!$L53,0),"Bhava","Baalava","Kaulava","Taitula","Garija","Vanija","Vishti","Shakuni","Chatushapda","Naaga","Kimstugna")</f>
        <v>Kaulava</v>
      </c>
      <c r="N53" s="11" t="str">
        <f>CHOOSE(ROUNDUP(Panchanga!$Q53,0),"viṣkambha","prīti","āyuṣmāna","saubhāgya","śobhana","atigaṇḍa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("&amp;Panchanga!$Q53&amp;")"</f>
        <v>dhṛti  (7.91)</v>
      </c>
      <c r="O53" s="4">
        <f>IF(AND(Panchanga!$P53&lt;28.5,Panchanga!$P53&gt;0.49999),MOD((Panchanga!$P53-0.5)*2,7),MOD((Panchanga!$P53+30-28.5),30)*2+7)</f>
        <v>2.6676000000000002</v>
      </c>
      <c r="P53" s="4">
        <f>ROUNDUP(MOD(360+P[Moon]-P[Sun],360)/12,4)</f>
        <v>8.8338000000000001</v>
      </c>
      <c r="Q53" s="4">
        <f>ROUNDUP(MOD(P[Sun]+P[Moon],360)/13.333333333,2)</f>
        <v>7.91</v>
      </c>
      <c r="R53" s="4" t="str">
        <f>SIGN(U54-Panchanga!$U53)*INT(Panchanga!$U53/30+1)&amp;"Ma,"&amp;SIGN(V54-Panchanga!$V53)*INT(Panchanga!$V53/30+1)&amp;"Me,"&amp;SIGN(W54-Panchanga!$W53)*INT(Panchanga!$W53/30+1)&amp;"J, "&amp;SIGN(X54-Panchanga!$X53)*INT(Panchanga!$X53/30+1)&amp;"V,"&amp;SIGN(Y54-Panchanga!$Y53)*INT(Panchanga!$Y53/30+1)&amp;"S,"&amp;INT(Panchanga!$Z53/30+1)&amp;"R"</f>
        <v>2Ma,12Me,-9J, 11V,9S,3R</v>
      </c>
      <c r="S53" s="4">
        <f t="shared" si="15"/>
        <v>359.66644308512753</v>
      </c>
      <c r="T53" s="4">
        <f t="shared" si="16"/>
        <v>105.67146646826122</v>
      </c>
      <c r="U53" s="4">
        <f>Planet(Panchanga!$E53,4)</f>
        <v>44.957232411532708</v>
      </c>
      <c r="V53" s="4">
        <f>Planet(Panchanga!$E53,2)</f>
        <v>332.15284246210564</v>
      </c>
      <c r="W53" s="4">
        <f>Planet(Panchanga!$E53,5)</f>
        <v>240.21118114274375</v>
      </c>
      <c r="X53" s="4">
        <f>Planet(Panchanga!$E53,3)</f>
        <v>327.82913088603999</v>
      </c>
      <c r="Y53" s="4">
        <f>Planet(Panchanga!$E53,6)</f>
        <v>266.1873166990394</v>
      </c>
      <c r="Z53" s="4">
        <f>Planet(Panchanga!$E53,10)</f>
        <v>87.990127650451953</v>
      </c>
      <c r="AA53" s="4" t="str">
        <f>TEXT(Panchanga!$C53+($C54-Panchanga!$C53)/ABS(IF($P54&lt;1,$P54+30,$P54)-Panchanga!$P53)*(ROUNDUP(Panchanga!$P53,0)-Panchanga!$P53),"hh:mm AM/PM")</f>
        <v>09:33 AM</v>
      </c>
      <c r="AB53" s="4"/>
    </row>
    <row r="54" spans="1:28" x14ac:dyDescent="0.2">
      <c r="A54" s="3">
        <f t="shared" si="19"/>
        <v>43570</v>
      </c>
      <c r="B54" s="3">
        <f t="shared" si="22"/>
        <v>43570.229166666664</v>
      </c>
      <c r="C54" s="6">
        <f t="shared" si="20"/>
        <v>43570.248611814495</v>
      </c>
      <c r="D54" s="6">
        <f t="shared" si="21"/>
        <v>43569.765052934687</v>
      </c>
      <c r="E54" s="7">
        <f>Panchanga!$C54-TimeZone/24</f>
        <v>43570.019445147831</v>
      </c>
      <c r="F54" s="8" t="str">
        <f>INT(P[Sun]/30)&amp;"s"&amp;ROUNDUP(MOD(P[Sun],30),2)</f>
        <v>0s0.65</v>
      </c>
      <c r="G54" s="13" t="str">
        <f>INT(P[Moon]/30)&amp;"s"&amp;ROUNDUP(MOD(P[Moon],30),2)</f>
        <v>3s30</v>
      </c>
      <c r="H54" s="14">
        <f t="shared" si="18"/>
        <v>43570.019445147831</v>
      </c>
      <c r="I54" s="4" t="str">
        <f>naks(P[[#This Row],[Moon]])</f>
        <v>Makha</v>
      </c>
      <c r="J54" s="6">
        <f>(C55-P[[#This Row],[SunRise]])/(T55-P[[#This Row],[Moon]])*(13.3333333333333-MOD(P[[#This Row],[Moon]],13.333333333333))+P[[#This Row],[SunRise]]</f>
        <v>43570.249260475553</v>
      </c>
      <c r="K54" s="4" t="str">
        <f>IF(Panchanga!$P54&gt;15,"K","S")&amp;ROUNDUP(MOD(Panchanga!$P54,15),0)&amp;" ("&amp;ROUND(Panchanga!$P54,2)&amp;")"</f>
        <v>S10 (9.95)</v>
      </c>
      <c r="L54" s="4">
        <f>IF(AND(Panchanga!$P54&lt;28.5,Panchanga!$P54&gt;0.49999),MOD((Panchanga!$P54-0.5)*2,7),MOD((Panchanga!$P54+30-28.5),30)*2+7)</f>
        <v>4.8909999999999982</v>
      </c>
      <c r="M54" s="4" t="str">
        <f>CHOOSE(ROUNDUP(Panchanga!$L54,0),"Bhava","Baalava","Kaulava","Taitula","Garija","Vanija","Vishti","Shakuni","Chatushapda","Naaga","Kimstugna")</f>
        <v>Garija</v>
      </c>
      <c r="N54" s="11" t="str">
        <f>CHOOSE(ROUNDUP(Panchanga!$Q54,0),"viṣkambha","prīti","āyuṣmāna","saubhāgya","śobhana","atigaṇḍa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("&amp;Panchanga!$Q54&amp;")"</f>
        <v>gaṇḍa  (9.05)</v>
      </c>
      <c r="O54" s="4">
        <f>IF(AND(Panchanga!$P54&lt;28.5,Panchanga!$P54&gt;0.49999),MOD((Panchanga!$P54-0.5)*2,7),MOD((Panchanga!$P54+30-28.5),30)*2+7)</f>
        <v>4.8909999999999982</v>
      </c>
      <c r="P54" s="4">
        <f>ROUNDUP(MOD(360+P[Moon]-P[Sun],360)/12,4)</f>
        <v>9.9454999999999991</v>
      </c>
      <c r="Q54" s="4">
        <f>ROUNDUP(MOD(P[Sun]+P[Moon],360)/13.333333333,2)</f>
        <v>9.0499999999999989</v>
      </c>
      <c r="R54" s="4" t="str">
        <f>SIGN(U55-Panchanga!$U54)*INT(Panchanga!$U54/30+1)&amp;"Ma,"&amp;SIGN(V55-Panchanga!$V54)*INT(Panchanga!$V54/30+1)&amp;"Me,"&amp;SIGN(W55-Panchanga!$W54)*INT(Panchanga!$W54/30+1)&amp;"J, "&amp;SIGN(X55-Panchanga!$X54)*INT(Panchanga!$X54/30+1)&amp;"V,"&amp;SIGN(Y55-Panchanga!$Y54)*INT(Panchanga!$Y54/30+1)&amp;"S,"&amp;INT(Panchanga!$Z54/30+1)&amp;"R"</f>
        <v>2Ma,12Me,-9J, 11V,9S,3R</v>
      </c>
      <c r="S54" s="4">
        <f t="shared" si="15"/>
        <v>0.64559705119541511</v>
      </c>
      <c r="T54" s="4">
        <f t="shared" si="16"/>
        <v>119.99057225271801</v>
      </c>
      <c r="U54" s="4">
        <f>Planet(Panchanga!$E54,4)</f>
        <v>45.613918995193998</v>
      </c>
      <c r="V54" s="4">
        <f>Planet(Panchanga!$E54,2)</f>
        <v>333.26074473976672</v>
      </c>
      <c r="W54" s="4">
        <f>Planet(Panchanga!$E54,5)</f>
        <v>240.1992166497667</v>
      </c>
      <c r="X54" s="4">
        <f>Planet(Panchanga!$E54,3)</f>
        <v>329.03759463529366</v>
      </c>
      <c r="Y54" s="4">
        <f>Planet(Panchanga!$E54,6)</f>
        <v>266.21251231890153</v>
      </c>
      <c r="Z54" s="4">
        <f>Planet(Panchanga!$E54,10)</f>
        <v>87.937158007992508</v>
      </c>
      <c r="AA54" s="4" t="str">
        <f>TEXT(Panchanga!$C54+($C55-Panchanga!$C54)/ABS(IF($P55&lt;1,$P55+30,$P55)-Panchanga!$P54)*(ROUNDUP(Panchanga!$P54,0)-Panchanga!$P54),"hh:mm AM/PM")</f>
        <v>07:07 AM</v>
      </c>
      <c r="AB54" s="4"/>
    </row>
    <row r="55" spans="1:28" x14ac:dyDescent="0.2">
      <c r="A55" s="3">
        <f t="shared" si="19"/>
        <v>43571</v>
      </c>
      <c r="B55" s="3">
        <f t="shared" si="22"/>
        <v>43571.229166666664</v>
      </c>
      <c r="C55" s="6">
        <f t="shared" si="20"/>
        <v>43571.248194899563</v>
      </c>
      <c r="D55" s="6">
        <f t="shared" si="21"/>
        <v>43570.76513097719</v>
      </c>
      <c r="E55" s="7">
        <f>Panchanga!$C55-TimeZone/24</f>
        <v>43571.019028232899</v>
      </c>
      <c r="F55" s="8" t="str">
        <f>INT(P[Sun]/30)&amp;"s"&amp;ROUNDUP(MOD(P[Sun],30),2)</f>
        <v>0s1.63</v>
      </c>
      <c r="G55" s="13" t="str">
        <f>INT(P[Moon]/30)&amp;"s"&amp;ROUNDUP(MOD(P[Moon],30),2)</f>
        <v>4s14.52</v>
      </c>
      <c r="H55" s="14">
        <f t="shared" si="18"/>
        <v>43571.019028232899</v>
      </c>
      <c r="I55" s="4" t="str">
        <f>naks(P[[#This Row],[Moon]])</f>
        <v>Purva Phalguni</v>
      </c>
      <c r="J55" s="6">
        <f>(C56-P[[#This Row],[SunRise]])/(T56-P[[#This Row],[Moon]])*(13.3333333333333-MOD(P[[#This Row],[Moon]],13.333333333333))+P[[#This Row],[SunRise]]</f>
        <v>43572.076111476505</v>
      </c>
      <c r="K55" s="4" t="str">
        <f>IF(Panchanga!$P55&gt;15,"K","S")&amp;ROUNDUP(MOD(Panchanga!$P55,15),0)&amp;" ("&amp;ROUND(Panchanga!$P55,2)&amp;")"</f>
        <v>S12 (11.07)</v>
      </c>
      <c r="L55" s="4">
        <f>IF(AND(Panchanga!$P55&lt;28.5,Panchanga!$P55&gt;0.49999),MOD((Panchanga!$P55-0.5)*2,7),MOD((Panchanga!$P55+30-28.5),30)*2+7)</f>
        <v>0.14920000000000044</v>
      </c>
      <c r="M55" s="4" t="str">
        <f>CHOOSE(ROUNDUP(Panchanga!$L55,0),"Bhava","Baalava","Kaulava","Taitula","Garija","Vanija","Vishti","Shakuni","Chatushapda","Naaga","Kimstugna")</f>
        <v>Bhava</v>
      </c>
      <c r="N55" s="11" t="str">
        <f>CHOOSE(ROUNDUP(Panchanga!$Q55,0),"viṣkambha","prīti","āyuṣmāna","saubhāgya","śobhana","atigaṇḍa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("&amp;Panchanga!$Q55&amp;")"</f>
        <v>vṛddhi  (10.22)</v>
      </c>
      <c r="O55" s="4">
        <f>IF(AND(Panchanga!$P55&lt;28.5,Panchanga!$P55&gt;0.49999),MOD((Panchanga!$P55-0.5)*2,7),MOD((Panchanga!$P55+30-28.5),30)*2+7)</f>
        <v>0.14920000000000044</v>
      </c>
      <c r="P55" s="4">
        <f>ROUNDUP(MOD(360+P[Moon]-P[Sun],360)/12,4)</f>
        <v>11.0746</v>
      </c>
      <c r="Q55" s="4">
        <f>ROUNDUP(MOD(P[Sun]+P[Moon],360)/13.333333333,2)</f>
        <v>10.220000000000001</v>
      </c>
      <c r="R55" s="4" t="str">
        <f>SIGN(U56-Panchanga!$U55)*INT(Panchanga!$U55/30+1)&amp;"Ma,"&amp;SIGN(V56-Panchanga!$V55)*INT(Panchanga!$V55/30+1)&amp;"Me,"&amp;SIGN(W56-Panchanga!$W55)*INT(Panchanga!$W55/30+1)&amp;"J, "&amp;SIGN(X56-Panchanga!$X55)*INT(Panchanga!$X55/30+1)&amp;"V,"&amp;SIGN(Y56-Panchanga!$Y55)*INT(Panchanga!$Y55/30+1)&amp;"S,"&amp;INT(Panchanga!$Z55/30+1)&amp;"R"</f>
        <v>2Ma,12Me,-9J, 12V,9S,3R</v>
      </c>
      <c r="S55" s="4">
        <f t="shared" si="15"/>
        <v>1.6241278513533404</v>
      </c>
      <c r="T55" s="4">
        <f t="shared" si="16"/>
        <v>134.51867845975661</v>
      </c>
      <c r="U55" s="4">
        <f>Planet(Panchanga!$E55,4)</f>
        <v>46.270203301565644</v>
      </c>
      <c r="V55" s="4">
        <f>Planet(Panchanga!$E55,2)</f>
        <v>334.40944331176894</v>
      </c>
      <c r="W55" s="4">
        <f>Planet(Panchanga!$E55,5)</f>
        <v>240.18414742519815</v>
      </c>
      <c r="X55" s="4">
        <f>Planet(Panchanga!$E55,3)</f>
        <v>330.24629555977248</v>
      </c>
      <c r="Y55" s="4">
        <f>Planet(Panchanga!$E55,6)</f>
        <v>266.23610597542427</v>
      </c>
      <c r="Z55" s="4">
        <f>Planet(Panchanga!$E55,10)</f>
        <v>87.884188104477744</v>
      </c>
      <c r="AA55" s="4" t="str">
        <f>TEXT(Panchanga!$C55+($C56-Panchanga!$C55)/ABS(IF($P56&lt;1,$P56+30,$P56)-Panchanga!$P55)*(ROUNDUP(Panchanga!$P55,0)-Panchanga!$P55),"hh:mm AM/PM")</f>
        <v>01:25 AM</v>
      </c>
      <c r="AB55" s="4"/>
    </row>
    <row r="56" spans="1:28" x14ac:dyDescent="0.2">
      <c r="A56" s="3">
        <f t="shared" si="19"/>
        <v>43572</v>
      </c>
      <c r="B56" s="3">
        <f t="shared" si="22"/>
        <v>43572.229166666664</v>
      </c>
      <c r="C56" s="6">
        <f t="shared" si="20"/>
        <v>43572.247783230305</v>
      </c>
      <c r="D56" s="6">
        <f t="shared" si="21"/>
        <v>43571.76521156267</v>
      </c>
      <c r="E56" s="7">
        <f>Panchanga!$C56-TimeZone/24</f>
        <v>43572.018616563641</v>
      </c>
      <c r="F56" s="8" t="str">
        <f>INT(P[Sun]/30)&amp;"s"&amp;ROUNDUP(MOD(P[Sun],30),2)</f>
        <v>0s2.61</v>
      </c>
      <c r="G56" s="13" t="str">
        <f>INT(P[Moon]/30)&amp;"s"&amp;ROUNDUP(MOD(P[Moon],30),2)</f>
        <v>4s29.19</v>
      </c>
      <c r="H56" s="14">
        <f t="shared" si="18"/>
        <v>43572.018616563641</v>
      </c>
      <c r="I56" s="4" t="str">
        <f>naks(P[[#This Row],[Moon]])</f>
        <v>Uttara Phalguni</v>
      </c>
      <c r="J56" s="6">
        <f>(C57-P[[#This Row],[SunRise]])/(T57-P[[#This Row],[Moon]])*(13.3333333333333-MOD(P[[#This Row],[Moon]],13.333333333333))+P[[#This Row],[SunRise]]</f>
        <v>43572.983061677864</v>
      </c>
      <c r="K56" s="4" t="str">
        <f>IF(Panchanga!$P56&gt;15,"K","S")&amp;ROUNDUP(MOD(Panchanga!$P56,15),0)&amp;" ("&amp;ROUND(Panchanga!$P56,2)&amp;")"</f>
        <v>S13 (12.22)</v>
      </c>
      <c r="L56" s="4">
        <f>IF(AND(Panchanga!$P56&lt;28.5,Panchanga!$P56&gt;0.49999),MOD((Panchanga!$P56-0.5)*2,7),MOD((Panchanga!$P56+30-28.5),30)*2+7)</f>
        <v>2.4305999999999983</v>
      </c>
      <c r="M56" s="4" t="str">
        <f>CHOOSE(ROUNDUP(Panchanga!$L56,0),"Bhava","Baalava","Kaulava","Taitula","Garija","Vanija","Vishti","Shakuni","Chatushapda","Naaga","Kimstugna")</f>
        <v>Kaulava</v>
      </c>
      <c r="N56" s="11" t="str">
        <f>CHOOSE(ROUNDUP(Panchanga!$Q56,0),"viṣkambha","prīti","āyuṣmāna","saubhāgya","śobhana","atigaṇḍa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("&amp;Panchanga!$Q56&amp;")"</f>
        <v>dhruva  (11.39)</v>
      </c>
      <c r="O56" s="4">
        <f>IF(AND(Panchanga!$P56&lt;28.5,Panchanga!$P56&gt;0.49999),MOD((Panchanga!$P56-0.5)*2,7),MOD((Panchanga!$P56+30-28.5),30)*2+7)</f>
        <v>2.4305999999999983</v>
      </c>
      <c r="P56" s="4">
        <f>ROUNDUP(MOD(360+P[Moon]-P[Sun],360)/12,4)</f>
        <v>12.215299999999999</v>
      </c>
      <c r="Q56" s="4">
        <f>ROUNDUP(MOD(P[Sun]+P[Moon],360)/13.333333333,2)</f>
        <v>11.39</v>
      </c>
      <c r="R56" s="4" t="str">
        <f>SIGN(U57-Panchanga!$U56)*INT(Panchanga!$U56/30+1)&amp;"Ma,"&amp;SIGN(V57-Panchanga!$V56)*INT(Panchanga!$V56/30+1)&amp;"Me,"&amp;SIGN(W57-Panchanga!$W56)*INT(Panchanga!$W56/30+1)&amp;"J, "&amp;SIGN(X57-Panchanga!$X56)*INT(Panchanga!$X56/30+1)&amp;"V,"&amp;SIGN(Y57-Panchanga!$Y56)*INT(Panchanga!$Y56/30+1)&amp;"S,"&amp;INT(Panchanga!$Z56/30+1)&amp;"R"</f>
        <v>2Ma,12Me,-9J, 12V,9S,3R</v>
      </c>
      <c r="S56" s="4">
        <f t="shared" si="15"/>
        <v>2.6020504491642251</v>
      </c>
      <c r="T56" s="4">
        <f t="shared" si="16"/>
        <v>149.18559973148854</v>
      </c>
      <c r="U56" s="4">
        <f>Planet(Panchanga!$E56,4)</f>
        <v>46.926084953784581</v>
      </c>
      <c r="V56" s="4">
        <f>Planet(Panchanga!$E56,2)</f>
        <v>335.59738693207362</v>
      </c>
      <c r="W56" s="4">
        <f>Planet(Panchanga!$E56,5)</f>
        <v>240.16598241032659</v>
      </c>
      <c r="X56" s="4">
        <f>Planet(Panchanga!$E56,3)</f>
        <v>331.45523959943176</v>
      </c>
      <c r="Y56" s="4">
        <f>Planet(Panchanga!$E56,6)</f>
        <v>266.25809487020979</v>
      </c>
      <c r="Z56" s="4">
        <f>Planet(Panchanga!$E56,10)</f>
        <v>87.831217922990859</v>
      </c>
      <c r="AA56" s="4" t="str">
        <f>TEXT(Panchanga!$C56+($C57-Panchanga!$C56)/ABS(IF($P57&lt;1,$P57+30,$P57)-Panchanga!$P56)*(ROUNDUP(Panchanga!$P56,0)-Panchanga!$P56),"hh:mm AM/PM")</f>
        <v>10:24 PM</v>
      </c>
      <c r="AB56" s="4"/>
    </row>
    <row r="57" spans="1:28" x14ac:dyDescent="0.2">
      <c r="A57" s="3">
        <f t="shared" si="19"/>
        <v>43573</v>
      </c>
      <c r="B57" s="3">
        <f t="shared" si="22"/>
        <v>43573.229166666664</v>
      </c>
      <c r="C57" s="6">
        <f t="shared" si="20"/>
        <v>43573.247377123836</v>
      </c>
      <c r="D57" s="6">
        <f t="shared" si="21"/>
        <v>43572.765295009172</v>
      </c>
      <c r="E57" s="7">
        <f>Panchanga!$C57-TimeZone/24</f>
        <v>43573.018210457172</v>
      </c>
      <c r="F57" s="8" t="str">
        <f>INT(P[Sun]/30)&amp;"s"&amp;ROUNDUP(MOD(P[Sun],30),2)</f>
        <v>0s3.58</v>
      </c>
      <c r="G57" s="13" t="str">
        <f>INT(P[Moon]/30)&amp;"s"&amp;ROUNDUP(MOD(P[Moon],30),2)</f>
        <v>5s13.89</v>
      </c>
      <c r="H57" s="14">
        <f t="shared" si="18"/>
        <v>43573.018210457172</v>
      </c>
      <c r="I57" s="4" t="str">
        <f>naks(P[[#This Row],[Moon]])</f>
        <v>Hasta</v>
      </c>
      <c r="J57" s="6">
        <f>(C58-P[[#This Row],[SunRise]])/(T58-P[[#This Row],[Moon]])*(13.3333333333333-MOD(P[[#This Row],[Moon]],13.333333333333))+P[[#This Row],[SunRise]]</f>
        <v>43573.893595413661</v>
      </c>
      <c r="K57" s="4" t="str">
        <f>IF(Panchanga!$P57&gt;15,"K","S")&amp;ROUNDUP(MOD(Panchanga!$P57,15),0)&amp;" ("&amp;ROUND(Panchanga!$P57,2)&amp;")"</f>
        <v>S14 (13.36)</v>
      </c>
      <c r="L57" s="4">
        <f>IF(AND(Panchanga!$P57&lt;28.5,Panchanga!$P57&gt;0.49999),MOD((Panchanga!$P57-0.5)*2,7),MOD((Panchanga!$P57+30-28.5),30)*2+7)</f>
        <v>4.7181999999999995</v>
      </c>
      <c r="M57" s="4" t="str">
        <f>CHOOSE(ROUNDUP(Panchanga!$L57,0),"Bhava","Baalava","Kaulava","Taitula","Garija","Vanija","Vishti","Shakuni","Chatushapda","Naaga","Kimstugna")</f>
        <v>Garija</v>
      </c>
      <c r="N57" s="11" t="str">
        <f>CHOOSE(ROUNDUP(Panchanga!$Q57,0),"viṣkambha","prīti","āyuṣmāna","saubhāgya","śobhana","atigaṇḍa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("&amp;Panchanga!$Q57&amp;")"</f>
        <v>vyāghāta (12.57)</v>
      </c>
      <c r="O57" s="4">
        <f>IF(AND(Panchanga!$P57&lt;28.5,Panchanga!$P57&gt;0.49999),MOD((Panchanga!$P57-0.5)*2,7),MOD((Panchanga!$P57+30-28.5),30)*2+7)</f>
        <v>4.7181999999999995</v>
      </c>
      <c r="P57" s="4">
        <f>ROUNDUP(MOD(360+P[Moon]-P[Sun],360)/12,4)</f>
        <v>13.3591</v>
      </c>
      <c r="Q57" s="4">
        <f>ROUNDUP(MOD(P[Sun]+P[Moon],360)/13.333333333,2)</f>
        <v>12.57</v>
      </c>
      <c r="R57" s="4" t="str">
        <f>SIGN(U58-Panchanga!$U57)*INT(Panchanga!$U57/30+1)&amp;"Ma,"&amp;SIGN(V58-Panchanga!$V57)*INT(Panchanga!$V57/30+1)&amp;"Me,"&amp;SIGN(W58-Panchanga!$W57)*INT(Panchanga!$W57/30+1)&amp;"J, "&amp;SIGN(X58-Panchanga!$X57)*INT(Panchanga!$X57/30+1)&amp;"V,"&amp;SIGN(Y58-Panchanga!$Y57)*INT(Panchanga!$Y57/30+1)&amp;"S,"&amp;INT(Panchanga!$Z57/30+1)&amp;"R"</f>
        <v>2Ma,12Me,-9J, 12V,9S,3R</v>
      </c>
      <c r="S57" s="4">
        <f t="shared" si="15"/>
        <v>3.5793843003146191</v>
      </c>
      <c r="T57" s="4">
        <f t="shared" si="16"/>
        <v>163.88752456899547</v>
      </c>
      <c r="U57" s="4">
        <f>Planet(Panchanga!$E57,4)</f>
        <v>47.581566562159132</v>
      </c>
      <c r="V57" s="4">
        <f>Planet(Panchanga!$E57,2)</f>
        <v>336.82318475753397</v>
      </c>
      <c r="W57" s="4">
        <f>Planet(Panchanga!$E57,5)</f>
        <v>240.14473061894023</v>
      </c>
      <c r="X57" s="4">
        <f>Planet(Panchanga!$E57,3)</f>
        <v>332.66443402781266</v>
      </c>
      <c r="Y57" s="4">
        <f>Planet(Panchanga!$E57,6)</f>
        <v>266.27847613024852</v>
      </c>
      <c r="Z57" s="4">
        <f>Planet(Panchanga!$E57,10)</f>
        <v>87.778247446698018</v>
      </c>
      <c r="AA57" s="4" t="str">
        <f>TEXT(Panchanga!$C57+($C58-Panchanga!$C57)/ABS(IF($P58&lt;1,$P58+30,$P58)-Panchanga!$P57)*(ROUNDUP(Panchanga!$P57,0)-Panchanga!$P57),"hh:mm AM/PM")</f>
        <v>07:28 PM</v>
      </c>
      <c r="AB57" s="4"/>
    </row>
    <row r="58" spans="1:28" x14ac:dyDescent="0.2">
      <c r="A58" s="3">
        <f t="shared" si="19"/>
        <v>43574</v>
      </c>
      <c r="B58" s="3">
        <f t="shared" si="22"/>
        <v>43574.229166666664</v>
      </c>
      <c r="C58" s="6">
        <f t="shared" si="20"/>
        <v>43574.24697689867</v>
      </c>
      <c r="D58" s="6">
        <f t="shared" si="21"/>
        <v>43573.765381475489</v>
      </c>
      <c r="E58" s="7">
        <f>Panchanga!$C58-TimeZone/24</f>
        <v>43574.017810232006</v>
      </c>
      <c r="F58" s="8" t="str">
        <f>INT(P[Sun]/30)&amp;"s"&amp;ROUNDUP(MOD(P[Sun],30),2)</f>
        <v>0s4.56</v>
      </c>
      <c r="G58" s="13" t="str">
        <f>INT(P[Moon]/30)&amp;"s"&amp;ROUNDUP(MOD(P[Moon],30),2)</f>
        <v>5s28.5</v>
      </c>
      <c r="H58" s="14">
        <f t="shared" si="18"/>
        <v>43574.017810232006</v>
      </c>
      <c r="I58" s="4" t="str">
        <f>naks(P[[#This Row],[Moon]])</f>
        <v>Chitra</v>
      </c>
      <c r="J58" s="6">
        <f>(C59-P[[#This Row],[SunRise]])/(T59-P[[#This Row],[Moon]])*(13.3333333333333-MOD(P[[#This Row],[Moon]],13.333333333333))+P[[#This Row],[SunRise]]</f>
        <v>43574.814257872444</v>
      </c>
      <c r="K58" s="4" t="str">
        <f>IF(Panchanga!$P58&gt;15,"K","S")&amp;ROUNDUP(MOD(Panchanga!$P58,15),0)&amp;" ("&amp;ROUND(Panchanga!$P58,2)&amp;")"</f>
        <v>S15 (14.5)</v>
      </c>
      <c r="L58" s="4">
        <f>IF(AND(Panchanga!$P58&lt;28.5,Panchanga!$P58&gt;0.49999),MOD((Panchanga!$P58-0.5)*2,7),MOD((Panchanga!$P58+30-28.5),30)*2+7)</f>
        <v>6.9906000000000006</v>
      </c>
      <c r="M58" s="4" t="str">
        <f>CHOOSE(ROUNDUP(Panchanga!$L58,0),"Bhava","Baalava","Kaulava","Taitula","Garija","Vanija","Vishti","Shakuni","Chatushapda","Naaga","Kimstugna")</f>
        <v>Vishti</v>
      </c>
      <c r="N58" s="11" t="str">
        <f>CHOOSE(ROUNDUP(Panchanga!$Q58,0),"viṣkambha","prīti","āyuṣmāna","saubhāgya","śobhana","atigaṇḍa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("&amp;Panchanga!$Q58&amp;")"</f>
        <v>harṣaṇa (13.73)</v>
      </c>
      <c r="O58" s="4">
        <f>IF(AND(Panchanga!$P58&lt;28.5,Panchanga!$P58&gt;0.49999),MOD((Panchanga!$P58-0.5)*2,7),MOD((Panchanga!$P58+30-28.5),30)*2+7)</f>
        <v>6.9906000000000006</v>
      </c>
      <c r="P58" s="4">
        <f>ROUNDUP(MOD(360+P[Moon]-P[Sun],360)/12,4)</f>
        <v>14.4953</v>
      </c>
      <c r="Q58" s="4">
        <f>ROUNDUP(MOD(P[Sun]+P[Moon],360)/13.333333333,2)</f>
        <v>13.73</v>
      </c>
      <c r="R58" s="4" t="str">
        <f>SIGN(U59-Panchanga!$U58)*INT(Panchanga!$U58/30+1)&amp;"Ma,"&amp;SIGN(V59-Panchanga!$V58)*INT(Panchanga!$V58/30+1)&amp;"Me,"&amp;SIGN(W59-Panchanga!$W58)*INT(Panchanga!$W58/30+1)&amp;"J, "&amp;SIGN(X59-Panchanga!$X58)*INT(Panchanga!$X58/30+1)&amp;"V,"&amp;SIGN(Y59-Panchanga!$Y58)*INT(Panchanga!$Y58/30+1)&amp;"S,"&amp;INT(Panchanga!$Z58/30+1)&amp;"R"</f>
        <v>2Ma,12Me,-9J, 12V,9S,3R</v>
      </c>
      <c r="S58" s="4">
        <f t="shared" si="15"/>
        <v>4.5561520408196401</v>
      </c>
      <c r="T58" s="4">
        <f t="shared" si="16"/>
        <v>178.49873019818281</v>
      </c>
      <c r="U58" s="4">
        <f>Planet(Panchanga!$E58,4)</f>
        <v>48.236653633747501</v>
      </c>
      <c r="V58" s="4">
        <f>Planet(Panchanga!$E58,2)</f>
        <v>338.08559546560929</v>
      </c>
      <c r="W58" s="4">
        <f>Planet(Panchanga!$E58,5)</f>
        <v>240.12040105345071</v>
      </c>
      <c r="X58" s="4">
        <f>Planet(Panchanga!$E58,3)</f>
        <v>333.87388623928928</v>
      </c>
      <c r="Y58" s="4">
        <f>Planet(Panchanga!$E58,6)</f>
        <v>266.29724666535611</v>
      </c>
      <c r="Z58" s="4">
        <f>Planet(Panchanga!$E58,10)</f>
        <v>87.725276658765239</v>
      </c>
      <c r="AA58" s="4" t="str">
        <f>TEXT(Panchanga!$C58+($C59-Panchanga!$C58)/ABS(IF($P59&lt;1,$P59+30,$P59)-Panchanga!$P58)*(ROUNDUP(Panchanga!$P58,0)-Panchanga!$P58),"hh:mm AM/PM")</f>
        <v>04:45 PM</v>
      </c>
      <c r="AB58" s="4"/>
    </row>
    <row r="59" spans="1:28" x14ac:dyDescent="0.2">
      <c r="A59" s="3">
        <f t="shared" si="19"/>
        <v>43575</v>
      </c>
      <c r="B59" s="3">
        <f t="shared" si="22"/>
        <v>43575.229166666664</v>
      </c>
      <c r="C59" s="6">
        <f t="shared" si="20"/>
        <v>43575.246582713131</v>
      </c>
      <c r="D59" s="6">
        <f t="shared" si="21"/>
        <v>43574.765471120874</v>
      </c>
      <c r="E59" s="7">
        <f>Panchanga!$C59-TimeZone/24</f>
        <v>43575.017416046467</v>
      </c>
      <c r="F59" s="8" t="str">
        <f>INT(P[Sun]/30)&amp;"s"&amp;ROUNDUP(MOD(P[Sun],30),2)</f>
        <v>0s5.54</v>
      </c>
      <c r="G59" s="13" t="str">
        <f>INT(P[Moon]/30)&amp;"s"&amp;ROUNDUP(MOD(P[Moon],30),2)</f>
        <v>6s12.9</v>
      </c>
      <c r="H59" s="14">
        <f t="shared" si="18"/>
        <v>43575.017416046467</v>
      </c>
      <c r="I59" s="4" t="str">
        <f>naks(P[[#This Row],[Moon]])</f>
        <v>Swati</v>
      </c>
      <c r="J59" s="6">
        <f>(C60-P[[#This Row],[SunRise]])/(T60-P[[#This Row],[Moon]])*(13.3333333333333-MOD(P[[#This Row],[Moon]],13.333333333333))+P[[#This Row],[SunRise]]</f>
        <v>43575.751749693547</v>
      </c>
      <c r="K59" s="4" t="str">
        <f>IF(Panchanga!$P59&gt;15,"K","S")&amp;ROUNDUP(MOD(Panchanga!$P59,15),0)&amp;" ("&amp;ROUND(Panchanga!$P59,2)&amp;")"</f>
        <v>K1 (15.61)</v>
      </c>
      <c r="L59" s="4">
        <f>IF(AND(Panchanga!$P59&lt;28.5,Panchanga!$P59&gt;0.49999),MOD((Panchanga!$P59-0.5)*2,7),MOD((Panchanga!$P59+30-28.5),30)*2+7)</f>
        <v>2.2266000000000012</v>
      </c>
      <c r="M59" s="4" t="str">
        <f>CHOOSE(ROUNDUP(Panchanga!$L59,0),"Bhava","Baalava","Kaulava","Taitula","Garija","Vanija","Vishti","Shakuni","Chatushapda","Naaga","Kimstugna")</f>
        <v>Kaulava</v>
      </c>
      <c r="N59" s="11" t="str">
        <f>CHOOSE(ROUNDUP(Panchanga!$Q59,0),"viṣkambha","prīti","āyuṣmāna","saubhāgya","śobhana","atigaṇḍa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("&amp;Panchanga!$Q59&amp;")"</f>
        <v>vajra (14.89)</v>
      </c>
      <c r="O59" s="4">
        <f>IF(AND(Panchanga!$P59&lt;28.5,Panchanga!$P59&gt;0.49999),MOD((Panchanga!$P59-0.5)*2,7),MOD((Panchanga!$P59+30-28.5),30)*2+7)</f>
        <v>2.2266000000000012</v>
      </c>
      <c r="P59" s="4">
        <f>ROUNDUP(MOD(360+P[Moon]-P[Sun],360)/12,4)</f>
        <v>15.613300000000001</v>
      </c>
      <c r="Q59" s="4">
        <f>ROUNDUP(MOD(P[Sun]+P[Moon],360)/13.333333333,2)</f>
        <v>14.89</v>
      </c>
      <c r="R59" s="4" t="str">
        <f>SIGN(U60-Panchanga!$U59)*INT(Panchanga!$U59/30+1)&amp;"Ma,"&amp;SIGN(V60-Panchanga!$V59)*INT(Panchanga!$V59/30+1)&amp;"Me,"&amp;SIGN(W60-Panchanga!$W59)*INT(Panchanga!$W59/30+1)&amp;"J, "&amp;SIGN(X60-Panchanga!$X59)*INT(Panchanga!$X59/30+1)&amp;"V,"&amp;SIGN(Y60-Panchanga!$Y59)*INT(Panchanga!$Y59/30+1)&amp;"S,"&amp;INT(Panchanga!$Z59/30+1)&amp;"R"</f>
        <v>2Ma,12Me,-9J, 12V,9S,3R</v>
      </c>
      <c r="S59" s="4">
        <f t="shared" si="15"/>
        <v>5.5323776625704362</v>
      </c>
      <c r="T59" s="4">
        <f t="shared" si="16"/>
        <v>192.89145120146955</v>
      </c>
      <c r="U59" s="4">
        <f>Planet(Panchanga!$E59,4)</f>
        <v>48.891354045885734</v>
      </c>
      <c r="V59" s="4">
        <f>Planet(Panchanga!$E59,2)</f>
        <v>339.3835166648966</v>
      </c>
      <c r="W59" s="4">
        <f>Planet(Panchanga!$E59,5)</f>
        <v>240.09300281401997</v>
      </c>
      <c r="X59" s="4">
        <f>Planet(Panchanga!$E59,3)</f>
        <v>335.08360236623923</v>
      </c>
      <c r="Y59" s="4">
        <f>Planet(Panchanga!$E59,6)</f>
        <v>266.31440310578546</v>
      </c>
      <c r="Z59" s="4">
        <f>Planet(Panchanga!$E59,10)</f>
        <v>87.672305550759106</v>
      </c>
      <c r="AA59" s="4" t="str">
        <f>TEXT(Panchanga!$C59+($C60-Panchanga!$C59)/ABS(IF($P60&lt;1,$P60+30,$P60)-Panchanga!$P59)*(ROUNDUP(Panchanga!$P59,0)-Panchanga!$P59),"hh:mm AM/PM")</f>
        <v>02:25 PM</v>
      </c>
      <c r="AB59" s="4"/>
    </row>
    <row r="60" spans="1:28" x14ac:dyDescent="0.2">
      <c r="A60" s="3">
        <f t="shared" si="19"/>
        <v>43576</v>
      </c>
      <c r="B60" s="3">
        <f t="shared" si="22"/>
        <v>43576.229166666664</v>
      </c>
      <c r="C60" s="6">
        <f t="shared" si="20"/>
        <v>43576.246194885731</v>
      </c>
      <c r="D60" s="6">
        <f t="shared" si="21"/>
        <v>43575.76556394533</v>
      </c>
      <c r="E60" s="7">
        <f>Panchanga!$C60-TimeZone/24</f>
        <v>43576.017028219067</v>
      </c>
      <c r="F60" s="8" t="str">
        <f>INT(P[Sun]/30)&amp;"s"&amp;ROUNDUP(MOD(P[Sun],30),2)</f>
        <v>0s6.51</v>
      </c>
      <c r="G60" s="13" t="str">
        <f>INT(P[Moon]/30)&amp;"s"&amp;ROUNDUP(MOD(P[Moon],30),2)</f>
        <v>6s26.96</v>
      </c>
      <c r="H60" s="14">
        <f t="shared" si="18"/>
        <v>43576.017028219067</v>
      </c>
      <c r="I60" s="4" t="str">
        <f>naks(P[[#This Row],[Moon]])</f>
        <v>Visakha</v>
      </c>
      <c r="J60" s="6">
        <f>(C61-P[[#This Row],[SunRise]])/(T61-P[[#This Row],[Moon]])*(13.3333333333333-MOD(P[[#This Row],[Moon]],13.333333333333))+P[[#This Row],[SunRise]]</f>
        <v>43576.71248133092</v>
      </c>
      <c r="K60" s="4" t="str">
        <f>IF(Panchanga!$P60&gt;15,"K","S")&amp;ROUNDUP(MOD(Panchanga!$P60,15),0)&amp;" ("&amp;ROUND(Panchanga!$P60,2)&amp;")"</f>
        <v>K2 (16.7)</v>
      </c>
      <c r="L60" s="4">
        <f>IF(AND(Panchanga!$P60&lt;28.5,Panchanga!$P60&gt;0.49999),MOD((Panchanga!$P60-0.5)*2,7),MOD((Panchanga!$P60+30-28.5),30)*2+7)</f>
        <v>4.4084000000000003</v>
      </c>
      <c r="M60" s="4" t="str">
        <f>CHOOSE(ROUNDUP(Panchanga!$L60,0),"Bhava","Baalava","Kaulava","Taitula","Garija","Vanija","Vishti","Shakuni","Chatushapda","Naaga","Kimstugna")</f>
        <v>Garija</v>
      </c>
      <c r="N60" s="11" t="str">
        <f>CHOOSE(ROUNDUP(Panchanga!$Q60,0),"viṣkambha","prīti","āyuṣmāna","saubhāgya","śobhana","atigaṇḍa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("&amp;Panchanga!$Q60&amp;")"</f>
        <v>vyatipāta (16.01)</v>
      </c>
      <c r="O60" s="4">
        <f>IF(AND(Panchanga!$P60&lt;28.5,Panchanga!$P60&gt;0.49999),MOD((Panchanga!$P60-0.5)*2,7),MOD((Panchanga!$P60+30-28.5),30)*2+7)</f>
        <v>4.4084000000000003</v>
      </c>
      <c r="P60" s="4">
        <f>ROUNDUP(MOD(360+P[Moon]-P[Sun],360)/12,4)</f>
        <v>16.7042</v>
      </c>
      <c r="Q60" s="4">
        <f>ROUNDUP(MOD(P[Sun]+P[Moon],360)/13.333333333,2)</f>
        <v>16.010000000000002</v>
      </c>
      <c r="R60" s="4" t="str">
        <f>SIGN(U61-Panchanga!$U60)*INT(Panchanga!$U60/30+1)&amp;"Ma,"&amp;SIGN(V61-Panchanga!$V60)*INT(Panchanga!$V60/30+1)&amp;"Me,"&amp;SIGN(W61-Panchanga!$W60)*INT(Panchanga!$W60/30+1)&amp;"J, "&amp;SIGN(X61-Panchanga!$X60)*INT(Panchanga!$X60/30+1)&amp;"V,"&amp;SIGN(Y61-Panchanga!$Y60)*INT(Panchanga!$Y60/30+1)&amp;"S,"&amp;INT(Panchanga!$Z60/30+1)&amp;"R"</f>
        <v>2Ma,12Me,-9J, 12V,9S,3R</v>
      </c>
      <c r="S60" s="4">
        <f t="shared" si="15"/>
        <v>6.508085072487618</v>
      </c>
      <c r="T60" s="4">
        <f t="shared" si="16"/>
        <v>206.9576752106158</v>
      </c>
      <c r="U60" s="4">
        <f>Planet(Panchanga!$E60,4)</f>
        <v>49.5456775711015</v>
      </c>
      <c r="V60" s="4">
        <f>Planet(Panchanga!$E60,2)</f>
        <v>340.71597569988444</v>
      </c>
      <c r="W60" s="4">
        <f>Planet(Panchanga!$E60,5)</f>
        <v>240.06254537159529</v>
      </c>
      <c r="X60" s="4">
        <f>Planet(Panchanga!$E60,3)</f>
        <v>336.29358669171722</v>
      </c>
      <c r="Y60" s="4">
        <f>Planet(Panchanga!$E60,6)</f>
        <v>266.32994183246979</v>
      </c>
      <c r="Z60" s="4">
        <f>Planet(Panchanga!$E60,10)</f>
        <v>87.619334105862151</v>
      </c>
      <c r="AA60" s="4" t="str">
        <f>TEXT(Panchanga!$C60+($C61-Panchanga!$C60)/ABS(IF($P61&lt;1,$P61+30,$P61)-Panchanga!$P60)*(ROUNDUP(Panchanga!$P60,0)-Panchanga!$P60),"hh:mm AM/PM")</f>
        <v>12:37 PM</v>
      </c>
      <c r="AB60" s="4"/>
    </row>
    <row r="61" spans="1:28" x14ac:dyDescent="0.2">
      <c r="A61" s="3">
        <f t="shared" si="19"/>
        <v>43577</v>
      </c>
      <c r="B61" s="3">
        <f t="shared" si="22"/>
        <v>43577.229166666664</v>
      </c>
      <c r="C61" s="6">
        <f t="shared" si="20"/>
        <v>43577.245813574795</v>
      </c>
      <c r="D61" s="6">
        <f t="shared" si="21"/>
        <v>43576.765660266436</v>
      </c>
      <c r="E61" s="7">
        <f>Panchanga!$C61-TimeZone/24</f>
        <v>43577.01664690813</v>
      </c>
      <c r="F61" s="8" t="str">
        <f>INT(P[Sun]/30)&amp;"s"&amp;ROUNDUP(MOD(P[Sun],30),2)</f>
        <v>0s7.49</v>
      </c>
      <c r="G61" s="13" t="str">
        <f>INT(P[Moon]/30)&amp;"s"&amp;ROUNDUP(MOD(P[Moon],30),2)</f>
        <v>7s10.63</v>
      </c>
      <c r="H61" s="14">
        <f t="shared" si="18"/>
        <v>43577.01664690813</v>
      </c>
      <c r="I61" s="4" t="str">
        <f>naks(P[[#This Row],[Moon]])</f>
        <v>Anuradha</v>
      </c>
      <c r="J61" s="6">
        <f>(C62-P[[#This Row],[SunRise]])/(T62-P[[#This Row],[Moon]])*(13.3333333333333-MOD(P[[#This Row],[Moon]],13.333333333333))+P[[#This Row],[SunRise]]</f>
        <v>43577.70184684515</v>
      </c>
      <c r="K61" s="4" t="str">
        <f>IF(Panchanga!$P61&gt;15,"K","S")&amp;ROUNDUP(MOD(Panchanga!$P61,15),0)&amp;" ("&amp;ROUND(Panchanga!$P61,2)&amp;")"</f>
        <v>K3 (17.76)</v>
      </c>
      <c r="L61" s="4">
        <f>IF(AND(Panchanga!$P61&lt;28.5,Panchanga!$P61&gt;0.49999),MOD((Panchanga!$P61-0.5)*2,7),MOD((Panchanga!$P61+30-28.5),30)*2+7)</f>
        <v>6.5238000000000014</v>
      </c>
      <c r="M61" s="4" t="str">
        <f>CHOOSE(ROUNDUP(Panchanga!$L61,0),"Bhava","Baalava","Kaulava","Taitula","Garija","Vanija","Vishti","Shakuni","Chatushapda","Naaga","Kimstugna")</f>
        <v>Vishti</v>
      </c>
      <c r="N61" s="11" t="str">
        <f>CHOOSE(ROUNDUP(Panchanga!$Q61,0),"viṣkambha","prīti","āyuṣmāna","saubhāgya","śobhana","atigaṇḍa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("&amp;Panchanga!$Q61&amp;")"</f>
        <v>varīyas (17.11)</v>
      </c>
      <c r="O61" s="4">
        <f>IF(AND(Panchanga!$P61&lt;28.5,Panchanga!$P61&gt;0.49999),MOD((Panchanga!$P61-0.5)*2,7),MOD((Panchanga!$P61+30-28.5),30)*2+7)</f>
        <v>6.5238000000000014</v>
      </c>
      <c r="P61" s="4">
        <f>ROUNDUP(MOD(360+P[Moon]-P[Sun],360)/12,4)</f>
        <v>17.761900000000001</v>
      </c>
      <c r="Q61" s="4">
        <f>ROUNDUP(MOD(P[Sun]+P[Moon],360)/13.333333333,2)</f>
        <v>17.110000000000003</v>
      </c>
      <c r="R61" s="4" t="str">
        <f>SIGN(U62-Panchanga!$U61)*INT(Panchanga!$U61/30+1)&amp;"Ma,"&amp;SIGN(V62-Panchanga!$V61)*INT(Panchanga!$V61/30+1)&amp;"Me,"&amp;SIGN(W62-Panchanga!$W61)*INT(Panchanga!$W61/30+1)&amp;"J, "&amp;SIGN(X62-Panchanga!$X61)*INT(Panchanga!$X61/30+1)&amp;"V,"&amp;SIGN(Y62-Panchanga!$Y61)*INT(Panchanga!$Y61/30+1)&amp;"S,"&amp;INT(Panchanga!$Z61/30+1)&amp;"R"</f>
        <v>2Ma,12Me,-9J, 12V,9S,3R</v>
      </c>
      <c r="S61" s="4">
        <f t="shared" si="15"/>
        <v>7.4832962405747558</v>
      </c>
      <c r="T61" s="4">
        <f t="shared" si="16"/>
        <v>220.6257264273458</v>
      </c>
      <c r="U61" s="4">
        <f>Planet(Panchanga!$E61,4)</f>
        <v>50.199634849957526</v>
      </c>
      <c r="V61" s="4">
        <f>Planet(Panchanga!$E61,2)</f>
        <v>342.08212060272189</v>
      </c>
      <c r="W61" s="4">
        <f>Planet(Panchanga!$E61,5)</f>
        <v>240.02903898264933</v>
      </c>
      <c r="X61" s="4">
        <f>Planet(Panchanga!$E61,3)</f>
        <v>337.50384065743941</v>
      </c>
      <c r="Y61" s="4">
        <f>Planet(Panchanga!$E61,6)</f>
        <v>266.34385908360031</v>
      </c>
      <c r="Z61" s="4">
        <f>Planet(Panchanga!$E61,10)</f>
        <v>87.566362315624446</v>
      </c>
      <c r="AA61" s="4" t="str">
        <f>TEXT(Panchanga!$C61+($C62-Panchanga!$C61)/ABS(IF($P62&lt;1,$P62+30,$P62)-Panchanga!$P61)*(ROUNDUP(Panchanga!$P61,0)-Panchanga!$P61),"hh:mm AM/PM")</f>
        <v>11:29 AM</v>
      </c>
      <c r="AB61" s="4"/>
    </row>
    <row r="62" spans="1:28" x14ac:dyDescent="0.2">
      <c r="A62" s="3">
        <f t="shared" si="19"/>
        <v>43578</v>
      </c>
      <c r="B62" s="3">
        <f t="shared" si="22"/>
        <v>43578.229166666664</v>
      </c>
      <c r="C62" s="6">
        <f t="shared" si="20"/>
        <v>43578.245439257626</v>
      </c>
      <c r="D62" s="6">
        <f t="shared" si="21"/>
        <v>43577.765760084192</v>
      </c>
      <c r="E62" s="7">
        <f>Panchanga!$C62-TimeZone/24</f>
        <v>43578.016272590961</v>
      </c>
      <c r="F62" s="8" t="str">
        <f>INT(P[Sun]/30)&amp;"s"&amp;ROUNDUP(MOD(P[Sun],30),2)</f>
        <v>0s8.46</v>
      </c>
      <c r="G62" s="13" t="str">
        <f>INT(P[Moon]/30)&amp;"s"&amp;ROUNDUP(MOD(P[Moon],30),2)</f>
        <v>7s23.87</v>
      </c>
      <c r="H62" s="14">
        <f t="shared" si="18"/>
        <v>43578.016272590961</v>
      </c>
      <c r="I62" s="4" t="str">
        <f>naks(P[[#This Row],[Moon]])</f>
        <v>Jyestha</v>
      </c>
      <c r="J62" s="6">
        <f>(C63-P[[#This Row],[SunRise]])/(T63-P[[#This Row],[Moon]])*(13.3333333333333-MOD(P[[#This Row],[Moon]],13.333333333333))+P[[#This Row],[SunRise]]</f>
        <v>43578.723286107845</v>
      </c>
      <c r="K62" s="4" t="str">
        <f>IF(Panchanga!$P62&gt;15,"K","S")&amp;ROUNDUP(MOD(Panchanga!$P62,15),0)&amp;" ("&amp;ROUND(Panchanga!$P62,2)&amp;")"</f>
        <v>K4 (18.78)</v>
      </c>
      <c r="L62" s="4">
        <f>IF(AND(Panchanga!$P62&lt;28.5,Panchanga!$P62&gt;0.49999),MOD((Panchanga!$P62-0.5)*2,7),MOD((Panchanga!$P62+30-28.5),30)*2+7)</f>
        <v>1.5683999999999969</v>
      </c>
      <c r="M62" s="4" t="str">
        <f>CHOOSE(ROUNDUP(Panchanga!$L62,0),"Bhava","Baalava","Kaulava","Taitula","Garija","Vanija","Vishti","Shakuni","Chatushapda","Naaga","Kimstugna")</f>
        <v>Baalava</v>
      </c>
      <c r="N62" s="11" t="str">
        <f>CHOOSE(ROUNDUP(Panchanga!$Q62,0),"viṣkambha","prīti","āyuṣmāna","saubhāgya","śobhana","atigaṇḍa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("&amp;Panchanga!$Q62&amp;")"</f>
        <v>parigha (18.18)</v>
      </c>
      <c r="O62" s="4">
        <f>IF(AND(Panchanga!$P62&lt;28.5,Panchanga!$P62&gt;0.49999),MOD((Panchanga!$P62-0.5)*2,7),MOD((Panchanga!$P62+30-28.5),30)*2+7)</f>
        <v>1.5683999999999969</v>
      </c>
      <c r="P62" s="4">
        <f>ROUNDUP(MOD(360+P[Moon]-P[Sun],360)/12,4)</f>
        <v>18.784199999999998</v>
      </c>
      <c r="Q62" s="4">
        <f>ROUNDUP(MOD(P[Sun]+P[Moon],360)/13.333333333,2)</f>
        <v>18.180000000000003</v>
      </c>
      <c r="R62" s="4" t="str">
        <f>SIGN(U63-Panchanga!$U62)*INT(Panchanga!$U62/30+1)&amp;"Ma,"&amp;SIGN(V63-Panchanga!$V62)*INT(Panchanga!$V62/30+1)&amp;"Me,"&amp;SIGN(W63-Panchanga!$W62)*INT(Panchanga!$W62/30+1)&amp;"J, "&amp;SIGN(X63-Panchanga!$X62)*INT(Panchanga!$X62/30+1)&amp;"V,"&amp;SIGN(Y63-Panchanga!$Y62)*INT(Panchanga!$Y62/30+1)&amp;"S,"&amp;INT(Panchanga!$Z62/30+1)&amp;"R"</f>
        <v>2Ma,12Me,-8J, 12V,9S,3R</v>
      </c>
      <c r="S62" s="4">
        <f t="shared" si="15"/>
        <v>8.4580305647381682</v>
      </c>
      <c r="T62" s="4">
        <f t="shared" si="16"/>
        <v>233.86747742271413</v>
      </c>
      <c r="U62" s="4">
        <f>Planet(Panchanga!$E62,4)</f>
        <v>50.853236897313089</v>
      </c>
      <c r="V62" s="4">
        <f>Planet(Panchanga!$E62,2)</f>
        <v>343.48121310291566</v>
      </c>
      <c r="W62" s="4">
        <f>Planet(Panchanga!$E62,5)</f>
        <v>239.99249512942646</v>
      </c>
      <c r="X62" s="4">
        <f>Planet(Panchanga!$E62,3)</f>
        <v>338.71436326049837</v>
      </c>
      <c r="Y62" s="4">
        <f>Planet(Panchanga!$E62,6)</f>
        <v>266.35615112422715</v>
      </c>
      <c r="Z62" s="4">
        <f>Planet(Panchanga!$E62,10)</f>
        <v>87.513390154795061</v>
      </c>
      <c r="AA62" s="4" t="str">
        <f>TEXT(Panchanga!$C62+($C63-Panchanga!$C62)/ABS(IF($P63&lt;1,$P63+30,$P63)-Panchanga!$P62)*(ROUNDUP(Panchanga!$P62,0)-Panchanga!$P62),"hh:mm AM/PM")</f>
        <v>11:07 AM</v>
      </c>
      <c r="AB62" s="4"/>
    </row>
    <row r="63" spans="1:28" x14ac:dyDescent="0.2">
      <c r="A63" s="3">
        <f t="shared" si="19"/>
        <v>43579</v>
      </c>
      <c r="B63" s="3">
        <f t="shared" si="22"/>
        <v>43579.229166666664</v>
      </c>
      <c r="C63" s="6">
        <f t="shared" si="20"/>
        <v>43579.245071934223</v>
      </c>
      <c r="D63" s="6">
        <f t="shared" si="21"/>
        <v>43578.765863716646</v>
      </c>
      <c r="E63" s="7">
        <f>Panchanga!$C63-TimeZone/24</f>
        <v>43579.015905267559</v>
      </c>
      <c r="F63" s="8" t="str">
        <f>INT(P[Sun]/30)&amp;"s"&amp;ROUNDUP(MOD(P[Sun],30),2)</f>
        <v>0s9.44</v>
      </c>
      <c r="G63" s="13" t="str">
        <f>INT(P[Moon]/30)&amp;"s"&amp;ROUNDUP(MOD(P[Moon],30),2)</f>
        <v>8s6.7</v>
      </c>
      <c r="H63" s="14">
        <f t="shared" si="18"/>
        <v>43579.015905267559</v>
      </c>
      <c r="I63" s="4" t="str">
        <f>naks(P[[#This Row],[Moon]])</f>
        <v>Moola</v>
      </c>
      <c r="J63" s="6">
        <f>(C64-P[[#This Row],[SunRise]])/(T64-P[[#This Row],[Moon]])*(13.3333333333333-MOD(P[[#This Row],[Moon]],13.333333333333))+P[[#This Row],[SunRise]]</f>
        <v>43579.77739065951</v>
      </c>
      <c r="K63" s="4" t="str">
        <f>IF(Panchanga!$P63&gt;15,"K","S")&amp;ROUNDUP(MOD(Panchanga!$P63,15),0)&amp;" ("&amp;ROUND(Panchanga!$P63,2)&amp;")"</f>
        <v>K5 (19.77)</v>
      </c>
      <c r="L63" s="4">
        <f>IF(AND(Panchanga!$P63&lt;28.5,Panchanga!$P63&gt;0.49999),MOD((Panchanga!$P63-0.5)*2,7),MOD((Panchanga!$P63+30-28.5),30)*2+7)</f>
        <v>3.5441999999999965</v>
      </c>
      <c r="M63" s="4" t="str">
        <f>CHOOSE(ROUNDUP(Panchanga!$L63,0),"Bhava","Baalava","Kaulava","Taitula","Garija","Vanija","Vishti","Shakuni","Chatushapda","Naaga","Kimstugna")</f>
        <v>Taitula</v>
      </c>
      <c r="N63" s="11" t="str">
        <f>CHOOSE(ROUNDUP(Panchanga!$Q63,0),"viṣkambha","prīti","āyuṣmāna","saubhāgya","śobhana","atigaṇḍa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("&amp;Panchanga!$Q63&amp;")"</f>
        <v>śiva (19.21)</v>
      </c>
      <c r="O63" s="4">
        <f>IF(AND(Panchanga!$P63&lt;28.5,Panchanga!$P63&gt;0.49999),MOD((Panchanga!$P63-0.5)*2,7),MOD((Panchanga!$P63+30-28.5),30)*2+7)</f>
        <v>3.5441999999999965</v>
      </c>
      <c r="P63" s="4">
        <f>ROUNDUP(MOD(360+P[Moon]-P[Sun],360)/12,4)</f>
        <v>19.772099999999998</v>
      </c>
      <c r="Q63" s="4">
        <f>ROUNDUP(MOD(P[Sun]+P[Moon],360)/13.333333333,2)</f>
        <v>19.21</v>
      </c>
      <c r="R63" s="4" t="str">
        <f>SIGN(U64-Panchanga!$U63)*INT(Panchanga!$U63/30+1)&amp;"Ma,"&amp;SIGN(V64-Panchanga!$V63)*INT(Panchanga!$V63/30+1)&amp;"Me,"&amp;SIGN(W64-Panchanga!$W63)*INT(Panchanga!$W63/30+1)&amp;"J, "&amp;SIGN(X64-Panchanga!$X63)*INT(Panchanga!$X63/30+1)&amp;"V,"&amp;SIGN(Y64-Panchanga!$Y63)*INT(Panchanga!$Y63/30+1)&amp;"S,"&amp;INT(Panchanga!$Z63/30+1)&amp;"R"</f>
        <v>2Ma,12Me,-8J, 12V,9S,3R</v>
      </c>
      <c r="S63" s="4">
        <f t="shared" si="15"/>
        <v>9.4323035508230983</v>
      </c>
      <c r="T63" s="4">
        <f t="shared" si="16"/>
        <v>246.69642032645797</v>
      </c>
      <c r="U63" s="4">
        <f>Planet(Panchanga!$E63,4)</f>
        <v>51.506493924814322</v>
      </c>
      <c r="V63" s="4">
        <f>Planet(Panchanga!$E63,2)</f>
        <v>344.91262077408607</v>
      </c>
      <c r="W63" s="4">
        <f>Planet(Panchanga!$E63,5)</f>
        <v>239.95292697387262</v>
      </c>
      <c r="X63" s="4">
        <f>Planet(Panchanga!$E63,3)</f>
        <v>339.92515029892741</v>
      </c>
      <c r="Y63" s="4">
        <f>Planet(Panchanga!$E63,6)</f>
        <v>266.36681442174603</v>
      </c>
      <c r="Z63" s="4">
        <f>Planet(Panchanga!$E63,10)</f>
        <v>87.460417623307762</v>
      </c>
      <c r="AA63" s="4" t="str">
        <f>TEXT(Panchanga!$C63+($C64-Panchanga!$C63)/ABS(IF($P64&lt;1,$P64+30,$P64)-Panchanga!$P63)*(ROUNDUP(Panchanga!$P63,0)-Panchanga!$P63),"hh:mm AM/PM")</f>
        <v>11:35 AM</v>
      </c>
      <c r="AB63" s="4"/>
    </row>
    <row r="64" spans="1:28" x14ac:dyDescent="0.2">
      <c r="A64" s="3">
        <f t="shared" si="19"/>
        <v>43580</v>
      </c>
      <c r="B64" s="3">
        <f t="shared" si="22"/>
        <v>43580.229166666664</v>
      </c>
      <c r="C64" s="6">
        <f t="shared" si="20"/>
        <v>43580.244711922169</v>
      </c>
      <c r="D64" s="6">
        <f t="shared" si="21"/>
        <v>43579.765971005007</v>
      </c>
      <c r="E64" s="7">
        <f>Panchanga!$C64-TimeZone/24</f>
        <v>43580.015545255505</v>
      </c>
      <c r="F64" s="8" t="str">
        <f>INT(P[Sun]/30)&amp;"s"&amp;ROUNDUP(MOD(P[Sun],30),2)</f>
        <v>0s10.41</v>
      </c>
      <c r="G64" s="13" t="str">
        <f>INT(P[Moon]/30)&amp;"s"&amp;ROUNDUP(MOD(P[Moon],30),2)</f>
        <v>8s19.16</v>
      </c>
      <c r="H64" s="14">
        <f t="shared" si="18"/>
        <v>43580.015545255505</v>
      </c>
      <c r="I64" s="4" t="str">
        <f>naks(P[[#This Row],[Moon]])</f>
        <v>Purva Asadha</v>
      </c>
      <c r="J64" s="6">
        <f>(C65-P[[#This Row],[SunRise]])/(T65-P[[#This Row],[Moon]])*(13.3333333333333-MOD(P[[#This Row],[Moon]],13.333333333333))+P[[#This Row],[SunRise]]</f>
        <v>43580.861374379398</v>
      </c>
      <c r="K64" s="4" t="str">
        <f>IF(Panchanga!$P64&gt;15,"K","S")&amp;ROUNDUP(MOD(Panchanga!$P64,15),0)&amp;" ("&amp;ROUND(Panchanga!$P64,2)&amp;")"</f>
        <v>K6 (20.73)</v>
      </c>
      <c r="L64" s="4">
        <f>IF(AND(Panchanga!$P64&lt;28.5,Panchanga!$P64&gt;0.49999),MOD((Panchanga!$P64-0.5)*2,7),MOD((Panchanga!$P64+30-28.5),30)*2+7)</f>
        <v>5.4589999999999961</v>
      </c>
      <c r="M64" s="4" t="str">
        <f>CHOOSE(ROUNDUP(Panchanga!$L64,0),"Bhava","Baalava","Kaulava","Taitula","Garija","Vanija","Vishti","Shakuni","Chatushapda","Naaga","Kimstugna")</f>
        <v>Vanija</v>
      </c>
      <c r="N64" s="11" t="str">
        <f>CHOOSE(ROUNDUP(Panchanga!$Q64,0),"viṣkambha","prīti","āyuṣmāna","saubhāgya","śobhana","atigaṇḍa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("&amp;Panchanga!$Q64&amp;")"</f>
        <v>siddha (20.22)</v>
      </c>
      <c r="O64" s="4">
        <f>IF(AND(Panchanga!$P64&lt;28.5,Panchanga!$P64&gt;0.49999),MOD((Panchanga!$P64-0.5)*2,7),MOD((Panchanga!$P64+30-28.5),30)*2+7)</f>
        <v>5.4589999999999961</v>
      </c>
      <c r="P64" s="4">
        <f>ROUNDUP(MOD(360+P[Moon]-P[Sun],360)/12,4)</f>
        <v>20.729499999999998</v>
      </c>
      <c r="Q64" s="4">
        <f>ROUNDUP(MOD(P[Sun]+P[Moon],360)/13.333333333,2)</f>
        <v>20.220000000000002</v>
      </c>
      <c r="R64" s="4" t="str">
        <f>SIGN(U65-Panchanga!$U64)*INT(Panchanga!$U64/30+1)&amp;"Ma,"&amp;SIGN(V65-Panchanga!$V64)*INT(Panchanga!$V64/30+1)&amp;"Me,"&amp;SIGN(W65-Panchanga!$W64)*INT(Panchanga!$W64/30+1)&amp;"J, "&amp;SIGN(X65-Panchanga!$X64)*INT(Panchanga!$X64/30+1)&amp;"V,"&amp;SIGN(Y65-Panchanga!$Y64)*INT(Panchanga!$Y64/30+1)&amp;"S,"&amp;INT(Panchanga!$Z64/30+1)&amp;"R"</f>
        <v>2Ma,12Me,-8J, 12V,9S,3R</v>
      </c>
      <c r="S64" s="4">
        <f t="shared" si="15"/>
        <v>10.406127552664158</v>
      </c>
      <c r="T64" s="4">
        <f t="shared" si="16"/>
        <v>259.15986247686084</v>
      </c>
      <c r="U64" s="4">
        <f>Planet(Panchanga!$E64,4)</f>
        <v>52.15941542642696</v>
      </c>
      <c r="V64" s="4">
        <f>Planet(Panchanga!$E64,2)</f>
        <v>346.37581199469946</v>
      </c>
      <c r="W64" s="4">
        <f>Planet(Panchanga!$E64,5)</f>
        <v>239.91034966536071</v>
      </c>
      <c r="X64" s="4">
        <f>Planet(Panchanga!$E64,3)</f>
        <v>341.13619579254771</v>
      </c>
      <c r="Y64" s="4">
        <f>Planet(Panchanga!$E64,6)</f>
        <v>266.37584582669126</v>
      </c>
      <c r="Z64" s="4">
        <f>Planet(Panchanga!$E64,10)</f>
        <v>87.407444704427931</v>
      </c>
      <c r="AA64" s="4" t="str">
        <f>TEXT(Panchanga!$C64+($C65-Panchanga!$C64)/ABS(IF($P65&lt;1,$P65+30,$P65)-Panchanga!$P64)*(ROUNDUP(Panchanga!$P64,0)-Panchanga!$P64),"hh:mm AM/PM")</f>
        <v>12:49 PM</v>
      </c>
      <c r="AB64" s="4"/>
    </row>
    <row r="65" spans="1:28" x14ac:dyDescent="0.2">
      <c r="A65" s="3">
        <f t="shared" si="19"/>
        <v>43581</v>
      </c>
      <c r="B65" s="3">
        <f t="shared" si="22"/>
        <v>43581.229166666664</v>
      </c>
      <c r="C65" s="6">
        <f t="shared" si="20"/>
        <v>43581.244359380718</v>
      </c>
      <c r="D65" s="6">
        <f t="shared" si="21"/>
        <v>43580.766082267321</v>
      </c>
      <c r="E65" s="7">
        <f>Panchanga!$C65-TimeZone/24</f>
        <v>43581.015192714054</v>
      </c>
      <c r="F65" s="8" t="str">
        <f>INT(P[Sun]/30)&amp;"s"&amp;ROUNDUP(MOD(P[Sun],30),2)</f>
        <v>0s11.38</v>
      </c>
      <c r="G65" s="13" t="str">
        <f>INT(P[Moon]/30)&amp;"s"&amp;ROUNDUP(MOD(P[Moon],30),2)</f>
        <v>9s1.33</v>
      </c>
      <c r="H65" s="14">
        <f t="shared" si="18"/>
        <v>43581.015192714054</v>
      </c>
      <c r="I65" s="4" t="str">
        <f>naks(P[[#This Row],[Moon]])</f>
        <v>Uttara Asadha</v>
      </c>
      <c r="J65" s="6">
        <f>(C66-P[[#This Row],[SunRise]])/(T66-P[[#This Row],[Moon]])*(13.3333333333333-MOD(P[[#This Row],[Moon]],13.333333333333))+P[[#This Row],[SunRise]]</f>
        <v>43581.969152283695</v>
      </c>
      <c r="K65" s="4" t="str">
        <f>IF(Panchanga!$P65&gt;15,"K","S")&amp;ROUNDUP(MOD(Panchanga!$P65,15),0)&amp;" ("&amp;ROUND(Panchanga!$P65,2)&amp;")"</f>
        <v>K7 (21.66)</v>
      </c>
      <c r="L65" s="4">
        <f>IF(AND(Panchanga!$P65&lt;28.5,Panchanga!$P65&gt;0.49999),MOD((Panchanga!$P65-0.5)*2,7),MOD((Panchanga!$P65+30-28.5),30)*2+7)</f>
        <v>0.32500000000000284</v>
      </c>
      <c r="M65" s="4" t="str">
        <f>CHOOSE(ROUNDUP(Panchanga!$L65,0),"Bhava","Baalava","Kaulava","Taitula","Garija","Vanija","Vishti","Shakuni","Chatushapda","Naaga","Kimstugna")</f>
        <v>Bhava</v>
      </c>
      <c r="N65" s="11" t="str">
        <f>CHOOSE(ROUNDUP(Panchanga!$Q65,0),"viṣkambha","prīti","āyuṣmāna","saubhāgya","śobhana","atigaṇḍa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("&amp;Panchanga!$Q65&amp;")"</f>
        <v>sādhya (21.21)</v>
      </c>
      <c r="O65" s="4">
        <f>IF(AND(Panchanga!$P65&lt;28.5,Panchanga!$P65&gt;0.49999),MOD((Panchanga!$P65-0.5)*2,7),MOD((Panchanga!$P65+30-28.5),30)*2+7)</f>
        <v>0.32500000000000284</v>
      </c>
      <c r="P65" s="4">
        <f>ROUNDUP(MOD(360+P[Moon]-P[Sun],360)/12,4)</f>
        <v>21.662500000000001</v>
      </c>
      <c r="Q65" s="4">
        <f>ROUNDUP(MOD(P[Sun]+P[Moon],360)/13.333333333,2)</f>
        <v>21.21</v>
      </c>
      <c r="R65" s="4" t="str">
        <f>SIGN(U66-Panchanga!$U65)*INT(Panchanga!$U65/30+1)&amp;"Ma,"&amp;SIGN(V66-Panchanga!$V65)*INT(Panchanga!$V65/30+1)&amp;"Me,"&amp;SIGN(W66-Panchanga!$W65)*INT(Panchanga!$W65/30+1)&amp;"J, "&amp;SIGN(X66-Panchanga!$X65)*INT(Panchanga!$X65/30+1)&amp;"V,"&amp;SIGN(Y66-Panchanga!$Y65)*INT(Panchanga!$Y65/30+1)&amp;"S,"&amp;INT(Panchanga!$Z65/30+1)&amp;"R"</f>
        <v>2Ma,12Me,-8J, 12V,9S,3R</v>
      </c>
      <c r="S65" s="4">
        <f t="shared" si="15"/>
        <v>11.379511634652374</v>
      </c>
      <c r="T65" s="4">
        <f t="shared" si="16"/>
        <v>271.32884997110511</v>
      </c>
      <c r="U65" s="4">
        <f>Planet(Panchanga!$E65,4)</f>
        <v>52.812009672442329</v>
      </c>
      <c r="V65" s="4">
        <f>Planet(Panchanga!$E65,2)</f>
        <v>347.87034943216872</v>
      </c>
      <c r="W65" s="4">
        <f>Planet(Panchanga!$E65,5)</f>
        <v>239.864780578487</v>
      </c>
      <c r="X65" s="4">
        <f>Planet(Panchanga!$E65,3)</f>
        <v>342.34749195718564</v>
      </c>
      <c r="Y65" s="4">
        <f>Planet(Panchanga!$E65,6)</f>
        <v>266.38324269595211</v>
      </c>
      <c r="Z65" s="4">
        <f>Planet(Panchanga!$E65,10)</f>
        <v>87.354471389639343</v>
      </c>
      <c r="AA65" s="4" t="str">
        <f>TEXT(Panchanga!$C65+($C66-Panchanga!$C65)/ABS(IF($P66&lt;1,$P66+30,$P66)-Panchanga!$P65)*(ROUNDUP(Panchanga!$P65,0)-Panchanga!$P65),"hh:mm AM/PM")</f>
        <v>02:42 PM</v>
      </c>
      <c r="AB65" s="4"/>
    </row>
    <row r="66" spans="1:28" x14ac:dyDescent="0.2">
      <c r="A66" s="3">
        <f t="shared" si="19"/>
        <v>43582</v>
      </c>
      <c r="B66" s="3">
        <f t="shared" si="22"/>
        <v>43582.229166666664</v>
      </c>
      <c r="C66" s="6">
        <f t="shared" si="20"/>
        <v>43582.244014627453</v>
      </c>
      <c r="D66" s="6">
        <f t="shared" si="21"/>
        <v>43581.766197343866</v>
      </c>
      <c r="E66" s="7">
        <f>Panchanga!$C66-TimeZone/24</f>
        <v>43582.014847960789</v>
      </c>
      <c r="F66" s="8" t="str">
        <f>INT(P[Sun]/30)&amp;"s"&amp;ROUNDUP(MOD(P[Sun],30),2)</f>
        <v>0s12.36</v>
      </c>
      <c r="G66" s="13" t="str">
        <f>INT(P[Moon]/30)&amp;"s"&amp;ROUNDUP(MOD(P[Moon],30),2)</f>
        <v>9s13.29</v>
      </c>
      <c r="H66" s="14">
        <f t="shared" si="18"/>
        <v>43582.014847960789</v>
      </c>
      <c r="I66" s="4" t="str">
        <f>naks(P[[#This Row],[Moon]])</f>
        <v>Sravana</v>
      </c>
      <c r="J66" s="6">
        <f>(C67-P[[#This Row],[SunRise]])/(T67-P[[#This Row],[Moon]])*(13.3333333333333-MOD(P[[#This Row],[Moon]],13.333333333333))+P[[#This Row],[SunRise]]</f>
        <v>43583.092085088232</v>
      </c>
      <c r="K66" s="4" t="str">
        <f>IF(Panchanga!$P66&gt;15,"K","S")&amp;ROUNDUP(MOD(Panchanga!$P66,15),0)&amp;" ("&amp;ROUND(Panchanga!$P66,2)&amp;")"</f>
        <v>K8 (22.58)</v>
      </c>
      <c r="L66" s="4">
        <f>IF(AND(Panchanga!$P66&lt;28.5,Panchanga!$P66&gt;0.49999),MOD((Panchanga!$P66-0.5)*2,7),MOD((Panchanga!$P66+30-28.5),30)*2+7)</f>
        <v>2.1559999999999988</v>
      </c>
      <c r="M66" s="4" t="str">
        <f>CHOOSE(ROUNDUP(Panchanga!$L66,0),"Bhava","Baalava","Kaulava","Taitula","Garija","Vanija","Vishti","Shakuni","Chatushapda","Naaga","Kimstugna")</f>
        <v>Kaulava</v>
      </c>
      <c r="N66" s="11" t="str">
        <f>CHOOSE(ROUNDUP(Panchanga!$Q66,0),"viṣkambha","prīti","āyuṣmāna","saubhāgya","śobhana","atigaṇḍa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("&amp;Panchanga!$Q66&amp;")"</f>
        <v>śubha (22.18)</v>
      </c>
      <c r="O66" s="4">
        <f>IF(AND(Panchanga!$P66&lt;28.5,Panchanga!$P66&gt;0.49999),MOD((Panchanga!$P66-0.5)*2,7),MOD((Panchanga!$P66+30-28.5),30)*2+7)</f>
        <v>2.1559999999999988</v>
      </c>
      <c r="P66" s="4">
        <f>ROUNDUP(MOD(360+P[Moon]-P[Sun],360)/12,4)</f>
        <v>22.577999999999999</v>
      </c>
      <c r="Q66" s="4">
        <f>ROUNDUP(MOD(P[Sun]+P[Moon],360)/13.333333333,2)</f>
        <v>22.180000000000003</v>
      </c>
      <c r="R66" s="4" t="str">
        <f>SIGN(U67-Panchanga!$U66)*INT(Panchanga!$U66/30+1)&amp;"Ma,"&amp;SIGN(V67-Panchanga!$V66)*INT(Panchanga!$V66/30+1)&amp;"Me,"&amp;SIGN(W67-Panchanga!$W66)*INT(Panchanga!$W66/30+1)&amp;"J, "&amp;SIGN(X67-Panchanga!$X66)*INT(Panchanga!$X66/30+1)&amp;"V,"&amp;SIGN(Y67-Panchanga!$Y66)*INT(Panchanga!$Y66/30+1)&amp;"S,"&amp;INT(Panchanga!$Z66/30+1)&amp;"R"</f>
        <v>2Ma,12Me,-8J, 12V,9S,3R</v>
      </c>
      <c r="S66" s="4">
        <f t="shared" si="15"/>
        <v>12.352462343667264</v>
      </c>
      <c r="T66" s="4">
        <f t="shared" si="16"/>
        <v>283.28834983105952</v>
      </c>
      <c r="U66" s="4">
        <f>Planet(Panchanga!$E66,4)</f>
        <v>53.464283899965494</v>
      </c>
      <c r="V66" s="4">
        <f>Planet(Panchanga!$E66,2)</f>
        <v>349.39588459249484</v>
      </c>
      <c r="W66" s="4">
        <f>Planet(Panchanga!$E66,5)</f>
        <v>239.81623941633086</v>
      </c>
      <c r="X66" s="4">
        <f>Planet(Panchanga!$E66,3)</f>
        <v>343.55903006817709</v>
      </c>
      <c r="Y66" s="4">
        <f>Planet(Panchanga!$E66,6)</f>
        <v>266.38900298025817</v>
      </c>
      <c r="Z66" s="4">
        <f>Planet(Panchanga!$E66,10)</f>
        <v>87.30149766217437</v>
      </c>
      <c r="AA66" s="4" t="str">
        <f>TEXT(Panchanga!$C66+($C67-Panchanga!$C66)/ABS(IF($P67&lt;1,$P67+30,$P67)-Panchanga!$P66)*(ROUNDUP(Panchanga!$P66,0)-Panchanga!$P66),"hh:mm AM/PM")</f>
        <v>05:02 PM</v>
      </c>
      <c r="AB66" s="4"/>
    </row>
    <row r="67" spans="1:28" x14ac:dyDescent="0.2">
      <c r="A67" s="3">
        <f t="shared" si="19"/>
        <v>43583</v>
      </c>
      <c r="B67" s="3">
        <f t="shared" ref="B67:B130" si="23">A67+TimeZone/24</f>
        <v>43583.229166666664</v>
      </c>
      <c r="C67" s="15">
        <f t="shared" ref="C67:C130" si="24">sunrise(Lat,Long,B67)+TimeZone/24+0.00103009259259259</f>
        <v>43583.243677821163</v>
      </c>
      <c r="D67" s="15">
        <f t="shared" ref="D67:D130" si="25">sunset(Lat,Long,B67)+TimeZone/24-0.000277777777777778</f>
        <v>43582.766316553156</v>
      </c>
      <c r="E67" s="17">
        <f>Panchanga!$C67-TimeZone/24</f>
        <v>43583.014511154499</v>
      </c>
      <c r="F67" s="18" t="str">
        <f>INT(P[Sun]/30)&amp;"s"&amp;ROUNDUP(MOD(P[Sun],30),2)</f>
        <v>0s13.33</v>
      </c>
      <c r="G67" s="18" t="str">
        <f>INT(P[Moon]/30)&amp;"s"&amp;ROUNDUP(MOD(P[Moon],30),2)</f>
        <v>9s25.13</v>
      </c>
      <c r="H67" s="14">
        <f t="shared" si="18"/>
        <v>43583.014511154499</v>
      </c>
      <c r="I67" s="4" t="str">
        <f>naks(P[[#This Row],[Moon]])</f>
        <v>Dhanistha</v>
      </c>
      <c r="J67" s="15">
        <f>(C68-P[[#This Row],[SunRise]])/(T68-P[[#This Row],[Moon]])*(13.3333333333333-MOD(P[[#This Row],[Moon]],13.333333333333))+P[[#This Row],[SunRise]]</f>
        <v>43584.220227409736</v>
      </c>
      <c r="K67" s="4" t="str">
        <f>IF(Panchanga!$P67&gt;15,"K","S")&amp;ROUNDUP(MOD(Panchanga!$P67,15),0)&amp;" ("&amp;ROUND(Panchanga!$P67,2)&amp;")"</f>
        <v>K9 (23.48)</v>
      </c>
      <c r="L67" s="4">
        <f>IF(AND(Panchanga!$P67&lt;28.5,Panchanga!$P67&gt;0.49999),MOD((Panchanga!$P67-0.5)*2,7),MOD((Panchanga!$P67+30-28.5),30)*2+7)</f>
        <v>3.9673999999999978</v>
      </c>
      <c r="M67" s="4" t="str">
        <f>CHOOSE(ROUNDUP(Panchanga!$L67,0),"Bhava","Baalava","Kaulava","Taitula","Garija","Vanija","Vishti","Shakuni","Chatushapda","Naaga","Kimstugna")</f>
        <v>Taitula</v>
      </c>
      <c r="N67" s="11" t="str">
        <f>CHOOSE(ROUNDUP(Panchanga!$Q67,0),"viṣkambha","prīti","āyuṣmāna","saubhāgya","śobhana","atigaṇḍa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("&amp;Panchanga!$Q67&amp;")"</f>
        <v>śukla (23.14)</v>
      </c>
      <c r="O67" s="4">
        <f>IF(AND(Panchanga!$P67&lt;28.5,Panchanga!$P67&gt;0.49999),MOD((Panchanga!$P67-0.5)*2,7),MOD((Panchanga!$P67+30-28.5),30)*2+7)</f>
        <v>3.9673999999999978</v>
      </c>
      <c r="P67" s="4">
        <f>ROUNDUP(MOD(360+P[Moon]-P[Sun],360)/12,4)</f>
        <v>23.483699999999999</v>
      </c>
      <c r="Q67" s="4">
        <f>ROUNDUP(MOD(P[Sun]+P[Moon],360)/13.333333333,2)</f>
        <v>23.14</v>
      </c>
      <c r="R67" s="4" t="str">
        <f>SIGN(U68-Panchanga!$U67)*INT(Panchanga!$U67/30+1)&amp;"Ma,"&amp;SIGN(V68-Panchanga!$V67)*INT(Panchanga!$V67/30+1)&amp;"Me,"&amp;SIGN(W68-Panchanga!$W67)*INT(Panchanga!$W67/30+1)&amp;"J, "&amp;SIGN(X68-Panchanga!$X67)*INT(Panchanga!$X67/30+1)&amp;"V,"&amp;SIGN(Y68-Panchanga!$Y67)*INT(Panchanga!$Y67/30+1)&amp;"S,"&amp;INT(Panchanga!$Z67/30+1)&amp;"R"</f>
        <v>2Ma,12Me,-8J, 12V,9S,3R</v>
      </c>
      <c r="S67" s="4">
        <f t="shared" ref="S67:S130" si="26">Planet($E67,0)</f>
        <v>13.324983829030399</v>
      </c>
      <c r="T67" s="4">
        <f t="shared" ref="T67:T130" si="27">Planet($E67,1)</f>
        <v>295.12887576971781</v>
      </c>
      <c r="U67" s="4">
        <f>Planet(Panchanga!$E67,4)</f>
        <v>54.116244189512287</v>
      </c>
      <c r="V67" s="4">
        <f>Planet(Panchanga!$E67,2)</f>
        <v>350.95215111514642</v>
      </c>
      <c r="W67" s="4">
        <f>Planet(Panchanga!$E67,5)</f>
        <v>239.76474827454726</v>
      </c>
      <c r="X67" s="4">
        <f>Planet(Panchanga!$E67,3)</f>
        <v>344.7708004096794</v>
      </c>
      <c r="Y67" s="4">
        <f>Planet(Panchanga!$E67,6)</f>
        <v>266.39312526828087</v>
      </c>
      <c r="Z67" s="4">
        <f>Planet(Panchanga!$E67,10)</f>
        <v>87.248523513549756</v>
      </c>
      <c r="AA67" s="4" t="str">
        <f>TEXT(Panchanga!$C67+($C68-Panchanga!$C67)/ABS(IF($P68&lt;1,$P68+30,$P68)-Panchanga!$P67)*(ROUNDUP(Panchanga!$P67,0)-Panchanga!$P67),"hh:mm AM/PM")</f>
        <v>07:33 PM</v>
      </c>
      <c r="AB67" s="4"/>
    </row>
    <row r="68" spans="1:28" x14ac:dyDescent="0.2">
      <c r="A68" s="3">
        <f t="shared" si="19"/>
        <v>43584</v>
      </c>
      <c r="B68" s="3">
        <f t="shared" si="23"/>
        <v>43584.229166666664</v>
      </c>
      <c r="C68" s="15">
        <f t="shared" si="24"/>
        <v>43584.24334896278</v>
      </c>
      <c r="D68" s="15">
        <f t="shared" si="25"/>
        <v>43583.766439735933</v>
      </c>
      <c r="E68" s="17">
        <f>Panchanga!$C68-TimeZone/24</f>
        <v>43584.014182296116</v>
      </c>
      <c r="F68" s="18" t="str">
        <f>INT(P[Sun]/30)&amp;"s"&amp;ROUNDUP(MOD(P[Sun],30),2)</f>
        <v>0s14.3</v>
      </c>
      <c r="G68" s="18" t="str">
        <f>INT(P[Moon]/30)&amp;"s"&amp;ROUNDUP(MOD(P[Moon],30),2)</f>
        <v>10s6.94</v>
      </c>
      <c r="H68" s="14">
        <f t="shared" si="18"/>
        <v>43584.014182296116</v>
      </c>
      <c r="I68" s="4" t="str">
        <f>naks(P[[#This Row],[Moon]])</f>
        <v>Satabhisaj</v>
      </c>
      <c r="J68" s="15">
        <f>(C69-P[[#This Row],[SunRise]])/(T69-P[[#This Row],[Moon]])*(13.3333333333333-MOD(P[[#This Row],[Moon]],13.333333333333))+P[[#This Row],[SunRise]]</f>
        <v>43585.343773329871</v>
      </c>
      <c r="K68" s="4" t="str">
        <f>IF(Panchanga!$P68&gt;15,"K","S")&amp;ROUNDUP(MOD(Panchanga!$P68,15),0)&amp;" ("&amp;ROUND(Panchanga!$P68,2)&amp;")"</f>
        <v>K10 (24.39)</v>
      </c>
      <c r="L68" s="4">
        <f>IF(AND(Panchanga!$P68&lt;28.5,Panchanga!$P68&gt;0.49999),MOD((Panchanga!$P68-0.5)*2,7),MOD((Panchanga!$P68+30-28.5),30)*2+7)</f>
        <v>5.7738000000000014</v>
      </c>
      <c r="M68" s="4" t="str">
        <f>CHOOSE(ROUNDUP(Panchanga!$L68,0),"Bhava","Baalava","Kaulava","Taitula","Garija","Vanija","Vishti","Shakuni","Chatushapda","Naaga","Kimstugna")</f>
        <v>Vanija</v>
      </c>
      <c r="N68" s="11" t="str">
        <f>CHOOSE(ROUNDUP(Panchanga!$Q68,0),"viṣkambha","prīti","āyuṣmāna","saubhāgya","śobhana","atigaṇḍa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("&amp;Panchanga!$Q68&amp;")"</f>
        <v>brahma (24.1)</v>
      </c>
      <c r="O68" s="4">
        <f>IF(AND(Panchanga!$P68&lt;28.5,Panchanga!$P68&gt;0.49999),MOD((Panchanga!$P68-0.5)*2,7),MOD((Panchanga!$P68+30-28.5),30)*2+7)</f>
        <v>5.7738000000000014</v>
      </c>
      <c r="P68" s="4">
        <f>ROUNDUP(MOD(360+P[Moon]-P[Sun],360)/12,4)</f>
        <v>24.386900000000001</v>
      </c>
      <c r="Q68" s="4">
        <f>ROUNDUP(MOD(P[Sun]+P[Moon],360)/13.333333333,2)</f>
        <v>24.1</v>
      </c>
      <c r="R68" s="4" t="str">
        <f>SIGN(U69-Panchanga!$U68)*INT(Panchanga!$U68/30+1)&amp;"Ma,"&amp;SIGN(V69-Panchanga!$V68)*INT(Panchanga!$V68/30+1)&amp;"Me,"&amp;SIGN(W69-Panchanga!$W68)*INT(Panchanga!$W68/30+1)&amp;"J, "&amp;SIGN(X69-Panchanga!$X68)*INT(Panchanga!$X68/30+1)&amp;"V,"&amp;SIGN(Y69-Panchanga!$Y68)*INT(Panchanga!$Y68/30+1)&amp;"S,"&amp;INT(Panchanga!$Z68/30+1)&amp;"R"</f>
        <v>2Ma,12Me,-8J, 12V,9S,3R</v>
      </c>
      <c r="S68" s="4">
        <f t="shared" si="26"/>
        <v>14.297078114286272</v>
      </c>
      <c r="T68" s="4">
        <f t="shared" si="27"/>
        <v>306.93984444215278</v>
      </c>
      <c r="U68" s="4">
        <f>Planet(Panchanga!$E68,4)</f>
        <v>54.767895558808988</v>
      </c>
      <c r="V68" s="4">
        <f>Planet(Panchanga!$E68,2)</f>
        <v>352.53895800353894</v>
      </c>
      <c r="W68" s="4">
        <f>Planet(Panchanga!$E68,5)</f>
        <v>239.7103316716082</v>
      </c>
      <c r="X68" s="4">
        <f>Planet(Panchanga!$E68,3)</f>
        <v>345.98279243494551</v>
      </c>
      <c r="Y68" s="4">
        <f>Planet(Panchanga!$E68,6)</f>
        <v>266.39560881036635</v>
      </c>
      <c r="Z68" s="4">
        <f>Planet(Panchanga!$E68,10)</f>
        <v>87.195548943782072</v>
      </c>
      <c r="AA68" s="4" t="str">
        <f>TEXT(Panchanga!$C68+($C69-Panchanga!$C68)/ABS(IF($P69&lt;1,$P69+30,$P69)-Panchanga!$P68)*(ROUNDUP(Panchanga!$P68,0)-Panchanga!$P68),"hh:mm AM/PM")</f>
        <v>10:02 PM</v>
      </c>
      <c r="AB68" s="4"/>
    </row>
    <row r="69" spans="1:28" x14ac:dyDescent="0.2">
      <c r="A69" s="3">
        <f t="shared" si="19"/>
        <v>43585</v>
      </c>
      <c r="B69" s="3">
        <f t="shared" si="23"/>
        <v>43585.229166666664</v>
      </c>
      <c r="C69" s="15">
        <f t="shared" si="24"/>
        <v>43585.24302852821</v>
      </c>
      <c r="D69" s="15">
        <f t="shared" si="25"/>
        <v>43584.766567051454</v>
      </c>
      <c r="E69" s="17">
        <f>Panchanga!$C69-TimeZone/24</f>
        <v>43585.013861861546</v>
      </c>
      <c r="F69" s="18" t="str">
        <f>INT(P[Sun]/30)&amp;"s"&amp;ROUNDUP(MOD(P[Sun],30),2)</f>
        <v>0s15.27</v>
      </c>
      <c r="G69" s="18" t="str">
        <f>INT(P[Moon]/30)&amp;"s"&amp;ROUNDUP(MOD(P[Moon],30),2)</f>
        <v>10s18.81</v>
      </c>
      <c r="H69" s="14">
        <f t="shared" si="18"/>
        <v>43585.013861861546</v>
      </c>
      <c r="I69" s="4" t="str">
        <f>naks(P[[#This Row],[Moon]])</f>
        <v>Satabhisaj</v>
      </c>
      <c r="J69" s="15">
        <f>(C70-P[[#This Row],[SunRise]])/(T70-P[[#This Row],[Moon]])*(13.3333333333333-MOD(P[[#This Row],[Moon]],13.333333333333))+P[[#This Row],[SunRise]]</f>
        <v>43585.342717042629</v>
      </c>
      <c r="K69" s="4" t="str">
        <f>IF(Panchanga!$P69&gt;15,"K","S")&amp;ROUNDUP(MOD(Panchanga!$P69,15),0)&amp;" ("&amp;ROUND(Panchanga!$P69,2)&amp;")"</f>
        <v>K11 (25.29)</v>
      </c>
      <c r="L69" s="4">
        <f>IF(AND(Panchanga!$P69&lt;28.5,Panchanga!$P69&gt;0.49999),MOD((Panchanga!$P69-0.5)*2,7),MOD((Panchanga!$P69+30-28.5),30)*2+7)</f>
        <v>0.5893999999999977</v>
      </c>
      <c r="M69" s="4" t="str">
        <f>CHOOSE(ROUNDUP(Panchanga!$L69,0),"Bhava","Baalava","Kaulava","Taitula","Garija","Vanija","Vishti","Shakuni","Chatushapda","Naaga","Kimstugna")</f>
        <v>Bhava</v>
      </c>
      <c r="N69" s="11" t="str">
        <f>CHOOSE(ROUNDUP(Panchanga!$Q69,0),"viṣkambha","prīti","āyuṣmāna","saubhāgya","śobhana","atigaṇḍa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("&amp;Panchanga!$Q69&amp;")"</f>
        <v>mahendra (25.06)</v>
      </c>
      <c r="O69" s="4">
        <f>IF(AND(Panchanga!$P69&lt;28.5,Panchanga!$P69&gt;0.49999),MOD((Panchanga!$P69-0.5)*2,7),MOD((Panchanga!$P69+30-28.5),30)*2+7)</f>
        <v>0.5893999999999977</v>
      </c>
      <c r="P69" s="4">
        <f>ROUNDUP(MOD(360+P[Moon]-P[Sun],360)/12,4)</f>
        <v>25.294699999999999</v>
      </c>
      <c r="Q69" s="4">
        <f>ROUNDUP(MOD(P[Sun]+P[Moon],360)/13.333333333,2)</f>
        <v>25.060000000000002</v>
      </c>
      <c r="R69" s="4" t="str">
        <f>SIGN(U70-Panchanga!$U69)*INT(Panchanga!$U69/30+1)&amp;"Ma,"&amp;SIGN(V70-Panchanga!$V69)*INT(Panchanga!$V69/30+1)&amp;"Me,"&amp;SIGN(W70-Panchanga!$W69)*INT(Panchanga!$W69/30+1)&amp;"J, "&amp;SIGN(X70-Panchanga!$X69)*INT(Panchanga!$X69/30+1)&amp;"V,"&amp;SIGN(Y70-Panchanga!$Y69)*INT(Panchanga!$Y69/30+1)&amp;"S,"&amp;INT(Panchanga!$Z69/30+1)&amp;"R"</f>
        <v>2Ma,12Me,-8J, 12V,-9S,3R</v>
      </c>
      <c r="S69" s="4">
        <f t="shared" si="26"/>
        <v>15.268745811291204</v>
      </c>
      <c r="T69" s="4">
        <f t="shared" si="27"/>
        <v>318.80433147368029</v>
      </c>
      <c r="U69" s="4">
        <f>Planet(Panchanga!$E69,4)</f>
        <v>55.419242424879606</v>
      </c>
      <c r="V69" s="4">
        <f>Planet(Panchanga!$E69,2)</f>
        <v>354.1561832751193</v>
      </c>
      <c r="W69" s="4">
        <f>Planet(Panchanga!$E69,5)</f>
        <v>239.65301655181844</v>
      </c>
      <c r="X69" s="4">
        <f>Planet(Panchanga!$E69,3)</f>
        <v>347.19499557488496</v>
      </c>
      <c r="Y69" s="4">
        <f>Planet(Panchanga!$E69,6)</f>
        <v>266.39645354436885</v>
      </c>
      <c r="Z69" s="4">
        <f>Planet(Panchanga!$E69,10)</f>
        <v>87.142573927603763</v>
      </c>
      <c r="AA69" s="4" t="str">
        <f>TEXT(Panchanga!$C69+($C70-Panchanga!$C69)/ABS(IF($P70&lt;1,$P70+30,$P70)-Panchanga!$P69)*(ROUNDUP(Panchanga!$P69,0)-Panchanga!$P69),"hh:mm AM/PM")</f>
        <v>12:15 AM</v>
      </c>
      <c r="AB69" s="4"/>
    </row>
    <row r="70" spans="1:28" x14ac:dyDescent="0.2">
      <c r="A70" s="3">
        <f t="shared" si="19"/>
        <v>43586</v>
      </c>
      <c r="B70" s="3">
        <f t="shared" si="23"/>
        <v>43586.229166666664</v>
      </c>
      <c r="C70" s="15">
        <f t="shared" si="24"/>
        <v>43586.242716358662</v>
      </c>
      <c r="D70" s="15">
        <f t="shared" si="25"/>
        <v>43585.766698340929</v>
      </c>
      <c r="E70" s="17">
        <f>Panchanga!$C70-TimeZone/24</f>
        <v>43586.013549691997</v>
      </c>
      <c r="F70" s="18" t="str">
        <f>INT(P[Sun]/30)&amp;"s"&amp;ROUNDUP(MOD(P[Sun],30),2)</f>
        <v>0s16.24</v>
      </c>
      <c r="G70" s="18" t="str">
        <f>INT(P[Moon]/30)&amp;"s"&amp;ROUNDUP(MOD(P[Moon],30),2)</f>
        <v>11s0.8</v>
      </c>
      <c r="H70" s="14">
        <f t="shared" si="18"/>
        <v>43586.013549691997</v>
      </c>
      <c r="I70" s="4" t="str">
        <f>naks(P[[#This Row],[Moon]])</f>
        <v>Purva Bhadrapada</v>
      </c>
      <c r="J70" s="15">
        <f>(C71-P[[#This Row],[SunRise]])/(T71-P[[#This Row],[Moon]])*(13.3333333333333-MOD(P[[#This Row],[Moon]],13.333333333333))+P[[#This Row],[SunRise]]</f>
        <v>43586.451191788947</v>
      </c>
      <c r="K70" s="4" t="str">
        <f>IF(Panchanga!$P70&gt;15,"K","S")&amp;ROUNDUP(MOD(Panchanga!$P70,15),0)&amp;" ("&amp;ROUND(Panchanga!$P70,2)&amp;")"</f>
        <v>K12 (26.21)</v>
      </c>
      <c r="L70" s="4">
        <f>IF(AND(Panchanga!$P70&lt;28.5,Panchanga!$P70&gt;0.49999),MOD((Panchanga!$P70-0.5)*2,7),MOD((Panchanga!$P70+30-28.5),30)*2+7)</f>
        <v>2.4258000000000024</v>
      </c>
      <c r="M70" s="4" t="str">
        <f>CHOOSE(ROUNDUP(Panchanga!$L70,0),"Bhava","Baalava","Kaulava","Taitula","Garija","Vanija","Vishti","Shakuni","Chatushapda","Naaga","Kimstugna")</f>
        <v>Kaulava</v>
      </c>
      <c r="N70" s="11" t="str">
        <f>CHOOSE(ROUNDUP(Panchanga!$Q70,0),"viṣkambha","prīti","āyuṣmāna","saubhāgya","śobhana","atigaṇḍa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("&amp;Panchanga!$Q70&amp;")"</f>
        <v>vaidhṛti (26.03)</v>
      </c>
      <c r="O70" s="4">
        <f>IF(AND(Panchanga!$P70&lt;28.5,Panchanga!$P70&gt;0.49999),MOD((Panchanga!$P70-0.5)*2,7),MOD((Panchanga!$P70+30-28.5),30)*2+7)</f>
        <v>2.4258000000000024</v>
      </c>
      <c r="P70" s="4">
        <f>ROUNDUP(MOD(360+P[Moon]-P[Sun],360)/12,4)</f>
        <v>26.212900000000001</v>
      </c>
      <c r="Q70" s="4">
        <f>ROUNDUP(MOD(P[Sun]+P[Moon],360)/13.333333333,2)</f>
        <v>26.03</v>
      </c>
      <c r="R70" s="4" t="str">
        <f>SIGN(U71-Panchanga!$U70)*INT(Panchanga!$U70/30+1)&amp;"Ma,"&amp;SIGN(V71-Panchanga!$V70)*INT(Panchanga!$V70/30+1)&amp;"Me,"&amp;SIGN(W71-Panchanga!$W70)*INT(Panchanga!$W70/30+1)&amp;"J, "&amp;SIGN(X71-Panchanga!$X70)*INT(Panchanga!$X70/30+1)&amp;"V,"&amp;SIGN(Y71-Panchanga!$Y70)*INT(Panchanga!$Y70/30+1)&amp;"S,"&amp;INT(Panchanga!$Z70/30+1)&amp;"R"</f>
        <v>2Ma,12Me,-8J, 12V,-9S,3R</v>
      </c>
      <c r="S70" s="4">
        <f t="shared" si="26"/>
        <v>16.23998499106817</v>
      </c>
      <c r="T70" s="4">
        <f t="shared" si="27"/>
        <v>330.79463228187285</v>
      </c>
      <c r="U70" s="4">
        <f>Planet(Panchanga!$E70,4)</f>
        <v>56.070287849378083</v>
      </c>
      <c r="V70" s="4">
        <f>Planet(Panchanga!$E70,2)</f>
        <v>355.80376408056077</v>
      </c>
      <c r="W70" s="4">
        <f>Planet(Panchanga!$E70,5)</f>
        <v>239.59283241817147</v>
      </c>
      <c r="X70" s="4">
        <f>Planet(Panchanga!$E70,3)</f>
        <v>348.40739786831307</v>
      </c>
      <c r="Y70" s="4">
        <f>Planet(Panchanga!$E70,6)</f>
        <v>266.39566012585323</v>
      </c>
      <c r="Z70" s="4">
        <f>Planet(Panchanga!$E70,10)</f>
        <v>87.089598473448575</v>
      </c>
      <c r="AA70" s="4" t="str">
        <f>TEXT(Panchanga!$C70+($C71-Panchanga!$C70)/ABS(IF($P71&lt;1,$P71+30,$P71)-Panchanga!$P70)*(ROUNDUP(Panchanga!$P70,0)-Panchanga!$P70),"hh:mm AM/PM")</f>
        <v>02:03 AM</v>
      </c>
      <c r="AB70" s="4"/>
    </row>
    <row r="71" spans="1:28" x14ac:dyDescent="0.2">
      <c r="A71" s="3">
        <f t="shared" si="19"/>
        <v>43587</v>
      </c>
      <c r="B71" s="3">
        <f t="shared" si="23"/>
        <v>43587.229166666664</v>
      </c>
      <c r="C71" s="15">
        <f t="shared" si="24"/>
        <v>43587.242412772182</v>
      </c>
      <c r="D71" s="15">
        <f t="shared" si="25"/>
        <v>43586.766833603426</v>
      </c>
      <c r="E71" s="17">
        <f>Panchanga!$C71-TimeZone/24</f>
        <v>43587.013246105518</v>
      </c>
      <c r="F71" s="18" t="str">
        <f>INT(P[Sun]/30)&amp;"s"&amp;ROUNDUP(MOD(P[Sun],30),2)</f>
        <v>0s17.22</v>
      </c>
      <c r="G71" s="18" t="str">
        <f>INT(P[Moon]/30)&amp;"s"&amp;ROUNDUP(MOD(P[Moon],30),2)</f>
        <v>11s12.97</v>
      </c>
      <c r="H71" s="14">
        <f t="shared" si="18"/>
        <v>43587.013246105518</v>
      </c>
      <c r="I71" s="4" t="str">
        <f>naks(P[[#This Row],[Moon]])</f>
        <v>Uttara Bhadrapada</v>
      </c>
      <c r="J71" s="15">
        <f>(C72-P[[#This Row],[SunRise]])/(T72-P[[#This Row],[Moon]])*(13.3333333333333-MOD(P[[#This Row],[Moon]],13.333333333333))+P[[#This Row],[SunRise]]</f>
        <v>43587.540640163999</v>
      </c>
      <c r="K71" s="4" t="str">
        <f>IF(Panchanga!$P71&gt;15,"K","S")&amp;ROUNDUP(MOD(Panchanga!$P71,15),0)&amp;" ("&amp;ROUND(Panchanga!$P71,2)&amp;")"</f>
        <v>K13 (27.15)</v>
      </c>
      <c r="L71" s="4">
        <f>IF(AND(Panchanga!$P71&lt;28.5,Panchanga!$P71&gt;0.49999),MOD((Panchanga!$P71-0.5)*2,7),MOD((Panchanga!$P71+30-28.5),30)*2+7)</f>
        <v>4.2929999999999993</v>
      </c>
      <c r="M71" s="4" t="str">
        <f>CHOOSE(ROUNDUP(Panchanga!$L71,0),"Bhava","Baalava","Kaulava","Taitula","Garija","Vanija","Vishti","Shakuni","Chatushapda","Naaga","Kimstugna")</f>
        <v>Garija</v>
      </c>
      <c r="N71" s="11" t="str">
        <f>CHOOSE(ROUNDUP(Panchanga!$Q71,0),"viṣkambha","prīti","āyuṣmāna","saubhāgya","śobhana","atigaṇḍa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("&amp;Panchanga!$Q71&amp;")"</f>
        <v>viṣkambha (0.02)</v>
      </c>
      <c r="O71" s="4">
        <f>IF(AND(Panchanga!$P71&lt;28.5,Panchanga!$P71&gt;0.49999),MOD((Panchanga!$P71-0.5)*2,7),MOD((Panchanga!$P71+30-28.5),30)*2+7)</f>
        <v>4.2929999999999993</v>
      </c>
      <c r="P71" s="4">
        <f>ROUNDUP(MOD(360+P[Moon]-P[Sun],360)/12,4)</f>
        <v>27.1465</v>
      </c>
      <c r="Q71" s="4">
        <f>ROUNDUP(MOD(P[Sun]+P[Moon],360)/13.333333333,2)</f>
        <v>0.02</v>
      </c>
      <c r="R71" s="4" t="str">
        <f>SIGN(U72-Panchanga!$U71)*INT(Panchanga!$U71/30+1)&amp;"Ma,"&amp;SIGN(V72-Panchanga!$V71)*INT(Panchanga!$V71/30+1)&amp;"Me,"&amp;SIGN(W72-Panchanga!$W71)*INT(Panchanga!$W71/30+1)&amp;"J, "&amp;SIGN(X72-Panchanga!$X71)*INT(Panchanga!$X71/30+1)&amp;"V,"&amp;SIGN(Y72-Panchanga!$Y71)*INT(Panchanga!$Y71/30+1)&amp;"S,"&amp;INT(Panchanga!$Z71/30+1)&amp;"R"</f>
        <v>2Ma,12Me,-8J, 12V,-9S,3R</v>
      </c>
      <c r="S71" s="4">
        <f t="shared" si="26"/>
        <v>17.210792165630892</v>
      </c>
      <c r="T71" s="4">
        <f t="shared" si="27"/>
        <v>342.96839459347149</v>
      </c>
      <c r="U71" s="4">
        <f>Planet(Panchanga!$E71,4)</f>
        <v>56.721034168211581</v>
      </c>
      <c r="V71" s="4">
        <f>Planet(Panchanga!$E71,2)</f>
        <v>357.48168949842</v>
      </c>
      <c r="W71" s="4">
        <f>Planet(Panchanga!$E71,5)</f>
        <v>239.52981137285465</v>
      </c>
      <c r="X71" s="4">
        <f>Planet(Panchanga!$E71,3)</f>
        <v>349.61998731576313</v>
      </c>
      <c r="Y71" s="4">
        <f>Planet(Panchanga!$E71,6)</f>
        <v>266.39322998645861</v>
      </c>
      <c r="Z71" s="4">
        <f>Planet(Panchanga!$E71,10)</f>
        <v>87.036622564465915</v>
      </c>
      <c r="AA71" s="4" t="str">
        <f>TEXT(Panchanga!$C71+($C72-Panchanga!$C71)/ABS(IF($P72&lt;1,$P72+30,$P72)-Panchanga!$P71)*(ROUNDUP(Panchanga!$P71,0)-Panchanga!$P71),"hh:mm AM/PM")</f>
        <v>03:19 AM</v>
      </c>
      <c r="AB71" s="4"/>
    </row>
    <row r="72" spans="1:28" x14ac:dyDescent="0.2">
      <c r="A72" s="3">
        <f t="shared" si="19"/>
        <v>43588</v>
      </c>
      <c r="B72" s="3">
        <f t="shared" si="23"/>
        <v>43588.229166666664</v>
      </c>
      <c r="C72" s="15">
        <f t="shared" si="24"/>
        <v>43588.242117928028</v>
      </c>
      <c r="D72" s="15">
        <f t="shared" si="25"/>
        <v>43587.766973157923</v>
      </c>
      <c r="E72" s="17">
        <f>Panchanga!$C72-TimeZone/24</f>
        <v>43588.012951261364</v>
      </c>
      <c r="F72" s="18" t="str">
        <f>INT(P[Sun]/30)&amp;"s"&amp;ROUNDUP(MOD(P[Sun],30),2)</f>
        <v>0s18.19</v>
      </c>
      <c r="G72" s="18" t="str">
        <f>INT(P[Moon]/30)&amp;"s"&amp;ROUNDUP(MOD(P[Moon],30),2)</f>
        <v>11s25.37</v>
      </c>
      <c r="H72" s="14">
        <f t="shared" si="18"/>
        <v>43588.012951261364</v>
      </c>
      <c r="I72" s="4" t="str">
        <f>naks(P[[#This Row],[Moon]])</f>
        <v>Revati</v>
      </c>
      <c r="J72" s="15">
        <f>(C73-P[[#This Row],[SunRise]])/(T73-P[[#This Row],[Moon]])*(13.3333333333333-MOD(P[[#This Row],[Moon]],13.333333333333))+P[[#This Row],[SunRise]]</f>
        <v>43588.228779868128</v>
      </c>
      <c r="K72" s="4" t="str">
        <f>IF(Panchanga!$P72&gt;15,"K","S")&amp;ROUNDUP(MOD(Panchanga!$P72,15),0)&amp;" ("&amp;ROUND(Panchanga!$P72,2)&amp;")"</f>
        <v>K14 (28.1)</v>
      </c>
      <c r="L72" s="4">
        <f>IF(AND(Panchanga!$P72&lt;28.5,Panchanga!$P72&gt;0.49999),MOD((Panchanga!$P72-0.5)*2,7),MOD((Panchanga!$P72+30-28.5),30)*2+7)</f>
        <v>6.1976000000000013</v>
      </c>
      <c r="M72" s="4" t="str">
        <f>CHOOSE(ROUNDUP(Panchanga!$L72,0),"Bhava","Baalava","Kaulava","Taitula","Garija","Vanija","Vishti","Shakuni","Chatushapda","Naaga","Kimstugna")</f>
        <v>Vishti</v>
      </c>
      <c r="N72" s="11" t="str">
        <f>CHOOSE(ROUNDUP(Panchanga!$Q72,0),"viṣkambha","prīti","āyuṣmāna","saubhāgya","śobhana","atigaṇḍa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("&amp;Panchanga!$Q72&amp;")"</f>
        <v>prīti (1.02)</v>
      </c>
      <c r="O72" s="4">
        <f>IF(AND(Panchanga!$P72&lt;28.5,Panchanga!$P72&gt;0.49999),MOD((Panchanga!$P72-0.5)*2,7),MOD((Panchanga!$P72+30-28.5),30)*2+7)</f>
        <v>6.1976000000000013</v>
      </c>
      <c r="P72" s="4">
        <f>ROUNDUP(MOD(360+P[Moon]-P[Sun],360)/12,4)</f>
        <v>28.098800000000001</v>
      </c>
      <c r="Q72" s="4">
        <f>ROUNDUP(MOD(P[Sun]+P[Moon],360)/13.333333333,2)</f>
        <v>1.02</v>
      </c>
      <c r="R72" s="4" t="str">
        <f>SIGN(U73-Panchanga!$U72)*INT(Panchanga!$U72/30+1)&amp;"Ma,"&amp;SIGN(V73-Panchanga!$V72)*INT(Panchanga!$V72/30+1)&amp;"Me,"&amp;SIGN(W73-Panchanga!$W72)*INT(Panchanga!$W72/30+1)&amp;"J, "&amp;SIGN(X73-Panchanga!$X72)*INT(Panchanga!$X72/30+1)&amp;"V,"&amp;SIGN(Y73-Panchanga!$Y72)*INT(Panchanga!$Y72/30+1)&amp;"S,"&amp;INT(Panchanga!$Z72/30+1)&amp;"R"</f>
        <v>2Ma,-12Me,-8J, 12V,-9S,3R</v>
      </c>
      <c r="S72" s="4">
        <f t="shared" si="26"/>
        <v>18.181161608037161</v>
      </c>
      <c r="T72" s="4">
        <f t="shared" si="27"/>
        <v>355.36558465960701</v>
      </c>
      <c r="U72" s="4">
        <f>Planet(Panchanga!$E72,4)</f>
        <v>57.371482442807732</v>
      </c>
      <c r="V72" s="4">
        <f>Planet(Panchanga!$E72,2)</f>
        <v>359.18998936234817</v>
      </c>
      <c r="W72" s="4">
        <f>Planet(Panchanga!$E72,5)</f>
        <v>239.46398827070863</v>
      </c>
      <c r="X72" s="4">
        <f>Planet(Panchanga!$E72,3)</f>
        <v>350.83275118705382</v>
      </c>
      <c r="Y72" s="4">
        <f>Planet(Panchanga!$E72,6)</f>
        <v>266.38916540039452</v>
      </c>
      <c r="Z72" s="4">
        <f>Planet(Panchanga!$E72,10)</f>
        <v>86.983646192222324</v>
      </c>
      <c r="AA72" s="4" t="str">
        <f>TEXT(Panchanga!$C72+($C73-Panchanga!$C72)/ABS(IF($P73&lt;1,$P73+30,$P73)-Panchanga!$P72)*(ROUNDUP(Panchanga!$P72,0)-Panchanga!$P72),"hh:mm AM/PM")</f>
        <v>04:02 AM</v>
      </c>
      <c r="AB72" s="4"/>
    </row>
    <row r="73" spans="1:28" x14ac:dyDescent="0.2">
      <c r="A73" s="3">
        <f t="shared" si="19"/>
        <v>43589</v>
      </c>
      <c r="B73" s="3">
        <f t="shared" si="23"/>
        <v>43589.229166666664</v>
      </c>
      <c r="C73" s="15">
        <f t="shared" si="24"/>
        <v>43589.241831825733</v>
      </c>
      <c r="D73" s="15">
        <f t="shared" si="25"/>
        <v>43588.767116527117</v>
      </c>
      <c r="E73" s="17">
        <f>Panchanga!$C73-TimeZone/24</f>
        <v>43589.012665159069</v>
      </c>
      <c r="F73" s="18" t="str">
        <f>INT(P[Sun]/30)&amp;"s"&amp;ROUNDUP(MOD(P[Sun],30),2)</f>
        <v>0s19.16</v>
      </c>
      <c r="G73" s="18" t="str">
        <f>INT(P[Moon]/30)&amp;"s"&amp;ROUNDUP(MOD(P[Moon],30),2)</f>
        <v>0s8.01</v>
      </c>
      <c r="H73" s="14">
        <f t="shared" si="18"/>
        <v>43589.012665159069</v>
      </c>
      <c r="I73" s="4" t="str">
        <f>naks(P[[#This Row],[Moon]])</f>
        <v>Aswini</v>
      </c>
      <c r="J73" s="15">
        <f>(C74-P[[#This Row],[SunRise]])/(T74-P[[#This Row],[Moon]])*(13.3333333333333-MOD(P[[#This Row],[Moon]],13.333333333333))+P[[#This Row],[SunRise]]</f>
        <v>43589.654993480828</v>
      </c>
      <c r="K73" s="4" t="str">
        <f>IF(Panchanga!$P73&gt;15,"K","S")&amp;ROUNDUP(MOD(Panchanga!$P73,15),0)&amp;" ("&amp;ROUND(Panchanga!$P73,2)&amp;")"</f>
        <v>K15 (29.07)</v>
      </c>
      <c r="L73" s="4">
        <f>IF(AND(Panchanga!$P73&lt;28.5,Panchanga!$P73&gt;0.49999),MOD((Panchanga!$P73-0.5)*2,7),MOD((Panchanga!$P73+30-28.5),30)*2+7)</f>
        <v>8.142799999999994</v>
      </c>
      <c r="M73" s="4" t="str">
        <f>CHOOSE(ROUNDUP(Panchanga!$L73,0),"Bhava","Baalava","Kaulava","Taitula","Garija","Vanija","Vishti","Shakuni","Chatushapda","Naaga","Kimstugna")</f>
        <v>Chatushapda</v>
      </c>
      <c r="N73" s="11" t="str">
        <f>CHOOSE(ROUNDUP(Panchanga!$Q73,0),"viṣkambha","prīti","āyuṣmāna","saubhāgya","śobhana","atigaṇḍa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("&amp;Panchanga!$Q73&amp;")"</f>
        <v>āyuṣmāna (2.04)</v>
      </c>
      <c r="O73" s="4">
        <f>IF(AND(Panchanga!$P73&lt;28.5,Panchanga!$P73&gt;0.49999),MOD((Panchanga!$P73-0.5)*2,7),MOD((Panchanga!$P73+30-28.5),30)*2+7)</f>
        <v>8.142799999999994</v>
      </c>
      <c r="P73" s="4">
        <f>ROUNDUP(MOD(360+P[Moon]-P[Sun],360)/12,4)</f>
        <v>29.071400000000001</v>
      </c>
      <c r="Q73" s="4">
        <f>ROUNDUP(MOD(P[Sun]+P[Moon],360)/13.333333333,2)</f>
        <v>2.0399999999999996</v>
      </c>
      <c r="R73" s="4" t="str">
        <f>SIGN(U74-Panchanga!$U73)*INT(Panchanga!$U73/30+1)&amp;"Ma,"&amp;SIGN(V74-Panchanga!$V73)*INT(Panchanga!$V73/30+1)&amp;"Me,"&amp;SIGN(W74-Panchanga!$W73)*INT(Panchanga!$W73/30+1)&amp;"J, "&amp;SIGN(X74-Panchanga!$X73)*INT(Panchanga!$X73/30+1)&amp;"V,"&amp;SIGN(Y74-Panchanga!$Y73)*INT(Panchanga!$Y73/30+1)&amp;"S,"&amp;INT(Panchanga!$Z73/30+1)&amp;"R"</f>
        <v>2Ma,1Me,-8J, 12V,-9S,3R</v>
      </c>
      <c r="S73" s="4">
        <f t="shared" si="26"/>
        <v>19.151085428204627</v>
      </c>
      <c r="T73" s="4">
        <f t="shared" si="27"/>
        <v>8.0070139849277169</v>
      </c>
      <c r="U73" s="4">
        <f>Planet(Panchanga!$E73,4)</f>
        <v>58.0216323433242</v>
      </c>
      <c r="V73" s="4">
        <f>Planet(Panchanga!$E73,2)</f>
        <v>0.92872260983856736</v>
      </c>
      <c r="W73" s="4">
        <f>Planet(Panchanga!$E73,5)</f>
        <v>239.39540082644851</v>
      </c>
      <c r="X73" s="4">
        <f>Planet(Panchanga!$E73,3)</f>
        <v>352.04567622324907</v>
      </c>
      <c r="Y73" s="4">
        <f>Planet(Panchanga!$E73,6)</f>
        <v>266.38346956504671</v>
      </c>
      <c r="Z73" s="4">
        <f>Planet(Panchanga!$E73,10)</f>
        <v>86.930669356717857</v>
      </c>
      <c r="AA73" s="4" t="str">
        <f>TEXT(Panchanga!$C73+($C74-Panchanga!$C73)/ABS(IF($P74&lt;1,$P74+30,$P74)-Panchanga!$P73)*(ROUNDUP(Panchanga!$P73,0)-Panchanga!$P73),"hh:mm AM/PM")</f>
        <v>04:14 AM</v>
      </c>
      <c r="AB73" s="4"/>
    </row>
    <row r="74" spans="1:28" x14ac:dyDescent="0.2">
      <c r="A74" s="3">
        <f t="shared" si="19"/>
        <v>43590</v>
      </c>
      <c r="B74" s="3">
        <f t="shared" si="23"/>
        <v>43590.229166666664</v>
      </c>
      <c r="C74" s="15">
        <f t="shared" si="24"/>
        <v>43590.241554624554</v>
      </c>
      <c r="D74" s="15">
        <f t="shared" si="25"/>
        <v>43589.767263869799</v>
      </c>
      <c r="E74" s="17">
        <f>Panchanga!$C74-TimeZone/24</f>
        <v>43590.01238795789</v>
      </c>
      <c r="F74" s="18" t="str">
        <f>INT(P[Sun]/30)&amp;"s"&amp;ROUNDUP(MOD(P[Sun],30),2)</f>
        <v>0s20.13</v>
      </c>
      <c r="G74" s="18" t="str">
        <f>INT(P[Moon]/30)&amp;"s"&amp;ROUNDUP(MOD(P[Moon],30),2)</f>
        <v>0s20.9</v>
      </c>
      <c r="H74" s="14">
        <f t="shared" ref="H74:H137" si="28">E74</f>
        <v>43590.01238795789</v>
      </c>
      <c r="I74" s="4" t="str">
        <f>naks(P[[#This Row],[Moon]])</f>
        <v>Bharani</v>
      </c>
      <c r="J74" s="15">
        <f>(C75-P[[#This Row],[SunRise]])/(T75-P[[#This Row],[Moon]])*(13.3333333333333-MOD(P[[#This Row],[Moon]],13.333333333333))+P[[#This Row],[SunRise]]</f>
        <v>43590.681289299129</v>
      </c>
      <c r="K74" s="4" t="str">
        <f>IF(Panchanga!$P74&gt;15,"K","S")&amp;ROUNDUP(MOD(Panchanga!$P74,15),0)&amp;" ("&amp;ROUND(Panchanga!$P74,2)&amp;")"</f>
        <v>S1 (0.06)</v>
      </c>
      <c r="L74" s="4">
        <f>IF(AND(Panchanga!$P74&lt;28.5,Panchanga!$P74&gt;0.49999),MOD((Panchanga!$P74-0.5)*2,7),MOD((Panchanga!$P74+30-28.5),30)*2+7)</f>
        <v>10.129199999999997</v>
      </c>
      <c r="M74" s="4" t="str">
        <f>CHOOSE(ROUNDUP(Panchanga!$L74,0),"Bhava","Baalava","Kaulava","Taitula","Garija","Vanija","Vishti","Shakuni","Chatushapda","Naaga","Kimstugna")</f>
        <v>Kimstugna</v>
      </c>
      <c r="N74" s="11" t="str">
        <f>CHOOSE(ROUNDUP(Panchanga!$Q74,0),"viṣkambha","prīti","āyuṣmāna","saubhāgya","śobhana","atigaṇḍa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("&amp;Panchanga!$Q74&amp;")"</f>
        <v>saubhāgya (3.08)</v>
      </c>
      <c r="O74" s="4">
        <f>IF(AND(Panchanga!$P74&lt;28.5,Panchanga!$P74&gt;0.49999),MOD((Panchanga!$P74-0.5)*2,7),MOD((Panchanga!$P74+30-28.5),30)*2+7)</f>
        <v>10.129199999999997</v>
      </c>
      <c r="P74" s="4">
        <f>ROUNDUP(MOD(360+P[Moon]-P[Sun],360)/12,4)</f>
        <v>6.4600000000000005E-2</v>
      </c>
      <c r="Q74" s="4">
        <f>ROUNDUP(MOD(P[Sun]+P[Moon],360)/13.333333333,2)</f>
        <v>3.0799999999999996</v>
      </c>
      <c r="R74" s="4" t="str">
        <f>SIGN(U75-Panchanga!$U74)*INT(Panchanga!$U74/30+1)&amp;"Ma,"&amp;SIGN(V75-Panchanga!$V74)*INT(Panchanga!$V74/30+1)&amp;"Me,"&amp;SIGN(W75-Panchanga!$W74)*INT(Panchanga!$W74/30+1)&amp;"J, "&amp;SIGN(X75-Panchanga!$X74)*INT(Panchanga!$X74/30+1)&amp;"V,"&amp;SIGN(Y75-Panchanga!$Y74)*INT(Panchanga!$Y74/30+1)&amp;"S,"&amp;INT(Panchanga!$Z74/30+1)&amp;"R"</f>
        <v>2Ma,1Me,-8J, 12V,-9S,3R</v>
      </c>
      <c r="S74" s="4">
        <f t="shared" si="26"/>
        <v>20.120554131122315</v>
      </c>
      <c r="T74" s="4">
        <f t="shared" si="27"/>
        <v>20.895051441242217</v>
      </c>
      <c r="U74" s="4">
        <f>Planet(Panchanga!$E74,4)</f>
        <v>58.671482292131643</v>
      </c>
      <c r="V74" s="4">
        <f>Planet(Panchanga!$E74,2)</f>
        <v>2.6979642860249307</v>
      </c>
      <c r="W74" s="4">
        <f>Planet(Panchanga!$E74,5)</f>
        <v>239.32408965945794</v>
      </c>
      <c r="X74" s="4">
        <f>Planet(Panchanga!$E74,3)</f>
        <v>353.25874933159213</v>
      </c>
      <c r="Y74" s="4">
        <f>Planet(Panchanga!$E74,6)</f>
        <v>266.37614667281593</v>
      </c>
      <c r="Z74" s="4">
        <f>Planet(Panchanga!$E74,10)</f>
        <v>86.877692049535312</v>
      </c>
      <c r="AA74" s="4" t="str">
        <f>TEXT(Panchanga!$C74+($C75-Panchanga!$C74)/ABS(IF($P75&lt;1,$P75+30,$P75)-Panchanga!$P74)*(ROUNDUP(Panchanga!$P74,0)-Panchanga!$P74),"hh:mm AM/PM")</f>
        <v>03:57 AM</v>
      </c>
      <c r="AB74" s="4"/>
    </row>
    <row r="75" spans="1:28" x14ac:dyDescent="0.2">
      <c r="A75" s="3">
        <f t="shared" ref="A75:A138" si="29">A74+1</f>
        <v>43591</v>
      </c>
      <c r="B75" s="3">
        <f t="shared" si="23"/>
        <v>43591.229166666664</v>
      </c>
      <c r="C75" s="15">
        <f t="shared" si="24"/>
        <v>43591.241286482815</v>
      </c>
      <c r="D75" s="15">
        <f t="shared" si="25"/>
        <v>43590.767415185968</v>
      </c>
      <c r="E75" s="17">
        <f>Panchanga!$C75-TimeZone/24</f>
        <v>43591.012119816151</v>
      </c>
      <c r="F75" s="18" t="str">
        <f>INT(P[Sun]/30)&amp;"s"&amp;ROUNDUP(MOD(P[Sun],30),2)</f>
        <v>0s21.09</v>
      </c>
      <c r="G75" s="18" t="str">
        <f>INT(P[Moon]/30)&amp;"s"&amp;ROUNDUP(MOD(P[Moon],30),2)</f>
        <v>1s4.02</v>
      </c>
      <c r="H75" s="14">
        <f t="shared" si="28"/>
        <v>43591.012119816151</v>
      </c>
      <c r="I75" s="4" t="str">
        <f>naks(P[[#This Row],[Moon]])</f>
        <v>Krittika</v>
      </c>
      <c r="J75" s="15">
        <f>(C76-P[[#This Row],[SunRise]])/(T76-P[[#This Row],[Moon]])*(13.3333333333333-MOD(P[[#This Row],[Moon]],13.333333333333))+P[[#This Row],[SunRise]]</f>
        <v>43591.689945620761</v>
      </c>
      <c r="K75" s="4" t="str">
        <f>IF(Panchanga!$P75&gt;15,"K","S")&amp;ROUNDUP(MOD(Panchanga!$P75,15),0)&amp;" ("&amp;ROUND(Panchanga!$P75,2)&amp;")"</f>
        <v>S2 (1.08)</v>
      </c>
      <c r="L75" s="4">
        <f>IF(AND(Panchanga!$P75&lt;28.5,Panchanga!$P75&gt;0.49999),MOD((Panchanga!$P75-0.5)*2,7),MOD((Panchanga!$P75+30-28.5),30)*2+7)</f>
        <v>1.1545999999999998</v>
      </c>
      <c r="M75" s="4" t="str">
        <f>CHOOSE(ROUNDUP(Panchanga!$L75,0),"Bhava","Baalava","Kaulava","Taitula","Garija","Vanija","Vishti","Shakuni","Chatushapda","Naaga","Kimstugna")</f>
        <v>Baalava</v>
      </c>
      <c r="N75" s="11" t="str">
        <f>CHOOSE(ROUNDUP(Panchanga!$Q75,0),"viṣkambha","prīti","āyuṣmāna","saubhāgya","śobhana","atigaṇḍa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("&amp;Panchanga!$Q75&amp;")"</f>
        <v>śobhana (4.14)</v>
      </c>
      <c r="O75" s="4">
        <f>IF(AND(Panchanga!$P75&lt;28.5,Panchanga!$P75&gt;0.49999),MOD((Panchanga!$P75-0.5)*2,7),MOD((Panchanga!$P75+30-28.5),30)*2+7)</f>
        <v>1.1545999999999998</v>
      </c>
      <c r="P75" s="4">
        <f>ROUNDUP(MOD(360+P[Moon]-P[Sun],360)/12,4)</f>
        <v>1.0772999999999999</v>
      </c>
      <c r="Q75" s="4">
        <f>ROUNDUP(MOD(P[Sun]+P[Moon],360)/13.333333333,2)</f>
        <v>4.1399999999999997</v>
      </c>
      <c r="R75" s="4" t="str">
        <f>SIGN(U76-Panchanga!$U75)*INT(Panchanga!$U75/30+1)&amp;"Ma,"&amp;SIGN(V76-Panchanga!$V75)*INT(Panchanga!$V75/30+1)&amp;"Me,"&amp;SIGN(W76-Panchanga!$W75)*INT(Panchanga!$W75/30+1)&amp;"J, "&amp;SIGN(X76-Panchanga!$X75)*INT(Panchanga!$X75/30+1)&amp;"V,"&amp;SIGN(Y76-Panchanga!$Y75)*INT(Panchanga!$Y75/30+1)&amp;"S,"&amp;INT(Panchanga!$Z75/30+1)&amp;"R"</f>
        <v>2Ma,1Me,-8J, 12V,-9S,3R</v>
      </c>
      <c r="S75" s="4">
        <f t="shared" si="26"/>
        <v>21.08955689980921</v>
      </c>
      <c r="T75" s="4">
        <f t="shared" si="27"/>
        <v>34.016754022489657</v>
      </c>
      <c r="U75" s="4">
        <f>Planet(Panchanga!$E75,4)</f>
        <v>59.321029381861976</v>
      </c>
      <c r="V75" s="4">
        <f>Planet(Panchanga!$E75,2)</f>
        <v>4.4977894010567914</v>
      </c>
      <c r="W75" s="4">
        <f>Planet(Panchanga!$E75,5)</f>
        <v>239.25009831060683</v>
      </c>
      <c r="X75" s="4">
        <f>Planet(Panchanga!$E75,3)</f>
        <v>354.47195779716594</v>
      </c>
      <c r="Y75" s="4">
        <f>Planet(Panchanga!$E75,6)</f>
        <v>266.36720196598304</v>
      </c>
      <c r="Z75" s="4">
        <f>Planet(Panchanga!$E75,10)</f>
        <v>86.824714262274526</v>
      </c>
      <c r="AA75" s="4" t="str">
        <f>TEXT(Panchanga!$C75+($C76-Panchanga!$C75)/ABS(IF($P76&lt;1,$P76+30,$P76)-Panchanga!$P75)*(ROUNDUP(Panchanga!$P75,0)-Panchanga!$P75),"hh:mm AM/PM")</f>
        <v>03:16 AM</v>
      </c>
      <c r="AB75" s="4"/>
    </row>
    <row r="76" spans="1:28" x14ac:dyDescent="0.2">
      <c r="A76" s="3">
        <f t="shared" si="29"/>
        <v>43592</v>
      </c>
      <c r="B76" s="3">
        <f t="shared" si="23"/>
        <v>43592.229166666664</v>
      </c>
      <c r="C76" s="15">
        <f t="shared" si="24"/>
        <v>43592.241027560238</v>
      </c>
      <c r="D76" s="15">
        <f t="shared" si="25"/>
        <v>43591.767570316835</v>
      </c>
      <c r="E76" s="17">
        <f>Panchanga!$C76-TimeZone/24</f>
        <v>43592.011860893574</v>
      </c>
      <c r="F76" s="18" t="str">
        <f>INT(P[Sun]/30)&amp;"s"&amp;ROUNDUP(MOD(P[Sun],30),2)</f>
        <v>0s22.06</v>
      </c>
      <c r="G76" s="18" t="str">
        <f>INT(P[Moon]/30)&amp;"s"&amp;ROUNDUP(MOD(P[Moon],30),2)</f>
        <v>1s17.35</v>
      </c>
      <c r="H76" s="14">
        <f t="shared" si="28"/>
        <v>43592.011860893574</v>
      </c>
      <c r="I76" s="4" t="str">
        <f>naks(P[[#This Row],[Moon]])</f>
        <v>Rohini</v>
      </c>
      <c r="J76" s="15">
        <f>(C77-P[[#This Row],[SunRise]])/(T77-P[[#This Row],[Moon]])*(13.3333333333333-MOD(P[[#This Row],[Moon]],13.333333333333))+P[[#This Row],[SunRise]]</f>
        <v>43592.683649349914</v>
      </c>
      <c r="K76" s="4" t="str">
        <f>IF(Panchanga!$P76&gt;15,"K","S")&amp;ROUNDUP(MOD(Panchanga!$P76,15),0)&amp;" ("&amp;ROUND(Panchanga!$P76,2)&amp;")"</f>
        <v>S3 (2.11)</v>
      </c>
      <c r="L76" s="4">
        <f>IF(AND(Panchanga!$P76&lt;28.5,Panchanga!$P76&gt;0.49999),MOD((Panchanga!$P76-0.5)*2,7),MOD((Panchanga!$P76+30-28.5),30)*2+7)</f>
        <v>3.2152000000000003</v>
      </c>
      <c r="M76" s="4" t="str">
        <f>CHOOSE(ROUNDUP(Panchanga!$L76,0),"Bhava","Baalava","Kaulava","Taitula","Garija","Vanija","Vishti","Shakuni","Chatushapda","Naaga","Kimstugna")</f>
        <v>Taitula</v>
      </c>
      <c r="N76" s="11" t="str">
        <f>CHOOSE(ROUNDUP(Panchanga!$Q76,0),"viṣkambha","prīti","āyuṣmāna","saubhāgya","śobhana","atigaṇḍa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("&amp;Panchanga!$Q76&amp;")"</f>
        <v>atigaṇḍa  (5.21)</v>
      </c>
      <c r="O76" s="4">
        <f>IF(AND(Panchanga!$P76&lt;28.5,Panchanga!$P76&gt;0.49999),MOD((Panchanga!$P76-0.5)*2,7),MOD((Panchanga!$P76+30-28.5),30)*2+7)</f>
        <v>3.2152000000000003</v>
      </c>
      <c r="P76" s="4">
        <f>ROUNDUP(MOD(360+P[Moon]-P[Sun],360)/12,4)</f>
        <v>2.1076000000000001</v>
      </c>
      <c r="Q76" s="4">
        <f>ROUNDUP(MOD(P[Sun]+P[Moon],360)/13.333333333,2)</f>
        <v>5.21</v>
      </c>
      <c r="R76" s="4" t="str">
        <f>SIGN(U77-Panchanga!$U76)*INT(Panchanga!$U76/30+1)&amp;"Ma,"&amp;SIGN(V77-Panchanga!$V76)*INT(Panchanga!$V76/30+1)&amp;"Me,"&amp;SIGN(W77-Panchanga!$W76)*INT(Panchanga!$W76/30+1)&amp;"J, "&amp;SIGN(X77-Panchanga!$X76)*INT(Panchanga!$X76/30+1)&amp;"V,"&amp;SIGN(Y77-Panchanga!$Y76)*INT(Panchanga!$Y76/30+1)&amp;"S,"&amp;INT(Panchanga!$Z76/30+1)&amp;"R"</f>
        <v>2Ma,1Me,-8J, 12V,-9S,3R</v>
      </c>
      <c r="S76" s="4">
        <f t="shared" si="26"/>
        <v>22.05808219667955</v>
      </c>
      <c r="T76" s="4">
        <f t="shared" si="27"/>
        <v>47.349139956876279</v>
      </c>
      <c r="U76" s="4">
        <f>Planet(Panchanga!$E76,4)</f>
        <v>59.970269489015394</v>
      </c>
      <c r="V76" s="4">
        <f>Planet(Panchanga!$E76,2)</f>
        <v>6.3282542784335947</v>
      </c>
      <c r="W76" s="4">
        <f>Planet(Panchanga!$E76,5)</f>
        <v>239.17347318284089</v>
      </c>
      <c r="X76" s="4">
        <f>Planet(Panchanga!$E76,3)</f>
        <v>355.68528974496439</v>
      </c>
      <c r="Y76" s="4">
        <f>Planet(Panchanga!$E76,6)</f>
        <v>266.35664176810286</v>
      </c>
      <c r="Z76" s="4">
        <f>Planet(Panchanga!$E76,10)</f>
        <v>86.771735986485453</v>
      </c>
      <c r="AA76" s="4" t="str">
        <f>TEXT(Panchanga!$C76+($C77-Panchanga!$C76)/ABS(IF($P77&lt;1,$P77+30,$P77)-Panchanga!$P76)*(ROUNDUP(Panchanga!$P76,0)-Panchanga!$P76),"hh:mm AM/PM")</f>
        <v>02:15 AM</v>
      </c>
      <c r="AB76" s="4"/>
    </row>
    <row r="77" spans="1:28" x14ac:dyDescent="0.2">
      <c r="A77" s="3">
        <f t="shared" si="29"/>
        <v>43593</v>
      </c>
      <c r="B77" s="3">
        <f t="shared" si="23"/>
        <v>43593.229166666664</v>
      </c>
      <c r="C77" s="15">
        <f t="shared" si="24"/>
        <v>43593.240777697567</v>
      </c>
      <c r="D77" s="15">
        <f t="shared" si="25"/>
        <v>43592.767729103609</v>
      </c>
      <c r="E77" s="17">
        <f>Panchanga!$C77-TimeZone/24</f>
        <v>43593.011611030903</v>
      </c>
      <c r="F77" s="18" t="str">
        <f>INT(P[Sun]/30)&amp;"s"&amp;ROUNDUP(MOD(P[Sun],30),2)</f>
        <v>0s23.03</v>
      </c>
      <c r="G77" s="18" t="str">
        <f>INT(P[Moon]/30)&amp;"s"&amp;ROUNDUP(MOD(P[Moon],30),2)</f>
        <v>2s0.87</v>
      </c>
      <c r="H77" s="14">
        <f t="shared" si="28"/>
        <v>43593.011611030903</v>
      </c>
      <c r="I77" s="4" t="str">
        <f>naks(P[[#This Row],[Moon]])</f>
        <v>Mrigashira</v>
      </c>
      <c r="J77" s="15">
        <f>(C78-P[[#This Row],[SunRise]])/(T78-P[[#This Row],[Moon]])*(13.3333333333333-MOD(P[[#This Row],[Moon]],13.333333333333))+P[[#This Row],[SunRise]]</f>
        <v>43593.664836727825</v>
      </c>
      <c r="K77" s="4" t="str">
        <f>IF(Panchanga!$P77&gt;15,"K","S")&amp;ROUNDUP(MOD(Panchanga!$P77,15),0)&amp;" ("&amp;ROUND(Panchanga!$P77,2)&amp;")"</f>
        <v>S4 (3.15)</v>
      </c>
      <c r="L77" s="4">
        <f>IF(AND(Panchanga!$P77&lt;28.5,Panchanga!$P77&gt;0.49999),MOD((Panchanga!$P77-0.5)*2,7),MOD((Panchanga!$P77+30-28.5),30)*2+7)</f>
        <v>5.3066000000000004</v>
      </c>
      <c r="M77" s="4" t="str">
        <f>CHOOSE(ROUNDUP(Panchanga!$L77,0),"Bhava","Baalava","Kaulava","Taitula","Garija","Vanija","Vishti","Shakuni","Chatushapda","Naaga","Kimstugna")</f>
        <v>Vanija</v>
      </c>
      <c r="N77" s="11" t="str">
        <f>CHOOSE(ROUNDUP(Panchanga!$Q77,0),"viṣkambha","prīti","āyuṣmāna","saubhāgya","śobhana","atigaṇḍa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("&amp;Panchanga!$Q77&amp;")"</f>
        <v>sukarmā  (6.3)</v>
      </c>
      <c r="O77" s="4">
        <f>IF(AND(Panchanga!$P77&lt;28.5,Panchanga!$P77&gt;0.49999),MOD((Panchanga!$P77-0.5)*2,7),MOD((Panchanga!$P77+30-28.5),30)*2+7)</f>
        <v>5.3066000000000004</v>
      </c>
      <c r="P77" s="4">
        <f>ROUNDUP(MOD(360+P[Moon]-P[Sun],360)/12,4)</f>
        <v>3.1533000000000002</v>
      </c>
      <c r="Q77" s="4">
        <f>ROUNDUP(MOD(P[Sun]+P[Moon],360)/13.333333333,2)</f>
        <v>6.3</v>
      </c>
      <c r="R77" s="4" t="str">
        <f>SIGN(U78-Panchanga!$U77)*INT(Panchanga!$U77/30+1)&amp;"Ma,"&amp;SIGN(V78-Panchanga!$V77)*INT(Panchanga!$V77/30+1)&amp;"Me,"&amp;SIGN(W78-Panchanga!$W77)*INT(Panchanga!$W77/30+1)&amp;"J, "&amp;SIGN(X78-Panchanga!$X77)*INT(Panchanga!$X77/30+1)&amp;"V,"&amp;SIGN(Y78-Panchanga!$Y77)*INT(Panchanga!$Y77/30+1)&amp;"S,"&amp;INT(Panchanga!$Z77/30+1)&amp;"R"</f>
        <v>3Ma,1Me,-8J, 12V,-9S,3R</v>
      </c>
      <c r="S77" s="4">
        <f t="shared" si="26"/>
        <v>23.02611821154639</v>
      </c>
      <c r="T77" s="4">
        <f t="shared" si="27"/>
        <v>60.865641605691387</v>
      </c>
      <c r="U77" s="4">
        <f>Planet(Panchanga!$E77,4)</f>
        <v>60.619197278658248</v>
      </c>
      <c r="V77" s="4">
        <f>Planet(Panchanga!$E77,2)</f>
        <v>8.1893741476403719</v>
      </c>
      <c r="W77" s="4">
        <f>Planet(Panchanga!$E77,5)</f>
        <v>239.09426343466345</v>
      </c>
      <c r="X77" s="4">
        <f>Planet(Panchanga!$E77,3)</f>
        <v>356.8987342632048</v>
      </c>
      <c r="Y77" s="4">
        <f>Planet(Panchanga!$E77,6)</f>
        <v>266.34447349365695</v>
      </c>
      <c r="Z77" s="4">
        <f>Planet(Panchanga!$E77,10)</f>
        <v>86.718757230568315</v>
      </c>
      <c r="AA77" s="4" t="str">
        <f>TEXT(Panchanga!$C77+($C78-Panchanga!$C77)/ABS(IF($P78&lt;1,$P78+30,$P78)-Panchanga!$P77)*(ROUNDUP(Panchanga!$P77,0)-Panchanga!$P77),"hh:mm AM/PM")</f>
        <v>12:57 AM</v>
      </c>
      <c r="AB77" s="4"/>
    </row>
    <row r="78" spans="1:28" x14ac:dyDescent="0.2">
      <c r="A78" s="3">
        <f t="shared" si="29"/>
        <v>43594</v>
      </c>
      <c r="B78" s="3">
        <f t="shared" si="23"/>
        <v>43594.229166666664</v>
      </c>
      <c r="C78" s="15">
        <f t="shared" si="24"/>
        <v>43594.240537212849</v>
      </c>
      <c r="D78" s="15">
        <f t="shared" si="25"/>
        <v>43593.767891546289</v>
      </c>
      <c r="E78" s="17">
        <f>Panchanga!$C78-TimeZone/24</f>
        <v>43594.011370546184</v>
      </c>
      <c r="F78" s="18" t="str">
        <f>INT(P[Sun]/30)&amp;"s"&amp;ROUNDUP(MOD(P[Sun],30),2)</f>
        <v>0s24</v>
      </c>
      <c r="G78" s="18" t="str">
        <f>INT(P[Moon]/30)&amp;"s"&amp;ROUNDUP(MOD(P[Moon],30),2)</f>
        <v>2s14.55</v>
      </c>
      <c r="H78" s="14">
        <f t="shared" si="28"/>
        <v>43594.011370546184</v>
      </c>
      <c r="I78" s="4" t="str">
        <f>naks(P[[#This Row],[Moon]])</f>
        <v>Ardra</v>
      </c>
      <c r="J78" s="15">
        <f>(C79-P[[#This Row],[SunRise]])/(T79-P[[#This Row],[Moon]])*(13.3333333333333-MOD(P[[#This Row],[Moon]],13.333333333333))+P[[#This Row],[SunRise]]</f>
        <v>43594.63542047474</v>
      </c>
      <c r="K78" s="4" t="str">
        <f>IF(Panchanga!$P78&gt;15,"K","S")&amp;ROUNDUP(MOD(Panchanga!$P78,15),0)&amp;" ("&amp;ROUND(Panchanga!$P78,2)&amp;")"</f>
        <v>S5 (4.21)</v>
      </c>
      <c r="L78" s="4">
        <f>IF(AND(Panchanga!$P78&lt;28.5,Panchanga!$P78&gt;0.49999),MOD((Panchanga!$P78-0.5)*2,7),MOD((Panchanga!$P78+30-28.5),30)*2+7)</f>
        <v>0.4247999999999994</v>
      </c>
      <c r="M78" s="4" t="str">
        <f>CHOOSE(ROUNDUP(Panchanga!$L78,0),"Bhava","Baalava","Kaulava","Taitula","Garija","Vanija","Vishti","Shakuni","Chatushapda","Naaga","Kimstugna")</f>
        <v>Bhava</v>
      </c>
      <c r="N78" s="11" t="str">
        <f>CHOOSE(ROUNDUP(Panchanga!$Q78,0),"viṣkambha","prīti","āyuṣmāna","saubhāgya","śobhana","atigaṇḍa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("&amp;Panchanga!$Q78&amp;")"</f>
        <v>dhṛti  (7.4)</v>
      </c>
      <c r="O78" s="4">
        <f>IF(AND(Panchanga!$P78&lt;28.5,Panchanga!$P78&gt;0.49999),MOD((Panchanga!$P78-0.5)*2,7),MOD((Panchanga!$P78+30-28.5),30)*2+7)</f>
        <v>0.4247999999999994</v>
      </c>
      <c r="P78" s="4">
        <f>ROUNDUP(MOD(360+P[Moon]-P[Sun],360)/12,4)</f>
        <v>4.2123999999999997</v>
      </c>
      <c r="Q78" s="4">
        <f>ROUNDUP(MOD(P[Sun]+P[Moon],360)/13.333333333,2)</f>
        <v>7.3999999999999995</v>
      </c>
      <c r="R78" s="4" t="str">
        <f>SIGN(U79-Panchanga!$U78)*INT(Panchanga!$U78/30+1)&amp;"Ma,"&amp;SIGN(V79-Panchanga!$V78)*INT(Panchanga!$V78/30+1)&amp;"Me,"&amp;SIGN(W79-Panchanga!$W78)*INT(Panchanga!$W78/30+1)&amp;"J, "&amp;SIGN(X79-Panchanga!$X78)*INT(Panchanga!$X78/30+1)&amp;"V,"&amp;SIGN(Y79-Panchanga!$Y78)*INT(Panchanga!$Y78/30+1)&amp;"S,"&amp;INT(Panchanga!$Z78/30+1)&amp;"R"</f>
        <v>3Ma,1Me,-8J, 12V,-9S,3R</v>
      </c>
      <c r="S78" s="4">
        <f t="shared" si="26"/>
        <v>23.993654529234792</v>
      </c>
      <c r="T78" s="4">
        <f t="shared" si="27"/>
        <v>74.542110184906093</v>
      </c>
      <c r="U78" s="4">
        <f>Planet(Panchanga!$E78,4)</f>
        <v>61.267807034072902</v>
      </c>
      <c r="V78" s="4">
        <f>Planet(Panchanga!$E78,2)</f>
        <v>10.081099267503784</v>
      </c>
      <c r="W78" s="4">
        <f>Planet(Panchanga!$E78,5)</f>
        <v>239.01252070980519</v>
      </c>
      <c r="X78" s="4">
        <f>Planet(Panchanga!$E78,3)</f>
        <v>358.11228289952169</v>
      </c>
      <c r="Y78" s="4">
        <f>Planet(Panchanga!$E78,6)</f>
        <v>266.33070560459578</v>
      </c>
      <c r="Z78" s="4">
        <f>Planet(Panchanga!$E78,10)</f>
        <v>86.665777977722428</v>
      </c>
      <c r="AA78" s="4" t="str">
        <f>TEXT(Panchanga!$C78+($C79-Panchanga!$C78)/ABS(IF($P79&lt;1,$P79+30,$P79)-Panchanga!$P78)*(ROUNDUP(Panchanga!$P78,0)-Panchanga!$P78),"hh:mm AM/PM")</f>
        <v>11:25 PM</v>
      </c>
      <c r="AB78" s="4"/>
    </row>
    <row r="79" spans="1:28" x14ac:dyDescent="0.2">
      <c r="A79" s="3">
        <f t="shared" si="29"/>
        <v>43595</v>
      </c>
      <c r="B79" s="3">
        <f t="shared" si="23"/>
        <v>43595.229166666664</v>
      </c>
      <c r="C79" s="15">
        <f t="shared" si="24"/>
        <v>43595.240305946827</v>
      </c>
      <c r="D79" s="15">
        <f t="shared" si="25"/>
        <v>43594.768057644411</v>
      </c>
      <c r="E79" s="17">
        <f>Panchanga!$C79-TimeZone/24</f>
        <v>43595.011139280163</v>
      </c>
      <c r="F79" s="18" t="str">
        <f>INT(P[Sun]/30)&amp;"s"&amp;ROUNDUP(MOD(P[Sun],30),2)</f>
        <v>0s24.97</v>
      </c>
      <c r="G79" s="18" t="str">
        <f>INT(P[Moon]/30)&amp;"s"&amp;ROUNDUP(MOD(P[Moon],30),2)</f>
        <v>2s28.37</v>
      </c>
      <c r="H79" s="14">
        <f t="shared" si="28"/>
        <v>43595.011139280163</v>
      </c>
      <c r="I79" s="4" t="str">
        <f>naks(P[[#This Row],[Moon]])</f>
        <v>Punarvasu</v>
      </c>
      <c r="J79" s="15">
        <f>(C80-P[[#This Row],[SunRise]])/(T80-P[[#This Row],[Moon]])*(13.3333333333333-MOD(P[[#This Row],[Moon]],13.333333333333))+P[[#This Row],[SunRise]]</f>
        <v>43595.596754700455</v>
      </c>
      <c r="K79" s="4" t="str">
        <f>IF(Panchanga!$P79&gt;15,"K","S")&amp;ROUNDUP(MOD(Panchanga!$P79,15),0)&amp;" ("&amp;ROUND(Panchanga!$P79,2)&amp;")"</f>
        <v>S6 (5.28)</v>
      </c>
      <c r="L79" s="4">
        <f>IF(AND(Panchanga!$P79&lt;28.5,Panchanga!$P79&gt;0.49999),MOD((Panchanga!$P79-0.5)*2,7),MOD((Panchanga!$P79+30-28.5),30)*2+7)</f>
        <v>2.5667999999999989</v>
      </c>
      <c r="M79" s="4" t="str">
        <f>CHOOSE(ROUNDUP(Panchanga!$L79,0),"Bhava","Baalava","Kaulava","Taitula","Garija","Vanija","Vishti","Shakuni","Chatushapda","Naaga","Kimstugna")</f>
        <v>Kaulava</v>
      </c>
      <c r="N79" s="11" t="str">
        <f>CHOOSE(ROUNDUP(Panchanga!$Q79,0),"viṣkambha","prīti","āyuṣmāna","saubhāgya","śobhana","atigaṇḍa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("&amp;Panchanga!$Q79&amp;")"</f>
        <v>śūla  (8.5)</v>
      </c>
      <c r="O79" s="4">
        <f>IF(AND(Panchanga!$P79&lt;28.5,Panchanga!$P79&gt;0.49999),MOD((Panchanga!$P79-0.5)*2,7),MOD((Panchanga!$P79+30-28.5),30)*2+7)</f>
        <v>2.5667999999999989</v>
      </c>
      <c r="P79" s="4">
        <f>ROUNDUP(MOD(360+P[Moon]-P[Sun],360)/12,4)</f>
        <v>5.2833999999999994</v>
      </c>
      <c r="Q79" s="4">
        <f>ROUNDUP(MOD(P[Sun]+P[Moon],360)/13.333333333,2)</f>
        <v>8.5</v>
      </c>
      <c r="R79" s="4" t="str">
        <f>SIGN(U80-Panchanga!$U79)*INT(Panchanga!$U79/30+1)&amp;"Ma,"&amp;SIGN(V80-Panchanga!$V79)*INT(Panchanga!$V79/30+1)&amp;"Me,"&amp;SIGN(W80-Panchanga!$W79)*INT(Panchanga!$W79/30+1)&amp;"J, "&amp;SIGN(X80-Panchanga!$X79)*INT(Panchanga!$X79/30+1)&amp;"V,"&amp;SIGN(Y80-Panchanga!$Y79)*INT(Panchanga!$Y79/30+1)&amp;"S,"&amp;INT(Panchanga!$Z79/30+1)&amp;"R"</f>
        <v>3Ma,1Me,-8J, -12V,-9S,3R</v>
      </c>
      <c r="S79" s="4">
        <f t="shared" si="26"/>
        <v>24.9606822274623</v>
      </c>
      <c r="T79" s="4">
        <f t="shared" si="27"/>
        <v>88.360441112681727</v>
      </c>
      <c r="U79" s="4">
        <f>Planet(Panchanga!$E79,4)</f>
        <v>61.916092466711106</v>
      </c>
      <c r="V79" s="4">
        <f>Planet(Panchanga!$E79,2)</f>
        <v>12.003283954298329</v>
      </c>
      <c r="W79" s="4">
        <f>Planet(Panchanga!$E79,5)</f>
        <v>238.92829892306057</v>
      </c>
      <c r="X79" s="4">
        <f>Planet(Panchanga!$E79,3)</f>
        <v>359.32592903735588</v>
      </c>
      <c r="Y79" s="4">
        <f>Planet(Panchanga!$E79,6)</f>
        <v>266.31534755230717</v>
      </c>
      <c r="Z79" s="4">
        <f>Planet(Panchanga!$E79,10)</f>
        <v>86.612798236364668</v>
      </c>
      <c r="AA79" s="4" t="str">
        <f>TEXT(Panchanga!$C79+($C80-Panchanga!$C79)/ABS(IF($P80&lt;1,$P80+30,$P80)-Panchanga!$P79)*(ROUNDUP(Panchanga!$P79,0)-Panchanga!$P79),"hh:mm AM/PM")</f>
        <v>09:39 PM</v>
      </c>
      <c r="AB79" s="4"/>
    </row>
    <row r="80" spans="1:28" x14ac:dyDescent="0.2">
      <c r="A80" s="3">
        <f t="shared" si="29"/>
        <v>43596</v>
      </c>
      <c r="B80" s="3">
        <f t="shared" si="23"/>
        <v>43596.229166666664</v>
      </c>
      <c r="C80" s="15">
        <f t="shared" si="24"/>
        <v>43596.240084058758</v>
      </c>
      <c r="D80" s="15">
        <f t="shared" si="25"/>
        <v>43595.768227080858</v>
      </c>
      <c r="E80" s="17">
        <f>Panchanga!$C80-TimeZone/24</f>
        <v>43596.010917392094</v>
      </c>
      <c r="F80" s="18" t="str">
        <f>INT(P[Sun]/30)&amp;"s"&amp;ROUNDUP(MOD(P[Sun],30),2)</f>
        <v>0s25.93</v>
      </c>
      <c r="G80" s="18" t="str">
        <f>INT(P[Moon]/30)&amp;"s"&amp;ROUNDUP(MOD(P[Moon],30),2)</f>
        <v>3s12.31</v>
      </c>
      <c r="H80" s="14">
        <f t="shared" si="28"/>
        <v>43596.010917392094</v>
      </c>
      <c r="I80" s="4" t="str">
        <f>naks(P[[#This Row],[Moon]])</f>
        <v>Pushya</v>
      </c>
      <c r="J80" s="15">
        <f>(C81-P[[#This Row],[SunRise]])/(T81-P[[#This Row],[Moon]])*(13.3333333333333-MOD(P[[#This Row],[Moon]],13.333333333333))+P[[#This Row],[SunRise]]</f>
        <v>43596.54980602672</v>
      </c>
      <c r="K80" s="4" t="str">
        <f>IF(Panchanga!$P80&gt;15,"K","S")&amp;ROUNDUP(MOD(Panchanga!$P80,15),0)&amp;" ("&amp;ROUND(Panchanga!$P80,2)&amp;")"</f>
        <v>S7 (6.37)</v>
      </c>
      <c r="L80" s="4">
        <f>IF(AND(Panchanga!$P80&lt;28.5,Panchanga!$P80&gt;0.49999),MOD((Panchanga!$P80-0.5)*2,7),MOD((Panchanga!$P80+30-28.5),30)*2+7)</f>
        <v>4.7303999999999995</v>
      </c>
      <c r="M80" s="4" t="str">
        <f>CHOOSE(ROUNDUP(Panchanga!$L80,0),"Bhava","Baalava","Kaulava","Taitula","Garija","Vanija","Vishti","Shakuni","Chatushapda","Naaga","Kimstugna")</f>
        <v>Garija</v>
      </c>
      <c r="N80" s="11" t="str">
        <f>CHOOSE(ROUNDUP(Panchanga!$Q80,0),"viṣkambha","prīti","āyuṣmāna","saubhāgya","śobhana","atigaṇḍa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("&amp;Panchanga!$Q80&amp;")"</f>
        <v>gaṇḍa  (9.62)</v>
      </c>
      <c r="O80" s="4">
        <f>IF(AND(Panchanga!$P80&lt;28.5,Panchanga!$P80&gt;0.49999),MOD((Panchanga!$P80-0.5)*2,7),MOD((Panchanga!$P80+30-28.5),30)*2+7)</f>
        <v>4.7303999999999995</v>
      </c>
      <c r="P80" s="4">
        <f>ROUNDUP(MOD(360+P[Moon]-P[Sun],360)/12,4)</f>
        <v>6.3651999999999997</v>
      </c>
      <c r="Q80" s="4">
        <f>ROUNDUP(MOD(P[Sun]+P[Moon],360)/13.333333333,2)</f>
        <v>9.6199999999999992</v>
      </c>
      <c r="R80" s="4" t="str">
        <f>SIGN(U81-Panchanga!$U80)*INT(Panchanga!$U80/30+1)&amp;"Ma,"&amp;SIGN(V81-Panchanga!$V80)*INT(Panchanga!$V80/30+1)&amp;"Me,"&amp;SIGN(W81-Panchanga!$W80)*INT(Panchanga!$W80/30+1)&amp;"J, "&amp;SIGN(X81-Panchanga!$X80)*INT(Panchanga!$X80/30+1)&amp;"V,"&amp;SIGN(Y81-Panchanga!$Y80)*INT(Panchanga!$Y80/30+1)&amp;"S,"&amp;INT(Panchanga!$Z80/30+1)&amp;"R"</f>
        <v>3Ma,1Me,-8J, 1V,-9S,3R</v>
      </c>
      <c r="S80" s="4">
        <f t="shared" si="26"/>
        <v>25.927195703472545</v>
      </c>
      <c r="T80" s="4">
        <f t="shared" si="27"/>
        <v>102.30855776228069</v>
      </c>
      <c r="U80" s="4">
        <f>Planet(Panchanga!$E80,4)</f>
        <v>62.564047758839969</v>
      </c>
      <c r="V80" s="4">
        <f>Planet(Panchanga!$E80,2)</f>
        <v>13.955654759982078</v>
      </c>
      <c r="W80" s="4">
        <f>Planet(Panchanga!$E80,5)</f>
        <v>238.8416538364379</v>
      </c>
      <c r="X80" s="4">
        <f>Planet(Panchanga!$E80,3)</f>
        <v>0.53966931739773571</v>
      </c>
      <c r="Y80" s="4">
        <f>Planet(Panchanga!$E80,6)</f>
        <v>266.29840964889843</v>
      </c>
      <c r="Z80" s="4">
        <f>Planet(Panchanga!$E80,10)</f>
        <v>86.559817998045091</v>
      </c>
      <c r="AA80" s="4" t="str">
        <f>TEXT(Panchanga!$C80+($C81-Panchanga!$C80)/ABS(IF($P81&lt;1,$P81+30,$P81)-Panchanga!$P80)*(ROUNDUP(Panchanga!$P80,0)-Panchanga!$P80),"hh:mm AM/PM")</f>
        <v>07:42 PM</v>
      </c>
      <c r="AB80" s="4"/>
    </row>
    <row r="81" spans="1:28" x14ac:dyDescent="0.2">
      <c r="A81" s="3">
        <f t="shared" si="29"/>
        <v>43597</v>
      </c>
      <c r="B81" s="3">
        <f t="shared" si="23"/>
        <v>43597.229166666664</v>
      </c>
      <c r="C81" s="15">
        <f t="shared" si="24"/>
        <v>43597.239871866223</v>
      </c>
      <c r="D81" s="15">
        <f t="shared" si="25"/>
        <v>43596.7683998547</v>
      </c>
      <c r="E81" s="17">
        <f>Panchanga!$C81-TimeZone/24</f>
        <v>43597.010705199558</v>
      </c>
      <c r="F81" s="18" t="str">
        <f>INT(P[Sun]/30)&amp;"s"&amp;ROUNDUP(MOD(P[Sun],30),2)</f>
        <v>0s26.9</v>
      </c>
      <c r="G81" s="18" t="str">
        <f>INT(P[Moon]/30)&amp;"s"&amp;ROUNDUP(MOD(P[Moon],30),2)</f>
        <v>3s26.38</v>
      </c>
      <c r="H81" s="14">
        <f t="shared" si="28"/>
        <v>43597.010705199558</v>
      </c>
      <c r="I81" s="4" t="str">
        <f>naks(P[[#This Row],[Moon]])</f>
        <v>Aslesha</v>
      </c>
      <c r="J81" s="15">
        <f>(C82-P[[#This Row],[SunRise]])/(T82-P[[#This Row],[Moon]])*(13.3333333333333-MOD(P[[#This Row],[Moon]],13.333333333333))+P[[#This Row],[SunRise]]</f>
        <v>43597.495459179881</v>
      </c>
      <c r="K81" s="4" t="str">
        <f>IF(Panchanga!$P81&gt;15,"K","S")&amp;ROUNDUP(MOD(Panchanga!$P81,15),0)&amp;" ("&amp;ROUND(Panchanga!$P81,2)&amp;")"</f>
        <v>S8 (7.46)</v>
      </c>
      <c r="L81" s="4">
        <f>IF(AND(Panchanga!$P81&lt;28.5,Panchanga!$P81&gt;0.49999),MOD((Panchanga!$P81-0.5)*2,7),MOD((Panchanga!$P81+30-28.5),30)*2+7)</f>
        <v>6.9139999999999997</v>
      </c>
      <c r="M81" s="4" t="str">
        <f>CHOOSE(ROUNDUP(Panchanga!$L81,0),"Bhava","Baalava","Kaulava","Taitula","Garija","Vanija","Vishti","Shakuni","Chatushapda","Naaga","Kimstugna")</f>
        <v>Vishti</v>
      </c>
      <c r="N81" s="11" t="str">
        <f>CHOOSE(ROUNDUP(Panchanga!$Q81,0),"viṣkambha","prīti","āyuṣmāna","saubhāgya","śobhana","atigaṇḍa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("&amp;Panchanga!$Q81&amp;")"</f>
        <v>vṛddhi  (10.75)</v>
      </c>
      <c r="O81" s="4">
        <f>IF(AND(Panchanga!$P81&lt;28.5,Panchanga!$P81&gt;0.49999),MOD((Panchanga!$P81-0.5)*2,7),MOD((Panchanga!$P81+30-28.5),30)*2+7)</f>
        <v>6.9139999999999997</v>
      </c>
      <c r="P81" s="4">
        <f>ROUNDUP(MOD(360+P[Moon]-P[Sun],360)/12,4)</f>
        <v>7.4569999999999999</v>
      </c>
      <c r="Q81" s="4">
        <f>ROUNDUP(MOD(P[Sun]+P[Moon],360)/13.333333333,2)</f>
        <v>10.75</v>
      </c>
      <c r="R81" s="4" t="str">
        <f>SIGN(U82-Panchanga!$U81)*INT(Panchanga!$U81/30+1)&amp;"Ma,"&amp;SIGN(V82-Panchanga!$V81)*INT(Panchanga!$V81/30+1)&amp;"Me,"&amp;SIGN(W82-Panchanga!$W81)*INT(Panchanga!$W81/30+1)&amp;"J, "&amp;SIGN(X82-Panchanga!$X81)*INT(Panchanga!$X81/30+1)&amp;"V,"&amp;SIGN(Y82-Panchanga!$Y81)*INT(Panchanga!$Y81/30+1)&amp;"S,"&amp;INT(Panchanga!$Z81/30+1)&amp;"R"</f>
        <v>3Ma,1Me,-8J, 1V,-9S,3R</v>
      </c>
      <c r="S81" s="4">
        <f t="shared" si="26"/>
        <v>26.893193484683291</v>
      </c>
      <c r="T81" s="4">
        <f t="shared" si="27"/>
        <v>116.37660780996515</v>
      </c>
      <c r="U81" s="4">
        <f>Planet(Panchanga!$E81,4)</f>
        <v>63.211668047615952</v>
      </c>
      <c r="V81" s="4">
        <f>Planet(Panchanga!$E81,2)</f>
        <v>15.937772770817562</v>
      </c>
      <c r="W81" s="4">
        <f>Planet(Panchanga!$E81,5)</f>
        <v>238.75264266735863</v>
      </c>
      <c r="X81" s="4">
        <f>Planet(Panchanga!$E81,3)</f>
        <v>1.7535037488186773</v>
      </c>
      <c r="Y81" s="4">
        <f>Planet(Panchanga!$E81,6)</f>
        <v>266.27990291252434</v>
      </c>
      <c r="Z81" s="4">
        <f>Planet(Panchanga!$E81,10)</f>
        <v>86.50683724592966</v>
      </c>
      <c r="AA81" s="4" t="str">
        <f>TEXT(Panchanga!$C81+($C82-Panchanga!$C81)/ABS(IF($P82&lt;1,$P82+30,$P82)-Panchanga!$P81)*(ROUNDUP(Panchanga!$P81,0)-Panchanga!$P81),"hh:mm AM/PM")</f>
        <v>05:35 PM</v>
      </c>
      <c r="AB81" s="4"/>
    </row>
    <row r="82" spans="1:28" x14ac:dyDescent="0.2">
      <c r="A82" s="3">
        <f t="shared" si="29"/>
        <v>43598</v>
      </c>
      <c r="B82" s="3">
        <f t="shared" si="23"/>
        <v>43598.229166666664</v>
      </c>
      <c r="C82" s="15">
        <f t="shared" si="24"/>
        <v>43598.239669051174</v>
      </c>
      <c r="D82" s="15">
        <f t="shared" si="25"/>
        <v>43597.768575966402</v>
      </c>
      <c r="E82" s="17">
        <f>Panchanga!$C82-TimeZone/24</f>
        <v>43598.01050238451</v>
      </c>
      <c r="F82" s="18" t="str">
        <f>INT(P[Sun]/30)&amp;"s"&amp;ROUNDUP(MOD(P[Sun],30),2)</f>
        <v>0s27.86</v>
      </c>
      <c r="G82" s="18" t="str">
        <f>INT(P[Moon]/30)&amp;"s"&amp;ROUNDUP(MOD(P[Moon],30),2)</f>
        <v>4s10.56</v>
      </c>
      <c r="H82" s="14">
        <f t="shared" si="28"/>
        <v>43598.01050238451</v>
      </c>
      <c r="I82" s="4" t="str">
        <f>naks(P[[#This Row],[Moon]])</f>
        <v>Makha</v>
      </c>
      <c r="J82" s="15">
        <f>(C83-P[[#This Row],[SunRise]])/(T83-P[[#This Row],[Moon]])*(13.3333333333333-MOD(P[[#This Row],[Moon]],13.333333333333))+P[[#This Row],[SunRise]]</f>
        <v>43598.43486573777</v>
      </c>
      <c r="K82" s="4" t="str">
        <f>IF(Panchanga!$P82&gt;15,"K","S")&amp;ROUNDUP(MOD(Panchanga!$P82,15),0)&amp;" ("&amp;ROUND(Panchanga!$P82,2)&amp;")"</f>
        <v>S9 (8.56)</v>
      </c>
      <c r="L82" s="4">
        <f>IF(AND(Panchanga!$P82&lt;28.5,Panchanga!$P82&gt;0.49999),MOD((Panchanga!$P82-0.5)*2,7),MOD((Panchanga!$P82+30-28.5),30)*2+7)</f>
        <v>2.1154000000000011</v>
      </c>
      <c r="M82" s="4" t="str">
        <f>CHOOSE(ROUNDUP(Panchanga!$L82,0),"Bhava","Baalava","Kaulava","Taitula","Garija","Vanija","Vishti","Shakuni","Chatushapda","Naaga","Kimstugna")</f>
        <v>Kaulava</v>
      </c>
      <c r="N82" s="11" t="str">
        <f>CHOOSE(ROUNDUP(Panchanga!$Q82,0),"viṣkambha","prīti","āyuṣmāna","saubhāgya","śobhana","atigaṇḍa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("&amp;Panchanga!$Q82&amp;")"</f>
        <v>dhruva  (11.89)</v>
      </c>
      <c r="O82" s="4">
        <f>IF(AND(Panchanga!$P82&lt;28.5,Panchanga!$P82&gt;0.49999),MOD((Panchanga!$P82-0.5)*2,7),MOD((Panchanga!$P82+30-28.5),30)*2+7)</f>
        <v>2.1154000000000011</v>
      </c>
      <c r="P82" s="4">
        <f>ROUNDUP(MOD(360+P[Moon]-P[Sun],360)/12,4)</f>
        <v>8.5577000000000005</v>
      </c>
      <c r="Q82" s="4">
        <f>ROUNDUP(MOD(P[Sun]+P[Moon],360)/13.333333333,2)</f>
        <v>11.89</v>
      </c>
      <c r="R82" s="4" t="str">
        <f>SIGN(U83-Panchanga!$U82)*INT(Panchanga!$U82/30+1)&amp;"Ma,"&amp;SIGN(V83-Panchanga!$V82)*INT(Panchanga!$V82/30+1)&amp;"Me,"&amp;SIGN(W83-Panchanga!$W82)*INT(Panchanga!$W82/30+1)&amp;"J, "&amp;SIGN(X83-Panchanga!$X82)*INT(Panchanga!$X82/30+1)&amp;"V,"&amp;SIGN(Y83-Panchanga!$Y82)*INT(Panchanga!$Y82/30+1)&amp;"S,"&amp;INT(Panchanga!$Z82/30+1)&amp;"R"</f>
        <v>3Ma,1Me,-8J, 1V,-9S,3R</v>
      </c>
      <c r="S82" s="4">
        <f t="shared" si="26"/>
        <v>27.858678170029577</v>
      </c>
      <c r="T82" s="4">
        <f t="shared" si="27"/>
        <v>130.55046198007867</v>
      </c>
      <c r="U82" s="4">
        <f>Planet(Panchanga!$E82,4)</f>
        <v>63.858949479918074</v>
      </c>
      <c r="V82" s="4">
        <f>Planet(Panchanga!$E82,2)</f>
        <v>17.948990844370915</v>
      </c>
      <c r="W82" s="4">
        <f>Planet(Panchanga!$E82,5)</f>
        <v>238.66132376314687</v>
      </c>
      <c r="X82" s="4">
        <f>Planet(Panchanga!$E82,3)</f>
        <v>2.9674348123866867</v>
      </c>
      <c r="Y82" s="4">
        <f>Planet(Panchanga!$E82,6)</f>
        <v>266.25983890200689</v>
      </c>
      <c r="Z82" s="4">
        <f>Planet(Panchanga!$E82,10)</f>
        <v>86.453855996918648</v>
      </c>
      <c r="AA82" s="4" t="str">
        <f>TEXT(Panchanga!$C82+($C83-Panchanga!$C82)/ABS(IF($P83&lt;1,$P83+30,$P83)-Panchanga!$P82)*(ROUNDUP(Panchanga!$P82,0)-Panchanga!$P82),"hh:mm AM/PM")</f>
        <v>03:20 PM</v>
      </c>
      <c r="AB82" s="4"/>
    </row>
    <row r="83" spans="1:28" x14ac:dyDescent="0.2">
      <c r="A83" s="3">
        <f t="shared" si="29"/>
        <v>43599</v>
      </c>
      <c r="B83" s="3">
        <f t="shared" si="23"/>
        <v>43599.229166666664</v>
      </c>
      <c r="C83" s="15">
        <f t="shared" si="24"/>
        <v>43599.239475932125</v>
      </c>
      <c r="D83" s="15">
        <f t="shared" si="25"/>
        <v>43598.768755098383</v>
      </c>
      <c r="E83" s="17">
        <f>Panchanga!$C83-TimeZone/24</f>
        <v>43599.010309265461</v>
      </c>
      <c r="F83" s="18" t="str">
        <f>INT(P[Sun]/30)&amp;"s"&amp;ROUNDUP(MOD(P[Sun],30),2)</f>
        <v>0s28.83</v>
      </c>
      <c r="G83" s="18" t="str">
        <f>INT(P[Moon]/30)&amp;"s"&amp;ROUNDUP(MOD(P[Moon],30),2)</f>
        <v>4s24.81</v>
      </c>
      <c r="H83" s="14">
        <f t="shared" si="28"/>
        <v>43599.010309265461</v>
      </c>
      <c r="I83" s="4" t="str">
        <f>naks(P[[#This Row],[Moon]])</f>
        <v>Purva Phalguni</v>
      </c>
      <c r="J83" s="15">
        <f>(C84-P[[#This Row],[SunRise]])/(T84-P[[#This Row],[Moon]])*(13.3333333333333-MOD(P[[#This Row],[Moon]],13.333333333333))+P[[#This Row],[SunRise]]</f>
        <v>43599.369755206411</v>
      </c>
      <c r="K83" s="4" t="str">
        <f>IF(Panchanga!$P83&gt;15,"K","S")&amp;ROUNDUP(MOD(Panchanga!$P83,15),0)&amp;" ("&amp;ROUND(Panchanga!$P83,2)&amp;")"</f>
        <v>S10 (9.67)</v>
      </c>
      <c r="L83" s="4">
        <f>IF(AND(Panchanga!$P83&lt;28.5,Panchanga!$P83&gt;0.49999),MOD((Panchanga!$P83-0.5)*2,7),MOD((Panchanga!$P83+30-28.5),30)*2+7)</f>
        <v>4.3301999999999978</v>
      </c>
      <c r="M83" s="4" t="str">
        <f>CHOOSE(ROUNDUP(Panchanga!$L83,0),"Bhava","Baalava","Kaulava","Taitula","Garija","Vanija","Vishti","Shakuni","Chatushapda","Naaga","Kimstugna")</f>
        <v>Garija</v>
      </c>
      <c r="N83" s="11" t="str">
        <f>CHOOSE(ROUNDUP(Panchanga!$Q83,0),"viṣkambha","prīti","āyuṣmāna","saubhāgya","śobhana","atigaṇḍa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("&amp;Panchanga!$Q83&amp;")"</f>
        <v>harṣaṇa (13.03)</v>
      </c>
      <c r="O83" s="4">
        <f>IF(AND(Panchanga!$P83&lt;28.5,Panchanga!$P83&gt;0.49999),MOD((Panchanga!$P83-0.5)*2,7),MOD((Panchanga!$P83+30-28.5),30)*2+7)</f>
        <v>4.3301999999999978</v>
      </c>
      <c r="P83" s="4">
        <f>ROUNDUP(MOD(360+P[Moon]-P[Sun],360)/12,4)</f>
        <v>9.6650999999999989</v>
      </c>
      <c r="Q83" s="4">
        <f>ROUNDUP(MOD(P[Sun]+P[Moon],360)/13.333333333,2)</f>
        <v>13.03</v>
      </c>
      <c r="R83" s="4" t="str">
        <f>SIGN(U84-Panchanga!$U83)*INT(Panchanga!$U83/30+1)&amp;"Ma,"&amp;SIGN(V84-Panchanga!$V83)*INT(Panchanga!$V83/30+1)&amp;"Me,"&amp;SIGN(W84-Panchanga!$W83)*INT(Panchanga!$W83/30+1)&amp;"J, "&amp;SIGN(X84-Panchanga!$X83)*INT(Panchanga!$X83/30+1)&amp;"V,"&amp;SIGN(Y84-Panchanga!$Y83)*INT(Panchanga!$Y83/30+1)&amp;"S,"&amp;INT(Panchanga!$Z83/30+1)&amp;"R"</f>
        <v>3Ma,1Me,-8J, 1V,-9S,3R</v>
      </c>
      <c r="S83" s="4">
        <f t="shared" si="26"/>
        <v>28.823658008871391</v>
      </c>
      <c r="T83" s="4">
        <f t="shared" si="27"/>
        <v>144.80446380908313</v>
      </c>
      <c r="U83" s="4">
        <f>Planet(Panchanga!$E83,4)</f>
        <v>64.505890520867666</v>
      </c>
      <c r="V83" s="4">
        <f>Planet(Panchanga!$E83,2)</f>
        <v>19.988412227315354</v>
      </c>
      <c r="W83" s="4">
        <f>Planet(Panchanga!$E83,5)</f>
        <v>238.56775614822135</v>
      </c>
      <c r="X83" s="4">
        <f>Planet(Panchanga!$E83,3)</f>
        <v>4.18146882109136</v>
      </c>
      <c r="Y83" s="4">
        <f>Planet(Panchanga!$E83,6)</f>
        <v>266.23822950866082</v>
      </c>
      <c r="Z83" s="4">
        <f>Planet(Panchanga!$E83,10)</f>
        <v>86.400874234062073</v>
      </c>
      <c r="AA83" s="4" t="str">
        <f>TEXT(Panchanga!$C83+($C84-Panchanga!$C83)/ABS(IF($P84&lt;1,$P84+30,$P84)-Panchanga!$P83)*(ROUNDUP(Panchanga!$P83,0)-Panchanga!$P83),"hh:mm AM/PM")</f>
        <v>12:59 PM</v>
      </c>
      <c r="AB83" s="4"/>
    </row>
    <row r="84" spans="1:28" x14ac:dyDescent="0.2">
      <c r="A84" s="3">
        <f t="shared" si="29"/>
        <v>43600</v>
      </c>
      <c r="B84" s="3">
        <f t="shared" si="23"/>
        <v>43600.229166666664</v>
      </c>
      <c r="C84" s="15">
        <f t="shared" si="24"/>
        <v>43600.239292667866</v>
      </c>
      <c r="D84" s="15">
        <f t="shared" si="25"/>
        <v>43599.768937250177</v>
      </c>
      <c r="E84" s="17">
        <f>Panchanga!$C84-TimeZone/24</f>
        <v>43600.010126001202</v>
      </c>
      <c r="F84" s="18" t="str">
        <f>INT(P[Sun]/30)&amp;"s"&amp;ROUNDUP(MOD(P[Sun],30),2)</f>
        <v>0s29.79</v>
      </c>
      <c r="G84" s="18" t="str">
        <f>INT(P[Moon]/30)&amp;"s"&amp;ROUNDUP(MOD(P[Moon],30),2)</f>
        <v>5s9.1</v>
      </c>
      <c r="H84" s="14">
        <f t="shared" si="28"/>
        <v>43600.010126001202</v>
      </c>
      <c r="I84" s="4" t="str">
        <f>naks(P[[#This Row],[Moon]])</f>
        <v>Uttara Phalguni</v>
      </c>
      <c r="J84" s="15">
        <f>(C85-P[[#This Row],[SunRise]])/(T85-P[[#This Row],[Moon]])*(13.3333333333333-MOD(P[[#This Row],[Moon]],13.333333333333))+P[[#This Row],[SunRise]]</f>
        <v>43600.302660270208</v>
      </c>
      <c r="K84" s="4" t="str">
        <f>IF(Panchanga!$P84&gt;15,"K","S")&amp;ROUNDUP(MOD(Panchanga!$P84,15),0)&amp;" ("&amp;ROUND(Panchanga!$P84,2)&amp;")"</f>
        <v>S11 (10.78)</v>
      </c>
      <c r="L84" s="4">
        <f>IF(AND(Panchanga!$P84&lt;28.5,Panchanga!$P84&gt;0.49999),MOD((Panchanga!$P84-0.5)*2,7),MOD((Panchanga!$P84+30-28.5),30)*2+7)</f>
        <v>6.551400000000001</v>
      </c>
      <c r="M84" s="4" t="str">
        <f>CHOOSE(ROUNDUP(Panchanga!$L84,0),"Bhava","Baalava","Kaulava","Taitula","Garija","Vanija","Vishti","Shakuni","Chatushapda","Naaga","Kimstugna")</f>
        <v>Vishti</v>
      </c>
      <c r="N84" s="11" t="str">
        <f>CHOOSE(ROUNDUP(Panchanga!$Q84,0),"viṣkambha","prīti","āyuṣmāna","saubhāgya","śobhana","atigaṇḍa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("&amp;Panchanga!$Q84&amp;")"</f>
        <v>vajra (14.17)</v>
      </c>
      <c r="O84" s="4">
        <f>IF(AND(Panchanga!$P84&lt;28.5,Panchanga!$P84&gt;0.49999),MOD((Panchanga!$P84-0.5)*2,7),MOD((Panchanga!$P84+30-28.5),30)*2+7)</f>
        <v>6.551400000000001</v>
      </c>
      <c r="P84" s="4">
        <f>ROUNDUP(MOD(360+P[Moon]-P[Sun],360)/12,4)</f>
        <v>10.775700000000001</v>
      </c>
      <c r="Q84" s="4">
        <f>ROUNDUP(MOD(P[Sun]+P[Moon],360)/13.333333333,2)</f>
        <v>14.17</v>
      </c>
      <c r="R84" s="4" t="str">
        <f>SIGN(U85-Panchanga!$U84)*INT(Panchanga!$U84/30+1)&amp;"Ma,"&amp;SIGN(V85-Panchanga!$V84)*INT(Panchanga!$V84/30+1)&amp;"Me,"&amp;SIGN(W85-Panchanga!$W84)*INT(Panchanga!$W84/30+1)&amp;"J, "&amp;SIGN(X85-Panchanga!$X84)*INT(Panchanga!$X84/30+1)&amp;"V,"&amp;SIGN(Y85-Panchanga!$Y84)*INT(Panchanga!$Y84/30+1)&amp;"S,"&amp;INT(Panchanga!$Z84/30+1)&amp;"R"</f>
        <v>3Ma,1Me,-8J, 1V,-9S,3R</v>
      </c>
      <c r="S84" s="4">
        <f t="shared" si="26"/>
        <v>29.788146067387903</v>
      </c>
      <c r="T84" s="4">
        <f t="shared" si="27"/>
        <v>159.09577447678816</v>
      </c>
      <c r="U84" s="4">
        <f>Planet(Panchanga!$E84,4)</f>
        <v>65.152491765959226</v>
      </c>
      <c r="V84" s="4">
        <f>Planet(Panchanga!$E84,2)</f>
        <v>22.05484400822963</v>
      </c>
      <c r="W84" s="4">
        <f>Planet(Panchanga!$E84,5)</f>
        <v>238.47199935051594</v>
      </c>
      <c r="X84" s="4">
        <f>Planet(Panchanga!$E84,3)</f>
        <v>5.3956145236591455</v>
      </c>
      <c r="Y84" s="4">
        <f>Planet(Panchanga!$E84,6)</f>
        <v>266.21508681101062</v>
      </c>
      <c r="Z84" s="4">
        <f>Planet(Panchanga!$E84,10)</f>
        <v>86.34789194900938</v>
      </c>
      <c r="AA84" s="4" t="str">
        <f>TEXT(Panchanga!$C84+($C85-Panchanga!$C84)/ABS(IF($P85&lt;1,$P85+30,$P85)-Panchanga!$P84)*(ROUNDUP(Panchanga!$P84,0)-Panchanga!$P84),"hh:mm AM/PM")</f>
        <v>10:35 AM</v>
      </c>
      <c r="AB84" s="4"/>
    </row>
    <row r="85" spans="1:28" x14ac:dyDescent="0.2">
      <c r="A85" s="3">
        <f t="shared" si="29"/>
        <v>43601</v>
      </c>
      <c r="B85" s="3">
        <f t="shared" si="23"/>
        <v>43601.229166666664</v>
      </c>
      <c r="C85" s="15">
        <f t="shared" si="24"/>
        <v>43601.239119257931</v>
      </c>
      <c r="D85" s="15">
        <f t="shared" si="25"/>
        <v>43600.769122262995</v>
      </c>
      <c r="E85" s="17">
        <f>Panchanga!$C85-TimeZone/24</f>
        <v>43601.009952591266</v>
      </c>
      <c r="F85" s="18" t="str">
        <f>INT(P[Sun]/30)&amp;"s"&amp;ROUNDUP(MOD(P[Sun],30),2)</f>
        <v>1s0.76</v>
      </c>
      <c r="G85" s="18" t="str">
        <f>INT(P[Moon]/30)&amp;"s"&amp;ROUNDUP(MOD(P[Moon],30),2)</f>
        <v>5s23.37</v>
      </c>
      <c r="H85" s="14">
        <f t="shared" si="28"/>
        <v>43601.009952591266</v>
      </c>
      <c r="I85" s="4" t="str">
        <f>naks(P[[#This Row],[Moon]])</f>
        <v>Chitra</v>
      </c>
      <c r="J85" s="15">
        <f>(C86-P[[#This Row],[SunRise]])/(T86-P[[#This Row],[Moon]])*(13.3333333333333-MOD(P[[#This Row],[Moon]],13.333333333333))+P[[#This Row],[SunRise]]</f>
        <v>43602.178060401224</v>
      </c>
      <c r="K85" s="4" t="str">
        <f>IF(Panchanga!$P85&gt;15,"K","S")&amp;ROUNDUP(MOD(Panchanga!$P85,15),0)&amp;" ("&amp;ROUND(Panchanga!$P85,2)&amp;")"</f>
        <v>S12 (11.88)</v>
      </c>
      <c r="L85" s="4">
        <f>IF(AND(Panchanga!$P85&lt;28.5,Panchanga!$P85&gt;0.49999),MOD((Panchanga!$P85-0.5)*2,7),MOD((Panchanga!$P85+30-28.5),30)*2+7)</f>
        <v>1.7685999999999993</v>
      </c>
      <c r="M85" s="4" t="str">
        <f>CHOOSE(ROUNDUP(Panchanga!$L85,0),"Bhava","Baalava","Kaulava","Taitula","Garija","Vanija","Vishti","Shakuni","Chatushapda","Naaga","Kimstugna")</f>
        <v>Baalava</v>
      </c>
      <c r="N85" s="11" t="str">
        <f>CHOOSE(ROUNDUP(Panchanga!$Q85,0),"viṣkambha","prīti","āyuṣmāna","saubhāgya","śobhana","atigaṇḍa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("&amp;Panchanga!$Q85&amp;")"</f>
        <v>siddhi (15.31)</v>
      </c>
      <c r="O85" s="4">
        <f>IF(AND(Panchanga!$P85&lt;28.5,Panchanga!$P85&gt;0.49999),MOD((Panchanga!$P85-0.5)*2,7),MOD((Panchanga!$P85+30-28.5),30)*2+7)</f>
        <v>1.7685999999999993</v>
      </c>
      <c r="P85" s="4">
        <f>ROUNDUP(MOD(360+P[Moon]-P[Sun],360)/12,4)</f>
        <v>11.8843</v>
      </c>
      <c r="Q85" s="4">
        <f>ROUNDUP(MOD(P[Sun]+P[Moon],360)/13.333333333,2)</f>
        <v>15.31</v>
      </c>
      <c r="R85" s="4" t="str">
        <f>SIGN(U86-Panchanga!$U85)*INT(Panchanga!$U85/30+1)&amp;"Ma,"&amp;SIGN(V86-Panchanga!$V85)*INT(Panchanga!$V85/30+1)&amp;"Me,"&amp;SIGN(W86-Panchanga!$W85)*INT(Panchanga!$W85/30+1)&amp;"J, "&amp;SIGN(X86-Panchanga!$X85)*INT(Panchanga!$X85/30+1)&amp;"V,"&amp;SIGN(Y86-Panchanga!$Y85)*INT(Panchanga!$Y85/30+1)&amp;"S,"&amp;INT(Panchanga!$Z85/30+1)&amp;"R"</f>
        <v>3Ma,1Me,-8J, 1V,-9S,3R</v>
      </c>
      <c r="S85" s="4">
        <f t="shared" si="26"/>
        <v>30.7521597956577</v>
      </c>
      <c r="T85" s="4">
        <f t="shared" si="27"/>
        <v>173.36282401149262</v>
      </c>
      <c r="U85" s="4">
        <f>Planet(Panchanga!$E85,4)</f>
        <v>65.798756102922638</v>
      </c>
      <c r="V85" s="4">
        <f>Planet(Panchanga!$E85,2)</f>
        <v>24.146753489394104</v>
      </c>
      <c r="W85" s="4">
        <f>Planet(Panchanga!$E85,5)</f>
        <v>238.37411327603465</v>
      </c>
      <c r="X85" s="4">
        <f>Planet(Panchanga!$E85,3)</f>
        <v>6.609882505813478</v>
      </c>
      <c r="Y85" s="4">
        <f>Planet(Panchanga!$E85,6)</f>
        <v>266.19042295111473</v>
      </c>
      <c r="Z85" s="4">
        <f>Planet(Panchanga!$E85,10)</f>
        <v>86.294909141743901</v>
      </c>
      <c r="AA85" s="4" t="str">
        <f>TEXT(Panchanga!$C85+($C86-Panchanga!$C85)/ABS(IF($P86&lt;1,$P86+30,$P86)-Panchanga!$P85)*(ROUNDUP(Panchanga!$P85,0)-Panchanga!$P85),"hh:mm AM/PM")</f>
        <v>08:15 AM</v>
      </c>
      <c r="AB85" s="4"/>
    </row>
    <row r="86" spans="1:28" x14ac:dyDescent="0.2">
      <c r="A86" s="3">
        <f t="shared" si="29"/>
        <v>43602</v>
      </c>
      <c r="B86" s="3">
        <f t="shared" si="23"/>
        <v>43602.229166666664</v>
      </c>
      <c r="C86" s="15">
        <f t="shared" si="24"/>
        <v>43602.238955702785</v>
      </c>
      <c r="D86" s="15">
        <f t="shared" si="25"/>
        <v>43601.769310295625</v>
      </c>
      <c r="E86" s="17">
        <f>Panchanga!$C86-TimeZone/24</f>
        <v>43602.009789036121</v>
      </c>
      <c r="F86" s="18" t="str">
        <f>INT(P[Sun]/30)&amp;"s"&amp;ROUNDUP(MOD(P[Sun],30),2)</f>
        <v>1s1.72</v>
      </c>
      <c r="G86" s="18" t="str">
        <f>INT(P[Moon]/30)&amp;"s"&amp;ROUNDUP(MOD(P[Moon],30),2)</f>
        <v>6s7.53</v>
      </c>
      <c r="H86" s="14">
        <f t="shared" si="28"/>
        <v>43602.009789036121</v>
      </c>
      <c r="I86" s="4" t="str">
        <f>naks(P[[#This Row],[Moon]])</f>
        <v>Swati</v>
      </c>
      <c r="J86" s="15">
        <f>(C87-P[[#This Row],[SunRise]])/(T87-P[[#This Row],[Moon]])*(13.3333333333333-MOD(P[[#This Row],[Moon]],13.333333333333))+P[[#This Row],[SunRise]]</f>
        <v>43603.130512554337</v>
      </c>
      <c r="K86" s="4" t="str">
        <f>IF(Panchanga!$P86&gt;15,"K","S")&amp;ROUNDUP(MOD(Panchanga!$P86,15),0)&amp;" ("&amp;ROUND(Panchanga!$P86,2)&amp;")"</f>
        <v>S13 (12.98)</v>
      </c>
      <c r="L86" s="4">
        <f>IF(AND(Panchanga!$P86&lt;28.5,Panchanga!$P86&gt;0.49999),MOD((Panchanga!$P86-0.5)*2,7),MOD((Panchanga!$P86+30-28.5),30)*2+7)</f>
        <v>3.9690000000000012</v>
      </c>
      <c r="M86" s="4" t="str">
        <f>CHOOSE(ROUNDUP(Panchanga!$L86,0),"Bhava","Baalava","Kaulava","Taitula","Garija","Vanija","Vishti","Shakuni","Chatushapda","Naaga","Kimstugna")</f>
        <v>Taitula</v>
      </c>
      <c r="N86" s="11" t="str">
        <f>CHOOSE(ROUNDUP(Panchanga!$Q86,0),"viṣkambha","prīti","āyuṣmāna","saubhāgya","śobhana","atigaṇḍa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("&amp;Panchanga!$Q86&amp;")"</f>
        <v>vyatipāta (16.45)</v>
      </c>
      <c r="O86" s="4">
        <f>IF(AND(Panchanga!$P86&lt;28.5,Panchanga!$P86&gt;0.49999),MOD((Panchanga!$P86-0.5)*2,7),MOD((Panchanga!$P86+30-28.5),30)*2+7)</f>
        <v>3.9690000000000012</v>
      </c>
      <c r="P86" s="4">
        <f>ROUNDUP(MOD(360+P[Moon]-P[Sun],360)/12,4)</f>
        <v>12.984500000000001</v>
      </c>
      <c r="Q86" s="4">
        <f>ROUNDUP(MOD(P[Sun]+P[Moon],360)/13.333333333,2)</f>
        <v>16.450000000000003</v>
      </c>
      <c r="R86" s="4" t="str">
        <f>SIGN(U87-Panchanga!$U86)*INT(Panchanga!$U86/30+1)&amp;"Ma,"&amp;SIGN(V87-Panchanga!$V86)*INT(Panchanga!$V86/30+1)&amp;"Me,"&amp;SIGN(W87-Panchanga!$W86)*INT(Panchanga!$W86/30+1)&amp;"J, "&amp;SIGN(X87-Panchanga!$X86)*INT(Panchanga!$X86/30+1)&amp;"V,"&amp;SIGN(Y87-Panchanga!$Y86)*INT(Panchanga!$Y86/30+1)&amp;"S,"&amp;INT(Panchanga!$Z86/30+1)&amp;"R"</f>
        <v>3Ma,1Me,-8J, 1V,-9S,3R</v>
      </c>
      <c r="S86" s="4">
        <f t="shared" si="26"/>
        <v>31.71572040952384</v>
      </c>
      <c r="T86" s="4">
        <f t="shared" si="27"/>
        <v>187.5294912603579</v>
      </c>
      <c r="U86" s="4">
        <f>Planet(Panchanga!$E86,4)</f>
        <v>66.444688789122694</v>
      </c>
      <c r="V86" s="4">
        <f>Planet(Panchanga!$E86,2)</f>
        <v>26.262229319799776</v>
      </c>
      <c r="W86" s="4">
        <f>Planet(Panchanga!$E86,5)</f>
        <v>238.27415818945181</v>
      </c>
      <c r="X86" s="4">
        <f>Planet(Panchanga!$E86,3)</f>
        <v>7.8242846469710559</v>
      </c>
      <c r="Y86" s="4">
        <f>Planet(Panchanga!$E86,6)</f>
        <v>266.16425005142577</v>
      </c>
      <c r="Z86" s="4">
        <f>Planet(Panchanga!$E86,10)</f>
        <v>86.24192581226572</v>
      </c>
      <c r="AA86" s="4" t="str">
        <f>TEXT(Panchanga!$C86+($C87-Panchanga!$C86)/ABS(IF($P87&lt;1,$P87+30,$P87)-Panchanga!$P86)*(ROUNDUP(Panchanga!$P86,0)-Panchanga!$P86),"hh:mm AM/PM")</f>
        <v>06:04 AM</v>
      </c>
      <c r="AB86" s="4"/>
    </row>
    <row r="87" spans="1:28" x14ac:dyDescent="0.2">
      <c r="A87" s="3">
        <f t="shared" si="29"/>
        <v>43603</v>
      </c>
      <c r="B87" s="3">
        <f t="shared" si="23"/>
        <v>43603.229166666664</v>
      </c>
      <c r="C87" s="15">
        <f t="shared" si="24"/>
        <v>43603.238802161221</v>
      </c>
      <c r="D87" s="15">
        <f t="shared" si="25"/>
        <v>43602.769501189745</v>
      </c>
      <c r="E87" s="17">
        <f>Panchanga!$C87-TimeZone/24</f>
        <v>43603.009635494556</v>
      </c>
      <c r="F87" s="18" t="str">
        <f>INT(P[Sun]/30)&amp;"s"&amp;ROUNDUP(MOD(P[Sun],30),2)</f>
        <v>1s2.68</v>
      </c>
      <c r="G87" s="18" t="str">
        <f>INT(P[Moon]/30)&amp;"s"&amp;ROUNDUP(MOD(P[Moon],30),2)</f>
        <v>6s21.52</v>
      </c>
      <c r="H87" s="14">
        <f t="shared" si="28"/>
        <v>43603.009635494556</v>
      </c>
      <c r="I87" s="4" t="str">
        <f>naks(P[[#This Row],[Moon]])</f>
        <v>Visakha</v>
      </c>
      <c r="J87" s="15">
        <f>(C88-P[[#This Row],[SunRise]])/(T88-P[[#This Row],[Moon]])*(13.3333333333333-MOD(P[[#This Row],[Moon]],13.333333333333))+P[[#This Row],[SunRise]]</f>
        <v>43604.099466616666</v>
      </c>
      <c r="K87" s="4" t="str">
        <f>IF(Panchanga!$P87&gt;15,"K","S")&amp;ROUNDUP(MOD(Panchanga!$P87,15),0)&amp;" ("&amp;ROUND(Panchanga!$P87,2)&amp;")"</f>
        <v>S15 (14.07)</v>
      </c>
      <c r="L87" s="4">
        <f>IF(AND(Panchanga!$P87&lt;28.5,Panchanga!$P87&gt;0.49999),MOD((Panchanga!$P87-0.5)*2,7),MOD((Panchanga!$P87+30-28.5),30)*2+7)</f>
        <v>6.1393999999999984</v>
      </c>
      <c r="M87" s="4" t="str">
        <f>CHOOSE(ROUNDUP(Panchanga!$L87,0),"Bhava","Baalava","Kaulava","Taitula","Garija","Vanija","Vishti","Shakuni","Chatushapda","Naaga","Kimstugna")</f>
        <v>Vishti</v>
      </c>
      <c r="N87" s="11" t="str">
        <f>CHOOSE(ROUNDUP(Panchanga!$Q87,0),"viṣkambha","prīti","āyuṣmāna","saubhāgya","śobhana","atigaṇḍa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("&amp;Panchanga!$Q87&amp;")"</f>
        <v>varīyas (17.57)</v>
      </c>
      <c r="O87" s="4">
        <f>IF(AND(Panchanga!$P87&lt;28.5,Panchanga!$P87&gt;0.49999),MOD((Panchanga!$P87-0.5)*2,7),MOD((Panchanga!$P87+30-28.5),30)*2+7)</f>
        <v>6.1393999999999984</v>
      </c>
      <c r="P87" s="4">
        <f>ROUNDUP(MOD(360+P[Moon]-P[Sun],360)/12,4)</f>
        <v>14.069699999999999</v>
      </c>
      <c r="Q87" s="4">
        <f>ROUNDUP(MOD(P[Sun]+P[Moon],360)/13.333333333,2)</f>
        <v>17.57</v>
      </c>
      <c r="R87" s="4" t="str">
        <f>SIGN(U88-Panchanga!$U87)*INT(Panchanga!$U87/30+1)&amp;"Ma,"&amp;SIGN(V88-Panchanga!$V87)*INT(Panchanga!$V87/30+1)&amp;"Me,"&amp;SIGN(W88-Panchanga!$W87)*INT(Panchanga!$W87/30+1)&amp;"J, "&amp;SIGN(X88-Panchanga!$X87)*INT(Panchanga!$X87/30+1)&amp;"V,"&amp;SIGN(Y88-Panchanga!$Y87)*INT(Panchanga!$Y87/30+1)&amp;"S,"&amp;INT(Panchanga!$Z87/30+1)&amp;"R"</f>
        <v>3Ma,1Me,-8J, 1V,-9S,3R</v>
      </c>
      <c r="S87" s="4">
        <f t="shared" si="26"/>
        <v>32.678851993261688</v>
      </c>
      <c r="T87" s="4">
        <f t="shared" si="27"/>
        <v>201.51468354121403</v>
      </c>
      <c r="U87" s="4">
        <f>Planet(Panchanga!$E87,4)</f>
        <v>67.09029735086628</v>
      </c>
      <c r="V87" s="4">
        <f>Planet(Panchanga!$E87,2)</f>
        <v>28.39895073870861</v>
      </c>
      <c r="W87" s="4">
        <f>Planet(Panchanga!$E87,5)</f>
        <v>238.17219481643488</v>
      </c>
      <c r="X87" s="4">
        <f>Planet(Panchanga!$E87,3)</f>
        <v>9.0388335045175427</v>
      </c>
      <c r="Y87" s="4">
        <f>Planet(Panchanga!$E87,6)</f>
        <v>266.13658019180946</v>
      </c>
      <c r="Z87" s="4">
        <f>Planet(Panchanga!$E87,10)</f>
        <v>86.188941952124679</v>
      </c>
      <c r="AA87" s="4" t="str">
        <f>TEXT(Panchanga!$C87+($C88-Panchanga!$C87)/ABS(IF($P88&lt;1,$P88+30,$P88)-Panchanga!$P87)*(ROUNDUP(Panchanga!$P87,0)-Panchanga!$P87),"hh:mm AM/PM")</f>
        <v>02:42 AM</v>
      </c>
      <c r="AB87" s="4"/>
    </row>
    <row r="88" spans="1:28" x14ac:dyDescent="0.2">
      <c r="A88" s="3">
        <f t="shared" si="29"/>
        <v>43604</v>
      </c>
      <c r="B88" s="3">
        <f t="shared" si="23"/>
        <v>43604.229166666664</v>
      </c>
      <c r="C88" s="15">
        <f t="shared" si="24"/>
        <v>43604.238658633236</v>
      </c>
      <c r="D88" s="15">
        <f t="shared" si="25"/>
        <v>43603.769694626375</v>
      </c>
      <c r="E88" s="17">
        <f>Panchanga!$C88-TimeZone/24</f>
        <v>43604.009491966572</v>
      </c>
      <c r="F88" s="18" t="str">
        <f>INT(P[Sun]/30)&amp;"s"&amp;ROUNDUP(MOD(P[Sun],30),2)</f>
        <v>1s3.65</v>
      </c>
      <c r="G88" s="18" t="str">
        <f>INT(P[Moon]/30)&amp;"s"&amp;ROUNDUP(MOD(P[Moon],30),2)</f>
        <v>7s5.25</v>
      </c>
      <c r="H88" s="14">
        <f t="shared" si="28"/>
        <v>43604.009491966572</v>
      </c>
      <c r="I88" s="4" t="str">
        <f>naks(P[[#This Row],[Moon]])</f>
        <v>Anuradha</v>
      </c>
      <c r="J88" s="15">
        <f>(C89-P[[#This Row],[SunRise]])/(T89-P[[#This Row],[Moon]])*(13.3333333333333-MOD(P[[#This Row],[Moon]],13.333333333333))+P[[#This Row],[SunRise]]</f>
        <v>43605.089653399198</v>
      </c>
      <c r="K88" s="4" t="str">
        <f>IF(Panchanga!$P88&gt;15,"K","S")&amp;ROUNDUP(MOD(Panchanga!$P88,15),0)&amp;" ("&amp;ROUND(Panchanga!$P88,2)&amp;")"</f>
        <v>K1 (15.13)</v>
      </c>
      <c r="L88" s="4">
        <f>IF(AND(Panchanga!$P88&lt;28.5,Panchanga!$P88&gt;0.49999),MOD((Panchanga!$P88-0.5)*2,7),MOD((Panchanga!$P88+30-28.5),30)*2+7)</f>
        <v>1.267199999999999</v>
      </c>
      <c r="M88" s="4" t="str">
        <f>CHOOSE(ROUNDUP(Panchanga!$L88,0),"Bhava","Baalava","Kaulava","Taitula","Garija","Vanija","Vishti","Shakuni","Chatushapda","Naaga","Kimstugna")</f>
        <v>Baalava</v>
      </c>
      <c r="N88" s="11" t="str">
        <f>CHOOSE(ROUNDUP(Panchanga!$Q88,0),"viṣkambha","prīti","āyuṣmāna","saubhāgya","śobhana","atigaṇḍa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("&amp;Panchanga!$Q88&amp;")"</f>
        <v>parigha (18.67)</v>
      </c>
      <c r="O88" s="4">
        <f>IF(AND(Panchanga!$P88&lt;28.5,Panchanga!$P88&gt;0.49999),MOD((Panchanga!$P88-0.5)*2,7),MOD((Panchanga!$P88+30-28.5),30)*2+7)</f>
        <v>1.267199999999999</v>
      </c>
      <c r="P88" s="4">
        <f>ROUNDUP(MOD(360+P[Moon]-P[Sun],360)/12,4)</f>
        <v>15.133599999999999</v>
      </c>
      <c r="Q88" s="4">
        <f>ROUNDUP(MOD(P[Sun]+P[Moon],360)/13.333333333,2)</f>
        <v>18.670000000000002</v>
      </c>
      <c r="R88" s="4" t="str">
        <f>SIGN(U89-Panchanga!$U88)*INT(Panchanga!$U88/30+1)&amp;"Ma,"&amp;SIGN(V89-Panchanga!$V88)*INT(Panchanga!$V88/30+1)&amp;"Me,"&amp;SIGN(W89-Panchanga!$W88)*INT(Panchanga!$W88/30+1)&amp;"J, "&amp;SIGN(X89-Panchanga!$X88)*INT(Panchanga!$X88/30+1)&amp;"V,"&amp;SIGN(Y89-Panchanga!$Y88)*INT(Panchanga!$Y88/30+1)&amp;"S,"&amp;INT(Panchanga!$Z88/30+1)&amp;"R"</f>
        <v>3Ma,2Me,-8J, 1V,-9S,3R</v>
      </c>
      <c r="S88" s="4">
        <f t="shared" si="26"/>
        <v>33.641579917797152</v>
      </c>
      <c r="T88" s="4">
        <f t="shared" si="27"/>
        <v>215.24471899277449</v>
      </c>
      <c r="U88" s="4">
        <f>Planet(Panchanga!$E88,4)</f>
        <v>67.735590990824591</v>
      </c>
      <c r="V88" s="4">
        <f>Planet(Panchanga!$E88,2)</f>
        <v>30.554167829652304</v>
      </c>
      <c r="W88" s="4">
        <f>Planet(Panchanga!$E88,5)</f>
        <v>238.06828461258138</v>
      </c>
      <c r="X88" s="4">
        <f>Planet(Panchanga!$E88,3)</f>
        <v>10.25354109153235</v>
      </c>
      <c r="Y88" s="4">
        <f>Planet(Panchanga!$E88,6)</f>
        <v>266.10742545523141</v>
      </c>
      <c r="Z88" s="4">
        <f>Planet(Panchanga!$E88,10)</f>
        <v>86.135957561387116</v>
      </c>
      <c r="AA88" s="4" t="str">
        <f>TEXT(Panchanga!$C88+($C89-Panchanga!$C88)/ABS(IF($P89&lt;1,$P89+30,$P89)-Panchanga!$P88)*(ROUNDUP(Panchanga!$P88,0)-Panchanga!$P88),"hh:mm AM/PM")</f>
        <v>01:45 AM</v>
      </c>
      <c r="AB88" s="4"/>
    </row>
    <row r="89" spans="1:28" x14ac:dyDescent="0.2">
      <c r="A89" s="3">
        <f t="shared" si="29"/>
        <v>43605</v>
      </c>
      <c r="B89" s="3">
        <f t="shared" si="23"/>
        <v>43605.229166666664</v>
      </c>
      <c r="C89" s="15">
        <f t="shared" si="24"/>
        <v>43605.238525436878</v>
      </c>
      <c r="D89" s="15">
        <f t="shared" si="25"/>
        <v>43604.769890765703</v>
      </c>
      <c r="E89" s="17">
        <f>Panchanga!$C89-TimeZone/24</f>
        <v>43605.009358770214</v>
      </c>
      <c r="F89" s="18" t="str">
        <f>INT(P[Sun]/30)&amp;"s"&amp;ROUNDUP(MOD(P[Sun],30),2)</f>
        <v>1s4.61</v>
      </c>
      <c r="G89" s="18" t="str">
        <f>INT(P[Moon]/30)&amp;"s"&amp;ROUNDUP(MOD(P[Moon],30),2)</f>
        <v>7s18.67</v>
      </c>
      <c r="H89" s="14">
        <f t="shared" si="28"/>
        <v>43605.009358770214</v>
      </c>
      <c r="I89" s="4" t="str">
        <f>naks(P[[#This Row],[Moon]])</f>
        <v>Jyestha</v>
      </c>
      <c r="J89" s="15">
        <f>(C90-P[[#This Row],[SunRise]])/(T90-P[[#This Row],[Moon]])*(13.3333333333333-MOD(P[[#This Row],[Moon]],13.333333333333))+P[[#This Row],[SunRise]]</f>
        <v>43606.104903417552</v>
      </c>
      <c r="K89" s="4" t="str">
        <f>IF(Panchanga!$P89&gt;15,"K","S")&amp;ROUNDUP(MOD(Panchanga!$P89,15),0)&amp;" ("&amp;ROUND(Panchanga!$P89,2)&amp;")"</f>
        <v>K2 (16.17)</v>
      </c>
      <c r="L89" s="4">
        <f>IF(AND(Panchanga!$P89&lt;28.5,Panchanga!$P89&gt;0.49999),MOD((Panchanga!$P89-0.5)*2,7),MOD((Panchanga!$P89+30-28.5),30)*2+7)</f>
        <v>3.3436000000000021</v>
      </c>
      <c r="M89" s="4" t="str">
        <f>CHOOSE(ROUNDUP(Panchanga!$L89,0),"Bhava","Baalava","Kaulava","Taitula","Garija","Vanija","Vishti","Shakuni","Chatushapda","Naaga","Kimstugna")</f>
        <v>Taitula</v>
      </c>
      <c r="N89" s="11" t="str">
        <f>CHOOSE(ROUNDUP(Panchanga!$Q89,0),"viṣkambha","prīti","āyuṣmāna","saubhāgya","śobhana","atigaṇḍa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("&amp;Panchanga!$Q89&amp;")"</f>
        <v>śiva (19.75)</v>
      </c>
      <c r="O89" s="4">
        <f>IF(AND(Panchanga!$P89&lt;28.5,Panchanga!$P89&gt;0.49999),MOD((Panchanga!$P89-0.5)*2,7),MOD((Panchanga!$P89+30-28.5),30)*2+7)</f>
        <v>3.3436000000000021</v>
      </c>
      <c r="P89" s="4">
        <f>ROUNDUP(MOD(360+P[Moon]-P[Sun],360)/12,4)</f>
        <v>16.171800000000001</v>
      </c>
      <c r="Q89" s="4">
        <f>ROUNDUP(MOD(P[Sun]+P[Moon],360)/13.333333333,2)</f>
        <v>19.75</v>
      </c>
      <c r="R89" s="4" t="str">
        <f>SIGN(U90-Panchanga!$U89)*INT(Panchanga!$U89/30+1)&amp;"Ma,"&amp;SIGN(V90-Panchanga!$V89)*INT(Panchanga!$V89/30+1)&amp;"Me,"&amp;SIGN(W90-Panchanga!$W89)*INT(Panchanga!$W89/30+1)&amp;"J, "&amp;SIGN(X90-Panchanga!$X89)*INT(Panchanga!$X89/30+1)&amp;"V,"&amp;SIGN(Y90-Panchanga!$Y89)*INT(Panchanga!$Y89/30+1)&amp;"S,"&amp;INT(Panchanga!$Z89/30+1)&amp;"R"</f>
        <v>3Ma,2Me,-8J, 1V,-9S,3R</v>
      </c>
      <c r="S89" s="4">
        <f t="shared" si="26"/>
        <v>34.603929937989641</v>
      </c>
      <c r="T89" s="4">
        <f t="shared" si="27"/>
        <v>228.66480894964604</v>
      </c>
      <c r="U89" s="4">
        <f>Planet(Panchanga!$E89,4)</f>
        <v>68.380580362310624</v>
      </c>
      <c r="V89" s="4">
        <f>Planet(Panchanga!$E89,2)</f>
        <v>32.724698911595723</v>
      </c>
      <c r="W89" s="4">
        <f>Planet(Panchanga!$E89,5)</f>
        <v>237.96249004272522</v>
      </c>
      <c r="X89" s="4">
        <f>Planet(Panchanga!$E89,3)</f>
        <v>11.468418701258969</v>
      </c>
      <c r="Y89" s="4">
        <f>Planet(Panchanga!$E89,6)</f>
        <v>266.07679801552706</v>
      </c>
      <c r="Z89" s="4">
        <f>Planet(Panchanga!$E89,10)</f>
        <v>86.082972623136143</v>
      </c>
      <c r="AA89" s="4" t="str">
        <f>TEXT(Panchanga!$C89+($C90-Panchanga!$C89)/ABS(IF($P90&lt;1,$P90+30,$P90)-Panchanga!$P89)*(ROUNDUP(Panchanga!$P89,0)-Panchanga!$P89),"hh:mm AM/PM")</f>
        <v>01:24 AM</v>
      </c>
      <c r="AB89" s="4"/>
    </row>
    <row r="90" spans="1:28" x14ac:dyDescent="0.2">
      <c r="A90" s="3">
        <f t="shared" si="29"/>
        <v>43606</v>
      </c>
      <c r="B90" s="3">
        <f t="shared" si="23"/>
        <v>43606.229166666664</v>
      </c>
      <c r="C90" s="15">
        <f t="shared" si="24"/>
        <v>43606.238402412891</v>
      </c>
      <c r="D90" s="15">
        <f t="shared" si="25"/>
        <v>43605.770089447542</v>
      </c>
      <c r="E90" s="17">
        <f>Panchanga!$C90-TimeZone/24</f>
        <v>43606.009235746227</v>
      </c>
      <c r="F90" s="18" t="str">
        <f>INT(P[Sun]/30)&amp;"s"&amp;ROUNDUP(MOD(P[Sun],30),2)</f>
        <v>1s5.57</v>
      </c>
      <c r="G90" s="18" t="str">
        <f>INT(P[Moon]/30)&amp;"s"&amp;ROUNDUP(MOD(P[Moon],30),2)</f>
        <v>8s1.75</v>
      </c>
      <c r="H90" s="14">
        <f t="shared" si="28"/>
        <v>43606.009235746227</v>
      </c>
      <c r="I90" s="4" t="str">
        <f>naks(P[[#This Row],[Moon]])</f>
        <v>Moola</v>
      </c>
      <c r="J90" s="15">
        <f>(C91-P[[#This Row],[SunRise]])/(T91-P[[#This Row],[Moon]])*(13.3333333333333-MOD(P[[#This Row],[Moon]],13.333333333333))+P[[#This Row],[SunRise]]</f>
        <v>43607.147469275471</v>
      </c>
      <c r="K90" s="4" t="str">
        <f>IF(Panchanga!$P90&gt;15,"K","S")&amp;ROUNDUP(MOD(Panchanga!$P90,15),0)&amp;" ("&amp;ROUND(Panchanga!$P90,2)&amp;")"</f>
        <v>K3 (17.18)</v>
      </c>
      <c r="L90" s="4">
        <f>IF(AND(Panchanga!$P90&lt;28.5,Panchanga!$P90&gt;0.49999),MOD((Panchanga!$P90-0.5)*2,7),MOD((Panchanga!$P90+30-28.5),30)*2+7)</f>
        <v>5.3635999999999981</v>
      </c>
      <c r="M90" s="4" t="str">
        <f>CHOOSE(ROUNDUP(Panchanga!$L90,0),"Bhava","Baalava","Kaulava","Taitula","Garija","Vanija","Vishti","Shakuni","Chatushapda","Naaga","Kimstugna")</f>
        <v>Vanija</v>
      </c>
      <c r="N90" s="11" t="str">
        <f>CHOOSE(ROUNDUP(Panchanga!$Q90,0),"viṣkambha","prīti","āyuṣmāna","saubhāgya","śobhana","atigaṇḍa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("&amp;Panchanga!$Q90&amp;")"</f>
        <v>siddha (20.8)</v>
      </c>
      <c r="O90" s="4">
        <f>IF(AND(Panchanga!$P90&lt;28.5,Panchanga!$P90&gt;0.49999),MOD((Panchanga!$P90-0.5)*2,7),MOD((Panchanga!$P90+30-28.5),30)*2+7)</f>
        <v>5.3635999999999981</v>
      </c>
      <c r="P90" s="4">
        <f>ROUNDUP(MOD(360+P[Moon]-P[Sun],360)/12,4)</f>
        <v>17.181799999999999</v>
      </c>
      <c r="Q90" s="4">
        <f>ROUNDUP(MOD(P[Sun]+P[Moon],360)/13.333333333,2)</f>
        <v>20.8</v>
      </c>
      <c r="R90" s="4" t="str">
        <f>SIGN(U91-Panchanga!$U90)*INT(Panchanga!$U90/30+1)&amp;"Ma,"&amp;SIGN(V91-Panchanga!$V90)*INT(Panchanga!$V90/30+1)&amp;"Me,"&amp;SIGN(W91-Panchanga!$W90)*INT(Panchanga!$W90/30+1)&amp;"J, "&amp;SIGN(X91-Panchanga!$X90)*INT(Panchanga!$X90/30+1)&amp;"V,"&amp;SIGN(Y91-Panchanga!$Y90)*INT(Panchanga!$Y90/30+1)&amp;"S,"&amp;INT(Panchanga!$Z90/30+1)&amp;"R"</f>
        <v>3Ma,2Me,-8J, 1V,-9S,3R</v>
      </c>
      <c r="S90" s="4">
        <f t="shared" si="26"/>
        <v>35.565926158242156</v>
      </c>
      <c r="T90" s="4">
        <f t="shared" si="27"/>
        <v>241.74662404974165</v>
      </c>
      <c r="U90" s="4">
        <f>Planet(Panchanga!$E90,4)</f>
        <v>69.025276434100405</v>
      </c>
      <c r="V90" s="4">
        <f>Planet(Panchanga!$E90,2)</f>
        <v>34.90693602195207</v>
      </c>
      <c r="W90" s="4">
        <f>Planet(Panchanga!$E90,5)</f>
        <v>237.85487503824081</v>
      </c>
      <c r="X90" s="4">
        <f>Planet(Panchanga!$E90,3)</f>
        <v>12.683475362185101</v>
      </c>
      <c r="Y90" s="4">
        <f>Planet(Panchanga!$E90,6)</f>
        <v>266.04471031239137</v>
      </c>
      <c r="Z90" s="4">
        <f>Planet(Panchanga!$E90,10)</f>
        <v>86.02998714583866</v>
      </c>
      <c r="AA90" s="4" t="str">
        <f>TEXT(Panchanga!$C90+($C91-Panchanga!$C90)/ABS(IF($P91&lt;1,$P91+30,$P91)-Panchanga!$P90)*(ROUNDUP(Panchanga!$P90,0)-Panchanga!$P90),"hh:mm AM/PM")</f>
        <v>01:43 AM</v>
      </c>
      <c r="AB90" s="4"/>
    </row>
    <row r="91" spans="1:28" x14ac:dyDescent="0.2">
      <c r="A91" s="3">
        <f t="shared" si="29"/>
        <v>43607</v>
      </c>
      <c r="B91" s="3">
        <f t="shared" si="23"/>
        <v>43607.229166666664</v>
      </c>
      <c r="C91" s="15">
        <f t="shared" si="24"/>
        <v>43607.238289561275</v>
      </c>
      <c r="D91" s="15">
        <f t="shared" si="25"/>
        <v>43606.770290514032</v>
      </c>
      <c r="E91" s="17">
        <f>Panchanga!$C91-TimeZone/24</f>
        <v>43607.009122894611</v>
      </c>
      <c r="F91" s="18" t="str">
        <f>INT(P[Sun]/30)&amp;"s"&amp;ROUNDUP(MOD(P[Sun],30),2)</f>
        <v>1s6.53</v>
      </c>
      <c r="G91" s="18" t="str">
        <f>INT(P[Moon]/30)&amp;"s"&amp;ROUNDUP(MOD(P[Moon],30),2)</f>
        <v>8s14.5</v>
      </c>
      <c r="H91" s="14">
        <f t="shared" si="28"/>
        <v>43607.009122894611</v>
      </c>
      <c r="I91" s="4" t="str">
        <f>naks(P[[#This Row],[Moon]])</f>
        <v>Purva Asadha</v>
      </c>
      <c r="J91" s="15">
        <f>(C92-P[[#This Row],[SunRise]])/(T92-P[[#This Row],[Moon]])*(13.3333333333333-MOD(P[[#This Row],[Moon]],13.333333333333))+P[[#This Row],[SunRise]]</f>
        <v>43608.21735509891</v>
      </c>
      <c r="K91" s="4" t="str">
        <f>IF(Panchanga!$P91&gt;15,"K","S")&amp;ROUNDUP(MOD(Panchanga!$P91,15),0)&amp;" ("&amp;ROUND(Panchanga!$P91,2)&amp;")"</f>
        <v>K4 (18.16)</v>
      </c>
      <c r="L91" s="4">
        <f>IF(AND(Panchanga!$P91&lt;28.5,Panchanga!$P91&gt;0.49999),MOD((Panchanga!$P91-0.5)*2,7),MOD((Panchanga!$P91+30-28.5),30)*2+7)</f>
        <v>0.32739999999999725</v>
      </c>
      <c r="M91" s="4" t="str">
        <f>CHOOSE(ROUNDUP(Panchanga!$L91,0),"Bhava","Baalava","Kaulava","Taitula","Garija","Vanija","Vishti","Shakuni","Chatushapda","Naaga","Kimstugna")</f>
        <v>Bhava</v>
      </c>
      <c r="N91" s="11" t="str">
        <f>CHOOSE(ROUNDUP(Panchanga!$Q91,0),"viṣkambha","prīti","āyuṣmāna","saubhāgya","śobhana","atigaṇḍa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("&amp;Panchanga!$Q91&amp;")"</f>
        <v>sādhya (21.83)</v>
      </c>
      <c r="O91" s="4">
        <f>IF(AND(Panchanga!$P91&lt;28.5,Panchanga!$P91&gt;0.49999),MOD((Panchanga!$P91-0.5)*2,7),MOD((Panchanga!$P91+30-28.5),30)*2+7)</f>
        <v>0.32739999999999725</v>
      </c>
      <c r="P91" s="4">
        <f>ROUNDUP(MOD(360+P[Moon]-P[Sun],360)/12,4)</f>
        <v>18.163699999999999</v>
      </c>
      <c r="Q91" s="4">
        <f>ROUNDUP(MOD(P[Sun]+P[Moon],360)/13.333333333,2)</f>
        <v>21.830000000000002</v>
      </c>
      <c r="R91" s="4" t="str">
        <f>SIGN(U92-Panchanga!$U91)*INT(Panchanga!$U91/30+1)&amp;"Ma,"&amp;SIGN(V92-Panchanga!$V91)*INT(Panchanga!$V91/30+1)&amp;"Me,"&amp;SIGN(W92-Panchanga!$W91)*INT(Panchanga!$W91/30+1)&amp;"J, "&amp;SIGN(X92-Panchanga!$X91)*INT(Panchanga!$X91/30+1)&amp;"V,"&amp;SIGN(Y92-Panchanga!$Y91)*INT(Panchanga!$Y91/30+1)&amp;"S,"&amp;INT(Panchanga!$Z91/30+1)&amp;"R"</f>
        <v>3Ma,2Me,-8J, 1V,-9S,3R</v>
      </c>
      <c r="S91" s="4">
        <f t="shared" si="26"/>
        <v>36.527590696007728</v>
      </c>
      <c r="T91" s="4">
        <f t="shared" si="27"/>
        <v>254.49090302591728</v>
      </c>
      <c r="U91" s="4">
        <f>Planet(Panchanga!$E91,4)</f>
        <v>69.669690309577973</v>
      </c>
      <c r="V91" s="4">
        <f>Planet(Panchanga!$E91,2)</f>
        <v>37.097030472618634</v>
      </c>
      <c r="W91" s="4">
        <f>Planet(Panchanga!$E91,5)</f>
        <v>237.74550527379384</v>
      </c>
      <c r="X91" s="4">
        <f>Planet(Panchanga!$E91,3)</f>
        <v>13.89871832352018</v>
      </c>
      <c r="Y91" s="4">
        <f>Planet(Panchanga!$E91,6)</f>
        <v>266.01117520588616</v>
      </c>
      <c r="Z91" s="4">
        <f>Planet(Panchanga!$E91,10)</f>
        <v>85.977001129494425</v>
      </c>
      <c r="AA91" s="4" t="str">
        <f>TEXT(Panchanga!$C91+($C92-Panchanga!$C91)/ABS(IF($P92&lt;1,$P92+30,$P92)-Panchanga!$P91)*(ROUNDUP(Panchanga!$P91,0)-Panchanga!$P91),"hh:mm AM/PM")</f>
        <v>02:42 AM</v>
      </c>
      <c r="AB91" s="4"/>
    </row>
    <row r="92" spans="1:28" x14ac:dyDescent="0.2">
      <c r="A92" s="3">
        <f t="shared" si="29"/>
        <v>43608</v>
      </c>
      <c r="B92" s="3">
        <f t="shared" si="23"/>
        <v>43608.229166666664</v>
      </c>
      <c r="C92" s="15">
        <f t="shared" si="24"/>
        <v>43608.238187041286</v>
      </c>
      <c r="D92" s="15">
        <f t="shared" si="25"/>
        <v>43607.770493964708</v>
      </c>
      <c r="E92" s="17">
        <f>Panchanga!$C92-TimeZone/24</f>
        <v>43608.009020374622</v>
      </c>
      <c r="F92" s="18" t="str">
        <f>INT(P[Sun]/30)&amp;"s"&amp;ROUNDUP(MOD(P[Sun],30),2)</f>
        <v>1s7.49</v>
      </c>
      <c r="G92" s="18" t="str">
        <f>INT(P[Moon]/30)&amp;"s"&amp;ROUNDUP(MOD(P[Moon],30),2)</f>
        <v>8s26.93</v>
      </c>
      <c r="H92" s="14">
        <f t="shared" si="28"/>
        <v>43608.009020374622</v>
      </c>
      <c r="I92" s="4" t="str">
        <f>naks(P[[#This Row],[Moon]])</f>
        <v>Uttara Asadha</v>
      </c>
      <c r="J92" s="15">
        <f>(C93-P[[#This Row],[SunRise]])/(T93-P[[#This Row],[Moon]])*(13.3333333333333-MOD(P[[#This Row],[Moon]],13.333333333333))+P[[#This Row],[SunRise]]</f>
        <v>43609.31183897287</v>
      </c>
      <c r="K92" s="4" t="str">
        <f>IF(Panchanga!$P92&gt;15,"K","S")&amp;ROUNDUP(MOD(Panchanga!$P92,15),0)&amp;" ("&amp;ROUND(Panchanga!$P92,2)&amp;")"</f>
        <v>K5 (19.12)</v>
      </c>
      <c r="L92" s="4">
        <f>IF(AND(Panchanga!$P92&lt;28.5,Panchanga!$P92&gt;0.49999),MOD((Panchanga!$P92-0.5)*2,7),MOD((Panchanga!$P92+30-28.5),30)*2+7)</f>
        <v>2.2396000000000029</v>
      </c>
      <c r="M92" s="4" t="str">
        <f>CHOOSE(ROUNDUP(Panchanga!$L92,0),"Bhava","Baalava","Kaulava","Taitula","Garija","Vanija","Vishti","Shakuni","Chatushapda","Naaga","Kimstugna")</f>
        <v>Kaulava</v>
      </c>
      <c r="N92" s="11" t="str">
        <f>CHOOSE(ROUNDUP(Panchanga!$Q92,0),"viṣkambha","prīti","āyuṣmāna","saubhāgya","śobhana","atigaṇḍa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("&amp;Panchanga!$Q92&amp;")"</f>
        <v>śubha (22.84)</v>
      </c>
      <c r="O92" s="4">
        <f>IF(AND(Panchanga!$P92&lt;28.5,Panchanga!$P92&gt;0.49999),MOD((Panchanga!$P92-0.5)*2,7),MOD((Panchanga!$P92+30-28.5),30)*2+7)</f>
        <v>2.2396000000000029</v>
      </c>
      <c r="P92" s="4">
        <f>ROUNDUP(MOD(360+P[Moon]-P[Sun],360)/12,4)</f>
        <v>19.119800000000001</v>
      </c>
      <c r="Q92" s="4">
        <f>ROUNDUP(MOD(P[Sun]+P[Moon],360)/13.333333333,2)</f>
        <v>22.84</v>
      </c>
      <c r="R92" s="4" t="str">
        <f>SIGN(U93-Panchanga!$U92)*INT(Panchanga!$U92/30+1)&amp;"Ma,"&amp;SIGN(V93-Panchanga!$V92)*INT(Panchanga!$V92/30+1)&amp;"Me,"&amp;SIGN(W93-Panchanga!$W92)*INT(Panchanga!$W92/30+1)&amp;"J, "&amp;SIGN(X93-Panchanga!$X92)*INT(Panchanga!$X92/30+1)&amp;"V,"&amp;SIGN(Y93-Panchanga!$Y92)*INT(Panchanga!$Y92/30+1)&amp;"S,"&amp;INT(Panchanga!$Z92/30+1)&amp;"R"</f>
        <v>3Ma,2Me,-8J, 1V,-9S,3R</v>
      </c>
      <c r="S92" s="4">
        <f t="shared" si="26"/>
        <v>37.488943162349884</v>
      </c>
      <c r="T92" s="4">
        <f t="shared" si="27"/>
        <v>266.92573492793991</v>
      </c>
      <c r="U92" s="4">
        <f>Planet(Panchanga!$E92,4)</f>
        <v>70.313832754001069</v>
      </c>
      <c r="V92" s="4">
        <f>Planet(Panchanga!$E92,2)</f>
        <v>39.290514478207697</v>
      </c>
      <c r="W92" s="4">
        <f>Planet(Panchanga!$E92,5)</f>
        <v>237.63444842115095</v>
      </c>
      <c r="X92" s="4">
        <f>Planet(Panchanga!$E92,3)</f>
        <v>15.114153048745635</v>
      </c>
      <c r="Y92" s="4">
        <f>Planet(Panchanga!$E92,6)</f>
        <v>265.97620613823932</v>
      </c>
      <c r="Z92" s="4">
        <f>Planet(Panchanga!$E92,10)</f>
        <v>85.924014565653493</v>
      </c>
      <c r="AA92" s="4" t="str">
        <f>TEXT(Panchanga!$C92+($C93-Panchanga!$C92)/ABS(IF($P93&lt;1,$P93+30,$P93)-Panchanga!$P92)*(ROUNDUP(Panchanga!$P92,0)-Panchanga!$P92),"hh:mm AM/PM")</f>
        <v>04:19 AM</v>
      </c>
      <c r="AB92" s="4"/>
    </row>
    <row r="93" spans="1:28" x14ac:dyDescent="0.2">
      <c r="A93" s="3">
        <f t="shared" si="29"/>
        <v>43609</v>
      </c>
      <c r="B93" s="3">
        <f t="shared" si="23"/>
        <v>43609.229166666664</v>
      </c>
      <c r="C93" s="15">
        <f t="shared" si="24"/>
        <v>43609.238094852924</v>
      </c>
      <c r="D93" s="15">
        <f t="shared" si="25"/>
        <v>43608.770699322267</v>
      </c>
      <c r="E93" s="17">
        <f>Panchanga!$C93-TimeZone/24</f>
        <v>43609.00892818626</v>
      </c>
      <c r="F93" s="18" t="str">
        <f>INT(P[Sun]/30)&amp;"s"&amp;ROUNDUP(MOD(P[Sun],30),2)</f>
        <v>1s8.46</v>
      </c>
      <c r="G93" s="18" t="str">
        <f>INT(P[Moon]/30)&amp;"s"&amp;ROUNDUP(MOD(P[Moon],30),2)</f>
        <v>9s9.11</v>
      </c>
      <c r="H93" s="14">
        <f t="shared" si="28"/>
        <v>43609.00892818626</v>
      </c>
      <c r="I93" s="4" t="str">
        <f>naks(P[[#This Row],[Moon]])</f>
        <v>Uttara Asadha</v>
      </c>
      <c r="J93" s="15">
        <f>(C94-P[[#This Row],[SunRise]])/(T94-P[[#This Row],[Moon]])*(13.3333333333333-MOD(P[[#This Row],[Moon]],13.333333333333))+P[[#This Row],[SunRise]]</f>
        <v>43609.313013855266</v>
      </c>
      <c r="K93" s="4" t="str">
        <f>IF(Panchanga!$P93&gt;15,"K","S")&amp;ROUNDUP(MOD(Panchanga!$P93,15),0)&amp;" ("&amp;ROUND(Panchanga!$P93,2)&amp;")"</f>
        <v>K6 (20.05)</v>
      </c>
      <c r="L93" s="4">
        <f>IF(AND(Panchanga!$P93&lt;28.5,Panchanga!$P93&gt;0.49999),MOD((Panchanga!$P93-0.5)*2,7),MOD((Panchanga!$P93+30-28.5),30)*2+7)</f>
        <v>4.1088000000000022</v>
      </c>
      <c r="M93" s="4" t="str">
        <f>CHOOSE(ROUNDUP(Panchanga!$L93,0),"Bhava","Baalava","Kaulava","Taitula","Garija","Vanija","Vishti","Shakuni","Chatushapda","Naaga","Kimstugna")</f>
        <v>Garija</v>
      </c>
      <c r="N93" s="11" t="str">
        <f>CHOOSE(ROUNDUP(Panchanga!$Q93,0),"viṣkambha","prīti","āyuṣmāna","saubhāgya","śobhana","atigaṇḍa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("&amp;Panchanga!$Q93&amp;")"</f>
        <v>śukla (23.82)</v>
      </c>
      <c r="O93" s="4">
        <f>IF(AND(Panchanga!$P93&lt;28.5,Panchanga!$P93&gt;0.49999),MOD((Panchanga!$P93-0.5)*2,7),MOD((Panchanga!$P93+30-28.5),30)*2+7)</f>
        <v>4.1088000000000022</v>
      </c>
      <c r="P93" s="4">
        <f>ROUNDUP(MOD(360+P[Moon]-P[Sun],360)/12,4)</f>
        <v>20.054400000000001</v>
      </c>
      <c r="Q93" s="4">
        <f>ROUNDUP(MOD(P[Sun]+P[Moon],360)/13.333333333,2)</f>
        <v>23.82</v>
      </c>
      <c r="R93" s="4" t="str">
        <f>SIGN(U94-Panchanga!$U93)*INT(Panchanga!$U93/30+1)&amp;"Ma,"&amp;SIGN(V94-Panchanga!$V93)*INT(Panchanga!$V93/30+1)&amp;"Me,"&amp;SIGN(W94-Panchanga!$W93)*INT(Panchanga!$W93/30+1)&amp;"J, "&amp;SIGN(X94-Panchanga!$X93)*INT(Panchanga!$X93/30+1)&amp;"V,"&amp;SIGN(Y94-Panchanga!$Y93)*INT(Panchanga!$Y93/30+1)&amp;"S,"&amp;INT(Panchanga!$Z93/30+1)&amp;"R"</f>
        <v>3Ma,2Me,-8J, 1V,-9S,3R</v>
      </c>
      <c r="S93" s="4">
        <f t="shared" si="26"/>
        <v>38.450000271262539</v>
      </c>
      <c r="T93" s="4">
        <f t="shared" si="27"/>
        <v>279.10198999942241</v>
      </c>
      <c r="U93" s="4">
        <f>Planet(Panchanga!$E93,4)</f>
        <v>70.957713707102073</v>
      </c>
      <c r="V93" s="4">
        <f>Planet(Panchanga!$E93,2)</f>
        <v>41.482996762501315</v>
      </c>
      <c r="W93" s="4">
        <f>Planet(Panchanga!$E93,5)</f>
        <v>237.5217743144118</v>
      </c>
      <c r="X93" s="4">
        <f>Planet(Panchanga!$E93,3)</f>
        <v>16.329783054610459</v>
      </c>
      <c r="Y93" s="4">
        <f>Planet(Panchanga!$E93,6)</f>
        <v>265.93981726749405</v>
      </c>
      <c r="Z93" s="4">
        <f>Planet(Panchanga!$E93,10)</f>
        <v>85.871027454315865</v>
      </c>
      <c r="AA93" s="4" t="str">
        <f>TEXT(Panchanga!$C93+($C94-Panchanga!$C93)/ABS(IF($P94&lt;1,$P94+30,$P94)-Panchanga!$P93)*(ROUNDUP(Panchanga!$P93,0)-Panchanga!$P93),"hh:mm AM/PM")</f>
        <v>06:24 AM</v>
      </c>
      <c r="AB93" s="4"/>
    </row>
    <row r="94" spans="1:28" x14ac:dyDescent="0.2">
      <c r="A94" s="3">
        <f t="shared" si="29"/>
        <v>43610</v>
      </c>
      <c r="B94" s="3">
        <f t="shared" si="23"/>
        <v>43610.229166666664</v>
      </c>
      <c r="C94" s="15">
        <f t="shared" si="24"/>
        <v>43610.238012995724</v>
      </c>
      <c r="D94" s="15">
        <f t="shared" si="25"/>
        <v>43609.770906746431</v>
      </c>
      <c r="E94" s="17">
        <f>Panchanga!$C94-TimeZone/24</f>
        <v>43610.008846329059</v>
      </c>
      <c r="F94" s="18" t="str">
        <f>INT(P[Sun]/30)&amp;"s"&amp;ROUNDUP(MOD(P[Sun],30),2)</f>
        <v>1s9.42</v>
      </c>
      <c r="G94" s="18" t="str">
        <f>INT(P[Moon]/30)&amp;"s"&amp;ROUNDUP(MOD(P[Moon],30),2)</f>
        <v>9s21.09</v>
      </c>
      <c r="H94" s="14">
        <f t="shared" si="28"/>
        <v>43610.008846329059</v>
      </c>
      <c r="I94" s="4" t="str">
        <f>naks(P[[#This Row],[Moon]])</f>
        <v>Sravana</v>
      </c>
      <c r="J94" s="15">
        <f>(C95-P[[#This Row],[SunRise]])/(T95-P[[#This Row],[Moon]])*(13.3333333333333-MOD(P[[#This Row],[Moon]],13.333333333333))+P[[#This Row],[SunRise]]</f>
        <v>43610.427157610815</v>
      </c>
      <c r="K94" s="4" t="str">
        <f>IF(Panchanga!$P94&gt;15,"K","S")&amp;ROUNDUP(MOD(Panchanga!$P94,15),0)&amp;" ("&amp;ROUND(Panchanga!$P94,2)&amp;")"</f>
        <v>K6 (20.97)</v>
      </c>
      <c r="L94" s="4">
        <f>IF(AND(Panchanga!$P94&lt;28.5,Panchanga!$P94&gt;0.49999),MOD((Panchanga!$P94-0.5)*2,7),MOD((Panchanga!$P94+30-28.5),30)*2+7)</f>
        <v>5.9461999999999975</v>
      </c>
      <c r="M94" s="4" t="str">
        <f>CHOOSE(ROUNDUP(Panchanga!$L94,0),"Bhava","Baalava","Kaulava","Taitula","Garija","Vanija","Vishti","Shakuni","Chatushapda","Naaga","Kimstugna")</f>
        <v>Vanija</v>
      </c>
      <c r="N94" s="11" t="str">
        <f>CHOOSE(ROUNDUP(Panchanga!$Q94,0),"viṣkambha","prīti","āyuṣmāna","saubhāgya","śobhana","atigaṇḍa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("&amp;Panchanga!$Q94&amp;")"</f>
        <v>brahma (24.79)</v>
      </c>
      <c r="O94" s="4">
        <f>IF(AND(Panchanga!$P94&lt;28.5,Panchanga!$P94&gt;0.49999),MOD((Panchanga!$P94-0.5)*2,7),MOD((Panchanga!$P94+30-28.5),30)*2+7)</f>
        <v>5.9461999999999975</v>
      </c>
      <c r="P94" s="4">
        <f>ROUNDUP(MOD(360+P[Moon]-P[Sun],360)/12,4)</f>
        <v>20.973099999999999</v>
      </c>
      <c r="Q94" s="4">
        <f>ROUNDUP(MOD(P[Sun]+P[Moon],360)/13.333333333,2)</f>
        <v>24.790000000000003</v>
      </c>
      <c r="R94" s="4" t="str">
        <f>SIGN(U95-Panchanga!$U94)*INT(Panchanga!$U94/30+1)&amp;"Ma,"&amp;SIGN(V95-Panchanga!$V94)*INT(Panchanga!$V94/30+1)&amp;"Me,"&amp;SIGN(W95-Panchanga!$W94)*INT(Panchanga!$W94/30+1)&amp;"J, "&amp;SIGN(X95-Panchanga!$X94)*INT(Panchanga!$X94/30+1)&amp;"V,"&amp;SIGN(Y95-Panchanga!$Y94)*INT(Panchanga!$Y94/30+1)&amp;"S,"&amp;INT(Panchanga!$Z94/30+1)&amp;"R"</f>
        <v>3Ma,2Me,-8J, 1V,-9S,3R</v>
      </c>
      <c r="S94" s="4">
        <f t="shared" si="26"/>
        <v>39.410776182487751</v>
      </c>
      <c r="T94" s="4">
        <f t="shared" si="27"/>
        <v>291.0874204503362</v>
      </c>
      <c r="U94" s="4">
        <f>Planet(Panchanga!$E94,4)</f>
        <v>71.601342269421053</v>
      </c>
      <c r="V94" s="4">
        <f>Planet(Panchanga!$E94,2)</f>
        <v>43.669843841275537</v>
      </c>
      <c r="W94" s="4">
        <f>Planet(Panchanga!$E94,5)</f>
        <v>237.40755495785285</v>
      </c>
      <c r="X94" s="4">
        <f>Planet(Panchanga!$E94,3)</f>
        <v>17.545610408223819</v>
      </c>
      <c r="Y94" s="4">
        <f>Planet(Panchanga!$E94,6)</f>
        <v>265.90202354286521</v>
      </c>
      <c r="Z94" s="4">
        <f>Planet(Panchanga!$E94,10)</f>
        <v>85.818039795531149</v>
      </c>
      <c r="AA94" s="4" t="str">
        <f>TEXT(Panchanga!$C94+($C95-Panchanga!$C94)/ABS(IF($P95&lt;1,$P95+30,$P95)-Panchanga!$P94)*(ROUNDUP(Panchanga!$P94,0)-Panchanga!$P94),"hh:mm AM/PM")</f>
        <v>06:25 AM</v>
      </c>
      <c r="AB94" s="4"/>
    </row>
    <row r="95" spans="1:28" x14ac:dyDescent="0.2">
      <c r="A95" s="3">
        <f t="shared" si="29"/>
        <v>43611</v>
      </c>
      <c r="B95" s="3">
        <f t="shared" si="23"/>
        <v>43611.229166666664</v>
      </c>
      <c r="C95" s="15">
        <f t="shared" si="24"/>
        <v>43611.237941311359</v>
      </c>
      <c r="D95" s="15">
        <f t="shared" si="25"/>
        <v>43610.771115919153</v>
      </c>
      <c r="E95" s="17">
        <f>Panchanga!$C95-TimeZone/24</f>
        <v>43611.008774644695</v>
      </c>
      <c r="F95" s="18" t="str">
        <f>INT(P[Sun]/30)&amp;"s"&amp;ROUNDUP(MOD(P[Sun],30),2)</f>
        <v>1s10.38</v>
      </c>
      <c r="G95" s="18" t="str">
        <f>INT(P[Moon]/30)&amp;"s"&amp;ROUNDUP(MOD(P[Moon],30),2)</f>
        <v>10s2.97</v>
      </c>
      <c r="H95" s="14">
        <f t="shared" si="28"/>
        <v>43611.008774644695</v>
      </c>
      <c r="I95" s="4" t="str">
        <f>naks(P[[#This Row],[Moon]])</f>
        <v>Dhanistha</v>
      </c>
      <c r="J95" s="15">
        <f>(C96-P[[#This Row],[SunRise]])/(T96-P[[#This Row],[Moon]])*(13.3333333333333-MOD(P[[#This Row],[Moon]],13.333333333333))+P[[#This Row],[SunRise]]</f>
        <v>43611.550802753685</v>
      </c>
      <c r="K95" s="4" t="str">
        <f>IF(Panchanga!$P95&gt;15,"K","S")&amp;ROUNDUP(MOD(Panchanga!$P95,15),0)&amp;" ("&amp;ROUND(Panchanga!$P95,2)&amp;")"</f>
        <v>K7 (21.88)</v>
      </c>
      <c r="L95" s="4">
        <f>IF(AND(Panchanga!$P95&lt;28.5,Panchanga!$P95&gt;0.49999),MOD((Panchanga!$P95-0.5)*2,7),MOD((Panchanga!$P95+30-28.5),30)*2+7)</f>
        <v>0.76500000000000057</v>
      </c>
      <c r="M95" s="4" t="str">
        <f>CHOOSE(ROUNDUP(Panchanga!$L95,0),"Bhava","Baalava","Kaulava","Taitula","Garija","Vanija","Vishti","Shakuni","Chatushapda","Naaga","Kimstugna")</f>
        <v>Bhava</v>
      </c>
      <c r="N95" s="11" t="str">
        <f>CHOOSE(ROUNDUP(Panchanga!$Q95,0),"viṣkambha","prīti","āyuṣmāna","saubhāgya","śobhana","atigaṇḍa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("&amp;Panchanga!$Q95&amp;")"</f>
        <v>mahendra (25.75)</v>
      </c>
      <c r="O95" s="4">
        <f>IF(AND(Panchanga!$P95&lt;28.5,Panchanga!$P95&gt;0.49999),MOD((Panchanga!$P95-0.5)*2,7),MOD((Panchanga!$P95+30-28.5),30)*2+7)</f>
        <v>0.76500000000000057</v>
      </c>
      <c r="P95" s="4">
        <f>ROUNDUP(MOD(360+P[Moon]-P[Sun],360)/12,4)</f>
        <v>21.8825</v>
      </c>
      <c r="Q95" s="4">
        <f>ROUNDUP(MOD(P[Sun]+P[Moon],360)/13.333333333,2)</f>
        <v>25.75</v>
      </c>
      <c r="R95" s="4" t="str">
        <f>SIGN(U96-Panchanga!$U95)*INT(Panchanga!$U95/30+1)&amp;"Ma,"&amp;SIGN(V96-Panchanga!$V95)*INT(Panchanga!$V95/30+1)&amp;"Me,"&amp;SIGN(W96-Panchanga!$W95)*INT(Panchanga!$W95/30+1)&amp;"J, "&amp;SIGN(X96-Panchanga!$X95)*INT(Panchanga!$X95/30+1)&amp;"V,"&amp;SIGN(Y96-Panchanga!$Y95)*INT(Panchanga!$Y95/30+1)&amp;"S,"&amp;INT(Panchanga!$Z95/30+1)&amp;"R"</f>
        <v>3Ma,2Me,-8J, 1V,-9S,3R</v>
      </c>
      <c r="S95" s="4">
        <f t="shared" si="26"/>
        <v>40.371282634744453</v>
      </c>
      <c r="T95" s="4">
        <f t="shared" si="27"/>
        <v>302.96062067393285</v>
      </c>
      <c r="U95" s="4">
        <f>Planet(Panchanga!$E95,4)</f>
        <v>72.244726604773845</v>
      </c>
      <c r="V95" s="4">
        <f>Planet(Panchanga!$E95,2)</f>
        <v>45.846416615429689</v>
      </c>
      <c r="W95" s="4">
        <f>Planet(Panchanga!$E95,5)</f>
        <v>237.29186449962779</v>
      </c>
      <c r="X95" s="4">
        <f>Planet(Panchanga!$E95,3)</f>
        <v>18.761635812879881</v>
      </c>
      <c r="Y95" s="4">
        <f>Planet(Panchanga!$E95,6)</f>
        <v>265.86284074665974</v>
      </c>
      <c r="Z95" s="4">
        <f>Planet(Panchanga!$E95,10)</f>
        <v>85.7650515976501</v>
      </c>
      <c r="AA95" s="4" t="str">
        <f>TEXT(Panchanga!$C95+($C96-Panchanga!$C95)/ABS(IF($P96&lt;1,$P96+30,$P96)-Panchanga!$P95)*(ROUNDUP(Panchanga!$P95,0)-Panchanga!$P95),"hh:mm AM/PM")</f>
        <v>08:49 AM</v>
      </c>
      <c r="AB95" s="4"/>
    </row>
    <row r="96" spans="1:28" x14ac:dyDescent="0.2">
      <c r="A96" s="3">
        <f t="shared" si="29"/>
        <v>43612</v>
      </c>
      <c r="B96" s="3">
        <f t="shared" si="23"/>
        <v>43612.229166666664</v>
      </c>
      <c r="C96" s="15">
        <f t="shared" si="24"/>
        <v>43612.237879799366</v>
      </c>
      <c r="D96" s="15">
        <f t="shared" si="25"/>
        <v>43611.771326681177</v>
      </c>
      <c r="E96" s="17">
        <f>Panchanga!$C96-TimeZone/24</f>
        <v>43612.008713132702</v>
      </c>
      <c r="F96" s="18" t="str">
        <f>INT(P[Sun]/30)&amp;"s"&amp;ROUNDUP(MOD(P[Sun],30),2)</f>
        <v>1s11.34</v>
      </c>
      <c r="G96" s="18" t="str">
        <f>INT(P[Moon]/30)&amp;"s"&amp;ROUNDUP(MOD(P[Moon],30),2)</f>
        <v>10s14.81</v>
      </c>
      <c r="H96" s="14">
        <f t="shared" si="28"/>
        <v>43612.008713132702</v>
      </c>
      <c r="I96" s="4" t="str">
        <f>naks(P[[#This Row],[Moon]])</f>
        <v>Satabhisaj</v>
      </c>
      <c r="J96" s="15">
        <f>(C97-P[[#This Row],[SunRise]])/(T97-P[[#This Row],[Moon]])*(13.3333333333333-MOD(P[[#This Row],[Moon]],13.333333333333))+P[[#This Row],[SunRise]]</f>
        <v>43612.674329173009</v>
      </c>
      <c r="K96" s="4" t="str">
        <f>IF(Panchanga!$P96&gt;15,"K","S")&amp;ROUNDUP(MOD(Panchanga!$P96,15),0)&amp;" ("&amp;ROUND(Panchanga!$P96,2)&amp;")"</f>
        <v>K8 (22.79)</v>
      </c>
      <c r="L96" s="4">
        <f>IF(AND(Panchanga!$P96&lt;28.5,Panchanga!$P96&gt;0.49999),MOD((Panchanga!$P96-0.5)*2,7),MOD((Panchanga!$P96+30-28.5),30)*2+7)</f>
        <v>2.5792000000000002</v>
      </c>
      <c r="M96" s="4" t="str">
        <f>CHOOSE(ROUNDUP(Panchanga!$L96,0),"Bhava","Baalava","Kaulava","Taitula","Garija","Vanija","Vishti","Shakuni","Chatushapda","Naaga","Kimstugna")</f>
        <v>Kaulava</v>
      </c>
      <c r="N96" s="11" t="str">
        <f>CHOOSE(ROUNDUP(Panchanga!$Q96,0),"viṣkambha","prīti","āyuṣmāna","saubhāgya","śobhana","atigaṇḍa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("&amp;Panchanga!$Q96&amp;")"</f>
        <v>vaidhṛti (26.72)</v>
      </c>
      <c r="O96" s="4">
        <f>IF(AND(Panchanga!$P96&lt;28.5,Panchanga!$P96&gt;0.49999),MOD((Panchanga!$P96-0.5)*2,7),MOD((Panchanga!$P96+30-28.5),30)*2+7)</f>
        <v>2.5792000000000002</v>
      </c>
      <c r="P96" s="4">
        <f>ROUNDUP(MOD(360+P[Moon]-P[Sun],360)/12,4)</f>
        <v>22.7896</v>
      </c>
      <c r="Q96" s="4">
        <f>ROUNDUP(MOD(P[Sun]+P[Moon],360)/13.333333333,2)</f>
        <v>26.720000000000002</v>
      </c>
      <c r="R96" s="4" t="str">
        <f>SIGN(U97-Panchanga!$U96)*INT(Panchanga!$U96/30+1)&amp;"Ma,"&amp;SIGN(V97-Panchanga!$V96)*INT(Panchanga!$V96/30+1)&amp;"Me,"&amp;SIGN(W97-Panchanga!$W96)*INT(Panchanga!$W96/30+1)&amp;"J, "&amp;SIGN(X97-Panchanga!$X96)*INT(Panchanga!$X96/30+1)&amp;"V,"&amp;SIGN(Y97-Panchanga!$Y96)*INT(Panchanga!$Y96/30+1)&amp;"S,"&amp;INT(Panchanga!$Z96/30+1)&amp;"R"</f>
        <v>3Ma,2Me,-8J, 1V,-9S,3R</v>
      </c>
      <c r="S96" s="4">
        <f t="shared" si="26"/>
        <v>41.331529452613253</v>
      </c>
      <c r="T96" s="4">
        <f t="shared" si="27"/>
        <v>314.80553834374814</v>
      </c>
      <c r="U96" s="4">
        <f>Planet(Panchanga!$E96,4)</f>
        <v>72.887874175892705</v>
      </c>
      <c r="V96" s="4">
        <f>Planet(Panchanga!$E96,2)</f>
        <v>48.008174544392901</v>
      </c>
      <c r="W96" s="4">
        <f>Planet(Panchanga!$E96,5)</f>
        <v>237.17477913534685</v>
      </c>
      <c r="X96" s="4">
        <f>Planet(Panchanga!$E96,3)</f>
        <v>19.977859150304621</v>
      </c>
      <c r="Y96" s="4">
        <f>Planet(Panchanga!$E96,6)</f>
        <v>265.82228550426817</v>
      </c>
      <c r="Z96" s="4">
        <f>Planet(Panchanga!$E96,10)</f>
        <v>85.712062860722483</v>
      </c>
      <c r="AA96" s="4" t="str">
        <f>TEXT(Panchanga!$C96+($C97-Panchanga!$C96)/ABS(IF($P97&lt;1,$P97+30,$P97)-Panchanga!$P96)*(ROUNDUP(Panchanga!$P96,0)-Panchanga!$P96),"hh:mm AM/PM")</f>
        <v>11:14 AM</v>
      </c>
      <c r="AB96" s="4"/>
    </row>
    <row r="97" spans="1:28" x14ac:dyDescent="0.2">
      <c r="A97" s="3">
        <f t="shared" si="29"/>
        <v>43613</v>
      </c>
      <c r="B97" s="3">
        <f t="shared" si="23"/>
        <v>43613.229166666664</v>
      </c>
      <c r="C97" s="15">
        <f t="shared" si="24"/>
        <v>43613.237828619</v>
      </c>
      <c r="D97" s="15">
        <f t="shared" si="25"/>
        <v>43612.771538873712</v>
      </c>
      <c r="E97" s="17">
        <f>Panchanga!$C97-TimeZone/24</f>
        <v>43613.008661952335</v>
      </c>
      <c r="F97" s="18" t="str">
        <f>INT(P[Sun]/30)&amp;"s"&amp;ROUNDUP(MOD(P[Sun],30),2)</f>
        <v>1s12.3</v>
      </c>
      <c r="G97" s="18" t="str">
        <f>INT(P[Moon]/30)&amp;"s"&amp;ROUNDUP(MOD(P[Moon],30),2)</f>
        <v>10s26.71</v>
      </c>
      <c r="H97" s="14">
        <f t="shared" si="28"/>
        <v>43613.008661952335</v>
      </c>
      <c r="I97" s="4" t="str">
        <f>naks(P[[#This Row],[Moon]])</f>
        <v>Purva Bhadrapada</v>
      </c>
      <c r="J97" s="15">
        <f>(C98-P[[#This Row],[SunRise]])/(T98-P[[#This Row],[Moon]])*(13.3333333333333-MOD(P[[#This Row],[Moon]],13.333333333333))+P[[#This Row],[SunRise]]</f>
        <v>43613.78832909475</v>
      </c>
      <c r="K97" s="4" t="str">
        <f>IF(Panchanga!$P97&gt;15,"K","S")&amp;ROUNDUP(MOD(Panchanga!$P97,15),0)&amp;" ("&amp;ROUND(Panchanga!$P97,2)&amp;")"</f>
        <v>K9 (23.7)</v>
      </c>
      <c r="L97" s="4">
        <f>IF(AND(Panchanga!$P97&lt;28.5,Panchanga!$P97&gt;0.49999),MOD((Panchanga!$P97-0.5)*2,7),MOD((Panchanga!$P97+30-28.5),30)*2+7)</f>
        <v>4.4025999999999996</v>
      </c>
      <c r="M97" s="4" t="str">
        <f>CHOOSE(ROUNDUP(Panchanga!$L97,0),"Bhava","Baalava","Kaulava","Taitula","Garija","Vanija","Vishti","Shakuni","Chatushapda","Naaga","Kimstugna")</f>
        <v>Garija</v>
      </c>
      <c r="N97" s="11" t="str">
        <f>CHOOSE(ROUNDUP(Panchanga!$Q97,0),"viṣkambha","prīti","āyuṣmāna","saubhāgya","śobhana","atigaṇḍa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("&amp;Panchanga!$Q97&amp;")"</f>
        <v>viṣkambha (0.68)</v>
      </c>
      <c r="O97" s="4">
        <f>IF(AND(Panchanga!$P97&lt;28.5,Panchanga!$P97&gt;0.49999),MOD((Panchanga!$P97-0.5)*2,7),MOD((Panchanga!$P97+30-28.5),30)*2+7)</f>
        <v>4.4025999999999996</v>
      </c>
      <c r="P97" s="4">
        <f>ROUNDUP(MOD(360+P[Moon]-P[Sun],360)/12,4)</f>
        <v>23.7013</v>
      </c>
      <c r="Q97" s="4">
        <f>ROUNDUP(MOD(P[Sun]+P[Moon],360)/13.333333333,2)</f>
        <v>0.68</v>
      </c>
      <c r="R97" s="4" t="str">
        <f>SIGN(U98-Panchanga!$U97)*INT(Panchanga!$U97/30+1)&amp;"Ma,"&amp;SIGN(V98-Panchanga!$V97)*INT(Panchanga!$V97/30+1)&amp;"Me,"&amp;SIGN(W98-Panchanga!$W97)*INT(Panchanga!$W97/30+1)&amp;"J, "&amp;SIGN(X98-Panchanga!$X97)*INT(Panchanga!$X97/30+1)&amp;"V,"&amp;SIGN(Y98-Panchanga!$Y97)*INT(Panchanga!$Y97/30+1)&amp;"S,"&amp;INT(Panchanga!$Z97/30+1)&amp;"R"</f>
        <v>3Ma,2Me,-8J, 1V,-9S,3R</v>
      </c>
      <c r="S97" s="4">
        <f t="shared" si="26"/>
        <v>42.29152461029706</v>
      </c>
      <c r="T97" s="4">
        <f t="shared" si="27"/>
        <v>326.70656539404939</v>
      </c>
      <c r="U97" s="4">
        <f>Planet(Panchanga!$E97,4)</f>
        <v>73.530791756868652</v>
      </c>
      <c r="V97" s="4">
        <f>Planet(Panchanga!$E97,2)</f>
        <v>50.150777406897426</v>
      </c>
      <c r="W97" s="4">
        <f>Planet(Panchanga!$E97,5)</f>
        <v>237.05637705916118</v>
      </c>
      <c r="X97" s="4">
        <f>Planet(Panchanga!$E97,3)</f>
        <v>21.19427953197458</v>
      </c>
      <c r="Y97" s="4">
        <f>Planet(Panchanga!$E97,6)</f>
        <v>265.78037529808273</v>
      </c>
      <c r="Z97" s="4">
        <f>Planet(Panchanga!$E97,10)</f>
        <v>85.659073576298084</v>
      </c>
      <c r="AA97" s="4" t="str">
        <f>TEXT(Panchanga!$C97+($C98-Panchanga!$C97)/ABS(IF($P98&lt;1,$P98+30,$P98)-Panchanga!$P97)*(ROUNDUP(Panchanga!$P97,0)-Panchanga!$P97),"hh:mm AM/PM")</f>
        <v>01:28 PM</v>
      </c>
      <c r="AB97" s="4"/>
    </row>
    <row r="98" spans="1:28" x14ac:dyDescent="0.2">
      <c r="A98" s="3">
        <f t="shared" si="29"/>
        <v>43614</v>
      </c>
      <c r="B98" s="3">
        <f t="shared" si="23"/>
        <v>43614.229166666664</v>
      </c>
      <c r="C98" s="15">
        <f t="shared" si="24"/>
        <v>43614.237787451748</v>
      </c>
      <c r="D98" s="15">
        <f t="shared" si="25"/>
        <v>43613.771752019922</v>
      </c>
      <c r="E98" s="17">
        <f>Panchanga!$C98-TimeZone/24</f>
        <v>43614.008620785084</v>
      </c>
      <c r="F98" s="18" t="str">
        <f>INT(P[Sun]/30)&amp;"s"&amp;ROUNDUP(MOD(P[Sun],30),2)</f>
        <v>1s13.26</v>
      </c>
      <c r="G98" s="18" t="str">
        <f>INT(P[Moon]/30)&amp;"s"&amp;ROUNDUP(MOD(P[Moon],30),2)</f>
        <v>11s8.75</v>
      </c>
      <c r="H98" s="14">
        <f t="shared" si="28"/>
        <v>43614.008620785084</v>
      </c>
      <c r="I98" s="4" t="str">
        <f>naks(P[[#This Row],[Moon]])</f>
        <v>Uttara Bhadrapada</v>
      </c>
      <c r="J98" s="15">
        <f>(C99-P[[#This Row],[SunRise]])/(T99-P[[#This Row],[Moon]])*(13.3333333333333-MOD(P[[#This Row],[Moon]],13.333333333333))+P[[#This Row],[SunRise]]</f>
        <v>43614.88483754114</v>
      </c>
      <c r="K98" s="4" t="str">
        <f>IF(Panchanga!$P98&gt;15,"K","S")&amp;ROUNDUP(MOD(Panchanga!$P98,15),0)&amp;" ("&amp;ROUND(Panchanga!$P98,2)&amp;")"</f>
        <v>K10 (24.62)</v>
      </c>
      <c r="L98" s="4">
        <f>IF(AND(Panchanga!$P98&lt;28.5,Panchanga!$P98&gt;0.49999),MOD((Panchanga!$P98-0.5)*2,7),MOD((Panchanga!$P98+30-28.5),30)*2+7)</f>
        <v>6.2488000000000028</v>
      </c>
      <c r="M98" s="4" t="str">
        <f>CHOOSE(ROUNDUP(Panchanga!$L98,0),"Bhava","Baalava","Kaulava","Taitula","Garija","Vanija","Vishti","Shakuni","Chatushapda","Naaga","Kimstugna")</f>
        <v>Vishti</v>
      </c>
      <c r="N98" s="11" t="str">
        <f>CHOOSE(ROUNDUP(Panchanga!$Q98,0),"viṣkambha","prīti","āyuṣmāna","saubhāgya","śobhana","atigaṇḍa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("&amp;Panchanga!$Q98&amp;")"</f>
        <v>prīti (1.65)</v>
      </c>
      <c r="O98" s="4">
        <f>IF(AND(Panchanga!$P98&lt;28.5,Panchanga!$P98&gt;0.49999),MOD((Panchanga!$P98-0.5)*2,7),MOD((Panchanga!$P98+30-28.5),30)*2+7)</f>
        <v>6.2488000000000028</v>
      </c>
      <c r="P98" s="4">
        <f>ROUNDUP(MOD(360+P[Moon]-P[Sun],360)/12,4)</f>
        <v>24.624400000000001</v>
      </c>
      <c r="Q98" s="4">
        <f>ROUNDUP(MOD(P[Sun]+P[Moon],360)/13.333333333,2)</f>
        <v>1.65</v>
      </c>
      <c r="R98" s="4" t="str">
        <f>SIGN(U99-Panchanga!$U98)*INT(Panchanga!$U98/30+1)&amp;"Ma,"&amp;SIGN(V99-Panchanga!$V98)*INT(Panchanga!$V98/30+1)&amp;"Me,"&amp;SIGN(W99-Panchanga!$W98)*INT(Panchanga!$W98/30+1)&amp;"J, "&amp;SIGN(X99-Panchanga!$X98)*INT(Panchanga!$X98/30+1)&amp;"V,"&amp;SIGN(Y99-Panchanga!$Y98)*INT(Panchanga!$Y98/30+1)&amp;"S,"&amp;INT(Panchanga!$Z98/30+1)&amp;"R"</f>
        <v>3Ma,2Me,-8J, 1V,-9S,3R</v>
      </c>
      <c r="S98" s="4">
        <f t="shared" si="26"/>
        <v>43.251273535755828</v>
      </c>
      <c r="T98" s="4">
        <f t="shared" si="27"/>
        <v>338.74378502480914</v>
      </c>
      <c r="U98" s="4">
        <f>Planet(Panchanga!$E98,4)</f>
        <v>74.173484976792537</v>
      </c>
      <c r="V98" s="4">
        <f>Planet(Panchanga!$E98,2)</f>
        <v>52.270171469331935</v>
      </c>
      <c r="W98" s="4">
        <f>Planet(Panchanga!$E98,5)</f>
        <v>236.93673851894278</v>
      </c>
      <c r="X98" s="4">
        <f>Planet(Panchanga!$E98,3)</f>
        <v>22.410894481314621</v>
      </c>
      <c r="Y98" s="4">
        <f>Planet(Panchanga!$E98,6)</f>
        <v>265.73712852399871</v>
      </c>
      <c r="Z98" s="4">
        <f>Planet(Panchanga!$E98,10)</f>
        <v>85.606083761260521</v>
      </c>
      <c r="AA98" s="4" t="str">
        <f>TEXT(Panchanga!$C98+($C99-Panchanga!$C98)/ABS(IF($P99&lt;1,$P99+30,$P99)-Panchanga!$P98)*(ROUNDUP(Panchanga!$P98,0)-Panchanga!$P98),"hh:mm AM/PM")</f>
        <v>03:17 PM</v>
      </c>
      <c r="AB98" s="4"/>
    </row>
    <row r="99" spans="1:28" x14ac:dyDescent="0.2">
      <c r="A99" s="3">
        <f t="shared" si="29"/>
        <v>43615</v>
      </c>
      <c r="B99" s="3">
        <f t="shared" si="23"/>
        <v>43615.229166666664</v>
      </c>
      <c r="C99" s="15">
        <f t="shared" si="24"/>
        <v>43615.237756298542</v>
      </c>
      <c r="D99" s="15">
        <f t="shared" si="25"/>
        <v>43614.771966278597</v>
      </c>
      <c r="E99" s="17">
        <f>Panchanga!$C99-TimeZone/24</f>
        <v>43615.008589631878</v>
      </c>
      <c r="F99" s="18" t="str">
        <f>INT(P[Sun]/30)&amp;"s"&amp;ROUNDUP(MOD(P[Sun],30),2)</f>
        <v>1s14.22</v>
      </c>
      <c r="G99" s="18" t="str">
        <f>INT(P[Moon]/30)&amp;"s"&amp;ROUNDUP(MOD(P[Moon],30),2)</f>
        <v>11s20.99</v>
      </c>
      <c r="H99" s="14">
        <f t="shared" si="28"/>
        <v>43615.008589631878</v>
      </c>
      <c r="I99" s="4" t="str">
        <f>naks(P[[#This Row],[Moon]])</f>
        <v>Revati</v>
      </c>
      <c r="J99" s="15">
        <f>(C100-P[[#This Row],[SunRise]])/(T100-P[[#This Row],[Moon]])*(13.3333333333333-MOD(P[[#This Row],[Moon]],13.333333333333))+P[[#This Row],[SunRise]]</f>
        <v>43615.211822521691</v>
      </c>
      <c r="K99" s="4" t="str">
        <f>IF(Panchanga!$P99&gt;15,"K","S")&amp;ROUNDUP(MOD(Panchanga!$P99,15),0)&amp;" ("&amp;ROUND(Panchanga!$P99,2)&amp;")"</f>
        <v>K11 (25.56)</v>
      </c>
      <c r="L99" s="4">
        <f>IF(AND(Panchanga!$P99&lt;28.5,Panchanga!$P99&gt;0.49999),MOD((Panchanga!$P99-0.5)*2,7),MOD((Panchanga!$P99+30-28.5),30)*2+7)</f>
        <v>1.1295999999999964</v>
      </c>
      <c r="M99" s="4" t="str">
        <f>CHOOSE(ROUNDUP(Panchanga!$L99,0),"Bhava","Baalava","Kaulava","Taitula","Garija","Vanija","Vishti","Shakuni","Chatushapda","Naaga","Kimstugna")</f>
        <v>Baalava</v>
      </c>
      <c r="N99" s="11" t="str">
        <f>CHOOSE(ROUNDUP(Panchanga!$Q99,0),"viṣkambha","prīti","āyuṣmāna","saubhāgya","śobhana","atigaṇḍa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("&amp;Panchanga!$Q99&amp;")"</f>
        <v>āyuṣmāna (2.64)</v>
      </c>
      <c r="O99" s="4">
        <f>IF(AND(Panchanga!$P99&lt;28.5,Panchanga!$P99&gt;0.49999),MOD((Panchanga!$P99-0.5)*2,7),MOD((Panchanga!$P99+30-28.5),30)*2+7)</f>
        <v>1.1295999999999964</v>
      </c>
      <c r="P99" s="4">
        <f>ROUNDUP(MOD(360+P[Moon]-P[Sun],360)/12,4)</f>
        <v>25.564799999999998</v>
      </c>
      <c r="Q99" s="4">
        <f>ROUNDUP(MOD(P[Sun]+P[Moon],360)/13.333333333,2)</f>
        <v>2.6399999999999997</v>
      </c>
      <c r="R99" s="4" t="str">
        <f>SIGN(U100-Panchanga!$U99)*INT(Panchanga!$U99/30+1)&amp;"Ma,"&amp;SIGN(V100-Panchanga!$V99)*INT(Panchanga!$V99/30+1)&amp;"Me,"&amp;SIGN(W100-Panchanga!$W99)*INT(Panchanga!$W99/30+1)&amp;"J, "&amp;SIGN(X100-Panchanga!$X99)*INT(Panchanga!$X99/30+1)&amp;"V,"&amp;SIGN(Y100-Panchanga!$Y99)*INT(Panchanga!$Y99/30+1)&amp;"S,"&amp;INT(Panchanga!$Z99/30+1)&amp;"R"</f>
        <v>3Ma,2Me,-8J, 1V,-9S,3R</v>
      </c>
      <c r="S99" s="4">
        <f t="shared" si="26"/>
        <v>44.2107797119587</v>
      </c>
      <c r="T99" s="4">
        <f t="shared" si="27"/>
        <v>350.98802229269165</v>
      </c>
      <c r="U99" s="4">
        <f>Planet(Panchanga!$E99,4)</f>
        <v>74.815958736010074</v>
      </c>
      <c r="V99" s="4">
        <f>Planet(Panchanga!$E99,2)</f>
        <v>54.362658564131408</v>
      </c>
      <c r="W99" s="4">
        <f>Planet(Panchanga!$E99,5)</f>
        <v>236.81594571876161</v>
      </c>
      <c r="X99" s="4">
        <f>Planet(Panchanga!$E99,3)</f>
        <v>23.627700841529645</v>
      </c>
      <c r="Y99" s="4">
        <f>Planet(Panchanga!$E99,6)</f>
        <v>265.69256450013609</v>
      </c>
      <c r="Z99" s="4">
        <f>Planet(Panchanga!$E99,10)</f>
        <v>85.553093415576697</v>
      </c>
      <c r="AA99" s="4" t="str">
        <f>TEXT(Panchanga!$C99+($C100-Panchanga!$C99)/ABS(IF($P100&lt;1,$P100+30,$P100)-Panchanga!$P99)*(ROUNDUP(Panchanga!$P99,0)-Panchanga!$P99),"hh:mm AM/PM")</f>
        <v>04:33 PM</v>
      </c>
      <c r="AB99" s="4"/>
    </row>
    <row r="100" spans="1:28" x14ac:dyDescent="0.2">
      <c r="A100" s="3">
        <f t="shared" si="29"/>
        <v>43616</v>
      </c>
      <c r="B100" s="3">
        <f t="shared" si="23"/>
        <v>43616.229166666664</v>
      </c>
      <c r="C100" s="15">
        <f t="shared" si="24"/>
        <v>43616.237735158917</v>
      </c>
      <c r="D100" s="15">
        <f t="shared" si="25"/>
        <v>43615.772181014574</v>
      </c>
      <c r="E100" s="17">
        <f>Panchanga!$C100-TimeZone/24</f>
        <v>43616.008568492252</v>
      </c>
      <c r="F100" s="18" t="str">
        <f>INT(P[Sun]/30)&amp;"s"&amp;ROUNDUP(MOD(P[Sun],30),2)</f>
        <v>1s15.18</v>
      </c>
      <c r="G100" s="18" t="str">
        <f>INT(P[Moon]/30)&amp;"s"&amp;ROUNDUP(MOD(P[Moon],30),2)</f>
        <v>0s3.5</v>
      </c>
      <c r="H100" s="14">
        <f t="shared" si="28"/>
        <v>43616.008568492252</v>
      </c>
      <c r="I100" s="4" t="str">
        <f>naks(P[[#This Row],[Moon]])</f>
        <v>Aswini</v>
      </c>
      <c r="J100" s="15">
        <f>(C101-P[[#This Row],[SunRise]])/(T101-P[[#This Row],[Moon]])*(13.3333333333333-MOD(P[[#This Row],[Moon]],13.333333333333))+P[[#This Row],[SunRise]]</f>
        <v>43617.005770570744</v>
      </c>
      <c r="K100" s="4" t="str">
        <f>IF(Panchanga!$P100&gt;15,"K","S")&amp;ROUNDUP(MOD(Panchanga!$P100,15),0)&amp;" ("&amp;ROUND(Panchanga!$P100,2)&amp;")"</f>
        <v>K12 (26.53)</v>
      </c>
      <c r="L100" s="4">
        <f>IF(AND(Panchanga!$P100&lt;28.5,Panchanga!$P100&gt;0.49999),MOD((Panchanga!$P100-0.5)*2,7),MOD((Panchanga!$P100+30-28.5),30)*2+7)</f>
        <v>3.0544000000000011</v>
      </c>
      <c r="M100" s="4" t="str">
        <f>CHOOSE(ROUNDUP(Panchanga!$L100,0),"Bhava","Baalava","Kaulava","Taitula","Garija","Vanija","Vishti","Shakuni","Chatushapda","Naaga","Kimstugna")</f>
        <v>Taitula</v>
      </c>
      <c r="N100" s="11" t="str">
        <f>CHOOSE(ROUNDUP(Panchanga!$Q100,0),"viṣkambha","prīti","āyuṣmāna","saubhāgya","śobhana","atigaṇḍa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("&amp;Panchanga!$Q100&amp;")"</f>
        <v>saubhāgya (3.65)</v>
      </c>
      <c r="O100" s="4">
        <f>IF(AND(Panchanga!$P100&lt;28.5,Panchanga!$P100&gt;0.49999),MOD((Panchanga!$P100-0.5)*2,7),MOD((Panchanga!$P100+30-28.5),30)*2+7)</f>
        <v>3.0544000000000011</v>
      </c>
      <c r="P100" s="4">
        <f>ROUNDUP(MOD(360+P[Moon]-P[Sun],360)/12,4)</f>
        <v>26.527200000000001</v>
      </c>
      <c r="Q100" s="4">
        <f>ROUNDUP(MOD(P[Sun]+P[Moon],360)/13.333333333,2)</f>
        <v>3.65</v>
      </c>
      <c r="R100" s="4" t="str">
        <f>SIGN(U101-Panchanga!$U100)*INT(Panchanga!$U100/30+1)&amp;"Ma,"&amp;SIGN(V101-Panchanga!$V100)*INT(Panchanga!$V100/30+1)&amp;"Me,"&amp;SIGN(W101-Panchanga!$W100)*INT(Panchanga!$W100/30+1)&amp;"J, "&amp;SIGN(X101-Panchanga!$X100)*INT(Panchanga!$X100/30+1)&amp;"V,"&amp;SIGN(Y101-Panchanga!$Y100)*INT(Panchanga!$Y100/30+1)&amp;"S,"&amp;INT(Panchanga!$Z100/30+1)&amp;"R"</f>
        <v>3Ma,2Me,-8J, 1V,-9S,3R</v>
      </c>
      <c r="S100" s="4">
        <f t="shared" si="26"/>
        <v>45.170044179248706</v>
      </c>
      <c r="T100" s="4">
        <f t="shared" si="27"/>
        <v>3.4957442411812574</v>
      </c>
      <c r="U100" s="4">
        <f>Planet(Panchanga!$E100,4)</f>
        <v>75.458216864032593</v>
      </c>
      <c r="V100" s="4">
        <f>Planet(Panchanga!$E100,2)</f>
        <v>56.424939623280068</v>
      </c>
      <c r="W100" s="4">
        <f>Planet(Panchanga!$E100,5)</f>
        <v>236.69408285773119</v>
      </c>
      <c r="X100" s="4">
        <f>Planet(Panchanga!$E100,3)</f>
        <v>24.844694336556817</v>
      </c>
      <c r="Y100" s="4">
        <f>Planet(Panchanga!$E100,6)</f>
        <v>265.6467035325872</v>
      </c>
      <c r="Z100" s="4">
        <f>Planet(Panchanga!$E100,10)</f>
        <v>85.500102539230085</v>
      </c>
      <c r="AA100" s="4" t="str">
        <f>TEXT(Panchanga!$C100+($C101-Panchanga!$C100)/ABS(IF($P101&lt;1,$P101+30,$P101)-Panchanga!$P100)*(ROUNDUP(Panchanga!$P100,0)-Panchanga!$P100),"hh:mm AM/PM")</f>
        <v>05:11 PM</v>
      </c>
      <c r="AB100" s="4"/>
    </row>
    <row r="101" spans="1:28" x14ac:dyDescent="0.2">
      <c r="A101" s="3">
        <f t="shared" si="29"/>
        <v>43617</v>
      </c>
      <c r="B101" s="3">
        <f t="shared" si="23"/>
        <v>43617.229166666664</v>
      </c>
      <c r="C101" s="15">
        <f t="shared" si="24"/>
        <v>43617.237723714825</v>
      </c>
      <c r="D101" s="15">
        <f t="shared" si="25"/>
        <v>43616.772396226923</v>
      </c>
      <c r="E101" s="17">
        <f>Panchanga!$C101-TimeZone/24</f>
        <v>43617.008557048161</v>
      </c>
      <c r="F101" s="18" t="str">
        <f>INT(P[Sun]/30)&amp;"s"&amp;ROUNDUP(MOD(P[Sun],30),2)</f>
        <v>1s16.13</v>
      </c>
      <c r="G101" s="18" t="str">
        <f>INT(P[Moon]/30)&amp;"s"&amp;ROUNDUP(MOD(P[Moon],30),2)</f>
        <v>0s16.31</v>
      </c>
      <c r="H101" s="14">
        <f t="shared" si="28"/>
        <v>43617.008557048161</v>
      </c>
      <c r="I101" s="4" t="str">
        <f>naks(P[[#This Row],[Moon]])</f>
        <v>Bharani</v>
      </c>
      <c r="J101" s="15">
        <f>(C102-P[[#This Row],[SunRise]])/(T102-P[[#This Row],[Moon]])*(13.3333333333333-MOD(P[[#This Row],[Moon]],13.333333333333))+P[[#This Row],[SunRise]]</f>
        <v>43618.027265295335</v>
      </c>
      <c r="K101" s="4" t="str">
        <f>IF(Panchanga!$P101&gt;15,"K","S")&amp;ROUNDUP(MOD(Panchanga!$P101,15),0)&amp;" ("&amp;ROUND(Panchanga!$P101,2)&amp;")"</f>
        <v>K13 (27.51)</v>
      </c>
      <c r="L101" s="4">
        <f>IF(AND(Panchanga!$P101&lt;28.5,Panchanga!$P101&gt;0.49999),MOD((Panchanga!$P101-0.5)*2,7),MOD((Panchanga!$P101+30-28.5),30)*2+7)</f>
        <v>5.0294000000000025</v>
      </c>
      <c r="M101" s="4" t="str">
        <f>CHOOSE(ROUNDUP(Panchanga!$L101,0),"Bhava","Baalava","Kaulava","Taitula","Garija","Vanija","Vishti","Shakuni","Chatushapda","Naaga","Kimstugna")</f>
        <v>Vanija</v>
      </c>
      <c r="N101" s="11" t="str">
        <f>CHOOSE(ROUNDUP(Panchanga!$Q101,0),"viṣkambha","prīti","āyuṣmāna","saubhāgya","śobhana","atigaṇḍa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("&amp;Panchanga!$Q101&amp;")"</f>
        <v>śobhana (4.69)</v>
      </c>
      <c r="O101" s="4">
        <f>IF(AND(Panchanga!$P101&lt;28.5,Panchanga!$P101&gt;0.49999),MOD((Panchanga!$P101-0.5)*2,7),MOD((Panchanga!$P101+30-28.5),30)*2+7)</f>
        <v>5.0294000000000025</v>
      </c>
      <c r="P101" s="4">
        <f>ROUNDUP(MOD(360+P[Moon]-P[Sun],360)/12,4)</f>
        <v>27.514700000000001</v>
      </c>
      <c r="Q101" s="4">
        <f>ROUNDUP(MOD(P[Sun]+P[Moon],360)/13.333333333,2)</f>
        <v>4.6899999999999995</v>
      </c>
      <c r="R101" s="4" t="str">
        <f>SIGN(U102-Panchanga!$U101)*INT(Panchanga!$U101/30+1)&amp;"Ma,"&amp;SIGN(V102-Panchanga!$V101)*INT(Panchanga!$V101/30+1)&amp;"Me,"&amp;SIGN(W102-Panchanga!$W101)*INT(Panchanga!$W101/30+1)&amp;"J, "&amp;SIGN(X102-Panchanga!$X101)*INT(Panchanga!$X101/30+1)&amp;"V,"&amp;SIGN(Y102-Panchanga!$Y101)*INT(Panchanga!$Y101/30+1)&amp;"S,"&amp;INT(Panchanga!$Z101/30+1)&amp;"R"</f>
        <v>3Ma,2Me,-8J, 1V,-9S,3R</v>
      </c>
      <c r="S101" s="4">
        <f t="shared" si="26"/>
        <v>46.129065066347529</v>
      </c>
      <c r="T101" s="4">
        <f t="shared" si="27"/>
        <v>16.304367852047985</v>
      </c>
      <c r="U101" s="4">
        <f>Planet(Panchanga!$E101,4)</f>
        <v>76.100261759557327</v>
      </c>
      <c r="V101" s="4">
        <f>Planet(Panchanga!$E101,2)</f>
        <v>58.454134781995073</v>
      </c>
      <c r="W101" s="4">
        <f>Planet(Panchanga!$E101,5)</f>
        <v>236.57123615717995</v>
      </c>
      <c r="X101" s="4">
        <f>Planet(Panchanga!$E101,3)</f>
        <v>26.061869179832737</v>
      </c>
      <c r="Y101" s="4">
        <f>Planet(Panchanga!$E101,6)</f>
        <v>265.59956699200262</v>
      </c>
      <c r="Z101" s="4">
        <f>Planet(Panchanga!$E101,10)</f>
        <v>85.447111149137413</v>
      </c>
      <c r="AA101" s="4" t="str">
        <f>TEXT(Panchanga!$C101+($C102-Panchanga!$C101)/ABS(IF($P102&lt;1,$P102+30,$P102)-Panchanga!$P101)*(ROUNDUP(Panchanga!$P101,0)-Panchanga!$P101),"hh:mm AM/PM")</f>
        <v>05:11 PM</v>
      </c>
      <c r="AB101" s="4"/>
    </row>
    <row r="102" spans="1:28" x14ac:dyDescent="0.2">
      <c r="A102" s="3">
        <f t="shared" si="29"/>
        <v>43618</v>
      </c>
      <c r="B102" s="3">
        <f t="shared" si="23"/>
        <v>43618.229166666664</v>
      </c>
      <c r="C102" s="15">
        <f t="shared" si="24"/>
        <v>43618.237721966267</v>
      </c>
      <c r="D102" s="15">
        <f t="shared" si="25"/>
        <v>43617.772611439272</v>
      </c>
      <c r="E102" s="17">
        <f>Panchanga!$C102-TimeZone/24</f>
        <v>43618.008555299602</v>
      </c>
      <c r="F102" s="18" t="str">
        <f>INT(P[Sun]/30)&amp;"s"&amp;ROUNDUP(MOD(P[Sun],30),2)</f>
        <v>1s17.09</v>
      </c>
      <c r="G102" s="18" t="str">
        <f>INT(P[Moon]/30)&amp;"s"&amp;ROUNDUP(MOD(P[Moon],30),2)</f>
        <v>0s29.43</v>
      </c>
      <c r="H102" s="14">
        <f t="shared" si="28"/>
        <v>43618.008555299602</v>
      </c>
      <c r="I102" s="4" t="str">
        <f>naks(P[[#This Row],[Moon]])</f>
        <v>Krittika</v>
      </c>
      <c r="J102" s="15">
        <f>(C103-P[[#This Row],[SunRise]])/(T103-P[[#This Row],[Moon]])*(13.3333333333333-MOD(P[[#This Row],[Moon]],13.333333333333))+P[[#This Row],[SunRise]]</f>
        <v>43619.024787484028</v>
      </c>
      <c r="K102" s="4" t="str">
        <f>IF(Panchanga!$P102&gt;15,"K","S")&amp;ROUNDUP(MOD(Panchanga!$P102,15),0)&amp;" ("&amp;ROUND(Panchanga!$P102,2)&amp;")"</f>
        <v>K14 (28.53)</v>
      </c>
      <c r="L102" s="4">
        <f>IF(AND(Panchanga!$P102&lt;28.5,Panchanga!$P102&gt;0.49999),MOD((Panchanga!$P102-0.5)*2,7),MOD((Panchanga!$P102+30-28.5),30)*2+7)</f>
        <v>7.0570000000000022</v>
      </c>
      <c r="M102" s="4" t="str">
        <f>CHOOSE(ROUNDUP(Panchanga!$L102,0),"Bhava","Baalava","Kaulava","Taitula","Garija","Vanija","Vishti","Shakuni","Chatushapda","Naaga","Kimstugna")</f>
        <v>Shakuni</v>
      </c>
      <c r="N102" s="11" t="str">
        <f>CHOOSE(ROUNDUP(Panchanga!$Q102,0),"viṣkambha","prīti","āyuṣmāna","saubhāgya","śobhana","atigaṇḍa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("&amp;Panchanga!$Q102&amp;")"</f>
        <v>atigaṇḍa  (5.74)</v>
      </c>
      <c r="O102" s="4">
        <f>IF(AND(Panchanga!$P102&lt;28.5,Panchanga!$P102&gt;0.49999),MOD((Panchanga!$P102-0.5)*2,7),MOD((Panchanga!$P102+30-28.5),30)*2+7)</f>
        <v>7.0570000000000022</v>
      </c>
      <c r="P102" s="4">
        <f>ROUNDUP(MOD(360+P[Moon]-P[Sun],360)/12,4)</f>
        <v>28.528500000000001</v>
      </c>
      <c r="Q102" s="4">
        <f>ROUNDUP(MOD(P[Sun]+P[Moon],360)/13.333333333,2)</f>
        <v>5.74</v>
      </c>
      <c r="R102" s="4" t="str">
        <f>SIGN(U103-Panchanga!$U102)*INT(Panchanga!$U102/30+1)&amp;"Ma,"&amp;SIGN(V103-Panchanga!$V102)*INT(Panchanga!$V102/30+1)&amp;"Me,"&amp;SIGN(W103-Panchanga!$W102)*INT(Panchanga!$W102/30+1)&amp;"J, "&amp;SIGN(X103-Panchanga!$X102)*INT(Panchanga!$X102/30+1)&amp;"V,"&amp;SIGN(Y103-Panchanga!$Y102)*INT(Panchanga!$Y102/30+1)&amp;"S,"&amp;INT(Panchanga!$Z102/30+1)&amp;"R"</f>
        <v>3Ma,3Me,-8J, 1V,-9S,3R</v>
      </c>
      <c r="S102" s="4">
        <f t="shared" si="26"/>
        <v>47.087838120131501</v>
      </c>
      <c r="T102" s="4">
        <f t="shared" si="27"/>
        <v>29.42879467297362</v>
      </c>
      <c r="U102" s="4">
        <f>Planet(Panchanga!$E102,4)</f>
        <v>76.742094644529303</v>
      </c>
      <c r="V102" s="4">
        <f>Planet(Panchanga!$E102,2)</f>
        <v>60.447783799322927</v>
      </c>
      <c r="W102" s="4">
        <f>Planet(Panchanga!$E102,5)</f>
        <v>236.44749374140969</v>
      </c>
      <c r="X102" s="4">
        <f>Planet(Panchanga!$E102,3)</f>
        <v>27.279218922791593</v>
      </c>
      <c r="Y102" s="4">
        <f>Planet(Panchanga!$E102,6)</f>
        <v>265.55117734421526</v>
      </c>
      <c r="Z102" s="4">
        <f>Planet(Panchanga!$E102,10)</f>
        <v>85.394119245232204</v>
      </c>
      <c r="AA102" s="4" t="str">
        <f>TEXT(Panchanga!$C102+($C103-Panchanga!$C102)/ABS(IF($P103&lt;1,$P103+30,$P103)-Panchanga!$P102)*(ROUNDUP(Panchanga!$P102,0)-Panchanga!$P102),"hh:mm AM/PM")</f>
        <v>04:35 PM</v>
      </c>
      <c r="AB102" s="4"/>
    </row>
    <row r="103" spans="1:28" x14ac:dyDescent="0.2">
      <c r="A103" s="3">
        <f t="shared" si="29"/>
        <v>43619</v>
      </c>
      <c r="B103" s="3">
        <f t="shared" si="23"/>
        <v>43619.229166666664</v>
      </c>
      <c r="C103" s="15">
        <f t="shared" si="24"/>
        <v>43619.237729754452</v>
      </c>
      <c r="D103" s="15">
        <f t="shared" si="25"/>
        <v>43618.77282649283</v>
      </c>
      <c r="E103" s="17">
        <f>Panchanga!$C103-TimeZone/24</f>
        <v>43619.008563087787</v>
      </c>
      <c r="F103" s="18" t="str">
        <f>INT(P[Sun]/30)&amp;"s"&amp;ROUNDUP(MOD(P[Sun],30),2)</f>
        <v>1s18.05</v>
      </c>
      <c r="G103" s="18" t="str">
        <f>INT(P[Moon]/30)&amp;"s"&amp;ROUNDUP(MOD(P[Moon],30),2)</f>
        <v>1s12.87</v>
      </c>
      <c r="H103" s="14">
        <f t="shared" si="28"/>
        <v>43619.008563087787</v>
      </c>
      <c r="I103" s="4" t="str">
        <f>naks(P[[#This Row],[Moon]])</f>
        <v>Rohini</v>
      </c>
      <c r="J103" s="15">
        <f>(C104-P[[#This Row],[SunRise]])/(T104-P[[#This Row],[Moon]])*(13.3333333333333-MOD(P[[#This Row],[Moon]],13.333333333333))+P[[#This Row],[SunRise]]</f>
        <v>43620.001829725537</v>
      </c>
      <c r="K103" s="4" t="str">
        <f>IF(Panchanga!$P103&gt;15,"K","S")&amp;ROUNDUP(MOD(Panchanga!$P103,15),0)&amp;" ("&amp;ROUND(Panchanga!$P103,2)&amp;")"</f>
        <v>K15 (29.57)</v>
      </c>
      <c r="L103" s="4">
        <f>IF(AND(Panchanga!$P103&lt;28.5,Panchanga!$P103&gt;0.49999),MOD((Panchanga!$P103-0.5)*2,7),MOD((Panchanga!$P103+30-28.5),30)*2+7)</f>
        <v>9.135799999999989</v>
      </c>
      <c r="M103" s="4" t="str">
        <f>CHOOSE(ROUNDUP(Panchanga!$L103,0),"Bhava","Baalava","Kaulava","Taitula","Garija","Vanija","Vishti","Shakuni","Chatushapda","Naaga","Kimstugna")</f>
        <v>Naaga</v>
      </c>
      <c r="N103" s="11" t="str">
        <f>CHOOSE(ROUNDUP(Panchanga!$Q103,0),"viṣkambha","prīti","āyuṣmāna","saubhāgya","śobhana","atigaṇḍa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("&amp;Panchanga!$Q103&amp;")"</f>
        <v>sukarmā  (6.82)</v>
      </c>
      <c r="O103" s="4">
        <f>IF(AND(Panchanga!$P103&lt;28.5,Panchanga!$P103&gt;0.49999),MOD((Panchanga!$P103-0.5)*2,7),MOD((Panchanga!$P103+30-28.5),30)*2+7)</f>
        <v>9.135799999999989</v>
      </c>
      <c r="P103" s="4">
        <f>ROUNDUP(MOD(360+P[Moon]-P[Sun],360)/12,4)</f>
        <v>29.567899999999998</v>
      </c>
      <c r="Q103" s="4">
        <f>ROUNDUP(MOD(P[Sun]+P[Moon],360)/13.333333333,2)</f>
        <v>6.8199999999999994</v>
      </c>
      <c r="R103" s="4" t="str">
        <f>SIGN(U104-Panchanga!$U103)*INT(Panchanga!$U103/30+1)&amp;"Ma,"&amp;SIGN(V104-Panchanga!$V103)*INT(Panchanga!$V103/30+1)&amp;"Me,"&amp;SIGN(W104-Panchanga!$W103)*INT(Panchanga!$W103/30+1)&amp;"J, "&amp;SIGN(X104-Panchanga!$X103)*INT(Panchanga!$X103/30+1)&amp;"V,"&amp;SIGN(Y104-Panchanga!$Y103)*INT(Panchanga!$Y103/30+1)&amp;"S,"&amp;INT(Panchanga!$Z103/30+1)&amp;"R"</f>
        <v>3Ma,3Me,-8J, 1V,-9S,3R</v>
      </c>
      <c r="S103" s="4">
        <f t="shared" si="26"/>
        <v>48.046356320677148</v>
      </c>
      <c r="T103" s="4">
        <f t="shared" si="27"/>
        <v>42.860062361550511</v>
      </c>
      <c r="U103" s="4">
        <f>Planet(Panchanga!$E103,4)</f>
        <v>77.383715135397239</v>
      </c>
      <c r="V103" s="4">
        <f>Planet(Panchanga!$E103,2)</f>
        <v>62.403825983207867</v>
      </c>
      <c r="W103" s="4">
        <f>Planet(Panchanga!$E103,5)</f>
        <v>236.32294559946101</v>
      </c>
      <c r="X103" s="4">
        <f>Planet(Panchanga!$E103,3)</f>
        <v>28.496736060276298</v>
      </c>
      <c r="Y103" s="4">
        <f>Planet(Panchanga!$E103,6)</f>
        <v>265.50155822417781</v>
      </c>
      <c r="Z103" s="4">
        <f>Planet(Panchanga!$E103,10)</f>
        <v>85.341126835981456</v>
      </c>
      <c r="AA103" s="4" t="str">
        <f>TEXT(Panchanga!$C103+($C104-Panchanga!$C103)/ABS(IF($P104&lt;1,$P104+30,$P104)-Panchanga!$P103)*(ROUNDUP(Panchanga!$P103,0)-Panchanga!$P103),"hh:mm AM/PM")</f>
        <v>03:28 PM</v>
      </c>
      <c r="AB103" s="4"/>
    </row>
    <row r="104" spans="1:28" x14ac:dyDescent="0.2">
      <c r="A104" s="3">
        <f t="shared" si="29"/>
        <v>43620</v>
      </c>
      <c r="B104" s="3">
        <f t="shared" si="23"/>
        <v>43620.229166666664</v>
      </c>
      <c r="C104" s="15">
        <f t="shared" si="24"/>
        <v>43620.237746761799</v>
      </c>
      <c r="D104" s="15">
        <f t="shared" si="25"/>
        <v>43619.773041069551</v>
      </c>
      <c r="E104" s="17">
        <f>Panchanga!$C104-TimeZone/24</f>
        <v>43620.008580095135</v>
      </c>
      <c r="F104" s="18" t="str">
        <f>INT(P[Sun]/30)&amp;"s"&amp;ROUNDUP(MOD(P[Sun],30),2)</f>
        <v>1s19.01</v>
      </c>
      <c r="G104" s="18" t="str">
        <f>INT(P[Moon]/30)&amp;"s"&amp;ROUNDUP(MOD(P[Moon],30),2)</f>
        <v>1s26.57</v>
      </c>
      <c r="H104" s="14">
        <f t="shared" si="28"/>
        <v>43620.008580095135</v>
      </c>
      <c r="I104" s="4" t="str">
        <f>naks(P[[#This Row],[Moon]])</f>
        <v>Mrigashira</v>
      </c>
      <c r="J104" s="15">
        <f>(C105-P[[#This Row],[SunRise]])/(T105-P[[#This Row],[Moon]])*(13.3333333333333-MOD(P[[#This Row],[Moon]],13.333333333333))+P[[#This Row],[SunRise]]</f>
        <v>43620.962589103772</v>
      </c>
      <c r="K104" s="4" t="str">
        <f>IF(Panchanga!$P104&gt;15,"K","S")&amp;ROUNDUP(MOD(Panchanga!$P104,15),0)&amp;" ("&amp;ROUND(Panchanga!$P104,2)&amp;")"</f>
        <v>S1 (0.63)</v>
      </c>
      <c r="L104" s="4">
        <f>IF(AND(Panchanga!$P104&lt;28.5,Panchanga!$P104&gt;0.49999),MOD((Panchanga!$P104-0.5)*2,7),MOD((Panchanga!$P104+30-28.5),30)*2+7)</f>
        <v>0.26039999999999996</v>
      </c>
      <c r="M104" s="4" t="str">
        <f>CHOOSE(ROUNDUP(Panchanga!$L104,0),"Bhava","Baalava","Kaulava","Taitula","Garija","Vanija","Vishti","Shakuni","Chatushapda","Naaga","Kimstugna")</f>
        <v>Bhava</v>
      </c>
      <c r="N104" s="11" t="str">
        <f>CHOOSE(ROUNDUP(Panchanga!$Q104,0),"viṣkambha","prīti","āyuṣmāna","saubhāgya","śobhana","atigaṇḍa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("&amp;Panchanga!$Q104&amp;")"</f>
        <v>dhṛti  (7.92)</v>
      </c>
      <c r="O104" s="4">
        <f>IF(AND(Panchanga!$P104&lt;28.5,Panchanga!$P104&gt;0.49999),MOD((Panchanga!$P104-0.5)*2,7),MOD((Panchanga!$P104+30-28.5),30)*2+7)</f>
        <v>0.26039999999999996</v>
      </c>
      <c r="P104" s="4">
        <f>ROUNDUP(MOD(360+P[Moon]-P[Sun],360)/12,4)</f>
        <v>0.63019999999999998</v>
      </c>
      <c r="Q104" s="4">
        <f>ROUNDUP(MOD(P[Sun]+P[Moon],360)/13.333333333,2)</f>
        <v>7.92</v>
      </c>
      <c r="R104" s="4" t="str">
        <f>SIGN(U105-Panchanga!$U104)*INT(Panchanga!$U104/30+1)&amp;"Ma,"&amp;SIGN(V105-Panchanga!$V104)*INT(Panchanga!$V104/30+1)&amp;"Me,"&amp;SIGN(W105-Panchanga!$W104)*INT(Panchanga!$W104/30+1)&amp;"J, "&amp;SIGN(X105-Panchanga!$X104)*INT(Panchanga!$X104/30+1)&amp;"V,"&amp;SIGN(Y105-Panchanga!$Y104)*INT(Panchanga!$Y104/30+1)&amp;"S,"&amp;INT(Panchanga!$Z104/30+1)&amp;"R"</f>
        <v>3Ma,3Me,-8J, 1V,-9S,3R</v>
      </c>
      <c r="S104" s="4">
        <f t="shared" si="26"/>
        <v>49.004610220506386</v>
      </c>
      <c r="T104" s="4">
        <f t="shared" si="27"/>
        <v>56.566971785242472</v>
      </c>
      <c r="U104" s="4">
        <f>Planet(Panchanga!$E104,4)</f>
        <v>78.025121206310899</v>
      </c>
      <c r="V104" s="4">
        <f>Planet(Panchanga!$E104,2)</f>
        <v>64.320567321675313</v>
      </c>
      <c r="W104" s="4">
        <f>Planet(Panchanga!$E104,5)</f>
        <v>236.19768340249263</v>
      </c>
      <c r="X104" s="4">
        <f>Planet(Panchanga!$E104,3)</f>
        <v>29.714412385608707</v>
      </c>
      <c r="Y104" s="4">
        <f>Planet(Panchanga!$E104,6)</f>
        <v>265.45073446174155</v>
      </c>
      <c r="Z104" s="4">
        <f>Planet(Panchanga!$E104,10)</f>
        <v>85.288133938185709</v>
      </c>
      <c r="AA104" s="4" t="str">
        <f>TEXT(Panchanga!$C104+($C105-Panchanga!$C104)/ABS(IF($P105&lt;1,$P105+30,$P105)-Panchanga!$P104)*(ROUNDUP(Panchanga!$P104,0)-Panchanga!$P104),"hh:mm AM/PM")</f>
        <v>01:54 PM</v>
      </c>
      <c r="AB104" s="4"/>
    </row>
    <row r="105" spans="1:28" x14ac:dyDescent="0.2">
      <c r="A105" s="3">
        <f t="shared" si="29"/>
        <v>43621</v>
      </c>
      <c r="B105" s="3">
        <f t="shared" si="23"/>
        <v>43621.229166666664</v>
      </c>
      <c r="C105" s="15">
        <f t="shared" si="24"/>
        <v>43621.237772987843</v>
      </c>
      <c r="D105" s="15">
        <f t="shared" si="25"/>
        <v>43620.773254692598</v>
      </c>
      <c r="E105" s="17">
        <f>Panchanga!$C105-TimeZone/24</f>
        <v>43621.008606321178</v>
      </c>
      <c r="F105" s="18" t="str">
        <f>INT(P[Sun]/30)&amp;"s"&amp;ROUNDUP(MOD(P[Sun],30),2)</f>
        <v>1s19.97</v>
      </c>
      <c r="G105" s="18" t="str">
        <f>INT(P[Moon]/30)&amp;"s"&amp;ROUNDUP(MOD(P[Moon],30),2)</f>
        <v>2s10.51</v>
      </c>
      <c r="H105" s="14">
        <f t="shared" si="28"/>
        <v>43621.008606321178</v>
      </c>
      <c r="I105" s="4" t="str">
        <f>naks(P[[#This Row],[Moon]])</f>
        <v>Ardra</v>
      </c>
      <c r="J105" s="15">
        <f>(C106-P[[#This Row],[SunRise]])/(T106-P[[#This Row],[Moon]])*(13.3333333333333-MOD(P[[#This Row],[Moon]],13.333333333333))+P[[#This Row],[SunRise]]</f>
        <v>43621.911363653213</v>
      </c>
      <c r="K105" s="4" t="str">
        <f>IF(Panchanga!$P105&gt;15,"K","S")&amp;ROUNDUP(MOD(Panchanga!$P105,15),0)&amp;" ("&amp;ROUND(Panchanga!$P105,2)&amp;")"</f>
        <v>S2 (1.71)</v>
      </c>
      <c r="L105" s="4">
        <f>IF(AND(Panchanga!$P105&lt;28.5,Panchanga!$P105&gt;0.49999),MOD((Panchanga!$P105-0.5)*2,7),MOD((Panchanga!$P105+30-28.5),30)*2+7)</f>
        <v>2.4232</v>
      </c>
      <c r="M105" s="4" t="str">
        <f>CHOOSE(ROUNDUP(Panchanga!$L105,0),"Bhava","Baalava","Kaulava","Taitula","Garija","Vanija","Vishti","Shakuni","Chatushapda","Naaga","Kimstugna")</f>
        <v>Kaulava</v>
      </c>
      <c r="N105" s="11" t="str">
        <f>CHOOSE(ROUNDUP(Panchanga!$Q105,0),"viṣkambha","prīti","āyuṣmāna","saubhāgya","śobhana","atigaṇḍa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("&amp;Panchanga!$Q105&amp;")"</f>
        <v>gaṇḍa  (9.04)</v>
      </c>
      <c r="O105" s="4">
        <f>IF(AND(Panchanga!$P105&lt;28.5,Panchanga!$P105&gt;0.49999),MOD((Panchanga!$P105-0.5)*2,7),MOD((Panchanga!$P105+30-28.5),30)*2+7)</f>
        <v>2.4232</v>
      </c>
      <c r="P105" s="4">
        <f>ROUNDUP(MOD(360+P[Moon]-P[Sun],360)/12,4)</f>
        <v>1.7116</v>
      </c>
      <c r="Q105" s="4">
        <f>ROUNDUP(MOD(P[Sun]+P[Moon],360)/13.333333333,2)</f>
        <v>9.0399999999999991</v>
      </c>
      <c r="R105" s="4" t="str">
        <f>SIGN(U106-Panchanga!$U105)*INT(Panchanga!$U105/30+1)&amp;"Ma,"&amp;SIGN(V106-Panchanga!$V105)*INT(Panchanga!$V105/30+1)&amp;"Me,"&amp;SIGN(W106-Panchanga!$W105)*INT(Panchanga!$W105/30+1)&amp;"J, "&amp;SIGN(X106-Panchanga!$X105)*INT(Panchanga!$X105/30+1)&amp;"V,"&amp;SIGN(Y106-Panchanga!$Y105)*INT(Panchanga!$Y105/30+1)&amp;"S,"&amp;INT(Panchanga!$Z105/30+1)&amp;"R"</f>
        <v>3Ma,3Me,-8J, 2V,-9S,3R</v>
      </c>
      <c r="S105" s="4">
        <f t="shared" si="26"/>
        <v>49.962589096100885</v>
      </c>
      <c r="T105" s="4">
        <f t="shared" si="27"/>
        <v>70.500980840213586</v>
      </c>
      <c r="U105" s="4">
        <f>Planet(Panchanga!$E105,4)</f>
        <v>78.666309601352083</v>
      </c>
      <c r="V105" s="4">
        <f>Planet(Panchanga!$E105,2)</f>
        <v>66.196639292697839</v>
      </c>
      <c r="W105" s="4">
        <f>Planet(Panchanga!$E105,5)</f>
        <v>236.07180014516499</v>
      </c>
      <c r="X105" s="4">
        <f>Planet(Panchanga!$E105,3)</f>
        <v>30.932240116200376</v>
      </c>
      <c r="Y105" s="4">
        <f>Planet(Panchanga!$E105,6)</f>
        <v>265.39873204077941</v>
      </c>
      <c r="Z105" s="4">
        <f>Planet(Panchanga!$E105,10)</f>
        <v>85.235140551861676</v>
      </c>
      <c r="AA105" s="4" t="str">
        <f>TEXT(Panchanga!$C105+($C106-Panchanga!$C105)/ABS(IF($P106&lt;1,$P106+30,$P106)-Panchanga!$P105)*(ROUNDUP(Panchanga!$P105,0)-Panchanga!$P105),"hh:mm AM/PM")</f>
        <v>12:01 PM</v>
      </c>
      <c r="AB105" s="4"/>
    </row>
    <row r="106" spans="1:28" x14ac:dyDescent="0.2">
      <c r="A106" s="3">
        <f t="shared" si="29"/>
        <v>43622</v>
      </c>
      <c r="B106" s="3">
        <f t="shared" si="23"/>
        <v>43622.229166666664</v>
      </c>
      <c r="C106" s="15">
        <f t="shared" si="24"/>
        <v>43622.237807955746</v>
      </c>
      <c r="D106" s="15">
        <f t="shared" si="25"/>
        <v>43621.773467361971</v>
      </c>
      <c r="E106" s="17">
        <f>Panchanga!$C106-TimeZone/24</f>
        <v>43622.008641289081</v>
      </c>
      <c r="F106" s="18" t="str">
        <f>INT(P[Sun]/30)&amp;"s"&amp;ROUNDUP(MOD(P[Sun],30),2)</f>
        <v>1s20.93</v>
      </c>
      <c r="G106" s="18" t="str">
        <f>INT(P[Moon]/30)&amp;"s"&amp;ROUNDUP(MOD(P[Moon],30),2)</f>
        <v>2s24.61</v>
      </c>
      <c r="H106" s="14">
        <f t="shared" si="28"/>
        <v>43622.008641289081</v>
      </c>
      <c r="I106" s="4" t="str">
        <f>naks(P[[#This Row],[Moon]])</f>
        <v>Punarvasu</v>
      </c>
      <c r="J106" s="15">
        <f>(C107-P[[#This Row],[SunRise]])/(T107-P[[#This Row],[Moon]])*(13.3333333333333-MOD(P[[#This Row],[Moon]],13.333333333333))+P[[#This Row],[SunRise]]</f>
        <v>43622.852155815053</v>
      </c>
      <c r="K106" s="4" t="str">
        <f>IF(Panchanga!$P106&gt;15,"K","S")&amp;ROUNDUP(MOD(Panchanga!$P106,15),0)&amp;" ("&amp;ROUND(Panchanga!$P106,2)&amp;")"</f>
        <v>S3 (2.81)</v>
      </c>
      <c r="L106" s="4">
        <f>IF(AND(Panchanga!$P106&lt;28.5,Panchanga!$P106&gt;0.49999),MOD((Panchanga!$P106-0.5)*2,7),MOD((Panchanga!$P106+30-28.5),30)*2+7)</f>
        <v>4.6140000000000008</v>
      </c>
      <c r="M106" s="4" t="str">
        <f>CHOOSE(ROUNDUP(Panchanga!$L106,0),"Bhava","Baalava","Kaulava","Taitula","Garija","Vanija","Vishti","Shakuni","Chatushapda","Naaga","Kimstugna")</f>
        <v>Garija</v>
      </c>
      <c r="N106" s="11" t="str">
        <f>CHOOSE(ROUNDUP(Panchanga!$Q106,0),"viṣkambha","prīti","āyuṣmāna","saubhāgya","śobhana","atigaṇḍa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("&amp;Panchanga!$Q106&amp;")"</f>
        <v>vṛddhi  (10.17)</v>
      </c>
      <c r="O106" s="4">
        <f>IF(AND(Panchanga!$P106&lt;28.5,Panchanga!$P106&gt;0.49999),MOD((Panchanga!$P106-0.5)*2,7),MOD((Panchanga!$P106+30-28.5),30)*2+7)</f>
        <v>4.6140000000000008</v>
      </c>
      <c r="P106" s="4">
        <f>ROUNDUP(MOD(360+P[Moon]-P[Sun],360)/12,4)</f>
        <v>2.8070000000000004</v>
      </c>
      <c r="Q106" s="4">
        <f>ROUNDUP(MOD(P[Sun]+P[Moon],360)/13.333333333,2)</f>
        <v>10.17</v>
      </c>
      <c r="R106" s="4" t="str">
        <f>SIGN(U107-Panchanga!$U106)*INT(Panchanga!$U106/30+1)&amp;"Ma,"&amp;SIGN(V107-Panchanga!$V106)*INT(Panchanga!$V106/30+1)&amp;"Me,"&amp;SIGN(W107-Panchanga!$W106)*INT(Panchanga!$W106/30+1)&amp;"J, "&amp;SIGN(X107-Panchanga!$X106)*INT(Panchanga!$X106/30+1)&amp;"V,"&amp;SIGN(Y107-Panchanga!$Y106)*INT(Panchanga!$Y106/30+1)&amp;"S,"&amp;INT(Panchanga!$Z106/30+1)&amp;"R"</f>
        <v>3Ma,3Me,-8J, 2V,-9S,3R</v>
      </c>
      <c r="S106" s="4">
        <f t="shared" si="26"/>
        <v>50.920281291327314</v>
      </c>
      <c r="T106" s="4">
        <f t="shared" si="27"/>
        <v>84.603538682807084</v>
      </c>
      <c r="U106" s="4">
        <f>Planet(Panchanga!$E106,4)</f>
        <v>79.307275635643094</v>
      </c>
      <c r="V106" s="4">
        <f>Planet(Panchanga!$E106,2)</f>
        <v>68.03095033943363</v>
      </c>
      <c r="W106" s="4">
        <f>Planet(Panchanga!$E106,5)</f>
        <v>235.9453898116879</v>
      </c>
      <c r="X106" s="4">
        <f>Planet(Panchanga!$E106,3)</f>
        <v>32.150211663497643</v>
      </c>
      <c r="Y106" s="4">
        <f>Planet(Panchanga!$E106,6)</f>
        <v>265.34557805277387</v>
      </c>
      <c r="Z106" s="4">
        <f>Planet(Panchanga!$E106,10)</f>
        <v>85.182146702309666</v>
      </c>
      <c r="AA106" s="4" t="str">
        <f>TEXT(Panchanga!$C106+($C107-Panchanga!$C106)/ABS(IF($P107&lt;1,$P107+30,$P107)-Panchanga!$P106)*(ROUNDUP(Panchanga!$P106,0)-Panchanga!$P106),"hh:mm AM/PM")</f>
        <v>09:54 AM</v>
      </c>
      <c r="AB106" s="4"/>
    </row>
    <row r="107" spans="1:28" x14ac:dyDescent="0.2">
      <c r="A107" s="3">
        <f t="shared" si="29"/>
        <v>43623</v>
      </c>
      <c r="B107" s="3">
        <f t="shared" si="23"/>
        <v>43623.229166666664</v>
      </c>
      <c r="C107" s="15">
        <f t="shared" si="24"/>
        <v>43623.237851824764</v>
      </c>
      <c r="D107" s="15">
        <f t="shared" si="25"/>
        <v>43622.773678283251</v>
      </c>
      <c r="E107" s="17">
        <f>Panchanga!$C107-TimeZone/24</f>
        <v>43623.0086851581</v>
      </c>
      <c r="F107" s="18" t="str">
        <f>INT(P[Sun]/30)&amp;"s"&amp;ROUNDUP(MOD(P[Sun],30),2)</f>
        <v>1s21.88</v>
      </c>
      <c r="G107" s="18" t="str">
        <f>INT(P[Moon]/30)&amp;"s"&amp;ROUNDUP(MOD(P[Moon],30),2)</f>
        <v>3s8.82</v>
      </c>
      <c r="H107" s="14">
        <f t="shared" si="28"/>
        <v>43623.0086851581</v>
      </c>
      <c r="I107" s="4" t="str">
        <f>naks(P[[#This Row],[Moon]])</f>
        <v>Pushya</v>
      </c>
      <c r="J107" s="15">
        <f>(C108-P[[#This Row],[SunRise]])/(T108-P[[#This Row],[Moon]])*(13.3333333333333-MOD(P[[#This Row],[Moon]],13.333333333333))+P[[#This Row],[SunRise]]</f>
        <v>43623.788479564755</v>
      </c>
      <c r="K107" s="4" t="str">
        <f>IF(Panchanga!$P107&gt;15,"K","S")&amp;ROUNDUP(MOD(Panchanga!$P107,15),0)&amp;" ("&amp;ROUND(Panchanga!$P107,2)&amp;")"</f>
        <v>S4 (3.91)</v>
      </c>
      <c r="L107" s="4">
        <f>IF(AND(Panchanga!$P107&lt;28.5,Panchanga!$P107&gt;0.49999),MOD((Panchanga!$P107-0.5)*2,7),MOD((Panchanga!$P107+30-28.5),30)*2+7)</f>
        <v>6.8228000000000009</v>
      </c>
      <c r="M107" s="4" t="str">
        <f>CHOOSE(ROUNDUP(Panchanga!$L107,0),"Bhava","Baalava","Kaulava","Taitula","Garija","Vanija","Vishti","Shakuni","Chatushapda","Naaga","Kimstugna")</f>
        <v>Vishti</v>
      </c>
      <c r="N107" s="11" t="str">
        <f>CHOOSE(ROUNDUP(Panchanga!$Q107,0),"viṣkambha","prīti","āyuṣmāna","saubhāgya","śobhana","atigaṇḍa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("&amp;Panchanga!$Q107&amp;")"</f>
        <v>dhruva  (11.31)</v>
      </c>
      <c r="O107" s="4">
        <f>IF(AND(Panchanga!$P107&lt;28.5,Panchanga!$P107&gt;0.49999),MOD((Panchanga!$P107-0.5)*2,7),MOD((Panchanga!$P107+30-28.5),30)*2+7)</f>
        <v>6.8228000000000009</v>
      </c>
      <c r="P107" s="4">
        <f>ROUNDUP(MOD(360+P[Moon]-P[Sun],360)/12,4)</f>
        <v>3.9114000000000004</v>
      </c>
      <c r="Q107" s="4">
        <f>ROUNDUP(MOD(P[Sun]+P[Moon],360)/13.333333333,2)</f>
        <v>11.31</v>
      </c>
      <c r="R107" s="4" t="str">
        <f>SIGN(U108-Panchanga!$U107)*INT(Panchanga!$U107/30+1)&amp;"Ma,"&amp;SIGN(V108-Panchanga!$V107)*INT(Panchanga!$V107/30+1)&amp;"Me,"&amp;SIGN(W108-Panchanga!$W107)*INT(Panchanga!$W107/30+1)&amp;"J, "&amp;SIGN(X108-Panchanga!$X107)*INT(Panchanga!$X107/30+1)&amp;"V,"&amp;SIGN(Y108-Panchanga!$Y107)*INT(Panchanga!$Y107/30+1)&amp;"S,"&amp;INT(Panchanga!$Z107/30+1)&amp;"R"</f>
        <v>3Ma,3Me,-8J, 2V,-9S,3R</v>
      </c>
      <c r="S107" s="4">
        <f t="shared" si="26"/>
        <v>51.877676695029471</v>
      </c>
      <c r="T107" s="4">
        <f t="shared" si="27"/>
        <v>98.814018113525847</v>
      </c>
      <c r="U107" s="4">
        <f>Planet(Panchanga!$E107,4)</f>
        <v>79.948014422948759</v>
      </c>
      <c r="V107" s="4">
        <f>Planet(Panchanga!$E107,2)</f>
        <v>69.822639479322277</v>
      </c>
      <c r="W107" s="4">
        <f>Planet(Panchanga!$E107,5)</f>
        <v>235.81854669451468</v>
      </c>
      <c r="X107" s="4">
        <f>Planet(Panchanga!$E107,3)</f>
        <v>33.368321803835052</v>
      </c>
      <c r="Y107" s="4">
        <f>Planet(Panchanga!$E107,6)</f>
        <v>265.29130048535177</v>
      </c>
      <c r="Z107" s="4">
        <f>Planet(Panchanga!$E107,10)</f>
        <v>85.129152381046694</v>
      </c>
      <c r="AA107" s="4" t="str">
        <f>TEXT(Panchanga!$C107+($C108-Panchanga!$C107)/ABS(IF($P108&lt;1,$P108+30,$P108)-Panchanga!$P107)*(ROUNDUP(Panchanga!$P107,0)-Panchanga!$P107),"hh:mm AM/PM")</f>
        <v>07:37 AM</v>
      </c>
      <c r="AB107" s="4"/>
    </row>
    <row r="108" spans="1:28" x14ac:dyDescent="0.2">
      <c r="A108" s="3">
        <f t="shared" si="29"/>
        <v>43624</v>
      </c>
      <c r="B108" s="3">
        <f t="shared" si="23"/>
        <v>43624.229166666664</v>
      </c>
      <c r="C108" s="15">
        <f t="shared" si="24"/>
        <v>43624.237903959271</v>
      </c>
      <c r="D108" s="15">
        <f t="shared" si="25"/>
        <v>43623.773887455507</v>
      </c>
      <c r="E108" s="17">
        <f>Panchanga!$C108-TimeZone/24</f>
        <v>43624.008737292606</v>
      </c>
      <c r="F108" s="18" t="str">
        <f>INT(P[Sun]/30)&amp;"s"&amp;ROUNDUP(MOD(P[Sun],30),2)</f>
        <v>1s22.84</v>
      </c>
      <c r="G108" s="18" t="str">
        <f>INT(P[Moon]/30)&amp;"s"&amp;ROUNDUP(MOD(P[Moon],30),2)</f>
        <v>3s23.08</v>
      </c>
      <c r="H108" s="14">
        <f t="shared" si="28"/>
        <v>43624.008737292606</v>
      </c>
      <c r="I108" s="4" t="str">
        <f>naks(P[[#This Row],[Moon]])</f>
        <v>Aslesha</v>
      </c>
      <c r="J108" s="15">
        <f>(C109-P[[#This Row],[SunRise]])/(T109-P[[#This Row],[Moon]])*(13.3333333333333-MOD(P[[#This Row],[Moon]],13.333333333333))+P[[#This Row],[SunRise]]</f>
        <v>43624.723323146944</v>
      </c>
      <c r="K108" s="4" t="str">
        <f>IF(Panchanga!$P108&gt;15,"K","S")&amp;ROUNDUP(MOD(Panchanga!$P108,15),0)&amp;" ("&amp;ROUND(Panchanga!$P108,2)&amp;")"</f>
        <v>S6 (5.02)</v>
      </c>
      <c r="L108" s="4">
        <f>IF(AND(Panchanga!$P108&lt;28.5,Panchanga!$P108&gt;0.49999),MOD((Panchanga!$P108-0.5)*2,7),MOD((Panchanga!$P108+30-28.5),30)*2+7)</f>
        <v>2.0404</v>
      </c>
      <c r="M108" s="4" t="str">
        <f>CHOOSE(ROUNDUP(Panchanga!$L108,0),"Bhava","Baalava","Kaulava","Taitula","Garija","Vanija","Vishti","Shakuni","Chatushapda","Naaga","Kimstugna")</f>
        <v>Kaulava</v>
      </c>
      <c r="N108" s="11" t="str">
        <f>CHOOSE(ROUNDUP(Panchanga!$Q108,0),"viṣkambha","prīti","āyuṣmāna","saubhāgya","śobhana","atigaṇḍa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("&amp;Panchanga!$Q108&amp;")"</f>
        <v>vyāghāta (12.45)</v>
      </c>
      <c r="O108" s="4">
        <f>IF(AND(Panchanga!$P108&lt;28.5,Panchanga!$P108&gt;0.49999),MOD((Panchanga!$P108-0.5)*2,7),MOD((Panchanga!$P108+30-28.5),30)*2+7)</f>
        <v>2.0404</v>
      </c>
      <c r="P108" s="4">
        <f>ROUNDUP(MOD(360+P[Moon]-P[Sun],360)/12,4)</f>
        <v>5.0202</v>
      </c>
      <c r="Q108" s="4">
        <f>ROUNDUP(MOD(P[Sun]+P[Moon],360)/13.333333333,2)</f>
        <v>12.45</v>
      </c>
      <c r="R108" s="4" t="str">
        <f>SIGN(U109-Panchanga!$U108)*INT(Panchanga!$U108/30+1)&amp;"Ma,"&amp;SIGN(V109-Panchanga!$V108)*INT(Panchanga!$V108/30+1)&amp;"Me,"&amp;SIGN(W109-Panchanga!$W108)*INT(Panchanga!$W108/30+1)&amp;"J, "&amp;SIGN(X109-Panchanga!$X108)*INT(Panchanga!$X108/30+1)&amp;"V,"&amp;SIGN(Y109-Panchanga!$Y108)*INT(Panchanga!$Y108/30+1)&amp;"S,"&amp;INT(Panchanga!$Z108/30+1)&amp;"R"</f>
        <v>3Ma,3Me,-8J, 2V,-9S,3R</v>
      </c>
      <c r="S108" s="4">
        <f t="shared" si="26"/>
        <v>52.834766882805873</v>
      </c>
      <c r="T108" s="4">
        <f t="shared" si="27"/>
        <v>113.07602741078745</v>
      </c>
      <c r="U108" s="4">
        <f>Planet(Panchanga!$E108,4)</f>
        <v>80.5885206284768</v>
      </c>
      <c r="V108" s="4">
        <f>Planet(Panchanga!$E108,2)</f>
        <v>71.571026364822373</v>
      </c>
      <c r="W108" s="4">
        <f>Planet(Panchanga!$E108,5)</f>
        <v>235.69136499006612</v>
      </c>
      <c r="X108" s="4">
        <f>Planet(Panchanga!$E108,3)</f>
        <v>34.586566694987184</v>
      </c>
      <c r="Y108" s="4">
        <f>Planet(Panchanga!$E108,6)</f>
        <v>265.23592808092246</v>
      </c>
      <c r="Z108" s="4">
        <f>Planet(Panchanga!$E108,10)</f>
        <v>85.076157621790131</v>
      </c>
      <c r="AA108" s="4" t="str">
        <f>TEXT(Panchanga!$C108+($C109-Panchanga!$C108)/ABS(IF($P109&lt;1,$P109+30,$P109)-Panchanga!$P108)*(ROUNDUP(Panchanga!$P108,0)-Panchanga!$P108),"hh:mm AM/PM")</f>
        <v>02:54 AM</v>
      </c>
      <c r="AB108" s="4"/>
    </row>
    <row r="109" spans="1:28" x14ac:dyDescent="0.2">
      <c r="A109" s="3">
        <f t="shared" si="29"/>
        <v>43625</v>
      </c>
      <c r="B109" s="3">
        <f t="shared" si="23"/>
        <v>43625.229166666664</v>
      </c>
      <c r="C109" s="15">
        <f t="shared" si="24"/>
        <v>43625.23796451759</v>
      </c>
      <c r="D109" s="15">
        <f t="shared" si="25"/>
        <v>43624.77409456209</v>
      </c>
      <c r="E109" s="17">
        <f>Panchanga!$C109-TimeZone/24</f>
        <v>43625.008797850925</v>
      </c>
      <c r="F109" s="18" t="str">
        <f>INT(P[Sun]/30)&amp;"s"&amp;ROUNDUP(MOD(P[Sun],30),2)</f>
        <v>1s23.8</v>
      </c>
      <c r="G109" s="18" t="str">
        <f>INT(P[Moon]/30)&amp;"s"&amp;ROUNDUP(MOD(P[Moon],30),2)</f>
        <v>4s7.35</v>
      </c>
      <c r="H109" s="14">
        <f t="shared" si="28"/>
        <v>43625.008797850925</v>
      </c>
      <c r="I109" s="4" t="str">
        <f>naks(P[[#This Row],[Moon]])</f>
        <v>Makha</v>
      </c>
      <c r="J109" s="15">
        <f>(C110-P[[#This Row],[SunRise]])/(T110-P[[#This Row],[Moon]])*(13.3333333333333-MOD(P[[#This Row],[Moon]],13.333333333333))+P[[#This Row],[SunRise]]</f>
        <v>43625.659214038365</v>
      </c>
      <c r="K109" s="4" t="str">
        <f>IF(Panchanga!$P109&gt;15,"K","S")&amp;ROUNDUP(MOD(Panchanga!$P109,15),0)&amp;" ("&amp;ROUND(Panchanga!$P109,2)&amp;")"</f>
        <v>S7 (6.13)</v>
      </c>
      <c r="L109" s="4">
        <f>IF(AND(Panchanga!$P109&lt;28.5,Panchanga!$P109&gt;0.49999),MOD((Panchanga!$P109-0.5)*2,7),MOD((Panchanga!$P109+30-28.5),30)*2+7)</f>
        <v>4.2584</v>
      </c>
      <c r="M109" s="4" t="str">
        <f>CHOOSE(ROUNDUP(Panchanga!$L109,0),"Bhava","Baalava","Kaulava","Taitula","Garija","Vanija","Vishti","Shakuni","Chatushapda","Naaga","Kimstugna")</f>
        <v>Garija</v>
      </c>
      <c r="N109" s="11" t="str">
        <f>CHOOSE(ROUNDUP(Panchanga!$Q109,0),"viṣkambha","prīti","āyuṣmāna","saubhāgya","śobhana","atigaṇḍa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("&amp;Panchanga!$Q109&amp;")"</f>
        <v>harṣaṇa (13.59)</v>
      </c>
      <c r="O109" s="4">
        <f>IF(AND(Panchanga!$P109&lt;28.5,Panchanga!$P109&gt;0.49999),MOD((Panchanga!$P109-0.5)*2,7),MOD((Panchanga!$P109+30-28.5),30)*2+7)</f>
        <v>4.2584</v>
      </c>
      <c r="P109" s="4">
        <f>ROUNDUP(MOD(360+P[Moon]-P[Sun],360)/12,4)</f>
        <v>6.1292</v>
      </c>
      <c r="Q109" s="4">
        <f>ROUNDUP(MOD(P[Sun]+P[Moon],360)/13.333333333,2)</f>
        <v>13.59</v>
      </c>
      <c r="R109" s="4" t="str">
        <f>SIGN(U110-Panchanga!$U109)*INT(Panchanga!$U109/30+1)&amp;"Ma,"&amp;SIGN(V110-Panchanga!$V109)*INT(Panchanga!$V109/30+1)&amp;"Me,"&amp;SIGN(W110-Panchanga!$W109)*INT(Panchanga!$W109/30+1)&amp;"J, "&amp;SIGN(X110-Panchanga!$X109)*INT(Panchanga!$X109/30+1)&amp;"V,"&amp;SIGN(Y110-Panchanga!$Y109)*INT(Panchanga!$Y109/30+1)&amp;"S,"&amp;INT(Panchanga!$Z109/30+1)&amp;"R"</f>
        <v>3Ma,3Me,-8J, 2V,-9S,3R</v>
      </c>
      <c r="S109" s="4">
        <f t="shared" si="26"/>
        <v>53.791547955260292</v>
      </c>
      <c r="T109" s="4">
        <f t="shared" si="27"/>
        <v>127.3407949954963</v>
      </c>
      <c r="U109" s="4">
        <f>Planet(Panchanga!$E109,4)</f>
        <v>81.228790194669017</v>
      </c>
      <c r="V109" s="4">
        <f>Planet(Panchanga!$E109,2)</f>
        <v>73.275569544624091</v>
      </c>
      <c r="W109" s="4">
        <f>Planet(Panchanga!$E109,5)</f>
        <v>235.56393805574359</v>
      </c>
      <c r="X109" s="4">
        <f>Planet(Panchanga!$E109,3)</f>
        <v>35.804946347694731</v>
      </c>
      <c r="Y109" s="4">
        <f>Planet(Panchanga!$E109,6)</f>
        <v>265.17949000857755</v>
      </c>
      <c r="Z109" s="4">
        <f>Planet(Panchanga!$E109,10)</f>
        <v>85.023162416156282</v>
      </c>
      <c r="AA109" s="4" t="str">
        <f>TEXT(Panchanga!$C109+($C110-Panchanga!$C109)/ABS(IF($P110&lt;1,$P110+30,$P110)-Panchanga!$P109)*(ROUNDUP(Panchanga!$P109,0)-Panchanga!$P109),"hh:mm AM/PM")</f>
        <v>12:36 AM</v>
      </c>
      <c r="AB109" s="4"/>
    </row>
    <row r="110" spans="1:28" x14ac:dyDescent="0.2">
      <c r="A110" s="3">
        <f t="shared" si="29"/>
        <v>43626</v>
      </c>
      <c r="B110" s="3">
        <f t="shared" si="23"/>
        <v>43626.229166666664</v>
      </c>
      <c r="C110" s="15">
        <f t="shared" si="24"/>
        <v>43626.238033022884</v>
      </c>
      <c r="D110" s="15">
        <f t="shared" si="25"/>
        <v>43625.774298965975</v>
      </c>
      <c r="E110" s="17">
        <f>Panchanga!$C110-TimeZone/24</f>
        <v>43626.00886635622</v>
      </c>
      <c r="F110" s="18" t="str">
        <f>INT(P[Sun]/30)&amp;"s"&amp;ROUNDUP(MOD(P[Sun],30),2)</f>
        <v>1s24.75</v>
      </c>
      <c r="G110" s="18" t="str">
        <f>INT(P[Moon]/30)&amp;"s"&amp;ROUNDUP(MOD(P[Moon],30),2)</f>
        <v>4s21.57</v>
      </c>
      <c r="H110" s="14">
        <f t="shared" si="28"/>
        <v>43626.00886635622</v>
      </c>
      <c r="I110" s="4" t="str">
        <f>naks(P[[#This Row],[Moon]])</f>
        <v>Purva Phalguni</v>
      </c>
      <c r="J110" s="15">
        <f>(C111-P[[#This Row],[SunRise]])/(T111-P[[#This Row],[Moon]])*(13.3333333333333-MOD(P[[#This Row],[Moon]],13.333333333333))+P[[#This Row],[SunRise]]</f>
        <v>43626.598348095948</v>
      </c>
      <c r="K110" s="4" t="str">
        <f>IF(Panchanga!$P110&gt;15,"K","S")&amp;ROUNDUP(MOD(Panchanga!$P110,15),0)&amp;" ("&amp;ROUND(Panchanga!$P110,2)&amp;")"</f>
        <v>S8 (7.24)</v>
      </c>
      <c r="L110" s="4">
        <f>IF(AND(Panchanga!$P110&lt;28.5,Panchanga!$P110&gt;0.49999),MOD((Panchanga!$P110-0.5)*2,7),MOD((Panchanga!$P110+30-28.5),30)*2+7)</f>
        <v>6.4699999999999989</v>
      </c>
      <c r="M110" s="4" t="str">
        <f>CHOOSE(ROUNDUP(Panchanga!$L110,0),"Bhava","Baalava","Kaulava","Taitula","Garija","Vanija","Vishti","Shakuni","Chatushapda","Naaga","Kimstugna")</f>
        <v>Vishti</v>
      </c>
      <c r="N110" s="11" t="str">
        <f>CHOOSE(ROUNDUP(Panchanga!$Q110,0),"viṣkambha","prīti","āyuṣmāna","saubhāgya","śobhana","atigaṇḍa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("&amp;Panchanga!$Q110&amp;")"</f>
        <v>vajra (14.73)</v>
      </c>
      <c r="O110" s="4">
        <f>IF(AND(Panchanga!$P110&lt;28.5,Panchanga!$P110&gt;0.49999),MOD((Panchanga!$P110-0.5)*2,7),MOD((Panchanga!$P110+30-28.5),30)*2+7)</f>
        <v>6.4699999999999989</v>
      </c>
      <c r="P110" s="4">
        <f>ROUNDUP(MOD(360+P[Moon]-P[Sun],360)/12,4)</f>
        <v>7.2349999999999994</v>
      </c>
      <c r="Q110" s="4">
        <f>ROUNDUP(MOD(P[Sun]+P[Moon],360)/13.333333333,2)</f>
        <v>14.73</v>
      </c>
      <c r="R110" s="4" t="str">
        <f>SIGN(U111-Panchanga!$U110)*INT(Panchanga!$U110/30+1)&amp;"Ma,"&amp;SIGN(V111-Panchanga!$V110)*INT(Panchanga!$V110/30+1)&amp;"Me,"&amp;SIGN(W111-Panchanga!$W110)*INT(Panchanga!$W110/30+1)&amp;"J, "&amp;SIGN(X111-Panchanga!$X110)*INT(Panchanga!$X110/30+1)&amp;"V,"&amp;SIGN(Y111-Panchanga!$Y110)*INT(Panchanga!$Y110/30+1)&amp;"S,"&amp;INT(Panchanga!$Z110/30+1)&amp;"R"</f>
        <v>3Ma,3Me,-8J, 2V,-9S,3R</v>
      </c>
      <c r="S110" s="4">
        <f t="shared" si="26"/>
        <v>54.748020042122306</v>
      </c>
      <c r="T110" s="4">
        <f t="shared" si="27"/>
        <v>141.56739600710006</v>
      </c>
      <c r="U110" s="4">
        <f>Planet(Panchanga!$E110,4)</f>
        <v>81.868820035162798</v>
      </c>
      <c r="V110" s="4">
        <f>Planet(Panchanga!$E110,2)</f>
        <v>74.935822999269902</v>
      </c>
      <c r="W110" s="4">
        <f>Planet(Panchanga!$E110,5)</f>
        <v>235.4363581791053</v>
      </c>
      <c r="X110" s="4">
        <f>Planet(Panchanga!$E110,3)</f>
        <v>37.023463087486093</v>
      </c>
      <c r="Y110" s="4">
        <f>Planet(Panchanga!$E110,6)</f>
        <v>265.12201571559444</v>
      </c>
      <c r="Z110" s="4">
        <f>Planet(Panchanga!$E110,10)</f>
        <v>84.970166789395876</v>
      </c>
      <c r="AA110" s="4" t="str">
        <f>TEXT(Panchanga!$C110+($C111-Panchanga!$C110)/ABS(IF($P111&lt;1,$P111+30,$P111)-Panchanga!$P110)*(ROUNDUP(Panchanga!$P110,0)-Panchanga!$P110),"hh:mm AM/PM")</f>
        <v>10:24 PM</v>
      </c>
      <c r="AB110" s="4"/>
    </row>
    <row r="111" spans="1:28" x14ac:dyDescent="0.2">
      <c r="A111" s="3">
        <f t="shared" si="29"/>
        <v>43627</v>
      </c>
      <c r="B111" s="3">
        <f t="shared" si="23"/>
        <v>43627.229166666664</v>
      </c>
      <c r="C111" s="15">
        <f t="shared" si="24"/>
        <v>43627.238109476086</v>
      </c>
      <c r="D111" s="15">
        <f t="shared" si="25"/>
        <v>43626.774500668093</v>
      </c>
      <c r="E111" s="17">
        <f>Panchanga!$C111-TimeZone/24</f>
        <v>43627.008942809422</v>
      </c>
      <c r="F111" s="18" t="str">
        <f>INT(P[Sun]/30)&amp;"s"&amp;ROUNDUP(MOD(P[Sun],30),2)</f>
        <v>1s25.71</v>
      </c>
      <c r="G111" s="18" t="str">
        <f>INT(P[Moon]/30)&amp;"s"&amp;ROUNDUP(MOD(P[Moon],30),2)</f>
        <v>5s5.73</v>
      </c>
      <c r="H111" s="14">
        <f t="shared" si="28"/>
        <v>43627.008942809422</v>
      </c>
      <c r="I111" s="4" t="str">
        <f>naks(P[[#This Row],[Moon]])</f>
        <v>Uttara Phalguni</v>
      </c>
      <c r="J111" s="15">
        <f>(C112-P[[#This Row],[SunRise]])/(T112-P[[#This Row],[Moon]])*(13.3333333333333-MOD(P[[#This Row],[Moon]],13.333333333333))+P[[#This Row],[SunRise]]</f>
        <v>43627.54275734831</v>
      </c>
      <c r="K111" s="4" t="str">
        <f>IF(Panchanga!$P111&gt;15,"K","S")&amp;ROUNDUP(MOD(Panchanga!$P111,15),0)&amp;" ("&amp;ROUND(Panchanga!$P111,2)&amp;")"</f>
        <v>S9 (8.33)</v>
      </c>
      <c r="L111" s="4">
        <f>IF(AND(Panchanga!$P111&lt;28.5,Panchanga!$P111&gt;0.49999),MOD((Panchanga!$P111-0.5)*2,7),MOD((Panchanga!$P111+30-28.5),30)*2+7)</f>
        <v>1.6695999999999991</v>
      </c>
      <c r="M111" s="4" t="str">
        <f>CHOOSE(ROUNDUP(Panchanga!$L111,0),"Bhava","Baalava","Kaulava","Taitula","Garija","Vanija","Vishti","Shakuni","Chatushapda","Naaga","Kimstugna")</f>
        <v>Baalava</v>
      </c>
      <c r="N111" s="11" t="str">
        <f>CHOOSE(ROUNDUP(Panchanga!$Q111,0),"viṣkambha","prīti","āyuṣmāna","saubhāgya","śobhana","atigaṇḍa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("&amp;Panchanga!$Q111&amp;")"</f>
        <v>siddhi (15.86)</v>
      </c>
      <c r="O111" s="4">
        <f>IF(AND(Panchanga!$P111&lt;28.5,Panchanga!$P111&gt;0.49999),MOD((Panchanga!$P111-0.5)*2,7),MOD((Panchanga!$P111+30-28.5),30)*2+7)</f>
        <v>1.6695999999999991</v>
      </c>
      <c r="P111" s="4">
        <f>ROUNDUP(MOD(360+P[Moon]-P[Sun],360)/12,4)</f>
        <v>8.3347999999999995</v>
      </c>
      <c r="Q111" s="4">
        <f>ROUNDUP(MOD(P[Sun]+P[Moon],360)/13.333333333,2)</f>
        <v>15.86</v>
      </c>
      <c r="R111" s="4" t="str">
        <f>SIGN(U112-Panchanga!$U111)*INT(Panchanga!$U111/30+1)&amp;"Ma,"&amp;SIGN(V112-Panchanga!$V111)*INT(Panchanga!$V111/30+1)&amp;"Me,"&amp;SIGN(W112-Panchanga!$W111)*INT(Panchanga!$W111/30+1)&amp;"J, "&amp;SIGN(X112-Panchanga!$X111)*INT(Panchanga!$X111/30+1)&amp;"V,"&amp;SIGN(Y112-Panchanga!$Y111)*INT(Panchanga!$Y111/30+1)&amp;"S,"&amp;INT(Panchanga!$Z111/30+1)&amp;"R"</f>
        <v>3Ma,3Me,-8J, 2V,-9S,3R</v>
      </c>
      <c r="S111" s="4">
        <f t="shared" si="26"/>
        <v>55.704188712308998</v>
      </c>
      <c r="T111" s="4">
        <f t="shared" si="27"/>
        <v>155.7207326182378</v>
      </c>
      <c r="U111" s="4">
        <f>Planet(Panchanga!$E111,4)</f>
        <v>82.508609177746152</v>
      </c>
      <c r="V111" s="4">
        <f>Planet(Panchanga!$E111,2)</f>
        <v>76.551401198011234</v>
      </c>
      <c r="W111" s="4">
        <f>Planet(Panchanga!$E111,5)</f>
        <v>235.30871618937428</v>
      </c>
      <c r="X111" s="4">
        <f>Planet(Panchanga!$E111,3)</f>
        <v>38.242122801561841</v>
      </c>
      <c r="Y111" s="4">
        <f>Planet(Panchanga!$E111,6)</f>
        <v>265.06353468943638</v>
      </c>
      <c r="Z111" s="4">
        <f>Planet(Panchanga!$E111,10)</f>
        <v>84.91717074144276</v>
      </c>
      <c r="AA111" s="4" t="str">
        <f>TEXT(Panchanga!$C111+($C112-Panchanga!$C111)/ABS(IF($P112&lt;1,$P112+30,$P112)-Panchanga!$P111)*(ROUNDUP(Panchanga!$P111,0)-Panchanga!$P111),"hh:mm AM/PM")</f>
        <v>08:20 PM</v>
      </c>
      <c r="AB111" s="4"/>
    </row>
    <row r="112" spans="1:28" x14ac:dyDescent="0.2">
      <c r="A112" s="3">
        <f t="shared" si="29"/>
        <v>43628</v>
      </c>
      <c r="B112" s="3">
        <f t="shared" si="23"/>
        <v>43628.229166666664</v>
      </c>
      <c r="C112" s="15">
        <f t="shared" si="24"/>
        <v>43628.238193558216</v>
      </c>
      <c r="D112" s="15">
        <f t="shared" si="25"/>
        <v>43627.774699350397</v>
      </c>
      <c r="E112" s="17">
        <f>Panchanga!$C112-TimeZone/24</f>
        <v>43628.009026891552</v>
      </c>
      <c r="F112" s="18" t="str">
        <f>INT(P[Sun]/30)&amp;"s"&amp;ROUNDUP(MOD(P[Sun],30),2)</f>
        <v>1s26.67</v>
      </c>
      <c r="G112" s="18" t="str">
        <f>INT(P[Moon]/30)&amp;"s"&amp;ROUNDUP(MOD(P[Moon],30),2)</f>
        <v>5s19.77</v>
      </c>
      <c r="H112" s="14">
        <f t="shared" si="28"/>
        <v>43628.009026891552</v>
      </c>
      <c r="I112" s="4" t="str">
        <f>naks(P[[#This Row],[Moon]])</f>
        <v>Hasta</v>
      </c>
      <c r="J112" s="15">
        <f>(C113-P[[#This Row],[SunRise]])/(T113-P[[#This Row],[Moon]])*(13.3333333333333-MOD(P[[#This Row],[Moon]],13.333333333333))+P[[#This Row],[SunRise]]</f>
        <v>43628.494490516605</v>
      </c>
      <c r="K112" s="4" t="str">
        <f>IF(Panchanga!$P112&gt;15,"K","S")&amp;ROUNDUP(MOD(Panchanga!$P112,15),0)&amp;" ("&amp;ROUND(Panchanga!$P112,2)&amp;")"</f>
        <v>S10 (9.43)</v>
      </c>
      <c r="L112" s="4">
        <f>IF(AND(Panchanga!$P112&lt;28.5,Panchanga!$P112&gt;0.49999),MOD((Panchanga!$P112-0.5)*2,7),MOD((Panchanga!$P112+30-28.5),30)*2+7)</f>
        <v>3.8516000000000012</v>
      </c>
      <c r="M112" s="4" t="str">
        <f>CHOOSE(ROUNDUP(Panchanga!$L112,0),"Bhava","Baalava","Kaulava","Taitula","Garija","Vanija","Vishti","Shakuni","Chatushapda","Naaga","Kimstugna")</f>
        <v>Taitula</v>
      </c>
      <c r="N112" s="11" t="str">
        <f>CHOOSE(ROUNDUP(Panchanga!$Q112,0),"viṣkambha","prīti","āyuṣmāna","saubhāgya","śobhana","atigaṇḍa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("&amp;Panchanga!$Q112&amp;")"</f>
        <v>vyatipāta (16.99)</v>
      </c>
      <c r="O112" s="4">
        <f>IF(AND(Panchanga!$P112&lt;28.5,Panchanga!$P112&gt;0.49999),MOD((Panchanga!$P112-0.5)*2,7),MOD((Panchanga!$P112+30-28.5),30)*2+7)</f>
        <v>3.8516000000000012</v>
      </c>
      <c r="P112" s="4">
        <f>ROUNDUP(MOD(360+P[Moon]-P[Sun],360)/12,4)</f>
        <v>9.4258000000000006</v>
      </c>
      <c r="Q112" s="4">
        <f>ROUNDUP(MOD(P[Sun]+P[Moon],360)/13.333333333,2)</f>
        <v>16.990000000000002</v>
      </c>
      <c r="R112" s="4" t="str">
        <f>SIGN(U113-Panchanga!$U112)*INT(Panchanga!$U112/30+1)&amp;"Ma,"&amp;SIGN(V113-Panchanga!$V112)*INT(Panchanga!$V112/30+1)&amp;"Me,"&amp;SIGN(W113-Panchanga!$W112)*INT(Panchanga!$W112/30+1)&amp;"J, "&amp;SIGN(X113-Panchanga!$X112)*INT(Panchanga!$X112/30+1)&amp;"V,"&amp;SIGN(Y113-Panchanga!$Y112)*INT(Panchanga!$Y112/30+1)&amp;"S,"&amp;INT(Panchanga!$Z112/30+1)&amp;"R"</f>
        <v>3Ma,3Me,-8J, 2V,-9S,3R</v>
      </c>
      <c r="S112" s="4">
        <f t="shared" si="26"/>
        <v>56.660064083440808</v>
      </c>
      <c r="T112" s="4">
        <f t="shared" si="27"/>
        <v>169.76851558947862</v>
      </c>
      <c r="U112" s="4">
        <f>Planet(Panchanga!$E112,4)</f>
        <v>83.148158469496124</v>
      </c>
      <c r="V112" s="4">
        <f>Planet(Panchanga!$E112,2)</f>
        <v>78.121945119141714</v>
      </c>
      <c r="W112" s="4">
        <f>Planet(Panchanga!$E112,5)</f>
        <v>235.18110146864404</v>
      </c>
      <c r="X112" s="4">
        <f>Planet(Panchanga!$E112,3)</f>
        <v>39.460933614419758</v>
      </c>
      <c r="Y112" s="4">
        <f>Planet(Panchanga!$E112,6)</f>
        <v>265.00407638682827</v>
      </c>
      <c r="Z112" s="4">
        <f>Planet(Panchanga!$E112,10)</f>
        <v>84.864174289263204</v>
      </c>
      <c r="AA112" s="4" t="str">
        <f>TEXT(Panchanga!$C112+($C113-Panchanga!$C112)/ABS(IF($P113&lt;1,$P113+30,$P113)-Panchanga!$P112)*(ROUNDUP(Panchanga!$P112,0)-Panchanga!$P112),"hh:mm AM/PM")</f>
        <v>06:29 PM</v>
      </c>
      <c r="AB112" s="4"/>
    </row>
    <row r="113" spans="1:28" x14ac:dyDescent="0.2">
      <c r="A113" s="3">
        <f t="shared" si="29"/>
        <v>43629</v>
      </c>
      <c r="B113" s="3">
        <f t="shared" si="23"/>
        <v>43629.229166666664</v>
      </c>
      <c r="C113" s="15">
        <f t="shared" si="24"/>
        <v>43629.23828495216</v>
      </c>
      <c r="D113" s="15">
        <f t="shared" si="25"/>
        <v>43628.774894535585</v>
      </c>
      <c r="E113" s="17">
        <f>Panchanga!$C113-TimeZone/24</f>
        <v>43629.009118285496</v>
      </c>
      <c r="F113" s="18" t="str">
        <f>INT(P[Sun]/30)&amp;"s"&amp;ROUNDUP(MOD(P[Sun],30),2)</f>
        <v>1s27.62</v>
      </c>
      <c r="G113" s="18" t="str">
        <f>INT(P[Moon]/30)&amp;"s"&amp;ROUNDUP(MOD(P[Moon],30),2)</f>
        <v>6s3.68</v>
      </c>
      <c r="H113" s="14">
        <f t="shared" si="28"/>
        <v>43629.009118285496</v>
      </c>
      <c r="I113" s="4" t="str">
        <f>naks(P[[#This Row],[Moon]])</f>
        <v>Chitra</v>
      </c>
      <c r="J113" s="15">
        <f>(C114-P[[#This Row],[SunRise]])/(T114-P[[#This Row],[Moon]])*(13.3333333333333-MOD(P[[#This Row],[Moon]],13.333333333333))+P[[#This Row],[SunRise]]</f>
        <v>43629.455769524175</v>
      </c>
      <c r="K113" s="4" t="str">
        <f>IF(Panchanga!$P113&gt;15,"K","S")&amp;ROUNDUP(MOD(Panchanga!$P113,15),0)&amp;" ("&amp;ROUND(Panchanga!$P113,2)&amp;")"</f>
        <v>S11 (10.51)</v>
      </c>
      <c r="L113" s="4">
        <f>IF(AND(Panchanga!$P113&lt;28.5,Panchanga!$P113&gt;0.49999),MOD((Panchanga!$P113-0.5)*2,7),MOD((Panchanga!$P113+30-28.5),30)*2+7)</f>
        <v>6.0106000000000002</v>
      </c>
      <c r="M113" s="4" t="str">
        <f>CHOOSE(ROUNDUP(Panchanga!$L113,0),"Bhava","Baalava","Kaulava","Taitula","Garija","Vanija","Vishti","Shakuni","Chatushapda","Naaga","Kimstugna")</f>
        <v>Vishti</v>
      </c>
      <c r="N113" s="11" t="str">
        <f>CHOOSE(ROUNDUP(Panchanga!$Q113,0),"viṣkambha","prīti","āyuṣmāna","saubhāgya","śobhana","atigaṇḍa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("&amp;Panchanga!$Q113&amp;")"</f>
        <v>parigha (18.1)</v>
      </c>
      <c r="O113" s="4">
        <f>IF(AND(Panchanga!$P113&lt;28.5,Panchanga!$P113&gt;0.49999),MOD((Panchanga!$P113-0.5)*2,7),MOD((Panchanga!$P113+30-28.5),30)*2+7)</f>
        <v>6.0106000000000002</v>
      </c>
      <c r="P113" s="4">
        <f>ROUNDUP(MOD(360+P[Moon]-P[Sun],360)/12,4)</f>
        <v>10.5053</v>
      </c>
      <c r="Q113" s="4">
        <f>ROUNDUP(MOD(P[Sun]+P[Moon],360)/13.333333333,2)</f>
        <v>18.100000000000001</v>
      </c>
      <c r="R113" s="4" t="str">
        <f>SIGN(U114-Panchanga!$U113)*INT(Panchanga!$U113/30+1)&amp;"Ma,"&amp;SIGN(V114-Panchanga!$V113)*INT(Panchanga!$V113/30+1)&amp;"Me,"&amp;SIGN(W114-Panchanga!$W113)*INT(Panchanga!$W113/30+1)&amp;"J, "&amp;SIGN(X114-Panchanga!$X113)*INT(Panchanga!$X113/30+1)&amp;"V,"&amp;SIGN(Y114-Panchanga!$Y113)*INT(Panchanga!$Y113/30+1)&amp;"S,"&amp;INT(Panchanga!$Z113/30+1)&amp;"R"</f>
        <v>3Ma,3Me,-8J, 2V,-9S,3R</v>
      </c>
      <c r="S113" s="4">
        <f t="shared" si="26"/>
        <v>57.615660702078017</v>
      </c>
      <c r="T113" s="4">
        <f t="shared" si="27"/>
        <v>183.67872181665226</v>
      </c>
      <c r="U113" s="4">
        <f>Planet(Panchanga!$E113,4)</f>
        <v>83.787470832798519</v>
      </c>
      <c r="V113" s="4">
        <f>Planet(Panchanga!$E113,2)</f>
        <v>79.647094386691933</v>
      </c>
      <c r="W113" s="4">
        <f>Planet(Panchanga!$E113,5)</f>
        <v>235.05360193673556</v>
      </c>
      <c r="X113" s="4">
        <f>Planet(Panchanga!$E113,3)</f>
        <v>40.679905818222153</v>
      </c>
      <c r="Y113" s="4">
        <f>Planet(Panchanga!$E113,6)</f>
        <v>264.94367016131793</v>
      </c>
      <c r="Z113" s="4">
        <f>Planet(Panchanga!$E113,10)</f>
        <v>84.811177449575311</v>
      </c>
      <c r="AA113" s="4" t="str">
        <f>TEXT(Panchanga!$C113+($C114-Panchanga!$C113)/ABS(IF($P114&lt;1,$P114+30,$P114)-Panchanga!$P113)*(ROUNDUP(Panchanga!$P113,0)-Panchanga!$P113),"hh:mm AM/PM")</f>
        <v>04:51 PM</v>
      </c>
      <c r="AB113" s="4"/>
    </row>
    <row r="114" spans="1:28" x14ac:dyDescent="0.2">
      <c r="A114" s="3">
        <f t="shared" si="29"/>
        <v>43630</v>
      </c>
      <c r="B114" s="3">
        <f t="shared" si="23"/>
        <v>43630.229166666664</v>
      </c>
      <c r="C114" s="15">
        <f t="shared" si="24"/>
        <v>43630.238383816242</v>
      </c>
      <c r="D114" s="15">
        <f t="shared" si="25"/>
        <v>43629.775086224123</v>
      </c>
      <c r="E114" s="17">
        <f>Panchanga!$C114-TimeZone/24</f>
        <v>43630.009217149578</v>
      </c>
      <c r="F114" s="18" t="str">
        <f>INT(P[Sun]/30)&amp;"s"&amp;ROUNDUP(MOD(P[Sun],30),2)</f>
        <v>1s28.58</v>
      </c>
      <c r="G114" s="18" t="str">
        <f>INT(P[Moon]/30)&amp;"s"&amp;ROUNDUP(MOD(P[Moon],30),2)</f>
        <v>6s17.42</v>
      </c>
      <c r="H114" s="14">
        <f t="shared" si="28"/>
        <v>43630.009217149578</v>
      </c>
      <c r="I114" s="4" t="str">
        <f>naks(P[[#This Row],[Moon]])</f>
        <v>Swati</v>
      </c>
      <c r="J114" s="15">
        <f>(C115-P[[#This Row],[SunRise]])/(T115-P[[#This Row],[Moon]])*(13.3333333333333-MOD(P[[#This Row],[Moon]],13.333333333333))+P[[#This Row],[SunRise]]</f>
        <v>43630.429073123814</v>
      </c>
      <c r="K114" s="4" t="str">
        <f>IF(Panchanga!$P114&gt;15,"K","S")&amp;ROUNDUP(MOD(Panchanga!$P114,15),0)&amp;" ("&amp;ROUND(Panchanga!$P114,2)&amp;")"</f>
        <v>S12 (11.57)</v>
      </c>
      <c r="L114" s="4">
        <f>IF(AND(Panchanga!$P114&lt;28.5,Panchanga!$P114&gt;0.49999),MOD((Panchanga!$P114-0.5)*2,7),MOD((Panchanga!$P114+30-28.5),30)*2+7)</f>
        <v>1.1414000000000009</v>
      </c>
      <c r="M114" s="4" t="str">
        <f>CHOOSE(ROUNDUP(Panchanga!$L114,0),"Bhava","Baalava","Kaulava","Taitula","Garija","Vanija","Vishti","Shakuni","Chatushapda","Naaga","Kimstugna")</f>
        <v>Baalava</v>
      </c>
      <c r="N114" s="11" t="str">
        <f>CHOOSE(ROUNDUP(Panchanga!$Q114,0),"viṣkambha","prīti","āyuṣmāna","saubhāgya","śobhana","atigaṇḍa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("&amp;Panchanga!$Q114&amp;")"</f>
        <v>śiva (19.2)</v>
      </c>
      <c r="O114" s="4">
        <f>IF(AND(Panchanga!$P114&lt;28.5,Panchanga!$P114&gt;0.49999),MOD((Panchanga!$P114-0.5)*2,7),MOD((Panchanga!$P114+30-28.5),30)*2+7)</f>
        <v>1.1414000000000009</v>
      </c>
      <c r="P114" s="4">
        <f>ROUNDUP(MOD(360+P[Moon]-P[Sun],360)/12,4)</f>
        <v>11.5707</v>
      </c>
      <c r="Q114" s="4">
        <f>ROUNDUP(MOD(P[Sun]+P[Moon],360)/13.333333333,2)</f>
        <v>19.200000000000003</v>
      </c>
      <c r="R114" s="4" t="str">
        <f>SIGN(U115-Panchanga!$U114)*INT(Panchanga!$U114/30+1)&amp;"Ma,"&amp;SIGN(V115-Panchanga!$V114)*INT(Panchanga!$V114/30+1)&amp;"Me,"&amp;SIGN(W115-Panchanga!$W114)*INT(Panchanga!$W114/30+1)&amp;"J, "&amp;SIGN(X115-Panchanga!$X114)*INT(Panchanga!$X114/30+1)&amp;"V,"&amp;SIGN(Y115-Panchanga!$Y114)*INT(Panchanga!$Y114/30+1)&amp;"S,"&amp;INT(Panchanga!$Z114/30+1)&amp;"R"</f>
        <v>3Ma,3Me,-8J, 2V,-9S,3R</v>
      </c>
      <c r="S114" s="4">
        <f t="shared" si="26"/>
        <v>58.570997392192311</v>
      </c>
      <c r="T114" s="4">
        <f t="shared" si="27"/>
        <v>197.41873207476658</v>
      </c>
      <c r="U114" s="4">
        <f>Planet(Panchanga!$E114,4)</f>
        <v>84.426551495428697</v>
      </c>
      <c r="V114" s="4">
        <f>Planet(Panchanga!$E114,2)</f>
        <v>81.126463539242451</v>
      </c>
      <c r="W114" s="4">
        <f>Planet(Panchanga!$E114,5)</f>
        <v>234.92630409187024</v>
      </c>
      <c r="X114" s="4">
        <f>Planet(Panchanga!$E114,3)</f>
        <v>41.8990519393939</v>
      </c>
      <c r="Y114" s="4">
        <f>Planet(Panchanga!$E114,6)</f>
        <v>264.88234522207551</v>
      </c>
      <c r="Z114" s="4">
        <f>Planet(Panchanga!$E114,10)</f>
        <v>84.758180214028329</v>
      </c>
      <c r="AA114" s="4" t="str">
        <f>TEXT(Panchanga!$C114+($C115-Panchanga!$C114)/ABS(IF($P115&lt;1,$P115+30,$P115)-Panchanga!$P114)*(ROUNDUP(Panchanga!$P114,0)-Panchanga!$P114),"hh:mm AM/PM")</f>
        <v>03:32 PM</v>
      </c>
      <c r="AB114" s="4"/>
    </row>
    <row r="115" spans="1:28" x14ac:dyDescent="0.2">
      <c r="A115" s="3">
        <f t="shared" si="29"/>
        <v>43631</v>
      </c>
      <c r="B115" s="3">
        <f t="shared" si="23"/>
        <v>43631.229166666664</v>
      </c>
      <c r="C115" s="15">
        <f t="shared" si="24"/>
        <v>43631.238489674091</v>
      </c>
      <c r="D115" s="15">
        <f t="shared" si="25"/>
        <v>43630.775273939173</v>
      </c>
      <c r="E115" s="17">
        <f>Panchanga!$C115-TimeZone/24</f>
        <v>43631.009323007427</v>
      </c>
      <c r="F115" s="18" t="str">
        <f>INT(P[Sun]/30)&amp;"s"&amp;ROUNDUP(MOD(P[Sun],30),2)</f>
        <v>1s29.53</v>
      </c>
      <c r="G115" s="18" t="str">
        <f>INT(P[Moon]/30)&amp;"s"&amp;ROUNDUP(MOD(P[Moon],30),2)</f>
        <v>7s0.96</v>
      </c>
      <c r="H115" s="14">
        <f t="shared" si="28"/>
        <v>43631.009323007427</v>
      </c>
      <c r="I115" s="4" t="str">
        <f>naks(P[[#This Row],[Moon]])</f>
        <v>Visakha</v>
      </c>
      <c r="J115" s="15">
        <f>(C116-P[[#This Row],[SunRise]])/(T116-P[[#This Row],[Moon]])*(13.3333333333333-MOD(P[[#This Row],[Moon]],13.333333333333))+P[[#This Row],[SunRise]]</f>
        <v>43631.417099063088</v>
      </c>
      <c r="K115" s="4" t="str">
        <f>IF(Panchanga!$P115&gt;15,"K","S")&amp;ROUNDUP(MOD(Panchanga!$P115,15),0)&amp;" ("&amp;ROUND(Panchanga!$P115,2)&amp;")"</f>
        <v>S13 (12.62)</v>
      </c>
      <c r="L115" s="4">
        <f>IF(AND(Panchanga!$P115&lt;28.5,Panchanga!$P115&gt;0.49999),MOD((Panchanga!$P115-0.5)*2,7),MOD((Panchanga!$P115+30-28.5),30)*2+7)</f>
        <v>3.2385999999999981</v>
      </c>
      <c r="M115" s="4" t="str">
        <f>CHOOSE(ROUNDUP(Panchanga!$L115,0),"Bhava","Baalava","Kaulava","Taitula","Garija","Vanija","Vishti","Shakuni","Chatushapda","Naaga","Kimstugna")</f>
        <v>Taitula</v>
      </c>
      <c r="N115" s="11" t="str">
        <f>CHOOSE(ROUNDUP(Panchanga!$Q115,0),"viṣkambha","prīti","āyuṣmāna","saubhāgya","śobhana","atigaṇḍa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("&amp;Panchanga!$Q115&amp;")"</f>
        <v>siddha (20.29)</v>
      </c>
      <c r="O115" s="4">
        <f>IF(AND(Panchanga!$P115&lt;28.5,Panchanga!$P115&gt;0.49999),MOD((Panchanga!$P115-0.5)*2,7),MOD((Panchanga!$P115+30-28.5),30)*2+7)</f>
        <v>3.2385999999999981</v>
      </c>
      <c r="P115" s="4">
        <f>ROUNDUP(MOD(360+P[Moon]-P[Sun],360)/12,4)</f>
        <v>12.619299999999999</v>
      </c>
      <c r="Q115" s="4">
        <f>ROUNDUP(MOD(P[Sun]+P[Moon],360)/13.333333333,2)</f>
        <v>20.290000000000003</v>
      </c>
      <c r="R115" s="4" t="str">
        <f>SIGN(U116-Panchanga!$U115)*INT(Panchanga!$U115/30+1)&amp;"Ma,"&amp;SIGN(V116-Panchanga!$V115)*INT(Panchanga!$V115/30+1)&amp;"Me,"&amp;SIGN(W116-Panchanga!$W115)*INT(Panchanga!$W115/30+1)&amp;"J, "&amp;SIGN(X116-Panchanga!$X115)*INT(Panchanga!$X115/30+1)&amp;"V,"&amp;SIGN(Y116-Panchanga!$Y115)*INT(Panchanga!$Y115/30+1)&amp;"S,"&amp;INT(Panchanga!$Z115/30+1)&amp;"R"</f>
        <v>3Ma,3Me,-8J, 2V,-9S,3R</v>
      </c>
      <c r="S115" s="4">
        <f t="shared" si="26"/>
        <v>59.526095472322595</v>
      </c>
      <c r="T115" s="4">
        <f t="shared" si="27"/>
        <v>210.95667610279583</v>
      </c>
      <c r="U115" s="4">
        <f>Planet(Panchanga!$E115,4)</f>
        <v>85.065407121924082</v>
      </c>
      <c r="V115" s="4">
        <f>Planet(Panchanga!$E115,2)</f>
        <v>82.559619574148797</v>
      </c>
      <c r="W115" s="4">
        <f>Planet(Panchanga!$E115,5)</f>
        <v>234.79929330995381</v>
      </c>
      <c r="X115" s="4">
        <f>Planet(Panchanga!$E115,3)</f>
        <v>43.118384853806958</v>
      </c>
      <c r="Y115" s="4">
        <f>Planet(Panchanga!$E115,6)</f>
        <v>264.8201307225994</v>
      </c>
      <c r="Z115" s="4">
        <f>Planet(Panchanga!$E115,10)</f>
        <v>84.70518260790621</v>
      </c>
      <c r="AA115" s="4" t="str">
        <f>TEXT(Panchanga!$C115+($C116-Panchanga!$C115)/ABS(IF($P116&lt;1,$P116+30,$P116)-Panchanga!$P115)*(ROUNDUP(Panchanga!$P115,0)-Panchanga!$P115),"hh:mm AM/PM")</f>
        <v>02:36 PM</v>
      </c>
      <c r="AB115" s="4"/>
    </row>
    <row r="116" spans="1:28" x14ac:dyDescent="0.2">
      <c r="A116" s="3">
        <f t="shared" si="29"/>
        <v>43632</v>
      </c>
      <c r="B116" s="3">
        <f t="shared" si="23"/>
        <v>43632.229166666664</v>
      </c>
      <c r="C116" s="15">
        <f t="shared" si="24"/>
        <v>43632.238602366451</v>
      </c>
      <c r="D116" s="15">
        <f t="shared" si="25"/>
        <v>43631.775457521479</v>
      </c>
      <c r="E116" s="17">
        <f>Panchanga!$C116-TimeZone/24</f>
        <v>43632.009435699787</v>
      </c>
      <c r="F116" s="18" t="str">
        <f>INT(P[Sun]/30)&amp;"s"&amp;ROUNDUP(MOD(P[Sun],30),2)</f>
        <v>2s0.49</v>
      </c>
      <c r="G116" s="18" t="str">
        <f>INT(P[Moon]/30)&amp;"s"&amp;ROUNDUP(MOD(P[Moon],30),2)</f>
        <v>7s14.27</v>
      </c>
      <c r="H116" s="14">
        <f t="shared" si="28"/>
        <v>43632.009435699787</v>
      </c>
      <c r="I116" s="4" t="str">
        <f>naks(P[[#This Row],[Moon]])</f>
        <v>Anuradha</v>
      </c>
      <c r="J116" s="15">
        <f>(C117-P[[#This Row],[SunRise]])/(T117-P[[#This Row],[Moon]])*(13.3333333333333-MOD(P[[#This Row],[Moon]],13.333333333333))+P[[#This Row],[SunRise]]</f>
        <v>43632.42257766195</v>
      </c>
      <c r="K116" s="4" t="str">
        <f>IF(Panchanga!$P116&gt;15,"K","S")&amp;ROUNDUP(MOD(Panchanga!$P116,15),0)&amp;" ("&amp;ROUND(Panchanga!$P116,2)&amp;")"</f>
        <v>S14 (13.65)</v>
      </c>
      <c r="L116" s="4">
        <f>IF(AND(Panchanga!$P116&lt;28.5,Panchanga!$P116&gt;0.49999),MOD((Panchanga!$P116-0.5)*2,7),MOD((Panchanga!$P116+30-28.5),30)*2+7)</f>
        <v>5.2973999999999997</v>
      </c>
      <c r="M116" s="4" t="str">
        <f>CHOOSE(ROUNDUP(Panchanga!$L116,0),"Bhava","Baalava","Kaulava","Taitula","Garija","Vanija","Vishti","Shakuni","Chatushapda","Naaga","Kimstugna")</f>
        <v>Vanija</v>
      </c>
      <c r="N116" s="11" t="str">
        <f>CHOOSE(ROUNDUP(Panchanga!$Q116,0),"viṣkambha","prīti","āyuṣmāna","saubhāgya","śobhana","atigaṇḍa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("&amp;Panchanga!$Q116&amp;")"</f>
        <v>sādhya (21.36)</v>
      </c>
      <c r="O116" s="4">
        <f>IF(AND(Panchanga!$P116&lt;28.5,Panchanga!$P116&gt;0.49999),MOD((Panchanga!$P116-0.5)*2,7),MOD((Panchanga!$P116+30-28.5),30)*2+7)</f>
        <v>5.2973999999999997</v>
      </c>
      <c r="P116" s="4">
        <f>ROUNDUP(MOD(360+P[Moon]-P[Sun],360)/12,4)</f>
        <v>13.6487</v>
      </c>
      <c r="Q116" s="4">
        <f>ROUNDUP(MOD(P[Sun]+P[Moon],360)/13.333333333,2)</f>
        <v>21.360000000000003</v>
      </c>
      <c r="R116" s="4" t="str">
        <f>SIGN(U117-Panchanga!$U116)*INT(Panchanga!$U116/30+1)&amp;"Ma,"&amp;SIGN(V117-Panchanga!$V116)*INT(Panchanga!$V116/30+1)&amp;"Me,"&amp;SIGN(W117-Panchanga!$W116)*INT(Panchanga!$W116/30+1)&amp;"J, "&amp;SIGN(X117-Panchanga!$X116)*INT(Panchanga!$X116/30+1)&amp;"V,"&amp;SIGN(Y117-Panchanga!$Y116)*INT(Panchanga!$Y116/30+1)&amp;"S,"&amp;INT(Panchanga!$Z116/30+1)&amp;"R"</f>
        <v>3Ma,3Me,-8J, 2V,-9S,3R</v>
      </c>
      <c r="S116" s="4">
        <f t="shared" si="26"/>
        <v>60.480978810356476</v>
      </c>
      <c r="T116" s="4">
        <f t="shared" si="27"/>
        <v>224.26462746536527</v>
      </c>
      <c r="U116" s="4">
        <f>Planet(Panchanga!$E116,4)</f>
        <v>85.704046174144864</v>
      </c>
      <c r="V116" s="4">
        <f>Planet(Panchanga!$E116,2)</f>
        <v>83.946065757785306</v>
      </c>
      <c r="W116" s="4">
        <f>Planet(Panchanga!$E116,5)</f>
        <v>234.67265393192883</v>
      </c>
      <c r="X116" s="4">
        <f>Planet(Panchanga!$E116,3)</f>
        <v>44.337918382562997</v>
      </c>
      <c r="Y116" s="4">
        <f>Planet(Panchanga!$E116,6)</f>
        <v>264.75705576478117</v>
      </c>
      <c r="Z116" s="4">
        <f>Planet(Panchanga!$E116,10)</f>
        <v>84.65218463957622</v>
      </c>
      <c r="AA116" s="4" t="str">
        <f>TEXT(Panchanga!$C116+($C117-Panchanga!$C116)/ABS(IF($P117&lt;1,$P117+30,$P117)-Panchanga!$P116)*(ROUNDUP(Panchanga!$P116,0)-Panchanga!$P116),"hh:mm AM/PM")</f>
        <v>02:05 PM</v>
      </c>
      <c r="AB116" s="4"/>
    </row>
    <row r="117" spans="1:28" x14ac:dyDescent="0.2">
      <c r="A117" s="3">
        <f t="shared" si="29"/>
        <v>43633</v>
      </c>
      <c r="B117" s="3">
        <f t="shared" si="23"/>
        <v>43633.229166666664</v>
      </c>
      <c r="C117" s="15">
        <f t="shared" si="24"/>
        <v>43633.238721734997</v>
      </c>
      <c r="D117" s="15">
        <f t="shared" si="25"/>
        <v>43632.77563665346</v>
      </c>
      <c r="E117" s="17">
        <f>Panchanga!$C117-TimeZone/24</f>
        <v>43633.009555068333</v>
      </c>
      <c r="F117" s="18" t="str">
        <f>INT(P[Sun]/30)&amp;"s"&amp;ROUNDUP(MOD(P[Sun],30),2)</f>
        <v>2s1.44</v>
      </c>
      <c r="G117" s="18" t="str">
        <f>INT(P[Moon]/30)&amp;"s"&amp;ROUNDUP(MOD(P[Moon],30),2)</f>
        <v>7s27.33</v>
      </c>
      <c r="H117" s="14">
        <f t="shared" si="28"/>
        <v>43633.009555068333</v>
      </c>
      <c r="I117" s="4" t="str">
        <f>naks(P[[#This Row],[Moon]])</f>
        <v>Jyestha</v>
      </c>
      <c r="J117" s="15">
        <f>(C118-P[[#This Row],[SunRise]])/(T118-P[[#This Row],[Moon]])*(13.3333333333333-MOD(P[[#This Row],[Moon]],13.333333333333))+P[[#This Row],[SunRise]]</f>
        <v>43633.447943255705</v>
      </c>
      <c r="K117" s="4" t="str">
        <f>IF(Panchanga!$P117&gt;15,"K","S")&amp;ROUNDUP(MOD(Panchanga!$P117,15),0)&amp;" ("&amp;ROUND(Panchanga!$P117,2)&amp;")"</f>
        <v>S15 (14.66)</v>
      </c>
      <c r="L117" s="4">
        <f>IF(AND(Panchanga!$P117&lt;28.5,Panchanga!$P117&gt;0.49999),MOD((Panchanga!$P117-0.5)*2,7),MOD((Panchanga!$P117+30-28.5),30)*2+7)</f>
        <v>0.31459999999999866</v>
      </c>
      <c r="M117" s="4" t="str">
        <f>CHOOSE(ROUNDUP(Panchanga!$L117,0),"Bhava","Baalava","Kaulava","Taitula","Garija","Vanija","Vishti","Shakuni","Chatushapda","Naaga","Kimstugna")</f>
        <v>Bhava</v>
      </c>
      <c r="N117" s="11" t="str">
        <f>CHOOSE(ROUNDUP(Panchanga!$Q117,0),"viṣkambha","prīti","āyuṣmāna","saubhāgya","śobhana","atigaṇḍa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("&amp;Panchanga!$Q117&amp;")"</f>
        <v>śubha (22.41)</v>
      </c>
      <c r="O117" s="4">
        <f>IF(AND(Panchanga!$P117&lt;28.5,Panchanga!$P117&gt;0.49999),MOD((Panchanga!$P117-0.5)*2,7),MOD((Panchanga!$P117+30-28.5),30)*2+7)</f>
        <v>0.31459999999999866</v>
      </c>
      <c r="P117" s="4">
        <f>ROUNDUP(MOD(360+P[Moon]-P[Sun],360)/12,4)</f>
        <v>14.657299999999999</v>
      </c>
      <c r="Q117" s="4">
        <f>ROUNDUP(MOD(P[Sun]+P[Moon],360)/13.333333333,2)</f>
        <v>22.41</v>
      </c>
      <c r="R117" s="4" t="str">
        <f>SIGN(U118-Panchanga!$U117)*INT(Panchanga!$U117/30+1)&amp;"Ma,"&amp;SIGN(V118-Panchanga!$V117)*INT(Panchanga!$V117/30+1)&amp;"Me,"&amp;SIGN(W118-Panchanga!$W117)*INT(Panchanga!$W117/30+1)&amp;"J, "&amp;SIGN(X118-Panchanga!$X117)*INT(Panchanga!$X117/30+1)&amp;"V,"&amp;SIGN(Y118-Panchanga!$Y117)*INT(Panchanga!$Y117/30+1)&amp;"S,"&amp;INT(Panchanga!$Z117/30+1)&amp;"R"</f>
        <v>3Ma,3Me,-8J, 2V,-9S,3R</v>
      </c>
      <c r="S117" s="4">
        <f t="shared" si="26"/>
        <v>61.435672530534312</v>
      </c>
      <c r="T117" s="4">
        <f t="shared" si="27"/>
        <v>237.32249984275774</v>
      </c>
      <c r="U117" s="4">
        <f>Planet(Panchanga!$E117,4)</f>
        <v>86.342478359233354</v>
      </c>
      <c r="V117" s="4">
        <f>Planet(Panchanga!$E117,2)</f>
        <v>85.285226148815624</v>
      </c>
      <c r="W117" s="4">
        <f>Planet(Panchanga!$E117,5)</f>
        <v>234.54646955674312</v>
      </c>
      <c r="X117" s="4">
        <f>Planet(Panchanga!$E117,3)</f>
        <v>45.557666308892252</v>
      </c>
      <c r="Y117" s="4">
        <f>Planet(Panchanga!$E117,6)</f>
        <v>264.69314951046965</v>
      </c>
      <c r="Z117" s="4">
        <f>Planet(Panchanga!$E117,10)</f>
        <v>84.599186317505058</v>
      </c>
      <c r="AA117" s="4" t="str">
        <f>TEXT(Panchanga!$C117+($C118-Panchanga!$C117)/ABS(IF($P118&lt;1,$P118+30,$P118)-Panchanga!$P117)*(ROUNDUP(Panchanga!$P117,0)-Panchanga!$P117),"hh:mm AM/PM")</f>
        <v>02:03 PM</v>
      </c>
      <c r="AB117" s="4"/>
    </row>
    <row r="118" spans="1:28" x14ac:dyDescent="0.2">
      <c r="A118" s="3">
        <f t="shared" si="29"/>
        <v>43634</v>
      </c>
      <c r="B118" s="3">
        <f t="shared" si="23"/>
        <v>43634.229166666664</v>
      </c>
      <c r="C118" s="15">
        <f t="shared" si="24"/>
        <v>43634.238847620007</v>
      </c>
      <c r="D118" s="15">
        <f t="shared" si="25"/>
        <v>43633.77581133465</v>
      </c>
      <c r="E118" s="17">
        <f>Panchanga!$C118-TimeZone/24</f>
        <v>43634.009680953342</v>
      </c>
      <c r="F118" s="18" t="str">
        <f>INT(P[Sun]/30)&amp;"s"&amp;ROUNDUP(MOD(P[Sun],30),2)</f>
        <v>2s2.4</v>
      </c>
      <c r="G118" s="18" t="str">
        <f>INT(P[Moon]/30)&amp;"s"&amp;ROUNDUP(MOD(P[Moon],30),2)</f>
        <v>8s10.13</v>
      </c>
      <c r="H118" s="14">
        <f t="shared" si="28"/>
        <v>43634.009680953342</v>
      </c>
      <c r="I118" s="4" t="str">
        <f>naks(P[[#This Row],[Moon]])</f>
        <v>Moola</v>
      </c>
      <c r="J118" s="15">
        <f>(C119-P[[#This Row],[SunRise]])/(T119-P[[#This Row],[Moon]])*(13.3333333333333-MOD(P[[#This Row],[Moon]],13.333333333333))+P[[#This Row],[SunRise]]</f>
        <v>43634.49489597213</v>
      </c>
      <c r="K118" s="4" t="str">
        <f>IF(Panchanga!$P118&gt;15,"K","S")&amp;ROUNDUP(MOD(Panchanga!$P118,15),0)&amp;" ("&amp;ROUND(Panchanga!$P118,2)&amp;")"</f>
        <v>K1 (15.64)</v>
      </c>
      <c r="L118" s="4">
        <f>IF(AND(Panchanga!$P118&lt;28.5,Panchanga!$P118&gt;0.49999),MOD((Panchanga!$P118-0.5)*2,7),MOD((Panchanga!$P118+30-28.5),30)*2+7)</f>
        <v>2.2885999999999989</v>
      </c>
      <c r="M118" s="4" t="str">
        <f>CHOOSE(ROUNDUP(Panchanga!$L118,0),"Bhava","Baalava","Kaulava","Taitula","Garija","Vanija","Vishti","Shakuni","Chatushapda","Naaga","Kimstugna")</f>
        <v>Kaulava</v>
      </c>
      <c r="N118" s="11" t="str">
        <f>CHOOSE(ROUNDUP(Panchanga!$Q118,0),"viṣkambha","prīti","āyuṣmāna","saubhāgya","śobhana","atigaṇḍa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("&amp;Panchanga!$Q118&amp;")"</f>
        <v>śukla (23.44)</v>
      </c>
      <c r="O118" s="4">
        <f>IF(AND(Panchanga!$P118&lt;28.5,Panchanga!$P118&gt;0.49999),MOD((Panchanga!$P118-0.5)*2,7),MOD((Panchanga!$P118+30-28.5),30)*2+7)</f>
        <v>2.2885999999999989</v>
      </c>
      <c r="P118" s="4">
        <f>ROUNDUP(MOD(360+P[Moon]-P[Sun],360)/12,4)</f>
        <v>15.644299999999999</v>
      </c>
      <c r="Q118" s="4">
        <f>ROUNDUP(MOD(P[Sun]+P[Moon],360)/13.333333333,2)</f>
        <v>23.44</v>
      </c>
      <c r="R118" s="4" t="str">
        <f>SIGN(U119-Panchanga!$U118)*INT(Panchanga!$U118/30+1)&amp;"Ma,"&amp;SIGN(V119-Panchanga!$V118)*INT(Panchanga!$V118/30+1)&amp;"Me,"&amp;SIGN(W119-Panchanga!$W118)*INT(Panchanga!$W118/30+1)&amp;"J, "&amp;SIGN(X119-Panchanga!$X118)*INT(Panchanga!$X118/30+1)&amp;"V,"&amp;SIGN(Y119-Panchanga!$Y118)*INT(Panchanga!$Y118/30+1)&amp;"S,"&amp;INT(Panchanga!$Z118/30+1)&amp;"R"</f>
        <v>3Ma,3Me,-8J, 2V,-9S,3R</v>
      </c>
      <c r="S118" s="4">
        <f t="shared" si="26"/>
        <v>62.390201974344535</v>
      </c>
      <c r="T118" s="4">
        <f t="shared" si="27"/>
        <v>250.12155227908792</v>
      </c>
      <c r="U118" s="4">
        <f>Planet(Panchanga!$E118,4)</f>
        <v>86.980714203103389</v>
      </c>
      <c r="V118" s="4">
        <f>Planet(Panchanga!$E118,2)</f>
        <v>86.576432899131561</v>
      </c>
      <c r="W118" s="4">
        <f>Planet(Panchanga!$E118,5)</f>
        <v>234.42082330434394</v>
      </c>
      <c r="X118" s="4">
        <f>Planet(Panchanga!$E118,3)</f>
        <v>46.777641814014835</v>
      </c>
      <c r="Y118" s="4">
        <f>Planet(Panchanga!$E118,6)</f>
        <v>264.62844130774937</v>
      </c>
      <c r="Z118" s="4">
        <f>Planet(Panchanga!$E118,10)</f>
        <v>84.546187650093046</v>
      </c>
      <c r="AA118" s="4" t="str">
        <f>TEXT(Panchanga!$C118+($C119-Panchanga!$C118)/ABS(IF($P119&lt;1,$P119+30,$P119)-Panchanga!$P118)*(ROUNDUP(Panchanga!$P118,0)-Panchanga!$P118),"hh:mm AM/PM")</f>
        <v>02:34 PM</v>
      </c>
      <c r="AB118" s="4"/>
    </row>
    <row r="119" spans="1:28" x14ac:dyDescent="0.2">
      <c r="A119" s="3">
        <f t="shared" si="29"/>
        <v>43635</v>
      </c>
      <c r="B119" s="3">
        <f t="shared" si="23"/>
        <v>43635.229166666664</v>
      </c>
      <c r="C119" s="15">
        <f t="shared" si="24"/>
        <v>43635.23897986269</v>
      </c>
      <c r="D119" s="15">
        <f t="shared" si="25"/>
        <v>43634.775981088678</v>
      </c>
      <c r="E119" s="17">
        <f>Panchanga!$C119-TimeZone/24</f>
        <v>43635.009813196026</v>
      </c>
      <c r="F119" s="18" t="str">
        <f>INT(P[Sun]/30)&amp;"s"&amp;ROUNDUP(MOD(P[Sun],30),2)</f>
        <v>2s3.35</v>
      </c>
      <c r="G119" s="18" t="str">
        <f>INT(P[Moon]/30)&amp;"s"&amp;ROUNDUP(MOD(P[Moon],30),2)</f>
        <v>8s22.67</v>
      </c>
      <c r="H119" s="14">
        <f t="shared" si="28"/>
        <v>43635.009813196026</v>
      </c>
      <c r="I119" s="4" t="str">
        <f>naks(P[[#This Row],[Moon]])</f>
        <v>Purva Asadha</v>
      </c>
      <c r="J119" s="15">
        <f>(C120-P[[#This Row],[SunRise]])/(T120-P[[#This Row],[Moon]])*(13.3333333333333-MOD(P[[#This Row],[Moon]],13.333333333333))+P[[#This Row],[SunRise]]</f>
        <v>43635.563903241178</v>
      </c>
      <c r="K119" s="4" t="str">
        <f>IF(Panchanga!$P119&gt;15,"K","S")&amp;ROUNDUP(MOD(Panchanga!$P119,15),0)&amp;" ("&amp;ROUND(Panchanga!$P119,2)&amp;")"</f>
        <v>K2 (16.61)</v>
      </c>
      <c r="L119" s="4">
        <f>IF(AND(Panchanga!$P119&lt;28.5,Panchanga!$P119&gt;0.49999),MOD((Panchanga!$P119-0.5)*2,7),MOD((Panchanga!$P119+30-28.5),30)*2+7)</f>
        <v>4.2203999999999979</v>
      </c>
      <c r="M119" s="4" t="str">
        <f>CHOOSE(ROUNDUP(Panchanga!$L119,0),"Bhava","Baalava","Kaulava","Taitula","Garija","Vanija","Vishti","Shakuni","Chatushapda","Naaga","Kimstugna")</f>
        <v>Garija</v>
      </c>
      <c r="N119" s="11" t="str">
        <f>CHOOSE(ROUNDUP(Panchanga!$Q119,0),"viṣkambha","prīti","āyuṣmāna","saubhāgya","śobhana","atigaṇḍa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("&amp;Panchanga!$Q119&amp;")"</f>
        <v>brahma (24.46)</v>
      </c>
      <c r="O119" s="4">
        <f>IF(AND(Panchanga!$P119&lt;28.5,Panchanga!$P119&gt;0.49999),MOD((Panchanga!$P119-0.5)*2,7),MOD((Panchanga!$P119+30-28.5),30)*2+7)</f>
        <v>4.2203999999999979</v>
      </c>
      <c r="P119" s="4">
        <f>ROUNDUP(MOD(360+P[Moon]-P[Sun],360)/12,4)</f>
        <v>16.610199999999999</v>
      </c>
      <c r="Q119" s="4">
        <f>ROUNDUP(MOD(P[Sun]+P[Moon],360)/13.333333333,2)</f>
        <v>24.46</v>
      </c>
      <c r="R119" s="4" t="str">
        <f>SIGN(U120-Panchanga!$U119)*INT(Panchanga!$U119/30+1)&amp;"Ma,"&amp;SIGN(V120-Panchanga!$V119)*INT(Panchanga!$V119/30+1)&amp;"Me,"&amp;SIGN(W120-Panchanga!$W119)*INT(Panchanga!$W119/30+1)&amp;"J, "&amp;SIGN(X120-Panchanga!$X119)*INT(Panchanga!$X119/30+1)&amp;"V,"&amp;SIGN(Y120-Panchanga!$Y119)*INT(Panchanga!$Y119/30+1)&amp;"S,"&amp;INT(Panchanga!$Z119/30+1)&amp;"R"</f>
        <v>3Ma,3Me,-8J, 2V,-9S,3R</v>
      </c>
      <c r="S119" s="4">
        <f t="shared" si="26"/>
        <v>63.344591754447258</v>
      </c>
      <c r="T119" s="4">
        <f t="shared" si="27"/>
        <v>262.6668616400421</v>
      </c>
      <c r="U119" s="4">
        <f>Planet(Panchanga!$E119,4)</f>
        <v>87.618764599254845</v>
      </c>
      <c r="V119" s="4">
        <f>Planet(Panchanga!$E119,2)</f>
        <v>87.818915636703252</v>
      </c>
      <c r="W119" s="4">
        <f>Planet(Panchanga!$E119,5)</f>
        <v>234.29579804191349</v>
      </c>
      <c r="X119" s="4">
        <f>Planet(Panchanga!$E119,3)</f>
        <v>47.997857025048269</v>
      </c>
      <c r="Y119" s="4">
        <f>Planet(Panchanga!$E119,6)</f>
        <v>264.56296082855721</v>
      </c>
      <c r="Z119" s="4">
        <f>Planet(Panchanga!$E119,10)</f>
        <v>84.493188645757286</v>
      </c>
      <c r="AA119" s="4" t="str">
        <f>TEXT(Panchanga!$C119+($C120-Panchanga!$C119)/ABS(IF($P120&lt;1,$P120+30,$P120)-Panchanga!$P119)*(ROUNDUP(Panchanga!$P119,0)-Panchanga!$P119),"hh:mm AM/PM")</f>
        <v>03:37 PM</v>
      </c>
      <c r="AB119" s="4"/>
    </row>
    <row r="120" spans="1:28" x14ac:dyDescent="0.2">
      <c r="A120" s="3">
        <f t="shared" si="29"/>
        <v>43636</v>
      </c>
      <c r="B120" s="3">
        <f t="shared" si="23"/>
        <v>43636.229166666664</v>
      </c>
      <c r="C120" s="15">
        <f t="shared" si="24"/>
        <v>43636.239117986675</v>
      </c>
      <c r="D120" s="15">
        <f t="shared" si="25"/>
        <v>43635.776145756288</v>
      </c>
      <c r="E120" s="17">
        <f>Panchanga!$C120-TimeZone/24</f>
        <v>43636.009951320011</v>
      </c>
      <c r="F120" s="18" t="str">
        <f>INT(P[Sun]/30)&amp;"s"&amp;ROUNDUP(MOD(P[Sun],30),2)</f>
        <v>2s4.3</v>
      </c>
      <c r="G120" s="18" t="str">
        <f>INT(P[Moon]/30)&amp;"s"&amp;ROUNDUP(MOD(P[Moon],30),2)</f>
        <v>9s4.98</v>
      </c>
      <c r="H120" s="14">
        <f t="shared" si="28"/>
        <v>43636.009951320011</v>
      </c>
      <c r="I120" s="4" t="str">
        <f>naks(P[[#This Row],[Moon]])</f>
        <v>Uttara Asadha</v>
      </c>
      <c r="J120" s="15">
        <f>(C121-P[[#This Row],[SunRise]])/(T121-P[[#This Row],[Moon]])*(13.3333333333333-MOD(P[[#This Row],[Moon]],13.333333333333))+P[[#This Row],[SunRise]]</f>
        <v>43636.653719641065</v>
      </c>
      <c r="K120" s="4" t="str">
        <f>IF(Panchanga!$P120&gt;15,"K","S")&amp;ROUNDUP(MOD(Panchanga!$P120,15),0)&amp;" ("&amp;ROUND(Panchanga!$P120,2)&amp;")"</f>
        <v>K3 (17.56)</v>
      </c>
      <c r="L120" s="4">
        <f>IF(AND(Panchanga!$P120&lt;28.5,Panchanga!$P120&gt;0.49999),MOD((Panchanga!$P120-0.5)*2,7),MOD((Panchanga!$P120+30-28.5),30)*2+7)</f>
        <v>6.1133999999999986</v>
      </c>
      <c r="M120" s="4" t="str">
        <f>CHOOSE(ROUNDUP(Panchanga!$L120,0),"Bhava","Baalava","Kaulava","Taitula","Garija","Vanija","Vishti","Shakuni","Chatushapda","Naaga","Kimstugna")</f>
        <v>Vishti</v>
      </c>
      <c r="N120" s="11" t="str">
        <f>CHOOSE(ROUNDUP(Panchanga!$Q120,0),"viṣkambha","prīti","āyuṣmāna","saubhāgya","śobhana","atigaṇḍa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("&amp;Panchanga!$Q120&amp;")"</f>
        <v>mahendra (25.45)</v>
      </c>
      <c r="O120" s="4">
        <f>IF(AND(Panchanga!$P120&lt;28.5,Panchanga!$P120&gt;0.49999),MOD((Panchanga!$P120-0.5)*2,7),MOD((Panchanga!$P120+30-28.5),30)*2+7)</f>
        <v>6.1133999999999986</v>
      </c>
      <c r="P120" s="4">
        <f>ROUNDUP(MOD(360+P[Moon]-P[Sun],360)/12,4)</f>
        <v>17.556699999999999</v>
      </c>
      <c r="Q120" s="4">
        <f>ROUNDUP(MOD(P[Sun]+P[Moon],360)/13.333333333,2)</f>
        <v>25.450000000000003</v>
      </c>
      <c r="R120" s="4" t="str">
        <f>SIGN(U121-Panchanga!$U120)*INT(Panchanga!$U120/30+1)&amp;"Ma,"&amp;SIGN(V121-Panchanga!$V120)*INT(Panchanga!$V120/30+1)&amp;"Me,"&amp;SIGN(W121-Panchanga!$W120)*INT(Panchanga!$W120/30+1)&amp;"J, "&amp;SIGN(X121-Panchanga!$X120)*INT(Panchanga!$X120/30+1)&amp;"V,"&amp;SIGN(Y121-Panchanga!$Y120)*INT(Panchanga!$Y120/30+1)&amp;"S,"&amp;INT(Panchanga!$Z120/30+1)&amp;"R"</f>
        <v>3Ma,3Me,-8J, 2V,-9S,3R</v>
      </c>
      <c r="S120" s="4">
        <f t="shared" si="26"/>
        <v>64.298864747843581</v>
      </c>
      <c r="T120" s="4">
        <f t="shared" si="27"/>
        <v>274.97855652102749</v>
      </c>
      <c r="U120" s="4">
        <f>Planet(Panchanga!$E120,4)</f>
        <v>88.256640204910326</v>
      </c>
      <c r="V120" s="4">
        <f>Planet(Panchanga!$E120,2)</f>
        <v>89.011792508421962</v>
      </c>
      <c r="W120" s="4">
        <f>Planet(Panchanga!$E120,5)</f>
        <v>234.1714765707668</v>
      </c>
      <c r="X120" s="4">
        <f>Planet(Panchanga!$E120,3)</f>
        <v>49.218322354722176</v>
      </c>
      <c r="Y120" s="4">
        <f>Planet(Panchanga!$E120,6)</f>
        <v>264.49673821156989</v>
      </c>
      <c r="Z120" s="4">
        <f>Planet(Panchanga!$E120,10)</f>
        <v>84.440189329798102</v>
      </c>
      <c r="AA120" s="4" t="str">
        <f>TEXT(Panchanga!$C120+($C121-Panchanga!$C120)/ABS(IF($P121&lt;1,$P121+30,$P121)-Panchanga!$P120)*(ROUNDUP(Panchanga!$P120,0)-Panchanga!$P120),"hh:mm AM/PM")</f>
        <v>05:10 PM</v>
      </c>
      <c r="AB120" s="4"/>
    </row>
    <row r="121" spans="1:28" x14ac:dyDescent="0.2">
      <c r="A121" s="3">
        <f t="shared" si="29"/>
        <v>43637</v>
      </c>
      <c r="B121" s="3">
        <f t="shared" si="23"/>
        <v>43637.229166666664</v>
      </c>
      <c r="C121" s="15">
        <f t="shared" si="24"/>
        <v>43637.239261991497</v>
      </c>
      <c r="D121" s="15">
        <f t="shared" si="25"/>
        <v>43636.776305179155</v>
      </c>
      <c r="E121" s="17">
        <f>Panchanga!$C121-TimeZone/24</f>
        <v>43637.010095324833</v>
      </c>
      <c r="F121" s="18" t="str">
        <f>INT(P[Sun]/30)&amp;"s"&amp;ROUNDUP(MOD(P[Sun],30),2)</f>
        <v>2s5.26</v>
      </c>
      <c r="G121" s="18" t="str">
        <f>INT(P[Moon]/30)&amp;"s"&amp;ROUNDUP(MOD(P[Moon],30),2)</f>
        <v>9s17.1</v>
      </c>
      <c r="H121" s="14">
        <f t="shared" si="28"/>
        <v>43637.010095324833</v>
      </c>
      <c r="I121" s="4" t="str">
        <f>naks(P[[#This Row],[Moon]])</f>
        <v>Sravana</v>
      </c>
      <c r="J121" s="15">
        <f>(C122-P[[#This Row],[SunRise]])/(T122-P[[#This Row],[Moon]])*(13.3333333333333-MOD(P[[#This Row],[Moon]],13.333333333333))+P[[#This Row],[SunRise]]</f>
        <v>43637.761047404609</v>
      </c>
      <c r="K121" s="4" t="str">
        <f>IF(Panchanga!$P121&gt;15,"K","S")&amp;ROUNDUP(MOD(Panchanga!$P121,15),0)&amp;" ("&amp;ROUND(Panchanga!$P121,2)&amp;")"</f>
        <v>K4 (18.49)</v>
      </c>
      <c r="L121" s="4">
        <f>IF(AND(Panchanga!$P121&lt;28.5,Panchanga!$P121&gt;0.49999),MOD((Panchanga!$P121-0.5)*2,7),MOD((Panchanga!$P121+30-28.5),30)*2+7)</f>
        <v>0.97319999999999851</v>
      </c>
      <c r="M121" s="4" t="str">
        <f>CHOOSE(ROUNDUP(Panchanga!$L121,0),"Bhava","Baalava","Kaulava","Taitula","Garija","Vanija","Vishti","Shakuni","Chatushapda","Naaga","Kimstugna")</f>
        <v>Bhava</v>
      </c>
      <c r="N121" s="11" t="str">
        <f>CHOOSE(ROUNDUP(Panchanga!$Q121,0),"viṣkambha","prīti","āyuṣmāna","saubhāgya","śobhana","atigaṇḍa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("&amp;Panchanga!$Q121&amp;")"</f>
        <v>vaidhṛti (26.43)</v>
      </c>
      <c r="O121" s="4">
        <f>IF(AND(Panchanga!$P121&lt;28.5,Panchanga!$P121&gt;0.49999),MOD((Panchanga!$P121-0.5)*2,7),MOD((Panchanga!$P121+30-28.5),30)*2+7)</f>
        <v>0.97319999999999851</v>
      </c>
      <c r="P121" s="4">
        <f>ROUNDUP(MOD(360+P[Moon]-P[Sun],360)/12,4)</f>
        <v>18.486599999999999</v>
      </c>
      <c r="Q121" s="4">
        <f>ROUNDUP(MOD(P[Sun]+P[Moon],360)/13.333333333,2)</f>
        <v>26.430000000000003</v>
      </c>
      <c r="R121" s="4" t="str">
        <f>SIGN(U122-Panchanga!$U121)*INT(Panchanga!$U121/30+1)&amp;"Ma,"&amp;SIGN(V122-Panchanga!$V121)*INT(Panchanga!$V121/30+1)&amp;"Me,"&amp;SIGN(W122-Panchanga!$W121)*INT(Panchanga!$W121/30+1)&amp;"J, "&amp;SIGN(X122-Panchanga!$X121)*INT(Panchanga!$X121/30+1)&amp;"V,"&amp;SIGN(Y122-Panchanga!$Y121)*INT(Panchanga!$Y121/30+1)&amp;"S,"&amp;INT(Panchanga!$Z121/30+1)&amp;"R"</f>
        <v>3Ma,4Me,-8J, 2V,-9S,3R</v>
      </c>
      <c r="S121" s="4">
        <f t="shared" si="26"/>
        <v>65.253042460333688</v>
      </c>
      <c r="T121" s="4">
        <f t="shared" si="27"/>
        <v>287.09178988106316</v>
      </c>
      <c r="U121" s="4">
        <f>Planet(Panchanga!$E121,4)</f>
        <v>88.894351652990323</v>
      </c>
      <c r="V121" s="4">
        <f>Planet(Panchanga!$E121,2)</f>
        <v>90.154064601402808</v>
      </c>
      <c r="W121" s="4">
        <f>Planet(Panchanga!$E121,5)</f>
        <v>234.04794157705118</v>
      </c>
      <c r="X121" s="4">
        <f>Planet(Panchanga!$E121,3)</f>
        <v>50.439047386506708</v>
      </c>
      <c r="Y121" s="4">
        <f>Planet(Panchanga!$E121,6)</f>
        <v>264.42980410390868</v>
      </c>
      <c r="Z121" s="4">
        <f>Planet(Panchanga!$E121,10)</f>
        <v>84.387189702182496</v>
      </c>
      <c r="AA121" s="4" t="str">
        <f>TEXT(Panchanga!$C121+($C122-Panchanga!$C121)/ABS(IF($P122&lt;1,$P122+30,$P122)-Panchanga!$P121)*(ROUNDUP(Panchanga!$P121,0)-Panchanga!$P121),"hh:mm AM/PM")</f>
        <v>07:10 PM</v>
      </c>
      <c r="AB121" s="4"/>
    </row>
    <row r="122" spans="1:28" x14ac:dyDescent="0.2">
      <c r="A122" s="3">
        <f t="shared" si="29"/>
        <v>43638</v>
      </c>
      <c r="B122" s="3">
        <f t="shared" si="23"/>
        <v>43638.229166666664</v>
      </c>
      <c r="C122" s="15">
        <f t="shared" si="24"/>
        <v>43638.239411559109</v>
      </c>
      <c r="D122" s="15">
        <f t="shared" si="25"/>
        <v>43637.776459038301</v>
      </c>
      <c r="E122" s="17">
        <f>Panchanga!$C122-TimeZone/24</f>
        <v>43638.010244892444</v>
      </c>
      <c r="F122" s="18" t="str">
        <f>INT(P[Sun]/30)&amp;"s"&amp;ROUNDUP(MOD(P[Sun],30),2)</f>
        <v>2s6.21</v>
      </c>
      <c r="G122" s="18" t="str">
        <f>INT(P[Moon]/30)&amp;"s"&amp;ROUNDUP(MOD(P[Moon],30),2)</f>
        <v>9s29.06</v>
      </c>
      <c r="H122" s="14">
        <f t="shared" si="28"/>
        <v>43638.010244892444</v>
      </c>
      <c r="I122" s="4" t="str">
        <f>naks(P[[#This Row],[Moon]])</f>
        <v>Dhanistha</v>
      </c>
      <c r="J122" s="15">
        <f>(C123-P[[#This Row],[SunRise]])/(T123-P[[#This Row],[Moon]])*(13.3333333333333-MOD(P[[#This Row],[Moon]],13.333333333333))+P[[#This Row],[SunRise]]</f>
        <v>43638.880473327925</v>
      </c>
      <c r="K122" s="4" t="str">
        <f>IF(Panchanga!$P122&gt;15,"K","S")&amp;ROUNDUP(MOD(Panchanga!$P122,15),0)&amp;" ("&amp;ROUND(Panchanga!$P122,2)&amp;")"</f>
        <v>K5 (19.4)</v>
      </c>
      <c r="L122" s="4">
        <f>IF(AND(Panchanga!$P122&lt;28.5,Panchanga!$P122&gt;0.49999),MOD((Panchanga!$P122-0.5)*2,7),MOD((Panchanga!$P122+30-28.5),30)*2+7)</f>
        <v>2.8081999999999994</v>
      </c>
      <c r="M122" s="4" t="str">
        <f>CHOOSE(ROUNDUP(Panchanga!$L122,0),"Bhava","Baalava","Kaulava","Taitula","Garija","Vanija","Vishti","Shakuni","Chatushapda","Naaga","Kimstugna")</f>
        <v>Kaulava</v>
      </c>
      <c r="N122" s="11" t="str">
        <f>CHOOSE(ROUNDUP(Panchanga!$Q122,0),"viṣkambha","prīti","āyuṣmāna","saubhāgya","śobhana","atigaṇḍa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("&amp;Panchanga!$Q122&amp;")"</f>
        <v>viṣkambha (0.4)</v>
      </c>
      <c r="O122" s="4">
        <f>IF(AND(Panchanga!$P122&lt;28.5,Panchanga!$P122&gt;0.49999),MOD((Panchanga!$P122-0.5)*2,7),MOD((Panchanga!$P122+30-28.5),30)*2+7)</f>
        <v>2.8081999999999994</v>
      </c>
      <c r="P122" s="4">
        <f>ROUNDUP(MOD(360+P[Moon]-P[Sun],360)/12,4)</f>
        <v>19.4041</v>
      </c>
      <c r="Q122" s="4">
        <f>ROUNDUP(MOD(P[Sun]+P[Moon],360)/13.333333333,2)</f>
        <v>0.4</v>
      </c>
      <c r="R122" s="4" t="str">
        <f>SIGN(U123-Panchanga!$U122)*INT(Panchanga!$U122/30+1)&amp;"Ma,"&amp;SIGN(V123-Panchanga!$V122)*INT(Panchanga!$V122/30+1)&amp;"Me,"&amp;SIGN(W123-Panchanga!$W122)*INT(Panchanga!$W122/30+1)&amp;"J, "&amp;SIGN(X123-Panchanga!$X122)*INT(Panchanga!$X122/30+1)&amp;"V,"&amp;SIGN(Y123-Panchanga!$Y122)*INT(Panchanga!$Y122/30+1)&amp;"S,"&amp;INT(Panchanga!$Z122/30+1)&amp;"R"</f>
        <v>3Ma,4Me,-8J, 2V,-9S,3R</v>
      </c>
      <c r="S122" s="4">
        <f t="shared" si="26"/>
        <v>66.207144143318942</v>
      </c>
      <c r="T122" s="4">
        <f t="shared" si="27"/>
        <v>299.05547615540189</v>
      </c>
      <c r="U122" s="4">
        <f>Planet(Panchanga!$E122,4)</f>
        <v>89.531908870344651</v>
      </c>
      <c r="V122" s="4">
        <f>Planet(Panchanga!$E122,2)</f>
        <v>91.244610471799092</v>
      </c>
      <c r="W122" s="4">
        <f>Planet(Panchanga!$E122,5)</f>
        <v>233.92527570051334</v>
      </c>
      <c r="X122" s="4">
        <f>Planet(Panchanga!$E122,3)</f>
        <v>51.660039954052195</v>
      </c>
      <c r="Y122" s="4">
        <f>Planet(Panchanga!$E122,6)</f>
        <v>264.36218976503113</v>
      </c>
      <c r="Z122" s="4">
        <f>Planet(Panchanga!$E122,10)</f>
        <v>84.334189779810558</v>
      </c>
      <c r="AA122" s="4" t="str">
        <f>TEXT(Panchanga!$C122+($C123-Panchanga!$C122)/ABS(IF($P123&lt;1,$P123+30,$P123)-Panchanga!$P122)*(ROUNDUP(Panchanga!$P122,0)-Panchanga!$P122),"hh:mm AM/PM")</f>
        <v>09:27 PM</v>
      </c>
      <c r="AB122" s="4"/>
    </row>
    <row r="123" spans="1:28" x14ac:dyDescent="0.2">
      <c r="A123" s="3">
        <f t="shared" si="29"/>
        <v>43639</v>
      </c>
      <c r="B123" s="3">
        <f t="shared" si="23"/>
        <v>43639.229166666664</v>
      </c>
      <c r="C123" s="15">
        <f t="shared" si="24"/>
        <v>43639.239566531185</v>
      </c>
      <c r="D123" s="15">
        <f t="shared" si="25"/>
        <v>43638.776607017076</v>
      </c>
      <c r="E123" s="17">
        <f>Panchanga!$C123-TimeZone/24</f>
        <v>43639.010399864521</v>
      </c>
      <c r="F123" s="18" t="str">
        <f>INT(P[Sun]/30)&amp;"s"&amp;ROUNDUP(MOD(P[Sun],30),2)</f>
        <v>2s7.17</v>
      </c>
      <c r="G123" s="18" t="str">
        <f>INT(P[Moon]/30)&amp;"s"&amp;ROUNDUP(MOD(P[Moon],30),2)</f>
        <v>10s10.94</v>
      </c>
      <c r="H123" s="14">
        <f t="shared" si="28"/>
        <v>43639.010399864521</v>
      </c>
      <c r="I123" s="4" t="str">
        <f>naks(P[[#This Row],[Moon]])</f>
        <v>Satabhisaj</v>
      </c>
      <c r="J123" s="15">
        <f>(C124-P[[#This Row],[SunRise]])/(T124-P[[#This Row],[Moon]])*(13.3333333333333-MOD(P[[#This Row],[Moon]],13.333333333333))+P[[#This Row],[SunRise]]</f>
        <v>43640.00476344311</v>
      </c>
      <c r="K123" s="4" t="str">
        <f>IF(Panchanga!$P123&gt;15,"K","S")&amp;ROUNDUP(MOD(Panchanga!$P123,15),0)&amp;" ("&amp;ROUND(Panchanga!$P123,2)&amp;")"</f>
        <v>K6 (20.31)</v>
      </c>
      <c r="L123" s="4">
        <f>IF(AND(Panchanga!$P123&lt;28.5,Panchanga!$P123&gt;0.49999),MOD((Panchanga!$P123-0.5)*2,7),MOD((Panchanga!$P123+30-28.5),30)*2+7)</f>
        <v>4.6281999999999996</v>
      </c>
      <c r="M123" s="4" t="str">
        <f>CHOOSE(ROUNDUP(Panchanga!$L123,0),"Bhava","Baalava","Kaulava","Taitula","Garija","Vanija","Vishti","Shakuni","Chatushapda","Naaga","Kimstugna")</f>
        <v>Garija</v>
      </c>
      <c r="N123" s="11" t="str">
        <f>CHOOSE(ROUNDUP(Panchanga!$Q123,0),"viṣkambha","prīti","āyuṣmāna","saubhāgya","śobhana","atigaṇḍa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("&amp;Panchanga!$Q123&amp;")"</f>
        <v>prīti (1.36)</v>
      </c>
      <c r="O123" s="4">
        <f>IF(AND(Panchanga!$P123&lt;28.5,Panchanga!$P123&gt;0.49999),MOD((Panchanga!$P123-0.5)*2,7),MOD((Panchanga!$P123+30-28.5),30)*2+7)</f>
        <v>4.6281999999999996</v>
      </c>
      <c r="P123" s="4">
        <f>ROUNDUP(MOD(360+P[Moon]-P[Sun],360)/12,4)</f>
        <v>20.3141</v>
      </c>
      <c r="Q123" s="4">
        <f>ROUNDUP(MOD(P[Sun]+P[Moon],360)/13.333333333,2)</f>
        <v>1.36</v>
      </c>
      <c r="R123" s="4" t="str">
        <f>SIGN(U124-Panchanga!$U123)*INT(Panchanga!$U123/30+1)&amp;"Ma,"&amp;SIGN(V124-Panchanga!$V123)*INT(Panchanga!$V123/30+1)&amp;"Me,"&amp;SIGN(W124-Panchanga!$W123)*INT(Panchanga!$W123/30+1)&amp;"J, "&amp;SIGN(X124-Panchanga!$X123)*INT(Panchanga!$X123/30+1)&amp;"V,"&amp;SIGN(Y124-Panchanga!$Y123)*INT(Panchanga!$Y123/30+1)&amp;"S,"&amp;INT(Panchanga!$Z123/30+1)&amp;"R"</f>
        <v>4Ma,4Me,-8J, 2V,-9S,3R</v>
      </c>
      <c r="S123" s="4">
        <f t="shared" si="26"/>
        <v>67.1611872804787</v>
      </c>
      <c r="T123" s="4">
        <f t="shared" si="27"/>
        <v>310.9301041609686</v>
      </c>
      <c r="U123" s="4">
        <f>Planet(Panchanga!$E123,4)</f>
        <v>90.16932130463897</v>
      </c>
      <c r="V123" s="4">
        <f>Planet(Panchanga!$E123,2)</f>
        <v>92.282184248048324</v>
      </c>
      <c r="W123" s="4">
        <f>Planet(Panchanga!$E123,5)</f>
        <v>233.80356139741303</v>
      </c>
      <c r="X123" s="4">
        <f>Planet(Panchanga!$E123,3)</f>
        <v>52.881306831919794</v>
      </c>
      <c r="Y123" s="4">
        <f>Planet(Panchanga!$E123,6)</f>
        <v>264.29392705944042</v>
      </c>
      <c r="Z123" s="4">
        <f>Planet(Panchanga!$E123,10)</f>
        <v>84.281189571016441</v>
      </c>
      <c r="AA123" s="4" t="str">
        <f>TEXT(Panchanga!$C123+($C124-Panchanga!$C123)/ABS(IF($P124&lt;1,$P124+30,$P124)-Panchanga!$P123)*(ROUNDUP(Panchanga!$P123,0)-Panchanga!$P123),"hh:mm AM/PM")</f>
        <v>11:52 PM</v>
      </c>
      <c r="AB123" s="4"/>
    </row>
    <row r="124" spans="1:28" x14ac:dyDescent="0.2">
      <c r="A124" s="3">
        <f t="shared" si="29"/>
        <v>43640</v>
      </c>
      <c r="B124" s="3">
        <f t="shared" si="23"/>
        <v>43640.229166666664</v>
      </c>
      <c r="C124" s="15">
        <f t="shared" si="24"/>
        <v>43640.239726430889</v>
      </c>
      <c r="D124" s="15">
        <f t="shared" si="25"/>
        <v>43639.776748955293</v>
      </c>
      <c r="E124" s="17">
        <f>Panchanga!$C124-TimeZone/24</f>
        <v>43640.010559764225</v>
      </c>
      <c r="F124" s="18" t="str">
        <f>INT(P[Sun]/30)&amp;"s"&amp;ROUNDUP(MOD(P[Sun],30),2)</f>
        <v>2s8.12</v>
      </c>
      <c r="G124" s="18" t="str">
        <f>INT(P[Moon]/30)&amp;"s"&amp;ROUNDUP(MOD(P[Moon],30),2)</f>
        <v>10s22.79</v>
      </c>
      <c r="H124" s="14">
        <f t="shared" si="28"/>
        <v>43640.010559764225</v>
      </c>
      <c r="I124" s="4" t="str">
        <f>naks(P[[#This Row],[Moon]])</f>
        <v>Purva Bhadrapada</v>
      </c>
      <c r="J124" s="15">
        <f>(C125-P[[#This Row],[SunRise]])/(T125-P[[#This Row],[Moon]])*(13.3333333333333-MOD(P[[#This Row],[Moon]],13.333333333333))+P[[#This Row],[SunRise]]</f>
        <v>43641.125508134501</v>
      </c>
      <c r="K124" s="4" t="str">
        <f>IF(Panchanga!$P124&gt;15,"K","S")&amp;ROUNDUP(MOD(Panchanga!$P124,15),0)&amp;" ("&amp;ROUND(Panchanga!$P124,2)&amp;")"</f>
        <v>K7 (21.22)</v>
      </c>
      <c r="L124" s="4">
        <f>IF(AND(Panchanga!$P124&lt;28.5,Panchanga!$P124&gt;0.49999),MOD((Panchanga!$P124-0.5)*2,7),MOD((Panchanga!$P124+30-28.5),30)*2+7)</f>
        <v>6.4450000000000003</v>
      </c>
      <c r="M124" s="4" t="str">
        <f>CHOOSE(ROUNDUP(Panchanga!$L124,0),"Bhava","Baalava","Kaulava","Taitula","Garija","Vanija","Vishti","Shakuni","Chatushapda","Naaga","Kimstugna")</f>
        <v>Vishti</v>
      </c>
      <c r="N124" s="11" t="str">
        <f>CHOOSE(ROUNDUP(Panchanga!$Q124,0),"viṣkambha","prīti","āyuṣmāna","saubhāgya","śobhana","atigaṇḍa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("&amp;Panchanga!$Q124&amp;")"</f>
        <v>āyuṣmāna (2.32)</v>
      </c>
      <c r="O124" s="4">
        <f>IF(AND(Panchanga!$P124&lt;28.5,Panchanga!$P124&gt;0.49999),MOD((Panchanga!$P124-0.5)*2,7),MOD((Panchanga!$P124+30-28.5),30)*2+7)</f>
        <v>6.4450000000000003</v>
      </c>
      <c r="P124" s="4">
        <f>ROUNDUP(MOD(360+P[Moon]-P[Sun],360)/12,4)</f>
        <v>21.2225</v>
      </c>
      <c r="Q124" s="4">
        <f>ROUNDUP(MOD(P[Sun]+P[Moon],360)/13.333333333,2)</f>
        <v>2.3199999999999998</v>
      </c>
      <c r="R124" s="4" t="str">
        <f>SIGN(U125-Panchanga!$U124)*INT(Panchanga!$U124/30+1)&amp;"Ma,"&amp;SIGN(V125-Panchanga!$V124)*INT(Panchanga!$V124/30+1)&amp;"Me,"&amp;SIGN(W125-Panchanga!$W124)*INT(Panchanga!$W124/30+1)&amp;"J, "&amp;SIGN(X125-Panchanga!$X124)*INT(Panchanga!$X124/30+1)&amp;"V,"&amp;SIGN(Y125-Panchanga!$Y124)*INT(Panchanga!$Y124/30+1)&amp;"S,"&amp;INT(Panchanga!$Z124/30+1)&amp;"R"</f>
        <v>4Ma,4Me,-8J, 2V,-9S,3R</v>
      </c>
      <c r="S124" s="4">
        <f t="shared" si="26"/>
        <v>68.115187170532735</v>
      </c>
      <c r="T124" s="4">
        <f t="shared" si="27"/>
        <v>322.78502146564796</v>
      </c>
      <c r="U124" s="4">
        <f>Planet(Panchanga!$E124,4)</f>
        <v>90.806597578614472</v>
      </c>
      <c r="V124" s="4">
        <f>Planet(Panchanga!$E124,2)</f>
        <v>93.26541471907889</v>
      </c>
      <c r="W124" s="4">
        <f>Planet(Panchanga!$E124,5)</f>
        <v>233.68288091941844</v>
      </c>
      <c r="X124" s="4">
        <f>Planet(Panchanga!$E124,3)</f>
        <v>54.102853222639794</v>
      </c>
      <c r="Y124" s="4">
        <f>Planet(Panchanga!$E124,6)</f>
        <v>264.22504849741796</v>
      </c>
      <c r="Z124" s="4">
        <f>Planet(Panchanga!$E124,10)</f>
        <v>84.22818910111738</v>
      </c>
      <c r="AA124" s="4" t="str">
        <f>TEXT(Panchanga!$C124+($C125-Panchanga!$C124)/ABS(IF($P125&lt;1,$P125+30,$P125)-Panchanga!$P124)*(ROUNDUP(Panchanga!$P124,0)-Panchanga!$P124),"hh:mm AM/PM")</f>
        <v>02:11 AM</v>
      </c>
      <c r="AB124" s="4"/>
    </row>
    <row r="125" spans="1:28" x14ac:dyDescent="0.2">
      <c r="A125" s="3">
        <f t="shared" si="29"/>
        <v>43641</v>
      </c>
      <c r="B125" s="3">
        <f t="shared" si="23"/>
        <v>43641.229166666664</v>
      </c>
      <c r="C125" s="15">
        <f t="shared" si="24"/>
        <v>43641.239891098499</v>
      </c>
      <c r="D125" s="15">
        <f t="shared" si="25"/>
        <v>43640.776884536303</v>
      </c>
      <c r="E125" s="17">
        <f>Panchanga!$C125-TimeZone/24</f>
        <v>43641.010724431835</v>
      </c>
      <c r="F125" s="18" t="str">
        <f>INT(P[Sun]/30)&amp;"s"&amp;ROUNDUP(MOD(P[Sun],30),2)</f>
        <v>2s9.07</v>
      </c>
      <c r="G125" s="18" t="str">
        <f>INT(P[Moon]/30)&amp;"s"&amp;ROUNDUP(MOD(P[Moon],30),2)</f>
        <v>11s4.7</v>
      </c>
      <c r="H125" s="14">
        <f t="shared" si="28"/>
        <v>43641.010724431835</v>
      </c>
      <c r="I125" s="4" t="str">
        <f>naks(P[[#This Row],[Moon]])</f>
        <v>Uttara Bhadrapada</v>
      </c>
      <c r="J125" s="15">
        <f>(C126-P[[#This Row],[SunRise]])/(T126-P[[#This Row],[Moon]])*(13.3333333333333-MOD(P[[#This Row],[Moon]],13.333333333333))+P[[#This Row],[SunRise]]</f>
        <v>43642.234042257027</v>
      </c>
      <c r="K125" s="4" t="str">
        <f>IF(Panchanga!$P125&gt;15,"K","S")&amp;ROUNDUP(MOD(Panchanga!$P125,15),0)&amp;" ("&amp;ROUND(Panchanga!$P125,2)&amp;")"</f>
        <v>K8 (22.14)</v>
      </c>
      <c r="L125" s="4">
        <f>IF(AND(Panchanga!$P125&lt;28.5,Panchanga!$P125&gt;0.49999),MOD((Panchanga!$P125-0.5)*2,7),MOD((Panchanga!$P125+30-28.5),30)*2+7)</f>
        <v>1.2712000000000003</v>
      </c>
      <c r="M125" s="4" t="str">
        <f>CHOOSE(ROUNDUP(Panchanga!$L125,0),"Bhava","Baalava","Kaulava","Taitula","Garija","Vanija","Vishti","Shakuni","Chatushapda","Naaga","Kimstugna")</f>
        <v>Baalava</v>
      </c>
      <c r="N125" s="11" t="str">
        <f>CHOOSE(ROUNDUP(Panchanga!$Q125,0),"viṣkambha","prīti","āyuṣmāna","saubhāgya","śobhana","atigaṇḍa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("&amp;Panchanga!$Q125&amp;")"</f>
        <v>saubhāgya (3.29)</v>
      </c>
      <c r="O125" s="4">
        <f>IF(AND(Panchanga!$P125&lt;28.5,Panchanga!$P125&gt;0.49999),MOD((Panchanga!$P125-0.5)*2,7),MOD((Panchanga!$P125+30-28.5),30)*2+7)</f>
        <v>1.2712000000000003</v>
      </c>
      <c r="P125" s="4">
        <f>ROUNDUP(MOD(360+P[Moon]-P[Sun],360)/12,4)</f>
        <v>22.1356</v>
      </c>
      <c r="Q125" s="4">
        <f>ROUNDUP(MOD(P[Sun]+P[Moon],360)/13.333333333,2)</f>
        <v>3.2899999999999996</v>
      </c>
      <c r="R125" s="4" t="str">
        <f>SIGN(U126-Panchanga!$U125)*INT(Panchanga!$U125/30+1)&amp;"Ma,"&amp;SIGN(V126-Panchanga!$V125)*INT(Panchanga!$V125/30+1)&amp;"Me,"&amp;SIGN(W126-Panchanga!$W125)*INT(Panchanga!$W125/30+1)&amp;"J, "&amp;SIGN(X126-Panchanga!$X125)*INT(Panchanga!$X125/30+1)&amp;"V,"&amp;SIGN(Y126-Panchanga!$Y125)*INT(Panchanga!$Y125/30+1)&amp;"S,"&amp;INT(Panchanga!$Z125/30+1)&amp;"R"</f>
        <v>4Ma,4Me,-8J, 2V,-9S,3R</v>
      </c>
      <c r="S125" s="4">
        <f t="shared" si="26"/>
        <v>69.069157506185519</v>
      </c>
      <c r="T125" s="4">
        <f t="shared" si="27"/>
        <v>334.69546033556401</v>
      </c>
      <c r="U125" s="4">
        <f>Planet(Panchanga!$E125,4)</f>
        <v>91.443745854155978</v>
      </c>
      <c r="V125" s="4">
        <f>Planet(Panchanga!$E125,2)</f>
        <v>94.192807774738228</v>
      </c>
      <c r="W125" s="4">
        <f>Planet(Panchanga!$E125,5)</f>
        <v>233.5633161703492</v>
      </c>
      <c r="X125" s="4">
        <f>Planet(Panchanga!$E125,3)</f>
        <v>55.324683545012874</v>
      </c>
      <c r="Y125" s="4">
        <f>Planet(Panchanga!$E125,6)</f>
        <v>264.15558720049671</v>
      </c>
      <c r="Z125" s="4">
        <f>Planet(Panchanga!$E125,10)</f>
        <v>84.175188378563234</v>
      </c>
      <c r="AA125" s="4" t="str">
        <f>TEXT(Panchanga!$C125+($C126-Panchanga!$C125)/ABS(IF($P126&lt;1,$P126+30,$P126)-Panchanga!$P125)*(ROUNDUP(Panchanga!$P125,0)-Panchanga!$P125),"hh:mm AM/PM")</f>
        <v>04:12 AM</v>
      </c>
      <c r="AB125" s="4"/>
    </row>
    <row r="126" spans="1:28" x14ac:dyDescent="0.2">
      <c r="A126" s="3">
        <f t="shared" si="29"/>
        <v>43642</v>
      </c>
      <c r="B126" s="3">
        <f t="shared" si="23"/>
        <v>43642.229166666664</v>
      </c>
      <c r="C126" s="15">
        <f t="shared" si="24"/>
        <v>43642.240060375691</v>
      </c>
      <c r="D126" s="15">
        <f t="shared" si="25"/>
        <v>43641.777013599916</v>
      </c>
      <c r="E126" s="17">
        <f>Panchanga!$C126-TimeZone/24</f>
        <v>43642.010893709026</v>
      </c>
      <c r="F126" s="18" t="str">
        <f>INT(P[Sun]/30)&amp;"s"&amp;ROUNDUP(MOD(P[Sun],30),2)</f>
        <v>2s10.03</v>
      </c>
      <c r="G126" s="18" t="str">
        <f>INT(P[Moon]/30)&amp;"s"&amp;ROUNDUP(MOD(P[Moon],30),2)</f>
        <v>11s16.74</v>
      </c>
      <c r="H126" s="14">
        <f t="shared" si="28"/>
        <v>43642.010893709026</v>
      </c>
      <c r="I126" s="4" t="str">
        <f>naks(P[[#This Row],[Moon]])</f>
        <v>Revati</v>
      </c>
      <c r="J126" s="15">
        <f>(C127-P[[#This Row],[SunRise]])/(T127-P[[#This Row],[Moon]])*(13.3333333333333-MOD(P[[#This Row],[Moon]],13.333333333333))+P[[#This Row],[SunRise]]</f>
        <v>43643.322509575162</v>
      </c>
      <c r="K126" s="4" t="str">
        <f>IF(Panchanga!$P126&gt;15,"K","S")&amp;ROUNDUP(MOD(Panchanga!$P126,15),0)&amp;" ("&amp;ROUND(Panchanga!$P126,2)&amp;")"</f>
        <v>K9 (23.06)</v>
      </c>
      <c r="L126" s="4">
        <f>IF(AND(Panchanga!$P126&lt;28.5,Panchanga!$P126&gt;0.49999),MOD((Panchanga!$P126-0.5)*2,7),MOD((Panchanga!$P126+30-28.5),30)*2+7)</f>
        <v>3.1193999999999988</v>
      </c>
      <c r="M126" s="4" t="str">
        <f>CHOOSE(ROUNDUP(Panchanga!$L126,0),"Bhava","Baalava","Kaulava","Taitula","Garija","Vanija","Vishti","Shakuni","Chatushapda","Naaga","Kimstugna")</f>
        <v>Taitula</v>
      </c>
      <c r="N126" s="11" t="str">
        <f>CHOOSE(ROUNDUP(Panchanga!$Q126,0),"viṣkambha","prīti","āyuṣmāna","saubhāgya","śobhana","atigaṇḍa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("&amp;Panchanga!$Q126&amp;")"</f>
        <v>śobhana (4.26)</v>
      </c>
      <c r="O126" s="4">
        <f>IF(AND(Panchanga!$P126&lt;28.5,Panchanga!$P126&gt;0.49999),MOD((Panchanga!$P126-0.5)*2,7),MOD((Panchanga!$P126+30-28.5),30)*2+7)</f>
        <v>3.1193999999999988</v>
      </c>
      <c r="P126" s="4">
        <f>ROUNDUP(MOD(360+P[Moon]-P[Sun],360)/12,4)</f>
        <v>23.059699999999999</v>
      </c>
      <c r="Q126" s="4">
        <f>ROUNDUP(MOD(P[Sun]+P[Moon],360)/13.333333333,2)</f>
        <v>4.26</v>
      </c>
      <c r="R126" s="4" t="str">
        <f>SIGN(U127-Panchanga!$U126)*INT(Panchanga!$U126/30+1)&amp;"Ma,"&amp;SIGN(V127-Panchanga!$V126)*INT(Panchanga!$V126/30+1)&amp;"Me,"&amp;SIGN(W127-Panchanga!$W126)*INT(Panchanga!$W126/30+1)&amp;"J, "&amp;SIGN(X127-Panchanga!$X126)*INT(Panchanga!$X126/30+1)&amp;"V,"&amp;SIGN(Y127-Panchanga!$Y126)*INT(Panchanga!$Y126/30+1)&amp;"S,"&amp;INT(Panchanga!$Z126/30+1)&amp;"R"</f>
        <v>4Ma,4Me,-8J, 2V,-9S,3R</v>
      </c>
      <c r="S126" s="4">
        <f t="shared" si="26"/>
        <v>70.023109955828303</v>
      </c>
      <c r="T126" s="4">
        <f t="shared" si="27"/>
        <v>346.73913466073185</v>
      </c>
      <c r="U126" s="4">
        <f>Planet(Panchanga!$E126,4)</f>
        <v>92.080773564190849</v>
      </c>
      <c r="V126" s="4">
        <f>Planet(Panchanga!$E126,2)</f>
        <v>95.062750303055068</v>
      </c>
      <c r="W126" s="4">
        <f>Planet(Panchanga!$E126,5)</f>
        <v>233.44494869778384</v>
      </c>
      <c r="X126" s="4">
        <f>Planet(Panchanga!$E126,3)</f>
        <v>56.546801000639221</v>
      </c>
      <c r="Y126" s="4">
        <f>Planet(Panchanga!$E126,6)</f>
        <v>264.08557693600824</v>
      </c>
      <c r="Z126" s="4">
        <f>Planet(Panchanga!$E126,10)</f>
        <v>84.122187411738025</v>
      </c>
      <c r="AA126" s="4" t="str">
        <f>TEXT(Panchanga!$C126+($C127-Panchanga!$C126)/ABS(IF($P127&lt;1,$P127+30,$P127)-Panchanga!$P126)*(ROUNDUP(Panchanga!$P126,0)-Panchanga!$P126),"hh:mm AM/PM")</f>
        <v>05:43 AM</v>
      </c>
      <c r="AB126" s="4"/>
    </row>
    <row r="127" spans="1:28" x14ac:dyDescent="0.2">
      <c r="A127" s="3">
        <f t="shared" si="29"/>
        <v>43643</v>
      </c>
      <c r="B127" s="3">
        <f t="shared" si="23"/>
        <v>43643.229166666664</v>
      </c>
      <c r="C127" s="15">
        <f t="shared" si="24"/>
        <v>43643.240233944416</v>
      </c>
      <c r="D127" s="15">
        <f t="shared" si="25"/>
        <v>43642.777135829485</v>
      </c>
      <c r="E127" s="17">
        <f>Panchanga!$C127-TimeZone/24</f>
        <v>43643.011067277752</v>
      </c>
      <c r="F127" s="18" t="str">
        <f>INT(P[Sun]/30)&amp;"s"&amp;ROUNDUP(MOD(P[Sun],30),2)</f>
        <v>2s10.98</v>
      </c>
      <c r="G127" s="18" t="str">
        <f>INT(P[Moon]/30)&amp;"s"&amp;ROUNDUP(MOD(P[Moon],30),2)</f>
        <v>11s29</v>
      </c>
      <c r="H127" s="14">
        <f t="shared" si="28"/>
        <v>43643.011067277752</v>
      </c>
      <c r="I127" s="4" t="str">
        <f>naks(P[[#This Row],[Moon]])</f>
        <v>Revati</v>
      </c>
      <c r="J127" s="15">
        <f>(C128-P[[#This Row],[SunRise]])/(T128-P[[#This Row],[Moon]])*(13.3333333333333-MOD(P[[#This Row],[Moon]],13.333333333333))+P[[#This Row],[SunRise]]</f>
        <v>43643.237332615448</v>
      </c>
      <c r="K127" s="4" t="str">
        <f>IF(Panchanga!$P127&gt;15,"K","S")&amp;ROUNDUP(MOD(Panchanga!$P127,15),0)&amp;" ("&amp;ROUND(Panchanga!$P127,2)&amp;")"</f>
        <v>K10 (24)</v>
      </c>
      <c r="L127" s="4">
        <f>IF(AND(Panchanga!$P127&lt;28.5,Panchanga!$P127&gt;0.49999),MOD((Panchanga!$P127-0.5)*2,7),MOD((Panchanga!$P127+30-28.5),30)*2+7)</f>
        <v>5.002600000000001</v>
      </c>
      <c r="M127" s="4" t="str">
        <f>CHOOSE(ROUNDUP(Panchanga!$L127,0),"Bhava","Baalava","Kaulava","Taitula","Garija","Vanija","Vishti","Shakuni","Chatushapda","Naaga","Kimstugna")</f>
        <v>Vanija</v>
      </c>
      <c r="N127" s="11" t="str">
        <f>CHOOSE(ROUNDUP(Panchanga!$Q127,0),"viṣkambha","prīti","āyuṣmāna","saubhāgya","śobhana","atigaṇḍa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("&amp;Panchanga!$Q127&amp;")"</f>
        <v>atigaṇḍa  (5.25)</v>
      </c>
      <c r="O127" s="4">
        <f>IF(AND(Panchanga!$P127&lt;28.5,Panchanga!$P127&gt;0.49999),MOD((Panchanga!$P127-0.5)*2,7),MOD((Panchanga!$P127+30-28.5),30)*2+7)</f>
        <v>5.002600000000001</v>
      </c>
      <c r="P127" s="4">
        <f>ROUNDUP(MOD(360+P[Moon]-P[Sun],360)/12,4)</f>
        <v>24.001300000000001</v>
      </c>
      <c r="Q127" s="4">
        <f>ROUNDUP(MOD(P[Sun]+P[Moon],360)/13.333333333,2)</f>
        <v>5.25</v>
      </c>
      <c r="R127" s="4" t="str">
        <f>SIGN(U128-Panchanga!$U127)*INT(Panchanga!$U127/30+1)&amp;"Ma,"&amp;SIGN(V128-Panchanga!$V127)*INT(Panchanga!$V127/30+1)&amp;"Me,"&amp;SIGN(W128-Panchanga!$W127)*INT(Panchanga!$W127/30+1)&amp;"J, "&amp;SIGN(X128-Panchanga!$X127)*INT(Panchanga!$X127/30+1)&amp;"V,"&amp;SIGN(Y128-Panchanga!$Y127)*INT(Panchanga!$Y127/30+1)&amp;"S,"&amp;INT(Panchanga!$Z127/30+1)&amp;"R"</f>
        <v>4Ma,4Me,-8J, 2V,-9S,3R</v>
      </c>
      <c r="S127" s="4">
        <f t="shared" si="26"/>
        <v>70.977053823606582</v>
      </c>
      <c r="T127" s="4">
        <f t="shared" si="27"/>
        <v>358.99205795473353</v>
      </c>
      <c r="U127" s="4">
        <f>Planet(Panchanga!$E127,4)</f>
        <v>92.717687212807107</v>
      </c>
      <c r="V127" s="4">
        <f>Planet(Panchanga!$E127,2)</f>
        <v>95.873517223408385</v>
      </c>
      <c r="W127" s="4">
        <f>Planet(Panchanga!$E127,5)</f>
        <v>233.32785967482297</v>
      </c>
      <c r="X127" s="4">
        <f>Planet(Panchanga!$E127,3)</f>
        <v>57.769207287126157</v>
      </c>
      <c r="Y127" s="4">
        <f>Planet(Panchanga!$E127,6)</f>
        <v>264.01505214823453</v>
      </c>
      <c r="Z127" s="4">
        <f>Planet(Panchanga!$E127,10)</f>
        <v>84.069186217492145</v>
      </c>
      <c r="AA127" s="4" t="str">
        <f>TEXT(Panchanga!$C127+($C128-Panchanga!$C127)/ABS(IF($P128&lt;1,$P128+30,$P128)-Panchanga!$P127)*(ROUNDUP(Panchanga!$P127,0)-Panchanga!$P127),"hh:mm AM/PM")</f>
        <v>06:36 AM</v>
      </c>
      <c r="AB127" s="4"/>
    </row>
    <row r="128" spans="1:28" x14ac:dyDescent="0.2">
      <c r="A128" s="3">
        <f t="shared" si="29"/>
        <v>43644</v>
      </c>
      <c r="B128" s="3">
        <f t="shared" si="23"/>
        <v>43644.229166666664</v>
      </c>
      <c r="C128" s="15">
        <f t="shared" si="24"/>
        <v>43644.240411486629</v>
      </c>
      <c r="D128" s="15">
        <f t="shared" si="25"/>
        <v>43643.777250906031</v>
      </c>
      <c r="E128" s="17">
        <f>Panchanga!$C128-TimeZone/24</f>
        <v>43644.011244819965</v>
      </c>
      <c r="F128" s="18" t="str">
        <f>INT(P[Sun]/30)&amp;"s"&amp;ROUNDUP(MOD(P[Sun],30),2)</f>
        <v>2s11.94</v>
      </c>
      <c r="G128" s="18" t="str">
        <f>INT(P[Moon]/30)&amp;"s"&amp;ROUNDUP(MOD(P[Moon],30),2)</f>
        <v>0s11.53</v>
      </c>
      <c r="H128" s="14">
        <f t="shared" si="28"/>
        <v>43644.011244819965</v>
      </c>
      <c r="I128" s="4" t="str">
        <f>naks(P[[#This Row],[Moon]])</f>
        <v>Aswini</v>
      </c>
      <c r="J128" s="15">
        <f>(C129-P[[#This Row],[SunRise]])/(T129-P[[#This Row],[Moon]])*(13.3333333333333-MOD(P[[#This Row],[Moon]],13.333333333333))+P[[#This Row],[SunRise]]</f>
        <v>43644.381117593934</v>
      </c>
      <c r="K128" s="4" t="str">
        <f>IF(Panchanga!$P128&gt;15,"K","S")&amp;ROUNDUP(MOD(Panchanga!$P128,15),0)&amp;" ("&amp;ROUND(Panchanga!$P128,2)&amp;")"</f>
        <v>K10 (24.97)</v>
      </c>
      <c r="L128" s="4">
        <f>IF(AND(Panchanga!$P128&lt;28.5,Panchanga!$P128&gt;0.49999),MOD((Panchanga!$P128-0.5)*2,7),MOD((Panchanga!$P128+30-28.5),30)*2+7)</f>
        <v>6.9322000000000017</v>
      </c>
      <c r="M128" s="4" t="str">
        <f>CHOOSE(ROUNDUP(Panchanga!$L128,0),"Bhava","Baalava","Kaulava","Taitula","Garija","Vanija","Vishti","Shakuni","Chatushapda","Naaga","Kimstugna")</f>
        <v>Vishti</v>
      </c>
      <c r="N128" s="11" t="str">
        <f>CHOOSE(ROUNDUP(Panchanga!$Q128,0),"viṣkambha","prīti","āyuṣmāna","saubhāgya","śobhana","atigaṇḍa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("&amp;Panchanga!$Q128&amp;")"</f>
        <v>sukarmā  (6.26)</v>
      </c>
      <c r="O128" s="4">
        <f>IF(AND(Panchanga!$P128&lt;28.5,Panchanga!$P128&gt;0.49999),MOD((Panchanga!$P128-0.5)*2,7),MOD((Panchanga!$P128+30-28.5),30)*2+7)</f>
        <v>6.9322000000000017</v>
      </c>
      <c r="P128" s="4">
        <f>ROUNDUP(MOD(360+P[Moon]-P[Sun],360)/12,4)</f>
        <v>24.966100000000001</v>
      </c>
      <c r="Q128" s="4">
        <f>ROUNDUP(MOD(P[Sun]+P[Moon],360)/13.333333333,2)</f>
        <v>6.26</v>
      </c>
      <c r="R128" s="4" t="str">
        <f>SIGN(U129-Panchanga!$U128)*INT(Panchanga!$U128/30+1)&amp;"Ma,"&amp;SIGN(V129-Panchanga!$V128)*INT(Panchanga!$V128/30+1)&amp;"Me,"&amp;SIGN(W129-Panchanga!$W128)*INT(Panchanga!$W128/30+1)&amp;"J, "&amp;SIGN(X129-Panchanga!$X128)*INT(Panchanga!$X128/30+1)&amp;"V,"&amp;SIGN(Y129-Panchanga!$Y128)*INT(Panchanga!$Y128/30+1)&amp;"S,"&amp;INT(Panchanga!$Z128/30+1)&amp;"R"</f>
        <v>4Ma,4Me,-8J, 2V,-9S,3R</v>
      </c>
      <c r="S128" s="4">
        <f t="shared" si="26"/>
        <v>71.930995978353067</v>
      </c>
      <c r="T128" s="4">
        <f t="shared" si="27"/>
        <v>11.523360454737812</v>
      </c>
      <c r="U128" s="4">
        <f>Planet(Panchanga!$E128,4)</f>
        <v>93.354492361477767</v>
      </c>
      <c r="V128" s="4">
        <f>Planet(Panchanga!$E128,2)</f>
        <v>96.623282284454731</v>
      </c>
      <c r="W128" s="4">
        <f>Planet(Panchanga!$E128,5)</f>
        <v>233.21212984050561</v>
      </c>
      <c r="X128" s="4">
        <f>Planet(Panchanga!$E128,3)</f>
        <v>58.991902692632614</v>
      </c>
      <c r="Y128" s="4">
        <f>Planet(Panchanga!$E128,6)</f>
        <v>263.94404797173553</v>
      </c>
      <c r="Z128" s="4">
        <f>Planet(Panchanga!$E128,10)</f>
        <v>84.016184812692543</v>
      </c>
      <c r="AA128" s="4" t="str">
        <f>TEXT(Panchanga!$C128+($C129-Panchanga!$C128)/ABS(IF($P129&lt;1,$P129+30,$P129)-Panchanga!$P128)*(ROUNDUP(Panchanga!$P128,0)-Panchanga!$P128),"hh:mm AM/PM")</f>
        <v>06:35 AM</v>
      </c>
      <c r="AB128" s="4"/>
    </row>
    <row r="129" spans="1:28" x14ac:dyDescent="0.2">
      <c r="A129" s="3">
        <f t="shared" si="29"/>
        <v>43645</v>
      </c>
      <c r="B129" s="3">
        <f t="shared" si="23"/>
        <v>43645.229166666664</v>
      </c>
      <c r="C129" s="15">
        <f t="shared" si="24"/>
        <v>43645.240592525959</v>
      </c>
      <c r="D129" s="15">
        <f t="shared" si="25"/>
        <v>43644.777358830019</v>
      </c>
      <c r="E129" s="17">
        <f>Panchanga!$C129-TimeZone/24</f>
        <v>43645.011425859295</v>
      </c>
      <c r="F129" s="18" t="str">
        <f>INT(P[Sun]/30)&amp;"s"&amp;ROUNDUP(MOD(P[Sun],30),2)</f>
        <v>2s12.89</v>
      </c>
      <c r="G129" s="18" t="str">
        <f>INT(P[Moon]/30)&amp;"s"&amp;ROUNDUP(MOD(P[Moon],30),2)</f>
        <v>0s24.39</v>
      </c>
      <c r="H129" s="14">
        <f t="shared" si="28"/>
        <v>43645.011425859295</v>
      </c>
      <c r="I129" s="4" t="str">
        <f>naks(P[[#This Row],[Moon]])</f>
        <v>Bharani</v>
      </c>
      <c r="J129" s="15">
        <f>(C130-P[[#This Row],[SunRise]])/(T130-P[[#This Row],[Moon]])*(13.3333333333333-MOD(P[[#This Row],[Moon]],13.333333333333))+P[[#This Row],[SunRise]]</f>
        <v>43645.412679373017</v>
      </c>
      <c r="K129" s="4" t="str">
        <f>IF(Panchanga!$P129&gt;15,"K","S")&amp;ROUNDUP(MOD(Panchanga!$P129,15),0)&amp;" ("&amp;ROUND(Panchanga!$P129,2)&amp;")"</f>
        <v>K11 (25.96)</v>
      </c>
      <c r="L129" s="4">
        <f>IF(AND(Panchanga!$P129&lt;28.5,Panchanga!$P129&gt;0.49999),MOD((Panchanga!$P129-0.5)*2,7),MOD((Panchanga!$P129+30-28.5),30)*2+7)</f>
        <v>1.9174000000000007</v>
      </c>
      <c r="M129" s="4" t="str">
        <f>CHOOSE(ROUNDUP(Panchanga!$L129,0),"Bhava","Baalava","Kaulava","Taitula","Garija","Vanija","Vishti","Shakuni","Chatushapda","Naaga","Kimstugna")</f>
        <v>Baalava</v>
      </c>
      <c r="N129" s="11" t="str">
        <f>CHOOSE(ROUNDUP(Panchanga!$Q129,0),"viṣkambha","prīti","āyuṣmāna","saubhāgya","śobhana","atigaṇḍa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("&amp;Panchanga!$Q129&amp;")"</f>
        <v>dhṛti  (7.3)</v>
      </c>
      <c r="O129" s="4">
        <f>IF(AND(Panchanga!$P129&lt;28.5,Panchanga!$P129&gt;0.49999),MOD((Panchanga!$P129-0.5)*2,7),MOD((Panchanga!$P129+30-28.5),30)*2+7)</f>
        <v>1.9174000000000007</v>
      </c>
      <c r="P129" s="4">
        <f>ROUNDUP(MOD(360+P[Moon]-P[Sun],360)/12,4)</f>
        <v>25.9587</v>
      </c>
      <c r="Q129" s="4">
        <f>ROUNDUP(MOD(P[Sun]+P[Moon],360)/13.333333333,2)</f>
        <v>7.3</v>
      </c>
      <c r="R129" s="4" t="str">
        <f>SIGN(U130-Panchanga!$U129)*INT(Panchanga!$U129/30+1)&amp;"Ma,"&amp;SIGN(V130-Panchanga!$V129)*INT(Panchanga!$V129/30+1)&amp;"Me,"&amp;SIGN(W130-Panchanga!$W129)*INT(Panchanga!$W129/30+1)&amp;"J, "&amp;SIGN(X130-Panchanga!$X129)*INT(Panchanga!$X129/30+1)&amp;"V,"&amp;SIGN(Y130-Panchanga!$Y129)*INT(Panchanga!$Y129/30+1)&amp;"S,"&amp;INT(Panchanga!$Z129/30+1)&amp;"R"</f>
        <v>4Ma,4Me,-8J, 3V,-9S,3R</v>
      </c>
      <c r="S129" s="4">
        <f t="shared" si="26"/>
        <v>72.884940416926128</v>
      </c>
      <c r="T129" s="4">
        <f t="shared" si="27"/>
        <v>24.389188310484606</v>
      </c>
      <c r="U129" s="4">
        <f>Planet(Panchanga!$E129,4)</f>
        <v>93.991193374883849</v>
      </c>
      <c r="V129" s="4">
        <f>Planet(Panchanga!$E129,2)</f>
        <v>97.31013268693458</v>
      </c>
      <c r="W129" s="4">
        <f>Planet(Panchanga!$E129,5)</f>
        <v>233.09783947773869</v>
      </c>
      <c r="X129" s="4">
        <f>Planet(Panchanga!$E129,3)</f>
        <v>60.214885769955856</v>
      </c>
      <c r="Y129" s="4">
        <f>Planet(Panchanga!$E129,6)</f>
        <v>263.87260026999621</v>
      </c>
      <c r="Z129" s="4">
        <f>Planet(Panchanga!$E129,10)</f>
        <v>83.963183222557078</v>
      </c>
      <c r="AA129" s="4" t="str">
        <f>TEXT(Panchanga!$C129+($C130-Panchanga!$C129)/ABS(IF($P130&lt;1,$P130+30,$P130)-Panchanga!$P129)*(ROUNDUP(Panchanga!$P129,0)-Panchanga!$P129),"hh:mm AM/PM")</f>
        <v>06:44 AM</v>
      </c>
      <c r="AB129" s="4"/>
    </row>
    <row r="130" spans="1:28" x14ac:dyDescent="0.2">
      <c r="A130" s="3">
        <f t="shared" si="29"/>
        <v>43646</v>
      </c>
      <c r="B130" s="3">
        <f t="shared" si="23"/>
        <v>43646.229166666664</v>
      </c>
      <c r="C130" s="15">
        <f t="shared" si="24"/>
        <v>43646.240777061939</v>
      </c>
      <c r="D130" s="15">
        <f t="shared" si="25"/>
        <v>43645.777459283869</v>
      </c>
      <c r="E130" s="17">
        <f>Panchanga!$C130-TimeZone/24</f>
        <v>43646.011610395275</v>
      </c>
      <c r="F130" s="18" t="str">
        <f>INT(P[Sun]/30)&amp;"s"&amp;ROUNDUP(MOD(P[Sun],30),2)</f>
        <v>2s13.84</v>
      </c>
      <c r="G130" s="18" t="str">
        <f>INT(P[Moon]/30)&amp;"s"&amp;ROUNDUP(MOD(P[Moon],30),2)</f>
        <v>1s7.63</v>
      </c>
      <c r="H130" s="14">
        <f t="shared" si="28"/>
        <v>43646.011610395275</v>
      </c>
      <c r="I130" s="4" t="str">
        <f>naks(P[[#This Row],[Moon]])</f>
        <v>Krittika</v>
      </c>
      <c r="J130" s="15">
        <f>(C131-P[[#This Row],[SunRise]])/(T131-P[[#This Row],[Moon]])*(13.3333333333333-MOD(P[[#This Row],[Moon]],13.333333333333))+P[[#This Row],[SunRise]]</f>
        <v>43646.415122230093</v>
      </c>
      <c r="K130" s="4" t="str">
        <f>IF(Panchanga!$P130&gt;15,"K","S")&amp;ROUNDUP(MOD(Panchanga!$P130,15),0)&amp;" ("&amp;ROUND(Panchanga!$P130,2)&amp;")"</f>
        <v>K12 (26.98)</v>
      </c>
      <c r="L130" s="4">
        <f>IF(AND(Panchanga!$P130&lt;28.5,Panchanga!$P130&gt;0.49999),MOD((Panchanga!$P130-0.5)*2,7),MOD((Panchanga!$P130+30-28.5),30)*2+7)</f>
        <v>3.9645999999999972</v>
      </c>
      <c r="M130" s="4" t="str">
        <f>CHOOSE(ROUNDUP(Panchanga!$L130,0),"Bhava","Baalava","Kaulava","Taitula","Garija","Vanija","Vishti","Shakuni","Chatushapda","Naaga","Kimstugna")</f>
        <v>Taitula</v>
      </c>
      <c r="N130" s="11" t="str">
        <f>CHOOSE(ROUNDUP(Panchanga!$Q130,0),"viṣkambha","prīti","āyuṣmāna","saubhāgya","śobhana","atigaṇḍa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("&amp;Panchanga!$Q130&amp;")"</f>
        <v>śūla  (8.36)</v>
      </c>
      <c r="O130" s="4">
        <f>IF(AND(Panchanga!$P130&lt;28.5,Panchanga!$P130&gt;0.49999),MOD((Panchanga!$P130-0.5)*2,7),MOD((Panchanga!$P130+30-28.5),30)*2+7)</f>
        <v>3.9645999999999972</v>
      </c>
      <c r="P130" s="4">
        <f>ROUNDUP(MOD(360+P[Moon]-P[Sun],360)/12,4)</f>
        <v>26.982299999999999</v>
      </c>
      <c r="Q130" s="4">
        <f>ROUNDUP(MOD(P[Sun]+P[Moon],360)/13.333333333,2)</f>
        <v>8.36</v>
      </c>
      <c r="R130" s="4" t="str">
        <f>SIGN(U131-Panchanga!$U130)*INT(Panchanga!$U130/30+1)&amp;"Ma,"&amp;SIGN(V131-Panchanga!$V130)*INT(Panchanga!$V130/30+1)&amp;"Me,"&amp;SIGN(W131-Panchanga!$W130)*INT(Panchanga!$W130/30+1)&amp;"J, "&amp;SIGN(X131-Panchanga!$X130)*INT(Panchanga!$X130/30+1)&amp;"V,"&amp;SIGN(Y131-Panchanga!$Y130)*INT(Panchanga!$Y130/30+1)&amp;"S,"&amp;INT(Panchanga!$Z130/30+1)&amp;"R"</f>
        <v>4Ma,4Me,-8J, 3V,-9S,3R</v>
      </c>
      <c r="S130" s="4">
        <f t="shared" si="26"/>
        <v>73.83888852373741</v>
      </c>
      <c r="T130" s="4">
        <f t="shared" si="27"/>
        <v>37.626101368029659</v>
      </c>
      <c r="U130" s="4">
        <f>Planet(Panchanga!$E130,4)</f>
        <v>94.627793631302055</v>
      </c>
      <c r="V130" s="4">
        <f>Planet(Panchanga!$E130,2)</f>
        <v>97.932089056717061</v>
      </c>
      <c r="W130" s="4">
        <f>Planet(Panchanga!$E130,5)</f>
        <v>232.98506828855417</v>
      </c>
      <c r="X130" s="4">
        <f>Planet(Panchanga!$E130,3)</f>
        <v>61.438153964550189</v>
      </c>
      <c r="Y130" s="4">
        <f>Planet(Panchanga!$E130,6)</f>
        <v>263.80074562615829</v>
      </c>
      <c r="Z130" s="4">
        <f>Planet(Panchanga!$E130,10)</f>
        <v>83.910181447168355</v>
      </c>
      <c r="AA130" s="4" t="str">
        <f>TEXT(Panchanga!$C130+($C131-Panchanga!$C130)/ABS(IF($P131&lt;1,$P131+30,$P131)-Panchanga!$P130)*(ROUNDUP(Panchanga!$P130,0)-Panchanga!$P130),"hh:mm AM/PM")</f>
        <v>06:10 AM</v>
      </c>
      <c r="AB130" s="4"/>
    </row>
    <row r="131" spans="1:28" x14ac:dyDescent="0.2">
      <c r="A131" s="3">
        <f t="shared" si="29"/>
        <v>43647</v>
      </c>
      <c r="B131" s="3">
        <f t="shared" ref="B131:B194" si="30">A131+TimeZone/24</f>
        <v>43647.229166666664</v>
      </c>
      <c r="C131" s="15">
        <f t="shared" ref="C131:C194" si="31">sunrise(Lat,Long,B131)+TimeZone/24+0.00103009259259259</f>
        <v>43647.240964458942</v>
      </c>
      <c r="D131" s="15">
        <f t="shared" ref="D131:D194" si="32">sunset(Lat,Long,B131)+TimeZone/24-0.000277777777777778</f>
        <v>43646.777551790277</v>
      </c>
      <c r="E131" s="17">
        <f>Panchanga!$C131-TimeZone/24</f>
        <v>43647.011797792278</v>
      </c>
      <c r="F131" s="18" t="str">
        <f>INT(P[Sun]/30)&amp;"s"&amp;ROUNDUP(MOD(P[Sun],30),2)</f>
        <v>2s14.8</v>
      </c>
      <c r="G131" s="18" t="str">
        <f>INT(P[Moon]/30)&amp;"s"&amp;ROUNDUP(MOD(P[Moon],30),2)</f>
        <v>1s21.25</v>
      </c>
      <c r="H131" s="14">
        <f t="shared" si="28"/>
        <v>43647.011797792278</v>
      </c>
      <c r="I131" s="4" t="str">
        <f>naks(P[[#This Row],[Moon]])</f>
        <v>Rohini</v>
      </c>
      <c r="J131" s="15">
        <f>(C132-P[[#This Row],[SunRise]])/(T132-P[[#This Row],[Moon]])*(13.3333333333333-MOD(P[[#This Row],[Moon]],13.333333333333))+P[[#This Row],[SunRise]]</f>
        <v>43647.390386990257</v>
      </c>
      <c r="K131" s="4" t="str">
        <f>IF(Panchanga!$P131&gt;15,"K","S")&amp;ROUNDUP(MOD(Panchanga!$P131,15),0)&amp;" ("&amp;ROUND(Panchanga!$P131,2)&amp;")"</f>
        <v>K14 (28.04)</v>
      </c>
      <c r="L131" s="4">
        <f>IF(AND(Panchanga!$P131&lt;28.5,Panchanga!$P131&gt;0.49999),MOD((Panchanga!$P131-0.5)*2,7),MOD((Panchanga!$P131+30-28.5),30)*2+7)</f>
        <v>6.0754000000000019</v>
      </c>
      <c r="M131" s="4" t="str">
        <f>CHOOSE(ROUNDUP(Panchanga!$L131,0),"Bhava","Baalava","Kaulava","Taitula","Garija","Vanija","Vishti","Shakuni","Chatushapda","Naaga","Kimstugna")</f>
        <v>Vishti</v>
      </c>
      <c r="N131" s="11" t="str">
        <f>CHOOSE(ROUNDUP(Panchanga!$Q131,0),"viṣkambha","prīti","āyuṣmāna","saubhāgya","śobhana","atigaṇḍa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("&amp;Panchanga!$Q131&amp;")"</f>
        <v>gaṇḍa  (9.46)</v>
      </c>
      <c r="O131" s="4">
        <f>IF(AND(Panchanga!$P131&lt;28.5,Panchanga!$P131&gt;0.49999),MOD((Panchanga!$P131-0.5)*2,7),MOD((Panchanga!$P131+30-28.5),30)*2+7)</f>
        <v>6.0754000000000019</v>
      </c>
      <c r="P131" s="4">
        <f>ROUNDUP(MOD(360+P[Moon]-P[Sun],360)/12,4)</f>
        <v>28.037700000000001</v>
      </c>
      <c r="Q131" s="4">
        <f>ROUNDUP(MOD(P[Sun]+P[Moon],360)/13.333333333,2)</f>
        <v>9.4599999999999991</v>
      </c>
      <c r="R131" s="4" t="str">
        <f>SIGN(U132-Panchanga!$U131)*INT(Panchanga!$U131/30+1)&amp;"Ma,"&amp;SIGN(V132-Panchanga!$V131)*INT(Panchanga!$V131/30+1)&amp;"Me,"&amp;SIGN(W132-Panchanga!$W131)*INT(Panchanga!$W131/30+1)&amp;"J, "&amp;SIGN(X132-Panchanga!$X131)*INT(Panchanga!$X131/30+1)&amp;"V,"&amp;SIGN(Y132-Panchanga!$Y131)*INT(Panchanga!$Y131/30+1)&amp;"S,"&amp;INT(Panchanga!$Z131/30+1)&amp;"R"</f>
        <v>4Ma,4Me,-8J, 3V,-9S,3R</v>
      </c>
      <c r="S131" s="4">
        <f t="shared" ref="S131:S194" si="33">Planet($E131,0)</f>
        <v>74.792837658843894</v>
      </c>
      <c r="T131" s="4">
        <f t="shared" ref="T131:T194" si="34">Planet($E131,1)</f>
        <v>51.244737998780636</v>
      </c>
      <c r="U131" s="4">
        <f>Planet(Panchanga!$E131,4)</f>
        <v>95.264294583988146</v>
      </c>
      <c r="V131" s="4">
        <f>Planet(Panchanga!$E131,2)</f>
        <v>98.487129977706402</v>
      </c>
      <c r="W131" s="4">
        <f>Planet(Panchanga!$E131,5)</f>
        <v>232.87389543129734</v>
      </c>
      <c r="X131" s="4">
        <f>Planet(Panchanga!$E131,3)</f>
        <v>62.661702134154041</v>
      </c>
      <c r="Y131" s="4">
        <f>Planet(Panchanga!$E131,6)</f>
        <v>263.72852145539491</v>
      </c>
      <c r="Z131" s="4">
        <f>Planet(Panchanga!$E131,10)</f>
        <v>83.857179520144854</v>
      </c>
      <c r="AA131" s="4" t="str">
        <f>TEXT(Panchanga!$C131+($C132-Panchanga!$C131)/ABS(IF($P132&lt;1,$P132+30,$P132)-Panchanga!$P131)*(ROUNDUP(Panchanga!$P131,0)-Panchanga!$P131),"hh:mm AM/PM")</f>
        <v>03:03 AM</v>
      </c>
      <c r="AB131" s="4"/>
    </row>
    <row r="132" spans="1:28" x14ac:dyDescent="0.2">
      <c r="A132" s="3">
        <f t="shared" si="29"/>
        <v>43648</v>
      </c>
      <c r="B132" s="3">
        <f t="shared" si="30"/>
        <v>43648.229166666664</v>
      </c>
      <c r="C132" s="15">
        <f t="shared" si="31"/>
        <v>43648.241154716969</v>
      </c>
      <c r="D132" s="15">
        <f t="shared" si="32"/>
        <v>43647.777636190454</v>
      </c>
      <c r="E132" s="17">
        <f>Panchanga!$C132-TimeZone/24</f>
        <v>43648.011988050304</v>
      </c>
      <c r="F132" s="18" t="str">
        <f>INT(P[Sun]/30)&amp;"s"&amp;ROUNDUP(MOD(P[Sun],30),2)</f>
        <v>2s15.75</v>
      </c>
      <c r="G132" s="18" t="str">
        <f>INT(P[Moon]/30)&amp;"s"&amp;ROUNDUP(MOD(P[Moon],30),2)</f>
        <v>2s5.23</v>
      </c>
      <c r="H132" s="14">
        <f t="shared" si="28"/>
        <v>43648.011988050304</v>
      </c>
      <c r="I132" s="4" t="str">
        <f>naks(P[[#This Row],[Moon]])</f>
        <v>Mrigashira</v>
      </c>
      <c r="J132" s="15">
        <f>(C133-P[[#This Row],[SunRise]])/(T133-P[[#This Row],[Moon]])*(13.3333333333333-MOD(P[[#This Row],[Moon]],13.333333333333))+P[[#This Row],[SunRise]]</f>
        <v>43648.342044145356</v>
      </c>
      <c r="K132" s="4" t="str">
        <f>IF(Panchanga!$P132&gt;15,"K","S")&amp;ROUNDUP(MOD(Panchanga!$P132,15),0)&amp;" ("&amp;ROUND(Panchanga!$P132,2)&amp;")"</f>
        <v>K15 (29.12)</v>
      </c>
      <c r="L132" s="4">
        <f>IF(AND(Panchanga!$P132&lt;28.5,Panchanga!$P132&gt;0.49999),MOD((Panchanga!$P132-0.5)*2,7),MOD((Panchanga!$P132+30-28.5),30)*2+7)</f>
        <v>8.2463999999999942</v>
      </c>
      <c r="M132" s="4" t="str">
        <f>CHOOSE(ROUNDUP(Panchanga!$L132,0),"Bhava","Baalava","Kaulava","Taitula","Garija","Vanija","Vishti","Shakuni","Chatushapda","Naaga","Kimstugna")</f>
        <v>Chatushapda</v>
      </c>
      <c r="N132" s="11" t="str">
        <f>CHOOSE(ROUNDUP(Panchanga!$Q132,0),"viṣkambha","prīti","āyuṣmāna","saubhāgya","śobhana","atigaṇḍa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("&amp;Panchanga!$Q132&amp;")"</f>
        <v>vṛddhi  (10.58)</v>
      </c>
      <c r="O132" s="4">
        <f>IF(AND(Panchanga!$P132&lt;28.5,Panchanga!$P132&gt;0.49999),MOD((Panchanga!$P132-0.5)*2,7),MOD((Panchanga!$P132+30-28.5),30)*2+7)</f>
        <v>8.2463999999999942</v>
      </c>
      <c r="P132" s="4">
        <f>ROUNDUP(MOD(360+P[Moon]-P[Sun],360)/12,4)</f>
        <v>29.123200000000001</v>
      </c>
      <c r="Q132" s="4">
        <f>ROUNDUP(MOD(P[Sun]+P[Moon],360)/13.333333333,2)</f>
        <v>10.58</v>
      </c>
      <c r="R132" s="4" t="str">
        <f>SIGN(U133-Panchanga!$U132)*INT(Panchanga!$U132/30+1)&amp;"Ma,"&amp;SIGN(V133-Panchanga!$V132)*INT(Panchanga!$V132/30+1)&amp;"Me,"&amp;SIGN(W133-Panchanga!$W132)*INT(Panchanga!$W132/30+1)&amp;"J, "&amp;SIGN(X133-Panchanga!$X132)*INT(Panchanga!$X132/30+1)&amp;"V,"&amp;SIGN(Y133-Panchanga!$Y132)*INT(Panchanga!$Y132/30+1)&amp;"S,"&amp;INT(Panchanga!$Z132/30+1)&amp;"R"</f>
        <v>4Ma,4Me,-8J, 3V,-9S,3R</v>
      </c>
      <c r="S132" s="4">
        <f t="shared" si="33"/>
        <v>75.746782185309669</v>
      </c>
      <c r="T132" s="4">
        <f t="shared" si="34"/>
        <v>65.225177817376974</v>
      </c>
      <c r="U132" s="4">
        <f>Planet(Panchanga!$E132,4)</f>
        <v>95.90069636137234</v>
      </c>
      <c r="V132" s="4">
        <f>Planet(Panchanga!$E132,2)</f>
        <v>98.973224977478964</v>
      </c>
      <c r="W132" s="4">
        <f>Planet(Panchanga!$E132,5)</f>
        <v>232.76439919803965</v>
      </c>
      <c r="X132" s="4">
        <f>Planet(Panchanga!$E132,3)</f>
        <v>63.885524106776671</v>
      </c>
      <c r="Y132" s="4">
        <f>Planet(Panchanga!$E132,6)</f>
        <v>263.65596592604271</v>
      </c>
      <c r="Z132" s="4">
        <f>Planet(Panchanga!$E132,10)</f>
        <v>83.804177441519457</v>
      </c>
      <c r="AA132" s="4" t="str">
        <f>TEXT(Panchanga!$C132+($C133-Panchanga!$C132)/ABS(IF($P133&lt;1,$P133+30,$P133)-Panchanga!$P132)*(ROUNDUP(Panchanga!$P132,0)-Panchanga!$P132),"hh:mm AM/PM")</f>
        <v>12:43 AM</v>
      </c>
      <c r="AB132" s="4"/>
    </row>
    <row r="133" spans="1:28" x14ac:dyDescent="0.2">
      <c r="A133" s="3">
        <f t="shared" si="29"/>
        <v>43649</v>
      </c>
      <c r="B133" s="3">
        <f t="shared" si="30"/>
        <v>43649.229166666664</v>
      </c>
      <c r="C133" s="15">
        <f t="shared" si="31"/>
        <v>43649.24134720039</v>
      </c>
      <c r="D133" s="15">
        <f t="shared" si="32"/>
        <v>43648.777712325609</v>
      </c>
      <c r="E133" s="17">
        <f>Panchanga!$C133-TimeZone/24</f>
        <v>43649.012180533726</v>
      </c>
      <c r="F133" s="18" t="str">
        <f>INT(P[Sun]/30)&amp;"s"&amp;ROUNDUP(MOD(P[Sun],30),2)</f>
        <v>2s16.71</v>
      </c>
      <c r="G133" s="18" t="str">
        <f>INT(P[Moon]/30)&amp;"s"&amp;ROUNDUP(MOD(P[Moon],30),2)</f>
        <v>2s19.52</v>
      </c>
      <c r="H133" s="14">
        <f t="shared" si="28"/>
        <v>43649.012180533726</v>
      </c>
      <c r="I133" s="4" t="str">
        <f>naks(P[[#This Row],[Moon]])</f>
        <v>Ardra</v>
      </c>
      <c r="J133" s="15">
        <f>(C134-P[[#This Row],[SunRise]])/(T134-P[[#This Row],[Moon]])*(13.3333333333333-MOD(P[[#This Row],[Moon]],13.333333333333))+P[[#This Row],[SunRise]]</f>
        <v>43649.27470288839</v>
      </c>
      <c r="K133" s="4" t="str">
        <f>IF(Panchanga!$P133&gt;15,"K","S")&amp;ROUNDUP(MOD(Panchanga!$P133,15),0)&amp;" ("&amp;ROUND(Panchanga!$P133,2)&amp;")"</f>
        <v>S1 (0.23)</v>
      </c>
      <c r="L133" s="4">
        <f>IF(AND(Panchanga!$P133&lt;28.5,Panchanga!$P133&gt;0.49999),MOD((Panchanga!$P133-0.5)*2,7),MOD((Panchanga!$P133+30-28.5),30)*2+7)</f>
        <v>10.469200000000001</v>
      </c>
      <c r="M133" s="4" t="str">
        <f>CHOOSE(ROUNDUP(Panchanga!$L133,0),"Bhava","Baalava","Kaulava","Taitula","Garija","Vanija","Vishti","Shakuni","Chatushapda","Naaga","Kimstugna")</f>
        <v>Kimstugna</v>
      </c>
      <c r="N133" s="11" t="str">
        <f>CHOOSE(ROUNDUP(Panchanga!$Q133,0),"viṣkambha","prīti","āyuṣmāna","saubhāgya","śobhana","atigaṇḍa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("&amp;Panchanga!$Q133&amp;")"</f>
        <v>dhruva  (11.72)</v>
      </c>
      <c r="O133" s="4">
        <f>IF(AND(Panchanga!$P133&lt;28.5,Panchanga!$P133&gt;0.49999),MOD((Panchanga!$P133-0.5)*2,7),MOD((Panchanga!$P133+30-28.5),30)*2+7)</f>
        <v>10.469200000000001</v>
      </c>
      <c r="P133" s="4">
        <f>ROUNDUP(MOD(360+P[Moon]-P[Sun],360)/12,4)</f>
        <v>0.23459999999999998</v>
      </c>
      <c r="Q133" s="4">
        <f>ROUNDUP(MOD(P[Sun]+P[Moon],360)/13.333333333,2)</f>
        <v>11.72</v>
      </c>
      <c r="R133" s="4" t="str">
        <f>SIGN(U134-Panchanga!$U133)*INT(Panchanga!$U133/30+1)&amp;"Ma,"&amp;SIGN(V134-Panchanga!$V133)*INT(Panchanga!$V133/30+1)&amp;"Me,"&amp;SIGN(W134-Panchanga!$W133)*INT(Panchanga!$W133/30+1)&amp;"J, "&amp;SIGN(X134-Panchanga!$X133)*INT(Panchanga!$X133/30+1)&amp;"V,"&amp;SIGN(Y134-Panchanga!$Y133)*INT(Panchanga!$Y133/30+1)&amp;"S,"&amp;INT(Panchanga!$Z133/30+1)&amp;"R"</f>
        <v>4Ma,4Me,-8J, 3V,-9S,3R</v>
      </c>
      <c r="S133" s="4">
        <f t="shared" si="33"/>
        <v>76.700712512082902</v>
      </c>
      <c r="T133" s="4">
        <f t="shared" si="34"/>
        <v>79.515736649863555</v>
      </c>
      <c r="U133" s="4">
        <f>Planet(Panchanga!$E133,4)</f>
        <v>96.536996888353286</v>
      </c>
      <c r="V133" s="4">
        <f>Planet(Panchanga!$E133,2)</f>
        <v>99.3883744773144</v>
      </c>
      <c r="W133" s="4">
        <f>Planet(Panchanga!$E133,5)</f>
        <v>232.65665682989655</v>
      </c>
      <c r="X133" s="4">
        <f>Planet(Panchanga!$E133,3)</f>
        <v>65.109611410343248</v>
      </c>
      <c r="Y133" s="4">
        <f>Planet(Panchanga!$E133,6)</f>
        <v>263.5831180046207</v>
      </c>
      <c r="Z133" s="4">
        <f>Planet(Panchanga!$E133,10)</f>
        <v>83.751175244959938</v>
      </c>
      <c r="AA133" s="4" t="str">
        <f>TEXT(Panchanga!$C133+($C134-Panchanga!$C133)/ABS(IF($P134&lt;1,$P134+30,$P134)-Panchanga!$P133)*(ROUNDUP(Panchanga!$P133,0)-Panchanga!$P133),"hh:mm AM/PM")</f>
        <v>10:02 PM</v>
      </c>
      <c r="AB133" s="4"/>
    </row>
    <row r="134" spans="1:28" x14ac:dyDescent="0.2">
      <c r="A134" s="3">
        <f t="shared" si="29"/>
        <v>43650</v>
      </c>
      <c r="B134" s="3">
        <f t="shared" si="30"/>
        <v>43650.229166666664</v>
      </c>
      <c r="C134" s="15">
        <f t="shared" si="31"/>
        <v>43650.241541590694</v>
      </c>
      <c r="D134" s="15">
        <f t="shared" si="32"/>
        <v>43649.777779877229</v>
      </c>
      <c r="E134" s="17">
        <f>Panchanga!$C134-TimeZone/24</f>
        <v>43650.01237492403</v>
      </c>
      <c r="F134" s="18" t="str">
        <f>INT(P[Sun]/30)&amp;"s"&amp;ROUNDUP(MOD(P[Sun],30),2)</f>
        <v>2s17.66</v>
      </c>
      <c r="G134" s="18" t="str">
        <f>INT(P[Moon]/30)&amp;"s"&amp;ROUNDUP(MOD(P[Moon],30),2)</f>
        <v>3s4.04</v>
      </c>
      <c r="H134" s="14">
        <f t="shared" si="28"/>
        <v>43650.01237492403</v>
      </c>
      <c r="I134" s="4" t="str">
        <f>naks(P[[#This Row],[Moon]])</f>
        <v>Pushya</v>
      </c>
      <c r="J134" s="15">
        <f>(C135-P[[#This Row],[SunRise]])/(T135-P[[#This Row],[Moon]])*(13.3333333333333-MOD(P[[#This Row],[Moon]],13.333333333333))+P[[#This Row],[SunRise]]</f>
        <v>43651.103673747573</v>
      </c>
      <c r="K134" s="4" t="str">
        <f>IF(Panchanga!$P134&gt;15,"K","S")&amp;ROUNDUP(MOD(Panchanga!$P134,15),0)&amp;" ("&amp;ROUND(Panchanga!$P134,2)&amp;")"</f>
        <v>S2 (1.37)</v>
      </c>
      <c r="L134" s="4">
        <f>IF(AND(Panchanga!$P134&lt;28.5,Panchanga!$P134&gt;0.49999),MOD((Panchanga!$P134-0.5)*2,7),MOD((Panchanga!$P134+30-28.5),30)*2+7)</f>
        <v>1.7303999999999999</v>
      </c>
      <c r="M134" s="4" t="str">
        <f>CHOOSE(ROUNDUP(Panchanga!$L134,0),"Bhava","Baalava","Kaulava","Taitula","Garija","Vanija","Vishti","Shakuni","Chatushapda","Naaga","Kimstugna")</f>
        <v>Baalava</v>
      </c>
      <c r="N134" s="11" t="str">
        <f>CHOOSE(ROUNDUP(Panchanga!$Q134,0),"viṣkambha","prīti","āyuṣmāna","saubhāgya","śobhana","atigaṇḍa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("&amp;Panchanga!$Q134&amp;")"</f>
        <v>vyāghāta (12.88)</v>
      </c>
      <c r="O134" s="4">
        <f>IF(AND(Panchanga!$P134&lt;28.5,Panchanga!$P134&gt;0.49999),MOD((Panchanga!$P134-0.5)*2,7),MOD((Panchanga!$P134+30-28.5),30)*2+7)</f>
        <v>1.7303999999999999</v>
      </c>
      <c r="P134" s="4">
        <f>ROUNDUP(MOD(360+P[Moon]-P[Sun],360)/12,4)</f>
        <v>1.3652</v>
      </c>
      <c r="Q134" s="4">
        <f>ROUNDUP(MOD(P[Sun]+P[Moon],360)/13.333333333,2)</f>
        <v>12.879999999999999</v>
      </c>
      <c r="R134" s="4" t="str">
        <f>SIGN(U135-Panchanga!$U134)*INT(Panchanga!$U134/30+1)&amp;"Ma,"&amp;SIGN(V135-Panchanga!$V134)*INT(Panchanga!$V134/30+1)&amp;"Me,"&amp;SIGN(W135-Panchanga!$W134)*INT(Panchanga!$W134/30+1)&amp;"J, "&amp;SIGN(X135-Panchanga!$X134)*INT(Panchanga!$X134/30+1)&amp;"V,"&amp;SIGN(Y135-Panchanga!$Y134)*INT(Panchanga!$Y134/30+1)&amp;"S,"&amp;INT(Panchanga!$Z134/30+1)&amp;"R"</f>
        <v>4Ma,4Me,-8J, 3V,-9S,3R</v>
      </c>
      <c r="S134" s="4">
        <f t="shared" si="33"/>
        <v>77.654616905065353</v>
      </c>
      <c r="T134" s="4">
        <f t="shared" si="34"/>
        <v>94.03672288174171</v>
      </c>
      <c r="U134" s="4">
        <f>Planet(Panchanga!$E134,4)</f>
        <v>97.173192677533862</v>
      </c>
      <c r="V134" s="4">
        <f>Planet(Panchanga!$E134,2)</f>
        <v>99.730661079079709</v>
      </c>
      <c r="W134" s="4">
        <f>Planet(Panchanga!$E134,5)</f>
        <v>232.55074391810555</v>
      </c>
      <c r="X134" s="4">
        <f>Planet(Panchanga!$E134,3)</f>
        <v>66.333955077635338</v>
      </c>
      <c r="Y134" s="4">
        <f>Planet(Panchanga!$E134,6)</f>
        <v>263.51001724912277</v>
      </c>
      <c r="Z134" s="4">
        <f>Planet(Panchanga!$E134,10)</f>
        <v>83.69817294734996</v>
      </c>
      <c r="AA134" s="4" t="str">
        <f>TEXT(Panchanga!$C134+($C135-Panchanga!$C134)/ABS(IF($P135&lt;1,$P135+30,$P135)-Panchanga!$P134)*(ROUNDUP(Panchanga!$P134,0)-Panchanga!$P134),"hh:mm AM/PM")</f>
        <v>07:08 PM</v>
      </c>
      <c r="AB134" s="4"/>
    </row>
    <row r="135" spans="1:28" x14ac:dyDescent="0.2">
      <c r="A135" s="3">
        <f t="shared" si="29"/>
        <v>43651</v>
      </c>
      <c r="B135" s="3">
        <f t="shared" si="30"/>
        <v>43651.229166666664</v>
      </c>
      <c r="C135" s="15">
        <f t="shared" si="31"/>
        <v>43651.241737730023</v>
      </c>
      <c r="D135" s="15">
        <f t="shared" si="32"/>
        <v>43650.7778385282</v>
      </c>
      <c r="E135" s="17">
        <f>Panchanga!$C135-TimeZone/24</f>
        <v>43651.012571063358</v>
      </c>
      <c r="F135" s="18" t="str">
        <f>INT(P[Sun]/30)&amp;"s"&amp;ROUNDUP(MOD(P[Sun],30),2)</f>
        <v>2s18.61</v>
      </c>
      <c r="G135" s="18" t="str">
        <f>INT(P[Moon]/30)&amp;"s"&amp;ROUNDUP(MOD(P[Moon],30),2)</f>
        <v>3s18.69</v>
      </c>
      <c r="H135" s="14">
        <f t="shared" si="28"/>
        <v>43651.012571063358</v>
      </c>
      <c r="I135" s="4" t="str">
        <f>naks(P[[#This Row],[Moon]])</f>
        <v>Aslesha</v>
      </c>
      <c r="J135" s="15">
        <f>(C136-P[[#This Row],[SunRise]])/(T136-P[[#This Row],[Moon]])*(13.3333333333333-MOD(P[[#This Row],[Moon]],13.333333333333))+P[[#This Row],[SunRise]]</f>
        <v>43652.012465777829</v>
      </c>
      <c r="K135" s="4" t="str">
        <f>IF(Panchanga!$P135&gt;15,"K","S")&amp;ROUNDUP(MOD(Panchanga!$P135,15),0)&amp;" ("&amp;ROUND(Panchanga!$P135,2)&amp;")"</f>
        <v>S3 (2.51)</v>
      </c>
      <c r="L135" s="4">
        <f>IF(AND(Panchanga!$P135&lt;28.5,Panchanga!$P135&gt;0.49999),MOD((Panchanga!$P135-0.5)*2,7),MOD((Panchanga!$P135+30-28.5),30)*2+7)</f>
        <v>4.0136000000000003</v>
      </c>
      <c r="M135" s="4" t="str">
        <f>CHOOSE(ROUNDUP(Panchanga!$L135,0),"Bhava","Baalava","Kaulava","Taitula","Garija","Vanija","Vishti","Shakuni","Chatushapda","Naaga","Kimstugna")</f>
        <v>Garija</v>
      </c>
      <c r="N135" s="11" t="str">
        <f>CHOOSE(ROUNDUP(Panchanga!$Q135,0),"viṣkambha","prīti","āyuṣmāna","saubhāgya","śobhana","atigaṇḍa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("&amp;Panchanga!$Q135&amp;")"</f>
        <v>vajra (14.05)</v>
      </c>
      <c r="O135" s="4">
        <f>IF(AND(Panchanga!$P135&lt;28.5,Panchanga!$P135&gt;0.49999),MOD((Panchanga!$P135-0.5)*2,7),MOD((Panchanga!$P135+30-28.5),30)*2+7)</f>
        <v>4.0136000000000003</v>
      </c>
      <c r="P135" s="4">
        <f>ROUNDUP(MOD(360+P[Moon]-P[Sun],360)/12,4)</f>
        <v>2.5068000000000001</v>
      </c>
      <c r="Q135" s="4">
        <f>ROUNDUP(MOD(P[Sun]+P[Moon],360)/13.333333333,2)</f>
        <v>14.049999999999999</v>
      </c>
      <c r="R135" s="4" t="str">
        <f>SIGN(U136-Panchanga!$U135)*INT(Panchanga!$U135/30+1)&amp;"Ma,"&amp;SIGN(V136-Panchanga!$V135)*INT(Panchanga!$V135/30+1)&amp;"Me,"&amp;SIGN(W136-Panchanga!$W135)*INT(Panchanga!$W135/30+1)&amp;"J, "&amp;SIGN(X136-Panchanga!$X135)*INT(Panchanga!$X135/30+1)&amp;"V,"&amp;SIGN(Y136-Panchanga!$Y135)*INT(Panchanga!$Y135/30+1)&amp;"S,"&amp;INT(Panchanga!$Z135/30+1)&amp;"R"</f>
        <v>4Ma,4Me,-8J, 3V,-9S,3R</v>
      </c>
      <c r="S135" s="4">
        <f t="shared" si="33"/>
        <v>78.608482913743984</v>
      </c>
      <c r="T135" s="4">
        <f t="shared" si="34"/>
        <v>108.68925719776104</v>
      </c>
      <c r="U135" s="4">
        <f>Planet(Panchanga!$E135,4)</f>
        <v>97.809279237571587</v>
      </c>
      <c r="V135" s="4">
        <f>Planet(Panchanga!$E135,2)</f>
        <v>99.998311753009077</v>
      </c>
      <c r="W135" s="4">
        <f>Planet(Panchanga!$E135,5)</f>
        <v>232.44673381278164</v>
      </c>
      <c r="X135" s="4">
        <f>Planet(Panchanga!$E135,3)</f>
        <v>67.558546425749142</v>
      </c>
      <c r="Y135" s="4">
        <f>Planet(Panchanga!$E135,6)</f>
        <v>263.43670358251484</v>
      </c>
      <c r="Z135" s="4">
        <f>Planet(Panchanga!$E135,10)</f>
        <v>83.645170557073342</v>
      </c>
      <c r="AA135" s="4" t="str">
        <f>TEXT(Panchanga!$C135+($C136-Panchanga!$C135)/ABS(IF($P136&lt;1,$P136+30,$P136)-Panchanga!$P135)*(ROUNDUP(Panchanga!$P135,0)-Panchanga!$P135),"hh:mm AM/PM")</f>
        <v>04:09 PM</v>
      </c>
      <c r="AB135" s="4"/>
    </row>
    <row r="136" spans="1:28" x14ac:dyDescent="0.2">
      <c r="A136" s="3">
        <f t="shared" si="29"/>
        <v>43652</v>
      </c>
      <c r="B136" s="3">
        <f t="shared" si="30"/>
        <v>43652.229166666664</v>
      </c>
      <c r="C136" s="15">
        <f t="shared" si="31"/>
        <v>43652.241935140606</v>
      </c>
      <c r="D136" s="15">
        <f t="shared" si="32"/>
        <v>43651.777888119264</v>
      </c>
      <c r="E136" s="17">
        <f>Panchanga!$C136-TimeZone/24</f>
        <v>43652.012768473942</v>
      </c>
      <c r="F136" s="18" t="str">
        <f>INT(P[Sun]/30)&amp;"s"&amp;ROUNDUP(MOD(P[Sun],30),2)</f>
        <v>2s19.57</v>
      </c>
      <c r="G136" s="18" t="str">
        <f>INT(P[Moon]/30)&amp;"s"&amp;ROUNDUP(MOD(P[Moon],30),2)</f>
        <v>4s3.37</v>
      </c>
      <c r="H136" s="14">
        <f t="shared" si="28"/>
        <v>43652.012768473942</v>
      </c>
      <c r="I136" s="4" t="str">
        <f>naks(P[[#This Row],[Moon]])</f>
        <v>Makha</v>
      </c>
      <c r="J136" s="15">
        <f>(C137-P[[#This Row],[SunRise]])/(T137-P[[#This Row],[Moon]])*(13.3333333333333-MOD(P[[#This Row],[Moon]],13.333333333333))+P[[#This Row],[SunRise]]</f>
        <v>43652.92445844278</v>
      </c>
      <c r="K136" s="4" t="str">
        <f>IF(Panchanga!$P136&gt;15,"K","S")&amp;ROUNDUP(MOD(Panchanga!$P136,15),0)&amp;" ("&amp;ROUND(Panchanga!$P136,2)&amp;")"</f>
        <v>S4 (3.65)</v>
      </c>
      <c r="L136" s="4">
        <f>IF(AND(Panchanga!$P136&lt;28.5,Panchanga!$P136&gt;0.49999),MOD((Panchanga!$P136-0.5)*2,7),MOD((Panchanga!$P136+30-28.5),30)*2+7)</f>
        <v>6.3010000000000002</v>
      </c>
      <c r="M136" s="4" t="str">
        <f>CHOOSE(ROUNDUP(Panchanga!$L136,0),"Bhava","Baalava","Kaulava","Taitula","Garija","Vanija","Vishti","Shakuni","Chatushapda","Naaga","Kimstugna")</f>
        <v>Vishti</v>
      </c>
      <c r="N136" s="11" t="str">
        <f>CHOOSE(ROUNDUP(Panchanga!$Q136,0),"viṣkambha","prīti","āyuṣmāna","saubhāgya","śobhana","atigaṇḍa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("&amp;Panchanga!$Q136&amp;")"</f>
        <v>siddhi (15.22)</v>
      </c>
      <c r="O136" s="4">
        <f>IF(AND(Panchanga!$P136&lt;28.5,Panchanga!$P136&gt;0.49999),MOD((Panchanga!$P136-0.5)*2,7),MOD((Panchanga!$P136+30-28.5),30)*2+7)</f>
        <v>6.3010000000000002</v>
      </c>
      <c r="P136" s="4">
        <f>ROUNDUP(MOD(360+P[Moon]-P[Sun],360)/12,4)</f>
        <v>3.6505000000000001</v>
      </c>
      <c r="Q136" s="4">
        <f>ROUNDUP(MOD(P[Sun]+P[Moon],360)/13.333333333,2)</f>
        <v>15.22</v>
      </c>
      <c r="R136" s="4" t="str">
        <f>SIGN(U137-Panchanga!$U136)*INT(Panchanga!$U136/30+1)&amp;"Ma,"&amp;SIGN(V137-Panchanga!$V136)*INT(Panchanga!$V136/30+1)&amp;"Me,"&amp;SIGN(W137-Panchanga!$W136)*INT(Panchanga!$W136/30+1)&amp;"J, "&amp;SIGN(X137-Panchanga!$X136)*INT(Panchanga!$X136/30+1)&amp;"V,"&amp;SIGN(Y137-Panchanga!$Y136)*INT(Panchanga!$Y136/30+1)&amp;"S,"&amp;INT(Panchanga!$Z136/30+1)&amp;"R"</f>
        <v>4Ma,4Me,-8J, 3V,-9S,3R</v>
      </c>
      <c r="S136" s="4">
        <f t="shared" si="33"/>
        <v>79.562298891008254</v>
      </c>
      <c r="T136" s="4">
        <f t="shared" si="34"/>
        <v>123.36755480834297</v>
      </c>
      <c r="U136" s="4">
        <f>Planet(Panchanga!$E136,4)</f>
        <v>98.445251538822419</v>
      </c>
      <c r="V136" s="4">
        <f>Planet(Panchanga!$E136,2)</f>
        <v>100.18977242849679</v>
      </c>
      <c r="W136" s="4">
        <f>Planet(Panchanga!$E136,5)</f>
        <v>232.34469706091235</v>
      </c>
      <c r="X136" s="4">
        <f>Planet(Panchanga!$E136,3)</f>
        <v>68.783377571010107</v>
      </c>
      <c r="Y136" s="4">
        <f>Planet(Panchanga!$E136,6)</f>
        <v>263.363217020874</v>
      </c>
      <c r="Z136" s="4">
        <f>Planet(Panchanga!$E136,10)</f>
        <v>83.592168099430651</v>
      </c>
      <c r="AA136" s="4" t="str">
        <f>TEXT(Panchanga!$C136+($C137-Panchanga!$C136)/ABS(IF($P137&lt;1,$P137+30,$P137)-Panchanga!$P136)*(ROUNDUP(Panchanga!$P136,0)-Panchanga!$P136),"hh:mm AM/PM")</f>
        <v>01:10 PM</v>
      </c>
      <c r="AB136" s="4"/>
    </row>
    <row r="137" spans="1:28" x14ac:dyDescent="0.2">
      <c r="A137" s="3">
        <f t="shared" si="29"/>
        <v>43653</v>
      </c>
      <c r="B137" s="3">
        <f t="shared" si="30"/>
        <v>43653.229166666664</v>
      </c>
      <c r="C137" s="15">
        <f t="shared" si="31"/>
        <v>43653.242133345608</v>
      </c>
      <c r="D137" s="15">
        <f t="shared" si="32"/>
        <v>43652.777928332842</v>
      </c>
      <c r="E137" s="17">
        <f>Panchanga!$C137-TimeZone/24</f>
        <v>43653.012966678943</v>
      </c>
      <c r="F137" s="18" t="str">
        <f>INT(P[Sun]/30)&amp;"s"&amp;ROUNDUP(MOD(P[Sun],30),2)</f>
        <v>2s20.52</v>
      </c>
      <c r="G137" s="18" t="str">
        <f>INT(P[Moon]/30)&amp;"s"&amp;ROUNDUP(MOD(P[Moon],30),2)</f>
        <v>4s17.98</v>
      </c>
      <c r="H137" s="14">
        <f t="shared" si="28"/>
        <v>43653.012966678943</v>
      </c>
      <c r="I137" s="4" t="str">
        <f>naks(P[[#This Row],[Moon]])</f>
        <v>Purva Phalguni</v>
      </c>
      <c r="J137" s="15">
        <f>(C138-P[[#This Row],[SunRise]])/(T138-P[[#This Row],[Moon]])*(13.3333333333333-MOD(P[[#This Row],[Moon]],13.333333333333))+P[[#This Row],[SunRise]]</f>
        <v>43653.844099045746</v>
      </c>
      <c r="K137" s="4" t="str">
        <f>IF(Panchanga!$P137&gt;15,"K","S")&amp;ROUNDUP(MOD(Panchanga!$P137,15),0)&amp;" ("&amp;ROUND(Panchanga!$P137,2)&amp;")"</f>
        <v>S5 (4.79)</v>
      </c>
      <c r="L137" s="4">
        <f>IF(AND(Panchanga!$P137&lt;28.5,Panchanga!$P137&gt;0.49999),MOD((Panchanga!$P137-0.5)*2,7),MOD((Panchanga!$P137+30-28.5),30)*2+7)</f>
        <v>1.5759999999999987</v>
      </c>
      <c r="M137" s="4" t="str">
        <f>CHOOSE(ROUNDUP(Panchanga!$L137,0),"Bhava","Baalava","Kaulava","Taitula","Garija","Vanija","Vishti","Shakuni","Chatushapda","Naaga","Kimstugna")</f>
        <v>Baalava</v>
      </c>
      <c r="N137" s="11" t="str">
        <f>CHOOSE(ROUNDUP(Panchanga!$Q137,0),"viṣkambha","prīti","āyuṣmāna","saubhāgya","śobhana","atigaṇḍa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("&amp;Panchanga!$Q137&amp;")"</f>
        <v>vyatipāta (16.39)</v>
      </c>
      <c r="O137" s="4">
        <f>IF(AND(Panchanga!$P137&lt;28.5,Panchanga!$P137&gt;0.49999),MOD((Panchanga!$P137-0.5)*2,7),MOD((Panchanga!$P137+30-28.5),30)*2+7)</f>
        <v>1.5759999999999987</v>
      </c>
      <c r="P137" s="4">
        <f>ROUNDUP(MOD(360+P[Moon]-P[Sun],360)/12,4)</f>
        <v>4.7879999999999994</v>
      </c>
      <c r="Q137" s="4">
        <f>ROUNDUP(MOD(P[Sun]+P[Moon],360)/13.333333333,2)</f>
        <v>16.39</v>
      </c>
      <c r="R137" s="4" t="str">
        <f>SIGN(U138-Panchanga!$U137)*INT(Panchanga!$U137/30+1)&amp;"Ma,"&amp;SIGN(V138-Panchanga!$V137)*INT(Panchanga!$V137/30+1)&amp;"Me,"&amp;SIGN(W138-Panchanga!$W137)*INT(Panchanga!$W137/30+1)&amp;"J, "&amp;SIGN(X138-Panchanga!$X137)*INT(Panchanga!$X137/30+1)&amp;"V,"&amp;SIGN(Y138-Panchanga!$Y137)*INT(Panchanga!$Y137/30+1)&amp;"S,"&amp;INT(Panchanga!$Z137/30+1)&amp;"R"</f>
        <v>4Ma,4Me,-8J, 3V,-9S,3R</v>
      </c>
      <c r="S137" s="4">
        <f t="shared" si="33"/>
        <v>80.516056208641061</v>
      </c>
      <c r="T137" s="4">
        <f t="shared" si="34"/>
        <v>137.97182364484934</v>
      </c>
      <c r="U137" s="4">
        <f>Planet(Panchanga!$E137,4)</f>
        <v>99.081105081006712</v>
      </c>
      <c r="V137" s="4">
        <f>Planet(Panchanga!$E137,2)</f>
        <v>100.30379520055628</v>
      </c>
      <c r="W137" s="4">
        <f>Planet(Panchanga!$E137,5)</f>
        <v>232.24470090367862</v>
      </c>
      <c r="X137" s="4">
        <f>Planet(Panchanga!$E137,3)</f>
        <v>70.008442780408956</v>
      </c>
      <c r="Y137" s="4">
        <f>Planet(Panchanga!$E137,6)</f>
        <v>263.28959733793022</v>
      </c>
      <c r="Z137" s="4">
        <f>Planet(Panchanga!$E137,10)</f>
        <v>83.539165599689312</v>
      </c>
      <c r="AA137" s="4" t="str">
        <f>TEXT(Panchanga!$C137+($C138-Panchanga!$C137)/ABS(IF($P138&lt;1,$P138+30,$P138)-Panchanga!$P137)*(ROUNDUP(Panchanga!$P137,0)-Panchanga!$P137),"hh:mm AM/PM")</f>
        <v>10:20 AM</v>
      </c>
      <c r="AB137" s="4"/>
    </row>
    <row r="138" spans="1:28" x14ac:dyDescent="0.2">
      <c r="A138" s="3">
        <f t="shared" si="29"/>
        <v>43654</v>
      </c>
      <c r="B138" s="3">
        <f t="shared" si="30"/>
        <v>43654.229166666664</v>
      </c>
      <c r="C138" s="15">
        <f t="shared" si="31"/>
        <v>43654.242332345959</v>
      </c>
      <c r="D138" s="15">
        <f t="shared" si="32"/>
        <v>43653.77795900921</v>
      </c>
      <c r="E138" s="17">
        <f>Panchanga!$C138-TimeZone/24</f>
        <v>43654.013165679295</v>
      </c>
      <c r="F138" s="18" t="str">
        <f>INT(P[Sun]/30)&amp;"s"&amp;ROUNDUP(MOD(P[Sun],30),2)</f>
        <v>2s21.47</v>
      </c>
      <c r="G138" s="18" t="str">
        <f>INT(P[Moon]/30)&amp;"s"&amp;ROUNDUP(MOD(P[Moon],30),2)</f>
        <v>5s2.42</v>
      </c>
      <c r="H138" s="14">
        <f t="shared" ref="H138:H201" si="35">E138</f>
        <v>43654.013165679295</v>
      </c>
      <c r="I138" s="4" t="str">
        <f>naks(P[[#This Row],[Moon]])</f>
        <v>Uttara Phalguni</v>
      </c>
      <c r="J138" s="15">
        <f>(C139-P[[#This Row],[SunRise]])/(T139-P[[#This Row],[Moon]])*(13.3333333333333-MOD(P[[#This Row],[Moon]],13.333333333333))+P[[#This Row],[SunRise]]</f>
        <v>43654.775240777068</v>
      </c>
      <c r="K138" s="4" t="str">
        <f>IF(Panchanga!$P138&gt;15,"K","S")&amp;ROUNDUP(MOD(Panchanga!$P138,15),0)&amp;" ("&amp;ROUND(Panchanga!$P138,2)&amp;")"</f>
        <v>S6 (5.91)</v>
      </c>
      <c r="L138" s="4">
        <f>IF(AND(Panchanga!$P138&lt;28.5,Panchanga!$P138&gt;0.49999),MOD((Panchanga!$P138-0.5)*2,7),MOD((Panchanga!$P138+30-28.5),30)*2+7)</f>
        <v>3.8249999999999993</v>
      </c>
      <c r="M138" s="4" t="str">
        <f>CHOOSE(ROUNDUP(Panchanga!$L138,0),"Bhava","Baalava","Kaulava","Taitula","Garija","Vanija","Vishti","Shakuni","Chatushapda","Naaga","Kimstugna")</f>
        <v>Taitula</v>
      </c>
      <c r="N138" s="11" t="str">
        <f>CHOOSE(ROUNDUP(Panchanga!$Q138,0),"viṣkambha","prīti","āyuṣmāna","saubhāgya","śobhana","atigaṇḍa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("&amp;Panchanga!$Q138&amp;")"</f>
        <v>varīyas (17.55)</v>
      </c>
      <c r="O138" s="4">
        <f>IF(AND(Panchanga!$P138&lt;28.5,Panchanga!$P138&gt;0.49999),MOD((Panchanga!$P138-0.5)*2,7),MOD((Panchanga!$P138+30-28.5),30)*2+7)</f>
        <v>3.8249999999999993</v>
      </c>
      <c r="P138" s="4">
        <f>ROUNDUP(MOD(360+P[Moon]-P[Sun],360)/12,4)</f>
        <v>5.9124999999999996</v>
      </c>
      <c r="Q138" s="4">
        <f>ROUNDUP(MOD(P[Sun]+P[Moon],360)/13.333333333,2)</f>
        <v>17.55</v>
      </c>
      <c r="R138" s="4" t="str">
        <f>SIGN(U139-Panchanga!$U138)*INT(Panchanga!$U138/30+1)&amp;"Ma,"&amp;SIGN(V139-Panchanga!$V138)*INT(Panchanga!$V138/30+1)&amp;"Me,"&amp;SIGN(W139-Panchanga!$W138)*INT(Panchanga!$W138/30+1)&amp;"J, "&amp;SIGN(X139-Panchanga!$X138)*INT(Panchanga!$X138/30+1)&amp;"V,"&amp;SIGN(Y139-Panchanga!$Y138)*INT(Panchanga!$Y138/30+1)&amp;"S,"&amp;INT(Panchanga!$Z138/30+1)&amp;"R"</f>
        <v>4Ma,-4Me,-8J, 3V,-9S,3R</v>
      </c>
      <c r="S138" s="4">
        <f t="shared" si="33"/>
        <v>81.469751112932968</v>
      </c>
      <c r="T138" s="4">
        <f t="shared" si="34"/>
        <v>152.41878182974344</v>
      </c>
      <c r="U138" s="4">
        <f>Planet(Panchanga!$E138,4)</f>
        <v>99.716836954675841</v>
      </c>
      <c r="V138" s="4">
        <f>Planet(Panchanga!$E138,2)</f>
        <v>100.33953678328459</v>
      </c>
      <c r="W138" s="4">
        <f>Planet(Panchanga!$E138,5)</f>
        <v>232.14680899683603</v>
      </c>
      <c r="X138" s="4">
        <f>Planet(Panchanga!$E138,3)</f>
        <v>71.233739653262276</v>
      </c>
      <c r="Y138" s="4">
        <f>Planet(Panchanga!$E138,6)</f>
        <v>263.21588377563404</v>
      </c>
      <c r="Z138" s="4">
        <f>Planet(Panchanga!$E138,10)</f>
        <v>83.486163057782989</v>
      </c>
      <c r="AA138" s="4" t="str">
        <f>TEXT(Panchanga!$C138+($C139-Panchanga!$C138)/ABS(IF($P139&lt;1,$P139+30,$P139)-Panchanga!$P138)*(ROUNDUP(Panchanga!$P138,0)-Panchanga!$P138),"hh:mm AM/PM")</f>
        <v>07:42 AM</v>
      </c>
      <c r="AB138" s="4"/>
    </row>
    <row r="139" spans="1:28" x14ac:dyDescent="0.2">
      <c r="A139" s="3">
        <f t="shared" ref="A139:A202" si="36">A138+1</f>
        <v>43655</v>
      </c>
      <c r="B139" s="3">
        <f t="shared" si="30"/>
        <v>43655.229166666664</v>
      </c>
      <c r="C139" s="15">
        <f t="shared" si="31"/>
        <v>43655.242531504635</v>
      </c>
      <c r="D139" s="15">
        <f t="shared" si="32"/>
        <v>43654.777979990045</v>
      </c>
      <c r="E139" s="17">
        <f>Panchanga!$C139-TimeZone/24</f>
        <v>43655.013364837971</v>
      </c>
      <c r="F139" s="18" t="str">
        <f>INT(P[Sun]/30)&amp;"s"&amp;ROUNDUP(MOD(P[Sun],30),2)</f>
        <v>2s22.43</v>
      </c>
      <c r="G139" s="18" t="str">
        <f>INT(P[Moon]/30)&amp;"s"&amp;ROUNDUP(MOD(P[Moon],30),2)</f>
        <v>5s16.65</v>
      </c>
      <c r="H139" s="14">
        <f t="shared" si="35"/>
        <v>43655.013364837971</v>
      </c>
      <c r="I139" s="4" t="str">
        <f>naks(P[[#This Row],[Moon]])</f>
        <v>Hasta</v>
      </c>
      <c r="J139" s="15">
        <f>(C140-P[[#This Row],[SunRise]])/(T140-P[[#This Row],[Moon]])*(13.3333333333333-MOD(P[[#This Row],[Moon]],13.333333333333))+P[[#This Row],[SunRise]]</f>
        <v>43655.721058569077</v>
      </c>
      <c r="K139" s="4" t="str">
        <f>IF(Panchanga!$P139&gt;15,"K","S")&amp;ROUNDUP(MOD(Panchanga!$P139,15),0)&amp;" ("&amp;ROUND(Panchanga!$P139,2)&amp;")"</f>
        <v>S8 (7.02)</v>
      </c>
      <c r="L139" s="4">
        <f>IF(AND(Panchanga!$P139&lt;28.5,Panchanga!$P139&gt;0.49999),MOD((Panchanga!$P139-0.5)*2,7),MOD((Panchanga!$P139+30-28.5),30)*2+7)</f>
        <v>6.0373999999999999</v>
      </c>
      <c r="M139" s="4" t="str">
        <f>CHOOSE(ROUNDUP(Panchanga!$L139,0),"Bhava","Baalava","Kaulava","Taitula","Garija","Vanija","Vishti","Shakuni","Chatushapda","Naaga","Kimstugna")</f>
        <v>Vishti</v>
      </c>
      <c r="N139" s="11" t="str">
        <f>CHOOSE(ROUNDUP(Panchanga!$Q139,0),"viṣkambha","prīti","āyuṣmāna","saubhāgya","śobhana","atigaṇḍa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("&amp;Panchanga!$Q139&amp;")"</f>
        <v>parigha (18.69)</v>
      </c>
      <c r="O139" s="4">
        <f>IF(AND(Panchanga!$P139&lt;28.5,Panchanga!$P139&gt;0.49999),MOD((Panchanga!$P139-0.5)*2,7),MOD((Panchanga!$P139+30-28.5),30)*2+7)</f>
        <v>6.0373999999999999</v>
      </c>
      <c r="P139" s="4">
        <f>ROUNDUP(MOD(360+P[Moon]-P[Sun],360)/12,4)</f>
        <v>7.0186999999999999</v>
      </c>
      <c r="Q139" s="4">
        <f>ROUNDUP(MOD(P[Sun]+P[Moon],360)/13.333333333,2)</f>
        <v>18.690000000000001</v>
      </c>
      <c r="R139" s="4" t="str">
        <f>SIGN(U140-Panchanga!$U139)*INT(Panchanga!$U139/30+1)&amp;"Ma,"&amp;SIGN(V140-Panchanga!$V139)*INT(Panchanga!$V139/30+1)&amp;"Me,"&amp;SIGN(W140-Panchanga!$W139)*INT(Panchanga!$W139/30+1)&amp;"J, "&amp;SIGN(X140-Panchanga!$X139)*INT(Panchanga!$X139/30+1)&amp;"V,"&amp;SIGN(Y140-Panchanga!$Y139)*INT(Panchanga!$Y139/30+1)&amp;"S,"&amp;INT(Panchanga!$Z139/30+1)&amp;"R"</f>
        <v>4Ma,-4Me,-8J, 3V,-9S,3R</v>
      </c>
      <c r="S139" s="4">
        <f t="shared" si="33"/>
        <v>82.42338431090073</v>
      </c>
      <c r="T139" s="4">
        <f t="shared" si="34"/>
        <v>166.64773298344346</v>
      </c>
      <c r="U139" s="4">
        <f>Planet(Panchanga!$E139,4)</f>
        <v>100.35244562948054</v>
      </c>
      <c r="V139" s="4">
        <f>Planet(Panchanga!$E139,2)</f>
        <v>100.29666658866789</v>
      </c>
      <c r="W139" s="4">
        <f>Planet(Panchanga!$E139,5)</f>
        <v>232.05108153807703</v>
      </c>
      <c r="X139" s="4">
        <f>Planet(Panchanga!$E139,3)</f>
        <v>72.459267897987004</v>
      </c>
      <c r="Y139" s="4">
        <f>Planet(Panchanga!$E139,6)</f>
        <v>263.14211497637524</v>
      </c>
      <c r="Z139" s="4">
        <f>Planet(Panchanga!$E139,10)</f>
        <v>83.433160507512042</v>
      </c>
      <c r="AA139" s="4" t="str">
        <f>TEXT(Panchanga!$C139+($C140-Panchanga!$C139)/ABS(IF($P140&lt;1,$P140+30,$P140)-Panchanga!$P139)*(ROUNDUP(Panchanga!$P139,0)-Panchanga!$P139),"hh:mm AM/PM")</f>
        <v>03:31 AM</v>
      </c>
      <c r="AB139" s="4"/>
    </row>
    <row r="140" spans="1:28" x14ac:dyDescent="0.2">
      <c r="A140" s="3">
        <f t="shared" si="36"/>
        <v>43656</v>
      </c>
      <c r="B140" s="3">
        <f t="shared" si="30"/>
        <v>43656.229166666664</v>
      </c>
      <c r="C140" s="15">
        <f t="shared" si="31"/>
        <v>43656.242730822567</v>
      </c>
      <c r="D140" s="15">
        <f t="shared" si="32"/>
        <v>43655.777991116091</v>
      </c>
      <c r="E140" s="17">
        <f>Panchanga!$C140-TimeZone/24</f>
        <v>43656.013564155903</v>
      </c>
      <c r="F140" s="18" t="str">
        <f>INT(P[Sun]/30)&amp;"s"&amp;ROUNDUP(MOD(P[Sun],30),2)</f>
        <v>2s23.38</v>
      </c>
      <c r="G140" s="18" t="str">
        <f>INT(P[Moon]/30)&amp;"s"&amp;ROUNDUP(MOD(P[Moon],30),2)</f>
        <v>6s0.63</v>
      </c>
      <c r="H140" s="14">
        <f t="shared" si="35"/>
        <v>43656.013564155903</v>
      </c>
      <c r="I140" s="4" t="str">
        <f>naks(P[[#This Row],[Moon]])</f>
        <v>Chitra</v>
      </c>
      <c r="J140" s="15">
        <f>(C141-P[[#This Row],[SunRise]])/(T141-P[[#This Row],[Moon]])*(13.3333333333333-MOD(P[[#This Row],[Moon]],13.333333333333))+P[[#This Row],[SunRise]]</f>
        <v>43656.68396200546</v>
      </c>
      <c r="K140" s="4" t="str">
        <f>IF(Panchanga!$P140&gt;15,"K","S")&amp;ROUNDUP(MOD(Panchanga!$P140,15),0)&amp;" ("&amp;ROUND(Panchanga!$P140,2)&amp;")"</f>
        <v>S9 (8.1)</v>
      </c>
      <c r="L140" s="4">
        <f>IF(AND(Panchanga!$P140&lt;28.5,Panchanga!$P140&gt;0.49999),MOD((Panchanga!$P140-0.5)*2,7),MOD((Panchanga!$P140+30-28.5),30)*2+7)</f>
        <v>1.2075999999999993</v>
      </c>
      <c r="M140" s="4" t="str">
        <f>CHOOSE(ROUNDUP(Panchanga!$L140,0),"Bhava","Baalava","Kaulava","Taitula","Garija","Vanija","Vishti","Shakuni","Chatushapda","Naaga","Kimstugna")</f>
        <v>Baalava</v>
      </c>
      <c r="N140" s="11" t="str">
        <f>CHOOSE(ROUNDUP(Panchanga!$Q140,0),"viṣkambha","prīti","āyuṣmāna","saubhāgya","śobhana","atigaṇḍa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("&amp;Panchanga!$Q140&amp;")"</f>
        <v>śiva (19.8)</v>
      </c>
      <c r="O140" s="4">
        <f>IF(AND(Panchanga!$P140&lt;28.5,Panchanga!$P140&gt;0.49999),MOD((Panchanga!$P140-0.5)*2,7),MOD((Panchanga!$P140+30-28.5),30)*2+7)</f>
        <v>1.2075999999999993</v>
      </c>
      <c r="P140" s="4">
        <f>ROUNDUP(MOD(360+P[Moon]-P[Sun],360)/12,4)</f>
        <v>8.1037999999999997</v>
      </c>
      <c r="Q140" s="4">
        <f>ROUNDUP(MOD(P[Sun]+P[Moon],360)/13.333333333,2)</f>
        <v>19.8</v>
      </c>
      <c r="R140" s="4" t="str">
        <f>SIGN(U141-Panchanga!$U140)*INT(Panchanga!$U140/30+1)&amp;"Ma,"&amp;SIGN(V141-Panchanga!$V140)*INT(Panchanga!$V140/30+1)&amp;"Me,"&amp;SIGN(W141-Panchanga!$W140)*INT(Panchanga!$W140/30+1)&amp;"J, "&amp;SIGN(X141-Panchanga!$X140)*INT(Panchanga!$X140/30+1)&amp;"V,"&amp;SIGN(Y141-Panchanga!$Y140)*INT(Panchanga!$Y140/30+1)&amp;"S,"&amp;INT(Panchanga!$Z140/30+1)&amp;"R"</f>
        <v>4Ma,-4Me,-8J, 3V,-9S,3R</v>
      </c>
      <c r="S140" s="4">
        <f t="shared" si="33"/>
        <v>83.376962159991507</v>
      </c>
      <c r="T140" s="4">
        <f t="shared" si="34"/>
        <v>180.62172402142201</v>
      </c>
      <c r="U140" s="4">
        <f>Planet(Panchanga!$E140,4)</f>
        <v>100.98793197582168</v>
      </c>
      <c r="V140" s="4">
        <f>Planet(Panchanga!$E140,2)</f>
        <v>100.17548231084919</v>
      </c>
      <c r="W140" s="4">
        <f>Planet(Panchanga!$E140,5)</f>
        <v>231.95757534209994</v>
      </c>
      <c r="X140" s="4">
        <f>Planet(Panchanga!$E140,3)</f>
        <v>73.685030679743278</v>
      </c>
      <c r="Y140" s="4">
        <f>Planet(Panchanga!$E140,6)</f>
        <v>263.06832883704743</v>
      </c>
      <c r="Z140" s="4">
        <f>Planet(Panchanga!$E140,10)</f>
        <v>83.38015794882682</v>
      </c>
      <c r="AA140" s="4" t="str">
        <f>TEXT(Panchanga!$C140+($C141-Panchanga!$C140)/ABS(IF($P141&lt;1,$P141+30,$P141)-Panchanga!$P140)*(ROUNDUP(Panchanga!$P140,0)-Panchanga!$P140),"hh:mm AM/PM")</f>
        <v>02:04 AM</v>
      </c>
      <c r="AB140" s="4"/>
    </row>
    <row r="141" spans="1:28" x14ac:dyDescent="0.2">
      <c r="A141" s="3">
        <f t="shared" si="36"/>
        <v>43657</v>
      </c>
      <c r="B141" s="3">
        <f t="shared" si="30"/>
        <v>43657.229166666664</v>
      </c>
      <c r="C141" s="15">
        <f t="shared" si="31"/>
        <v>43657.242929981709</v>
      </c>
      <c r="D141" s="15">
        <f t="shared" si="32"/>
        <v>43656.777992069765</v>
      </c>
      <c r="E141" s="17">
        <f>Panchanga!$C141-TimeZone/24</f>
        <v>43657.013763315044</v>
      </c>
      <c r="F141" s="18" t="str">
        <f>INT(P[Sun]/30)&amp;"s"&amp;ROUNDUP(MOD(P[Sun],30),2)</f>
        <v>2s24.34</v>
      </c>
      <c r="G141" s="18" t="str">
        <f>INT(P[Moon]/30)&amp;"s"&amp;ROUNDUP(MOD(P[Moon],30),2)</f>
        <v>6s14.33</v>
      </c>
      <c r="H141" s="14">
        <f t="shared" si="35"/>
        <v>43657.013763315044</v>
      </c>
      <c r="I141" s="4" t="str">
        <f>naks(P[[#This Row],[Moon]])</f>
        <v>Swati</v>
      </c>
      <c r="J141" s="15">
        <f>(C142-P[[#This Row],[SunRise]])/(T142-P[[#This Row],[Moon]])*(13.3333333333333-MOD(P[[#This Row],[Moon]],13.333333333333))+P[[#This Row],[SunRise]]</f>
        <v>43657.665560988542</v>
      </c>
      <c r="K141" s="4" t="str">
        <f>IF(Panchanga!$P141&gt;15,"K","S")&amp;ROUNDUP(MOD(Panchanga!$P141,15),0)&amp;" ("&amp;ROUND(Panchanga!$P141,2)&amp;")"</f>
        <v>S10 (9.17)</v>
      </c>
      <c r="L141" s="4">
        <f>IF(AND(Panchanga!$P141&lt;28.5,Panchanga!$P141&gt;0.49999),MOD((Panchanga!$P141-0.5)*2,7),MOD((Panchanga!$P141+30-28.5),30)*2+7)</f>
        <v>3.3323999999999998</v>
      </c>
      <c r="M141" s="4" t="str">
        <f>CHOOSE(ROUNDUP(Panchanga!$L141,0),"Bhava","Baalava","Kaulava","Taitula","Garija","Vanija","Vishti","Shakuni","Chatushapda","Naaga","Kimstugna")</f>
        <v>Taitula</v>
      </c>
      <c r="N141" s="11" t="str">
        <f>CHOOSE(ROUNDUP(Panchanga!$Q141,0),"viṣkambha","prīti","āyuṣmāna","saubhāgya","śobhana","atigaṇḍa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("&amp;Panchanga!$Q141&amp;")"</f>
        <v>siddha (20.9)</v>
      </c>
      <c r="O141" s="4">
        <f>IF(AND(Panchanga!$P141&lt;28.5,Panchanga!$P141&gt;0.49999),MOD((Panchanga!$P141-0.5)*2,7),MOD((Panchanga!$P141+30-28.5),30)*2+7)</f>
        <v>3.3323999999999998</v>
      </c>
      <c r="P141" s="4">
        <f>ROUNDUP(MOD(360+P[Moon]-P[Sun],360)/12,4)</f>
        <v>9.1661999999999999</v>
      </c>
      <c r="Q141" s="4">
        <f>ROUNDUP(MOD(P[Sun]+P[Moon],360)/13.333333333,2)</f>
        <v>20.900000000000002</v>
      </c>
      <c r="R141" s="4" t="str">
        <f>SIGN(U142-Panchanga!$U141)*INT(Panchanga!$U141/30+1)&amp;"Ma,"&amp;SIGN(V142-Panchanga!$V141)*INT(Panchanga!$V141/30+1)&amp;"Me,"&amp;SIGN(W142-Panchanga!$W141)*INT(Panchanga!$W141/30+1)&amp;"J, "&amp;SIGN(X142-Panchanga!$X141)*INT(Panchanga!$X141/30+1)&amp;"V,"&amp;SIGN(Y142-Panchanga!$Y141)*INT(Panchanga!$Y141/30+1)&amp;"S,"&amp;INT(Panchanga!$Z141/30+1)&amp;"R"</f>
        <v>4Ma,-4Me,-8J, 3V,-9S,3R</v>
      </c>
      <c r="S141" s="4">
        <f t="shared" si="33"/>
        <v>84.330495296582484</v>
      </c>
      <c r="T141" s="4">
        <f t="shared" si="34"/>
        <v>194.32462351091428</v>
      </c>
      <c r="U141" s="4">
        <f>Planet(Panchanga!$E141,4)</f>
        <v>101.62329864695916</v>
      </c>
      <c r="V141" s="4">
        <f>Planet(Panchanga!$E141,2)</f>
        <v>99.977029579817341</v>
      </c>
      <c r="W141" s="4">
        <f>Planet(Panchanga!$E141,5)</f>
        <v>231.86634422029789</v>
      </c>
      <c r="X141" s="4">
        <f>Planet(Panchanga!$E141,3)</f>
        <v>74.911033039890569</v>
      </c>
      <c r="Y141" s="4">
        <f>Planet(Panchanga!$E141,6)</f>
        <v>262.99456259999107</v>
      </c>
      <c r="Z141" s="4">
        <f>Planet(Panchanga!$E141,10)</f>
        <v>83.327155398511493</v>
      </c>
      <c r="AA141" s="4" t="str">
        <f>TEXT(Panchanga!$C141+($C142-Panchanga!$C141)/ABS(IF($P142&lt;1,$P142+30,$P142)-Panchanga!$P141)*(ROUNDUP(Panchanga!$P141,0)-Panchanga!$P141),"hh:mm AM/PM")</f>
        <v>01:04 AM</v>
      </c>
      <c r="AB141" s="4"/>
    </row>
    <row r="142" spans="1:28" x14ac:dyDescent="0.2">
      <c r="A142" s="3">
        <f t="shared" si="36"/>
        <v>43658</v>
      </c>
      <c r="B142" s="3">
        <f t="shared" si="30"/>
        <v>43658.229166666664</v>
      </c>
      <c r="C142" s="15">
        <f t="shared" si="31"/>
        <v>43658.243128664013</v>
      </c>
      <c r="D142" s="15">
        <f t="shared" si="32"/>
        <v>43657.777983009859</v>
      </c>
      <c r="E142" s="17">
        <f>Panchanga!$C142-TimeZone/24</f>
        <v>43658.013961997349</v>
      </c>
      <c r="F142" s="18" t="str">
        <f>INT(P[Sun]/30)&amp;"s"&amp;ROUNDUP(MOD(P[Sun],30),2)</f>
        <v>2s25.29</v>
      </c>
      <c r="G142" s="18" t="str">
        <f>INT(P[Moon]/30)&amp;"s"&amp;ROUNDUP(MOD(P[Moon],30),2)</f>
        <v>6s27.76</v>
      </c>
      <c r="H142" s="14">
        <f t="shared" si="35"/>
        <v>43658.013961997349</v>
      </c>
      <c r="I142" s="4" t="str">
        <f>naks(P[[#This Row],[Moon]])</f>
        <v>Visakha</v>
      </c>
      <c r="J142" s="15">
        <f>(C143-P[[#This Row],[SunRise]])/(T143-P[[#This Row],[Moon]])*(13.3333333333333-MOD(P[[#This Row],[Moon]],13.333333333333))+P[[#This Row],[SunRise]]</f>
        <v>43658.666717660133</v>
      </c>
      <c r="K142" s="4" t="str">
        <f>IF(Panchanga!$P142&gt;15,"K","S")&amp;ROUNDUP(MOD(Panchanga!$P142,15),0)&amp;" ("&amp;ROUND(Panchanga!$P142,2)&amp;")"</f>
        <v>S11 (10.21)</v>
      </c>
      <c r="L142" s="4">
        <f>IF(AND(Panchanga!$P142&lt;28.5,Panchanga!$P142&gt;0.49999),MOD((Panchanga!$P142-0.5)*2,7),MOD((Panchanga!$P142+30-28.5),30)*2+7)</f>
        <v>5.411999999999999</v>
      </c>
      <c r="M142" s="4" t="str">
        <f>CHOOSE(ROUNDUP(Panchanga!$L142,0),"Bhava","Baalava","Kaulava","Taitula","Garija","Vanija","Vishti","Shakuni","Chatushapda","Naaga","Kimstugna")</f>
        <v>Vanija</v>
      </c>
      <c r="N142" s="11" t="str">
        <f>CHOOSE(ROUNDUP(Panchanga!$Q142,0),"viṣkambha","prīti","āyuṣmāna","saubhāgya","śobhana","atigaṇḍa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("&amp;Panchanga!$Q142&amp;")"</f>
        <v>sādhya (21.98)</v>
      </c>
      <c r="O142" s="4">
        <f>IF(AND(Panchanga!$P142&lt;28.5,Panchanga!$P142&gt;0.49999),MOD((Panchanga!$P142-0.5)*2,7),MOD((Panchanga!$P142+30-28.5),30)*2+7)</f>
        <v>5.411999999999999</v>
      </c>
      <c r="P142" s="4">
        <f>ROUNDUP(MOD(360+P[Moon]-P[Sun],360)/12,4)</f>
        <v>10.206</v>
      </c>
      <c r="Q142" s="4">
        <f>ROUNDUP(MOD(P[Sun]+P[Moon],360)/13.333333333,2)</f>
        <v>21.98</v>
      </c>
      <c r="R142" s="4" t="str">
        <f>SIGN(U143-Panchanga!$U142)*INT(Panchanga!$U142/30+1)&amp;"Ma,"&amp;SIGN(V143-Panchanga!$V142)*INT(Panchanga!$V142/30+1)&amp;"Me,"&amp;SIGN(W143-Panchanga!$W142)*INT(Panchanga!$W142/30+1)&amp;"J, "&amp;SIGN(X143-Panchanga!$X142)*INT(Panchanga!$X142/30+1)&amp;"V,"&amp;SIGN(Y143-Panchanga!$Y142)*INT(Panchanga!$Y142/30+1)&amp;"S,"&amp;INT(Panchanga!$Z142/30+1)&amp;"R"</f>
        <v>4Ma,-4Me,-8J, 3V,-9S,3R</v>
      </c>
      <c r="S142" s="4">
        <f t="shared" si="33"/>
        <v>85.283998297767369</v>
      </c>
      <c r="T142" s="4">
        <f t="shared" si="34"/>
        <v>207.75597141049639</v>
      </c>
      <c r="U142" s="4">
        <f>Planet(Panchanga!$E142,4)</f>
        <v>102.25855014203556</v>
      </c>
      <c r="V142" s="4">
        <f>Planet(Panchanga!$E142,2)</f>
        <v>99.703221309953463</v>
      </c>
      <c r="W142" s="4">
        <f>Planet(Panchanga!$E142,5)</f>
        <v>231.77743925638143</v>
      </c>
      <c r="X142" s="4">
        <f>Planet(Panchanga!$E142,3)</f>
        <v>76.137281822863812</v>
      </c>
      <c r="Y142" s="4">
        <f>Planet(Panchanga!$E142,6)</f>
        <v>262.9208528920941</v>
      </c>
      <c r="Z142" s="4">
        <f>Planet(Panchanga!$E142,10)</f>
        <v>83.274152873482791</v>
      </c>
      <c r="AA142" s="4" t="str">
        <f>TEXT(Panchanga!$C142+($C143-Panchanga!$C142)/ABS(IF($P143&lt;1,$P143+30,$P143)-Panchanga!$P142)*(ROUNDUP(Panchanga!$P142,0)-Panchanga!$P142),"hh:mm AM/PM")</f>
        <v>12:33 AM</v>
      </c>
      <c r="AB142" s="4"/>
    </row>
    <row r="143" spans="1:28" x14ac:dyDescent="0.2">
      <c r="A143" s="3">
        <f t="shared" si="36"/>
        <v>43659</v>
      </c>
      <c r="B143" s="3">
        <f t="shared" si="30"/>
        <v>43659.229166666664</v>
      </c>
      <c r="C143" s="15">
        <f t="shared" si="31"/>
        <v>43659.243326710224</v>
      </c>
      <c r="D143" s="15">
        <f t="shared" si="32"/>
        <v>43658.777963618792</v>
      </c>
      <c r="E143" s="17">
        <f>Panchanga!$C143-TimeZone/24</f>
        <v>43659.01416004356</v>
      </c>
      <c r="F143" s="18" t="str">
        <f>INT(P[Sun]/30)&amp;"s"&amp;ROUNDUP(MOD(P[Sun],30),2)</f>
        <v>2s26.24</v>
      </c>
      <c r="G143" s="18" t="str">
        <f>INT(P[Moon]/30)&amp;"s"&amp;ROUNDUP(MOD(P[Moon],30),2)</f>
        <v>7s10.93</v>
      </c>
      <c r="H143" s="14">
        <f t="shared" si="35"/>
        <v>43659.01416004356</v>
      </c>
      <c r="I143" s="4" t="str">
        <f>naks(P[[#This Row],[Moon]])</f>
        <v>Anuradha</v>
      </c>
      <c r="J143" s="15">
        <f>(C144-P[[#This Row],[SunRise]])/(T144-P[[#This Row],[Moon]])*(13.3333333333333-MOD(P[[#This Row],[Moon]],13.333333333333))+P[[#This Row],[SunRise]]</f>
        <v>43659.687667918995</v>
      </c>
      <c r="K143" s="4" t="str">
        <f>IF(Panchanga!$P143&gt;15,"K","S")&amp;ROUNDUP(MOD(Panchanga!$P143,15),0)&amp;" ("&amp;ROUND(Panchanga!$P143,2)&amp;")"</f>
        <v>S12 (11.22)</v>
      </c>
      <c r="L143" s="4">
        <f>IF(AND(Panchanga!$P143&lt;28.5,Panchanga!$P143&gt;0.49999),MOD((Panchanga!$P143-0.5)*2,7),MOD((Panchanga!$P143+30-28.5),30)*2+7)</f>
        <v>0.44819999999999993</v>
      </c>
      <c r="M143" s="4" t="str">
        <f>CHOOSE(ROUNDUP(Panchanga!$L143,0),"Bhava","Baalava","Kaulava","Taitula","Garija","Vanija","Vishti","Shakuni","Chatushapda","Naaga","Kimstugna")</f>
        <v>Bhava</v>
      </c>
      <c r="N143" s="11" t="str">
        <f>CHOOSE(ROUNDUP(Panchanga!$Q143,0),"viṣkambha","prīti","āyuṣmāna","saubhāgya","śobhana","atigaṇḍa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("&amp;Panchanga!$Q143&amp;")"</f>
        <v>śukla (23.04)</v>
      </c>
      <c r="O143" s="4">
        <f>IF(AND(Panchanga!$P143&lt;28.5,Panchanga!$P143&gt;0.49999),MOD((Panchanga!$P143-0.5)*2,7),MOD((Panchanga!$P143+30-28.5),30)*2+7)</f>
        <v>0.44819999999999993</v>
      </c>
      <c r="P143" s="4">
        <f>ROUNDUP(MOD(360+P[Moon]-P[Sun],360)/12,4)</f>
        <v>11.2241</v>
      </c>
      <c r="Q143" s="4">
        <f>ROUNDUP(MOD(P[Sun]+P[Moon],360)/13.333333333,2)</f>
        <v>23.040000000000003</v>
      </c>
      <c r="R143" s="4" t="str">
        <f>SIGN(U144-Panchanga!$U143)*INT(Panchanga!$U143/30+1)&amp;"Ma,"&amp;SIGN(V144-Panchanga!$V143)*INT(Panchanga!$V143/30+1)&amp;"Me,"&amp;SIGN(W144-Panchanga!$W143)*INT(Panchanga!$W143/30+1)&amp;"J, "&amp;SIGN(X144-Panchanga!$X143)*INT(Panchanga!$X143/30+1)&amp;"V,"&amp;SIGN(Y144-Panchanga!$Y143)*INT(Panchanga!$Y143/30+1)&amp;"S,"&amp;INT(Panchanga!$Z143/30+1)&amp;"R"</f>
        <v>4Ma,-4Me,-8J, 3V,-9S,3R</v>
      </c>
      <c r="S143" s="4">
        <f t="shared" si="33"/>
        <v>86.237489154941215</v>
      </c>
      <c r="T143" s="4">
        <f t="shared" si="34"/>
        <v>220.92549788377991</v>
      </c>
      <c r="U143" s="4">
        <f>Planet(Panchanga!$E143,4)</f>
        <v>102.8936927132099</v>
      </c>
      <c r="V143" s="4">
        <f>Planet(Panchanga!$E143,2)</f>
        <v>99.356950594783456</v>
      </c>
      <c r="W143" s="4">
        <f>Planet(Panchanga!$E143,5)</f>
        <v>231.69090908664916</v>
      </c>
      <c r="X143" s="4">
        <f>Planet(Panchanga!$E143,3)</f>
        <v>77.363785430259654</v>
      </c>
      <c r="Y143" s="4">
        <f>Planet(Panchanga!$E143,6)</f>
        <v>262.84723578639966</v>
      </c>
      <c r="Z143" s="4">
        <f>Planet(Panchanga!$E143,10)</f>
        <v>83.221150382174244</v>
      </c>
      <c r="AA143" s="4" t="str">
        <f>TEXT(Panchanga!$C143+($C144-Panchanga!$C143)/ABS(IF($P144&lt;1,$P144+30,$P144)-Panchanga!$P143)*(ROUNDUP(Panchanga!$P143,0)-Panchanga!$P143),"hh:mm AM/PM")</f>
        <v>12:30 AM</v>
      </c>
      <c r="AB143" s="4"/>
    </row>
    <row r="144" spans="1:28" x14ac:dyDescent="0.2">
      <c r="A144" s="3">
        <f t="shared" si="36"/>
        <v>43660</v>
      </c>
      <c r="B144" s="3">
        <f t="shared" si="30"/>
        <v>43660.229166666664</v>
      </c>
      <c r="C144" s="15">
        <f t="shared" si="31"/>
        <v>43660.243523802761</v>
      </c>
      <c r="D144" s="15">
        <f t="shared" si="32"/>
        <v>43659.777934054888</v>
      </c>
      <c r="E144" s="17">
        <f>Panchanga!$C144-TimeZone/24</f>
        <v>43660.014357136097</v>
      </c>
      <c r="F144" s="18" t="str">
        <f>INT(P[Sun]/30)&amp;"s"&amp;ROUNDUP(MOD(P[Sun],30),2)</f>
        <v>2s27.2</v>
      </c>
      <c r="G144" s="18" t="str">
        <f>INT(P[Moon]/30)&amp;"s"&amp;ROUNDUP(MOD(P[Moon],30),2)</f>
        <v>7s23.85</v>
      </c>
      <c r="H144" s="14">
        <f t="shared" si="35"/>
        <v>43660.014357136097</v>
      </c>
      <c r="I144" s="4" t="str">
        <f>naks(P[[#This Row],[Moon]])</f>
        <v>Jyestha</v>
      </c>
      <c r="J144" s="15">
        <f>(C145-P[[#This Row],[SunRise]])/(T145-P[[#This Row],[Moon]])*(13.3333333333333-MOD(P[[#This Row],[Moon]],13.333333333333))+P[[#This Row],[SunRise]]</f>
        <v>43660.728157702768</v>
      </c>
      <c r="K144" s="4" t="str">
        <f>IF(Panchanga!$P144&gt;15,"K","S")&amp;ROUNDUP(MOD(Panchanga!$P144,15),0)&amp;" ("&amp;ROUND(Panchanga!$P144,2)&amp;")"</f>
        <v>S13 (12.22)</v>
      </c>
      <c r="L144" s="4">
        <f>IF(AND(Panchanga!$P144&lt;28.5,Panchanga!$P144&gt;0.49999),MOD((Panchanga!$P144-0.5)*2,7),MOD((Panchanga!$P144+30-28.5),30)*2+7)</f>
        <v>2.4429999999999978</v>
      </c>
      <c r="M144" s="4" t="str">
        <f>CHOOSE(ROUNDUP(Panchanga!$L144,0),"Bhava","Baalava","Kaulava","Taitula","Garija","Vanija","Vishti","Shakuni","Chatushapda","Naaga","Kimstugna")</f>
        <v>Kaulava</v>
      </c>
      <c r="N144" s="11" t="str">
        <f>CHOOSE(ROUNDUP(Panchanga!$Q144,0),"viṣkambha","prīti","āyuṣmāna","saubhāgya","śobhana","atigaṇḍa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("&amp;Panchanga!$Q144&amp;")"</f>
        <v>brahma (24.08)</v>
      </c>
      <c r="O144" s="4">
        <f>IF(AND(Panchanga!$P144&lt;28.5,Panchanga!$P144&gt;0.49999),MOD((Panchanga!$P144-0.5)*2,7),MOD((Panchanga!$P144+30-28.5),30)*2+7)</f>
        <v>2.4429999999999978</v>
      </c>
      <c r="P144" s="4">
        <f>ROUNDUP(MOD(360+P[Moon]-P[Sun],360)/12,4)</f>
        <v>12.221499999999999</v>
      </c>
      <c r="Q144" s="4">
        <f>ROUNDUP(MOD(P[Sun]+P[Moon],360)/13.333333333,2)</f>
        <v>24.080000000000002</v>
      </c>
      <c r="R144" s="4" t="str">
        <f>SIGN(U145-Panchanga!$U144)*INT(Panchanga!$U144/30+1)&amp;"Ma,"&amp;SIGN(V145-Panchanga!$V144)*INT(Panchanga!$V144/30+1)&amp;"Me,"&amp;SIGN(W145-Panchanga!$W144)*INT(Panchanga!$W144/30+1)&amp;"J, "&amp;SIGN(X145-Panchanga!$X144)*INT(Panchanga!$X144/30+1)&amp;"V,"&amp;SIGN(Y145-Panchanga!$Y144)*INT(Panchanga!$Y144/30+1)&amp;"S,"&amp;INT(Panchanga!$Z144/30+1)&amp;"R"</f>
        <v>4Ma,-4Me,-8J, 3V,-9S,3R</v>
      </c>
      <c r="S144" s="4">
        <f t="shared" si="33"/>
        <v>87.190988274465028</v>
      </c>
      <c r="T144" s="4">
        <f t="shared" si="34"/>
        <v>233.84867541284123</v>
      </c>
      <c r="U144" s="4">
        <f>Planet(Panchanga!$E144,4)</f>
        <v>103.52873393389325</v>
      </c>
      <c r="V144" s="4">
        <f>Planet(Panchanga!$E144,2)</f>
        <v>98.942189844652489</v>
      </c>
      <c r="W144" s="4">
        <f>Planet(Panchanga!$E144,5)</f>
        <v>231.60680020945588</v>
      </c>
      <c r="X144" s="4">
        <f>Planet(Panchanga!$E144,3)</f>
        <v>78.590553008776311</v>
      </c>
      <c r="Y144" s="4">
        <f>Planet(Panchanga!$E144,6)</f>
        <v>262.77374691587448</v>
      </c>
      <c r="Z144" s="4">
        <f>Planet(Panchanga!$E144,10)</f>
        <v>83.168147941403177</v>
      </c>
      <c r="AA144" s="4" t="str">
        <f>TEXT(Panchanga!$C144+($C145-Panchanga!$C144)/ABS(IF($P145&lt;1,$P145+30,$P145)-Panchanga!$P144)*(ROUNDUP(Panchanga!$P144,0)-Panchanga!$P144),"hh:mm AM/PM")</f>
        <v>12:56 AM</v>
      </c>
      <c r="AB144" s="4"/>
    </row>
    <row r="145" spans="1:28" x14ac:dyDescent="0.2">
      <c r="A145" s="3">
        <f t="shared" si="36"/>
        <v>43661</v>
      </c>
      <c r="B145" s="3">
        <f t="shared" si="30"/>
        <v>43661.229166666664</v>
      </c>
      <c r="C145" s="15">
        <f t="shared" si="31"/>
        <v>43661.243719782833</v>
      </c>
      <c r="D145" s="15">
        <f t="shared" si="32"/>
        <v>43660.777894000566</v>
      </c>
      <c r="E145" s="17">
        <f>Panchanga!$C145-TimeZone/24</f>
        <v>43661.014553116169</v>
      </c>
      <c r="F145" s="18" t="str">
        <f>INT(P[Sun]/30)&amp;"s"&amp;ROUNDUP(MOD(P[Sun],30),2)</f>
        <v>2s28.15</v>
      </c>
      <c r="G145" s="18" t="str">
        <f>INT(P[Moon]/30)&amp;"s"&amp;ROUNDUP(MOD(P[Moon],30),2)</f>
        <v>8s6.55</v>
      </c>
      <c r="H145" s="14">
        <f t="shared" si="35"/>
        <v>43661.014553116169</v>
      </c>
      <c r="I145" s="4" t="str">
        <f>naks(P[[#This Row],[Moon]])</f>
        <v>Moola</v>
      </c>
      <c r="J145" s="15">
        <f>(C146-P[[#This Row],[SunRise]])/(T146-P[[#This Row],[Moon]])*(13.3333333333333-MOD(P[[#This Row],[Moon]],13.333333333333))+P[[#This Row],[SunRise]]</f>
        <v>43661.787534326097</v>
      </c>
      <c r="K145" s="4" t="str">
        <f>IF(Panchanga!$P145&gt;15,"K","S")&amp;ROUNDUP(MOD(Panchanga!$P145,15),0)&amp;" ("&amp;ROUND(Panchanga!$P145,2)&amp;")"</f>
        <v>S14 (13.2)</v>
      </c>
      <c r="L145" s="4">
        <f>IF(AND(Panchanga!$P145&lt;28.5,Panchanga!$P145&gt;0.49999),MOD((Panchanga!$P145-0.5)*2,7),MOD((Panchanga!$P145+30-28.5),30)*2+7)</f>
        <v>4.3999999999999986</v>
      </c>
      <c r="M145" s="4" t="str">
        <f>CHOOSE(ROUNDUP(Panchanga!$L145,0),"Bhava","Baalava","Kaulava","Taitula","Garija","Vanija","Vishti","Shakuni","Chatushapda","Naaga","Kimstugna")</f>
        <v>Garija</v>
      </c>
      <c r="N145" s="11" t="str">
        <f>CHOOSE(ROUNDUP(Panchanga!$Q145,0),"viṣkambha","prīti","āyuṣmāna","saubhāgya","śobhana","atigaṇḍa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("&amp;Panchanga!$Q145&amp;")"</f>
        <v>mahendra (25.11)</v>
      </c>
      <c r="O145" s="4">
        <f>IF(AND(Panchanga!$P145&lt;28.5,Panchanga!$P145&gt;0.49999),MOD((Panchanga!$P145-0.5)*2,7),MOD((Panchanga!$P145+30-28.5),30)*2+7)</f>
        <v>4.3999999999999986</v>
      </c>
      <c r="P145" s="4">
        <f>ROUNDUP(MOD(360+P[Moon]-P[Sun],360)/12,4)</f>
        <v>13.2</v>
      </c>
      <c r="Q145" s="4">
        <f>ROUNDUP(MOD(P[Sun]+P[Moon],360)/13.333333333,2)</f>
        <v>25.110000000000003</v>
      </c>
      <c r="R145" s="4" t="str">
        <f>SIGN(U146-Panchanga!$U145)*INT(Panchanga!$U145/30+1)&amp;"Ma,"&amp;SIGN(V146-Panchanga!$V145)*INT(Panchanga!$V145/30+1)&amp;"Me,"&amp;SIGN(W146-Panchanga!$W145)*INT(Panchanga!$W145/30+1)&amp;"J, "&amp;SIGN(X146-Panchanga!$X145)*INT(Panchanga!$X145/30+1)&amp;"V,"&amp;SIGN(Y146-Panchanga!$Y145)*INT(Panchanga!$Y145/30+1)&amp;"S,"&amp;INT(Panchanga!$Z145/30+1)&amp;"R"</f>
        <v>4Ma,-4Me,-8J, 3V,-9S,3R</v>
      </c>
      <c r="S145" s="4">
        <f t="shared" si="33"/>
        <v>88.14451803749958</v>
      </c>
      <c r="T145" s="4">
        <f t="shared" si="34"/>
        <v>246.54388745663937</v>
      </c>
      <c r="U145" s="4">
        <f>Planet(Panchanga!$E145,4)</f>
        <v>104.16368262583258</v>
      </c>
      <c r="V145" s="4">
        <f>Planet(Panchanga!$E145,2)</f>
        <v>98.464067195195369</v>
      </c>
      <c r="W145" s="4">
        <f>Planet(Panchanga!$E145,5)</f>
        <v>231.52515722386445</v>
      </c>
      <c r="X145" s="4">
        <f>Planet(Panchanga!$E145,3)</f>
        <v>79.817594409373299</v>
      </c>
      <c r="Y145" s="4">
        <f>Planet(Panchanga!$E145,6)</f>
        <v>262.70042154637463</v>
      </c>
      <c r="Z145" s="4">
        <f>Planet(Panchanga!$E145,10)</f>
        <v>83.115145559603093</v>
      </c>
      <c r="AA145" s="4" t="str">
        <f>TEXT(Panchanga!$C145+($C146-Panchanga!$C145)/ABS(IF($P146&lt;1,$P146+30,$P146)-Panchanga!$P145)*(ROUNDUP(Panchanga!$P145,0)-Panchanga!$P145),"hh:mm AM/PM")</f>
        <v>01:49 AM</v>
      </c>
      <c r="AB145" s="4"/>
    </row>
    <row r="146" spans="1:28" x14ac:dyDescent="0.2">
      <c r="A146" s="3">
        <f t="shared" si="36"/>
        <v>43662</v>
      </c>
      <c r="B146" s="3">
        <f t="shared" si="30"/>
        <v>43662.229166666664</v>
      </c>
      <c r="C146" s="15">
        <f t="shared" si="31"/>
        <v>43662.24391465044</v>
      </c>
      <c r="D146" s="15">
        <f t="shared" si="32"/>
        <v>43661.777843614618</v>
      </c>
      <c r="E146" s="17">
        <f>Panchanga!$C146-TimeZone/24</f>
        <v>43662.014747983776</v>
      </c>
      <c r="F146" s="18" t="str">
        <f>INT(P[Sun]/30)&amp;"s"&amp;ROUNDUP(MOD(P[Sun],30),2)</f>
        <v>2s29.1</v>
      </c>
      <c r="G146" s="18" t="str">
        <f>INT(P[Moon]/30)&amp;"s"&amp;ROUNDUP(MOD(P[Moon],30),2)</f>
        <v>8s19.04</v>
      </c>
      <c r="H146" s="14">
        <f t="shared" si="35"/>
        <v>43662.014747983776</v>
      </c>
      <c r="I146" s="4" t="str">
        <f>naks(P[[#This Row],[Moon]])</f>
        <v>Purva Asadha</v>
      </c>
      <c r="J146" s="15">
        <f>(C147-P[[#This Row],[SunRise]])/(T147-P[[#This Row],[Moon]])*(13.3333333333333-MOD(P[[#This Row],[Moon]],13.333333333333))+P[[#This Row],[SunRise]]</f>
        <v>43662.86474931307</v>
      </c>
      <c r="K146" s="4" t="str">
        <f>IF(Panchanga!$P146&gt;15,"K","S")&amp;ROUNDUP(MOD(Panchanga!$P146,15),0)&amp;" ("&amp;ROUND(Panchanga!$P146,2)&amp;")"</f>
        <v>S15 (14.16)</v>
      </c>
      <c r="L146" s="4">
        <f>IF(AND(Panchanga!$P146&lt;28.5,Panchanga!$P146&gt;0.49999),MOD((Panchanga!$P146-0.5)*2,7),MOD((Panchanga!$P146+30-28.5),30)*2+7)</f>
        <v>6.3221999999999987</v>
      </c>
      <c r="M146" s="4" t="str">
        <f>CHOOSE(ROUNDUP(Panchanga!$L146,0),"Bhava","Baalava","Kaulava","Taitula","Garija","Vanija","Vishti","Shakuni","Chatushapda","Naaga","Kimstugna")</f>
        <v>Vishti</v>
      </c>
      <c r="N146" s="11" t="str">
        <f>CHOOSE(ROUNDUP(Panchanga!$Q146,0),"viṣkambha","prīti","āyuṣmāna","saubhāgya","śobhana","atigaṇḍa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("&amp;Panchanga!$Q146&amp;")"</f>
        <v>vaidhṛti (26.11)</v>
      </c>
      <c r="O146" s="4">
        <f>IF(AND(Panchanga!$P146&lt;28.5,Panchanga!$P146&gt;0.49999),MOD((Panchanga!$P146-0.5)*2,7),MOD((Panchanga!$P146+30-28.5),30)*2+7)</f>
        <v>6.3221999999999987</v>
      </c>
      <c r="P146" s="4">
        <f>ROUNDUP(MOD(360+P[Moon]-P[Sun],360)/12,4)</f>
        <v>14.161099999999999</v>
      </c>
      <c r="Q146" s="4">
        <f>ROUNDUP(MOD(P[Sun]+P[Moon],360)/13.333333333,2)</f>
        <v>26.110000000000003</v>
      </c>
      <c r="R146" s="4" t="str">
        <f>SIGN(U147-Panchanga!$U146)*INT(Panchanga!$U146/30+1)&amp;"Ma,"&amp;SIGN(V147-Panchanga!$V146)*INT(Panchanga!$V146/30+1)&amp;"Me,"&amp;SIGN(W147-Panchanga!$W146)*INT(Panchanga!$W146/30+1)&amp;"J, "&amp;SIGN(X147-Panchanga!$X146)*INT(Panchanga!$X146/30+1)&amp;"V,"&amp;SIGN(Y147-Panchanga!$Y146)*INT(Panchanga!$Y146/30+1)&amp;"S,"&amp;INT(Panchanga!$Z146/30+1)&amp;"R"</f>
        <v>4Ma,-4Me,-8J, 3V,-9S,3R</v>
      </c>
      <c r="S146" s="4">
        <f t="shared" si="33"/>
        <v>89.098102038664109</v>
      </c>
      <c r="T146" s="4">
        <f t="shared" si="34"/>
        <v>259.03117563953117</v>
      </c>
      <c r="U146" s="4">
        <f>Planet(Panchanga!$E146,4)</f>
        <v>104.79854855458009</v>
      </c>
      <c r="V146" s="4">
        <f>Planet(Panchanga!$E146,2)</f>
        <v>97.928911421401111</v>
      </c>
      <c r="W146" s="4">
        <f>Planet(Panchanga!$E146,5)</f>
        <v>231.44602307001963</v>
      </c>
      <c r="X146" s="4">
        <f>Planet(Panchanga!$E146,3)</f>
        <v>81.044919774713918</v>
      </c>
      <c r="Y146" s="4">
        <f>Planet(Panchanga!$E146,6)</f>
        <v>262.62729468098081</v>
      </c>
      <c r="Z146" s="4">
        <f>Planet(Panchanga!$E146,10)</f>
        <v>83.06214323672431</v>
      </c>
      <c r="AA146" s="4" t="str">
        <f>TEXT(Panchanga!$C146+($C147-Panchanga!$C146)/ABS(IF($P147&lt;1,$P147+30,$P147)-Panchanga!$P146)*(ROUNDUP(Panchanga!$P146,0)-Panchanga!$P146),"hh:mm AM/PM")</f>
        <v>03:08 AM</v>
      </c>
      <c r="AB146" s="4"/>
    </row>
    <row r="147" spans="1:28" x14ac:dyDescent="0.2">
      <c r="A147" s="3">
        <f t="shared" si="36"/>
        <v>43663</v>
      </c>
      <c r="B147" s="3">
        <f t="shared" si="30"/>
        <v>43663.229166666664</v>
      </c>
      <c r="C147" s="15">
        <f t="shared" si="31"/>
        <v>43663.24410792828</v>
      </c>
      <c r="D147" s="15">
        <f t="shared" si="32"/>
        <v>43662.777782897509</v>
      </c>
      <c r="E147" s="17">
        <f>Panchanga!$C147-TimeZone/24</f>
        <v>43663.014941261616</v>
      </c>
      <c r="F147" s="18" t="str">
        <f>INT(P[Sun]/30)&amp;"s"&amp;ROUNDUP(MOD(P[Sun],30),2)</f>
        <v>3s0.06</v>
      </c>
      <c r="G147" s="18" t="str">
        <f>INT(P[Moon]/30)&amp;"s"&amp;ROUNDUP(MOD(P[Moon],30),2)</f>
        <v>9s1.34</v>
      </c>
      <c r="H147" s="14">
        <f t="shared" si="35"/>
        <v>43663.014941261616</v>
      </c>
      <c r="I147" s="4" t="str">
        <f>naks(P[[#This Row],[Moon]])</f>
        <v>Uttara Asadha</v>
      </c>
      <c r="J147" s="15">
        <f>(C148-P[[#This Row],[SunRise]])/(T148-P[[#This Row],[Moon]])*(13.3333333333333-MOD(P[[#This Row],[Moon]],13.333333333333))+P[[#This Row],[SunRise]]</f>
        <v>43663.958249465068</v>
      </c>
      <c r="K147" s="4" t="str">
        <f>IF(Panchanga!$P147&gt;15,"K","S")&amp;ROUNDUP(MOD(Panchanga!$P147,15),0)&amp;" ("&amp;ROUND(Panchanga!$P147,2)&amp;")"</f>
        <v>K1 (15.11)</v>
      </c>
      <c r="L147" s="4">
        <f>IF(AND(Panchanga!$P147&lt;28.5,Panchanga!$P147&gt;0.49999),MOD((Panchanga!$P147-0.5)*2,7),MOD((Panchanga!$P147+30-28.5),30)*2+7)</f>
        <v>1.2135999999999996</v>
      </c>
      <c r="M147" s="4" t="str">
        <f>CHOOSE(ROUNDUP(Panchanga!$L147,0),"Bhava","Baalava","Kaulava","Taitula","Garija","Vanija","Vishti","Shakuni","Chatushapda","Naaga","Kimstugna")</f>
        <v>Baalava</v>
      </c>
      <c r="N147" s="11" t="str">
        <f>CHOOSE(ROUNDUP(Panchanga!$Q147,0),"viṣkambha","prīti","āyuṣmāna","saubhāgya","śobhana","atigaṇḍa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("&amp;Panchanga!$Q147&amp;")"</f>
        <v>viṣkambha (0.11)</v>
      </c>
      <c r="O147" s="4">
        <f>IF(AND(Panchanga!$P147&lt;28.5,Panchanga!$P147&gt;0.49999),MOD((Panchanga!$P147-0.5)*2,7),MOD((Panchanga!$P147+30-28.5),30)*2+7)</f>
        <v>1.2135999999999996</v>
      </c>
      <c r="P147" s="4">
        <f>ROUNDUP(MOD(360+P[Moon]-P[Sun],360)/12,4)</f>
        <v>15.1068</v>
      </c>
      <c r="Q147" s="4">
        <f>ROUNDUP(MOD(P[Sun]+P[Moon],360)/13.333333333,2)</f>
        <v>0.11</v>
      </c>
      <c r="R147" s="4" t="str">
        <f>SIGN(U148-Panchanga!$U147)*INT(Panchanga!$U147/30+1)&amp;"Ma,"&amp;SIGN(V148-Panchanga!$V147)*INT(Panchanga!$V147/30+1)&amp;"Me,"&amp;SIGN(W148-Panchanga!$W147)*INT(Panchanga!$W147/30+1)&amp;"J, "&amp;SIGN(X148-Panchanga!$X147)*INT(Panchanga!$X147/30+1)&amp;"V,"&amp;SIGN(Y148-Panchanga!$Y147)*INT(Panchanga!$Y147/30+1)&amp;"S,"&amp;INT(Panchanga!$Z147/30+1)&amp;"R"</f>
        <v>4Ma,-4Me,-8J, 3V,-9S,3R</v>
      </c>
      <c r="S147" s="4">
        <f t="shared" si="33"/>
        <v>90.051763747289314</v>
      </c>
      <c r="T147" s="4">
        <f t="shared" si="34"/>
        <v>271.33230387545728</v>
      </c>
      <c r="U147" s="4">
        <f>Planet(Panchanga!$E147,4)</f>
        <v>105.43334170396326</v>
      </c>
      <c r="V147" s="4">
        <f>Planet(Panchanga!$E147,2)</f>
        <v>97.344257180369112</v>
      </c>
      <c r="W147" s="4">
        <f>Planet(Panchanga!$E147,5)</f>
        <v>231.36943927155852</v>
      </c>
      <c r="X147" s="4">
        <f>Planet(Panchanga!$E147,3)</f>
        <v>82.272538377066667</v>
      </c>
      <c r="Y147" s="4">
        <f>Planet(Panchanga!$E147,6)</f>
        <v>262.55440120333367</v>
      </c>
      <c r="Z147" s="4">
        <f>Planet(Panchanga!$E147,10)</f>
        <v>83.00914099811709</v>
      </c>
      <c r="AA147" s="4" t="str">
        <f>TEXT(Panchanga!$C147+($C148-Panchanga!$C147)/ABS(IF($P148&lt;1,$P148+30,$P148)-Panchanga!$P147)*(ROUNDUP(Panchanga!$P147,0)-Panchanga!$P147),"hh:mm AM/PM")</f>
        <v>04:51 AM</v>
      </c>
      <c r="AB147" s="4"/>
    </row>
    <row r="148" spans="1:28" x14ac:dyDescent="0.2">
      <c r="A148" s="3">
        <f t="shared" si="36"/>
        <v>43664</v>
      </c>
      <c r="B148" s="3">
        <f t="shared" si="30"/>
        <v>43664.229166666664</v>
      </c>
      <c r="C148" s="15">
        <f t="shared" si="31"/>
        <v>43664.244299616817</v>
      </c>
      <c r="D148" s="15">
        <f t="shared" si="32"/>
        <v>43663.777711689516</v>
      </c>
      <c r="E148" s="17">
        <f>Panchanga!$C148-TimeZone/24</f>
        <v>43664.015132950153</v>
      </c>
      <c r="F148" s="18" t="str">
        <f>INT(P[Sun]/30)&amp;"s"&amp;ROUNDUP(MOD(P[Sun],30),2)</f>
        <v>3s1.01</v>
      </c>
      <c r="G148" s="18" t="str">
        <f>INT(P[Moon]/30)&amp;"s"&amp;ROUNDUP(MOD(P[Moon],30),2)</f>
        <v>9s13.48</v>
      </c>
      <c r="H148" s="14">
        <f t="shared" si="35"/>
        <v>43664.015132950153</v>
      </c>
      <c r="I148" s="4" t="str">
        <f>naks(P[[#This Row],[Moon]])</f>
        <v>Sravana</v>
      </c>
      <c r="J148" s="15">
        <f>(C149-P[[#This Row],[SunRise]])/(T149-P[[#This Row],[Moon]])*(13.3333333333333-MOD(P[[#This Row],[Moon]],13.333333333333))+P[[#This Row],[SunRise]]</f>
        <v>43665.065762650971</v>
      </c>
      <c r="K148" s="4" t="str">
        <f>IF(Panchanga!$P148&gt;15,"K","S")&amp;ROUNDUP(MOD(Panchanga!$P148,15),0)&amp;" ("&amp;ROUND(Panchanga!$P148,2)&amp;")"</f>
        <v>K2 (16.04)</v>
      </c>
      <c r="L148" s="4">
        <f>IF(AND(Panchanga!$P148&lt;28.5,Panchanga!$P148&gt;0.49999),MOD((Panchanga!$P148-0.5)*2,7),MOD((Panchanga!$P148+30-28.5),30)*2+7)</f>
        <v>3.0777999999999963</v>
      </c>
      <c r="M148" s="4" t="str">
        <f>CHOOSE(ROUNDUP(Panchanga!$L148,0),"Bhava","Baalava","Kaulava","Taitula","Garija","Vanija","Vishti","Shakuni","Chatushapda","Naaga","Kimstugna")</f>
        <v>Taitula</v>
      </c>
      <c r="N148" s="11" t="str">
        <f>CHOOSE(ROUNDUP(Panchanga!$Q148,0),"viṣkambha","prīti","āyuṣmāna","saubhāgya","śobhana","atigaṇḍa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("&amp;Panchanga!$Q148&amp;")"</f>
        <v>prīti (1.09)</v>
      </c>
      <c r="O148" s="4">
        <f>IF(AND(Panchanga!$P148&lt;28.5,Panchanga!$P148&gt;0.49999),MOD((Panchanga!$P148-0.5)*2,7),MOD((Panchanga!$P148+30-28.5),30)*2+7)</f>
        <v>3.0777999999999963</v>
      </c>
      <c r="P148" s="4">
        <f>ROUNDUP(MOD(360+P[Moon]-P[Sun],360)/12,4)</f>
        <v>16.038899999999998</v>
      </c>
      <c r="Q148" s="4">
        <f>ROUNDUP(MOD(P[Sun]+P[Moon],360)/13.333333333,2)</f>
        <v>1.0900000000000001</v>
      </c>
      <c r="R148" s="4" t="str">
        <f>SIGN(U149-Panchanga!$U148)*INT(Panchanga!$U148/30+1)&amp;"Ma,"&amp;SIGN(V149-Panchanga!$V148)*INT(Panchanga!$V148/30+1)&amp;"Me,"&amp;SIGN(W149-Panchanga!$W148)*INT(Panchanga!$W148/30+1)&amp;"J, "&amp;SIGN(X149-Panchanga!$X148)*INT(Panchanga!$X148/30+1)&amp;"V,"&amp;SIGN(Y149-Panchanga!$Y148)*INT(Panchanga!$Y148/30+1)&amp;"S,"&amp;INT(Panchanga!$Z148/30+1)&amp;"R"</f>
        <v>4Ma,-4Me,-8J, 3V,-9S,3R</v>
      </c>
      <c r="S148" s="4">
        <f t="shared" si="33"/>
        <v>91.00552680744255</v>
      </c>
      <c r="T148" s="4">
        <f t="shared" si="34"/>
        <v>283.47185489716071</v>
      </c>
      <c r="U148" s="4">
        <f>Planet(Panchanga!$E148,4)</f>
        <v>106.06807259243165</v>
      </c>
      <c r="V148" s="4">
        <f>Planet(Panchanga!$E148,2)</f>
        <v>96.718802295272155</v>
      </c>
      <c r="W148" s="4">
        <f>Planet(Panchanga!$E148,5)</f>
        <v>231.29544598951148</v>
      </c>
      <c r="X148" s="4">
        <f>Planet(Panchanga!$E148,3)</f>
        <v>83.500459498111937</v>
      </c>
      <c r="Y148" s="4">
        <f>Planet(Panchanga!$E148,6)</f>
        <v>262.48177588863581</v>
      </c>
      <c r="Z148" s="4">
        <f>Planet(Panchanga!$E148,10)</f>
        <v>82.956138843731722</v>
      </c>
      <c r="AA148" s="4" t="str">
        <f>TEXT(Panchanga!$C148+($C149-Panchanga!$C148)/ABS(IF($P149&lt;1,$P149+30,$P149)-Panchanga!$P148)*(ROUNDUP(Panchanga!$P148,0)-Panchanga!$P148),"hh:mm AM/PM")</f>
        <v>06:54 AM</v>
      </c>
      <c r="AB148" s="4"/>
    </row>
    <row r="149" spans="1:28" x14ac:dyDescent="0.2">
      <c r="A149" s="3">
        <f t="shared" si="36"/>
        <v>43665</v>
      </c>
      <c r="B149" s="3">
        <f t="shared" si="30"/>
        <v>43665.229166666664</v>
      </c>
      <c r="C149" s="15">
        <f t="shared" si="31"/>
        <v>43665.244489557263</v>
      </c>
      <c r="D149" s="15">
        <f t="shared" si="32"/>
        <v>43664.777629991571</v>
      </c>
      <c r="E149" s="17">
        <f>Panchanga!$C149-TimeZone/24</f>
        <v>43665.015322890598</v>
      </c>
      <c r="F149" s="18" t="str">
        <f>INT(P[Sun]/30)&amp;"s"&amp;ROUNDUP(MOD(P[Sun],30),2)</f>
        <v>3s1.96</v>
      </c>
      <c r="G149" s="18" t="str">
        <f>INT(P[Moon]/30)&amp;"s"&amp;ROUNDUP(MOD(P[Moon],30),2)</f>
        <v>9s25.48</v>
      </c>
      <c r="H149" s="14">
        <f t="shared" si="35"/>
        <v>43665.015322890598</v>
      </c>
      <c r="I149" s="4" t="str">
        <f>naks(P[[#This Row],[Moon]])</f>
        <v>Dhanistha</v>
      </c>
      <c r="J149" s="15">
        <f>(C150-P[[#This Row],[SunRise]])/(T150-P[[#This Row],[Moon]])*(13.3333333333333-MOD(P[[#This Row],[Moon]],13.333333333333))+P[[#This Row],[SunRise]]</f>
        <v>43666.184032864228</v>
      </c>
      <c r="K149" s="4" t="str">
        <f>IF(Panchanga!$P149&gt;15,"K","S")&amp;ROUNDUP(MOD(Panchanga!$P149,15),0)&amp;" ("&amp;ROUND(Panchanga!$P149,2)&amp;")"</f>
        <v>K2 (16.96)</v>
      </c>
      <c r="L149" s="4">
        <f>IF(AND(Panchanga!$P149&lt;28.5,Panchanga!$P149&gt;0.49999),MOD((Panchanga!$P149-0.5)*2,7),MOD((Panchanga!$P149+30-28.5),30)*2+7)</f>
        <v>4.9200000000000017</v>
      </c>
      <c r="M149" s="4" t="str">
        <f>CHOOSE(ROUNDUP(Panchanga!$L149,0),"Bhava","Baalava","Kaulava","Taitula","Garija","Vanija","Vishti","Shakuni","Chatushapda","Naaga","Kimstugna")</f>
        <v>Garija</v>
      </c>
      <c r="N149" s="11" t="str">
        <f>CHOOSE(ROUNDUP(Panchanga!$Q149,0),"viṣkambha","prīti","āyuṣmāna","saubhāgya","śobhana","atigaṇḍa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("&amp;Panchanga!$Q149&amp;")"</f>
        <v>āyuṣmāna (2.06)</v>
      </c>
      <c r="O149" s="4">
        <f>IF(AND(Panchanga!$P149&lt;28.5,Panchanga!$P149&gt;0.49999),MOD((Panchanga!$P149-0.5)*2,7),MOD((Panchanga!$P149+30-28.5),30)*2+7)</f>
        <v>4.9200000000000017</v>
      </c>
      <c r="P149" s="4">
        <f>ROUNDUP(MOD(360+P[Moon]-P[Sun],360)/12,4)</f>
        <v>16.96</v>
      </c>
      <c r="Q149" s="4">
        <f>ROUNDUP(MOD(P[Sun]+P[Moon],360)/13.333333333,2)</f>
        <v>2.0599999999999996</v>
      </c>
      <c r="R149" s="4" t="str">
        <f>SIGN(U150-Panchanga!$U149)*INT(Panchanga!$U149/30+1)&amp;"Ma,"&amp;SIGN(V150-Panchanga!$V149)*INT(Panchanga!$V149/30+1)&amp;"Me,"&amp;SIGN(W150-Panchanga!$W149)*INT(Panchanga!$W149/30+1)&amp;"J, "&amp;SIGN(X150-Panchanga!$X149)*INT(Panchanga!$X149/30+1)&amp;"V,"&amp;SIGN(Y150-Panchanga!$Y149)*INT(Panchanga!$Y149/30+1)&amp;"S,"&amp;INT(Panchanga!$Z149/30+1)&amp;"R"</f>
        <v>4Ma,-4Me,-8J, 3V,-9S,3R</v>
      </c>
      <c r="S149" s="4">
        <f t="shared" si="33"/>
        <v>91.959413976956014</v>
      </c>
      <c r="T149" s="4">
        <f t="shared" si="34"/>
        <v>295.47890952981783</v>
      </c>
      <c r="U149" s="4">
        <f>Planet(Panchanga!$E149,4)</f>
        <v>106.70275162910136</v>
      </c>
      <c r="V149" s="4">
        <f>Planet(Panchanga!$E149,2)</f>
        <v>96.062314369076915</v>
      </c>
      <c r="W149" s="4">
        <f>Planet(Panchanga!$E149,5)</f>
        <v>231.22408214776164</v>
      </c>
      <c r="X149" s="4">
        <f>Planet(Panchanga!$E149,3)</f>
        <v>84.728691447334512</v>
      </c>
      <c r="Y149" s="4">
        <f>Planet(Panchanga!$E149,6)</f>
        <v>262.40945350722228</v>
      </c>
      <c r="Z149" s="4">
        <f>Planet(Panchanga!$E149,10)</f>
        <v>82.903136781968627</v>
      </c>
      <c r="AA149" s="4" t="str">
        <f>TEXT(Panchanga!$C149+($C150-Panchanga!$C149)/ABS(IF($P150&lt;1,$P150+30,$P150)-Panchanga!$P149)*(ROUNDUP(Panchanga!$P149,0)-Panchanga!$P149),"hh:mm AM/PM")</f>
        <v>06:55 AM</v>
      </c>
      <c r="AB149" s="4"/>
    </row>
    <row r="150" spans="1:28" x14ac:dyDescent="0.2">
      <c r="A150" s="3">
        <f t="shared" si="36"/>
        <v>43666</v>
      </c>
      <c r="B150" s="3">
        <f t="shared" si="30"/>
        <v>43666.229166666664</v>
      </c>
      <c r="C150" s="15">
        <f t="shared" si="31"/>
        <v>43666.244677431103</v>
      </c>
      <c r="D150" s="15">
        <f t="shared" si="32"/>
        <v>43665.777537803209</v>
      </c>
      <c r="E150" s="17">
        <f>Panchanga!$C150-TimeZone/24</f>
        <v>43666.015510764439</v>
      </c>
      <c r="F150" s="18" t="str">
        <f>INT(P[Sun]/30)&amp;"s"&amp;ROUNDUP(MOD(P[Sun],30),2)</f>
        <v>3s2.92</v>
      </c>
      <c r="G150" s="18" t="str">
        <f>INT(P[Moon]/30)&amp;"s"&amp;ROUNDUP(MOD(P[Moon],30),2)</f>
        <v>10s7.39</v>
      </c>
      <c r="H150" s="14">
        <f t="shared" si="35"/>
        <v>43666.015510764439</v>
      </c>
      <c r="I150" s="4" t="str">
        <f>naks(P[[#This Row],[Moon]])</f>
        <v>Satabhisaj</v>
      </c>
      <c r="J150" s="15">
        <f>(C151-P[[#This Row],[SunRise]])/(T151-P[[#This Row],[Moon]])*(13.3333333333333-MOD(P[[#This Row],[Moon]],13.333333333333))+P[[#This Row],[SunRise]]</f>
        <v>43667.30860547231</v>
      </c>
      <c r="K150" s="4" t="str">
        <f>IF(Panchanga!$P150&gt;15,"K","S")&amp;ROUNDUP(MOD(Panchanga!$P150,15),0)&amp;" ("&amp;ROUND(Panchanga!$P150,2)&amp;")"</f>
        <v>K3 (17.87)</v>
      </c>
      <c r="L150" s="4">
        <f>IF(AND(Panchanga!$P150&lt;28.5,Panchanga!$P150&gt;0.49999),MOD((Panchanga!$P150-0.5)*2,7),MOD((Panchanga!$P150+30-28.5),30)*2+7)</f>
        <v>6.7460000000000022</v>
      </c>
      <c r="M150" s="4" t="str">
        <f>CHOOSE(ROUNDUP(Panchanga!$L150,0),"Bhava","Baalava","Kaulava","Taitula","Garija","Vanija","Vishti","Shakuni","Chatushapda","Naaga","Kimstugna")</f>
        <v>Vishti</v>
      </c>
      <c r="N150" s="11" t="str">
        <f>CHOOSE(ROUNDUP(Panchanga!$Q150,0),"viṣkambha","prīti","āyuṣmāna","saubhāgya","śobhana","atigaṇḍa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("&amp;Panchanga!$Q150&amp;")"</f>
        <v>saubhāgya (3.03)</v>
      </c>
      <c r="O150" s="4">
        <f>IF(AND(Panchanga!$P150&lt;28.5,Panchanga!$P150&gt;0.49999),MOD((Panchanga!$P150-0.5)*2,7),MOD((Panchanga!$P150+30-28.5),30)*2+7)</f>
        <v>6.7460000000000022</v>
      </c>
      <c r="P150" s="4">
        <f>ROUNDUP(MOD(360+P[Moon]-P[Sun],360)/12,4)</f>
        <v>17.873000000000001</v>
      </c>
      <c r="Q150" s="4">
        <f>ROUNDUP(MOD(P[Sun]+P[Moon],360)/13.333333333,2)</f>
        <v>3.03</v>
      </c>
      <c r="R150" s="4" t="str">
        <f>SIGN(U151-Panchanga!$U150)*INT(Panchanga!$U150/30+1)&amp;"Ma,"&amp;SIGN(V151-Panchanga!$V150)*INT(Panchanga!$V150/30+1)&amp;"Me,"&amp;SIGN(W151-Panchanga!$W150)*INT(Panchanga!$W150/30+1)&amp;"J, "&amp;SIGN(X151-Panchanga!$X150)*INT(Panchanga!$X150/30+1)&amp;"V,"&amp;SIGN(Y151-Panchanga!$Y150)*INT(Panchanga!$Y150/30+1)&amp;"S,"&amp;INT(Panchanga!$Z150/30+1)&amp;"R"</f>
        <v>4Ma,-4Me,-8J, 3V,-9S,3R</v>
      </c>
      <c r="S150" s="4">
        <f t="shared" si="33"/>
        <v>92.913446822197315</v>
      </c>
      <c r="T150" s="4">
        <f t="shared" si="34"/>
        <v>307.3888012195431</v>
      </c>
      <c r="U150" s="4">
        <f>Planet(Panchanga!$E150,4)</f>
        <v>107.33738893439045</v>
      </c>
      <c r="V150" s="4">
        <f>Planet(Panchanga!$E150,2)</f>
        <v>95.385484844196824</v>
      </c>
      <c r="W150" s="4">
        <f>Planet(Panchanga!$E150,5)</f>
        <v>231.15538546184237</v>
      </c>
      <c r="X150" s="4">
        <f>Planet(Panchanga!$E150,3)</f>
        <v>85.957241442480608</v>
      </c>
      <c r="Y150" s="4">
        <f>Planet(Panchanga!$E150,6)</f>
        <v>262.33746885942463</v>
      </c>
      <c r="Z150" s="4">
        <f>Planet(Panchanga!$E150,10)</f>
        <v>82.850134829711308</v>
      </c>
      <c r="AA150" s="4" t="str">
        <f>TEXT(Panchanga!$C150+($C151-Panchanga!$C150)/ABS(IF($P151&lt;1,$P151+30,$P151)-Panchanga!$P150)*(ROUNDUP(Panchanga!$P150,0)-Panchanga!$P150),"hh:mm AM/PM")</f>
        <v>09:13 AM</v>
      </c>
      <c r="AB150" s="4"/>
    </row>
    <row r="151" spans="1:28" x14ac:dyDescent="0.2">
      <c r="A151" s="3">
        <f t="shared" si="36"/>
        <v>43667</v>
      </c>
      <c r="B151" s="3">
        <f t="shared" si="30"/>
        <v>43667.229166666664</v>
      </c>
      <c r="C151" s="15">
        <f t="shared" si="31"/>
        <v>43667.244863238338</v>
      </c>
      <c r="D151" s="15">
        <f t="shared" si="32"/>
        <v>43666.777435123964</v>
      </c>
      <c r="E151" s="17">
        <f>Panchanga!$C151-TimeZone/24</f>
        <v>43667.015696571674</v>
      </c>
      <c r="F151" s="18" t="str">
        <f>INT(P[Sun]/30)&amp;"s"&amp;ROUNDUP(MOD(P[Sun],30),2)</f>
        <v>3s3.87</v>
      </c>
      <c r="G151" s="18" t="str">
        <f>INT(P[Moon]/30)&amp;"s"&amp;ROUNDUP(MOD(P[Moon],30),2)</f>
        <v>10s19.25</v>
      </c>
      <c r="H151" s="14">
        <f t="shared" si="35"/>
        <v>43667.015696571674</v>
      </c>
      <c r="I151" s="4" t="str">
        <f>naks(P[[#This Row],[Moon]])</f>
        <v>Satabhisaj</v>
      </c>
      <c r="J151" s="15">
        <f>(C152-P[[#This Row],[SunRise]])/(T152-P[[#This Row],[Moon]])*(13.3333333333333-MOD(P[[#This Row],[Moon]],13.333333333333))+P[[#This Row],[SunRise]]</f>
        <v>43667.308622483557</v>
      </c>
      <c r="K151" s="4" t="str">
        <f>IF(Panchanga!$P151&gt;15,"K","S")&amp;ROUNDUP(MOD(Panchanga!$P151,15),0)&amp;" ("&amp;ROUND(Panchanga!$P151,2)&amp;")"</f>
        <v>K4 (18.78)</v>
      </c>
      <c r="L151" s="4">
        <f>IF(AND(Panchanga!$P151&lt;28.5,Panchanga!$P151&gt;0.49999),MOD((Panchanga!$P151-0.5)*2,7),MOD((Panchanga!$P151+30-28.5),30)*2+7)</f>
        <v>1.5628000000000029</v>
      </c>
      <c r="M151" s="4" t="str">
        <f>CHOOSE(ROUNDUP(Panchanga!$L151,0),"Bhava","Baalava","Kaulava","Taitula","Garija","Vanija","Vishti","Shakuni","Chatushapda","Naaga","Kimstugna")</f>
        <v>Baalava</v>
      </c>
      <c r="N151" s="11" t="str">
        <f>CHOOSE(ROUNDUP(Panchanga!$Q151,0),"viṣkambha","prīti","āyuṣmāna","saubhāgya","śobhana","atigaṇḍa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("&amp;Panchanga!$Q151&amp;")"</f>
        <v>saubhāgya (3.99)</v>
      </c>
      <c r="O151" s="4">
        <f>IF(AND(Panchanga!$P151&lt;28.5,Panchanga!$P151&gt;0.49999),MOD((Panchanga!$P151-0.5)*2,7),MOD((Panchanga!$P151+30-28.5),30)*2+7)</f>
        <v>1.5628000000000029</v>
      </c>
      <c r="P151" s="4">
        <f>ROUNDUP(MOD(360+P[Moon]-P[Sun],360)/12,4)</f>
        <v>18.781400000000001</v>
      </c>
      <c r="Q151" s="4">
        <f>ROUNDUP(MOD(P[Sun]+P[Moon],360)/13.333333333,2)</f>
        <v>3.9899999999999998</v>
      </c>
      <c r="R151" s="4" t="str">
        <f>SIGN(U152-Panchanga!$U151)*INT(Panchanga!$U151/30+1)&amp;"Ma,"&amp;SIGN(V152-Panchanga!$V151)*INT(Panchanga!$V151/30+1)&amp;"Me,"&amp;SIGN(W152-Panchanga!$W151)*INT(Panchanga!$W151/30+1)&amp;"J, "&amp;SIGN(X152-Panchanga!$X151)*INT(Panchanga!$X151/30+1)&amp;"V,"&amp;SIGN(Y152-Panchanga!$Y151)*INT(Panchanga!$Y151/30+1)&amp;"S,"&amp;INT(Panchanga!$Z151/30+1)&amp;"R"</f>
        <v>4Ma,-4Me,-8J, 3V,-9S,3R</v>
      </c>
      <c r="S151" s="4">
        <f t="shared" si="33"/>
        <v>93.867645971133456</v>
      </c>
      <c r="T151" s="4">
        <f t="shared" si="34"/>
        <v>319.24443575865257</v>
      </c>
      <c r="U151" s="4">
        <f>Planet(Panchanga!$E151,4)</f>
        <v>107.97199451446238</v>
      </c>
      <c r="V151" s="4">
        <f>Planet(Panchanga!$E151,2)</f>
        <v>94.699734194235333</v>
      </c>
      <c r="W151" s="4">
        <f>Planet(Panchanga!$E151,5)</f>
        <v>231.08939241791748</v>
      </c>
      <c r="X151" s="4">
        <f>Planet(Panchanga!$E151,3)</f>
        <v>87.186116129899403</v>
      </c>
      <c r="Y151" s="4">
        <f>Planet(Panchanga!$E151,6)</f>
        <v>262.26585675841915</v>
      </c>
      <c r="Z151" s="4">
        <f>Planet(Panchanga!$E151,10)</f>
        <v>82.797132987026131</v>
      </c>
      <c r="AA151" s="4" t="str">
        <f>TEXT(Panchanga!$C151+($C152-Panchanga!$C151)/ABS(IF($P152&lt;1,$P152+30,$P152)-Panchanga!$P151)*(ROUNDUP(Panchanga!$P151,0)-Panchanga!$P151),"hh:mm AM/PM")</f>
        <v>11:39 AM</v>
      </c>
      <c r="AB151" s="4"/>
    </row>
    <row r="152" spans="1:28" x14ac:dyDescent="0.2">
      <c r="A152" s="3">
        <f t="shared" si="36"/>
        <v>43668</v>
      </c>
      <c r="B152" s="3">
        <f t="shared" si="30"/>
        <v>43668.229166666664</v>
      </c>
      <c r="C152" s="15">
        <f t="shared" si="31"/>
        <v>43668.245046820644</v>
      </c>
      <c r="D152" s="15">
        <f t="shared" si="32"/>
        <v>43667.777322113558</v>
      </c>
      <c r="E152" s="17">
        <f>Panchanga!$C152-TimeZone/24</f>
        <v>43668.01588015398</v>
      </c>
      <c r="F152" s="18" t="str">
        <f>INT(P[Sun]/30)&amp;"s"&amp;ROUNDUP(MOD(P[Sun],30),2)</f>
        <v>3s4.83</v>
      </c>
      <c r="G152" s="18" t="str">
        <f>INT(P[Moon]/30)&amp;"s"&amp;ROUNDUP(MOD(P[Moon],30),2)</f>
        <v>11s1.1</v>
      </c>
      <c r="H152" s="14">
        <f t="shared" si="35"/>
        <v>43668.01588015398</v>
      </c>
      <c r="I152" s="4" t="str">
        <f>naks(P[[#This Row],[Moon]])</f>
        <v>Purva Bhadrapada</v>
      </c>
      <c r="J152" s="15">
        <f>(C153-P[[#This Row],[SunRise]])/(T153-P[[#This Row],[Moon]])*(13.3333333333333-MOD(P[[#This Row],[Moon]],13.333333333333))+P[[#This Row],[SunRise]]</f>
        <v>43668.432886857838</v>
      </c>
      <c r="K152" s="4" t="str">
        <f>IF(Panchanga!$P152&gt;15,"K","S")&amp;ROUNDUP(MOD(Panchanga!$P152,15),0)&amp;" ("&amp;ROUND(Panchanga!$P152,2)&amp;")"</f>
        <v>K5 (19.69)</v>
      </c>
      <c r="L152" s="4">
        <f>IF(AND(Panchanga!$P152&lt;28.5,Panchanga!$P152&gt;0.49999),MOD((Panchanga!$P152-0.5)*2,7),MOD((Panchanga!$P152+30-28.5),30)*2+7)</f>
        <v>3.3791999999999973</v>
      </c>
      <c r="M152" s="4" t="str">
        <f>CHOOSE(ROUNDUP(Panchanga!$L152,0),"Bhava","Baalava","Kaulava","Taitula","Garija","Vanija","Vishti","Shakuni","Chatushapda","Naaga","Kimstugna")</f>
        <v>Taitula</v>
      </c>
      <c r="N152" s="11" t="str">
        <f>CHOOSE(ROUNDUP(Panchanga!$Q152,0),"viṣkambha","prīti","āyuṣmāna","saubhāgya","śobhana","atigaṇḍa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("&amp;Panchanga!$Q152&amp;")"</f>
        <v>śobhana (4.95)</v>
      </c>
      <c r="O152" s="4">
        <f>IF(AND(Panchanga!$P152&lt;28.5,Panchanga!$P152&gt;0.49999),MOD((Panchanga!$P152-0.5)*2,7),MOD((Panchanga!$P152+30-28.5),30)*2+7)</f>
        <v>3.3791999999999973</v>
      </c>
      <c r="P152" s="4">
        <f>ROUNDUP(MOD(360+P[Moon]-P[Sun],360)/12,4)</f>
        <v>19.689599999999999</v>
      </c>
      <c r="Q152" s="4">
        <f>ROUNDUP(MOD(P[Sun]+P[Moon],360)/13.333333333,2)</f>
        <v>4.95</v>
      </c>
      <c r="R152" s="4" t="str">
        <f>SIGN(U153-Panchanga!$U152)*INT(Panchanga!$U152/30+1)&amp;"Ma,"&amp;SIGN(V153-Panchanga!$V152)*INT(Panchanga!$V152/30+1)&amp;"Me,"&amp;SIGN(W153-Panchanga!$W152)*INT(Panchanga!$W152/30+1)&amp;"J, "&amp;SIGN(X153-Panchanga!$X152)*INT(Panchanga!$X152/30+1)&amp;"V,"&amp;SIGN(Y153-Panchanga!$Y152)*INT(Panchanga!$Y152/30+1)&amp;"S,"&amp;INT(Panchanga!$Z152/30+1)&amp;"R"</f>
        <v>4Ma,-4Me,-8J, 3V,-9S,3R</v>
      </c>
      <c r="S152" s="4">
        <f t="shared" si="33"/>
        <v>94.822030491245727</v>
      </c>
      <c r="T152" s="4">
        <f t="shared" si="34"/>
        <v>331.09688079605172</v>
      </c>
      <c r="U152" s="4">
        <f>Planet(Panchanga!$E152,4)</f>
        <v>108.60657785270659</v>
      </c>
      <c r="V152" s="4">
        <f>Planet(Panchanga!$E152,2)</f>
        <v>94.016977729804822</v>
      </c>
      <c r="W152" s="4">
        <f>Planet(Panchanga!$E152,5)</f>
        <v>231.02613831525352</v>
      </c>
      <c r="X152" s="4">
        <f>Planet(Panchanga!$E152,3)</f>
        <v>88.415320942322595</v>
      </c>
      <c r="Y152" s="4">
        <f>Planet(Panchanga!$E152,6)</f>
        <v>262.19465207731383</v>
      </c>
      <c r="Z152" s="4">
        <f>Planet(Panchanga!$E152,10)</f>
        <v>82.744131262180787</v>
      </c>
      <c r="AA152" s="4" t="str">
        <f>TEXT(Panchanga!$C152+($C153-Panchanga!$C152)/ABS(IF($P153&lt;1,$P153+30,$P153)-Panchanga!$P152)*(ROUNDUP(Panchanga!$P152,0)-Panchanga!$P152),"hh:mm AM/PM")</f>
        <v>02:02 PM</v>
      </c>
      <c r="AB152" s="4"/>
    </row>
    <row r="153" spans="1:28" x14ac:dyDescent="0.2">
      <c r="A153" s="3">
        <f t="shared" si="36"/>
        <v>43669</v>
      </c>
      <c r="B153" s="3">
        <f t="shared" si="30"/>
        <v>43669.229166666664</v>
      </c>
      <c r="C153" s="15">
        <f t="shared" si="31"/>
        <v>43669.245227859974</v>
      </c>
      <c r="D153" s="15">
        <f t="shared" si="32"/>
        <v>43668.777198612734</v>
      </c>
      <c r="E153" s="17">
        <f>Panchanga!$C153-TimeZone/24</f>
        <v>43669.01606119331</v>
      </c>
      <c r="F153" s="18" t="str">
        <f>INT(P[Sun]/30)&amp;"s"&amp;ROUNDUP(MOD(P[Sun],30),2)</f>
        <v>3s5.78</v>
      </c>
      <c r="G153" s="18" t="str">
        <f>INT(P[Moon]/30)&amp;"s"&amp;ROUNDUP(MOD(P[Moon],30),2)</f>
        <v>11s13.01</v>
      </c>
      <c r="H153" s="14">
        <f t="shared" si="35"/>
        <v>43669.01606119331</v>
      </c>
      <c r="I153" s="4" t="str">
        <f>naks(P[[#This Row],[Moon]])</f>
        <v>Uttara Bhadrapada</v>
      </c>
      <c r="J153" s="15">
        <f>(C154-P[[#This Row],[SunRise]])/(T154-P[[#This Row],[Moon]])*(13.3333333333333-MOD(P[[#This Row],[Moon]],13.333333333333))+P[[#This Row],[SunRise]]</f>
        <v>43669.549638591816</v>
      </c>
      <c r="K153" s="4" t="str">
        <f>IF(Panchanga!$P153&gt;15,"K","S")&amp;ROUNDUP(MOD(Panchanga!$P153,15),0)&amp;" ("&amp;ROUND(Panchanga!$P153,2)&amp;")"</f>
        <v>K6 (20.6)</v>
      </c>
      <c r="L153" s="4">
        <f>IF(AND(Panchanga!$P153&lt;28.5,Panchanga!$P153&gt;0.49999),MOD((Panchanga!$P153-0.5)*2,7),MOD((Panchanga!$P153+30-28.5),30)*2+7)</f>
        <v>5.2047999999999988</v>
      </c>
      <c r="M153" s="4" t="str">
        <f>CHOOSE(ROUNDUP(Panchanga!$L153,0),"Bhava","Baalava","Kaulava","Taitula","Garija","Vanija","Vishti","Shakuni","Chatushapda","Naaga","Kimstugna")</f>
        <v>Vanija</v>
      </c>
      <c r="N153" s="11" t="str">
        <f>CHOOSE(ROUNDUP(Panchanga!$Q153,0),"viṣkambha","prīti","āyuṣmāna","saubhāgya","śobhana","atigaṇḍa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("&amp;Panchanga!$Q153&amp;")"</f>
        <v>atigaṇḍa  (5.91)</v>
      </c>
      <c r="O153" s="4">
        <f>IF(AND(Panchanga!$P153&lt;28.5,Panchanga!$P153&gt;0.49999),MOD((Panchanga!$P153-0.5)*2,7),MOD((Panchanga!$P153+30-28.5),30)*2+7)</f>
        <v>5.2047999999999988</v>
      </c>
      <c r="P153" s="4">
        <f>ROUNDUP(MOD(360+P[Moon]-P[Sun],360)/12,4)</f>
        <v>20.602399999999999</v>
      </c>
      <c r="Q153" s="4">
        <f>ROUNDUP(MOD(P[Sun]+P[Moon],360)/13.333333333,2)</f>
        <v>5.91</v>
      </c>
      <c r="R153" s="4" t="str">
        <f>SIGN(U154-Panchanga!$U153)*INT(Panchanga!$U153/30+1)&amp;"Ma,"&amp;SIGN(V154-Panchanga!$V153)*INT(Panchanga!$V153/30+1)&amp;"Me,"&amp;SIGN(W154-Panchanga!$W153)*INT(Panchanga!$W153/30+1)&amp;"J, "&amp;SIGN(X154-Panchanga!$X153)*INT(Panchanga!$X153/30+1)&amp;"V,"&amp;SIGN(Y154-Panchanga!$Y153)*INT(Panchanga!$Y153/30+1)&amp;"S,"&amp;INT(Panchanga!$Z153/30+1)&amp;"R"</f>
        <v>4Ma,-4Me,-8J, 3V,-9S,3R</v>
      </c>
      <c r="S153" s="4">
        <f t="shared" si="33"/>
        <v>95.776617710102613</v>
      </c>
      <c r="T153" s="4">
        <f t="shared" si="34"/>
        <v>343.00519095470463</v>
      </c>
      <c r="U153" s="4">
        <f>Planet(Panchanga!$E153,4)</f>
        <v>109.24114780974521</v>
      </c>
      <c r="V153" s="4">
        <f>Planet(Panchanga!$E153,2)</f>
        <v>93.349363756290145</v>
      </c>
      <c r="W153" s="4">
        <f>Planet(Panchanga!$E153,5)</f>
        <v>230.96565727596919</v>
      </c>
      <c r="X153" s="4">
        <f>Planet(Panchanga!$E153,3)</f>
        <v>89.644860025684778</v>
      </c>
      <c r="Y153" s="4">
        <f>Planet(Panchanga!$E153,6)</f>
        <v>262.12388975879225</v>
      </c>
      <c r="Z153" s="4">
        <f>Planet(Panchanga!$E153,10)</f>
        <v>82.691129672125399</v>
      </c>
      <c r="AA153" s="4" t="str">
        <f>TEXT(Panchanga!$C153+($C154-Panchanga!$C153)/ABS(IF($P154&lt;1,$P154+30,$P154)-Panchanga!$P153)*(ROUNDUP(Panchanga!$P153,0)-Panchanga!$P153),"hh:mm AM/PM")</f>
        <v>04:13 PM</v>
      </c>
      <c r="AB153" s="4"/>
    </row>
    <row r="154" spans="1:28" x14ac:dyDescent="0.2">
      <c r="A154" s="3">
        <f t="shared" si="36"/>
        <v>43670</v>
      </c>
      <c r="B154" s="3">
        <f t="shared" si="30"/>
        <v>43670.229166666664</v>
      </c>
      <c r="C154" s="15">
        <f t="shared" si="31"/>
        <v>43670.245406355862</v>
      </c>
      <c r="D154" s="15">
        <f t="shared" si="32"/>
        <v>43669.777064780748</v>
      </c>
      <c r="E154" s="17">
        <f>Panchanga!$C154-TimeZone/24</f>
        <v>43670.016239689197</v>
      </c>
      <c r="F154" s="18" t="str">
        <f>INT(P[Sun]/30)&amp;"s"&amp;ROUNDUP(MOD(P[Sun],30),2)</f>
        <v>3s6.74</v>
      </c>
      <c r="G154" s="18" t="str">
        <f>INT(P[Moon]/30)&amp;"s"&amp;ROUNDUP(MOD(P[Moon],30),2)</f>
        <v>11s25.04</v>
      </c>
      <c r="H154" s="14">
        <f t="shared" si="35"/>
        <v>43670.016239689197</v>
      </c>
      <c r="I154" s="4" t="str">
        <f>naks(P[[#This Row],[Moon]])</f>
        <v>Revati</v>
      </c>
      <c r="J154" s="15">
        <f>(C155-P[[#This Row],[SunRise]])/(T155-P[[#This Row],[Moon]])*(13.3333333333333-MOD(P[[#This Row],[Moon]],13.333333333333))+P[[#This Row],[SunRise]]</f>
        <v>43670.231128645566</v>
      </c>
      <c r="K154" s="4" t="str">
        <f>IF(Panchanga!$P154&gt;15,"K","S")&amp;ROUNDUP(MOD(Panchanga!$P154,15),0)&amp;" ("&amp;ROUND(Panchanga!$P154,2)&amp;")"</f>
        <v>K7 (21.53)</v>
      </c>
      <c r="L154" s="4">
        <f>IF(AND(Panchanga!$P154&lt;28.5,Panchanga!$P154&gt;0.49999),MOD((Panchanga!$P154-0.5)*2,7),MOD((Panchanga!$P154+30-28.5),30)*2+7)</f>
        <v>5.0800000000002399E-2</v>
      </c>
      <c r="M154" s="4" t="str">
        <f>CHOOSE(ROUNDUP(Panchanga!$L154,0),"Bhava","Baalava","Kaulava","Taitula","Garija","Vanija","Vishti","Shakuni","Chatushapda","Naaga","Kimstugna")</f>
        <v>Bhava</v>
      </c>
      <c r="N154" s="11" t="str">
        <f>CHOOSE(ROUNDUP(Panchanga!$Q154,0),"viṣkambha","prīti","āyuṣmāna","saubhāgya","śobhana","atigaṇḍa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("&amp;Panchanga!$Q154&amp;")"</f>
        <v>sukarmā  (6.89)</v>
      </c>
      <c r="O154" s="4">
        <f>IF(AND(Panchanga!$P154&lt;28.5,Panchanga!$P154&gt;0.49999),MOD((Panchanga!$P154-0.5)*2,7),MOD((Panchanga!$P154+30-28.5),30)*2+7)</f>
        <v>5.0800000000002399E-2</v>
      </c>
      <c r="P154" s="4">
        <f>ROUNDUP(MOD(360+P[Moon]-P[Sun],360)/12,4)</f>
        <v>21.525400000000001</v>
      </c>
      <c r="Q154" s="4">
        <f>ROUNDUP(MOD(P[Sun]+P[Moon],360)/13.333333333,2)</f>
        <v>6.89</v>
      </c>
      <c r="R154" s="4" t="str">
        <f>SIGN(U155-Panchanga!$U154)*INT(Panchanga!$U154/30+1)&amp;"Ma,"&amp;SIGN(V155-Panchanga!$V154)*INT(Panchanga!$V154/30+1)&amp;"Me,"&amp;SIGN(W155-Panchanga!$W154)*INT(Panchanga!$W154/30+1)&amp;"J, "&amp;SIGN(X155-Panchanga!$X154)*INT(Panchanga!$X154/30+1)&amp;"V,"&amp;SIGN(Y155-Panchanga!$Y154)*INT(Panchanga!$Y154/30+1)&amp;"S,"&amp;INT(Panchanga!$Z154/30+1)&amp;"R"</f>
        <v>4Ma,-4Me,-8J, 4V,-9S,3R</v>
      </c>
      <c r="S154" s="4">
        <f t="shared" si="33"/>
        <v>96.731423476025569</v>
      </c>
      <c r="T154" s="4">
        <f t="shared" si="34"/>
        <v>355.03541488317455</v>
      </c>
      <c r="U154" s="4">
        <f>Planet(Panchanga!$E154,4)</f>
        <v>109.87571282336009</v>
      </c>
      <c r="V154" s="4">
        <f>Planet(Panchanga!$E154,2)</f>
        <v>92.708999712441241</v>
      </c>
      <c r="W154" s="4">
        <f>Planet(Panchanga!$E154,5)</f>
        <v>230.90798223052744</v>
      </c>
      <c r="X154" s="4">
        <f>Planet(Panchanga!$E154,3)</f>
        <v>90.874736740453997</v>
      </c>
      <c r="Y154" s="4">
        <f>Planet(Panchanga!$E154,6)</f>
        <v>262.05360479153461</v>
      </c>
      <c r="Z154" s="4">
        <f>Planet(Panchanga!$E154,10)</f>
        <v>82.638128216859769</v>
      </c>
      <c r="AA154" s="4" t="str">
        <f>TEXT(Panchanga!$C154+($C155-Panchanga!$C154)/ABS(IF($P155&lt;1,$P155+30,$P155)-Panchanga!$P154)*(ROUNDUP(Panchanga!$P154,0)-Panchanga!$P154),"hh:mm AM/PM")</f>
        <v>06:01 PM</v>
      </c>
      <c r="AB154" s="4"/>
    </row>
    <row r="155" spans="1:28" x14ac:dyDescent="0.2">
      <c r="A155" s="3">
        <f t="shared" si="36"/>
        <v>43671</v>
      </c>
      <c r="B155" s="3">
        <f t="shared" si="30"/>
        <v>43671.229166666664</v>
      </c>
      <c r="C155" s="15">
        <f t="shared" si="31"/>
        <v>43671.245582149983</v>
      </c>
      <c r="D155" s="15">
        <f t="shared" si="32"/>
        <v>43670.77692045788</v>
      </c>
      <c r="E155" s="17">
        <f>Panchanga!$C155-TimeZone/24</f>
        <v>43671.016415483318</v>
      </c>
      <c r="F155" s="18" t="str">
        <f>INT(P[Sun]/30)&amp;"s"&amp;ROUNDUP(MOD(P[Sun],30),2)</f>
        <v>3s7.69</v>
      </c>
      <c r="G155" s="18" t="str">
        <f>INT(P[Moon]/30)&amp;"s"&amp;ROUNDUP(MOD(P[Moon],30),2)</f>
        <v>0s7.26</v>
      </c>
      <c r="H155" s="14">
        <f t="shared" si="35"/>
        <v>43671.016415483318</v>
      </c>
      <c r="I155" s="4" t="str">
        <f>naks(P[[#This Row],[Moon]])</f>
        <v>Aswini</v>
      </c>
      <c r="J155" s="15">
        <f>(C156-P[[#This Row],[SunRise]])/(T156-P[[#This Row],[Moon]])*(13.3333333333333-MOD(P[[#This Row],[Moon]],13.333333333333))+P[[#This Row],[SunRise]]</f>
        <v>43671.732107800875</v>
      </c>
      <c r="K155" s="4" t="str">
        <f>IF(Panchanga!$P155&gt;15,"K","S")&amp;ROUNDUP(MOD(Panchanga!$P155,15),0)&amp;" ("&amp;ROUND(Panchanga!$P155,2)&amp;")"</f>
        <v>K8 (22.46)</v>
      </c>
      <c r="L155" s="4">
        <f>IF(AND(Panchanga!$P155&lt;28.5,Panchanga!$P155&gt;0.49999),MOD((Panchanga!$P155-0.5)*2,7),MOD((Panchanga!$P155+30-28.5),30)*2+7)</f>
        <v>1.9288000000000025</v>
      </c>
      <c r="M155" s="4" t="str">
        <f>CHOOSE(ROUNDUP(Panchanga!$L155,0),"Bhava","Baalava","Kaulava","Taitula","Garija","Vanija","Vishti","Shakuni","Chatushapda","Naaga","Kimstugna")</f>
        <v>Baalava</v>
      </c>
      <c r="N155" s="11" t="str">
        <f>CHOOSE(ROUNDUP(Panchanga!$Q155,0),"viṣkambha","prīti","āyuṣmāna","saubhāgya","śobhana","atigaṇḍa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("&amp;Panchanga!$Q155&amp;")"</f>
        <v>dhṛti  (7.88)</v>
      </c>
      <c r="O155" s="4">
        <f>IF(AND(Panchanga!$P155&lt;28.5,Panchanga!$P155&gt;0.49999),MOD((Panchanga!$P155-0.5)*2,7),MOD((Panchanga!$P155+30-28.5),30)*2+7)</f>
        <v>1.9288000000000025</v>
      </c>
      <c r="P155" s="4">
        <f>ROUNDUP(MOD(360+P[Moon]-P[Sun],360)/12,4)</f>
        <v>22.464400000000001</v>
      </c>
      <c r="Q155" s="4">
        <f>ROUNDUP(MOD(P[Sun]+P[Moon],360)/13.333333333,2)</f>
        <v>7.88</v>
      </c>
      <c r="R155" s="4" t="str">
        <f>SIGN(U156-Panchanga!$U155)*INT(Panchanga!$U155/30+1)&amp;"Ma,"&amp;SIGN(V156-Panchanga!$V155)*INT(Panchanga!$V155/30+1)&amp;"Me,"&amp;SIGN(W156-Panchanga!$W155)*INT(Panchanga!$W155/30+1)&amp;"J, "&amp;SIGN(X156-Panchanga!$X155)*INT(Panchanga!$X155/30+1)&amp;"V,"&amp;SIGN(Y156-Panchanga!$Y155)*INT(Panchanga!$Y155/30+1)&amp;"S,"&amp;INT(Panchanga!$Z155/30+1)&amp;"R"</f>
        <v>4Ma,-4Me,-8J, 4V,-9S,3R</v>
      </c>
      <c r="S155" s="4">
        <f t="shared" si="33"/>
        <v>97.686461502114028</v>
      </c>
      <c r="T155" s="4">
        <f t="shared" si="34"/>
        <v>7.2585123548776194</v>
      </c>
      <c r="U155" s="4">
        <f>Planet(Panchanga!$E155,4)</f>
        <v>110.51028050588197</v>
      </c>
      <c r="V155" s="4">
        <f>Planet(Panchanga!$E155,2)</f>
        <v>92.107684088604984</v>
      </c>
      <c r="W155" s="4">
        <f>Planet(Panchanga!$E155,5)</f>
        <v>230.85314495945494</v>
      </c>
      <c r="X155" s="4">
        <f>Planet(Panchanga!$E155,3)</f>
        <v>92.104952986018048</v>
      </c>
      <c r="Y155" s="4">
        <f>Planet(Panchanga!$E155,6)</f>
        <v>261.98383225039805</v>
      </c>
      <c r="Z155" s="4">
        <f>Planet(Panchanga!$E155,10)</f>
        <v>82.585126904767833</v>
      </c>
      <c r="AA155" s="4" t="str">
        <f>TEXT(Panchanga!$C155+($C156-Panchanga!$C155)/ABS(IF($P156&lt;1,$P156+30,$P156)-Panchanga!$P155)*(ROUNDUP(Panchanga!$P155,0)-Panchanga!$P155),"hh:mm AM/PM")</f>
        <v>07:16 PM</v>
      </c>
      <c r="AB155" s="4"/>
    </row>
    <row r="156" spans="1:28" x14ac:dyDescent="0.2">
      <c r="A156" s="3">
        <f t="shared" si="36"/>
        <v>43672</v>
      </c>
      <c r="B156" s="3">
        <f t="shared" si="30"/>
        <v>43672.229166666664</v>
      </c>
      <c r="C156" s="15">
        <f t="shared" si="31"/>
        <v>43672.24575508308</v>
      </c>
      <c r="D156" s="15">
        <f t="shared" si="32"/>
        <v>43671.77676580385</v>
      </c>
      <c r="E156" s="17">
        <f>Panchanga!$C156-TimeZone/24</f>
        <v>43672.016588416416</v>
      </c>
      <c r="F156" s="18" t="str">
        <f>INT(P[Sun]/30)&amp;"s"&amp;ROUNDUP(MOD(P[Sun],30),2)</f>
        <v>3s8.65</v>
      </c>
      <c r="G156" s="18" t="str">
        <f>INT(P[Moon]/30)&amp;"s"&amp;ROUNDUP(MOD(P[Moon],30),2)</f>
        <v>0s19.75</v>
      </c>
      <c r="H156" s="14">
        <f t="shared" si="35"/>
        <v>43672.016588416416</v>
      </c>
      <c r="I156" s="4" t="str">
        <f>naks(P[[#This Row],[Moon]])</f>
        <v>Bharani</v>
      </c>
      <c r="J156" s="15">
        <f>(C157-P[[#This Row],[SunRise]])/(T157-P[[#This Row],[Moon]])*(13.3333333333333-MOD(P[[#This Row],[Moon]],13.333333333333))+P[[#This Row],[SunRise]]</f>
        <v>43672.785543237893</v>
      </c>
      <c r="K156" s="4" t="str">
        <f>IF(Panchanga!$P156&gt;15,"K","S")&amp;ROUNDUP(MOD(Panchanga!$P156,15),0)&amp;" ("&amp;ROUND(Panchanga!$P156,2)&amp;")"</f>
        <v>K9 (23.43)</v>
      </c>
      <c r="L156" s="4">
        <f>IF(AND(Panchanga!$P156&lt;28.5,Panchanga!$P156&gt;0.49999),MOD((Panchanga!$P156-0.5)*2,7),MOD((Panchanga!$P156+30-28.5),30)*2+7)</f>
        <v>3.8509999999999991</v>
      </c>
      <c r="M156" s="4" t="str">
        <f>CHOOSE(ROUNDUP(Panchanga!$L156,0),"Bhava","Baalava","Kaulava","Taitula","Garija","Vanija","Vishti","Shakuni","Chatushapda","Naaga","Kimstugna")</f>
        <v>Taitula</v>
      </c>
      <c r="N156" s="11" t="str">
        <f>CHOOSE(ROUNDUP(Panchanga!$Q156,0),"viṣkambha","prīti","āyuṣmāna","saubhāgya","śobhana","atigaṇḍa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("&amp;Panchanga!$Q156&amp;")"</f>
        <v>śūla  (8.88)</v>
      </c>
      <c r="O156" s="4">
        <f>IF(AND(Panchanga!$P156&lt;28.5,Panchanga!$P156&gt;0.49999),MOD((Panchanga!$P156-0.5)*2,7),MOD((Panchanga!$P156+30-28.5),30)*2+7)</f>
        <v>3.8509999999999991</v>
      </c>
      <c r="P156" s="4">
        <f>ROUNDUP(MOD(360+P[Moon]-P[Sun],360)/12,4)</f>
        <v>23.4255</v>
      </c>
      <c r="Q156" s="4">
        <f>ROUNDUP(MOD(P[Sun]+P[Moon],360)/13.333333333,2)</f>
        <v>8.879999999999999</v>
      </c>
      <c r="R156" s="4" t="str">
        <f>SIGN(U157-Panchanga!$U156)*INT(Panchanga!$U156/30+1)&amp;"Ma,"&amp;SIGN(V157-Panchanga!$V156)*INT(Panchanga!$V156/30+1)&amp;"Me,"&amp;SIGN(W157-Panchanga!$W156)*INT(Panchanga!$W156/30+1)&amp;"J, "&amp;SIGN(X157-Panchanga!$X156)*INT(Panchanga!$X156/30+1)&amp;"V,"&amp;SIGN(Y157-Panchanga!$Y156)*INT(Panchanga!$Y156/30+1)&amp;"S,"&amp;INT(Panchanga!$Z156/30+1)&amp;"R"</f>
        <v>4Ma,-4Me,-8J, 4V,-9S,3R</v>
      </c>
      <c r="S156" s="4">
        <f t="shared" si="33"/>
        <v>98.641743294658838</v>
      </c>
      <c r="T156" s="4">
        <f t="shared" si="34"/>
        <v>19.746798439945188</v>
      </c>
      <c r="U156" s="4">
        <f>Planet(Panchanga!$E156,4)</f>
        <v>111.14485763861735</v>
      </c>
      <c r="V156" s="4">
        <f>Planet(Panchanga!$E156,2)</f>
        <v>91.556659064851019</v>
      </c>
      <c r="W156" s="4">
        <f>Planet(Panchanga!$E156,5)</f>
        <v>230.80117609448601</v>
      </c>
      <c r="X156" s="4">
        <f>Planet(Panchanga!$E156,3)</f>
        <v>93.335509286245895</v>
      </c>
      <c r="Y156" s="4">
        <f>Planet(Panchanga!$E156,6)</f>
        <v>261.9146072952841</v>
      </c>
      <c r="Z156" s="4">
        <f>Planet(Panchanga!$E156,10)</f>
        <v>82.532125744282936</v>
      </c>
      <c r="AA156" s="4" t="str">
        <f>TEXT(Panchanga!$C156+($C157-Panchanga!$C156)/ABS(IF($P157&lt;1,$P157+30,$P157)-Panchanga!$P156)*(ROUNDUP(Panchanga!$P156,0)-Panchanga!$P156),"hh:mm AM/PM")</f>
        <v>07:50 PM</v>
      </c>
      <c r="AB156" s="4"/>
    </row>
    <row r="157" spans="1:28" x14ac:dyDescent="0.2">
      <c r="A157" s="3">
        <f t="shared" si="36"/>
        <v>43673</v>
      </c>
      <c r="B157" s="3">
        <f t="shared" si="30"/>
        <v>43673.229166666664</v>
      </c>
      <c r="C157" s="15">
        <f t="shared" si="31"/>
        <v>43673.245924995899</v>
      </c>
      <c r="D157" s="15">
        <f t="shared" si="32"/>
        <v>43672.776600818193</v>
      </c>
      <c r="E157" s="17">
        <f>Panchanga!$C157-TimeZone/24</f>
        <v>43673.016758329235</v>
      </c>
      <c r="F157" s="18" t="str">
        <f>INT(P[Sun]/30)&amp;"s"&amp;ROUNDUP(MOD(P[Sun],30),2)</f>
        <v>3s9.6</v>
      </c>
      <c r="G157" s="18" t="str">
        <f>INT(P[Moon]/30)&amp;"s"&amp;ROUNDUP(MOD(P[Moon],30),2)</f>
        <v>1s2.57</v>
      </c>
      <c r="H157" s="14">
        <f t="shared" si="35"/>
        <v>43673.016758329235</v>
      </c>
      <c r="I157" s="4" t="str">
        <f>naks(P[[#This Row],[Moon]])</f>
        <v>Krittika</v>
      </c>
      <c r="J157" s="15">
        <f>(C158-P[[#This Row],[SunRise]])/(T158-P[[#This Row],[Moon]])*(13.3333333333333-MOD(P[[#This Row],[Moon]],13.333333333333))+P[[#This Row],[SunRise]]</f>
        <v>43673.808482347282</v>
      </c>
      <c r="K157" s="4" t="str">
        <f>IF(Panchanga!$P157&gt;15,"K","S")&amp;ROUNDUP(MOD(Panchanga!$P157,15),0)&amp;" ("&amp;ROUND(Panchanga!$P157,2)&amp;")"</f>
        <v>K10 (24.41)</v>
      </c>
      <c r="L157" s="4">
        <f>IF(AND(Panchanga!$P157&lt;28.5,Panchanga!$P157&gt;0.49999),MOD((Panchanga!$P157-0.5)*2,7),MOD((Panchanga!$P157+30-28.5),30)*2+7)</f>
        <v>5.8286000000000016</v>
      </c>
      <c r="M157" s="4" t="str">
        <f>CHOOSE(ROUNDUP(Panchanga!$L157,0),"Bhava","Baalava","Kaulava","Taitula","Garija","Vanija","Vishti","Shakuni","Chatushapda","Naaga","Kimstugna")</f>
        <v>Vanija</v>
      </c>
      <c r="N157" s="11" t="str">
        <f>CHOOSE(ROUNDUP(Panchanga!$Q157,0),"viṣkambha","prīti","āyuṣmāna","saubhāgya","śobhana","atigaṇḍa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("&amp;Panchanga!$Q157&amp;")"</f>
        <v>gaṇḍa  (9.92)</v>
      </c>
      <c r="O157" s="4">
        <f>IF(AND(Panchanga!$P157&lt;28.5,Panchanga!$P157&gt;0.49999),MOD((Panchanga!$P157-0.5)*2,7),MOD((Panchanga!$P157+30-28.5),30)*2+7)</f>
        <v>5.8286000000000016</v>
      </c>
      <c r="P157" s="4">
        <f>ROUNDUP(MOD(360+P[Moon]-P[Sun],360)/12,4)</f>
        <v>24.414300000000001</v>
      </c>
      <c r="Q157" s="4">
        <f>ROUNDUP(MOD(P[Sun]+P[Moon],360)/13.333333333,2)</f>
        <v>9.92</v>
      </c>
      <c r="R157" s="4" t="str">
        <f>SIGN(U158-Panchanga!$U157)*INT(Panchanga!$U157/30+1)&amp;"Ma,"&amp;SIGN(V158-Panchanga!$V157)*INT(Panchanga!$V157/30+1)&amp;"Me,"&amp;SIGN(W158-Panchanga!$W157)*INT(Panchanga!$W157/30+1)&amp;"J, "&amp;SIGN(X158-Panchanga!$X157)*INT(Panchanga!$X157/30+1)&amp;"V,"&amp;SIGN(Y158-Panchanga!$Y157)*INT(Panchanga!$Y157/30+1)&amp;"S,"&amp;INT(Panchanga!$Z157/30+1)&amp;"R"</f>
        <v>4Ma,-4Me,-8J, 4V,-9S,3R</v>
      </c>
      <c r="S157" s="4">
        <f t="shared" si="33"/>
        <v>99.597277872313285</v>
      </c>
      <c r="T157" s="4">
        <f t="shared" si="34"/>
        <v>32.568576649241564</v>
      </c>
      <c r="U157" s="4">
        <f>Planet(Panchanga!$E157,4)</f>
        <v>111.77945004511666</v>
      </c>
      <c r="V157" s="4">
        <f>Planet(Panchanga!$E157,2)</f>
        <v>91.066397926440146</v>
      </c>
      <c r="W157" s="4">
        <f>Planet(Panchanga!$E157,5)</f>
        <v>230.75210513316952</v>
      </c>
      <c r="X157" s="4">
        <f>Planet(Panchanga!$E157,3)</f>
        <v>94.56640464947678</v>
      </c>
      <c r="Y157" s="4">
        <f>Planet(Panchanga!$E157,6)</f>
        <v>261.84596517776305</v>
      </c>
      <c r="Z157" s="4">
        <f>Planet(Panchanga!$E157,10)</f>
        <v>82.479124743855294</v>
      </c>
      <c r="AA157" s="4" t="str">
        <f>TEXT(Panchanga!$C157+($C158-Panchanga!$C157)/ABS(IF($P158&lt;1,$P158+30,$P158)-Panchanga!$P157)*(ROUNDUP(Panchanga!$P157,0)-Panchanga!$P157),"hh:mm AM/PM")</f>
        <v>07:40 PM</v>
      </c>
      <c r="AB157" s="4"/>
    </row>
    <row r="158" spans="1:28" x14ac:dyDescent="0.2">
      <c r="A158" s="3">
        <f t="shared" si="36"/>
        <v>43674</v>
      </c>
      <c r="B158" s="3">
        <f t="shared" si="30"/>
        <v>43674.229166666664</v>
      </c>
      <c r="C158" s="15">
        <f t="shared" si="31"/>
        <v>43674.246091730114</v>
      </c>
      <c r="D158" s="15">
        <f t="shared" si="32"/>
        <v>43673.77642550091</v>
      </c>
      <c r="E158" s="17">
        <f>Panchanga!$C158-TimeZone/24</f>
        <v>43674.01692506345</v>
      </c>
      <c r="F158" s="18" t="str">
        <f>INT(P[Sun]/30)&amp;"s"&amp;ROUNDUP(MOD(P[Sun],30),2)</f>
        <v>3s10.56</v>
      </c>
      <c r="G158" s="18" t="str">
        <f>INT(P[Moon]/30)&amp;"s"&amp;ROUNDUP(MOD(P[Moon],30),2)</f>
        <v>1s15.79</v>
      </c>
      <c r="H158" s="14">
        <f t="shared" si="35"/>
        <v>43674.01692506345</v>
      </c>
      <c r="I158" s="4" t="str">
        <f>naks(P[[#This Row],[Moon]])</f>
        <v>Rohini</v>
      </c>
      <c r="J158" s="15">
        <f>(C159-P[[#This Row],[SunRise]])/(T159-P[[#This Row],[Moon]])*(13.3333333333333-MOD(P[[#This Row],[Moon]],13.333333333333))+P[[#This Row],[SunRise]]</f>
        <v>43674.799905363034</v>
      </c>
      <c r="K158" s="4" t="str">
        <f>IF(Panchanga!$P158&gt;15,"K","S")&amp;ROUNDUP(MOD(Panchanga!$P158,15),0)&amp;" ("&amp;ROUND(Panchanga!$P158,2)&amp;")"</f>
        <v>K11 (25.44)</v>
      </c>
      <c r="L158" s="4">
        <f>IF(AND(Panchanga!$P158&lt;28.5,Panchanga!$P158&gt;0.49999),MOD((Panchanga!$P158-0.5)*2,7),MOD((Panchanga!$P158+30-28.5),30)*2+7)</f>
        <v>0.87140000000000128</v>
      </c>
      <c r="M158" s="4" t="str">
        <f>CHOOSE(ROUNDUP(Panchanga!$L158,0),"Bhava","Baalava","Kaulava","Taitula","Garija","Vanija","Vishti","Shakuni","Chatushapda","Naaga","Kimstugna")</f>
        <v>Bhava</v>
      </c>
      <c r="N158" s="11" t="str">
        <f>CHOOSE(ROUNDUP(Panchanga!$Q158,0),"viṣkambha","prīti","āyuṣmāna","saubhāgya","śobhana","atigaṇḍa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("&amp;Panchanga!$Q158&amp;")"</f>
        <v>vṛddhi  (10.98)</v>
      </c>
      <c r="O158" s="4">
        <f>IF(AND(Panchanga!$P158&lt;28.5,Panchanga!$P158&gt;0.49999),MOD((Panchanga!$P158-0.5)*2,7),MOD((Panchanga!$P158+30-28.5),30)*2+7)</f>
        <v>0.87140000000000128</v>
      </c>
      <c r="P158" s="4">
        <f>ROUNDUP(MOD(360+P[Moon]-P[Sun],360)/12,4)</f>
        <v>25.435700000000001</v>
      </c>
      <c r="Q158" s="4">
        <f>ROUNDUP(MOD(P[Sun]+P[Moon],360)/13.333333333,2)</f>
        <v>10.98</v>
      </c>
      <c r="R158" s="4" t="str">
        <f>SIGN(U159-Panchanga!$U158)*INT(Panchanga!$U158/30+1)&amp;"Ma,"&amp;SIGN(V159-Panchanga!$V158)*INT(Panchanga!$V158/30+1)&amp;"Me,"&amp;SIGN(W159-Panchanga!$W158)*INT(Panchanga!$W158/30+1)&amp;"J, "&amp;SIGN(X159-Panchanga!$X158)*INT(Panchanga!$X158/30+1)&amp;"V,"&amp;SIGN(Y159-Panchanga!$Y158)*INT(Panchanga!$Y158/30+1)&amp;"S,"&amp;INT(Panchanga!$Z158/30+1)&amp;"R"</f>
        <v>4Ma,-4Me,-8J, 4V,-9S,3R</v>
      </c>
      <c r="S158" s="4">
        <f t="shared" si="33"/>
        <v>100.55307133174153</v>
      </c>
      <c r="T158" s="4">
        <f t="shared" si="34"/>
        <v>45.780851637748242</v>
      </c>
      <c r="U158" s="4">
        <f>Planet(Panchanga!$E158,4)</f>
        <v>112.41406240229618</v>
      </c>
      <c r="V158" s="4">
        <f>Planet(Panchanga!$E158,2)</f>
        <v>90.646436958845527</v>
      </c>
      <c r="W158" s="4">
        <f>Planet(Panchanga!$E158,5)</f>
        <v>230.70596045513687</v>
      </c>
      <c r="X158" s="4">
        <f>Planet(Panchanga!$E158,3)</f>
        <v>95.797636337216488</v>
      </c>
      <c r="Y158" s="4">
        <f>Planet(Panchanga!$E158,6)</f>
        <v>261.77794126443183</v>
      </c>
      <c r="Z158" s="4">
        <f>Planet(Panchanga!$E158,10)</f>
        <v>82.426123911852287</v>
      </c>
      <c r="AA158" s="4" t="str">
        <f>TEXT(Panchanga!$C158+($C159-Panchanga!$C158)/ABS(IF($P159&lt;1,$P159+30,$P159)-Panchanga!$P158)*(ROUNDUP(Panchanga!$P158,0)-Panchanga!$P158),"hh:mm AM/PM")</f>
        <v>06:43 PM</v>
      </c>
      <c r="AB158" s="4"/>
    </row>
    <row r="159" spans="1:28" x14ac:dyDescent="0.2">
      <c r="A159" s="3">
        <f t="shared" si="36"/>
        <v>43675</v>
      </c>
      <c r="B159" s="3">
        <f t="shared" si="30"/>
        <v>43675.229166666664</v>
      </c>
      <c r="C159" s="15">
        <f t="shared" si="31"/>
        <v>43675.246255126003</v>
      </c>
      <c r="D159" s="15">
        <f t="shared" si="32"/>
        <v>43674.776240011255</v>
      </c>
      <c r="E159" s="17">
        <f>Panchanga!$C159-TimeZone/24</f>
        <v>43675.017088459339</v>
      </c>
      <c r="F159" s="18" t="str">
        <f>INT(P[Sun]/30)&amp;"s"&amp;ROUNDUP(MOD(P[Sun],30),2)</f>
        <v>3s11.51</v>
      </c>
      <c r="G159" s="18" t="str">
        <f>INT(P[Moon]/30)&amp;"s"&amp;ROUNDUP(MOD(P[Moon],30),2)</f>
        <v>1s29.43</v>
      </c>
      <c r="H159" s="14">
        <f t="shared" si="35"/>
        <v>43675.017088459339</v>
      </c>
      <c r="I159" s="4" t="str">
        <f>naks(P[[#This Row],[Moon]])</f>
        <v>Mrigashira</v>
      </c>
      <c r="J159" s="15">
        <f>(C160-P[[#This Row],[SunRise]])/(T160-P[[#This Row],[Moon]])*(13.3333333333333-MOD(P[[#This Row],[Moon]],13.333333333333))+P[[#This Row],[SunRise]]</f>
        <v>43675.76124916281</v>
      </c>
      <c r="K159" s="4" t="str">
        <f>IF(Panchanga!$P159&gt;15,"K","S")&amp;ROUNDUP(MOD(Panchanga!$P159,15),0)&amp;" ("&amp;ROUND(Panchanga!$P159,2)&amp;")"</f>
        <v>K12 (26.49)</v>
      </c>
      <c r="L159" s="4">
        <f>IF(AND(Panchanga!$P159&lt;28.5,Panchanga!$P159&gt;0.49999),MOD((Panchanga!$P159-0.5)*2,7),MOD((Panchanga!$P159+30-28.5),30)*2+7)</f>
        <v>2.985199999999999</v>
      </c>
      <c r="M159" s="4" t="str">
        <f>CHOOSE(ROUNDUP(Panchanga!$L159,0),"Bhava","Baalava","Kaulava","Taitula","Garija","Vanija","Vishti","Shakuni","Chatushapda","Naaga","Kimstugna")</f>
        <v>Kaulava</v>
      </c>
      <c r="N159" s="11" t="str">
        <f>CHOOSE(ROUNDUP(Panchanga!$Q159,0),"viṣkambha","prīti","āyuṣmāna","saubhāgya","śobhana","atigaṇḍa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("&amp;Panchanga!$Q159&amp;")"</f>
        <v>vyāghāta (12.07)</v>
      </c>
      <c r="O159" s="4">
        <f>IF(AND(Panchanga!$P159&lt;28.5,Panchanga!$P159&gt;0.49999),MOD((Panchanga!$P159-0.5)*2,7),MOD((Panchanga!$P159+30-28.5),30)*2+7)</f>
        <v>2.985199999999999</v>
      </c>
      <c r="P159" s="4">
        <f>ROUNDUP(MOD(360+P[Moon]-P[Sun],360)/12,4)</f>
        <v>26.492599999999999</v>
      </c>
      <c r="Q159" s="4">
        <f>ROUNDUP(MOD(P[Sun]+P[Moon],360)/13.333333333,2)</f>
        <v>12.07</v>
      </c>
      <c r="R159" s="4" t="str">
        <f>SIGN(U160-Panchanga!$U159)*INT(Panchanga!$U159/30+1)&amp;"Ma,"&amp;SIGN(V160-Panchanga!$V159)*INT(Panchanga!$V159/30+1)&amp;"Me,"&amp;SIGN(W160-Panchanga!$W159)*INT(Panchanga!$W159/30+1)&amp;"J, "&amp;SIGN(X160-Panchanga!$X159)*INT(Panchanga!$X159/30+1)&amp;"V,"&amp;SIGN(Y160-Panchanga!$Y159)*INT(Panchanga!$Y159/30+1)&amp;"S,"&amp;INT(Panchanga!$Z159/30+1)&amp;"R"</f>
        <v>4Ma,-4Me,-8J, 4V,-9S,3R</v>
      </c>
      <c r="S159" s="4">
        <f t="shared" si="33"/>
        <v>101.50912624111058</v>
      </c>
      <c r="T159" s="4">
        <f t="shared" si="34"/>
        <v>59.420305943435004</v>
      </c>
      <c r="U159" s="4">
        <f>Planet(Panchanga!$E159,4)</f>
        <v>113.04869797028935</v>
      </c>
      <c r="V159" s="4">
        <f>Planet(Panchanga!$E159,2)</f>
        <v>90.30525732121346</v>
      </c>
      <c r="W159" s="4">
        <f>Planet(Panchanga!$E159,5)</f>
        <v>230.6627693090912</v>
      </c>
      <c r="X159" s="4">
        <f>Planet(Panchanga!$E159,3)</f>
        <v>97.029199543513627</v>
      </c>
      <c r="Y159" s="4">
        <f>Planet(Panchanga!$E159,6)</f>
        <v>261.71057105958926</v>
      </c>
      <c r="Z159" s="4">
        <f>Planet(Panchanga!$E159,10)</f>
        <v>82.373123256789953</v>
      </c>
      <c r="AA159" s="4" t="str">
        <f>TEXT(Panchanga!$C159+($C160-Panchanga!$C159)/ABS(IF($P160&lt;1,$P160+30,$P160)-Panchanga!$P159)*(ROUNDUP(Panchanga!$P159,0)-Panchanga!$P159),"hh:mm AM/PM")</f>
        <v>05:03 PM</v>
      </c>
      <c r="AB159" s="4"/>
    </row>
    <row r="160" spans="1:28" x14ac:dyDescent="0.2">
      <c r="A160" s="3">
        <f t="shared" si="36"/>
        <v>43676</v>
      </c>
      <c r="B160" s="3">
        <f t="shared" si="30"/>
        <v>43676.229166666664</v>
      </c>
      <c r="C160" s="15">
        <f t="shared" si="31"/>
        <v>43676.246415184498</v>
      </c>
      <c r="D160" s="15">
        <f t="shared" si="32"/>
        <v>43675.776044189974</v>
      </c>
      <c r="E160" s="17">
        <f>Panchanga!$C160-TimeZone/24</f>
        <v>43676.017248517834</v>
      </c>
      <c r="F160" s="18" t="str">
        <f>INT(P[Sun]/30)&amp;"s"&amp;ROUNDUP(MOD(P[Sun],30),2)</f>
        <v>3s12.47</v>
      </c>
      <c r="G160" s="18" t="str">
        <f>INT(P[Moon]/30)&amp;"s"&amp;ROUNDUP(MOD(P[Moon],30),2)</f>
        <v>2s13.5</v>
      </c>
      <c r="H160" s="14">
        <f t="shared" si="35"/>
        <v>43676.017248517834</v>
      </c>
      <c r="I160" s="4" t="str">
        <f>naks(P[[#This Row],[Moon]])</f>
        <v>Ardra</v>
      </c>
      <c r="J160" s="15">
        <f>(C161-P[[#This Row],[SunRise]])/(T161-P[[#This Row],[Moon]])*(13.3333333333333-MOD(P[[#This Row],[Moon]],13.333333333333))+P[[#This Row],[SunRise]]</f>
        <v>43676.696037630143</v>
      </c>
      <c r="K160" s="4" t="str">
        <f>IF(Panchanga!$P160&gt;15,"K","S")&amp;ROUNDUP(MOD(Panchanga!$P160,15),0)&amp;" ("&amp;ROUND(Panchanga!$P160,2)&amp;")"</f>
        <v>K13 (27.59)</v>
      </c>
      <c r="L160" s="4">
        <f>IF(AND(Panchanga!$P160&lt;28.5,Panchanga!$P160&gt;0.49999),MOD((Panchanga!$P160-0.5)*2,7),MOD((Panchanga!$P160+30-28.5),30)*2+7)</f>
        <v>5.1713999999999984</v>
      </c>
      <c r="M160" s="4" t="str">
        <f>CHOOSE(ROUNDUP(Panchanga!$L160,0),"Bhava","Baalava","Kaulava","Taitula","Garija","Vanija","Vishti","Shakuni","Chatushapda","Naaga","Kimstugna")</f>
        <v>Vanija</v>
      </c>
      <c r="N160" s="11" t="str">
        <f>CHOOSE(ROUNDUP(Panchanga!$Q160,0),"viṣkambha","prīti","āyuṣmāna","saubhāgya","śobhana","atigaṇḍa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("&amp;Panchanga!$Q160&amp;")"</f>
        <v>harṣaṇa (13.2)</v>
      </c>
      <c r="O160" s="4">
        <f>IF(AND(Panchanga!$P160&lt;28.5,Panchanga!$P160&gt;0.49999),MOD((Panchanga!$P160-0.5)*2,7),MOD((Panchanga!$P160+30-28.5),30)*2+7)</f>
        <v>5.1713999999999984</v>
      </c>
      <c r="P160" s="4">
        <f>ROUNDUP(MOD(360+P[Moon]-P[Sun],360)/12,4)</f>
        <v>27.585699999999999</v>
      </c>
      <c r="Q160" s="4">
        <f>ROUNDUP(MOD(P[Sun]+P[Moon],360)/13.333333333,2)</f>
        <v>13.2</v>
      </c>
      <c r="R160" s="4" t="str">
        <f>SIGN(U161-Panchanga!$U160)*INT(Panchanga!$U160/30+1)&amp;"Ma,"&amp;SIGN(V161-Panchanga!$V160)*INT(Panchanga!$V160/30+1)&amp;"Me,"&amp;SIGN(W161-Panchanga!$W160)*INT(Panchanga!$W160/30+1)&amp;"J, "&amp;SIGN(X161-Panchanga!$X160)*INT(Panchanga!$X160/30+1)&amp;"V,"&amp;SIGN(Y161-Panchanga!$Y160)*INT(Panchanga!$Y160/30+1)&amp;"S,"&amp;INT(Panchanga!$Z160/30+1)&amp;"R"</f>
        <v>4Ma,-4Me,-8J, 4V,-9S,3R</v>
      </c>
      <c r="S160" s="4">
        <f t="shared" si="33"/>
        <v>102.46544114198301</v>
      </c>
      <c r="T160" s="4">
        <f t="shared" si="34"/>
        <v>73.493324360851346</v>
      </c>
      <c r="U160" s="4">
        <f>Planet(Panchanga!$E160,4)</f>
        <v>113.68335837677154</v>
      </c>
      <c r="V160" s="4">
        <f>Planet(Panchanga!$E160,2)</f>
        <v>90.050218015028861</v>
      </c>
      <c r="W160" s="4">
        <f>Planet(Panchanga!$E160,5)</f>
        <v>230.62255770457168</v>
      </c>
      <c r="X160" s="4">
        <f>Planet(Panchanga!$E160,3)</f>
        <v>98.261087257434056</v>
      </c>
      <c r="Y160" s="4">
        <f>Planet(Panchanga!$E160,6)</f>
        <v>261.64389019812256</v>
      </c>
      <c r="Z160" s="4">
        <f>Planet(Panchanga!$E160,10)</f>
        <v>82.320122778552502</v>
      </c>
      <c r="AA160" s="4" t="str">
        <f>TEXT(Panchanga!$C160+($C161-Panchanga!$C160)/ABS(IF($P161&lt;1,$P161+30,$P161)-Panchanga!$P160)*(ROUNDUP(Panchanga!$P160,0)-Panchanga!$P160),"hh:mm AM/PM")</f>
        <v>02:44 PM</v>
      </c>
      <c r="AB160" s="4"/>
    </row>
    <row r="161" spans="1:28" x14ac:dyDescent="0.2">
      <c r="A161" s="3">
        <f t="shared" si="36"/>
        <v>43677</v>
      </c>
      <c r="B161" s="3">
        <f t="shared" si="30"/>
        <v>43677.229166666664</v>
      </c>
      <c r="C161" s="15">
        <f t="shared" si="31"/>
        <v>43677.246571587086</v>
      </c>
      <c r="D161" s="15">
        <f t="shared" si="32"/>
        <v>43676.775838196321</v>
      </c>
      <c r="E161" s="17">
        <f>Panchanga!$C161-TimeZone/24</f>
        <v>43677.017404920422</v>
      </c>
      <c r="F161" s="18" t="str">
        <f>INT(P[Sun]/30)&amp;"s"&amp;ROUNDUP(MOD(P[Sun],30),2)</f>
        <v>3s13.43</v>
      </c>
      <c r="G161" s="18" t="str">
        <f>INT(P[Moon]/30)&amp;"s"&amp;ROUNDUP(MOD(P[Moon],30),2)</f>
        <v>2s27.97</v>
      </c>
      <c r="H161" s="14">
        <f t="shared" si="35"/>
        <v>43677.017404920422</v>
      </c>
      <c r="I161" s="4" t="str">
        <f>naks(P[[#This Row],[Moon]])</f>
        <v>Punarvasu</v>
      </c>
      <c r="J161" s="15">
        <f>(C162-P[[#This Row],[SunRise]])/(T162-P[[#This Row],[Moon]])*(13.3333333333333-MOD(P[[#This Row],[Moon]],13.333333333333))+P[[#This Row],[SunRise]]</f>
        <v>43677.609276770614</v>
      </c>
      <c r="K161" s="4" t="str">
        <f>IF(Panchanga!$P161&gt;15,"K","S")&amp;ROUNDUP(MOD(Panchanga!$P161,15),0)&amp;" ("&amp;ROUND(Panchanga!$P161,2)&amp;")"</f>
        <v>K14 (28.71)</v>
      </c>
      <c r="L161" s="4">
        <f>IF(AND(Panchanga!$P161&lt;28.5,Panchanga!$P161&gt;0.49999),MOD((Panchanga!$P161-0.5)*2,7),MOD((Panchanga!$P161+30-28.5),30)*2+7)</f>
        <v>7.424199999999999</v>
      </c>
      <c r="M161" s="4" t="str">
        <f>CHOOSE(ROUNDUP(Panchanga!$L161,0),"Bhava","Baalava","Kaulava","Taitula","Garija","Vanija","Vishti","Shakuni","Chatushapda","Naaga","Kimstugna")</f>
        <v>Shakuni</v>
      </c>
      <c r="N161" s="11" t="str">
        <f>CHOOSE(ROUNDUP(Panchanga!$Q161,0),"viṣkambha","prīti","āyuṣmāna","saubhāgya","śobhana","atigaṇḍa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("&amp;Panchanga!$Q161&amp;")"</f>
        <v>vajra (14.36)</v>
      </c>
      <c r="O161" s="4">
        <f>IF(AND(Panchanga!$P161&lt;28.5,Panchanga!$P161&gt;0.49999),MOD((Panchanga!$P161-0.5)*2,7),MOD((Panchanga!$P161+30-28.5),30)*2+7)</f>
        <v>7.424199999999999</v>
      </c>
      <c r="P161" s="4">
        <f>ROUNDUP(MOD(360+P[Moon]-P[Sun],360)/12,4)</f>
        <v>28.7121</v>
      </c>
      <c r="Q161" s="4">
        <f>ROUNDUP(MOD(P[Sun]+P[Moon],360)/13.333333333,2)</f>
        <v>14.36</v>
      </c>
      <c r="R161" s="4" t="str">
        <f>SIGN(U162-Panchanga!$U161)*INT(Panchanga!$U161/30+1)&amp;"Ma,"&amp;SIGN(V162-Panchanga!$V161)*INT(Panchanga!$V161/30+1)&amp;"Me,"&amp;SIGN(W162-Panchanga!$W161)*INT(Panchanga!$W161/30+1)&amp;"J, "&amp;SIGN(X162-Panchanga!$X161)*INT(Panchanga!$X161/30+1)&amp;"V,"&amp;SIGN(Y162-Panchanga!$Y161)*INT(Panchanga!$Y161/30+1)&amp;"S,"&amp;INT(Panchanga!$Z161/30+1)&amp;"R"</f>
        <v>4Ma,-3Me,-8J, 4V,-9S,3R</v>
      </c>
      <c r="S161" s="4">
        <f t="shared" si="33"/>
        <v>103.42200970093334</v>
      </c>
      <c r="T161" s="4">
        <f t="shared" si="34"/>
        <v>87.967008588815702</v>
      </c>
      <c r="U161" s="4">
        <f>Planet(Panchanga!$E161,4)</f>
        <v>114.31804306342396</v>
      </c>
      <c r="V161" s="4">
        <f>Planet(Panchanga!$E161,2)</f>
        <v>89.887537234106304</v>
      </c>
      <c r="W161" s="4">
        <f>Planet(Panchanga!$E161,5)</f>
        <v>230.58535017728366</v>
      </c>
      <c r="X161" s="4">
        <f>Planet(Panchanga!$E161,3)</f>
        <v>99.493289495320553</v>
      </c>
      <c r="Y161" s="4">
        <f>Planet(Panchanga!$E161,6)</f>
        <v>261.57793441965947</v>
      </c>
      <c r="Z161" s="4">
        <f>Planet(Panchanga!$E161,10)</f>
        <v>82.26712249407332</v>
      </c>
      <c r="AA161" s="4" t="str">
        <f>TEXT(Panchanga!$C161+($C162-Panchanga!$C161)/ABS(IF($P162&lt;1,$P162+30,$P162)-Panchanga!$P161)*(ROUNDUP(Panchanga!$P161,0)-Panchanga!$P161),"hh:mm AM/PM")</f>
        <v>11:54 AM</v>
      </c>
      <c r="AB161" s="4"/>
    </row>
    <row r="162" spans="1:28" x14ac:dyDescent="0.2">
      <c r="A162" s="3">
        <f t="shared" si="36"/>
        <v>43678</v>
      </c>
      <c r="B162" s="3">
        <f t="shared" si="30"/>
        <v>43678.229166666664</v>
      </c>
      <c r="C162" s="15">
        <f t="shared" si="31"/>
        <v>43678.246724174976</v>
      </c>
      <c r="D162" s="15">
        <f t="shared" si="32"/>
        <v>43677.775622030298</v>
      </c>
      <c r="E162" s="17">
        <f>Panchanga!$C162-TimeZone/24</f>
        <v>43678.017557508312</v>
      </c>
      <c r="F162" s="18" t="str">
        <f>INT(P[Sun]/30)&amp;"s"&amp;ROUNDUP(MOD(P[Sun],30),2)</f>
        <v>3s14.38</v>
      </c>
      <c r="G162" s="18" t="str">
        <f>INT(P[Moon]/30)&amp;"s"&amp;ROUNDUP(MOD(P[Moon],30),2)</f>
        <v>3s12.77</v>
      </c>
      <c r="H162" s="14">
        <f t="shared" si="35"/>
        <v>43678.017557508312</v>
      </c>
      <c r="I162" s="4" t="str">
        <f>naks(P[[#This Row],[Moon]])</f>
        <v>Pushya</v>
      </c>
      <c r="J162" s="15">
        <f>(C163-P[[#This Row],[SunRise]])/(T163-P[[#This Row],[Moon]])*(13.3333333333333-MOD(P[[#This Row],[Moon]],13.333333333333))+P[[#This Row],[SunRise]]</f>
        <v>43678.506833664171</v>
      </c>
      <c r="K162" s="4" t="str">
        <f>IF(Panchanga!$P162&gt;15,"K","S")&amp;ROUNDUP(MOD(Panchanga!$P162,15),0)&amp;" ("&amp;ROUND(Panchanga!$P162,2)&amp;")"</f>
        <v>K15 (29.87)</v>
      </c>
      <c r="L162" s="4">
        <f>IF(AND(Panchanga!$P162&lt;28.5,Panchanga!$P162&gt;0.49999),MOD((Panchanga!$P162-0.5)*2,7),MOD((Panchanga!$P162+30-28.5),30)*2+7)</f>
        <v>9.7309999999999945</v>
      </c>
      <c r="M162" s="4" t="str">
        <f>CHOOSE(ROUNDUP(Panchanga!$L162,0),"Bhava","Baalava","Kaulava","Taitula","Garija","Vanija","Vishti","Shakuni","Chatushapda","Naaga","Kimstugna")</f>
        <v>Naaga</v>
      </c>
      <c r="N162" s="11" t="str">
        <f>CHOOSE(ROUNDUP(Panchanga!$Q162,0),"viṣkambha","prīti","āyuṣmāna","saubhāgya","śobhana","atigaṇḍa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("&amp;Panchanga!$Q162&amp;")"</f>
        <v>siddhi (15.54)</v>
      </c>
      <c r="O162" s="4">
        <f>IF(AND(Panchanga!$P162&lt;28.5,Panchanga!$P162&gt;0.49999),MOD((Panchanga!$P162-0.5)*2,7),MOD((Panchanga!$P162+30-28.5),30)*2+7)</f>
        <v>9.7309999999999945</v>
      </c>
      <c r="P162" s="4">
        <f>ROUNDUP(MOD(360+P[Moon]-P[Sun],360)/12,4)</f>
        <v>29.865500000000001</v>
      </c>
      <c r="Q162" s="4">
        <f>ROUNDUP(MOD(P[Sun]+P[Moon],360)/13.333333333,2)</f>
        <v>15.54</v>
      </c>
      <c r="R162" s="4" t="str">
        <f>SIGN(U163-Panchanga!$U162)*INT(Panchanga!$U162/30+1)&amp;"Ma,"&amp;SIGN(V163-Panchanga!$V162)*INT(Panchanga!$V162/30+1)&amp;"Me,"&amp;SIGN(W163-Panchanga!$W162)*INT(Panchanga!$W162/30+1)&amp;"J, "&amp;SIGN(X163-Panchanga!$X162)*INT(Panchanga!$X162/30+1)&amp;"V,"&amp;SIGN(Y163-Panchanga!$Y162)*INT(Panchanga!$Y162/30+1)&amp;"S,"&amp;INT(Panchanga!$Z162/30+1)&amp;"R"</f>
        <v>4Ma,3Me,-8J, 4V,-9S,3R</v>
      </c>
      <c r="S162" s="4">
        <f t="shared" si="33"/>
        <v>104.3788214429044</v>
      </c>
      <c r="T162" s="4">
        <f t="shared" si="34"/>
        <v>102.76454616039928</v>
      </c>
      <c r="U162" s="4">
        <f>Planet(Panchanga!$E162,4)</f>
        <v>114.9527495824495</v>
      </c>
      <c r="V162" s="4">
        <f>Planet(Panchanga!$E162,2)</f>
        <v>89.822315208306577</v>
      </c>
      <c r="W162" s="4">
        <f>Planet(Panchanga!$E162,5)</f>
        <v>230.55116933631336</v>
      </c>
      <c r="X162" s="4">
        <f>Planet(Panchanga!$E162,3)</f>
        <v>100.72579409690667</v>
      </c>
      <c r="Y162" s="4">
        <f>Planet(Panchanga!$E162,6)</f>
        <v>261.51273937472018</v>
      </c>
      <c r="Z162" s="4">
        <f>Planet(Panchanga!$E162,10)</f>
        <v>82.214122411752612</v>
      </c>
      <c r="AA162" s="4" t="str">
        <f>TEXT(Panchanga!$C162+($C163-Panchanga!$C162)/ABS(IF($P163&lt;1,$P163+30,$P163)-Panchanga!$P162)*(ROUNDUP(Panchanga!$P162,0)-Panchanga!$P162),"hh:mm AM/PM")</f>
        <v>06:02 AM</v>
      </c>
      <c r="AB162" s="4"/>
    </row>
    <row r="163" spans="1:28" x14ac:dyDescent="0.2">
      <c r="A163" s="3">
        <f t="shared" si="36"/>
        <v>43679</v>
      </c>
      <c r="B163" s="3">
        <f t="shared" si="30"/>
        <v>43679.229166666664</v>
      </c>
      <c r="C163" s="15">
        <f t="shared" si="31"/>
        <v>43679.246872789379</v>
      </c>
      <c r="D163" s="15">
        <f t="shared" si="32"/>
        <v>43678.775395691438</v>
      </c>
      <c r="E163" s="17">
        <f>Panchanga!$C163-TimeZone/24</f>
        <v>43679.017706122715</v>
      </c>
      <c r="F163" s="18" t="str">
        <f>INT(P[Sun]/30)&amp;"s"&amp;ROUNDUP(MOD(P[Sun],30),2)</f>
        <v>3s15.34</v>
      </c>
      <c r="G163" s="18" t="str">
        <f>INT(P[Moon]/30)&amp;"s"&amp;ROUNDUP(MOD(P[Moon],30),2)</f>
        <v>3s27.77</v>
      </c>
      <c r="H163" s="14">
        <f t="shared" si="35"/>
        <v>43679.017706122715</v>
      </c>
      <c r="I163" s="4" t="str">
        <f>naks(P[[#This Row],[Moon]])</f>
        <v>Aslesha</v>
      </c>
      <c r="J163" s="15">
        <f>(C164-P[[#This Row],[SunRise]])/(T164-P[[#This Row],[Moon]])*(13.3333333333333-MOD(P[[#This Row],[Moon]],13.333333333333))+P[[#This Row],[SunRise]]</f>
        <v>43679.395001307377</v>
      </c>
      <c r="K163" s="4" t="str">
        <f>IF(Panchanga!$P163&gt;15,"K","S")&amp;ROUNDUP(MOD(Panchanga!$P163,15),0)&amp;" ("&amp;ROUND(Panchanga!$P163,2)&amp;")"</f>
        <v>S2 (1.04)</v>
      </c>
      <c r="L163" s="4">
        <f>IF(AND(Panchanga!$P163&lt;28.5,Panchanga!$P163&gt;0.49999),MOD((Panchanga!$P163-0.5)*2,7),MOD((Panchanga!$P163+30-28.5),30)*2+7)</f>
        <v>1.0722</v>
      </c>
      <c r="M163" s="4" t="str">
        <f>CHOOSE(ROUNDUP(Panchanga!$L163,0),"Bhava","Baalava","Kaulava","Taitula","Garija","Vanija","Vishti","Shakuni","Chatushapda","Naaga","Kimstugna")</f>
        <v>Baalava</v>
      </c>
      <c r="N163" s="11" t="str">
        <f>CHOOSE(ROUNDUP(Panchanga!$Q163,0),"viṣkambha","prīti","āyuṣmāna","saubhāgya","śobhana","atigaṇḍa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("&amp;Panchanga!$Q163&amp;")"</f>
        <v>vyatipāta (16.74)</v>
      </c>
      <c r="O163" s="4">
        <f>IF(AND(Panchanga!$P163&lt;28.5,Panchanga!$P163&gt;0.49999),MOD((Panchanga!$P163-0.5)*2,7),MOD((Panchanga!$P163+30-28.5),30)*2+7)</f>
        <v>1.0722</v>
      </c>
      <c r="P163" s="4">
        <f>ROUNDUP(MOD(360+P[Moon]-P[Sun],360)/12,4)</f>
        <v>1.0361</v>
      </c>
      <c r="Q163" s="4">
        <f>ROUNDUP(MOD(P[Sun]+P[Moon],360)/13.333333333,2)</f>
        <v>16.740000000000002</v>
      </c>
      <c r="R163" s="4" t="str">
        <f>SIGN(U164-Panchanga!$U163)*INT(Panchanga!$U163/30+1)&amp;"Ma,"&amp;SIGN(V164-Panchanga!$V163)*INT(Panchanga!$V163/30+1)&amp;"Me,"&amp;SIGN(W164-Panchanga!$W163)*INT(Panchanga!$W163/30+1)&amp;"J, "&amp;SIGN(X164-Panchanga!$X163)*INT(Panchanga!$X163/30+1)&amp;"V,"&amp;SIGN(Y164-Panchanga!$Y163)*INT(Panchanga!$Y163/30+1)&amp;"S,"&amp;INT(Panchanga!$Z163/30+1)&amp;"R"</f>
        <v>4Ma,3Me,-8J, 4V,-9S,3R</v>
      </c>
      <c r="S163" s="4">
        <f t="shared" si="33"/>
        <v>105.33586278333377</v>
      </c>
      <c r="T163" s="4">
        <f t="shared" si="34"/>
        <v>117.76861398459276</v>
      </c>
      <c r="U163" s="4">
        <f>Planet(Panchanga!$E163,4)</f>
        <v>115.58747385671253</v>
      </c>
      <c r="V163" s="4">
        <f>Planet(Panchanga!$E163,2)</f>
        <v>89.858589937202254</v>
      </c>
      <c r="W163" s="4">
        <f>Planet(Panchanga!$E163,5)</f>
        <v>230.52003532469448</v>
      </c>
      <c r="X163" s="4">
        <f>Planet(Panchanga!$E163,3)</f>
        <v>101.95858723342607</v>
      </c>
      <c r="Y163" s="4">
        <f>Planet(Panchanga!$E163,6)</f>
        <v>261.44834036419564</v>
      </c>
      <c r="Z163" s="4">
        <f>Planet(Panchanga!$E163,10)</f>
        <v>82.161122539974301</v>
      </c>
      <c r="AA163" s="4" t="str">
        <f>TEXT(Panchanga!$C163+($C164-Panchanga!$C163)/ABS(IF($P164&lt;1,$P164+30,$P164)-Panchanga!$P163)*(ROUNDUP(Panchanga!$P163,0)-Panchanga!$P163),"hh:mm AM/PM")</f>
        <v>01:36 AM</v>
      </c>
      <c r="AB163" s="4"/>
    </row>
    <row r="164" spans="1:28" x14ac:dyDescent="0.2">
      <c r="A164" s="3">
        <f t="shared" si="36"/>
        <v>43680</v>
      </c>
      <c r="B164" s="3">
        <f t="shared" si="30"/>
        <v>43680.229166666664</v>
      </c>
      <c r="C164" s="15">
        <f t="shared" si="31"/>
        <v>43680.247017588619</v>
      </c>
      <c r="D164" s="15">
        <f t="shared" si="32"/>
        <v>43679.775159180208</v>
      </c>
      <c r="E164" s="17">
        <f>Panchanga!$C164-TimeZone/24</f>
        <v>43680.017850921955</v>
      </c>
      <c r="F164" s="18" t="str">
        <f>INT(P[Sun]/30)&amp;"s"&amp;ROUNDUP(MOD(P[Sun],30),2)</f>
        <v>3s16.3</v>
      </c>
      <c r="G164" s="18" t="str">
        <f>INT(P[Moon]/30)&amp;"s"&amp;ROUNDUP(MOD(P[Moon],30),2)</f>
        <v>4s12.84</v>
      </c>
      <c r="H164" s="14">
        <f t="shared" si="35"/>
        <v>43680.017850921955</v>
      </c>
      <c r="I164" s="4" t="str">
        <f>naks(P[[#This Row],[Moon]])</f>
        <v>Makha</v>
      </c>
      <c r="J164" s="15">
        <f>(C165-P[[#This Row],[SunRise]])/(T165-P[[#This Row],[Moon]])*(13.3333333333333-MOD(P[[#This Row],[Moon]],13.333333333333))+P[[#This Row],[SunRise]]</f>
        <v>43680.28031860201</v>
      </c>
      <c r="K164" s="4" t="str">
        <f>IF(Panchanga!$P164&gt;15,"K","S")&amp;ROUNDUP(MOD(Panchanga!$P164,15),0)&amp;" ("&amp;ROUND(Panchanga!$P164,2)&amp;")"</f>
        <v>S3 (2.21)</v>
      </c>
      <c r="L164" s="4">
        <f>IF(AND(Panchanga!$P164&lt;28.5,Panchanga!$P164&gt;0.49999),MOD((Panchanga!$P164-0.5)*2,7),MOD((Panchanga!$P164+30-28.5),30)*2+7)</f>
        <v>3.4236000000000004</v>
      </c>
      <c r="M164" s="4" t="str">
        <f>CHOOSE(ROUNDUP(Panchanga!$L164,0),"Bhava","Baalava","Kaulava","Taitula","Garija","Vanija","Vishti","Shakuni","Chatushapda","Naaga","Kimstugna")</f>
        <v>Taitula</v>
      </c>
      <c r="N164" s="11" t="str">
        <f>CHOOSE(ROUNDUP(Panchanga!$Q164,0),"viṣkambha","prīti","āyuṣmāna","saubhāgya","śobhana","atigaṇḍa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("&amp;Panchanga!$Q164&amp;")"</f>
        <v>varīyas (17.94)</v>
      </c>
      <c r="O164" s="4">
        <f>IF(AND(Panchanga!$P164&lt;28.5,Panchanga!$P164&gt;0.49999),MOD((Panchanga!$P164-0.5)*2,7),MOD((Panchanga!$P164+30-28.5),30)*2+7)</f>
        <v>3.4236000000000004</v>
      </c>
      <c r="P164" s="4">
        <f>ROUNDUP(MOD(360+P[Moon]-P[Sun],360)/12,4)</f>
        <v>2.2118000000000002</v>
      </c>
      <c r="Q164" s="4">
        <f>ROUNDUP(MOD(P[Sun]+P[Moon],360)/13.333333333,2)</f>
        <v>17.940000000000001</v>
      </c>
      <c r="R164" s="4" t="str">
        <f>SIGN(U165-Panchanga!$U164)*INT(Panchanga!$U164/30+1)&amp;"Ma,"&amp;SIGN(V165-Panchanga!$V164)*INT(Panchanga!$V164/30+1)&amp;"Me,"&amp;SIGN(W165-Panchanga!$W164)*INT(Panchanga!$W164/30+1)&amp;"J, "&amp;SIGN(X165-Panchanga!$X164)*INT(Panchanga!$X164/30+1)&amp;"V,"&amp;SIGN(Y165-Panchanga!$Y164)*INT(Panchanga!$Y164/30+1)&amp;"S,"&amp;INT(Panchanga!$Z164/30+1)&amp;"R"</f>
        <v>4Ma,3Me,-8J, 4V,-9S,3R</v>
      </c>
      <c r="S164" s="4">
        <f t="shared" si="33"/>
        <v>106.29311933166936</v>
      </c>
      <c r="T164" s="4">
        <f t="shared" si="34"/>
        <v>132.8346468361278</v>
      </c>
      <c r="U164" s="4">
        <f>Planet(Panchanga!$E164,4)</f>
        <v>116.22221111643474</v>
      </c>
      <c r="V164" s="4">
        <f>Planet(Panchanga!$E164,2)</f>
        <v>89.999414972307505</v>
      </c>
      <c r="W164" s="4">
        <f>Planet(Panchanga!$E164,5)</f>
        <v>230.4919652849471</v>
      </c>
      <c r="X164" s="4">
        <f>Planet(Panchanga!$E164,3)</f>
        <v>103.19165493224304</v>
      </c>
      <c r="Y164" s="4">
        <f>Planet(Panchanga!$E164,6)</f>
        <v>261.38477197918877</v>
      </c>
      <c r="Z164" s="4">
        <f>Planet(Panchanga!$E164,10)</f>
        <v>82.108122870371119</v>
      </c>
      <c r="AA164" s="4" t="str">
        <f>TEXT(Panchanga!$C164+($C165-Panchanga!$C164)/ABS(IF($P165&lt;1,$P165+30,$P165)-Panchanga!$P164)*(ROUNDUP(Panchanga!$P164,0)-Panchanga!$P164),"hh:mm AM/PM")</f>
        <v>10:07 PM</v>
      </c>
      <c r="AB164" s="4"/>
    </row>
    <row r="165" spans="1:28" x14ac:dyDescent="0.2">
      <c r="A165" s="3">
        <f t="shared" si="36"/>
        <v>43681</v>
      </c>
      <c r="B165" s="3">
        <f t="shared" si="30"/>
        <v>43681.229166666664</v>
      </c>
      <c r="C165" s="15">
        <f t="shared" si="31"/>
        <v>43681.247157938</v>
      </c>
      <c r="D165" s="15">
        <f t="shared" si="32"/>
        <v>43680.774912496607</v>
      </c>
      <c r="E165" s="17">
        <f>Panchanga!$C165-TimeZone/24</f>
        <v>43681.017991271336</v>
      </c>
      <c r="F165" s="18" t="str">
        <f>INT(P[Sun]/30)&amp;"s"&amp;ROUNDUP(MOD(P[Sun],30),2)</f>
        <v>3s17.26</v>
      </c>
      <c r="G165" s="18" t="str">
        <f>INT(P[Moon]/30)&amp;"s"&amp;ROUNDUP(MOD(P[Moon],30),2)</f>
        <v>4s27.82</v>
      </c>
      <c r="H165" s="14">
        <f t="shared" si="35"/>
        <v>43681.017991271336</v>
      </c>
      <c r="I165" s="4" t="str">
        <f>naks(P[[#This Row],[Moon]])</f>
        <v>Uttara Phalguni</v>
      </c>
      <c r="J165" s="15">
        <f>(C166-P[[#This Row],[SunRise]])/(T166-P[[#This Row],[Moon]])*(13.3333333333333-MOD(P[[#This Row],[Moon]],13.333333333333))+P[[#This Row],[SunRise]]</f>
        <v>43682.073339052818</v>
      </c>
      <c r="K165" s="4" t="str">
        <f>IF(Panchanga!$P165&gt;15,"K","S")&amp;ROUNDUP(MOD(Panchanga!$P165,15),0)&amp;" ("&amp;ROUND(Panchanga!$P165,2)&amp;")"</f>
        <v>S4 (3.38)</v>
      </c>
      <c r="L165" s="4">
        <f>IF(AND(Panchanga!$P165&lt;28.5,Panchanga!$P165&gt;0.49999),MOD((Panchanga!$P165-0.5)*2,7),MOD((Panchanga!$P165+30-28.5),30)*2+7)</f>
        <v>5.7604000000000006</v>
      </c>
      <c r="M165" s="4" t="str">
        <f>CHOOSE(ROUNDUP(Panchanga!$L165,0),"Bhava","Baalava","Kaulava","Taitula","Garija","Vanija","Vishti","Shakuni","Chatushapda","Naaga","Kimstugna")</f>
        <v>Vanija</v>
      </c>
      <c r="N165" s="11" t="str">
        <f>CHOOSE(ROUNDUP(Panchanga!$Q165,0),"viṣkambha","prīti","āyuṣmāna","saubhāgya","śobhana","atigaṇḍa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("&amp;Panchanga!$Q165&amp;")"</f>
        <v>śiva (19.13)</v>
      </c>
      <c r="O165" s="4">
        <f>IF(AND(Panchanga!$P165&lt;28.5,Panchanga!$P165&gt;0.49999),MOD((Panchanga!$P165-0.5)*2,7),MOD((Panchanga!$P165+30-28.5),30)*2+7)</f>
        <v>5.7604000000000006</v>
      </c>
      <c r="P165" s="4">
        <f>ROUNDUP(MOD(360+P[Moon]-P[Sun],360)/12,4)</f>
        <v>3.3802000000000003</v>
      </c>
      <c r="Q165" s="4">
        <f>ROUNDUP(MOD(P[Sun]+P[Moon],360)/13.333333333,2)</f>
        <v>19.130000000000003</v>
      </c>
      <c r="R165" s="4" t="str">
        <f>SIGN(U166-Panchanga!$U165)*INT(Panchanga!$U165/30+1)&amp;"Ma,"&amp;SIGN(V166-Panchanga!$V165)*INT(Panchanga!$V165/30+1)&amp;"Me,"&amp;SIGN(W166-Panchanga!$W165)*INT(Panchanga!$W165/30+1)&amp;"J, "&amp;SIGN(X166-Panchanga!$X165)*INT(Panchanga!$X165/30+1)&amp;"V,"&amp;SIGN(Y166-Panchanga!$Y165)*INT(Panchanga!$Y165/30+1)&amp;"S,"&amp;INT(Panchanga!$Z165/30+1)&amp;"R"</f>
        <v>4Ma,4Me,-8J, 4V,-9S,3R</v>
      </c>
      <c r="S165" s="4">
        <f t="shared" si="33"/>
        <v>107.25057719062725</v>
      </c>
      <c r="T165" s="4">
        <f t="shared" si="34"/>
        <v>147.81186334700928</v>
      </c>
      <c r="U165" s="4">
        <f>Planet(Panchanga!$E165,4)</f>
        <v>116.85695614894827</v>
      </c>
      <c r="V165" s="4">
        <f>Planet(Panchanga!$E165,2)</f>
        <v>90.246948316147524</v>
      </c>
      <c r="W165" s="4">
        <f>Planet(Panchanga!$E165,5)</f>
        <v>230.4669730482461</v>
      </c>
      <c r="X165" s="4">
        <f>Planet(Panchanga!$E165,3)</f>
        <v>104.42498300731729</v>
      </c>
      <c r="Y165" s="4">
        <f>Planet(Panchanga!$E165,6)</f>
        <v>261.3220678425576</v>
      </c>
      <c r="Z165" s="4">
        <f>Planet(Panchanga!$E165,10)</f>
        <v>82.05512343661087</v>
      </c>
      <c r="AA165" s="4" t="str">
        <f>TEXT(Panchanga!$C165+($C166-Panchanga!$C165)/ABS(IF($P166&lt;1,$P166+30,$P166)-Panchanga!$P165)*(ROUNDUP(Panchanga!$P165,0)-Panchanga!$P165),"hh:mm AM/PM")</f>
        <v>06:52 PM</v>
      </c>
      <c r="AB165" s="4"/>
    </row>
    <row r="166" spans="1:28" x14ac:dyDescent="0.2">
      <c r="A166" s="3">
        <f t="shared" si="36"/>
        <v>43682</v>
      </c>
      <c r="B166" s="3">
        <f t="shared" si="30"/>
        <v>43682.229166666664</v>
      </c>
      <c r="C166" s="15">
        <f t="shared" si="31"/>
        <v>43682.247294154171</v>
      </c>
      <c r="D166" s="15">
        <f t="shared" si="32"/>
        <v>43681.774655958216</v>
      </c>
      <c r="E166" s="17">
        <f>Panchanga!$C166-TimeZone/24</f>
        <v>43682.018127487507</v>
      </c>
      <c r="F166" s="18" t="str">
        <f>INT(P[Sun]/30)&amp;"s"&amp;ROUNDUP(MOD(P[Sun],30),2)</f>
        <v>3s18.21</v>
      </c>
      <c r="G166" s="18" t="str">
        <f>INT(P[Moon]/30)&amp;"s"&amp;ROUNDUP(MOD(P[Moon],30),2)</f>
        <v>5s12.57</v>
      </c>
      <c r="H166" s="14">
        <f t="shared" si="35"/>
        <v>43682.018127487507</v>
      </c>
      <c r="I166" s="4" t="str">
        <f>naks(P[[#This Row],[Moon]])</f>
        <v>Hasta</v>
      </c>
      <c r="J166" s="15">
        <f>(C167-P[[#This Row],[SunRise]])/(T167-P[[#This Row],[Moon]])*(13.3333333333333-MOD(P[[#This Row],[Moon]],13.333333333333))+P[[#This Row],[SunRise]]</f>
        <v>43682.99343891241</v>
      </c>
      <c r="K166" s="4" t="str">
        <f>IF(Panchanga!$P166&gt;15,"K","S")&amp;ROUNDUP(MOD(Panchanga!$P166,15),0)&amp;" ("&amp;ROUND(Panchanga!$P166,2)&amp;")"</f>
        <v>S5 (4.53)</v>
      </c>
      <c r="L166" s="4">
        <f>IF(AND(Panchanga!$P166&lt;28.5,Panchanga!$P166&gt;0.49999),MOD((Panchanga!$P166-0.5)*2,7),MOD((Panchanga!$P166+30-28.5),30)*2+7)</f>
        <v>1.0597999999999992</v>
      </c>
      <c r="M166" s="4" t="str">
        <f>CHOOSE(ROUNDUP(Panchanga!$L166,0),"Bhava","Baalava","Kaulava","Taitula","Garija","Vanija","Vishti","Shakuni","Chatushapda","Naaga","Kimstugna")</f>
        <v>Baalava</v>
      </c>
      <c r="N166" s="11" t="str">
        <f>CHOOSE(ROUNDUP(Panchanga!$Q166,0),"viṣkambha","prīti","āyuṣmāna","saubhāgya","śobhana","atigaṇḍa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("&amp;Panchanga!$Q166&amp;")"</f>
        <v>siddha (20.31)</v>
      </c>
      <c r="O166" s="4">
        <f>IF(AND(Panchanga!$P166&lt;28.5,Panchanga!$P166&gt;0.49999),MOD((Panchanga!$P166-0.5)*2,7),MOD((Panchanga!$P166+30-28.5),30)*2+7)</f>
        <v>1.0597999999999992</v>
      </c>
      <c r="P166" s="4">
        <f>ROUNDUP(MOD(360+P[Moon]-P[Sun],360)/12,4)</f>
        <v>4.5298999999999996</v>
      </c>
      <c r="Q166" s="4">
        <f>ROUNDUP(MOD(P[Sun]+P[Moon],360)/13.333333333,2)</f>
        <v>20.310000000000002</v>
      </c>
      <c r="R166" s="4" t="str">
        <f>SIGN(U167-Panchanga!$U166)*INT(Panchanga!$U166/30+1)&amp;"Ma,"&amp;SIGN(V167-Panchanga!$V166)*INT(Panchanga!$V166/30+1)&amp;"Me,"&amp;SIGN(W167-Panchanga!$W166)*INT(Panchanga!$W166/30+1)&amp;"J, "&amp;SIGN(X167-Panchanga!$X166)*INT(Panchanga!$X166/30+1)&amp;"V,"&amp;SIGN(Y167-Panchanga!$Y166)*INT(Panchanga!$Y166/30+1)&amp;"S,"&amp;INT(Panchanga!$Z166/30+1)&amp;"R"</f>
        <v>4Ma,4Me,-8J, 4V,-9S,3R</v>
      </c>
      <c r="S166" s="4">
        <f t="shared" si="33"/>
        <v>108.20822672638643</v>
      </c>
      <c r="T166" s="4">
        <f t="shared" si="34"/>
        <v>162.56625152607043</v>
      </c>
      <c r="U166" s="4">
        <f>Planet(Panchanga!$E166,4)</f>
        <v>117.49170533335551</v>
      </c>
      <c r="V166" s="4">
        <f>Planet(Panchanga!$E166,2)</f>
        <v>90.60254365129822</v>
      </c>
      <c r="W166" s="4">
        <f>Planet(Panchanga!$E166,5)</f>
        <v>230.44506902548449</v>
      </c>
      <c r="X166" s="4">
        <f>Planet(Panchanga!$E166,3)</f>
        <v>105.65856033153845</v>
      </c>
      <c r="Y166" s="4">
        <f>Planet(Panchanga!$E166,6)</f>
        <v>261.26026026203255</v>
      </c>
      <c r="Z166" s="4">
        <f>Planet(Panchanga!$E166,10)</f>
        <v>82.002124221843047</v>
      </c>
      <c r="AA166" s="4" t="str">
        <f>TEXT(Panchanga!$C166+($C167-Panchanga!$C166)/ABS(IF($P167&lt;1,$P167+30,$P167)-Panchanga!$P166)*(ROUNDUP(Panchanga!$P166,0)-Panchanga!$P166),"hh:mm AM/PM")</f>
        <v>03:59 PM</v>
      </c>
      <c r="AB166" s="4"/>
    </row>
    <row r="167" spans="1:28" x14ac:dyDescent="0.2">
      <c r="A167" s="3">
        <f t="shared" si="36"/>
        <v>43683</v>
      </c>
      <c r="B167" s="3">
        <f t="shared" si="30"/>
        <v>43683.229166666664</v>
      </c>
      <c r="C167" s="15">
        <f t="shared" si="31"/>
        <v>43683.247425761227</v>
      </c>
      <c r="D167" s="15">
        <f t="shared" si="32"/>
        <v>43682.774389247454</v>
      </c>
      <c r="E167" s="17">
        <f>Panchanga!$C167-TimeZone/24</f>
        <v>43683.018259094562</v>
      </c>
      <c r="F167" s="18" t="str">
        <f>INT(P[Sun]/30)&amp;"s"&amp;ROUNDUP(MOD(P[Sun],30),2)</f>
        <v>3s19.17</v>
      </c>
      <c r="G167" s="18" t="str">
        <f>INT(P[Moon]/30)&amp;"s"&amp;ROUNDUP(MOD(P[Moon],30),2)</f>
        <v>5s27</v>
      </c>
      <c r="H167" s="14">
        <f t="shared" si="35"/>
        <v>43683.018259094562</v>
      </c>
      <c r="I167" s="4" t="str">
        <f>naks(P[[#This Row],[Moon]])</f>
        <v>Chitra</v>
      </c>
      <c r="J167" s="15">
        <f>(C168-P[[#This Row],[SunRise]])/(T168-P[[#This Row],[Moon]])*(13.3333333333333-MOD(P[[#This Row],[Moon]],13.333333333333))+P[[#This Row],[SunRise]]</f>
        <v>43683.935472415033</v>
      </c>
      <c r="K167" s="4" t="str">
        <f>IF(Panchanga!$P167&gt;15,"K","S")&amp;ROUNDUP(MOD(Panchanga!$P167,15),0)&amp;" ("&amp;ROUND(Panchanga!$P167,2)&amp;")"</f>
        <v>S6 (5.65)</v>
      </c>
      <c r="L167" s="4">
        <f>IF(AND(Panchanga!$P167&lt;28.5,Panchanga!$P167&gt;0.49999),MOD((Panchanga!$P167-0.5)*2,7),MOD((Panchanga!$P167+30-28.5),30)*2+7)</f>
        <v>3.3053999999999988</v>
      </c>
      <c r="M167" s="4" t="str">
        <f>CHOOSE(ROUNDUP(Panchanga!$L167,0),"Bhava","Baalava","Kaulava","Taitula","Garija","Vanija","Vishti","Shakuni","Chatushapda","Naaga","Kimstugna")</f>
        <v>Taitula</v>
      </c>
      <c r="N167" s="11" t="str">
        <f>CHOOSE(ROUNDUP(Panchanga!$Q167,0),"viṣkambha","prīti","āyuṣmāna","saubhāgya","śobhana","atigaṇḍa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("&amp;Panchanga!$Q167&amp;")"</f>
        <v>sādhya (21.47)</v>
      </c>
      <c r="O167" s="4">
        <f>IF(AND(Panchanga!$P167&lt;28.5,Panchanga!$P167&gt;0.49999),MOD((Panchanga!$P167-0.5)*2,7),MOD((Panchanga!$P167+30-28.5),30)*2+7)</f>
        <v>3.3053999999999988</v>
      </c>
      <c r="P167" s="4">
        <f>ROUNDUP(MOD(360+P[Moon]-P[Sun],360)/12,4)</f>
        <v>5.6526999999999994</v>
      </c>
      <c r="Q167" s="4">
        <f>ROUNDUP(MOD(P[Sun]+P[Moon],360)/13.333333333,2)</f>
        <v>21.470000000000002</v>
      </c>
      <c r="R167" s="4" t="str">
        <f>SIGN(U168-Panchanga!$U167)*INT(Panchanga!$U167/30+1)&amp;"Ma,"&amp;SIGN(V168-Panchanga!$V167)*INT(Panchanga!$V167/30+1)&amp;"Me,"&amp;SIGN(W168-Panchanga!$W167)*INT(Panchanga!$W167/30+1)&amp;"J, "&amp;SIGN(X168-Panchanga!$X167)*INT(Panchanga!$X167/30+1)&amp;"V,"&amp;SIGN(Y168-Panchanga!$Y167)*INT(Panchanga!$Y167/30+1)&amp;"S,"&amp;INT(Panchanga!$Z167/30+1)&amp;"R"</f>
        <v>4Ma,4Me,-8J, 4V,-9S,3R</v>
      </c>
      <c r="S167" s="4">
        <f t="shared" si="33"/>
        <v>109.16606225546168</v>
      </c>
      <c r="T167" s="4">
        <f t="shared" si="34"/>
        <v>176.99843604826663</v>
      </c>
      <c r="U167" s="4">
        <f>Planet(Panchanga!$E167,4)</f>
        <v>118.12645621193577</v>
      </c>
      <c r="V167" s="4">
        <f>Planet(Panchanga!$E167,2)</f>
        <v>91.066835353562269</v>
      </c>
      <c r="W167" s="4">
        <f>Planet(Panchanga!$E167,5)</f>
        <v>230.42626047002059</v>
      </c>
      <c r="X167" s="4">
        <f>Planet(Panchanga!$E167,3)</f>
        <v>106.89237737378018</v>
      </c>
      <c r="Y167" s="4">
        <f>Planet(Panchanga!$E167,6)</f>
        <v>261.19938023580511</v>
      </c>
      <c r="Z167" s="4">
        <f>Planet(Panchanga!$E167,10)</f>
        <v>81.949125251318506</v>
      </c>
      <c r="AA167" s="4" t="str">
        <f>TEXT(Panchanga!$C167+($C168-Panchanga!$C167)/ABS(IF($P168&lt;1,$P168+30,$P168)-Panchanga!$P167)*(ROUNDUP(Panchanga!$P167,0)-Panchanga!$P167),"hh:mm AM/PM")</f>
        <v>01:34 PM</v>
      </c>
      <c r="AB167" s="4"/>
    </row>
    <row r="168" spans="1:28" x14ac:dyDescent="0.2">
      <c r="A168" s="3">
        <f t="shared" si="36"/>
        <v>43684</v>
      </c>
      <c r="B168" s="3">
        <f t="shared" si="30"/>
        <v>43684.229166666664</v>
      </c>
      <c r="C168" s="15">
        <f t="shared" si="31"/>
        <v>43684.247553076748</v>
      </c>
      <c r="D168" s="15">
        <f t="shared" si="32"/>
        <v>43683.774112681902</v>
      </c>
      <c r="E168" s="17">
        <f>Panchanga!$C168-TimeZone/24</f>
        <v>43684.018386410084</v>
      </c>
      <c r="F168" s="18" t="str">
        <f>INT(P[Sun]/30)&amp;"s"&amp;ROUNDUP(MOD(P[Sun],30),2)</f>
        <v>3s20.13</v>
      </c>
      <c r="G168" s="18" t="str">
        <f>INT(P[Moon]/30)&amp;"s"&amp;ROUNDUP(MOD(P[Moon],30),2)</f>
        <v>6s11.06</v>
      </c>
      <c r="H168" s="14">
        <f t="shared" si="35"/>
        <v>43684.018386410084</v>
      </c>
      <c r="I168" s="4" t="str">
        <f>naks(P[[#This Row],[Moon]])</f>
        <v>Swati</v>
      </c>
      <c r="J168" s="15">
        <f>(C169-P[[#This Row],[SunRise]])/(T169-P[[#This Row],[Moon]])*(13.3333333333333-MOD(P[[#This Row],[Moon]],13.333333333333))+P[[#This Row],[SunRise]]</f>
        <v>43684.90271648427</v>
      </c>
      <c r="K168" s="4" t="str">
        <f>IF(Panchanga!$P168&gt;15,"K","S")&amp;ROUNDUP(MOD(Panchanga!$P168,15),0)&amp;" ("&amp;ROUND(Panchanga!$P168,2)&amp;")"</f>
        <v>S7 (6.74)</v>
      </c>
      <c r="L168" s="4">
        <f>IF(AND(Panchanga!$P168&lt;28.5,Panchanga!$P168&gt;0.49999),MOD((Panchanga!$P168-0.5)*2,7),MOD((Panchanga!$P168+30-28.5),30)*2+7)</f>
        <v>5.4879999999999995</v>
      </c>
      <c r="M168" s="4" t="str">
        <f>CHOOSE(ROUNDUP(Panchanga!$L168,0),"Bhava","Baalava","Kaulava","Taitula","Garija","Vanija","Vishti","Shakuni","Chatushapda","Naaga","Kimstugna")</f>
        <v>Vanija</v>
      </c>
      <c r="N168" s="11" t="str">
        <f>CHOOSE(ROUNDUP(Panchanga!$Q168,0),"viṣkambha","prīti","āyuṣmāna","saubhāgya","śobhana","atigaṇḍa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("&amp;Panchanga!$Q168&amp;")"</f>
        <v>śubha (22.59)</v>
      </c>
      <c r="O168" s="4">
        <f>IF(AND(Panchanga!$P168&lt;28.5,Panchanga!$P168&gt;0.49999),MOD((Panchanga!$P168-0.5)*2,7),MOD((Panchanga!$P168+30-28.5),30)*2+7)</f>
        <v>5.4879999999999995</v>
      </c>
      <c r="P168" s="4">
        <f>ROUNDUP(MOD(360+P[Moon]-P[Sun],360)/12,4)</f>
        <v>6.7439999999999998</v>
      </c>
      <c r="Q168" s="4">
        <f>ROUNDUP(MOD(P[Sun]+P[Moon],360)/13.333333333,2)</f>
        <v>22.59</v>
      </c>
      <c r="R168" s="4" t="str">
        <f>SIGN(U169-Panchanga!$U168)*INT(Panchanga!$U168/30+1)&amp;"Ma,"&amp;SIGN(V169-Panchanga!$V168)*INT(Panchanga!$V168/30+1)&amp;"Me,"&amp;SIGN(W169-Panchanga!$W168)*INT(Panchanga!$W168/30+1)&amp;"J, "&amp;SIGN(X169-Panchanga!$X168)*INT(Panchanga!$X168/30+1)&amp;"V,"&amp;SIGN(Y169-Panchanga!$Y168)*INT(Panchanga!$Y168/30+1)&amp;"S,"&amp;INT(Panchanga!$Z168/30+1)&amp;"R"</f>
        <v>4Ma,4Me,-8J, 4V,-9S,3R</v>
      </c>
      <c r="S168" s="4">
        <f t="shared" si="33"/>
        <v>110.12408403955692</v>
      </c>
      <c r="T168" s="4">
        <f t="shared" si="34"/>
        <v>191.05193297420996</v>
      </c>
      <c r="U168" s="4">
        <f>Planet(Panchanga!$E168,4)</f>
        <v>118.76120883180269</v>
      </c>
      <c r="V168" s="4">
        <f>Planet(Panchanga!$E168,2)</f>
        <v>91.639813699109666</v>
      </c>
      <c r="W168" s="4">
        <f>Planet(Panchanga!$E168,5)</f>
        <v>230.41055184538385</v>
      </c>
      <c r="X168" s="4">
        <f>Planet(Panchanga!$E168,3)</f>
        <v>108.12642836248838</v>
      </c>
      <c r="Y168" s="4">
        <f>Planet(Panchanga!$E168,6)</f>
        <v>261.139457383489</v>
      </c>
      <c r="Z168" s="4">
        <f>Planet(Panchanga!$E168,10)</f>
        <v>81.896126508253047</v>
      </c>
      <c r="AA168" s="4" t="str">
        <f>TEXT(Panchanga!$C168+($C169-Panchanga!$C168)/ABS(IF($P169&lt;1,$P169+30,$P169)-Panchanga!$P168)*(ROUNDUP(Panchanga!$P168,0)-Panchanga!$P168),"hh:mm AM/PM")</f>
        <v>11:44 AM</v>
      </c>
      <c r="AB168" s="4"/>
    </row>
    <row r="169" spans="1:28" x14ac:dyDescent="0.2">
      <c r="A169" s="3">
        <f t="shared" si="36"/>
        <v>43685</v>
      </c>
      <c r="B169" s="3">
        <f t="shared" si="30"/>
        <v>43685.229166666664</v>
      </c>
      <c r="C169" s="15">
        <f t="shared" si="31"/>
        <v>43685.247675783154</v>
      </c>
      <c r="D169" s="15">
        <f t="shared" si="32"/>
        <v>43684.773826420351</v>
      </c>
      <c r="E169" s="17">
        <f>Panchanga!$C169-TimeZone/24</f>
        <v>43685.018509116489</v>
      </c>
      <c r="F169" s="18" t="str">
        <f>INT(P[Sun]/30)&amp;"s"&amp;ROUNDUP(MOD(P[Sun],30),2)</f>
        <v>3s21.09</v>
      </c>
      <c r="G169" s="18" t="str">
        <f>INT(P[Moon]/30)&amp;"s"&amp;ROUNDUP(MOD(P[Moon],30),2)</f>
        <v>6s24.72</v>
      </c>
      <c r="H169" s="14">
        <f t="shared" si="35"/>
        <v>43685.018509116489</v>
      </c>
      <c r="I169" s="4" t="str">
        <f>naks(P[[#This Row],[Moon]])</f>
        <v>Visakha</v>
      </c>
      <c r="J169" s="15">
        <f>(C170-P[[#This Row],[SunRise]])/(T170-P[[#This Row],[Moon]])*(13.3333333333333-MOD(P[[#This Row],[Moon]],13.333333333333))+P[[#This Row],[SunRise]]</f>
        <v>43685.896872077683</v>
      </c>
      <c r="K169" s="4" t="str">
        <f>IF(Panchanga!$P169&gt;15,"K","S")&amp;ROUNDUP(MOD(Panchanga!$P169,15),0)&amp;" ("&amp;ROUND(Panchanga!$P169,2)&amp;")"</f>
        <v>S8 (7.8)</v>
      </c>
      <c r="L169" s="4">
        <f>IF(AND(Panchanga!$P169&lt;28.5,Panchanga!$P169&gt;0.49999),MOD((Panchanga!$P169-0.5)*2,7),MOD((Panchanga!$P169+30-28.5),30)*2+7)</f>
        <v>0.60499999999999865</v>
      </c>
      <c r="M169" s="4" t="str">
        <f>CHOOSE(ROUNDUP(Panchanga!$L169,0),"Bhava","Baalava","Kaulava","Taitula","Garija","Vanija","Vishti","Shakuni","Chatushapda","Naaga","Kimstugna")</f>
        <v>Bhava</v>
      </c>
      <c r="N169" s="11" t="str">
        <f>CHOOSE(ROUNDUP(Panchanga!$Q169,0),"viṣkambha","prīti","āyuṣmāna","saubhāgya","śobhana","atigaṇḍa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("&amp;Panchanga!$Q169&amp;")"</f>
        <v>śukla (23.69)</v>
      </c>
      <c r="O169" s="4">
        <f>IF(AND(Panchanga!$P169&lt;28.5,Panchanga!$P169&gt;0.49999),MOD((Panchanga!$P169-0.5)*2,7),MOD((Panchanga!$P169+30-28.5),30)*2+7)</f>
        <v>0.60499999999999865</v>
      </c>
      <c r="P169" s="4">
        <f>ROUNDUP(MOD(360+P[Moon]-P[Sun],360)/12,4)</f>
        <v>7.8024999999999993</v>
      </c>
      <c r="Q169" s="4">
        <f>ROUNDUP(MOD(P[Sun]+P[Moon],360)/13.333333333,2)</f>
        <v>23.69</v>
      </c>
      <c r="R169" s="4" t="str">
        <f>SIGN(U170-Panchanga!$U169)*INT(Panchanga!$U169/30+1)&amp;"Ma,"&amp;SIGN(V170-Panchanga!$V169)*INT(Panchanga!$V169/30+1)&amp;"Me,"&amp;SIGN(W170-Panchanga!$W169)*INT(Panchanga!$W169/30+1)&amp;"J, "&amp;SIGN(X170-Panchanga!$X169)*INT(Panchanga!$X169/30+1)&amp;"V,"&amp;SIGN(Y170-Panchanga!$Y169)*INT(Panchanga!$Y169/30+1)&amp;"S,"&amp;INT(Panchanga!$Z169/30+1)&amp;"R"</f>
        <v>4Ma,4Me,-8J, 4V,-9S,3R</v>
      </c>
      <c r="S169" s="4">
        <f t="shared" si="33"/>
        <v>111.0822966904844</v>
      </c>
      <c r="T169" s="4">
        <f t="shared" si="34"/>
        <v>204.71137260127756</v>
      </c>
      <c r="U169" s="4">
        <f>Planet(Panchanga!$E169,4)</f>
        <v>119.39596487145673</v>
      </c>
      <c r="V169" s="4">
        <f>Planet(Panchanga!$E169,2)</f>
        <v>92.32088474615071</v>
      </c>
      <c r="W169" s="4">
        <f>Planet(Panchanga!$E169,5)</f>
        <v>230.39794531948414</v>
      </c>
      <c r="X169" s="4">
        <f>Planet(Panchanga!$E169,3)</f>
        <v>109.36070936794891</v>
      </c>
      <c r="Y169" s="4">
        <f>Planet(Panchanga!$E169,6)</f>
        <v>261.08052014197739</v>
      </c>
      <c r="Z169" s="4">
        <f>Planet(Panchanga!$E169,10)</f>
        <v>81.843128009397873</v>
      </c>
      <c r="AA169" s="4" t="str">
        <f>TEXT(Panchanga!$C169+($C170-Panchanga!$C169)/ABS(IF($P170&lt;1,$P170+30,$P170)-Panchanga!$P169)*(ROUNDUP(Panchanga!$P169,0)-Panchanga!$P169),"hh:mm AM/PM")</f>
        <v>10:33 AM</v>
      </c>
      <c r="AB169" s="4"/>
    </row>
    <row r="170" spans="1:28" x14ac:dyDescent="0.2">
      <c r="A170" s="3">
        <f t="shared" si="36"/>
        <v>43686</v>
      </c>
      <c r="B170" s="3">
        <f t="shared" si="30"/>
        <v>43686.229166666664</v>
      </c>
      <c r="C170" s="15">
        <f t="shared" si="31"/>
        <v>43686.247794038769</v>
      </c>
      <c r="D170" s="15">
        <f t="shared" si="32"/>
        <v>43685.773530463732</v>
      </c>
      <c r="E170" s="17">
        <f>Panchanga!$C170-TimeZone/24</f>
        <v>43686.018627372105</v>
      </c>
      <c r="F170" s="18" t="str">
        <f>INT(P[Sun]/30)&amp;"s"&amp;ROUNDUP(MOD(P[Sun],30),2)</f>
        <v>3s22.05</v>
      </c>
      <c r="G170" s="18" t="str">
        <f>INT(P[Moon]/30)&amp;"s"&amp;ROUNDUP(MOD(P[Moon],30),2)</f>
        <v>7s8</v>
      </c>
      <c r="H170" s="14">
        <f t="shared" si="35"/>
        <v>43686.018627372105</v>
      </c>
      <c r="I170" s="4" t="str">
        <f>naks(P[[#This Row],[Moon]])</f>
        <v>Anuradha</v>
      </c>
      <c r="J170" s="15">
        <f>(C171-P[[#This Row],[SunRise]])/(T171-P[[#This Row],[Moon]])*(13.3333333333333-MOD(P[[#This Row],[Moon]],13.333333333333))+P[[#This Row],[SunRise]]</f>
        <v>43686.917883293929</v>
      </c>
      <c r="K170" s="4" t="str">
        <f>IF(Panchanga!$P170&gt;15,"K","S")&amp;ROUNDUP(MOD(Panchanga!$P170,15),0)&amp;" ("&amp;ROUND(Panchanga!$P170,2)&amp;")"</f>
        <v>S9 (8.83)</v>
      </c>
      <c r="L170" s="4">
        <f>IF(AND(Panchanga!$P170&lt;28.5,Panchanga!$P170&gt;0.49999),MOD((Panchanga!$P170-0.5)*2,7),MOD((Panchanga!$P170+30-28.5),30)*2+7)</f>
        <v>2.6589999999999989</v>
      </c>
      <c r="M170" s="4" t="str">
        <f>CHOOSE(ROUNDUP(Panchanga!$L170,0),"Bhava","Baalava","Kaulava","Taitula","Garija","Vanija","Vishti","Shakuni","Chatushapda","Naaga","Kimstugna")</f>
        <v>Kaulava</v>
      </c>
      <c r="N170" s="11" t="str">
        <f>CHOOSE(ROUNDUP(Panchanga!$Q170,0),"viṣkambha","prīti","āyuṣmāna","saubhāgya","śobhana","atigaṇḍa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("&amp;Panchanga!$Q170&amp;")"</f>
        <v>brahma (24.76)</v>
      </c>
      <c r="O170" s="4">
        <f>IF(AND(Panchanga!$P170&lt;28.5,Panchanga!$P170&gt;0.49999),MOD((Panchanga!$P170-0.5)*2,7),MOD((Panchanga!$P170+30-28.5),30)*2+7)</f>
        <v>2.6589999999999989</v>
      </c>
      <c r="P170" s="4">
        <f>ROUNDUP(MOD(360+P[Moon]-P[Sun],360)/12,4)</f>
        <v>8.8294999999999995</v>
      </c>
      <c r="Q170" s="4">
        <f>ROUNDUP(MOD(P[Sun]+P[Moon],360)/13.333333333,2)</f>
        <v>24.76</v>
      </c>
      <c r="R170" s="4" t="str">
        <f>SIGN(U171-Panchanga!$U170)*INT(Panchanga!$U170/30+1)&amp;"Ma,"&amp;SIGN(V171-Panchanga!$V170)*INT(Panchanga!$V170/30+1)&amp;"Me,"&amp;SIGN(W171-Panchanga!$W170)*INT(Panchanga!$W170/30+1)&amp;"J, "&amp;SIGN(X171-Panchanga!$X170)*INT(Panchanga!$X170/30+1)&amp;"V,"&amp;SIGN(Y171-Panchanga!$Y170)*INT(Panchanga!$Y170/30+1)&amp;"S,"&amp;INT(Panchanga!$Z170/30+1)&amp;"R"</f>
        <v>5Ma,4Me,-8J, 4V,-9S,3R</v>
      </c>
      <c r="S170" s="4">
        <f t="shared" si="33"/>
        <v>112.04070961255314</v>
      </c>
      <c r="T170" s="4">
        <f t="shared" si="34"/>
        <v>217.99391965219743</v>
      </c>
      <c r="U170" s="4">
        <f>Planet(Panchanga!$E170,4)</f>
        <v>120.0307281822715</v>
      </c>
      <c r="V170" s="4">
        <f>Planet(Panchanga!$E170,2)</f>
        <v>93.10891535710374</v>
      </c>
      <c r="W170" s="4">
        <f>Planet(Panchanga!$E170,5)</f>
        <v>230.3884411831803</v>
      </c>
      <c r="X170" s="4">
        <f>Planet(Panchanga!$E170,3)</f>
        <v>110.59521934218445</v>
      </c>
      <c r="Y170" s="4">
        <f>Planet(Panchanga!$E170,6)</f>
        <v>261.02259584217171</v>
      </c>
      <c r="Z170" s="4">
        <f>Planet(Panchanga!$E170,10)</f>
        <v>81.790129746418614</v>
      </c>
      <c r="AA170" s="4" t="str">
        <f>TEXT(Panchanga!$C170+($C171-Panchanga!$C170)/ABS(IF($P171&lt;1,$P171+30,$P171)-Panchanga!$P170)*(ROUNDUP(Panchanga!$P170,0)-Panchanga!$P170),"hh:mm AM/PM")</f>
        <v>10:02 AM</v>
      </c>
      <c r="AB170" s="4"/>
    </row>
    <row r="171" spans="1:28" x14ac:dyDescent="0.2">
      <c r="A171" s="3">
        <f t="shared" si="36"/>
        <v>43687</v>
      </c>
      <c r="B171" s="3">
        <f t="shared" si="30"/>
        <v>43687.229166666664</v>
      </c>
      <c r="C171" s="15">
        <f t="shared" si="31"/>
        <v>43687.247907843594</v>
      </c>
      <c r="D171" s="15">
        <f t="shared" si="32"/>
        <v>43686.773224969904</v>
      </c>
      <c r="E171" s="17">
        <f>Panchanga!$C171-TimeZone/24</f>
        <v>43687.018741176929</v>
      </c>
      <c r="F171" s="18" t="str">
        <f>INT(P[Sun]/30)&amp;"s"&amp;ROUNDUP(MOD(P[Sun],30),2)</f>
        <v>3s23</v>
      </c>
      <c r="G171" s="18" t="str">
        <f>INT(P[Moon]/30)&amp;"s"&amp;ROUNDUP(MOD(P[Moon],30),2)</f>
        <v>7s20.94</v>
      </c>
      <c r="H171" s="14">
        <f t="shared" si="35"/>
        <v>43687.018741176929</v>
      </c>
      <c r="I171" s="4" t="str">
        <f>naks(P[[#This Row],[Moon]])</f>
        <v>Jyestha</v>
      </c>
      <c r="J171" s="15">
        <f>(C172-P[[#This Row],[SunRise]])/(T172-P[[#This Row],[Moon]])*(13.3333333333333-MOD(P[[#This Row],[Moon]],13.333333333333))+P[[#This Row],[SunRise]]</f>
        <v>43687.964058203797</v>
      </c>
      <c r="K171" s="4" t="str">
        <f>IF(Panchanga!$P171&gt;15,"K","S")&amp;ROUNDUP(MOD(Panchanga!$P171,15),0)&amp;" ("&amp;ROUND(Panchanga!$P171,2)&amp;")"</f>
        <v>S10 (9.83)</v>
      </c>
      <c r="L171" s="4">
        <f>IF(AND(Panchanga!$P171&lt;28.5,Panchanga!$P171&gt;0.49999),MOD((Panchanga!$P171-0.5)*2,7),MOD((Panchanga!$P171+30-28.5),30)*2+7)</f>
        <v>4.656600000000001</v>
      </c>
      <c r="M171" s="4" t="str">
        <f>CHOOSE(ROUNDUP(Panchanga!$L171,0),"Bhava","Baalava","Kaulava","Taitula","Garija","Vanija","Vishti","Shakuni","Chatushapda","Naaga","Kimstugna")</f>
        <v>Garija</v>
      </c>
      <c r="N171" s="11" t="str">
        <f>CHOOSE(ROUNDUP(Panchanga!$Q171,0),"viṣkambha","prīti","āyuṣmāna","saubhāgya","śobhana","atigaṇḍa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("&amp;Panchanga!$Q171&amp;")"</f>
        <v>mahendra (25.8)</v>
      </c>
      <c r="O171" s="4">
        <f>IF(AND(Panchanga!$P171&lt;28.5,Panchanga!$P171&gt;0.49999),MOD((Panchanga!$P171-0.5)*2,7),MOD((Panchanga!$P171+30-28.5),30)*2+7)</f>
        <v>4.656600000000001</v>
      </c>
      <c r="P171" s="4">
        <f>ROUNDUP(MOD(360+P[Moon]-P[Sun],360)/12,4)</f>
        <v>9.8283000000000005</v>
      </c>
      <c r="Q171" s="4">
        <f>ROUNDUP(MOD(P[Sun]+P[Moon],360)/13.333333333,2)</f>
        <v>25.8</v>
      </c>
      <c r="R171" s="4" t="str">
        <f>SIGN(U172-Panchanga!$U171)*INT(Panchanga!$U171/30+1)&amp;"Ma,"&amp;SIGN(V172-Panchanga!$V171)*INT(Panchanga!$V171/30+1)&amp;"Me,"&amp;SIGN(W172-Panchanga!$W171)*INT(Panchanga!$W171/30+1)&amp;"J, "&amp;SIGN(X172-Panchanga!$X171)*INT(Panchanga!$X171/30+1)&amp;"V,"&amp;SIGN(Y172-Panchanga!$Y171)*INT(Panchanga!$Y171/30+1)&amp;"S,"&amp;INT(Panchanga!$Z171/30+1)&amp;"R"</f>
        <v>5Ma,4Me,-8J, 4V,-9S,3R</v>
      </c>
      <c r="S171" s="4">
        <f t="shared" si="33"/>
        <v>112.99933565078045</v>
      </c>
      <c r="T171" s="4">
        <f t="shared" si="34"/>
        <v>230.9380669402145</v>
      </c>
      <c r="U171" s="4">
        <f>Planet(Panchanga!$E171,4)</f>
        <v>120.66550414057069</v>
      </c>
      <c r="V171" s="4">
        <f>Planet(Panchanga!$E171,2)</f>
        <v>94.002260579007825</v>
      </c>
      <c r="W171" s="4">
        <f>Planet(Panchanga!$E171,5)</f>
        <v>230.38203823138744</v>
      </c>
      <c r="X171" s="4">
        <f>Planet(Panchanga!$E171,3)</f>
        <v>111.8299589855914</v>
      </c>
      <c r="Y171" s="4">
        <f>Planet(Panchanga!$E171,6)</f>
        <v>260.9657108914127</v>
      </c>
      <c r="Z171" s="4">
        <f>Planet(Panchanga!$E171,10)</f>
        <v>81.737131719315499</v>
      </c>
      <c r="AA171" s="4" t="str">
        <f>TEXT(Panchanga!$C171+($C172-Panchanga!$C171)/ABS(IF($P172&lt;1,$P172+30,$P172)-Panchanga!$P171)*(ROUNDUP(Panchanga!$P171,0)-Panchanga!$P171),"hh:mm AM/PM")</f>
        <v>10:10 AM</v>
      </c>
      <c r="AB171" s="4"/>
    </row>
    <row r="172" spans="1:28" x14ac:dyDescent="0.2">
      <c r="A172" s="3">
        <f t="shared" si="36"/>
        <v>43688</v>
      </c>
      <c r="B172" s="3">
        <f t="shared" si="30"/>
        <v>43688.229166666664</v>
      </c>
      <c r="C172" s="15">
        <f t="shared" si="31"/>
        <v>43688.248017039303</v>
      </c>
      <c r="D172" s="15">
        <f t="shared" si="32"/>
        <v>43687.772910257379</v>
      </c>
      <c r="E172" s="17">
        <f>Panchanga!$C172-TimeZone/24</f>
        <v>43688.018850372639</v>
      </c>
      <c r="F172" s="18" t="str">
        <f>INT(P[Sun]/30)&amp;"s"&amp;ROUNDUP(MOD(P[Sun],30),2)</f>
        <v>3s23.96</v>
      </c>
      <c r="G172" s="18" t="str">
        <f>INT(P[Moon]/30)&amp;"s"&amp;ROUNDUP(MOD(P[Moon],30),2)</f>
        <v>8s3.6</v>
      </c>
      <c r="H172" s="14">
        <f t="shared" si="35"/>
        <v>43688.018850372639</v>
      </c>
      <c r="I172" s="4" t="str">
        <f>naks(P[[#This Row],[Moon]])</f>
        <v>Moola</v>
      </c>
      <c r="J172" s="15">
        <f>(C173-P[[#This Row],[SunRise]])/(T173-P[[#This Row],[Moon]])*(13.3333333333333-MOD(P[[#This Row],[Moon]],13.333333333333))+P[[#This Row],[SunRise]]</f>
        <v>43689.032465557968</v>
      </c>
      <c r="K172" s="4" t="str">
        <f>IF(Panchanga!$P172&gt;15,"K","S")&amp;ROUNDUP(MOD(Panchanga!$P172,15),0)&amp;" ("&amp;ROUND(Panchanga!$P172,2)&amp;")"</f>
        <v>S11 (10.8)</v>
      </c>
      <c r="L172" s="4">
        <f>IF(AND(Panchanga!$P172&lt;28.5,Panchanga!$P172&gt;0.49999),MOD((Panchanga!$P172-0.5)*2,7),MOD((Panchanga!$P172+30-28.5),30)*2+7)</f>
        <v>6.6059999999999981</v>
      </c>
      <c r="M172" s="4" t="str">
        <f>CHOOSE(ROUNDUP(Panchanga!$L172,0),"Bhava","Baalava","Kaulava","Taitula","Garija","Vanija","Vishti","Shakuni","Chatushapda","Naaga","Kimstugna")</f>
        <v>Vishti</v>
      </c>
      <c r="N172" s="11" t="str">
        <f>CHOOSE(ROUNDUP(Panchanga!$Q172,0),"viṣkambha","prīti","āyuṣmāna","saubhāgya","śobhana","atigaṇḍa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("&amp;Panchanga!$Q172&amp;")"</f>
        <v>vaidhṛti (26.82)</v>
      </c>
      <c r="O172" s="4">
        <f>IF(AND(Panchanga!$P172&lt;28.5,Panchanga!$P172&gt;0.49999),MOD((Panchanga!$P172-0.5)*2,7),MOD((Panchanga!$P172+30-28.5),30)*2+7)</f>
        <v>6.6059999999999981</v>
      </c>
      <c r="P172" s="4">
        <f>ROUNDUP(MOD(360+P[Moon]-P[Sun],360)/12,4)</f>
        <v>10.802999999999999</v>
      </c>
      <c r="Q172" s="4">
        <f>ROUNDUP(MOD(P[Sun]+P[Moon],360)/13.333333333,2)</f>
        <v>26.82</v>
      </c>
      <c r="R172" s="4" t="str">
        <f>SIGN(U173-Panchanga!$U172)*INT(Panchanga!$U172/30+1)&amp;"Ma,"&amp;SIGN(V173-Panchanga!$V172)*INT(Panchanga!$V172/30+1)&amp;"Me,"&amp;SIGN(W173-Panchanga!$W172)*INT(Panchanga!$W172/30+1)&amp;"J, "&amp;SIGN(X173-Panchanga!$X172)*INT(Panchanga!$X172/30+1)&amp;"V,"&amp;SIGN(Y173-Panchanga!$Y172)*INT(Panchanga!$Y172/30+1)&amp;"S,"&amp;INT(Panchanga!$Z172/30+1)&amp;"R"</f>
        <v>5Ma,4Me,-8J, 4V,-9S,3R</v>
      </c>
      <c r="S172" s="4">
        <f t="shared" si="33"/>
        <v>113.95819035429396</v>
      </c>
      <c r="T172" s="4">
        <f t="shared" si="34"/>
        <v>243.59312248104018</v>
      </c>
      <c r="U172" s="4">
        <f>Planet(Panchanga!$E172,4)</f>
        <v>121.30029937569232</v>
      </c>
      <c r="V172" s="4">
        <f>Planet(Panchanga!$E172,2)</f>
        <v>94.998775328173579</v>
      </c>
      <c r="W172" s="4">
        <f>Planet(Panchanga!$E172,5)</f>
        <v>230.37873405603881</v>
      </c>
      <c r="X172" s="4">
        <f>Planet(Panchanga!$E172,3)</f>
        <v>113.06493040816942</v>
      </c>
      <c r="Y172" s="4">
        <f>Planet(Panchanga!$E172,6)</f>
        <v>260.90989090332403</v>
      </c>
      <c r="Z172" s="4">
        <f>Planet(Panchanga!$E172,10)</f>
        <v>81.684133936439153</v>
      </c>
      <c r="AA172" s="4" t="str">
        <f>TEXT(Panchanga!$C172+($C173-Panchanga!$C172)/ABS(IF($P173&lt;1,$P173+30,$P173)-Panchanga!$P172)*(ROUNDUP(Panchanga!$P172,0)-Panchanga!$P172),"hh:mm AM/PM")</f>
        <v>10:54 AM</v>
      </c>
      <c r="AB172" s="4"/>
    </row>
    <row r="173" spans="1:28" x14ac:dyDescent="0.2">
      <c r="A173" s="3">
        <f t="shared" si="36"/>
        <v>43689</v>
      </c>
      <c r="B173" s="3">
        <f t="shared" si="30"/>
        <v>43689.229166666664</v>
      </c>
      <c r="C173" s="15">
        <f t="shared" si="31"/>
        <v>43689.248121784687</v>
      </c>
      <c r="D173" s="15">
        <f t="shared" si="32"/>
        <v>43688.772586326158</v>
      </c>
      <c r="E173" s="17">
        <f>Panchanga!$C173-TimeZone/24</f>
        <v>43689.018955118023</v>
      </c>
      <c r="F173" s="18" t="str">
        <f>INT(P[Sun]/30)&amp;"s"&amp;ROUNDUP(MOD(P[Sun],30),2)</f>
        <v>3s24.92</v>
      </c>
      <c r="G173" s="18" t="str">
        <f>INT(P[Moon]/30)&amp;"s"&amp;ROUNDUP(MOD(P[Moon],30),2)</f>
        <v>8s16.02</v>
      </c>
      <c r="H173" s="14">
        <f t="shared" si="35"/>
        <v>43689.018955118023</v>
      </c>
      <c r="I173" s="4" t="str">
        <f>naks(P[[#This Row],[Moon]])</f>
        <v>Purva Asadha</v>
      </c>
      <c r="J173" s="15">
        <f>(C174-P[[#This Row],[SunRise]])/(T174-P[[#This Row],[Moon]])*(13.3333333333333-MOD(P[[#This Row],[Moon]],13.333333333333))+P[[#This Row],[SunRise]]</f>
        <v>43690.11947146758</v>
      </c>
      <c r="K173" s="4" t="str">
        <f>IF(Panchanga!$P173&gt;15,"K","S")&amp;ROUNDUP(MOD(Panchanga!$P173,15),0)&amp;" ("&amp;ROUND(Panchanga!$P173,2)&amp;")"</f>
        <v>S12 (11.76)</v>
      </c>
      <c r="L173" s="4">
        <f>IF(AND(Panchanga!$P173&lt;28.5,Panchanga!$P173&gt;0.49999),MOD((Panchanga!$P173-0.5)*2,7),MOD((Panchanga!$P173+30-28.5),30)*2+7)</f>
        <v>1.5157999999999987</v>
      </c>
      <c r="M173" s="4" t="str">
        <f>CHOOSE(ROUNDUP(Panchanga!$L173,0),"Bhava","Baalava","Kaulava","Taitula","Garija","Vanija","Vishti","Shakuni","Chatushapda","Naaga","Kimstugna")</f>
        <v>Baalava</v>
      </c>
      <c r="N173" s="11" t="str">
        <f>CHOOSE(ROUNDUP(Panchanga!$Q173,0),"viṣkambha","prīti","āyuṣmāna","saubhāgya","śobhana","atigaṇḍa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("&amp;Panchanga!$Q173&amp;")"</f>
        <v>viṣkambha (0.82)</v>
      </c>
      <c r="O173" s="4">
        <f>IF(AND(Panchanga!$P173&lt;28.5,Panchanga!$P173&gt;0.49999),MOD((Panchanga!$P173-0.5)*2,7),MOD((Panchanga!$P173+30-28.5),30)*2+7)</f>
        <v>1.5157999999999987</v>
      </c>
      <c r="P173" s="4">
        <f>ROUNDUP(MOD(360+P[Moon]-P[Sun],360)/12,4)</f>
        <v>11.757899999999999</v>
      </c>
      <c r="Q173" s="4">
        <f>ROUNDUP(MOD(P[Sun]+P[Moon],360)/13.333333333,2)</f>
        <v>0.82000000000000006</v>
      </c>
      <c r="R173" s="4" t="str">
        <f>SIGN(U174-Panchanga!$U173)*INT(Panchanga!$U173/30+1)&amp;"Ma,"&amp;SIGN(V174-Panchanga!$V173)*INT(Panchanga!$V173/30+1)&amp;"Me,"&amp;SIGN(W174-Panchanga!$W173)*INT(Panchanga!$W173/30+1)&amp;"J, "&amp;SIGN(X174-Panchanga!$X173)*INT(Panchanga!$X173/30+1)&amp;"V,"&amp;SIGN(Y174-Panchanga!$Y173)*INT(Panchanga!$Y173/30+1)&amp;"S,"&amp;INT(Panchanga!$Z173/30+1)&amp;"R"</f>
        <v>5Ma,4Me,8J, 4V,-9S,3R</v>
      </c>
      <c r="S173" s="4">
        <f t="shared" si="33"/>
        <v>114.9172917397878</v>
      </c>
      <c r="T173" s="4">
        <f t="shared" si="34"/>
        <v>256.01105796392153</v>
      </c>
      <c r="U173" s="4">
        <f>Planet(Panchanga!$E173,4)</f>
        <v>121.93512179952899</v>
      </c>
      <c r="V173" s="4">
        <f>Planet(Panchanga!$E173,2)</f>
        <v>96.095812927844364</v>
      </c>
      <c r="W173" s="4">
        <f>Planet(Panchanga!$E173,5)</f>
        <v>230.37852527711814</v>
      </c>
      <c r="X173" s="4">
        <f>Planet(Panchanga!$E173,3)</f>
        <v>114.30013725880058</v>
      </c>
      <c r="Y173" s="4">
        <f>Planet(Panchanga!$E173,6)</f>
        <v>260.85516078153881</v>
      </c>
      <c r="Z173" s="4">
        <f>Planet(Panchanga!$E173,10)</f>
        <v>81.63113638940564</v>
      </c>
      <c r="AA173" s="4" t="str">
        <f>TEXT(Panchanga!$C173+($C174-Panchanga!$C173)/ABS(IF($P174&lt;1,$P174+30,$P174)-Panchanga!$P173)*(ROUNDUP(Panchanga!$P173,0)-Panchanga!$P173),"hh:mm AM/PM")</f>
        <v>12:08 PM</v>
      </c>
      <c r="AB173" s="4"/>
    </row>
    <row r="174" spans="1:28" x14ac:dyDescent="0.2">
      <c r="A174" s="3">
        <f t="shared" si="36"/>
        <v>43690</v>
      </c>
      <c r="B174" s="3">
        <f t="shared" si="30"/>
        <v>43690.229166666664</v>
      </c>
      <c r="C174" s="15">
        <f t="shared" si="31"/>
        <v>43690.248222079281</v>
      </c>
      <c r="D174" s="15">
        <f t="shared" si="32"/>
        <v>43689.772253493822</v>
      </c>
      <c r="E174" s="17">
        <f>Panchanga!$C174-TimeZone/24</f>
        <v>43690.019055412617</v>
      </c>
      <c r="F174" s="18" t="str">
        <f>INT(P[Sun]/30)&amp;"s"&amp;ROUNDUP(MOD(P[Sun],30),2)</f>
        <v>3s25.88</v>
      </c>
      <c r="G174" s="18" t="str">
        <f>INT(P[Moon]/30)&amp;"s"&amp;ROUNDUP(MOD(P[Moon],30),2)</f>
        <v>8s28.25</v>
      </c>
      <c r="H174" s="14">
        <f t="shared" si="35"/>
        <v>43690.019055412617</v>
      </c>
      <c r="I174" s="4" t="str">
        <f>naks(P[[#This Row],[Moon]])</f>
        <v>Uttara Asadha</v>
      </c>
      <c r="J174" s="15">
        <f>(C175-P[[#This Row],[SunRise]])/(T175-P[[#This Row],[Moon]])*(13.3333333333333-MOD(P[[#This Row],[Moon]],13.333333333333))+P[[#This Row],[SunRise]]</f>
        <v>43691.221245149507</v>
      </c>
      <c r="K174" s="4" t="str">
        <f>IF(Panchanga!$P174&gt;15,"K","S")&amp;ROUNDUP(MOD(Panchanga!$P174,15),0)&amp;" ("&amp;ROUND(Panchanga!$P174,2)&amp;")"</f>
        <v>S13 (12.7)</v>
      </c>
      <c r="L174" s="4">
        <f>IF(AND(Panchanga!$P174&lt;28.5,Panchanga!$P174&gt;0.49999),MOD((Panchanga!$P174-0.5)*2,7),MOD((Panchanga!$P174+30-28.5),30)*2+7)</f>
        <v>3.3941999999999979</v>
      </c>
      <c r="M174" s="4" t="str">
        <f>CHOOSE(ROUNDUP(Panchanga!$L174,0),"Bhava","Baalava","Kaulava","Taitula","Garija","Vanija","Vishti","Shakuni","Chatushapda","Naaga","Kimstugna")</f>
        <v>Taitula</v>
      </c>
      <c r="N174" s="11" t="str">
        <f>CHOOSE(ROUNDUP(Panchanga!$Q174,0),"viṣkambha","prīti","āyuṣmāna","saubhāgya","śobhana","atigaṇḍa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("&amp;Panchanga!$Q174&amp;")"</f>
        <v>prīti (1.81)</v>
      </c>
      <c r="O174" s="4">
        <f>IF(AND(Panchanga!$P174&lt;28.5,Panchanga!$P174&gt;0.49999),MOD((Panchanga!$P174-0.5)*2,7),MOD((Panchanga!$P174+30-28.5),30)*2+7)</f>
        <v>3.3941999999999979</v>
      </c>
      <c r="P174" s="4">
        <f>ROUNDUP(MOD(360+P[Moon]-P[Sun],360)/12,4)</f>
        <v>12.697099999999999</v>
      </c>
      <c r="Q174" s="4">
        <f>ROUNDUP(MOD(P[Sun]+P[Moon],360)/13.333333333,2)</f>
        <v>1.81</v>
      </c>
      <c r="R174" s="4" t="str">
        <f>SIGN(U175-Panchanga!$U174)*INT(Panchanga!$U174/30+1)&amp;"Ma,"&amp;SIGN(V175-Panchanga!$V174)*INT(Panchanga!$V174/30+1)&amp;"Me,"&amp;SIGN(W175-Panchanga!$W174)*INT(Panchanga!$W174/30+1)&amp;"J, "&amp;SIGN(X175-Panchanga!$X174)*INT(Panchanga!$X174/30+1)&amp;"V,"&amp;SIGN(Y175-Panchanga!$Y174)*INT(Panchanga!$Y174/30+1)&amp;"S,"&amp;INT(Panchanga!$Z174/30+1)&amp;"R"</f>
        <v>5Ma,4Me,8J, 4V,-9S,3R</v>
      </c>
      <c r="S174" s="4">
        <f t="shared" si="33"/>
        <v>115.87665920855795</v>
      </c>
      <c r="T174" s="4">
        <f t="shared" si="34"/>
        <v>268.24113919525581</v>
      </c>
      <c r="U174" s="4">
        <f>Planet(Panchanga!$E174,4)</f>
        <v>122.56998004397144</v>
      </c>
      <c r="V174" s="4">
        <f>Planet(Panchanga!$E174,2)</f>
        <v>97.29021285179347</v>
      </c>
      <c r="W174" s="4">
        <f>Planet(Panchanga!$E174,5)</f>
        <v>230.38140771699889</v>
      </c>
      <c r="X174" s="4">
        <f>Planet(Panchanga!$E174,3)</f>
        <v>115.53558330415477</v>
      </c>
      <c r="Y174" s="4">
        <f>Planet(Panchanga!$E174,6)</f>
        <v>260.80154484052935</v>
      </c>
      <c r="Z174" s="4">
        <f>Planet(Panchanga!$E174,10)</f>
        <v>81.578139078231686</v>
      </c>
      <c r="AA174" s="4" t="str">
        <f>TEXT(Panchanga!$C174+($C175-Panchanga!$C174)/ABS(IF($P175&lt;1,$P175+30,$P175)-Panchanga!$P174)*(ROUNDUP(Panchanga!$P174,0)-Panchanga!$P174),"hh:mm AM/PM")</f>
        <v>01:47 PM</v>
      </c>
      <c r="AB174" s="4"/>
    </row>
    <row r="175" spans="1:28" x14ac:dyDescent="0.2">
      <c r="A175" s="3">
        <f t="shared" si="36"/>
        <v>43691</v>
      </c>
      <c r="B175" s="3">
        <f t="shared" si="30"/>
        <v>43691.229166666664</v>
      </c>
      <c r="C175" s="15">
        <f t="shared" si="31"/>
        <v>43691.24831792355</v>
      </c>
      <c r="D175" s="15">
        <f t="shared" si="32"/>
        <v>43690.771911919161</v>
      </c>
      <c r="E175" s="17">
        <f>Panchanga!$C175-TimeZone/24</f>
        <v>43691.019151256885</v>
      </c>
      <c r="F175" s="18" t="str">
        <f>INT(P[Sun]/30)&amp;"s"&amp;ROUNDUP(MOD(P[Sun],30),2)</f>
        <v>3s26.84</v>
      </c>
      <c r="G175" s="18" t="str">
        <f>INT(P[Moon]/30)&amp;"s"&amp;ROUNDUP(MOD(P[Moon],30),2)</f>
        <v>9s10.33</v>
      </c>
      <c r="H175" s="14">
        <f t="shared" si="35"/>
        <v>43691.019151256885</v>
      </c>
      <c r="I175" s="4" t="str">
        <f>naks(P[[#This Row],[Moon]])</f>
        <v>Sravana</v>
      </c>
      <c r="J175" s="15">
        <f>(C176-P[[#This Row],[SunRise]])/(T176-P[[#This Row],[Moon]])*(13.3333333333333-MOD(P[[#This Row],[Moon]],13.333333333333))+P[[#This Row],[SunRise]]</f>
        <v>43692.334095615392</v>
      </c>
      <c r="K175" s="4" t="str">
        <f>IF(Panchanga!$P175&gt;15,"K","S")&amp;ROUNDUP(MOD(Panchanga!$P175,15),0)&amp;" ("&amp;ROUND(Panchanga!$P175,2)&amp;")"</f>
        <v>S14 (13.62)</v>
      </c>
      <c r="L175" s="4">
        <f>IF(AND(Panchanga!$P175&lt;28.5,Panchanga!$P175&gt;0.49999),MOD((Panchanga!$P175-0.5)*2,7),MOD((Panchanga!$P175+30-28.5),30)*2+7)</f>
        <v>5.2485999999999997</v>
      </c>
      <c r="M175" s="4" t="str">
        <f>CHOOSE(ROUNDUP(Panchanga!$L175,0),"Bhava","Baalava","Kaulava","Taitula","Garija","Vanija","Vishti","Shakuni","Chatushapda","Naaga","Kimstugna")</f>
        <v>Vanija</v>
      </c>
      <c r="N175" s="11" t="str">
        <f>CHOOSE(ROUNDUP(Panchanga!$Q175,0),"viṣkambha","prīti","āyuṣmāna","saubhāgya","śobhana","atigaṇḍa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("&amp;Panchanga!$Q175&amp;")"</f>
        <v>āyuṣmāna (2.79)</v>
      </c>
      <c r="O175" s="4">
        <f>IF(AND(Panchanga!$P175&lt;28.5,Panchanga!$P175&gt;0.49999),MOD((Panchanga!$P175-0.5)*2,7),MOD((Panchanga!$P175+30-28.5),30)*2+7)</f>
        <v>5.2485999999999997</v>
      </c>
      <c r="P175" s="4">
        <f>ROUNDUP(MOD(360+P[Moon]-P[Sun],360)/12,4)</f>
        <v>13.6243</v>
      </c>
      <c r="Q175" s="4">
        <f>ROUNDUP(MOD(P[Sun]+P[Moon],360)/13.333333333,2)</f>
        <v>2.7899999999999996</v>
      </c>
      <c r="R175" s="4" t="str">
        <f>SIGN(U176-Panchanga!$U175)*INT(Panchanga!$U175/30+1)&amp;"Ma,"&amp;SIGN(V176-Panchanga!$V175)*INT(Panchanga!$V175/30+1)&amp;"Me,"&amp;SIGN(W176-Panchanga!$W175)*INT(Panchanga!$W175/30+1)&amp;"J, "&amp;SIGN(X176-Panchanga!$X175)*INT(Panchanga!$X175/30+1)&amp;"V,"&amp;SIGN(Y176-Panchanga!$Y175)*INT(Panchanga!$Y175/30+1)&amp;"S,"&amp;INT(Panchanga!$Z175/30+1)&amp;"R"</f>
        <v>5Ma,4Me,8J, 4V,-9S,3R</v>
      </c>
      <c r="S175" s="4">
        <f t="shared" si="33"/>
        <v>116.83631315619135</v>
      </c>
      <c r="T175" s="4">
        <f t="shared" si="34"/>
        <v>280.32717105201112</v>
      </c>
      <c r="U175" s="4">
        <f>Planet(Panchanga!$E175,4)</f>
        <v>123.2048833247832</v>
      </c>
      <c r="V175" s="4">
        <f>Planet(Panchanga!$E175,2)</f>
        <v>98.578284296667405</v>
      </c>
      <c r="W175" s="4">
        <f>Planet(Panchanga!$E175,5)</f>
        <v>230.38737652054704</v>
      </c>
      <c r="X175" s="4">
        <f>Planet(Panchanga!$E175,3)</f>
        <v>116.77127147090788</v>
      </c>
      <c r="Y175" s="4">
        <f>Planet(Panchanga!$E175,6)</f>
        <v>260.74906686913079</v>
      </c>
      <c r="Z175" s="4">
        <f>Planet(Panchanga!$E175,10)</f>
        <v>81.52514200288401</v>
      </c>
      <c r="AA175" s="4" t="str">
        <f>TEXT(Panchanga!$C175+($C176-Panchanga!$C175)/ABS(IF($P176&lt;1,$P176+30,$P176)-Panchanga!$P175)*(ROUNDUP(Panchanga!$P175,0)-Panchanga!$P175),"hh:mm AM/PM")</f>
        <v>03:46 PM</v>
      </c>
      <c r="AB175" s="4"/>
    </row>
    <row r="176" spans="1:28" x14ac:dyDescent="0.2">
      <c r="A176" s="3">
        <f t="shared" si="36"/>
        <v>43692</v>
      </c>
      <c r="B176" s="3">
        <f t="shared" si="30"/>
        <v>43692.229166666664</v>
      </c>
      <c r="C176" s="15">
        <f t="shared" si="31"/>
        <v>43692.24840963554</v>
      </c>
      <c r="D176" s="15">
        <f t="shared" si="32"/>
        <v>43691.771561920687</v>
      </c>
      <c r="E176" s="17">
        <f>Panchanga!$C176-TimeZone/24</f>
        <v>43692.019242968876</v>
      </c>
      <c r="F176" s="18" t="str">
        <f>INT(P[Sun]/30)&amp;"s"&amp;ROUNDUP(MOD(P[Sun],30),2)</f>
        <v>3s27.8</v>
      </c>
      <c r="G176" s="18" t="str">
        <f>INT(P[Moon]/30)&amp;"s"&amp;ROUNDUP(MOD(P[Moon],30),2)</f>
        <v>9s22.31</v>
      </c>
      <c r="H176" s="14">
        <f t="shared" si="35"/>
        <v>43692.019242968876</v>
      </c>
      <c r="I176" s="4" t="str">
        <f>naks(P[[#This Row],[Moon]])</f>
        <v>Sravana</v>
      </c>
      <c r="J176" s="15">
        <f>(C177-P[[#This Row],[SunRise]])/(T177-P[[#This Row],[Moon]])*(13.3333333333333-MOD(P[[#This Row],[Moon]],13.333333333333))+P[[#This Row],[SunRise]]</f>
        <v>43692.334623464943</v>
      </c>
      <c r="K176" s="4" t="str">
        <f>IF(Panchanga!$P176&gt;15,"K","S")&amp;ROUNDUP(MOD(Panchanga!$P176,15),0)&amp;" ("&amp;ROUND(Panchanga!$P176,2)&amp;")"</f>
        <v>S15 (14.54)</v>
      </c>
      <c r="L176" s="4">
        <f>IF(AND(Panchanga!$P176&lt;28.5,Panchanga!$P176&gt;0.49999),MOD((Panchanga!$P176-0.5)*2,7),MOD((Panchanga!$P176+30-28.5),30)*2+7)</f>
        <v>8.5200000000000387E-2</v>
      </c>
      <c r="M176" s="4" t="str">
        <f>CHOOSE(ROUNDUP(Panchanga!$L176,0),"Bhava","Baalava","Kaulava","Taitula","Garija","Vanija","Vishti","Shakuni","Chatushapda","Naaga","Kimstugna")</f>
        <v>Bhava</v>
      </c>
      <c r="N176" s="11" t="str">
        <f>CHOOSE(ROUNDUP(Panchanga!$Q176,0),"viṣkambha","prīti","āyuṣmāna","saubhāgya","śobhana","atigaṇḍa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("&amp;Panchanga!$Q176&amp;")"</f>
        <v>saubhāgya (3.76)</v>
      </c>
      <c r="O176" s="4">
        <f>IF(AND(Panchanga!$P176&lt;28.5,Panchanga!$P176&gt;0.49999),MOD((Panchanga!$P176-0.5)*2,7),MOD((Panchanga!$P176+30-28.5),30)*2+7)</f>
        <v>8.5200000000000387E-2</v>
      </c>
      <c r="P176" s="4">
        <f>ROUNDUP(MOD(360+P[Moon]-P[Sun],360)/12,4)</f>
        <v>14.5426</v>
      </c>
      <c r="Q176" s="4">
        <f>ROUNDUP(MOD(P[Sun]+P[Moon],360)/13.333333333,2)</f>
        <v>3.76</v>
      </c>
      <c r="R176" s="4" t="str">
        <f>SIGN(U177-Panchanga!$U176)*INT(Panchanga!$U176/30+1)&amp;"Ma,"&amp;SIGN(V177-Panchanga!$V176)*INT(Panchanga!$V176/30+1)&amp;"Me,"&amp;SIGN(W177-Panchanga!$W176)*INT(Panchanga!$W176/30+1)&amp;"J, "&amp;SIGN(X177-Panchanga!$X176)*INT(Panchanga!$X176/30+1)&amp;"V,"&amp;SIGN(Y177-Panchanga!$Y176)*INT(Panchanga!$Y176/30+1)&amp;"S,"&amp;INT(Panchanga!$Z176/30+1)&amp;"R"</f>
        <v>5Ma,4Me,8J, 4V,-9S,3R</v>
      </c>
      <c r="S176" s="4">
        <f t="shared" si="33"/>
        <v>117.79627483431317</v>
      </c>
      <c r="T176" s="4">
        <f t="shared" si="34"/>
        <v>292.30693007641275</v>
      </c>
      <c r="U176" s="4">
        <f>Planet(Panchanga!$E176,4)</f>
        <v>123.83984144207444</v>
      </c>
      <c r="V176" s="4">
        <f>Planet(Panchanga!$E176,2)</f>
        <v>99.955791532879303</v>
      </c>
      <c r="W176" s="4">
        <f>Planet(Panchanga!$E176,5)</f>
        <v>230.39642623945545</v>
      </c>
      <c r="X176" s="4">
        <f>Planet(Panchanga!$E176,3)</f>
        <v>118.00720384983879</v>
      </c>
      <c r="Y176" s="4">
        <f>Planet(Panchanga!$E176,6)</f>
        <v>260.69775016631263</v>
      </c>
      <c r="Z176" s="4">
        <f>Planet(Panchanga!$E176,10)</f>
        <v>81.472145146545415</v>
      </c>
      <c r="AA176" s="4" t="str">
        <f>TEXT(Panchanga!$C176+($C177-Panchanga!$C176)/ABS(IF($P177&lt;1,$P177+30,$P177)-Panchanga!$P176)*(ROUNDUP(Panchanga!$P176,0)-Panchanga!$P176),"hh:mm AM/PM")</f>
        <v>05:59 PM</v>
      </c>
      <c r="AB176" s="4"/>
    </row>
    <row r="177" spans="1:28" x14ac:dyDescent="0.2">
      <c r="A177" s="3">
        <f t="shared" si="36"/>
        <v>43693</v>
      </c>
      <c r="B177" s="3">
        <f t="shared" si="30"/>
        <v>43693.229166666664</v>
      </c>
      <c r="C177" s="15">
        <f t="shared" si="31"/>
        <v>43693.248497055531</v>
      </c>
      <c r="D177" s="15">
        <f t="shared" si="32"/>
        <v>43692.7712034984</v>
      </c>
      <c r="E177" s="17">
        <f>Panchanga!$C177-TimeZone/24</f>
        <v>43693.019330388866</v>
      </c>
      <c r="F177" s="18" t="str">
        <f>INT(P[Sun]/30)&amp;"s"&amp;ROUNDUP(MOD(P[Sun],30),2)</f>
        <v>3s28.76</v>
      </c>
      <c r="G177" s="18" t="str">
        <f>INT(P[Moon]/30)&amp;"s"&amp;ROUNDUP(MOD(P[Moon],30),2)</f>
        <v>10s4.22</v>
      </c>
      <c r="H177" s="14">
        <f t="shared" si="35"/>
        <v>43693.019330388866</v>
      </c>
      <c r="I177" s="4" t="str">
        <f>naks(P[[#This Row],[Moon]])</f>
        <v>Dhanistha</v>
      </c>
      <c r="J177" s="15">
        <f>(C178-P[[#This Row],[SunRise]])/(T178-P[[#This Row],[Moon]])*(13.3333333333333-MOD(P[[#This Row],[Moon]],13.333333333333))+P[[#This Row],[SunRise]]</f>
        <v>43693.455318278779</v>
      </c>
      <c r="K177" s="4" t="str">
        <f>IF(Panchanga!$P177&gt;15,"K","S")&amp;ROUNDUP(MOD(Panchanga!$P177,15),0)&amp;" ("&amp;ROUND(Panchanga!$P177,2)&amp;")"</f>
        <v>K1 (15.45)</v>
      </c>
      <c r="L177" s="4">
        <f>IF(AND(Panchanga!$P177&lt;28.5,Panchanga!$P177&gt;0.49999),MOD((Panchanga!$P177-0.5)*2,7),MOD((Panchanga!$P177+30-28.5),30)*2+7)</f>
        <v>1.9096000000000011</v>
      </c>
      <c r="M177" s="4" t="str">
        <f>CHOOSE(ROUNDUP(Panchanga!$L177,0),"Bhava","Baalava","Kaulava","Taitula","Garija","Vanija","Vishti","Shakuni","Chatushapda","Naaga","Kimstugna")</f>
        <v>Baalava</v>
      </c>
      <c r="N177" s="11" t="str">
        <f>CHOOSE(ROUNDUP(Panchanga!$Q177,0),"viṣkambha","prīti","āyuṣmāna","saubhāgya","śobhana","atigaṇḍa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("&amp;Panchanga!$Q177&amp;")"</f>
        <v>śobhana (4.73)</v>
      </c>
      <c r="O177" s="4">
        <f>IF(AND(Panchanga!$P177&lt;28.5,Panchanga!$P177&gt;0.49999),MOD((Panchanga!$P177-0.5)*2,7),MOD((Panchanga!$P177+30-28.5),30)*2+7)</f>
        <v>1.9096000000000011</v>
      </c>
      <c r="P177" s="4">
        <f>ROUNDUP(MOD(360+P[Moon]-P[Sun],360)/12,4)</f>
        <v>15.454800000000001</v>
      </c>
      <c r="Q177" s="4">
        <f>ROUNDUP(MOD(P[Sun]+P[Moon],360)/13.333333333,2)</f>
        <v>4.7299999999999995</v>
      </c>
      <c r="R177" s="4" t="str">
        <f>SIGN(U178-Panchanga!$U177)*INT(Panchanga!$U177/30+1)&amp;"Ma,"&amp;SIGN(V178-Panchanga!$V177)*INT(Panchanga!$V177/30+1)&amp;"Me,"&amp;SIGN(W178-Panchanga!$W177)*INT(Panchanga!$W177/30+1)&amp;"J, "&amp;SIGN(X178-Panchanga!$X177)*INT(Panchanga!$X177/30+1)&amp;"V,"&amp;SIGN(Y178-Panchanga!$Y177)*INT(Panchanga!$Y177/30+1)&amp;"S,"&amp;INT(Panchanga!$Z177/30+1)&amp;"R"</f>
        <v>5Ma,4Me,8J, 4V,-9S,3R</v>
      </c>
      <c r="S177" s="4">
        <f t="shared" si="33"/>
        <v>118.75656524108885</v>
      </c>
      <c r="T177" s="4">
        <f t="shared" si="34"/>
        <v>304.21329118049243</v>
      </c>
      <c r="U177" s="4">
        <f>Planet(Panchanga!$E177,4)</f>
        <v>124.47486411170298</v>
      </c>
      <c r="V177" s="4">
        <f>Planet(Panchanga!$E177,2)</f>
        <v>101.41794603262281</v>
      </c>
      <c r="W177" s="4">
        <f>Planet(Panchanga!$E177,5)</f>
        <v>230.40855088589515</v>
      </c>
      <c r="X177" s="4">
        <f>Planet(Panchanga!$E177,3)</f>
        <v>119.24338192786841</v>
      </c>
      <c r="Y177" s="4">
        <f>Planet(Panchanga!$E177,6)</f>
        <v>260.64761762355198</v>
      </c>
      <c r="Z177" s="4">
        <f>Planet(Panchanga!$E177,10)</f>
        <v>81.419148517616264</v>
      </c>
      <c r="AA177" s="4" t="str">
        <f>TEXT(Panchanga!$C177+($C178-Panchanga!$C177)/ABS(IF($P178&lt;1,$P178+30,$P178)-Panchanga!$P177)*(ROUNDUP(Panchanga!$P177,0)-Panchanga!$P177),"hh:mm AM/PM")</f>
        <v>08:22 PM</v>
      </c>
      <c r="AB177" s="4"/>
    </row>
    <row r="178" spans="1:28" x14ac:dyDescent="0.2">
      <c r="A178" s="3">
        <f t="shared" si="36"/>
        <v>43694</v>
      </c>
      <c r="B178" s="3">
        <f t="shared" si="30"/>
        <v>43694.229166666664</v>
      </c>
      <c r="C178" s="15">
        <f t="shared" si="31"/>
        <v>43694.248580183987</v>
      </c>
      <c r="D178" s="15">
        <f t="shared" si="32"/>
        <v>43693.770836969416</v>
      </c>
      <c r="E178" s="17">
        <f>Panchanga!$C178-TimeZone/24</f>
        <v>43694.019413517322</v>
      </c>
      <c r="F178" s="18" t="str">
        <f>INT(P[Sun]/30)&amp;"s"&amp;ROUNDUP(MOD(P[Sun],30),2)</f>
        <v>3s29.72</v>
      </c>
      <c r="G178" s="18" t="str">
        <f>INT(P[Moon]/30)&amp;"s"&amp;ROUNDUP(MOD(P[Moon],30),2)</f>
        <v>10s16.08</v>
      </c>
      <c r="H178" s="14">
        <f t="shared" si="35"/>
        <v>43694.019413517322</v>
      </c>
      <c r="I178" s="4" t="str">
        <f>naks(P[[#This Row],[Moon]])</f>
        <v>Satabhisaj</v>
      </c>
      <c r="J178" s="15">
        <f>(C179-P[[#This Row],[SunRise]])/(T179-P[[#This Row],[Moon]])*(13.3333333333333-MOD(P[[#This Row],[Moon]],13.333333333333))+P[[#This Row],[SunRise]]</f>
        <v>43694.579669591199</v>
      </c>
      <c r="K178" s="4" t="str">
        <f>IF(Panchanga!$P178&gt;15,"K","S")&amp;ROUNDUP(MOD(Panchanga!$P178,15),0)&amp;" ("&amp;ROUND(Panchanga!$P178,2)&amp;")"</f>
        <v>K2 (16.36)</v>
      </c>
      <c r="L178" s="4">
        <f>IF(AND(Panchanga!$P178&lt;28.5,Panchanga!$P178&gt;0.49999),MOD((Panchanga!$P178-0.5)*2,7),MOD((Panchanga!$P178+30-28.5),30)*2+7)</f>
        <v>3.7265999999999977</v>
      </c>
      <c r="M178" s="4" t="str">
        <f>CHOOSE(ROUNDUP(Panchanga!$L178,0),"Bhava","Baalava","Kaulava","Taitula","Garija","Vanija","Vishti","Shakuni","Chatushapda","Naaga","Kimstugna")</f>
        <v>Taitula</v>
      </c>
      <c r="N178" s="11" t="str">
        <f>CHOOSE(ROUNDUP(Panchanga!$Q178,0),"viṣkambha","prīti","āyuṣmāna","saubhāgya","śobhana","atigaṇḍa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("&amp;Panchanga!$Q178&amp;")"</f>
        <v>atigaṇḍa  (5.69)</v>
      </c>
      <c r="O178" s="4">
        <f>IF(AND(Panchanga!$P178&lt;28.5,Panchanga!$P178&gt;0.49999),MOD((Panchanga!$P178-0.5)*2,7),MOD((Panchanga!$P178+30-28.5),30)*2+7)</f>
        <v>3.7265999999999977</v>
      </c>
      <c r="P178" s="4">
        <f>ROUNDUP(MOD(360+P[Moon]-P[Sun],360)/12,4)</f>
        <v>16.363299999999999</v>
      </c>
      <c r="Q178" s="4">
        <f>ROUNDUP(MOD(P[Sun]+P[Moon],360)/13.333333333,2)</f>
        <v>5.6899999999999995</v>
      </c>
      <c r="R178" s="4" t="str">
        <f>SIGN(U179-Panchanga!$U178)*INT(Panchanga!$U178/30+1)&amp;"Ma,"&amp;SIGN(V179-Panchanga!$V178)*INT(Panchanga!$V178/30+1)&amp;"Me,"&amp;SIGN(W179-Panchanga!$W178)*INT(Panchanga!$W178/30+1)&amp;"J, "&amp;SIGN(X179-Panchanga!$X178)*INT(Panchanga!$X178/30+1)&amp;"V,"&amp;SIGN(Y179-Panchanga!$Y178)*INT(Panchanga!$Y178/30+1)&amp;"S,"&amp;INT(Panchanga!$Z178/30+1)&amp;"R"</f>
        <v>5Ma,4Me,8J, 5V,-9S,3R</v>
      </c>
      <c r="S178" s="4">
        <f t="shared" si="33"/>
        <v>119.71720542985786</v>
      </c>
      <c r="T178" s="4">
        <f t="shared" si="34"/>
        <v>316.0765777087048</v>
      </c>
      <c r="U178" s="4">
        <f>Planet(Panchanga!$E178,4)</f>
        <v>125.1099612262481</v>
      </c>
      <c r="V178" s="4">
        <f>Planet(Panchanga!$E178,2)</f>
        <v>102.95941558174052</v>
      </c>
      <c r="W178" s="4">
        <f>Planet(Panchanga!$E178,5)</f>
        <v>230.42374398848631</v>
      </c>
      <c r="X178" s="4">
        <f>Planet(Panchanga!$E178,3)</f>
        <v>120.47980858327983</v>
      </c>
      <c r="Y178" s="4">
        <f>Planet(Panchanga!$E178,6)</f>
        <v>260.59869172564709</v>
      </c>
      <c r="Z178" s="4">
        <f>Planet(Panchanga!$E178,10)</f>
        <v>81.366152116112971</v>
      </c>
      <c r="AA178" s="4" t="str">
        <f>TEXT(Panchanga!$C178+($C179-Panchanga!$C178)/ABS(IF($P179&lt;1,$P179+30,$P179)-Panchanga!$P178)*(ROUNDUP(Panchanga!$P178,0)-Panchanga!$P178),"hh:mm AM/PM")</f>
        <v>10:48 PM</v>
      </c>
      <c r="AB178" s="4"/>
    </row>
    <row r="179" spans="1:28" x14ac:dyDescent="0.2">
      <c r="A179" s="3">
        <f t="shared" si="36"/>
        <v>43695</v>
      </c>
      <c r="B179" s="3">
        <f t="shared" si="30"/>
        <v>43695.229166666664</v>
      </c>
      <c r="C179" s="15">
        <f t="shared" si="31"/>
        <v>43695.248659498211</v>
      </c>
      <c r="D179" s="15">
        <f t="shared" si="32"/>
        <v>43694.770462652246</v>
      </c>
      <c r="E179" s="17">
        <f>Panchanga!$C179-TimeZone/24</f>
        <v>43695.019492831547</v>
      </c>
      <c r="F179" s="18" t="str">
        <f>INT(P[Sun]/30)&amp;"s"&amp;ROUNDUP(MOD(P[Sun],30),2)</f>
        <v>4s0.68</v>
      </c>
      <c r="G179" s="18" t="str">
        <f>INT(P[Moon]/30)&amp;"s"&amp;ROUNDUP(MOD(P[Moon],30),2)</f>
        <v>10s27.93</v>
      </c>
      <c r="H179" s="14">
        <f t="shared" si="35"/>
        <v>43695.019492831547</v>
      </c>
      <c r="I179" s="4" t="str">
        <f>naks(P[[#This Row],[Moon]])</f>
        <v>Purva Bhadrapada</v>
      </c>
      <c r="J179" s="15">
        <f>(C180-P[[#This Row],[SunRise]])/(T180-P[[#This Row],[Moon]])*(13.3333333333333-MOD(P[[#This Row],[Moon]],13.333333333333))+P[[#This Row],[SunRise]]</f>
        <v>43695.703997269673</v>
      </c>
      <c r="K179" s="4" t="str">
        <f>IF(Panchanga!$P179&gt;15,"K","S")&amp;ROUNDUP(MOD(Panchanga!$P179,15),0)&amp;" ("&amp;ROUND(Panchanga!$P179,2)&amp;")"</f>
        <v>K3 (17.27)</v>
      </c>
      <c r="L179" s="4">
        <f>IF(AND(Panchanga!$P179&lt;28.5,Panchanga!$P179&gt;0.49999),MOD((Panchanga!$P179-0.5)*2,7),MOD((Panchanga!$P179+30-28.5),30)*2+7)</f>
        <v>5.5416000000000025</v>
      </c>
      <c r="M179" s="4" t="str">
        <f>CHOOSE(ROUNDUP(Panchanga!$L179,0),"Bhava","Baalava","Kaulava","Taitula","Garija","Vanija","Vishti","Shakuni","Chatushapda","Naaga","Kimstugna")</f>
        <v>Vanija</v>
      </c>
      <c r="N179" s="11" t="str">
        <f>CHOOSE(ROUNDUP(Panchanga!$Q179,0),"viṣkambha","prīti","āyuṣmāna","saubhāgya","śobhana","atigaṇḍa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("&amp;Panchanga!$Q179&amp;")"</f>
        <v>sukarmā  (6.65)</v>
      </c>
      <c r="O179" s="4">
        <f>IF(AND(Panchanga!$P179&lt;28.5,Panchanga!$P179&gt;0.49999),MOD((Panchanga!$P179-0.5)*2,7),MOD((Panchanga!$P179+30-28.5),30)*2+7)</f>
        <v>5.5416000000000025</v>
      </c>
      <c r="P179" s="4">
        <f>ROUNDUP(MOD(360+P[Moon]-P[Sun],360)/12,4)</f>
        <v>17.270800000000001</v>
      </c>
      <c r="Q179" s="4">
        <f>ROUNDUP(MOD(P[Sun]+P[Moon],360)/13.333333333,2)</f>
        <v>6.6499999999999995</v>
      </c>
      <c r="R179" s="4" t="str">
        <f>SIGN(U180-Panchanga!$U179)*INT(Panchanga!$U179/30+1)&amp;"Ma,"&amp;SIGN(V180-Panchanga!$V179)*INT(Panchanga!$V179/30+1)&amp;"Me,"&amp;SIGN(W180-Panchanga!$W179)*INT(Panchanga!$W179/30+1)&amp;"J, "&amp;SIGN(X180-Panchanga!$X179)*INT(Panchanga!$X179/30+1)&amp;"V,"&amp;SIGN(Y180-Panchanga!$Y179)*INT(Panchanga!$Y179/30+1)&amp;"S,"&amp;INT(Panchanga!$Z179/30+1)&amp;"R"</f>
        <v>5Ma,4Me,8J, 5V,-9S,3R</v>
      </c>
      <c r="S179" s="4">
        <f t="shared" si="33"/>
        <v>120.67821651510907</v>
      </c>
      <c r="T179" s="4">
        <f t="shared" si="34"/>
        <v>327.9275562933999</v>
      </c>
      <c r="U179" s="4">
        <f>Planet(Panchanga!$E179,4)</f>
        <v>125.74514291725436</v>
      </c>
      <c r="V179" s="4">
        <f>Planet(Panchanga!$E179,2)</f>
        <v>104.57435432241121</v>
      </c>
      <c r="W179" s="4">
        <f>Planet(Panchanga!$E179,5)</f>
        <v>230.44199865087589</v>
      </c>
      <c r="X179" s="4">
        <f>Planet(Panchanga!$E179,3)</f>
        <v>121.71648817187783</v>
      </c>
      <c r="Y179" s="4">
        <f>Planet(Panchanga!$E179,6)</f>
        <v>260.55099456712463</v>
      </c>
      <c r="Z179" s="4">
        <f>Planet(Panchanga!$E179,10)</f>
        <v>81.313155916751683</v>
      </c>
      <c r="AA179" s="4" t="str">
        <f>TEXT(Panchanga!$C179+($C180-Panchanga!$C179)/ABS(IF($P180&lt;1,$P180+30,$P180)-Panchanga!$P179)*(ROUNDUP(Panchanga!$P179,0)-Panchanga!$P179),"hh:mm AM/PM")</f>
        <v>01:12 AM</v>
      </c>
      <c r="AB179" s="4"/>
    </row>
    <row r="180" spans="1:28" x14ac:dyDescent="0.2">
      <c r="A180" s="3">
        <f t="shared" si="36"/>
        <v>43696</v>
      </c>
      <c r="B180" s="3">
        <f t="shared" si="30"/>
        <v>43696.229166666664</v>
      </c>
      <c r="C180" s="15">
        <f t="shared" si="31"/>
        <v>43696.248734679226</v>
      </c>
      <c r="D180" s="15">
        <f t="shared" si="32"/>
        <v>43695.770080705683</v>
      </c>
      <c r="E180" s="17">
        <f>Panchanga!$C180-TimeZone/24</f>
        <v>43696.019568012562</v>
      </c>
      <c r="F180" s="18" t="str">
        <f>INT(P[Sun]/30)&amp;"s"&amp;ROUNDUP(MOD(P[Sun],30),2)</f>
        <v>4s1.64</v>
      </c>
      <c r="G180" s="18" t="str">
        <f>INT(P[Moon]/30)&amp;"s"&amp;ROUNDUP(MOD(P[Moon],30),2)</f>
        <v>11s9.81</v>
      </c>
      <c r="H180" s="14">
        <f t="shared" si="35"/>
        <v>43696.019568012562</v>
      </c>
      <c r="I180" s="4" t="str">
        <f>naks(P[[#This Row],[Moon]])</f>
        <v>Uttara Bhadrapada</v>
      </c>
      <c r="J180" s="15">
        <f>(C181-P[[#This Row],[SunRise]])/(T181-P[[#This Row],[Moon]])*(13.3333333333333-MOD(P[[#This Row],[Moon]],13.333333333333))+P[[#This Row],[SunRise]]</f>
        <v>43696.82406877305</v>
      </c>
      <c r="K180" s="4" t="str">
        <f>IF(Panchanga!$P180&gt;15,"K","S")&amp;ROUNDUP(MOD(Panchanga!$P180,15),0)&amp;" ("&amp;ROUND(Panchanga!$P180,2)&amp;")"</f>
        <v>K4 (18.18)</v>
      </c>
      <c r="L180" s="4">
        <f>IF(AND(Panchanga!$P180&lt;28.5,Panchanga!$P180&gt;0.49999),MOD((Panchanga!$P180-0.5)*2,7),MOD((Panchanga!$P180+30-28.5),30)*2+7)</f>
        <v>0.36019999999999897</v>
      </c>
      <c r="M180" s="4" t="str">
        <f>CHOOSE(ROUNDUP(Panchanga!$L180,0),"Bhava","Baalava","Kaulava","Taitula","Garija","Vanija","Vishti","Shakuni","Chatushapda","Naaga","Kimstugna")</f>
        <v>Bhava</v>
      </c>
      <c r="N180" s="11" t="str">
        <f>CHOOSE(ROUNDUP(Panchanga!$Q180,0),"viṣkambha","prīti","āyuṣmāna","saubhāgya","śobhana","atigaṇḍa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("&amp;Panchanga!$Q180&amp;")"</f>
        <v>dhṛti  (7.61)</v>
      </c>
      <c r="O180" s="4">
        <f>IF(AND(Panchanga!$P180&lt;28.5,Panchanga!$P180&gt;0.49999),MOD((Panchanga!$P180-0.5)*2,7),MOD((Panchanga!$P180+30-28.5),30)*2+7)</f>
        <v>0.36019999999999897</v>
      </c>
      <c r="P180" s="4">
        <f>ROUNDUP(MOD(360+P[Moon]-P[Sun],360)/12,4)</f>
        <v>18.180099999999999</v>
      </c>
      <c r="Q180" s="4">
        <f>ROUNDUP(MOD(P[Sun]+P[Moon],360)/13.333333333,2)</f>
        <v>7.6099999999999994</v>
      </c>
      <c r="R180" s="4" t="str">
        <f>SIGN(U181-Panchanga!$U180)*INT(Panchanga!$U180/30+1)&amp;"Ma,"&amp;SIGN(V181-Panchanga!$V180)*INT(Panchanga!$V180/30+1)&amp;"Me,"&amp;SIGN(W181-Panchanga!$W180)*INT(Panchanga!$W180/30+1)&amp;"J, "&amp;SIGN(X181-Panchanga!$X180)*INT(Panchanga!$X180/30+1)&amp;"V,"&amp;SIGN(Y181-Panchanga!$Y180)*INT(Panchanga!$Y180/30+1)&amp;"S,"&amp;INT(Panchanga!$Z180/30+1)&amp;"R"</f>
        <v>5Ma,4Me,8J, 5V,-9S,3R</v>
      </c>
      <c r="S180" s="4">
        <f t="shared" si="33"/>
        <v>121.63961812721062</v>
      </c>
      <c r="T180" s="4">
        <f t="shared" si="34"/>
        <v>339.80046425442777</v>
      </c>
      <c r="U180" s="4">
        <f>Planet(Panchanga!$E180,4)</f>
        <v>126.380418600252</v>
      </c>
      <c r="V180" s="4">
        <f>Planet(Panchanga!$E180,2)</f>
        <v>106.25645553485047</v>
      </c>
      <c r="W180" s="4">
        <f>Planet(Panchanga!$E180,5)</f>
        <v>230.46330757388154</v>
      </c>
      <c r="X180" s="4">
        <f>Planet(Panchanga!$E180,3)</f>
        <v>122.95342397350295</v>
      </c>
      <c r="Y180" s="4">
        <f>Planet(Panchanga!$E180,6)</f>
        <v>260.50454794718109</v>
      </c>
      <c r="Z180" s="4">
        <f>Planet(Panchanga!$E180,10)</f>
        <v>81.260159936399432</v>
      </c>
      <c r="AA180" s="4" t="str">
        <f>TEXT(Panchanga!$C180+($C181-Panchanga!$C180)/ABS(IF($P181&lt;1,$P181+30,$P181)-Panchanga!$P180)*(ROUNDUP(Panchanga!$P180,0)-Panchanga!$P180),"hh:mm AM/PM")</f>
        <v>03:29 AM</v>
      </c>
      <c r="AB180" s="4"/>
    </row>
    <row r="181" spans="1:28" x14ac:dyDescent="0.2">
      <c r="A181" s="3">
        <f t="shared" si="36"/>
        <v>43697</v>
      </c>
      <c r="B181" s="3">
        <f t="shared" si="30"/>
        <v>43697.229166666664</v>
      </c>
      <c r="C181" s="15">
        <f t="shared" si="31"/>
        <v>43697.248806046009</v>
      </c>
      <c r="D181" s="15">
        <f t="shared" si="32"/>
        <v>43696.769691129724</v>
      </c>
      <c r="E181" s="17">
        <f>Panchanga!$C181-TimeZone/24</f>
        <v>43697.019639379345</v>
      </c>
      <c r="F181" s="18" t="str">
        <f>INT(P[Sun]/30)&amp;"s"&amp;ROUNDUP(MOD(P[Sun],30),2)</f>
        <v>4s2.61</v>
      </c>
      <c r="G181" s="18" t="str">
        <f>INT(P[Moon]/30)&amp;"s"&amp;ROUNDUP(MOD(P[Moon],30),2)</f>
        <v>11s21.74</v>
      </c>
      <c r="H181" s="14">
        <f t="shared" si="35"/>
        <v>43697.019639379345</v>
      </c>
      <c r="I181" s="4" t="str">
        <f>naks(P[[#This Row],[Moon]])</f>
        <v>Revati</v>
      </c>
      <c r="J181" s="15">
        <f>(C182-P[[#This Row],[SunRise]])/(T182-P[[#This Row],[Moon]])*(13.3333333333333-MOD(P[[#This Row],[Moon]],13.333333333333))+P[[#This Row],[SunRise]]</f>
        <v>43697.225053071466</v>
      </c>
      <c r="K181" s="4" t="str">
        <f>IF(Panchanga!$P181&gt;15,"K","S")&amp;ROUNDUP(MOD(Panchanga!$P181,15),0)&amp;" ("&amp;ROUND(Panchanga!$P181,2)&amp;")"</f>
        <v>K5 (19.09)</v>
      </c>
      <c r="L181" s="4">
        <f>IF(AND(Panchanga!$P181&lt;28.5,Panchanga!$P181&gt;0.49999),MOD((Panchanga!$P181-0.5)*2,7),MOD((Panchanga!$P181+30-28.5),30)*2+7)</f>
        <v>2.1891999999999996</v>
      </c>
      <c r="M181" s="4" t="str">
        <f>CHOOSE(ROUNDUP(Panchanga!$L181,0),"Bhava","Baalava","Kaulava","Taitula","Garija","Vanija","Vishti","Shakuni","Chatushapda","Naaga","Kimstugna")</f>
        <v>Kaulava</v>
      </c>
      <c r="N181" s="11" t="str">
        <f>CHOOSE(ROUNDUP(Panchanga!$Q181,0),"viṣkambha","prīti","āyuṣmāna","saubhāgya","śobhana","atigaṇḍa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("&amp;Panchanga!$Q181&amp;")"</f>
        <v>śūla  (8.58)</v>
      </c>
      <c r="O181" s="4">
        <f>IF(AND(Panchanga!$P181&lt;28.5,Panchanga!$P181&gt;0.49999),MOD((Panchanga!$P181-0.5)*2,7),MOD((Panchanga!$P181+30-28.5),30)*2+7)</f>
        <v>2.1891999999999996</v>
      </c>
      <c r="P181" s="4">
        <f>ROUNDUP(MOD(360+P[Moon]-P[Sun],360)/12,4)</f>
        <v>19.0946</v>
      </c>
      <c r="Q181" s="4">
        <f>ROUNDUP(MOD(P[Sun]+P[Moon],360)/13.333333333,2)</f>
        <v>8.58</v>
      </c>
      <c r="R181" s="4" t="str">
        <f>SIGN(U182-Panchanga!$U181)*INT(Panchanga!$U181/30+1)&amp;"Ma,"&amp;SIGN(V182-Panchanga!$V181)*INT(Panchanga!$V181/30+1)&amp;"Me,"&amp;SIGN(W182-Panchanga!$W181)*INT(Panchanga!$W181/30+1)&amp;"J, "&amp;SIGN(X182-Panchanga!$X181)*INT(Panchanga!$X181/30+1)&amp;"V,"&amp;SIGN(Y182-Panchanga!$Y181)*INT(Panchanga!$Y181/30+1)&amp;"S,"&amp;INT(Panchanga!$Z181/30+1)&amp;"R"</f>
        <v>5Ma,4Me,8J, 5V,-9S,3R</v>
      </c>
      <c r="S181" s="4">
        <f t="shared" si="33"/>
        <v>122.601429454387</v>
      </c>
      <c r="T181" s="4">
        <f t="shared" si="34"/>
        <v>351.73560334090354</v>
      </c>
      <c r="U181" s="4">
        <f>Planet(Panchanga!$E181,4)</f>
        <v>127.01579773276086</v>
      </c>
      <c r="V181" s="4">
        <f>Planet(Panchanga!$E181,2)</f>
        <v>107.99903549775927</v>
      </c>
      <c r="W181" s="4">
        <f>Planet(Panchanga!$E181,5)</f>
        <v>230.48766310925873</v>
      </c>
      <c r="X181" s="4">
        <f>Planet(Panchanga!$E181,3)</f>
        <v>124.19061932031478</v>
      </c>
      <c r="Y181" s="4">
        <f>Planet(Panchanga!$E181,6)</f>
        <v>260.4593733254224</v>
      </c>
      <c r="Z181" s="4">
        <f>Planet(Panchanga!$E181,10)</f>
        <v>81.207164158172688</v>
      </c>
      <c r="AA181" s="4" t="str">
        <f>TEXT(Panchanga!$C181+($C182-Panchanga!$C181)/ABS(IF($P182&lt;1,$P182+30,$P182)-Panchanga!$P181)*(ROUNDUP(Panchanga!$P181,0)-Panchanga!$P181),"hh:mm AM/PM")</f>
        <v>05:30 AM</v>
      </c>
      <c r="AB181" s="4"/>
    </row>
    <row r="182" spans="1:28" x14ac:dyDescent="0.2">
      <c r="A182" s="3">
        <f t="shared" si="36"/>
        <v>43698</v>
      </c>
      <c r="B182" s="3">
        <f t="shared" si="30"/>
        <v>43698.229166666664</v>
      </c>
      <c r="C182" s="15">
        <f t="shared" si="31"/>
        <v>43698.248873598095</v>
      </c>
      <c r="D182" s="15">
        <f t="shared" si="32"/>
        <v>43697.769294559999</v>
      </c>
      <c r="E182" s="17">
        <f>Panchanga!$C182-TimeZone/24</f>
        <v>43698.019706931431</v>
      </c>
      <c r="F182" s="18" t="str">
        <f>INT(P[Sun]/30)&amp;"s"&amp;ROUNDUP(MOD(P[Sun],30),2)</f>
        <v>4s3.57</v>
      </c>
      <c r="G182" s="18" t="str">
        <f>INT(P[Moon]/30)&amp;"s"&amp;ROUNDUP(MOD(P[Moon],30),2)</f>
        <v>0s3.79</v>
      </c>
      <c r="H182" s="14">
        <f t="shared" si="35"/>
        <v>43698.019706931431</v>
      </c>
      <c r="I182" s="4" t="str">
        <f>naks(P[[#This Row],[Moon]])</f>
        <v>Aswini</v>
      </c>
      <c r="J182" s="15">
        <f>(C183-P[[#This Row],[SunRise]])/(T183-P[[#This Row],[Moon]])*(13.3333333333333-MOD(P[[#This Row],[Moon]],13.333333333333))+P[[#This Row],[SunRise]]</f>
        <v>43699.031104307243</v>
      </c>
      <c r="K182" s="4" t="str">
        <f>IF(Panchanga!$P182&gt;15,"K","S")&amp;ROUNDUP(MOD(Panchanga!$P182,15),0)&amp;" ("&amp;ROUND(Panchanga!$P182,2)&amp;")"</f>
        <v>K6 (20.02)</v>
      </c>
      <c r="L182" s="4">
        <f>IF(AND(Panchanga!$P182&lt;28.5,Panchanga!$P182&gt;0.49999),MOD((Panchanga!$P182-0.5)*2,7),MOD((Panchanga!$P182+30-28.5),30)*2+7)</f>
        <v>4.0364000000000004</v>
      </c>
      <c r="M182" s="4" t="str">
        <f>CHOOSE(ROUNDUP(Panchanga!$L182,0),"Bhava","Baalava","Kaulava","Taitula","Garija","Vanija","Vishti","Shakuni","Chatushapda","Naaga","Kimstugna")</f>
        <v>Garija</v>
      </c>
      <c r="N182" s="11" t="str">
        <f>CHOOSE(ROUNDUP(Panchanga!$Q182,0),"viṣkambha","prīti","āyuṣmāna","saubhāgya","śobhana","atigaṇḍa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("&amp;Panchanga!$Q182&amp;")"</f>
        <v>gaṇḍa  (9.56)</v>
      </c>
      <c r="O182" s="4">
        <f>IF(AND(Panchanga!$P182&lt;28.5,Panchanga!$P182&gt;0.49999),MOD((Panchanga!$P182-0.5)*2,7),MOD((Panchanga!$P182+30-28.5),30)*2+7)</f>
        <v>4.0364000000000004</v>
      </c>
      <c r="P182" s="4">
        <f>ROUNDUP(MOD(360+P[Moon]-P[Sun],360)/12,4)</f>
        <v>20.0182</v>
      </c>
      <c r="Q182" s="4">
        <f>ROUNDUP(MOD(P[Sun]+P[Moon],360)/13.333333333,2)</f>
        <v>9.56</v>
      </c>
      <c r="R182" s="4" t="str">
        <f>SIGN(U183-Panchanga!$U182)*INT(Panchanga!$U182/30+1)&amp;"Ma,"&amp;SIGN(V183-Panchanga!$V182)*INT(Panchanga!$V182/30+1)&amp;"Me,"&amp;SIGN(W183-Panchanga!$W182)*INT(Panchanga!$W182/30+1)&amp;"J, "&amp;SIGN(X183-Panchanga!$X182)*INT(Panchanga!$X182/30+1)&amp;"V,"&amp;SIGN(Y183-Panchanga!$Y182)*INT(Panchanga!$Y182/30+1)&amp;"S,"&amp;INT(Panchanga!$Z182/30+1)&amp;"R"</f>
        <v>5Ma,4Me,8J, 5V,-9S,3R</v>
      </c>
      <c r="S182" s="4">
        <f t="shared" si="33"/>
        <v>123.56366801113167</v>
      </c>
      <c r="T182" s="4">
        <f t="shared" si="34"/>
        <v>3.7810798901185541</v>
      </c>
      <c r="U182" s="4">
        <f>Planet(Panchanga!$E182,4)</f>
        <v>127.65128906426105</v>
      </c>
      <c r="V182" s="4">
        <f>Planet(Panchanga!$E182,2)</f>
        <v>109.79513828094802</v>
      </c>
      <c r="W182" s="4">
        <f>Planet(Panchanga!$E182,5)</f>
        <v>230.51505725524257</v>
      </c>
      <c r="X182" s="4">
        <f>Planet(Panchanga!$E182,3)</f>
        <v>125.42807616981038</v>
      </c>
      <c r="Y182" s="4">
        <f>Planet(Panchanga!$E182,6)</f>
        <v>260.41549188821466</v>
      </c>
      <c r="Z182" s="4">
        <f>Planet(Panchanga!$E182,10)</f>
        <v>81.154168582121002</v>
      </c>
      <c r="AA182" s="4" t="str">
        <f>TEXT(Panchanga!$C182+($C183-Panchanga!$C182)/ABS(IF($P183&lt;1,$P183+30,$P183)-Panchanga!$P182)*(ROUNDUP(Panchanga!$P182,0)-Panchanga!$P182),"hh:mm AM/PM")</f>
        <v>07:06 AM</v>
      </c>
      <c r="AB182" s="4"/>
    </row>
    <row r="183" spans="1:28" x14ac:dyDescent="0.2">
      <c r="A183" s="3">
        <f t="shared" si="36"/>
        <v>43699</v>
      </c>
      <c r="B183" s="3">
        <f t="shared" si="30"/>
        <v>43699.229166666664</v>
      </c>
      <c r="C183" s="15">
        <f t="shared" si="31"/>
        <v>43699.248937653065</v>
      </c>
      <c r="D183" s="15">
        <f t="shared" si="32"/>
        <v>43698.768890996973</v>
      </c>
      <c r="E183" s="17">
        <f>Panchanga!$C183-TimeZone/24</f>
        <v>43699.019770986401</v>
      </c>
      <c r="F183" s="18" t="str">
        <f>INT(P[Sun]/30)&amp;"s"&amp;ROUNDUP(MOD(P[Sun],30),2)</f>
        <v>4s4.53</v>
      </c>
      <c r="G183" s="18" t="str">
        <f>INT(P[Moon]/30)&amp;"s"&amp;ROUNDUP(MOD(P[Moon],30),2)</f>
        <v>0s16</v>
      </c>
      <c r="H183" s="14">
        <f t="shared" si="35"/>
        <v>43699.019770986401</v>
      </c>
      <c r="I183" s="4" t="str">
        <f>naks(P[[#This Row],[Moon]])</f>
        <v>Bharani</v>
      </c>
      <c r="J183" s="15">
        <f>(C184-P[[#This Row],[SunRise]])/(T184-P[[#This Row],[Moon]])*(13.3333333333333-MOD(P[[#This Row],[Moon]],13.333333333333))+P[[#This Row],[SunRise]]</f>
        <v>43700.106752321415</v>
      </c>
      <c r="K183" s="4" t="str">
        <f>IF(Panchanga!$P183&gt;15,"K","S")&amp;ROUNDUP(MOD(Panchanga!$P183,15),0)&amp;" ("&amp;ROUND(Panchanga!$P183,2)&amp;")"</f>
        <v>K6 (20.96)</v>
      </c>
      <c r="L183" s="4">
        <f>IF(AND(Panchanga!$P183&lt;28.5,Panchanga!$P183&gt;0.49999),MOD((Panchanga!$P183-0.5)*2,7),MOD((Panchanga!$P183+30-28.5),30)*2+7)</f>
        <v>5.9112000000000009</v>
      </c>
      <c r="M183" s="4" t="str">
        <f>CHOOSE(ROUNDUP(Panchanga!$L183,0),"Bhava","Baalava","Kaulava","Taitula","Garija","Vanija","Vishti","Shakuni","Chatushapda","Naaga","Kimstugna")</f>
        <v>Vanija</v>
      </c>
      <c r="N183" s="11" t="str">
        <f>CHOOSE(ROUNDUP(Panchanga!$Q183,0),"viṣkambha","prīti","āyuṣmāna","saubhāgya","śobhana","atigaṇḍa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("&amp;Panchanga!$Q183&amp;")"</f>
        <v>vṛddhi  (10.54)</v>
      </c>
      <c r="O183" s="4">
        <f>IF(AND(Panchanga!$P183&lt;28.5,Panchanga!$P183&gt;0.49999),MOD((Panchanga!$P183-0.5)*2,7),MOD((Panchanga!$P183+30-28.5),30)*2+7)</f>
        <v>5.9112000000000009</v>
      </c>
      <c r="P183" s="4">
        <f>ROUNDUP(MOD(360+P[Moon]-P[Sun],360)/12,4)</f>
        <v>20.9556</v>
      </c>
      <c r="Q183" s="4">
        <f>ROUNDUP(MOD(P[Sun]+P[Moon],360)/13.333333333,2)</f>
        <v>10.54</v>
      </c>
      <c r="R183" s="4" t="str">
        <f>SIGN(U184-Panchanga!$U183)*INT(Panchanga!$U183/30+1)&amp;"Ma,"&amp;SIGN(V184-Panchanga!$V183)*INT(Panchanga!$V183/30+1)&amp;"Me,"&amp;SIGN(W184-Panchanga!$W183)*INT(Panchanga!$W183/30+1)&amp;"J, "&amp;SIGN(X184-Panchanga!$X183)*INT(Panchanga!$X183/30+1)&amp;"V,"&amp;SIGN(Y184-Panchanga!$Y183)*INT(Panchanga!$Y183/30+1)&amp;"S,"&amp;INT(Panchanga!$Z183/30+1)&amp;"R"</f>
        <v>5Ma,4Me,8J, 5V,-9S,3R</v>
      </c>
      <c r="S183" s="4">
        <f t="shared" si="33"/>
        <v>124.5263499855278</v>
      </c>
      <c r="T183" s="4">
        <f t="shared" si="34"/>
        <v>15.993417248858549</v>
      </c>
      <c r="U183" s="4">
        <f>Planet(Panchanga!$E183,4)</f>
        <v>128.28690091805345</v>
      </c>
      <c r="V183" s="4">
        <f>Planet(Panchanga!$E183,2)</f>
        <v>111.63766250261126</v>
      </c>
      <c r="W183" s="4">
        <f>Planet(Panchanga!$E183,5)</f>
        <v>230.54548167437281</v>
      </c>
      <c r="X183" s="4">
        <f>Planet(Panchanga!$E183,3)</f>
        <v>126.66579582237381</v>
      </c>
      <c r="Y183" s="4">
        <f>Planet(Panchanga!$E183,6)</f>
        <v>260.37292452846918</v>
      </c>
      <c r="Z183" s="4">
        <f>Planet(Panchanga!$E183,10)</f>
        <v>81.101173191377342</v>
      </c>
      <c r="AA183" s="4" t="str">
        <f>TEXT(Panchanga!$C183+($C184-Panchanga!$C183)/ABS(IF($P184&lt;1,$P184+30,$P184)-Panchanga!$P183)*(ROUNDUP(Panchanga!$P183,0)-Panchanga!$P183),"hh:mm AM/PM")</f>
        <v>07:05 AM</v>
      </c>
      <c r="AB183" s="4"/>
    </row>
    <row r="184" spans="1:28" x14ac:dyDescent="0.2">
      <c r="A184" s="3">
        <f t="shared" si="36"/>
        <v>43700</v>
      </c>
      <c r="B184" s="3">
        <f t="shared" si="30"/>
        <v>43700.229166666664</v>
      </c>
      <c r="C184" s="15">
        <f t="shared" si="31"/>
        <v>43700.248998052593</v>
      </c>
      <c r="D184" s="15">
        <f t="shared" si="32"/>
        <v>43699.76848059897</v>
      </c>
      <c r="E184" s="17">
        <f>Panchanga!$C184-TimeZone/24</f>
        <v>43700.019831385929</v>
      </c>
      <c r="F184" s="18" t="str">
        <f>INT(P[Sun]/30)&amp;"s"&amp;ROUNDUP(MOD(P[Sun],30),2)</f>
        <v>4s5.49</v>
      </c>
      <c r="G184" s="18" t="str">
        <f>INT(P[Moon]/30)&amp;"s"&amp;ROUNDUP(MOD(P[Moon],30),2)</f>
        <v>0s28.44</v>
      </c>
      <c r="H184" s="14">
        <f t="shared" si="35"/>
        <v>43700.019831385929</v>
      </c>
      <c r="I184" s="4" t="str">
        <f>naks(P[[#This Row],[Moon]])</f>
        <v>Krittika</v>
      </c>
      <c r="J184" s="15">
        <f>(C185-P[[#This Row],[SunRise]])/(T185-P[[#This Row],[Moon]])*(13.3333333333333-MOD(P[[#This Row],[Moon]],13.333333333333))+P[[#This Row],[SunRise]]</f>
        <v>43701.156552937267</v>
      </c>
      <c r="K184" s="4" t="str">
        <f>IF(Panchanga!$P184&gt;15,"K","S")&amp;ROUNDUP(MOD(Panchanga!$P184,15),0)&amp;" ("&amp;ROUND(Panchanga!$P184,2)&amp;")"</f>
        <v>K7 (21.91)</v>
      </c>
      <c r="L184" s="4">
        <f>IF(AND(Panchanga!$P184&lt;28.5,Panchanga!$P184&gt;0.49999),MOD((Panchanga!$P184-0.5)*2,7),MOD((Panchanga!$P184+30-28.5),30)*2+7)</f>
        <v>0.82459999999999667</v>
      </c>
      <c r="M184" s="4" t="str">
        <f>CHOOSE(ROUNDUP(Panchanga!$L184,0),"Bhava","Baalava","Kaulava","Taitula","Garija","Vanija","Vishti","Shakuni","Chatushapda","Naaga","Kimstugna")</f>
        <v>Bhava</v>
      </c>
      <c r="N184" s="11" t="str">
        <f>CHOOSE(ROUNDUP(Panchanga!$Q184,0),"viṣkambha","prīti","āyuṣmāna","saubhāgya","śobhana","atigaṇḍa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("&amp;Panchanga!$Q184&amp;")"</f>
        <v>dhruva  (11.55)</v>
      </c>
      <c r="O184" s="4">
        <f>IF(AND(Panchanga!$P184&lt;28.5,Panchanga!$P184&gt;0.49999),MOD((Panchanga!$P184-0.5)*2,7),MOD((Panchanga!$P184+30-28.5),30)*2+7)</f>
        <v>0.82459999999999667</v>
      </c>
      <c r="P184" s="4">
        <f>ROUNDUP(MOD(360+P[Moon]-P[Sun],360)/12,4)</f>
        <v>21.912299999999998</v>
      </c>
      <c r="Q184" s="4">
        <f>ROUNDUP(MOD(P[Sun]+P[Moon],360)/13.333333333,2)</f>
        <v>11.549999999999999</v>
      </c>
      <c r="R184" s="4" t="str">
        <f>SIGN(U185-Panchanga!$U184)*INT(Panchanga!$U184/30+1)&amp;"Ma,"&amp;SIGN(V185-Panchanga!$V184)*INT(Panchanga!$V184/30+1)&amp;"Me,"&amp;SIGN(W185-Panchanga!$W184)*INT(Panchanga!$W184/30+1)&amp;"J, "&amp;SIGN(X185-Panchanga!$X184)*INT(Panchanga!$X184/30+1)&amp;"V,"&amp;SIGN(Y185-Panchanga!$Y184)*INT(Panchanga!$Y184/30+1)&amp;"S,"&amp;INT(Panchanga!$Z184/30+1)&amp;"R"</f>
        <v>5Ma,4Me,8J, 5V,-9S,3R</v>
      </c>
      <c r="S184" s="4">
        <f t="shared" si="33"/>
        <v>125.48948923860468</v>
      </c>
      <c r="T184" s="4">
        <f t="shared" si="34"/>
        <v>28.436541003794034</v>
      </c>
      <c r="U184" s="4">
        <f>Planet(Panchanga!$E184,4)</f>
        <v>128.92264057634821</v>
      </c>
      <c r="V184" s="4">
        <f>Planet(Panchanga!$E184,2)</f>
        <v>113.51949658844103</v>
      </c>
      <c r="W184" s="4">
        <f>Planet(Panchanga!$E184,5)</f>
        <v>230.57892767139253</v>
      </c>
      <c r="X184" s="4">
        <f>Planet(Panchanga!$E184,3)</f>
        <v>127.90377789610045</v>
      </c>
      <c r="Y184" s="4">
        <f>Planet(Panchanga!$E184,6)</f>
        <v>260.33169188791118</v>
      </c>
      <c r="Z184" s="4">
        <f>Planet(Panchanga!$E184,10)</f>
        <v>81.04817799434224</v>
      </c>
      <c r="AA184" s="4" t="str">
        <f>TEXT(Panchanga!$C184+($C185-Panchanga!$C184)/ABS(IF($P185&lt;1,$P185+30,$P185)-Panchanga!$P184)*(ROUNDUP(Panchanga!$P184,0)-Panchanga!$P184),"hh:mm AM/PM")</f>
        <v>08:07 AM</v>
      </c>
      <c r="AB184" s="4"/>
    </row>
    <row r="185" spans="1:28" x14ac:dyDescent="0.2">
      <c r="A185" s="3">
        <f t="shared" si="36"/>
        <v>43701</v>
      </c>
      <c r="B185" s="3">
        <f t="shared" si="30"/>
        <v>43701.229166666664</v>
      </c>
      <c r="C185" s="15">
        <f t="shared" si="31"/>
        <v>43701.249054955006</v>
      </c>
      <c r="D185" s="15">
        <f t="shared" si="32"/>
        <v>43700.768063684503</v>
      </c>
      <c r="E185" s="17">
        <f>Panchanga!$C185-TimeZone/24</f>
        <v>43701.019888288341</v>
      </c>
      <c r="F185" s="18" t="str">
        <f>INT(P[Sun]/30)&amp;"s"&amp;ROUNDUP(MOD(P[Sun],30),2)</f>
        <v>4s6.46</v>
      </c>
      <c r="G185" s="18" t="str">
        <f>INT(P[Moon]/30)&amp;"s"&amp;ROUNDUP(MOD(P[Moon],30),2)</f>
        <v>1s11.18</v>
      </c>
      <c r="H185" s="14">
        <f t="shared" si="35"/>
        <v>43701.019888288341</v>
      </c>
      <c r="I185" s="4" t="str">
        <f>naks(P[[#This Row],[Moon]])</f>
        <v>Rohini</v>
      </c>
      <c r="J185" s="15">
        <f>(C186-P[[#This Row],[SunRise]])/(T186-P[[#This Row],[Moon]])*(13.3333333333333-MOD(P[[#This Row],[Moon]],13.333333333333))+P[[#This Row],[SunRise]]</f>
        <v>43702.176415896953</v>
      </c>
      <c r="K185" s="4" t="str">
        <f>IF(Panchanga!$P185&gt;15,"K","S")&amp;ROUNDUP(MOD(Panchanga!$P185,15),0)&amp;" ("&amp;ROUND(Panchanga!$P185,2)&amp;")"</f>
        <v>K8 (22.89)</v>
      </c>
      <c r="L185" s="4">
        <f>IF(AND(Panchanga!$P185&lt;28.5,Panchanga!$P185&gt;0.49999),MOD((Panchanga!$P185-0.5)*2,7),MOD((Panchanga!$P185+30-28.5),30)*2+7)</f>
        <v>2.7875999999999976</v>
      </c>
      <c r="M185" s="4" t="str">
        <f>CHOOSE(ROUNDUP(Panchanga!$L185,0),"Bhava","Baalava","Kaulava","Taitula","Garija","Vanija","Vishti","Shakuni","Chatushapda","Naaga","Kimstugna")</f>
        <v>Kaulava</v>
      </c>
      <c r="N185" s="11" t="str">
        <f>CHOOSE(ROUNDUP(Panchanga!$Q185,0),"viṣkambha","prīti","āyuṣmāna","saubhāgya","śobhana","atigaṇḍa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("&amp;Panchanga!$Q185&amp;")"</f>
        <v>vyāghāta (12.58)</v>
      </c>
      <c r="O185" s="4">
        <f>IF(AND(Panchanga!$P185&lt;28.5,Panchanga!$P185&gt;0.49999),MOD((Panchanga!$P185-0.5)*2,7),MOD((Panchanga!$P185+30-28.5),30)*2+7)</f>
        <v>2.7875999999999976</v>
      </c>
      <c r="P185" s="4">
        <f>ROUNDUP(MOD(360+P[Moon]-P[Sun],360)/12,4)</f>
        <v>22.893799999999999</v>
      </c>
      <c r="Q185" s="4">
        <f>ROUNDUP(MOD(P[Sun]+P[Moon],360)/13.333333333,2)</f>
        <v>12.58</v>
      </c>
      <c r="R185" s="4" t="str">
        <f>SIGN(U186-Panchanga!$U185)*INT(Panchanga!$U185/30+1)&amp;"Ma,"&amp;SIGN(V186-Panchanga!$V185)*INT(Panchanga!$V185/30+1)&amp;"Me,"&amp;SIGN(W186-Panchanga!$W185)*INT(Panchanga!$W185/30+1)&amp;"J, "&amp;SIGN(X186-Panchanga!$X185)*INT(Panchanga!$X185/30+1)&amp;"V,"&amp;SIGN(Y186-Panchanga!$Y185)*INT(Panchanga!$Y185/30+1)&amp;"S,"&amp;INT(Panchanga!$Z185/30+1)&amp;"R"</f>
        <v>5Ma,4Me,8J, 5V,-9S,3R</v>
      </c>
      <c r="S185" s="4">
        <f t="shared" si="33"/>
        <v>126.45309780237034</v>
      </c>
      <c r="T185" s="4">
        <f t="shared" si="34"/>
        <v>41.178599010650494</v>
      </c>
      <c r="U185" s="4">
        <f>Planet(Panchanga!$E185,4)</f>
        <v>129.5585146648954</v>
      </c>
      <c r="V185" s="4">
        <f>Planet(Panchanga!$E185,2)</f>
        <v>115.43365819207412</v>
      </c>
      <c r="W185" s="4">
        <f>Planet(Panchanga!$E185,5)</f>
        <v>230.61538622616553</v>
      </c>
      <c r="X185" s="4">
        <f>Planet(Panchanga!$E185,3)</f>
        <v>129.14202123287583</v>
      </c>
      <c r="Y185" s="4">
        <f>Planet(Panchanga!$E185,6)</f>
        <v>260.29181433467784</v>
      </c>
      <c r="Z185" s="4">
        <f>Planet(Panchanga!$E185,10)</f>
        <v>80.995182982631718</v>
      </c>
      <c r="AA185" s="4" t="str">
        <f>TEXT(Panchanga!$C185+($C186-Panchanga!$C185)/ABS(IF($P186&lt;1,$P186+30,$P186)-Panchanga!$P185)*(ROUNDUP(Panchanga!$P185,0)-Panchanga!$P185),"hh:mm AM/PM")</f>
        <v>08:29 AM</v>
      </c>
      <c r="AB185" s="4"/>
    </row>
    <row r="186" spans="1:28" x14ac:dyDescent="0.2">
      <c r="A186" s="3">
        <f t="shared" si="36"/>
        <v>43702</v>
      </c>
      <c r="B186" s="3">
        <f t="shared" si="30"/>
        <v>43702.229166666664</v>
      </c>
      <c r="C186" s="15">
        <f t="shared" si="31"/>
        <v>43702.249108678814</v>
      </c>
      <c r="D186" s="15">
        <f t="shared" si="32"/>
        <v>43701.767640571154</v>
      </c>
      <c r="E186" s="17">
        <f>Panchanga!$C186-TimeZone/24</f>
        <v>43702.01994201215</v>
      </c>
      <c r="F186" s="18" t="str">
        <f>INT(P[Sun]/30)&amp;"s"&amp;ROUNDUP(MOD(P[Sun],30),2)</f>
        <v>4s7.42</v>
      </c>
      <c r="G186" s="18" t="str">
        <f>INT(P[Moon]/30)&amp;"s"&amp;ROUNDUP(MOD(P[Moon],30),2)</f>
        <v>1s24.29</v>
      </c>
      <c r="H186" s="14">
        <f t="shared" si="35"/>
        <v>43702.01994201215</v>
      </c>
      <c r="I186" s="4" t="str">
        <f>naks(P[[#This Row],[Moon]])</f>
        <v>Mrigashira</v>
      </c>
      <c r="J186" s="15">
        <f>(C187-P[[#This Row],[SunRise]])/(T187-P[[#This Row],[Moon]])*(13.3333333333333-MOD(P[[#This Row],[Moon]],13.333333333333))+P[[#This Row],[SunRise]]</f>
        <v>43703.164267739485</v>
      </c>
      <c r="K186" s="4" t="str">
        <f>IF(Panchanga!$P186&gt;15,"K","S")&amp;ROUNDUP(MOD(Panchanga!$P186,15),0)&amp;" ("&amp;ROUND(Panchanga!$P186,2)&amp;")"</f>
        <v>K9 (23.91)</v>
      </c>
      <c r="L186" s="4">
        <f>IF(AND(Panchanga!$P186&lt;28.5,Panchanga!$P186&gt;0.49999),MOD((Panchanga!$P186-0.5)*2,7),MOD((Panchanga!$P186+30-28.5),30)*2+7)</f>
        <v>4.8115999999999985</v>
      </c>
      <c r="M186" s="4" t="str">
        <f>CHOOSE(ROUNDUP(Panchanga!$L186,0),"Bhava","Baalava","Kaulava","Taitula","Garija","Vanija","Vishti","Shakuni","Chatushapda","Naaga","Kimstugna")</f>
        <v>Garija</v>
      </c>
      <c r="N186" s="11" t="str">
        <f>CHOOSE(ROUNDUP(Panchanga!$Q186,0),"viṣkambha","prīti","āyuṣmāna","saubhāgya","śobhana","atigaṇḍa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("&amp;Panchanga!$Q186&amp;")"</f>
        <v>harṣaṇa (13.63)</v>
      </c>
      <c r="O186" s="4">
        <f>IF(AND(Panchanga!$P186&lt;28.5,Panchanga!$P186&gt;0.49999),MOD((Panchanga!$P186-0.5)*2,7),MOD((Panchanga!$P186+30-28.5),30)*2+7)</f>
        <v>4.8115999999999985</v>
      </c>
      <c r="P186" s="4">
        <f>ROUNDUP(MOD(360+P[Moon]-P[Sun],360)/12,4)</f>
        <v>23.905799999999999</v>
      </c>
      <c r="Q186" s="4">
        <f>ROUNDUP(MOD(P[Sun]+P[Moon],360)/13.333333333,2)</f>
        <v>13.629999999999999</v>
      </c>
      <c r="R186" s="4" t="str">
        <f>SIGN(U187-Panchanga!$U186)*INT(Panchanga!$U186/30+1)&amp;"Ma,"&amp;SIGN(V187-Panchanga!$V186)*INT(Panchanga!$V186/30+1)&amp;"Me,"&amp;SIGN(W187-Panchanga!$W186)*INT(Panchanga!$W186/30+1)&amp;"J, "&amp;SIGN(X187-Panchanga!$X186)*INT(Panchanga!$X186/30+1)&amp;"V,"&amp;SIGN(Y187-Panchanga!$Y186)*INT(Panchanga!$Y186/30+1)&amp;"S,"&amp;INT(Panchanga!$Z186/30+1)&amp;"R"</f>
        <v>5Ma,4Me,8J, 5V,-9S,3R</v>
      </c>
      <c r="S186" s="4">
        <f t="shared" si="33"/>
        <v>127.41718532307202</v>
      </c>
      <c r="T186" s="4">
        <f t="shared" si="34"/>
        <v>54.286103081003027</v>
      </c>
      <c r="U186" s="4">
        <f>Planet(Panchanga!$E186,4)</f>
        <v>130.19452888045771</v>
      </c>
      <c r="V186" s="4">
        <f>Planet(Panchanga!$E186,2)</f>
        <v>117.3734233453108</v>
      </c>
      <c r="W186" s="4">
        <f>Planet(Panchanga!$E186,5)</f>
        <v>230.65484800442107</v>
      </c>
      <c r="X186" s="4">
        <f>Planet(Panchanga!$E186,3)</f>
        <v>130.38052352671846</v>
      </c>
      <c r="Y186" s="4">
        <f>Planet(Panchanga!$E186,6)</f>
        <v>260.25331198979939</v>
      </c>
      <c r="Z186" s="4">
        <f>Planet(Panchanga!$E186,10)</f>
        <v>80.942188139362329</v>
      </c>
      <c r="AA186" s="4" t="str">
        <f>TEXT(Panchanga!$C186+($C187-Panchanga!$C186)/ABS(IF($P187&lt;1,$P187+30,$P187)-Panchanga!$P186)*(ROUNDUP(Panchanga!$P186,0)-Panchanga!$P186),"hh:mm AM/PM")</f>
        <v>08:08 AM</v>
      </c>
      <c r="AB186" s="4"/>
    </row>
    <row r="187" spans="1:28" x14ac:dyDescent="0.2">
      <c r="A187" s="3">
        <f t="shared" si="36"/>
        <v>43703</v>
      </c>
      <c r="B187" s="3">
        <f t="shared" si="30"/>
        <v>43703.229166666664</v>
      </c>
      <c r="C187" s="15">
        <f t="shared" si="31"/>
        <v>43703.249159064297</v>
      </c>
      <c r="D187" s="15">
        <f t="shared" si="32"/>
        <v>43702.767211417711</v>
      </c>
      <c r="E187" s="17">
        <f>Panchanga!$C187-TimeZone/24</f>
        <v>43703.019992397632</v>
      </c>
      <c r="F187" s="18" t="str">
        <f>INT(P[Sun]/30)&amp;"s"&amp;ROUNDUP(MOD(P[Sun],30),2)</f>
        <v>4s8.39</v>
      </c>
      <c r="G187" s="18" t="str">
        <f>INT(P[Moon]/30)&amp;"s"&amp;ROUNDUP(MOD(P[Moon],30),2)</f>
        <v>2s7.82</v>
      </c>
      <c r="H187" s="14">
        <f t="shared" si="35"/>
        <v>43703.019992397632</v>
      </c>
      <c r="I187" s="4" t="str">
        <f>naks(P[[#This Row],[Moon]])</f>
        <v>Ardra</v>
      </c>
      <c r="J187" s="15">
        <f>(C188-P[[#This Row],[SunRise]])/(T188-P[[#This Row],[Moon]])*(13.3333333333333-MOD(P[[#This Row],[Moon]],13.333333333333))+P[[#This Row],[SunRise]]</f>
        <v>43704.120526429142</v>
      </c>
      <c r="K187" s="4" t="str">
        <f>IF(Panchanga!$P187&gt;15,"K","S")&amp;ROUNDUP(MOD(Panchanga!$P187,15),0)&amp;" ("&amp;ROUND(Panchanga!$P187,2)&amp;")"</f>
        <v>K10 (24.95)</v>
      </c>
      <c r="L187" s="4">
        <f>IF(AND(Panchanga!$P187&lt;28.5,Panchanga!$P187&gt;0.49999),MOD((Panchanga!$P187-0.5)*2,7),MOD((Panchanga!$P187+30-28.5),30)*2+7)</f>
        <v>6.9055999999999997</v>
      </c>
      <c r="M187" s="4" t="str">
        <f>CHOOSE(ROUNDUP(Panchanga!$L187,0),"Bhava","Baalava","Kaulava","Taitula","Garija","Vanija","Vishti","Shakuni","Chatushapda","Naaga","Kimstugna")</f>
        <v>Vishti</v>
      </c>
      <c r="N187" s="11" t="str">
        <f>CHOOSE(ROUNDUP(Panchanga!$Q187,0),"viṣkambha","prīti","āyuṣmāna","saubhāgya","śobhana","atigaṇḍa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("&amp;Panchanga!$Q187&amp;")"</f>
        <v>vajra (14.72)</v>
      </c>
      <c r="O187" s="4">
        <f>IF(AND(Panchanga!$P187&lt;28.5,Panchanga!$P187&gt;0.49999),MOD((Panchanga!$P187-0.5)*2,7),MOD((Panchanga!$P187+30-28.5),30)*2+7)</f>
        <v>6.9055999999999997</v>
      </c>
      <c r="P187" s="4">
        <f>ROUNDUP(MOD(360+P[Moon]-P[Sun],360)/12,4)</f>
        <v>24.9528</v>
      </c>
      <c r="Q187" s="4">
        <f>ROUNDUP(MOD(P[Sun]+P[Moon],360)/13.333333333,2)</f>
        <v>14.72</v>
      </c>
      <c r="R187" s="4" t="str">
        <f>SIGN(U188-Panchanga!$U187)*INT(Panchanga!$U187/30+1)&amp;"Ma,"&amp;SIGN(V188-Panchanga!$V187)*INT(Panchanga!$V187/30+1)&amp;"Me,"&amp;SIGN(W188-Panchanga!$W187)*INT(Panchanga!$W187/30+1)&amp;"J, "&amp;SIGN(X188-Panchanga!$X187)*INT(Panchanga!$X187/30+1)&amp;"V,"&amp;SIGN(Y188-Panchanga!$Y187)*INT(Panchanga!$Y187/30+1)&amp;"S,"&amp;INT(Panchanga!$Z187/30+1)&amp;"R"</f>
        <v>5Ma,4Me,8J, 5V,-9S,3R</v>
      </c>
      <c r="S187" s="4">
        <f t="shared" si="33"/>
        <v>128.38175780563034</v>
      </c>
      <c r="T187" s="4">
        <f t="shared" si="34"/>
        <v>67.815103577686131</v>
      </c>
      <c r="U187" s="4">
        <f>Planet(Panchanga!$E187,4)</f>
        <v>130.83068731509721</v>
      </c>
      <c r="V187" s="4">
        <f>Planet(Panchanga!$E187,2)</f>
        <v>119.33243757176308</v>
      </c>
      <c r="W187" s="4">
        <f>Planet(Panchanga!$E187,5)</f>
        <v>230.69730331780744</v>
      </c>
      <c r="X187" s="4">
        <f>Planet(Panchanga!$E187,3)</f>
        <v>131.61928020218897</v>
      </c>
      <c r="Y187" s="4">
        <f>Planet(Panchanga!$E187,6)</f>
        <v>260.21620477212207</v>
      </c>
      <c r="Z187" s="4">
        <f>Planet(Panchanga!$E187,10)</f>
        <v>80.889193473000603</v>
      </c>
      <c r="AA187" s="4" t="str">
        <f>TEXT(Panchanga!$C187+($C188-Panchanga!$C187)/ABS(IF($P188&lt;1,$P188+30,$P188)-Panchanga!$P187)*(ROUNDUP(Panchanga!$P187,0)-Panchanga!$P187),"hh:mm AM/PM")</f>
        <v>07:01 AM</v>
      </c>
      <c r="AB187" s="4"/>
    </row>
    <row r="188" spans="1:28" x14ac:dyDescent="0.2">
      <c r="A188" s="3">
        <f t="shared" si="36"/>
        <v>43704</v>
      </c>
      <c r="B188" s="3">
        <f t="shared" si="30"/>
        <v>43704.229166666664</v>
      </c>
      <c r="C188" s="15">
        <f t="shared" si="31"/>
        <v>43704.249206430432</v>
      </c>
      <c r="D188" s="15">
        <f t="shared" si="32"/>
        <v>43703.766776382967</v>
      </c>
      <c r="E188" s="17">
        <f>Panchanga!$C188-TimeZone/24</f>
        <v>43704.020039763767</v>
      </c>
      <c r="F188" s="18" t="str">
        <f>INT(P[Sun]/30)&amp;"s"&amp;ROUNDUP(MOD(P[Sun],30),2)</f>
        <v>4s9.35</v>
      </c>
      <c r="G188" s="18" t="str">
        <f>INT(P[Moon]/30)&amp;"s"&amp;ROUNDUP(MOD(P[Moon],30),2)</f>
        <v>2s21.8</v>
      </c>
      <c r="H188" s="14">
        <f t="shared" si="35"/>
        <v>43704.020039763767</v>
      </c>
      <c r="I188" s="4" t="str">
        <f>naks(P[[#This Row],[Moon]])</f>
        <v>Punarvasu</v>
      </c>
      <c r="J188" s="15">
        <f>(C189-P[[#This Row],[SunRise]])/(T189-P[[#This Row],[Moon]])*(13.3333333333333-MOD(P[[#This Row],[Moon]],13.333333333333))+P[[#This Row],[SunRise]]</f>
        <v>43705.048134520068</v>
      </c>
      <c r="K188" s="4" t="str">
        <f>IF(Panchanga!$P188&gt;15,"K","S")&amp;ROUNDUP(MOD(Panchanga!$P188,15),0)&amp;" ("&amp;ROUND(Panchanga!$P188,2)&amp;")"</f>
        <v>K12 (26.04)</v>
      </c>
      <c r="L188" s="4">
        <f>IF(AND(Panchanga!$P188&lt;28.5,Panchanga!$P188&gt;0.49999),MOD((Panchanga!$P188-0.5)*2,7),MOD((Panchanga!$P188+30-28.5),30)*2+7)</f>
        <v>2.0756000000000014</v>
      </c>
      <c r="M188" s="4" t="str">
        <f>CHOOSE(ROUNDUP(Panchanga!$L188,0),"Bhava","Baalava","Kaulava","Taitula","Garija","Vanija","Vishti","Shakuni","Chatushapda","Naaga","Kimstugna")</f>
        <v>Kaulava</v>
      </c>
      <c r="N188" s="11" t="str">
        <f>CHOOSE(ROUNDUP(Panchanga!$Q188,0),"viṣkambha","prīti","āyuṣmāna","saubhāgya","śobhana","atigaṇḍa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("&amp;Panchanga!$Q188&amp;")"</f>
        <v>siddhi (15.84)</v>
      </c>
      <c r="O188" s="4">
        <f>IF(AND(Panchanga!$P188&lt;28.5,Panchanga!$P188&gt;0.49999),MOD((Panchanga!$P188-0.5)*2,7),MOD((Panchanga!$P188+30-28.5),30)*2+7)</f>
        <v>2.0756000000000014</v>
      </c>
      <c r="P188" s="4">
        <f>ROUNDUP(MOD(360+P[Moon]-P[Sun],360)/12,4)</f>
        <v>26.037800000000001</v>
      </c>
      <c r="Q188" s="4">
        <f>ROUNDUP(MOD(P[Sun]+P[Moon],360)/13.333333333,2)</f>
        <v>15.84</v>
      </c>
      <c r="R188" s="4" t="str">
        <f>SIGN(U189-Panchanga!$U188)*INT(Panchanga!$U188/30+1)&amp;"Ma,"&amp;SIGN(V189-Panchanga!$V188)*INT(Panchanga!$V188/30+1)&amp;"Me,"&amp;SIGN(W189-Panchanga!$W188)*INT(Panchanga!$W188/30+1)&amp;"J, "&amp;SIGN(X189-Panchanga!$X188)*INT(Panchanga!$X188/30+1)&amp;"V,"&amp;SIGN(Y189-Panchanga!$Y188)*INT(Panchanga!$Y188/30+1)&amp;"S,"&amp;INT(Panchanga!$Z188/30+1)&amp;"R"</f>
        <v>5Ma,5Me,8J, 5V,-9S,3R</v>
      </c>
      <c r="S188" s="4">
        <f t="shared" si="33"/>
        <v>129.34681769265751</v>
      </c>
      <c r="T188" s="4">
        <f t="shared" si="34"/>
        <v>81.799416125264699</v>
      </c>
      <c r="U188" s="4">
        <f>Planet(Panchanga!$E188,4)</f>
        <v>131.46699269854929</v>
      </c>
      <c r="V188" s="4">
        <f>Planet(Panchanga!$E188,2)</f>
        <v>121.30480703206378</v>
      </c>
      <c r="W188" s="4">
        <f>Planet(Panchanga!$E188,5)</f>
        <v>230.74274207010808</v>
      </c>
      <c r="X188" s="4">
        <f>Planet(Panchanga!$E188,3)</f>
        <v>132.85828512507987</v>
      </c>
      <c r="Y188" s="4">
        <f>Planet(Panchanga!$E188,6)</f>
        <v>260.18051236061484</v>
      </c>
      <c r="Z188" s="4">
        <f>Planet(Panchanga!$E188,10)</f>
        <v>80.83619896662988</v>
      </c>
      <c r="AA188" s="4" t="str">
        <f>TEXT(Panchanga!$C188+($C189-Panchanga!$C188)/ABS(IF($P189&lt;1,$P189+30,$P189)-Panchanga!$P188)*(ROUNDUP(Panchanga!$P188,0)-Panchanga!$P188),"hh:mm AM/PM")</f>
        <v>02:33 AM</v>
      </c>
      <c r="AB188" s="4"/>
    </row>
    <row r="189" spans="1:28" x14ac:dyDescent="0.2">
      <c r="A189" s="3">
        <f t="shared" si="36"/>
        <v>43705</v>
      </c>
      <c r="B189" s="3">
        <f t="shared" si="30"/>
        <v>43705.229166666664</v>
      </c>
      <c r="C189" s="15">
        <f t="shared" si="31"/>
        <v>43705.249250617031</v>
      </c>
      <c r="D189" s="15">
        <f t="shared" si="32"/>
        <v>43704.766335626642</v>
      </c>
      <c r="E189" s="17">
        <f>Panchanga!$C189-TimeZone/24</f>
        <v>43705.020083950367</v>
      </c>
      <c r="F189" s="18" t="str">
        <f>INT(P[Sun]/30)&amp;"s"&amp;ROUNDUP(MOD(P[Sun],30),2)</f>
        <v>4s10.32</v>
      </c>
      <c r="G189" s="18" t="str">
        <f>INT(P[Moon]/30)&amp;"s"&amp;ROUNDUP(MOD(P[Moon],30),2)</f>
        <v>3s6.24</v>
      </c>
      <c r="H189" s="14">
        <f t="shared" si="35"/>
        <v>43705.020083950367</v>
      </c>
      <c r="I189" s="4" t="str">
        <f>naks(P[[#This Row],[Moon]])</f>
        <v>Pushya</v>
      </c>
      <c r="J189" s="15">
        <f>(C190-P[[#This Row],[SunRise]])/(T190-P[[#This Row],[Moon]])*(13.3333333333333-MOD(P[[#This Row],[Moon]],13.333333333333))+P[[#This Row],[SunRise]]</f>
        <v>43705.952128779194</v>
      </c>
      <c r="K189" s="4" t="str">
        <f>IF(Panchanga!$P189&gt;15,"K","S")&amp;ROUNDUP(MOD(Panchanga!$P189,15),0)&amp;" ("&amp;ROUND(Panchanga!$P189,2)&amp;")"</f>
        <v>K13 (27.16)</v>
      </c>
      <c r="L189" s="4">
        <f>IF(AND(Panchanga!$P189&lt;28.5,Panchanga!$P189&gt;0.49999),MOD((Panchanga!$P189-0.5)*2,7),MOD((Panchanga!$P189+30-28.5),30)*2+7)</f>
        <v>4.3207999999999984</v>
      </c>
      <c r="M189" s="4" t="str">
        <f>CHOOSE(ROUNDUP(Panchanga!$L189,0),"Bhava","Baalava","Kaulava","Taitula","Garija","Vanija","Vishti","Shakuni","Chatushapda","Naaga","Kimstugna")</f>
        <v>Garija</v>
      </c>
      <c r="N189" s="11" t="str">
        <f>CHOOSE(ROUNDUP(Panchanga!$Q189,0),"viṣkambha","prīti","āyuṣmāna","saubhāgya","śobhana","atigaṇḍa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("&amp;Panchanga!$Q189&amp;")"</f>
        <v>vyatipāta (17)</v>
      </c>
      <c r="O189" s="4">
        <f>IF(AND(Panchanga!$P189&lt;28.5,Panchanga!$P189&gt;0.49999),MOD((Panchanga!$P189-0.5)*2,7),MOD((Panchanga!$P189+30-28.5),30)*2+7)</f>
        <v>4.3207999999999984</v>
      </c>
      <c r="P189" s="4">
        <f>ROUNDUP(MOD(360+P[Moon]-P[Sun],360)/12,4)</f>
        <v>27.160399999999999</v>
      </c>
      <c r="Q189" s="4">
        <f>ROUNDUP(MOD(P[Sun]+P[Moon],360)/13.333333333,2)</f>
        <v>17</v>
      </c>
      <c r="R189" s="4" t="str">
        <f>SIGN(U190-Panchanga!$U189)*INT(Panchanga!$U189/30+1)&amp;"Ma,"&amp;SIGN(V190-Panchanga!$V189)*INT(Panchanga!$V189/30+1)&amp;"Me,"&amp;SIGN(W190-Panchanga!$W189)*INT(Panchanga!$W189/30+1)&amp;"J, "&amp;SIGN(X190-Panchanga!$X189)*INT(Panchanga!$X189/30+1)&amp;"V,"&amp;SIGN(Y190-Panchanga!$Y189)*INT(Panchanga!$Y189/30+1)&amp;"S,"&amp;INT(Panchanga!$Z189/30+1)&amp;"R"</f>
        <v>5Ma,5Me,8J, 5V,-9S,3R</v>
      </c>
      <c r="S189" s="4">
        <f t="shared" si="33"/>
        <v>130.31236211341405</v>
      </c>
      <c r="T189" s="4">
        <f t="shared" si="34"/>
        <v>96.236794160027472</v>
      </c>
      <c r="U189" s="4">
        <f>Planet(Panchanga!$E189,4)</f>
        <v>132.10344539384732</v>
      </c>
      <c r="V189" s="4">
        <f>Planet(Panchanga!$E189,2)</f>
        <v>123.28515977975179</v>
      </c>
      <c r="W189" s="4">
        <f>Planet(Panchanga!$E189,5)</f>
        <v>230.79115348854182</v>
      </c>
      <c r="X189" s="4">
        <f>Planet(Panchanga!$E189,3)</f>
        <v>134.09752891545713</v>
      </c>
      <c r="Y189" s="4">
        <f>Planet(Panchanga!$E189,6)</f>
        <v>260.14625416854551</v>
      </c>
      <c r="Z189" s="4">
        <f>Planet(Panchanga!$E189,10)</f>
        <v>80.783204628782997</v>
      </c>
      <c r="AA189" s="4" t="str">
        <f>TEXT(Panchanga!$C189+($C190-Panchanga!$C189)/ABS(IF($P190&lt;1,$P190+30,$P190)-Panchanga!$P189)*(ROUNDUP(Panchanga!$P189,0)-Panchanga!$P189),"hh:mm AM/PM")</f>
        <v>11:24 PM</v>
      </c>
      <c r="AB189" s="4"/>
    </row>
    <row r="190" spans="1:28" x14ac:dyDescent="0.2">
      <c r="A190" s="3">
        <f t="shared" si="36"/>
        <v>43706</v>
      </c>
      <c r="B190" s="3">
        <f t="shared" si="30"/>
        <v>43706.229166666664</v>
      </c>
      <c r="C190" s="15">
        <f t="shared" si="31"/>
        <v>43706.249291784283</v>
      </c>
      <c r="D190" s="15">
        <f t="shared" si="32"/>
        <v>43705.765889465853</v>
      </c>
      <c r="E190" s="17">
        <f>Panchanga!$C190-TimeZone/24</f>
        <v>43706.020125117619</v>
      </c>
      <c r="F190" s="18" t="str">
        <f>INT(P[Sun]/30)&amp;"s"&amp;ROUNDUP(MOD(P[Sun],30),2)</f>
        <v>4s11.28</v>
      </c>
      <c r="G190" s="18" t="str">
        <f>INT(P[Moon]/30)&amp;"s"&amp;ROUNDUP(MOD(P[Moon],30),2)</f>
        <v>3s21.08</v>
      </c>
      <c r="H190" s="14">
        <f t="shared" si="35"/>
        <v>43706.020125117619</v>
      </c>
      <c r="I190" s="4" t="str">
        <f>naks(P[[#This Row],[Moon]])</f>
        <v>Aslesha</v>
      </c>
      <c r="J190" s="15">
        <f>(C191-P[[#This Row],[SunRise]])/(T191-P[[#This Row],[Moon]])*(13.3333333333333-MOD(P[[#This Row],[Moon]],13.333333333333))+P[[#This Row],[SunRise]]</f>
        <v>43706.838902160409</v>
      </c>
      <c r="K190" s="4" t="str">
        <f>IF(Panchanga!$P190&gt;15,"K","S")&amp;ROUNDUP(MOD(Panchanga!$P190,15),0)&amp;" ("&amp;ROUND(Panchanga!$P190,2)&amp;")"</f>
        <v>K14 (28.32)</v>
      </c>
      <c r="L190" s="4">
        <f>IF(AND(Panchanga!$P190&lt;28.5,Panchanga!$P190&gt;0.49999),MOD((Panchanga!$P190-0.5)*2,7),MOD((Panchanga!$P190+30-28.5),30)*2+7)</f>
        <v>6.6330000000000027</v>
      </c>
      <c r="M190" s="4" t="str">
        <f>CHOOSE(ROUNDUP(Panchanga!$L190,0),"Bhava","Baalava","Kaulava","Taitula","Garija","Vanija","Vishti","Shakuni","Chatushapda","Naaga","Kimstugna")</f>
        <v>Vishti</v>
      </c>
      <c r="N190" s="11" t="str">
        <f>CHOOSE(ROUNDUP(Panchanga!$Q190,0),"viṣkambha","prīti","āyuṣmāna","saubhāgya","śobhana","atigaṇḍa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("&amp;Panchanga!$Q190&amp;")"</f>
        <v>parigha (18.18)</v>
      </c>
      <c r="O190" s="4">
        <f>IF(AND(Panchanga!$P190&lt;28.5,Panchanga!$P190&gt;0.49999),MOD((Panchanga!$P190-0.5)*2,7),MOD((Panchanga!$P190+30-28.5),30)*2+7)</f>
        <v>6.6330000000000027</v>
      </c>
      <c r="P190" s="4">
        <f>ROUNDUP(MOD(360+P[Moon]-P[Sun],360)/12,4)</f>
        <v>28.316500000000001</v>
      </c>
      <c r="Q190" s="4">
        <f>ROUNDUP(MOD(P[Sun]+P[Moon],360)/13.333333333,2)</f>
        <v>18.180000000000003</v>
      </c>
      <c r="R190" s="4" t="str">
        <f>SIGN(U191-Panchanga!$U190)*INT(Panchanga!$U190/30+1)&amp;"Ma,"&amp;SIGN(V191-Panchanga!$V190)*INT(Panchanga!$V190/30+1)&amp;"Me,"&amp;SIGN(W191-Panchanga!$W190)*INT(Panchanga!$W190/30+1)&amp;"J, "&amp;SIGN(X191-Panchanga!$X190)*INT(Panchanga!$X190/30+1)&amp;"V,"&amp;SIGN(Y191-Panchanga!$Y190)*INT(Panchanga!$Y190/30+1)&amp;"S,"&amp;INT(Panchanga!$Z190/30+1)&amp;"R"</f>
        <v>5Ma,5Me,8J, 5V,-9S,3R</v>
      </c>
      <c r="S190" s="4">
        <f t="shared" si="33"/>
        <v>131.27838324260489</v>
      </c>
      <c r="T190" s="4">
        <f t="shared" si="34"/>
        <v>111.07621077201787</v>
      </c>
      <c r="U190" s="4">
        <f>Planet(Panchanga!$E190,4)</f>
        <v>132.74004358922124</v>
      </c>
      <c r="V190" s="4">
        <f>Planet(Panchanga!$E190,2)</f>
        <v>125.26868410765209</v>
      </c>
      <c r="W190" s="4">
        <f>Planet(Panchanga!$E190,5)</f>
        <v>230.84252578163733</v>
      </c>
      <c r="X190" s="4">
        <f>Planet(Panchanga!$E190,3)</f>
        <v>135.3369996340756</v>
      </c>
      <c r="Y190" s="4">
        <f>Planet(Panchanga!$E190,6)</f>
        <v>260.11344915804818</v>
      </c>
      <c r="Z190" s="4">
        <f>Planet(Panchanga!$E190,10)</f>
        <v>80.730210450910519</v>
      </c>
      <c r="AA190" s="4" t="str">
        <f>TEXT(Panchanga!$C190+($C191-Panchanga!$C190)/ABS(IF($P191&lt;1,$P191+30,$P191)-Panchanga!$P190)*(ROUNDUP(Panchanga!$P190,0)-Panchanga!$P190),"hh:mm AM/PM")</f>
        <v>07:52 PM</v>
      </c>
      <c r="AB190" s="4"/>
    </row>
    <row r="191" spans="1:28" x14ac:dyDescent="0.2">
      <c r="A191" s="3">
        <f t="shared" si="36"/>
        <v>43707</v>
      </c>
      <c r="B191" s="3">
        <f t="shared" si="30"/>
        <v>43707.229166666664</v>
      </c>
      <c r="C191" s="15">
        <f t="shared" si="31"/>
        <v>43707.249330248836</v>
      </c>
      <c r="D191" s="15">
        <f t="shared" si="32"/>
        <v>43706.76543806032</v>
      </c>
      <c r="E191" s="17">
        <f>Panchanga!$C191-TimeZone/24</f>
        <v>43707.020163582172</v>
      </c>
      <c r="F191" s="18" t="str">
        <f>INT(P[Sun]/30)&amp;"s"&amp;ROUNDUP(MOD(P[Sun],30),2)</f>
        <v>4s12.25</v>
      </c>
      <c r="G191" s="18" t="str">
        <f>INT(P[Moon]/30)&amp;"s"&amp;ROUNDUP(MOD(P[Moon],30),2)</f>
        <v>4s6.22</v>
      </c>
      <c r="H191" s="14">
        <f t="shared" si="35"/>
        <v>43707.020163582172</v>
      </c>
      <c r="I191" s="4" t="str">
        <f>naks(P[[#This Row],[Moon]])</f>
        <v>Makha</v>
      </c>
      <c r="J191" s="15">
        <f>(C192-P[[#This Row],[SunRise]])/(T192-P[[#This Row],[Moon]])*(13.3333333333333-MOD(P[[#This Row],[Moon]],13.333333333333))+P[[#This Row],[SunRise]]</f>
        <v>43707.715474958437</v>
      </c>
      <c r="K191" s="4" t="str">
        <f>IF(Panchanga!$P191&gt;15,"K","S")&amp;ROUNDUP(MOD(Panchanga!$P191,15),0)&amp;" ("&amp;ROUND(Panchanga!$P191,2)&amp;")"</f>
        <v>K15 (29.5)</v>
      </c>
      <c r="L191" s="4">
        <f>IF(AND(Panchanga!$P191&lt;28.5,Panchanga!$P191&gt;0.49999),MOD((Panchanga!$P191-0.5)*2,7),MOD((Panchanga!$P191+30-28.5),30)*2+7)</f>
        <v>8.9945999999999913</v>
      </c>
      <c r="M191" s="4" t="str">
        <f>CHOOSE(ROUNDUP(Panchanga!$L191,0),"Bhava","Baalava","Kaulava","Taitula","Garija","Vanija","Vishti","Shakuni","Chatushapda","Naaga","Kimstugna")</f>
        <v>Chatushapda</v>
      </c>
      <c r="N191" s="11" t="str">
        <f>CHOOSE(ROUNDUP(Panchanga!$Q191,0),"viṣkambha","prīti","āyuṣmāna","saubhāgya","śobhana","atigaṇḍa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("&amp;Panchanga!$Q191&amp;")"</f>
        <v>śiva (19.39)</v>
      </c>
      <c r="O191" s="4">
        <f>IF(AND(Panchanga!$P191&lt;28.5,Panchanga!$P191&gt;0.49999),MOD((Panchanga!$P191-0.5)*2,7),MOD((Panchanga!$P191+30-28.5),30)*2+7)</f>
        <v>8.9945999999999913</v>
      </c>
      <c r="P191" s="4">
        <f>ROUNDUP(MOD(360+P[Moon]-P[Sun],360)/12,4)</f>
        <v>29.497299999999999</v>
      </c>
      <c r="Q191" s="4">
        <f>ROUNDUP(MOD(P[Sun]+P[Moon],360)/13.333333333,2)</f>
        <v>19.39</v>
      </c>
      <c r="R191" s="4" t="str">
        <f>SIGN(U192-Panchanga!$U191)*INT(Panchanga!$U191/30+1)&amp;"Ma,"&amp;SIGN(V192-Panchanga!$V191)*INT(Panchanga!$V191/30+1)&amp;"Me,"&amp;SIGN(W192-Panchanga!$W191)*INT(Panchanga!$W191/30+1)&amp;"J, "&amp;SIGN(X192-Panchanga!$X191)*INT(Panchanga!$X191/30+1)&amp;"V,"&amp;SIGN(Y192-Panchanga!$Y191)*INT(Panchanga!$Y191/30+1)&amp;"S,"&amp;INT(Panchanga!$Z191/30+1)&amp;"R"</f>
        <v>5Ma,5Me,8J, 5V,-9S,3R</v>
      </c>
      <c r="S191" s="4">
        <f t="shared" si="33"/>
        <v>132.24486854052637</v>
      </c>
      <c r="T191" s="4">
        <f t="shared" si="34"/>
        <v>126.2118543069636</v>
      </c>
      <c r="U191" s="4">
        <f>Planet(Panchanga!$E191,4)</f>
        <v>133.3767830214409</v>
      </c>
      <c r="V191" s="4">
        <f>Planet(Panchanga!$E191,2)</f>
        <v>127.25114079236054</v>
      </c>
      <c r="W191" s="4">
        <f>Planet(Panchanga!$E191,5)</f>
        <v>230.89684565641841</v>
      </c>
      <c r="X191" s="4">
        <f>Planet(Panchanga!$E191,3)</f>
        <v>136.57668270005587</v>
      </c>
      <c r="Y191" s="4">
        <f>Planet(Panchanga!$E191,6)</f>
        <v>260.08211559407664</v>
      </c>
      <c r="Z191" s="4">
        <f>Planet(Panchanga!$E191,10)</f>
        <v>80.677216416261359</v>
      </c>
      <c r="AA191" s="4" t="str">
        <f>TEXT(Panchanga!$C191+($C192-Panchanga!$C191)/ABS(IF($P192&lt;1,$P192+30,$P192)-Panchanga!$P191)*(ROUNDUP(Panchanga!$P191,0)-Panchanga!$P191),"hh:mm AM/PM")</f>
        <v>04:06 PM</v>
      </c>
      <c r="AB191" s="4"/>
    </row>
    <row r="192" spans="1:28" x14ac:dyDescent="0.2">
      <c r="A192" s="3">
        <f t="shared" si="36"/>
        <v>43708</v>
      </c>
      <c r="B192" s="3">
        <f t="shared" si="30"/>
        <v>43708.229166666664</v>
      </c>
      <c r="C192" s="15">
        <f t="shared" si="31"/>
        <v>43708.249365694042</v>
      </c>
      <c r="D192" s="15">
        <f t="shared" si="32"/>
        <v>43707.764981567903</v>
      </c>
      <c r="E192" s="17">
        <f>Panchanga!$C192-TimeZone/24</f>
        <v>43708.020199027378</v>
      </c>
      <c r="F192" s="18" t="str">
        <f>INT(P[Sun]/30)&amp;"s"&amp;ROUNDUP(MOD(P[Sun],30),2)</f>
        <v>4s13.22</v>
      </c>
      <c r="G192" s="18" t="str">
        <f>INT(P[Moon]/30)&amp;"s"&amp;ROUNDUP(MOD(P[Moon],30),2)</f>
        <v>4s21.49</v>
      </c>
      <c r="H192" s="14">
        <f t="shared" si="35"/>
        <v>43708.020199027378</v>
      </c>
      <c r="I192" s="4" t="str">
        <f>naks(P[[#This Row],[Moon]])</f>
        <v>Purva Phalguni</v>
      </c>
      <c r="J192" s="15">
        <f>(C193-P[[#This Row],[SunRise]])/(T193-P[[#This Row],[Moon]])*(13.3333333333333-MOD(P[[#This Row],[Moon]],13.333333333333))+P[[#This Row],[SunRise]]</f>
        <v>43708.589076490316</v>
      </c>
      <c r="K192" s="4" t="str">
        <f>IF(Panchanga!$P192&gt;15,"K","S")&amp;ROUNDUP(MOD(Panchanga!$P192,15),0)&amp;" ("&amp;ROUND(Panchanga!$P192,2)&amp;")"</f>
        <v>S1 (0.69)</v>
      </c>
      <c r="L192" s="4">
        <f>IF(AND(Panchanga!$P192&lt;28.5,Panchanga!$P192&gt;0.49999),MOD((Panchanga!$P192-0.5)*2,7),MOD((Panchanga!$P192+30-28.5),30)*2+7)</f>
        <v>0.37979999999999992</v>
      </c>
      <c r="M192" s="4" t="str">
        <f>CHOOSE(ROUNDUP(Panchanga!$L192,0),"Bhava","Baalava","Kaulava","Taitula","Garija","Vanija","Vishti","Shakuni","Chatushapda","Naaga","Kimstugna")</f>
        <v>Bhava</v>
      </c>
      <c r="N192" s="11" t="str">
        <f>CHOOSE(ROUNDUP(Panchanga!$Q192,0),"viṣkambha","prīti","āyuṣmāna","saubhāgya","śobhana","atigaṇḍa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("&amp;Panchanga!$Q192&amp;")"</f>
        <v>siddha (20.61)</v>
      </c>
      <c r="O192" s="4">
        <f>IF(AND(Panchanga!$P192&lt;28.5,Panchanga!$P192&gt;0.49999),MOD((Panchanga!$P192-0.5)*2,7),MOD((Panchanga!$P192+30-28.5),30)*2+7)</f>
        <v>0.37979999999999992</v>
      </c>
      <c r="P192" s="4">
        <f>ROUNDUP(MOD(360+P[Moon]-P[Sun],360)/12,4)</f>
        <v>0.68989999999999996</v>
      </c>
      <c r="Q192" s="4">
        <f>ROUNDUP(MOD(P[Sun]+P[Moon],360)/13.333333333,2)</f>
        <v>20.610000000000003</v>
      </c>
      <c r="R192" s="4" t="str">
        <f>SIGN(U193-Panchanga!$U192)*INT(Panchanga!$U192/30+1)&amp;"Ma,"&amp;SIGN(V193-Panchanga!$V192)*INT(Panchanga!$V192/30+1)&amp;"Me,"&amp;SIGN(W193-Panchanga!$W192)*INT(Panchanga!$W192/30+1)&amp;"J, "&amp;SIGN(X193-Panchanga!$X192)*INT(Panchanga!$X192/30+1)&amp;"V,"&amp;SIGN(Y193-Panchanga!$Y192)*INT(Panchanga!$Y192/30+1)&amp;"S,"&amp;INT(Panchanga!$Z192/30+1)&amp;"R"</f>
        <v>5Ma,5Me,8J, 5V,-9S,3R</v>
      </c>
      <c r="S192" s="4">
        <f t="shared" si="33"/>
        <v>133.21180138325508</v>
      </c>
      <c r="T192" s="4">
        <f t="shared" si="34"/>
        <v>141.48979547405492</v>
      </c>
      <c r="U192" s="4">
        <f>Planet(Panchanga!$E192,4)</f>
        <v>134.01365644049446</v>
      </c>
      <c r="V192" s="4">
        <f>Planet(Panchanga!$E192,2)</f>
        <v>129.22885360720608</v>
      </c>
      <c r="W192" s="4">
        <f>Planet(Panchanga!$E192,5)</f>
        <v>230.95409782034281</v>
      </c>
      <c r="X192" s="4">
        <f>Planet(Panchanga!$E192,3)</f>
        <v>137.81656059360759</v>
      </c>
      <c r="Y192" s="4">
        <f>Planet(Panchanga!$E192,6)</f>
        <v>260.05227075698184</v>
      </c>
      <c r="Z192" s="4">
        <f>Planet(Panchanga!$E192,10)</f>
        <v>80.624222541669482</v>
      </c>
      <c r="AA192" s="4" t="str">
        <f>TEXT(Panchanga!$C192+($C193-Panchanga!$C192)/ABS(IF($P193&lt;1,$P193+30,$P193)-Panchanga!$P192)*(ROUNDUP(Panchanga!$P192,0)-Panchanga!$P192),"hh:mm AM/PM")</f>
        <v>12:14 PM</v>
      </c>
      <c r="AB192" s="4"/>
    </row>
    <row r="193" spans="1:28" x14ac:dyDescent="0.2">
      <c r="A193" s="3">
        <f t="shared" si="36"/>
        <v>43709</v>
      </c>
      <c r="B193" s="3">
        <f t="shared" si="30"/>
        <v>43709.229166666664</v>
      </c>
      <c r="C193" s="15">
        <f t="shared" si="31"/>
        <v>43709.24939843655</v>
      </c>
      <c r="D193" s="15">
        <f t="shared" si="32"/>
        <v>43708.76452014879</v>
      </c>
      <c r="E193" s="17">
        <f>Panchanga!$C193-TimeZone/24</f>
        <v>43709.020231769886</v>
      </c>
      <c r="F193" s="18" t="str">
        <f>INT(P[Sun]/30)&amp;"s"&amp;ROUNDUP(MOD(P[Sun],30),2)</f>
        <v>4s14.18</v>
      </c>
      <c r="G193" s="18" t="str">
        <f>INT(P[Moon]/30)&amp;"s"&amp;ROUNDUP(MOD(P[Moon],30),2)</f>
        <v>5s6.73</v>
      </c>
      <c r="H193" s="14">
        <f t="shared" si="35"/>
        <v>43709.020231769886</v>
      </c>
      <c r="I193" s="4" t="str">
        <f>naks(P[[#This Row],[Moon]])</f>
        <v>Uttara Phalguni</v>
      </c>
      <c r="J193" s="15">
        <f>(C194-P[[#This Row],[SunRise]])/(T194-P[[#This Row],[Moon]])*(13.3333333333333-MOD(P[[#This Row],[Moon]],13.333333333333))+P[[#This Row],[SunRise]]</f>
        <v>43709.467090102538</v>
      </c>
      <c r="K193" s="4" t="str">
        <f>IF(Panchanga!$P193&gt;15,"K","S")&amp;ROUNDUP(MOD(Panchanga!$P193,15),0)&amp;" ("&amp;ROUND(Panchanga!$P193,2)&amp;")"</f>
        <v>S2 (1.88)</v>
      </c>
      <c r="L193" s="4">
        <f>IF(AND(Panchanga!$P193&lt;28.5,Panchanga!$P193&gt;0.49999),MOD((Panchanga!$P193-0.5)*2,7),MOD((Panchanga!$P193+30-28.5),30)*2+7)</f>
        <v>2.7584</v>
      </c>
      <c r="M193" s="4" t="str">
        <f>CHOOSE(ROUNDUP(Panchanga!$L193,0),"Bhava","Baalava","Kaulava","Taitula","Garija","Vanija","Vishti","Shakuni","Chatushapda","Naaga","Kimstugna")</f>
        <v>Kaulava</v>
      </c>
      <c r="N193" s="11" t="str">
        <f>CHOOSE(ROUNDUP(Panchanga!$Q193,0),"viṣkambha","prīti","āyuṣmāna","saubhāgya","śobhana","atigaṇḍa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("&amp;Panchanga!$Q193&amp;")"</f>
        <v>sādhya (21.82)</v>
      </c>
      <c r="O193" s="4">
        <f>IF(AND(Panchanga!$P193&lt;28.5,Panchanga!$P193&gt;0.49999),MOD((Panchanga!$P193-0.5)*2,7),MOD((Panchanga!$P193+30-28.5),30)*2+7)</f>
        <v>2.7584</v>
      </c>
      <c r="P193" s="4">
        <f>ROUNDUP(MOD(360+P[Moon]-P[Sun],360)/12,4)</f>
        <v>1.8792</v>
      </c>
      <c r="Q193" s="4">
        <f>ROUNDUP(MOD(P[Sun]+P[Moon],360)/13.333333333,2)</f>
        <v>21.82</v>
      </c>
      <c r="R193" s="4" t="str">
        <f>SIGN(U194-Panchanga!$U193)*INT(Panchanga!$U193/30+1)&amp;"Ma,"&amp;SIGN(V194-Panchanga!$V193)*INT(Panchanga!$V193/30+1)&amp;"Me,"&amp;SIGN(W194-Panchanga!$W193)*INT(Panchanga!$W193/30+1)&amp;"J, "&amp;SIGN(X194-Panchanga!$X193)*INT(Panchanga!$X193/30+1)&amp;"V,"&amp;SIGN(Y194-Panchanga!$Y193)*INT(Panchanga!$Y193/30+1)&amp;"S,"&amp;INT(Panchanga!$Z193/30+1)&amp;"R"</f>
        <v>5Ma,5Me,8J, 5V,-9S,3R</v>
      </c>
      <c r="S193" s="4">
        <f t="shared" si="33"/>
        <v>134.17916446947225</v>
      </c>
      <c r="T193" s="4">
        <f t="shared" si="34"/>
        <v>156.72934850903553</v>
      </c>
      <c r="U193" s="4">
        <f>Planet(Panchanga!$E193,4)</f>
        <v>134.6506549331678</v>
      </c>
      <c r="V193" s="4">
        <f>Planet(Panchanga!$E193,2)</f>
        <v>131.19868785463419</v>
      </c>
      <c r="W193" s="4">
        <f>Planet(Panchanga!$E193,5)</f>
        <v>231.01426475917006</v>
      </c>
      <c r="X193" s="4">
        <f>Planet(Panchanga!$E193,3)</f>
        <v>139.05661557497888</v>
      </c>
      <c r="Y193" s="4">
        <f>Planet(Panchanga!$E193,6)</f>
        <v>260.02393060883281</v>
      </c>
      <c r="Z193" s="4">
        <f>Planet(Panchanga!$E193,10)</f>
        <v>80.571228810234587</v>
      </c>
      <c r="AA193" s="4" t="str">
        <f>TEXT(Panchanga!$C193+($C194-Panchanga!$C193)/ABS(IF($P194&lt;1,$P194+30,$P194)-Panchanga!$P193)*(ROUNDUP(Panchanga!$P193,0)-Panchanga!$P193),"hh:mm AM/PM")</f>
        <v>08:27 AM</v>
      </c>
      <c r="AB193" s="4"/>
    </row>
    <row r="194" spans="1:28" x14ac:dyDescent="0.2">
      <c r="A194" s="3">
        <f t="shared" si="36"/>
        <v>43710</v>
      </c>
      <c r="B194" s="3">
        <f t="shared" si="30"/>
        <v>43710.229166666664</v>
      </c>
      <c r="C194" s="15">
        <f t="shared" si="31"/>
        <v>43710.249428477291</v>
      </c>
      <c r="D194" s="15">
        <f t="shared" si="32"/>
        <v>43709.764054119631</v>
      </c>
      <c r="E194" s="17">
        <f>Panchanga!$C194-TimeZone/24</f>
        <v>43710.020261810627</v>
      </c>
      <c r="F194" s="18" t="str">
        <f>INT(P[Sun]/30)&amp;"s"&amp;ROUNDUP(MOD(P[Sun],30),2)</f>
        <v>4s15.15</v>
      </c>
      <c r="G194" s="18" t="str">
        <f>INT(P[Moon]/30)&amp;"s"&amp;ROUNDUP(MOD(P[Moon],30),2)</f>
        <v>5s21.76</v>
      </c>
      <c r="H194" s="14">
        <f t="shared" si="35"/>
        <v>43710.020261810627</v>
      </c>
      <c r="I194" s="4" t="str">
        <f>naks(P[[#This Row],[Moon]])</f>
        <v>Hasta</v>
      </c>
      <c r="J194" s="15">
        <f>(C195-P[[#This Row],[SunRise]])/(T195-P[[#This Row],[Moon]])*(13.3333333333333-MOD(P[[#This Row],[Moon]],13.333333333333))+P[[#This Row],[SunRise]]</f>
        <v>43710.357102996306</v>
      </c>
      <c r="K194" s="4" t="str">
        <f>IF(Panchanga!$P194&gt;15,"K","S")&amp;ROUNDUP(MOD(Panchanga!$P194,15),0)&amp;" ("&amp;ROUND(Panchanga!$P194,2)&amp;")"</f>
        <v>S4 (3.05)</v>
      </c>
      <c r="L194" s="4">
        <f>IF(AND(Panchanga!$P194&lt;28.5,Panchanga!$P194&gt;0.49999),MOD((Panchanga!$P194-0.5)*2,7),MOD((Panchanga!$P194+30-28.5),30)*2+7)</f>
        <v>5.1012000000000004</v>
      </c>
      <c r="M194" s="4" t="str">
        <f>CHOOSE(ROUNDUP(Panchanga!$L194,0),"Bhava","Baalava","Kaulava","Taitula","Garija","Vanija","Vishti","Shakuni","Chatushapda","Naaga","Kimstugna")</f>
        <v>Vanija</v>
      </c>
      <c r="N194" s="11" t="str">
        <f>CHOOSE(ROUNDUP(Panchanga!$Q194,0),"viṣkambha","prīti","āyuṣmāna","saubhāgya","śobhana","atigaṇḍa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("&amp;Panchanga!$Q194&amp;")"</f>
        <v>śukla (23.02)</v>
      </c>
      <c r="O194" s="4">
        <f>IF(AND(Panchanga!$P194&lt;28.5,Panchanga!$P194&gt;0.49999),MOD((Panchanga!$P194-0.5)*2,7),MOD((Panchanga!$P194+30-28.5),30)*2+7)</f>
        <v>5.1012000000000004</v>
      </c>
      <c r="P194" s="4">
        <f>ROUNDUP(MOD(360+P[Moon]-P[Sun],360)/12,4)</f>
        <v>3.0506000000000002</v>
      </c>
      <c r="Q194" s="4">
        <f>ROUNDUP(MOD(P[Sun]+P[Moon],360)/13.333333333,2)</f>
        <v>23.020000000000003</v>
      </c>
      <c r="R194" s="4" t="str">
        <f>SIGN(U195-Panchanga!$U194)*INT(Panchanga!$U194/30+1)&amp;"Ma,"&amp;SIGN(V195-Panchanga!$V194)*INT(Panchanga!$V194/30+1)&amp;"Me,"&amp;SIGN(W195-Panchanga!$W194)*INT(Panchanga!$W194/30+1)&amp;"J, "&amp;SIGN(X195-Panchanga!$X194)*INT(Panchanga!$X194/30+1)&amp;"V,"&amp;SIGN(Y195-Panchanga!$Y194)*INT(Panchanga!$Y194/30+1)&amp;"S,"&amp;INT(Panchanga!$Z194/30+1)&amp;"R"</f>
        <v>5Ma,5Me,8J, 5V,-9S,3R</v>
      </c>
      <c r="S194" s="4">
        <f t="shared" si="33"/>
        <v>135.14694134541364</v>
      </c>
      <c r="T194" s="4">
        <f t="shared" si="34"/>
        <v>171.75403826427913</v>
      </c>
      <c r="U194" s="4">
        <f>Planet(Panchanga!$E194,4)</f>
        <v>135.28777071982313</v>
      </c>
      <c r="V194" s="4">
        <f>Planet(Panchanga!$E194,2)</f>
        <v>133.15801307702225</v>
      </c>
      <c r="W194" s="4">
        <f>Planet(Panchanga!$E194,5)</f>
        <v>231.07732665647117</v>
      </c>
      <c r="X194" s="4">
        <f>Planet(Panchanga!$E194,3)</f>
        <v>140.29682984870806</v>
      </c>
      <c r="Y194" s="4">
        <f>Planet(Panchanga!$E194,6)</f>
        <v>259.99710962449552</v>
      </c>
      <c r="Z194" s="4">
        <f>Planet(Panchanga!$E194,10)</f>
        <v>80.51823522200651</v>
      </c>
      <c r="AA194" s="4" t="str">
        <f>TEXT(Panchanga!$C194+($C195-Panchanga!$C194)/ABS(IF($P195&lt;1,$P195+30,$P195)-Panchanga!$P194)*(ROUNDUP(Panchanga!$P194,0)-Panchanga!$P194),"hh:mm AM/PM")</f>
        <v>01:56 AM</v>
      </c>
      <c r="AB194" s="4"/>
    </row>
    <row r="195" spans="1:28" x14ac:dyDescent="0.2">
      <c r="A195" s="3">
        <f t="shared" si="36"/>
        <v>43711</v>
      </c>
      <c r="B195" s="3">
        <f t="shared" ref="B195:B258" si="37">A195+TimeZone/24</f>
        <v>43711.229166666664</v>
      </c>
      <c r="C195" s="15">
        <f t="shared" ref="C195:C258" si="38">sunrise(Lat,Long,B195)+TimeZone/24+0.00103009259259259</f>
        <v>43711.249455975056</v>
      </c>
      <c r="D195" s="15">
        <f t="shared" ref="D195:D258" si="39">sunset(Lat,Long,B195)+TimeZone/24-0.000277777777777778</f>
        <v>43710.763583640612</v>
      </c>
      <c r="E195" s="17">
        <f>Panchanga!$C195-TimeZone/24</f>
        <v>43711.020289308392</v>
      </c>
      <c r="F195" s="18" t="str">
        <f>INT(P[Sun]/30)&amp;"s"&amp;ROUNDUP(MOD(P[Sun],30),2)</f>
        <v>4s16.12</v>
      </c>
      <c r="G195" s="18" t="str">
        <f>INT(P[Moon]/30)&amp;"s"&amp;ROUNDUP(MOD(P[Moon],30),2)</f>
        <v>6s6.43</v>
      </c>
      <c r="H195" s="14">
        <f t="shared" si="35"/>
        <v>43711.020289308392</v>
      </c>
      <c r="I195" s="4" t="str">
        <f>naks(P[[#This Row],[Moon]])</f>
        <v>Chitra</v>
      </c>
      <c r="J195" s="15">
        <f>(C196-P[[#This Row],[SunRise]])/(T196-P[[#This Row],[Moon]])*(13.3333333333333-MOD(P[[#This Row],[Moon]],13.333333333333))+P[[#This Row],[SunRise]]</f>
        <v>43711.266677513784</v>
      </c>
      <c r="K195" s="4" t="str">
        <f>IF(Panchanga!$P195&gt;15,"K","S")&amp;ROUNDUP(MOD(Panchanga!$P195,15),0)&amp;" ("&amp;ROUND(Panchanga!$P195,2)&amp;")"</f>
        <v>S5 (4.19)</v>
      </c>
      <c r="L195" s="4">
        <f>IF(AND(Panchanga!$P195&lt;28.5,Panchanga!$P195&gt;0.49999),MOD((Panchanga!$P195-0.5)*2,7),MOD((Panchanga!$P195+30-28.5),30)*2+7)</f>
        <v>0.38459999999999894</v>
      </c>
      <c r="M195" s="4" t="str">
        <f>CHOOSE(ROUNDUP(Panchanga!$L195,0),"Bhava","Baalava","Kaulava","Taitula","Garija","Vanija","Vishti","Shakuni","Chatushapda","Naaga","Kimstugna")</f>
        <v>Bhava</v>
      </c>
      <c r="N195" s="11" t="str">
        <f>CHOOSE(ROUNDUP(Panchanga!$Q195,0),"viṣkambha","prīti","āyuṣmāna","saubhāgya","śobhana","atigaṇḍa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("&amp;Panchanga!$Q195&amp;")"</f>
        <v>brahma (24.2)</v>
      </c>
      <c r="O195" s="4">
        <f>IF(AND(Panchanga!$P195&lt;28.5,Panchanga!$P195&gt;0.49999),MOD((Panchanga!$P195-0.5)*2,7),MOD((Panchanga!$P195+30-28.5),30)*2+7)</f>
        <v>0.38459999999999894</v>
      </c>
      <c r="P195" s="4">
        <f>ROUNDUP(MOD(360+P[Moon]-P[Sun],360)/12,4)</f>
        <v>4.1922999999999995</v>
      </c>
      <c r="Q195" s="4">
        <f>ROUNDUP(MOD(P[Sun]+P[Moon],360)/13.333333333,2)</f>
        <v>24.200000000000003</v>
      </c>
      <c r="R195" s="4" t="str">
        <f>SIGN(U196-Panchanga!$U195)*INT(Panchanga!$U195/30+1)&amp;"Ma,"&amp;SIGN(V196-Panchanga!$V195)*INT(Panchanga!$V195/30+1)&amp;"Me,"&amp;SIGN(W196-Panchanga!$W195)*INT(Panchanga!$W195/30+1)&amp;"J, "&amp;SIGN(X196-Panchanga!$X195)*INT(Panchanga!$X195/30+1)&amp;"V,"&amp;SIGN(Y196-Panchanga!$Y195)*INT(Panchanga!$Y195/30+1)&amp;"S,"&amp;INT(Panchanga!$Z195/30+1)&amp;"R"</f>
        <v>5Ma,5Me,8J, 5V,-9S,3R</v>
      </c>
      <c r="S195" s="4">
        <f t="shared" ref="S195:S258" si="40">Planet($E195,0)</f>
        <v>136.11511896300124</v>
      </c>
      <c r="T195" s="4">
        <f t="shared" ref="T195:T258" si="41">Planet($E195,1)</f>
        <v>186.42174712040085</v>
      </c>
      <c r="U195" s="4">
        <f>Planet(Panchanga!$E195,4)</f>
        <v>135.92500474451953</v>
      </c>
      <c r="V195" s="4">
        <f>Planet(Panchanga!$E195,2)</f>
        <v>135.1046619800928</v>
      </c>
      <c r="W195" s="4">
        <f>Planet(Panchanga!$E195,5)</f>
        <v>231.14326165900425</v>
      </c>
      <c r="X195" s="4">
        <f>Planet(Panchanga!$E195,3)</f>
        <v>141.53718735547298</v>
      </c>
      <c r="Y195" s="4">
        <f>Planet(Panchanga!$E195,6)</f>
        <v>259.97182072052806</v>
      </c>
      <c r="Z195" s="4">
        <f>Planet(Panchanga!$E195,10)</f>
        <v>80.465241768551692</v>
      </c>
      <c r="AA195" s="4" t="str">
        <f>TEXT(Panchanga!$C195+($C196-Panchanga!$C195)/ABS(IF($P196&lt;1,$P196+30,$P196)-Panchanga!$P195)*(ROUNDUP(Panchanga!$P195,0)-Panchanga!$P195),"hh:mm AM/PM")</f>
        <v>11:32 PM</v>
      </c>
      <c r="AB195" s="4"/>
    </row>
    <row r="196" spans="1:28" x14ac:dyDescent="0.2">
      <c r="A196" s="3">
        <f t="shared" si="36"/>
        <v>43712</v>
      </c>
      <c r="B196" s="3">
        <f t="shared" si="37"/>
        <v>43712.229166666664</v>
      </c>
      <c r="C196" s="15">
        <f t="shared" si="38"/>
        <v>43712.249480929378</v>
      </c>
      <c r="D196" s="15">
        <f t="shared" si="39"/>
        <v>43711.763108710802</v>
      </c>
      <c r="E196" s="17">
        <f>Panchanga!$C196-TimeZone/24</f>
        <v>43712.020314262714</v>
      </c>
      <c r="F196" s="18" t="str">
        <f>INT(P[Sun]/30)&amp;"s"&amp;ROUNDUP(MOD(P[Sun],30),2)</f>
        <v>4s17.09</v>
      </c>
      <c r="G196" s="18" t="str">
        <f>INT(P[Moon]/30)&amp;"s"&amp;ROUNDUP(MOD(P[Moon],30),2)</f>
        <v>6s20.65</v>
      </c>
      <c r="H196" s="14">
        <f t="shared" si="35"/>
        <v>43712.020314262714</v>
      </c>
      <c r="I196" s="4" t="str">
        <f>naks(P[[#This Row],[Moon]])</f>
        <v>Visakha</v>
      </c>
      <c r="J196" s="15">
        <f>(C197-P[[#This Row],[SunRise]])/(T197-P[[#This Row],[Moon]])*(13.3333333333333-MOD(P[[#This Row],[Moon]],13.333333333333))+P[[#This Row],[SunRise]]</f>
        <v>43713.172719532544</v>
      </c>
      <c r="K196" s="4" t="str">
        <f>IF(Panchanga!$P196&gt;15,"K","S")&amp;ROUNDUP(MOD(Panchanga!$P196,15),0)&amp;" ("&amp;ROUND(Panchanga!$P196,2)&amp;")"</f>
        <v>S6 (5.3)</v>
      </c>
      <c r="L196" s="4">
        <f>IF(AND(Panchanga!$P196&lt;28.5,Panchanga!$P196&gt;0.49999),MOD((Panchanga!$P196-0.5)*2,7),MOD((Panchanga!$P196+30-28.5),30)*2+7)</f>
        <v>2.593399999999999</v>
      </c>
      <c r="M196" s="4" t="str">
        <f>CHOOSE(ROUNDUP(Panchanga!$L196,0),"Bhava","Baalava","Kaulava","Taitula","Garija","Vanija","Vishti","Shakuni","Chatushapda","Naaga","Kimstugna")</f>
        <v>Kaulava</v>
      </c>
      <c r="N196" s="11" t="str">
        <f>CHOOSE(ROUNDUP(Panchanga!$Q196,0),"viṣkambha","prīti","āyuṣmāna","saubhāgya","śobhana","atigaṇḍa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("&amp;Panchanga!$Q196&amp;")"</f>
        <v>mahendra (25.33)</v>
      </c>
      <c r="O196" s="4">
        <f>IF(AND(Panchanga!$P196&lt;28.5,Panchanga!$P196&gt;0.49999),MOD((Panchanga!$P196-0.5)*2,7),MOD((Panchanga!$P196+30-28.5),30)*2+7)</f>
        <v>2.593399999999999</v>
      </c>
      <c r="P196" s="4">
        <f>ROUNDUP(MOD(360+P[Moon]-P[Sun],360)/12,4)</f>
        <v>5.2966999999999995</v>
      </c>
      <c r="Q196" s="4">
        <f>ROUNDUP(MOD(P[Sun]+P[Moon],360)/13.333333333,2)</f>
        <v>25.330000000000002</v>
      </c>
      <c r="R196" s="4" t="str">
        <f>SIGN(U197-Panchanga!$U196)*INT(Panchanga!$U196/30+1)&amp;"Ma,"&amp;SIGN(V197-Panchanga!$V196)*INT(Panchanga!$V196/30+1)&amp;"Me,"&amp;SIGN(W197-Panchanga!$W196)*INT(Panchanga!$W196/30+1)&amp;"J, "&amp;SIGN(X197-Panchanga!$X196)*INT(Panchanga!$X196/30+1)&amp;"V,"&amp;SIGN(Y197-Panchanga!$Y196)*INT(Panchanga!$Y196/30+1)&amp;"S,"&amp;INT(Panchanga!$Z196/30+1)&amp;"R"</f>
        <v>5Ma,5Me,8J, 5V,-9S,3R</v>
      </c>
      <c r="S196" s="4">
        <f t="shared" si="40"/>
        <v>137.0836887018329</v>
      </c>
      <c r="T196" s="4">
        <f t="shared" si="41"/>
        <v>200.64380137271118</v>
      </c>
      <c r="U196" s="4">
        <f>Planet(Panchanga!$E196,4)</f>
        <v>136.56236527028003</v>
      </c>
      <c r="V196" s="4">
        <f>Planet(Panchanga!$E196,2)</f>
        <v>137.03688318122005</v>
      </c>
      <c r="W196" s="4">
        <f>Planet(Panchanga!$E196,5)</f>
        <v>231.21204628319958</v>
      </c>
      <c r="X196" s="4">
        <f>Planet(Panchanga!$E196,3)</f>
        <v>142.77767418929733</v>
      </c>
      <c r="Y196" s="4">
        <f>Planet(Panchanga!$E196,6)</f>
        <v>259.94807534501047</v>
      </c>
      <c r="Z196" s="4">
        <f>Planet(Panchanga!$E196,10)</f>
        <v>80.412248449853536</v>
      </c>
      <c r="AA196" s="4" t="str">
        <f>TEXT(Panchanga!$C196+($C197-Panchanga!$C196)/ABS(IF($P197&lt;1,$P197+30,$P197)-Panchanga!$P196)*(ROUNDUP(Panchanga!$P196,0)-Panchanga!$P196),"hh:mm AM/PM")</f>
        <v>09:50 PM</v>
      </c>
      <c r="AB196" s="4"/>
    </row>
    <row r="197" spans="1:28" x14ac:dyDescent="0.2">
      <c r="A197" s="3">
        <f t="shared" si="36"/>
        <v>43713</v>
      </c>
      <c r="B197" s="3">
        <f t="shared" si="37"/>
        <v>43713.229166666664</v>
      </c>
      <c r="C197" s="15">
        <f t="shared" si="38"/>
        <v>43713.249503658772</v>
      </c>
      <c r="D197" s="15">
        <f t="shared" si="39"/>
        <v>43712.762629648249</v>
      </c>
      <c r="E197" s="17">
        <f>Panchanga!$C197-TimeZone/24</f>
        <v>43713.020336992107</v>
      </c>
      <c r="F197" s="18" t="str">
        <f>INT(P[Sun]/30)&amp;"s"&amp;ROUNDUP(MOD(P[Sun],30),2)</f>
        <v>4s18.06</v>
      </c>
      <c r="G197" s="18" t="str">
        <f>INT(P[Moon]/30)&amp;"s"&amp;ROUNDUP(MOD(P[Moon],30),2)</f>
        <v>7s4.39</v>
      </c>
      <c r="H197" s="14">
        <f t="shared" si="35"/>
        <v>43713.020336992107</v>
      </c>
      <c r="I197" s="4" t="str">
        <f>naks(P[[#This Row],[Moon]])</f>
        <v>Anuradha</v>
      </c>
      <c r="J197" s="15">
        <f>(C198-P[[#This Row],[SunRise]])/(T198-P[[#This Row],[Moon]])*(13.3333333333333-MOD(P[[#This Row],[Moon]],13.333333333333))+P[[#This Row],[SunRise]]</f>
        <v>43714.173750884176</v>
      </c>
      <c r="K197" s="4" t="str">
        <f>IF(Panchanga!$P197&gt;15,"K","S")&amp;ROUNDUP(MOD(Panchanga!$P197,15),0)&amp;" ("&amp;ROUND(Panchanga!$P197,2)&amp;")"</f>
        <v>S7 (6.36)</v>
      </c>
      <c r="L197" s="4">
        <f>IF(AND(Panchanga!$P197&lt;28.5,Panchanga!$P197&gt;0.49999),MOD((Panchanga!$P197-0.5)*2,7),MOD((Panchanga!$P197+30-28.5),30)*2+7)</f>
        <v>4.7227999999999994</v>
      </c>
      <c r="M197" s="4" t="str">
        <f>CHOOSE(ROUNDUP(Panchanga!$L197,0),"Bhava","Baalava","Kaulava","Taitula","Garija","Vanija","Vishti","Shakuni","Chatushapda","Naaga","Kimstugna")</f>
        <v>Garija</v>
      </c>
      <c r="N197" s="11" t="str">
        <f>CHOOSE(ROUNDUP(Panchanga!$Q197,0),"viṣkambha","prīti","āyuṣmāna","saubhāgya","śobhana","atigaṇḍa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("&amp;Panchanga!$Q197&amp;")"</f>
        <v>vaidhṛti (26.44)</v>
      </c>
      <c r="O197" s="4">
        <f>IF(AND(Panchanga!$P197&lt;28.5,Panchanga!$P197&gt;0.49999),MOD((Panchanga!$P197-0.5)*2,7),MOD((Panchanga!$P197+30-28.5),30)*2+7)</f>
        <v>4.7227999999999994</v>
      </c>
      <c r="P197" s="4">
        <f>ROUNDUP(MOD(360+P[Moon]-P[Sun],360)/12,4)</f>
        <v>6.3613999999999997</v>
      </c>
      <c r="Q197" s="4">
        <f>ROUNDUP(MOD(P[Sun]+P[Moon],360)/13.333333333,2)</f>
        <v>26.44</v>
      </c>
      <c r="R197" s="4" t="str">
        <f>SIGN(U198-Panchanga!$U197)*INT(Panchanga!$U197/30+1)&amp;"Ma,"&amp;SIGN(V198-Panchanga!$V197)*INT(Panchanga!$V197/30+1)&amp;"Me,"&amp;SIGN(W198-Panchanga!$W197)*INT(Panchanga!$W197/30+1)&amp;"J, "&amp;SIGN(X198-Panchanga!$X197)*INT(Panchanga!$X197/30+1)&amp;"V,"&amp;SIGN(Y198-Panchanga!$Y197)*INT(Panchanga!$Y197/30+1)&amp;"S,"&amp;INT(Panchanga!$Z197/30+1)&amp;"R"</f>
        <v>5Ma,5Me,8J, 5V,-9S,3R</v>
      </c>
      <c r="S197" s="4">
        <f t="shared" si="40"/>
        <v>138.05264728225742</v>
      </c>
      <c r="T197" s="4">
        <f t="shared" si="41"/>
        <v>214.38869932484999</v>
      </c>
      <c r="U197" s="4">
        <f>Planet(Panchanga!$E197,4)</f>
        <v>137.19985635667797</v>
      </c>
      <c r="V197" s="4">
        <f>Planet(Panchanga!$E197,2)</f>
        <v>138.95328051333766</v>
      </c>
      <c r="W197" s="4">
        <f>Planet(Panchanga!$E197,5)</f>
        <v>231.28365594275178</v>
      </c>
      <c r="X197" s="4">
        <f>Planet(Panchanga!$E197,3)</f>
        <v>144.01827952416076</v>
      </c>
      <c r="Y197" s="4">
        <f>Planet(Panchanga!$E197,6)</f>
        <v>259.92588363775684</v>
      </c>
      <c r="Z197" s="4">
        <f>Planet(Panchanga!$E197,10)</f>
        <v>80.359255249045049</v>
      </c>
      <c r="AA197" s="4" t="str">
        <f>TEXT(Panchanga!$C197+($C198-Panchanga!$C197)/ABS(IF($P198&lt;1,$P198+30,$P198)-Panchanga!$P197)*(ROUNDUP(Panchanga!$P197,0)-Panchanga!$P197),"hh:mm AM/PM")</f>
        <v>08:55 PM</v>
      </c>
      <c r="AB197" s="4"/>
    </row>
    <row r="198" spans="1:28" x14ac:dyDescent="0.2">
      <c r="A198" s="3">
        <f t="shared" si="36"/>
        <v>43714</v>
      </c>
      <c r="B198" s="3">
        <f t="shared" si="37"/>
        <v>43714.229166666664</v>
      </c>
      <c r="C198" s="15">
        <f t="shared" si="38"/>
        <v>43714.249524003979</v>
      </c>
      <c r="D198" s="15">
        <f t="shared" si="39"/>
        <v>43713.762146930254</v>
      </c>
      <c r="E198" s="17">
        <f>Panchanga!$C198-TimeZone/24</f>
        <v>43714.020357337315</v>
      </c>
      <c r="F198" s="18" t="str">
        <f>INT(P[Sun]/30)&amp;"s"&amp;ROUNDUP(MOD(P[Sun],30),2)</f>
        <v>4s19.03</v>
      </c>
      <c r="G198" s="18" t="str">
        <f>INT(P[Moon]/30)&amp;"s"&amp;ROUNDUP(MOD(P[Moon],30),2)</f>
        <v>7s17.68</v>
      </c>
      <c r="H198" s="14">
        <f t="shared" si="35"/>
        <v>43714.020357337315</v>
      </c>
      <c r="I198" s="4" t="str">
        <f>naks(P[[#This Row],[Moon]])</f>
        <v>Jyestha</v>
      </c>
      <c r="J198" s="15">
        <f>(C199-P[[#This Row],[SunRise]])/(T199-P[[#This Row],[Moon]])*(13.3333333333333-MOD(P[[#This Row],[Moon]],13.333333333333))+P[[#This Row],[SunRise]]</f>
        <v>43715.206992410211</v>
      </c>
      <c r="K198" s="4" t="str">
        <f>IF(Panchanga!$P198&gt;15,"K","S")&amp;ROUNDUP(MOD(Panchanga!$P198,15),0)&amp;" ("&amp;ROUND(Panchanga!$P198,2)&amp;")"</f>
        <v>S8 (7.39)</v>
      </c>
      <c r="L198" s="4">
        <f>IF(AND(Panchanga!$P198&lt;28.5,Panchanga!$P198&gt;0.49999),MOD((Panchanga!$P198-0.5)*2,7),MOD((Panchanga!$P198+30-28.5),30)*2+7)</f>
        <v>6.7753999999999994</v>
      </c>
      <c r="M198" s="4" t="str">
        <f>CHOOSE(ROUNDUP(Panchanga!$L198,0),"Bhava","Baalava","Kaulava","Taitula","Garija","Vanija","Vishti","Shakuni","Chatushapda","Naaga","Kimstugna")</f>
        <v>Vishti</v>
      </c>
      <c r="N198" s="11" t="str">
        <f>CHOOSE(ROUNDUP(Panchanga!$Q198,0),"viṣkambha","prīti","āyuṣmāna","saubhāgya","śobhana","atigaṇḍa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("&amp;Panchanga!$Q198&amp;")"</f>
        <v>viṣkambha (0.51)</v>
      </c>
      <c r="O198" s="4">
        <f>IF(AND(Panchanga!$P198&lt;28.5,Panchanga!$P198&gt;0.49999),MOD((Panchanga!$P198-0.5)*2,7),MOD((Panchanga!$P198+30-28.5),30)*2+7)</f>
        <v>6.7753999999999994</v>
      </c>
      <c r="P198" s="4">
        <f>ROUNDUP(MOD(360+P[Moon]-P[Sun],360)/12,4)</f>
        <v>7.3876999999999997</v>
      </c>
      <c r="Q198" s="4">
        <f>ROUNDUP(MOD(P[Sun]+P[Moon],360)/13.333333333,2)</f>
        <v>0.51</v>
      </c>
      <c r="R198" s="4" t="str">
        <f>SIGN(U199-Panchanga!$U198)*INT(Panchanga!$U198/30+1)&amp;"Ma,"&amp;SIGN(V199-Panchanga!$V198)*INT(Panchanga!$V198/30+1)&amp;"Me,"&amp;SIGN(W199-Panchanga!$W198)*INT(Panchanga!$W198/30+1)&amp;"J, "&amp;SIGN(X199-Panchanga!$X198)*INT(Panchanga!$X198/30+1)&amp;"V,"&amp;SIGN(Y199-Panchanga!$Y198)*INT(Panchanga!$Y198/30+1)&amp;"S,"&amp;INT(Panchanga!$Z198/30+1)&amp;"R"</f>
        <v>5Ma,5Me,8J, 5V,-9S,3R</v>
      </c>
      <c r="S198" s="4">
        <f t="shared" si="40"/>
        <v>139.02199574525949</v>
      </c>
      <c r="T198" s="4">
        <f t="shared" si="41"/>
        <v>227.67325869605523</v>
      </c>
      <c r="U198" s="4">
        <f>Planet(Panchanga!$E198,4)</f>
        <v>137.83747696411729</v>
      </c>
      <c r="V198" s="4">
        <f>Planet(Panchanga!$E198,2)</f>
        <v>140.85277090837189</v>
      </c>
      <c r="W198" s="4">
        <f>Planet(Panchanga!$E198,5)</f>
        <v>231.35806535174393</v>
      </c>
      <c r="X198" s="4">
        <f>Planet(Panchanga!$E198,3)</f>
        <v>145.25899457076684</v>
      </c>
      <c r="Y198" s="4">
        <f>Planet(Panchanga!$E198,6)</f>
        <v>259.90525466037258</v>
      </c>
      <c r="Z198" s="4">
        <f>Planet(Panchanga!$E198,10)</f>
        <v>80.306262174642569</v>
      </c>
      <c r="AA198" s="4" t="str">
        <f>TEXT(Panchanga!$C198+($C199-Panchanga!$C198)/ABS(IF($P199&lt;1,$P199+30,$P199)-Panchanga!$P198)*(ROUNDUP(Panchanga!$P198,0)-Panchanga!$P198),"hh:mm AM/PM")</f>
        <v>08:48 PM</v>
      </c>
      <c r="AB198" s="4"/>
    </row>
    <row r="199" spans="1:28" x14ac:dyDescent="0.2">
      <c r="A199" s="3">
        <f t="shared" si="36"/>
        <v>43715</v>
      </c>
      <c r="B199" s="3">
        <f t="shared" si="37"/>
        <v>43715.229166666664</v>
      </c>
      <c r="C199" s="15">
        <f t="shared" si="38"/>
        <v>43715.249542441372</v>
      </c>
      <c r="D199" s="15">
        <f t="shared" si="39"/>
        <v>43714.761660556353</v>
      </c>
      <c r="E199" s="17">
        <f>Panchanga!$C199-TimeZone/24</f>
        <v>43715.020375774708</v>
      </c>
      <c r="F199" s="18" t="str">
        <f>INT(P[Sun]/30)&amp;"s"&amp;ROUNDUP(MOD(P[Sun],30),2)</f>
        <v>4s20</v>
      </c>
      <c r="G199" s="18" t="str">
        <f>INT(P[Moon]/30)&amp;"s"&amp;ROUNDUP(MOD(P[Moon],30),2)</f>
        <v>8s0.55</v>
      </c>
      <c r="H199" s="14">
        <f t="shared" si="35"/>
        <v>43715.020375774708</v>
      </c>
      <c r="I199" s="4" t="str">
        <f>naks(P[[#This Row],[Moon]])</f>
        <v>Moola</v>
      </c>
      <c r="J199" s="15">
        <f>(C200-P[[#This Row],[SunRise]])/(T200-P[[#This Row],[Moon]])*(13.3333333333333-MOD(P[[#This Row],[Moon]],13.333333333333))+P[[#This Row],[SunRise]]</f>
        <v>43716.269676610165</v>
      </c>
      <c r="K199" s="4" t="str">
        <f>IF(Panchanga!$P199&gt;15,"K","S")&amp;ROUNDUP(MOD(Panchanga!$P199,15),0)&amp;" ("&amp;ROUND(Panchanga!$P199,2)&amp;")"</f>
        <v>S9 (8.38)</v>
      </c>
      <c r="L199" s="4">
        <f>IF(AND(Panchanga!$P199&lt;28.5,Panchanga!$P199&gt;0.49999),MOD((Panchanga!$P199-0.5)*2,7),MOD((Panchanga!$P199+30-28.5),30)*2+7)</f>
        <v>1.7593999999999994</v>
      </c>
      <c r="M199" s="4" t="str">
        <f>CHOOSE(ROUNDUP(Panchanga!$L199,0),"Bhava","Baalava","Kaulava","Taitula","Garija","Vanija","Vishti","Shakuni","Chatushapda","Naaga","Kimstugna")</f>
        <v>Baalava</v>
      </c>
      <c r="N199" s="11" t="str">
        <f>CHOOSE(ROUNDUP(Panchanga!$Q199,0),"viṣkambha","prīti","āyuṣmāna","saubhāgya","śobhana","atigaṇḍa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("&amp;Panchanga!$Q199&amp;")"</f>
        <v>prīti (1.55)</v>
      </c>
      <c r="O199" s="4">
        <f>IF(AND(Panchanga!$P199&lt;28.5,Panchanga!$P199&gt;0.49999),MOD((Panchanga!$P199-0.5)*2,7),MOD((Panchanga!$P199+30-28.5),30)*2+7)</f>
        <v>1.7593999999999994</v>
      </c>
      <c r="P199" s="4">
        <f>ROUNDUP(MOD(360+P[Moon]-P[Sun],360)/12,4)</f>
        <v>8.3796999999999997</v>
      </c>
      <c r="Q199" s="4">
        <f>ROUNDUP(MOD(P[Sun]+P[Moon],360)/13.333333333,2)</f>
        <v>1.55</v>
      </c>
      <c r="R199" s="4" t="str">
        <f>SIGN(U200-Panchanga!$U199)*INT(Panchanga!$U199/30+1)&amp;"Ma,"&amp;SIGN(V200-Panchanga!$V199)*INT(Panchanga!$V199/30+1)&amp;"Me,"&amp;SIGN(W200-Panchanga!$W199)*INT(Panchanga!$W199/30+1)&amp;"J, "&amp;SIGN(X200-Panchanga!$X199)*INT(Panchanga!$X199/30+1)&amp;"V,"&amp;SIGN(Y200-Panchanga!$Y199)*INT(Panchanga!$Y199/30+1)&amp;"S,"&amp;INT(Panchanga!$Z199/30+1)&amp;"R"</f>
        <v>5Ma,5Me,8J, 5V,-9S,3R</v>
      </c>
      <c r="S199" s="4">
        <f t="shared" si="40"/>
        <v>139.99173987436566</v>
      </c>
      <c r="T199" s="4">
        <f t="shared" si="41"/>
        <v>240.54780212396182</v>
      </c>
      <c r="U199" s="4">
        <f>Planet(Panchanga!$E199,4)</f>
        <v>138.47522778325995</v>
      </c>
      <c r="V199" s="4">
        <f>Planet(Panchanga!$E199,2)</f>
        <v>142.73455660201697</v>
      </c>
      <c r="W199" s="4">
        <f>Planet(Panchanga!$E199,5)</f>
        <v>231.43524897196028</v>
      </c>
      <c r="X199" s="4">
        <f>Planet(Panchanga!$E199,3)</f>
        <v>146.49981366338343</v>
      </c>
      <c r="Y199" s="4">
        <f>Planet(Panchanga!$E199,6)</f>
        <v>259.88619657285943</v>
      </c>
      <c r="Z199" s="4">
        <f>Planet(Panchanga!$E199,10)</f>
        <v>80.253269201295879</v>
      </c>
      <c r="AA199" s="4" t="str">
        <f>TEXT(Panchanga!$C199+($C200-Panchanga!$C199)/ABS(IF($P200&lt;1,$P200+30,$P200)-Panchanga!$P199)*(ROUNDUP(Panchanga!$P199,0)-Panchanga!$P199),"hh:mm AM/PM")</f>
        <v>09:26 PM</v>
      </c>
      <c r="AB199" s="4"/>
    </row>
    <row r="200" spans="1:28" x14ac:dyDescent="0.2">
      <c r="A200" s="3">
        <f t="shared" si="36"/>
        <v>43716</v>
      </c>
      <c r="B200" s="3">
        <f t="shared" si="37"/>
        <v>43716.229166666664</v>
      </c>
      <c r="C200" s="15">
        <f t="shared" si="38"/>
        <v>43716.249558971882</v>
      </c>
      <c r="D200" s="15">
        <f t="shared" si="39"/>
        <v>43715.761170844591</v>
      </c>
      <c r="E200" s="17">
        <f>Panchanga!$C200-TimeZone/24</f>
        <v>43716.020392305218</v>
      </c>
      <c r="F200" s="18" t="str">
        <f>INT(P[Sun]/30)&amp;"s"&amp;ROUNDUP(MOD(P[Sun],30),2)</f>
        <v>4s20.97</v>
      </c>
      <c r="G200" s="18" t="str">
        <f>INT(P[Moon]/30)&amp;"s"&amp;ROUNDUP(MOD(P[Moon],30),2)</f>
        <v>8s13.09</v>
      </c>
      <c r="H200" s="14">
        <f t="shared" si="35"/>
        <v>43716.020392305218</v>
      </c>
      <c r="I200" s="4" t="str">
        <f>naks(P[[#This Row],[Moon]])</f>
        <v>Moola</v>
      </c>
      <c r="J200" s="15">
        <f>(C201-P[[#This Row],[SunRise]])/(T201-P[[#This Row],[Moon]])*(13.3333333333333-MOD(P[[#This Row],[Moon]],13.333333333333))+P[[#This Row],[SunRise]]</f>
        <v>43716.270112484373</v>
      </c>
      <c r="K200" s="4" t="str">
        <f>IF(Panchanga!$P200&gt;15,"K","S")&amp;ROUNDUP(MOD(Panchanga!$P200,15),0)&amp;" ("&amp;ROUND(Panchanga!$P200,2)&amp;")"</f>
        <v>S10 (9.34)</v>
      </c>
      <c r="L200" s="4">
        <f>IF(AND(Panchanga!$P200&lt;28.5,Panchanga!$P200&gt;0.49999),MOD((Panchanga!$P200-0.5)*2,7),MOD((Panchanga!$P200+30-28.5),30)*2+7)</f>
        <v>3.6865999999999985</v>
      </c>
      <c r="M200" s="4" t="str">
        <f>CHOOSE(ROUNDUP(Panchanga!$L200,0),"Bhava","Baalava","Kaulava","Taitula","Garija","Vanija","Vishti","Shakuni","Chatushapda","Naaga","Kimstugna")</f>
        <v>Taitula</v>
      </c>
      <c r="N200" s="11" t="str">
        <f>CHOOSE(ROUNDUP(Panchanga!$Q200,0),"viṣkambha","prīti","āyuṣmāna","saubhāgya","śobhana","atigaṇḍa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("&amp;Panchanga!$Q200&amp;")"</f>
        <v>āyuṣmāna (2.56)</v>
      </c>
      <c r="O200" s="4">
        <f>IF(AND(Panchanga!$P200&lt;28.5,Panchanga!$P200&gt;0.49999),MOD((Panchanga!$P200-0.5)*2,7),MOD((Panchanga!$P200+30-28.5),30)*2+7)</f>
        <v>3.6865999999999985</v>
      </c>
      <c r="P200" s="4">
        <f>ROUNDUP(MOD(360+P[Moon]-P[Sun],360)/12,4)</f>
        <v>9.3432999999999993</v>
      </c>
      <c r="Q200" s="4">
        <f>ROUNDUP(MOD(P[Sun]+P[Moon],360)/13.333333333,2)</f>
        <v>2.5599999999999996</v>
      </c>
      <c r="R200" s="4" t="str">
        <f>SIGN(U201-Panchanga!$U200)*INT(Panchanga!$U200/30+1)&amp;"Ma,"&amp;SIGN(V201-Panchanga!$V200)*INT(Panchanga!$V200/30+1)&amp;"Me,"&amp;SIGN(W201-Panchanga!$W200)*INT(Panchanga!$W200/30+1)&amp;"J, "&amp;SIGN(X201-Panchanga!$X200)*INT(Panchanga!$X200/30+1)&amp;"V,"&amp;SIGN(Y201-Panchanga!$Y200)*INT(Panchanga!$Y200/30+1)&amp;"S,"&amp;INT(Panchanga!$Z200/30+1)&amp;"R"</f>
        <v>5Ma,5Me,8J, 5V,-9S,3R</v>
      </c>
      <c r="S200" s="4">
        <f t="shared" si="40"/>
        <v>140.9618883167457</v>
      </c>
      <c r="T200" s="4">
        <f t="shared" si="41"/>
        <v>253.0811952323123</v>
      </c>
      <c r="U200" s="4">
        <f>Planet(Panchanga!$E200,4)</f>
        <v>139.11311217923659</v>
      </c>
      <c r="V200" s="4">
        <f>Planet(Panchanga!$E200,2)</f>
        <v>144.59806734250202</v>
      </c>
      <c r="W200" s="4">
        <f>Planet(Panchanga!$E200,5)</f>
        <v>231.51518118410706</v>
      </c>
      <c r="X200" s="4">
        <f>Planet(Panchanga!$E200,3)</f>
        <v>147.74073248415951</v>
      </c>
      <c r="Y200" s="4">
        <f>Planet(Panchanga!$E200,6)</f>
        <v>259.86871682302484</v>
      </c>
      <c r="Z200" s="4">
        <f>Planet(Panchanga!$E200,10)</f>
        <v>80.200276329004836</v>
      </c>
      <c r="AA200" s="4" t="str">
        <f>TEXT(Panchanga!$C200+($C201-Panchanga!$C200)/ABS(IF($P201&lt;1,$P201+30,$P201)-Panchanga!$P200)*(ROUNDUP(Panchanga!$P200,0)-Panchanga!$P200),"hh:mm AM/PM")</f>
        <v>10:43 PM</v>
      </c>
      <c r="AB200" s="4"/>
    </row>
    <row r="201" spans="1:28" x14ac:dyDescent="0.2">
      <c r="A201" s="3">
        <f t="shared" si="36"/>
        <v>43717</v>
      </c>
      <c r="B201" s="3">
        <f t="shared" si="37"/>
        <v>43717.229166666664</v>
      </c>
      <c r="C201" s="15">
        <f t="shared" si="38"/>
        <v>43717.249573912624</v>
      </c>
      <c r="D201" s="15">
        <f t="shared" si="39"/>
        <v>43716.760678112551</v>
      </c>
      <c r="E201" s="17">
        <f>Panchanga!$C201-TimeZone/24</f>
        <v>43717.02040724596</v>
      </c>
      <c r="F201" s="18" t="str">
        <f>INT(P[Sun]/30)&amp;"s"&amp;ROUNDUP(MOD(P[Sun],30),2)</f>
        <v>4s21.94</v>
      </c>
      <c r="G201" s="18" t="str">
        <f>INT(P[Moon]/30)&amp;"s"&amp;ROUNDUP(MOD(P[Moon],30),2)</f>
        <v>8s25.35</v>
      </c>
      <c r="H201" s="14">
        <f t="shared" si="35"/>
        <v>43717.02040724596</v>
      </c>
      <c r="I201" s="4" t="str">
        <f>naks(P[[#This Row],[Moon]])</f>
        <v>Purva Asadha</v>
      </c>
      <c r="J201" s="15">
        <f>(C202-P[[#This Row],[SunRise]])/(T202-P[[#This Row],[Moon]])*(13.3333333333333-MOD(P[[#This Row],[Moon]],13.333333333333))+P[[#This Row],[SunRise]]</f>
        <v>43717.358717735129</v>
      </c>
      <c r="K201" s="4" t="str">
        <f>IF(Panchanga!$P201&gt;15,"K","S")&amp;ROUNDUP(MOD(Panchanga!$P201,15),0)&amp;" ("&amp;ROUND(Panchanga!$P201,2)&amp;")"</f>
        <v>S11 (10.28)</v>
      </c>
      <c r="L201" s="4">
        <f>IF(AND(Panchanga!$P201&lt;28.5,Panchanga!$P201&gt;0.49999),MOD((Panchanga!$P201-0.5)*2,7),MOD((Panchanga!$P201+30-28.5),30)*2+7)</f>
        <v>5.5693999999999981</v>
      </c>
      <c r="M201" s="4" t="str">
        <f>CHOOSE(ROUNDUP(Panchanga!$L201,0),"Bhava","Baalava","Kaulava","Taitula","Garija","Vanija","Vishti","Shakuni","Chatushapda","Naaga","Kimstugna")</f>
        <v>Vanija</v>
      </c>
      <c r="N201" s="11" t="str">
        <f>CHOOSE(ROUNDUP(Panchanga!$Q201,0),"viṣkambha","prīti","āyuṣmāna","saubhāgya","śobhana","atigaṇḍa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("&amp;Panchanga!$Q201&amp;")"</f>
        <v>saubhāgya (3.55)</v>
      </c>
      <c r="O201" s="4">
        <f>IF(AND(Panchanga!$P201&lt;28.5,Panchanga!$P201&gt;0.49999),MOD((Panchanga!$P201-0.5)*2,7),MOD((Panchanga!$P201+30-28.5),30)*2+7)</f>
        <v>5.5693999999999981</v>
      </c>
      <c r="P201" s="4">
        <f>ROUNDUP(MOD(360+P[Moon]-P[Sun],360)/12,4)</f>
        <v>10.284699999999999</v>
      </c>
      <c r="Q201" s="4">
        <f>ROUNDUP(MOD(P[Sun]+P[Moon],360)/13.333333333,2)</f>
        <v>3.55</v>
      </c>
      <c r="R201" s="4" t="str">
        <f>SIGN(U202-Panchanga!$U201)*INT(Panchanga!$U201/30+1)&amp;"Ma,"&amp;SIGN(V202-Panchanga!$V201)*INT(Panchanga!$V201/30+1)&amp;"Me,"&amp;SIGN(W202-Panchanga!$W201)*INT(Panchanga!$W201/30+1)&amp;"J, "&amp;SIGN(X202-Panchanga!$X201)*INT(Panchanga!$X201/30+1)&amp;"V,"&amp;SIGN(Y202-Panchanga!$Y201)*INT(Panchanga!$Y201/30+1)&amp;"S,"&amp;INT(Panchanga!$Z201/30+1)&amp;"R"</f>
        <v>5Ma,5Me,8J, 5V,-9S,3R</v>
      </c>
      <c r="S201" s="4">
        <f t="shared" si="40"/>
        <v>141.93245259151155</v>
      </c>
      <c r="T201" s="4">
        <f t="shared" si="41"/>
        <v>265.34877568638734</v>
      </c>
      <c r="U201" s="4">
        <f>Planet(Panchanga!$E201,4)</f>
        <v>139.75113591499991</v>
      </c>
      <c r="V201" s="4">
        <f>Planet(Panchanga!$E201,2)</f>
        <v>146.44292361932287</v>
      </c>
      <c r="W201" s="4">
        <f>Planet(Panchanga!$E201,5)</f>
        <v>231.59783650350289</v>
      </c>
      <c r="X201" s="4">
        <f>Planet(Panchanga!$E201,3)</f>
        <v>148.98174866338661</v>
      </c>
      <c r="Y201" s="4">
        <f>Planet(Panchanga!$E201,6)</f>
        <v>259.85282225176877</v>
      </c>
      <c r="Z201" s="4">
        <f>Planet(Panchanga!$E201,10)</f>
        <v>80.147283540985356</v>
      </c>
      <c r="AA201" s="4" t="str">
        <f>TEXT(Panchanga!$C201+($C202-Panchanga!$C201)/ABS(IF($P202&lt;1,$P202+30,$P202)-Panchanga!$P201)*(ROUNDUP(Panchanga!$P201,0)-Panchanga!$P201),"hh:mm AM/PM")</f>
        <v>12:32 AM</v>
      </c>
      <c r="AB201" s="4"/>
    </row>
    <row r="202" spans="1:28" x14ac:dyDescent="0.2">
      <c r="A202" s="3">
        <f t="shared" si="36"/>
        <v>43718</v>
      </c>
      <c r="B202" s="3">
        <f t="shared" si="37"/>
        <v>43718.229166666664</v>
      </c>
      <c r="C202" s="15">
        <f t="shared" si="38"/>
        <v>43718.249587264065</v>
      </c>
      <c r="D202" s="15">
        <f t="shared" si="39"/>
        <v>43717.760182519953</v>
      </c>
      <c r="E202" s="17">
        <f>Panchanga!$C202-TimeZone/24</f>
        <v>43718.020420597401</v>
      </c>
      <c r="F202" s="18" t="str">
        <f>INT(P[Sun]/30)&amp;"s"&amp;ROUNDUP(MOD(P[Sun],30),2)</f>
        <v>4s22.91</v>
      </c>
      <c r="G202" s="18" t="str">
        <f>INT(P[Moon]/30)&amp;"s"&amp;ROUNDUP(MOD(P[Moon],30),2)</f>
        <v>9s7.43</v>
      </c>
      <c r="H202" s="14">
        <f t="shared" ref="H202:H265" si="42">E202</f>
        <v>43718.020420597401</v>
      </c>
      <c r="I202" s="4" t="str">
        <f>naks(P[[#This Row],[Moon]])</f>
        <v>Uttara Asadha</v>
      </c>
      <c r="J202" s="15">
        <f>(C203-P[[#This Row],[SunRise]])/(T203-P[[#This Row],[Moon]])*(13.3333333333333-MOD(P[[#This Row],[Moon]],13.333333333333))+P[[#This Row],[SunRise]]</f>
        <v>43718.465212106923</v>
      </c>
      <c r="K202" s="4" t="str">
        <f>IF(Panchanga!$P202&gt;15,"K","S")&amp;ROUNDUP(MOD(Panchanga!$P202,15),0)&amp;" ("&amp;ROUND(Panchanga!$P202,2)&amp;")"</f>
        <v>S12 (11.21)</v>
      </c>
      <c r="L202" s="4">
        <f>IF(AND(Panchanga!$P202&lt;28.5,Panchanga!$P202&gt;0.49999),MOD((Panchanga!$P202-0.5)*2,7),MOD((Panchanga!$P202+30-28.5),30)*2+7)</f>
        <v>0.42020000000000124</v>
      </c>
      <c r="M202" s="4" t="str">
        <f>CHOOSE(ROUNDUP(Panchanga!$L202,0),"Bhava","Baalava","Kaulava","Taitula","Garija","Vanija","Vishti","Shakuni","Chatushapda","Naaga","Kimstugna")</f>
        <v>Bhava</v>
      </c>
      <c r="N202" s="11" t="str">
        <f>CHOOSE(ROUNDUP(Panchanga!$Q202,0),"viṣkambha","prīti","āyuṣmāna","saubhāgya","śobhana","atigaṇḍa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("&amp;Panchanga!$Q202&amp;")"</f>
        <v>śobhana (4.53)</v>
      </c>
      <c r="O202" s="4">
        <f>IF(AND(Panchanga!$P202&lt;28.5,Panchanga!$P202&gt;0.49999),MOD((Panchanga!$P202-0.5)*2,7),MOD((Panchanga!$P202+30-28.5),30)*2+7)</f>
        <v>0.42020000000000124</v>
      </c>
      <c r="P202" s="4">
        <f>ROUNDUP(MOD(360+P[Moon]-P[Sun],360)/12,4)</f>
        <v>11.210100000000001</v>
      </c>
      <c r="Q202" s="4">
        <f>ROUNDUP(MOD(P[Sun]+P[Moon],360)/13.333333333,2)</f>
        <v>4.5299999999999994</v>
      </c>
      <c r="R202" s="4" t="str">
        <f>SIGN(U203-Panchanga!$U202)*INT(Panchanga!$U202/30+1)&amp;"Ma,"&amp;SIGN(V203-Panchanga!$V202)*INT(Panchanga!$V202/30+1)&amp;"Me,"&amp;SIGN(W203-Panchanga!$W202)*INT(Panchanga!$W202/30+1)&amp;"J, "&amp;SIGN(X203-Panchanga!$X202)*INT(Panchanga!$X202/30+1)&amp;"V,"&amp;SIGN(Y203-Panchanga!$Y202)*INT(Panchanga!$Y202/30+1)&amp;"S,"&amp;INT(Panchanga!$Z202/30+1)&amp;"R"</f>
        <v>5Ma,5Me,8J, 6V,-9S,3R</v>
      </c>
      <c r="S202" s="4">
        <f t="shared" si="40"/>
        <v>142.90344584126638</v>
      </c>
      <c r="T202" s="4">
        <f t="shared" si="41"/>
        <v>277.42374746043225</v>
      </c>
      <c r="U202" s="4">
        <f>Planet(Panchanga!$E202,4)</f>
        <v>140.38930590398925</v>
      </c>
      <c r="V202" s="4">
        <f>Planet(Panchanga!$E202,2)</f>
        <v>148.26890387612519</v>
      </c>
      <c r="W202" s="4">
        <f>Planet(Panchanga!$E202,5)</f>
        <v>231.68318960838928</v>
      </c>
      <c r="X202" s="4">
        <f>Planet(Panchanga!$E202,3)</f>
        <v>150.22286066606387</v>
      </c>
      <c r="Y202" s="4">
        <f>Planet(Panchanga!$E202,6)</f>
        <v>259.83851918628574</v>
      </c>
      <c r="Z202" s="4">
        <f>Planet(Panchanga!$E202,10)</f>
        <v>80.094290837171215</v>
      </c>
      <c r="AA202" s="4" t="str">
        <f>TEXT(Panchanga!$C202+($C203-Panchanga!$C202)/ABS(IF($P203&lt;1,$P203+30,$P203)-Panchanga!$P202)*(ROUNDUP(Panchanga!$P202,0)-Panchanga!$P202),"hh:mm AM/PM")</f>
        <v>02:42 AM</v>
      </c>
      <c r="AB202" s="4"/>
    </row>
    <row r="203" spans="1:28" x14ac:dyDescent="0.2">
      <c r="A203" s="3">
        <f t="shared" ref="A203:A266" si="43">A202+1</f>
        <v>43719</v>
      </c>
      <c r="B203" s="3">
        <f t="shared" si="37"/>
        <v>43719.229166666664</v>
      </c>
      <c r="C203" s="15">
        <f t="shared" si="38"/>
        <v>43719.24959950304</v>
      </c>
      <c r="D203" s="15">
        <f t="shared" si="39"/>
        <v>43718.759684543169</v>
      </c>
      <c r="E203" s="17">
        <f>Panchanga!$C203-TimeZone/24</f>
        <v>43719.020432836376</v>
      </c>
      <c r="F203" s="18" t="str">
        <f>INT(P[Sun]/30)&amp;"s"&amp;ROUNDUP(MOD(P[Sun],30),2)</f>
        <v>4s23.88</v>
      </c>
      <c r="G203" s="18" t="str">
        <f>INT(P[Moon]/30)&amp;"s"&amp;ROUNDUP(MOD(P[Moon],30),2)</f>
        <v>9s19.38</v>
      </c>
      <c r="H203" s="14">
        <f t="shared" si="42"/>
        <v>43719.020432836376</v>
      </c>
      <c r="I203" s="4" t="str">
        <f>naks(P[[#This Row],[Moon]])</f>
        <v>Sravana</v>
      </c>
      <c r="J203" s="15">
        <f>(C204-P[[#This Row],[SunRise]])/(T204-P[[#This Row],[Moon]])*(13.3333333333333-MOD(P[[#This Row],[Moon]],13.333333333333))+P[[#This Row],[SunRise]]</f>
        <v>43719.583175425061</v>
      </c>
      <c r="K203" s="4" t="str">
        <f>IF(Panchanga!$P203&gt;15,"K","S")&amp;ROUNDUP(MOD(Panchanga!$P203,15),0)&amp;" ("&amp;ROUND(Panchanga!$P203,2)&amp;")"</f>
        <v>S13 (12.12)</v>
      </c>
      <c r="L203" s="4">
        <f>IF(AND(Panchanga!$P203&lt;28.5,Panchanga!$P203&gt;0.49999),MOD((Panchanga!$P203-0.5)*2,7),MOD((Panchanga!$P203+30-28.5),30)*2+7)</f>
        <v>2.2496000000000009</v>
      </c>
      <c r="M203" s="4" t="str">
        <f>CHOOSE(ROUNDUP(Panchanga!$L203,0),"Bhava","Baalava","Kaulava","Taitula","Garija","Vanija","Vishti","Shakuni","Chatushapda","Naaga","Kimstugna")</f>
        <v>Kaulava</v>
      </c>
      <c r="N203" s="11" t="str">
        <f>CHOOSE(ROUNDUP(Panchanga!$Q203,0),"viṣkambha","prīti","āyuṣmāna","saubhāgya","śobhana","atigaṇḍa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("&amp;Panchanga!$Q203&amp;")"</f>
        <v>atigaṇḍa  (5.5)</v>
      </c>
      <c r="O203" s="4">
        <f>IF(AND(Panchanga!$P203&lt;28.5,Panchanga!$P203&gt;0.49999),MOD((Panchanga!$P203-0.5)*2,7),MOD((Panchanga!$P203+30-28.5),30)*2+7)</f>
        <v>2.2496000000000009</v>
      </c>
      <c r="P203" s="4">
        <f>ROUNDUP(MOD(360+P[Moon]-P[Sun],360)/12,4)</f>
        <v>12.1248</v>
      </c>
      <c r="Q203" s="4">
        <f>ROUNDUP(MOD(P[Sun]+P[Moon],360)/13.333333333,2)</f>
        <v>5.5</v>
      </c>
      <c r="R203" s="4" t="str">
        <f>SIGN(U204-Panchanga!$U203)*INT(Panchanga!$U203/30+1)&amp;"Ma,"&amp;SIGN(V204-Panchanga!$V203)*INT(Panchanga!$V203/30+1)&amp;"Me,"&amp;SIGN(W204-Panchanga!$W203)*INT(Panchanga!$W203/30+1)&amp;"J, "&amp;SIGN(X204-Panchanga!$X203)*INT(Panchanga!$X203/30+1)&amp;"V,"&amp;SIGN(Y204-Panchanga!$Y203)*INT(Panchanga!$Y203/30+1)&amp;"S,"&amp;INT(Panchanga!$Z203/30+1)&amp;"R"</f>
        <v>5Ma,6Me,8J, 6V,-9S,3R</v>
      </c>
      <c r="S203" s="4">
        <f t="shared" si="40"/>
        <v>143.87488312008</v>
      </c>
      <c r="T203" s="4">
        <f t="shared" si="41"/>
        <v>289.37174026183948</v>
      </c>
      <c r="U203" s="4">
        <f>Planet(Panchanga!$E203,4)</f>
        <v>141.02763020668655</v>
      </c>
      <c r="V203" s="4">
        <f>Planet(Panchanga!$E203,2)</f>
        <v>150.07591740820843</v>
      </c>
      <c r="W203" s="4">
        <f>Planet(Panchanga!$E203,5)</f>
        <v>231.77121543655898</v>
      </c>
      <c r="X203" s="4">
        <f>Planet(Panchanga!$E203,3)</f>
        <v>151.46406852352445</v>
      </c>
      <c r="Y203" s="4">
        <f>Planet(Panchanga!$E203,6)</f>
        <v>259.82581347818655</v>
      </c>
      <c r="Z203" s="4">
        <f>Planet(Panchanga!$E203,10)</f>
        <v>80.041298192294889</v>
      </c>
      <c r="AA203" s="4" t="str">
        <f>TEXT(Panchanga!$C203+($C204-Panchanga!$C203)/ABS(IF($P204&lt;1,$P204+30,$P204)-Panchanga!$P203)*(ROUNDUP(Panchanga!$P203,0)-Panchanga!$P203),"hh:mm AM/PM")</f>
        <v>05:06 AM</v>
      </c>
      <c r="AB203" s="4"/>
    </row>
    <row r="204" spans="1:28" x14ac:dyDescent="0.2">
      <c r="A204" s="3">
        <f t="shared" si="43"/>
        <v>43720</v>
      </c>
      <c r="B204" s="3">
        <f t="shared" si="37"/>
        <v>43720.229166666664</v>
      </c>
      <c r="C204" s="15">
        <f t="shared" si="38"/>
        <v>43720.249610470295</v>
      </c>
      <c r="D204" s="15">
        <f t="shared" si="39"/>
        <v>43719.75918434099</v>
      </c>
      <c r="E204" s="17">
        <f>Panchanga!$C204-TimeZone/24</f>
        <v>43720.020443803631</v>
      </c>
      <c r="F204" s="18" t="str">
        <f>INT(P[Sun]/30)&amp;"s"&amp;ROUNDUP(MOD(P[Sun],30),2)</f>
        <v>4s24.85</v>
      </c>
      <c r="G204" s="18" t="str">
        <f>INT(P[Moon]/30)&amp;"s"&amp;ROUNDUP(MOD(P[Moon],30),2)</f>
        <v>10s1.25</v>
      </c>
      <c r="H204" s="14">
        <f t="shared" si="42"/>
        <v>43720.020443803631</v>
      </c>
      <c r="I204" s="4" t="str">
        <f>naks(P[[#This Row],[Moon]])</f>
        <v>Dhanistha</v>
      </c>
      <c r="J204" s="15">
        <f>(C205-P[[#This Row],[SunRise]])/(T205-P[[#This Row],[Moon]])*(13.3333333333333-MOD(P[[#This Row],[Moon]],13.333333333333))+P[[#This Row],[SunRise]]</f>
        <v>43720.706931402245</v>
      </c>
      <c r="K204" s="4" t="str">
        <f>IF(Panchanga!$P204&gt;15,"K","S")&amp;ROUNDUP(MOD(Panchanga!$P204,15),0)&amp;" ("&amp;ROUND(Panchanga!$P204,2)&amp;")"</f>
        <v>S14 (13.03)</v>
      </c>
      <c r="L204" s="4">
        <f>IF(AND(Panchanga!$P204&lt;28.5,Panchanga!$P204&gt;0.49999),MOD((Panchanga!$P204-0.5)*2,7),MOD((Panchanga!$P204+30-28.5),30)*2+7)</f>
        <v>4.0670000000000002</v>
      </c>
      <c r="M204" s="4" t="str">
        <f>CHOOSE(ROUNDUP(Panchanga!$L204,0),"Bhava","Baalava","Kaulava","Taitula","Garija","Vanija","Vishti","Shakuni","Chatushapda","Naaga","Kimstugna")</f>
        <v>Garija</v>
      </c>
      <c r="N204" s="11" t="str">
        <f>CHOOSE(ROUNDUP(Panchanga!$Q204,0),"viṣkambha","prīti","āyuṣmāna","saubhāgya","śobhana","atigaṇḍa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("&amp;Panchanga!$Q204&amp;")"</f>
        <v>sukarmā  (6.46)</v>
      </c>
      <c r="O204" s="4">
        <f>IF(AND(Panchanga!$P204&lt;28.5,Panchanga!$P204&gt;0.49999),MOD((Panchanga!$P204-0.5)*2,7),MOD((Panchanga!$P204+30-28.5),30)*2+7)</f>
        <v>4.0670000000000002</v>
      </c>
      <c r="P204" s="4">
        <f>ROUNDUP(MOD(360+P[Moon]-P[Sun],360)/12,4)</f>
        <v>13.0335</v>
      </c>
      <c r="Q204" s="4">
        <f>ROUNDUP(MOD(P[Sun]+P[Moon],360)/13.333333333,2)</f>
        <v>6.46</v>
      </c>
      <c r="R204" s="4" t="str">
        <f>SIGN(U205-Panchanga!$U204)*INT(Panchanga!$U204/30+1)&amp;"Ma,"&amp;SIGN(V205-Panchanga!$V204)*INT(Panchanga!$V204/30+1)&amp;"Me,"&amp;SIGN(W205-Panchanga!$W204)*INT(Panchanga!$W204/30+1)&amp;"J, "&amp;SIGN(X205-Panchanga!$X204)*INT(Panchanga!$X204/30+1)&amp;"V,"&amp;SIGN(Y205-Panchanga!$Y204)*INT(Panchanga!$Y204/30+1)&amp;"S,"&amp;INT(Panchanga!$Z204/30+1)&amp;"R"</f>
        <v>5Ma,6Me,8J, 6V,-9S,3R</v>
      </c>
      <c r="S204" s="4">
        <f t="shared" si="40"/>
        <v>144.84677998631201</v>
      </c>
      <c r="T204" s="4">
        <f t="shared" si="41"/>
        <v>301.2480066760711</v>
      </c>
      <c r="U204" s="4">
        <f>Planet(Panchanga!$E204,4)</f>
        <v>141.6661170439836</v>
      </c>
      <c r="V204" s="4">
        <f>Planet(Panchanga!$E204,2)</f>
        <v>151.86397736941331</v>
      </c>
      <c r="W204" s="4">
        <f>Planet(Panchanga!$E204,5)</f>
        <v>231.8618891008158</v>
      </c>
      <c r="X204" s="4">
        <f>Planet(Panchanga!$E204,3)</f>
        <v>152.70537228974595</v>
      </c>
      <c r="Y204" s="4">
        <f>Planet(Panchanga!$E204,6)</f>
        <v>259.81471055386584</v>
      </c>
      <c r="Z204" s="4">
        <f>Planet(Panchanga!$E204,10)</f>
        <v>79.98830561485623</v>
      </c>
      <c r="AA204" s="4" t="str">
        <f>TEXT(Panchanga!$C204+($C205-Panchanga!$C204)/ABS(IF($P205&lt;1,$P205+30,$P205)-Panchanga!$P204)*(ROUNDUP(Panchanga!$P204,0)-Panchanga!$P204),"hh:mm AM/PM")</f>
        <v>07:34 AM</v>
      </c>
      <c r="AB204" s="4"/>
    </row>
    <row r="205" spans="1:28" x14ac:dyDescent="0.2">
      <c r="A205" s="3">
        <f t="shared" si="43"/>
        <v>43721</v>
      </c>
      <c r="B205" s="3">
        <f t="shared" si="37"/>
        <v>43721.229166666664</v>
      </c>
      <c r="C205" s="15">
        <f t="shared" si="38"/>
        <v>43721.249620801922</v>
      </c>
      <c r="D205" s="15">
        <f t="shared" si="39"/>
        <v>43720.758682231462</v>
      </c>
      <c r="E205" s="17">
        <f>Panchanga!$C205-TimeZone/24</f>
        <v>43721.020454135258</v>
      </c>
      <c r="F205" s="18" t="str">
        <f>INT(P[Sun]/30)&amp;"s"&amp;ROUNDUP(MOD(P[Sun],30),2)</f>
        <v>4s25.82</v>
      </c>
      <c r="G205" s="18" t="str">
        <f>INT(P[Moon]/30)&amp;"s"&amp;ROUNDUP(MOD(P[Moon],30),2)</f>
        <v>10s13.1</v>
      </c>
      <c r="H205" s="14">
        <f t="shared" si="42"/>
        <v>43721.020454135258</v>
      </c>
      <c r="I205" s="4" t="str">
        <f>naks(P[[#This Row],[Moon]])</f>
        <v>Satabhisaj</v>
      </c>
      <c r="J205" s="15">
        <f>(C206-P[[#This Row],[SunRise]])/(T206-P[[#This Row],[Moon]])*(13.3333333333333-MOD(P[[#This Row],[Moon]],13.333333333333))+P[[#This Row],[SunRise]]</f>
        <v>43721.831885472566</v>
      </c>
      <c r="K205" s="4" t="str">
        <f>IF(Panchanga!$P205&gt;15,"K","S")&amp;ROUNDUP(MOD(Panchanga!$P205,15),0)&amp;" ("&amp;ROUND(Panchanga!$P205,2)&amp;")"</f>
        <v>S14 (13.94)</v>
      </c>
      <c r="L205" s="4">
        <f>IF(AND(Panchanga!$P205&lt;28.5,Panchanga!$P205&gt;0.49999),MOD((Panchanga!$P205-0.5)*2,7),MOD((Panchanga!$P205+30-28.5),30)*2+7)</f>
        <v>5.8797999999999995</v>
      </c>
      <c r="M205" s="4" t="str">
        <f>CHOOSE(ROUNDUP(Panchanga!$L205,0),"Bhava","Baalava","Kaulava","Taitula","Garija","Vanija","Vishti","Shakuni","Chatushapda","Naaga","Kimstugna")</f>
        <v>Vanija</v>
      </c>
      <c r="N205" s="11" t="str">
        <f>CHOOSE(ROUNDUP(Panchanga!$Q205,0),"viṣkambha","prīti","āyuṣmāna","saubhāgya","śobhana","atigaṇḍa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("&amp;Panchanga!$Q205&amp;")"</f>
        <v>dhṛti  (7.42)</v>
      </c>
      <c r="O205" s="4">
        <f>IF(AND(Panchanga!$P205&lt;28.5,Panchanga!$P205&gt;0.49999),MOD((Panchanga!$P205-0.5)*2,7),MOD((Panchanga!$P205+30-28.5),30)*2+7)</f>
        <v>5.8797999999999995</v>
      </c>
      <c r="P205" s="4">
        <f>ROUNDUP(MOD(360+P[Moon]-P[Sun],360)/12,4)</f>
        <v>13.9399</v>
      </c>
      <c r="Q205" s="4">
        <f>ROUNDUP(MOD(P[Sun]+P[Moon],360)/13.333333333,2)</f>
        <v>7.42</v>
      </c>
      <c r="R205" s="4" t="str">
        <f>SIGN(U206-Panchanga!$U205)*INT(Panchanga!$U205/30+1)&amp;"Ma,"&amp;SIGN(V206-Panchanga!$V205)*INT(Panchanga!$V205/30+1)&amp;"Me,"&amp;SIGN(W206-Panchanga!$W205)*INT(Panchanga!$W205/30+1)&amp;"J, "&amp;SIGN(X206-Panchanga!$X205)*INT(Panchanga!$X205/30+1)&amp;"V,"&amp;SIGN(Y206-Panchanga!$Y205)*INT(Panchanga!$Y205/30+1)&amp;"S,"&amp;INT(Panchanga!$Z205/30+1)&amp;"R"</f>
        <v>5Ma,6Me,8J, 6V,-9S,3R</v>
      </c>
      <c r="S205" s="4">
        <f t="shared" si="40"/>
        <v>145.81915366914137</v>
      </c>
      <c r="T205" s="4">
        <f t="shared" si="41"/>
        <v>313.09683229418823</v>
      </c>
      <c r="U205" s="4">
        <f>Planet(Panchanga!$E205,4)</f>
        <v>142.30477555153928</v>
      </c>
      <c r="V205" s="4">
        <f>Planet(Panchanga!$E205,2)</f>
        <v>153.63318182427534</v>
      </c>
      <c r="W205" s="4">
        <f>Planet(Panchanga!$E205,5)</f>
        <v>231.95518603052659</v>
      </c>
      <c r="X205" s="4">
        <f>Planet(Panchanga!$E205,3)</f>
        <v>153.94677371509874</v>
      </c>
      <c r="Y205" s="4">
        <f>Planet(Panchanga!$E205,6)</f>
        <v>259.8052154211012</v>
      </c>
      <c r="Z205" s="4">
        <f>Planet(Panchanga!$E205,10)</f>
        <v>79.935313071054878</v>
      </c>
      <c r="AA205" s="4" t="str">
        <f>TEXT(Panchanga!$C205+($C206-Panchanga!$C205)/ABS(IF($P206&lt;1,$P206+30,$P206)-Panchanga!$P205)*(ROUNDUP(Panchanga!$P205,0)-Panchanga!$P205),"hh:mm AM/PM")</f>
        <v>07:34 AM</v>
      </c>
      <c r="AB205" s="4"/>
    </row>
    <row r="206" spans="1:28" x14ac:dyDescent="0.2">
      <c r="A206" s="3">
        <f t="shared" si="43"/>
        <v>43722</v>
      </c>
      <c r="B206" s="3">
        <f t="shared" si="37"/>
        <v>43722.229166666664</v>
      </c>
      <c r="C206" s="15">
        <f t="shared" si="38"/>
        <v>43722.249630338665</v>
      </c>
      <c r="D206" s="15">
        <f t="shared" si="39"/>
        <v>43721.758178532167</v>
      </c>
      <c r="E206" s="17">
        <f>Panchanga!$C206-TimeZone/24</f>
        <v>43722.020463672001</v>
      </c>
      <c r="F206" s="18" t="str">
        <f>INT(P[Sun]/30)&amp;"s"&amp;ROUNDUP(MOD(P[Sun],30),2)</f>
        <v>4s26.8</v>
      </c>
      <c r="G206" s="18" t="str">
        <f>INT(P[Moon]/30)&amp;"s"&amp;ROUNDUP(MOD(P[Moon],30),2)</f>
        <v>10s24.96</v>
      </c>
      <c r="H206" s="14">
        <f t="shared" si="42"/>
        <v>43722.020463672001</v>
      </c>
      <c r="I206" s="4" t="str">
        <f>naks(P[[#This Row],[Moon]])</f>
        <v>Purva Bhadrapada</v>
      </c>
      <c r="J206" s="15">
        <f>(C207-P[[#This Row],[SunRise]])/(T207-P[[#This Row],[Moon]])*(13.3333333333333-MOD(P[[#This Row],[Moon]],13.333333333333))+P[[#This Row],[SunRise]]</f>
        <v>43722.954484241316</v>
      </c>
      <c r="K206" s="4" t="str">
        <f>IF(Panchanga!$P206&gt;15,"K","S")&amp;ROUNDUP(MOD(Panchanga!$P206,15),0)&amp;" ("&amp;ROUND(Panchanga!$P206,2)&amp;")"</f>
        <v>S15 (14.85)</v>
      </c>
      <c r="L206" s="4">
        <f>IF(AND(Panchanga!$P206&lt;28.5,Panchanga!$P206&gt;0.49999),MOD((Panchanga!$P206-0.5)*2,7),MOD((Panchanga!$P206+30-28.5),30)*2+7)</f>
        <v>0.69359999999999999</v>
      </c>
      <c r="M206" s="4" t="str">
        <f>CHOOSE(ROUNDUP(Panchanga!$L206,0),"Bhava","Baalava","Kaulava","Taitula","Garija","Vanija","Vishti","Shakuni","Chatushapda","Naaga","Kimstugna")</f>
        <v>Bhava</v>
      </c>
      <c r="N206" s="11" t="str">
        <f>CHOOSE(ROUNDUP(Panchanga!$Q206,0),"viṣkambha","prīti","āyuṣmāna","saubhāgya","śobhana","atigaṇḍa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("&amp;Panchanga!$Q206&amp;")"</f>
        <v>śūla  (8.39)</v>
      </c>
      <c r="O206" s="4">
        <f>IF(AND(Panchanga!$P206&lt;28.5,Panchanga!$P206&gt;0.49999),MOD((Panchanga!$P206-0.5)*2,7),MOD((Panchanga!$P206+30-28.5),30)*2+7)</f>
        <v>0.69359999999999999</v>
      </c>
      <c r="P206" s="4">
        <f>ROUNDUP(MOD(360+P[Moon]-P[Sun],360)/12,4)</f>
        <v>14.8468</v>
      </c>
      <c r="Q206" s="4">
        <f>ROUNDUP(MOD(P[Sun]+P[Moon],360)/13.333333333,2)</f>
        <v>8.39</v>
      </c>
      <c r="R206" s="4" t="str">
        <f>SIGN(U207-Panchanga!$U206)*INT(Panchanga!$U206/30+1)&amp;"Ma,"&amp;SIGN(V207-Panchanga!$V206)*INT(Panchanga!$V206/30+1)&amp;"Me,"&amp;SIGN(W207-Panchanga!$W206)*INT(Panchanga!$W206/30+1)&amp;"J, "&amp;SIGN(X207-Panchanga!$X206)*INT(Panchanga!$X206/30+1)&amp;"V,"&amp;SIGN(Y207-Panchanga!$Y206)*INT(Panchanga!$Y206/30+1)&amp;"S,"&amp;INT(Panchanga!$Z206/30+1)&amp;"R"</f>
        <v>5Ma,6Me,8J, 6V,-9S,3R</v>
      </c>
      <c r="S206" s="4">
        <f t="shared" si="40"/>
        <v>146.79202132102549</v>
      </c>
      <c r="T206" s="4">
        <f t="shared" si="41"/>
        <v>324.95266674132023</v>
      </c>
      <c r="U206" s="4">
        <f>Planet(Panchanga!$E206,4)</f>
        <v>142.94361464456935</v>
      </c>
      <c r="V206" s="4">
        <f>Planet(Panchanga!$E206,2)</f>
        <v>155.38369242858087</v>
      </c>
      <c r="W206" s="4">
        <f>Planet(Panchanga!$E206,5)</f>
        <v>232.05108185606406</v>
      </c>
      <c r="X206" s="4">
        <f>Planet(Panchanga!$E206,3)</f>
        <v>155.18827418846732</v>
      </c>
      <c r="Y206" s="4">
        <f>Planet(Panchanga!$E206,6)</f>
        <v>259.79733272645746</v>
      </c>
      <c r="Z206" s="4">
        <f>Planet(Panchanga!$E206,10)</f>
        <v>79.882320569407185</v>
      </c>
      <c r="AA206" s="4" t="str">
        <f>TEXT(Panchanga!$C206+($C207-Panchanga!$C206)/ABS(IF($P207&lt;1,$P207+30,$P207)-Panchanga!$P206)*(ROUNDUP(Panchanga!$P206,0)-Panchanga!$P206),"hh:mm AM/PM")</f>
        <v>10:01 AM</v>
      </c>
      <c r="AB206" s="4"/>
    </row>
    <row r="207" spans="1:28" x14ac:dyDescent="0.2">
      <c r="A207" s="3">
        <f t="shared" si="43"/>
        <v>43723</v>
      </c>
      <c r="B207" s="3">
        <f t="shared" si="37"/>
        <v>43723.229166666664</v>
      </c>
      <c r="C207" s="15">
        <f t="shared" si="38"/>
        <v>43723.249639557362</v>
      </c>
      <c r="D207" s="15">
        <f t="shared" si="39"/>
        <v>43722.757673561617</v>
      </c>
      <c r="E207" s="17">
        <f>Panchanga!$C207-TimeZone/24</f>
        <v>43723.020472890697</v>
      </c>
      <c r="F207" s="18" t="str">
        <f>INT(P[Sun]/30)&amp;"s"&amp;ROUNDUP(MOD(P[Sun],30),2)</f>
        <v>4s27.77</v>
      </c>
      <c r="G207" s="18" t="str">
        <f>INT(P[Moon]/30)&amp;"s"&amp;ROUNDUP(MOD(P[Moon],30),2)</f>
        <v>11s6.85</v>
      </c>
      <c r="H207" s="14">
        <f t="shared" si="42"/>
        <v>43723.020472890697</v>
      </c>
      <c r="I207" s="4" t="str">
        <f>naks(P[[#This Row],[Moon]])</f>
        <v>Uttara Bhadrapada</v>
      </c>
      <c r="J207" s="15">
        <f>(C208-P[[#This Row],[SunRise]])/(T208-P[[#This Row],[Moon]])*(13.3333333333333-MOD(P[[#This Row],[Moon]],13.333333333333))+P[[#This Row],[SunRise]]</f>
        <v>43724.07188553919</v>
      </c>
      <c r="K207" s="4" t="str">
        <f>IF(Panchanga!$P207&gt;15,"K","S")&amp;ROUNDUP(MOD(Panchanga!$P207,15),0)&amp;" ("&amp;ROUND(Panchanga!$P207,2)&amp;")"</f>
        <v>K1 (15.76)</v>
      </c>
      <c r="L207" s="4">
        <f>IF(AND(Panchanga!$P207&lt;28.5,Panchanga!$P207&gt;0.49999),MOD((Panchanga!$P207-0.5)*2,7),MOD((Panchanga!$P207+30-28.5),30)*2+7)</f>
        <v>2.5129999999999981</v>
      </c>
      <c r="M207" s="4" t="str">
        <f>CHOOSE(ROUNDUP(Panchanga!$L207,0),"Bhava","Baalava","Kaulava","Taitula","Garija","Vanija","Vishti","Shakuni","Chatushapda","Naaga","Kimstugna")</f>
        <v>Kaulava</v>
      </c>
      <c r="N207" s="11" t="str">
        <f>CHOOSE(ROUNDUP(Panchanga!$Q207,0),"viṣkambha","prīti","āyuṣmāna","saubhāgya","śobhana","atigaṇḍa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("&amp;Panchanga!$Q207&amp;")"</f>
        <v>gaṇḍa  (9.35)</v>
      </c>
      <c r="O207" s="4">
        <f>IF(AND(Panchanga!$P207&lt;28.5,Panchanga!$P207&gt;0.49999),MOD((Panchanga!$P207-0.5)*2,7),MOD((Panchanga!$P207+30-28.5),30)*2+7)</f>
        <v>2.5129999999999981</v>
      </c>
      <c r="P207" s="4">
        <f>ROUNDUP(MOD(360+P[Moon]-P[Sun],360)/12,4)</f>
        <v>15.756499999999999</v>
      </c>
      <c r="Q207" s="4">
        <f>ROUNDUP(MOD(P[Sun]+P[Moon],360)/13.333333333,2)</f>
        <v>9.35</v>
      </c>
      <c r="R207" s="4" t="str">
        <f>SIGN(U208-Panchanga!$U207)*INT(Panchanga!$U207/30+1)&amp;"Ma,"&amp;SIGN(V208-Panchanga!$V207)*INT(Panchanga!$V207/30+1)&amp;"Me,"&amp;SIGN(W208-Panchanga!$W207)*INT(Panchanga!$W207/30+1)&amp;"J, "&amp;SIGN(X208-Panchanga!$X207)*INT(Panchanga!$X207/30+1)&amp;"V,"&amp;SIGN(Y208-Panchanga!$Y207)*INT(Panchanga!$Y207/30+1)&amp;"S,"&amp;INT(Panchanga!$Z207/30+1)&amp;"R"</f>
        <v>5Ma,6Me,8J, 6V,-9S,3R</v>
      </c>
      <c r="S207" s="4">
        <f t="shared" si="40"/>
        <v>147.76540115786415</v>
      </c>
      <c r="T207" s="4">
        <f t="shared" si="41"/>
        <v>336.84271064871871</v>
      </c>
      <c r="U207" s="4">
        <f>Planet(Panchanga!$E207,4)</f>
        <v>143.582643804388</v>
      </c>
      <c r="V207" s="4">
        <f>Planet(Panchanga!$E207,2)</f>
        <v>157.11572113843897</v>
      </c>
      <c r="W207" s="4">
        <f>Planet(Panchanga!$E207,5)</f>
        <v>232.14955258199825</v>
      </c>
      <c r="X207" s="4">
        <f>Planet(Panchanga!$E207,3)</f>
        <v>156.42987641421516</v>
      </c>
      <c r="Y207" s="4">
        <f>Planet(Panchanga!$E207,6)</f>
        <v>259.79106678002529</v>
      </c>
      <c r="Z207" s="4">
        <f>Planet(Panchanga!$E207,10)</f>
        <v>79.829328084596099</v>
      </c>
      <c r="AA207" s="4" t="str">
        <f>TEXT(Panchanga!$C207+($C208-Panchanga!$C207)/ABS(IF($P208&lt;1,$P208+30,$P208)-Panchanga!$P207)*(ROUNDUP(Panchanga!$P207,0)-Panchanga!$P207),"hh:mm AM/PM")</f>
        <v>12:22 PM</v>
      </c>
      <c r="AB207" s="4"/>
    </row>
    <row r="208" spans="1:28" x14ac:dyDescent="0.2">
      <c r="A208" s="3">
        <f t="shared" si="43"/>
        <v>43724</v>
      </c>
      <c r="B208" s="3">
        <f t="shared" si="37"/>
        <v>43724.229166666664</v>
      </c>
      <c r="C208" s="15">
        <f t="shared" si="38"/>
        <v>43724.249648776058</v>
      </c>
      <c r="D208" s="15">
        <f t="shared" si="39"/>
        <v>43723.757167637392</v>
      </c>
      <c r="E208" s="17">
        <f>Panchanga!$C208-TimeZone/24</f>
        <v>43724.020482109394</v>
      </c>
      <c r="F208" s="18" t="str">
        <f>INT(P[Sun]/30)&amp;"s"&amp;ROUNDUP(MOD(P[Sun],30),2)</f>
        <v>4s28.74</v>
      </c>
      <c r="G208" s="18" t="str">
        <f>INT(P[Moon]/30)&amp;"s"&amp;ROUNDUP(MOD(P[Moon],30),2)</f>
        <v>11s18.8</v>
      </c>
      <c r="H208" s="14">
        <f t="shared" si="42"/>
        <v>43724.020482109394</v>
      </c>
      <c r="I208" s="4" t="str">
        <f>naks(P[[#This Row],[Moon]])</f>
        <v>Revati</v>
      </c>
      <c r="J208" s="15">
        <f>(C209-P[[#This Row],[SunRise]])/(T209-P[[#This Row],[Moon]])*(13.3333333333333-MOD(P[[#This Row],[Moon]],13.333333333333))+P[[#This Row],[SunRise]]</f>
        <v>43724.217434618709</v>
      </c>
      <c r="K208" s="4" t="str">
        <f>IF(Panchanga!$P208&gt;15,"K","S")&amp;ROUNDUP(MOD(Panchanga!$P208,15),0)&amp;" ("&amp;ROUND(Panchanga!$P208,2)&amp;")"</f>
        <v>K2 (16.67)</v>
      </c>
      <c r="L208" s="4">
        <f>IF(AND(Panchanga!$P208&lt;28.5,Panchanga!$P208&gt;0.49999),MOD((Panchanga!$P208-0.5)*2,7),MOD((Panchanga!$P208+30-28.5),30)*2+7)</f>
        <v>4.3419999999999987</v>
      </c>
      <c r="M208" s="4" t="str">
        <f>CHOOSE(ROUNDUP(Panchanga!$L208,0),"Bhava","Baalava","Kaulava","Taitula","Garija","Vanija","Vishti","Shakuni","Chatushapda","Naaga","Kimstugna")</f>
        <v>Garija</v>
      </c>
      <c r="N208" s="11" t="str">
        <f>CHOOSE(ROUNDUP(Panchanga!$Q208,0),"viṣkambha","prīti","āyuṣmāna","saubhāgya","śobhana","atigaṇḍa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("&amp;Panchanga!$Q208&amp;")"</f>
        <v>vṛddhi  (10.32)</v>
      </c>
      <c r="O208" s="4">
        <f>IF(AND(Panchanga!$P208&lt;28.5,Panchanga!$P208&gt;0.49999),MOD((Panchanga!$P208-0.5)*2,7),MOD((Panchanga!$P208+30-28.5),30)*2+7)</f>
        <v>4.3419999999999987</v>
      </c>
      <c r="P208" s="4">
        <f>ROUNDUP(MOD(360+P[Moon]-P[Sun],360)/12,4)</f>
        <v>16.670999999999999</v>
      </c>
      <c r="Q208" s="4">
        <f>ROUNDUP(MOD(P[Sun]+P[Moon],360)/13.333333333,2)</f>
        <v>10.32</v>
      </c>
      <c r="R208" s="4" t="str">
        <f>SIGN(U209-Panchanga!$U208)*INT(Panchanga!$U208/30+1)&amp;"Ma,"&amp;SIGN(V209-Panchanga!$V208)*INT(Panchanga!$V208/30+1)&amp;"Me,"&amp;SIGN(W209-Panchanga!$W208)*INT(Panchanga!$W208/30+1)&amp;"J, "&amp;SIGN(X209-Panchanga!$X208)*INT(Panchanga!$X208/30+1)&amp;"V,"&amp;SIGN(Y209-Panchanga!$Y208)*INT(Panchanga!$Y208/30+1)&amp;"S,"&amp;INT(Panchanga!$Z208/30+1)&amp;"R"</f>
        <v>5Ma,6Me,8J, 6V,-9S,3R</v>
      </c>
      <c r="S208" s="4">
        <f t="shared" si="40"/>
        <v>148.73931133904489</v>
      </c>
      <c r="T208" s="4">
        <f t="shared" si="41"/>
        <v>348.79053015667023</v>
      </c>
      <c r="U208" s="4">
        <f>Planet(Panchanga!$E208,4)</f>
        <v>144.22187241080141</v>
      </c>
      <c r="V208" s="4">
        <f>Planet(Panchanga!$E208,2)</f>
        <v>158.82951522390346</v>
      </c>
      <c r="W208" s="4">
        <f>Planet(Panchanga!$E208,5)</f>
        <v>232.25057454743762</v>
      </c>
      <c r="X208" s="4">
        <f>Planet(Panchanga!$E208,3)</f>
        <v>157.67158326983503</v>
      </c>
      <c r="Y208" s="4">
        <f>Planet(Panchanga!$E208,6)</f>
        <v>259.78642161017535</v>
      </c>
      <c r="Z208" s="4">
        <f>Planet(Panchanga!$E208,10)</f>
        <v>79.776335599837267</v>
      </c>
      <c r="AA208" s="4" t="str">
        <f>TEXT(Panchanga!$C208+($C209-Panchanga!$C208)/ABS(IF($P209&lt;1,$P209+30,$P209)-Panchanga!$P208)*(ROUNDUP(Panchanga!$P208,0)-Panchanga!$P208),"hh:mm AM/PM")</f>
        <v>02:33 PM</v>
      </c>
      <c r="AB208" s="4"/>
    </row>
    <row r="209" spans="1:28" x14ac:dyDescent="0.2">
      <c r="A209" s="3">
        <f t="shared" si="43"/>
        <v>43725</v>
      </c>
      <c r="B209" s="3">
        <f t="shared" si="37"/>
        <v>43725.229166666664</v>
      </c>
      <c r="C209" s="15">
        <f t="shared" si="38"/>
        <v>43725.249657835964</v>
      </c>
      <c r="D209" s="15">
        <f t="shared" si="39"/>
        <v>43724.756660918749</v>
      </c>
      <c r="E209" s="17">
        <f>Panchanga!$C209-TimeZone/24</f>
        <v>43725.0204911693</v>
      </c>
      <c r="F209" s="18" t="str">
        <f>INT(P[Sun]/30)&amp;"s"&amp;ROUNDUP(MOD(P[Sun],30),2)</f>
        <v>4s29.72</v>
      </c>
      <c r="G209" s="18" t="str">
        <f>INT(P[Moon]/30)&amp;"s"&amp;ROUNDUP(MOD(P[Moon],30),2)</f>
        <v>0s0.83</v>
      </c>
      <c r="H209" s="14">
        <f t="shared" si="42"/>
        <v>43725.0204911693</v>
      </c>
      <c r="I209" s="4" t="str">
        <f>naks(P[[#This Row],[Moon]])</f>
        <v>Aswini</v>
      </c>
      <c r="J209" s="15">
        <f>(C210-P[[#This Row],[SunRise]])/(T210-P[[#This Row],[Moon]])*(13.3333333333333-MOD(P[[#This Row],[Moon]],13.333333333333))+P[[#This Row],[SunRise]]</f>
        <v>43726.280401871518</v>
      </c>
      <c r="K209" s="4" t="str">
        <f>IF(Panchanga!$P209&gt;15,"K","S")&amp;ROUNDUP(MOD(Panchanga!$P209,15),0)&amp;" ("&amp;ROUND(Panchanga!$P209,2)&amp;")"</f>
        <v>K3 (17.59)</v>
      </c>
      <c r="L209" s="4">
        <f>IF(AND(Panchanga!$P209&lt;28.5,Panchanga!$P209&gt;0.49999),MOD((Panchanga!$P209-0.5)*2,7),MOD((Panchanga!$P209+30-28.5),30)*2+7)</f>
        <v>6.1845999999999961</v>
      </c>
      <c r="M209" s="4" t="str">
        <f>CHOOSE(ROUNDUP(Panchanga!$L209,0),"Bhava","Baalava","Kaulava","Taitula","Garija","Vanija","Vishti","Shakuni","Chatushapda","Naaga","Kimstugna")</f>
        <v>Vishti</v>
      </c>
      <c r="N209" s="11" t="str">
        <f>CHOOSE(ROUNDUP(Panchanga!$Q209,0),"viṣkambha","prīti","āyuṣmāna","saubhāgya","śobhana","atigaṇḍa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("&amp;Panchanga!$Q209&amp;")"</f>
        <v>dhruva  (11.3)</v>
      </c>
      <c r="O209" s="4">
        <f>IF(AND(Panchanga!$P209&lt;28.5,Panchanga!$P209&gt;0.49999),MOD((Panchanga!$P209-0.5)*2,7),MOD((Panchanga!$P209+30-28.5),30)*2+7)</f>
        <v>6.1845999999999961</v>
      </c>
      <c r="P209" s="4">
        <f>ROUNDUP(MOD(360+P[Moon]-P[Sun],360)/12,4)</f>
        <v>17.592299999999998</v>
      </c>
      <c r="Q209" s="4">
        <f>ROUNDUP(MOD(P[Sun]+P[Moon],360)/13.333333333,2)</f>
        <v>11.299999999999999</v>
      </c>
      <c r="R209" s="4" t="str">
        <f>SIGN(U210-Panchanga!$U209)*INT(Panchanga!$U209/30+1)&amp;"Ma,"&amp;SIGN(V210-Panchanga!$V209)*INT(Panchanga!$V209/30+1)&amp;"Me,"&amp;SIGN(W210-Panchanga!$W209)*INT(Panchanga!$W209/30+1)&amp;"J, "&amp;SIGN(X210-Panchanga!$X209)*INT(Panchanga!$X209/30+1)&amp;"V,"&amp;SIGN(Y210-Panchanga!$Y209)*INT(Panchanga!$Y209/30+1)&amp;"S,"&amp;INT(Panchanga!$Z209/30+1)&amp;"R"</f>
        <v>5Ma,6Me,8J, 6V,-9S,3R</v>
      </c>
      <c r="S209" s="4">
        <f t="shared" si="40"/>
        <v>149.71376924134179</v>
      </c>
      <c r="T209" s="4">
        <f t="shared" si="41"/>
        <v>0.82018663711221251</v>
      </c>
      <c r="U209" s="4">
        <f>Planet(Panchanga!$E209,4)</f>
        <v>144.86130935517699</v>
      </c>
      <c r="V209" s="4">
        <f>Planet(Panchanga!$E209,2)</f>
        <v>160.5253451261691</v>
      </c>
      <c r="W209" s="4">
        <f>Planet(Panchanga!$E209,5)</f>
        <v>232.35412440402524</v>
      </c>
      <c r="X209" s="4">
        <f>Planet(Panchanga!$E209,3)</f>
        <v>158.91339721367831</v>
      </c>
      <c r="Y209" s="4">
        <f>Planet(Panchanga!$E209,6)</f>
        <v>259.78340100037468</v>
      </c>
      <c r="Z209" s="4">
        <f>Planet(Panchanga!$E209,10)</f>
        <v>79.723343123431818</v>
      </c>
      <c r="AA209" s="4" t="str">
        <f>TEXT(Panchanga!$C209+($C210-Panchanga!$C209)/ABS(IF($P210&lt;1,$P210+30,$P210)-Panchanga!$P209)*(ROUNDUP(Panchanga!$P209,0)-Panchanga!$P209),"hh:mm AM/PM")</f>
        <v>04:30 PM</v>
      </c>
      <c r="AB209" s="4"/>
    </row>
    <row r="210" spans="1:28" x14ac:dyDescent="0.2">
      <c r="A210" s="3">
        <f t="shared" si="43"/>
        <v>43726</v>
      </c>
      <c r="B210" s="3">
        <f t="shared" si="37"/>
        <v>43726.229166666664</v>
      </c>
      <c r="C210" s="15">
        <f t="shared" si="38"/>
        <v>43726.249667213917</v>
      </c>
      <c r="D210" s="15">
        <f t="shared" si="39"/>
        <v>43725.756153722803</v>
      </c>
      <c r="E210" s="17">
        <f>Panchanga!$C210-TimeZone/24</f>
        <v>43726.020500547253</v>
      </c>
      <c r="F210" s="18" t="str">
        <f>INT(P[Sun]/30)&amp;"s"&amp;ROUNDUP(MOD(P[Sun],30),2)</f>
        <v>5s0.69</v>
      </c>
      <c r="G210" s="18" t="str">
        <f>INT(P[Moon]/30)&amp;"s"&amp;ROUNDUP(MOD(P[Moon],30),2)</f>
        <v>0s12.97</v>
      </c>
      <c r="H210" s="14">
        <f t="shared" si="42"/>
        <v>43726.020500547253</v>
      </c>
      <c r="I210" s="4" t="str">
        <f>naks(P[[#This Row],[Moon]])</f>
        <v>Aswini</v>
      </c>
      <c r="J210" s="15">
        <f>(C211-P[[#This Row],[SunRise]])/(T211-P[[#This Row],[Moon]])*(13.3333333333333-MOD(P[[#This Row],[Moon]],13.333333333333))+P[[#This Row],[SunRise]]</f>
        <v>43726.280035366166</v>
      </c>
      <c r="K210" s="4" t="str">
        <f>IF(Panchanga!$P210&gt;15,"K","S")&amp;ROUNDUP(MOD(Panchanga!$P210,15),0)&amp;" ("&amp;ROUND(Panchanga!$P210,2)&amp;")"</f>
        <v>K4 (18.52)</v>
      </c>
      <c r="L210" s="4">
        <f>IF(AND(Panchanga!$P210&lt;28.5,Panchanga!$P210&gt;0.49999),MOD((Panchanga!$P210-0.5)*2,7),MOD((Panchanga!$P210+30-28.5),30)*2+7)</f>
        <v>1.0454000000000008</v>
      </c>
      <c r="M210" s="4" t="str">
        <f>CHOOSE(ROUNDUP(Panchanga!$L210,0),"Bhava","Baalava","Kaulava","Taitula","Garija","Vanija","Vishti","Shakuni","Chatushapda","Naaga","Kimstugna")</f>
        <v>Baalava</v>
      </c>
      <c r="N210" s="11" t="str">
        <f>CHOOSE(ROUNDUP(Panchanga!$Q210,0),"viṣkambha","prīti","āyuṣmāna","saubhāgya","śobhana","atigaṇḍa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("&amp;Panchanga!$Q210&amp;")"</f>
        <v>vyāghāta (12.28)</v>
      </c>
      <c r="O210" s="4">
        <f>IF(AND(Panchanga!$P210&lt;28.5,Panchanga!$P210&gt;0.49999),MOD((Panchanga!$P210-0.5)*2,7),MOD((Panchanga!$P210+30-28.5),30)*2+7)</f>
        <v>1.0454000000000008</v>
      </c>
      <c r="P210" s="4">
        <f>ROUNDUP(MOD(360+P[Moon]-P[Sun],360)/12,4)</f>
        <v>18.5227</v>
      </c>
      <c r="Q210" s="4">
        <f>ROUNDUP(MOD(P[Sun]+P[Moon],360)/13.333333333,2)</f>
        <v>12.28</v>
      </c>
      <c r="R210" s="4" t="str">
        <f>SIGN(U211-Panchanga!$U210)*INT(Panchanga!$U210/30+1)&amp;"Ma,"&amp;SIGN(V211-Panchanga!$V210)*INT(Panchanga!$V210/30+1)&amp;"Me,"&amp;SIGN(W211-Panchanga!$W210)*INT(Panchanga!$W210/30+1)&amp;"J, "&amp;SIGN(X211-Panchanga!$X210)*INT(Panchanga!$X210/30+1)&amp;"V,"&amp;SIGN(Y211-Panchanga!$Y210)*INT(Panchanga!$Y210/30+1)&amp;"S,"&amp;INT(Panchanga!$Z210/30+1)&amp;"R"</f>
        <v>5Ma,6Me,8J, 6V,9S,3R</v>
      </c>
      <c r="S210" s="4">
        <f t="shared" si="40"/>
        <v>150.68879211598909</v>
      </c>
      <c r="T210" s="4">
        <f t="shared" si="41"/>
        <v>12.960217151311364</v>
      </c>
      <c r="U210" s="4">
        <f>Planet(Panchanga!$E210,4)</f>
        <v>145.50096356550887</v>
      </c>
      <c r="V210" s="4">
        <f>Planet(Panchanga!$E210,2)</f>
        <v>162.20349640162874</v>
      </c>
      <c r="W210" s="4">
        <f>Planet(Panchanga!$E210,5)</f>
        <v>232.46017921449166</v>
      </c>
      <c r="X210" s="4">
        <f>Planet(Panchanga!$E210,3)</f>
        <v>160.15532145140949</v>
      </c>
      <c r="Y210" s="4">
        <f>Planet(Panchanga!$E210,6)</f>
        <v>259.78200851127065</v>
      </c>
      <c r="Z210" s="4">
        <f>Planet(Panchanga!$E210,10)</f>
        <v>79.670350630211615</v>
      </c>
      <c r="AA210" s="4" t="str">
        <f>TEXT(Panchanga!$C210+($C211-Panchanga!$C210)/ABS(IF($P211&lt;1,$P211+30,$P211)-Panchanga!$P210)*(ROUNDUP(Panchanga!$P210,0)-Panchanga!$P210),"hh:mm AM/PM")</f>
        <v>06:08 PM</v>
      </c>
      <c r="AB210" s="4"/>
    </row>
    <row r="211" spans="1:28" x14ac:dyDescent="0.2">
      <c r="A211" s="3">
        <f t="shared" si="43"/>
        <v>43727</v>
      </c>
      <c r="B211" s="3">
        <f t="shared" si="37"/>
        <v>43727.229166666664</v>
      </c>
      <c r="C211" s="15">
        <f t="shared" si="38"/>
        <v>43727.249677227497</v>
      </c>
      <c r="D211" s="15">
        <f t="shared" si="39"/>
        <v>43726.755646526857</v>
      </c>
      <c r="E211" s="17">
        <f>Panchanga!$C211-TimeZone/24</f>
        <v>43727.020510560833</v>
      </c>
      <c r="F211" s="18" t="str">
        <f>INT(P[Sun]/30)&amp;"s"&amp;ROUNDUP(MOD(P[Sun],30),2)</f>
        <v>5s1.67</v>
      </c>
      <c r="G211" s="18" t="str">
        <f>INT(P[Moon]/30)&amp;"s"&amp;ROUNDUP(MOD(P[Moon],30),2)</f>
        <v>0s25.25</v>
      </c>
      <c r="H211" s="14">
        <f t="shared" si="42"/>
        <v>43727.020510560833</v>
      </c>
      <c r="I211" s="4" t="str">
        <f>naks(P[[#This Row],[Moon]])</f>
        <v>Bharani</v>
      </c>
      <c r="J211" s="15">
        <f>(C212-P[[#This Row],[SunRise]])/(T212-P[[#This Row],[Moon]])*(13.3333333333333-MOD(P[[#This Row],[Moon]],13.333333333333))+P[[#This Row],[SunRise]]</f>
        <v>43727.363465565024</v>
      </c>
      <c r="K211" s="4" t="str">
        <f>IF(Panchanga!$P211&gt;15,"K","S")&amp;ROUNDUP(MOD(Panchanga!$P211,15),0)&amp;" ("&amp;ROUND(Panchanga!$P211,2)&amp;")"</f>
        <v>K5 (19.47)</v>
      </c>
      <c r="L211" s="4">
        <f>IF(AND(Panchanga!$P211&lt;28.5,Panchanga!$P211&gt;0.49999),MOD((Panchanga!$P211-0.5)*2,7),MOD((Panchanga!$P211+30-28.5),30)*2+7)</f>
        <v>2.9303999999999988</v>
      </c>
      <c r="M211" s="4" t="str">
        <f>CHOOSE(ROUNDUP(Panchanga!$L211,0),"Bhava","Baalava","Kaulava","Taitula","Garija","Vanija","Vishti","Shakuni","Chatushapda","Naaga","Kimstugna")</f>
        <v>Kaulava</v>
      </c>
      <c r="N211" s="11" t="str">
        <f>CHOOSE(ROUNDUP(Panchanga!$Q211,0),"viṣkambha","prīti","āyuṣmāna","saubhāgya","śobhana","atigaṇḍa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("&amp;Panchanga!$Q211&amp;")"</f>
        <v>harṣaṇa (13.27)</v>
      </c>
      <c r="O211" s="4">
        <f>IF(AND(Panchanga!$P211&lt;28.5,Panchanga!$P211&gt;0.49999),MOD((Panchanga!$P211-0.5)*2,7),MOD((Panchanga!$P211+30-28.5),30)*2+7)</f>
        <v>2.9303999999999988</v>
      </c>
      <c r="P211" s="4">
        <f>ROUNDUP(MOD(360+P[Moon]-P[Sun],360)/12,4)</f>
        <v>19.465199999999999</v>
      </c>
      <c r="Q211" s="4">
        <f>ROUNDUP(MOD(P[Sun]+P[Moon],360)/13.333333333,2)</f>
        <v>13.27</v>
      </c>
      <c r="R211" s="4" t="str">
        <f>SIGN(U212-Panchanga!$U211)*INT(Panchanga!$U211/30+1)&amp;"Ma,"&amp;SIGN(V212-Panchanga!$V211)*INT(Panchanga!$V211/30+1)&amp;"Me,"&amp;SIGN(W212-Panchanga!$W211)*INT(Panchanga!$W211/30+1)&amp;"J, "&amp;SIGN(X212-Panchanga!$X211)*INT(Panchanga!$X211/30+1)&amp;"V,"&amp;SIGN(Y212-Panchanga!$Y211)*INT(Panchanga!$Y211/30+1)&amp;"S,"&amp;INT(Panchanga!$Z211/30+1)&amp;"R"</f>
        <v>5Ma,6Me,8J, 6V,9S,3R</v>
      </c>
      <c r="S211" s="4">
        <f t="shared" si="40"/>
        <v>151.66439594285492</v>
      </c>
      <c r="T211" s="4">
        <f t="shared" si="41"/>
        <v>25.246770353672119</v>
      </c>
      <c r="U211" s="4">
        <f>Planet(Panchanga!$E211,4)</f>
        <v>146.14084333607983</v>
      </c>
      <c r="V211" s="4">
        <f>Planet(Panchanga!$E211,2)</f>
        <v>163.86425982884495</v>
      </c>
      <c r="W211" s="4">
        <f>Planet(Panchanga!$E211,5)</f>
        <v>232.56871634053101</v>
      </c>
      <c r="X211" s="4">
        <f>Planet(Panchanga!$E211,3)</f>
        <v>161.3973587625029</v>
      </c>
      <c r="Y211" s="4">
        <f>Planet(Panchanga!$E211,6)</f>
        <v>259.78224749288756</v>
      </c>
      <c r="Z211" s="4">
        <f>Planet(Panchanga!$E211,10)</f>
        <v>79.617358103309755</v>
      </c>
      <c r="AA211" s="4" t="str">
        <f>TEXT(Panchanga!$C211+($C212-Panchanga!$C211)/ABS(IF($P212&lt;1,$P212+30,$P212)-Panchanga!$P211)*(ROUNDUP(Panchanga!$P211,0)-Panchanga!$P211),"hh:mm AM/PM")</f>
        <v>07:22 PM</v>
      </c>
      <c r="AB211" s="4"/>
    </row>
    <row r="212" spans="1:28" x14ac:dyDescent="0.2">
      <c r="A212" s="3">
        <f t="shared" si="43"/>
        <v>43728</v>
      </c>
      <c r="B212" s="3">
        <f t="shared" si="37"/>
        <v>43728.229166666664</v>
      </c>
      <c r="C212" s="15">
        <f t="shared" si="38"/>
        <v>43728.249688035961</v>
      </c>
      <c r="D212" s="15">
        <f t="shared" si="39"/>
        <v>43727.755139490167</v>
      </c>
      <c r="E212" s="17">
        <f>Panchanga!$C212-TimeZone/24</f>
        <v>43728.020521369297</v>
      </c>
      <c r="F212" s="18" t="str">
        <f>INT(P[Sun]/30)&amp;"s"&amp;ROUNDUP(MOD(P[Sun],30),2)</f>
        <v>5s2.65</v>
      </c>
      <c r="G212" s="18" t="str">
        <f>INT(P[Moon]/30)&amp;"s"&amp;ROUNDUP(MOD(P[Moon],30),2)</f>
        <v>1s7.73</v>
      </c>
      <c r="H212" s="14">
        <f t="shared" si="42"/>
        <v>43728.020521369297</v>
      </c>
      <c r="I212" s="4" t="str">
        <f>naks(P[[#This Row],[Moon]])</f>
        <v>Krittika</v>
      </c>
      <c r="J212" s="15">
        <f>(C213-P[[#This Row],[SunRise]])/(T213-P[[#This Row],[Moon]])*(13.3333333333333-MOD(P[[#This Row],[Moon]],13.333333333333))+P[[#This Row],[SunRise]]</f>
        <v>43728.428450234605</v>
      </c>
      <c r="K212" s="4" t="str">
        <f>IF(Panchanga!$P212&gt;15,"K","S")&amp;ROUNDUP(MOD(Panchanga!$P212,15),0)&amp;" ("&amp;ROUND(Panchanga!$P212,2)&amp;")"</f>
        <v>K6 (20.42)</v>
      </c>
      <c r="L212" s="4">
        <f>IF(AND(Panchanga!$P212&lt;28.5,Panchanga!$P212&gt;0.49999),MOD((Panchanga!$P212-0.5)*2,7),MOD((Panchanga!$P212+30-28.5),30)*2+7)</f>
        <v>4.8475999999999999</v>
      </c>
      <c r="M212" s="4" t="str">
        <f>CHOOSE(ROUNDUP(Panchanga!$L212,0),"Bhava","Baalava","Kaulava","Taitula","Garija","Vanija","Vishti","Shakuni","Chatushapda","Naaga","Kimstugna")</f>
        <v>Garija</v>
      </c>
      <c r="N212" s="11" t="str">
        <f>CHOOSE(ROUNDUP(Panchanga!$Q212,0),"viṣkambha","prīti","āyuṣmāna","saubhāgya","śobhana","atigaṇḍa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("&amp;Panchanga!$Q212&amp;")"</f>
        <v>vajra (14.28)</v>
      </c>
      <c r="O212" s="4">
        <f>IF(AND(Panchanga!$P212&lt;28.5,Panchanga!$P212&gt;0.49999),MOD((Panchanga!$P212-0.5)*2,7),MOD((Panchanga!$P212+30-28.5),30)*2+7)</f>
        <v>4.8475999999999999</v>
      </c>
      <c r="P212" s="4">
        <f>ROUNDUP(MOD(360+P[Moon]-P[Sun],360)/12,4)</f>
        <v>20.4238</v>
      </c>
      <c r="Q212" s="4">
        <f>ROUNDUP(MOD(P[Sun]+P[Moon],360)/13.333333333,2)</f>
        <v>14.28</v>
      </c>
      <c r="R212" s="4" t="str">
        <f>SIGN(U213-Panchanga!$U212)*INT(Panchanga!$U212/30+1)&amp;"Ma,"&amp;SIGN(V213-Panchanga!$V212)*INT(Panchanga!$V212/30+1)&amp;"Me,"&amp;SIGN(W213-Panchanga!$W212)*INT(Panchanga!$W212/30+1)&amp;"J, "&amp;SIGN(X213-Panchanga!$X212)*INT(Panchanga!$X212/30+1)&amp;"V,"&amp;SIGN(Y213-Panchanga!$Y212)*INT(Panchanga!$Y212/30+1)&amp;"S,"&amp;INT(Panchanga!$Z212/30+1)&amp;"R"</f>
        <v>5Ma,6Me,8J, 6V,9S,3R</v>
      </c>
      <c r="S212" s="4">
        <f t="shared" si="40"/>
        <v>152.64059511927434</v>
      </c>
      <c r="T212" s="4">
        <f t="shared" si="41"/>
        <v>37.725304540873829</v>
      </c>
      <c r="U212" s="4">
        <f>Planet(Panchanga!$E212,4)</f>
        <v>146.78095619096945</v>
      </c>
      <c r="V212" s="4">
        <f>Planet(Panchanga!$E212,2)</f>
        <v>165.50792407298204</v>
      </c>
      <c r="W212" s="4">
        <f>Planet(Panchanga!$E212,5)</f>
        <v>232.67971340668262</v>
      </c>
      <c r="X212" s="4">
        <f>Planet(Panchanga!$E212,3)</f>
        <v>162.63951135050965</v>
      </c>
      <c r="Y212" s="4">
        <f>Planet(Panchanga!$E212,6)</f>
        <v>259.7841210911335</v>
      </c>
      <c r="Z212" s="4">
        <f>Planet(Panchanga!$E212,10)</f>
        <v>79.564365534259508</v>
      </c>
      <c r="AA212" s="4" t="str">
        <f>TEXT(Panchanga!$C212+($C213-Panchanga!$C212)/ABS(IF($P213&lt;1,$P213+30,$P213)-Panchanga!$P212)*(ROUNDUP(Panchanga!$P212,0)-Panchanga!$P212),"hh:mm AM/PM")</f>
        <v>08:07 PM</v>
      </c>
      <c r="AB212" s="4"/>
    </row>
    <row r="213" spans="1:28" x14ac:dyDescent="0.2">
      <c r="A213" s="3">
        <f t="shared" si="43"/>
        <v>43729</v>
      </c>
      <c r="B213" s="3">
        <f t="shared" si="37"/>
        <v>43729.229166666664</v>
      </c>
      <c r="C213" s="15">
        <f t="shared" si="38"/>
        <v>43729.249699638844</v>
      </c>
      <c r="D213" s="15">
        <f t="shared" si="39"/>
        <v>43728.754632930315</v>
      </c>
      <c r="E213" s="17">
        <f>Panchanga!$C213-TimeZone/24</f>
        <v>43729.020532972179</v>
      </c>
      <c r="F213" s="18" t="str">
        <f>INT(P[Sun]/30)&amp;"s"&amp;ROUNDUP(MOD(P[Sun],30),2)</f>
        <v>5s3.62</v>
      </c>
      <c r="G213" s="18" t="str">
        <f>INT(P[Moon]/30)&amp;"s"&amp;ROUNDUP(MOD(P[Moon],30),2)</f>
        <v>1s20.46</v>
      </c>
      <c r="H213" s="14">
        <f t="shared" si="42"/>
        <v>43729.020532972179</v>
      </c>
      <c r="I213" s="4" t="str">
        <f>naks(P[[#This Row],[Moon]])</f>
        <v>Rohini</v>
      </c>
      <c r="J213" s="15">
        <f>(C214-P[[#This Row],[SunRise]])/(T214-P[[#This Row],[Moon]])*(13.3333333333333-MOD(P[[#This Row],[Moon]],13.333333333333))+P[[#This Row],[SunRise]]</f>
        <v>43729.470956182588</v>
      </c>
      <c r="K213" s="4" t="str">
        <f>IF(Panchanga!$P213&gt;15,"K","S")&amp;ROUNDUP(MOD(Panchanga!$P213,15),0)&amp;" ("&amp;ROUND(Panchanga!$P213,2)&amp;")"</f>
        <v>K7 (21.4)</v>
      </c>
      <c r="L213" s="4">
        <f>IF(AND(Panchanga!$P213&lt;28.5,Panchanga!$P213&gt;0.49999),MOD((Panchanga!$P213-0.5)*2,7),MOD((Panchanga!$P213+30-28.5),30)*2+7)</f>
        <v>6.8055999999999983</v>
      </c>
      <c r="M213" s="4" t="str">
        <f>CHOOSE(ROUNDUP(Panchanga!$L213,0),"Bhava","Baalava","Kaulava","Taitula","Garija","Vanija","Vishti","Shakuni","Chatushapda","Naaga","Kimstugna")</f>
        <v>Vishti</v>
      </c>
      <c r="N213" s="11" t="str">
        <f>CHOOSE(ROUNDUP(Panchanga!$Q213,0),"viṣkambha","prīti","āyuṣmāna","saubhāgya","śobhana","atigaṇḍa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("&amp;Panchanga!$Q213&amp;")"</f>
        <v>siddhi (15.31)</v>
      </c>
      <c r="O213" s="4">
        <f>IF(AND(Panchanga!$P213&lt;28.5,Panchanga!$P213&gt;0.49999),MOD((Panchanga!$P213-0.5)*2,7),MOD((Panchanga!$P213+30-28.5),30)*2+7)</f>
        <v>6.8055999999999983</v>
      </c>
      <c r="P213" s="4">
        <f>ROUNDUP(MOD(360+P[Moon]-P[Sun],360)/12,4)</f>
        <v>21.402799999999999</v>
      </c>
      <c r="Q213" s="4">
        <f>ROUNDUP(MOD(P[Sun]+P[Moon],360)/13.333333333,2)</f>
        <v>15.31</v>
      </c>
      <c r="R213" s="4" t="str">
        <f>SIGN(U214-Panchanga!$U213)*INT(Panchanga!$U213/30+1)&amp;"Ma,"&amp;SIGN(V214-Panchanga!$V213)*INT(Panchanga!$V213/30+1)&amp;"Me,"&amp;SIGN(W214-Panchanga!$W213)*INT(Panchanga!$W213/30+1)&amp;"J, "&amp;SIGN(X214-Panchanga!$X213)*INT(Panchanga!$X213/30+1)&amp;"V,"&amp;SIGN(Y214-Panchanga!$Y213)*INT(Panchanga!$Y213/30+1)&amp;"S,"&amp;INT(Panchanga!$Z213/30+1)&amp;"R"</f>
        <v>5Ma,6Me,8J, 6V,9S,3R</v>
      </c>
      <c r="S213" s="4">
        <f t="shared" si="40"/>
        <v>153.61740214247277</v>
      </c>
      <c r="T213" s="4">
        <f t="shared" si="41"/>
        <v>50.450152799761483</v>
      </c>
      <c r="U213" s="4">
        <f>Planet(Panchanga!$E213,4)</f>
        <v>147.4213087382426</v>
      </c>
      <c r="V213" s="4">
        <f>Planet(Panchanga!$E213,2)</f>
        <v>167.13476924490661</v>
      </c>
      <c r="W213" s="4">
        <f>Planet(Panchanga!$E213,5)</f>
        <v>232.79314826674963</v>
      </c>
      <c r="X213" s="4">
        <f>Planet(Panchanga!$E213,3)</f>
        <v>163.88178068898634</v>
      </c>
      <c r="Y213" s="4">
        <f>Planet(Panchanga!$E213,6)</f>
        <v>259.78763225290982</v>
      </c>
      <c r="Z213" s="4">
        <f>Planet(Panchanga!$E213,10)</f>
        <v>79.511372923143668</v>
      </c>
      <c r="AA213" s="4" t="str">
        <f>TEXT(Panchanga!$C213+($C214-Panchanga!$C213)/ABS(IF($P214&lt;1,$P214+30,$P214)-Panchanga!$P213)*(ROUNDUP(Panchanga!$P213,0)-Panchanga!$P213),"hh:mm AM/PM")</f>
        <v>08:15 PM</v>
      </c>
      <c r="AB213" s="4"/>
    </row>
    <row r="214" spans="1:28" x14ac:dyDescent="0.2">
      <c r="A214" s="3">
        <f t="shared" si="43"/>
        <v>43730</v>
      </c>
      <c r="B214" s="3">
        <f t="shared" si="37"/>
        <v>43730.229166666664</v>
      </c>
      <c r="C214" s="15">
        <f t="shared" si="38"/>
        <v>43730.249712513447</v>
      </c>
      <c r="D214" s="15">
        <f t="shared" si="39"/>
        <v>43729.754127164881</v>
      </c>
      <c r="E214" s="17">
        <f>Panchanga!$C214-TimeZone/24</f>
        <v>43730.020545846783</v>
      </c>
      <c r="F214" s="18" t="str">
        <f>INT(P[Sun]/30)&amp;"s"&amp;ROUNDUP(MOD(P[Sun],30),2)</f>
        <v>5s4.6</v>
      </c>
      <c r="G214" s="18" t="str">
        <f>INT(P[Moon]/30)&amp;"s"&amp;ROUNDUP(MOD(P[Moon],30),2)</f>
        <v>2s3.49</v>
      </c>
      <c r="H214" s="14">
        <f t="shared" si="42"/>
        <v>43730.020545846783</v>
      </c>
      <c r="I214" s="4" t="str">
        <f>naks(P[[#This Row],[Moon]])</f>
        <v>Mrigashira</v>
      </c>
      <c r="J214" s="15">
        <f>(C215-P[[#This Row],[SunRise]])/(T215-P[[#This Row],[Moon]])*(13.3333333333333-MOD(P[[#This Row],[Moon]],13.333333333333))+P[[#This Row],[SunRise]]</f>
        <v>43730.487499864415</v>
      </c>
      <c r="K214" s="4" t="str">
        <f>IF(Panchanga!$P214&gt;15,"K","S")&amp;ROUNDUP(MOD(Panchanga!$P214,15),0)&amp;" ("&amp;ROUND(Panchanga!$P214,2)&amp;")"</f>
        <v>K8 (22.41)</v>
      </c>
      <c r="L214" s="4">
        <f>IF(AND(Panchanga!$P214&lt;28.5,Panchanga!$P214&gt;0.49999),MOD((Panchanga!$P214-0.5)*2,7),MOD((Panchanga!$P214+30-28.5),30)*2+7)</f>
        <v>1.8145999999999987</v>
      </c>
      <c r="M214" s="4" t="str">
        <f>CHOOSE(ROUNDUP(Panchanga!$L214,0),"Bhava","Baalava","Kaulava","Taitula","Garija","Vanija","Vishti","Shakuni","Chatushapda","Naaga","Kimstugna")</f>
        <v>Baalava</v>
      </c>
      <c r="N214" s="11" t="str">
        <f>CHOOSE(ROUNDUP(Panchanga!$Q214,0),"viṣkambha","prīti","āyuṣmāna","saubhāgya","śobhana","atigaṇḍa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("&amp;Panchanga!$Q214&amp;")"</f>
        <v>vyatipāta (16.36)</v>
      </c>
      <c r="O214" s="4">
        <f>IF(AND(Panchanga!$P214&lt;28.5,Panchanga!$P214&gt;0.49999),MOD((Panchanga!$P214-0.5)*2,7),MOD((Panchanga!$P214+30-28.5),30)*2+7)</f>
        <v>1.8145999999999987</v>
      </c>
      <c r="P214" s="4">
        <f>ROUNDUP(MOD(360+P[Moon]-P[Sun],360)/12,4)</f>
        <v>22.407299999999999</v>
      </c>
      <c r="Q214" s="4">
        <f>ROUNDUP(MOD(P[Sun]+P[Moon],360)/13.333333333,2)</f>
        <v>16.360000000000003</v>
      </c>
      <c r="R214" s="4" t="str">
        <f>SIGN(U215-Panchanga!$U214)*INT(Panchanga!$U214/30+1)&amp;"Ma,"&amp;SIGN(V215-Panchanga!$V214)*INT(Panchanga!$V214/30+1)&amp;"Me,"&amp;SIGN(W215-Panchanga!$W214)*INT(Panchanga!$W214/30+1)&amp;"J, "&amp;SIGN(X215-Panchanga!$X214)*INT(Panchanga!$X214/30+1)&amp;"V,"&amp;SIGN(Y215-Panchanga!$Y214)*INT(Panchanga!$Y214/30+1)&amp;"S,"&amp;INT(Panchanga!$Z214/30+1)&amp;"R"</f>
        <v>5Ma,6Me,8J, 6V,9S,3R</v>
      </c>
      <c r="S214" s="4">
        <f t="shared" si="40"/>
        <v>154.59482782474433</v>
      </c>
      <c r="T214" s="4">
        <f t="shared" si="41"/>
        <v>63.481259607273685</v>
      </c>
      <c r="U214" s="4">
        <f>Planet(Panchanga!$E214,4)</f>
        <v>148.06190690283606</v>
      </c>
      <c r="V214" s="4">
        <f>Planet(Panchanga!$E214,2)</f>
        <v>168.74506214393307</v>
      </c>
      <c r="W214" s="4">
        <f>Planet(Panchanga!$E214,5)</f>
        <v>232.90899904703483</v>
      </c>
      <c r="X214" s="4">
        <f>Planet(Panchanga!$E214,3)</f>
        <v>165.12416811710017</v>
      </c>
      <c r="Y214" s="4">
        <f>Planet(Panchanga!$E214,6)</f>
        <v>259.79278373764868</v>
      </c>
      <c r="Z214" s="4">
        <f>Planet(Panchanga!$E214,10)</f>
        <v>79.458380244645269</v>
      </c>
      <c r="AA214" s="4" t="str">
        <f>TEXT(Panchanga!$C214+($C215-Panchanga!$C214)/ABS(IF($P215&lt;1,$P215+30,$P215)-Panchanga!$P214)*(ROUNDUP(Panchanga!$P214,0)-Panchanga!$P214),"hh:mm AM/PM")</f>
        <v>07:44 PM</v>
      </c>
      <c r="AB214" s="4"/>
    </row>
    <row r="215" spans="1:28" x14ac:dyDescent="0.2">
      <c r="A215" s="3">
        <f t="shared" si="43"/>
        <v>43731</v>
      </c>
      <c r="B215" s="3">
        <f t="shared" si="37"/>
        <v>43731.229166666664</v>
      </c>
      <c r="C215" s="15">
        <f t="shared" si="38"/>
        <v>43731.249726818562</v>
      </c>
      <c r="D215" s="15">
        <f t="shared" si="39"/>
        <v>43730.753622512377</v>
      </c>
      <c r="E215" s="17">
        <f>Panchanga!$C215-TimeZone/24</f>
        <v>43731.020560151897</v>
      </c>
      <c r="F215" s="18" t="str">
        <f>INT(P[Sun]/30)&amp;"s"&amp;ROUNDUP(MOD(P[Sun],30),2)</f>
        <v>5s5.58</v>
      </c>
      <c r="G215" s="18" t="str">
        <f>INT(P[Moon]/30)&amp;"s"&amp;ROUNDUP(MOD(P[Moon],30),2)</f>
        <v>2s16.88</v>
      </c>
      <c r="H215" s="14">
        <f t="shared" si="42"/>
        <v>43731.020560151897</v>
      </c>
      <c r="I215" s="4" t="str">
        <f>naks(P[[#This Row],[Moon]])</f>
        <v>Ardra</v>
      </c>
      <c r="J215" s="15">
        <f>(C216-P[[#This Row],[SunRise]])/(T216-P[[#This Row],[Moon]])*(13.3333333333333-MOD(P[[#This Row],[Moon]],13.333333333333))+P[[#This Row],[SunRise]]</f>
        <v>43731.475857787984</v>
      </c>
      <c r="K215" s="4" t="str">
        <f>IF(Panchanga!$P215&gt;15,"K","S")&amp;ROUNDUP(MOD(Panchanga!$P215,15),0)&amp;" ("&amp;ROUND(Panchanga!$P215,2)&amp;")"</f>
        <v>K9 (23.44)</v>
      </c>
      <c r="L215" s="4">
        <f>IF(AND(Panchanga!$P215&lt;28.5,Panchanga!$P215&gt;0.49999),MOD((Panchanga!$P215-0.5)*2,7),MOD((Panchanga!$P215+30-28.5),30)*2+7)</f>
        <v>3.8841999999999999</v>
      </c>
      <c r="M215" s="4" t="str">
        <f>CHOOSE(ROUNDUP(Panchanga!$L215,0),"Bhava","Baalava","Kaulava","Taitula","Garija","Vanija","Vishti","Shakuni","Chatushapda","Naaga","Kimstugna")</f>
        <v>Taitula</v>
      </c>
      <c r="N215" s="11" t="str">
        <f>CHOOSE(ROUNDUP(Panchanga!$Q215,0),"viṣkambha","prīti","āyuṣmāna","saubhāgya","śobhana","atigaṇḍa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("&amp;Panchanga!$Q215&amp;")"</f>
        <v>varīyas (17.44)</v>
      </c>
      <c r="O215" s="4">
        <f>IF(AND(Panchanga!$P215&lt;28.5,Panchanga!$P215&gt;0.49999),MOD((Panchanga!$P215-0.5)*2,7),MOD((Panchanga!$P215+30-28.5),30)*2+7)</f>
        <v>3.8841999999999999</v>
      </c>
      <c r="P215" s="4">
        <f>ROUNDUP(MOD(360+P[Moon]-P[Sun],360)/12,4)</f>
        <v>23.4421</v>
      </c>
      <c r="Q215" s="4">
        <f>ROUNDUP(MOD(P[Sun]+P[Moon],360)/13.333333333,2)</f>
        <v>17.440000000000001</v>
      </c>
      <c r="R215" s="4" t="str">
        <f>SIGN(U216-Panchanga!$U215)*INT(Panchanga!$U215/30+1)&amp;"Ma,"&amp;SIGN(V216-Panchanga!$V215)*INT(Panchanga!$V215/30+1)&amp;"Me,"&amp;SIGN(W216-Panchanga!$W215)*INT(Panchanga!$W215/30+1)&amp;"J, "&amp;SIGN(X216-Panchanga!$X215)*INT(Panchanga!$X215/30+1)&amp;"V,"&amp;SIGN(Y216-Panchanga!$Y215)*INT(Panchanga!$Y215/30+1)&amp;"S,"&amp;INT(Panchanga!$Z215/30+1)&amp;"R"</f>
        <v>5Ma,6Me,8J, 6V,9S,3R</v>
      </c>
      <c r="S215" s="4">
        <f t="shared" si="40"/>
        <v>155.572879911771</v>
      </c>
      <c r="T215" s="4">
        <f t="shared" si="41"/>
        <v>76.877483645235174</v>
      </c>
      <c r="U215" s="4">
        <f>Planet(Panchanga!$E215,4)</f>
        <v>148.70275516694451</v>
      </c>
      <c r="V215" s="4">
        <f>Planet(Panchanga!$E215,2)</f>
        <v>170.33904955640557</v>
      </c>
      <c r="W215" s="4">
        <f>Planet(Panchanga!$E215,5)</f>
        <v>233.02724399980943</v>
      </c>
      <c r="X215" s="4">
        <f>Planet(Panchanga!$E215,3)</f>
        <v>166.36667353166482</v>
      </c>
      <c r="Y215" s="4">
        <f>Planet(Panchanga!$E215,6)</f>
        <v>259.79957812077504</v>
      </c>
      <c r="Z215" s="4">
        <f>Planet(Panchanga!$E215,10)</f>
        <v>79.405387490330639</v>
      </c>
      <c r="AA215" s="4" t="str">
        <f>TEXT(Panchanga!$C215+($C216-Panchanga!$C215)/ABS(IF($P216&lt;1,$P216+30,$P216)-Panchanga!$P215)*(ROUNDUP(Panchanga!$P215,0)-Panchanga!$P215),"hh:mm AM/PM")</f>
        <v>06:31 PM</v>
      </c>
      <c r="AB215" s="4"/>
    </row>
    <row r="216" spans="1:28" x14ac:dyDescent="0.2">
      <c r="A216" s="3">
        <f t="shared" si="43"/>
        <v>43732</v>
      </c>
      <c r="B216" s="3">
        <f t="shared" si="37"/>
        <v>43732.229166666664</v>
      </c>
      <c r="C216" s="15">
        <f t="shared" si="38"/>
        <v>43732.249742712978</v>
      </c>
      <c r="D216" s="15">
        <f t="shared" si="39"/>
        <v>43731.753119131128</v>
      </c>
      <c r="E216" s="17">
        <f>Panchanga!$C216-TimeZone/24</f>
        <v>43732.020576046314</v>
      </c>
      <c r="F216" s="18" t="str">
        <f>INT(P[Sun]/30)&amp;"s"&amp;ROUNDUP(MOD(P[Sun],30),2)</f>
        <v>5s6.56</v>
      </c>
      <c r="G216" s="18" t="str">
        <f>INT(P[Moon]/30)&amp;"s"&amp;ROUNDUP(MOD(P[Moon],30),2)</f>
        <v>3s0.69</v>
      </c>
      <c r="H216" s="14">
        <f t="shared" si="42"/>
        <v>43732.020576046314</v>
      </c>
      <c r="I216" s="4" t="str">
        <f>naks(P[[#This Row],[Moon]])</f>
        <v>Punarvasu</v>
      </c>
      <c r="J216" s="15">
        <f>(C217-P[[#This Row],[SunRise]])/(T217-P[[#This Row],[Moon]])*(13.3333333333333-MOD(P[[#This Row],[Moon]],13.333333333333))+P[[#This Row],[SunRise]]</f>
        <v>43732.435606382125</v>
      </c>
      <c r="K216" s="4" t="str">
        <f>IF(Panchanga!$P216&gt;15,"K","S")&amp;ROUNDUP(MOD(Panchanga!$P216,15),0)&amp;" ("&amp;ROUND(Panchanga!$P216,2)&amp;")"</f>
        <v>K10 (24.51)</v>
      </c>
      <c r="L216" s="4">
        <f>IF(AND(Panchanga!$P216&lt;28.5,Panchanga!$P216&gt;0.49999),MOD((Panchanga!$P216-0.5)*2,7),MOD((Panchanga!$P216+30-28.5),30)*2+7)</f>
        <v>6.0225999999999971</v>
      </c>
      <c r="M216" s="4" t="str">
        <f>CHOOSE(ROUNDUP(Panchanga!$L216,0),"Bhava","Baalava","Kaulava","Taitula","Garija","Vanija","Vishti","Shakuni","Chatushapda","Naaga","Kimstugna")</f>
        <v>Vishti</v>
      </c>
      <c r="N216" s="11" t="str">
        <f>CHOOSE(ROUNDUP(Panchanga!$Q216,0),"viṣkambha","prīti","āyuṣmāna","saubhāgya","śobhana","atigaṇḍa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("&amp;Panchanga!$Q216&amp;")"</f>
        <v>parigha (18.55)</v>
      </c>
      <c r="O216" s="4">
        <f>IF(AND(Panchanga!$P216&lt;28.5,Panchanga!$P216&gt;0.49999),MOD((Panchanga!$P216-0.5)*2,7),MOD((Panchanga!$P216+30-28.5),30)*2+7)</f>
        <v>6.0225999999999971</v>
      </c>
      <c r="P216" s="4">
        <f>ROUNDUP(MOD(360+P[Moon]-P[Sun],360)/12,4)</f>
        <v>24.511299999999999</v>
      </c>
      <c r="Q216" s="4">
        <f>ROUNDUP(MOD(P[Sun]+P[Moon],360)/13.333333333,2)</f>
        <v>18.55</v>
      </c>
      <c r="R216" s="4" t="str">
        <f>SIGN(U217-Panchanga!$U216)*INT(Panchanga!$U216/30+1)&amp;"Ma,"&amp;SIGN(V217-Panchanga!$V216)*INT(Panchanga!$V216/30+1)&amp;"Me,"&amp;SIGN(W217-Panchanga!$W216)*INT(Panchanga!$W216/30+1)&amp;"J, "&amp;SIGN(X217-Panchanga!$X216)*INT(Panchanga!$X216/30+1)&amp;"V,"&amp;SIGN(Y217-Panchanga!$Y216)*INT(Panchanga!$Y216/30+1)&amp;"S,"&amp;INT(Panchanga!$Z216/30+1)&amp;"R"</f>
        <v>5Ma,6Me,8J, 6V,9S,3R</v>
      </c>
      <c r="S216" s="4">
        <f t="shared" si="40"/>
        <v>156.55156257123141</v>
      </c>
      <c r="T216" s="4">
        <f t="shared" si="41"/>
        <v>90.686145030129538</v>
      </c>
      <c r="U216" s="4">
        <f>Planet(Panchanga!$E216,4)</f>
        <v>149.343856454709</v>
      </c>
      <c r="V216" s="4">
        <f>Planet(Panchanga!$E216,2)</f>
        <v>171.91695356106459</v>
      </c>
      <c r="W216" s="4">
        <f>Planet(Panchanga!$E216,5)</f>
        <v>233.14786141549848</v>
      </c>
      <c r="X216" s="4">
        <f>Planet(Panchanga!$E216,3)</f>
        <v>167.60929530153925</v>
      </c>
      <c r="Y216" s="4">
        <f>Planet(Panchanga!$E216,6)</f>
        <v>259.80801777058872</v>
      </c>
      <c r="Z216" s="4">
        <f>Planet(Panchanga!$E216,10)</f>
        <v>79.352394651782944</v>
      </c>
      <c r="AA216" s="4" t="str">
        <f>TEXT(Panchanga!$C216+($C217-Panchanga!$C216)/ABS(IF($P217&lt;1,$P217+30,$P217)-Panchanga!$P216)*(ROUNDUP(Panchanga!$P216,0)-Panchanga!$P216),"hh:mm AM/PM")</f>
        <v>04:36 PM</v>
      </c>
      <c r="AB216" s="4"/>
    </row>
    <row r="217" spans="1:28" x14ac:dyDescent="0.2">
      <c r="A217" s="3">
        <f t="shared" si="43"/>
        <v>43733</v>
      </c>
      <c r="B217" s="3">
        <f t="shared" si="37"/>
        <v>43733.229166666664</v>
      </c>
      <c r="C217" s="15">
        <f t="shared" si="38"/>
        <v>43733.249760355953</v>
      </c>
      <c r="D217" s="15">
        <f t="shared" si="39"/>
        <v>43732.752617339647</v>
      </c>
      <c r="E217" s="17">
        <f>Panchanga!$C217-TimeZone/24</f>
        <v>43733.020593689289</v>
      </c>
      <c r="F217" s="18" t="str">
        <f>INT(P[Sun]/30)&amp;"s"&amp;ROUNDUP(MOD(P[Sun],30),2)</f>
        <v>5s7.54</v>
      </c>
      <c r="G217" s="18" t="str">
        <f>INT(P[Moon]/30)&amp;"s"&amp;ROUNDUP(MOD(P[Moon],30),2)</f>
        <v>3s14.93</v>
      </c>
      <c r="H217" s="14">
        <f t="shared" si="42"/>
        <v>43733.020593689289</v>
      </c>
      <c r="I217" s="4" t="str">
        <f>naks(P[[#This Row],[Moon]])</f>
        <v>Pushya</v>
      </c>
      <c r="J217" s="15">
        <f>(C218-P[[#This Row],[SunRise]])/(T218-P[[#This Row],[Moon]])*(13.3333333333333-MOD(P[[#This Row],[Moon]],13.333333333333))+P[[#This Row],[SunRise]]</f>
        <v>43733.368310011349</v>
      </c>
      <c r="K217" s="4" t="str">
        <f>IF(Panchanga!$P217&gt;15,"K","S")&amp;ROUNDUP(MOD(Panchanga!$P217,15),0)&amp;" ("&amp;ROUND(Panchanga!$P217,2)&amp;")"</f>
        <v>K11 (25.62)</v>
      </c>
      <c r="L217" s="4">
        <f>IF(AND(Panchanga!$P217&lt;28.5,Panchanga!$P217&gt;0.49999),MOD((Panchanga!$P217-0.5)*2,7),MOD((Panchanga!$P217+30-28.5),30)*2+7)</f>
        <v>1.2331999999999965</v>
      </c>
      <c r="M217" s="4" t="str">
        <f>CHOOSE(ROUNDUP(Panchanga!$L217,0),"Bhava","Baalava","Kaulava","Taitula","Garija","Vanija","Vishti","Shakuni","Chatushapda","Naaga","Kimstugna")</f>
        <v>Baalava</v>
      </c>
      <c r="N217" s="11" t="str">
        <f>CHOOSE(ROUNDUP(Panchanga!$Q217,0),"viṣkambha","prīti","āyuṣmāna","saubhāgya","śobhana","atigaṇḍa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("&amp;Panchanga!$Q217&amp;")"</f>
        <v>śiva (19.69)</v>
      </c>
      <c r="O217" s="4">
        <f>IF(AND(Panchanga!$P217&lt;28.5,Panchanga!$P217&gt;0.49999),MOD((Panchanga!$P217-0.5)*2,7),MOD((Panchanga!$P217+30-28.5),30)*2+7)</f>
        <v>1.2331999999999965</v>
      </c>
      <c r="P217" s="4">
        <f>ROUNDUP(MOD(360+P[Moon]-P[Sun],360)/12,4)</f>
        <v>25.616599999999998</v>
      </c>
      <c r="Q217" s="4">
        <f>ROUNDUP(MOD(P[Sun]+P[Moon],360)/13.333333333,2)</f>
        <v>19.690000000000001</v>
      </c>
      <c r="R217" s="4" t="str">
        <f>SIGN(U218-Panchanga!$U217)*INT(Panchanga!$U217/30+1)&amp;"Ma,"&amp;SIGN(V218-Panchanga!$V217)*INT(Panchanga!$V217/30+1)&amp;"Me,"&amp;SIGN(W218-Panchanga!$W217)*INT(Panchanga!$W217/30+1)&amp;"J, "&amp;SIGN(X218-Panchanga!$X217)*INT(Panchanga!$X217/30+1)&amp;"V,"&amp;SIGN(Y218-Panchanga!$Y217)*INT(Panchanga!$Y217/30+1)&amp;"S,"&amp;INT(Panchanga!$Z217/30+1)&amp;"R"</f>
        <v>5Ma,6Me,8J, 6V,9S,3R</v>
      </c>
      <c r="S217" s="4">
        <f t="shared" si="40"/>
        <v>157.53087547131281</v>
      </c>
      <c r="T217" s="4">
        <f t="shared" si="41"/>
        <v>104.92903079471998</v>
      </c>
      <c r="U217" s="4">
        <f>Planet(Panchanga!$E217,4)</f>
        <v>149.98521180333699</v>
      </c>
      <c r="V217" s="4">
        <f>Planet(Panchanga!$E217,2)</f>
        <v>173.47896637413362</v>
      </c>
      <c r="W217" s="4">
        <f>Planet(Panchanga!$E217,5)</f>
        <v>233.27082940505983</v>
      </c>
      <c r="X217" s="4">
        <f>Planet(Panchanga!$E217,3)</f>
        <v>168.85202967365763</v>
      </c>
      <c r="Y217" s="4">
        <f>Planet(Panchanga!$E217,6)</f>
        <v>259.81810477356152</v>
      </c>
      <c r="Z217" s="4">
        <f>Planet(Panchanga!$E217,10)</f>
        <v>79.299401720585081</v>
      </c>
      <c r="AA217" s="4" t="str">
        <f>TEXT(Panchanga!$C217+($C218-Panchanga!$C217)/ABS(IF($P218&lt;1,$P218+30,$P218)-Panchanga!$P217)*(ROUNDUP(Panchanga!$P217,0)-Panchanga!$P217),"hh:mm AM/PM")</f>
        <v>02:04 PM</v>
      </c>
      <c r="AB217" s="4"/>
    </row>
    <row r="218" spans="1:28" x14ac:dyDescent="0.2">
      <c r="A218" s="3">
        <f t="shared" si="43"/>
        <v>43734</v>
      </c>
      <c r="B218" s="3">
        <f t="shared" si="37"/>
        <v>43734.229166666664</v>
      </c>
      <c r="C218" s="15">
        <f t="shared" si="38"/>
        <v>43734.249779906277</v>
      </c>
      <c r="D218" s="15">
        <f t="shared" si="39"/>
        <v>43733.752117455049</v>
      </c>
      <c r="E218" s="17">
        <f>Panchanga!$C218-TimeZone/24</f>
        <v>43734.020613239612</v>
      </c>
      <c r="F218" s="18" t="str">
        <f>INT(P[Sun]/30)&amp;"s"&amp;ROUNDUP(MOD(P[Sun],30),2)</f>
        <v>5s8.52</v>
      </c>
      <c r="G218" s="18" t="str">
        <f>INT(P[Moon]/30)&amp;"s"&amp;ROUNDUP(MOD(P[Moon],30),2)</f>
        <v>3s29.59</v>
      </c>
      <c r="H218" s="14">
        <f t="shared" si="42"/>
        <v>43734.020613239612</v>
      </c>
      <c r="I218" s="4" t="str">
        <f>naks(P[[#This Row],[Moon]])</f>
        <v>Aslesha</v>
      </c>
      <c r="J218" s="15">
        <f>(C219-P[[#This Row],[SunRise]])/(T219-P[[#This Row],[Moon]])*(13.3333333333333-MOD(P[[#This Row],[Moon]],13.333333333333))+P[[#This Row],[SunRise]]</f>
        <v>43734.277329991317</v>
      </c>
      <c r="K218" s="4" t="str">
        <f>IF(Panchanga!$P218&gt;15,"K","S")&amp;ROUNDUP(MOD(Panchanga!$P218,15),0)&amp;" ("&amp;ROUND(Panchanga!$P218,2)&amp;")"</f>
        <v>K12 (26.76)</v>
      </c>
      <c r="L218" s="4">
        <f>IF(AND(Panchanga!$P218&lt;28.5,Panchanga!$P218&gt;0.49999),MOD((Panchanga!$P218-0.5)*2,7),MOD((Panchanga!$P218+30-28.5),30)*2+7)</f>
        <v>3.5127999999999986</v>
      </c>
      <c r="M218" s="4" t="str">
        <f>CHOOSE(ROUNDUP(Panchanga!$L218,0),"Bhava","Baalava","Kaulava","Taitula","Garija","Vanija","Vishti","Shakuni","Chatushapda","Naaga","Kimstugna")</f>
        <v>Taitula</v>
      </c>
      <c r="N218" s="11" t="str">
        <f>CHOOSE(ROUNDUP(Panchanga!$Q218,0),"viṣkambha","prīti","āyuṣmāna","saubhāgya","śobhana","atigaṇḍa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("&amp;Panchanga!$Q218&amp;")"</f>
        <v>siddha (20.86)</v>
      </c>
      <c r="O218" s="4">
        <f>IF(AND(Panchanga!$P218&lt;28.5,Panchanga!$P218&gt;0.49999),MOD((Panchanga!$P218-0.5)*2,7),MOD((Panchanga!$P218+30-28.5),30)*2+7)</f>
        <v>3.5127999999999986</v>
      </c>
      <c r="P218" s="4">
        <f>ROUNDUP(MOD(360+P[Moon]-P[Sun],360)/12,4)</f>
        <v>26.756399999999999</v>
      </c>
      <c r="Q218" s="4">
        <f>ROUNDUP(MOD(P[Sun]+P[Moon],360)/13.333333333,2)</f>
        <v>20.860000000000003</v>
      </c>
      <c r="R218" s="4" t="str">
        <f>SIGN(U219-Panchanga!$U218)*INT(Panchanga!$U218/30+1)&amp;"Ma,"&amp;SIGN(V219-Panchanga!$V218)*INT(Panchanga!$V218/30+1)&amp;"Me,"&amp;SIGN(W219-Panchanga!$W218)*INT(Panchanga!$W218/30+1)&amp;"J, "&amp;SIGN(X219-Panchanga!$X218)*INT(Panchanga!$X218/30+1)&amp;"V,"&amp;SIGN(Y219-Panchanga!$Y218)*INT(Panchanga!$Y218/30+1)&amp;"S,"&amp;INT(Panchanga!$Z218/30+1)&amp;"R"</f>
        <v>6Ma,6Me,8J, 6V,9S,3R</v>
      </c>
      <c r="S218" s="4">
        <f t="shared" si="40"/>
        <v>158.51081301760368</v>
      </c>
      <c r="T218" s="4">
        <f t="shared" si="41"/>
        <v>119.5867692542304</v>
      </c>
      <c r="U218" s="4">
        <f>Planet(Panchanga!$E218,4)</f>
        <v>150.62682013235599</v>
      </c>
      <c r="V218" s="4">
        <f>Planet(Panchanga!$E218,2)</f>
        <v>175.02524524748233</v>
      </c>
      <c r="W218" s="4">
        <f>Planet(Panchanga!$E218,5)</f>
        <v>233.39612557775115</v>
      </c>
      <c r="X218" s="4">
        <f>Planet(Panchanga!$E218,3)</f>
        <v>170.09487018688776</v>
      </c>
      <c r="Y218" s="4">
        <f>Planet(Panchanga!$E218,6)</f>
        <v>259.82984079029058</v>
      </c>
      <c r="Z218" s="4">
        <f>Planet(Panchanga!$E218,10)</f>
        <v>79.246408688336757</v>
      </c>
      <c r="AA218" s="4" t="str">
        <f>TEXT(Panchanga!$C218+($C219-Panchanga!$C218)/ABS(IF($P219&lt;1,$P219+30,$P219)-Panchanga!$P218)*(ROUNDUP(Panchanga!$P218,0)-Panchanga!$P218),"hh:mm AM/PM")</f>
        <v>10:59 AM</v>
      </c>
      <c r="AB218" s="4"/>
    </row>
    <row r="219" spans="1:28" x14ac:dyDescent="0.2">
      <c r="A219" s="3">
        <f t="shared" si="43"/>
        <v>43735</v>
      </c>
      <c r="B219" s="3">
        <f t="shared" si="37"/>
        <v>43735.229166666664</v>
      </c>
      <c r="C219" s="15">
        <f t="shared" si="38"/>
        <v>43735.249801681995</v>
      </c>
      <c r="D219" s="15">
        <f t="shared" si="39"/>
        <v>43734.751619637056</v>
      </c>
      <c r="E219" s="17">
        <f>Panchanga!$C219-TimeZone/24</f>
        <v>43735.020635015331</v>
      </c>
      <c r="F219" s="18" t="str">
        <f>INT(P[Sun]/30)&amp;"s"&amp;ROUNDUP(MOD(P[Sun],30),2)</f>
        <v>5s9.5</v>
      </c>
      <c r="G219" s="18" t="str">
        <f>INT(P[Moon]/30)&amp;"s"&amp;ROUNDUP(MOD(P[Moon],30),2)</f>
        <v>4s14.59</v>
      </c>
      <c r="H219" s="14">
        <f t="shared" si="42"/>
        <v>43735.020635015331</v>
      </c>
      <c r="I219" s="4" t="str">
        <f>naks(P[[#This Row],[Moon]])</f>
        <v>Purva Phalguni</v>
      </c>
      <c r="J219" s="15">
        <f>(C220-P[[#This Row],[SunRise]])/(T220-P[[#This Row],[Moon]])*(13.3333333333333-MOD(P[[#This Row],[Moon]],13.333333333333))+P[[#This Row],[SunRise]]</f>
        <v>43736.043930219661</v>
      </c>
      <c r="K219" s="4" t="str">
        <f>IF(Panchanga!$P219&gt;15,"K","S")&amp;ROUNDUP(MOD(Panchanga!$P219,15),0)&amp;" ("&amp;ROUND(Panchanga!$P219,2)&amp;")"</f>
        <v>K13 (27.92)</v>
      </c>
      <c r="L219" s="4">
        <f>IF(AND(Panchanga!$P219&lt;28.5,Panchanga!$P219&gt;0.49999),MOD((Panchanga!$P219-0.5)*2,7),MOD((Panchanga!$P219+30-28.5),30)*2+7)</f>
        <v>5.8491999999999962</v>
      </c>
      <c r="M219" s="4" t="str">
        <f>CHOOSE(ROUNDUP(Panchanga!$L219,0),"Bhava","Baalava","Kaulava","Taitula","Garija","Vanija","Vishti","Shakuni","Chatushapda","Naaga","Kimstugna")</f>
        <v>Vanija</v>
      </c>
      <c r="N219" s="11" t="str">
        <f>CHOOSE(ROUNDUP(Panchanga!$Q219,0),"viṣkambha","prīti","āyuṣmāna","saubhāgya","śobhana","atigaṇḍa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("&amp;Panchanga!$Q219&amp;")"</f>
        <v>śubha (22.06)</v>
      </c>
      <c r="O219" s="4">
        <f>IF(AND(Panchanga!$P219&lt;28.5,Panchanga!$P219&gt;0.49999),MOD((Panchanga!$P219-0.5)*2,7),MOD((Panchanga!$P219+30-28.5),30)*2+7)</f>
        <v>5.8491999999999962</v>
      </c>
      <c r="P219" s="4">
        <f>ROUNDUP(MOD(360+P[Moon]-P[Sun],360)/12,4)</f>
        <v>27.924599999999998</v>
      </c>
      <c r="Q219" s="4">
        <f>ROUNDUP(MOD(P[Sun]+P[Moon],360)/13.333333333,2)</f>
        <v>22.060000000000002</v>
      </c>
      <c r="R219" s="4" t="str">
        <f>SIGN(U220-Panchanga!$U219)*INT(Panchanga!$U219/30+1)&amp;"Ma,"&amp;SIGN(V220-Panchanga!$V219)*INT(Panchanga!$V219/30+1)&amp;"Me,"&amp;SIGN(W220-Panchanga!$W219)*INT(Panchanga!$W219/30+1)&amp;"J, "&amp;SIGN(X220-Panchanga!$X219)*INT(Panchanga!$X219/30+1)&amp;"V,"&amp;SIGN(Y220-Panchanga!$Y219)*INT(Panchanga!$Y219/30+1)&amp;"S,"&amp;INT(Panchanga!$Z219/30+1)&amp;"R"</f>
        <v>6Ma,6Me,8J, 6V,9S,3R</v>
      </c>
      <c r="S219" s="4">
        <f t="shared" si="40"/>
        <v>159.49136425601409</v>
      </c>
      <c r="T219" s="4">
        <f t="shared" si="41"/>
        <v>134.58635069255646</v>
      </c>
      <c r="U219" s="4">
        <f>Planet(Panchanga!$E219,4)</f>
        <v>151.26867834935447</v>
      </c>
      <c r="V219" s="4">
        <f>Planet(Panchanga!$E219,2)</f>
        <v>176.55590778419023</v>
      </c>
      <c r="W219" s="4">
        <f>Planet(Panchanga!$E219,5)</f>
        <v>233.52372667577623</v>
      </c>
      <c r="X219" s="4">
        <f>Planet(Panchanga!$E219,3)</f>
        <v>171.33780749702774</v>
      </c>
      <c r="Y219" s="4">
        <f>Planet(Panchanga!$E219,6)</f>
        <v>259.84322684036977</v>
      </c>
      <c r="Z219" s="4">
        <f>Planet(Panchanga!$E219,10)</f>
        <v>79.193415538137899</v>
      </c>
      <c r="AA219" s="4" t="str">
        <f>TEXT(Panchanga!$C219+($C220-Panchanga!$C219)/ABS(IF($P220&lt;1,$P220+30,$P220)-Panchanga!$P219)*(ROUNDUP(Panchanga!$P219,0)-Panchanga!$P219),"hh:mm AM/PM")</f>
        <v>07:31 AM</v>
      </c>
      <c r="AB219" s="4"/>
    </row>
    <row r="220" spans="1:28" x14ac:dyDescent="0.2">
      <c r="A220" s="3">
        <f t="shared" si="43"/>
        <v>43736</v>
      </c>
      <c r="B220" s="3">
        <f t="shared" si="37"/>
        <v>43736.229166666664</v>
      </c>
      <c r="C220" s="15">
        <f t="shared" si="38"/>
        <v>43736.249825523853</v>
      </c>
      <c r="D220" s="15">
        <f t="shared" si="39"/>
        <v>43735.751124203249</v>
      </c>
      <c r="E220" s="17">
        <f>Panchanga!$C220-TimeZone/24</f>
        <v>43736.020658857189</v>
      </c>
      <c r="F220" s="18" t="str">
        <f>INT(P[Sun]/30)&amp;"s"&amp;ROUNDUP(MOD(P[Sun],30),2)</f>
        <v>5s10.48</v>
      </c>
      <c r="G220" s="18" t="str">
        <f>INT(P[Moon]/30)&amp;"s"&amp;ROUNDUP(MOD(P[Moon],30),2)</f>
        <v>4s29.8</v>
      </c>
      <c r="H220" s="14">
        <f t="shared" si="42"/>
        <v>43736.020658857189</v>
      </c>
      <c r="I220" s="4" t="str">
        <f>naks(P[[#This Row],[Moon]])</f>
        <v>Uttara Phalguni</v>
      </c>
      <c r="J220" s="15">
        <f>(C221-P[[#This Row],[SunRise]])/(T221-P[[#This Row],[Moon]])*(13.3333333333333-MOD(P[[#This Row],[Moon]],13.333333333333))+P[[#This Row],[SunRise]]</f>
        <v>43736.918627001003</v>
      </c>
      <c r="K220" s="4" t="str">
        <f>IF(Panchanga!$P220&gt;15,"K","S")&amp;ROUNDUP(MOD(Panchanga!$P220,15),0)&amp;" ("&amp;ROUND(Panchanga!$P220,2)&amp;")"</f>
        <v>K15 (29.11)</v>
      </c>
      <c r="L220" s="4">
        <f>IF(AND(Panchanga!$P220&lt;28.5,Panchanga!$P220&gt;0.49999),MOD((Panchanga!$P220-0.5)*2,7),MOD((Panchanga!$P220+30-28.5),30)*2+7)</f>
        <v>8.2211999999999961</v>
      </c>
      <c r="M220" s="4" t="str">
        <f>CHOOSE(ROUNDUP(Panchanga!$L220,0),"Bhava","Baalava","Kaulava","Taitula","Garija","Vanija","Vishti","Shakuni","Chatushapda","Naaga","Kimstugna")</f>
        <v>Chatushapda</v>
      </c>
      <c r="N220" s="11" t="str">
        <f>CHOOSE(ROUNDUP(Panchanga!$Q220,0),"viṣkambha","prīti","āyuṣmāna","saubhāgya","śobhana","atigaṇḍa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("&amp;Panchanga!$Q220&amp;")"</f>
        <v>śukla (23.28)</v>
      </c>
      <c r="O220" s="4">
        <f>IF(AND(Panchanga!$P220&lt;28.5,Panchanga!$P220&gt;0.49999),MOD((Panchanga!$P220-0.5)*2,7),MOD((Panchanga!$P220+30-28.5),30)*2+7)</f>
        <v>8.2211999999999961</v>
      </c>
      <c r="P220" s="4">
        <f>ROUNDUP(MOD(360+P[Moon]-P[Sun],360)/12,4)</f>
        <v>29.110599999999998</v>
      </c>
      <c r="Q220" s="4">
        <f>ROUNDUP(MOD(P[Sun]+P[Moon],360)/13.333333333,2)</f>
        <v>23.28</v>
      </c>
      <c r="R220" s="4" t="str">
        <f>SIGN(U221-Panchanga!$U220)*INT(Panchanga!$U220/30+1)&amp;"Ma,"&amp;SIGN(V221-Panchanga!$V220)*INT(Panchanga!$V220/30+1)&amp;"Me,"&amp;SIGN(W221-Panchanga!$W220)*INT(Panchanga!$W220/30+1)&amp;"J, "&amp;SIGN(X221-Panchanga!$X220)*INT(Panchanga!$X220/30+1)&amp;"V,"&amp;SIGN(Y221-Panchanga!$Y220)*INT(Panchanga!$Y220/30+1)&amp;"S,"&amp;INT(Panchanga!$Z220/30+1)&amp;"R"</f>
        <v>6Ma,6Me,8J, 6V,9S,3R</v>
      </c>
      <c r="S220" s="4">
        <f t="shared" si="40"/>
        <v>160.47251278812035</v>
      </c>
      <c r="T220" s="4">
        <f t="shared" si="41"/>
        <v>149.79875450164832</v>
      </c>
      <c r="U220" s="4">
        <f>Planet(Panchanga!$E220,4)</f>
        <v>151.91078127762165</v>
      </c>
      <c r="V220" s="4">
        <f>Planet(Panchanga!$E220,2)</f>
        <v>178.07102637304303</v>
      </c>
      <c r="W220" s="4">
        <f>Planet(Panchanga!$E220,5)</f>
        <v>233.65360812595389</v>
      </c>
      <c r="X220" s="4">
        <f>Planet(Panchanga!$E220,3)</f>
        <v>172.58082862315922</v>
      </c>
      <c r="Y220" s="4">
        <f>Planet(Panchanga!$E220,6)</f>
        <v>259.85826304256886</v>
      </c>
      <c r="Z220" s="4">
        <f>Planet(Panchanga!$E220,10)</f>
        <v>79.14042227845502</v>
      </c>
      <c r="AA220" s="4" t="str">
        <f>TEXT(Panchanga!$C220+($C221-Panchanga!$C220)/ABS(IF($P221&lt;1,$P221+30,$P221)-Panchanga!$P220)*(ROUNDUP(Panchanga!$P220,0)-Panchanga!$P220),"hh:mm AM/PM")</f>
        <v>11:56 PM</v>
      </c>
      <c r="AB220" s="4"/>
    </row>
    <row r="221" spans="1:28" x14ac:dyDescent="0.2">
      <c r="A221" s="3">
        <f t="shared" si="43"/>
        <v>43737</v>
      </c>
      <c r="B221" s="3">
        <f t="shared" si="37"/>
        <v>43737.229166666664</v>
      </c>
      <c r="C221" s="15">
        <f t="shared" si="38"/>
        <v>43737.249851908688</v>
      </c>
      <c r="D221" s="15">
        <f t="shared" si="39"/>
        <v>43736.750631312883</v>
      </c>
      <c r="E221" s="17">
        <f>Panchanga!$C221-TimeZone/24</f>
        <v>43737.020685242023</v>
      </c>
      <c r="F221" s="18" t="str">
        <f>INT(P[Sun]/30)&amp;"s"&amp;ROUNDUP(MOD(P[Sun],30),2)</f>
        <v>5s11.46</v>
      </c>
      <c r="G221" s="18" t="str">
        <f>INT(P[Moon]/30)&amp;"s"&amp;ROUNDUP(MOD(P[Moon],30),2)</f>
        <v>5s15.06</v>
      </c>
      <c r="H221" s="14">
        <f t="shared" si="42"/>
        <v>43737.020685242023</v>
      </c>
      <c r="I221" s="4" t="str">
        <f>naks(P[[#This Row],[Moon]])</f>
        <v>Hasta</v>
      </c>
      <c r="J221" s="15">
        <f>(C222-P[[#This Row],[SunRise]])/(T222-P[[#This Row],[Moon]])*(13.3333333333333-MOD(P[[#This Row],[Moon]],13.333333333333))+P[[#This Row],[SunRise]]</f>
        <v>43737.798004028169</v>
      </c>
      <c r="K221" s="4" t="str">
        <f>IF(Panchanga!$P221&gt;15,"K","S")&amp;ROUNDUP(MOD(Panchanga!$P221,15),0)&amp;" ("&amp;ROUND(Panchanga!$P221,2)&amp;")"</f>
        <v>S1 (0.3)</v>
      </c>
      <c r="L221" s="4">
        <f>IF(AND(Panchanga!$P221&lt;28.5,Panchanga!$P221&gt;0.49999),MOD((Panchanga!$P221-0.5)*2,7),MOD((Panchanga!$P221+30-28.5),30)*2+7)</f>
        <v>10.599800000000002</v>
      </c>
      <c r="M221" s="4" t="str">
        <f>CHOOSE(ROUNDUP(Panchanga!$L221,0),"Bhava","Baalava","Kaulava","Taitula","Garija","Vanija","Vishti","Shakuni","Chatushapda","Naaga","Kimstugna")</f>
        <v>Kimstugna</v>
      </c>
      <c r="N221" s="11" t="str">
        <f>CHOOSE(ROUNDUP(Panchanga!$Q221,0),"viṣkambha","prīti","āyuṣmāna","saubhāgya","śobhana","atigaṇḍa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("&amp;Panchanga!$Q221&amp;")"</f>
        <v>brahma (24.49)</v>
      </c>
      <c r="O221" s="4">
        <f>IF(AND(Panchanga!$P221&lt;28.5,Panchanga!$P221&gt;0.49999),MOD((Panchanga!$P221-0.5)*2,7),MOD((Panchanga!$P221+30-28.5),30)*2+7)</f>
        <v>10.599800000000002</v>
      </c>
      <c r="P221" s="4">
        <f>ROUNDUP(MOD(360+P[Moon]-P[Sun],360)/12,4)</f>
        <v>0.2999</v>
      </c>
      <c r="Q221" s="4">
        <f>ROUNDUP(MOD(P[Sun]+P[Moon],360)/13.333333333,2)</f>
        <v>24.490000000000002</v>
      </c>
      <c r="R221" s="4" t="str">
        <f>SIGN(U222-Panchanga!$U221)*INT(Panchanga!$U221/30+1)&amp;"Ma,"&amp;SIGN(V222-Panchanga!$V221)*INT(Panchanga!$V221/30+1)&amp;"Me,"&amp;SIGN(W222-Panchanga!$W221)*INT(Panchanga!$W221/30+1)&amp;"J, "&amp;SIGN(X222-Panchanga!$X221)*INT(Panchanga!$X221/30+1)&amp;"V,"&amp;SIGN(Y222-Panchanga!$Y221)*INT(Panchanga!$Y221/30+1)&amp;"S,"&amp;INT(Panchanga!$Z221/30+1)&amp;"R"</f>
        <v>6Ma,6Me,8J, 6V,9S,3R</v>
      </c>
      <c r="S221" s="4">
        <f t="shared" si="40"/>
        <v>161.45423927641156</v>
      </c>
      <c r="T221" s="4">
        <f t="shared" si="41"/>
        <v>165.05218172193148</v>
      </c>
      <c r="U221" s="4">
        <f>Planet(Panchanga!$E221,4)</f>
        <v>152.55312304572814</v>
      </c>
      <c r="V221" s="4">
        <f>Planet(Panchanga!$E221,2)</f>
        <v>179.57062572705328</v>
      </c>
      <c r="W221" s="4">
        <f>Planet(Panchanga!$E221,5)</f>
        <v>233.78574393752885</v>
      </c>
      <c r="X221" s="4">
        <f>Planet(Panchanga!$E221,3)</f>
        <v>173.82391888491938</v>
      </c>
      <c r="Y221" s="4">
        <f>Planet(Panchanga!$E221,6)</f>
        <v>259.87494839465353</v>
      </c>
      <c r="Z221" s="4">
        <f>Planet(Panchanga!$E221,10)</f>
        <v>79.087428884053807</v>
      </c>
      <c r="AA221" s="4" t="str">
        <f>TEXT(Panchanga!$C221+($C222-Panchanga!$C221)/ABS(IF($P222&lt;1,$P222+30,$P222)-Panchanga!$P221)*(ROUNDUP(Panchanga!$P221,0)-Panchanga!$P221),"hh:mm AM/PM")</f>
        <v>08:16 PM</v>
      </c>
      <c r="AB221" s="4"/>
    </row>
    <row r="222" spans="1:28" x14ac:dyDescent="0.2">
      <c r="A222" s="3">
        <f t="shared" si="43"/>
        <v>43738</v>
      </c>
      <c r="B222" s="3">
        <f t="shared" si="37"/>
        <v>43738.229166666664</v>
      </c>
      <c r="C222" s="15">
        <f t="shared" si="38"/>
        <v>43738.249880836964</v>
      </c>
      <c r="D222" s="15">
        <f t="shared" si="39"/>
        <v>43737.750141124285</v>
      </c>
      <c r="E222" s="17">
        <f>Panchanga!$C222-TimeZone/24</f>
        <v>43738.020714170299</v>
      </c>
      <c r="F222" s="18" t="str">
        <f>INT(P[Sun]/30)&amp;"s"&amp;ROUNDUP(MOD(P[Sun],30),2)</f>
        <v>5s12.44</v>
      </c>
      <c r="G222" s="18" t="str">
        <f>INT(P[Moon]/30)&amp;"s"&amp;ROUNDUP(MOD(P[Moon],30),2)</f>
        <v>6s0.17</v>
      </c>
      <c r="H222" s="14">
        <f t="shared" si="42"/>
        <v>43738.020714170299</v>
      </c>
      <c r="I222" s="4" t="str">
        <f>naks(P[[#This Row],[Moon]])</f>
        <v>Chitra</v>
      </c>
      <c r="J222" s="15">
        <f>(C223-P[[#This Row],[SunRise]])/(T223-P[[#This Row],[Moon]])*(13.3333333333333-MOD(P[[#This Row],[Moon]],13.333333333333))+P[[#This Row],[SunRise]]</f>
        <v>43738.689683460303</v>
      </c>
      <c r="K222" s="4" t="str">
        <f>IF(Panchanga!$P222&gt;15,"K","S")&amp;ROUNDUP(MOD(Panchanga!$P222,15),0)&amp;" ("&amp;ROUND(Panchanga!$P222,2)&amp;")"</f>
        <v>S2 (1.48)</v>
      </c>
      <c r="L222" s="4">
        <f>IF(AND(Panchanga!$P222&lt;28.5,Panchanga!$P222&gt;0.49999),MOD((Panchanga!$P222-0.5)*2,7),MOD((Panchanga!$P222+30-28.5),30)*2+7)</f>
        <v>1.9540000000000002</v>
      </c>
      <c r="M222" s="4" t="str">
        <f>CHOOSE(ROUNDUP(Panchanga!$L222,0),"Bhava","Baalava","Kaulava","Taitula","Garija","Vanija","Vishti","Shakuni","Chatushapda","Naaga","Kimstugna")</f>
        <v>Baalava</v>
      </c>
      <c r="N222" s="11" t="str">
        <f>CHOOSE(ROUNDUP(Panchanga!$Q222,0),"viṣkambha","prīti","āyuṣmāna","saubhāgya","śobhana","atigaṇḍa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("&amp;Panchanga!$Q222&amp;")"</f>
        <v>mahendra (25.7)</v>
      </c>
      <c r="O222" s="4">
        <f>IF(AND(Panchanga!$P222&lt;28.5,Panchanga!$P222&gt;0.49999),MOD((Panchanga!$P222-0.5)*2,7),MOD((Panchanga!$P222+30-28.5),30)*2+7)</f>
        <v>1.9540000000000002</v>
      </c>
      <c r="P222" s="4">
        <f>ROUNDUP(MOD(360+P[Moon]-P[Sun],360)/12,4)</f>
        <v>1.4770000000000001</v>
      </c>
      <c r="Q222" s="4">
        <f>ROUNDUP(MOD(P[Sun]+P[Moon],360)/13.333333333,2)</f>
        <v>25.700000000000003</v>
      </c>
      <c r="R222" s="4" t="str">
        <f>SIGN(U223-Panchanga!$U222)*INT(Panchanga!$U222/30+1)&amp;"Ma,"&amp;SIGN(V223-Panchanga!$V222)*INT(Panchanga!$V222/30+1)&amp;"Me,"&amp;SIGN(W223-Panchanga!$W222)*INT(Panchanga!$W222/30+1)&amp;"J, "&amp;SIGN(X223-Panchanga!$X222)*INT(Panchanga!$X222/30+1)&amp;"V,"&amp;SIGN(Y223-Panchanga!$Y222)*INT(Panchanga!$Y222/30+1)&amp;"S,"&amp;INT(Panchanga!$Z222/30+1)&amp;"R"</f>
        <v>6Ma,7Me,8J, 6V,9S,3R</v>
      </c>
      <c r="S222" s="4">
        <f t="shared" si="40"/>
        <v>162.43652242124338</v>
      </c>
      <c r="T222" s="4">
        <f t="shared" si="41"/>
        <v>180.16001561789042</v>
      </c>
      <c r="U222" s="4">
        <f>Planet(Panchanga!$E222,4)</f>
        <v>153.19569727141564</v>
      </c>
      <c r="V222" s="4">
        <f>Planet(Panchanga!$E222,2)</f>
        <v>181.05467737052294</v>
      </c>
      <c r="W222" s="4">
        <f>Planet(Panchanga!$E222,5)</f>
        <v>233.92010651269624</v>
      </c>
      <c r="X222" s="4">
        <f>Planet(Panchanga!$E222,3)</f>
        <v>175.06706152279042</v>
      </c>
      <c r="Y222" s="4">
        <f>Planet(Panchanga!$E222,6)</f>
        <v>259.89328060432899</v>
      </c>
      <c r="Z222" s="4">
        <f>Planet(Panchanga!$E222,10)</f>
        <v>79.034435354834969</v>
      </c>
      <c r="AA222" s="4" t="str">
        <f>TEXT(Panchanga!$C222+($C223-Panchanga!$C222)/ABS(IF($P223&lt;1,$P223+30,$P223)-Panchanga!$P222)*(ROUNDUP(Panchanga!$P222,0)-Panchanga!$P222),"hh:mm AM/PM")</f>
        <v>04:54 PM</v>
      </c>
      <c r="AB222" s="4"/>
    </row>
    <row r="223" spans="1:28" x14ac:dyDescent="0.2">
      <c r="A223" s="3">
        <f t="shared" si="43"/>
        <v>43739</v>
      </c>
      <c r="B223" s="3">
        <f t="shared" si="37"/>
        <v>43739.229166666664</v>
      </c>
      <c r="C223" s="15">
        <f t="shared" si="38"/>
        <v>43739.249912308216</v>
      </c>
      <c r="D223" s="15">
        <f t="shared" si="39"/>
        <v>43738.74965411429</v>
      </c>
      <c r="E223" s="17">
        <f>Panchanga!$C223-TimeZone/24</f>
        <v>43739.020745641552</v>
      </c>
      <c r="F223" s="18" t="str">
        <f>INT(P[Sun]/30)&amp;"s"&amp;ROUNDUP(MOD(P[Sun],30),2)</f>
        <v>5s13.42</v>
      </c>
      <c r="G223" s="18" t="str">
        <f>INT(P[Moon]/30)&amp;"s"&amp;ROUNDUP(MOD(P[Moon],30),2)</f>
        <v>6s14.96</v>
      </c>
      <c r="H223" s="14">
        <f t="shared" si="42"/>
        <v>43739.020745641552</v>
      </c>
      <c r="I223" s="4" t="str">
        <f>naks(P[[#This Row],[Moon]])</f>
        <v>Swati</v>
      </c>
      <c r="J223" s="15">
        <f>(C224-P[[#This Row],[SunRise]])/(T224-P[[#This Row],[Moon]])*(13.3333333333333-MOD(P[[#This Row],[Moon]],13.333333333333))+P[[#This Row],[SunRise]]</f>
        <v>43739.601199139877</v>
      </c>
      <c r="K223" s="4" t="str">
        <f>IF(Panchanga!$P223&gt;15,"K","S")&amp;ROUNDUP(MOD(Panchanga!$P223,15),0)&amp;" ("&amp;ROUND(Panchanga!$P223,2)&amp;")"</f>
        <v>S3 (2.63)</v>
      </c>
      <c r="L223" s="4">
        <f>IF(AND(Panchanga!$P223&lt;28.5,Panchanga!$P223&gt;0.49999),MOD((Panchanga!$P223-0.5)*2,7),MOD((Panchanga!$P223+30-28.5),30)*2+7)</f>
        <v>4.2560000000000002</v>
      </c>
      <c r="M223" s="4" t="str">
        <f>CHOOSE(ROUNDUP(Panchanga!$L223,0),"Bhava","Baalava","Kaulava","Taitula","Garija","Vanija","Vishti","Shakuni","Chatushapda","Naaga","Kimstugna")</f>
        <v>Garija</v>
      </c>
      <c r="N223" s="11" t="str">
        <f>CHOOSE(ROUNDUP(Panchanga!$Q223,0),"viṣkambha","prīti","āyuṣmāna","saubhāgya","śobhana","atigaṇḍa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("&amp;Panchanga!$Q223&amp;")"</f>
        <v>vaidhṛti (26.88)</v>
      </c>
      <c r="O223" s="4">
        <f>IF(AND(Panchanga!$P223&lt;28.5,Panchanga!$P223&gt;0.49999),MOD((Panchanga!$P223-0.5)*2,7),MOD((Panchanga!$P223+30-28.5),30)*2+7)</f>
        <v>4.2560000000000002</v>
      </c>
      <c r="P223" s="4">
        <f>ROUNDUP(MOD(360+P[Moon]-P[Sun],360)/12,4)</f>
        <v>2.6280000000000001</v>
      </c>
      <c r="Q223" s="4">
        <f>ROUNDUP(MOD(P[Sun]+P[Moon],360)/13.333333333,2)</f>
        <v>26.880000000000003</v>
      </c>
      <c r="R223" s="4" t="str">
        <f>SIGN(U224-Panchanga!$U223)*INT(Panchanga!$U223/30+1)&amp;"Ma,"&amp;SIGN(V224-Panchanga!$V223)*INT(Panchanga!$V223/30+1)&amp;"Me,"&amp;SIGN(W224-Panchanga!$W223)*INT(Panchanga!$W223/30+1)&amp;"J, "&amp;SIGN(X224-Panchanga!$X223)*INT(Panchanga!$X223/30+1)&amp;"V,"&amp;SIGN(Y224-Panchanga!$Y223)*INT(Panchanga!$Y223/30+1)&amp;"S,"&amp;INT(Panchanga!$Z223/30+1)&amp;"R"</f>
        <v>6Ma,7Me,8J, 6V,9S,3R</v>
      </c>
      <c r="S223" s="4">
        <f t="shared" si="40"/>
        <v>163.41934171220424</v>
      </c>
      <c r="T223" s="4">
        <f t="shared" si="41"/>
        <v>194.95496106815085</v>
      </c>
      <c r="U223" s="4">
        <f>Planet(Panchanga!$E223,4)</f>
        <v>153.83849829953513</v>
      </c>
      <c r="V223" s="4">
        <f>Planet(Panchanga!$E223,2)</f>
        <v>182.52309659302966</v>
      </c>
      <c r="W223" s="4">
        <f>Planet(Panchanga!$E223,5)</f>
        <v>234.05666688708129</v>
      </c>
      <c r="X223" s="4">
        <f>Planet(Panchanga!$E223,3)</f>
        <v>176.31023953942227</v>
      </c>
      <c r="Y223" s="4">
        <f>Planet(Panchanga!$E223,6)</f>
        <v>259.9132560561639</v>
      </c>
      <c r="Z223" s="4">
        <f>Planet(Panchanga!$E223,10)</f>
        <v>78.981441690864855</v>
      </c>
      <c r="AA223" s="4" t="str">
        <f>TEXT(Panchanga!$C223+($C224-Panchanga!$C223)/ABS(IF($P224&lt;1,$P224+30,$P224)-Panchanga!$P223)*(ROUNDUP(Panchanga!$P223,0)-Panchanga!$P223),"hh:mm AM/PM")</f>
        <v>02:00 PM</v>
      </c>
      <c r="AB223" s="4"/>
    </row>
    <row r="224" spans="1:28" x14ac:dyDescent="0.2">
      <c r="A224" s="3">
        <f t="shared" si="43"/>
        <v>43740</v>
      </c>
      <c r="B224" s="3">
        <f t="shared" si="37"/>
        <v>43740.229166666664</v>
      </c>
      <c r="C224" s="15">
        <f t="shared" si="38"/>
        <v>43740.249946799282</v>
      </c>
      <c r="D224" s="15">
        <f t="shared" si="39"/>
        <v>43739.749170283831</v>
      </c>
      <c r="E224" s="17">
        <f>Panchanga!$C224-TimeZone/24</f>
        <v>43740.020780132618</v>
      </c>
      <c r="F224" s="18" t="str">
        <f>INT(P[Sun]/30)&amp;"s"&amp;ROUNDUP(MOD(P[Sun],30),2)</f>
        <v>5s14.41</v>
      </c>
      <c r="G224" s="18" t="str">
        <f>INT(P[Moon]/30)&amp;"s"&amp;ROUNDUP(MOD(P[Moon],30),2)</f>
        <v>6s29.32</v>
      </c>
      <c r="H224" s="14">
        <f t="shared" si="42"/>
        <v>43740.020780132618</v>
      </c>
      <c r="I224" s="4" t="str">
        <f>naks(P[[#This Row],[Moon]])</f>
        <v>Visakha</v>
      </c>
      <c r="J224" s="15">
        <f>(C225-P[[#This Row],[SunRise]])/(T225-P[[#This Row],[Moon]])*(13.3333333333333-MOD(P[[#This Row],[Moon]],13.333333333333))+P[[#This Row],[SunRise]]</f>
        <v>43740.539532703726</v>
      </c>
      <c r="K224" s="4" t="str">
        <f>IF(Panchanga!$P224&gt;15,"K","S")&amp;ROUNDUP(MOD(Panchanga!$P224,15),0)&amp;" ("&amp;ROUND(Panchanga!$P224,2)&amp;")"</f>
        <v>S4 (3.74)</v>
      </c>
      <c r="L224" s="4">
        <f>IF(AND(Panchanga!$P224&lt;28.5,Panchanga!$P224&gt;0.49999),MOD((Panchanga!$P224-0.5)*2,7),MOD((Panchanga!$P224+30-28.5),30)*2+7)</f>
        <v>6.4858000000000002</v>
      </c>
      <c r="M224" s="4" t="str">
        <f>CHOOSE(ROUNDUP(Panchanga!$L224,0),"Bhava","Baalava","Kaulava","Taitula","Garija","Vanija","Vishti","Shakuni","Chatushapda","Naaga","Kimstugna")</f>
        <v>Vishti</v>
      </c>
      <c r="N224" s="11" t="str">
        <f>CHOOSE(ROUNDUP(Panchanga!$Q224,0),"viṣkambha","prīti","āyuṣmāna","saubhāgya","śobhana","atigaṇḍa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("&amp;Panchanga!$Q224&amp;")"</f>
        <v>prīti (1.03)</v>
      </c>
      <c r="O224" s="4">
        <f>IF(AND(Panchanga!$P224&lt;28.5,Panchanga!$P224&gt;0.49999),MOD((Panchanga!$P224-0.5)*2,7),MOD((Panchanga!$P224+30-28.5),30)*2+7)</f>
        <v>6.4858000000000002</v>
      </c>
      <c r="P224" s="4">
        <f>ROUNDUP(MOD(360+P[Moon]-P[Sun],360)/12,4)</f>
        <v>3.7429000000000001</v>
      </c>
      <c r="Q224" s="4">
        <f>ROUNDUP(MOD(P[Sun]+P[Moon],360)/13.333333333,2)</f>
        <v>1.03</v>
      </c>
      <c r="R224" s="4" t="str">
        <f>SIGN(U225-Panchanga!$U224)*INT(Panchanga!$U224/30+1)&amp;"Ma,"&amp;SIGN(V225-Panchanga!$V224)*INT(Panchanga!$V224/30+1)&amp;"Me,"&amp;SIGN(W225-Panchanga!$W224)*INT(Panchanga!$W224/30+1)&amp;"J, "&amp;SIGN(X225-Panchanga!$X224)*INT(Panchanga!$X224/30+1)&amp;"V,"&amp;SIGN(Y225-Panchanga!$Y224)*INT(Panchanga!$Y224/30+1)&amp;"S,"&amp;INT(Panchanga!$Z224/30+1)&amp;"R"</f>
        <v>6Ma,7Me,8J, 6V,9S,3R</v>
      </c>
      <c r="S224" s="4">
        <f t="shared" si="40"/>
        <v>164.40267990006575</v>
      </c>
      <c r="T224" s="4">
        <f t="shared" si="41"/>
        <v>209.31705063684925</v>
      </c>
      <c r="U224" s="4">
        <f>Planet(Panchanga!$E224,4)</f>
        <v>154.48152227054422</v>
      </c>
      <c r="V224" s="4">
        <f>Planet(Panchanga!$E224,2)</f>
        <v>183.97573897061517</v>
      </c>
      <c r="W224" s="4">
        <f>Planet(Panchanga!$E224,5)</f>
        <v>234.19539515386427</v>
      </c>
      <c r="X224" s="4">
        <f>Planet(Panchanga!$E224,3)</f>
        <v>177.55343750943763</v>
      </c>
      <c r="Y224" s="4">
        <f>Planet(Panchanga!$E224,6)</f>
        <v>259.93486991219004</v>
      </c>
      <c r="Z224" s="4">
        <f>Planet(Panchanga!$E224,10)</f>
        <v>78.928447866875814</v>
      </c>
      <c r="AA224" s="4" t="str">
        <f>TEXT(Panchanga!$C224+($C225-Panchanga!$C224)/ABS(IF($P225&lt;1,$P225+30,$P225)-Panchanga!$P224)*(ROUNDUP(Panchanga!$P224,0)-Panchanga!$P224),"hh:mm AM/PM")</f>
        <v>11:44 AM</v>
      </c>
      <c r="AB224" s="4"/>
    </row>
    <row r="225" spans="1:28" x14ac:dyDescent="0.2">
      <c r="A225" s="3">
        <f t="shared" si="43"/>
        <v>43741</v>
      </c>
      <c r="B225" s="3">
        <f t="shared" si="37"/>
        <v>43741.229166666664</v>
      </c>
      <c r="C225" s="15">
        <f t="shared" si="38"/>
        <v>43741.249984151837</v>
      </c>
      <c r="D225" s="15">
        <f t="shared" si="39"/>
        <v>43740.748690108812</v>
      </c>
      <c r="E225" s="17">
        <f>Panchanga!$C225-TimeZone/24</f>
        <v>43741.020817485172</v>
      </c>
      <c r="F225" s="18" t="str">
        <f>INT(P[Sun]/30)&amp;"s"&amp;ROUNDUP(MOD(P[Sun],30),2)</f>
        <v>5s15.39</v>
      </c>
      <c r="G225" s="18" t="str">
        <f>INT(P[Moon]/30)&amp;"s"&amp;ROUNDUP(MOD(P[Moon],30),2)</f>
        <v>7s13.19</v>
      </c>
      <c r="H225" s="14">
        <f t="shared" si="42"/>
        <v>43741.020817485172</v>
      </c>
      <c r="I225" s="4" t="str">
        <f>naks(P[[#This Row],[Moon]])</f>
        <v>Anuradha</v>
      </c>
      <c r="J225" s="15">
        <f>(C226-P[[#This Row],[SunRise]])/(T226-P[[#This Row],[Moon]])*(13.3333333333333-MOD(P[[#This Row],[Moon]],13.333333333333))+P[[#This Row],[SunRise]]</f>
        <v>43741.510189508641</v>
      </c>
      <c r="K225" s="4" t="str">
        <f>IF(Panchanga!$P225&gt;15,"K","S")&amp;ROUNDUP(MOD(Panchanga!$P225,15),0)&amp;" ("&amp;ROUND(Panchanga!$P225,2)&amp;")"</f>
        <v>S5 (4.82)</v>
      </c>
      <c r="L225" s="4">
        <f>IF(AND(Panchanga!$P225&lt;28.5,Panchanga!$P225&gt;0.49999),MOD((Panchanga!$P225-0.5)*2,7),MOD((Panchanga!$P225+30-28.5),30)*2+7)</f>
        <v>1.6334</v>
      </c>
      <c r="M225" s="4" t="str">
        <f>CHOOSE(ROUNDUP(Panchanga!$L225,0),"Bhava","Baalava","Kaulava","Taitula","Garija","Vanija","Vishti","Shakuni","Chatushapda","Naaga","Kimstugna")</f>
        <v>Baalava</v>
      </c>
      <c r="N225" s="11" t="str">
        <f>CHOOSE(ROUNDUP(Panchanga!$Q225,0),"viṣkambha","prīti","āyuṣmāna","saubhāgya","śobhana","atigaṇḍa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("&amp;Panchanga!$Q225&amp;")"</f>
        <v>āyuṣmāna (2.15)</v>
      </c>
      <c r="O225" s="4">
        <f>IF(AND(Panchanga!$P225&lt;28.5,Panchanga!$P225&gt;0.49999),MOD((Panchanga!$P225-0.5)*2,7),MOD((Panchanga!$P225+30-28.5),30)*2+7)</f>
        <v>1.6334</v>
      </c>
      <c r="P225" s="4">
        <f>ROUNDUP(MOD(360+P[Moon]-P[Sun],360)/12,4)</f>
        <v>4.8167</v>
      </c>
      <c r="Q225" s="4">
        <f>ROUNDUP(MOD(P[Sun]+P[Moon],360)/13.333333333,2)</f>
        <v>2.15</v>
      </c>
      <c r="R225" s="4" t="str">
        <f>SIGN(U226-Panchanga!$U225)*INT(Panchanga!$U225/30+1)&amp;"Ma,"&amp;SIGN(V226-Panchanga!$V225)*INT(Panchanga!$V225/30+1)&amp;"Me,"&amp;SIGN(W226-Panchanga!$W225)*INT(Panchanga!$W225/30+1)&amp;"J, "&amp;SIGN(X226-Panchanga!$X225)*INT(Panchanga!$X225/30+1)&amp;"V,"&amp;SIGN(Y226-Panchanga!$Y225)*INT(Panchanga!$Y225/30+1)&amp;"S,"&amp;INT(Panchanga!$Z225/30+1)&amp;"R"</f>
        <v>6Ma,7Me,8J, 6V,9S,3R</v>
      </c>
      <c r="S225" s="4">
        <f t="shared" si="40"/>
        <v>165.38652323815117</v>
      </c>
      <c r="T225" s="4">
        <f t="shared" si="41"/>
        <v>223.18662319975604</v>
      </c>
      <c r="U225" s="4">
        <f>Planet(Panchanga!$E225,4)</f>
        <v>155.12476686219463</v>
      </c>
      <c r="V225" s="4">
        <f>Planet(Panchanga!$E225,2)</f>
        <v>185.41239371974385</v>
      </c>
      <c r="W225" s="4">
        <f>Planet(Panchanga!$E225,5)</f>
        <v>234.33626076380631</v>
      </c>
      <c r="X225" s="4">
        <f>Planet(Panchanga!$E225,3)</f>
        <v>178.79664113146009</v>
      </c>
      <c r="Y225" s="4">
        <f>Planet(Panchanga!$E225,6)</f>
        <v>259.95811628149244</v>
      </c>
      <c r="Z225" s="4">
        <f>Planet(Panchanga!$E225,10)</f>
        <v>78.875453891268364</v>
      </c>
      <c r="AA225" s="4" t="str">
        <f>TEXT(Panchanga!$C225+($C226-Panchanga!$C225)/ABS(IF($P226&lt;1,$P226+30,$P226)-Panchanga!$P225)*(ROUNDUP(Panchanga!$P225,0)-Panchanga!$P225),"hh:mm AM/PM")</f>
        <v>10:15 AM</v>
      </c>
      <c r="AB225" s="4"/>
    </row>
    <row r="226" spans="1:28" x14ac:dyDescent="0.2">
      <c r="A226" s="3">
        <f t="shared" si="43"/>
        <v>43742</v>
      </c>
      <c r="B226" s="3">
        <f t="shared" si="37"/>
        <v>43742.229166666664</v>
      </c>
      <c r="C226" s="15">
        <f t="shared" si="38"/>
        <v>43742.250024523739</v>
      </c>
      <c r="D226" s="15">
        <f t="shared" si="39"/>
        <v>43741.748213430445</v>
      </c>
      <c r="E226" s="17">
        <f>Panchanga!$C226-TimeZone/24</f>
        <v>43742.020857857075</v>
      </c>
      <c r="F226" s="18" t="str">
        <f>INT(P[Sun]/30)&amp;"s"&amp;ROUNDUP(MOD(P[Sun],30),2)</f>
        <v>5s16.38</v>
      </c>
      <c r="G226" s="18" t="str">
        <f>INT(P[Moon]/30)&amp;"s"&amp;ROUNDUP(MOD(P[Moon],30),2)</f>
        <v>7s26.57</v>
      </c>
      <c r="H226" s="14">
        <f t="shared" si="42"/>
        <v>43742.020857857075</v>
      </c>
      <c r="I226" s="4" t="str">
        <f>naks(P[[#This Row],[Moon]])</f>
        <v>Jyestha</v>
      </c>
      <c r="J226" s="15">
        <f>(C227-P[[#This Row],[SunRise]])/(T227-P[[#This Row],[Moon]])*(13.3333333333333-MOD(P[[#This Row],[Moon]],13.333333333333))+P[[#This Row],[SunRise]]</f>
        <v>43742.516145640482</v>
      </c>
      <c r="K226" s="4" t="str">
        <f>IF(Panchanga!$P226&gt;15,"K","S")&amp;ROUNDUP(MOD(Panchanga!$P226,15),0)&amp;" ("&amp;ROUND(Panchanga!$P226,2)&amp;")"</f>
        <v>S6 (5.85)</v>
      </c>
      <c r="L226" s="4">
        <f>IF(AND(Panchanga!$P226&lt;28.5,Panchanga!$P226&gt;0.49999),MOD((Panchanga!$P226-0.5)*2,7),MOD((Panchanga!$P226+30-28.5),30)*2+7)</f>
        <v>3.698599999999999</v>
      </c>
      <c r="M226" s="4" t="str">
        <f>CHOOSE(ROUNDUP(Panchanga!$L226,0),"Bhava","Baalava","Kaulava","Taitula","Garija","Vanija","Vishti","Shakuni","Chatushapda","Naaga","Kimstugna")</f>
        <v>Taitula</v>
      </c>
      <c r="N226" s="11" t="str">
        <f>CHOOSE(ROUNDUP(Panchanga!$Q226,0),"viṣkambha","prīti","āyuṣmāna","saubhāgya","śobhana","atigaṇḍa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("&amp;Panchanga!$Q226&amp;")"</f>
        <v>saubhāgya (3.22)</v>
      </c>
      <c r="O226" s="4">
        <f>IF(AND(Panchanga!$P226&lt;28.5,Panchanga!$P226&gt;0.49999),MOD((Panchanga!$P226-0.5)*2,7),MOD((Panchanga!$P226+30-28.5),30)*2+7)</f>
        <v>3.698599999999999</v>
      </c>
      <c r="P226" s="4">
        <f>ROUNDUP(MOD(360+P[Moon]-P[Sun],360)/12,4)</f>
        <v>5.8492999999999995</v>
      </c>
      <c r="Q226" s="4">
        <f>ROUNDUP(MOD(P[Sun]+P[Moon],360)/13.333333333,2)</f>
        <v>3.2199999999999998</v>
      </c>
      <c r="R226" s="4" t="str">
        <f>SIGN(U227-Panchanga!$U226)*INT(Panchanga!$U226/30+1)&amp;"Ma,"&amp;SIGN(V227-Panchanga!$V226)*INT(Panchanga!$V226/30+1)&amp;"Me,"&amp;SIGN(W227-Panchanga!$W226)*INT(Panchanga!$W226/30+1)&amp;"J, "&amp;SIGN(X227-Panchanga!$X226)*INT(Panchanga!$X226/30+1)&amp;"V,"&amp;SIGN(Y227-Panchanga!$Y226)*INT(Panchanga!$Y226/30+1)&amp;"S,"&amp;INT(Panchanga!$Z226/30+1)&amp;"R"</f>
        <v>6Ma,7Me,8J, 7V,9S,3R</v>
      </c>
      <c r="S226" s="4">
        <f t="shared" si="40"/>
        <v>166.3708629401286</v>
      </c>
      <c r="T226" s="4">
        <f t="shared" si="41"/>
        <v>236.56138229621612</v>
      </c>
      <c r="U226" s="4">
        <f>Planet(Panchanga!$E226,4)</f>
        <v>155.76823201294656</v>
      </c>
      <c r="V226" s="4">
        <f>Planet(Panchanga!$E226,2)</f>
        <v>186.83277887888016</v>
      </c>
      <c r="W226" s="4">
        <f>Planet(Panchanga!$E226,5)</f>
        <v>234.47923309383663</v>
      </c>
      <c r="X226" s="4">
        <f>Planet(Panchanga!$E226,3)</f>
        <v>180.03983892888627</v>
      </c>
      <c r="Y226" s="4">
        <f>Planet(Panchanga!$E226,6)</f>
        <v>259.982988464958</v>
      </c>
      <c r="Z226" s="4">
        <f>Planet(Panchanga!$E226,10)</f>
        <v>78.822459755642143</v>
      </c>
      <c r="AA226" s="4" t="str">
        <f>TEXT(Panchanga!$C226+($C227-Panchanga!$C226)/ABS(IF($P227&lt;1,$P227+30,$P227)-Panchanga!$P226)*(ROUNDUP(Panchanga!$P226,0)-Panchanga!$P226),"hh:mm AM/PM")</f>
        <v>09:38 AM</v>
      </c>
      <c r="AB226" s="4"/>
    </row>
    <row r="227" spans="1:28" x14ac:dyDescent="0.2">
      <c r="A227" s="3">
        <f t="shared" si="43"/>
        <v>43743</v>
      </c>
      <c r="B227" s="3">
        <f t="shared" si="37"/>
        <v>43743.229166666664</v>
      </c>
      <c r="C227" s="15">
        <f t="shared" si="38"/>
        <v>43743.250068233967</v>
      </c>
      <c r="D227" s="15">
        <f t="shared" si="39"/>
        <v>43742.747740884821</v>
      </c>
      <c r="E227" s="17">
        <f>Panchanga!$C227-TimeZone/24</f>
        <v>43743.020901567303</v>
      </c>
      <c r="F227" s="18" t="str">
        <f>INT(P[Sun]/30)&amp;"s"&amp;ROUNDUP(MOD(P[Sun],30),2)</f>
        <v>5s17.36</v>
      </c>
      <c r="G227" s="18" t="str">
        <f>INT(P[Moon]/30)&amp;"s"&amp;ROUNDUP(MOD(P[Moon],30),2)</f>
        <v>8s9.49</v>
      </c>
      <c r="H227" s="14">
        <f t="shared" si="42"/>
        <v>43743.020901567303</v>
      </c>
      <c r="I227" s="4" t="str">
        <f>naks(P[[#This Row],[Moon]])</f>
        <v>Moola</v>
      </c>
      <c r="J227" s="15">
        <f>(C228-P[[#This Row],[SunRise]])/(T228-P[[#This Row],[Moon]])*(13.3333333333333-MOD(P[[#This Row],[Moon]],13.333333333333))+P[[#This Row],[SunRise]]</f>
        <v>43743.557140227393</v>
      </c>
      <c r="K227" s="4" t="str">
        <f>IF(Panchanga!$P227&gt;15,"K","S")&amp;ROUNDUP(MOD(Panchanga!$P227,15),0)&amp;" ("&amp;ROUND(Panchanga!$P227,2)&amp;")"</f>
        <v>S7 (6.84)</v>
      </c>
      <c r="L227" s="4">
        <f>IF(AND(Panchanga!$P227&lt;28.5,Panchanga!$P227&gt;0.49999),MOD((Panchanga!$P227-0.5)*2,7),MOD((Panchanga!$P227+30-28.5),30)*2+7)</f>
        <v>5.6879999999999988</v>
      </c>
      <c r="M227" s="4" t="str">
        <f>CHOOSE(ROUNDUP(Panchanga!$L227,0),"Bhava","Baalava","Kaulava","Taitula","Garija","Vanija","Vishti","Shakuni","Chatushapda","Naaga","Kimstugna")</f>
        <v>Vanija</v>
      </c>
      <c r="N227" s="11" t="str">
        <f>CHOOSE(ROUNDUP(Panchanga!$Q227,0),"viṣkambha","prīti","āyuṣmāna","saubhāgya","śobhana","atigaṇḍa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("&amp;Panchanga!$Q227&amp;")"</f>
        <v>śobhana (4.27)</v>
      </c>
      <c r="O227" s="4">
        <f>IF(AND(Panchanga!$P227&lt;28.5,Panchanga!$P227&gt;0.49999),MOD((Panchanga!$P227-0.5)*2,7),MOD((Panchanga!$P227+30-28.5),30)*2+7)</f>
        <v>5.6879999999999988</v>
      </c>
      <c r="P227" s="4">
        <f>ROUNDUP(MOD(360+P[Moon]-P[Sun],360)/12,4)</f>
        <v>6.8439999999999994</v>
      </c>
      <c r="Q227" s="4">
        <f>ROUNDUP(MOD(P[Sun]+P[Moon],360)/13.333333333,2)</f>
        <v>4.2699999999999996</v>
      </c>
      <c r="R227" s="4" t="str">
        <f>SIGN(U228-Panchanga!$U227)*INT(Panchanga!$U227/30+1)&amp;"Ma,"&amp;SIGN(V228-Panchanga!$V227)*INT(Panchanga!$V227/30+1)&amp;"Me,"&amp;SIGN(W228-Panchanga!$W227)*INT(Panchanga!$W227/30+1)&amp;"J, "&amp;SIGN(X228-Panchanga!$X227)*INT(Panchanga!$X227/30+1)&amp;"V,"&amp;SIGN(Y228-Panchanga!$Y227)*INT(Panchanga!$Y227/30+1)&amp;"S,"&amp;INT(Panchanga!$Z227/30+1)&amp;"R"</f>
        <v>6Ma,7Me,8J, 7V,9S,3R</v>
      </c>
      <c r="S227" s="4">
        <f t="shared" si="40"/>
        <v>167.35569483992893</v>
      </c>
      <c r="T227" s="4">
        <f t="shared" si="41"/>
        <v>249.48319792904411</v>
      </c>
      <c r="U227" s="4">
        <f>Planet(Panchanga!$E227,4)</f>
        <v>156.4119196553078</v>
      </c>
      <c r="V227" s="4">
        <f>Planet(Panchanga!$E227,2)</f>
        <v>188.23653348745006</v>
      </c>
      <c r="W227" s="4">
        <f>Planet(Panchanga!$E227,5)</f>
        <v>234.62428177816528</v>
      </c>
      <c r="X227" s="4">
        <f>Planet(Panchanga!$E227,3)</f>
        <v>181.28302215851011</v>
      </c>
      <c r="Y227" s="4">
        <f>Planet(Panchanga!$E227,6)</f>
        <v>260.00947918311323</v>
      </c>
      <c r="Z227" s="4">
        <f>Planet(Panchanga!$E227,10)</f>
        <v>78.769465443130002</v>
      </c>
      <c r="AA227" s="4" t="str">
        <f>TEXT(Panchanga!$C227+($C228-Panchanga!$C227)/ABS(IF($P228&lt;1,$P228+30,$P228)-Panchanga!$P227)*(ROUNDUP(Panchanga!$P227,0)-Panchanga!$P227),"hh:mm AM/PM")</f>
        <v>09:53 AM</v>
      </c>
      <c r="AB227" s="4"/>
    </row>
    <row r="228" spans="1:28" x14ac:dyDescent="0.2">
      <c r="A228" s="3">
        <f t="shared" si="43"/>
        <v>43744</v>
      </c>
      <c r="B228" s="3">
        <f t="shared" si="37"/>
        <v>43744.229166666664</v>
      </c>
      <c r="C228" s="15">
        <f t="shared" si="38"/>
        <v>43744.250115440846</v>
      </c>
      <c r="D228" s="15">
        <f t="shared" si="39"/>
        <v>43743.747272630731</v>
      </c>
      <c r="E228" s="17">
        <f>Panchanga!$C228-TimeZone/24</f>
        <v>43744.020948774181</v>
      </c>
      <c r="F228" s="18" t="str">
        <f>INT(P[Sun]/30)&amp;"s"&amp;ROUNDUP(MOD(P[Sun],30),2)</f>
        <v>5s18.35</v>
      </c>
      <c r="G228" s="18" t="str">
        <f>INT(P[Moon]/30)&amp;"s"&amp;ROUNDUP(MOD(P[Moon],30),2)</f>
        <v>8s22.03</v>
      </c>
      <c r="H228" s="14">
        <f t="shared" si="42"/>
        <v>43744.020948774181</v>
      </c>
      <c r="I228" s="4" t="str">
        <f>naks(P[[#This Row],[Moon]])</f>
        <v>Purva Asadha</v>
      </c>
      <c r="J228" s="15">
        <f>(C229-P[[#This Row],[SunRise]])/(T229-P[[#This Row],[Moon]])*(13.3333333333333-MOD(P[[#This Row],[Moon]],13.333333333333))+P[[#This Row],[SunRise]]</f>
        <v>43744.62961239813</v>
      </c>
      <c r="K228" s="4" t="str">
        <f>IF(Panchanga!$P228&gt;15,"K","S")&amp;ROUNDUP(MOD(Panchanga!$P228,15),0)&amp;" ("&amp;ROUND(Panchanga!$P228,2)&amp;")"</f>
        <v>S8 (7.81)</v>
      </c>
      <c r="L228" s="4">
        <f>IF(AND(Panchanga!$P228&lt;28.5,Panchanga!$P228&gt;0.49999),MOD((Panchanga!$P228-0.5)*2,7),MOD((Panchanga!$P228+30-28.5),30)*2+7)</f>
        <v>0.61359999999999992</v>
      </c>
      <c r="M228" s="4" t="str">
        <f>CHOOSE(ROUNDUP(Panchanga!$L228,0),"Bhava","Baalava","Kaulava","Taitula","Garija","Vanija","Vishti","Shakuni","Chatushapda","Naaga","Kimstugna")</f>
        <v>Bhava</v>
      </c>
      <c r="N228" s="11" t="str">
        <f>CHOOSE(ROUNDUP(Panchanga!$Q228,0),"viṣkambha","prīti","āyuṣmāna","saubhāgya","śobhana","atigaṇḍa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("&amp;Panchanga!$Q228&amp;")"</f>
        <v>atigaṇḍa  (5.28)</v>
      </c>
      <c r="O228" s="4">
        <f>IF(AND(Panchanga!$P228&lt;28.5,Panchanga!$P228&gt;0.49999),MOD((Panchanga!$P228-0.5)*2,7),MOD((Panchanga!$P228+30-28.5),30)*2+7)</f>
        <v>0.61359999999999992</v>
      </c>
      <c r="P228" s="4">
        <f>ROUNDUP(MOD(360+P[Moon]-P[Sun],360)/12,4)</f>
        <v>7.8068</v>
      </c>
      <c r="Q228" s="4">
        <f>ROUNDUP(MOD(P[Sun]+P[Moon],360)/13.333333333,2)</f>
        <v>5.2799999999999994</v>
      </c>
      <c r="R228" s="4" t="str">
        <f>SIGN(U229-Panchanga!$U228)*INT(Panchanga!$U228/30+1)&amp;"Ma,"&amp;SIGN(V229-Panchanga!$V228)*INT(Panchanga!$V228/30+1)&amp;"Me,"&amp;SIGN(W229-Panchanga!$W228)*INT(Panchanga!$W228/30+1)&amp;"J, "&amp;SIGN(X229-Panchanga!$X228)*INT(Panchanga!$X228/30+1)&amp;"V,"&amp;SIGN(Y229-Panchanga!$Y228)*INT(Panchanga!$Y228/30+1)&amp;"S,"&amp;INT(Panchanga!$Z228/30+1)&amp;"R"</f>
        <v>6Ma,7Me,8J, 7V,9S,3R</v>
      </c>
      <c r="S228" s="4">
        <f t="shared" si="40"/>
        <v>168.34101845115308</v>
      </c>
      <c r="T228" s="4">
        <f t="shared" si="41"/>
        <v>262.02200719734753</v>
      </c>
      <c r="U228" s="4">
        <f>Planet(Panchanga!$E228,4)</f>
        <v>157.05583319139015</v>
      </c>
      <c r="V228" s="4">
        <f>Planet(Panchanga!$E228,2)</f>
        <v>189.62320818863162</v>
      </c>
      <c r="W228" s="4">
        <f>Planet(Panchanga!$E228,5)</f>
        <v>234.77137688809643</v>
      </c>
      <c r="X228" s="4">
        <f>Planet(Panchanga!$E228,3)</f>
        <v>182.52618422001598</v>
      </c>
      <c r="Y228" s="4">
        <f>Planet(Panchanga!$E228,6)</f>
        <v>260.03758074560466</v>
      </c>
      <c r="Z228" s="4">
        <f>Planet(Panchanga!$E228,10)</f>
        <v>78.716470945298582</v>
      </c>
      <c r="AA228" s="4" t="str">
        <f>TEXT(Panchanga!$C228+($C229-Panchanga!$C228)/ABS(IF($P229&lt;1,$P229+30,$P229)-Panchanga!$P228)*(ROUNDUP(Panchanga!$P228,0)-Panchanga!$P228),"hh:mm AM/PM")</f>
        <v>10:56 AM</v>
      </c>
      <c r="AB228" s="4"/>
    </row>
    <row r="229" spans="1:28" x14ac:dyDescent="0.2">
      <c r="A229" s="3">
        <f t="shared" si="43"/>
        <v>43745</v>
      </c>
      <c r="B229" s="3">
        <f t="shared" si="37"/>
        <v>43745.229166666664</v>
      </c>
      <c r="C229" s="15">
        <f t="shared" si="38"/>
        <v>43745.250166462421</v>
      </c>
      <c r="D229" s="15">
        <f t="shared" si="39"/>
        <v>43744.746808826967</v>
      </c>
      <c r="E229" s="17">
        <f>Panchanga!$C229-TimeZone/24</f>
        <v>43745.020999795757</v>
      </c>
      <c r="F229" s="18" t="str">
        <f>INT(P[Sun]/30)&amp;"s"&amp;ROUNDUP(MOD(P[Sun],30),2)</f>
        <v>5s19.33</v>
      </c>
      <c r="G229" s="18" t="str">
        <f>INT(P[Moon]/30)&amp;"s"&amp;ROUNDUP(MOD(P[Moon],30),2)</f>
        <v>9s4.27</v>
      </c>
      <c r="H229" s="14">
        <f t="shared" si="42"/>
        <v>43745.020999795757</v>
      </c>
      <c r="I229" s="4" t="str">
        <f>naks(P[[#This Row],[Moon]])</f>
        <v>Uttara Asadha</v>
      </c>
      <c r="J229" s="15">
        <f>(C230-P[[#This Row],[SunRise]])/(T230-P[[#This Row],[Moon]])*(13.3333333333333-MOD(P[[#This Row],[Moon]],13.333333333333))+P[[#This Row],[SunRise]]</f>
        <v>43745.727305498214</v>
      </c>
      <c r="K229" s="4" t="str">
        <f>IF(Panchanga!$P229&gt;15,"K","S")&amp;ROUNDUP(MOD(Panchanga!$P229,15),0)&amp;" ("&amp;ROUND(Panchanga!$P229,2)&amp;")"</f>
        <v>S9 (8.74)</v>
      </c>
      <c r="L229" s="4">
        <f>IF(AND(Panchanga!$P229&lt;28.5,Panchanga!$P229&gt;0.49999),MOD((Panchanga!$P229-0.5)*2,7),MOD((Panchanga!$P229+30-28.5),30)*2+7)</f>
        <v>2.4892000000000003</v>
      </c>
      <c r="M229" s="4" t="str">
        <f>CHOOSE(ROUNDUP(Panchanga!$L229,0),"Bhava","Baalava","Kaulava","Taitula","Garija","Vanija","Vishti","Shakuni","Chatushapda","Naaga","Kimstugna")</f>
        <v>Kaulava</v>
      </c>
      <c r="N229" s="11" t="str">
        <f>CHOOSE(ROUNDUP(Panchanga!$Q229,0),"viṣkambha","prīti","āyuṣmāna","saubhāgya","śobhana","atigaṇḍa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("&amp;Panchanga!$Q229&amp;")"</f>
        <v>sukarmā  (6.27)</v>
      </c>
      <c r="O229" s="4">
        <f>IF(AND(Panchanga!$P229&lt;28.5,Panchanga!$P229&gt;0.49999),MOD((Panchanga!$P229-0.5)*2,7),MOD((Panchanga!$P229+30-28.5),30)*2+7)</f>
        <v>2.4892000000000003</v>
      </c>
      <c r="P229" s="4">
        <f>ROUNDUP(MOD(360+P[Moon]-P[Sun],360)/12,4)</f>
        <v>8.7446000000000002</v>
      </c>
      <c r="Q229" s="4">
        <f>ROUNDUP(MOD(P[Sun]+P[Moon],360)/13.333333333,2)</f>
        <v>6.27</v>
      </c>
      <c r="R229" s="4" t="str">
        <f>SIGN(U230-Panchanga!$U229)*INT(Panchanga!$U229/30+1)&amp;"Ma,"&amp;SIGN(V230-Panchanga!$V229)*INT(Panchanga!$V229/30+1)&amp;"Me,"&amp;SIGN(W230-Panchanga!$W229)*INT(Panchanga!$W229/30+1)&amp;"J, "&amp;SIGN(X230-Panchanga!$X229)*INT(Panchanga!$X229/30+1)&amp;"V,"&amp;SIGN(Y230-Panchanga!$Y229)*INT(Panchanga!$Y229/30+1)&amp;"S,"&amp;INT(Panchanga!$Z229/30+1)&amp;"R"</f>
        <v>6Ma,7Me,8J, 7V,9S,3R</v>
      </c>
      <c r="S229" s="4">
        <f t="shared" si="40"/>
        <v>169.32683650817677</v>
      </c>
      <c r="T229" s="4">
        <f t="shared" si="41"/>
        <v>274.26162166071498</v>
      </c>
      <c r="U229" s="4">
        <f>Planet(Panchanga!$E229,4)</f>
        <v>157.69997734475913</v>
      </c>
      <c r="V229" s="4">
        <f>Planet(Panchanga!$E229,2)</f>
        <v>190.99225542105435</v>
      </c>
      <c r="W229" s="4">
        <f>Planet(Panchanga!$E229,5)</f>
        <v>234.92048908512129</v>
      </c>
      <c r="X229" s="4">
        <f>Planet(Panchanga!$E229,3)</f>
        <v>183.76932071193269</v>
      </c>
      <c r="Y229" s="4">
        <f>Planet(Panchanga!$E229,6)</f>
        <v>260.0672851797907</v>
      </c>
      <c r="Z229" s="4">
        <f>Planet(Panchanga!$E229,10)</f>
        <v>78.663476245363512</v>
      </c>
      <c r="AA229" s="4" t="str">
        <f>TEXT(Panchanga!$C229+($C230-Panchanga!$C229)/ABS(IF($P230&lt;1,$P230+30,$P230)-Panchanga!$P229)*(ROUNDUP(Panchanga!$P229,0)-Panchanga!$P229),"hh:mm AM/PM")</f>
        <v>12:39 PM</v>
      </c>
      <c r="AB229" s="4"/>
    </row>
    <row r="230" spans="1:28" x14ac:dyDescent="0.2">
      <c r="A230" s="3">
        <f t="shared" si="43"/>
        <v>43746</v>
      </c>
      <c r="B230" s="3">
        <f t="shared" si="37"/>
        <v>43746.229166666664</v>
      </c>
      <c r="C230" s="15">
        <f t="shared" si="38"/>
        <v>43746.250221139904</v>
      </c>
      <c r="D230" s="15">
        <f t="shared" si="39"/>
        <v>43745.74634995083</v>
      </c>
      <c r="E230" s="17">
        <f>Panchanga!$C230-TimeZone/24</f>
        <v>43746.02105447324</v>
      </c>
      <c r="F230" s="18" t="str">
        <f>INT(P[Sun]/30)&amp;"s"&amp;ROUNDUP(MOD(P[Sun],30),2)</f>
        <v>5s20.32</v>
      </c>
      <c r="G230" s="18" t="str">
        <f>INT(P[Moon]/30)&amp;"s"&amp;ROUNDUP(MOD(P[Moon],30),2)</f>
        <v>9s16.29</v>
      </c>
      <c r="H230" s="14">
        <f t="shared" si="42"/>
        <v>43746.02105447324</v>
      </c>
      <c r="I230" s="4" t="str">
        <f>naks(P[[#This Row],[Moon]])</f>
        <v>Sravana</v>
      </c>
      <c r="J230" s="15">
        <f>(C231-P[[#This Row],[SunRise]])/(T231-P[[#This Row],[Moon]])*(13.3333333333333-MOD(P[[#This Row],[Moon]],13.333333333333))+P[[#This Row],[SunRise]]</f>
        <v>43746.842359752285</v>
      </c>
      <c r="K230" s="4" t="str">
        <f>IF(Panchanga!$P230&gt;15,"K","S")&amp;ROUNDUP(MOD(Panchanga!$P230,15),0)&amp;" ("&amp;ROUND(Panchanga!$P230,2)&amp;")"</f>
        <v>S10 (9.66)</v>
      </c>
      <c r="L230" s="4">
        <f>IF(AND(Panchanga!$P230&lt;28.5,Panchanga!$P230&gt;0.49999),MOD((Panchanga!$P230-0.5)*2,7),MOD((Panchanga!$P230+30-28.5),30)*2+7)</f>
        <v>4.3293999999999997</v>
      </c>
      <c r="M230" s="4" t="str">
        <f>CHOOSE(ROUNDUP(Panchanga!$L230,0),"Bhava","Baalava","Kaulava","Taitula","Garija","Vanija","Vishti","Shakuni","Chatushapda","Naaga","Kimstugna")</f>
        <v>Garija</v>
      </c>
      <c r="N230" s="11" t="str">
        <f>CHOOSE(ROUNDUP(Panchanga!$Q230,0),"viṣkambha","prīti","āyuṣmāna","saubhāgya","śobhana","atigaṇḍa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("&amp;Panchanga!$Q230&amp;")"</f>
        <v>dhṛti  (7.25)</v>
      </c>
      <c r="O230" s="4">
        <f>IF(AND(Panchanga!$P230&lt;28.5,Panchanga!$P230&gt;0.49999),MOD((Panchanga!$P230-0.5)*2,7),MOD((Panchanga!$P230+30-28.5),30)*2+7)</f>
        <v>4.3293999999999997</v>
      </c>
      <c r="P230" s="4">
        <f>ROUNDUP(MOD(360+P[Moon]-P[Sun],360)/12,4)</f>
        <v>9.6646999999999998</v>
      </c>
      <c r="Q230" s="4">
        <f>ROUNDUP(MOD(P[Sun]+P[Moon],360)/13.333333333,2)</f>
        <v>7.25</v>
      </c>
      <c r="R230" s="4" t="str">
        <f>SIGN(U231-Panchanga!$U230)*INT(Panchanga!$U230/30+1)&amp;"Ma,"&amp;SIGN(V231-Panchanga!$V230)*INT(Panchanga!$V230/30+1)&amp;"Me,"&amp;SIGN(W231-Panchanga!$W230)*INT(Panchanga!$W230/30+1)&amp;"J, "&amp;SIGN(X231-Panchanga!$X230)*INT(Panchanga!$X230/30+1)&amp;"V,"&amp;SIGN(Y231-Panchanga!$Y230)*INT(Panchanga!$Y230/30+1)&amp;"S,"&amp;INT(Panchanga!$Z230/30+1)&amp;"R"</f>
        <v>6Ma,7Me,8J, 7V,9S,3R</v>
      </c>
      <c r="S230" s="4">
        <f t="shared" si="40"/>
        <v>170.31315364908528</v>
      </c>
      <c r="T230" s="4">
        <f t="shared" si="41"/>
        <v>286.28891699572927</v>
      </c>
      <c r="U230" s="4">
        <f>Planet(Panchanga!$E230,4)</f>
        <v>158.34435745729877</v>
      </c>
      <c r="V230" s="4">
        <f>Planet(Panchanga!$E230,2)</f>
        <v>192.34301701197097</v>
      </c>
      <c r="W230" s="4">
        <f>Planet(Panchanga!$E230,5)</f>
        <v>235.07158954994955</v>
      </c>
      <c r="X230" s="4">
        <f>Planet(Panchanga!$E230,3)</f>
        <v>185.01242829582242</v>
      </c>
      <c r="Y230" s="4">
        <f>Planet(Panchanga!$E230,6)</f>
        <v>260.09858427631997</v>
      </c>
      <c r="Z230" s="4">
        <f>Planet(Panchanga!$E230,10)</f>
        <v>78.61048135167556</v>
      </c>
      <c r="AA230" s="4" t="str">
        <f>TEXT(Panchanga!$C230+($C231-Panchanga!$C230)/ABS(IF($P231&lt;1,$P231+30,$P231)-Panchanga!$P230)*(ROUNDUP(Panchanga!$P230,0)-Panchanga!$P230),"hh:mm AM/PM")</f>
        <v>02:51 PM</v>
      </c>
      <c r="AB230" s="4"/>
    </row>
    <row r="231" spans="1:28" x14ac:dyDescent="0.2">
      <c r="A231" s="3">
        <f t="shared" si="43"/>
        <v>43747</v>
      </c>
      <c r="B231" s="3">
        <f t="shared" si="37"/>
        <v>43747.229166666664</v>
      </c>
      <c r="C231" s="15">
        <f t="shared" si="38"/>
        <v>43747.250280108456</v>
      </c>
      <c r="D231" s="15">
        <f t="shared" si="39"/>
        <v>43746.745896160646</v>
      </c>
      <c r="E231" s="17">
        <f>Panchanga!$C231-TimeZone/24</f>
        <v>43747.021113441791</v>
      </c>
      <c r="F231" s="18" t="str">
        <f>INT(P[Sun]/30)&amp;"s"&amp;ROUNDUP(MOD(P[Sun],30),2)</f>
        <v>5s21.3</v>
      </c>
      <c r="G231" s="18" t="str">
        <f>INT(P[Moon]/30)&amp;"s"&amp;ROUNDUP(MOD(P[Moon],30),2)</f>
        <v>9s28.19</v>
      </c>
      <c r="H231" s="14">
        <f t="shared" si="42"/>
        <v>43747.021113441791</v>
      </c>
      <c r="I231" s="4" t="str">
        <f>naks(P[[#This Row],[Moon]])</f>
        <v>Dhanistha</v>
      </c>
      <c r="J231" s="15">
        <f>(C232-P[[#This Row],[SunRise]])/(T232-P[[#This Row],[Moon]])*(13.3333333333333-MOD(P[[#This Row],[Moon]],13.333333333333))+P[[#This Row],[SunRise]]</f>
        <v>43747.96659034233</v>
      </c>
      <c r="K231" s="4" t="str">
        <f>IF(Panchanga!$P231&gt;15,"K","S")&amp;ROUNDUP(MOD(Panchanga!$P231,15),0)&amp;" ("&amp;ROUND(Panchanga!$P231,2)&amp;")"</f>
        <v>S11 (10.57)</v>
      </c>
      <c r="L231" s="4">
        <f>IF(AND(Panchanga!$P231&lt;28.5,Panchanga!$P231&gt;0.49999),MOD((Panchanga!$P231-0.5)*2,7),MOD((Panchanga!$P231+30-28.5),30)*2+7)</f>
        <v>6.1478000000000002</v>
      </c>
      <c r="M231" s="4" t="str">
        <f>CHOOSE(ROUNDUP(Panchanga!$L231,0),"Bhava","Baalava","Kaulava","Taitula","Garija","Vanija","Vishti","Shakuni","Chatushapda","Naaga","Kimstugna")</f>
        <v>Vishti</v>
      </c>
      <c r="N231" s="11" t="str">
        <f>CHOOSE(ROUNDUP(Panchanga!$Q231,0),"viṣkambha","prīti","āyuṣmāna","saubhāgya","śobhana","atigaṇḍa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("&amp;Panchanga!$Q231&amp;")"</f>
        <v>śūla  (8.22)</v>
      </c>
      <c r="O231" s="4">
        <f>IF(AND(Panchanga!$P231&lt;28.5,Panchanga!$P231&gt;0.49999),MOD((Panchanga!$P231-0.5)*2,7),MOD((Panchanga!$P231+30-28.5),30)*2+7)</f>
        <v>6.1478000000000002</v>
      </c>
      <c r="P231" s="4">
        <f>ROUNDUP(MOD(360+P[Moon]-P[Sun],360)/12,4)</f>
        <v>10.5739</v>
      </c>
      <c r="Q231" s="4">
        <f>ROUNDUP(MOD(P[Sun]+P[Moon],360)/13.333333333,2)</f>
        <v>8.2200000000000006</v>
      </c>
      <c r="R231" s="4" t="str">
        <f>SIGN(U232-Panchanga!$U231)*INT(Panchanga!$U231/30+1)&amp;"Ma,"&amp;SIGN(V232-Panchanga!$V231)*INT(Panchanga!$V231/30+1)&amp;"Me,"&amp;SIGN(W232-Panchanga!$W231)*INT(Panchanga!$W231/30+1)&amp;"J, "&amp;SIGN(X232-Panchanga!$X231)*INT(Panchanga!$X231/30+1)&amp;"V,"&amp;SIGN(Y232-Panchanga!$Y231)*INT(Panchanga!$Y231/30+1)&amp;"S,"&amp;INT(Panchanga!$Z231/30+1)&amp;"R"</f>
        <v>6Ma,7Me,8J, 7V,9S,3R</v>
      </c>
      <c r="S231" s="4">
        <f t="shared" si="40"/>
        <v>171.29997716053282</v>
      </c>
      <c r="T231" s="4">
        <f t="shared" si="41"/>
        <v>298.18618494838944</v>
      </c>
      <c r="U231" s="4">
        <f>Planet(Panchanga!$E231,4)</f>
        <v>158.98898009690046</v>
      </c>
      <c r="V231" s="4">
        <f>Planet(Panchanga!$E231,2)</f>
        <v>193.67471298253827</v>
      </c>
      <c r="W231" s="4">
        <f>Planet(Panchanga!$E231,5)</f>
        <v>235.22465015271061</v>
      </c>
      <c r="X231" s="4">
        <f>Planet(Panchanga!$E231,3)</f>
        <v>186.25550599252583</v>
      </c>
      <c r="Y231" s="4">
        <f>Planet(Panchanga!$E231,6)</f>
        <v>260.13146966059111</v>
      </c>
      <c r="Z231" s="4">
        <f>Planet(Panchanga!$E231,10)</f>
        <v>78.557486230583621</v>
      </c>
      <c r="AA231" s="4" t="str">
        <f>TEXT(Panchanga!$C231+($C232-Panchanga!$C231)/ABS(IF($P232&lt;1,$P232+30,$P232)-Panchanga!$P231)*(ROUNDUP(Panchanga!$P231,0)-Panchanga!$P231),"hh:mm AM/PM")</f>
        <v>05:18 PM</v>
      </c>
      <c r="AB231" s="4"/>
    </row>
    <row r="232" spans="1:28" x14ac:dyDescent="0.2">
      <c r="A232" s="3">
        <f t="shared" si="43"/>
        <v>43748</v>
      </c>
      <c r="B232" s="3">
        <f t="shared" si="37"/>
        <v>43748.229166666664</v>
      </c>
      <c r="C232" s="15">
        <f t="shared" si="38"/>
        <v>43748.250343210217</v>
      </c>
      <c r="D232" s="15">
        <f t="shared" si="39"/>
        <v>43747.745447616137</v>
      </c>
      <c r="E232" s="17">
        <f>Panchanga!$C232-TimeZone/24</f>
        <v>43748.021176543552</v>
      </c>
      <c r="F232" s="18" t="str">
        <f>INT(P[Sun]/30)&amp;"s"&amp;ROUNDUP(MOD(P[Sun],30),2)</f>
        <v>5s22.29</v>
      </c>
      <c r="G232" s="18" t="str">
        <f>INT(P[Moon]/30)&amp;"s"&amp;ROUNDUP(MOD(P[Moon],30),2)</f>
        <v>10s10.03</v>
      </c>
      <c r="H232" s="14">
        <f t="shared" si="42"/>
        <v>43748.021176543552</v>
      </c>
      <c r="I232" s="4" t="str">
        <f>naks(P[[#This Row],[Moon]])</f>
        <v>Satabhisaj</v>
      </c>
      <c r="J232" s="15">
        <f>(C233-P[[#This Row],[SunRise]])/(T233-P[[#This Row],[Moon]])*(13.3333333333333-MOD(P[[#This Row],[Moon]],13.333333333333))+P[[#This Row],[SunRise]]</f>
        <v>43749.092612336819</v>
      </c>
      <c r="K232" s="4" t="str">
        <f>IF(Panchanga!$P232&gt;15,"K","S")&amp;ROUNDUP(MOD(Panchanga!$P232,15),0)&amp;" ("&amp;ROUND(Panchanga!$P232,2)&amp;")"</f>
        <v>S12 (11.48)</v>
      </c>
      <c r="L232" s="4">
        <f>IF(AND(Panchanga!$P232&lt;28.5,Panchanga!$P232&gt;0.49999),MOD((Panchanga!$P232-0.5)*2,7),MOD((Panchanga!$P232+30-28.5),30)*2+7)</f>
        <v>0.95659999999999812</v>
      </c>
      <c r="M232" s="4" t="str">
        <f>CHOOSE(ROUNDUP(Panchanga!$L232,0),"Bhava","Baalava","Kaulava","Taitula","Garija","Vanija","Vishti","Shakuni","Chatushapda","Naaga","Kimstugna")</f>
        <v>Bhava</v>
      </c>
      <c r="N232" s="11" t="str">
        <f>CHOOSE(ROUNDUP(Panchanga!$Q232,0),"viṣkambha","prīti","āyuṣmāna","saubhāgya","śobhana","atigaṇḍa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("&amp;Panchanga!$Q232&amp;")"</f>
        <v>gaṇḍa  (9.18)</v>
      </c>
      <c r="O232" s="4">
        <f>IF(AND(Panchanga!$P232&lt;28.5,Panchanga!$P232&gt;0.49999),MOD((Panchanga!$P232-0.5)*2,7),MOD((Panchanga!$P232+30-28.5),30)*2+7)</f>
        <v>0.95659999999999812</v>
      </c>
      <c r="P232" s="4">
        <f>ROUNDUP(MOD(360+P[Moon]-P[Sun],360)/12,4)</f>
        <v>11.478299999999999</v>
      </c>
      <c r="Q232" s="4">
        <f>ROUNDUP(MOD(P[Sun]+P[Moon],360)/13.333333333,2)</f>
        <v>9.18</v>
      </c>
      <c r="R232" s="4" t="str">
        <f>SIGN(U233-Panchanga!$U232)*INT(Panchanga!$U232/30+1)&amp;"Ma,"&amp;SIGN(V233-Panchanga!$V232)*INT(Panchanga!$V232/30+1)&amp;"Me,"&amp;SIGN(W233-Panchanga!$W232)*INT(Panchanga!$W232/30+1)&amp;"J, "&amp;SIGN(X233-Panchanga!$X232)*INT(Panchanga!$X232/30+1)&amp;"V,"&amp;SIGN(Y233-Panchanga!$Y232)*INT(Panchanga!$Y232/30+1)&amp;"S,"&amp;INT(Panchanga!$Z232/30+1)&amp;"R"</f>
        <v>6Ma,7Me,8J, 7V,9S,3R</v>
      </c>
      <c r="S232" s="4">
        <f t="shared" si="40"/>
        <v>172.28731511138704</v>
      </c>
      <c r="T232" s="4">
        <f t="shared" si="41"/>
        <v>310.02605048509685</v>
      </c>
      <c r="U232" s="4">
        <f>Planet(Panchanga!$E232,4)</f>
        <v>159.63385191294478</v>
      </c>
      <c r="V232" s="4">
        <f>Planet(Panchanga!$E232,2)</f>
        <v>194.98642492957021</v>
      </c>
      <c r="W232" s="4">
        <f>Planet(Panchanga!$E232,5)</f>
        <v>235.37964318598532</v>
      </c>
      <c r="X232" s="4">
        <f>Planet(Panchanga!$E232,3)</f>
        <v>187.4985530369789</v>
      </c>
      <c r="Y232" s="4">
        <f>Planet(Panchanga!$E232,6)</f>
        <v>260.16593275499093</v>
      </c>
      <c r="Z232" s="4">
        <f>Planet(Panchanga!$E232,10)</f>
        <v>78.50449089048783</v>
      </c>
      <c r="AA232" s="4" t="str">
        <f>TEXT(Panchanga!$C232+($C233-Panchanga!$C232)/ABS(IF($P233&lt;1,$P233+30,$P233)-Panchanga!$P232)*(ROUNDUP(Panchanga!$P232,0)-Panchanga!$P232),"hh:mm AM/PM")</f>
        <v>07:51 PM</v>
      </c>
      <c r="AB232" s="4"/>
    </row>
    <row r="233" spans="1:28" x14ac:dyDescent="0.2">
      <c r="A233" s="3">
        <f t="shared" si="43"/>
        <v>43749</v>
      </c>
      <c r="B233" s="3">
        <f t="shared" si="37"/>
        <v>43749.229166666664</v>
      </c>
      <c r="C233" s="15">
        <f t="shared" si="38"/>
        <v>43749.250410761837</v>
      </c>
      <c r="D233" s="15">
        <f t="shared" si="39"/>
        <v>43748.745004951998</v>
      </c>
      <c r="E233" s="17">
        <f>Panchanga!$C233-TimeZone/24</f>
        <v>43749.021244095173</v>
      </c>
      <c r="F233" s="18" t="str">
        <f>INT(P[Sun]/30)&amp;"s"&amp;ROUNDUP(MOD(P[Sun],30),2)</f>
        <v>5s23.28</v>
      </c>
      <c r="G233" s="18" t="str">
        <f>INT(P[Moon]/30)&amp;"s"&amp;ROUNDUP(MOD(P[Moon],30),2)</f>
        <v>10s21.87</v>
      </c>
      <c r="H233" s="14">
        <f t="shared" si="42"/>
        <v>43749.021244095173</v>
      </c>
      <c r="I233" s="4" t="str">
        <f>naks(P[[#This Row],[Moon]])</f>
        <v>Purva Bhadrapada</v>
      </c>
      <c r="J233" s="15">
        <f>(C234-P[[#This Row],[SunRise]])/(T234-P[[#This Row],[Moon]])*(13.3333333333333-MOD(P[[#This Row],[Moon]],13.333333333333))+P[[#This Row],[SunRise]]</f>
        <v>43750.214567433533</v>
      </c>
      <c r="K233" s="4" t="str">
        <f>IF(Panchanga!$P233&gt;15,"K","S")&amp;ROUNDUP(MOD(Panchanga!$P233,15),0)&amp;" ("&amp;ROUND(Panchanga!$P233,2)&amp;")"</f>
        <v>S13 (12.38)</v>
      </c>
      <c r="L233" s="4">
        <f>IF(AND(Panchanga!$P233&lt;28.5,Panchanga!$P233&gt;0.49999),MOD((Panchanga!$P233-0.5)*2,7),MOD((Panchanga!$P233+30-28.5),30)*2+7)</f>
        <v>2.7655999999999992</v>
      </c>
      <c r="M233" s="4" t="str">
        <f>CHOOSE(ROUNDUP(Panchanga!$L233,0),"Bhava","Baalava","Kaulava","Taitula","Garija","Vanija","Vishti","Shakuni","Chatushapda","Naaga","Kimstugna")</f>
        <v>Kaulava</v>
      </c>
      <c r="N233" s="11" t="str">
        <f>CHOOSE(ROUNDUP(Panchanga!$Q233,0),"viṣkambha","prīti","āyuṣmāna","saubhāgya","śobhana","atigaṇḍa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("&amp;Panchanga!$Q233&amp;")"</f>
        <v>vṛddhi  (10.14)</v>
      </c>
      <c r="O233" s="4">
        <f>IF(AND(Panchanga!$P233&lt;28.5,Panchanga!$P233&gt;0.49999),MOD((Panchanga!$P233-0.5)*2,7),MOD((Panchanga!$P233+30-28.5),30)*2+7)</f>
        <v>2.7655999999999992</v>
      </c>
      <c r="P233" s="4">
        <f>ROUNDUP(MOD(360+P[Moon]-P[Sun],360)/12,4)</f>
        <v>12.3828</v>
      </c>
      <c r="Q233" s="4">
        <f>ROUNDUP(MOD(P[Sun]+P[Moon],360)/13.333333333,2)</f>
        <v>10.14</v>
      </c>
      <c r="R233" s="4" t="str">
        <f>SIGN(U234-Panchanga!$U233)*INT(Panchanga!$U233/30+1)&amp;"Ma,"&amp;SIGN(V234-Panchanga!$V233)*INT(Panchanga!$V233/30+1)&amp;"Me,"&amp;SIGN(W234-Panchanga!$W233)*INT(Panchanga!$W233/30+1)&amp;"J, "&amp;SIGN(X234-Panchanga!$X233)*INT(Panchanga!$X233/30+1)&amp;"V,"&amp;SIGN(Y234-Panchanga!$Y233)*INT(Panchanga!$Y233/30+1)&amp;"S,"&amp;INT(Panchanga!$Z233/30+1)&amp;"R"</f>
        <v>6Ma,7Me,8J, 7V,9S,3R</v>
      </c>
      <c r="S233" s="4">
        <f t="shared" si="40"/>
        <v>173.27517744915764</v>
      </c>
      <c r="T233" s="4">
        <f t="shared" si="41"/>
        <v>321.86861120152287</v>
      </c>
      <c r="U233" s="4">
        <f>Planet(Panchanga!$E233,4)</f>
        <v>160.2789803833264</v>
      </c>
      <c r="V233" s="4">
        <f>Planet(Panchanga!$E233,2)</f>
        <v>196.27708142075548</v>
      </c>
      <c r="W233" s="4">
        <f>Planet(Panchanga!$E233,5)</f>
        <v>235.53654154570467</v>
      </c>
      <c r="X233" s="4">
        <f>Planet(Panchanga!$E233,3)</f>
        <v>188.7415703730334</v>
      </c>
      <c r="Y233" s="4">
        <f>Planet(Panchanga!$E233,6)</f>
        <v>260.2019648368107</v>
      </c>
      <c r="Z233" s="4">
        <f>Planet(Panchanga!$E233,10)</f>
        <v>78.451495314571076</v>
      </c>
      <c r="AA233" s="4" t="str">
        <f>TEXT(Panchanga!$C233+($C234-Panchanga!$C233)/ABS(IF($P234&lt;1,$P234+30,$P234)-Panchanga!$P233)*(ROUNDUP(Panchanga!$P233,0)-Panchanga!$P233),"hh:mm AM/PM")</f>
        <v>10:18 PM</v>
      </c>
      <c r="AB233" s="4"/>
    </row>
    <row r="234" spans="1:28" x14ac:dyDescent="0.2">
      <c r="A234" s="3">
        <f t="shared" si="43"/>
        <v>43750</v>
      </c>
      <c r="B234" s="3">
        <f t="shared" si="37"/>
        <v>43750.229166666664</v>
      </c>
      <c r="C234" s="15">
        <f t="shared" si="38"/>
        <v>43750.250482923504</v>
      </c>
      <c r="D234" s="15">
        <f t="shared" si="39"/>
        <v>43749.744568328417</v>
      </c>
      <c r="E234" s="17">
        <f>Panchanga!$C234-TimeZone/24</f>
        <v>43750.02131625684</v>
      </c>
      <c r="F234" s="18" t="str">
        <f>INT(P[Sun]/30)&amp;"s"&amp;ROUNDUP(MOD(P[Sun],30),2)</f>
        <v>5s24.27</v>
      </c>
      <c r="G234" s="18" t="str">
        <f>INT(P[Moon]/30)&amp;"s"&amp;ROUNDUP(MOD(P[Moon],30),2)</f>
        <v>11s3.77</v>
      </c>
      <c r="H234" s="14">
        <f t="shared" si="42"/>
        <v>43750.02131625684</v>
      </c>
      <c r="I234" s="4" t="str">
        <f>naks(P[[#This Row],[Moon]])</f>
        <v>Uttara Bhadrapada</v>
      </c>
      <c r="J234" s="15">
        <f>(C235-P[[#This Row],[SunRise]])/(T235-P[[#This Row],[Moon]])*(13.3333333333333-MOD(P[[#This Row],[Moon]],13.333333333333))+P[[#This Row],[SunRise]]</f>
        <v>43751.328368982358</v>
      </c>
      <c r="K234" s="4" t="str">
        <f>IF(Panchanga!$P234&gt;15,"K","S")&amp;ROUNDUP(MOD(Panchanga!$P234,15),0)&amp;" ("&amp;ROUND(Panchanga!$P234,2)&amp;")"</f>
        <v>S14 (13.29)</v>
      </c>
      <c r="L234" s="4">
        <f>IF(AND(Panchanga!$P234&lt;28.5,Panchanga!$P234&gt;0.49999),MOD((Panchanga!$P234-0.5)*2,7),MOD((Panchanga!$P234+30-28.5),30)*2+7)</f>
        <v>4.5829999999999984</v>
      </c>
      <c r="M234" s="4" t="str">
        <f>CHOOSE(ROUNDUP(Panchanga!$L234,0),"Bhava","Baalava","Kaulava","Taitula","Garija","Vanija","Vishti","Shakuni","Chatushapda","Naaga","Kimstugna")</f>
        <v>Garija</v>
      </c>
      <c r="N234" s="11" t="str">
        <f>CHOOSE(ROUNDUP(Panchanga!$Q234,0),"viṣkambha","prīti","āyuṣmāna","saubhāgya","śobhana","atigaṇḍa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("&amp;Panchanga!$Q234&amp;")"</f>
        <v>dhruva  (11.11)</v>
      </c>
      <c r="O234" s="4">
        <f>IF(AND(Panchanga!$P234&lt;28.5,Panchanga!$P234&gt;0.49999),MOD((Panchanga!$P234-0.5)*2,7),MOD((Panchanga!$P234+30-28.5),30)*2+7)</f>
        <v>4.5829999999999984</v>
      </c>
      <c r="P234" s="4">
        <f>ROUNDUP(MOD(360+P[Moon]-P[Sun],360)/12,4)</f>
        <v>13.291499999999999</v>
      </c>
      <c r="Q234" s="4">
        <f>ROUNDUP(MOD(P[Sun]+P[Moon],360)/13.333333333,2)</f>
        <v>11.11</v>
      </c>
      <c r="R234" s="4" t="str">
        <f>SIGN(U235-Panchanga!$U234)*INT(Panchanga!$U234/30+1)&amp;"Ma,"&amp;SIGN(V235-Panchanga!$V234)*INT(Panchanga!$V234/30+1)&amp;"Me,"&amp;SIGN(W235-Panchanga!$W234)*INT(Panchanga!$W234/30+1)&amp;"J, "&amp;SIGN(X235-Panchanga!$X234)*INT(Panchanga!$X234/30+1)&amp;"V,"&amp;SIGN(Y235-Panchanga!$Y234)*INT(Panchanga!$Y234/30+1)&amp;"S,"&amp;INT(Panchanga!$Z234/30+1)&amp;"R"</f>
        <v>6Ma,7Me,8J, 7V,9S,3R</v>
      </c>
      <c r="S234" s="4">
        <f t="shared" si="40"/>
        <v>174.26357527852142</v>
      </c>
      <c r="T234" s="4">
        <f t="shared" si="41"/>
        <v>333.76040200877463</v>
      </c>
      <c r="U234" s="4">
        <f>Planet(Panchanga!$E234,4)</f>
        <v>160.92437334591307</v>
      </c>
      <c r="V234" s="4">
        <f>Planet(Panchanga!$E234,2)</f>
        <v>197.54543870560275</v>
      </c>
      <c r="W234" s="4">
        <f>Planet(Panchanga!$E234,5)</f>
        <v>235.6953186447264</v>
      </c>
      <c r="X234" s="4">
        <f>Planet(Panchanga!$E234,3)</f>
        <v>189.98455983965388</v>
      </c>
      <c r="Y234" s="4">
        <f>Planet(Panchanga!$E234,6)</f>
        <v>260.23955704396332</v>
      </c>
      <c r="Z234" s="4">
        <f>Planet(Panchanga!$E234,10)</f>
        <v>78.39849949438306</v>
      </c>
      <c r="AA234" s="4" t="str">
        <f>TEXT(Panchanga!$C234+($C235-Panchanga!$C234)/ABS(IF($P235&lt;1,$P235+30,$P235)-Panchanga!$P234)*(ROUNDUP(Panchanga!$P234,0)-Panchanga!$P234),"hh:mm AM/PM")</f>
        <v>12:35 AM</v>
      </c>
      <c r="AB234" s="4"/>
    </row>
    <row r="235" spans="1:28" x14ac:dyDescent="0.2">
      <c r="A235" s="3">
        <f t="shared" si="43"/>
        <v>43751</v>
      </c>
      <c r="B235" s="3">
        <f t="shared" si="37"/>
        <v>43751.229166666664</v>
      </c>
      <c r="C235" s="15">
        <f t="shared" si="38"/>
        <v>43751.250560171124</v>
      </c>
      <c r="D235" s="15">
        <f t="shared" si="39"/>
        <v>43750.744137903253</v>
      </c>
      <c r="E235" s="17">
        <f>Panchanga!$C235-TimeZone/24</f>
        <v>43751.021393504459</v>
      </c>
      <c r="F235" s="18" t="str">
        <f>INT(P[Sun]/30)&amp;"s"&amp;ROUNDUP(MOD(P[Sun],30),2)</f>
        <v>5s25.26</v>
      </c>
      <c r="G235" s="18" t="str">
        <f>INT(P[Moon]/30)&amp;"s"&amp;ROUNDUP(MOD(P[Moon],30),2)</f>
        <v>11s15.74</v>
      </c>
      <c r="H235" s="14">
        <f t="shared" si="42"/>
        <v>43751.021393504459</v>
      </c>
      <c r="I235" s="4" t="str">
        <f>naks(P[[#This Row],[Moon]])</f>
        <v>Uttara Bhadrapada</v>
      </c>
      <c r="J235" s="15">
        <f>(C236-P[[#This Row],[SunRise]])/(T236-P[[#This Row],[Moon]])*(13.3333333333333-MOD(P[[#This Row],[Moon]],13.333333333333))+P[[#This Row],[SunRise]]</f>
        <v>43751.327689050806</v>
      </c>
      <c r="K235" s="4" t="str">
        <f>IF(Panchanga!$P235&gt;15,"K","S")&amp;ROUNDUP(MOD(Panchanga!$P235,15),0)&amp;" ("&amp;ROUND(Panchanga!$P235,2)&amp;")"</f>
        <v>S15 (14.21)</v>
      </c>
      <c r="L235" s="4">
        <f>IF(AND(Panchanga!$P235&lt;28.5,Panchanga!$P235&gt;0.49999),MOD((Panchanga!$P235-0.5)*2,7),MOD((Panchanga!$P235+30-28.5),30)*2+7)</f>
        <v>6.4137999999999984</v>
      </c>
      <c r="M235" s="4" t="str">
        <f>CHOOSE(ROUNDUP(Panchanga!$L235,0),"Bhava","Baalava","Kaulava","Taitula","Garija","Vanija","Vishti","Shakuni","Chatushapda","Naaga","Kimstugna")</f>
        <v>Vishti</v>
      </c>
      <c r="N235" s="11" t="str">
        <f>CHOOSE(ROUNDUP(Panchanga!$Q235,0),"viṣkambha","prīti","āyuṣmāna","saubhāgya","śobhana","atigaṇḍa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("&amp;Panchanga!$Q235&amp;")"</f>
        <v>vyāghāta (12.08)</v>
      </c>
      <c r="O235" s="4">
        <f>IF(AND(Panchanga!$P235&lt;28.5,Panchanga!$P235&gt;0.49999),MOD((Panchanga!$P235-0.5)*2,7),MOD((Panchanga!$P235+30-28.5),30)*2+7)</f>
        <v>6.4137999999999984</v>
      </c>
      <c r="P235" s="4">
        <f>ROUNDUP(MOD(360+P[Moon]-P[Sun],360)/12,4)</f>
        <v>14.206899999999999</v>
      </c>
      <c r="Q235" s="4">
        <f>ROUNDUP(MOD(P[Sun]+P[Moon],360)/13.333333333,2)</f>
        <v>12.08</v>
      </c>
      <c r="R235" s="4" t="str">
        <f>SIGN(U236-Panchanga!$U235)*INT(Panchanga!$U235/30+1)&amp;"Ma,"&amp;SIGN(V236-Panchanga!$V235)*INT(Panchanga!$V235/30+1)&amp;"Me,"&amp;SIGN(W236-Panchanga!$W235)*INT(Panchanga!$W235/30+1)&amp;"J, "&amp;SIGN(X236-Panchanga!$X235)*INT(Panchanga!$X235/30+1)&amp;"V,"&amp;SIGN(Y236-Panchanga!$Y235)*INT(Panchanga!$Y235/30+1)&amp;"S,"&amp;INT(Panchanga!$Z235/30+1)&amp;"R"</f>
        <v>6Ma,7Me,8J, 7V,9S,3R</v>
      </c>
      <c r="S235" s="4">
        <f t="shared" si="40"/>
        <v>175.2525211965488</v>
      </c>
      <c r="T235" s="4">
        <f t="shared" si="41"/>
        <v>345.73500872172264</v>
      </c>
      <c r="U235" s="4">
        <f>Planet(Panchanga!$E235,4)</f>
        <v>161.57003921727278</v>
      </c>
      <c r="V235" s="4">
        <f>Planet(Panchanga!$E235,2)</f>
        <v>198.79006043115734</v>
      </c>
      <c r="W235" s="4">
        <f>Planet(Panchanga!$E235,5)</f>
        <v>235.85594851604708</v>
      </c>
      <c r="X235" s="4">
        <f>Planet(Panchanga!$E235,3)</f>
        <v>191.22752473760278</v>
      </c>
      <c r="Y235" s="4">
        <f>Planet(Panchanga!$E235,6)</f>
        <v>260.27870043235913</v>
      </c>
      <c r="Z235" s="4">
        <f>Planet(Panchanga!$E235,10)</f>
        <v>78.345503404639942</v>
      </c>
      <c r="AA235" s="4" t="str">
        <f>TEXT(Panchanga!$C235+($C236-Panchanga!$C235)/ABS(IF($P236&lt;1,$P236+30,$P236)-Panchanga!$P235)*(ROUNDUP(Panchanga!$P235,0)-Panchanga!$P235),"hh:mm AM/PM")</f>
        <v>02:36 AM</v>
      </c>
      <c r="AB235" s="4"/>
    </row>
    <row r="236" spans="1:28" x14ac:dyDescent="0.2">
      <c r="A236" s="3">
        <f t="shared" si="43"/>
        <v>43752</v>
      </c>
      <c r="B236" s="3">
        <f t="shared" si="37"/>
        <v>43752.229166666664</v>
      </c>
      <c r="C236" s="15">
        <f t="shared" si="38"/>
        <v>43752.250642345905</v>
      </c>
      <c r="D236" s="15">
        <f t="shared" si="39"/>
        <v>43751.74371399502</v>
      </c>
      <c r="E236" s="17">
        <f>Panchanga!$C236-TimeZone/24</f>
        <v>43752.021475679241</v>
      </c>
      <c r="F236" s="18" t="str">
        <f>INT(P[Sun]/30)&amp;"s"&amp;ROUNDUP(MOD(P[Sun],30),2)</f>
        <v>5s26.25</v>
      </c>
      <c r="G236" s="18" t="str">
        <f>INT(P[Moon]/30)&amp;"s"&amp;ROUNDUP(MOD(P[Moon],30),2)</f>
        <v>11s27.82</v>
      </c>
      <c r="H236" s="14">
        <f t="shared" si="42"/>
        <v>43752.021475679241</v>
      </c>
      <c r="I236" s="4" t="str">
        <f>naks(P[[#This Row],[Moon]])</f>
        <v>Revati</v>
      </c>
      <c r="J236" s="15">
        <f>(C237-P[[#This Row],[SunRise]])/(T237-P[[#This Row],[Moon]])*(13.3333333333333-MOD(P[[#This Row],[Moon]],13.333333333333))+P[[#This Row],[SunRise]]</f>
        <v>43752.244360105055</v>
      </c>
      <c r="K236" s="4" t="str">
        <f>IF(Panchanga!$P236&gt;15,"K","S")&amp;ROUNDUP(MOD(Panchanga!$P236,15),0)&amp;" ("&amp;ROUND(Panchanga!$P236,2)&amp;")"</f>
        <v>K1 (15.13)</v>
      </c>
      <c r="L236" s="4">
        <f>IF(AND(Panchanga!$P236&lt;28.5,Panchanga!$P236&gt;0.49999),MOD((Panchanga!$P236-0.5)*2,7),MOD((Panchanga!$P236+30-28.5),30)*2+7)</f>
        <v>1.2623999999999995</v>
      </c>
      <c r="M236" s="4" t="str">
        <f>CHOOSE(ROUNDUP(Panchanga!$L236,0),"Bhava","Baalava","Kaulava","Taitula","Garija","Vanija","Vishti","Shakuni","Chatushapda","Naaga","Kimstugna")</f>
        <v>Baalava</v>
      </c>
      <c r="N236" s="11" t="str">
        <f>CHOOSE(ROUNDUP(Panchanga!$Q236,0),"viṣkambha","prīti","āyuṣmāna","saubhāgya","śobhana","atigaṇḍa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("&amp;Panchanga!$Q236&amp;")"</f>
        <v>harṣaṇa (13.06)</v>
      </c>
      <c r="O236" s="4">
        <f>IF(AND(Panchanga!$P236&lt;28.5,Panchanga!$P236&gt;0.49999),MOD((Panchanga!$P236-0.5)*2,7),MOD((Panchanga!$P236+30-28.5),30)*2+7)</f>
        <v>1.2623999999999995</v>
      </c>
      <c r="P236" s="4">
        <f>ROUNDUP(MOD(360+P[Moon]-P[Sun],360)/12,4)</f>
        <v>15.1312</v>
      </c>
      <c r="Q236" s="4">
        <f>ROUNDUP(MOD(P[Sun]+P[Moon],360)/13.333333333,2)</f>
        <v>13.06</v>
      </c>
      <c r="R236" s="4" t="str">
        <f>SIGN(U237-Panchanga!$U236)*INT(Panchanga!$U236/30+1)&amp;"Ma,"&amp;SIGN(V237-Panchanga!$V236)*INT(Panchanga!$V236/30+1)&amp;"Me,"&amp;SIGN(W237-Panchanga!$W236)*INT(Panchanga!$W236/30+1)&amp;"J, "&amp;SIGN(X237-Panchanga!$X236)*INT(Panchanga!$X236/30+1)&amp;"V,"&amp;SIGN(Y237-Panchanga!$Y236)*INT(Panchanga!$Y236/30+1)&amp;"S,"&amp;INT(Panchanga!$Z236/30+1)&amp;"R"</f>
        <v>6Ma,7Me,8J, 7V,9S,3R</v>
      </c>
      <c r="S236" s="4">
        <f t="shared" si="40"/>
        <v>176.24202811296567</v>
      </c>
      <c r="T236" s="4">
        <f t="shared" si="41"/>
        <v>357.8152373927885</v>
      </c>
      <c r="U236" s="4">
        <f>Planet(Panchanga!$E236,4)</f>
        <v>162.21598624196358</v>
      </c>
      <c r="V236" s="4">
        <f>Planet(Panchanga!$E236,2)</f>
        <v>200.00929282185618</v>
      </c>
      <c r="W236" s="4">
        <f>Planet(Panchanga!$E236,5)</f>
        <v>236.0184056840354</v>
      </c>
      <c r="X236" s="4">
        <f>Planet(Panchanga!$E236,3)</f>
        <v>192.47046857963707</v>
      </c>
      <c r="Y236" s="4">
        <f>Planet(Panchanga!$E236,6)</f>
        <v>260.31938598190209</v>
      </c>
      <c r="Z236" s="4">
        <f>Planet(Panchanga!$E236,10)</f>
        <v>78.292507053874658</v>
      </c>
      <c r="AA236" s="4" t="str">
        <f>TEXT(Panchanga!$C236+($C237-Panchanga!$C236)/ABS(IF($P237&lt;1,$P237+30,$P237)-Panchanga!$P236)*(ROUNDUP(Panchanga!$P236,0)-Panchanga!$P236),"hh:mm AM/PM")</f>
        <v>04:20 AM</v>
      </c>
      <c r="AB236" s="4"/>
    </row>
    <row r="237" spans="1:28" x14ac:dyDescent="0.2">
      <c r="A237" s="3">
        <f t="shared" si="43"/>
        <v>43753</v>
      </c>
      <c r="B237" s="3">
        <f t="shared" si="37"/>
        <v>43753.229166666664</v>
      </c>
      <c r="C237" s="15">
        <f t="shared" si="38"/>
        <v>43753.250729925152</v>
      </c>
      <c r="D237" s="15">
        <f t="shared" si="39"/>
        <v>43752.743297080553</v>
      </c>
      <c r="E237" s="17">
        <f>Panchanga!$C237-TimeZone/24</f>
        <v>43753.021563258488</v>
      </c>
      <c r="F237" s="18" t="str">
        <f>INT(P[Sun]/30)&amp;"s"&amp;ROUNDUP(MOD(P[Sun],30),2)</f>
        <v>5s27.24</v>
      </c>
      <c r="G237" s="18" t="str">
        <f>INT(P[Moon]/30)&amp;"s"&amp;ROUNDUP(MOD(P[Moon],30),2)</f>
        <v>0s10.02</v>
      </c>
      <c r="H237" s="14">
        <f t="shared" si="42"/>
        <v>43753.021563258488</v>
      </c>
      <c r="I237" s="4" t="str">
        <f>naks(P[[#This Row],[Moon]])</f>
        <v>Aswini</v>
      </c>
      <c r="J237" s="15">
        <f>(C238-P[[#This Row],[SunRise]])/(T238-P[[#This Row],[Moon]])*(13.3333333333333-MOD(P[[#This Row],[Moon]],13.333333333333))+P[[#This Row],[SunRise]]</f>
        <v>43753.519614305209</v>
      </c>
      <c r="K237" s="4" t="str">
        <f>IF(Panchanga!$P237&gt;15,"K","S")&amp;ROUNDUP(MOD(Panchanga!$P237,15),0)&amp;" ("&amp;ROUND(Panchanga!$P237,2)&amp;")"</f>
        <v>K2 (16.07)</v>
      </c>
      <c r="L237" s="4">
        <f>IF(AND(Panchanga!$P237&lt;28.5,Panchanga!$P237&gt;0.49999),MOD((Panchanga!$P237-0.5)*2,7),MOD((Panchanga!$P237+30-28.5),30)*2+7)</f>
        <v>3.1308000000000007</v>
      </c>
      <c r="M237" s="4" t="str">
        <f>CHOOSE(ROUNDUP(Panchanga!$L237,0),"Bhava","Baalava","Kaulava","Taitula","Garija","Vanija","Vishti","Shakuni","Chatushapda","Naaga","Kimstugna")</f>
        <v>Taitula</v>
      </c>
      <c r="N237" s="11" t="str">
        <f>CHOOSE(ROUNDUP(Panchanga!$Q237,0),"viṣkambha","prīti","āyuṣmāna","saubhāgya","śobhana","atigaṇḍa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("&amp;Panchanga!$Q237&amp;")"</f>
        <v>vajra (14.05)</v>
      </c>
      <c r="O237" s="4">
        <f>IF(AND(Panchanga!$P237&lt;28.5,Panchanga!$P237&gt;0.49999),MOD((Panchanga!$P237-0.5)*2,7),MOD((Panchanga!$P237+30-28.5),30)*2+7)</f>
        <v>3.1308000000000007</v>
      </c>
      <c r="P237" s="4">
        <f>ROUNDUP(MOD(360+P[Moon]-P[Sun],360)/12,4)</f>
        <v>16.0654</v>
      </c>
      <c r="Q237" s="4">
        <f>ROUNDUP(MOD(P[Sun]+P[Moon],360)/13.333333333,2)</f>
        <v>14.049999999999999</v>
      </c>
      <c r="R237" s="4" t="str">
        <f>SIGN(U238-Panchanga!$U237)*INT(Panchanga!$U237/30+1)&amp;"Ma,"&amp;SIGN(V238-Panchanga!$V237)*INT(Panchanga!$V237/30+1)&amp;"Me,"&amp;SIGN(W238-Panchanga!$W237)*INT(Panchanga!$W237/30+1)&amp;"J, "&amp;SIGN(X238-Panchanga!$X237)*INT(Panchanga!$X237/30+1)&amp;"V,"&amp;SIGN(Y238-Panchanga!$Y237)*INT(Panchanga!$Y237/30+1)&amp;"S,"&amp;INT(Panchanga!$Z237/30+1)&amp;"R"</f>
        <v>6Ma,7Me,8J, 7V,9S,3R</v>
      </c>
      <c r="S237" s="4">
        <f t="shared" si="40"/>
        <v>177.2321101506914</v>
      </c>
      <c r="T237" s="4">
        <f t="shared" si="41"/>
        <v>10.016737045017301</v>
      </c>
      <c r="U237" s="4">
        <f>Planet(Panchanga!$E237,4)</f>
        <v>162.86222312969932</v>
      </c>
      <c r="V237" s="4">
        <f>Planet(Panchanga!$E237,2)</f>
        <v>201.20123959677613</v>
      </c>
      <c r="W237" s="4">
        <f>Planet(Panchanga!$E237,5)</f>
        <v>236.18266537704409</v>
      </c>
      <c r="X237" s="4">
        <f>Planet(Panchanga!$E237,3)</f>
        <v>193.7133965377094</v>
      </c>
      <c r="Y237" s="4">
        <f>Planet(Panchanga!$E237,6)</f>
        <v>260.36160468524065</v>
      </c>
      <c r="Z237" s="4">
        <f>Planet(Panchanga!$E237,10)</f>
        <v>78.239510416654042</v>
      </c>
      <c r="AA237" s="4" t="str">
        <f>TEXT(Panchanga!$C237+($C238-Panchanga!$C237)/ABS(IF($P238&lt;1,$P238+30,$P238)-Panchanga!$P237)*(ROUNDUP(Panchanga!$P237,0)-Panchanga!$P237),"hh:mm AM/PM")</f>
        <v>05:44 AM</v>
      </c>
      <c r="AB237" s="4"/>
    </row>
    <row r="238" spans="1:28" x14ac:dyDescent="0.2">
      <c r="A238" s="3">
        <f t="shared" si="43"/>
        <v>43754</v>
      </c>
      <c r="B238" s="3">
        <f t="shared" si="37"/>
        <v>43754.229166666664</v>
      </c>
      <c r="C238" s="15">
        <f t="shared" si="38"/>
        <v>43754.250822908398</v>
      </c>
      <c r="D238" s="15">
        <f t="shared" si="39"/>
        <v>43753.742887318178</v>
      </c>
      <c r="E238" s="17">
        <f>Panchanga!$C238-TimeZone/24</f>
        <v>43754.021656241734</v>
      </c>
      <c r="F238" s="18" t="str">
        <f>INT(P[Sun]/30)&amp;"s"&amp;ROUNDUP(MOD(P[Sun],30),2)</f>
        <v>5s28.23</v>
      </c>
      <c r="G238" s="18" t="str">
        <f>INT(P[Moon]/30)&amp;"s"&amp;ROUNDUP(MOD(P[Moon],30),2)</f>
        <v>0s22.36</v>
      </c>
      <c r="H238" s="14">
        <f t="shared" si="42"/>
        <v>43754.021656241734</v>
      </c>
      <c r="I238" s="4" t="str">
        <f>naks(P[[#This Row],[Moon]])</f>
        <v>Bharani</v>
      </c>
      <c r="J238" s="15">
        <f>(C239-P[[#This Row],[SunRise]])/(T239-P[[#This Row],[Moon]])*(13.3333333333333-MOD(P[[#This Row],[Moon]],13.333333333333))+P[[#This Row],[SunRise]]</f>
        <v>43754.596395154957</v>
      </c>
      <c r="K238" s="4" t="str">
        <f>IF(Panchanga!$P238&gt;15,"K","S")&amp;ROUNDUP(MOD(Panchanga!$P238,15),0)&amp;" ("&amp;ROUND(Panchanga!$P238,2)&amp;")"</f>
        <v>K3 (17.01)</v>
      </c>
      <c r="L238" s="4">
        <f>IF(AND(Panchanga!$P238&lt;28.5,Panchanga!$P238&gt;0.49999),MOD((Panchanga!$P238-0.5)*2,7),MOD((Panchanga!$P238+30-28.5),30)*2+7)</f>
        <v>5.0217999999999989</v>
      </c>
      <c r="M238" s="4" t="str">
        <f>CHOOSE(ROUNDUP(Panchanga!$L238,0),"Bhava","Baalava","Kaulava","Taitula","Garija","Vanija","Vishti","Shakuni","Chatushapda","Naaga","Kimstugna")</f>
        <v>Vanija</v>
      </c>
      <c r="N238" s="11" t="str">
        <f>CHOOSE(ROUNDUP(Panchanga!$Q238,0),"viṣkambha","prīti","āyuṣmāna","saubhāgya","śobhana","atigaṇḍa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("&amp;Panchanga!$Q238&amp;")"</f>
        <v>siddhi (15.05)</v>
      </c>
      <c r="O238" s="4">
        <f>IF(AND(Panchanga!$P238&lt;28.5,Panchanga!$P238&gt;0.49999),MOD((Panchanga!$P238-0.5)*2,7),MOD((Panchanga!$P238+30-28.5),30)*2+7)</f>
        <v>5.0217999999999989</v>
      </c>
      <c r="P238" s="4">
        <f>ROUNDUP(MOD(360+P[Moon]-P[Sun],360)/12,4)</f>
        <v>17.010899999999999</v>
      </c>
      <c r="Q238" s="4">
        <f>ROUNDUP(MOD(P[Sun]+P[Moon],360)/13.333333333,2)</f>
        <v>15.049999999999999</v>
      </c>
      <c r="R238" s="4" t="str">
        <f>SIGN(U239-Panchanga!$U238)*INT(Panchanga!$U238/30+1)&amp;"Ma,"&amp;SIGN(V239-Panchanga!$V238)*INT(Panchanga!$V238/30+1)&amp;"Me,"&amp;SIGN(W239-Panchanga!$W238)*INT(Panchanga!$W238/30+1)&amp;"J, "&amp;SIGN(X239-Panchanga!$X238)*INT(Panchanga!$X238/30+1)&amp;"V,"&amp;SIGN(Y239-Panchanga!$Y238)*INT(Panchanga!$Y238/30+1)&amp;"S,"&amp;INT(Panchanga!$Z238/30+1)&amp;"R"</f>
        <v>6Ma,7Me,8J, 7V,9S,3R</v>
      </c>
      <c r="S238" s="4">
        <f t="shared" si="40"/>
        <v>178.22278110627587</v>
      </c>
      <c r="T238" s="4">
        <f t="shared" si="41"/>
        <v>22.352539799561118</v>
      </c>
      <c r="U238" s="4">
        <f>Planet(Panchanga!$E238,4)</f>
        <v>163.50875812510412</v>
      </c>
      <c r="V238" s="4">
        <f>Planet(Panchanga!$E238,2)</f>
        <v>202.36373061823775</v>
      </c>
      <c r="W238" s="4">
        <f>Planet(Panchanga!$E238,5)</f>
        <v>236.3487033233782</v>
      </c>
      <c r="X238" s="4">
        <f>Planet(Panchanga!$E238,3)</f>
        <v>194.95631386608594</v>
      </c>
      <c r="Y238" s="4">
        <f>Planet(Panchanga!$E238,6)</f>
        <v>260.40534752569562</v>
      </c>
      <c r="Z238" s="4">
        <f>Planet(Panchanga!$E238,10)</f>
        <v>78.186513493094054</v>
      </c>
      <c r="AA238" s="4" t="str">
        <f>TEXT(Panchanga!$C238+($C239-Panchanga!$C238)/ABS(IF($P239&lt;1,$P239+30,$P239)-Panchanga!$P238)*(ROUNDUP(Panchanga!$P238,0)-Panchanga!$P238),"hh:mm AM/PM")</f>
        <v>06:48 AM</v>
      </c>
      <c r="AB238" s="4"/>
    </row>
    <row r="239" spans="1:28" x14ac:dyDescent="0.2">
      <c r="A239" s="3">
        <f t="shared" si="43"/>
        <v>43755</v>
      </c>
      <c r="B239" s="3">
        <f t="shared" si="37"/>
        <v>43755.229166666664</v>
      </c>
      <c r="C239" s="15">
        <f t="shared" si="38"/>
        <v>43755.25092161369</v>
      </c>
      <c r="D239" s="15">
        <f t="shared" si="39"/>
        <v>43754.742485026873</v>
      </c>
      <c r="E239" s="17">
        <f>Panchanga!$C239-TimeZone/24</f>
        <v>43755.021754947025</v>
      </c>
      <c r="F239" s="18" t="str">
        <f>INT(P[Sun]/30)&amp;"s"&amp;ROUNDUP(MOD(P[Sun],30),2)</f>
        <v>5s29.22</v>
      </c>
      <c r="G239" s="18" t="str">
        <f>INT(P[Moon]/30)&amp;"s"&amp;ROUNDUP(MOD(P[Moon],30),2)</f>
        <v>1s4.84</v>
      </c>
      <c r="H239" s="14">
        <f t="shared" si="42"/>
        <v>43755.021754947025</v>
      </c>
      <c r="I239" s="4" t="str">
        <f>naks(P[[#This Row],[Moon]])</f>
        <v>Krittika</v>
      </c>
      <c r="J239" s="15">
        <f>(C240-P[[#This Row],[SunRise]])/(T240-P[[#This Row],[Moon]])*(13.3333333333333-MOD(P[[#This Row],[Moon]],13.333333333333))+P[[#This Row],[SunRise]]</f>
        <v>43755.658855525908</v>
      </c>
      <c r="K239" s="4" t="str">
        <f>IF(Panchanga!$P239&gt;15,"K","S")&amp;ROUNDUP(MOD(Panchanga!$P239,15),0)&amp;" ("&amp;ROUND(Panchanga!$P239,2)&amp;")"</f>
        <v>K3 (17.97)</v>
      </c>
      <c r="L239" s="4">
        <f>IF(AND(Panchanga!$P239&lt;28.5,Panchanga!$P239&gt;0.49999),MOD((Panchanga!$P239-0.5)*2,7),MOD((Panchanga!$P239+30-28.5),30)*2+7)</f>
        <v>6.9373999999999967</v>
      </c>
      <c r="M239" s="4" t="str">
        <f>CHOOSE(ROUNDUP(Panchanga!$L239,0),"Bhava","Baalava","Kaulava","Taitula","Garija","Vanija","Vishti","Shakuni","Chatushapda","Naaga","Kimstugna")</f>
        <v>Vishti</v>
      </c>
      <c r="N239" s="11" t="str">
        <f>CHOOSE(ROUNDUP(Panchanga!$Q239,0),"viṣkambha","prīti","āyuṣmāna","saubhāgya","śobhana","atigaṇḍa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("&amp;Panchanga!$Q239&amp;")"</f>
        <v>vyatipāta (16.06)</v>
      </c>
      <c r="O239" s="4">
        <f>IF(AND(Panchanga!$P239&lt;28.5,Panchanga!$P239&gt;0.49999),MOD((Panchanga!$P239-0.5)*2,7),MOD((Panchanga!$P239+30-28.5),30)*2+7)</f>
        <v>6.9373999999999967</v>
      </c>
      <c r="P239" s="4">
        <f>ROUNDUP(MOD(360+P[Moon]-P[Sun],360)/12,4)</f>
        <v>17.968699999999998</v>
      </c>
      <c r="Q239" s="4">
        <f>ROUNDUP(MOD(P[Sun]+P[Moon],360)/13.333333333,2)</f>
        <v>16.060000000000002</v>
      </c>
      <c r="R239" s="4" t="str">
        <f>SIGN(U240-Panchanga!$U239)*INT(Panchanga!$U239/30+1)&amp;"Ma,"&amp;SIGN(V240-Panchanga!$V239)*INT(Panchanga!$V239/30+1)&amp;"Me,"&amp;SIGN(W240-Panchanga!$W239)*INT(Panchanga!$W239/30+1)&amp;"J, "&amp;SIGN(X240-Panchanga!$X239)*INT(Panchanga!$X239/30+1)&amp;"V,"&amp;SIGN(Y240-Panchanga!$Y239)*INT(Panchanga!$Y239/30+1)&amp;"S,"&amp;INT(Panchanga!$Z239/30+1)&amp;"R"</f>
        <v>6Ma,7Me,8J, 7V,9S,3R</v>
      </c>
      <c r="S239" s="4">
        <f t="shared" si="40"/>
        <v>179.21405478687439</v>
      </c>
      <c r="T239" s="4">
        <f t="shared" si="41"/>
        <v>34.837780547901474</v>
      </c>
      <c r="U239" s="4">
        <f>Planet(Panchanga!$E239,4)</f>
        <v>164.15559931368227</v>
      </c>
      <c r="V239" s="4">
        <f>Planet(Panchanga!$E239,2)</f>
        <v>203.49428929165236</v>
      </c>
      <c r="W239" s="4">
        <f>Planet(Panchanga!$E239,5)</f>
        <v>236.51649584008095</v>
      </c>
      <c r="X239" s="4">
        <f>Planet(Panchanga!$E239,3)</f>
        <v>196.19922667945622</v>
      </c>
      <c r="Y239" s="4">
        <f>Planet(Panchanga!$E239,6)</f>
        <v>260.45060552181906</v>
      </c>
      <c r="Z239" s="4">
        <f>Planet(Panchanga!$E239,10)</f>
        <v>78.133516266294635</v>
      </c>
      <c r="AA239" s="4" t="str">
        <f>TEXT(Panchanga!$C239+($C240-Panchanga!$C239)/ABS(IF($P240&lt;1,$P240+30,$P240)-Panchanga!$P239)*(ROUNDUP(Panchanga!$P239,0)-Panchanga!$P239),"hh:mm AM/PM")</f>
        <v>06:47 AM</v>
      </c>
      <c r="AB239" s="4"/>
    </row>
    <row r="240" spans="1:28" x14ac:dyDescent="0.2">
      <c r="A240" s="3">
        <f t="shared" si="43"/>
        <v>43756</v>
      </c>
      <c r="B240" s="3">
        <f t="shared" si="37"/>
        <v>43756.229166666664</v>
      </c>
      <c r="C240" s="15">
        <f t="shared" si="38"/>
        <v>43756.251026041027</v>
      </c>
      <c r="D240" s="15">
        <f t="shared" si="39"/>
        <v>43755.742090523287</v>
      </c>
      <c r="E240" s="17">
        <f>Panchanga!$C240-TimeZone/24</f>
        <v>43756.021859374363</v>
      </c>
      <c r="F240" s="18" t="str">
        <f>INT(P[Sun]/30)&amp;"s"&amp;ROUNDUP(MOD(P[Sun],30),2)</f>
        <v>6s0.21</v>
      </c>
      <c r="G240" s="18" t="str">
        <f>INT(P[Moon]/30)&amp;"s"&amp;ROUNDUP(MOD(P[Moon],30),2)</f>
        <v>1s17.5</v>
      </c>
      <c r="H240" s="14">
        <f t="shared" si="42"/>
        <v>43756.021859374363</v>
      </c>
      <c r="I240" s="4" t="str">
        <f>naks(P[[#This Row],[Moon]])</f>
        <v>Rohini</v>
      </c>
      <c r="J240" s="15">
        <f>(C241-P[[#This Row],[SunRise]])/(T241-P[[#This Row],[Moon]])*(13.3333333333333-MOD(P[[#This Row],[Moon]],13.333333333333))+P[[#This Row],[SunRise]]</f>
        <v>43756.705312454047</v>
      </c>
      <c r="K240" s="4" t="str">
        <f>IF(Panchanga!$P240&gt;15,"K","S")&amp;ROUNDUP(MOD(Panchanga!$P240,15),0)&amp;" ("&amp;ROUND(Panchanga!$P240,2)&amp;")"</f>
        <v>K4 (18.94)</v>
      </c>
      <c r="L240" s="4">
        <f>IF(AND(Panchanga!$P240&lt;28.5,Panchanga!$P240&gt;0.49999),MOD((Panchanga!$P240-0.5)*2,7),MOD((Panchanga!$P240+30-28.5),30)*2+7)</f>
        <v>1.8813999999999993</v>
      </c>
      <c r="M240" s="4" t="str">
        <f>CHOOSE(ROUNDUP(Panchanga!$L240,0),"Bhava","Baalava","Kaulava","Taitula","Garija","Vanija","Vishti","Shakuni","Chatushapda","Naaga","Kimstugna")</f>
        <v>Baalava</v>
      </c>
      <c r="N240" s="11" t="str">
        <f>CHOOSE(ROUNDUP(Panchanga!$Q240,0),"viṣkambha","prīti","āyuṣmāna","saubhāgya","śobhana","atigaṇḍa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("&amp;Panchanga!$Q240&amp;")"</f>
        <v>varīyas (17.08)</v>
      </c>
      <c r="O240" s="4">
        <f>IF(AND(Panchanga!$P240&lt;28.5,Panchanga!$P240&gt;0.49999),MOD((Panchanga!$P240-0.5)*2,7),MOD((Panchanga!$P240+30-28.5),30)*2+7)</f>
        <v>1.8813999999999993</v>
      </c>
      <c r="P240" s="4">
        <f>ROUNDUP(MOD(360+P[Moon]-P[Sun],360)/12,4)</f>
        <v>18.9407</v>
      </c>
      <c r="Q240" s="4">
        <f>ROUNDUP(MOD(P[Sun]+P[Moon],360)/13.333333333,2)</f>
        <v>17.080000000000002</v>
      </c>
      <c r="R240" s="4" t="str">
        <f>SIGN(U241-Panchanga!$U240)*INT(Panchanga!$U240/30+1)&amp;"Ma,"&amp;SIGN(V241-Panchanga!$V240)*INT(Panchanga!$V240/30+1)&amp;"Me,"&amp;SIGN(W241-Panchanga!$W240)*INT(Panchanga!$W240/30+1)&amp;"J, "&amp;SIGN(X241-Panchanga!$X240)*INT(Panchanga!$X240/30+1)&amp;"V,"&amp;SIGN(Y241-Panchanga!$Y240)*INT(Panchanga!$Y240/30+1)&amp;"S,"&amp;INT(Panchanga!$Z240/30+1)&amp;"R"</f>
        <v>6Ma,7Me,8J, 7V,9S,3R</v>
      </c>
      <c r="S240" s="4">
        <f t="shared" si="40"/>
        <v>180.20594393887401</v>
      </c>
      <c r="T240" s="4">
        <f t="shared" si="41"/>
        <v>47.493650467727015</v>
      </c>
      <c r="U240" s="4">
        <f>Planet(Panchanga!$E240,4)</f>
        <v>164.80275400827799</v>
      </c>
      <c r="V240" s="4">
        <f>Planet(Panchanga!$E240,2)</f>
        <v>204.59009444009001</v>
      </c>
      <c r="W240" s="4">
        <f>Planet(Panchanga!$E240,5)</f>
        <v>236.68601966863719</v>
      </c>
      <c r="X240" s="4">
        <f>Planet(Panchanga!$E240,3)</f>
        <v>197.44214094841408</v>
      </c>
      <c r="Y240" s="4">
        <f>Planet(Panchanga!$E240,6)</f>
        <v>260.4973696969422</v>
      </c>
      <c r="Z240" s="4">
        <f>Planet(Panchanga!$E240,10)</f>
        <v>78.080518736288823</v>
      </c>
      <c r="AA240" s="4" t="str">
        <f>TEXT(Panchanga!$C240+($C241-Panchanga!$C240)/ABS(IF($P241&lt;1,$P241+30,$P241)-Panchanga!$P240)*(ROUNDUP(Panchanga!$P240,0)-Panchanga!$P240),"hh:mm AM/PM")</f>
        <v>07:27 AM</v>
      </c>
      <c r="AB240" s="4"/>
    </row>
    <row r="241" spans="1:28" x14ac:dyDescent="0.2">
      <c r="A241" s="3">
        <f t="shared" si="43"/>
        <v>43757</v>
      </c>
      <c r="B241" s="3">
        <f t="shared" si="37"/>
        <v>43757.229166666664</v>
      </c>
      <c r="C241" s="15">
        <f t="shared" si="38"/>
        <v>43757.251136667248</v>
      </c>
      <c r="D241" s="15">
        <f t="shared" si="39"/>
        <v>43756.741704126398</v>
      </c>
      <c r="E241" s="17">
        <f>Panchanga!$C241-TimeZone/24</f>
        <v>43757.021970000584</v>
      </c>
      <c r="F241" s="18" t="str">
        <f>INT(P[Sun]/30)&amp;"s"&amp;ROUNDUP(MOD(P[Sun],30),2)</f>
        <v>6s1.2</v>
      </c>
      <c r="G241" s="18" t="str">
        <f>INT(P[Moon]/30)&amp;"s"&amp;ROUNDUP(MOD(P[Moon],30),2)</f>
        <v>2s0.35</v>
      </c>
      <c r="H241" s="14">
        <f t="shared" si="42"/>
        <v>43757.021970000584</v>
      </c>
      <c r="I241" s="4" t="str">
        <f>naks(P[[#This Row],[Moon]])</f>
        <v>Mrigashira</v>
      </c>
      <c r="J241" s="15">
        <f>(C242-P[[#This Row],[SunRise]])/(T242-P[[#This Row],[Moon]])*(13.3333333333333-MOD(P[[#This Row],[Moon]],13.333333333333))+P[[#This Row],[SunRise]]</f>
        <v>43757.733630656148</v>
      </c>
      <c r="K241" s="4" t="str">
        <f>IF(Panchanga!$P241&gt;15,"K","S")&amp;ROUNDUP(MOD(Panchanga!$P241,15),0)&amp;" ("&amp;ROUND(Panchanga!$P241,2)&amp;")"</f>
        <v>K5 (19.93)</v>
      </c>
      <c r="L241" s="4">
        <f>IF(AND(Panchanga!$P241&lt;28.5,Panchanga!$P241&gt;0.49999),MOD((Panchanga!$P241-0.5)*2,7),MOD((Panchanga!$P241+30-28.5),30)*2+7)</f>
        <v>3.8586000000000027</v>
      </c>
      <c r="M241" s="4" t="str">
        <f>CHOOSE(ROUNDUP(Panchanga!$L241,0),"Bhava","Baalava","Kaulava","Taitula","Garija","Vanija","Vishti","Shakuni","Chatushapda","Naaga","Kimstugna")</f>
        <v>Taitula</v>
      </c>
      <c r="N241" s="11" t="str">
        <f>CHOOSE(ROUNDUP(Panchanga!$Q241,0),"viṣkambha","prīti","āyuṣmāna","saubhāgya","śobhana","atigaṇḍa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("&amp;Panchanga!$Q241&amp;")"</f>
        <v>parigha (18.12)</v>
      </c>
      <c r="O241" s="4">
        <f>IF(AND(Panchanga!$P241&lt;28.5,Panchanga!$P241&gt;0.49999),MOD((Panchanga!$P241-0.5)*2,7),MOD((Panchanga!$P241+30-28.5),30)*2+7)</f>
        <v>3.8586000000000027</v>
      </c>
      <c r="P241" s="4">
        <f>ROUNDUP(MOD(360+P[Moon]-P[Sun],360)/12,4)</f>
        <v>19.929300000000001</v>
      </c>
      <c r="Q241" s="4">
        <f>ROUNDUP(MOD(P[Sun]+P[Moon],360)/13.333333333,2)</f>
        <v>18.12</v>
      </c>
      <c r="R241" s="4" t="str">
        <f>SIGN(U242-Panchanga!$U241)*INT(Panchanga!$U241/30+1)&amp;"Ma,"&amp;SIGN(V242-Panchanga!$V241)*INT(Panchanga!$V241/30+1)&amp;"Me,"&amp;SIGN(W242-Panchanga!$W241)*INT(Panchanga!$W241/30+1)&amp;"J, "&amp;SIGN(X242-Panchanga!$X241)*INT(Panchanga!$X241/30+1)&amp;"V,"&amp;SIGN(Y242-Panchanga!$Y241)*INT(Panchanga!$Y241/30+1)&amp;"S,"&amp;INT(Panchanga!$Z241/30+1)&amp;"R"</f>
        <v>6Ma,7Me,8J, 7V,9S,3R</v>
      </c>
      <c r="S241" s="4">
        <f t="shared" si="40"/>
        <v>181.19846058496555</v>
      </c>
      <c r="T241" s="4">
        <f t="shared" si="41"/>
        <v>60.349700572400202</v>
      </c>
      <c r="U241" s="4">
        <f>Planet(Panchanga!$E241,4)</f>
        <v>165.45022905845411</v>
      </c>
      <c r="V241" s="4">
        <f>Planet(Panchanga!$E241,2)</f>
        <v>205.64793981548974</v>
      </c>
      <c r="W241" s="4">
        <f>Planet(Panchanga!$E241,5)</f>
        <v>236.85725204551247</v>
      </c>
      <c r="X241" s="4">
        <f>Planet(Panchanga!$E241,3)</f>
        <v>198.68506327007384</v>
      </c>
      <c r="Y241" s="4">
        <f>Planet(Panchanga!$E241,6)</f>
        <v>260.54563110958571</v>
      </c>
      <c r="Z241" s="4">
        <f>Planet(Panchanga!$E241,10)</f>
        <v>78.027520877792753</v>
      </c>
      <c r="AA241" s="4" t="str">
        <f>TEXT(Panchanga!$C241+($C242-Panchanga!$C241)/ABS(IF($P242&lt;1,$P242+30,$P242)-Panchanga!$P241)*(ROUNDUP(Panchanga!$P241,0)-Panchanga!$P241),"hh:mm AM/PM")</f>
        <v>07:42 AM</v>
      </c>
      <c r="AB241" s="4"/>
    </row>
    <row r="242" spans="1:28" x14ac:dyDescent="0.2">
      <c r="A242" s="3">
        <f t="shared" si="43"/>
        <v>43758</v>
      </c>
      <c r="B242" s="3">
        <f t="shared" si="37"/>
        <v>43758.229166666664</v>
      </c>
      <c r="C242" s="15">
        <f t="shared" si="38"/>
        <v>43758.251253492352</v>
      </c>
      <c r="D242" s="15">
        <f t="shared" si="39"/>
        <v>43757.741325994532</v>
      </c>
      <c r="E242" s="17">
        <f>Panchanga!$C242-TimeZone/24</f>
        <v>43758.022086825687</v>
      </c>
      <c r="F242" s="18" t="str">
        <f>INT(P[Sun]/30)&amp;"s"&amp;ROUNDUP(MOD(P[Sun],30),2)</f>
        <v>6s2.2</v>
      </c>
      <c r="G242" s="18" t="str">
        <f>INT(P[Moon]/30)&amp;"s"&amp;ROUNDUP(MOD(P[Moon],30),2)</f>
        <v>2s13.45</v>
      </c>
      <c r="H242" s="14">
        <f t="shared" si="42"/>
        <v>43758.022086825687</v>
      </c>
      <c r="I242" s="4" t="str">
        <f>naks(P[[#This Row],[Moon]])</f>
        <v>Ardra</v>
      </c>
      <c r="J242" s="15">
        <f>(C243-P[[#This Row],[SunRise]])/(T243-P[[#This Row],[Moon]])*(13.3333333333333-MOD(P[[#This Row],[Moon]],13.333333333333))+P[[#This Row],[SunRise]]</f>
        <v>43758.741562086128</v>
      </c>
      <c r="K242" s="4" t="str">
        <f>IF(Panchanga!$P242&gt;15,"K","S")&amp;ROUNDUP(MOD(Panchanga!$P242,15),0)&amp;" ("&amp;ROUND(Panchanga!$P242,2)&amp;")"</f>
        <v>K6 (20.94)</v>
      </c>
      <c r="L242" s="4">
        <f>IF(AND(Panchanga!$P242&lt;28.5,Panchanga!$P242&gt;0.49999),MOD((Panchanga!$P242-0.5)*2,7),MOD((Panchanga!$P242+30-28.5),30)*2+7)</f>
        <v>5.8753999999999991</v>
      </c>
      <c r="M242" s="4" t="str">
        <f>CHOOSE(ROUNDUP(Panchanga!$L242,0),"Bhava","Baalava","Kaulava","Taitula","Garija","Vanija","Vishti","Shakuni","Chatushapda","Naaga","Kimstugna")</f>
        <v>Vanija</v>
      </c>
      <c r="N242" s="11" t="str">
        <f>CHOOSE(ROUNDUP(Panchanga!$Q242,0),"viṣkambha","prīti","āyuṣmāna","saubhāgya","śobhana","atigaṇḍa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("&amp;Panchanga!$Q242&amp;")"</f>
        <v>śiva (19.18)</v>
      </c>
      <c r="O242" s="4">
        <f>IF(AND(Panchanga!$P242&lt;28.5,Panchanga!$P242&gt;0.49999),MOD((Panchanga!$P242-0.5)*2,7),MOD((Panchanga!$P242+30-28.5),30)*2+7)</f>
        <v>5.8753999999999991</v>
      </c>
      <c r="P242" s="4">
        <f>ROUNDUP(MOD(360+P[Moon]-P[Sun],360)/12,4)</f>
        <v>20.9377</v>
      </c>
      <c r="Q242" s="4">
        <f>ROUNDUP(MOD(P[Sun]+P[Moon],360)/13.333333333,2)</f>
        <v>19.180000000000003</v>
      </c>
      <c r="R242" s="4" t="str">
        <f>SIGN(U243-Panchanga!$U242)*INT(Panchanga!$U242/30+1)&amp;"Ma,"&amp;SIGN(V243-Panchanga!$V242)*INT(Panchanga!$V242/30+1)&amp;"Me,"&amp;SIGN(W243-Panchanga!$W242)*INT(Panchanga!$W242/30+1)&amp;"J, "&amp;SIGN(X243-Panchanga!$X242)*INT(Panchanga!$X242/30+1)&amp;"V,"&amp;SIGN(Y243-Panchanga!$Y242)*INT(Panchanga!$Y242/30+1)&amp;"S,"&amp;INT(Panchanga!$Z242/30+1)&amp;"R"</f>
        <v>6Ma,7Me,8J, 7V,9S,3R</v>
      </c>
      <c r="S242" s="4">
        <f t="shared" si="40"/>
        <v>182.19161454445921</v>
      </c>
      <c r="T242" s="4">
        <f t="shared" si="41"/>
        <v>73.443550899757454</v>
      </c>
      <c r="U242" s="4">
        <f>Planet(Panchanga!$E242,4)</f>
        <v>166.09802999709004</v>
      </c>
      <c r="V242" s="4">
        <f>Planet(Panchanga!$E242,2)</f>
        <v>206.66418769504943</v>
      </c>
      <c r="W242" s="4">
        <f>Planet(Panchanga!$E242,5)</f>
        <v>237.03017046051551</v>
      </c>
      <c r="X242" s="4">
        <f>Planet(Panchanga!$E242,3)</f>
        <v>199.92799941172609</v>
      </c>
      <c r="Y242" s="4">
        <f>Planet(Panchanga!$E242,6)</f>
        <v>260.59538079667198</v>
      </c>
      <c r="Z242" s="4">
        <f>Planet(Panchanga!$E242,10)</f>
        <v>77.974522690806253</v>
      </c>
      <c r="AA242" s="4" t="str">
        <f>TEXT(Panchanga!$C242+($C243-Panchanga!$C242)/ABS(IF($P243&lt;1,$P243+30,$P243)-Panchanga!$P242)*(ROUNDUP(Panchanga!$P242,0)-Panchanga!$P242),"hh:mm AM/PM")</f>
        <v>07:28 AM</v>
      </c>
      <c r="AB242" s="4"/>
    </row>
    <row r="243" spans="1:28" x14ac:dyDescent="0.2">
      <c r="A243" s="3">
        <f t="shared" si="43"/>
        <v>43759</v>
      </c>
      <c r="B243" s="3">
        <f t="shared" si="37"/>
        <v>43759.229166666664</v>
      </c>
      <c r="C243" s="15">
        <f t="shared" si="38"/>
        <v>43759.251376516338</v>
      </c>
      <c r="D243" s="15">
        <f t="shared" si="39"/>
        <v>43758.740956445734</v>
      </c>
      <c r="E243" s="17">
        <f>Panchanga!$C243-TimeZone/24</f>
        <v>43759.022209849674</v>
      </c>
      <c r="F243" s="18" t="str">
        <f>INT(P[Sun]/30)&amp;"s"&amp;ROUNDUP(MOD(P[Sun],30),2)</f>
        <v>6s3.19</v>
      </c>
      <c r="G243" s="18" t="str">
        <f>INT(P[Moon]/30)&amp;"s"&amp;ROUNDUP(MOD(P[Moon],30),2)</f>
        <v>2s26.82</v>
      </c>
      <c r="H243" s="14">
        <f t="shared" si="42"/>
        <v>43759.022209849674</v>
      </c>
      <c r="I243" s="4" t="str">
        <f>naks(P[[#This Row],[Moon]])</f>
        <v>Punarvasu</v>
      </c>
      <c r="J243" s="15">
        <f>(C244-P[[#This Row],[SunRise]])/(T244-P[[#This Row],[Moon]])*(13.3333333333333-MOD(P[[#This Row],[Moon]],13.333333333333))+P[[#This Row],[SunRise]]</f>
        <v>43759.727312430201</v>
      </c>
      <c r="K243" s="4" t="str">
        <f>IF(Panchanga!$P243&gt;15,"K","S")&amp;ROUNDUP(MOD(Panchanga!$P243,15),0)&amp;" ("&amp;ROUND(Panchanga!$P243,2)&amp;")"</f>
        <v>K7 (21.97)</v>
      </c>
      <c r="L243" s="4">
        <f>IF(AND(Panchanga!$P243&lt;28.5,Panchanga!$P243&gt;0.49999),MOD((Panchanga!$P243-0.5)*2,7),MOD((Panchanga!$P243+30-28.5),30)*2+7)</f>
        <v>0.93880000000000052</v>
      </c>
      <c r="M243" s="4" t="str">
        <f>CHOOSE(ROUNDUP(Panchanga!$L243,0),"Bhava","Baalava","Kaulava","Taitula","Garija","Vanija","Vishti","Shakuni","Chatushapda","Naaga","Kimstugna")</f>
        <v>Bhava</v>
      </c>
      <c r="N243" s="11" t="str">
        <f>CHOOSE(ROUNDUP(Panchanga!$Q243,0),"viṣkambha","prīti","āyuṣmāna","saubhāgya","śobhana","atigaṇḍa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("&amp;Panchanga!$Q243&amp;")"</f>
        <v>siddha (20.26)</v>
      </c>
      <c r="O243" s="4">
        <f>IF(AND(Panchanga!$P243&lt;28.5,Panchanga!$P243&gt;0.49999),MOD((Panchanga!$P243-0.5)*2,7),MOD((Panchanga!$P243+30-28.5),30)*2+7)</f>
        <v>0.93880000000000052</v>
      </c>
      <c r="P243" s="4">
        <f>ROUNDUP(MOD(360+P[Moon]-P[Sun],360)/12,4)</f>
        <v>21.9694</v>
      </c>
      <c r="Q243" s="4">
        <f>ROUNDUP(MOD(P[Sun]+P[Moon],360)/13.333333333,2)</f>
        <v>20.260000000000002</v>
      </c>
      <c r="R243" s="4" t="str">
        <f>SIGN(U244-Panchanga!$U243)*INT(Panchanga!$U243/30+1)&amp;"Ma,"&amp;SIGN(V244-Panchanga!$V243)*INT(Panchanga!$V243/30+1)&amp;"Me,"&amp;SIGN(W244-Panchanga!$W243)*INT(Panchanga!$W243/30+1)&amp;"J, "&amp;SIGN(X244-Panchanga!$X243)*INT(Panchanga!$X243/30+1)&amp;"V,"&amp;SIGN(Y244-Panchanga!$Y243)*INT(Panchanga!$Y243/30+1)&amp;"S,"&amp;INT(Panchanga!$Z243/30+1)&amp;"R"</f>
        <v>6Ma,7Me,8J, 7V,9S,3R</v>
      </c>
      <c r="S243" s="4">
        <f t="shared" si="40"/>
        <v>183.18541324078811</v>
      </c>
      <c r="T243" s="4">
        <f t="shared" si="41"/>
        <v>86.817282839069179</v>
      </c>
      <c r="U243" s="4">
        <f>Planet(Panchanga!$E243,4)</f>
        <v>166.74616107376167</v>
      </c>
      <c r="V243" s="4">
        <f>Planet(Panchanga!$E243,2)</f>
        <v>207.6347204063407</v>
      </c>
      <c r="W243" s="4">
        <f>Planet(Panchanga!$E243,5)</f>
        <v>237.2047526243804</v>
      </c>
      <c r="X243" s="4">
        <f>Planet(Panchanga!$E243,3)</f>
        <v>201.17095454238591</v>
      </c>
      <c r="Y243" s="4">
        <f>Planet(Panchanga!$E243,6)</f>
        <v>260.64660975990898</v>
      </c>
      <c r="Z243" s="4">
        <f>Planet(Panchanga!$E243,10)</f>
        <v>77.92152417532931</v>
      </c>
      <c r="AA243" s="4" t="str">
        <f>TEXT(Panchanga!$C243+($C244-Panchanga!$C243)/ABS(IF($P244&lt;1,$P244+30,$P244)-Panchanga!$P243)*(ROUNDUP(Panchanga!$P243,0)-Panchanga!$P243),"hh:mm AM/PM")</f>
        <v>06:43 AM</v>
      </c>
      <c r="AB243" s="4"/>
    </row>
    <row r="244" spans="1:28" x14ac:dyDescent="0.2">
      <c r="A244" s="3">
        <f t="shared" si="43"/>
        <v>43760</v>
      </c>
      <c r="B244" s="3">
        <f t="shared" si="37"/>
        <v>43760.229166666664</v>
      </c>
      <c r="C244" s="15">
        <f t="shared" si="38"/>
        <v>43760.251506216046</v>
      </c>
      <c r="D244" s="15">
        <f t="shared" si="39"/>
        <v>43759.740595798052</v>
      </c>
      <c r="E244" s="17">
        <f>Panchanga!$C244-TimeZone/24</f>
        <v>43760.022339549381</v>
      </c>
      <c r="F244" s="18" t="str">
        <f>INT(P[Sun]/30)&amp;"s"&amp;ROUNDUP(MOD(P[Sun],30),2)</f>
        <v>6s4.18</v>
      </c>
      <c r="G244" s="18" t="str">
        <f>INT(P[Moon]/30)&amp;"s"&amp;ROUNDUP(MOD(P[Moon],30),2)</f>
        <v>3s10.52</v>
      </c>
      <c r="H244" s="14">
        <f t="shared" si="42"/>
        <v>43760.022339549381</v>
      </c>
      <c r="I244" s="4" t="str">
        <f>naks(P[[#This Row],[Moon]])</f>
        <v>Pushya</v>
      </c>
      <c r="J244" s="15">
        <f>(C245-P[[#This Row],[SunRise]])/(T245-P[[#This Row],[Moon]])*(13.3333333333333-MOD(P[[#This Row],[Moon]],13.333333333333))+P[[#This Row],[SunRise]]</f>
        <v>43760.690156057106</v>
      </c>
      <c r="K244" s="4" t="str">
        <f>IF(Panchanga!$P244&gt;15,"K","S")&amp;ROUNDUP(MOD(Panchanga!$P244,15),0)&amp;" ("&amp;ROUND(Panchanga!$P244,2)&amp;")"</f>
        <v>K9 (23.03)</v>
      </c>
      <c r="L244" s="4">
        <f>IF(AND(Panchanga!$P244&lt;28.5,Panchanga!$P244&gt;0.49999),MOD((Panchanga!$P244-0.5)*2,7),MOD((Panchanga!$P244+30-28.5),30)*2+7)</f>
        <v>3.0551999999999992</v>
      </c>
      <c r="M244" s="4" t="str">
        <f>CHOOSE(ROUNDUP(Panchanga!$L244,0),"Bhava","Baalava","Kaulava","Taitula","Garija","Vanija","Vishti","Shakuni","Chatushapda","Naaga","Kimstugna")</f>
        <v>Taitula</v>
      </c>
      <c r="N244" s="11" t="str">
        <f>CHOOSE(ROUNDUP(Panchanga!$Q244,0),"viṣkambha","prīti","āyuṣmāna","saubhāgya","śobhana","atigaṇḍa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("&amp;Panchanga!$Q244&amp;")"</f>
        <v>sādhya (21.36)</v>
      </c>
      <c r="O244" s="4">
        <f>IF(AND(Panchanga!$P244&lt;28.5,Panchanga!$P244&gt;0.49999),MOD((Panchanga!$P244-0.5)*2,7),MOD((Panchanga!$P244+30-28.5),30)*2+7)</f>
        <v>3.0551999999999992</v>
      </c>
      <c r="P244" s="4">
        <f>ROUNDUP(MOD(360+P[Moon]-P[Sun],360)/12,4)</f>
        <v>23.0276</v>
      </c>
      <c r="Q244" s="4">
        <f>ROUNDUP(MOD(P[Sun]+P[Moon],360)/13.333333333,2)</f>
        <v>21.360000000000003</v>
      </c>
      <c r="R244" s="4" t="str">
        <f>SIGN(U245-Panchanga!$U244)*INT(Panchanga!$U244/30+1)&amp;"Ma,"&amp;SIGN(V245-Panchanga!$V244)*INT(Panchanga!$V244/30+1)&amp;"Me,"&amp;SIGN(W245-Panchanga!$W244)*INT(Panchanga!$W244/30+1)&amp;"J, "&amp;SIGN(X245-Panchanga!$X244)*INT(Panchanga!$X244/30+1)&amp;"V,"&amp;SIGN(Y245-Panchanga!$Y244)*INT(Panchanga!$Y244/30+1)&amp;"S,"&amp;INT(Panchanga!$Z244/30+1)&amp;"R"</f>
        <v>6Ma,7Me,8J, 7V,9S,3R</v>
      </c>
      <c r="S244" s="4">
        <f t="shared" si="40"/>
        <v>184.17986137184855</v>
      </c>
      <c r="T244" s="4">
        <f t="shared" si="41"/>
        <v>100.5100835593437</v>
      </c>
      <c r="U244" s="4">
        <f>Planet(Panchanga!$E244,4)</f>
        <v>167.39462526147642</v>
      </c>
      <c r="V244" s="4">
        <f>Planet(Panchanga!$E244,2)</f>
        <v>208.55488882767457</v>
      </c>
      <c r="W244" s="4">
        <f>Planet(Panchanga!$E244,5)</f>
        <v>237.38097639413562</v>
      </c>
      <c r="X244" s="4">
        <f>Planet(Panchanga!$E244,3)</f>
        <v>202.41393333833051</v>
      </c>
      <c r="Y244" s="4">
        <f>Planet(Panchanga!$E244,6)</f>
        <v>260.6993089356601</v>
      </c>
      <c r="Z244" s="4">
        <f>Planet(Panchanga!$E244,10)</f>
        <v>77.86852530611128</v>
      </c>
      <c r="AA244" s="4" t="str">
        <f>TEXT(Panchanga!$C244+($C245-Panchanga!$C244)/ABS(IF($P245&lt;1,$P245+30,$P245)-Panchanga!$P244)*(ROUNDUP(Panchanga!$P244,0)-Panchanga!$P244),"hh:mm AM/PM")</f>
        <v>03:30 AM</v>
      </c>
      <c r="AB244" s="4"/>
    </row>
    <row r="245" spans="1:28" x14ac:dyDescent="0.2">
      <c r="A245" s="3">
        <f t="shared" si="43"/>
        <v>43761</v>
      </c>
      <c r="B245" s="3">
        <f t="shared" si="37"/>
        <v>43761.229166666664</v>
      </c>
      <c r="C245" s="15">
        <f t="shared" si="38"/>
        <v>43761.251642432217</v>
      </c>
      <c r="D245" s="15">
        <f t="shared" si="39"/>
        <v>43760.740244369066</v>
      </c>
      <c r="E245" s="17">
        <f>Panchanga!$C245-TimeZone/24</f>
        <v>43761.022475765552</v>
      </c>
      <c r="F245" s="18" t="str">
        <f>INT(P[Sun]/30)&amp;"s"&amp;ROUNDUP(MOD(P[Sun],30),2)</f>
        <v>6s5.18</v>
      </c>
      <c r="G245" s="18" t="str">
        <f>INT(P[Moon]/30)&amp;"s"&amp;ROUNDUP(MOD(P[Moon],30),2)</f>
        <v>3s24.55</v>
      </c>
      <c r="H245" s="14">
        <f t="shared" si="42"/>
        <v>43761.022475765552</v>
      </c>
      <c r="I245" s="4" t="str">
        <f>naks(P[[#This Row],[Moon]])</f>
        <v>Aslesha</v>
      </c>
      <c r="J245" s="15">
        <f>(C246-P[[#This Row],[SunRise]])/(T246-P[[#This Row],[Moon]])*(13.3333333333333-MOD(P[[#This Row],[Moon]],13.333333333333))+P[[#This Row],[SunRise]]</f>
        <v>43761.630886077131</v>
      </c>
      <c r="K245" s="4" t="str">
        <f>IF(Panchanga!$P245&gt;15,"K","S")&amp;ROUNDUP(MOD(Panchanga!$P245,15),0)&amp;" ("&amp;ROUND(Panchanga!$P245,2)&amp;")"</f>
        <v>K10 (24.11)</v>
      </c>
      <c r="L245" s="4">
        <f>IF(AND(Panchanga!$P245&lt;28.5,Panchanga!$P245&gt;0.49999),MOD((Panchanga!$P245-0.5)*2,7),MOD((Panchanga!$P245+30-28.5),30)*2+7)</f>
        <v>5.2287999999999997</v>
      </c>
      <c r="M245" s="4" t="str">
        <f>CHOOSE(ROUNDUP(Panchanga!$L245,0),"Bhava","Baalava","Kaulava","Taitula","Garija","Vanija","Vishti","Shakuni","Chatushapda","Naaga","Kimstugna")</f>
        <v>Vanija</v>
      </c>
      <c r="N245" s="11" t="str">
        <f>CHOOSE(ROUNDUP(Panchanga!$Q245,0),"viṣkambha","prīti","āyuṣmāna","saubhāgya","śobhana","atigaṇḍa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("&amp;Panchanga!$Q245&amp;")"</f>
        <v>śubha (22.48)</v>
      </c>
      <c r="O245" s="4">
        <f>IF(AND(Panchanga!$P245&lt;28.5,Panchanga!$P245&gt;0.49999),MOD((Panchanga!$P245-0.5)*2,7),MOD((Panchanga!$P245+30-28.5),30)*2+7)</f>
        <v>5.2287999999999997</v>
      </c>
      <c r="P245" s="4">
        <f>ROUNDUP(MOD(360+P[Moon]-P[Sun],360)/12,4)</f>
        <v>24.1144</v>
      </c>
      <c r="Q245" s="4">
        <f>ROUNDUP(MOD(P[Sun]+P[Moon],360)/13.333333333,2)</f>
        <v>22.48</v>
      </c>
      <c r="R245" s="4" t="str">
        <f>SIGN(U246-Panchanga!$U245)*INT(Panchanga!$U245/30+1)&amp;"Ma,"&amp;SIGN(V246-Panchanga!$V245)*INT(Panchanga!$V245/30+1)&amp;"Me,"&amp;SIGN(W246-Panchanga!$W245)*INT(Panchanga!$W245/30+1)&amp;"J, "&amp;SIGN(X246-Panchanga!$X245)*INT(Panchanga!$X245/30+1)&amp;"V,"&amp;SIGN(Y246-Panchanga!$Y245)*INT(Panchanga!$Y245/30+1)&amp;"S,"&amp;INT(Panchanga!$Z245/30+1)&amp;"R"</f>
        <v>6Ma,7Me,8J, 7V,9S,3R</v>
      </c>
      <c r="S245" s="4">
        <f t="shared" si="40"/>
        <v>185.17495894103806</v>
      </c>
      <c r="T245" s="4">
        <f t="shared" si="41"/>
        <v>114.5472976583837</v>
      </c>
      <c r="U245" s="4">
        <f>Planet(Panchanga!$E245,4)</f>
        <v>168.04342325372019</v>
      </c>
      <c r="V245" s="4">
        <f>Planet(Panchanga!$E245,2)</f>
        <v>209.41945793112697</v>
      </c>
      <c r="W245" s="4">
        <f>Planet(Panchanga!$E245,5)</f>
        <v>237.55881935971553</v>
      </c>
      <c r="X245" s="4">
        <f>Planet(Panchanga!$E245,3)</f>
        <v>203.65693800763691</v>
      </c>
      <c r="Y245" s="4">
        <f>Planet(Panchanga!$E245,6)</f>
        <v>260.75346903711113</v>
      </c>
      <c r="Z245" s="4">
        <f>Planet(Panchanga!$E245,10)</f>
        <v>77.815526091568969</v>
      </c>
      <c r="AA245" s="4" t="str">
        <f>TEXT(Panchanga!$C245+($C246-Panchanga!$C245)/ABS(IF($P246&lt;1,$P246+30,$P246)-Panchanga!$P245)*(ROUNDUP(Panchanga!$P245,0)-Panchanga!$P245),"hh:mm AM/PM")</f>
        <v>01:05 AM</v>
      </c>
      <c r="AB245" s="4"/>
    </row>
    <row r="246" spans="1:28" x14ac:dyDescent="0.2">
      <c r="A246" s="3">
        <f t="shared" si="43"/>
        <v>43762</v>
      </c>
      <c r="B246" s="3">
        <f t="shared" si="37"/>
        <v>43762.229166666664</v>
      </c>
      <c r="C246" s="15">
        <f t="shared" si="38"/>
        <v>43762.251785483364</v>
      </c>
      <c r="D246" s="15">
        <f t="shared" si="39"/>
        <v>43761.739902158777</v>
      </c>
      <c r="E246" s="17">
        <f>Panchanga!$C246-TimeZone/24</f>
        <v>43762.0226188167</v>
      </c>
      <c r="F246" s="18" t="str">
        <f>INT(P[Sun]/30)&amp;"s"&amp;ROUNDUP(MOD(P[Sun],30),2)</f>
        <v>6s6.18</v>
      </c>
      <c r="G246" s="18" t="str">
        <f>INT(P[Moon]/30)&amp;"s"&amp;ROUNDUP(MOD(P[Moon],30),2)</f>
        <v>4s8.93</v>
      </c>
      <c r="H246" s="14">
        <f t="shared" si="42"/>
        <v>43762.0226188167</v>
      </c>
      <c r="I246" s="4" t="str">
        <f>naks(P[[#This Row],[Moon]])</f>
        <v>Makha</v>
      </c>
      <c r="J246" s="15">
        <f>(C247-P[[#This Row],[SunRise]])/(T247-P[[#This Row],[Moon]])*(13.3333333333333-MOD(P[[#This Row],[Moon]],13.333333333333))+P[[#This Row],[SunRise]]</f>
        <v>43762.551951370217</v>
      </c>
      <c r="K246" s="4" t="str">
        <f>IF(Panchanga!$P246&gt;15,"K","S")&amp;ROUNDUP(MOD(Panchanga!$P246,15),0)&amp;" ("&amp;ROUND(Panchanga!$P246,2)&amp;")"</f>
        <v>K11 (25.23)</v>
      </c>
      <c r="L246" s="4">
        <f>IF(AND(Panchanga!$P246&lt;28.5,Panchanga!$P246&gt;0.49999),MOD((Panchanga!$P246-0.5)*2,7),MOD((Panchanga!$P246+30-28.5),30)*2+7)</f>
        <v>0.45960000000000178</v>
      </c>
      <c r="M246" s="4" t="str">
        <f>CHOOSE(ROUNDUP(Panchanga!$L246,0),"Bhava","Baalava","Kaulava","Taitula","Garija","Vanija","Vishti","Shakuni","Chatushapda","Naaga","Kimstugna")</f>
        <v>Bhava</v>
      </c>
      <c r="N246" s="11" t="str">
        <f>CHOOSE(ROUNDUP(Panchanga!$Q246,0),"viṣkambha","prīti","āyuṣmāna","saubhāgya","śobhana","atigaṇḍa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("&amp;Panchanga!$Q246&amp;")"</f>
        <v>śukla (23.64)</v>
      </c>
      <c r="O246" s="4">
        <f>IF(AND(Panchanga!$P246&lt;28.5,Panchanga!$P246&gt;0.49999),MOD((Panchanga!$P246-0.5)*2,7),MOD((Panchanga!$P246+30-28.5),30)*2+7)</f>
        <v>0.45960000000000178</v>
      </c>
      <c r="P246" s="4">
        <f>ROUNDUP(MOD(360+P[Moon]-P[Sun],360)/12,4)</f>
        <v>25.229800000000001</v>
      </c>
      <c r="Q246" s="4">
        <f>ROUNDUP(MOD(P[Sun]+P[Moon],360)/13.333333333,2)</f>
        <v>23.64</v>
      </c>
      <c r="R246" s="4" t="str">
        <f>SIGN(U247-Panchanga!$U246)*INT(Panchanga!$U246/30+1)&amp;"Ma,"&amp;SIGN(V247-Panchanga!$V246)*INT(Panchanga!$V246/30+1)&amp;"Me,"&amp;SIGN(W247-Panchanga!$W246)*INT(Panchanga!$W246/30+1)&amp;"J, "&amp;SIGN(X247-Panchanga!$X246)*INT(Panchanga!$X246/30+1)&amp;"V,"&amp;SIGN(Y247-Panchanga!$Y246)*INT(Panchanga!$Y246/30+1)&amp;"S,"&amp;INT(Panchanga!$Z246/30+1)&amp;"R"</f>
        <v>6Ma,8Me,8J, 7V,9S,3R</v>
      </c>
      <c r="S246" s="4">
        <f t="shared" si="40"/>
        <v>186.1707015879611</v>
      </c>
      <c r="T246" s="4">
        <f t="shared" si="41"/>
        <v>128.92718887102521</v>
      </c>
      <c r="U246" s="4">
        <f>Planet(Panchanga!$E246,4)</f>
        <v>168.69255399275664</v>
      </c>
      <c r="V246" s="4">
        <f>Planet(Panchanga!$E246,2)</f>
        <v>210.22255535323004</v>
      </c>
      <c r="W246" s="4">
        <f>Planet(Panchanga!$E246,5)</f>
        <v>237.7382587735097</v>
      </c>
      <c r="X246" s="4">
        <f>Planet(Panchanga!$E246,3)</f>
        <v>204.89996903663541</v>
      </c>
      <c r="Y246" s="4">
        <f>Planet(Panchanga!$E246,6)</f>
        <v>260.80908047151758</v>
      </c>
      <c r="Z246" s="4">
        <f>Planet(Panchanga!$E246,10)</f>
        <v>77.762526514818788</v>
      </c>
      <c r="AA246" s="4" t="str">
        <f>TEXT(Panchanga!$C246+($C247-Panchanga!$C246)/ABS(IF($P247&lt;1,$P247+30,$P247)-Panchanga!$P246)*(ROUNDUP(Panchanga!$P246,0)-Panchanga!$P246),"hh:mm AM/PM")</f>
        <v>10:15 PM</v>
      </c>
      <c r="AB246" s="4"/>
    </row>
    <row r="247" spans="1:28" x14ac:dyDescent="0.2">
      <c r="A247" s="3">
        <f t="shared" si="43"/>
        <v>43763</v>
      </c>
      <c r="B247" s="3">
        <f t="shared" si="37"/>
        <v>43763.229166666664</v>
      </c>
      <c r="C247" s="15">
        <f t="shared" si="38"/>
        <v>43763.251935210232</v>
      </c>
      <c r="D247" s="15">
        <f t="shared" si="39"/>
        <v>43762.739569644487</v>
      </c>
      <c r="E247" s="17">
        <f>Panchanga!$C247-TimeZone/24</f>
        <v>43763.022768543568</v>
      </c>
      <c r="F247" s="18" t="str">
        <f>INT(P[Sun]/30)&amp;"s"&amp;ROUNDUP(MOD(P[Sun],30),2)</f>
        <v>6s7.17</v>
      </c>
      <c r="G247" s="18" t="str">
        <f>INT(P[Moon]/30)&amp;"s"&amp;ROUNDUP(MOD(P[Moon],30),2)</f>
        <v>4s23.61</v>
      </c>
      <c r="H247" s="14">
        <f t="shared" si="42"/>
        <v>43763.022768543568</v>
      </c>
      <c r="I247" s="4" t="str">
        <f>naks(P[[#This Row],[Moon]])</f>
        <v>Purva Phalguni</v>
      </c>
      <c r="J247" s="15">
        <f>(C248-P[[#This Row],[SunRise]])/(T248-P[[#This Row],[Moon]])*(13.3333333333333-MOD(P[[#This Row],[Moon]],13.333333333333))+P[[#This Row],[SunRise]]</f>
        <v>43763.45728962031</v>
      </c>
      <c r="K247" s="4" t="str">
        <f>IF(Panchanga!$P247&gt;15,"K","S")&amp;ROUNDUP(MOD(Panchanga!$P247,15),0)&amp;" ("&amp;ROUND(Panchanga!$P247,2)&amp;")"</f>
        <v>K12 (26.37)</v>
      </c>
      <c r="L247" s="4">
        <f>IF(AND(Panchanga!$P247&lt;28.5,Panchanga!$P247&gt;0.49999),MOD((Panchanga!$P247-0.5)*2,7),MOD((Panchanga!$P247+30-28.5),30)*2+7)</f>
        <v>2.7404000000000011</v>
      </c>
      <c r="M247" s="4" t="str">
        <f>CHOOSE(ROUNDUP(Panchanga!$L247,0),"Bhava","Baalava","Kaulava","Taitula","Garija","Vanija","Vishti","Shakuni","Chatushapda","Naaga","Kimstugna")</f>
        <v>Kaulava</v>
      </c>
      <c r="N247" s="11" t="str">
        <f>CHOOSE(ROUNDUP(Panchanga!$Q247,0),"viṣkambha","prīti","āyuṣmāna","saubhāgya","śobhana","atigaṇḍa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("&amp;Panchanga!$Q247&amp;")"</f>
        <v>brahma (24.81)</v>
      </c>
      <c r="O247" s="4">
        <f>IF(AND(Panchanga!$P247&lt;28.5,Panchanga!$P247&gt;0.49999),MOD((Panchanga!$P247-0.5)*2,7),MOD((Panchanga!$P247+30-28.5),30)*2+7)</f>
        <v>2.7404000000000011</v>
      </c>
      <c r="P247" s="4">
        <f>ROUNDUP(MOD(360+P[Moon]-P[Sun],360)/12,4)</f>
        <v>26.370200000000001</v>
      </c>
      <c r="Q247" s="4">
        <f>ROUNDUP(MOD(P[Sun]+P[Moon],360)/13.333333333,2)</f>
        <v>24.810000000000002</v>
      </c>
      <c r="R247" s="4" t="str">
        <f>SIGN(U248-Panchanga!$U247)*INT(Panchanga!$U247/30+1)&amp;"Ma,"&amp;SIGN(V248-Panchanga!$V247)*INT(Panchanga!$V247/30+1)&amp;"Me,"&amp;SIGN(W248-Panchanga!$W247)*INT(Panchanga!$W247/30+1)&amp;"J, "&amp;SIGN(X248-Panchanga!$X247)*INT(Panchanga!$X247/30+1)&amp;"V,"&amp;SIGN(Y248-Panchanga!$Y247)*INT(Panchanga!$Y247/30+1)&amp;"S,"&amp;INT(Panchanga!$Z247/30+1)&amp;"R"</f>
        <v>6Ma,8Me,8J, 7V,9S,3R</v>
      </c>
      <c r="S247" s="4">
        <f t="shared" si="40"/>
        <v>187.16707914973753</v>
      </c>
      <c r="T247" s="4">
        <f t="shared" si="41"/>
        <v>143.60841806291759</v>
      </c>
      <c r="U247" s="4">
        <f>Planet(Panchanga!$E247,4)</f>
        <v>169.34201402416249</v>
      </c>
      <c r="V247" s="4">
        <f>Planet(Panchanga!$E247,2)</f>
        <v>210.95762279490762</v>
      </c>
      <c r="W247" s="4">
        <f>Planet(Panchanga!$E247,5)</f>
        <v>237.91927109740539</v>
      </c>
      <c r="X247" s="4">
        <f>Planet(Panchanga!$E247,3)</f>
        <v>206.14302343687854</v>
      </c>
      <c r="Y247" s="4">
        <f>Planet(Panchanga!$E247,6)</f>
        <v>260.86613311011968</v>
      </c>
      <c r="Z247" s="4">
        <f>Planet(Panchanga!$E247,10)</f>
        <v>77.709526584310836</v>
      </c>
      <c r="AA247" s="4" t="str">
        <f>TEXT(Panchanga!$C247+($C248-Panchanga!$C247)/ABS(IF($P248&lt;1,$P248+30,$P248)-Panchanga!$P247)*(ROUNDUP(Panchanga!$P247,0)-Panchanga!$P247),"hh:mm AM/PM")</f>
        <v>07:06 PM</v>
      </c>
      <c r="AB247" s="4"/>
    </row>
    <row r="248" spans="1:28" x14ac:dyDescent="0.2">
      <c r="A248" s="3">
        <f t="shared" si="43"/>
        <v>43764</v>
      </c>
      <c r="B248" s="3">
        <f t="shared" si="37"/>
        <v>43764.229166666664</v>
      </c>
      <c r="C248" s="15">
        <f t="shared" si="38"/>
        <v>43764.252091772076</v>
      </c>
      <c r="D248" s="15">
        <f t="shared" si="39"/>
        <v>43763.739246984522</v>
      </c>
      <c r="E248" s="17">
        <f>Panchanga!$C248-TimeZone/24</f>
        <v>43764.022925105412</v>
      </c>
      <c r="F248" s="18" t="str">
        <f>INT(P[Sun]/30)&amp;"s"&amp;ROUNDUP(MOD(P[Sun],30),2)</f>
        <v>6s8.17</v>
      </c>
      <c r="G248" s="18" t="str">
        <f>INT(P[Moon]/30)&amp;"s"&amp;ROUNDUP(MOD(P[Moon],30),2)</f>
        <v>5s8.51</v>
      </c>
      <c r="H248" s="14">
        <f t="shared" si="42"/>
        <v>43764.022925105412</v>
      </c>
      <c r="I248" s="4" t="str">
        <f>naks(P[[#This Row],[Moon]])</f>
        <v>Uttara Phalguni</v>
      </c>
      <c r="J248" s="15">
        <f>(C249-P[[#This Row],[SunRise]])/(T249-P[[#This Row],[Moon]])*(13.3333333333333-MOD(P[[#This Row],[Moon]],13.333333333333))+P[[#This Row],[SunRise]]</f>
        <v>43764.352031259143</v>
      </c>
      <c r="K248" s="4" t="str">
        <f>IF(Panchanga!$P248&gt;15,"K","S")&amp;ROUNDUP(MOD(Panchanga!$P248,15),0)&amp;" ("&amp;ROUND(Panchanga!$P248,2)&amp;")"</f>
        <v>K13 (27.53)</v>
      </c>
      <c r="L248" s="4">
        <f>IF(AND(Panchanga!$P248&lt;28.5,Panchanga!$P248&gt;0.49999),MOD((Panchanga!$P248-0.5)*2,7),MOD((Panchanga!$P248+30-28.5),30)*2+7)</f>
        <v>5.056599999999996</v>
      </c>
      <c r="M248" s="4" t="str">
        <f>CHOOSE(ROUNDUP(Panchanga!$L248,0),"Bhava","Baalava","Kaulava","Taitula","Garija","Vanija","Vishti","Shakuni","Chatushapda","Naaga","Kimstugna")</f>
        <v>Vanija</v>
      </c>
      <c r="N248" s="11" t="str">
        <f>CHOOSE(ROUNDUP(Panchanga!$Q248,0),"viṣkambha","prīti","āyuṣmāna","saubhāgya","śobhana","atigaṇḍa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("&amp;Panchanga!$Q248&amp;")"</f>
        <v>vaidhṛti (26.01)</v>
      </c>
      <c r="O248" s="4">
        <f>IF(AND(Panchanga!$P248&lt;28.5,Panchanga!$P248&gt;0.49999),MOD((Panchanga!$P248-0.5)*2,7),MOD((Panchanga!$P248+30-28.5),30)*2+7)</f>
        <v>5.056599999999996</v>
      </c>
      <c r="P248" s="4">
        <f>ROUNDUP(MOD(360+P[Moon]-P[Sun],360)/12,4)</f>
        <v>27.528299999999998</v>
      </c>
      <c r="Q248" s="4">
        <f>ROUNDUP(MOD(P[Sun]+P[Moon],360)/13.333333333,2)</f>
        <v>26.01</v>
      </c>
      <c r="R248" s="4" t="str">
        <f>SIGN(U249-Panchanga!$U248)*INT(Panchanga!$U248/30+1)&amp;"Ma,"&amp;SIGN(V249-Panchanga!$V248)*INT(Panchanga!$V248/30+1)&amp;"Me,"&amp;SIGN(W249-Panchanga!$W248)*INT(Panchanga!$W248/30+1)&amp;"J, "&amp;SIGN(X249-Panchanga!$X248)*INT(Panchanga!$X248/30+1)&amp;"V,"&amp;SIGN(Y249-Panchanga!$Y248)*INT(Panchanga!$Y248/30+1)&amp;"S,"&amp;INT(Panchanga!$Z248/30+1)&amp;"R"</f>
        <v>6Ma,8Me,8J, 7V,9S,3R</v>
      </c>
      <c r="S248" s="4">
        <f t="shared" si="40"/>
        <v>188.16407644554073</v>
      </c>
      <c r="T248" s="4">
        <f t="shared" si="41"/>
        <v>158.50328887483136</v>
      </c>
      <c r="U248" s="4">
        <f>Planet(Panchanga!$E248,4)</f>
        <v>169.99179821745531</v>
      </c>
      <c r="V248" s="4">
        <f>Planet(Panchanga!$E248,2)</f>
        <v>211.61737926988286</v>
      </c>
      <c r="W248" s="4">
        <f>Planet(Panchanga!$E248,5)</f>
        <v>238.10183188748411</v>
      </c>
      <c r="X248" s="4">
        <f>Planet(Panchanga!$E248,3)</f>
        <v>207.38609537049666</v>
      </c>
      <c r="Y248" s="4">
        <f>Planet(Panchanga!$E248,6)</f>
        <v>260.92461615186932</v>
      </c>
      <c r="Z248" s="4">
        <f>Planet(Panchanga!$E248,10)</f>
        <v>77.656526291595085</v>
      </c>
      <c r="AA248" s="4" t="str">
        <f>TEXT(Panchanga!$C248+($C249-Panchanga!$C248)/ABS(IF($P249&lt;1,$P249+30,$P249)-Panchanga!$P248)*(ROUNDUP(Panchanga!$P248,0)-Panchanga!$P248),"hh:mm AM/PM")</f>
        <v>03:46 PM</v>
      </c>
      <c r="AB248" s="4"/>
    </row>
    <row r="249" spans="1:28" x14ac:dyDescent="0.2">
      <c r="A249" s="3">
        <f t="shared" si="43"/>
        <v>43765</v>
      </c>
      <c r="B249" s="3">
        <f t="shared" si="37"/>
        <v>43765.229166666664</v>
      </c>
      <c r="C249" s="15">
        <f t="shared" si="38"/>
        <v>43765.252255327221</v>
      </c>
      <c r="D249" s="15">
        <f t="shared" si="39"/>
        <v>43764.738934338136</v>
      </c>
      <c r="E249" s="17">
        <f>Panchanga!$C249-TimeZone/24</f>
        <v>43765.023088660557</v>
      </c>
      <c r="F249" s="18" t="str">
        <f>INT(P[Sun]/30)&amp;"s"&amp;ROUNDUP(MOD(P[Sun],30),2)</f>
        <v>6s9.17</v>
      </c>
      <c r="G249" s="18" t="str">
        <f>INT(P[Moon]/30)&amp;"s"&amp;ROUNDUP(MOD(P[Moon],30),2)</f>
        <v>5s23.49</v>
      </c>
      <c r="H249" s="14">
        <f t="shared" si="42"/>
        <v>43765.023088660557</v>
      </c>
      <c r="I249" s="4" t="str">
        <f>naks(P[[#This Row],[Moon]])</f>
        <v>Chitra</v>
      </c>
      <c r="J249" s="15">
        <f>(C250-P[[#This Row],[SunRise]])/(T250-P[[#This Row],[Moon]])*(13.3333333333333-MOD(P[[#This Row],[Moon]],13.333333333333))+P[[#This Row],[SunRise]]</f>
        <v>43766.136850929273</v>
      </c>
      <c r="K249" s="4" t="str">
        <f>IF(Panchanga!$P249&gt;15,"K","S")&amp;ROUNDUP(MOD(Panchanga!$P249,15),0)&amp;" ("&amp;ROUND(Panchanga!$P249,2)&amp;")"</f>
        <v>K14 (28.69)</v>
      </c>
      <c r="L249" s="4">
        <f>IF(AND(Panchanga!$P249&lt;28.5,Panchanga!$P249&gt;0.49999),MOD((Panchanga!$P249-0.5)*2,7),MOD((Panchanga!$P249+30-28.5),30)*2+7)</f>
        <v>7.3867999999999938</v>
      </c>
      <c r="M249" s="4" t="str">
        <f>CHOOSE(ROUNDUP(Panchanga!$L249,0),"Bhava","Baalava","Kaulava","Taitula","Garija","Vanija","Vishti","Shakuni","Chatushapda","Naaga","Kimstugna")</f>
        <v>Shakuni</v>
      </c>
      <c r="N249" s="11" t="str">
        <f>CHOOSE(ROUNDUP(Panchanga!$Q249,0),"viṣkambha","prīti","āyuṣmāna","saubhāgya","śobhana","atigaṇḍa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("&amp;Panchanga!$Q249&amp;")"</f>
        <v>viṣkambha (0.2)</v>
      </c>
      <c r="O249" s="4">
        <f>IF(AND(Panchanga!$P249&lt;28.5,Panchanga!$P249&gt;0.49999),MOD((Panchanga!$P249-0.5)*2,7),MOD((Panchanga!$P249+30-28.5),30)*2+7)</f>
        <v>7.3867999999999938</v>
      </c>
      <c r="P249" s="4">
        <f>ROUNDUP(MOD(360+P[Moon]-P[Sun],360)/12,4)</f>
        <v>28.6934</v>
      </c>
      <c r="Q249" s="4">
        <f>ROUNDUP(MOD(P[Sun]+P[Moon],360)/13.333333333,2)</f>
        <v>0.2</v>
      </c>
      <c r="R249" s="4" t="str">
        <f>SIGN(U250-Panchanga!$U249)*INT(Panchanga!$U249/30+1)&amp;"Ma,"&amp;SIGN(V250-Panchanga!$V249)*INT(Panchanga!$V249/30+1)&amp;"Me,"&amp;SIGN(W250-Panchanga!$W249)*INT(Panchanga!$W249/30+1)&amp;"J, "&amp;SIGN(X250-Panchanga!$X249)*INT(Panchanga!$X249/30+1)&amp;"V,"&amp;SIGN(Y250-Panchanga!$Y249)*INT(Panchanga!$Y249/30+1)&amp;"S,"&amp;INT(Panchanga!$Z249/30+1)&amp;"R"</f>
        <v>6Ma,8Me,8J, 7V,9S,3R</v>
      </c>
      <c r="S249" s="4">
        <f t="shared" si="40"/>
        <v>189.16167357550182</v>
      </c>
      <c r="T249" s="4">
        <f t="shared" si="41"/>
        <v>173.48191207824206</v>
      </c>
      <c r="U249" s="4">
        <f>Planet(Panchanga!$E249,4)</f>
        <v>170.64190002380479</v>
      </c>
      <c r="V249" s="4">
        <f>Planet(Panchanga!$E249,2)</f>
        <v>212.19380200100071</v>
      </c>
      <c r="W249" s="4">
        <f>Planet(Panchanga!$E249,5)</f>
        <v>238.28591556684111</v>
      </c>
      <c r="X249" s="4">
        <f>Planet(Panchanga!$E249,3)</f>
        <v>208.62917571924743</v>
      </c>
      <c r="Y249" s="4">
        <f>Planet(Panchanga!$E249,6)</f>
        <v>260.98451793543575</v>
      </c>
      <c r="Z249" s="4">
        <f>Planet(Panchanga!$E249,10)</f>
        <v>77.603525628337323</v>
      </c>
      <c r="AA249" s="4" t="str">
        <f>TEXT(Panchanga!$C249+($C250-Panchanga!$C249)/ABS(IF($P250&lt;1,$P250+30,$P250)-Panchanga!$P249)*(ROUNDUP(Panchanga!$P249,0)-Panchanga!$P249),"hh:mm AM/PM")</f>
        <v>12:24 PM</v>
      </c>
      <c r="AB249" s="4"/>
    </row>
    <row r="250" spans="1:28" x14ac:dyDescent="0.2">
      <c r="A250" s="3">
        <f t="shared" si="43"/>
        <v>43766</v>
      </c>
      <c r="B250" s="3">
        <f t="shared" si="37"/>
        <v>43766.229166666664</v>
      </c>
      <c r="C250" s="15">
        <f t="shared" si="38"/>
        <v>43766.252425875668</v>
      </c>
      <c r="D250" s="15">
        <f t="shared" si="39"/>
        <v>43765.738631864588</v>
      </c>
      <c r="E250" s="17">
        <f>Panchanga!$C250-TimeZone/24</f>
        <v>43766.023259209003</v>
      </c>
      <c r="F250" s="18" t="str">
        <f>INT(P[Sun]/30)&amp;"s"&amp;ROUNDUP(MOD(P[Sun],30),2)</f>
        <v>6s10.16</v>
      </c>
      <c r="G250" s="18" t="str">
        <f>INT(P[Moon]/30)&amp;"s"&amp;ROUNDUP(MOD(P[Moon],30),2)</f>
        <v>6s8.39</v>
      </c>
      <c r="H250" s="14">
        <f t="shared" si="42"/>
        <v>43766.023259209003</v>
      </c>
      <c r="I250" s="4" t="str">
        <f>naks(P[[#This Row],[Moon]])</f>
        <v>Swati</v>
      </c>
      <c r="J250" s="15">
        <f>(C251-P[[#This Row],[SunRise]])/(T251-P[[#This Row],[Moon]])*(13.3333333333333-MOD(P[[#This Row],[Moon]],13.333333333333))+P[[#This Row],[SunRise]]</f>
        <v>43767.043366075864</v>
      </c>
      <c r="K250" s="4" t="str">
        <f>IF(Panchanga!$P250&gt;15,"K","S")&amp;ROUNDUP(MOD(Panchanga!$P250,15),0)&amp;" ("&amp;ROUND(Panchanga!$P250,2)&amp;")"</f>
        <v>K15 (29.85)</v>
      </c>
      <c r="L250" s="4">
        <f>IF(AND(Panchanga!$P250&lt;28.5,Panchanga!$P250&gt;0.49999),MOD((Panchanga!$P250-0.5)*2,7),MOD((Panchanga!$P250+30-28.5),30)*2+7)</f>
        <v>9.7049999999999983</v>
      </c>
      <c r="M250" s="4" t="str">
        <f>CHOOSE(ROUNDUP(Panchanga!$L250,0),"Bhava","Baalava","Kaulava","Taitula","Garija","Vanija","Vishti","Shakuni","Chatushapda","Naaga","Kimstugna")</f>
        <v>Naaga</v>
      </c>
      <c r="N250" s="11" t="str">
        <f>CHOOSE(ROUNDUP(Panchanga!$Q250,0),"viṣkambha","prīti","āyuṣmāna","saubhāgya","śobhana","atigaṇḍa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("&amp;Panchanga!$Q250&amp;")"</f>
        <v>prīti (1.4)</v>
      </c>
      <c r="O250" s="4">
        <f>IF(AND(Panchanga!$P250&lt;28.5,Panchanga!$P250&gt;0.49999),MOD((Panchanga!$P250-0.5)*2,7),MOD((Panchanga!$P250+30-28.5),30)*2+7)</f>
        <v>9.7049999999999983</v>
      </c>
      <c r="P250" s="4">
        <f>ROUNDUP(MOD(360+P[Moon]-P[Sun],360)/12,4)</f>
        <v>29.852499999999999</v>
      </c>
      <c r="Q250" s="4">
        <f>ROUNDUP(MOD(P[Sun]+P[Moon],360)/13.333333333,2)</f>
        <v>1.4</v>
      </c>
      <c r="R250" s="4" t="str">
        <f>SIGN(U251-Panchanga!$U250)*INT(Panchanga!$U250/30+1)&amp;"Ma,"&amp;SIGN(V251-Panchanga!$V250)*INT(Panchanga!$V250/30+1)&amp;"Me,"&amp;SIGN(W251-Panchanga!$W250)*INT(Panchanga!$W250/30+1)&amp;"J, "&amp;SIGN(X251-Panchanga!$X250)*INT(Panchanga!$X250/30+1)&amp;"V,"&amp;SIGN(Y251-Panchanga!$Y250)*INT(Panchanga!$Y250/30+1)&amp;"S,"&amp;INT(Panchanga!$Z250/30+1)&amp;"R"</f>
        <v>6Ma,8Me,8J, 7V,9S,3R</v>
      </c>
      <c r="S250" s="4">
        <f t="shared" si="40"/>
        <v>190.15984703799219</v>
      </c>
      <c r="T250" s="4">
        <f t="shared" si="41"/>
        <v>188.38929257751812</v>
      </c>
      <c r="U250" s="4">
        <f>Planet(Panchanga!$E250,4)</f>
        <v>171.29231207128333</v>
      </c>
      <c r="V250" s="4">
        <f>Planet(Panchanga!$E250,2)</f>
        <v>212.67813765590333</v>
      </c>
      <c r="W250" s="4">
        <f>Planet(Panchanga!$E250,5)</f>
        <v>238.47149535451578</v>
      </c>
      <c r="X250" s="4">
        <f>Planet(Panchanga!$E250,3)</f>
        <v>209.87225227139595</v>
      </c>
      <c r="Y250" s="4">
        <f>Planet(Panchanga!$E250,6)</f>
        <v>261.04582582368351</v>
      </c>
      <c r="Z250" s="4">
        <f>Planet(Panchanga!$E250,10)</f>
        <v>77.550524594471369</v>
      </c>
      <c r="AA250" s="4" t="str">
        <f>TEXT(Panchanga!$C250+($C251-Panchanga!$C250)/ABS(IF($P251&lt;1,$P251+30,$P251)-Panchanga!$P250)*(ROUNDUP(Panchanga!$P250,0)-Panchanga!$P250),"hh:mm AM/PM")</f>
        <v>09:09 AM</v>
      </c>
      <c r="AB250" s="4"/>
    </row>
    <row r="251" spans="1:28" x14ac:dyDescent="0.2">
      <c r="A251" s="3">
        <f t="shared" si="43"/>
        <v>43767</v>
      </c>
      <c r="B251" s="3">
        <f t="shared" si="37"/>
        <v>43767.229166666664</v>
      </c>
      <c r="C251" s="15">
        <f t="shared" si="38"/>
        <v>43767.25260325909</v>
      </c>
      <c r="D251" s="15">
        <f t="shared" si="39"/>
        <v>43766.7383397222</v>
      </c>
      <c r="E251" s="17">
        <f>Panchanga!$C251-TimeZone/24</f>
        <v>43767.023436592426</v>
      </c>
      <c r="F251" s="18" t="str">
        <f>INT(P[Sun]/30)&amp;"s"&amp;ROUNDUP(MOD(P[Sun],30),2)</f>
        <v>6s11.16</v>
      </c>
      <c r="G251" s="18" t="str">
        <f>INT(P[Moon]/30)&amp;"s"&amp;ROUNDUP(MOD(P[Moon],30),2)</f>
        <v>6s23.08</v>
      </c>
      <c r="H251" s="14">
        <f t="shared" si="42"/>
        <v>43767.023436592426</v>
      </c>
      <c r="I251" s="4" t="str">
        <f>naks(P[[#This Row],[Moon]])</f>
        <v>Visakha</v>
      </c>
      <c r="J251" s="15">
        <f>(C252-P[[#This Row],[SunRise]])/(T252-P[[#This Row],[Moon]])*(13.3333333333333-MOD(P[[#This Row],[Moon]],13.333333333333))+P[[#This Row],[SunRise]]</f>
        <v>43767.968795323744</v>
      </c>
      <c r="K251" s="4" t="str">
        <f>IF(Panchanga!$P251&gt;15,"K","S")&amp;ROUNDUP(MOD(Panchanga!$P251,15),0)&amp;" ("&amp;ROUND(Panchanga!$P251,2)&amp;")"</f>
        <v>S1 (0.99)</v>
      </c>
      <c r="L251" s="4">
        <f>IF(AND(Panchanga!$P251&lt;28.5,Panchanga!$P251&gt;0.49999),MOD((Panchanga!$P251-0.5)*2,7),MOD((Panchanga!$P251+30-28.5),30)*2+7)</f>
        <v>0.98560000000000003</v>
      </c>
      <c r="M251" s="4" t="str">
        <f>CHOOSE(ROUNDUP(Panchanga!$L251,0),"Bhava","Baalava","Kaulava","Taitula","Garija","Vanija","Vishti","Shakuni","Chatushapda","Naaga","Kimstugna")</f>
        <v>Bhava</v>
      </c>
      <c r="N251" s="11" t="str">
        <f>CHOOSE(ROUNDUP(Panchanga!$Q251,0),"viṣkambha","prīti","āyuṣmāna","saubhāgya","śobhana","atigaṇḍa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("&amp;Panchanga!$Q251&amp;")"</f>
        <v>āyuṣmāna (2.57)</v>
      </c>
      <c r="O251" s="4">
        <f>IF(AND(Panchanga!$P251&lt;28.5,Panchanga!$P251&gt;0.49999),MOD((Panchanga!$P251-0.5)*2,7),MOD((Panchanga!$P251+30-28.5),30)*2+7)</f>
        <v>0.98560000000000003</v>
      </c>
      <c r="P251" s="4">
        <f>ROUNDUP(MOD(360+P[Moon]-P[Sun],360)/12,4)</f>
        <v>0.99280000000000002</v>
      </c>
      <c r="Q251" s="4">
        <f>ROUNDUP(MOD(P[Sun]+P[Moon],360)/13.333333333,2)</f>
        <v>2.57</v>
      </c>
      <c r="R251" s="4" t="str">
        <f>SIGN(U252-Panchanga!$U251)*INT(Panchanga!$U251/30+1)&amp;"Ma,"&amp;SIGN(V252-Panchanga!$V251)*INT(Panchanga!$V251/30+1)&amp;"Me,"&amp;SIGN(W252-Panchanga!$W251)*INT(Panchanga!$W251/30+1)&amp;"J, "&amp;SIGN(X252-Panchanga!$X251)*INT(Panchanga!$X251/30+1)&amp;"V,"&amp;SIGN(Y252-Panchanga!$Y251)*INT(Panchanga!$Y251/30+1)&amp;"S,"&amp;INT(Panchanga!$Z251/30+1)&amp;"R"</f>
        <v>6Ma,8Me,8J, 8V,9S,3R</v>
      </c>
      <c r="S251" s="4">
        <f t="shared" si="40"/>
        <v>191.15857151936677</v>
      </c>
      <c r="T251" s="4">
        <f t="shared" si="41"/>
        <v>203.07152388482328</v>
      </c>
      <c r="U251" s="4">
        <f>Planet(Panchanga!$E251,4)</f>
        <v>171.94302699747195</v>
      </c>
      <c r="V251" s="4">
        <f>Planet(Panchanga!$E251,2)</f>
        <v>213.06095934619535</v>
      </c>
      <c r="W251" s="4">
        <f>Planet(Panchanga!$E251,5)</f>
        <v>238.6585433861386</v>
      </c>
      <c r="X251" s="4">
        <f>Planet(Panchanga!$E251,3)</f>
        <v>211.11531050574317</v>
      </c>
      <c r="Y251" s="4">
        <f>Planet(Panchanga!$E251,6)</f>
        <v>261.10852617886928</v>
      </c>
      <c r="Z251" s="4">
        <f>Planet(Panchanga!$E251,10)</f>
        <v>77.497523198397531</v>
      </c>
      <c r="AA251" s="4" t="str">
        <f>TEXT(Panchanga!$C251+($C252-Panchanga!$C251)/ABS(IF($P252&lt;1,$P252+30,$P252)-Panchanga!$P251)*(ROUNDUP(Panchanga!$P251,0)-Panchanga!$P251),"hh:mm AM/PM")</f>
        <v>06:13 AM</v>
      </c>
      <c r="AB251" s="4"/>
    </row>
    <row r="252" spans="1:28" x14ac:dyDescent="0.2">
      <c r="A252" s="3">
        <f t="shared" si="43"/>
        <v>43768</v>
      </c>
      <c r="B252" s="3">
        <f t="shared" si="37"/>
        <v>43768.229166666664</v>
      </c>
      <c r="C252" s="15">
        <f t="shared" si="38"/>
        <v>43768.25278747749</v>
      </c>
      <c r="D252" s="15">
        <f t="shared" si="39"/>
        <v>43767.738058070696</v>
      </c>
      <c r="E252" s="17">
        <f>Panchanga!$C252-TimeZone/24</f>
        <v>43768.023620810825</v>
      </c>
      <c r="F252" s="18" t="str">
        <f>INT(P[Sun]/30)&amp;"s"&amp;ROUNDUP(MOD(P[Sun],30),2)</f>
        <v>6s12.16</v>
      </c>
      <c r="G252" s="18" t="str">
        <f>INT(P[Moon]/30)&amp;"s"&amp;ROUNDUP(MOD(P[Moon],30),2)</f>
        <v>7s7.41</v>
      </c>
      <c r="H252" s="14">
        <f t="shared" si="42"/>
        <v>43768.023620810825</v>
      </c>
      <c r="I252" s="4" t="str">
        <f>naks(P[[#This Row],[Moon]])</f>
        <v>Anuradha</v>
      </c>
      <c r="J252" s="15">
        <f>(C253-P[[#This Row],[SunRise]])/(T253-P[[#This Row],[Moon]])*(13.3333333333333-MOD(P[[#This Row],[Moon]],13.333333333333))+P[[#This Row],[SunRise]]</f>
        <v>43768.919429780348</v>
      </c>
      <c r="K252" s="4" t="str">
        <f>IF(Panchanga!$P252&gt;15,"K","S")&amp;ROUNDUP(MOD(Panchanga!$P252,15),0)&amp;" ("&amp;ROUND(Panchanga!$P252,2)&amp;")"</f>
        <v>S3 (2.1)</v>
      </c>
      <c r="L252" s="4">
        <f>IF(AND(Panchanga!$P252&lt;28.5,Panchanga!$P252&gt;0.49999),MOD((Panchanga!$P252-0.5)*2,7),MOD((Panchanga!$P252+30-28.5),30)*2+7)</f>
        <v>3.2076000000000002</v>
      </c>
      <c r="M252" s="4" t="str">
        <f>CHOOSE(ROUNDUP(Panchanga!$L252,0),"Bhava","Baalava","Kaulava","Taitula","Garija","Vanija","Vishti","Shakuni","Chatushapda","Naaga","Kimstugna")</f>
        <v>Taitula</v>
      </c>
      <c r="N252" s="11" t="str">
        <f>CHOOSE(ROUNDUP(Panchanga!$Q252,0),"viṣkambha","prīti","āyuṣmāna","saubhāgya","śobhana","atigaṇḍa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("&amp;Panchanga!$Q252&amp;")"</f>
        <v>saubhāgya (3.72)</v>
      </c>
      <c r="O252" s="4">
        <f>IF(AND(Panchanga!$P252&lt;28.5,Panchanga!$P252&gt;0.49999),MOD((Panchanga!$P252-0.5)*2,7),MOD((Panchanga!$P252+30-28.5),30)*2+7)</f>
        <v>3.2076000000000002</v>
      </c>
      <c r="P252" s="4">
        <f>ROUNDUP(MOD(360+P[Moon]-P[Sun],360)/12,4)</f>
        <v>2.1038000000000001</v>
      </c>
      <c r="Q252" s="4">
        <f>ROUNDUP(MOD(P[Sun]+P[Moon],360)/13.333333333,2)</f>
        <v>3.7199999999999998</v>
      </c>
      <c r="R252" s="4" t="str">
        <f>SIGN(U253-Panchanga!$U252)*INT(Panchanga!$U252/30+1)&amp;"Ma,"&amp;SIGN(V253-Panchanga!$V252)*INT(Panchanga!$V252/30+1)&amp;"Me,"&amp;SIGN(W253-Panchanga!$W252)*INT(Panchanga!$W252/30+1)&amp;"J, "&amp;SIGN(X253-Panchanga!$X252)*INT(Panchanga!$X252/30+1)&amp;"V,"&amp;SIGN(Y253-Panchanga!$Y252)*INT(Panchanga!$Y252/30+1)&amp;"S,"&amp;INT(Panchanga!$Z252/30+1)&amp;"R"</f>
        <v>6Ma,8Me,8J, 8V,9S,3R</v>
      </c>
      <c r="S252" s="4">
        <f t="shared" si="40"/>
        <v>192.15782222495125</v>
      </c>
      <c r="T252" s="4">
        <f t="shared" si="41"/>
        <v>217.40245600372438</v>
      </c>
      <c r="U252" s="4">
        <f>Planet(Panchanga!$E252,4)</f>
        <v>172.59403847927697</v>
      </c>
      <c r="V252" s="4">
        <f>Planet(Panchanga!$E252,2)</f>
        <v>213.33228939640153</v>
      </c>
      <c r="W252" s="4">
        <f>Planet(Panchanga!$E252,5)</f>
        <v>238.84703104775977</v>
      </c>
      <c r="X252" s="4">
        <f>Planet(Panchanga!$E252,3)</f>
        <v>212.35833506869861</v>
      </c>
      <c r="Y252" s="4">
        <f>Planet(Panchanga!$E252,6)</f>
        <v>261.17260446066643</v>
      </c>
      <c r="Z252" s="4">
        <f>Planet(Panchanga!$E252,10)</f>
        <v>77.444521440115835</v>
      </c>
      <c r="AA252" s="4" t="str">
        <f>TEXT(Panchanga!$C252+($C253-Panchanga!$C252)/ABS(IF($P253&lt;1,$P253+30,$P253)-Panchanga!$P252)*(ROUNDUP(Panchanga!$P252,0)-Panchanga!$P252),"hh:mm AM/PM")</f>
        <v>02:04 AM</v>
      </c>
      <c r="AB252" s="4"/>
    </row>
    <row r="253" spans="1:28" x14ac:dyDescent="0.2">
      <c r="A253" s="3">
        <f t="shared" si="43"/>
        <v>43769</v>
      </c>
      <c r="B253" s="3">
        <f t="shared" si="37"/>
        <v>43769.229166666664</v>
      </c>
      <c r="C253" s="15">
        <f t="shared" si="38"/>
        <v>43769.25297868919</v>
      </c>
      <c r="D253" s="15">
        <f t="shared" si="39"/>
        <v>43768.73778722719</v>
      </c>
      <c r="E253" s="17">
        <f>Panchanga!$C253-TimeZone/24</f>
        <v>43769.023812022526</v>
      </c>
      <c r="F253" s="18" t="str">
        <f>INT(P[Sun]/30)&amp;"s"&amp;ROUNDUP(MOD(P[Sun],30),2)</f>
        <v>6s13.16</v>
      </c>
      <c r="G253" s="18" t="str">
        <f>INT(P[Moon]/30)&amp;"s"&amp;ROUNDUP(MOD(P[Moon],30),2)</f>
        <v>7s21.31</v>
      </c>
      <c r="H253" s="14">
        <f t="shared" si="42"/>
        <v>43769.023812022526</v>
      </c>
      <c r="I253" s="4" t="str">
        <f>naks(P[[#This Row],[Moon]])</f>
        <v>Jyestha</v>
      </c>
      <c r="J253" s="15">
        <f>(C254-P[[#This Row],[SunRise]])/(T254-P[[#This Row],[Moon]])*(13.3333333333333-MOD(P[[#This Row],[Moon]],13.333333333333))+P[[#This Row],[SunRise]]</f>
        <v>43769.900314371684</v>
      </c>
      <c r="K253" s="4" t="str">
        <f>IF(Panchanga!$P253&gt;15,"K","S")&amp;ROUNDUP(MOD(Panchanga!$P253,15),0)&amp;" ("&amp;ROUND(Panchanga!$P253,2)&amp;")"</f>
        <v>S4 (3.18)</v>
      </c>
      <c r="L253" s="4">
        <f>IF(AND(Panchanga!$P253&lt;28.5,Panchanga!$P253&gt;0.49999),MOD((Panchanga!$P253-0.5)*2,7),MOD((Panchanga!$P253+30-28.5),30)*2+7)</f>
        <v>5.3574000000000002</v>
      </c>
      <c r="M253" s="4" t="str">
        <f>CHOOSE(ROUNDUP(Panchanga!$L253,0),"Bhava","Baalava","Kaulava","Taitula","Garija","Vanija","Vishti","Shakuni","Chatushapda","Naaga","Kimstugna")</f>
        <v>Vanija</v>
      </c>
      <c r="N253" s="11" t="str">
        <f>CHOOSE(ROUNDUP(Panchanga!$Q253,0),"viṣkambha","prīti","āyuṣmāna","saubhāgya","śobhana","atigaṇḍa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("&amp;Panchanga!$Q253&amp;")"</f>
        <v>śobhana (4.84)</v>
      </c>
      <c r="O253" s="4">
        <f>IF(AND(Panchanga!$P253&lt;28.5,Panchanga!$P253&gt;0.49999),MOD((Panchanga!$P253-0.5)*2,7),MOD((Panchanga!$P253+30-28.5),30)*2+7)</f>
        <v>5.3574000000000002</v>
      </c>
      <c r="P253" s="4">
        <f>ROUNDUP(MOD(360+P[Moon]-P[Sun],360)/12,4)</f>
        <v>3.1787000000000001</v>
      </c>
      <c r="Q253" s="4">
        <f>ROUNDUP(MOD(P[Sun]+P[Moon],360)/13.333333333,2)</f>
        <v>4.84</v>
      </c>
      <c r="R253" s="4" t="str">
        <f>SIGN(U254-Panchanga!$U253)*INT(Panchanga!$U253/30+1)&amp;"Ma,"&amp;SIGN(V254-Panchanga!$V253)*INT(Panchanga!$V253/30+1)&amp;"Me,"&amp;SIGN(W254-Panchanga!$W253)*INT(Panchanga!$W253/30+1)&amp;"J, "&amp;SIGN(X254-Panchanga!$X253)*INT(Panchanga!$X253/30+1)&amp;"V,"&amp;SIGN(Y254-Panchanga!$Y253)*INT(Panchanga!$Y253/30+1)&amp;"S,"&amp;INT(Panchanga!$Z253/30+1)&amp;"R"</f>
        <v>6Ma,8Me,8J, 8V,9S,3R</v>
      </c>
      <c r="S253" s="4">
        <f t="shared" si="40"/>
        <v>193.15757670579956</v>
      </c>
      <c r="T253" s="4">
        <f t="shared" si="41"/>
        <v>231.30193710279698</v>
      </c>
      <c r="U253" s="4">
        <f>Planet(Panchanga!$E253,4)</f>
        <v>173.24534187584806</v>
      </c>
      <c r="V253" s="4">
        <f>Planet(Panchanga!$E253,2)</f>
        <v>213.48181249554119</v>
      </c>
      <c r="W253" s="4">
        <f>Planet(Panchanga!$E253,5)</f>
        <v>239.03692935088674</v>
      </c>
      <c r="X253" s="4">
        <f>Planet(Panchanga!$E253,3)</f>
        <v>213.60131092931519</v>
      </c>
      <c r="Y253" s="4">
        <f>Planet(Panchanga!$E253,6)</f>
        <v>261.23804539327131</v>
      </c>
      <c r="Z253" s="4">
        <f>Planet(Panchanga!$E253,10)</f>
        <v>77.391519311292171</v>
      </c>
      <c r="AA253" s="4" t="str">
        <f>TEXT(Panchanga!$C253+($C254-Panchanga!$C253)/ABS(IF($P254&lt;1,$P254+30,$P254)-Panchanga!$P253)*(ROUNDUP(Panchanga!$P253,0)-Panchanga!$P253),"hh:mm AM/PM")</f>
        <v>01:05 AM</v>
      </c>
      <c r="AB253" s="4"/>
    </row>
    <row r="254" spans="1:28" x14ac:dyDescent="0.2">
      <c r="A254" s="3">
        <f t="shared" si="43"/>
        <v>43770</v>
      </c>
      <c r="B254" s="3">
        <f t="shared" si="37"/>
        <v>43770.229166666664</v>
      </c>
      <c r="C254" s="15">
        <f t="shared" si="38"/>
        <v>43770.253176894192</v>
      </c>
      <c r="D254" s="15">
        <f t="shared" si="39"/>
        <v>43769.737527032892</v>
      </c>
      <c r="E254" s="17">
        <f>Panchanga!$C254-TimeZone/24</f>
        <v>43770.024010227527</v>
      </c>
      <c r="F254" s="18" t="str">
        <f>INT(P[Sun]/30)&amp;"s"&amp;ROUNDUP(MOD(P[Sun],30),2)</f>
        <v>6s14.16</v>
      </c>
      <c r="G254" s="18" t="str">
        <f>INT(P[Moon]/30)&amp;"s"&amp;ROUNDUP(MOD(P[Moon],30),2)</f>
        <v>8s4.75</v>
      </c>
      <c r="H254" s="14">
        <f t="shared" si="42"/>
        <v>43770.024010227527</v>
      </c>
      <c r="I254" s="4" t="str">
        <f>naks(P[[#This Row],[Moon]])</f>
        <v>Moola</v>
      </c>
      <c r="J254" s="15">
        <f>(C255-P[[#This Row],[SunRise]])/(T255-P[[#This Row],[Moon]])*(13.3333333333333-MOD(P[[#This Row],[Moon]],13.333333333333))+P[[#This Row],[SunRise]]</f>
        <v>43770.914412391401</v>
      </c>
      <c r="K254" s="4" t="str">
        <f>IF(Panchanga!$P254&gt;15,"K","S")&amp;ROUNDUP(MOD(Panchanga!$P254,15),0)&amp;" ("&amp;ROUND(Panchanga!$P254,2)&amp;")"</f>
        <v>S5 (4.22)</v>
      </c>
      <c r="L254" s="4">
        <f>IF(AND(Panchanga!$P254&lt;28.5,Panchanga!$P254&gt;0.49999),MOD((Panchanga!$P254-0.5)*2,7),MOD((Panchanga!$P254+30-28.5),30)*2+7)</f>
        <v>0.43060000000000009</v>
      </c>
      <c r="M254" s="4" t="str">
        <f>CHOOSE(ROUNDUP(Panchanga!$L254,0),"Bhava","Baalava","Kaulava","Taitula","Garija","Vanija","Vishti","Shakuni","Chatushapda","Naaga","Kimstugna")</f>
        <v>Bhava</v>
      </c>
      <c r="N254" s="11" t="str">
        <f>CHOOSE(ROUNDUP(Panchanga!$Q254,0),"viṣkambha","prīti","āyuṣmāna","saubhāgya","śobhana","atigaṇḍa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("&amp;Panchanga!$Q254&amp;")"</f>
        <v>atigaṇḍa  (5.92)</v>
      </c>
      <c r="O254" s="4">
        <f>IF(AND(Panchanga!$P254&lt;28.5,Panchanga!$P254&gt;0.49999),MOD((Panchanga!$P254-0.5)*2,7),MOD((Panchanga!$P254+30-28.5),30)*2+7)</f>
        <v>0.43060000000000009</v>
      </c>
      <c r="P254" s="4">
        <f>ROUNDUP(MOD(360+P[Moon]-P[Sun],360)/12,4)</f>
        <v>4.2153</v>
      </c>
      <c r="Q254" s="4">
        <f>ROUNDUP(MOD(P[Sun]+P[Moon],360)/13.333333333,2)</f>
        <v>5.92</v>
      </c>
      <c r="R254" s="4" t="str">
        <f>SIGN(U255-Panchanga!$U254)*INT(Panchanga!$U254/30+1)&amp;"Ma,"&amp;SIGN(V255-Panchanga!$V254)*INT(Panchanga!$V254/30+1)&amp;"Me,"&amp;SIGN(W255-Panchanga!$W254)*INT(Panchanga!$W254/30+1)&amp;"J, "&amp;SIGN(X255-Panchanga!$X254)*INT(Panchanga!$X254/30+1)&amp;"V,"&amp;SIGN(Y255-Panchanga!$Y254)*INT(Panchanga!$Y254/30+1)&amp;"S,"&amp;INT(Panchanga!$Z254/30+1)&amp;"R"</f>
        <v>6Ma,-8Me,8J, 8V,9S,3R</v>
      </c>
      <c r="S254" s="4">
        <f t="shared" si="40"/>
        <v>194.1578158224668</v>
      </c>
      <c r="T254" s="4">
        <f t="shared" si="41"/>
        <v>244.74131196202097</v>
      </c>
      <c r="U254" s="4">
        <f>Planet(Panchanga!$E254,4)</f>
        <v>173.89693436884477</v>
      </c>
      <c r="V254" s="4">
        <f>Planet(Panchanga!$E254,2)</f>
        <v>213.49920896198236</v>
      </c>
      <c r="W254" s="4">
        <f>Planet(Panchanga!$E254,5)</f>
        <v>239.22820926642348</v>
      </c>
      <c r="X254" s="4">
        <f>Planet(Panchanga!$E254,3)</f>
        <v>214.8442239728866</v>
      </c>
      <c r="Y254" s="4">
        <f>Planet(Panchanga!$E254,6)</f>
        <v>261.3048331584672</v>
      </c>
      <c r="Z254" s="4">
        <f>Planet(Panchanga!$E254,10)</f>
        <v>77.338516811860259</v>
      </c>
      <c r="AA254" s="4" t="str">
        <f>TEXT(Panchanga!$C254+($C255-Panchanga!$C254)/ABS(IF($P255&lt;1,$P255+30,$P255)-Panchanga!$P254)*(ROUNDUP(Panchanga!$P254,0)-Panchanga!$P254),"hh:mm AM/PM")</f>
        <v>12:55 AM</v>
      </c>
      <c r="AB254" s="4"/>
    </row>
    <row r="255" spans="1:28" x14ac:dyDescent="0.2">
      <c r="A255" s="3">
        <f t="shared" si="43"/>
        <v>43771</v>
      </c>
      <c r="B255" s="3">
        <f t="shared" si="37"/>
        <v>43771.229166666664</v>
      </c>
      <c r="C255" s="15">
        <f t="shared" si="38"/>
        <v>43771.25338193417</v>
      </c>
      <c r="D255" s="15">
        <f t="shared" si="39"/>
        <v>43770.737278123896</v>
      </c>
      <c r="E255" s="17">
        <f>Panchanga!$C255-TimeZone/24</f>
        <v>43771.024215267505</v>
      </c>
      <c r="F255" s="18" t="str">
        <f>INT(P[Sun]/30)&amp;"s"&amp;ROUNDUP(MOD(P[Sun],30),2)</f>
        <v>6s15.16</v>
      </c>
      <c r="G255" s="18" t="str">
        <f>INT(P[Moon]/30)&amp;"s"&amp;ROUNDUP(MOD(P[Moon],30),2)</f>
        <v>8s17.74</v>
      </c>
      <c r="H255" s="14">
        <f t="shared" si="42"/>
        <v>43771.024215267505</v>
      </c>
      <c r="I255" s="4" t="str">
        <f>naks(P[[#This Row],[Moon]])</f>
        <v>Purva Asadha</v>
      </c>
      <c r="J255" s="15">
        <f>(C256-P[[#This Row],[SunRise]])/(T256-P[[#This Row],[Moon]])*(13.3333333333333-MOD(P[[#This Row],[Moon]],13.333333333333))+P[[#This Row],[SunRise]]</f>
        <v>43771.961857081027</v>
      </c>
      <c r="K255" s="4" t="str">
        <f>IF(Panchanga!$P255&gt;15,"K","S")&amp;ROUNDUP(MOD(Panchanga!$P255,15),0)&amp;" ("&amp;ROUND(Panchanga!$P255,2)&amp;")"</f>
        <v>S6 (5.22)</v>
      </c>
      <c r="L255" s="4">
        <f>IF(AND(Panchanga!$P255&lt;28.5,Panchanga!$P255&gt;0.49999),MOD((Panchanga!$P255-0.5)*2,7),MOD((Panchanga!$P255+30-28.5),30)*2+7)</f>
        <v>2.4299999999999997</v>
      </c>
      <c r="M255" s="4" t="str">
        <f>CHOOSE(ROUNDUP(Panchanga!$L255,0),"Bhava","Baalava","Kaulava","Taitula","Garija","Vanija","Vishti","Shakuni","Chatushapda","Naaga","Kimstugna")</f>
        <v>Kaulava</v>
      </c>
      <c r="N255" s="11" t="str">
        <f>CHOOSE(ROUNDUP(Panchanga!$Q255,0),"viṣkambha","prīti","āyuṣmāna","saubhāgya","śobhana","atigaṇḍa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("&amp;Panchanga!$Q255&amp;")"</f>
        <v>sukarmā  (6.97)</v>
      </c>
      <c r="O255" s="4">
        <f>IF(AND(Panchanga!$P255&lt;28.5,Panchanga!$P255&gt;0.49999),MOD((Panchanga!$P255-0.5)*2,7),MOD((Panchanga!$P255+30-28.5),30)*2+7)</f>
        <v>2.4299999999999997</v>
      </c>
      <c r="P255" s="4">
        <f>ROUNDUP(MOD(360+P[Moon]-P[Sun],360)/12,4)</f>
        <v>5.2149999999999999</v>
      </c>
      <c r="Q255" s="4">
        <f>ROUNDUP(MOD(P[Sun]+P[Moon],360)/13.333333333,2)</f>
        <v>6.97</v>
      </c>
      <c r="R255" s="4" t="str">
        <f>SIGN(U256-Panchanga!$U255)*INT(Panchanga!$U255/30+1)&amp;"Ma,"&amp;SIGN(V256-Panchanga!$V255)*INT(Panchanga!$V255/30+1)&amp;"Me,"&amp;SIGN(W256-Panchanga!$W255)*INT(Panchanga!$W255/30+1)&amp;"J, "&amp;SIGN(X256-Panchanga!$X255)*INT(Panchanga!$X255/30+1)&amp;"V,"&amp;SIGN(Y256-Panchanga!$Y255)*INT(Panchanga!$Y255/30+1)&amp;"S,"&amp;INT(Panchanga!$Z255/30+1)&amp;"R"</f>
        <v>6Ma,-8Me,8J, 8V,9S,3R</v>
      </c>
      <c r="S255" s="4">
        <f t="shared" si="40"/>
        <v>195.1585242918585</v>
      </c>
      <c r="T255" s="4">
        <f t="shared" si="41"/>
        <v>257.73786631440424</v>
      </c>
      <c r="U255" s="4">
        <f>Planet(Panchanga!$E255,4)</f>
        <v>174.54881498370796</v>
      </c>
      <c r="V255" s="4">
        <f>Planet(Panchanga!$E255,2)</f>
        <v>213.37464056571926</v>
      </c>
      <c r="W255" s="4">
        <f>Planet(Panchanga!$E255,5)</f>
        <v>239.4208420510538</v>
      </c>
      <c r="X255" s="4">
        <f>Planet(Panchanga!$E255,3)</f>
        <v>216.08706162955286</v>
      </c>
      <c r="Y255" s="4">
        <f>Planet(Panchanga!$E255,6)</f>
        <v>261.37295161322982</v>
      </c>
      <c r="Z255" s="4">
        <f>Planet(Panchanga!$E255,10)</f>
        <v>77.285513950220604</v>
      </c>
      <c r="AA255" s="4" t="str">
        <f>TEXT(Panchanga!$C255+($C256-Panchanga!$C255)/ABS(IF($P256&lt;1,$P256+30,$P256)-Panchanga!$P255)*(ROUNDUP(Panchanga!$P255,0)-Panchanga!$P255),"hh:mm AM/PM")</f>
        <v>01:34 AM</v>
      </c>
      <c r="AB255" s="4"/>
    </row>
    <row r="256" spans="1:28" x14ac:dyDescent="0.2">
      <c r="A256" s="3">
        <f t="shared" si="43"/>
        <v>43772</v>
      </c>
      <c r="B256" s="3">
        <f t="shared" si="37"/>
        <v>43772.229166666664</v>
      </c>
      <c r="C256" s="15">
        <f t="shared" si="38"/>
        <v>43772.253593967915</v>
      </c>
      <c r="D256" s="15">
        <f t="shared" si="39"/>
        <v>43771.737040182154</v>
      </c>
      <c r="E256" s="17">
        <f>Panchanga!$C256-TimeZone/24</f>
        <v>43772.02442730125</v>
      </c>
      <c r="F256" s="18" t="str">
        <f>INT(P[Sun]/30)&amp;"s"&amp;ROUNDUP(MOD(P[Sun],30),2)</f>
        <v>6s16.16</v>
      </c>
      <c r="G256" s="18" t="str">
        <f>INT(P[Moon]/30)&amp;"s"&amp;ROUNDUP(MOD(P[Moon],30),2)</f>
        <v>9s0.35</v>
      </c>
      <c r="H256" s="14">
        <f t="shared" si="42"/>
        <v>43772.02442730125</v>
      </c>
      <c r="I256" s="4" t="str">
        <f>naks(P[[#This Row],[Moon]])</f>
        <v>Uttara Asadha</v>
      </c>
      <c r="J256" s="15">
        <f>(C257-P[[#This Row],[SunRise]])/(T257-P[[#This Row],[Moon]])*(13.3333333333333-MOD(P[[#This Row],[Moon]],13.333333333333))+P[[#This Row],[SunRise]]</f>
        <v>43773.039604902944</v>
      </c>
      <c r="K256" s="4" t="str">
        <f>IF(Panchanga!$P256&gt;15,"K","S")&amp;ROUNDUP(MOD(Panchanga!$P256,15),0)&amp;" ("&amp;ROUND(Panchanga!$P256,2)&amp;")"</f>
        <v>S7 (6.18)</v>
      </c>
      <c r="L256" s="4">
        <f>IF(AND(Panchanga!$P256&lt;28.5,Panchanga!$P256&gt;0.49999),MOD((Panchanga!$P256-0.5)*2,7),MOD((Panchanga!$P256+30-28.5),30)*2+7)</f>
        <v>4.363999999999999</v>
      </c>
      <c r="M256" s="4" t="str">
        <f>CHOOSE(ROUNDUP(Panchanga!$L256,0),"Bhava","Baalava","Kaulava","Taitula","Garija","Vanija","Vishti","Shakuni","Chatushapda","Naaga","Kimstugna")</f>
        <v>Garija</v>
      </c>
      <c r="N256" s="11" t="str">
        <f>CHOOSE(ROUNDUP(Panchanga!$Q256,0),"viṣkambha","prīti","āyuṣmāna","saubhāgya","śobhana","atigaṇḍa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("&amp;Panchanga!$Q256&amp;")"</f>
        <v>dhṛti  (7.99)</v>
      </c>
      <c r="O256" s="4">
        <f>IF(AND(Panchanga!$P256&lt;28.5,Panchanga!$P256&gt;0.49999),MOD((Panchanga!$P256-0.5)*2,7),MOD((Panchanga!$P256+30-28.5),30)*2+7)</f>
        <v>4.363999999999999</v>
      </c>
      <c r="P256" s="4">
        <f>ROUNDUP(MOD(360+P[Moon]-P[Sun],360)/12,4)</f>
        <v>6.1819999999999995</v>
      </c>
      <c r="Q256" s="4">
        <f>ROUNDUP(MOD(P[Sun]+P[Moon],360)/13.333333333,2)</f>
        <v>7.99</v>
      </c>
      <c r="R256" s="4" t="str">
        <f>SIGN(U257-Panchanga!$U256)*INT(Panchanga!$U256/30+1)&amp;"Ma,"&amp;SIGN(V257-Panchanga!$V256)*INT(Panchanga!$V256/30+1)&amp;"Me,"&amp;SIGN(W257-Panchanga!$W256)*INT(Panchanga!$W256/30+1)&amp;"J, "&amp;SIGN(X257-Panchanga!$X256)*INT(Panchanga!$X256/30+1)&amp;"V,"&amp;SIGN(Y257-Panchanga!$Y256)*INT(Panchanga!$Y256/30+1)&amp;"S,"&amp;INT(Panchanga!$Z256/30+1)&amp;"R"</f>
        <v>6Ma,-8Me,8J, 8V,9S,3R</v>
      </c>
      <c r="S256" s="4">
        <f t="shared" si="40"/>
        <v>196.15969105600416</v>
      </c>
      <c r="T256" s="4">
        <f t="shared" si="41"/>
        <v>270.34338056402555</v>
      </c>
      <c r="U256" s="4">
        <f>Planet(Panchanga!$E256,4)</f>
        <v>175.20098468226945</v>
      </c>
      <c r="V256" s="4">
        <f>Planet(Panchanga!$E256,2)</f>
        <v>213.09941910408239</v>
      </c>
      <c r="W256" s="4">
        <f>Planet(Panchanga!$E256,5)</f>
        <v>239.61479955456892</v>
      </c>
      <c r="X256" s="4">
        <f>Planet(Panchanga!$E256,3)</f>
        <v>217.32981370067156</v>
      </c>
      <c r="Y256" s="4">
        <f>Planet(Panchanga!$E256,6)</f>
        <v>261.44238449217403</v>
      </c>
      <c r="Z256" s="4">
        <f>Planet(Panchanga!$E256,10)</f>
        <v>77.232510717972602</v>
      </c>
      <c r="AA256" s="4" t="str">
        <f>TEXT(Panchanga!$C256+($C257-Panchanga!$C256)/ABS(IF($P257&lt;1,$P257+30,$P257)-Panchanga!$P256)*(ROUNDUP(Panchanga!$P256,0)-Panchanga!$P256),"hh:mm AM/PM")</f>
        <v>02:57 AM</v>
      </c>
      <c r="AB256" s="4"/>
    </row>
    <row r="257" spans="1:28" x14ac:dyDescent="0.2">
      <c r="A257" s="3">
        <f t="shared" si="43"/>
        <v>43773</v>
      </c>
      <c r="B257" s="3">
        <f t="shared" si="37"/>
        <v>43773.229166666664</v>
      </c>
      <c r="C257" s="15">
        <f t="shared" si="38"/>
        <v>43773.253812994961</v>
      </c>
      <c r="D257" s="15">
        <f t="shared" si="39"/>
        <v>43772.736813684503</v>
      </c>
      <c r="E257" s="17">
        <f>Panchanga!$C257-TimeZone/24</f>
        <v>43773.024646328297</v>
      </c>
      <c r="F257" s="18" t="str">
        <f>INT(P[Sun]/30)&amp;"s"&amp;ROUNDUP(MOD(P[Sun],30),2)</f>
        <v>6s17.17</v>
      </c>
      <c r="G257" s="18" t="str">
        <f>INT(P[Moon]/30)&amp;"s"&amp;ROUNDUP(MOD(P[Moon],30),2)</f>
        <v>9s12.64</v>
      </c>
      <c r="H257" s="14">
        <f t="shared" si="42"/>
        <v>43773.024646328297</v>
      </c>
      <c r="I257" s="4" t="str">
        <f>naks(P[[#This Row],[Moon]])</f>
        <v>Sravana</v>
      </c>
      <c r="J257" s="15">
        <f>(C258-P[[#This Row],[SunRise]])/(T258-P[[#This Row],[Moon]])*(13.3333333333333-MOD(P[[#This Row],[Moon]],13.333333333333))+P[[#This Row],[SunRise]]</f>
        <v>43774.141667394382</v>
      </c>
      <c r="K257" s="4" t="str">
        <f>IF(Panchanga!$P257&gt;15,"K","S")&amp;ROUNDUP(MOD(Panchanga!$P257,15),0)&amp;" ("&amp;ROUND(Panchanga!$P257,2)&amp;")"</f>
        <v>S8 (7.12)</v>
      </c>
      <c r="L257" s="4">
        <f>IF(AND(Panchanga!$P257&lt;28.5,Panchanga!$P257&gt;0.49999),MOD((Panchanga!$P257-0.5)*2,7),MOD((Panchanga!$P257+30-28.5),30)*2+7)</f>
        <v>6.2451999999999988</v>
      </c>
      <c r="M257" s="4" t="str">
        <f>CHOOSE(ROUNDUP(Panchanga!$L257,0),"Bhava","Baalava","Kaulava","Taitula","Garija","Vanija","Vishti","Shakuni","Chatushapda","Naaga","Kimstugna")</f>
        <v>Vishti</v>
      </c>
      <c r="N257" s="11" t="str">
        <f>CHOOSE(ROUNDUP(Panchanga!$Q257,0),"viṣkambha","prīti","āyuṣmāna","saubhāgya","śobhana","atigaṇḍa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("&amp;Panchanga!$Q257&amp;")"</f>
        <v>śūla  (8.99)</v>
      </c>
      <c r="O257" s="4">
        <f>IF(AND(Panchanga!$P257&lt;28.5,Panchanga!$P257&gt;0.49999),MOD((Panchanga!$P257-0.5)*2,7),MOD((Panchanga!$P257+30-28.5),30)*2+7)</f>
        <v>6.2451999999999988</v>
      </c>
      <c r="P257" s="4">
        <f>ROUNDUP(MOD(360+P[Moon]-P[Sun],360)/12,4)</f>
        <v>7.1225999999999994</v>
      </c>
      <c r="Q257" s="4">
        <f>ROUNDUP(MOD(P[Sun]+P[Moon],360)/13.333333333,2)</f>
        <v>8.99</v>
      </c>
      <c r="R257" s="4" t="str">
        <f>SIGN(U258-Panchanga!$U257)*INT(Panchanga!$U257/30+1)&amp;"Ma,"&amp;SIGN(V258-Panchanga!$V257)*INT(Panchanga!$V257/30+1)&amp;"Me,"&amp;SIGN(W258-Panchanga!$W257)*INT(Panchanga!$W257/30+1)&amp;"J, "&amp;SIGN(X258-Panchanga!$X257)*INT(Panchanga!$X257/30+1)&amp;"V,"&amp;SIGN(Y258-Panchanga!$Y257)*INT(Panchanga!$Y257/30+1)&amp;"S,"&amp;INT(Panchanga!$Z257/30+1)&amp;"R"</f>
        <v>6Ma,-8Me,8J, 8V,9S,3R</v>
      </c>
      <c r="S257" s="4">
        <f t="shared" si="40"/>
        <v>197.16130828799777</v>
      </c>
      <c r="T257" s="4">
        <f t="shared" si="41"/>
        <v>282.63167588711093</v>
      </c>
      <c r="U257" s="4">
        <f>Planet(Panchanga!$E257,4)</f>
        <v>175.85344572038269</v>
      </c>
      <c r="V257" s="4">
        <f>Planet(Panchanga!$E257,2)</f>
        <v>212.66687824495452</v>
      </c>
      <c r="W257" s="4">
        <f>Planet(Panchanga!$E257,5)</f>
        <v>239.81005422263726</v>
      </c>
      <c r="X257" s="4">
        <f>Planet(Panchanga!$E257,3)</f>
        <v>218.57247167907906</v>
      </c>
      <c r="Y257" s="4">
        <f>Planet(Panchanga!$E257,6)</f>
        <v>261.51311548638176</v>
      </c>
      <c r="Z257" s="4">
        <f>Planet(Panchanga!$E257,10)</f>
        <v>77.179507115149477</v>
      </c>
      <c r="AA257" s="4" t="str">
        <f>TEXT(Panchanga!$C257+($C258-Panchanga!$C257)/ABS(IF($P258&lt;1,$P258+30,$P258)-Panchanga!$P257)*(ROUNDUP(Panchanga!$P257,0)-Panchanga!$P257),"hh:mm AM/PM")</f>
        <v>04:57 AM</v>
      </c>
      <c r="AB257" s="4"/>
    </row>
    <row r="258" spans="1:28" x14ac:dyDescent="0.2">
      <c r="A258" s="3">
        <f t="shared" si="43"/>
        <v>43774</v>
      </c>
      <c r="B258" s="3">
        <f t="shared" si="37"/>
        <v>43774.229166666664</v>
      </c>
      <c r="C258" s="15">
        <f t="shared" si="38"/>
        <v>43774.254038856983</v>
      </c>
      <c r="D258" s="15">
        <f t="shared" si="39"/>
        <v>43773.736598630945</v>
      </c>
      <c r="E258" s="17">
        <f>Panchanga!$C258-TimeZone/24</f>
        <v>43774.024872190319</v>
      </c>
      <c r="F258" s="18" t="str">
        <f>INT(P[Sun]/30)&amp;"s"&amp;ROUNDUP(MOD(P[Sun],30),2)</f>
        <v>6s18.17</v>
      </c>
      <c r="G258" s="18" t="str">
        <f>INT(P[Moon]/30)&amp;"s"&amp;ROUNDUP(MOD(P[Moon],30),2)</f>
        <v>9s24.69</v>
      </c>
      <c r="H258" s="14">
        <f t="shared" si="42"/>
        <v>43774.024872190319</v>
      </c>
      <c r="I258" s="4" t="str">
        <f>naks(P[[#This Row],[Moon]])</f>
        <v>Dhanistha</v>
      </c>
      <c r="J258" s="15">
        <f>(C259-P[[#This Row],[SunRise]])/(T259-P[[#This Row],[Moon]])*(13.3333333333333-MOD(P[[#This Row],[Moon]],13.333333333333))+P[[#This Row],[SunRise]]</f>
        <v>43775.259919350035</v>
      </c>
      <c r="K258" s="4" t="str">
        <f>IF(Panchanga!$P258&gt;15,"K","S")&amp;ROUNDUP(MOD(Panchanga!$P258,15),0)&amp;" ("&amp;ROUND(Panchanga!$P258,2)&amp;")"</f>
        <v>S9 (8.04)</v>
      </c>
      <c r="L258" s="4">
        <f>IF(AND(Panchanga!$P258&lt;28.5,Panchanga!$P258&gt;0.49999),MOD((Panchanga!$P258-0.5)*2,7),MOD((Panchanga!$P258+30-28.5),30)*2+7)</f>
        <v>1.0875999999999983</v>
      </c>
      <c r="M258" s="4" t="str">
        <f>CHOOSE(ROUNDUP(Panchanga!$L258,0),"Bhava","Baalava","Kaulava","Taitula","Garija","Vanija","Vishti","Shakuni","Chatushapda","Naaga","Kimstugna")</f>
        <v>Baalava</v>
      </c>
      <c r="N258" s="11" t="str">
        <f>CHOOSE(ROUNDUP(Panchanga!$Q258,0),"viṣkambha","prīti","āyuṣmāna","saubhāgya","śobhana","atigaṇḍa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("&amp;Panchanga!$Q258&amp;")"</f>
        <v>gaṇḍa  (9.97)</v>
      </c>
      <c r="O258" s="4">
        <f>IF(AND(Panchanga!$P258&lt;28.5,Panchanga!$P258&gt;0.49999),MOD((Panchanga!$P258-0.5)*2,7),MOD((Panchanga!$P258+30-28.5),30)*2+7)</f>
        <v>1.0875999999999983</v>
      </c>
      <c r="P258" s="4">
        <f>ROUNDUP(MOD(360+P[Moon]-P[Sun],360)/12,4)</f>
        <v>8.0437999999999992</v>
      </c>
      <c r="Q258" s="4">
        <f>ROUNDUP(MOD(P[Sun]+P[Moon],360)/13.333333333,2)</f>
        <v>9.9700000000000006</v>
      </c>
      <c r="R258" s="4" t="str">
        <f>SIGN(U259-Panchanga!$U258)*INT(Panchanga!$U258/30+1)&amp;"Ma,"&amp;SIGN(V259-Panchanga!$V258)*INT(Panchanga!$V258/30+1)&amp;"Me,"&amp;SIGN(W259-Panchanga!$W258)*INT(Panchanga!$W258/30+1)&amp;"J, "&amp;SIGN(X259-Panchanga!$X258)*INT(Panchanga!$X258/30+1)&amp;"V,"&amp;SIGN(Y259-Panchanga!$Y258)*INT(Panchanga!$Y258/30+1)&amp;"S,"&amp;INT(Panchanga!$Z258/30+1)&amp;"R"</f>
        <v>6Ma,-8Me,9J, 8V,9S,3R</v>
      </c>
      <c r="S258" s="4">
        <f t="shared" si="40"/>
        <v>198.16337077152022</v>
      </c>
      <c r="T258" s="4">
        <f t="shared" si="41"/>
        <v>294.6877906635853</v>
      </c>
      <c r="U258" s="4">
        <f>Planet(Panchanga!$E258,4)</f>
        <v>176.50620133757133</v>
      </c>
      <c r="V258" s="4">
        <f>Planet(Panchanga!$E258,2)</f>
        <v>212.07344536024476</v>
      </c>
      <c r="W258" s="4">
        <f>Planet(Panchanga!$E258,5)</f>
        <v>240.00657910610747</v>
      </c>
      <c r="X258" s="4">
        <f>Planet(Panchanga!$E258,3)</f>
        <v>219.81502850700156</v>
      </c>
      <c r="Y258" s="4">
        <f>Planet(Panchanga!$E258,6)</f>
        <v>261.58512829948171</v>
      </c>
      <c r="Z258" s="4">
        <f>Planet(Panchanga!$E258,10)</f>
        <v>77.126503150118609</v>
      </c>
      <c r="AA258" s="4" t="str">
        <f>TEXT(Panchanga!$C258+($C259-Panchanga!$C258)/ABS(IF($P259&lt;1,$P259+30,$P259)-Panchanga!$P258)*(ROUNDUP(Panchanga!$P258,0)-Panchanga!$P258),"hh:mm AM/PM")</f>
        <v>07:20 AM</v>
      </c>
      <c r="AB258" s="4"/>
    </row>
    <row r="259" spans="1:28" x14ac:dyDescent="0.2">
      <c r="A259" s="3">
        <f t="shared" si="43"/>
        <v>43775</v>
      </c>
      <c r="B259" s="3">
        <f t="shared" ref="B259:B322" si="44">A259+TimeZone/24</f>
        <v>43775.229166666664</v>
      </c>
      <c r="C259" s="15">
        <f t="shared" ref="C259:C322" si="45">sunrise(Lat,Long,B259)+TimeZone/24+0.00103009259259259</f>
        <v>43775.254271553516</v>
      </c>
      <c r="D259" s="15">
        <f t="shared" ref="D259:D322" si="46">sunset(Lat,Long,B259)+TimeZone/24-0.000277777777777778</f>
        <v>43774.736395339525</v>
      </c>
      <c r="E259" s="17">
        <f>Panchanga!$C259-TimeZone/24</f>
        <v>43775.025104886852</v>
      </c>
      <c r="F259" s="18" t="str">
        <f>INT(P[Sun]/30)&amp;"s"&amp;ROUNDUP(MOD(P[Sun],30),2)</f>
        <v>6s19.17</v>
      </c>
      <c r="G259" s="18" t="str">
        <f>INT(P[Moon]/30)&amp;"s"&amp;ROUNDUP(MOD(P[Moon],30),2)</f>
        <v>10s6.6</v>
      </c>
      <c r="H259" s="14">
        <f t="shared" si="42"/>
        <v>43775.025104886852</v>
      </c>
      <c r="I259" s="4" t="str">
        <f>naks(P[[#This Row],[Moon]])</f>
        <v>Satabhisaj</v>
      </c>
      <c r="J259" s="15">
        <f>(C260-P[[#This Row],[SunRise]])/(T260-P[[#This Row],[Moon]])*(13.3333333333333-MOD(P[[#This Row],[Moon]],13.333333333333))+P[[#This Row],[SunRise]]</f>
        <v>43775.259948317318</v>
      </c>
      <c r="K259" s="4" t="str">
        <f>IF(Panchanga!$P259&gt;15,"K","S")&amp;ROUNDUP(MOD(Panchanga!$P259,15),0)&amp;" ("&amp;ROUND(Panchanga!$P259,2)&amp;")"</f>
        <v>S9 (8.95)</v>
      </c>
      <c r="L259" s="4">
        <f>IF(AND(Panchanga!$P259&lt;28.5,Panchanga!$P259&gt;0.49999),MOD((Panchanga!$P259-0.5)*2,7),MOD((Panchanga!$P259+30-28.5),30)*2+7)</f>
        <v>2.9055999999999997</v>
      </c>
      <c r="M259" s="4" t="str">
        <f>CHOOSE(ROUNDUP(Panchanga!$L259,0),"Bhava","Baalava","Kaulava","Taitula","Garija","Vanija","Vishti","Shakuni","Chatushapda","Naaga","Kimstugna")</f>
        <v>Kaulava</v>
      </c>
      <c r="N259" s="11" t="str">
        <f>CHOOSE(ROUNDUP(Panchanga!$Q259,0),"viṣkambha","prīti","āyuṣmāna","saubhāgya","śobhana","atigaṇḍa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("&amp;Panchanga!$Q259&amp;")"</f>
        <v>vṛddhi  (10.94)</v>
      </c>
      <c r="O259" s="4">
        <f>IF(AND(Panchanga!$P259&lt;28.5,Panchanga!$P259&gt;0.49999),MOD((Panchanga!$P259-0.5)*2,7),MOD((Panchanga!$P259+30-28.5),30)*2+7)</f>
        <v>2.9055999999999997</v>
      </c>
      <c r="P259" s="4">
        <f>ROUNDUP(MOD(360+P[Moon]-P[Sun],360)/12,4)</f>
        <v>8.9527999999999999</v>
      </c>
      <c r="Q259" s="4">
        <f>ROUNDUP(MOD(P[Sun]+P[Moon],360)/13.333333333,2)</f>
        <v>10.94</v>
      </c>
      <c r="R259" s="4" t="str">
        <f>SIGN(U260-Panchanga!$U259)*INT(Panchanga!$U259/30+1)&amp;"Ma,"&amp;SIGN(V260-Panchanga!$V259)*INT(Panchanga!$V259/30+1)&amp;"Me,"&amp;SIGN(W260-Panchanga!$W259)*INT(Panchanga!$W259/30+1)&amp;"J, "&amp;SIGN(X260-Panchanga!$X259)*INT(Panchanga!$X259/30+1)&amp;"V,"&amp;SIGN(Y260-Panchanga!$Y259)*INT(Panchanga!$Y259/30+1)&amp;"S,"&amp;INT(Panchanga!$Z259/30+1)&amp;"R"</f>
        <v>6Ma,-8Me,9J, 8V,9S,3R</v>
      </c>
      <c r="S259" s="4">
        <f t="shared" ref="S259:S322" si="47">Planet($E259,0)</f>
        <v>199.16587570193406</v>
      </c>
      <c r="T259" s="4">
        <f t="shared" ref="T259:T322" si="48">Planet($E259,1)</f>
        <v>306.59940792703583</v>
      </c>
      <c r="U259" s="4">
        <f>Planet(Panchanga!$E259,4)</f>
        <v>177.15925573556999</v>
      </c>
      <c r="V259" s="4">
        <f>Planet(Panchanga!$E259,2)</f>
        <v>211.31986812556286</v>
      </c>
      <c r="W259" s="4">
        <f>Planet(Panchanga!$E259,5)</f>
        <v>240.20434789053596</v>
      </c>
      <c r="X259" s="4">
        <f>Planet(Panchanga!$E259,3)</f>
        <v>221.05747870363811</v>
      </c>
      <c r="Y259" s="4">
        <f>Planet(Panchanga!$E259,6)</f>
        <v>261.65840668559031</v>
      </c>
      <c r="Z259" s="4">
        <f>Planet(Panchanga!$E259,10)</f>
        <v>77.073498822912953</v>
      </c>
      <c r="AA259" s="4" t="str">
        <f>TEXT(Panchanga!$C259+($C260-Panchanga!$C259)/ABS(IF($P260&lt;1,$P260+30,$P260)-Panchanga!$P259)*(ROUNDUP(Panchanga!$P259,0)-Panchanga!$P259),"hh:mm AM/PM")</f>
        <v>07:21 AM</v>
      </c>
      <c r="AB259" s="4"/>
    </row>
    <row r="260" spans="1:28" x14ac:dyDescent="0.2">
      <c r="A260" s="3">
        <f t="shared" si="43"/>
        <v>43776</v>
      </c>
      <c r="B260" s="3">
        <f t="shared" si="44"/>
        <v>43776.229166666664</v>
      </c>
      <c r="C260" s="15">
        <f t="shared" si="45"/>
        <v>43776.254511243817</v>
      </c>
      <c r="D260" s="15">
        <f t="shared" si="46"/>
        <v>43775.736203968569</v>
      </c>
      <c r="E260" s="17">
        <f>Panchanga!$C260-TimeZone/24</f>
        <v>43776.025344577152</v>
      </c>
      <c r="F260" s="18" t="str">
        <f>INT(P[Sun]/30)&amp;"s"&amp;ROUNDUP(MOD(P[Sun],30),2)</f>
        <v>6s20.17</v>
      </c>
      <c r="G260" s="18" t="str">
        <f>INT(P[Moon]/30)&amp;"s"&amp;ROUNDUP(MOD(P[Moon],30),2)</f>
        <v>10s18.46</v>
      </c>
      <c r="H260" s="14">
        <f t="shared" si="42"/>
        <v>43776.025344577152</v>
      </c>
      <c r="I260" s="4" t="str">
        <f>naks(P[[#This Row],[Moon]])</f>
        <v>Satabhisaj</v>
      </c>
      <c r="J260" s="15">
        <f>(C261-P[[#This Row],[SunRise]])/(T261-P[[#This Row],[Moon]])*(13.3333333333333-MOD(P[[#This Row],[Moon]],13.333333333333))+P[[#This Row],[SunRise]]</f>
        <v>43776.385148663452</v>
      </c>
      <c r="K260" s="4" t="str">
        <f>IF(Panchanga!$P260&gt;15,"K","S")&amp;ROUNDUP(MOD(Panchanga!$P260,15),0)&amp;" ("&amp;ROUND(Panchanga!$P260,2)&amp;")"</f>
        <v>S10 (9.86)</v>
      </c>
      <c r="L260" s="4">
        <f>IF(AND(Panchanga!$P260&lt;28.5,Panchanga!$P260&gt;0.49999),MOD((Panchanga!$P260-0.5)*2,7),MOD((Panchanga!$P260+30-28.5),30)*2+7)</f>
        <v>4.7135999999999996</v>
      </c>
      <c r="M260" s="4" t="str">
        <f>CHOOSE(ROUNDUP(Panchanga!$L260,0),"Bhava","Baalava","Kaulava","Taitula","Garija","Vanija","Vishti","Shakuni","Chatushapda","Naaga","Kimstugna")</f>
        <v>Garija</v>
      </c>
      <c r="N260" s="11" t="str">
        <f>CHOOSE(ROUNDUP(Panchanga!$Q260,0),"viṣkambha","prīti","āyuṣmāna","saubhāgya","śobhana","atigaṇḍa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("&amp;Panchanga!$Q260&amp;")"</f>
        <v>dhruva  (11.9)</v>
      </c>
      <c r="O260" s="4">
        <f>IF(AND(Panchanga!$P260&lt;28.5,Panchanga!$P260&gt;0.49999),MOD((Panchanga!$P260-0.5)*2,7),MOD((Panchanga!$P260+30-28.5),30)*2+7)</f>
        <v>4.7135999999999996</v>
      </c>
      <c r="P260" s="4">
        <f>ROUNDUP(MOD(360+P[Moon]-P[Sun],360)/12,4)</f>
        <v>9.8567999999999998</v>
      </c>
      <c r="Q260" s="4">
        <f>ROUNDUP(MOD(P[Sun]+P[Moon],360)/13.333333333,2)</f>
        <v>11.9</v>
      </c>
      <c r="R260" s="4" t="str">
        <f>SIGN(U261-Panchanga!$U260)*INT(Panchanga!$U260/30+1)&amp;"Ma,"&amp;SIGN(V261-Panchanga!$V260)*INT(Panchanga!$V260/30+1)&amp;"Me,"&amp;SIGN(W261-Panchanga!$W260)*INT(Panchanga!$W260/30+1)&amp;"J, "&amp;SIGN(X261-Panchanga!$X260)*INT(Panchanga!$X260/30+1)&amp;"V,"&amp;SIGN(Y261-Panchanga!$Y260)*INT(Panchanga!$Y260/30+1)&amp;"S,"&amp;INT(Panchanga!$Z260/30+1)&amp;"R"</f>
        <v>6Ma,-8Me,9J, 8V,9S,3R</v>
      </c>
      <c r="S260" s="4">
        <f t="shared" si="47"/>
        <v>200.16882237612722</v>
      </c>
      <c r="T260" s="4">
        <f t="shared" si="48"/>
        <v>318.45032568051511</v>
      </c>
      <c r="U260" s="4">
        <f>Planet(Panchanga!$E260,4)</f>
        <v>177.81261395373065</v>
      </c>
      <c r="V260" s="4">
        <f>Planet(Panchanga!$E260,2)</f>
        <v>210.4124911242458</v>
      </c>
      <c r="W260" s="4">
        <f>Planet(Panchanga!$E260,5)</f>
        <v>240.40333486186501</v>
      </c>
      <c r="X260" s="4">
        <f>Planet(Panchanga!$E260,3)</f>
        <v>222.2998181831191</v>
      </c>
      <c r="Y260" s="4">
        <f>Planet(Panchanga!$E260,6)</f>
        <v>261.73293445518192</v>
      </c>
      <c r="Z260" s="4">
        <f>Planet(Panchanga!$E260,10)</f>
        <v>77.020494125099077</v>
      </c>
      <c r="AA260" s="4" t="str">
        <f>TEXT(Panchanga!$C260+($C261-Panchanga!$C260)/ABS(IF($P261&lt;1,$P261+30,$P261)-Panchanga!$P260)*(ROUNDUP(Panchanga!$P260,0)-Panchanga!$P260),"hh:mm AM/PM")</f>
        <v>09:54 AM</v>
      </c>
      <c r="AB260" s="4"/>
    </row>
    <row r="261" spans="1:28" x14ac:dyDescent="0.2">
      <c r="A261" s="3">
        <f t="shared" si="43"/>
        <v>43777</v>
      </c>
      <c r="B261" s="3">
        <f t="shared" si="44"/>
        <v>43777.229166666664</v>
      </c>
      <c r="C261" s="15">
        <f t="shared" si="45"/>
        <v>43777.254757768627</v>
      </c>
      <c r="D261" s="15">
        <f t="shared" si="46"/>
        <v>43776.736024677797</v>
      </c>
      <c r="E261" s="17">
        <f>Panchanga!$C261-TimeZone/24</f>
        <v>43777.025591101963</v>
      </c>
      <c r="F261" s="18" t="str">
        <f>INT(P[Sun]/30)&amp;"s"&amp;ROUNDUP(MOD(P[Sun],30),2)</f>
        <v>6s21.18</v>
      </c>
      <c r="G261" s="18" t="str">
        <f>INT(P[Moon]/30)&amp;"s"&amp;ROUNDUP(MOD(P[Moon],30),2)</f>
        <v>11s0.32</v>
      </c>
      <c r="H261" s="14">
        <f t="shared" si="42"/>
        <v>43777.025591101963</v>
      </c>
      <c r="I261" s="4" t="str">
        <f>naks(P[[#This Row],[Moon]])</f>
        <v>Purva Bhadrapada</v>
      </c>
      <c r="J261" s="15">
        <f>(C262-P[[#This Row],[SunRise]])/(T262-P[[#This Row],[Moon]])*(13.3333333333333-MOD(P[[#This Row],[Moon]],13.333333333333))+P[[#This Row],[SunRise]]</f>
        <v>43777.507498123923</v>
      </c>
      <c r="K261" s="4" t="str">
        <f>IF(Panchanga!$P261&gt;15,"K","S")&amp;ROUNDUP(MOD(Panchanga!$P261,15),0)&amp;" ("&amp;ROUND(Panchanga!$P261,2)&amp;")"</f>
        <v>S11 (10.76)</v>
      </c>
      <c r="L261" s="4">
        <f>IF(AND(Panchanga!$P261&lt;28.5,Panchanga!$P261&gt;0.49999),MOD((Panchanga!$P261-0.5)*2,7),MOD((Panchanga!$P261+30-28.5),30)*2+7)</f>
        <v>6.5240000000000009</v>
      </c>
      <c r="M261" s="4" t="str">
        <f>CHOOSE(ROUNDUP(Panchanga!$L261,0),"Bhava","Baalava","Kaulava","Taitula","Garija","Vanija","Vishti","Shakuni","Chatushapda","Naaga","Kimstugna")</f>
        <v>Vishti</v>
      </c>
      <c r="N261" s="11" t="str">
        <f>CHOOSE(ROUNDUP(Panchanga!$Q261,0),"viṣkambha","prīti","āyuṣmāna","saubhāgya","śobhana","atigaṇḍa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("&amp;Panchanga!$Q261&amp;")"</f>
        <v>vyāghāta (12.87)</v>
      </c>
      <c r="O261" s="4">
        <f>IF(AND(Panchanga!$P261&lt;28.5,Panchanga!$P261&gt;0.49999),MOD((Panchanga!$P261-0.5)*2,7),MOD((Panchanga!$P261+30-28.5),30)*2+7)</f>
        <v>6.5240000000000009</v>
      </c>
      <c r="P261" s="4">
        <f>ROUNDUP(MOD(360+P[Moon]-P[Sun],360)/12,4)</f>
        <v>10.762</v>
      </c>
      <c r="Q261" s="4">
        <f>ROUNDUP(MOD(P[Sun]+P[Moon],360)/13.333333333,2)</f>
        <v>12.87</v>
      </c>
      <c r="R261" s="4" t="str">
        <f>SIGN(U262-Panchanga!$U261)*INT(Panchanga!$U261/30+1)&amp;"Ma,"&amp;SIGN(V262-Panchanga!$V261)*INT(Panchanga!$V261/30+1)&amp;"Me,"&amp;SIGN(W262-Panchanga!$W261)*INT(Panchanga!$W261/30+1)&amp;"J, "&amp;SIGN(X262-Panchanga!$X261)*INT(Panchanga!$X261/30+1)&amp;"V,"&amp;SIGN(Y262-Panchanga!$Y261)*INT(Panchanga!$Y261/30+1)&amp;"S,"&amp;INT(Panchanga!$Z261/30+1)&amp;"R"</f>
        <v>6Ma,-7Me,9J, 8V,9S,3R</v>
      </c>
      <c r="S261" s="4">
        <f t="shared" si="47"/>
        <v>201.17221157719533</v>
      </c>
      <c r="T261" s="4">
        <f t="shared" si="48"/>
        <v>330.31565765816663</v>
      </c>
      <c r="U261" s="4">
        <f>Planet(Panchanga!$E261,4)</f>
        <v>178.46628149884995</v>
      </c>
      <c r="V261" s="4">
        <f>Planet(Panchanga!$E261,2)</f>
        <v>209.36440597873732</v>
      </c>
      <c r="W261" s="4">
        <f>Planet(Panchanga!$E261,5)</f>
        <v>240.60351479605677</v>
      </c>
      <c r="X261" s="4">
        <f>Planet(Panchanga!$E261,3)</f>
        <v>223.54204357823389</v>
      </c>
      <c r="Y261" s="4">
        <f>Planet(Panchanga!$E261,6)</f>
        <v>261.80869544938656</v>
      </c>
      <c r="Z261" s="4">
        <f>Planet(Panchanga!$E261,10)</f>
        <v>76.967489065110442</v>
      </c>
      <c r="AA261" s="4" t="str">
        <f>TEXT(Panchanga!$C261+($C262-Panchanga!$C261)/ABS(IF($P262&lt;1,$P262+30,$P262)-Panchanga!$P261)*(ROUNDUP(Panchanga!$P261,0)-Panchanga!$P261),"hh:mm AM/PM")</f>
        <v>12:22 PM</v>
      </c>
      <c r="AB261" s="4"/>
    </row>
    <row r="262" spans="1:28" x14ac:dyDescent="0.2">
      <c r="A262" s="3">
        <f t="shared" si="43"/>
        <v>43778</v>
      </c>
      <c r="B262" s="3">
        <f t="shared" si="44"/>
        <v>43778.229166666664</v>
      </c>
      <c r="C262" s="15">
        <f t="shared" si="45"/>
        <v>43778.255011286739</v>
      </c>
      <c r="D262" s="15">
        <f t="shared" si="46"/>
        <v>43777.735857467211</v>
      </c>
      <c r="E262" s="17">
        <f>Panchanga!$C262-TimeZone/24</f>
        <v>43778.025844620075</v>
      </c>
      <c r="F262" s="18" t="str">
        <f>INT(P[Sun]/30)&amp;"s"&amp;ROUNDUP(MOD(P[Sun],30),2)</f>
        <v>6s22.18</v>
      </c>
      <c r="G262" s="18" t="str">
        <f>INT(P[Moon]/30)&amp;"s"&amp;ROUNDUP(MOD(P[Moon],30),2)</f>
        <v>11s12.26</v>
      </c>
      <c r="H262" s="14">
        <f t="shared" si="42"/>
        <v>43778.025844620075</v>
      </c>
      <c r="I262" s="4" t="str">
        <f>naks(P[[#This Row],[Moon]])</f>
        <v>Uttara Bhadrapada</v>
      </c>
      <c r="J262" s="15">
        <f>(C263-P[[#This Row],[SunRise]])/(T263-P[[#This Row],[Moon]])*(13.3333333333333-MOD(P[[#This Row],[Moon]],13.333333333333))+P[[#This Row],[SunRise]]</f>
        <v>43778.620339922483</v>
      </c>
      <c r="K262" s="4" t="str">
        <f>IF(Panchanga!$P262&gt;15,"K","S")&amp;ROUNDUP(MOD(Panchanga!$P262,15),0)&amp;" ("&amp;ROUND(Panchanga!$P262,2)&amp;")"</f>
        <v>S12 (11.67)</v>
      </c>
      <c r="L262" s="4">
        <f>IF(AND(Panchanga!$P262&lt;28.5,Panchanga!$P262&gt;0.49999),MOD((Panchanga!$P262-0.5)*2,7),MOD((Panchanga!$P262+30-28.5),30)*2+7)</f>
        <v>1.3472000000000008</v>
      </c>
      <c r="M262" s="4" t="str">
        <f>CHOOSE(ROUNDUP(Panchanga!$L262,0),"Bhava","Baalava","Kaulava","Taitula","Garija","Vanija","Vishti","Shakuni","Chatushapda","Naaga","Kimstugna")</f>
        <v>Baalava</v>
      </c>
      <c r="N262" s="11" t="str">
        <f>CHOOSE(ROUNDUP(Panchanga!$Q262,0),"viṣkambha","prīti","āyuṣmāna","saubhāgya","śobhana","atigaṇḍa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("&amp;Panchanga!$Q262&amp;")"</f>
        <v>harṣaṇa (13.84)</v>
      </c>
      <c r="O262" s="4">
        <f>IF(AND(Panchanga!$P262&lt;28.5,Panchanga!$P262&gt;0.49999),MOD((Panchanga!$P262-0.5)*2,7),MOD((Panchanga!$P262+30-28.5),30)*2+7)</f>
        <v>1.3472000000000008</v>
      </c>
      <c r="P262" s="4">
        <f>ROUNDUP(MOD(360+P[Moon]-P[Sun],360)/12,4)</f>
        <v>11.6736</v>
      </c>
      <c r="Q262" s="4">
        <f>ROUNDUP(MOD(P[Sun]+P[Moon],360)/13.333333333,2)</f>
        <v>13.84</v>
      </c>
      <c r="R262" s="4" t="str">
        <f>SIGN(U263-Panchanga!$U262)*INT(Panchanga!$U262/30+1)&amp;"Ma,"&amp;SIGN(V263-Panchanga!$V262)*INT(Panchanga!$V262/30+1)&amp;"Me,"&amp;SIGN(W263-Panchanga!$W262)*INT(Panchanga!$W262/30+1)&amp;"J, "&amp;SIGN(X263-Panchanga!$X262)*INT(Panchanga!$X262/30+1)&amp;"V,"&amp;SIGN(Y263-Panchanga!$Y262)*INT(Panchanga!$Y262/30+1)&amp;"S,"&amp;INT(Panchanga!$Z262/30+1)&amp;"R"</f>
        <v>6Ma,-7Me,9J, 8V,9S,3R</v>
      </c>
      <c r="S262" s="4">
        <f t="shared" si="47"/>
        <v>202.17604617513445</v>
      </c>
      <c r="T262" s="4">
        <f t="shared" si="48"/>
        <v>342.25850986742381</v>
      </c>
      <c r="U262" s="4">
        <f>Planet(Panchanga!$E262,4)</f>
        <v>179.12026472190072</v>
      </c>
      <c r="V262" s="4">
        <f>Planet(Panchanga!$E262,2)</f>
        <v>208.19623107598701</v>
      </c>
      <c r="W262" s="4">
        <f>Planet(Panchanga!$E262,5)</f>
        <v>240.80486308886134</v>
      </c>
      <c r="X262" s="4">
        <f>Planet(Panchanga!$E262,3)</f>
        <v>224.78415302868345</v>
      </c>
      <c r="Y262" s="4">
        <f>Planet(Panchanga!$E262,6)</f>
        <v>261.88567360368859</v>
      </c>
      <c r="Z262" s="4">
        <f>Planet(Panchanga!$E262,10)</f>
        <v>76.914483634563325</v>
      </c>
      <c r="AA262" s="4" t="str">
        <f>TEXT(Panchanga!$C262+($C263-Panchanga!$C262)/ABS(IF($P263&lt;1,$P263+30,$P263)-Panchanga!$P262)*(ROUNDUP(Panchanga!$P262,0)-Panchanga!$P262),"hh:mm AM/PM")</f>
        <v>02:37 PM</v>
      </c>
      <c r="AB262" s="4"/>
    </row>
    <row r="263" spans="1:28" x14ac:dyDescent="0.2">
      <c r="A263" s="3">
        <f t="shared" si="43"/>
        <v>43779</v>
      </c>
      <c r="B263" s="3">
        <f t="shared" si="44"/>
        <v>43779.229166666664</v>
      </c>
      <c r="C263" s="15">
        <f t="shared" si="45"/>
        <v>43779.255271639828</v>
      </c>
      <c r="D263" s="15">
        <f t="shared" si="46"/>
        <v>43778.735702812715</v>
      </c>
      <c r="E263" s="17">
        <f>Panchanga!$C263-TimeZone/24</f>
        <v>43779.026104973163</v>
      </c>
      <c r="F263" s="18" t="str">
        <f>INT(P[Sun]/30)&amp;"s"&amp;ROUNDUP(MOD(P[Sun],30),2)</f>
        <v>6s23.19</v>
      </c>
      <c r="G263" s="18" t="str">
        <f>INT(P[Moon]/30)&amp;"s"&amp;ROUNDUP(MOD(P[Moon],30),2)</f>
        <v>11s24.33</v>
      </c>
      <c r="H263" s="14">
        <f t="shared" si="42"/>
        <v>43779.026104973163</v>
      </c>
      <c r="I263" s="4" t="str">
        <f>naks(P[[#This Row],[Moon]])</f>
        <v>Revati</v>
      </c>
      <c r="J263" s="15">
        <f>(C264-P[[#This Row],[SunRise]])/(T264-P[[#This Row],[Moon]])*(13.3333333333333-MOD(P[[#This Row],[Moon]],13.333333333333))+P[[#This Row],[SunRise]]</f>
        <v>43779.23895743904</v>
      </c>
      <c r="K263" s="4" t="str">
        <f>IF(Panchanga!$P263&gt;15,"K","S")&amp;ROUNDUP(MOD(Panchanga!$P263,15),0)&amp;" ("&amp;ROUND(Panchanga!$P263,2)&amp;")"</f>
        <v>S13 (12.6)</v>
      </c>
      <c r="L263" s="4">
        <f>IF(AND(Panchanga!$P263&lt;28.5,Panchanga!$P263&gt;0.49999),MOD((Panchanga!$P263-0.5)*2,7),MOD((Panchanga!$P263+30-28.5),30)*2+7)</f>
        <v>3.191399999999998</v>
      </c>
      <c r="M263" s="4" t="str">
        <f>CHOOSE(ROUNDUP(Panchanga!$L263,0),"Bhava","Baalava","Kaulava","Taitula","Garija","Vanija","Vishti","Shakuni","Chatushapda","Naaga","Kimstugna")</f>
        <v>Taitula</v>
      </c>
      <c r="N263" s="11" t="str">
        <f>CHOOSE(ROUNDUP(Panchanga!$Q263,0),"viṣkambha","prīti","āyuṣmāna","saubhāgya","śobhana","atigaṇḍa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("&amp;Panchanga!$Q263&amp;")"</f>
        <v>vajra (14.82)</v>
      </c>
      <c r="O263" s="4">
        <f>IF(AND(Panchanga!$P263&lt;28.5,Panchanga!$P263&gt;0.49999),MOD((Panchanga!$P263-0.5)*2,7),MOD((Panchanga!$P263+30-28.5),30)*2+7)</f>
        <v>3.191399999999998</v>
      </c>
      <c r="P263" s="4">
        <f>ROUNDUP(MOD(360+P[Moon]-P[Sun],360)/12,4)</f>
        <v>12.595699999999999</v>
      </c>
      <c r="Q263" s="4">
        <f>ROUNDUP(MOD(P[Sun]+P[Moon],360)/13.333333333,2)</f>
        <v>14.82</v>
      </c>
      <c r="R263" s="4" t="str">
        <f>SIGN(U264-Panchanga!$U263)*INT(Panchanga!$U263/30+1)&amp;"Ma,"&amp;SIGN(V264-Panchanga!$V263)*INT(Panchanga!$V263/30+1)&amp;"Me,"&amp;SIGN(W264-Panchanga!$W263)*INT(Panchanga!$W263/30+1)&amp;"J, "&amp;SIGN(X264-Panchanga!$X263)*INT(Panchanga!$X263/30+1)&amp;"V,"&amp;SIGN(Y264-Panchanga!$Y263)*INT(Panchanga!$Y263/30+1)&amp;"S,"&amp;INT(Panchanga!$Z263/30+1)&amp;"R"</f>
        <v>6Ma,-7Me,9J, 8V,9S,3R</v>
      </c>
      <c r="S263" s="4">
        <f t="shared" si="47"/>
        <v>203.1803304719671</v>
      </c>
      <c r="T263" s="4">
        <f t="shared" si="48"/>
        <v>354.3279291384307</v>
      </c>
      <c r="U263" s="4">
        <f>Planet(Panchanga!$E263,4)</f>
        <v>179.77457035106266</v>
      </c>
      <c r="V263" s="4">
        <f>Planet(Panchanga!$E263,2)</f>
        <v>206.93625229432482</v>
      </c>
      <c r="W263" s="4">
        <f>Planet(Panchanga!$E263,5)</f>
        <v>241.00735564795073</v>
      </c>
      <c r="X263" s="4">
        <f>Planet(Panchanga!$E263,3)</f>
        <v>226.02614544125933</v>
      </c>
      <c r="Y263" s="4">
        <f>Planet(Panchanga!$E263,6)</f>
        <v>261.96385293076059</v>
      </c>
      <c r="Z263" s="4">
        <f>Planet(Panchanga!$E263,10)</f>
        <v>76.861477841791768</v>
      </c>
      <c r="AA263" s="4" t="str">
        <f>TEXT(Panchanga!$C263+($C264-Panchanga!$C263)/ABS(IF($P264&lt;1,$P264+30,$P264)-Panchanga!$P263)*(ROUNDUP(Panchanga!$P263,0)-Panchanga!$P263),"hh:mm AM/PM")</f>
        <v>04:30 PM</v>
      </c>
      <c r="AB263" s="4"/>
    </row>
    <row r="264" spans="1:28" x14ac:dyDescent="0.2">
      <c r="A264" s="3">
        <f t="shared" si="43"/>
        <v>43780</v>
      </c>
      <c r="B264" s="3">
        <f t="shared" si="44"/>
        <v>43780.229166666664</v>
      </c>
      <c r="C264" s="15">
        <f t="shared" si="45"/>
        <v>43780.255538668636</v>
      </c>
      <c r="D264" s="15">
        <f t="shared" si="46"/>
        <v>43779.735560556452</v>
      </c>
      <c r="E264" s="17">
        <f>Panchanga!$C264-TimeZone/24</f>
        <v>43780.026372001972</v>
      </c>
      <c r="F264" s="18" t="str">
        <f>INT(P[Sun]/30)&amp;"s"&amp;ROUNDUP(MOD(P[Sun],30),2)</f>
        <v>6s24.19</v>
      </c>
      <c r="G264" s="18" t="str">
        <f>INT(P[Moon]/30)&amp;"s"&amp;ROUNDUP(MOD(P[Moon],30),2)</f>
        <v>0s6.56</v>
      </c>
      <c r="H264" s="14">
        <f t="shared" si="42"/>
        <v>43780.026372001972</v>
      </c>
      <c r="I264" s="4" t="str">
        <f>naks(P[[#This Row],[Moon]])</f>
        <v>Aswini</v>
      </c>
      <c r="J264" s="15">
        <f>(C265-P[[#This Row],[SunRise]])/(T265-P[[#This Row],[Moon]])*(13.3333333333333-MOD(P[[#This Row],[Moon]],13.333333333333))+P[[#This Row],[SunRise]]</f>
        <v>43780.801570718431</v>
      </c>
      <c r="K264" s="4" t="str">
        <f>IF(Panchanga!$P264&gt;15,"K","S")&amp;ROUNDUP(MOD(Panchanga!$P264,15),0)&amp;" ("&amp;ROUND(Panchanga!$P264,2)&amp;")"</f>
        <v>S14 (13.53)</v>
      </c>
      <c r="L264" s="4">
        <f>IF(AND(Panchanga!$P264&lt;28.5,Panchanga!$P264&gt;0.49999),MOD((Panchanga!$P264-0.5)*2,7),MOD((Panchanga!$P264+30-28.5),30)*2+7)</f>
        <v>5.0622000000000007</v>
      </c>
      <c r="M264" s="4" t="str">
        <f>CHOOSE(ROUNDUP(Panchanga!$L264,0),"Bhava","Baalava","Kaulava","Taitula","Garija","Vanija","Vishti","Shakuni","Chatushapda","Naaga","Kimstugna")</f>
        <v>Vanija</v>
      </c>
      <c r="N264" s="11" t="str">
        <f>CHOOSE(ROUNDUP(Panchanga!$Q264,0),"viṣkambha","prīti","āyuṣmāna","saubhāgya","śobhana","atigaṇḍa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("&amp;Panchanga!$Q264&amp;")"</f>
        <v>siddhi (15.81)</v>
      </c>
      <c r="O264" s="4">
        <f>IF(AND(Panchanga!$P264&lt;28.5,Panchanga!$P264&gt;0.49999),MOD((Panchanga!$P264-0.5)*2,7),MOD((Panchanga!$P264+30-28.5),30)*2+7)</f>
        <v>5.0622000000000007</v>
      </c>
      <c r="P264" s="4">
        <f>ROUNDUP(MOD(360+P[Moon]-P[Sun],360)/12,4)</f>
        <v>13.5311</v>
      </c>
      <c r="Q264" s="4">
        <f>ROUNDUP(MOD(P[Sun]+P[Moon],360)/13.333333333,2)</f>
        <v>15.81</v>
      </c>
      <c r="R264" s="4" t="str">
        <f>SIGN(U265-Panchanga!$U264)*INT(Panchanga!$U264/30+1)&amp;"Ma,"&amp;SIGN(V265-Panchanga!$V264)*INT(Panchanga!$V264/30+1)&amp;"Me,"&amp;SIGN(W265-Panchanga!$W264)*INT(Panchanga!$W264/30+1)&amp;"J, "&amp;SIGN(X265-Panchanga!$X264)*INT(Panchanga!$X264/30+1)&amp;"V,"&amp;SIGN(Y265-Panchanga!$Y264)*INT(Panchanga!$Y264/30+1)&amp;"S,"&amp;INT(Panchanga!$Z264/30+1)&amp;"R"</f>
        <v>7Ma,-7Me,9J, 8V,9S,3R</v>
      </c>
      <c r="S264" s="4">
        <f t="shared" si="47"/>
        <v>204.18507044412294</v>
      </c>
      <c r="T264" s="4">
        <f t="shared" si="48"/>
        <v>6.5581828767283312</v>
      </c>
      <c r="U264" s="4">
        <f>Planet(Panchanga!$E264,4)</f>
        <v>180.42920560215259</v>
      </c>
      <c r="V264" s="4">
        <f>Planet(Panchanga!$E264,2)</f>
        <v>205.61969430061339</v>
      </c>
      <c r="W264" s="4">
        <f>Planet(Panchanga!$E264,5)</f>
        <v>241.21096897664111</v>
      </c>
      <c r="X264" s="4">
        <f>Planet(Panchanga!$E264,3)</f>
        <v>227.26802092876034</v>
      </c>
      <c r="Y264" s="4">
        <f>Planet(Panchanga!$E264,6)</f>
        <v>262.0432175771781</v>
      </c>
      <c r="Z264" s="4">
        <f>Planet(Panchanga!$E264,10)</f>
        <v>76.808471695279039</v>
      </c>
      <c r="AA264" s="4" t="str">
        <f>TEXT(Panchanga!$C264+($C265-Panchanga!$C264)/ABS(IF($P265&lt;1,$P265+30,$P265)-Panchanga!$P264)*(ROUNDUP(Panchanga!$P264,0)-Panchanga!$P264),"hh:mm AM/PM")</f>
        <v>05:58 PM</v>
      </c>
      <c r="AB264" s="4"/>
    </row>
    <row r="265" spans="1:28" x14ac:dyDescent="0.2">
      <c r="A265" s="3">
        <f t="shared" si="43"/>
        <v>43781</v>
      </c>
      <c r="B265" s="3">
        <f t="shared" si="44"/>
        <v>43781.229166666664</v>
      </c>
      <c r="C265" s="15">
        <f t="shared" si="45"/>
        <v>43781.255812691212</v>
      </c>
      <c r="D265" s="15">
        <f t="shared" si="46"/>
        <v>43780.735431015535</v>
      </c>
      <c r="E265" s="17">
        <f>Panchanga!$C265-TimeZone/24</f>
        <v>43781.026646024548</v>
      </c>
      <c r="F265" s="18" t="str">
        <f>INT(P[Sun]/30)&amp;"s"&amp;ROUNDUP(MOD(P[Sun],30),2)</f>
        <v>6s25.2</v>
      </c>
      <c r="G265" s="18" t="str">
        <f>INT(P[Moon]/30)&amp;"s"&amp;ROUNDUP(MOD(P[Moon],30),2)</f>
        <v>0s18.97</v>
      </c>
      <c r="H265" s="14">
        <f t="shared" si="42"/>
        <v>43781.026646024548</v>
      </c>
      <c r="I265" s="4" t="str">
        <f>naks(P[[#This Row],[Moon]])</f>
        <v>Bharani</v>
      </c>
      <c r="J265" s="15">
        <f>(C266-P[[#This Row],[SunRise]])/(T266-P[[#This Row],[Moon]])*(13.3333333333333-MOD(P[[#This Row],[Moon]],13.333333333333))+P[[#This Row],[SunRise]]</f>
        <v>43781.866808375722</v>
      </c>
      <c r="K265" s="4" t="str">
        <f>IF(Panchanga!$P265&gt;15,"K","S")&amp;ROUNDUP(MOD(Panchanga!$P265,15),0)&amp;" ("&amp;ROUND(Panchanga!$P265,2)&amp;")"</f>
        <v>S15 (14.48)</v>
      </c>
      <c r="L265" s="4">
        <f>IF(AND(Panchanga!$P265&lt;28.5,Panchanga!$P265&gt;0.49999),MOD((Panchanga!$P265-0.5)*2,7),MOD((Panchanga!$P265+30-28.5),30)*2+7)</f>
        <v>6.9634</v>
      </c>
      <c r="M265" s="4" t="str">
        <f>CHOOSE(ROUNDUP(Panchanga!$L265,0),"Bhava","Baalava","Kaulava","Taitula","Garija","Vanija","Vishti","Shakuni","Chatushapda","Naaga","Kimstugna")</f>
        <v>Vishti</v>
      </c>
      <c r="N265" s="11" t="str">
        <f>CHOOSE(ROUNDUP(Panchanga!$Q265,0),"viṣkambha","prīti","āyuṣmāna","saubhāgya","śobhana","atigaṇḍa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("&amp;Panchanga!$Q265&amp;")"</f>
        <v>vyatipāta (16.82)</v>
      </c>
      <c r="O265" s="4">
        <f>IF(AND(Panchanga!$P265&lt;28.5,Panchanga!$P265&gt;0.49999),MOD((Panchanga!$P265-0.5)*2,7),MOD((Panchanga!$P265+30-28.5),30)*2+7)</f>
        <v>6.9634</v>
      </c>
      <c r="P265" s="4">
        <f>ROUNDUP(MOD(360+P[Moon]-P[Sun],360)/12,4)</f>
        <v>14.4817</v>
      </c>
      <c r="Q265" s="4">
        <f>ROUNDUP(MOD(P[Sun]+P[Moon],360)/13.333333333,2)</f>
        <v>16.82</v>
      </c>
      <c r="R265" s="4" t="str">
        <f>SIGN(U266-Panchanga!$U265)*INT(Panchanga!$U265/30+1)&amp;"Ma,"&amp;SIGN(V266-Panchanga!$V265)*INT(Panchanga!$V265/30+1)&amp;"Me,"&amp;SIGN(W266-Panchanga!$W265)*INT(Panchanga!$W265/30+1)&amp;"J, "&amp;SIGN(X266-Panchanga!$X265)*INT(Panchanga!$X265/30+1)&amp;"V,"&amp;SIGN(Y266-Panchanga!$Y265)*INT(Panchanga!$Y265/30+1)&amp;"S,"&amp;INT(Panchanga!$Z265/30+1)&amp;"R"</f>
        <v>7Ma,-7Me,9J, 8V,9S,3R</v>
      </c>
      <c r="S265" s="4">
        <f t="shared" si="47"/>
        <v>205.1902740620217</v>
      </c>
      <c r="T265" s="4">
        <f t="shared" si="48"/>
        <v>18.969555072389888</v>
      </c>
      <c r="U265" s="4">
        <f>Planet(Panchanga!$E265,4)</f>
        <v>181.08417834635725</v>
      </c>
      <c r="V265" s="4">
        <f>Planet(Panchanga!$E265,2)</f>
        <v>204.28702799239596</v>
      </c>
      <c r="W265" s="4">
        <f>Planet(Panchanga!$E265,5)</f>
        <v>241.41568028142595</v>
      </c>
      <c r="X265" s="4">
        <f>Planet(Panchanga!$E265,3)</f>
        <v>228.50978142647227</v>
      </c>
      <c r="Y265" s="4">
        <f>Planet(Panchanga!$E265,6)</f>
        <v>262.12375189536613</v>
      </c>
      <c r="Z265" s="4">
        <f>Planet(Panchanga!$E265,10)</f>
        <v>76.755465178124936</v>
      </c>
      <c r="AA265" s="4" t="str">
        <f>TEXT(Panchanga!$C265+($C266-Panchanga!$C265)/ABS(IF($P266&lt;1,$P266+30,$P266)-Panchanga!$P265)*(ROUNDUP(Panchanga!$P265,0)-Panchanga!$P265),"hh:mm AM/PM")</f>
        <v>07:01 PM</v>
      </c>
      <c r="AB265" s="4"/>
    </row>
    <row r="266" spans="1:28" x14ac:dyDescent="0.2">
      <c r="A266" s="3">
        <f t="shared" si="43"/>
        <v>43782</v>
      </c>
      <c r="B266" s="3">
        <f t="shared" si="44"/>
        <v>43782.229166666664</v>
      </c>
      <c r="C266" s="15">
        <f t="shared" si="45"/>
        <v>43782.256093230251</v>
      </c>
      <c r="D266" s="15">
        <f t="shared" si="46"/>
        <v>43781.735314349688</v>
      </c>
      <c r="E266" s="17">
        <f>Panchanga!$C266-TimeZone/24</f>
        <v>43782.026926563587</v>
      </c>
      <c r="F266" s="18" t="str">
        <f>INT(P[Sun]/30)&amp;"s"&amp;ROUNDUP(MOD(P[Sun],30),2)</f>
        <v>6s26.2</v>
      </c>
      <c r="G266" s="18" t="str">
        <f>INT(P[Moon]/30)&amp;"s"&amp;ROUNDUP(MOD(P[Moon],30),2)</f>
        <v>1s1.58</v>
      </c>
      <c r="H266" s="14">
        <f t="shared" ref="H266:H329" si="49">E266</f>
        <v>43782.026926563587</v>
      </c>
      <c r="I266" s="4" t="str">
        <f>naks(P[[#This Row],[Moon]])</f>
        <v>Krittika</v>
      </c>
      <c r="J266" s="15">
        <f>(C267-P[[#This Row],[SunRise]])/(T267-P[[#This Row],[Moon]])*(13.3333333333333-MOD(P[[#This Row],[Moon]],13.333333333333))+P[[#This Row],[SunRise]]</f>
        <v>43782.915232962179</v>
      </c>
      <c r="K266" s="4" t="str">
        <f>IF(Panchanga!$P266&gt;15,"K","S")&amp;ROUNDUP(MOD(Panchanga!$P266,15),0)&amp;" ("&amp;ROUND(Panchanga!$P266,2)&amp;")"</f>
        <v>K1 (15.45)</v>
      </c>
      <c r="L266" s="4">
        <f>IF(AND(Panchanga!$P266&lt;28.5,Panchanga!$P266&gt;0.49999),MOD((Panchanga!$P266-0.5)*2,7),MOD((Panchanga!$P266+30-28.5),30)*2+7)</f>
        <v>1.8958000000000013</v>
      </c>
      <c r="M266" s="4" t="str">
        <f>CHOOSE(ROUNDUP(Panchanga!$L266,0),"Bhava","Baalava","Kaulava","Taitula","Garija","Vanija","Vishti","Shakuni","Chatushapda","Naaga","Kimstugna")</f>
        <v>Baalava</v>
      </c>
      <c r="N266" s="11" t="str">
        <f>CHOOSE(ROUNDUP(Panchanga!$Q266,0),"viṣkambha","prīti","āyuṣmāna","saubhāgya","śobhana","atigaṇḍa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("&amp;Panchanga!$Q266&amp;")"</f>
        <v>varīyas (17.84)</v>
      </c>
      <c r="O266" s="4">
        <f>IF(AND(Panchanga!$P266&lt;28.5,Panchanga!$P266&gt;0.49999),MOD((Panchanga!$P266-0.5)*2,7),MOD((Panchanga!$P266+30-28.5),30)*2+7)</f>
        <v>1.8958000000000013</v>
      </c>
      <c r="P266" s="4">
        <f>ROUNDUP(MOD(360+P[Moon]-P[Sun],360)/12,4)</f>
        <v>15.447900000000001</v>
      </c>
      <c r="Q266" s="4">
        <f>ROUNDUP(MOD(P[Sun]+P[Moon],360)/13.333333333,2)</f>
        <v>17.84</v>
      </c>
      <c r="R266" s="4" t="str">
        <f>SIGN(U267-Panchanga!$U266)*INT(Panchanga!$U266/30+1)&amp;"Ma,"&amp;SIGN(V267-Panchanga!$V266)*INT(Panchanga!$V266/30+1)&amp;"Me,"&amp;SIGN(W267-Panchanga!$W266)*INT(Panchanga!$W266/30+1)&amp;"J, "&amp;SIGN(X267-Panchanga!$X266)*INT(Panchanga!$X266/30+1)&amp;"V,"&amp;SIGN(Y267-Panchanga!$Y266)*INT(Panchanga!$Y266/30+1)&amp;"S,"&amp;INT(Panchanga!$Z266/30+1)&amp;"R"</f>
        <v>7Ma,-7Me,9J, 8V,9S,3R</v>
      </c>
      <c r="S266" s="4">
        <f t="shared" si="47"/>
        <v>206.19594974440307</v>
      </c>
      <c r="T266" s="4">
        <f t="shared" si="48"/>
        <v>31.570742167081175</v>
      </c>
      <c r="U266" s="4">
        <f>Planet(Panchanga!$E266,4)</f>
        <v>181.73949608580435</v>
      </c>
      <c r="V266" s="4">
        <f>Planet(Panchanga!$E266,2)</f>
        <v>202.98142985763113</v>
      </c>
      <c r="W266" s="4">
        <f>Planet(Panchanga!$E266,5)</f>
        <v>241.62146720670523</v>
      </c>
      <c r="X266" s="4">
        <f>Planet(Panchanga!$E266,3)</f>
        <v>229.75142908567361</v>
      </c>
      <c r="Y266" s="4">
        <f>Planet(Panchanga!$E266,6)</f>
        <v>262.20544036719718</v>
      </c>
      <c r="Z266" s="4">
        <f>Planet(Panchanga!$E266,10)</f>
        <v>76.702458315663108</v>
      </c>
      <c r="AA266" s="4" t="str">
        <f>TEXT(Panchanga!$C266+($C267-Panchanga!$C266)/ABS(IF($P267&lt;1,$P267+30,$P267)-Panchanga!$P266)*(ROUNDUP(Panchanga!$P266,0)-Panchanga!$P266),"hh:mm AM/PM")</f>
        <v>07:38 PM</v>
      </c>
      <c r="AB266" s="4"/>
    </row>
    <row r="267" spans="1:28" x14ac:dyDescent="0.2">
      <c r="A267" s="3">
        <f t="shared" ref="A267:A330" si="50">A266+1</f>
        <v>43783</v>
      </c>
      <c r="B267" s="3">
        <f t="shared" si="44"/>
        <v>43783.229166666664</v>
      </c>
      <c r="C267" s="15">
        <f t="shared" si="45"/>
        <v>43783.256380604267</v>
      </c>
      <c r="D267" s="15">
        <f t="shared" si="46"/>
        <v>43782.735210557978</v>
      </c>
      <c r="E267" s="17">
        <f>Panchanga!$C267-TimeZone/24</f>
        <v>43783.027213937603</v>
      </c>
      <c r="F267" s="18" t="str">
        <f>INT(P[Sun]/30)&amp;"s"&amp;ROUNDUP(MOD(P[Sun],30),2)</f>
        <v>6s27.21</v>
      </c>
      <c r="G267" s="18" t="str">
        <f>INT(P[Moon]/30)&amp;"s"&amp;ROUNDUP(MOD(P[Moon],30),2)</f>
        <v>1s14.37</v>
      </c>
      <c r="H267" s="14">
        <f t="shared" si="49"/>
        <v>43783.027213937603</v>
      </c>
      <c r="I267" s="4" t="str">
        <f>naks(P[[#This Row],[Moon]])</f>
        <v>Rohini</v>
      </c>
      <c r="J267" s="15">
        <f>(C268-P[[#This Row],[SunRise]])/(T268-P[[#This Row],[Moon]])*(13.3333333333333-MOD(P[[#This Row],[Moon]],13.333333333333))+P[[#This Row],[SunRise]]</f>
        <v>43783.947671524402</v>
      </c>
      <c r="K267" s="4" t="str">
        <f>IF(Panchanga!$P267&gt;15,"K","S")&amp;ROUNDUP(MOD(Panchanga!$P267,15),0)&amp;" ("&amp;ROUND(Panchanga!$P267,2)&amp;")"</f>
        <v>K2 (16.43)</v>
      </c>
      <c r="L267" s="4">
        <f>IF(AND(Panchanga!$P267&lt;28.5,Panchanga!$P267&gt;0.49999),MOD((Panchanga!$P267-0.5)*2,7),MOD((Panchanga!$P267+30-28.5),30)*2+7)</f>
        <v>3.860199999999999</v>
      </c>
      <c r="M267" s="4" t="str">
        <f>CHOOSE(ROUNDUP(Panchanga!$L267,0),"Bhava","Baalava","Kaulava","Taitula","Garija","Vanija","Vishti","Shakuni","Chatushapda","Naaga","Kimstugna")</f>
        <v>Taitula</v>
      </c>
      <c r="N267" s="11" t="str">
        <f>CHOOSE(ROUNDUP(Panchanga!$Q267,0),"viṣkambha","prīti","āyuṣmāna","saubhāgya","śobhana","atigaṇḍa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("&amp;Panchanga!$Q267&amp;")"</f>
        <v>parigha (18.87)</v>
      </c>
      <c r="O267" s="4">
        <f>IF(AND(Panchanga!$P267&lt;28.5,Panchanga!$P267&gt;0.49999),MOD((Panchanga!$P267-0.5)*2,7),MOD((Panchanga!$P267+30-28.5),30)*2+7)</f>
        <v>3.860199999999999</v>
      </c>
      <c r="P267" s="4">
        <f>ROUNDUP(MOD(360+P[Moon]-P[Sun],360)/12,4)</f>
        <v>16.430099999999999</v>
      </c>
      <c r="Q267" s="4">
        <f>ROUNDUP(MOD(P[Sun]+P[Moon],360)/13.333333333,2)</f>
        <v>18.87</v>
      </c>
      <c r="R267" s="4" t="str">
        <f>SIGN(U268-Panchanga!$U267)*INT(Panchanga!$U267/30+1)&amp;"Ma,"&amp;SIGN(V268-Panchanga!$V267)*INT(Panchanga!$V267/30+1)&amp;"Me,"&amp;SIGN(W268-Panchanga!$W267)*INT(Panchanga!$W267/30+1)&amp;"J, "&amp;SIGN(X268-Panchanga!$X267)*INT(Panchanga!$X267/30+1)&amp;"V,"&amp;SIGN(Y268-Panchanga!$Y267)*INT(Panchanga!$Y267/30+1)&amp;"S,"&amp;INT(Panchanga!$Z267/30+1)&amp;"R"</f>
        <v>7Ma,-7Me,9J, 8V,9S,3R</v>
      </c>
      <c r="S267" s="4">
        <f t="shared" si="47"/>
        <v>207.20210758336012</v>
      </c>
      <c r="T267" s="4">
        <f t="shared" si="48"/>
        <v>44.362688660672283</v>
      </c>
      <c r="U267" s="4">
        <f>Planet(Panchanga!$E267,4)</f>
        <v>182.39516675759452</v>
      </c>
      <c r="V267" s="4">
        <f>Planet(Panchanga!$E267,2)</f>
        <v>201.74572293550048</v>
      </c>
      <c r="W267" s="4">
        <f>Planet(Panchanga!$E267,5)</f>
        <v>241.82830812749879</v>
      </c>
      <c r="X267" s="4">
        <f>Planet(Panchanga!$E267,3)</f>
        <v>230.992968161741</v>
      </c>
      <c r="Y267" s="4">
        <f>Planet(Panchanga!$E267,6)</f>
        <v>262.28826774470497</v>
      </c>
      <c r="Z267" s="4">
        <f>Planet(Panchanga!$E267,10)</f>
        <v>76.649451091059703</v>
      </c>
      <c r="AA267" s="4" t="str">
        <f>TEXT(Panchanga!$C267+($C268-Panchanga!$C267)/ABS(IF($P268&lt;1,$P268+30,$P268)-Panchanga!$P267)*(ROUNDUP(Panchanga!$P267,0)-Panchanga!$P267),"hh:mm AM/PM")</f>
        <v>07:51 PM</v>
      </c>
      <c r="AB267" s="4"/>
    </row>
    <row r="268" spans="1:28" x14ac:dyDescent="0.2">
      <c r="A268" s="3">
        <f t="shared" si="50"/>
        <v>43784</v>
      </c>
      <c r="B268" s="3">
        <f t="shared" si="44"/>
        <v>43784.229166666664</v>
      </c>
      <c r="C268" s="15">
        <f t="shared" si="45"/>
        <v>43784.256674654003</v>
      </c>
      <c r="D268" s="15">
        <f t="shared" si="46"/>
        <v>43783.735119800127</v>
      </c>
      <c r="E268" s="17">
        <f>Panchanga!$C268-TimeZone/24</f>
        <v>43784.027507987339</v>
      </c>
      <c r="F268" s="18" t="str">
        <f>INT(P[Sun]/30)&amp;"s"&amp;ROUNDUP(MOD(P[Sun],30),2)</f>
        <v>6s28.21</v>
      </c>
      <c r="G268" s="18" t="str">
        <f>INT(P[Moon]/30)&amp;"s"&amp;ROUNDUP(MOD(P[Moon],30),2)</f>
        <v>1s27.35</v>
      </c>
      <c r="H268" s="14">
        <f t="shared" si="49"/>
        <v>43784.027507987339</v>
      </c>
      <c r="I268" s="4" t="str">
        <f>naks(P[[#This Row],[Moon]])</f>
        <v>Mrigashira</v>
      </c>
      <c r="J268" s="15">
        <f>(C269-P[[#This Row],[SunRise]])/(T269-P[[#This Row],[Moon]])*(13.3333333333333-MOD(P[[#This Row],[Moon]],13.333333333333))+P[[#This Row],[SunRise]]</f>
        <v>43784.964933001866</v>
      </c>
      <c r="K268" s="4" t="str">
        <f>IF(Panchanga!$P268&gt;15,"K","S")&amp;ROUNDUP(MOD(Panchanga!$P268,15),0)&amp;" ("&amp;ROUND(Panchanga!$P268,2)&amp;")"</f>
        <v>K3 (17.43)</v>
      </c>
      <c r="L268" s="4">
        <f>IF(AND(Panchanga!$P268&lt;28.5,Panchanga!$P268&gt;0.49999),MOD((Panchanga!$P268-0.5)*2,7),MOD((Panchanga!$P268+30-28.5),30)*2+7)</f>
        <v>5.8558000000000021</v>
      </c>
      <c r="M268" s="4" t="str">
        <f>CHOOSE(ROUNDUP(Panchanga!$L268,0),"Bhava","Baalava","Kaulava","Taitula","Garija","Vanija","Vishti","Shakuni","Chatushapda","Naaga","Kimstugna")</f>
        <v>Vanija</v>
      </c>
      <c r="N268" s="11" t="str">
        <f>CHOOSE(ROUNDUP(Panchanga!$Q268,0),"viṣkambha","prīti","āyuṣmāna","saubhāgya","śobhana","atigaṇḍa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("&amp;Panchanga!$Q268&amp;")"</f>
        <v>śiva (19.92)</v>
      </c>
      <c r="O268" s="4">
        <f>IF(AND(Panchanga!$P268&lt;28.5,Panchanga!$P268&gt;0.49999),MOD((Panchanga!$P268-0.5)*2,7),MOD((Panchanga!$P268+30-28.5),30)*2+7)</f>
        <v>5.8558000000000021</v>
      </c>
      <c r="P268" s="4">
        <f>ROUNDUP(MOD(360+P[Moon]-P[Sun],360)/12,4)</f>
        <v>17.427900000000001</v>
      </c>
      <c r="Q268" s="4">
        <f>ROUNDUP(MOD(P[Sun]+P[Moon],360)/13.333333333,2)</f>
        <v>19.920000000000002</v>
      </c>
      <c r="R268" s="4" t="str">
        <f>SIGN(U269-Panchanga!$U268)*INT(Panchanga!$U268/30+1)&amp;"Ma,"&amp;SIGN(V269-Panchanga!$V268)*INT(Panchanga!$V268/30+1)&amp;"Me,"&amp;SIGN(W269-Panchanga!$W268)*INT(Panchanga!$W268/30+1)&amp;"J, "&amp;SIGN(X269-Panchanga!$X268)*INT(Panchanga!$X268/30+1)&amp;"V,"&amp;SIGN(Y269-Panchanga!$Y268)*INT(Panchanga!$Y268/30+1)&amp;"S,"&amp;INT(Panchanga!$Z268/30+1)&amp;"R"</f>
        <v>7Ma,-7Me,9J, 8V,9S,3R</v>
      </c>
      <c r="S268" s="4">
        <f t="shared" si="47"/>
        <v>208.20875757944992</v>
      </c>
      <c r="T268" s="4">
        <f t="shared" si="48"/>
        <v>57.343160741220977</v>
      </c>
      <c r="U268" s="4">
        <f>Planet(Panchanga!$E268,4)</f>
        <v>183.05119762376546</v>
      </c>
      <c r="V268" s="4">
        <f>Planet(Panchanga!$E268,2)</f>
        <v>200.61929566973643</v>
      </c>
      <c r="W268" s="4">
        <f>Planet(Panchanga!$E268,5)</f>
        <v>242.03618183245197</v>
      </c>
      <c r="X268" s="4">
        <f>Planet(Panchanga!$E268,3)</f>
        <v>232.23440328092781</v>
      </c>
      <c r="Y268" s="4">
        <f>Planet(Panchanga!$E268,6)</f>
        <v>262.37221894545053</v>
      </c>
      <c r="Z268" s="4">
        <f>Planet(Panchanga!$E268,10)</f>
        <v>76.596443512632334</v>
      </c>
      <c r="AA268" s="4" t="str">
        <f>TEXT(Panchanga!$C268+($C269-Panchanga!$C268)/ABS(IF($P269&lt;1,$P269+30,$P269)-Panchanga!$P268)*(ROUNDUP(Panchanga!$P268,0)-Panchanga!$P268),"hh:mm AM/PM")</f>
        <v>07:42 PM</v>
      </c>
      <c r="AB268" s="4"/>
    </row>
    <row r="269" spans="1:28" x14ac:dyDescent="0.2">
      <c r="A269" s="3">
        <f t="shared" si="50"/>
        <v>43785</v>
      </c>
      <c r="B269" s="3">
        <f t="shared" si="44"/>
        <v>43785.229166666664</v>
      </c>
      <c r="C269" s="15">
        <f t="shared" si="45"/>
        <v>43785.256975061413</v>
      </c>
      <c r="D269" s="15">
        <f t="shared" si="46"/>
        <v>43784.735042393251</v>
      </c>
      <c r="E269" s="17">
        <f>Panchanga!$C269-TimeZone/24</f>
        <v>43785.027808394749</v>
      </c>
      <c r="F269" s="18" t="str">
        <f>INT(P[Sun]/30)&amp;"s"&amp;ROUNDUP(MOD(P[Sun],30),2)</f>
        <v>6s29.22</v>
      </c>
      <c r="G269" s="18" t="str">
        <f>INT(P[Moon]/30)&amp;"s"&amp;ROUNDUP(MOD(P[Moon],30),2)</f>
        <v>2s10.52</v>
      </c>
      <c r="H269" s="14">
        <f t="shared" si="49"/>
        <v>43785.027808394749</v>
      </c>
      <c r="I269" s="4" t="str">
        <f>naks(P[[#This Row],[Moon]])</f>
        <v>Ardra</v>
      </c>
      <c r="J269" s="15">
        <f>(C270-P[[#This Row],[SunRise]])/(T270-P[[#This Row],[Moon]])*(13.3333333333333-MOD(P[[#This Row],[Moon]],13.333333333333))+P[[#This Row],[SunRise]]</f>
        <v>43785.96752203229</v>
      </c>
      <c r="K269" s="4" t="str">
        <f>IF(Panchanga!$P269&gt;15,"K","S")&amp;ROUNDUP(MOD(Panchanga!$P269,15),0)&amp;" ("&amp;ROUND(Panchanga!$P269,2)&amp;")"</f>
        <v>K4 (18.44)</v>
      </c>
      <c r="L269" s="4">
        <f>IF(AND(Panchanga!$P269&lt;28.5,Panchanga!$P269&gt;0.49999),MOD((Panchanga!$P269-0.5)*2,7),MOD((Panchanga!$P269+30-28.5),30)*2+7)</f>
        <v>0.8825999999999965</v>
      </c>
      <c r="M269" s="4" t="str">
        <f>CHOOSE(ROUNDUP(Panchanga!$L269,0),"Bhava","Baalava","Kaulava","Taitula","Garija","Vanija","Vishti","Shakuni","Chatushapda","Naaga","Kimstugna")</f>
        <v>Bhava</v>
      </c>
      <c r="N269" s="11" t="str">
        <f>CHOOSE(ROUNDUP(Panchanga!$Q269,0),"viṣkambha","prīti","āyuṣmāna","saubhāgya","śobhana","atigaṇḍa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("&amp;Panchanga!$Q269&amp;")"</f>
        <v>siddha (20.98)</v>
      </c>
      <c r="O269" s="4">
        <f>IF(AND(Panchanga!$P269&lt;28.5,Panchanga!$P269&gt;0.49999),MOD((Panchanga!$P269-0.5)*2,7),MOD((Panchanga!$P269+30-28.5),30)*2+7)</f>
        <v>0.8825999999999965</v>
      </c>
      <c r="P269" s="4">
        <f>ROUNDUP(MOD(360+P[Moon]-P[Sun],360)/12,4)</f>
        <v>18.441299999999998</v>
      </c>
      <c r="Q269" s="4">
        <f>ROUNDUP(MOD(P[Sun]+P[Moon],360)/13.333333333,2)</f>
        <v>20.98</v>
      </c>
      <c r="R269" s="4" t="str">
        <f>SIGN(U270-Panchanga!$U269)*INT(Panchanga!$U269/30+1)&amp;"Ma,"&amp;SIGN(V270-Panchanga!$V269)*INT(Panchanga!$V269/30+1)&amp;"Me,"&amp;SIGN(W270-Panchanga!$W269)*INT(Panchanga!$W269/30+1)&amp;"J, "&amp;SIGN(X270-Panchanga!$X269)*INT(Panchanga!$X269/30+1)&amp;"V,"&amp;SIGN(Y270-Panchanga!$Y269)*INT(Panchanga!$Y269/30+1)&amp;"S,"&amp;INT(Panchanga!$Z269/30+1)&amp;"R"</f>
        <v>7Ma,-7Me,9J, 8V,9S,3R</v>
      </c>
      <c r="S269" s="4">
        <f t="shared" si="47"/>
        <v>209.2159093377216</v>
      </c>
      <c r="T269" s="4">
        <f t="shared" si="48"/>
        <v>70.511105466228045</v>
      </c>
      <c r="U269" s="4">
        <f>Planet(Panchanga!$E269,4)</f>
        <v>183.70759515772437</v>
      </c>
      <c r="V269" s="4">
        <f>Planet(Panchanga!$E269,2)</f>
        <v>199.63549778273978</v>
      </c>
      <c r="W269" s="4">
        <f>Planet(Panchanga!$E269,5)</f>
        <v>242.24506749799733</v>
      </c>
      <c r="X269" s="4">
        <f>Planet(Panchanga!$E269,3)</f>
        <v>233.47573958814687</v>
      </c>
      <c r="Y269" s="4">
        <f>Planet(Panchanga!$E269,6)</f>
        <v>262.45727905818416</v>
      </c>
      <c r="Z269" s="4">
        <f>Planet(Panchanga!$E269,10)</f>
        <v>76.543435597347298</v>
      </c>
      <c r="AA269" s="4" t="str">
        <f>TEXT(Panchanga!$C269+($C270-Panchanga!$C269)/ABS(IF($P270&lt;1,$P270+30,$P270)-Panchanga!$P269)*(ROUNDUP(Panchanga!$P269,0)-Panchanga!$P269),"hh:mm AM/PM")</f>
        <v>07:11 PM</v>
      </c>
      <c r="AB269" s="4"/>
    </row>
    <row r="270" spans="1:28" x14ac:dyDescent="0.2">
      <c r="A270" s="3">
        <f t="shared" si="50"/>
        <v>43786</v>
      </c>
      <c r="B270" s="3">
        <f t="shared" si="44"/>
        <v>43786.229166666664</v>
      </c>
      <c r="C270" s="15">
        <f t="shared" si="45"/>
        <v>43786.257282144543</v>
      </c>
      <c r="D270" s="15">
        <f t="shared" si="46"/>
        <v>43785.734978179491</v>
      </c>
      <c r="E270" s="17">
        <f>Panchanga!$C270-TimeZone/24</f>
        <v>43786.028115477879</v>
      </c>
      <c r="F270" s="18" t="str">
        <f>INT(P[Sun]/30)&amp;"s"&amp;ROUNDUP(MOD(P[Sun],30),2)</f>
        <v>7s0.23</v>
      </c>
      <c r="G270" s="18" t="str">
        <f>INT(P[Moon]/30)&amp;"s"&amp;ROUNDUP(MOD(P[Moon],30),2)</f>
        <v>2s23.87</v>
      </c>
      <c r="H270" s="14">
        <f t="shared" si="49"/>
        <v>43786.028115477879</v>
      </c>
      <c r="I270" s="4" t="str">
        <f>naks(P[[#This Row],[Moon]])</f>
        <v>Punarvasu</v>
      </c>
      <c r="J270" s="15">
        <f>(C271-P[[#This Row],[SunRise]])/(T271-P[[#This Row],[Moon]])*(13.3333333333333-MOD(P[[#This Row],[Moon]],13.333333333333))+P[[#This Row],[SunRise]]</f>
        <v>43786.955604795454</v>
      </c>
      <c r="K270" s="4" t="str">
        <f>IF(Panchanga!$P270&gt;15,"K","S")&amp;ROUNDUP(MOD(Panchanga!$P270,15),0)&amp;" ("&amp;ROUND(Panchanga!$P270,2)&amp;")"</f>
        <v>K5 (19.47)</v>
      </c>
      <c r="L270" s="4">
        <f>IF(AND(Panchanga!$P270&lt;28.5,Panchanga!$P270&gt;0.49999),MOD((Panchanga!$P270-0.5)*2,7),MOD((Panchanga!$P270+30-28.5),30)*2+7)</f>
        <v>2.9410000000000025</v>
      </c>
      <c r="M270" s="4" t="str">
        <f>CHOOSE(ROUNDUP(Panchanga!$L270,0),"Bhava","Baalava","Kaulava","Taitula","Garija","Vanija","Vishti","Shakuni","Chatushapda","Naaga","Kimstugna")</f>
        <v>Kaulava</v>
      </c>
      <c r="N270" s="11" t="str">
        <f>CHOOSE(ROUNDUP(Panchanga!$Q270,0),"viṣkambha","prīti","āyuṣmāna","saubhāgya","śobhana","atigaṇḍa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("&amp;Panchanga!$Q270&amp;")"</f>
        <v>śubha (22.06)</v>
      </c>
      <c r="O270" s="4">
        <f>IF(AND(Panchanga!$P270&lt;28.5,Panchanga!$P270&gt;0.49999),MOD((Panchanga!$P270-0.5)*2,7),MOD((Panchanga!$P270+30-28.5),30)*2+7)</f>
        <v>2.9410000000000025</v>
      </c>
      <c r="P270" s="4">
        <f>ROUNDUP(MOD(360+P[Moon]-P[Sun],360)/12,4)</f>
        <v>19.470500000000001</v>
      </c>
      <c r="Q270" s="4">
        <f>ROUNDUP(MOD(P[Sun]+P[Moon],360)/13.333333333,2)</f>
        <v>22.060000000000002</v>
      </c>
      <c r="R270" s="4" t="str">
        <f>SIGN(U271-Panchanga!$U270)*INT(Panchanga!$U270/30+1)&amp;"Ma,"&amp;SIGN(V271-Panchanga!$V270)*INT(Panchanga!$V270/30+1)&amp;"Me,"&amp;SIGN(W271-Panchanga!$W270)*INT(Panchanga!$W270/30+1)&amp;"J, "&amp;SIGN(X271-Panchanga!$X270)*INT(Panchanga!$X270/30+1)&amp;"V,"&amp;SIGN(Y271-Panchanga!$Y270)*INT(Panchanga!$Y270/30+1)&amp;"S,"&amp;INT(Panchanga!$Z270/30+1)&amp;"R"</f>
        <v>7Ma,-7Me,9J, 8V,9S,3R</v>
      </c>
      <c r="S270" s="4">
        <f t="shared" si="47"/>
        <v>210.22357209683736</v>
      </c>
      <c r="T270" s="4">
        <f t="shared" si="48"/>
        <v>83.869558604793355</v>
      </c>
      <c r="U270" s="4">
        <f>Planet(Panchanga!$E270,4)</f>
        <v>184.36436520878075</v>
      </c>
      <c r="V270" s="4">
        <f>Planet(Panchanga!$E270,2)</f>
        <v>198.81989137042544</v>
      </c>
      <c r="W270" s="4">
        <f>Planet(Panchanga!$E270,5)</f>
        <v>242.45494472637401</v>
      </c>
      <c r="X270" s="4">
        <f>Planet(Panchanga!$E270,3)</f>
        <v>234.71698337117977</v>
      </c>
      <c r="Y270" s="4">
        <f>Planet(Panchanga!$E270,6)</f>
        <v>262.54343336563278</v>
      </c>
      <c r="Z270" s="4">
        <f>Planet(Panchanga!$E270,10)</f>
        <v>76.490427328271352</v>
      </c>
      <c r="AA270" s="4" t="str">
        <f>TEXT(Panchanga!$C270+($C271-Panchanga!$C270)/ABS(IF($P271&lt;1,$P271+30,$P271)-Panchanga!$P270)*(ROUNDUP(Panchanga!$P270,0)-Panchanga!$P270),"hh:mm AM/PM")</f>
        <v>06:19 PM</v>
      </c>
      <c r="AB270" s="4"/>
    </row>
    <row r="271" spans="1:28" x14ac:dyDescent="0.2">
      <c r="A271" s="3">
        <f t="shared" si="50"/>
        <v>43787</v>
      </c>
      <c r="B271" s="3">
        <f t="shared" si="44"/>
        <v>43787.229166666664</v>
      </c>
      <c r="C271" s="15">
        <f t="shared" si="45"/>
        <v>43787.2575952673</v>
      </c>
      <c r="D271" s="15">
        <f t="shared" si="46"/>
        <v>43786.734927475496</v>
      </c>
      <c r="E271" s="17">
        <f>Panchanga!$C271-TimeZone/24</f>
        <v>43787.028428600635</v>
      </c>
      <c r="F271" s="18" t="str">
        <f>INT(P[Sun]/30)&amp;"s"&amp;ROUNDUP(MOD(P[Sun],30),2)</f>
        <v>7s1.24</v>
      </c>
      <c r="G271" s="18" t="str">
        <f>INT(P[Moon]/30)&amp;"s"&amp;ROUNDUP(MOD(P[Moon],30),2)</f>
        <v>3s7.43</v>
      </c>
      <c r="H271" s="14">
        <f t="shared" si="49"/>
        <v>43787.028428600635</v>
      </c>
      <c r="I271" s="4" t="str">
        <f>naks(P[[#This Row],[Moon]])</f>
        <v>Pushya</v>
      </c>
      <c r="J271" s="15">
        <f>(C272-P[[#This Row],[SunRise]])/(T272-P[[#This Row],[Moon]])*(13.3333333333333-MOD(P[[#This Row],[Moon]],13.333333333333))+P[[#This Row],[SunRise]]</f>
        <v>43787.929208869122</v>
      </c>
      <c r="K271" s="4" t="str">
        <f>IF(Panchanga!$P271&gt;15,"K","S")&amp;ROUNDUP(MOD(Panchanga!$P271,15),0)&amp;" ("&amp;ROUND(Panchanga!$P271,2)&amp;")"</f>
        <v>K6 (20.52)</v>
      </c>
      <c r="L271" s="4">
        <f>IF(AND(Panchanga!$P271&lt;28.5,Panchanga!$P271&gt;0.49999),MOD((Panchanga!$P271-0.5)*2,7),MOD((Panchanga!$P271+30-28.5),30)*2+7)</f>
        <v>5.0324000000000026</v>
      </c>
      <c r="M271" s="4" t="str">
        <f>CHOOSE(ROUNDUP(Panchanga!$L271,0),"Bhava","Baalava","Kaulava","Taitula","Garija","Vanija","Vishti","Shakuni","Chatushapda","Naaga","Kimstugna")</f>
        <v>Vanija</v>
      </c>
      <c r="N271" s="11" t="str">
        <f>CHOOSE(ROUNDUP(Panchanga!$Q271,0),"viṣkambha","prīti","āyuṣmāna","saubhāgya","śobhana","atigaṇḍa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("&amp;Panchanga!$Q271&amp;")"</f>
        <v>śukla (23.15)</v>
      </c>
      <c r="O271" s="4">
        <f>IF(AND(Panchanga!$P271&lt;28.5,Panchanga!$P271&gt;0.49999),MOD((Panchanga!$P271-0.5)*2,7),MOD((Panchanga!$P271+30-28.5),30)*2+7)</f>
        <v>5.0324000000000026</v>
      </c>
      <c r="P271" s="4">
        <f>ROUNDUP(MOD(360+P[Moon]-P[Sun],360)/12,4)</f>
        <v>20.516200000000001</v>
      </c>
      <c r="Q271" s="4">
        <f>ROUNDUP(MOD(P[Sun]+P[Moon],360)/13.333333333,2)</f>
        <v>23.150000000000002</v>
      </c>
      <c r="R271" s="4" t="str">
        <f>SIGN(U272-Panchanga!$U271)*INT(Panchanga!$U271/30+1)&amp;"Ma,"&amp;SIGN(V272-Panchanga!$V271)*INT(Panchanga!$V271/30+1)&amp;"Me,"&amp;SIGN(W272-Panchanga!$W271)*INT(Panchanga!$W271/30+1)&amp;"J, "&amp;SIGN(X272-Panchanga!$X271)*INT(Panchanga!$X271/30+1)&amp;"V,"&amp;SIGN(Y272-Panchanga!$Y271)*INT(Panchanga!$Y271/30+1)&amp;"S,"&amp;INT(Panchanga!$Z271/30+1)&amp;"R"</f>
        <v>7Ma,-7Me,9J, 8V,9S,3R</v>
      </c>
      <c r="S271" s="4">
        <f t="shared" si="47"/>
        <v>211.23175222052711</v>
      </c>
      <c r="T271" s="4">
        <f t="shared" si="48"/>
        <v>97.425954118212132</v>
      </c>
      <c r="U271" s="4">
        <f>Planet(Panchanga!$E271,4)</f>
        <v>185.02151158694602</v>
      </c>
      <c r="V271" s="4">
        <f>Planet(Panchanga!$E271,2)</f>
        <v>198.18951630398095</v>
      </c>
      <c r="W271" s="4">
        <f>Planet(Panchanga!$E271,5)</f>
        <v>242.66579303921509</v>
      </c>
      <c r="X271" s="4">
        <f>Planet(Panchanga!$E271,3)</f>
        <v>235.95813958625905</v>
      </c>
      <c r="Y271" s="4">
        <f>Planet(Panchanga!$E271,6)</f>
        <v>262.63066713721417</v>
      </c>
      <c r="Z271" s="4">
        <f>Planet(Panchanga!$E271,10)</f>
        <v>76.437418739138607</v>
      </c>
      <c r="AA271" s="4" t="str">
        <f>TEXT(Panchanga!$C271+($C272-Panchanga!$C271)/ABS(IF($P272&lt;1,$P272+30,$P272)-Panchanga!$P271)*(ROUNDUP(Panchanga!$P271,0)-Panchanga!$P271),"hh:mm AM/PM")</f>
        <v>05:06 PM</v>
      </c>
      <c r="AB271" s="4"/>
    </row>
    <row r="272" spans="1:28" x14ac:dyDescent="0.2">
      <c r="A272" s="3">
        <f t="shared" si="50"/>
        <v>43788</v>
      </c>
      <c r="B272" s="3">
        <f t="shared" si="44"/>
        <v>43788.229166666664</v>
      </c>
      <c r="C272" s="15">
        <f t="shared" si="45"/>
        <v>43788.257914748196</v>
      </c>
      <c r="D272" s="15">
        <f t="shared" si="46"/>
        <v>43787.734890282198</v>
      </c>
      <c r="E272" s="17">
        <f>Panchanga!$C272-TimeZone/24</f>
        <v>43788.028748081531</v>
      </c>
      <c r="F272" s="18" t="str">
        <f>INT(P[Sun]/30)&amp;"s"&amp;ROUNDUP(MOD(P[Sun],30),2)</f>
        <v>7s2.25</v>
      </c>
      <c r="G272" s="18" t="str">
        <f>INT(P[Moon]/30)&amp;"s"&amp;ROUNDUP(MOD(P[Moon],30),2)</f>
        <v>3s21.19</v>
      </c>
      <c r="H272" s="14">
        <f t="shared" si="49"/>
        <v>43788.028748081531</v>
      </c>
      <c r="I272" s="4" t="str">
        <f>naks(P[[#This Row],[Moon]])</f>
        <v>Aslesha</v>
      </c>
      <c r="J272" s="15">
        <f>(C273-P[[#This Row],[SunRise]])/(T273-P[[#This Row],[Moon]])*(13.3333333333333-MOD(P[[#This Row],[Moon]],13.333333333333))+P[[#This Row],[SunRise]]</f>
        <v>43788.888574321005</v>
      </c>
      <c r="K272" s="4" t="str">
        <f>IF(Panchanga!$P272&gt;15,"K","S")&amp;ROUNDUP(MOD(Panchanga!$P272,15),0)&amp;" ("&amp;ROUND(Panchanga!$P272,2)&amp;")"</f>
        <v>K7 (21.58)</v>
      </c>
      <c r="L272" s="4">
        <f>IF(AND(Panchanga!$P272&lt;28.5,Panchanga!$P272&gt;0.49999),MOD((Panchanga!$P272-0.5)*2,7),MOD((Panchanga!$P272+30-28.5),30)*2+7)</f>
        <v>0.15820000000000078</v>
      </c>
      <c r="M272" s="4" t="str">
        <f>CHOOSE(ROUNDUP(Panchanga!$L272,0),"Bhava","Baalava","Kaulava","Taitula","Garija","Vanija","Vishti","Shakuni","Chatushapda","Naaga","Kimstugna")</f>
        <v>Bhava</v>
      </c>
      <c r="N272" s="11" t="str">
        <f>CHOOSE(ROUNDUP(Panchanga!$Q272,0),"viṣkambha","prīti","āyuṣmāna","saubhāgya","śobhana","atigaṇḍa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("&amp;Panchanga!$Q272&amp;")"</f>
        <v>brahma (24.26)</v>
      </c>
      <c r="O272" s="4">
        <f>IF(AND(Panchanga!$P272&lt;28.5,Panchanga!$P272&gt;0.49999),MOD((Panchanga!$P272-0.5)*2,7),MOD((Panchanga!$P272+30-28.5),30)*2+7)</f>
        <v>0.15820000000000078</v>
      </c>
      <c r="P272" s="4">
        <f>ROUNDUP(MOD(360+P[Moon]-P[Sun],360)/12,4)</f>
        <v>21.5791</v>
      </c>
      <c r="Q272" s="4">
        <f>ROUNDUP(MOD(P[Sun]+P[Moon],360)/13.333333333,2)</f>
        <v>24.26</v>
      </c>
      <c r="R272" s="4" t="str">
        <f>SIGN(U273-Panchanga!$U272)*INT(Panchanga!$U272/30+1)&amp;"Ma,"&amp;SIGN(V273-Panchanga!$V272)*INT(Panchanga!$V272/30+1)&amp;"Me,"&amp;SIGN(W273-Panchanga!$W272)*INT(Panchanga!$W272/30+1)&amp;"J, "&amp;SIGN(X273-Panchanga!$X272)*INT(Panchanga!$X272/30+1)&amp;"V,"&amp;SIGN(Y273-Panchanga!$Y272)*INT(Panchanga!$Y272/30+1)&amp;"S,"&amp;INT(Panchanga!$Z272/30+1)&amp;"R"</f>
        <v>7Ma,-7Me,9J, 8V,9S,3R</v>
      </c>
      <c r="S272" s="4">
        <f t="shared" si="47"/>
        <v>212.24045415664676</v>
      </c>
      <c r="T272" s="4">
        <f t="shared" si="48"/>
        <v>111.18932155825314</v>
      </c>
      <c r="U272" s="4">
        <f>Planet(Panchanga!$E272,4)</f>
        <v>185.67903697784135</v>
      </c>
      <c r="V272" s="4">
        <f>Planet(Panchanga!$E272,2)</f>
        <v>197.75309709327973</v>
      </c>
      <c r="W272" s="4">
        <f>Planet(Panchanga!$E272,5)</f>
        <v>242.87759206755678</v>
      </c>
      <c r="X272" s="4">
        <f>Planet(Panchanga!$E272,3)</f>
        <v>237.19921360837358</v>
      </c>
      <c r="Y272" s="4">
        <f>Planet(Panchanga!$E272,6)</f>
        <v>262.71896568521817</v>
      </c>
      <c r="Z272" s="4">
        <f>Planet(Panchanga!$E272,10)</f>
        <v>76.384409813115113</v>
      </c>
      <c r="AA272" s="4" t="str">
        <f>TEXT(Panchanga!$C272+($C273-Panchanga!$C272)/ABS(IF($P273&lt;1,$P273+30,$P273)-Panchanga!$P272)*(ROUNDUP(Panchanga!$P272,0)-Panchanga!$P272),"hh:mm AM/PM")</f>
        <v>03:32 PM</v>
      </c>
      <c r="AB272" s="4"/>
    </row>
    <row r="273" spans="1:28" x14ac:dyDescent="0.2">
      <c r="A273" s="3">
        <f t="shared" si="50"/>
        <v>43789</v>
      </c>
      <c r="B273" s="3">
        <f t="shared" si="44"/>
        <v>43789.229166666664</v>
      </c>
      <c r="C273" s="15">
        <f t="shared" si="45"/>
        <v>43789.258240269184</v>
      </c>
      <c r="D273" s="15">
        <f t="shared" si="46"/>
        <v>43788.73486644034</v>
      </c>
      <c r="E273" s="17">
        <f>Panchanga!$C273-TimeZone/24</f>
        <v>43789.02907360252</v>
      </c>
      <c r="F273" s="18" t="str">
        <f>INT(P[Sun]/30)&amp;"s"&amp;ROUNDUP(MOD(P[Sun],30),2)</f>
        <v>7s3.25</v>
      </c>
      <c r="G273" s="18" t="str">
        <f>INT(P[Moon]/30)&amp;"s"&amp;ROUNDUP(MOD(P[Moon],30),2)</f>
        <v>4s5.17</v>
      </c>
      <c r="H273" s="14">
        <f t="shared" si="49"/>
        <v>43789.02907360252</v>
      </c>
      <c r="I273" s="4" t="str">
        <f>naks(P[[#This Row],[Moon]])</f>
        <v>Makha</v>
      </c>
      <c r="J273" s="15">
        <f>(C274-P[[#This Row],[SunRise]])/(T274-P[[#This Row],[Moon]])*(13.3333333333333-MOD(P[[#This Row],[Moon]],13.333333333333))+P[[#This Row],[SunRise]]</f>
        <v>43789.834532434244</v>
      </c>
      <c r="K273" s="4" t="str">
        <f>IF(Panchanga!$P273&gt;15,"K","S")&amp;ROUNDUP(MOD(Panchanga!$P273,15),0)&amp;" ("&amp;ROUND(Panchanga!$P273,2)&amp;")"</f>
        <v>K8 (22.66)</v>
      </c>
      <c r="L273" s="4">
        <f>IF(AND(Panchanga!$P273&lt;28.5,Panchanga!$P273&gt;0.49999),MOD((Panchanga!$P273-0.5)*2,7),MOD((Panchanga!$P273+30-28.5),30)*2+7)</f>
        <v>2.3192000000000021</v>
      </c>
      <c r="M273" s="4" t="str">
        <f>CHOOSE(ROUNDUP(Panchanga!$L273,0),"Bhava","Baalava","Kaulava","Taitula","Garija","Vanija","Vishti","Shakuni","Chatushapda","Naaga","Kimstugna")</f>
        <v>Kaulava</v>
      </c>
      <c r="N273" s="11" t="str">
        <f>CHOOSE(ROUNDUP(Panchanga!$Q273,0),"viṣkambha","prīti","āyuṣmāna","saubhāgya","śobhana","atigaṇḍa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("&amp;Panchanga!$Q273&amp;")"</f>
        <v>mahendra (25.39)</v>
      </c>
      <c r="O273" s="4">
        <f>IF(AND(Panchanga!$P273&lt;28.5,Panchanga!$P273&gt;0.49999),MOD((Panchanga!$P273-0.5)*2,7),MOD((Panchanga!$P273+30-28.5),30)*2+7)</f>
        <v>2.3192000000000021</v>
      </c>
      <c r="P273" s="4">
        <f>ROUNDUP(MOD(360+P[Moon]-P[Sun],360)/12,4)</f>
        <v>22.659600000000001</v>
      </c>
      <c r="Q273" s="4">
        <f>ROUNDUP(MOD(P[Sun]+P[Moon],360)/13.333333333,2)</f>
        <v>25.39</v>
      </c>
      <c r="R273" s="4" t="str">
        <f>SIGN(U274-Panchanga!$U273)*INT(Panchanga!$U273/30+1)&amp;"Ma,"&amp;SIGN(V274-Panchanga!$V273)*INT(Panchanga!$V273/30+1)&amp;"Me,"&amp;SIGN(W274-Panchanga!$W273)*INT(Panchanga!$W273/30+1)&amp;"J, "&amp;SIGN(X274-Panchanga!$X273)*INT(Panchanga!$X273/30+1)&amp;"V,"&amp;SIGN(Y274-Panchanga!$Y273)*INT(Panchanga!$Y273/30+1)&amp;"S,"&amp;INT(Panchanga!$Z273/30+1)&amp;"R"</f>
        <v>7Ma,-7Me,9J, 8V,9S,3R</v>
      </c>
      <c r="S273" s="4">
        <f t="shared" si="47"/>
        <v>213.24967793311581</v>
      </c>
      <c r="T273" s="4">
        <f t="shared" si="48"/>
        <v>125.1644467803506</v>
      </c>
      <c r="U273" s="4">
        <f>Planet(Panchanga!$E273,4)</f>
        <v>186.3369416497975</v>
      </c>
      <c r="V273" s="4">
        <f>Planet(Panchanga!$E273,2)</f>
        <v>197.51197064682674</v>
      </c>
      <c r="W273" s="4">
        <f>Planet(Panchanga!$E273,5)</f>
        <v>243.09032098728301</v>
      </c>
      <c r="X273" s="4">
        <f>Planet(Panchanga!$E273,3)</f>
        <v>238.44020857626739</v>
      </c>
      <c r="Y273" s="4">
        <f>Planet(Panchanga!$E273,6)</f>
        <v>262.80831409941777</v>
      </c>
      <c r="Z273" s="4">
        <f>Planet(Panchanga!$E273,10)</f>
        <v>76.331400567001694</v>
      </c>
      <c r="AA273" s="4" t="str">
        <f>TEXT(Panchanga!$C273+($C274-Panchanga!$C273)/ABS(IF($P274&lt;1,$P274+30,$P274)-Panchanga!$P273)*(ROUNDUP(Panchanga!$P273,0)-Panchanga!$P273),"hh:mm AM/PM")</f>
        <v>01:38 PM</v>
      </c>
      <c r="AB273" s="4"/>
    </row>
    <row r="274" spans="1:28" x14ac:dyDescent="0.2">
      <c r="A274" s="3">
        <f t="shared" si="50"/>
        <v>43790</v>
      </c>
      <c r="B274" s="3">
        <f t="shared" si="44"/>
        <v>43790.229166666664</v>
      </c>
      <c r="C274" s="15">
        <f t="shared" si="45"/>
        <v>43790.258571671009</v>
      </c>
      <c r="D274" s="15">
        <f t="shared" si="46"/>
        <v>43789.73485642676</v>
      </c>
      <c r="E274" s="17">
        <f>Panchanga!$C274-TimeZone/24</f>
        <v>43790.029405004345</v>
      </c>
      <c r="F274" s="18" t="str">
        <f>INT(P[Sun]/30)&amp;"s"&amp;ROUNDUP(MOD(P[Sun],30),2)</f>
        <v>7s4.26</v>
      </c>
      <c r="G274" s="18" t="str">
        <f>INT(P[Moon]/30)&amp;"s"&amp;ROUNDUP(MOD(P[Moon],30),2)</f>
        <v>4s19.35</v>
      </c>
      <c r="H274" s="14">
        <f t="shared" si="49"/>
        <v>43790.029405004345</v>
      </c>
      <c r="I274" s="4" t="str">
        <f>naks(P[[#This Row],[Moon]])</f>
        <v>Purva Phalguni</v>
      </c>
      <c r="J274" s="15">
        <f>(C275-P[[#This Row],[SunRise]])/(T275-P[[#This Row],[Moon]])*(13.3333333333333-MOD(P[[#This Row],[Moon]],13.333333333333))+P[[#This Row],[SunRise]]</f>
        <v>43790.768792990231</v>
      </c>
      <c r="K274" s="4" t="str">
        <f>IF(Panchanga!$P274&gt;15,"K","S")&amp;ROUNDUP(MOD(Panchanga!$P274,15),0)&amp;" ("&amp;ROUND(Panchanga!$P274,2)&amp;")"</f>
        <v>K9 (23.76)</v>
      </c>
      <c r="L274" s="4">
        <f>IF(AND(Panchanga!$P274&lt;28.5,Panchanga!$P274&gt;0.49999),MOD((Panchanga!$P274-0.5)*2,7),MOD((Panchanga!$P274+30-28.5),30)*2+7)</f>
        <v>4.5142000000000024</v>
      </c>
      <c r="M274" s="4" t="str">
        <f>CHOOSE(ROUNDUP(Panchanga!$L274,0),"Bhava","Baalava","Kaulava","Taitula","Garija","Vanija","Vishti","Shakuni","Chatushapda","Naaga","Kimstugna")</f>
        <v>Garija</v>
      </c>
      <c r="N274" s="11" t="str">
        <f>CHOOSE(ROUNDUP(Panchanga!$Q274,0),"viṣkambha","prīti","āyuṣmāna","saubhāgya","śobhana","atigaṇḍa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("&amp;Panchanga!$Q274&amp;")"</f>
        <v>vaidhṛti (26.53)</v>
      </c>
      <c r="O274" s="4">
        <f>IF(AND(Panchanga!$P274&lt;28.5,Panchanga!$P274&gt;0.49999),MOD((Panchanga!$P274-0.5)*2,7),MOD((Panchanga!$P274+30-28.5),30)*2+7)</f>
        <v>4.5142000000000024</v>
      </c>
      <c r="P274" s="4">
        <f>ROUNDUP(MOD(360+P[Moon]-P[Sun],360)/12,4)</f>
        <v>23.757100000000001</v>
      </c>
      <c r="Q274" s="4">
        <f>ROUNDUP(MOD(P[Sun]+P[Moon],360)/13.333333333,2)</f>
        <v>26.53</v>
      </c>
      <c r="R274" s="4" t="str">
        <f>SIGN(U275-Panchanga!$U274)*INT(Panchanga!$U274/30+1)&amp;"Ma,"&amp;SIGN(V275-Panchanga!$V274)*INT(Panchanga!$V274/30+1)&amp;"Me,"&amp;SIGN(W275-Panchanga!$W274)*INT(Panchanga!$W274/30+1)&amp;"J, "&amp;SIGN(X275-Panchanga!$X274)*INT(Panchanga!$X274/30+1)&amp;"V,"&amp;SIGN(Y275-Panchanga!$Y274)*INT(Panchanga!$Y274/30+1)&amp;"S,"&amp;INT(Panchanga!$Z274/30+1)&amp;"R"</f>
        <v>7Ma,7Me,9J, 8V,9S,3R</v>
      </c>
      <c r="S274" s="4">
        <f t="shared" si="47"/>
        <v>214.25941923460408</v>
      </c>
      <c r="T274" s="4">
        <f t="shared" si="48"/>
        <v>139.34404912843004</v>
      </c>
      <c r="U274" s="4">
        <f>Planet(Panchanga!$E274,4)</f>
        <v>186.99522385677818</v>
      </c>
      <c r="V274" s="4">
        <f>Planet(Panchanga!$E274,2)</f>
        <v>197.46143989082429</v>
      </c>
      <c r="W274" s="4">
        <f>Planet(Panchanga!$E274,5)</f>
        <v>243.30395845984222</v>
      </c>
      <c r="X274" s="4">
        <f>Planet(Panchanga!$E274,3)</f>
        <v>239.6811257006708</v>
      </c>
      <c r="Y274" s="4">
        <f>Planet(Panchanga!$E274,6)</f>
        <v>262.89869717421169</v>
      </c>
      <c r="Z274" s="4">
        <f>Planet(Panchanga!$E274,10)</f>
        <v>76.278391009264908</v>
      </c>
      <c r="AA274" s="4" t="str">
        <f>TEXT(Panchanga!$C274+($C275-Panchanga!$C274)/ABS(IF($P275&lt;1,$P275+30,$P275)-Panchanga!$P274)*(ROUNDUP(Panchanga!$P274,0)-Panchanga!$P274),"hh:mm AM/PM")</f>
        <v>11:26 AM</v>
      </c>
      <c r="AB274" s="4"/>
    </row>
    <row r="275" spans="1:28" x14ac:dyDescent="0.2">
      <c r="A275" s="3">
        <f t="shared" si="50"/>
        <v>43791</v>
      </c>
      <c r="B275" s="3">
        <f t="shared" si="44"/>
        <v>43791.229166666664</v>
      </c>
      <c r="C275" s="15">
        <f t="shared" si="45"/>
        <v>43791.258908636089</v>
      </c>
      <c r="D275" s="15">
        <f t="shared" si="46"/>
        <v>43790.73485976462</v>
      </c>
      <c r="E275" s="17">
        <f>Panchanga!$C275-TimeZone/24</f>
        <v>43791.029741969425</v>
      </c>
      <c r="F275" s="18" t="str">
        <f>INT(P[Sun]/30)&amp;"s"&amp;ROUNDUP(MOD(P[Sun],30),2)</f>
        <v>7s5.27</v>
      </c>
      <c r="G275" s="18" t="str">
        <f>INT(P[Moon]/30)&amp;"s"&amp;ROUNDUP(MOD(P[Moon],30),2)</f>
        <v>5s3.71</v>
      </c>
      <c r="H275" s="14">
        <f t="shared" si="49"/>
        <v>43791.029741969425</v>
      </c>
      <c r="I275" s="4" t="str">
        <f>naks(P[[#This Row],[Moon]])</f>
        <v>Uttara Phalguni</v>
      </c>
      <c r="J275" s="15">
        <f>(C276-P[[#This Row],[SunRise]])/(T276-P[[#This Row],[Moon]])*(13.3333333333333-MOD(P[[#This Row],[Moon]],13.333333333333))+P[[#This Row],[SunRise]]</f>
        <v>43791.694072206978</v>
      </c>
      <c r="K275" s="4" t="str">
        <f>IF(Panchanga!$P275&gt;15,"K","S")&amp;ROUNDUP(MOD(Panchanga!$P275,15),0)&amp;" ("&amp;ROUND(Panchanga!$P275,2)&amp;")"</f>
        <v>K10 (24.87)</v>
      </c>
      <c r="L275" s="4">
        <f>IF(AND(Panchanga!$P275&lt;28.5,Panchanga!$P275&gt;0.49999),MOD((Panchanga!$P275-0.5)*2,7),MOD((Panchanga!$P275+30-28.5),30)*2+7)</f>
        <v>6.7385999999999981</v>
      </c>
      <c r="M275" s="4" t="str">
        <f>CHOOSE(ROUNDUP(Panchanga!$L275,0),"Bhava","Baalava","Kaulava","Taitula","Garija","Vanija","Vishti","Shakuni","Chatushapda","Naaga","Kimstugna")</f>
        <v>Vishti</v>
      </c>
      <c r="N275" s="11" t="str">
        <f>CHOOSE(ROUNDUP(Panchanga!$Q275,0),"viṣkambha","prīti","āyuṣmāna","saubhāgya","śobhana","atigaṇḍa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("&amp;Panchanga!$Q275&amp;")"</f>
        <v>viṣkambha (0.68)</v>
      </c>
      <c r="O275" s="4">
        <f>IF(AND(Panchanga!$P275&lt;28.5,Panchanga!$P275&gt;0.49999),MOD((Panchanga!$P275-0.5)*2,7),MOD((Panchanga!$P275+30-28.5),30)*2+7)</f>
        <v>6.7385999999999981</v>
      </c>
      <c r="P275" s="4">
        <f>ROUNDUP(MOD(360+P[Moon]-P[Sun],360)/12,4)</f>
        <v>24.869299999999999</v>
      </c>
      <c r="Q275" s="4">
        <f>ROUNDUP(MOD(P[Sun]+P[Moon],360)/13.333333333,2)</f>
        <v>0.68</v>
      </c>
      <c r="R275" s="4" t="str">
        <f>SIGN(U276-Panchanga!$U275)*INT(Panchanga!$U275/30+1)&amp;"Ma,"&amp;SIGN(V276-Panchanga!$V275)*INT(Panchanga!$V275/30+1)&amp;"Me,"&amp;SIGN(W276-Panchanga!$W275)*INT(Panchanga!$W275/30+1)&amp;"J, "&amp;SIGN(X276-Panchanga!$X275)*INT(Panchanga!$X275/30+1)&amp;"V,"&amp;SIGN(Y276-Panchanga!$Y275)*INT(Panchanga!$Y275/30+1)&amp;"S,"&amp;INT(Panchanga!$Z275/30+1)&amp;"R"</f>
        <v>7Ma,7Me,9J, 9V,9S,3R</v>
      </c>
      <c r="S275" s="4">
        <f t="shared" si="47"/>
        <v>215.26966862769052</v>
      </c>
      <c r="T275" s="4">
        <f t="shared" si="48"/>
        <v>153.70073068736824</v>
      </c>
      <c r="U275" s="4">
        <f>Planet(Panchanga!$E275,4)</f>
        <v>187.65387966706504</v>
      </c>
      <c r="V275" s="4">
        <f>Planet(Panchanga!$E275,2)</f>
        <v>197.5922820967902</v>
      </c>
      <c r="W275" s="4">
        <f>Planet(Panchanga!$E275,5)</f>
        <v>243.51848236879547</v>
      </c>
      <c r="X275" s="4">
        <f>Planet(Panchanga!$E275,3)</f>
        <v>240.92196327285046</v>
      </c>
      <c r="Y275" s="4">
        <f>Planet(Panchanga!$E275,6)</f>
        <v>262.99009924060977</v>
      </c>
      <c r="Z275" s="4">
        <f>Planet(Panchanga!$E275,10)</f>
        <v>76.225381156705623</v>
      </c>
      <c r="AA275" s="4" t="str">
        <f>TEXT(Panchanga!$C275+($C276-Panchanga!$C275)/ABS(IF($P276&lt;1,$P276+30,$P276)-Panchanga!$P275)*(ROUNDUP(Panchanga!$P275,0)-Panchanga!$P275),"hh:mm AM/PM")</f>
        <v>09:00 AM</v>
      </c>
      <c r="AB275" s="4"/>
    </row>
    <row r="276" spans="1:28" x14ac:dyDescent="0.2">
      <c r="A276" s="3">
        <f t="shared" si="50"/>
        <v>43792</v>
      </c>
      <c r="B276" s="3">
        <f t="shared" si="44"/>
        <v>43792.229166666664</v>
      </c>
      <c r="C276" s="15">
        <f t="shared" si="45"/>
        <v>43792.259251005169</v>
      </c>
      <c r="D276" s="15">
        <f t="shared" si="46"/>
        <v>43791.734876771967</v>
      </c>
      <c r="E276" s="17">
        <f>Panchanga!$C276-TimeZone/24</f>
        <v>43792.030084338505</v>
      </c>
      <c r="F276" s="18" t="str">
        <f>INT(P[Sun]/30)&amp;"s"&amp;ROUNDUP(MOD(P[Sun],30),2)</f>
        <v>7s6.29</v>
      </c>
      <c r="G276" s="18" t="str">
        <f>INT(P[Moon]/30)&amp;"s"&amp;ROUNDUP(MOD(P[Moon],30),2)</f>
        <v>5s18.19</v>
      </c>
      <c r="H276" s="14">
        <f t="shared" si="49"/>
        <v>43792.030084338505</v>
      </c>
      <c r="I276" s="4" t="str">
        <f>naks(P[[#This Row],[Moon]])</f>
        <v>Hasta</v>
      </c>
      <c r="J276" s="15">
        <f>(C277-P[[#This Row],[SunRise]])/(T277-P[[#This Row],[Moon]])*(13.3333333333333-MOD(P[[#This Row],[Moon]],13.333333333333))+P[[#This Row],[SunRise]]</f>
        <v>43792.614070115553</v>
      </c>
      <c r="K276" s="4" t="str">
        <f>IF(Panchanga!$P276&gt;15,"K","S")&amp;ROUNDUP(MOD(Panchanga!$P276,15),0)&amp;" ("&amp;ROUND(Panchanga!$P276,2)&amp;")"</f>
        <v>K11 (25.99)</v>
      </c>
      <c r="L276" s="4">
        <f>IF(AND(Panchanga!$P276&lt;28.5,Panchanga!$P276&gt;0.49999),MOD((Panchanga!$P276-0.5)*2,7),MOD((Panchanga!$P276+30-28.5),30)*2+7)</f>
        <v>1.9836000000000027</v>
      </c>
      <c r="M276" s="4" t="str">
        <f>CHOOSE(ROUNDUP(Panchanga!$L276,0),"Bhava","Baalava","Kaulava","Taitula","Garija","Vanija","Vishti","Shakuni","Chatushapda","Naaga","Kimstugna")</f>
        <v>Baalava</v>
      </c>
      <c r="N276" s="11" t="str">
        <f>CHOOSE(ROUNDUP(Panchanga!$Q276,0),"viṣkambha","prīti","āyuṣmāna","saubhāgya","śobhana","atigaṇḍa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("&amp;Panchanga!$Q276&amp;")"</f>
        <v>prīti (1.84)</v>
      </c>
      <c r="O276" s="4">
        <f>IF(AND(Panchanga!$P276&lt;28.5,Panchanga!$P276&gt;0.49999),MOD((Panchanga!$P276-0.5)*2,7),MOD((Panchanga!$P276+30-28.5),30)*2+7)</f>
        <v>1.9836000000000027</v>
      </c>
      <c r="P276" s="4">
        <f>ROUNDUP(MOD(360+P[Moon]-P[Sun],360)/12,4)</f>
        <v>25.991800000000001</v>
      </c>
      <c r="Q276" s="4">
        <f>ROUNDUP(MOD(P[Sun]+P[Moon],360)/13.333333333,2)</f>
        <v>1.84</v>
      </c>
      <c r="R276" s="4" t="str">
        <f>SIGN(U277-Panchanga!$U276)*INT(Panchanga!$U276/30+1)&amp;"Ma,"&amp;SIGN(V277-Panchanga!$V276)*INT(Panchanga!$V276/30+1)&amp;"Me,"&amp;SIGN(W277-Panchanga!$W276)*INT(Panchanga!$W276/30+1)&amp;"J, "&amp;SIGN(X277-Panchanga!$X276)*INT(Panchanga!$X276/30+1)&amp;"V,"&amp;SIGN(Y277-Panchanga!$Y276)*INT(Panchanga!$Y276/30+1)&amp;"S,"&amp;INT(Panchanga!$Z276/30+1)&amp;"R"</f>
        <v>7Ma,7Me,9J, 9V,9S,3R</v>
      </c>
      <c r="S276" s="4">
        <f t="shared" si="47"/>
        <v>216.28041173876667</v>
      </c>
      <c r="T276" s="4">
        <f t="shared" si="48"/>
        <v>168.18132237560479</v>
      </c>
      <c r="U276" s="4">
        <f>Planet(Panchanga!$E276,4)</f>
        <v>188.31290336741247</v>
      </c>
      <c r="V276" s="4">
        <f>Planet(Panchanga!$E276,2)</f>
        <v>197.89220263718045</v>
      </c>
      <c r="W276" s="4">
        <f>Planet(Panchanga!$E276,5)</f>
        <v>243.73386973747733</v>
      </c>
      <c r="X276" s="4">
        <f>Planet(Panchanga!$E276,3)</f>
        <v>242.16271657870692</v>
      </c>
      <c r="Y276" s="4">
        <f>Planet(Panchanga!$E276,6)</f>
        <v>263.08250406926805</v>
      </c>
      <c r="Z276" s="4">
        <f>Planet(Panchanga!$E276,10)</f>
        <v>76.172371017773827</v>
      </c>
      <c r="AA276" s="4" t="str">
        <f>TEXT(Panchanga!$C276+($C277-Panchanga!$C276)/ABS(IF($P277&lt;1,$P277+30,$P277)-Panchanga!$P276)*(ROUNDUP(Panchanga!$P276,0)-Panchanga!$P276),"hh:mm AM/PM")</f>
        <v>06:23 AM</v>
      </c>
      <c r="AB276" s="4"/>
    </row>
    <row r="277" spans="1:28" x14ac:dyDescent="0.2">
      <c r="A277" s="3">
        <f t="shared" si="50"/>
        <v>43793</v>
      </c>
      <c r="B277" s="3">
        <f t="shared" si="44"/>
        <v>43793.229166666664</v>
      </c>
      <c r="C277" s="15">
        <f t="shared" si="45"/>
        <v>43793.259598460201</v>
      </c>
      <c r="D277" s="15">
        <f t="shared" si="46"/>
        <v>43792.734907448335</v>
      </c>
      <c r="E277" s="17">
        <f>Panchanga!$C277-TimeZone/24</f>
        <v>43793.030431793537</v>
      </c>
      <c r="F277" s="18" t="str">
        <f>INT(P[Sun]/30)&amp;"s"&amp;ROUNDUP(MOD(P[Sun],30),2)</f>
        <v>7s7.3</v>
      </c>
      <c r="G277" s="18" t="str">
        <f>INT(P[Moon]/30)&amp;"s"&amp;ROUNDUP(MOD(P[Moon],30),2)</f>
        <v>6s2.71</v>
      </c>
      <c r="H277" s="14">
        <f t="shared" si="49"/>
        <v>43793.030431793537</v>
      </c>
      <c r="I277" s="4" t="str">
        <f>naks(P[[#This Row],[Moon]])</f>
        <v>Chitra</v>
      </c>
      <c r="J277" s="15">
        <f>(C278-P[[#This Row],[SunRise]])/(T278-P[[#This Row],[Moon]])*(13.3333333333333-MOD(P[[#This Row],[Moon]],13.333333333333))+P[[#This Row],[SunRise]]</f>
        <v>43793.533362079899</v>
      </c>
      <c r="K277" s="4" t="str">
        <f>IF(Panchanga!$P277&gt;15,"K","S")&amp;ROUNDUP(MOD(Panchanga!$P277,15),0)&amp;" ("&amp;ROUND(Panchanga!$P277,2)&amp;")"</f>
        <v>K13 (27.12)</v>
      </c>
      <c r="L277" s="4">
        <f>IF(AND(Panchanga!$P277&lt;28.5,Panchanga!$P277&gt;0.49999),MOD((Panchanga!$P277-0.5)*2,7),MOD((Panchanga!$P277+30-28.5),30)*2+7)</f>
        <v>4.2359999999999971</v>
      </c>
      <c r="M277" s="4" t="str">
        <f>CHOOSE(ROUNDUP(Panchanga!$L277,0),"Bhava","Baalava","Kaulava","Taitula","Garija","Vanija","Vishti","Shakuni","Chatushapda","Naaga","Kimstugna")</f>
        <v>Garija</v>
      </c>
      <c r="N277" s="11" t="str">
        <f>CHOOSE(ROUNDUP(Panchanga!$Q277,0),"viṣkambha","prīti","āyuṣmāna","saubhāgya","śobhana","atigaṇḍa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("&amp;Panchanga!$Q277&amp;")"</f>
        <v>āyuṣmāna (3)</v>
      </c>
      <c r="O277" s="4">
        <f>IF(AND(Panchanga!$P277&lt;28.5,Panchanga!$P277&gt;0.49999),MOD((Panchanga!$P277-0.5)*2,7),MOD((Panchanga!$P277+30-28.5),30)*2+7)</f>
        <v>4.2359999999999971</v>
      </c>
      <c r="P277" s="4">
        <f>ROUNDUP(MOD(360+P[Moon]-P[Sun],360)/12,4)</f>
        <v>27.117999999999999</v>
      </c>
      <c r="Q277" s="4">
        <f>ROUNDUP(MOD(P[Sun]+P[Moon],360)/13.333333333,2)</f>
        <v>3</v>
      </c>
      <c r="R277" s="4" t="str">
        <f>SIGN(U278-Panchanga!$U277)*INT(Panchanga!$U277/30+1)&amp;"Ma,"&amp;SIGN(V278-Panchanga!$V277)*INT(Panchanga!$V277/30+1)&amp;"Me,"&amp;SIGN(W278-Panchanga!$W277)*INT(Panchanga!$W277/30+1)&amp;"J, "&amp;SIGN(X278-Panchanga!$X277)*INT(Panchanga!$X277/30+1)&amp;"V,"&amp;SIGN(Y278-Panchanga!$Y277)*INT(Panchanga!$Y277/30+1)&amp;"S,"&amp;INT(Panchanga!$Z277/30+1)&amp;"R"</f>
        <v>7Ma,7Me,9J, 9V,9S,3R</v>
      </c>
      <c r="S277" s="4">
        <f t="shared" si="47"/>
        <v>217.29162915545768</v>
      </c>
      <c r="T277" s="4">
        <f t="shared" si="48"/>
        <v>182.70647307657478</v>
      </c>
      <c r="U277" s="4">
        <f>Planet(Panchanga!$E277,4)</f>
        <v>188.97228761491107</v>
      </c>
      <c r="V277" s="4">
        <f>Planet(Panchanga!$E277,2)</f>
        <v>198.34710468026907</v>
      </c>
      <c r="W277" s="4">
        <f>Planet(Panchanga!$E277,5)</f>
        <v>243.95009657659938</v>
      </c>
      <c r="X277" s="4">
        <f>Planet(Panchanga!$E277,3)</f>
        <v>243.40337720035478</v>
      </c>
      <c r="Y277" s="4">
        <f>Planet(Panchanga!$E277,6)</f>
        <v>263.17589474777321</v>
      </c>
      <c r="Z277" s="4">
        <f>Planet(Panchanga!$E277,10)</f>
        <v>76.119360609320069</v>
      </c>
      <c r="AA277" s="4" t="str">
        <f>TEXT(Panchanga!$C277+($C278-Panchanga!$C277)/ABS(IF($P278&lt;1,$P278+30,$P278)-Panchanga!$P277)*(ROUNDUP(Panchanga!$P277,0)-Panchanga!$P277),"hh:mm AM/PM")</f>
        <v>01:06 AM</v>
      </c>
      <c r="AB277" s="4"/>
    </row>
    <row r="278" spans="1:28" x14ac:dyDescent="0.2">
      <c r="A278" s="3">
        <f t="shared" si="50"/>
        <v>43794</v>
      </c>
      <c r="B278" s="3">
        <f t="shared" si="44"/>
        <v>43794.229166666664</v>
      </c>
      <c r="C278" s="15">
        <f t="shared" si="45"/>
        <v>43794.259950842861</v>
      </c>
      <c r="D278" s="15">
        <f t="shared" si="46"/>
        <v>43793.73495147661</v>
      </c>
      <c r="E278" s="17">
        <f>Panchanga!$C278-TimeZone/24</f>
        <v>43794.030784176197</v>
      </c>
      <c r="F278" s="18" t="str">
        <f>INT(P[Sun]/30)&amp;"s"&amp;ROUNDUP(MOD(P[Sun],30),2)</f>
        <v>7s8.31</v>
      </c>
      <c r="G278" s="18" t="str">
        <f>INT(P[Moon]/30)&amp;"s"&amp;ROUNDUP(MOD(P[Moon],30),2)</f>
        <v>6s17.18</v>
      </c>
      <c r="H278" s="14">
        <f t="shared" si="49"/>
        <v>43794.030784176197</v>
      </c>
      <c r="I278" s="4" t="str">
        <f>naks(P[[#This Row],[Moon]])</f>
        <v>Swati</v>
      </c>
      <c r="J278" s="15">
        <f>(C279-P[[#This Row],[SunRise]])/(T279-P[[#This Row],[Moon]])*(13.3333333333333-MOD(P[[#This Row],[Moon]],13.333333333333))+P[[#This Row],[SunRise]]</f>
        <v>43794.457258080627</v>
      </c>
      <c r="K278" s="4" t="str">
        <f>IF(Panchanga!$P278&gt;15,"K","S")&amp;ROUNDUP(MOD(Panchanga!$P278,15),0)&amp;" ("&amp;ROUND(Panchanga!$P278,2)&amp;")"</f>
        <v>K14 (28.24)</v>
      </c>
      <c r="L278" s="4">
        <f>IF(AND(Panchanga!$P278&lt;28.5,Panchanga!$P278&gt;0.49999),MOD((Panchanga!$P278-0.5)*2,7),MOD((Panchanga!$P278+30-28.5),30)*2+7)</f>
        <v>6.4791999999999987</v>
      </c>
      <c r="M278" s="4" t="str">
        <f>CHOOSE(ROUNDUP(Panchanga!$L278,0),"Bhava","Baalava","Kaulava","Taitula","Garija","Vanija","Vishti","Shakuni","Chatushapda","Naaga","Kimstugna")</f>
        <v>Vishti</v>
      </c>
      <c r="N278" s="11" t="str">
        <f>CHOOSE(ROUNDUP(Panchanga!$Q278,0),"viṣkambha","prīti","āyuṣmāna","saubhāgya","śobhana","atigaṇḍa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("&amp;Panchanga!$Q278&amp;")"</f>
        <v>śobhana (4.17)</v>
      </c>
      <c r="O278" s="4">
        <f>IF(AND(Panchanga!$P278&lt;28.5,Panchanga!$P278&gt;0.49999),MOD((Panchanga!$P278-0.5)*2,7),MOD((Panchanga!$P278+30-28.5),30)*2+7)</f>
        <v>6.4791999999999987</v>
      </c>
      <c r="P278" s="4">
        <f>ROUNDUP(MOD(360+P[Moon]-P[Sun],360)/12,4)</f>
        <v>28.239599999999999</v>
      </c>
      <c r="Q278" s="4">
        <f>ROUNDUP(MOD(P[Sun]+P[Moon],360)/13.333333333,2)</f>
        <v>4.17</v>
      </c>
      <c r="R278" s="4" t="str">
        <f>SIGN(U279-Panchanga!$U278)*INT(Panchanga!$U278/30+1)&amp;"Ma,"&amp;SIGN(V279-Panchanga!$V278)*INT(Panchanga!$V278/30+1)&amp;"Me,"&amp;SIGN(W279-Panchanga!$W278)*INT(Panchanga!$W278/30+1)&amp;"J, "&amp;SIGN(X279-Panchanga!$X278)*INT(Panchanga!$X278/30+1)&amp;"V,"&amp;SIGN(Y279-Panchanga!$Y278)*INT(Panchanga!$Y278/30+1)&amp;"S,"&amp;INT(Panchanga!$Z278/30+1)&amp;"R"</f>
        <v>7Ma,7Me,9J, 9V,9S,3R</v>
      </c>
      <c r="S278" s="4">
        <f t="shared" si="47"/>
        <v>218.30329739453674</v>
      </c>
      <c r="T278" s="4">
        <f t="shared" si="48"/>
        <v>197.17731145172553</v>
      </c>
      <c r="U278" s="4">
        <f>Planet(Panchanga!$E278,4)</f>
        <v>189.63202417342373</v>
      </c>
      <c r="V278" s="4">
        <f>Planet(Panchanga!$E278,2)</f>
        <v>198.94211547088918</v>
      </c>
      <c r="W278" s="4">
        <f>Planet(Panchanga!$E278,5)</f>
        <v>244.16713795197106</v>
      </c>
      <c r="X278" s="4">
        <f>Planet(Panchanga!$E278,3)</f>
        <v>244.64393334389629</v>
      </c>
      <c r="Y278" s="4">
        <f>Planet(Panchanga!$E278,6)</f>
        <v>263.2702536504857</v>
      </c>
      <c r="Z278" s="4">
        <f>Planet(Panchanga!$E278,10)</f>
        <v>76.06634993979435</v>
      </c>
      <c r="AA278" s="4" t="str">
        <f>TEXT(Panchanga!$C278+($C279-Panchanga!$C278)/ABS(IF($P279&lt;1,$P279+30,$P279)-Panchanga!$P278)*(ROUNDUP(Panchanga!$P278,0)-Panchanga!$P278),"hh:mm AM/PM")</f>
        <v>10:42 PM</v>
      </c>
      <c r="AB278" s="4"/>
    </row>
    <row r="279" spans="1:28" x14ac:dyDescent="0.2">
      <c r="A279" s="3">
        <f t="shared" si="50"/>
        <v>43795</v>
      </c>
      <c r="B279" s="3">
        <f t="shared" si="44"/>
        <v>43795.229166666664</v>
      </c>
      <c r="C279" s="15">
        <f t="shared" si="45"/>
        <v>43795.260307835102</v>
      </c>
      <c r="D279" s="15">
        <f t="shared" si="46"/>
        <v>43794.73500885586</v>
      </c>
      <c r="E279" s="17">
        <f>Panchanga!$C279-TimeZone/24</f>
        <v>43795.031141168438</v>
      </c>
      <c r="F279" s="18" t="str">
        <f>INT(P[Sun]/30)&amp;"s"&amp;ROUNDUP(MOD(P[Sun],30),2)</f>
        <v>7s9.32</v>
      </c>
      <c r="G279" s="18" t="str">
        <f>INT(P[Moon]/30)&amp;"s"&amp;ROUNDUP(MOD(P[Moon],30),2)</f>
        <v>7s1.49</v>
      </c>
      <c r="H279" s="14">
        <f t="shared" si="49"/>
        <v>43795.031141168438</v>
      </c>
      <c r="I279" s="4" t="str">
        <f>naks(P[[#This Row],[Moon]])</f>
        <v>Visakha</v>
      </c>
      <c r="J279" s="15">
        <f>(C280-P[[#This Row],[SunRise]])/(T280-P[[#This Row],[Moon]])*(13.3333333333333-MOD(P[[#This Row],[Moon]],13.333333333333))+P[[#This Row],[SunRise]]</f>
        <v>43795.391609716578</v>
      </c>
      <c r="K279" s="4" t="str">
        <f>IF(Panchanga!$P279&gt;15,"K","S")&amp;ROUNDUP(MOD(Panchanga!$P279,15),0)&amp;" ("&amp;ROUND(Panchanga!$P279,2)&amp;")"</f>
        <v>K15 (29.35)</v>
      </c>
      <c r="L279" s="4">
        <f>IF(AND(Panchanga!$P279&lt;28.5,Panchanga!$P279&gt;0.49999),MOD((Panchanga!$P279-0.5)*2,7),MOD((Panchanga!$P279+30-28.5),30)*2+7)</f>
        <v>8.6955999999999989</v>
      </c>
      <c r="M279" s="4" t="str">
        <f>CHOOSE(ROUNDUP(Panchanga!$L279,0),"Bhava","Baalava","Kaulava","Taitula","Garija","Vanija","Vishti","Shakuni","Chatushapda","Naaga","Kimstugna")</f>
        <v>Chatushapda</v>
      </c>
      <c r="N279" s="11" t="str">
        <f>CHOOSE(ROUNDUP(Panchanga!$Q279,0),"viṣkambha","prīti","āyuṣmāna","saubhāgya","śobhana","atigaṇḍa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("&amp;Panchanga!$Q279&amp;")"</f>
        <v>atigaṇḍa  (5.32)</v>
      </c>
      <c r="O279" s="4">
        <f>IF(AND(Panchanga!$P279&lt;28.5,Panchanga!$P279&gt;0.49999),MOD((Panchanga!$P279-0.5)*2,7),MOD((Panchanga!$P279+30-28.5),30)*2+7)</f>
        <v>8.6955999999999989</v>
      </c>
      <c r="P279" s="4">
        <f>ROUNDUP(MOD(360+P[Moon]-P[Sun],360)/12,4)</f>
        <v>29.347799999999999</v>
      </c>
      <c r="Q279" s="4">
        <f>ROUNDUP(MOD(P[Sun]+P[Moon],360)/13.333333333,2)</f>
        <v>5.3199999999999994</v>
      </c>
      <c r="R279" s="4" t="str">
        <f>SIGN(U280-Panchanga!$U279)*INT(Panchanga!$U279/30+1)&amp;"Ma,"&amp;SIGN(V280-Panchanga!$V279)*INT(Panchanga!$V279/30+1)&amp;"Me,"&amp;SIGN(W280-Panchanga!$W279)*INT(Panchanga!$W279/30+1)&amp;"J, "&amp;SIGN(X280-Panchanga!$X279)*INT(Panchanga!$X279/30+1)&amp;"V,"&amp;SIGN(Y280-Panchanga!$Y279)*INT(Panchanga!$Y279/30+1)&amp;"S,"&amp;INT(Panchanga!$Z279/30+1)&amp;"R"</f>
        <v>7Ma,7Me,9J, 9V,9S,3R</v>
      </c>
      <c r="S279" s="4">
        <f t="shared" si="47"/>
        <v>219.31538969020136</v>
      </c>
      <c r="T279" s="4">
        <f t="shared" si="48"/>
        <v>211.48847539169464</v>
      </c>
      <c r="U279" s="4">
        <f>Planet(Panchanga!$E279,4)</f>
        <v>190.2921043754001</v>
      </c>
      <c r="V279" s="4">
        <f>Planet(Panchanga!$E279,2)</f>
        <v>199.66236030040031</v>
      </c>
      <c r="W279" s="4">
        <f>Planet(Panchanga!$E279,5)</f>
        <v>244.38496801768954</v>
      </c>
      <c r="X279" s="4">
        <f>Planet(Panchanga!$E279,3)</f>
        <v>245.88436969793193</v>
      </c>
      <c r="Y279" s="4">
        <f>Planet(Panchanga!$E279,6)</f>
        <v>263.36556241152584</v>
      </c>
      <c r="Z279" s="4">
        <f>Planet(Panchanga!$E279,10)</f>
        <v>76.013339025964427</v>
      </c>
      <c r="AA279" s="4" t="str">
        <f>TEXT(Panchanga!$C279+($C280-Panchanga!$C279)/ABS(IF($P280&lt;1,$P280+30,$P280)-Panchanga!$P279)*(ROUNDUP(Panchanga!$P279,0)-Panchanga!$P279),"hh:mm AM/PM")</f>
        <v>08:39 PM</v>
      </c>
      <c r="AB279" s="4"/>
    </row>
    <row r="280" spans="1:28" x14ac:dyDescent="0.2">
      <c r="A280" s="3">
        <f t="shared" si="50"/>
        <v>43796</v>
      </c>
      <c r="B280" s="3">
        <f t="shared" si="44"/>
        <v>43796.229166666664</v>
      </c>
      <c r="C280" s="15">
        <f t="shared" si="45"/>
        <v>43796.260668959621</v>
      </c>
      <c r="D280" s="15">
        <f t="shared" si="46"/>
        <v>43795.735079427759</v>
      </c>
      <c r="E280" s="17">
        <f>Panchanga!$C280-TimeZone/24</f>
        <v>43796.031502292957</v>
      </c>
      <c r="F280" s="18" t="str">
        <f>INT(P[Sun]/30)&amp;"s"&amp;ROUNDUP(MOD(P[Sun],30),2)</f>
        <v>7s10.33</v>
      </c>
      <c r="G280" s="18" t="str">
        <f>INT(P[Moon]/30)&amp;"s"&amp;ROUNDUP(MOD(P[Moon],30),2)</f>
        <v>7s15.55</v>
      </c>
      <c r="H280" s="14">
        <f t="shared" si="49"/>
        <v>43796.031502292957</v>
      </c>
      <c r="I280" s="4" t="str">
        <f>naks(P[[#This Row],[Moon]])</f>
        <v>Anuradha</v>
      </c>
      <c r="J280" s="15">
        <f>(C281-P[[#This Row],[SunRise]])/(T281-P[[#This Row],[Moon]])*(13.3333333333333-MOD(P[[#This Row],[Moon]],13.333333333333))+P[[#This Row],[SunRise]]</f>
        <v>43796.342476151462</v>
      </c>
      <c r="K280" s="4" t="str">
        <f>IF(Panchanga!$P280&gt;15,"K","S")&amp;ROUNDUP(MOD(Panchanga!$P280,15),0)&amp;" ("&amp;ROUND(Panchanga!$P280,2)&amp;")"</f>
        <v>S1 (0.43)</v>
      </c>
      <c r="L280" s="4">
        <f>IF(AND(Panchanga!$P280&lt;28.5,Panchanga!$P280&gt;0.49999),MOD((Panchanga!$P280-0.5)*2,7),MOD((Panchanga!$P280+30-28.5),30)*2+7)</f>
        <v>10.869399999999999</v>
      </c>
      <c r="M280" s="4" t="str">
        <f>CHOOSE(ROUNDUP(Panchanga!$L280,0),"Bhava","Baalava","Kaulava","Taitula","Garija","Vanija","Vishti","Shakuni","Chatushapda","Naaga","Kimstugna")</f>
        <v>Kimstugna</v>
      </c>
      <c r="N280" s="11" t="str">
        <f>CHOOSE(ROUNDUP(Panchanga!$Q280,0),"viṣkambha","prīti","āyuṣmāna","saubhāgya","śobhana","atigaṇḍa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("&amp;Panchanga!$Q280&amp;")"</f>
        <v>sukarmā  (6.45)</v>
      </c>
      <c r="O280" s="4">
        <f>IF(AND(Panchanga!$P280&lt;28.5,Panchanga!$P280&gt;0.49999),MOD((Panchanga!$P280-0.5)*2,7),MOD((Panchanga!$P280+30-28.5),30)*2+7)</f>
        <v>10.869399999999999</v>
      </c>
      <c r="P280" s="4">
        <f>ROUNDUP(MOD(360+P[Moon]-P[Sun],360)/12,4)</f>
        <v>0.43469999999999998</v>
      </c>
      <c r="Q280" s="4">
        <f>ROUNDUP(MOD(P[Sun]+P[Moon],360)/13.333333333,2)</f>
        <v>6.45</v>
      </c>
      <c r="R280" s="4" t="str">
        <f>SIGN(U281-Panchanga!$U280)*INT(Panchanga!$U280/30+1)&amp;"Ma,"&amp;SIGN(V281-Panchanga!$V280)*INT(Panchanga!$V280/30+1)&amp;"Me,"&amp;SIGN(W281-Panchanga!$W280)*INT(Panchanga!$W280/30+1)&amp;"J, "&amp;SIGN(X281-Panchanga!$X280)*INT(Panchanga!$X280/30+1)&amp;"V,"&amp;SIGN(Y281-Panchanga!$Y280)*INT(Panchanga!$Y280/30+1)&amp;"S,"&amp;INT(Panchanga!$Z280/30+1)&amp;"R"</f>
        <v>7Ma,7Me,9J, 9V,9S,3R</v>
      </c>
      <c r="S280" s="4">
        <f t="shared" si="47"/>
        <v>220.32787749717443</v>
      </c>
      <c r="T280" s="4">
        <f t="shared" si="48"/>
        <v>225.54405589273455</v>
      </c>
      <c r="U280" s="4">
        <f>Planet(Panchanga!$E280,4)</f>
        <v>190.95251986112828</v>
      </c>
      <c r="V280" s="4">
        <f>Planet(Panchanga!$E280,2)</f>
        <v>200.49350693114215</v>
      </c>
      <c r="W280" s="4">
        <f>Planet(Panchanga!$E280,5)</f>
        <v>244.60356022646664</v>
      </c>
      <c r="X280" s="4">
        <f>Planet(Panchanga!$E280,3)</f>
        <v>247.12466803653103</v>
      </c>
      <c r="Y280" s="4">
        <f>Planet(Panchanga!$E280,6)</f>
        <v>263.46180199537122</v>
      </c>
      <c r="Z280" s="4">
        <f>Planet(Panchanga!$E280,10)</f>
        <v>75.96032789316385</v>
      </c>
      <c r="AA280" s="4" t="str">
        <f>TEXT(Panchanga!$C280+($C281-Panchanga!$C280)/ABS(IF($P281&lt;1,$P281+30,$P281)-Panchanga!$P280)*(ROUNDUP(Panchanga!$P280,0)-Panchanga!$P280),"hh:mm AM/PM")</f>
        <v>07:03 PM</v>
      </c>
      <c r="AB280" s="4"/>
    </row>
    <row r="281" spans="1:28" x14ac:dyDescent="0.2">
      <c r="A281" s="3">
        <f t="shared" si="50"/>
        <v>43797</v>
      </c>
      <c r="B281" s="3">
        <f t="shared" si="44"/>
        <v>43797.229166666664</v>
      </c>
      <c r="C281" s="15">
        <f t="shared" si="45"/>
        <v>43797.261033899304</v>
      </c>
      <c r="D281" s="15">
        <f t="shared" si="46"/>
        <v>43796.735163351099</v>
      </c>
      <c r="E281" s="17">
        <f>Panchanga!$C281-TimeZone/24</f>
        <v>43797.031867232639</v>
      </c>
      <c r="F281" s="18" t="str">
        <f>INT(P[Sun]/30)&amp;"s"&amp;ROUNDUP(MOD(P[Sun],30),2)</f>
        <v>7s11.35</v>
      </c>
      <c r="G281" s="18" t="str">
        <f>INT(P[Moon]/30)&amp;"s"&amp;ROUNDUP(MOD(P[Moon],30),2)</f>
        <v>7s29.28</v>
      </c>
      <c r="H281" s="14">
        <f t="shared" si="49"/>
        <v>43797.031867232639</v>
      </c>
      <c r="I281" s="4" t="str">
        <f>naks(P[[#This Row],[Moon]])</f>
        <v>Jyestha</v>
      </c>
      <c r="J281" s="15">
        <f>(C282-P[[#This Row],[SunRise]])/(T282-P[[#This Row],[Moon]])*(13.3333333333333-MOD(P[[#This Row],[Moon]],13.333333333333))+P[[#This Row],[SunRise]]</f>
        <v>43797.315569001024</v>
      </c>
      <c r="K281" s="4" t="str">
        <f>IF(Panchanga!$P281&gt;15,"K","S")&amp;ROUNDUP(MOD(Panchanga!$P281,15),0)&amp;" ("&amp;ROUND(Panchanga!$P281,2)&amp;")"</f>
        <v>S2 (1.49)</v>
      </c>
      <c r="L281" s="4">
        <f>IF(AND(Panchanga!$P281&lt;28.5,Panchanga!$P281&gt;0.49999),MOD((Panchanga!$P281-0.5)*2,7),MOD((Panchanga!$P281+30-28.5),30)*2+7)</f>
        <v>1.9885999999999999</v>
      </c>
      <c r="M281" s="4" t="str">
        <f>CHOOSE(ROUNDUP(Panchanga!$L281,0),"Bhava","Baalava","Kaulava","Taitula","Garija","Vanija","Vishti","Shakuni","Chatushapda","Naaga","Kimstugna")</f>
        <v>Baalava</v>
      </c>
      <c r="N281" s="11" t="str">
        <f>CHOOSE(ROUNDUP(Panchanga!$Q281,0),"viṣkambha","prīti","āyuṣmāna","saubhāgya","śobhana","atigaṇḍa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("&amp;Panchanga!$Q281&amp;")"</f>
        <v>dhṛti  (7.55)</v>
      </c>
      <c r="O281" s="4">
        <f>IF(AND(Panchanga!$P281&lt;28.5,Panchanga!$P281&gt;0.49999),MOD((Panchanga!$P281-0.5)*2,7),MOD((Panchanga!$P281+30-28.5),30)*2+7)</f>
        <v>1.9885999999999999</v>
      </c>
      <c r="P281" s="4">
        <f>ROUNDUP(MOD(360+P[Moon]-P[Sun],360)/12,4)</f>
        <v>1.4943</v>
      </c>
      <c r="Q281" s="4">
        <f>ROUNDUP(MOD(P[Sun]+P[Moon],360)/13.333333333,2)</f>
        <v>7.55</v>
      </c>
      <c r="R281" s="4" t="str">
        <f>SIGN(U282-Panchanga!$U281)*INT(Panchanga!$U281/30+1)&amp;"Ma,"&amp;SIGN(V282-Panchanga!$V281)*INT(Panchanga!$V281/30+1)&amp;"Me,"&amp;SIGN(W282-Panchanga!$W281)*INT(Panchanga!$W281/30+1)&amp;"J, "&amp;SIGN(X282-Panchanga!$X281)*INT(Panchanga!$X281/30+1)&amp;"V,"&amp;SIGN(Y282-Panchanga!$Y281)*INT(Panchanga!$Y281/30+1)&amp;"S,"&amp;INT(Panchanga!$Z281/30+1)&amp;"R"</f>
        <v>7Ma,7Me,9J, 9V,9S,3R</v>
      </c>
      <c r="S281" s="4">
        <f t="shared" si="47"/>
        <v>221.34073249654895</v>
      </c>
      <c r="T281" s="4">
        <f t="shared" si="48"/>
        <v>239.2717054295963</v>
      </c>
      <c r="U281" s="4">
        <f>Planet(Panchanga!$E281,4)</f>
        <v>191.61326347313889</v>
      </c>
      <c r="V281" s="4">
        <f>Planet(Panchanga!$E281,2)</f>
        <v>201.4221181697481</v>
      </c>
      <c r="W281" s="4">
        <f>Planet(Panchanga!$E281,5)</f>
        <v>244.82288769481053</v>
      </c>
      <c r="X281" s="4">
        <f>Planet(Panchanga!$E281,3)</f>
        <v>248.3648085146998</v>
      </c>
      <c r="Y281" s="4">
        <f>Planet(Panchanga!$E281,6)</f>
        <v>263.55895286372572</v>
      </c>
      <c r="Z281" s="4">
        <f>Planet(Panchanga!$E281,10)</f>
        <v>75.907316558193472</v>
      </c>
      <c r="AA281" s="4" t="str">
        <f>TEXT(Panchanga!$C281+($C282-Panchanga!$C281)/ABS(IF($P282&lt;1,$P282+30,$P282)-Panchanga!$P281)*(ROUNDUP(Panchanga!$P281,0)-Panchanga!$P281),"hh:mm AM/PM")</f>
        <v>06:03 PM</v>
      </c>
      <c r="AB281" s="4"/>
    </row>
    <row r="282" spans="1:28" x14ac:dyDescent="0.2">
      <c r="A282" s="3">
        <f t="shared" si="50"/>
        <v>43798</v>
      </c>
      <c r="B282" s="3">
        <f t="shared" si="44"/>
        <v>43798.229166666664</v>
      </c>
      <c r="C282" s="15">
        <f t="shared" si="45"/>
        <v>43798.261402335171</v>
      </c>
      <c r="D282" s="15">
        <f t="shared" si="46"/>
        <v>43797.735260149042</v>
      </c>
      <c r="E282" s="17">
        <f>Panchanga!$C282-TimeZone/24</f>
        <v>43798.032235668506</v>
      </c>
      <c r="F282" s="18" t="str">
        <f>INT(P[Sun]/30)&amp;"s"&amp;ROUNDUP(MOD(P[Sun],30),2)</f>
        <v>7s12.36</v>
      </c>
      <c r="G282" s="18" t="str">
        <f>INT(P[Moon]/30)&amp;"s"&amp;ROUNDUP(MOD(P[Moon],30),2)</f>
        <v>8s12.64</v>
      </c>
      <c r="H282" s="14">
        <f t="shared" si="49"/>
        <v>43798.032235668506</v>
      </c>
      <c r="I282" s="4" t="str">
        <f>naks(P[[#This Row],[Moon]])</f>
        <v>Moola</v>
      </c>
      <c r="J282" s="15">
        <f>(C283-P[[#This Row],[SunRise]])/(T283-P[[#This Row],[Moon]])*(13.3333333333333-MOD(P[[#This Row],[Moon]],13.333333333333))+P[[#This Row],[SunRise]]</f>
        <v>43798.315491465313</v>
      </c>
      <c r="K282" s="4" t="str">
        <f>IF(Panchanga!$P282&gt;15,"K","S")&amp;ROUNDUP(MOD(Panchanga!$P282,15),0)&amp;" ("&amp;ROUND(Panchanga!$P282,2)&amp;")"</f>
        <v>S3 (2.52)</v>
      </c>
      <c r="L282" s="4">
        <f>IF(AND(Panchanga!$P282&lt;28.5,Panchanga!$P282&gt;0.49999),MOD((Panchanga!$P282-0.5)*2,7),MOD((Panchanga!$P282+30-28.5),30)*2+7)</f>
        <v>4.0464000000000002</v>
      </c>
      <c r="M282" s="4" t="str">
        <f>CHOOSE(ROUNDUP(Panchanga!$L282,0),"Bhava","Baalava","Kaulava","Taitula","Garija","Vanija","Vishti","Shakuni","Chatushapda","Naaga","Kimstugna")</f>
        <v>Garija</v>
      </c>
      <c r="N282" s="11" t="str">
        <f>CHOOSE(ROUNDUP(Panchanga!$Q282,0),"viṣkambha","prīti","āyuṣmāna","saubhāgya","śobhana","atigaṇḍa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("&amp;Panchanga!$Q282&amp;")"</f>
        <v>śūla  (8.63)</v>
      </c>
      <c r="O282" s="4">
        <f>IF(AND(Panchanga!$P282&lt;28.5,Panchanga!$P282&gt;0.49999),MOD((Panchanga!$P282-0.5)*2,7),MOD((Panchanga!$P282+30-28.5),30)*2+7)</f>
        <v>4.0464000000000002</v>
      </c>
      <c r="P282" s="4">
        <f>ROUNDUP(MOD(360+P[Moon]-P[Sun],360)/12,4)</f>
        <v>2.5232000000000001</v>
      </c>
      <c r="Q282" s="4">
        <f>ROUNDUP(MOD(P[Sun]+P[Moon],360)/13.333333333,2)</f>
        <v>8.629999999999999</v>
      </c>
      <c r="R282" s="4" t="str">
        <f>SIGN(U283-Panchanga!$U282)*INT(Panchanga!$U282/30+1)&amp;"Ma,"&amp;SIGN(V283-Panchanga!$V282)*INT(Panchanga!$V282/30+1)&amp;"Me,"&amp;SIGN(W283-Panchanga!$W282)*INT(Panchanga!$W282/30+1)&amp;"J, "&amp;SIGN(X283-Panchanga!$X282)*INT(Panchanga!$X282/30+1)&amp;"V,"&amp;SIGN(Y283-Panchanga!$Y282)*INT(Panchanga!$Y282/30+1)&amp;"S,"&amp;INT(Panchanga!$Z282/30+1)&amp;"R"</f>
        <v>7Ma,7Me,9J, 9V,9S,3R</v>
      </c>
      <c r="S282" s="4">
        <f t="shared" si="47"/>
        <v>222.35392796145823</v>
      </c>
      <c r="T282" s="4">
        <f t="shared" si="48"/>
        <v>252.63122759585673</v>
      </c>
      <c r="U282" s="4">
        <f>Planet(Panchanga!$E282,4)</f>
        <v>192.27432964155187</v>
      </c>
      <c r="V282" s="4">
        <f>Planet(Panchanga!$E282,2)</f>
        <v>202.43585325805506</v>
      </c>
      <c r="W282" s="4">
        <f>Planet(Panchanga!$E282,5)</f>
        <v>245.04292349328466</v>
      </c>
      <c r="X282" s="4">
        <f>Planet(Panchanga!$E282,3)</f>
        <v>249.60477048545644</v>
      </c>
      <c r="Y282" s="4">
        <f>Planet(Panchanga!$E282,6)</f>
        <v>263.65699514066864</v>
      </c>
      <c r="Z282" s="4">
        <f>Planet(Panchanga!$E282,10)</f>
        <v>75.854305037953395</v>
      </c>
      <c r="AA282" s="4" t="str">
        <f>TEXT(Panchanga!$C282+($C283-Panchanga!$C282)/ABS(IF($P283&lt;1,$P283+30,$P283)-Panchanga!$P282)*(ROUNDUP(Panchanga!$P282,0)-Panchanga!$P282),"hh:mm AM/PM")</f>
        <v>05:44 PM</v>
      </c>
      <c r="AB282" s="4"/>
    </row>
    <row r="283" spans="1:28" x14ac:dyDescent="0.2">
      <c r="A283" s="3">
        <f t="shared" si="50"/>
        <v>43799</v>
      </c>
      <c r="B283" s="3">
        <f t="shared" si="44"/>
        <v>43799.229166666664</v>
      </c>
      <c r="C283" s="15">
        <f t="shared" si="45"/>
        <v>43799.261773950573</v>
      </c>
      <c r="D283" s="15">
        <f t="shared" si="46"/>
        <v>43798.735369662798</v>
      </c>
      <c r="E283" s="17">
        <f>Panchanga!$C283-TimeZone/24</f>
        <v>43799.032607283909</v>
      </c>
      <c r="F283" s="18" t="str">
        <f>INT(P[Sun]/30)&amp;"s"&amp;ROUNDUP(MOD(P[Sun],30),2)</f>
        <v>7s13.37</v>
      </c>
      <c r="G283" s="18" t="str">
        <f>INT(P[Moon]/30)&amp;"s"&amp;ROUNDUP(MOD(P[Moon],30),2)</f>
        <v>8s25.62</v>
      </c>
      <c r="H283" s="14">
        <f t="shared" si="49"/>
        <v>43799.032607283909</v>
      </c>
      <c r="I283" s="4" t="str">
        <f>naks(P[[#This Row],[Moon]])</f>
        <v>Purva Asadha</v>
      </c>
      <c r="J283" s="15">
        <f>(C284-P[[#This Row],[SunRise]])/(T284-P[[#This Row],[Moon]])*(13.3333333333333-MOD(P[[#This Row],[Moon]],13.333333333333))+P[[#This Row],[SunRise]]</f>
        <v>43799.344907236344</v>
      </c>
      <c r="K283" s="4" t="str">
        <f>IF(Panchanga!$P283&gt;15,"K","S")&amp;ROUNDUP(MOD(Panchanga!$P283,15),0)&amp;" ("&amp;ROUND(Panchanga!$P283,2)&amp;")"</f>
        <v>S4 (3.52)</v>
      </c>
      <c r="L283" s="4">
        <f>IF(AND(Panchanga!$P283&lt;28.5,Panchanga!$P283&gt;0.49999),MOD((Panchanga!$P283-0.5)*2,7),MOD((Panchanga!$P283+30-28.5),30)*2+7)</f>
        <v>6.0416000000000007</v>
      </c>
      <c r="M283" s="4" t="str">
        <f>CHOOSE(ROUNDUP(Panchanga!$L283,0),"Bhava","Baalava","Kaulava","Taitula","Garija","Vanija","Vishti","Shakuni","Chatushapda","Naaga","Kimstugna")</f>
        <v>Vishti</v>
      </c>
      <c r="N283" s="11" t="str">
        <f>CHOOSE(ROUNDUP(Panchanga!$Q283,0),"viṣkambha","prīti","āyuṣmāna","saubhāgya","śobhana","atigaṇḍa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("&amp;Panchanga!$Q283&amp;")"</f>
        <v>gaṇḍa  (9.68)</v>
      </c>
      <c r="O283" s="4">
        <f>IF(AND(Panchanga!$P283&lt;28.5,Panchanga!$P283&gt;0.49999),MOD((Panchanga!$P283-0.5)*2,7),MOD((Panchanga!$P283+30-28.5),30)*2+7)</f>
        <v>6.0416000000000007</v>
      </c>
      <c r="P283" s="4">
        <f>ROUNDUP(MOD(360+P[Moon]-P[Sun],360)/12,4)</f>
        <v>3.5208000000000004</v>
      </c>
      <c r="Q283" s="4">
        <f>ROUNDUP(MOD(P[Sun]+P[Moon],360)/13.333333333,2)</f>
        <v>9.68</v>
      </c>
      <c r="R283" s="4" t="str">
        <f>SIGN(U284-Panchanga!$U283)*INT(Panchanga!$U283/30+1)&amp;"Ma,"&amp;SIGN(V284-Panchanga!$V283)*INT(Panchanga!$V283/30+1)&amp;"Me,"&amp;SIGN(W284-Panchanga!$W283)*INT(Panchanga!$W283/30+1)&amp;"J, "&amp;SIGN(X284-Panchanga!$X283)*INT(Panchanga!$X283/30+1)&amp;"V,"&amp;SIGN(Y284-Panchanga!$Y283)*INT(Panchanga!$Y283/30+1)&amp;"S,"&amp;INT(Panchanga!$Z283/30+1)&amp;"R"</f>
        <v>7Ma,7Me,9J, 9V,9S,3R</v>
      </c>
      <c r="S283" s="4">
        <f t="shared" si="47"/>
        <v>223.36743983537448</v>
      </c>
      <c r="T283" s="4">
        <f t="shared" si="48"/>
        <v>265.61658433864773</v>
      </c>
      <c r="U283" s="4">
        <f>Planet(Panchanga!$E283,4)</f>
        <v>192.93571459948939</v>
      </c>
      <c r="V283" s="4">
        <f>Planet(Panchanga!$E283,2)</f>
        <v>203.52355737141417</v>
      </c>
      <c r="W283" s="4">
        <f>Planet(Panchanga!$E283,5)</f>
        <v>245.26364093293461</v>
      </c>
      <c r="X283" s="4">
        <f>Planet(Panchanga!$E283,3)</f>
        <v>250.84453341462583</v>
      </c>
      <c r="Y283" s="4">
        <f>Planet(Panchanga!$E283,6)</f>
        <v>263.75590879690503</v>
      </c>
      <c r="Z283" s="4">
        <f>Planet(Panchanga!$E283,10)</f>
        <v>75.801293349244503</v>
      </c>
      <c r="AA283" s="4" t="str">
        <f>TEXT(Panchanga!$C283+($C284-Panchanga!$C283)/ABS(IF($P284&lt;1,$P284+30,$P284)-Panchanga!$P283)*(ROUNDUP(Panchanga!$P283,0)-Panchanga!$P283),"hh:mm AM/PM")</f>
        <v>06:09 PM</v>
      </c>
      <c r="AB283" s="4"/>
    </row>
    <row r="284" spans="1:28" x14ac:dyDescent="0.2">
      <c r="A284" s="3">
        <f t="shared" si="50"/>
        <v>43800</v>
      </c>
      <c r="B284" s="3">
        <f t="shared" si="44"/>
        <v>43800.229166666664</v>
      </c>
      <c r="C284" s="15">
        <f t="shared" si="45"/>
        <v>43800.262148426533</v>
      </c>
      <c r="D284" s="15">
        <f t="shared" si="46"/>
        <v>43799.735492050691</v>
      </c>
      <c r="E284" s="17">
        <f>Panchanga!$C284-TimeZone/24</f>
        <v>43800.032981759869</v>
      </c>
      <c r="F284" s="18" t="str">
        <f>INT(P[Sun]/30)&amp;"s"&amp;ROUNDUP(MOD(P[Sun],30),2)</f>
        <v>7s14.39</v>
      </c>
      <c r="G284" s="18" t="str">
        <f>INT(P[Moon]/30)&amp;"s"&amp;ROUNDUP(MOD(P[Moon],30),2)</f>
        <v>9s8.26</v>
      </c>
      <c r="H284" s="14">
        <f t="shared" si="49"/>
        <v>43800.032981759869</v>
      </c>
      <c r="I284" s="4" t="str">
        <f>naks(P[[#This Row],[Moon]])</f>
        <v>Uttara Asadha</v>
      </c>
      <c r="J284" s="15">
        <f>(C285-P[[#This Row],[SunRise]])/(T285-P[[#This Row],[Moon]])*(13.3333333333333-MOD(P[[#This Row],[Moon]],13.333333333333))+P[[#This Row],[SunRise]]</f>
        <v>43800.40384769893</v>
      </c>
      <c r="K284" s="4" t="str">
        <f>IF(Panchanga!$P284&gt;15,"K","S")&amp;ROUNDUP(MOD(Panchanga!$P284,15),0)&amp;" ("&amp;ROUND(Panchanga!$P284,2)&amp;")"</f>
        <v>S5 (4.49)</v>
      </c>
      <c r="L284" s="4">
        <f>IF(AND(Panchanga!$P284&lt;28.5,Panchanga!$P284&gt;0.49999),MOD((Panchanga!$P284-0.5)*2,7),MOD((Panchanga!$P284+30-28.5),30)*2+7)</f>
        <v>0.97860000000000014</v>
      </c>
      <c r="M284" s="4" t="str">
        <f>CHOOSE(ROUNDUP(Panchanga!$L284,0),"Bhava","Baalava","Kaulava","Taitula","Garija","Vanija","Vishti","Shakuni","Chatushapda","Naaga","Kimstugna")</f>
        <v>Bhava</v>
      </c>
      <c r="N284" s="11" t="str">
        <f>CHOOSE(ROUNDUP(Panchanga!$Q284,0),"viṣkambha","prīti","āyuṣmāna","saubhāgya","śobhana","atigaṇḍa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("&amp;Panchanga!$Q284&amp;")"</f>
        <v>vṛddhi  (10.7)</v>
      </c>
      <c r="O284" s="4">
        <f>IF(AND(Panchanga!$P284&lt;28.5,Panchanga!$P284&gt;0.49999),MOD((Panchanga!$P284-0.5)*2,7),MOD((Panchanga!$P284+30-28.5),30)*2+7)</f>
        <v>0.97860000000000014</v>
      </c>
      <c r="P284" s="4">
        <f>ROUNDUP(MOD(360+P[Moon]-P[Sun],360)/12,4)</f>
        <v>4.4893000000000001</v>
      </c>
      <c r="Q284" s="4">
        <f>ROUNDUP(MOD(P[Sun]+P[Moon],360)/13.333333333,2)</f>
        <v>10.7</v>
      </c>
      <c r="R284" s="4" t="str">
        <f>SIGN(U285-Panchanga!$U284)*INT(Panchanga!$U284/30+1)&amp;"Ma,"&amp;SIGN(V285-Panchanga!$V284)*INT(Panchanga!$V284/30+1)&amp;"Me,"&amp;SIGN(W285-Panchanga!$W284)*INT(Panchanga!$W284/30+1)&amp;"J, "&amp;SIGN(X285-Panchanga!$X284)*INT(Panchanga!$X284/30+1)&amp;"V,"&amp;SIGN(Y285-Panchanga!$Y284)*INT(Panchanga!$Y284/30+1)&amp;"S,"&amp;INT(Panchanga!$Z284/30+1)&amp;"R"</f>
        <v>7Ma,7Me,9J, 9V,9S,3R</v>
      </c>
      <c r="S284" s="4">
        <f t="shared" si="47"/>
        <v>224.38124721725012</v>
      </c>
      <c r="T284" s="4">
        <f t="shared" si="48"/>
        <v>278.25262475035555</v>
      </c>
      <c r="U284" s="4">
        <f>Planet(Panchanga!$E284,4)</f>
        <v>193.59741633309389</v>
      </c>
      <c r="V284" s="4">
        <f>Planet(Panchanga!$E284,2)</f>
        <v>204.67527242938172</v>
      </c>
      <c r="W284" s="4">
        <f>Planet(Panchanga!$E284,5)</f>
        <v>245.4850137654756</v>
      </c>
      <c r="X284" s="4">
        <f>Planet(Panchanga!$E284,3)</f>
        <v>252.08407751186886</v>
      </c>
      <c r="Y284" s="4">
        <f>Planet(Panchanga!$E284,6)</f>
        <v>263.85567379977329</v>
      </c>
      <c r="Z284" s="4">
        <f>Planet(Panchanga!$E284,10)</f>
        <v>75.748281508917145</v>
      </c>
      <c r="AA284" s="4" t="str">
        <f>TEXT(Panchanga!$C284+($C285-Panchanga!$C284)/ABS(IF($P285&lt;1,$P285+30,$P285)-Panchanga!$P284)*(ROUNDUP(Panchanga!$P284,0)-Panchanga!$P284),"hh:mm AM/PM")</f>
        <v>07:17 PM</v>
      </c>
      <c r="AB284" s="4"/>
    </row>
    <row r="285" spans="1:28" x14ac:dyDescent="0.2">
      <c r="A285" s="3">
        <f t="shared" si="50"/>
        <v>43801</v>
      </c>
      <c r="B285" s="3">
        <f t="shared" si="44"/>
        <v>43801.229166666664</v>
      </c>
      <c r="C285" s="15">
        <f t="shared" si="45"/>
        <v>43801.262525286678</v>
      </c>
      <c r="D285" s="15">
        <f t="shared" si="46"/>
        <v>43800.735626836817</v>
      </c>
      <c r="E285" s="17">
        <f>Panchanga!$C285-TimeZone/24</f>
        <v>43801.033358620014</v>
      </c>
      <c r="F285" s="18" t="str">
        <f>INT(P[Sun]/30)&amp;"s"&amp;ROUNDUP(MOD(P[Sun],30),2)</f>
        <v>7s15.4</v>
      </c>
      <c r="G285" s="18" t="str">
        <f>INT(P[Moon]/30)&amp;"s"&amp;ROUNDUP(MOD(P[Moon],30),2)</f>
        <v>9s20.59</v>
      </c>
      <c r="H285" s="14">
        <f t="shared" si="49"/>
        <v>43801.033358620014</v>
      </c>
      <c r="I285" s="4" t="str">
        <f>naks(P[[#This Row],[Moon]])</f>
        <v>Sravana</v>
      </c>
      <c r="J285" s="15">
        <f>(C286-P[[#This Row],[SunRise]])/(T286-P[[#This Row],[Moon]])*(13.3333333333333-MOD(P[[#This Row],[Moon]],13.333333333333))+P[[#This Row],[SunRise]]</f>
        <v>43801.489364711197</v>
      </c>
      <c r="K285" s="4" t="str">
        <f>IF(Panchanga!$P285&gt;15,"K","S")&amp;ROUNDUP(MOD(Panchanga!$P285,15),0)&amp;" ("&amp;ROUND(Panchanga!$P285,2)&amp;")"</f>
        <v>S6 (5.43)</v>
      </c>
      <c r="L285" s="4">
        <f>IF(AND(Panchanga!$P285&lt;28.5,Panchanga!$P285&gt;0.49999),MOD((Panchanga!$P285-0.5)*2,7),MOD((Panchanga!$P285+30-28.5),30)*2+7)</f>
        <v>2.8655999999999988</v>
      </c>
      <c r="M285" s="4" t="str">
        <f>CHOOSE(ROUNDUP(Panchanga!$L285,0),"Bhava","Baalava","Kaulava","Taitula","Garija","Vanija","Vishti","Shakuni","Chatushapda","Naaga","Kimstugna")</f>
        <v>Kaulava</v>
      </c>
      <c r="N285" s="11" t="str">
        <f>CHOOSE(ROUNDUP(Panchanga!$Q285,0),"viṣkambha","prīti","āyuṣmāna","saubhāgya","śobhana","atigaṇḍa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("&amp;Panchanga!$Q285&amp;")"</f>
        <v>dhruva  (11.7)</v>
      </c>
      <c r="O285" s="4">
        <f>IF(AND(Panchanga!$P285&lt;28.5,Panchanga!$P285&gt;0.49999),MOD((Panchanga!$P285-0.5)*2,7),MOD((Panchanga!$P285+30-28.5),30)*2+7)</f>
        <v>2.8655999999999988</v>
      </c>
      <c r="P285" s="4">
        <f>ROUNDUP(MOD(360+P[Moon]-P[Sun],360)/12,4)</f>
        <v>5.4327999999999994</v>
      </c>
      <c r="Q285" s="4">
        <f>ROUNDUP(MOD(P[Sun]+P[Moon],360)/13.333333333,2)</f>
        <v>11.7</v>
      </c>
      <c r="R285" s="4" t="str">
        <f>SIGN(U286-Panchanga!$U285)*INT(Panchanga!$U285/30+1)&amp;"Ma,"&amp;SIGN(V286-Panchanga!$V285)*INT(Panchanga!$V285/30+1)&amp;"Me,"&amp;SIGN(W286-Panchanga!$W285)*INT(Panchanga!$W285/30+1)&amp;"J, "&amp;SIGN(X286-Panchanga!$X285)*INT(Panchanga!$X285/30+1)&amp;"V,"&amp;SIGN(Y286-Panchanga!$Y285)*INT(Panchanga!$Y285/30+1)&amp;"S,"&amp;INT(Panchanga!$Z285/30+1)&amp;"R"</f>
        <v>7Ma,7Me,9J, 9V,9S,3R</v>
      </c>
      <c r="S285" s="4">
        <f t="shared" si="47"/>
        <v>225.39533217696314</v>
      </c>
      <c r="T285" s="4">
        <f t="shared" si="48"/>
        <v>290.58884734462686</v>
      </c>
      <c r="U285" s="4">
        <f>Planet(Panchanga!$E285,4)</f>
        <v>194.25943425616376</v>
      </c>
      <c r="V285" s="4">
        <f>Planet(Panchanga!$E285,2)</f>
        <v>205.88219573813109</v>
      </c>
      <c r="W285" s="4">
        <f>Planet(Panchanga!$E285,5)</f>
        <v>245.70701624449418</v>
      </c>
      <c r="X285" s="4">
        <f>Planet(Panchanga!$E285,3)</f>
        <v>253.32338383348949</v>
      </c>
      <c r="Y285" s="4">
        <f>Planet(Panchanga!$E285,6)</f>
        <v>263.95627019623896</v>
      </c>
      <c r="Z285" s="4">
        <f>Planet(Panchanga!$E285,10)</f>
        <v>75.695269542288401</v>
      </c>
      <c r="AA285" s="4" t="str">
        <f>TEXT(Panchanga!$C285+($C286-Panchanga!$C285)/ABS(IF($P286&lt;1,$P286+30,$P286)-Panchanga!$P285)*(ROUNDUP(Panchanga!$P285,0)-Panchanga!$P285),"hh:mm AM/PM")</f>
        <v>09:02 PM</v>
      </c>
      <c r="AB285" s="4"/>
    </row>
    <row r="286" spans="1:28" x14ac:dyDescent="0.2">
      <c r="A286" s="3">
        <f t="shared" si="50"/>
        <v>43802</v>
      </c>
      <c r="B286" s="3">
        <f t="shared" si="44"/>
        <v>43802.229166666664</v>
      </c>
      <c r="C286" s="15">
        <f t="shared" si="45"/>
        <v>43802.262904213429</v>
      </c>
      <c r="D286" s="15">
        <f t="shared" si="46"/>
        <v>43801.735773861452</v>
      </c>
      <c r="E286" s="17">
        <f>Panchanga!$C286-TimeZone/24</f>
        <v>43802.033737546764</v>
      </c>
      <c r="F286" s="18" t="str">
        <f>INT(P[Sun]/30)&amp;"s"&amp;ROUNDUP(MOD(P[Sun],30),2)</f>
        <v>7s16.41</v>
      </c>
      <c r="G286" s="18" t="str">
        <f>INT(P[Moon]/30)&amp;"s"&amp;ROUNDUP(MOD(P[Moon],30),2)</f>
        <v>10s2.7</v>
      </c>
      <c r="H286" s="14">
        <f t="shared" si="49"/>
        <v>43802.033737546764</v>
      </c>
      <c r="I286" s="4" t="str">
        <f>naks(P[[#This Row],[Moon]])</f>
        <v>Dhanistha</v>
      </c>
      <c r="J286" s="15">
        <f>(C287-P[[#This Row],[SunRise]])/(T287-P[[#This Row],[Moon]])*(13.3333333333333-MOD(P[[#This Row],[Moon]],13.333333333333))+P[[#This Row],[SunRise]]</f>
        <v>43802.595670278359</v>
      </c>
      <c r="K286" s="4" t="str">
        <f>IF(Panchanga!$P286&gt;15,"K","S")&amp;ROUNDUP(MOD(Panchanga!$P286,15),0)&amp;" ("&amp;ROUND(Panchanga!$P286,2)&amp;")"</f>
        <v>S7 (6.36)</v>
      </c>
      <c r="L286" s="4">
        <f>IF(AND(Panchanga!$P286&lt;28.5,Panchanga!$P286&gt;0.49999),MOD((Panchanga!$P286-0.5)*2,7),MOD((Panchanga!$P286+30-28.5),30)*2+7)</f>
        <v>4.7137999999999991</v>
      </c>
      <c r="M286" s="4" t="str">
        <f>CHOOSE(ROUNDUP(Panchanga!$L286,0),"Bhava","Baalava","Kaulava","Taitula","Garija","Vanija","Vishti","Shakuni","Chatushapda","Naaga","Kimstugna")</f>
        <v>Garija</v>
      </c>
      <c r="N286" s="11" t="str">
        <f>CHOOSE(ROUNDUP(Panchanga!$Q286,0),"viṣkambha","prīti","āyuṣmāna","saubhāgya","śobhana","atigaṇḍa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("&amp;Panchanga!$Q286&amp;")"</f>
        <v>vyāghāta (12.69)</v>
      </c>
      <c r="O286" s="4">
        <f>IF(AND(Panchanga!$P286&lt;28.5,Panchanga!$P286&gt;0.49999),MOD((Panchanga!$P286-0.5)*2,7),MOD((Panchanga!$P286+30-28.5),30)*2+7)</f>
        <v>4.7137999999999991</v>
      </c>
      <c r="P286" s="4">
        <f>ROUNDUP(MOD(360+P[Moon]-P[Sun],360)/12,4)</f>
        <v>6.3568999999999996</v>
      </c>
      <c r="Q286" s="4">
        <f>ROUNDUP(MOD(P[Sun]+P[Moon],360)/13.333333333,2)</f>
        <v>12.69</v>
      </c>
      <c r="R286" s="4" t="str">
        <f>SIGN(U287-Panchanga!$U286)*INT(Panchanga!$U286/30+1)&amp;"Ma,"&amp;SIGN(V287-Panchanga!$V286)*INT(Panchanga!$V286/30+1)&amp;"Me,"&amp;SIGN(W287-Panchanga!$W286)*INT(Panchanga!$W286/30+1)&amp;"J, "&amp;SIGN(X287-Panchanga!$X286)*INT(Panchanga!$X286/30+1)&amp;"V,"&amp;SIGN(Y287-Panchanga!$Y286)*INT(Panchanga!$Y286/30+1)&amp;"S,"&amp;INT(Panchanga!$Z286/30+1)&amp;"R"</f>
        <v>7Ma,7Me,9J, 9V,9S,3R</v>
      </c>
      <c r="S286" s="4">
        <f t="shared" si="47"/>
        <v>226.40967976249024</v>
      </c>
      <c r="T286" s="4">
        <f t="shared" si="48"/>
        <v>302.69223701618552</v>
      </c>
      <c r="U286" s="4">
        <f>Planet(Panchanga!$E286,4)</f>
        <v>194.92176915403519</v>
      </c>
      <c r="V286" s="4">
        <f>Planet(Panchanga!$E286,2)</f>
        <v>207.13660753179852</v>
      </c>
      <c r="W286" s="4">
        <f>Planet(Panchanga!$E286,5)</f>
        <v>245.92962321718286</v>
      </c>
      <c r="X286" s="4">
        <f>Planet(Panchanga!$E286,3)</f>
        <v>254.56243471001193</v>
      </c>
      <c r="Y286" s="4">
        <f>Planet(Panchanga!$E286,6)</f>
        <v>264.0576781946553</v>
      </c>
      <c r="Z286" s="4">
        <f>Planet(Panchanga!$E286,10)</f>
        <v>75.64225746612604</v>
      </c>
      <c r="AA286" s="4" t="str">
        <f>TEXT(Panchanga!$C286+($C287-Panchanga!$C286)/ABS(IF($P287&lt;1,$P287+30,$P287)-Panchanga!$P286)*(ROUNDUP(Panchanga!$P286,0)-Panchanga!$P286),"hh:mm AM/PM")</f>
        <v>11:15 PM</v>
      </c>
      <c r="AB286" s="4"/>
    </row>
    <row r="287" spans="1:28" x14ac:dyDescent="0.2">
      <c r="A287" s="3">
        <f t="shared" si="50"/>
        <v>43803</v>
      </c>
      <c r="B287" s="3">
        <f t="shared" si="44"/>
        <v>43803.229166666664</v>
      </c>
      <c r="C287" s="15">
        <f t="shared" si="45"/>
        <v>43803.263284888271</v>
      </c>
      <c r="D287" s="15">
        <f t="shared" si="46"/>
        <v>43802.735933125063</v>
      </c>
      <c r="E287" s="17">
        <f>Panchanga!$C287-TimeZone/24</f>
        <v>43803.034118221607</v>
      </c>
      <c r="F287" s="18" t="str">
        <f>INT(P[Sun]/30)&amp;"s"&amp;ROUNDUP(MOD(P[Sun],30),2)</f>
        <v>7s17.43</v>
      </c>
      <c r="G287" s="18" t="str">
        <f>INT(P[Moon]/30)&amp;"s"&amp;ROUNDUP(MOD(P[Moon],30),2)</f>
        <v>10s14.65</v>
      </c>
      <c r="H287" s="14">
        <f t="shared" si="49"/>
        <v>43803.034118221607</v>
      </c>
      <c r="I287" s="4" t="str">
        <f>naks(P[[#This Row],[Moon]])</f>
        <v>Satabhisaj</v>
      </c>
      <c r="J287" s="15">
        <f>(C288-P[[#This Row],[SunRise]])/(T288-P[[#This Row],[Moon]])*(13.3333333333333-MOD(P[[#This Row],[Moon]],13.333333333333))+P[[#This Row],[SunRise]]</f>
        <v>43803.714787943572</v>
      </c>
      <c r="K287" s="4" t="str">
        <f>IF(Panchanga!$P287&gt;15,"K","S")&amp;ROUNDUP(MOD(Panchanga!$P287,15),0)&amp;" ("&amp;ROUND(Panchanga!$P287,2)&amp;")"</f>
        <v>S8 (7.27)</v>
      </c>
      <c r="L287" s="4">
        <f>IF(AND(Panchanga!$P287&lt;28.5,Panchanga!$P287&gt;0.49999),MOD((Panchanga!$P287-0.5)*2,7),MOD((Panchanga!$P287+30-28.5),30)*2+7)</f>
        <v>6.5361999999999991</v>
      </c>
      <c r="M287" s="4" t="str">
        <f>CHOOSE(ROUNDUP(Panchanga!$L287,0),"Bhava","Baalava","Kaulava","Taitula","Garija","Vanija","Vishti","Shakuni","Chatushapda","Naaga","Kimstugna")</f>
        <v>Vishti</v>
      </c>
      <c r="N287" s="11" t="str">
        <f>CHOOSE(ROUNDUP(Panchanga!$Q287,0),"viṣkambha","prīti","āyuṣmāna","saubhāgya","śobhana","atigaṇḍa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("&amp;Panchanga!$Q287&amp;")"</f>
        <v>harṣaṇa (13.66)</v>
      </c>
      <c r="O287" s="4">
        <f>IF(AND(Panchanga!$P287&lt;28.5,Panchanga!$P287&gt;0.49999),MOD((Panchanga!$P287-0.5)*2,7),MOD((Panchanga!$P287+30-28.5),30)*2+7)</f>
        <v>6.5361999999999991</v>
      </c>
      <c r="P287" s="4">
        <f>ROUNDUP(MOD(360+P[Moon]-P[Sun],360)/12,4)</f>
        <v>7.2680999999999996</v>
      </c>
      <c r="Q287" s="4">
        <f>ROUNDUP(MOD(P[Sun]+P[Moon],360)/13.333333333,2)</f>
        <v>13.66</v>
      </c>
      <c r="R287" s="4" t="str">
        <f>SIGN(U288-Panchanga!$U287)*INT(Panchanga!$U287/30+1)&amp;"Ma,"&amp;SIGN(V288-Panchanga!$V287)*INT(Panchanga!$V287/30+1)&amp;"Me,"&amp;SIGN(W288-Panchanga!$W287)*INT(Panchanga!$W287/30+1)&amp;"J, "&amp;SIGN(X288-Panchanga!$X287)*INT(Panchanga!$X287/30+1)&amp;"V,"&amp;SIGN(Y288-Panchanga!$Y287)*INT(Panchanga!$Y287/30+1)&amp;"S,"&amp;INT(Panchanga!$Z287/30+1)&amp;"R"</f>
        <v>7Ma,7Me,9J, 9V,9S,3R</v>
      </c>
      <c r="S287" s="4">
        <f t="shared" si="47"/>
        <v>227.42427747144359</v>
      </c>
      <c r="T287" s="4">
        <f t="shared" si="48"/>
        <v>314.64039830697834</v>
      </c>
      <c r="U287" s="4">
        <f>Planet(Panchanga!$E287,4)</f>
        <v>195.58442285774206</v>
      </c>
      <c r="V287" s="4">
        <f>Planet(Panchanga!$E287,2)</f>
        <v>208.43178102301064</v>
      </c>
      <c r="W287" s="4">
        <f>Planet(Panchanga!$E287,5)</f>
        <v>246.15281006777215</v>
      </c>
      <c r="X287" s="4">
        <f>Planet(Panchanga!$E287,3)</f>
        <v>255.80121344511406</v>
      </c>
      <c r="Y287" s="4">
        <f>Planet(Panchanga!$E287,6)</f>
        <v>264.15987816696935</v>
      </c>
      <c r="Z287" s="4">
        <f>Planet(Panchanga!$E287,10)</f>
        <v>75.589245297313724</v>
      </c>
      <c r="AA287" s="4" t="str">
        <f>TEXT(Panchanga!$C287+($C288-Panchanga!$C287)/ABS(IF($P288&lt;1,$P288+30,$P288)-Panchanga!$P287)*(ROUNDUP(Panchanga!$P287,0)-Panchanga!$P287),"hh:mm AM/PM")</f>
        <v>01:44 AM</v>
      </c>
      <c r="AB287" s="4"/>
    </row>
    <row r="288" spans="1:28" x14ac:dyDescent="0.2">
      <c r="A288" s="3">
        <f t="shared" si="50"/>
        <v>43804</v>
      </c>
      <c r="B288" s="3">
        <f t="shared" si="44"/>
        <v>43804.229166666664</v>
      </c>
      <c r="C288" s="15">
        <f t="shared" si="45"/>
        <v>43804.263666994091</v>
      </c>
      <c r="D288" s="15">
        <f t="shared" si="46"/>
        <v>43803.736104468859</v>
      </c>
      <c r="E288" s="17">
        <f>Panchanga!$C288-TimeZone/24</f>
        <v>43804.034500327427</v>
      </c>
      <c r="F288" s="18" t="str">
        <f>INT(P[Sun]/30)&amp;"s"&amp;ROUNDUP(MOD(P[Sun],30),2)</f>
        <v>7s18.44</v>
      </c>
      <c r="G288" s="18" t="str">
        <f>INT(P[Moon]/30)&amp;"s"&amp;ROUNDUP(MOD(P[Moon],30),2)</f>
        <v>10s26.52</v>
      </c>
      <c r="H288" s="14">
        <f t="shared" si="49"/>
        <v>43804.034500327427</v>
      </c>
      <c r="I288" s="4" t="str">
        <f>naks(P[[#This Row],[Moon]])</f>
        <v>Purva Bhadrapada</v>
      </c>
      <c r="J288" s="15">
        <f>(C289-P[[#This Row],[SunRise]])/(T289-P[[#This Row],[Moon]])*(13.3333333333333-MOD(P[[#This Row],[Moon]],13.333333333333))+P[[#This Row],[SunRise]]</f>
        <v>43804.837601378378</v>
      </c>
      <c r="K288" s="4" t="str">
        <f>IF(Panchanga!$P288&gt;15,"K","S")&amp;ROUNDUP(MOD(Panchanga!$P288,15),0)&amp;" ("&amp;ROUND(Panchanga!$P288,2)&amp;")"</f>
        <v>S9 (8.17)</v>
      </c>
      <c r="L288" s="4">
        <f>IF(AND(Panchanga!$P288&lt;28.5,Panchanga!$P288&gt;0.49999),MOD((Panchanga!$P288-0.5)*2,7),MOD((Panchanga!$P288+30-28.5),30)*2+7)</f>
        <v>1.3461999999999996</v>
      </c>
      <c r="M288" s="4" t="str">
        <f>CHOOSE(ROUNDUP(Panchanga!$L288,0),"Bhava","Baalava","Kaulava","Taitula","Garija","Vanija","Vishti","Shakuni","Chatushapda","Naaga","Kimstugna")</f>
        <v>Baalava</v>
      </c>
      <c r="N288" s="11" t="str">
        <f>CHOOSE(ROUNDUP(Panchanga!$Q288,0),"viṣkambha","prīti","āyuṣmāna","saubhāgya","śobhana","atigaṇḍa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("&amp;Panchanga!$Q288&amp;")"</f>
        <v>vajra (14.63)</v>
      </c>
      <c r="O288" s="4">
        <f>IF(AND(Panchanga!$P288&lt;28.5,Panchanga!$P288&gt;0.49999),MOD((Panchanga!$P288-0.5)*2,7),MOD((Panchanga!$P288+30-28.5),30)*2+7)</f>
        <v>1.3461999999999996</v>
      </c>
      <c r="P288" s="4">
        <f>ROUNDUP(MOD(360+P[Moon]-P[Sun],360)/12,4)</f>
        <v>8.1730999999999998</v>
      </c>
      <c r="Q288" s="4">
        <f>ROUNDUP(MOD(P[Sun]+P[Moon],360)/13.333333333,2)</f>
        <v>14.629999999999999</v>
      </c>
      <c r="R288" s="4" t="str">
        <f>SIGN(U289-Panchanga!$U288)*INT(Panchanga!$U288/30+1)&amp;"Ma,"&amp;SIGN(V289-Panchanga!$V288)*INT(Panchanga!$V288/30+1)&amp;"Me,"&amp;SIGN(W289-Panchanga!$W288)*INT(Panchanga!$W288/30+1)&amp;"J, "&amp;SIGN(X289-Panchanga!$X288)*INT(Panchanga!$X288/30+1)&amp;"V,"&amp;SIGN(Y289-Panchanga!$Y288)*INT(Panchanga!$Y288/30+1)&amp;"S,"&amp;INT(Panchanga!$Z288/30+1)&amp;"R"</f>
        <v>7Ma,7Me,9J, 9V,9S,3R</v>
      </c>
      <c r="S288" s="4">
        <f t="shared" si="47"/>
        <v>228.43911499094489</v>
      </c>
      <c r="T288" s="4">
        <f t="shared" si="48"/>
        <v>326.51551092272791</v>
      </c>
      <c r="U288" s="4">
        <f>Planet(Panchanga!$E288,4)</f>
        <v>196.24739811139253</v>
      </c>
      <c r="V288" s="4">
        <f>Planet(Panchanga!$E288,2)</f>
        <v>209.76188585876974</v>
      </c>
      <c r="W288" s="4">
        <f>Planet(Panchanga!$E288,5)</f>
        <v>246.37655269465941</v>
      </c>
      <c r="X288" s="4">
        <f>Planet(Panchanga!$E288,3)</f>
        <v>257.03970420798487</v>
      </c>
      <c r="Y288" s="4">
        <f>Planet(Panchanga!$E288,6)</f>
        <v>264.26285065313328</v>
      </c>
      <c r="Z288" s="4">
        <f>Planet(Panchanga!$E288,10)</f>
        <v>75.536233052701704</v>
      </c>
      <c r="AA288" s="4" t="str">
        <f>TEXT(Panchanga!$C288+($C289-Panchanga!$C288)/ABS(IF($P289&lt;1,$P289+30,$P289)-Panchanga!$P288)*(ROUNDUP(Panchanga!$P288,0)-Panchanga!$P288),"hh:mm AM/PM")</f>
        <v>04:14 AM</v>
      </c>
      <c r="AB288" s="4"/>
    </row>
    <row r="289" spans="1:28" x14ac:dyDescent="0.2">
      <c r="A289" s="3">
        <f t="shared" si="50"/>
        <v>43805</v>
      </c>
      <c r="B289" s="3">
        <f t="shared" si="44"/>
        <v>43805.229166666664</v>
      </c>
      <c r="C289" s="15">
        <f t="shared" si="45"/>
        <v>43805.26405005312</v>
      </c>
      <c r="D289" s="15">
        <f t="shared" si="46"/>
        <v>43804.736287574327</v>
      </c>
      <c r="E289" s="17">
        <f>Panchanga!$C289-TimeZone/24</f>
        <v>43805.034883386455</v>
      </c>
      <c r="F289" s="18" t="str">
        <f>INT(P[Sun]/30)&amp;"s"&amp;ROUNDUP(MOD(P[Sun],30),2)</f>
        <v>7s19.46</v>
      </c>
      <c r="G289" s="18" t="str">
        <f>INT(P[Moon]/30)&amp;"s"&amp;ROUNDUP(MOD(P[Moon],30),2)</f>
        <v>11s8.4</v>
      </c>
      <c r="H289" s="14">
        <f t="shared" si="49"/>
        <v>43805.034883386455</v>
      </c>
      <c r="I289" s="4" t="str">
        <f>naks(P[[#This Row],[Moon]])</f>
        <v>Uttara Bhadrapada</v>
      </c>
      <c r="J289" s="15">
        <f>(C290-P[[#This Row],[SunRise]])/(T290-P[[#This Row],[Moon]])*(13.3333333333333-MOD(P[[#This Row],[Moon]],13.333333333333))+P[[#This Row],[SunRise]]</f>
        <v>43805.955075775382</v>
      </c>
      <c r="K289" s="4" t="str">
        <f>IF(Panchanga!$P289&gt;15,"K","S")&amp;ROUNDUP(MOD(Panchanga!$P289,15),0)&amp;" ("&amp;ROUND(Panchanga!$P289,2)&amp;")"</f>
        <v>S10 (9.08)</v>
      </c>
      <c r="L289" s="4">
        <f>IF(AND(Panchanga!$P289&lt;28.5,Panchanga!$P289&gt;0.49999),MOD((Panchanga!$P289-0.5)*2,7),MOD((Panchanga!$P289+30-28.5),30)*2+7)</f>
        <v>3.1575999999999986</v>
      </c>
      <c r="M289" s="4" t="str">
        <f>CHOOSE(ROUNDUP(Panchanga!$L289,0),"Bhava","Baalava","Kaulava","Taitula","Garija","Vanija","Vishti","Shakuni","Chatushapda","Naaga","Kimstugna")</f>
        <v>Taitula</v>
      </c>
      <c r="N289" s="11" t="str">
        <f>CHOOSE(ROUNDUP(Panchanga!$Q289,0),"viṣkambha","prīti","āyuṣmāna","saubhāgya","śobhana","atigaṇḍa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("&amp;Panchanga!$Q289&amp;")"</f>
        <v>siddhi (15.59)</v>
      </c>
      <c r="O289" s="4">
        <f>IF(AND(Panchanga!$P289&lt;28.5,Panchanga!$P289&gt;0.49999),MOD((Panchanga!$P289-0.5)*2,7),MOD((Panchanga!$P289+30-28.5),30)*2+7)</f>
        <v>3.1575999999999986</v>
      </c>
      <c r="P289" s="4">
        <f>ROUNDUP(MOD(360+P[Moon]-P[Sun],360)/12,4)</f>
        <v>9.0787999999999993</v>
      </c>
      <c r="Q289" s="4">
        <f>ROUNDUP(MOD(P[Sun]+P[Moon],360)/13.333333333,2)</f>
        <v>15.59</v>
      </c>
      <c r="R289" s="4" t="str">
        <f>SIGN(U290-Panchanga!$U289)*INT(Panchanga!$U289/30+1)&amp;"Ma,"&amp;SIGN(V290-Panchanga!$V289)*INT(Panchanga!$V289/30+1)&amp;"Me,"&amp;SIGN(W290-Panchanga!$W289)*INT(Panchanga!$W289/30+1)&amp;"J, "&amp;SIGN(X290-Panchanga!$X289)*INT(Panchanga!$X289/30+1)&amp;"V,"&amp;SIGN(Y290-Panchanga!$Y289)*INT(Panchanga!$Y289/30+1)&amp;"S,"&amp;INT(Panchanga!$Z289/30+1)&amp;"R"</f>
        <v>7Ma,8Me,9J, 9V,9S,3R</v>
      </c>
      <c r="S289" s="4">
        <f t="shared" si="47"/>
        <v>229.45418391486692</v>
      </c>
      <c r="T289" s="4">
        <f t="shared" si="48"/>
        <v>338.39915864587283</v>
      </c>
      <c r="U289" s="4">
        <f>Planet(Panchanga!$E289,4)</f>
        <v>196.91069840027376</v>
      </c>
      <c r="V289" s="4">
        <f>Planet(Panchanga!$E289,2)</f>
        <v>211.12189129250584</v>
      </c>
      <c r="W289" s="4">
        <f>Planet(Panchanga!$E289,5)</f>
        <v>246.60082746214556</v>
      </c>
      <c r="X289" s="4">
        <f>Planet(Panchanga!$E289,3)</f>
        <v>258.2778917787769</v>
      </c>
      <c r="Y289" s="4">
        <f>Planet(Panchanga!$E289,6)</f>
        <v>264.36657635066376</v>
      </c>
      <c r="Z289" s="4">
        <f>Planet(Panchanga!$E289,10)</f>
        <v>75.48322075759063</v>
      </c>
      <c r="AA289" s="4" t="str">
        <f>TEXT(Panchanga!$C289+($C290-Panchanga!$C289)/ABS(IF($P290&lt;1,$P290+30,$P290)-Panchanga!$P289)*(ROUNDUP(Panchanga!$P289,0)-Panchanga!$P289),"hh:mm AM/PM")</f>
        <v>06:34 AM</v>
      </c>
      <c r="AB289" s="4"/>
    </row>
    <row r="290" spans="1:28" x14ac:dyDescent="0.2">
      <c r="A290" s="3">
        <f t="shared" si="50"/>
        <v>43806</v>
      </c>
      <c r="B290" s="3">
        <f t="shared" si="44"/>
        <v>43806.229166666664</v>
      </c>
      <c r="C290" s="15">
        <f t="shared" si="45"/>
        <v>43806.264433748242</v>
      </c>
      <c r="D290" s="15">
        <f t="shared" si="46"/>
        <v>43805.736482123888</v>
      </c>
      <c r="E290" s="17">
        <f>Panchanga!$C290-TimeZone/24</f>
        <v>43806.035267081577</v>
      </c>
      <c r="F290" s="18" t="str">
        <f>INT(P[Sun]/30)&amp;"s"&amp;ROUNDUP(MOD(P[Sun],30),2)</f>
        <v>7s20.47</v>
      </c>
      <c r="G290" s="18" t="str">
        <f>INT(P[Moon]/30)&amp;"s"&amp;ROUNDUP(MOD(P[Moon],30),2)</f>
        <v>11s20.37</v>
      </c>
      <c r="H290" s="14">
        <f t="shared" si="49"/>
        <v>43806.035267081577</v>
      </c>
      <c r="I290" s="4" t="str">
        <f>naks(P[[#This Row],[Moon]])</f>
        <v>Revati</v>
      </c>
      <c r="J290" s="15">
        <f>(C291-P[[#This Row],[SunRise]])/(T291-P[[#This Row],[Moon]])*(13.3333333333333-MOD(P[[#This Row],[Moon]],13.333333333333))+P[[#This Row],[SunRise]]</f>
        <v>43806.236734906677</v>
      </c>
      <c r="K290" s="4" t="str">
        <f>IF(Panchanga!$P290&gt;15,"K","S")&amp;ROUNDUP(MOD(Panchanga!$P290,15),0)&amp;" ("&amp;ROUND(Panchanga!$P290,2)&amp;")"</f>
        <v>S10 (9.99)</v>
      </c>
      <c r="L290" s="4">
        <f>IF(AND(Panchanga!$P290&lt;28.5,Panchanga!$P290&gt;0.49999),MOD((Panchanga!$P290-0.5)*2,7),MOD((Panchanga!$P290+30-28.5),30)*2+7)</f>
        <v>4.9832000000000001</v>
      </c>
      <c r="M290" s="4" t="str">
        <f>CHOOSE(ROUNDUP(Panchanga!$L290,0),"Bhava","Baalava","Kaulava","Taitula","Garija","Vanija","Vishti","Shakuni","Chatushapda","Naaga","Kimstugna")</f>
        <v>Garija</v>
      </c>
      <c r="N290" s="11" t="str">
        <f>CHOOSE(ROUNDUP(Panchanga!$Q290,0),"viṣkambha","prīti","āyuṣmāna","saubhāgya","śobhana","atigaṇḍa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("&amp;Panchanga!$Q290&amp;")"</f>
        <v>vyatipāta (16.57)</v>
      </c>
      <c r="O290" s="4">
        <f>IF(AND(Panchanga!$P290&lt;28.5,Panchanga!$P290&gt;0.49999),MOD((Panchanga!$P290-0.5)*2,7),MOD((Panchanga!$P290+30-28.5),30)*2+7)</f>
        <v>4.9832000000000001</v>
      </c>
      <c r="P290" s="4">
        <f>ROUNDUP(MOD(360+P[Moon]-P[Sun],360)/12,4)</f>
        <v>9.9916</v>
      </c>
      <c r="Q290" s="4">
        <f>ROUNDUP(MOD(P[Sun]+P[Moon],360)/13.333333333,2)</f>
        <v>16.57</v>
      </c>
      <c r="R290" s="4" t="str">
        <f>SIGN(U291-Panchanga!$U290)*INT(Panchanga!$U290/30+1)&amp;"Ma,"&amp;SIGN(V291-Panchanga!$V290)*INT(Panchanga!$V290/30+1)&amp;"Me,"&amp;SIGN(W291-Panchanga!$W290)*INT(Panchanga!$W290/30+1)&amp;"J, "&amp;SIGN(X291-Panchanga!$X290)*INT(Panchanga!$X290/30+1)&amp;"V,"&amp;SIGN(Y291-Panchanga!$Y290)*INT(Panchanga!$Y290/30+1)&amp;"S,"&amp;INT(Panchanga!$Z290/30+1)&amp;"R"</f>
        <v>7Ma,8Me,9J, 9V,9S,3R</v>
      </c>
      <c r="S290" s="4">
        <f t="shared" si="47"/>
        <v>230.46947806179975</v>
      </c>
      <c r="T290" s="4">
        <f t="shared" si="48"/>
        <v>350.3678596028243</v>
      </c>
      <c r="U290" s="4">
        <f>Planet(Panchanga!$E290,4)</f>
        <v>197.57432813482242</v>
      </c>
      <c r="V290" s="4">
        <f>Planet(Panchanga!$E290,2)</f>
        <v>212.50747412929135</v>
      </c>
      <c r="W290" s="4">
        <f>Planet(Panchanga!$E290,5)</f>
        <v>246.82561127803217</v>
      </c>
      <c r="X290" s="4">
        <f>Planet(Panchanga!$E290,3)</f>
        <v>259.51576196991186</v>
      </c>
      <c r="Y290" s="4">
        <f>Planet(Panchanga!$E290,6)</f>
        <v>264.47103616402705</v>
      </c>
      <c r="Z290" s="4">
        <f>Planet(Panchanga!$E290,10)</f>
        <v>75.430208428764601</v>
      </c>
      <c r="AA290" s="4" t="str">
        <f>TEXT(Panchanga!$C290+($C291-Panchanga!$C290)/ABS(IF($P291&lt;1,$P291+30,$P291)-Panchanga!$P290)*(ROUNDUP(Panchanga!$P290,0)-Panchanga!$P290),"hh:mm AM/PM")</f>
        <v>06:33 AM</v>
      </c>
      <c r="AB290" s="4"/>
    </row>
    <row r="291" spans="1:28" x14ac:dyDescent="0.2">
      <c r="A291" s="3">
        <f t="shared" si="50"/>
        <v>43807</v>
      </c>
      <c r="B291" s="3">
        <f t="shared" si="44"/>
        <v>43807.229166666664</v>
      </c>
      <c r="C291" s="15">
        <f t="shared" si="45"/>
        <v>43807.264817760944</v>
      </c>
      <c r="D291" s="15">
        <f t="shared" si="46"/>
        <v>43806.73668811754</v>
      </c>
      <c r="E291" s="17">
        <f>Panchanga!$C291-TimeZone/24</f>
        <v>43807.03565109428</v>
      </c>
      <c r="F291" s="18" t="str">
        <f>INT(P[Sun]/30)&amp;"s"&amp;ROUNDUP(MOD(P[Sun],30),2)</f>
        <v>7s21.49</v>
      </c>
      <c r="G291" s="18" t="str">
        <f>INT(P[Moon]/30)&amp;"s"&amp;ROUNDUP(MOD(P[Moon],30),2)</f>
        <v>0s2.49</v>
      </c>
      <c r="H291" s="14">
        <f t="shared" si="49"/>
        <v>43807.03565109428</v>
      </c>
      <c r="I291" s="4" t="str">
        <f>naks(P[[#This Row],[Moon]])</f>
        <v>Aswini</v>
      </c>
      <c r="J291" s="15">
        <f>(C292-P[[#This Row],[SunRise]])/(T292-P[[#This Row],[Moon]])*(13.3333333333333-MOD(P[[#This Row],[Moon]],13.333333333333))+P[[#This Row],[SunRise]]</f>
        <v>43808.144758638453</v>
      </c>
      <c r="K291" s="4" t="str">
        <f>IF(Panchanga!$P291&gt;15,"K","S")&amp;ROUNDUP(MOD(Panchanga!$P291,15),0)&amp;" ("&amp;ROUND(Panchanga!$P291,2)&amp;")"</f>
        <v>S11 (10.92)</v>
      </c>
      <c r="L291" s="4">
        <f>IF(AND(Panchanga!$P291&lt;28.5,Panchanga!$P291&gt;0.49999),MOD((Panchanga!$P291-0.5)*2,7),MOD((Panchanga!$P291+30-28.5),30)*2+7)</f>
        <v>6.8341999999999992</v>
      </c>
      <c r="M291" s="4" t="str">
        <f>CHOOSE(ROUNDUP(Panchanga!$L291,0),"Bhava","Baalava","Kaulava","Taitula","Garija","Vanija","Vishti","Shakuni","Chatushapda","Naaga","Kimstugna")</f>
        <v>Vishti</v>
      </c>
      <c r="N291" s="11" t="str">
        <f>CHOOSE(ROUNDUP(Panchanga!$Q291,0),"viṣkambha","prīti","āyuṣmāna","saubhāgya","śobhana","atigaṇḍa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("&amp;Panchanga!$Q291&amp;")"</f>
        <v>varīyas (17.55)</v>
      </c>
      <c r="O291" s="4">
        <f>IF(AND(Panchanga!$P291&lt;28.5,Panchanga!$P291&gt;0.49999),MOD((Panchanga!$P291-0.5)*2,7),MOD((Panchanga!$P291+30-28.5),30)*2+7)</f>
        <v>6.8341999999999992</v>
      </c>
      <c r="P291" s="4">
        <f>ROUNDUP(MOD(360+P[Moon]-P[Sun],360)/12,4)</f>
        <v>10.9171</v>
      </c>
      <c r="Q291" s="4">
        <f>ROUNDUP(MOD(P[Sun]+P[Moon],360)/13.333333333,2)</f>
        <v>17.55</v>
      </c>
      <c r="R291" s="4" t="str">
        <f>SIGN(U292-Panchanga!$U291)*INT(Panchanga!$U291/30+1)&amp;"Ma,"&amp;SIGN(V292-Panchanga!$V291)*INT(Panchanga!$V291/30+1)&amp;"Me,"&amp;SIGN(W292-Panchanga!$W291)*INT(Panchanga!$W291/30+1)&amp;"J, "&amp;SIGN(X292-Panchanga!$X291)*INT(Panchanga!$X291/30+1)&amp;"V,"&amp;SIGN(Y292-Panchanga!$Y291)*INT(Panchanga!$Y291/30+1)&amp;"S,"&amp;INT(Panchanga!$Z291/30+1)&amp;"R"</f>
        <v>7Ma,8Me,9J, 9V,9S,3R</v>
      </c>
      <c r="S291" s="4">
        <f t="shared" si="47"/>
        <v>231.48499334973934</v>
      </c>
      <c r="T291" s="4">
        <f t="shared" si="48"/>
        <v>2.4890778198378416</v>
      </c>
      <c r="U291" s="4">
        <f>Planet(Panchanga!$E291,4)</f>
        <v>198.23829251106903</v>
      </c>
      <c r="V291" s="4">
        <f>Planet(Panchanga!$E291,2)</f>
        <v>213.91493253532977</v>
      </c>
      <c r="W291" s="4">
        <f>Planet(Panchanga!$E291,5)</f>
        <v>247.05088156875215</v>
      </c>
      <c r="X291" s="4">
        <f>Planet(Panchanga!$E291,3)</f>
        <v>260.75330149932438</v>
      </c>
      <c r="Y291" s="4">
        <f>Planet(Panchanga!$E291,6)</f>
        <v>264.57621120825098</v>
      </c>
      <c r="Z291" s="4">
        <f>Planet(Panchanga!$E291,10)</f>
        <v>75.37719608309088</v>
      </c>
      <c r="AA291" s="4" t="str">
        <f>TEXT(Panchanga!$C291+($C292-Panchanga!$C291)/ABS(IF($P292&lt;1,$P292+30,$P292)-Panchanga!$P291)*(ROUNDUP(Panchanga!$P291,0)-Panchanga!$P291),"hh:mm AM/PM")</f>
        <v>08:28 AM</v>
      </c>
      <c r="AB291" s="4"/>
    </row>
    <row r="292" spans="1:28" x14ac:dyDescent="0.2">
      <c r="A292" s="3">
        <f t="shared" si="50"/>
        <v>43808</v>
      </c>
      <c r="B292" s="3">
        <f t="shared" si="44"/>
        <v>43808.229166666664</v>
      </c>
      <c r="C292" s="15">
        <f t="shared" si="45"/>
        <v>43808.265201614857</v>
      </c>
      <c r="D292" s="15">
        <f t="shared" si="46"/>
        <v>43807.736905237238</v>
      </c>
      <c r="E292" s="17">
        <f>Panchanga!$C292-TimeZone/24</f>
        <v>43808.036034948193</v>
      </c>
      <c r="F292" s="18" t="str">
        <f>INT(P[Sun]/30)&amp;"s"&amp;ROUNDUP(MOD(P[Sun],30),2)</f>
        <v>7s22.51</v>
      </c>
      <c r="G292" s="18" t="str">
        <f>INT(P[Moon]/30)&amp;"s"&amp;ROUNDUP(MOD(P[Moon],30),2)</f>
        <v>0s14.82</v>
      </c>
      <c r="H292" s="14">
        <f t="shared" si="49"/>
        <v>43808.036034948193</v>
      </c>
      <c r="I292" s="4" t="str">
        <f>naks(P[[#This Row],[Moon]])</f>
        <v>Bharani</v>
      </c>
      <c r="J292" s="15">
        <f>(C293-P[[#This Row],[SunRise]])/(T293-P[[#This Row],[Moon]])*(13.3333333333333-MOD(P[[#This Row],[Moon]],13.333333333333))+P[[#This Row],[SunRise]]</f>
        <v>43809.207817926843</v>
      </c>
      <c r="K292" s="4" t="str">
        <f>IF(Panchanga!$P292&gt;15,"K","S")&amp;ROUNDUP(MOD(Panchanga!$P292,15),0)&amp;" ("&amp;ROUND(Panchanga!$P292,2)&amp;")"</f>
        <v>S12 (11.86)</v>
      </c>
      <c r="L292" s="4">
        <f>IF(AND(Panchanga!$P292&lt;28.5,Panchanga!$P292&gt;0.49999),MOD((Panchanga!$P292-0.5)*2,7),MOD((Panchanga!$P292+30-28.5),30)*2+7)</f>
        <v>1.7195999999999998</v>
      </c>
      <c r="M292" s="4" t="str">
        <f>CHOOSE(ROUNDUP(Panchanga!$L292,0),"Bhava","Baalava","Kaulava","Taitula","Garija","Vanija","Vishti","Shakuni","Chatushapda","Naaga","Kimstugna")</f>
        <v>Baalava</v>
      </c>
      <c r="N292" s="11" t="str">
        <f>CHOOSE(ROUNDUP(Panchanga!$Q292,0),"viṣkambha","prīti","āyuṣmāna","saubhāgya","śobhana","atigaṇḍa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("&amp;Panchanga!$Q292&amp;")"</f>
        <v>parigha (18.55)</v>
      </c>
      <c r="O292" s="4">
        <f>IF(AND(Panchanga!$P292&lt;28.5,Panchanga!$P292&gt;0.49999),MOD((Panchanga!$P292-0.5)*2,7),MOD((Panchanga!$P292+30-28.5),30)*2+7)</f>
        <v>1.7195999999999998</v>
      </c>
      <c r="P292" s="4">
        <f>ROUNDUP(MOD(360+P[Moon]-P[Sun],360)/12,4)</f>
        <v>11.8598</v>
      </c>
      <c r="Q292" s="4">
        <f>ROUNDUP(MOD(P[Sun]+P[Moon],360)/13.333333333,2)</f>
        <v>18.55</v>
      </c>
      <c r="R292" s="4" t="str">
        <f>SIGN(U293-Panchanga!$U292)*INT(Panchanga!$U292/30+1)&amp;"Ma,"&amp;SIGN(V293-Panchanga!$V292)*INT(Panchanga!$V292/30+1)&amp;"Me,"&amp;SIGN(W293-Panchanga!$W292)*INT(Panchanga!$W292/30+1)&amp;"J, "&amp;SIGN(X293-Panchanga!$X292)*INT(Panchanga!$X292/30+1)&amp;"V,"&amp;SIGN(Y293-Panchanga!$Y292)*INT(Panchanga!$Y292/30+1)&amp;"S,"&amp;INT(Panchanga!$Z292/30+1)&amp;"R"</f>
        <v>7Ma,8Me,9J, 9V,9S,3R</v>
      </c>
      <c r="S292" s="4">
        <f t="shared" si="47"/>
        <v>232.50072770289287</v>
      </c>
      <c r="T292" s="4">
        <f t="shared" si="48"/>
        <v>14.81765397840028</v>
      </c>
      <c r="U292" s="4">
        <f>Planet(Panchanga!$E292,4)</f>
        <v>198.90259736369671</v>
      </c>
      <c r="V292" s="4">
        <f>Planet(Panchanga!$E292,2)</f>
        <v>215.34110752674314</v>
      </c>
      <c r="W292" s="4">
        <f>Planet(Panchanga!$E292,5)</f>
        <v>247.27661626426877</v>
      </c>
      <c r="X292" s="4">
        <f>Planet(Panchanga!$E292,3)</f>
        <v>261.99049792796643</v>
      </c>
      <c r="Y292" s="4">
        <f>Planet(Panchanga!$E292,6)</f>
        <v>264.6820828146391</v>
      </c>
      <c r="Z292" s="4">
        <f>Planet(Panchanga!$E292,10)</f>
        <v>75.324183745836734</v>
      </c>
      <c r="AA292" s="4" t="str">
        <f>TEXT(Panchanga!$C292+($C293-Panchanga!$C292)/ABS(IF($P293&lt;1,$P293+30,$P293)-Panchanga!$P292)*(ROUNDUP(Panchanga!$P292,0)-Panchanga!$P292),"hh:mm AM/PM")</f>
        <v>09:51 AM</v>
      </c>
      <c r="AB292" s="4"/>
    </row>
    <row r="293" spans="1:28" x14ac:dyDescent="0.2">
      <c r="A293" s="3">
        <f t="shared" si="50"/>
        <v>43809</v>
      </c>
      <c r="B293" s="3">
        <f t="shared" si="44"/>
        <v>43809.229166666664</v>
      </c>
      <c r="C293" s="15">
        <f t="shared" si="45"/>
        <v>43809.265585150722</v>
      </c>
      <c r="D293" s="15">
        <f t="shared" si="46"/>
        <v>43808.73713332419</v>
      </c>
      <c r="E293" s="17">
        <f>Panchanga!$C293-TimeZone/24</f>
        <v>43809.036418484058</v>
      </c>
      <c r="F293" s="18" t="str">
        <f>INT(P[Sun]/30)&amp;"s"&amp;ROUNDUP(MOD(P[Sun],30),2)</f>
        <v>7s23.52</v>
      </c>
      <c r="G293" s="18" t="str">
        <f>INT(P[Moon]/30)&amp;"s"&amp;ROUNDUP(MOD(P[Moon],30),2)</f>
        <v>0s27.4</v>
      </c>
      <c r="H293" s="14">
        <f t="shared" si="49"/>
        <v>43809.036418484058</v>
      </c>
      <c r="I293" s="4" t="str">
        <f>naks(P[[#This Row],[Moon]])</f>
        <v>Krittika</v>
      </c>
      <c r="J293" s="15">
        <f>(C294-P[[#This Row],[SunRise]])/(T294-P[[#This Row],[Moon]])*(13.3333333333333-MOD(P[[#This Row],[Moon]],13.333333333333))+P[[#This Row],[SunRise]]</f>
        <v>43810.247572965833</v>
      </c>
      <c r="K293" s="4" t="str">
        <f>IF(Panchanga!$P293&gt;15,"K","S")&amp;ROUNDUP(MOD(Panchanga!$P293,15),0)&amp;" ("&amp;ROUND(Panchanga!$P293,2)&amp;")"</f>
        <v>S13 (12.82)</v>
      </c>
      <c r="L293" s="4">
        <f>IF(AND(Panchanga!$P293&lt;28.5,Panchanga!$P293&gt;0.49999),MOD((Panchanga!$P293-0.5)*2,7),MOD((Panchanga!$P293+30-28.5),30)*2+7)</f>
        <v>3.6462000000000003</v>
      </c>
      <c r="M293" s="4" t="str">
        <f>CHOOSE(ROUNDUP(Panchanga!$L293,0),"Bhava","Baalava","Kaulava","Taitula","Garija","Vanija","Vishti","Shakuni","Chatushapda","Naaga","Kimstugna")</f>
        <v>Taitula</v>
      </c>
      <c r="N293" s="11" t="str">
        <f>CHOOSE(ROUNDUP(Panchanga!$Q293,0),"viṣkambha","prīti","āyuṣmāna","saubhāgya","śobhana","atigaṇḍa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("&amp;Panchanga!$Q293&amp;")"</f>
        <v>śiva (19.57)</v>
      </c>
      <c r="O293" s="4">
        <f>IF(AND(Panchanga!$P293&lt;28.5,Panchanga!$P293&gt;0.49999),MOD((Panchanga!$P293-0.5)*2,7),MOD((Panchanga!$P293+30-28.5),30)*2+7)</f>
        <v>3.6462000000000003</v>
      </c>
      <c r="P293" s="4">
        <f>ROUNDUP(MOD(360+P[Moon]-P[Sun],360)/12,4)</f>
        <v>12.8231</v>
      </c>
      <c r="Q293" s="4">
        <f>ROUNDUP(MOD(P[Sun]+P[Moon],360)/13.333333333,2)</f>
        <v>19.57</v>
      </c>
      <c r="R293" s="4" t="str">
        <f>SIGN(U294-Panchanga!$U293)*INT(Panchanga!$U293/30+1)&amp;"Ma,"&amp;SIGN(V294-Panchanga!$V293)*INT(Panchanga!$V293/30+1)&amp;"Me,"&amp;SIGN(W294-Panchanga!$W293)*INT(Panchanga!$W293/30+1)&amp;"J, "&amp;SIGN(X294-Panchanga!$X293)*INT(Panchanga!$X293/30+1)&amp;"V,"&amp;SIGN(Y294-Panchanga!$Y293)*INT(Panchanga!$Y293/30+1)&amp;"S,"&amp;INT(Panchanga!$Z293/30+1)&amp;"R"</f>
        <v>7Ma,8Me,9J, 9V,9S,3R</v>
      </c>
      <c r="S293" s="4">
        <f t="shared" si="47"/>
        <v>233.51668159527105</v>
      </c>
      <c r="T293" s="4">
        <f t="shared" si="48"/>
        <v>27.392820627776448</v>
      </c>
      <c r="U293" s="4">
        <f>Planet(Panchanga!$E293,4)</f>
        <v>199.56724940455663</v>
      </c>
      <c r="V293" s="4">
        <f>Planet(Panchanga!$E293,2)</f>
        <v>216.78331339739705</v>
      </c>
      <c r="W293" s="4">
        <f>Planet(Panchanga!$E293,5)</f>
        <v>247.50279392094254</v>
      </c>
      <c r="X293" s="4">
        <f>Planet(Panchanga!$E293,3)</f>
        <v>263.22734041269598</v>
      </c>
      <c r="Y293" s="4">
        <f>Planet(Panchanga!$E293,6)</f>
        <v>264.78863261171279</v>
      </c>
      <c r="Z293" s="4">
        <f>Planet(Panchanga!$E293,10)</f>
        <v>75.271171425452266</v>
      </c>
      <c r="AA293" s="4" t="str">
        <f>TEXT(Panchanga!$C293+($C294-Panchanga!$C293)/ABS(IF($P294&lt;1,$P294+30,$P294)-Panchanga!$P293)*(ROUNDUP(Panchanga!$P293,0)-Panchanga!$P293),"hh:mm AM/PM")</f>
        <v>10:41 AM</v>
      </c>
      <c r="AB293" s="4"/>
    </row>
    <row r="294" spans="1:28" x14ac:dyDescent="0.2">
      <c r="A294" s="3">
        <f t="shared" si="50"/>
        <v>43810</v>
      </c>
      <c r="B294" s="3">
        <f t="shared" si="44"/>
        <v>43810.229166666664</v>
      </c>
      <c r="C294" s="15">
        <f t="shared" si="45"/>
        <v>43810.26596773338</v>
      </c>
      <c r="D294" s="15">
        <f t="shared" si="46"/>
        <v>43809.737372060816</v>
      </c>
      <c r="E294" s="17">
        <f>Panchanga!$C294-TimeZone/24</f>
        <v>43810.036801066715</v>
      </c>
      <c r="F294" s="18" t="str">
        <f>INT(P[Sun]/30)&amp;"s"&amp;ROUNDUP(MOD(P[Sun],30),2)</f>
        <v>7s24.54</v>
      </c>
      <c r="G294" s="18" t="str">
        <f>INT(P[Moon]/30)&amp;"s"&amp;ROUNDUP(MOD(P[Moon],30),2)</f>
        <v>1s10.24</v>
      </c>
      <c r="H294" s="14">
        <f t="shared" si="49"/>
        <v>43810.036801066715</v>
      </c>
      <c r="I294" s="4" t="str">
        <f>naks(P[[#This Row],[Moon]])</f>
        <v>Rohini</v>
      </c>
      <c r="J294" s="15">
        <f>(C295-P[[#This Row],[SunRise]])/(T295-P[[#This Row],[Moon]])*(13.3333333333333-MOD(P[[#This Row],[Moon]],13.333333333333))+P[[#This Row],[SunRise]]</f>
        <v>43811.264997124883</v>
      </c>
      <c r="K294" s="4" t="str">
        <f>IF(Panchanga!$P294&gt;15,"K","S")&amp;ROUNDUP(MOD(Panchanga!$P294,15),0)&amp;" ("&amp;ROUND(Panchanga!$P294,2)&amp;")"</f>
        <v>S14 (13.81)</v>
      </c>
      <c r="L294" s="4">
        <f>IF(AND(Panchanga!$P294&lt;28.5,Panchanga!$P294&gt;0.49999),MOD((Panchanga!$P294-0.5)*2,7),MOD((Panchanga!$P294+30-28.5),30)*2+7)</f>
        <v>5.6173999999999999</v>
      </c>
      <c r="M294" s="4" t="str">
        <f>CHOOSE(ROUNDUP(Panchanga!$L294,0),"Bhava","Baalava","Kaulava","Taitula","Garija","Vanija","Vishti","Shakuni","Chatushapda","Naaga","Kimstugna")</f>
        <v>Vanija</v>
      </c>
      <c r="N294" s="11" t="str">
        <f>CHOOSE(ROUNDUP(Panchanga!$Q294,0),"viṣkambha","prīti","āyuṣmāna","saubhāgya","śobhana","atigaṇḍa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("&amp;Panchanga!$Q294&amp;")"</f>
        <v>siddha (20.61)</v>
      </c>
      <c r="O294" s="4">
        <f>IF(AND(Panchanga!$P294&lt;28.5,Panchanga!$P294&gt;0.49999),MOD((Panchanga!$P294-0.5)*2,7),MOD((Panchanga!$P294+30-28.5),30)*2+7)</f>
        <v>5.6173999999999999</v>
      </c>
      <c r="P294" s="4">
        <f>ROUNDUP(MOD(360+P[Moon]-P[Sun],360)/12,4)</f>
        <v>13.8087</v>
      </c>
      <c r="Q294" s="4">
        <f>ROUNDUP(MOD(P[Sun]+P[Moon],360)/13.333333333,2)</f>
        <v>20.610000000000003</v>
      </c>
      <c r="R294" s="4" t="str">
        <f>SIGN(U295-Panchanga!$U294)*INT(Panchanga!$U294/30+1)&amp;"Ma,"&amp;SIGN(V295-Panchanga!$V294)*INT(Panchanga!$V294/30+1)&amp;"Me,"&amp;SIGN(W295-Panchanga!$W294)*INT(Panchanga!$W294/30+1)&amp;"J, "&amp;SIGN(X295-Panchanga!$X294)*INT(Panchanga!$X294/30+1)&amp;"V,"&amp;SIGN(Y295-Panchanga!$Y294)*INT(Panchanga!$Y294/30+1)&amp;"S,"&amp;INT(Panchanga!$Z294/30+1)&amp;"R"</f>
        <v>7Ma,8Me,9J, 9V,9S,3R</v>
      </c>
      <c r="S294" s="4">
        <f t="shared" si="47"/>
        <v>234.53285728317289</v>
      </c>
      <c r="T294" s="4">
        <f t="shared" si="48"/>
        <v>40.236159889564163</v>
      </c>
      <c r="U294" s="4">
        <f>Planet(Panchanga!$E294,4)</f>
        <v>200.23225557530048</v>
      </c>
      <c r="V294" s="4">
        <f>Planet(Panchanga!$E294,2)</f>
        <v>218.23927422694831</v>
      </c>
      <c r="W294" s="4">
        <f>Planet(Panchanga!$E294,5)</f>
        <v>247.72939355786369</v>
      </c>
      <c r="X294" s="4">
        <f>Planet(Panchanga!$E294,3)</f>
        <v>264.46381893780062</v>
      </c>
      <c r="Y294" s="4">
        <f>Planet(Panchanga!$E294,6)</f>
        <v>264.89584246545212</v>
      </c>
      <c r="Z294" s="4">
        <f>Planet(Panchanga!$E294,10)</f>
        <v>75.218159155588694</v>
      </c>
      <c r="AA294" s="4" t="str">
        <f>TEXT(Panchanga!$C294+($C295-Panchanga!$C294)/ABS(IF($P295&lt;1,$P295+30,$P295)-Panchanga!$P294)*(ROUNDUP(Panchanga!$P294,0)-Panchanga!$P294),"hh:mm AM/PM")</f>
        <v>10:56 AM</v>
      </c>
      <c r="AB294" s="4"/>
    </row>
    <row r="295" spans="1:28" x14ac:dyDescent="0.2">
      <c r="A295" s="3">
        <f t="shared" si="50"/>
        <v>43811</v>
      </c>
      <c r="B295" s="3">
        <f t="shared" si="44"/>
        <v>43811.229166666664</v>
      </c>
      <c r="C295" s="15">
        <f t="shared" si="45"/>
        <v>43811.266349203106</v>
      </c>
      <c r="D295" s="15">
        <f t="shared" si="46"/>
        <v>43810.737621287859</v>
      </c>
      <c r="E295" s="17">
        <f>Panchanga!$C295-TimeZone/24</f>
        <v>43811.037182536442</v>
      </c>
      <c r="F295" s="18" t="str">
        <f>INT(P[Sun]/30)&amp;"s"&amp;ROUNDUP(MOD(P[Sun],30),2)</f>
        <v>7s25.55</v>
      </c>
      <c r="G295" s="18" t="str">
        <f>INT(P[Moon]/30)&amp;"s"&amp;ROUNDUP(MOD(P[Moon],30),2)</f>
        <v>1s23.36</v>
      </c>
      <c r="H295" s="14">
        <f t="shared" si="49"/>
        <v>43811.037182536442</v>
      </c>
      <c r="I295" s="4" t="str">
        <f>naks(P[[#This Row],[Moon]])</f>
        <v>Mrigashira</v>
      </c>
      <c r="J295" s="15">
        <f>(C296-P[[#This Row],[SunRise]])/(T296-P[[#This Row],[Moon]])*(13.3333333333333-MOD(P[[#This Row],[Moon]],13.333333333333))+P[[#This Row],[SunRise]]</f>
        <v>43812.262436261968</v>
      </c>
      <c r="K295" s="4" t="str">
        <f>IF(Panchanga!$P295&gt;15,"K","S")&amp;ROUNDUP(MOD(Panchanga!$P295,15),0)&amp;" ("&amp;ROUND(Panchanga!$P295,2)&amp;")"</f>
        <v>S15 (14.82)</v>
      </c>
      <c r="L295" s="4">
        <f>IF(AND(Panchanga!$P295&lt;28.5,Panchanga!$P295&gt;0.49999),MOD((Panchanga!$P295-0.5)*2,7),MOD((Panchanga!$P295+30-28.5),30)*2+7)</f>
        <v>0.63380000000000081</v>
      </c>
      <c r="M295" s="4" t="str">
        <f>CHOOSE(ROUNDUP(Panchanga!$L295,0),"Bhava","Baalava","Kaulava","Taitula","Garija","Vanija","Vishti","Shakuni","Chatushapda","Naaga","Kimstugna")</f>
        <v>Bhava</v>
      </c>
      <c r="N295" s="11" t="str">
        <f>CHOOSE(ROUNDUP(Panchanga!$Q295,0),"viṣkambha","prīti","āyuṣmāna","saubhāgya","śobhana","atigaṇḍa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("&amp;Panchanga!$Q295&amp;")"</f>
        <v>sādhya (21.67)</v>
      </c>
      <c r="O295" s="4">
        <f>IF(AND(Panchanga!$P295&lt;28.5,Panchanga!$P295&gt;0.49999),MOD((Panchanga!$P295-0.5)*2,7),MOD((Panchanga!$P295+30-28.5),30)*2+7)</f>
        <v>0.63380000000000081</v>
      </c>
      <c r="P295" s="4">
        <f>ROUNDUP(MOD(360+P[Moon]-P[Sun],360)/12,4)</f>
        <v>14.8169</v>
      </c>
      <c r="Q295" s="4">
        <f>ROUNDUP(MOD(P[Sun]+P[Moon],360)/13.333333333,2)</f>
        <v>21.67</v>
      </c>
      <c r="R295" s="4" t="str">
        <f>SIGN(U296-Panchanga!$U295)*INT(Panchanga!$U295/30+1)&amp;"Ma,"&amp;SIGN(V296-Panchanga!$V295)*INT(Panchanga!$V295/30+1)&amp;"Me,"&amp;SIGN(W296-Panchanga!$W295)*INT(Panchanga!$W295/30+1)&amp;"J, "&amp;SIGN(X296-Panchanga!$X295)*INT(Panchanga!$X295/30+1)&amp;"V,"&amp;SIGN(Y296-Panchanga!$Y295)*INT(Panchanga!$Y295/30+1)&amp;"S,"&amp;INT(Panchanga!$Z295/30+1)&amp;"R"</f>
        <v>7Ma,8Me,9J, 9V,9S,3R</v>
      </c>
      <c r="S295" s="4">
        <f t="shared" si="47"/>
        <v>235.54925970617455</v>
      </c>
      <c r="T295" s="4">
        <f t="shared" si="48"/>
        <v>53.35105894099857</v>
      </c>
      <c r="U295" s="4">
        <f>Planet(Panchanga!$E295,4)</f>
        <v>200.89762347493382</v>
      </c>
      <c r="V295" s="4">
        <f>Planet(Panchanga!$E295,2)</f>
        <v>219.70707029530126</v>
      </c>
      <c r="W295" s="4">
        <f>Planet(Panchanga!$E295,5)</f>
        <v>247.95639486875288</v>
      </c>
      <c r="X295" s="4">
        <f>Planet(Panchanga!$E295,3)</f>
        <v>265.69992570410113</v>
      </c>
      <c r="Y295" s="4">
        <f>Planet(Panchanga!$E295,6)</f>
        <v>265.00369460726017</v>
      </c>
      <c r="Z295" s="4">
        <f>Planet(Panchanga!$E295,10)</f>
        <v>75.165146944679563</v>
      </c>
      <c r="AA295" s="4" t="str">
        <f>TEXT(Panchanga!$C295+($C296-Panchanga!$C295)/ABS(IF($P296&lt;1,$P296+30,$P296)-Panchanga!$P295)*(ROUNDUP(Panchanga!$P295,0)-Panchanga!$P295),"hh:mm AM/PM")</f>
        <v>10:39 AM</v>
      </c>
      <c r="AB295" s="4"/>
    </row>
    <row r="296" spans="1:28" x14ac:dyDescent="0.2">
      <c r="A296" s="3">
        <f t="shared" si="50"/>
        <v>43812</v>
      </c>
      <c r="B296" s="3">
        <f t="shared" si="44"/>
        <v>43812.229166666664</v>
      </c>
      <c r="C296" s="15">
        <f t="shared" si="45"/>
        <v>43812.266729242321</v>
      </c>
      <c r="D296" s="15">
        <f t="shared" si="46"/>
        <v>43811.737880846063</v>
      </c>
      <c r="E296" s="17">
        <f>Panchanga!$C296-TimeZone/24</f>
        <v>43812.037562575657</v>
      </c>
      <c r="F296" s="18" t="str">
        <f>INT(P[Sun]/30)&amp;"s"&amp;ROUNDUP(MOD(P[Sun],30),2)</f>
        <v>7s26.57</v>
      </c>
      <c r="G296" s="18" t="str">
        <f>INT(P[Moon]/30)&amp;"s"&amp;ROUNDUP(MOD(P[Moon],30),2)</f>
        <v>2s6.73</v>
      </c>
      <c r="H296" s="14">
        <f t="shared" si="49"/>
        <v>43812.037562575657</v>
      </c>
      <c r="I296" s="4" t="str">
        <f>naks(P[[#This Row],[Moon]])</f>
        <v>Ardra</v>
      </c>
      <c r="J296" s="15">
        <f>(C297-P[[#This Row],[SunRise]])/(T297-P[[#This Row],[Moon]])*(13.3333333333333-MOD(P[[#This Row],[Moon]],13.333333333333))+P[[#This Row],[SunRise]]</f>
        <v>43813.242979051029</v>
      </c>
      <c r="K296" s="4" t="str">
        <f>IF(Panchanga!$P296&gt;15,"K","S")&amp;ROUNDUP(MOD(Panchanga!$P296,15),0)&amp;" ("&amp;ROUND(Panchanga!$P296,2)&amp;")"</f>
        <v>K1 (15.85)</v>
      </c>
      <c r="L296" s="4">
        <f>IF(AND(Panchanga!$P296&lt;28.5,Panchanga!$P296&gt;0.49999),MOD((Panchanga!$P296-0.5)*2,7),MOD((Panchanga!$P296+30-28.5),30)*2+7)</f>
        <v>2.6932000000000009</v>
      </c>
      <c r="M296" s="4" t="str">
        <f>CHOOSE(ROUNDUP(Panchanga!$L296,0),"Bhava","Baalava","Kaulava","Taitula","Garija","Vanija","Vishti","Shakuni","Chatushapda","Naaga","Kimstugna")</f>
        <v>Kaulava</v>
      </c>
      <c r="N296" s="11" t="str">
        <f>CHOOSE(ROUNDUP(Panchanga!$Q296,0),"viṣkambha","prīti","āyuṣmāna","saubhāgya","śobhana","atigaṇḍa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("&amp;Panchanga!$Q296&amp;")"</f>
        <v>śubha (22.75)</v>
      </c>
      <c r="O296" s="4">
        <f>IF(AND(Panchanga!$P296&lt;28.5,Panchanga!$P296&gt;0.49999),MOD((Panchanga!$P296-0.5)*2,7),MOD((Panchanga!$P296+30-28.5),30)*2+7)</f>
        <v>2.6932000000000009</v>
      </c>
      <c r="P296" s="4">
        <f>ROUNDUP(MOD(360+P[Moon]-P[Sun],360)/12,4)</f>
        <v>15.8466</v>
      </c>
      <c r="Q296" s="4">
        <f>ROUNDUP(MOD(P[Sun]+P[Moon],360)/13.333333333,2)</f>
        <v>22.75</v>
      </c>
      <c r="R296" s="4" t="str">
        <f>SIGN(U297-Panchanga!$U296)*INT(Panchanga!$U296/30+1)&amp;"Ma,"&amp;SIGN(V297-Panchanga!$V296)*INT(Panchanga!$V296/30+1)&amp;"Me,"&amp;SIGN(W297-Panchanga!$W296)*INT(Panchanga!$W296/30+1)&amp;"J, "&amp;SIGN(X297-Panchanga!$X296)*INT(Panchanga!$X296/30+1)&amp;"V,"&amp;SIGN(Y297-Panchanga!$Y296)*INT(Panchanga!$Y296/30+1)&amp;"S,"&amp;INT(Panchanga!$Z296/30+1)&amp;"R"</f>
        <v>7Ma,8Me,9J, 9V,9S,3R</v>
      </c>
      <c r="S296" s="4">
        <f t="shared" si="47"/>
        <v>236.56589556808586</v>
      </c>
      <c r="T296" s="4">
        <f t="shared" si="48"/>
        <v>66.724054865692494</v>
      </c>
      <c r="U296" s="4">
        <f>Planet(Panchanga!$E296,4)</f>
        <v>201.56336061934618</v>
      </c>
      <c r="V296" s="4">
        <f>Planet(Panchanga!$E296,2)</f>
        <v>221.18508897120171</v>
      </c>
      <c r="W296" s="4">
        <f>Planet(Panchanga!$E296,5)</f>
        <v>248.18377803823253</v>
      </c>
      <c r="X296" s="4">
        <f>Planet(Panchanga!$E296,3)</f>
        <v>266.93565449344675</v>
      </c>
      <c r="Y296" s="4">
        <f>Planet(Panchanga!$E296,6)</f>
        <v>265.11217156999004</v>
      </c>
      <c r="Z296" s="4">
        <f>Planet(Panchanga!$E296,10)</f>
        <v>75.112134809624976</v>
      </c>
      <c r="AA296" s="4" t="str">
        <f>TEXT(Panchanga!$C296+($C297-Panchanga!$C296)/ABS(IF($P297&lt;1,$P297+30,$P297)-Panchanga!$P296)*(ROUNDUP(Panchanga!$P296,0)-Panchanga!$P296),"hh:mm AM/PM")</f>
        <v>09:54 AM</v>
      </c>
      <c r="AB296" s="4"/>
    </row>
    <row r="297" spans="1:28" x14ac:dyDescent="0.2">
      <c r="A297" s="3">
        <f t="shared" si="50"/>
        <v>43813</v>
      </c>
      <c r="B297" s="3">
        <f t="shared" si="44"/>
        <v>43813.229166666664</v>
      </c>
      <c r="C297" s="15">
        <f t="shared" si="45"/>
        <v>43813.267107374188</v>
      </c>
      <c r="D297" s="15">
        <f t="shared" si="46"/>
        <v>43812.738150100267</v>
      </c>
      <c r="E297" s="17">
        <f>Panchanga!$C297-TimeZone/24</f>
        <v>43813.037940707523</v>
      </c>
      <c r="F297" s="18" t="str">
        <f>INT(P[Sun]/30)&amp;"s"&amp;ROUNDUP(MOD(P[Sun],30),2)</f>
        <v>7s27.59</v>
      </c>
      <c r="G297" s="18" t="str">
        <f>INT(P[Moon]/30)&amp;"s"&amp;ROUNDUP(MOD(P[Moon],30),2)</f>
        <v>2s20.33</v>
      </c>
      <c r="H297" s="14">
        <f t="shared" si="49"/>
        <v>43813.037940707523</v>
      </c>
      <c r="I297" s="4" t="str">
        <f>naks(P[[#This Row],[Moon]])</f>
        <v>Punarvasu</v>
      </c>
      <c r="J297" s="15">
        <f>(C298-P[[#This Row],[SunRise]])/(T298-P[[#This Row],[Moon]])*(13.3333333333333-MOD(P[[#This Row],[Moon]],13.333333333333))+P[[#This Row],[SunRise]]</f>
        <v>43814.209926166797</v>
      </c>
      <c r="K297" s="4" t="str">
        <f>IF(Panchanga!$P297&gt;15,"K","S")&amp;ROUNDUP(MOD(Panchanga!$P297,15),0)&amp;" ("&amp;ROUND(Panchanga!$P297,2)&amp;")"</f>
        <v>K2 (16.9)</v>
      </c>
      <c r="L297" s="4">
        <f>IF(AND(Panchanga!$P297&lt;28.5,Panchanga!$P297&gt;0.49999),MOD((Panchanga!$P297-0.5)*2,7),MOD((Panchanga!$P297+30-28.5),30)*2+7)</f>
        <v>4.7909999999999968</v>
      </c>
      <c r="M297" s="4" t="str">
        <f>CHOOSE(ROUNDUP(Panchanga!$L297,0),"Bhava","Baalava","Kaulava","Taitula","Garija","Vanija","Vishti","Shakuni","Chatushapda","Naaga","Kimstugna")</f>
        <v>Garija</v>
      </c>
      <c r="N297" s="11" t="str">
        <f>CHOOSE(ROUNDUP(Panchanga!$Q297,0),"viṣkambha","prīti","āyuṣmāna","saubhāgya","śobhana","atigaṇḍa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("&amp;Panchanga!$Q297&amp;")"</f>
        <v>śukla (23.85)</v>
      </c>
      <c r="O297" s="4">
        <f>IF(AND(Panchanga!$P297&lt;28.5,Panchanga!$P297&gt;0.49999),MOD((Panchanga!$P297-0.5)*2,7),MOD((Panchanga!$P297+30-28.5),30)*2+7)</f>
        <v>4.7909999999999968</v>
      </c>
      <c r="P297" s="4">
        <f>ROUNDUP(MOD(360+P[Moon]-P[Sun],360)/12,4)</f>
        <v>16.895499999999998</v>
      </c>
      <c r="Q297" s="4">
        <f>ROUNDUP(MOD(P[Sun]+P[Moon],360)/13.333333333,2)</f>
        <v>23.85</v>
      </c>
      <c r="R297" s="4" t="str">
        <f>SIGN(U298-Panchanga!$U297)*INT(Panchanga!$U297/30+1)&amp;"Ma,"&amp;SIGN(V298-Panchanga!$V297)*INT(Panchanga!$V297/30+1)&amp;"Me,"&amp;SIGN(W298-Panchanga!$W297)*INT(Panchanga!$W297/30+1)&amp;"J, "&amp;SIGN(X298-Panchanga!$X297)*INT(Panchanga!$X297/30+1)&amp;"V,"&amp;SIGN(Y298-Panchanga!$Y297)*INT(Panchanga!$Y297/30+1)&amp;"S,"&amp;INT(Panchanga!$Z297/30+1)&amp;"R"</f>
        <v>7Ma,8Me,9J, 9V,9S,3R</v>
      </c>
      <c r="S297" s="4">
        <f t="shared" si="47"/>
        <v>237.58277273789349</v>
      </c>
      <c r="T297" s="4">
        <f t="shared" si="48"/>
        <v>80.328119187928948</v>
      </c>
      <c r="U297" s="4">
        <f>Planet(Panchanga!$E297,4)</f>
        <v>202.22947399025338</v>
      </c>
      <c r="V297" s="4">
        <f>Planet(Panchanga!$E297,2)</f>
        <v>222.67198255953258</v>
      </c>
      <c r="W297" s="4">
        <f>Planet(Panchanga!$E297,5)</f>
        <v>248.4115236419793</v>
      </c>
      <c r="X297" s="4">
        <f>Planet(Panchanga!$E297,3)</f>
        <v>268.17100064233938</v>
      </c>
      <c r="Y297" s="4">
        <f>Planet(Panchanga!$E297,6)</f>
        <v>265.22125616448847</v>
      </c>
      <c r="Z297" s="4">
        <f>Planet(Panchanga!$E297,10)</f>
        <v>75.059122775609637</v>
      </c>
      <c r="AA297" s="4" t="str">
        <f>TEXT(Panchanga!$C297+($C298-Panchanga!$C297)/ABS(IF($P298&lt;1,$P298+30,$P298)-Panchanga!$P297)*(ROUNDUP(Panchanga!$P297,0)-Panchanga!$P297),"hh:mm AM/PM")</f>
        <v>08:45 AM</v>
      </c>
      <c r="AB297" s="4"/>
    </row>
    <row r="298" spans="1:28" x14ac:dyDescent="0.2">
      <c r="A298" s="3">
        <f t="shared" si="50"/>
        <v>43814</v>
      </c>
      <c r="B298" s="3">
        <f t="shared" si="44"/>
        <v>43814.229166666664</v>
      </c>
      <c r="C298" s="15">
        <f t="shared" si="45"/>
        <v>43814.267483439449</v>
      </c>
      <c r="D298" s="15">
        <f t="shared" si="46"/>
        <v>43813.738429208795</v>
      </c>
      <c r="E298" s="17">
        <f>Panchanga!$C298-TimeZone/24</f>
        <v>43814.038316772785</v>
      </c>
      <c r="F298" s="18" t="str">
        <f>INT(P[Sun]/30)&amp;"s"&amp;ROUNDUP(MOD(P[Sun],30),2)</f>
        <v>7s28.6</v>
      </c>
      <c r="G298" s="18" t="str">
        <f>INT(P[Moon]/30)&amp;"s"&amp;ROUNDUP(MOD(P[Moon],30),2)</f>
        <v>3s4.13</v>
      </c>
      <c r="H298" s="14">
        <f t="shared" si="49"/>
        <v>43814.038316772785</v>
      </c>
      <c r="I298" s="4" t="str">
        <f>naks(P[[#This Row],[Moon]])</f>
        <v>Pushya</v>
      </c>
      <c r="J298" s="15">
        <f>(C299-P[[#This Row],[SunRise]])/(T299-P[[#This Row],[Moon]])*(13.3333333333333-MOD(P[[#This Row],[Moon]],13.333333333333))+P[[#This Row],[SunRise]]</f>
        <v>43815.166432253842</v>
      </c>
      <c r="K298" s="4" t="str">
        <f>IF(Panchanga!$P298&gt;15,"K","S")&amp;ROUNDUP(MOD(Panchanga!$P298,15),0)&amp;" ("&amp;ROUND(Panchanga!$P298,2)&amp;")"</f>
        <v>K3 (17.96)</v>
      </c>
      <c r="L298" s="4">
        <f>IF(AND(Panchanga!$P298&lt;28.5,Panchanga!$P298&gt;0.49999),MOD((Panchanga!$P298-0.5)*2,7),MOD((Panchanga!$P298+30-28.5),30)*2+7)</f>
        <v>6.9213999999999984</v>
      </c>
      <c r="M298" s="4" t="str">
        <f>CHOOSE(ROUNDUP(Panchanga!$L298,0),"Bhava","Baalava","Kaulava","Taitula","Garija","Vanija","Vishti","Shakuni","Chatushapda","Naaga","Kimstugna")</f>
        <v>Vishti</v>
      </c>
      <c r="N298" s="11" t="str">
        <f>CHOOSE(ROUNDUP(Panchanga!$Q298,0),"viṣkambha","prīti","āyuṣmāna","saubhāgya","śobhana","atigaṇḍa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("&amp;Panchanga!$Q298&amp;")"</f>
        <v>brahma (24.96)</v>
      </c>
      <c r="O298" s="4">
        <f>IF(AND(Panchanga!$P298&lt;28.5,Panchanga!$P298&gt;0.49999),MOD((Panchanga!$P298-0.5)*2,7),MOD((Panchanga!$P298+30-28.5),30)*2+7)</f>
        <v>6.9213999999999984</v>
      </c>
      <c r="P298" s="4">
        <f>ROUNDUP(MOD(360+P[Moon]-P[Sun],360)/12,4)</f>
        <v>17.960699999999999</v>
      </c>
      <c r="Q298" s="4">
        <f>ROUNDUP(MOD(P[Sun]+P[Moon],360)/13.333333333,2)</f>
        <v>24.96</v>
      </c>
      <c r="R298" s="4" t="str">
        <f>SIGN(U299-Panchanga!$U298)*INT(Panchanga!$U298/30+1)&amp;"Ma,"&amp;SIGN(V299-Panchanga!$V298)*INT(Panchanga!$V298/30+1)&amp;"Me,"&amp;SIGN(W299-Panchanga!$W298)*INT(Panchanga!$W298/30+1)&amp;"J, "&amp;SIGN(X299-Panchanga!$X298)*INT(Panchanga!$X298/30+1)&amp;"V,"&amp;SIGN(Y299-Panchanga!$Y298)*INT(Panchanga!$Y298/30+1)&amp;"S,"&amp;INT(Panchanga!$Z298/30+1)&amp;"R"</f>
        <v>7Ma,8Me,9J, 9V,9S,3R</v>
      </c>
      <c r="S298" s="4">
        <f t="shared" si="47"/>
        <v>238.59989976481964</v>
      </c>
      <c r="T298" s="4">
        <f t="shared" si="48"/>
        <v>94.127276625873904</v>
      </c>
      <c r="U298" s="4">
        <f>Planet(Panchanga!$E298,4)</f>
        <v>202.89596979976614</v>
      </c>
      <c r="V298" s="4">
        <f>Planet(Panchanga!$E298,2)</f>
        <v>224.16663225375129</v>
      </c>
      <c r="W298" s="4">
        <f>Planet(Panchanga!$E298,5)</f>
        <v>248.6396125806269</v>
      </c>
      <c r="X298" s="4">
        <f>Planet(Panchanga!$E298,3)</f>
        <v>269.4059613313969</v>
      </c>
      <c r="Y298" s="4">
        <f>Planet(Panchanga!$E298,6)</f>
        <v>265.3309314601272</v>
      </c>
      <c r="Z298" s="4">
        <f>Planet(Panchanga!$E298,10)</f>
        <v>75.006110851100203</v>
      </c>
      <c r="AA298" s="4" t="str">
        <f>TEXT(Panchanga!$C298+($C299-Panchanga!$C298)/ABS(IF($P299&lt;1,$P299+30,$P299)-Panchanga!$P298)*(ROUNDUP(Panchanga!$P298,0)-Panchanga!$P298),"hh:mm AM/PM")</f>
        <v>07:17 AM</v>
      </c>
      <c r="AB298" s="4"/>
    </row>
    <row r="299" spans="1:28" x14ac:dyDescent="0.2">
      <c r="A299" s="3">
        <f t="shared" si="50"/>
        <v>43815</v>
      </c>
      <c r="B299" s="3">
        <f t="shared" si="44"/>
        <v>43815.229166666664</v>
      </c>
      <c r="C299" s="15">
        <f t="shared" si="45"/>
        <v>43815.267856802944</v>
      </c>
      <c r="D299" s="15">
        <f t="shared" si="46"/>
        <v>43814.738717695276</v>
      </c>
      <c r="E299" s="17">
        <f>Panchanga!$C299-TimeZone/24</f>
        <v>43815.03869013628</v>
      </c>
      <c r="F299" s="18" t="str">
        <f>INT(P[Sun]/30)&amp;"s"&amp;ROUNDUP(MOD(P[Sun],30),2)</f>
        <v>7s29.62</v>
      </c>
      <c r="G299" s="18" t="str">
        <f>INT(P[Moon]/30)&amp;"s"&amp;ROUNDUP(MOD(P[Moon],30),2)</f>
        <v>3s18.09</v>
      </c>
      <c r="H299" s="14">
        <f t="shared" si="49"/>
        <v>43815.03869013628</v>
      </c>
      <c r="I299" s="4" t="str">
        <f>naks(P[[#This Row],[Moon]])</f>
        <v>Aslesha</v>
      </c>
      <c r="J299" s="15">
        <f>(C300-P[[#This Row],[SunRise]])/(T300-P[[#This Row],[Moon]])*(13.3333333333333-MOD(P[[#This Row],[Moon]],13.333333333333))+P[[#This Row],[SunRise]]</f>
        <v>43816.11533041548</v>
      </c>
      <c r="K299" s="4" t="str">
        <f>IF(Panchanga!$P299&gt;15,"K","S")&amp;ROUNDUP(MOD(Panchanga!$P299,15),0)&amp;" ("&amp;ROUND(Panchanga!$P299,2)&amp;")"</f>
        <v>K5 (19.04)</v>
      </c>
      <c r="L299" s="4">
        <f>IF(AND(Panchanga!$P299&lt;28.5,Panchanga!$P299&gt;0.49999),MOD((Panchanga!$P299-0.5)*2,7),MOD((Panchanga!$P299+30-28.5),30)*2+7)</f>
        <v>2.0773999999999972</v>
      </c>
      <c r="M299" s="4" t="str">
        <f>CHOOSE(ROUNDUP(Panchanga!$L299,0),"Bhava","Baalava","Kaulava","Taitula","Garija","Vanija","Vishti","Shakuni","Chatushapda","Naaga","Kimstugna")</f>
        <v>Kaulava</v>
      </c>
      <c r="N299" s="11" t="str">
        <f>CHOOSE(ROUNDUP(Panchanga!$Q299,0),"viṣkambha","prīti","āyuṣmāna","saubhāgya","śobhana","atigaṇḍa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("&amp;Panchanga!$Q299&amp;")"</f>
        <v>vaidhṛti (26.08)</v>
      </c>
      <c r="O299" s="4">
        <f>IF(AND(Panchanga!$P299&lt;28.5,Panchanga!$P299&gt;0.49999),MOD((Panchanga!$P299-0.5)*2,7),MOD((Panchanga!$P299+30-28.5),30)*2+7)</f>
        <v>2.0773999999999972</v>
      </c>
      <c r="P299" s="4">
        <f>ROUNDUP(MOD(360+P[Moon]-P[Sun],360)/12,4)</f>
        <v>19.038699999999999</v>
      </c>
      <c r="Q299" s="4">
        <f>ROUNDUP(MOD(P[Sun]+P[Moon],360)/13.333333333,2)</f>
        <v>26.080000000000002</v>
      </c>
      <c r="R299" s="4" t="str">
        <f>SIGN(U300-Panchanga!$U299)*INT(Panchanga!$U299/30+1)&amp;"Ma,"&amp;SIGN(V300-Panchanga!$V299)*INT(Panchanga!$V299/30+1)&amp;"Me,"&amp;SIGN(W300-Panchanga!$W299)*INT(Panchanga!$W299/30+1)&amp;"J, "&amp;SIGN(X300-Panchanga!$X299)*INT(Panchanga!$X299/30+1)&amp;"V,"&amp;SIGN(Y300-Panchanga!$Y299)*INT(Panchanga!$Y299/30+1)&amp;"S,"&amp;INT(Panchanga!$Z299/30+1)&amp;"R"</f>
        <v>7Ma,8Me,9J, 10V,9S,3R</v>
      </c>
      <c r="S299" s="4">
        <f t="shared" si="47"/>
        <v>239.61728381612895</v>
      </c>
      <c r="T299" s="4">
        <f t="shared" si="48"/>
        <v>108.08143240250268</v>
      </c>
      <c r="U299" s="4">
        <f>Planet(Panchanga!$E299,4)</f>
        <v>203.56285239368265</v>
      </c>
      <c r="V299" s="4">
        <f>Planet(Panchanga!$E299,2)</f>
        <v>225.66811502182483</v>
      </c>
      <c r="W299" s="4">
        <f>Planet(Panchanga!$E299,5)</f>
        <v>248.86802565986144</v>
      </c>
      <c r="X299" s="4">
        <f>Planet(Panchanga!$E299,3)</f>
        <v>270.64053400827078</v>
      </c>
      <c r="Y299" s="4">
        <f>Planet(Panchanga!$E299,6)</f>
        <v>265.44118058199666</v>
      </c>
      <c r="Z299" s="4">
        <f>Planet(Panchanga!$E299,10)</f>
        <v>74.953099069797403</v>
      </c>
      <c r="AA299" s="4" t="str">
        <f>TEXT(Panchanga!$C299+($C300-Panchanga!$C299)/ABS(IF($P300&lt;1,$P300+30,$P300)-Panchanga!$P299)*(ROUNDUP(Panchanga!$P299,0)-Panchanga!$P299),"hh:mm AM/PM")</f>
        <v>03:38 AM</v>
      </c>
      <c r="AB299" s="4"/>
    </row>
    <row r="300" spans="1:28" x14ac:dyDescent="0.2">
      <c r="A300" s="3">
        <f t="shared" si="50"/>
        <v>43816</v>
      </c>
      <c r="B300" s="3">
        <f t="shared" si="44"/>
        <v>43816.229166666664</v>
      </c>
      <c r="C300" s="15">
        <f t="shared" si="45"/>
        <v>43816.268227146626</v>
      </c>
      <c r="D300" s="15">
        <f t="shared" si="46"/>
        <v>43815.739015241663</v>
      </c>
      <c r="E300" s="17">
        <f>Panchanga!$C300-TimeZone/24</f>
        <v>43816.039060479961</v>
      </c>
      <c r="F300" s="18" t="str">
        <f>INT(P[Sun]/30)&amp;"s"&amp;ROUNDUP(MOD(P[Sun],30),2)</f>
        <v>8s0.64</v>
      </c>
      <c r="G300" s="18" t="str">
        <f>INT(P[Moon]/30)&amp;"s"&amp;ROUNDUP(MOD(P[Moon],30),2)</f>
        <v>4s2.16</v>
      </c>
      <c r="H300" s="14">
        <f t="shared" si="49"/>
        <v>43816.039060479961</v>
      </c>
      <c r="I300" s="4" t="str">
        <f>naks(P[[#This Row],[Moon]])</f>
        <v>Makha</v>
      </c>
      <c r="J300" s="15">
        <f>(C301-P[[#This Row],[SunRise]])/(T301-P[[#This Row],[Moon]])*(13.3333333333333-MOD(P[[#This Row],[Moon]],13.333333333333))+P[[#This Row],[SunRise]]</f>
        <v>43817.059106013789</v>
      </c>
      <c r="K300" s="4" t="str">
        <f>IF(Panchanga!$P300&gt;15,"K","S")&amp;ROUNDUP(MOD(Panchanga!$P300,15),0)&amp;" ("&amp;ROUND(Panchanga!$P300,2)&amp;")"</f>
        <v>K6 (20.13)</v>
      </c>
      <c r="L300" s="4">
        <f>IF(AND(Panchanga!$P300&lt;28.5,Panchanga!$P300&gt;0.49999),MOD((Panchanga!$P300-0.5)*2,7),MOD((Panchanga!$P300+30-28.5),30)*2+7)</f>
        <v>4.252600000000001</v>
      </c>
      <c r="M300" s="4" t="str">
        <f>CHOOSE(ROUNDUP(Panchanga!$L300,0),"Bhava","Baalava","Kaulava","Taitula","Garija","Vanija","Vishti","Shakuni","Chatushapda","Naaga","Kimstugna")</f>
        <v>Garija</v>
      </c>
      <c r="N300" s="11" t="str">
        <f>CHOOSE(ROUNDUP(Panchanga!$Q300,0),"viṣkambha","prīti","āyuṣmāna","saubhāgya","śobhana","atigaṇḍa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("&amp;Panchanga!$Q300&amp;")"</f>
        <v>viṣkambha (0.21)</v>
      </c>
      <c r="O300" s="4">
        <f>IF(AND(Panchanga!$P300&lt;28.5,Panchanga!$P300&gt;0.49999),MOD((Panchanga!$P300-0.5)*2,7),MOD((Panchanga!$P300+30-28.5),30)*2+7)</f>
        <v>4.252600000000001</v>
      </c>
      <c r="P300" s="4">
        <f>ROUNDUP(MOD(360+P[Moon]-P[Sun],360)/12,4)</f>
        <v>20.126300000000001</v>
      </c>
      <c r="Q300" s="4">
        <f>ROUNDUP(MOD(P[Sun]+P[Moon],360)/13.333333333,2)</f>
        <v>0.21000000000000002</v>
      </c>
      <c r="R300" s="4" t="str">
        <f>SIGN(U301-Panchanga!$U300)*INT(Panchanga!$U300/30+1)&amp;"Ma,"&amp;SIGN(V301-Panchanga!$V300)*INT(Panchanga!$V300/30+1)&amp;"Me,"&amp;SIGN(W301-Panchanga!$W300)*INT(Panchanga!$W300/30+1)&amp;"J, "&amp;SIGN(X301-Panchanga!$X300)*INT(Panchanga!$X300/30+1)&amp;"V,"&amp;SIGN(Y301-Panchanga!$Y300)*INT(Panchanga!$Y300/30+1)&amp;"S,"&amp;INT(Panchanga!$Z300/30+1)&amp;"R"</f>
        <v>7Ma,8Me,9J, 10V,9S,3R</v>
      </c>
      <c r="S300" s="4">
        <f t="shared" si="47"/>
        <v>240.63493013018453</v>
      </c>
      <c r="T300" s="4">
        <f t="shared" si="48"/>
        <v>122.15028526987905</v>
      </c>
      <c r="U300" s="4">
        <f>Planet(Panchanga!$E300,4)</f>
        <v>204.23012430226578</v>
      </c>
      <c r="V300" s="4">
        <f>Planet(Panchanga!$E300,2)</f>
        <v>227.17567718576845</v>
      </c>
      <c r="W300" s="4">
        <f>Planet(Panchanga!$E300,5)</f>
        <v>249.09674349950379</v>
      </c>
      <c r="X300" s="4">
        <f>Planet(Panchanga!$E300,3)</f>
        <v>271.8747165205736</v>
      </c>
      <c r="Y300" s="4">
        <f>Planet(Panchanga!$E300,6)</f>
        <v>265.55198664183308</v>
      </c>
      <c r="Z300" s="4">
        <f>Planet(Panchanga!$E300,10)</f>
        <v>74.900087448502205</v>
      </c>
      <c r="AA300" s="4" t="str">
        <f>TEXT(Panchanga!$C300+($C301-Panchanga!$C300)/ABS(IF($P301&lt;1,$P301+30,$P301)-Panchanga!$P300)*(ROUNDUP(Panchanga!$P300,0)-Panchanga!$P300),"hh:mm AM/PM")</f>
        <v>01:36 AM</v>
      </c>
      <c r="AB300" s="4"/>
    </row>
    <row r="301" spans="1:28" x14ac:dyDescent="0.2">
      <c r="A301" s="3">
        <f t="shared" si="50"/>
        <v>43817</v>
      </c>
      <c r="B301" s="3">
        <f t="shared" si="44"/>
        <v>43817.229166666664</v>
      </c>
      <c r="C301" s="15">
        <f t="shared" si="45"/>
        <v>43817.268594152447</v>
      </c>
      <c r="D301" s="15">
        <f t="shared" si="46"/>
        <v>43816.739321689165</v>
      </c>
      <c r="E301" s="17">
        <f>Panchanga!$C301-TimeZone/24</f>
        <v>43817.039427485783</v>
      </c>
      <c r="F301" s="18" t="str">
        <f>INT(P[Sun]/30)&amp;"s"&amp;ROUNDUP(MOD(P[Sun],30),2)</f>
        <v>8s1.66</v>
      </c>
      <c r="G301" s="18" t="str">
        <f>INT(P[Moon]/30)&amp;"s"&amp;ROUNDUP(MOD(P[Moon],30),2)</f>
        <v>4s16.3</v>
      </c>
      <c r="H301" s="14">
        <f t="shared" si="49"/>
        <v>43817.039427485783</v>
      </c>
      <c r="I301" s="4" t="str">
        <f>naks(P[[#This Row],[Moon]])</f>
        <v>Purva Phalguni</v>
      </c>
      <c r="J301" s="15">
        <f>(C302-P[[#This Row],[SunRise]])/(T302-P[[#This Row],[Moon]])*(13.3333333333333-MOD(P[[#This Row],[Moon]],13.333333333333))+P[[#This Row],[SunRise]]</f>
        <v>43817.999973257443</v>
      </c>
      <c r="K301" s="4" t="str">
        <f>IF(Panchanga!$P301&gt;15,"K","S")&amp;ROUNDUP(MOD(Panchanga!$P301,15),0)&amp;" ("&amp;ROUND(Panchanga!$P301,2)&amp;")"</f>
        <v>K7 (21.22)</v>
      </c>
      <c r="L301" s="4">
        <f>IF(AND(Panchanga!$P301&lt;28.5,Panchanga!$P301&gt;0.49999),MOD((Panchanga!$P301-0.5)*2,7),MOD((Panchanga!$P301+30-28.5),30)*2+7)</f>
        <v>6.4405999999999963</v>
      </c>
      <c r="M301" s="4" t="str">
        <f>CHOOSE(ROUNDUP(Panchanga!$L301,0),"Bhava","Baalava","Kaulava","Taitula","Garija","Vanija","Vishti","Shakuni","Chatushapda","Naaga","Kimstugna")</f>
        <v>Vishti</v>
      </c>
      <c r="N301" s="11" t="str">
        <f>CHOOSE(ROUNDUP(Panchanga!$Q301,0),"viṣkambha","prīti","āyuṣmāna","saubhāgya","śobhana","atigaṇḍa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("&amp;Panchanga!$Q301&amp;")"</f>
        <v>prīti (1.35)</v>
      </c>
      <c r="O301" s="4">
        <f>IF(AND(Panchanga!$P301&lt;28.5,Panchanga!$P301&gt;0.49999),MOD((Panchanga!$P301-0.5)*2,7),MOD((Panchanga!$P301+30-28.5),30)*2+7)</f>
        <v>6.4405999999999963</v>
      </c>
      <c r="P301" s="4">
        <f>ROUNDUP(MOD(360+P[Moon]-P[Sun],360)/12,4)</f>
        <v>21.220299999999998</v>
      </c>
      <c r="Q301" s="4">
        <f>ROUNDUP(MOD(P[Sun]+P[Moon],360)/13.333333333,2)</f>
        <v>1.35</v>
      </c>
      <c r="R301" s="4" t="str">
        <f>SIGN(U302-Panchanga!$U301)*INT(Panchanga!$U301/30+1)&amp;"Ma,"&amp;SIGN(V302-Panchanga!$V301)*INT(Panchanga!$V301/30+1)&amp;"Me,"&amp;SIGN(W302-Panchanga!$W301)*INT(Panchanga!$W301/30+1)&amp;"J, "&amp;SIGN(X302-Panchanga!$X301)*INT(Panchanga!$X301/30+1)&amp;"V,"&amp;SIGN(Y302-Panchanga!$Y301)*INT(Panchanga!$Y301/30+1)&amp;"S,"&amp;INT(Panchanga!$Z301/30+1)&amp;"R"</f>
        <v>7Ma,8Me,9J, 10V,9S,3R</v>
      </c>
      <c r="S301" s="4">
        <f t="shared" si="47"/>
        <v>241.65284049035191</v>
      </c>
      <c r="T301" s="4">
        <f t="shared" si="48"/>
        <v>136.29550114516093</v>
      </c>
      <c r="U301" s="4">
        <f>Planet(Panchanga!$E301,4)</f>
        <v>204.89778573799006</v>
      </c>
      <c r="V301" s="4">
        <f>Planet(Panchanga!$E301,2)</f>
        <v>228.68871025012302</v>
      </c>
      <c r="W301" s="4">
        <f>Planet(Panchanga!$E301,5)</f>
        <v>249.32574620461241</v>
      </c>
      <c r="X301" s="4">
        <f>Planet(Panchanga!$E301,3)</f>
        <v>273.10850577441698</v>
      </c>
      <c r="Y301" s="4">
        <f>Planet(Panchanga!$E301,6)</f>
        <v>265.66333254443168</v>
      </c>
      <c r="Z301" s="4">
        <f>Planet(Panchanga!$E301,10)</f>
        <v>74.847076004081586</v>
      </c>
      <c r="AA301" s="4" t="str">
        <f>TEXT(Panchanga!$C301+($C302-Panchanga!$C301)/ABS(IF($P302&lt;1,$P302+30,$P302)-Panchanga!$P301)*(ROUNDUP(Panchanga!$P301,0)-Panchanga!$P301),"hh:mm AM/PM")</f>
        <v>11:30 PM</v>
      </c>
      <c r="AB301" s="4"/>
    </row>
    <row r="302" spans="1:28" x14ac:dyDescent="0.2">
      <c r="A302" s="3">
        <f t="shared" si="50"/>
        <v>43818</v>
      </c>
      <c r="B302" s="3">
        <f t="shared" si="44"/>
        <v>43818.229166666664</v>
      </c>
      <c r="C302" s="15">
        <f t="shared" si="45"/>
        <v>43818.268957502361</v>
      </c>
      <c r="D302" s="15">
        <f t="shared" si="46"/>
        <v>43817.73963656048</v>
      </c>
      <c r="E302" s="17">
        <f>Panchanga!$C302-TimeZone/24</f>
        <v>43818.039790835697</v>
      </c>
      <c r="F302" s="18" t="str">
        <f>INT(P[Sun]/30)&amp;"s"&amp;ROUNDUP(MOD(P[Sun],30),2)</f>
        <v>8s2.68</v>
      </c>
      <c r="G302" s="18" t="str">
        <f>INT(P[Moon]/30)&amp;"s"&amp;ROUNDUP(MOD(P[Moon],30),2)</f>
        <v>5s0.49</v>
      </c>
      <c r="H302" s="14">
        <f t="shared" si="49"/>
        <v>43818.039790835697</v>
      </c>
      <c r="I302" s="4" t="str">
        <f>naks(P[[#This Row],[Moon]])</f>
        <v>Uttara Phalguni</v>
      </c>
      <c r="J302" s="15">
        <f>(C303-P[[#This Row],[SunRise]])/(T303-P[[#This Row],[Moon]])*(13.3333333333333-MOD(P[[#This Row],[Moon]],13.333333333333))+P[[#This Row],[SunRise]]</f>
        <v>43818.940012097009</v>
      </c>
      <c r="K302" s="4" t="str">
        <f>IF(Panchanga!$P302&gt;15,"K","S")&amp;ROUNDUP(MOD(Panchanga!$P302,15),0)&amp;" ("&amp;ROUND(Panchanga!$P302,2)&amp;")"</f>
        <v>K8 (22.32)</v>
      </c>
      <c r="L302" s="4">
        <f>IF(AND(Panchanga!$P302&lt;28.5,Panchanga!$P302&gt;0.49999),MOD((Panchanga!$P302-0.5)*2,7),MOD((Panchanga!$P302+30-28.5),30)*2+7)</f>
        <v>1.634999999999998</v>
      </c>
      <c r="M302" s="4" t="str">
        <f>CHOOSE(ROUNDUP(Panchanga!$L302,0),"Bhava","Baalava","Kaulava","Taitula","Garija","Vanija","Vishti","Shakuni","Chatushapda","Naaga","Kimstugna")</f>
        <v>Baalava</v>
      </c>
      <c r="N302" s="11" t="str">
        <f>CHOOSE(ROUNDUP(Panchanga!$Q302,0),"viṣkambha","prīti","āyuṣmāna","saubhāgya","śobhana","atigaṇḍa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("&amp;Panchanga!$Q302&amp;")"</f>
        <v>āyuṣmāna (2.49)</v>
      </c>
      <c r="O302" s="4">
        <f>IF(AND(Panchanga!$P302&lt;28.5,Panchanga!$P302&gt;0.49999),MOD((Panchanga!$P302-0.5)*2,7),MOD((Panchanga!$P302+30-28.5),30)*2+7)</f>
        <v>1.634999999999998</v>
      </c>
      <c r="P302" s="4">
        <f>ROUNDUP(MOD(360+P[Moon]-P[Sun],360)/12,4)</f>
        <v>22.317499999999999</v>
      </c>
      <c r="Q302" s="4">
        <f>ROUNDUP(MOD(P[Sun]+P[Moon],360)/13.333333333,2)</f>
        <v>2.4899999999999998</v>
      </c>
      <c r="R302" s="4" t="str">
        <f>SIGN(U303-Panchanga!$U302)*INT(Panchanga!$U302/30+1)&amp;"Ma,"&amp;SIGN(V303-Panchanga!$V302)*INT(Panchanga!$V302/30+1)&amp;"Me,"&amp;SIGN(W303-Panchanga!$W302)*INT(Panchanga!$W302/30+1)&amp;"J, "&amp;SIGN(X303-Panchanga!$X302)*INT(Panchanga!$X302/30+1)&amp;"V,"&amp;SIGN(Y303-Panchanga!$Y302)*INT(Panchanga!$Y302/30+1)&amp;"S,"&amp;INT(Panchanga!$Z302/30+1)&amp;"R"</f>
        <v>7Ma,8Me,9J, 10V,9S,3R</v>
      </c>
      <c r="S302" s="4">
        <f t="shared" si="47"/>
        <v>242.67101235787317</v>
      </c>
      <c r="T302" s="4">
        <f t="shared" si="48"/>
        <v>150.48094042385725</v>
      </c>
      <c r="U302" s="4">
        <f>Planet(Panchanga!$E302,4)</f>
        <v>205.56583452885363</v>
      </c>
      <c r="V302" s="4">
        <f>Planet(Panchanga!$E302,2)</f>
        <v>230.20673067166052</v>
      </c>
      <c r="W302" s="4">
        <f>Planet(Panchanga!$E302,5)</f>
        <v>249.55501316501767</v>
      </c>
      <c r="X302" s="4">
        <f>Planet(Panchanga!$E302,3)</f>
        <v>274.34189683332153</v>
      </c>
      <c r="Y302" s="4">
        <f>Planet(Panchanga!$E302,6)</f>
        <v>265.77520084067203</v>
      </c>
      <c r="Z302" s="4">
        <f>Planet(Panchanga!$E302,10)</f>
        <v>74.794064753452233</v>
      </c>
      <c r="AA302" s="4" t="str">
        <f>TEXT(Panchanga!$C302+($C303-Panchanga!$C302)/ABS(IF($P303&lt;1,$P303+30,$P303)-Panchanga!$P302)*(ROUNDUP(Panchanga!$P302,0)-Panchanga!$P302),"hh:mm AM/PM")</f>
        <v>09:22 PM</v>
      </c>
      <c r="AB302" s="4"/>
    </row>
    <row r="303" spans="1:28" x14ac:dyDescent="0.2">
      <c r="A303" s="3">
        <f t="shared" si="50"/>
        <v>43819</v>
      </c>
      <c r="B303" s="3">
        <f t="shared" si="44"/>
        <v>43819.229166666664</v>
      </c>
      <c r="C303" s="15">
        <f t="shared" si="45"/>
        <v>43819.269316878323</v>
      </c>
      <c r="D303" s="15">
        <f t="shared" si="46"/>
        <v>43818.739959697283</v>
      </c>
      <c r="E303" s="17">
        <f>Panchanga!$C303-TimeZone/24</f>
        <v>43819.040150211658</v>
      </c>
      <c r="F303" s="18" t="str">
        <f>INT(P[Sun]/30)&amp;"s"&amp;ROUNDUP(MOD(P[Sun],30),2)</f>
        <v>8s3.69</v>
      </c>
      <c r="G303" s="18" t="str">
        <f>INT(P[Moon]/30)&amp;"s"&amp;ROUNDUP(MOD(P[Moon],30),2)</f>
        <v>5s14.68</v>
      </c>
      <c r="H303" s="14">
        <f t="shared" si="49"/>
        <v>43819.040150211658</v>
      </c>
      <c r="I303" s="4" t="str">
        <f>naks(P[[#This Row],[Moon]])</f>
        <v>Hasta</v>
      </c>
      <c r="J303" s="15">
        <f>(C304-P[[#This Row],[SunRise]])/(T304-P[[#This Row],[Moon]])*(13.3333333333333-MOD(P[[#This Row],[Moon]],13.333333333333))+P[[#This Row],[SunRise]]</f>
        <v>43819.88132869127</v>
      </c>
      <c r="K303" s="4" t="str">
        <f>IF(Panchanga!$P303&gt;15,"K","S")&amp;ROUNDUP(MOD(Panchanga!$P303,15),0)&amp;" ("&amp;ROUND(Panchanga!$P303,2)&amp;")"</f>
        <v>K9 (23.42)</v>
      </c>
      <c r="L303" s="4">
        <f>IF(AND(Panchanga!$P303&lt;28.5,Panchanga!$P303&gt;0.49999),MOD((Panchanga!$P303-0.5)*2,7),MOD((Panchanga!$P303+30-28.5),30)*2+7)</f>
        <v>3.8303999999999974</v>
      </c>
      <c r="M303" s="4" t="str">
        <f>CHOOSE(ROUNDUP(Panchanga!$L303,0),"Bhava","Baalava","Kaulava","Taitula","Garija","Vanija","Vishti","Shakuni","Chatushapda","Naaga","Kimstugna")</f>
        <v>Taitula</v>
      </c>
      <c r="N303" s="11" t="str">
        <f>CHOOSE(ROUNDUP(Panchanga!$Q303,0),"viṣkambha","prīti","āyuṣmāna","saubhāgya","śobhana","atigaṇḍa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("&amp;Panchanga!$Q303&amp;")"</f>
        <v>saubhāgya (3.63)</v>
      </c>
      <c r="O303" s="4">
        <f>IF(AND(Panchanga!$P303&lt;28.5,Panchanga!$P303&gt;0.49999),MOD((Panchanga!$P303-0.5)*2,7),MOD((Panchanga!$P303+30-28.5),30)*2+7)</f>
        <v>3.8303999999999974</v>
      </c>
      <c r="P303" s="4">
        <f>ROUNDUP(MOD(360+P[Moon]-P[Sun],360)/12,4)</f>
        <v>23.415199999999999</v>
      </c>
      <c r="Q303" s="4">
        <f>ROUNDUP(MOD(P[Sun]+P[Moon],360)/13.333333333,2)</f>
        <v>3.63</v>
      </c>
      <c r="R303" s="4" t="str">
        <f>SIGN(U304-Panchanga!$U303)*INT(Panchanga!$U303/30+1)&amp;"Ma,"&amp;SIGN(V304-Panchanga!$V303)*INT(Panchanga!$V303/30+1)&amp;"Me,"&amp;SIGN(W304-Panchanga!$W303)*INT(Panchanga!$W303/30+1)&amp;"J, "&amp;SIGN(X304-Panchanga!$X303)*INT(Panchanga!$X303/30+1)&amp;"V,"&amp;SIGN(Y304-Panchanga!$Y303)*INT(Panchanga!$Y303/30+1)&amp;"S,"&amp;INT(Panchanga!$Z303/30+1)&amp;"R"</f>
        <v>7Ma,8Me,9J, 10V,9S,3R</v>
      </c>
      <c r="S303" s="4">
        <f t="shared" si="47"/>
        <v>243.68943840989593</v>
      </c>
      <c r="T303" s="4">
        <f t="shared" si="48"/>
        <v>164.67126200620874</v>
      </c>
      <c r="U303" s="4">
        <f>Planet(Panchanga!$E303,4)</f>
        <v>206.23426625645877</v>
      </c>
      <c r="V303" s="4">
        <f>Planet(Panchanga!$E303,2)</f>
        <v>231.72936265175505</v>
      </c>
      <c r="W303" s="4">
        <f>Planet(Panchanga!$E303,5)</f>
        <v>249.78452293848571</v>
      </c>
      <c r="X303" s="4">
        <f>Planet(Panchanga!$E303,3)</f>
        <v>275.57488218320054</v>
      </c>
      <c r="Y303" s="4">
        <f>Planet(Panchanga!$E303,6)</f>
        <v>265.88757361355187</v>
      </c>
      <c r="Z303" s="4">
        <f>Planet(Panchanga!$E303,10)</f>
        <v>74.741053713365233</v>
      </c>
      <c r="AA303" s="4" t="str">
        <f>TEXT(Panchanga!$C303+($C304-Panchanga!$C303)/ABS(IF($P304&lt;1,$P304+30,$P304)-Panchanga!$P303)*(ROUNDUP(Panchanga!$P303,0)-Panchanga!$P303),"hh:mm AM/PM")</f>
        <v>07:17 PM</v>
      </c>
      <c r="AB303" s="4"/>
    </row>
    <row r="304" spans="1:28" x14ac:dyDescent="0.2">
      <c r="A304" s="3">
        <f t="shared" si="50"/>
        <v>43820</v>
      </c>
      <c r="B304" s="3">
        <f t="shared" si="44"/>
        <v>43820.229166666664</v>
      </c>
      <c r="C304" s="15">
        <f t="shared" si="45"/>
        <v>43820.269671486378</v>
      </c>
      <c r="D304" s="15">
        <f t="shared" si="46"/>
        <v>43819.740290622271</v>
      </c>
      <c r="E304" s="17">
        <f>Panchanga!$C304-TimeZone/24</f>
        <v>43820.040504819714</v>
      </c>
      <c r="F304" s="18" t="str">
        <f>INT(P[Sun]/30)&amp;"s"&amp;ROUNDUP(MOD(P[Sun],30),2)</f>
        <v>8s4.71</v>
      </c>
      <c r="G304" s="18" t="str">
        <f>INT(P[Moon]/30)&amp;"s"&amp;ROUNDUP(MOD(P[Moon],30),2)</f>
        <v>5s28.83</v>
      </c>
      <c r="H304" s="14">
        <f t="shared" si="49"/>
        <v>43820.040504819714</v>
      </c>
      <c r="I304" s="4" t="str">
        <f>naks(P[[#This Row],[Moon]])</f>
        <v>Chitra</v>
      </c>
      <c r="J304" s="15">
        <f>(C305-P[[#This Row],[SunRise]])/(T305-P[[#This Row],[Moon]])*(13.3333333333333-MOD(P[[#This Row],[Moon]],13.333333333333))+P[[#This Row],[SunRise]]</f>
        <v>43820.826205639751</v>
      </c>
      <c r="K304" s="4" t="str">
        <f>IF(Panchanga!$P304&gt;15,"K","S")&amp;ROUNDUP(MOD(Panchanga!$P304,15),0)&amp;" ("&amp;ROUND(Panchanga!$P304,2)&amp;")"</f>
        <v>K10 (24.51)</v>
      </c>
      <c r="L304" s="4">
        <f>IF(AND(Panchanga!$P304&lt;28.5,Panchanga!$P304&gt;0.49999),MOD((Panchanga!$P304-0.5)*2,7),MOD((Panchanga!$P304+30-28.5),30)*2+7)</f>
        <v>6.0204000000000022</v>
      </c>
      <c r="M304" s="4" t="str">
        <f>CHOOSE(ROUNDUP(Panchanga!$L304,0),"Bhava","Baalava","Kaulava","Taitula","Garija","Vanija","Vishti","Shakuni","Chatushapda","Naaga","Kimstugna")</f>
        <v>Vishti</v>
      </c>
      <c r="N304" s="11" t="str">
        <f>CHOOSE(ROUNDUP(Panchanga!$Q304,0),"viṣkambha","prīti","āyuṣmāna","saubhāgya","śobhana","atigaṇḍa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("&amp;Panchanga!$Q304&amp;")"</f>
        <v>śobhana (4.77)</v>
      </c>
      <c r="O304" s="4">
        <f>IF(AND(Panchanga!$P304&lt;28.5,Panchanga!$P304&gt;0.49999),MOD((Panchanga!$P304-0.5)*2,7),MOD((Panchanga!$P304+30-28.5),30)*2+7)</f>
        <v>6.0204000000000022</v>
      </c>
      <c r="P304" s="4">
        <f>ROUNDUP(MOD(360+P[Moon]-P[Sun],360)/12,4)</f>
        <v>24.510200000000001</v>
      </c>
      <c r="Q304" s="4">
        <f>ROUNDUP(MOD(P[Sun]+P[Moon],360)/13.333333333,2)</f>
        <v>4.7699999999999996</v>
      </c>
      <c r="R304" s="4" t="str">
        <f>SIGN(U305-Panchanga!$U304)*INT(Panchanga!$U304/30+1)&amp;"Ma,"&amp;SIGN(V305-Panchanga!$V304)*INT(Panchanga!$V304/30+1)&amp;"Me,"&amp;SIGN(W305-Panchanga!$W304)*INT(Panchanga!$W304/30+1)&amp;"J, "&amp;SIGN(X305-Panchanga!$X304)*INT(Panchanga!$X304/30+1)&amp;"V,"&amp;SIGN(Y305-Panchanga!$Y304)*INT(Panchanga!$Y304/30+1)&amp;"S,"&amp;INT(Panchanga!$Z304/30+1)&amp;"R"</f>
        <v>7Ma,8Me,9J, 10V,9S,3R</v>
      </c>
      <c r="S304" s="4">
        <f t="shared" si="47"/>
        <v>244.7081059420652</v>
      </c>
      <c r="T304" s="4">
        <f t="shared" si="48"/>
        <v>178.82971905574334</v>
      </c>
      <c r="U304" s="4">
        <f>Planet(Panchanga!$E304,4)</f>
        <v>206.9030742175398</v>
      </c>
      <c r="V304" s="4">
        <f>Planet(Panchanga!$E304,2)</f>
        <v>233.25632275427273</v>
      </c>
      <c r="W304" s="4">
        <f>Planet(Panchanga!$E304,5)</f>
        <v>250.0142531097691</v>
      </c>
      <c r="X304" s="4">
        <f>Planet(Panchanga!$E304,3)</f>
        <v>276.80745059042306</v>
      </c>
      <c r="Y304" s="4">
        <f>Planet(Panchanga!$E304,6)</f>
        <v>266.00043235434163</v>
      </c>
      <c r="Z304" s="4">
        <f>Planet(Panchanga!$E304,10)</f>
        <v>74.688042925938532</v>
      </c>
      <c r="AA304" s="4" t="str">
        <f>TEXT(Panchanga!$C304+($C305-Panchanga!$C304)/ABS(IF($P305&lt;1,$P305+30,$P305)-Panchanga!$P304)*(ROUNDUP(Panchanga!$P304,0)-Panchanga!$P304),"hh:mm AM/PM")</f>
        <v>05:16 PM</v>
      </c>
      <c r="AB304" s="4"/>
    </row>
    <row r="305" spans="1:28" x14ac:dyDescent="0.2">
      <c r="A305" s="3">
        <f t="shared" si="50"/>
        <v>43821</v>
      </c>
      <c r="B305" s="3">
        <f t="shared" si="44"/>
        <v>43821.229166666664</v>
      </c>
      <c r="C305" s="15">
        <f t="shared" si="45"/>
        <v>43821.270021166805</v>
      </c>
      <c r="D305" s="15">
        <f t="shared" si="46"/>
        <v>43820.740628858606</v>
      </c>
      <c r="E305" s="17">
        <f>Panchanga!$C305-TimeZone/24</f>
        <v>43821.040854500141</v>
      </c>
      <c r="F305" s="18" t="str">
        <f>INT(P[Sun]/30)&amp;"s"&amp;ROUNDUP(MOD(P[Sun],30),2)</f>
        <v>8s5.73</v>
      </c>
      <c r="G305" s="18" t="str">
        <f>INT(P[Moon]/30)&amp;"s"&amp;ROUNDUP(MOD(P[Moon],30),2)</f>
        <v>6s12.92</v>
      </c>
      <c r="H305" s="14">
        <f t="shared" si="49"/>
        <v>43821.040854500141</v>
      </c>
      <c r="I305" s="4" t="str">
        <f>naks(P[[#This Row],[Moon]])</f>
        <v>Swati</v>
      </c>
      <c r="J305" s="15">
        <f>(C306-P[[#This Row],[SunRise]])/(T306-P[[#This Row],[Moon]])*(13.3333333333333-MOD(P[[#This Row],[Moon]],13.333333333333))+P[[#This Row],[SunRise]]</f>
        <v>43821.777211576547</v>
      </c>
      <c r="K305" s="4" t="str">
        <f>IF(Panchanga!$P305&gt;15,"K","S")&amp;ROUNDUP(MOD(Panchanga!$P305,15),0)&amp;" ("&amp;ROUND(Panchanga!$P305,2)&amp;")"</f>
        <v>K11 (25.6)</v>
      </c>
      <c r="L305" s="4">
        <f>IF(AND(Panchanga!$P305&lt;28.5,Panchanga!$P305&gt;0.49999),MOD((Panchanga!$P305-0.5)*2,7),MOD((Panchanga!$P305+30-28.5),30)*2+7)</f>
        <v>1.1983999999999995</v>
      </c>
      <c r="M305" s="4" t="str">
        <f>CHOOSE(ROUNDUP(Panchanga!$L305,0),"Bhava","Baalava","Kaulava","Taitula","Garija","Vanija","Vishti","Shakuni","Chatushapda","Naaga","Kimstugna")</f>
        <v>Baalava</v>
      </c>
      <c r="N305" s="11" t="str">
        <f>CHOOSE(ROUNDUP(Panchanga!$Q305,0),"viṣkambha","prīti","āyuṣmāna","saubhāgya","śobhana","atigaṇḍa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("&amp;Panchanga!$Q305&amp;")"</f>
        <v>atigaṇḍa  (5.9)</v>
      </c>
      <c r="O305" s="4">
        <f>IF(AND(Panchanga!$P305&lt;28.5,Panchanga!$P305&gt;0.49999),MOD((Panchanga!$P305-0.5)*2,7),MOD((Panchanga!$P305+30-28.5),30)*2+7)</f>
        <v>1.1983999999999995</v>
      </c>
      <c r="P305" s="4">
        <f>ROUNDUP(MOD(360+P[Moon]-P[Sun],360)/12,4)</f>
        <v>25.5992</v>
      </c>
      <c r="Q305" s="4">
        <f>ROUNDUP(MOD(P[Sun]+P[Moon],360)/13.333333333,2)</f>
        <v>5.8999999999999995</v>
      </c>
      <c r="R305" s="4" t="str">
        <f>SIGN(U306-Panchanga!$U305)*INT(Panchanga!$U305/30+1)&amp;"Ma,"&amp;SIGN(V306-Panchanga!$V305)*INT(Panchanga!$V305/30+1)&amp;"Me,"&amp;SIGN(W306-Panchanga!$W305)*INT(Panchanga!$W305/30+1)&amp;"J, "&amp;SIGN(X306-Panchanga!$X305)*INT(Panchanga!$X305/30+1)&amp;"V,"&amp;SIGN(Y306-Panchanga!$Y305)*INT(Panchanga!$Y305/30+1)&amp;"S,"&amp;INT(Panchanga!$Z305/30+1)&amp;"R"</f>
        <v>7Ma,8Me,9J, 10V,9S,3R</v>
      </c>
      <c r="S305" s="4">
        <f t="shared" si="47"/>
        <v>245.72699817025614</v>
      </c>
      <c r="T305" s="4">
        <f t="shared" si="48"/>
        <v>192.91634427110259</v>
      </c>
      <c r="U305" s="4">
        <f>Planet(Panchanga!$E305,4)</f>
        <v>207.57225055308251</v>
      </c>
      <c r="V305" s="4">
        <f>Planet(Panchanga!$E305,2)</f>
        <v>234.78740910477995</v>
      </c>
      <c r="W305" s="4">
        <f>Planet(Panchanga!$E305,5)</f>
        <v>250.24418060951203</v>
      </c>
      <c r="X305" s="4">
        <f>Planet(Panchanga!$E305,3)</f>
        <v>278.03958808861876</v>
      </c>
      <c r="Y305" s="4">
        <f>Planet(Panchanga!$E305,6)</f>
        <v>266.11375804931953</v>
      </c>
      <c r="Z305" s="4">
        <f>Planet(Panchanga!$E305,10)</f>
        <v>74.635032399638703</v>
      </c>
      <c r="AA305" s="4" t="str">
        <f>TEXT(Panchanga!$C305+($C306-Panchanga!$C305)/ABS(IF($P306&lt;1,$P306+30,$P306)-Panchanga!$P305)*(ROUNDUP(Panchanga!$P305,0)-Panchanga!$P305),"hh:mm AM/PM")</f>
        <v>03:23 PM</v>
      </c>
      <c r="AB305" s="4"/>
    </row>
    <row r="306" spans="1:28" x14ac:dyDescent="0.2">
      <c r="A306" s="3">
        <f t="shared" si="50"/>
        <v>43822</v>
      </c>
      <c r="B306" s="3">
        <f t="shared" si="44"/>
        <v>43822.229166666664</v>
      </c>
      <c r="C306" s="15">
        <f t="shared" si="45"/>
        <v>43822.27036560249</v>
      </c>
      <c r="D306" s="15">
        <f t="shared" si="46"/>
        <v>43821.740974088709</v>
      </c>
      <c r="E306" s="17">
        <f>Panchanga!$C306-TimeZone/24</f>
        <v>43822.041198935825</v>
      </c>
      <c r="F306" s="18" t="str">
        <f>INT(P[Sun]/30)&amp;"s"&amp;ROUNDUP(MOD(P[Sun],30),2)</f>
        <v>8s6.75</v>
      </c>
      <c r="G306" s="18" t="str">
        <f>INT(P[Moon]/30)&amp;"s"&amp;ROUNDUP(MOD(P[Moon],30),2)</f>
        <v>6s26.89</v>
      </c>
      <c r="H306" s="14">
        <f t="shared" si="49"/>
        <v>43822.041198935825</v>
      </c>
      <c r="I306" s="4" t="str">
        <f>naks(P[[#This Row],[Moon]])</f>
        <v>Visakha</v>
      </c>
      <c r="J306" s="15">
        <f>(C307-P[[#This Row],[SunRise]])/(T307-P[[#This Row],[Moon]])*(13.3333333333333-MOD(P[[#This Row],[Moon]],13.333333333333))+P[[#This Row],[SunRise]]</f>
        <v>43822.73724463187</v>
      </c>
      <c r="K306" s="4" t="str">
        <f>IF(Panchanga!$P306&gt;15,"K","S")&amp;ROUNDUP(MOD(Panchanga!$P306,15),0)&amp;" ("&amp;ROUND(Panchanga!$P306,2)&amp;")"</f>
        <v>K12 (26.68)</v>
      </c>
      <c r="L306" s="4">
        <f>IF(AND(Panchanga!$P306&lt;28.5,Panchanga!$P306&gt;0.49999),MOD((Panchanga!$P306-0.5)*2,7),MOD((Panchanga!$P306+30-28.5),30)*2+7)</f>
        <v>3.3569999999999993</v>
      </c>
      <c r="M306" s="4" t="str">
        <f>CHOOSE(ROUNDUP(Panchanga!$L306,0),"Bhava","Baalava","Kaulava","Taitula","Garija","Vanija","Vishti","Shakuni","Chatushapda","Naaga","Kimstugna")</f>
        <v>Taitula</v>
      </c>
      <c r="N306" s="11" t="str">
        <f>CHOOSE(ROUNDUP(Panchanga!$Q306,0),"viṣkambha","prīti","āyuṣmāna","saubhāgya","śobhana","atigaṇḍa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("&amp;Panchanga!$Q306&amp;")"</f>
        <v>dhṛti  (7.03)</v>
      </c>
      <c r="O306" s="4">
        <f>IF(AND(Panchanga!$P306&lt;28.5,Panchanga!$P306&gt;0.49999),MOD((Panchanga!$P306-0.5)*2,7),MOD((Panchanga!$P306+30-28.5),30)*2+7)</f>
        <v>3.3569999999999993</v>
      </c>
      <c r="P306" s="4">
        <f>ROUNDUP(MOD(360+P[Moon]-P[Sun],360)/12,4)</f>
        <v>26.6785</v>
      </c>
      <c r="Q306" s="4">
        <f>ROUNDUP(MOD(P[Sun]+P[Moon],360)/13.333333333,2)</f>
        <v>7.0299999999999994</v>
      </c>
      <c r="R306" s="4" t="str">
        <f>SIGN(U307-Panchanga!$U306)*INT(Panchanga!$U306/30+1)&amp;"Ma,"&amp;SIGN(V307-Panchanga!$V306)*INT(Panchanga!$V306/30+1)&amp;"Me,"&amp;SIGN(W307-Panchanga!$W306)*INT(Panchanga!$W306/30+1)&amp;"J, "&amp;SIGN(X307-Panchanga!$X306)*INT(Panchanga!$X306/30+1)&amp;"V,"&amp;SIGN(Y307-Panchanga!$Y306)*INT(Panchanga!$Y306/30+1)&amp;"S,"&amp;INT(Panchanga!$Z306/30+1)&amp;"R"</f>
        <v>7Ma,8Me,9J, 10V,9S,3R</v>
      </c>
      <c r="S306" s="4">
        <f t="shared" si="47"/>
        <v>246.74609384397681</v>
      </c>
      <c r="T306" s="4">
        <f t="shared" si="48"/>
        <v>206.88761710392905</v>
      </c>
      <c r="U306" s="4">
        <f>Planet(Panchanga!$E306,4)</f>
        <v>208.24178619260792</v>
      </c>
      <c r="V306" s="4">
        <f>Planet(Panchanga!$E306,2)</f>
        <v>236.32248952734031</v>
      </c>
      <c r="W306" s="4">
        <f>Planet(Panchanga!$E306,5)</f>
        <v>250.47428173321674</v>
      </c>
      <c r="X306" s="4">
        <f>Planet(Panchanga!$E306,3)</f>
        <v>279.27127677341309</v>
      </c>
      <c r="Y306" s="4">
        <f>Planet(Panchanga!$E306,6)</f>
        <v>266.2275310881376</v>
      </c>
      <c r="Z306" s="4">
        <f>Planet(Panchanga!$E306,10)</f>
        <v>74.582022151283141</v>
      </c>
      <c r="AA306" s="4" t="str">
        <f>TEXT(Panchanga!$C306+($C307-Panchanga!$C306)/ABS(IF($P307&lt;1,$P307+30,$P307)-Panchanga!$P306)*(ROUNDUP(Panchanga!$P306,0)-Panchanga!$P306),"hh:mm AM/PM")</f>
        <v>01:43 PM</v>
      </c>
      <c r="AB306" s="4"/>
    </row>
    <row r="307" spans="1:28" x14ac:dyDescent="0.2">
      <c r="A307" s="3">
        <f t="shared" si="50"/>
        <v>43823</v>
      </c>
      <c r="B307" s="3">
        <f t="shared" si="44"/>
        <v>43823.229166666664</v>
      </c>
      <c r="C307" s="15">
        <f t="shared" si="45"/>
        <v>43823.270704156872</v>
      </c>
      <c r="D307" s="15">
        <f t="shared" si="46"/>
        <v>43822.741325994532</v>
      </c>
      <c r="E307" s="17">
        <f>Panchanga!$C307-TimeZone/24</f>
        <v>43823.041537490208</v>
      </c>
      <c r="F307" s="18" t="str">
        <f>INT(P[Sun]/30)&amp;"s"&amp;ROUNDUP(MOD(P[Sun],30),2)</f>
        <v>8s7.77</v>
      </c>
      <c r="G307" s="18" t="str">
        <f>INT(P[Moon]/30)&amp;"s"&amp;ROUNDUP(MOD(P[Moon],30),2)</f>
        <v>7s10.7</v>
      </c>
      <c r="H307" s="14">
        <f t="shared" si="49"/>
        <v>43823.041537490208</v>
      </c>
      <c r="I307" s="4" t="str">
        <f>naks(P[[#This Row],[Moon]])</f>
        <v>Anuradha</v>
      </c>
      <c r="J307" s="15">
        <f>(C308-P[[#This Row],[SunRise]])/(T308-P[[#This Row],[Moon]])*(13.3333333333333-MOD(P[[#This Row],[Moon]],13.333333333333))+P[[#This Row],[SunRise]]</f>
        <v>43823.709488180386</v>
      </c>
      <c r="K307" s="4" t="str">
        <f>IF(Panchanga!$P307&gt;15,"K","S")&amp;ROUNDUP(MOD(Panchanga!$P307,15),0)&amp;" ("&amp;ROUND(Panchanga!$P307,2)&amp;")"</f>
        <v>K13 (27.74)</v>
      </c>
      <c r="L307" s="4">
        <f>IF(AND(Panchanga!$P307&lt;28.5,Panchanga!$P307&gt;0.49999),MOD((Panchanga!$P307-0.5)*2,7),MOD((Panchanga!$P307+30-28.5),30)*2+7)</f>
        <v>5.4889999999999972</v>
      </c>
      <c r="M307" s="4" t="str">
        <f>CHOOSE(ROUNDUP(Panchanga!$L307,0),"Bhava","Baalava","Kaulava","Taitula","Garija","Vanija","Vishti","Shakuni","Chatushapda","Naaga","Kimstugna")</f>
        <v>Vanija</v>
      </c>
      <c r="N307" s="11" t="str">
        <f>CHOOSE(ROUNDUP(Panchanga!$Q307,0),"viṣkambha","prīti","āyuṣmāna","saubhāgya","śobhana","atigaṇḍa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("&amp;Panchanga!$Q307&amp;")"</f>
        <v>śūla  (8.14)</v>
      </c>
      <c r="O307" s="4">
        <f>IF(AND(Panchanga!$P307&lt;28.5,Panchanga!$P307&gt;0.49999),MOD((Panchanga!$P307-0.5)*2,7),MOD((Panchanga!$P307+30-28.5),30)*2+7)</f>
        <v>5.4889999999999972</v>
      </c>
      <c r="P307" s="4">
        <f>ROUNDUP(MOD(360+P[Moon]-P[Sun],360)/12,4)</f>
        <v>27.744499999999999</v>
      </c>
      <c r="Q307" s="4">
        <f>ROUNDUP(MOD(P[Sun]+P[Moon],360)/13.333333333,2)</f>
        <v>8.14</v>
      </c>
      <c r="R307" s="4" t="str">
        <f>SIGN(U308-Panchanga!$U307)*INT(Panchanga!$U307/30+1)&amp;"Ma,"&amp;SIGN(V308-Panchanga!$V307)*INT(Panchanga!$V307/30+1)&amp;"Me,"&amp;SIGN(W308-Panchanga!$W307)*INT(Panchanga!$W307/30+1)&amp;"J, "&amp;SIGN(X308-Panchanga!$X307)*INT(Panchanga!$X307/30+1)&amp;"V,"&amp;SIGN(Y308-Panchanga!$Y307)*INT(Panchanga!$Y307/30+1)&amp;"S,"&amp;INT(Panchanga!$Z307/30+1)&amp;"R"</f>
        <v>7Ma,8Me,9J, 10V,9S,3R</v>
      </c>
      <c r="S307" s="4">
        <f t="shared" si="47"/>
        <v>247.76536778081788</v>
      </c>
      <c r="T307" s="4">
        <f t="shared" si="48"/>
        <v>220.69825765335057</v>
      </c>
      <c r="U307" s="4">
        <f>Planet(Panchanga!$E307,4)</f>
        <v>208.91167130582386</v>
      </c>
      <c r="V307" s="4">
        <f>Planet(Panchanga!$E307,2)</f>
        <v>237.86149223198811</v>
      </c>
      <c r="W307" s="4">
        <f>Planet(Panchanga!$E307,5)</f>
        <v>250.70453258961203</v>
      </c>
      <c r="X307" s="4">
        <f>Planet(Panchanga!$E307,3)</f>
        <v>280.50249456459034</v>
      </c>
      <c r="Y307" s="4">
        <f>Planet(Panchanga!$E307,6)</f>
        <v>266.34173128365586</v>
      </c>
      <c r="Z307" s="4">
        <f>Planet(Panchanga!$E307,10)</f>
        <v>74.529012214589272</v>
      </c>
      <c r="AA307" s="4" t="str">
        <f>TEXT(Panchanga!$C307+($C308-Panchanga!$C307)/ABS(IF($P308&lt;1,$P308+30,$P308)-Panchanga!$P307)*(ROUNDUP(Panchanga!$P307,0)-Panchanga!$P307),"hh:mm AM/PM")</f>
        <v>12:20 PM</v>
      </c>
      <c r="AB307" s="4"/>
    </row>
    <row r="308" spans="1:28" x14ac:dyDescent="0.2">
      <c r="A308" s="3">
        <f t="shared" si="50"/>
        <v>43824</v>
      </c>
      <c r="B308" s="3">
        <f t="shared" si="44"/>
        <v>43824.229166666664</v>
      </c>
      <c r="C308" s="15">
        <f t="shared" si="45"/>
        <v>43824.271036353115</v>
      </c>
      <c r="D308" s="15">
        <f t="shared" si="46"/>
        <v>43823.741683940447</v>
      </c>
      <c r="E308" s="17">
        <f>Panchanga!$C308-TimeZone/24</f>
        <v>43824.041869686451</v>
      </c>
      <c r="F308" s="18" t="str">
        <f>INT(P[Sun]/30)&amp;"s"&amp;ROUNDUP(MOD(P[Sun],30),2)</f>
        <v>8s8.79</v>
      </c>
      <c r="G308" s="18" t="str">
        <f>INT(P[Moon]/30)&amp;"s"&amp;ROUNDUP(MOD(P[Moon],30),2)</f>
        <v>7s24.31</v>
      </c>
      <c r="H308" s="14">
        <f t="shared" si="49"/>
        <v>43824.041869686451</v>
      </c>
      <c r="I308" s="4" t="str">
        <f>naks(P[[#This Row],[Moon]])</f>
        <v>Jyestha</v>
      </c>
      <c r="J308" s="15">
        <f>(C309-P[[#This Row],[SunRise]])/(T309-P[[#This Row],[Moon]])*(13.3333333333333-MOD(P[[#This Row],[Moon]],13.333333333333))+P[[#This Row],[SunRise]]</f>
        <v>43824.697259423701</v>
      </c>
      <c r="K308" s="4" t="str">
        <f>IF(Panchanga!$P308&gt;15,"K","S")&amp;ROUNDUP(MOD(Panchanga!$P308,15),0)&amp;" ("&amp;ROUND(Panchanga!$P308,2)&amp;")"</f>
        <v>K14 (28.79)</v>
      </c>
      <c r="L308" s="4">
        <f>IF(AND(Panchanga!$P308&lt;28.5,Panchanga!$P308&gt;0.49999),MOD((Panchanga!$P308-0.5)*2,7),MOD((Panchanga!$P308+30-28.5),30)*2+7)</f>
        <v>7.5867999999999967</v>
      </c>
      <c r="M308" s="4" t="str">
        <f>CHOOSE(ROUNDUP(Panchanga!$L308,0),"Bhava","Baalava","Kaulava","Taitula","Garija","Vanija","Vishti","Shakuni","Chatushapda","Naaga","Kimstugna")</f>
        <v>Shakuni</v>
      </c>
      <c r="N308" s="11" t="str">
        <f>CHOOSE(ROUNDUP(Panchanga!$Q308,0),"viṣkambha","prīti","āyuṣmāna","saubhāgya","śobhana","atigaṇḍa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("&amp;Panchanga!$Q308&amp;")"</f>
        <v>gaṇḍa  (9.24)</v>
      </c>
      <c r="O308" s="4">
        <f>IF(AND(Panchanga!$P308&lt;28.5,Panchanga!$P308&gt;0.49999),MOD((Panchanga!$P308-0.5)*2,7),MOD((Panchanga!$P308+30-28.5),30)*2+7)</f>
        <v>7.5867999999999967</v>
      </c>
      <c r="P308" s="4">
        <f>ROUNDUP(MOD(360+P[Moon]-P[Sun],360)/12,4)</f>
        <v>28.793399999999998</v>
      </c>
      <c r="Q308" s="4">
        <f>ROUNDUP(MOD(P[Sun]+P[Moon],360)/13.333333333,2)</f>
        <v>9.24</v>
      </c>
      <c r="R308" s="4" t="str">
        <f>SIGN(U309-Panchanga!$U308)*INT(Panchanga!$U308/30+1)&amp;"Ma,"&amp;SIGN(V309-Panchanga!$V308)*INT(Panchanga!$V308/30+1)&amp;"Me,"&amp;SIGN(W309-Panchanga!$W308)*INT(Panchanga!$W308/30+1)&amp;"J, "&amp;SIGN(X309-Panchanga!$X308)*INT(Panchanga!$X308/30+1)&amp;"V,"&amp;SIGN(Y309-Panchanga!$Y308)*INT(Panchanga!$Y308/30+1)&amp;"S,"&amp;INT(Panchanga!$Z308/30+1)&amp;"R"</f>
        <v>7Ma,8Me,9J, 10V,9S,3R</v>
      </c>
      <c r="S308" s="4">
        <f t="shared" si="47"/>
        <v>248.78479235399826</v>
      </c>
      <c r="T308" s="4">
        <f t="shared" si="48"/>
        <v>234.30493286570862</v>
      </c>
      <c r="U308" s="4">
        <f>Planet(Panchanga!$E308,4)</f>
        <v>209.58189624211923</v>
      </c>
      <c r="V308" s="4">
        <f>Planet(Panchanga!$E308,2)</f>
        <v>239.40439887808762</v>
      </c>
      <c r="W308" s="4">
        <f>Planet(Panchanga!$E308,5)</f>
        <v>250.9349105613733</v>
      </c>
      <c r="X308" s="4">
        <f>Planet(Panchanga!$E308,3)</f>
        <v>281.73321601168641</v>
      </c>
      <c r="Y308" s="4">
        <f>Planet(Panchanga!$E308,6)</f>
        <v>266.45633800366761</v>
      </c>
      <c r="Z308" s="4">
        <f>Planet(Panchanga!$E308,10)</f>
        <v>74.476002614841207</v>
      </c>
      <c r="AA308" s="4" t="str">
        <f>TEXT(Panchanga!$C308+($C309-Panchanga!$C308)/ABS(IF($P309&lt;1,$P309+30,$P309)-Panchanga!$P308)*(ROUNDUP(Panchanga!$P308,0)-Panchanga!$P308),"hh:mm AM/PM")</f>
        <v>11:19 AM</v>
      </c>
      <c r="AB308" s="4"/>
    </row>
    <row r="309" spans="1:28" x14ac:dyDescent="0.2">
      <c r="A309" s="3">
        <f t="shared" si="50"/>
        <v>43825</v>
      </c>
      <c r="B309" s="3">
        <f t="shared" si="44"/>
        <v>43825.229166666664</v>
      </c>
      <c r="C309" s="15">
        <f t="shared" si="45"/>
        <v>43825.271361874104</v>
      </c>
      <c r="D309" s="15">
        <f t="shared" si="46"/>
        <v>43824.742047607942</v>
      </c>
      <c r="E309" s="17">
        <f>Panchanga!$C309-TimeZone/24</f>
        <v>43825.042195207439</v>
      </c>
      <c r="F309" s="18" t="str">
        <f>INT(P[Sun]/30)&amp;"s"&amp;ROUNDUP(MOD(P[Sun],30),2)</f>
        <v>8s9.81</v>
      </c>
      <c r="G309" s="18" t="str">
        <f>INT(P[Moon]/30)&amp;"s"&amp;ROUNDUP(MOD(P[Moon],30),2)</f>
        <v>8s7.68</v>
      </c>
      <c r="H309" s="14">
        <f t="shared" si="49"/>
        <v>43825.042195207439</v>
      </c>
      <c r="I309" s="4" t="str">
        <f>naks(P[[#This Row],[Moon]])</f>
        <v>Moola</v>
      </c>
      <c r="J309" s="15">
        <f>(C310-P[[#This Row],[SunRise]])/(T310-P[[#This Row],[Moon]])*(13.3333333333333-MOD(P[[#This Row],[Moon]],13.333333333333))+P[[#This Row],[SunRise]]</f>
        <v>43825.703734839539</v>
      </c>
      <c r="K309" s="4" t="str">
        <f>IF(Panchanga!$P309&gt;15,"K","S")&amp;ROUNDUP(MOD(Panchanga!$P309,15),0)&amp;" ("&amp;ROUND(Panchanga!$P309,2)&amp;")"</f>
        <v>K15 (29.82)</v>
      </c>
      <c r="L309" s="4">
        <f>IF(AND(Panchanga!$P309&lt;28.5,Panchanga!$P309&gt;0.49999),MOD((Panchanga!$P309-0.5)*2,7),MOD((Panchanga!$P309+30-28.5),30)*2+7)</f>
        <v>9.644599999999997</v>
      </c>
      <c r="M309" s="4" t="str">
        <f>CHOOSE(ROUNDUP(Panchanga!$L309,0),"Bhava","Baalava","Kaulava","Taitula","Garija","Vanija","Vishti","Shakuni","Chatushapda","Naaga","Kimstugna")</f>
        <v>Naaga</v>
      </c>
      <c r="N309" s="11" t="str">
        <f>CHOOSE(ROUNDUP(Panchanga!$Q309,0),"viṣkambha","prīti","āyuṣmāna","saubhāgya","śobhana","atigaṇḍa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("&amp;Panchanga!$Q309&amp;")"</f>
        <v>vṛddhi  (10.32)</v>
      </c>
      <c r="O309" s="4">
        <f>IF(AND(Panchanga!$P309&lt;28.5,Panchanga!$P309&gt;0.49999),MOD((Panchanga!$P309-0.5)*2,7),MOD((Panchanga!$P309+30-28.5),30)*2+7)</f>
        <v>9.644599999999997</v>
      </c>
      <c r="P309" s="4">
        <f>ROUNDUP(MOD(360+P[Moon]-P[Sun],360)/12,4)</f>
        <v>29.822299999999998</v>
      </c>
      <c r="Q309" s="4">
        <f>ROUNDUP(MOD(P[Sun]+P[Moon],360)/13.333333333,2)</f>
        <v>10.32</v>
      </c>
      <c r="R309" s="4" t="str">
        <f>SIGN(U310-Panchanga!$U309)*INT(Panchanga!$U309/30+1)&amp;"Ma,"&amp;SIGN(V310-Panchanga!$V309)*INT(Panchanga!$V309/30+1)&amp;"Me,"&amp;SIGN(W310-Panchanga!$W309)*INT(Panchanga!$W309/30+1)&amp;"J, "&amp;SIGN(X310-Panchanga!$X309)*INT(Panchanga!$X309/30+1)&amp;"V,"&amp;SIGN(Y310-Panchanga!$Y309)*INT(Panchanga!$Y309/30+1)&amp;"S,"&amp;INT(Panchanga!$Z309/30+1)&amp;"R"</f>
        <v>8Ma,9Me,9J, 10V,9S,3R</v>
      </c>
      <c r="S309" s="4">
        <f t="shared" si="47"/>
        <v>249.80433872256904</v>
      </c>
      <c r="T309" s="4">
        <f t="shared" si="48"/>
        <v>247.67098785275286</v>
      </c>
      <c r="U309" s="4">
        <f>Planet(Panchanga!$E309,4)</f>
        <v>210.25245213889863</v>
      </c>
      <c r="V309" s="4">
        <f>Planet(Panchanga!$E309,2)</f>
        <v>240.95123806706079</v>
      </c>
      <c r="W309" s="4">
        <f>Planet(Panchanga!$E309,5)</f>
        <v>251.16539969367517</v>
      </c>
      <c r="X309" s="4">
        <f>Planet(Panchanga!$E309,3)</f>
        <v>282.96341278634725</v>
      </c>
      <c r="Y309" s="4">
        <f>Planet(Panchanga!$E309,6)</f>
        <v>266.57133028857902</v>
      </c>
      <c r="Z309" s="4">
        <f>Planet(Panchanga!$E309,10)</f>
        <v>74.422993368823043</v>
      </c>
      <c r="AA309" s="4" t="str">
        <f>TEXT(Panchanga!$C309+($C310-Panchanga!$C309)/ABS(IF($P310&lt;1,$P310+30,$P310)-Panchanga!$P309)*(ROUNDUP(Panchanga!$P309,0)-Panchanga!$P309),"hh:mm AM/PM")</f>
        <v>10:45 AM</v>
      </c>
      <c r="AB309" s="4"/>
    </row>
    <row r="310" spans="1:28" x14ac:dyDescent="0.2">
      <c r="A310" s="3">
        <f t="shared" si="50"/>
        <v>43826</v>
      </c>
      <c r="B310" s="3">
        <f t="shared" si="44"/>
        <v>43826.229166666664</v>
      </c>
      <c r="C310" s="15">
        <f t="shared" si="45"/>
        <v>43826.271680083279</v>
      </c>
      <c r="D310" s="15">
        <f t="shared" si="46"/>
        <v>43825.742416521112</v>
      </c>
      <c r="E310" s="17">
        <f>Panchanga!$C310-TimeZone/24</f>
        <v>43826.042513416614</v>
      </c>
      <c r="F310" s="18" t="str">
        <f>INT(P[Sun]/30)&amp;"s"&amp;ROUNDUP(MOD(P[Sun],30),2)</f>
        <v>8s10.83</v>
      </c>
      <c r="G310" s="18" t="str">
        <f>INT(P[Moon]/30)&amp;"s"&amp;ROUNDUP(MOD(P[Moon],30),2)</f>
        <v>8s20.78</v>
      </c>
      <c r="H310" s="14">
        <f t="shared" si="49"/>
        <v>43826.042513416614</v>
      </c>
      <c r="I310" s="4" t="str">
        <f>naks(P[[#This Row],[Moon]])</f>
        <v>Purva Asadha</v>
      </c>
      <c r="J310" s="15">
        <f>(C311-P[[#This Row],[SunRise]])/(T311-P[[#This Row],[Moon]])*(13.3333333333333-MOD(P[[#This Row],[Moon]],13.333333333333))+P[[#This Row],[SunRise]]</f>
        <v>43826.731547585739</v>
      </c>
      <c r="K310" s="4" t="str">
        <f>IF(Panchanga!$P310&gt;15,"K","S")&amp;ROUNDUP(MOD(Panchanga!$P310,15),0)&amp;" ("&amp;ROUND(Panchanga!$P310,2)&amp;")"</f>
        <v>S1 (0.83)</v>
      </c>
      <c r="L310" s="4">
        <f>IF(AND(Panchanga!$P310&lt;28.5,Panchanga!$P310&gt;0.49999),MOD((Panchanga!$P310-0.5)*2,7),MOD((Panchanga!$P310+30-28.5),30)*2+7)</f>
        <v>0.65799999999999992</v>
      </c>
      <c r="M310" s="4" t="str">
        <f>CHOOSE(ROUNDUP(Panchanga!$L310,0),"Bhava","Baalava","Kaulava","Taitula","Garija","Vanija","Vishti","Shakuni","Chatushapda","Naaga","Kimstugna")</f>
        <v>Bhava</v>
      </c>
      <c r="N310" s="11" t="str">
        <f>CHOOSE(ROUNDUP(Panchanga!$Q310,0),"viṣkambha","prīti","āyuṣmāna","saubhāgya","śobhana","atigaṇḍa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("&amp;Panchanga!$Q310&amp;")"</f>
        <v>dhruva  (11.37)</v>
      </c>
      <c r="O310" s="4">
        <f>IF(AND(Panchanga!$P310&lt;28.5,Panchanga!$P310&gt;0.49999),MOD((Panchanga!$P310-0.5)*2,7),MOD((Panchanga!$P310+30-28.5),30)*2+7)</f>
        <v>0.65799999999999992</v>
      </c>
      <c r="P310" s="4">
        <f>ROUNDUP(MOD(360+P[Moon]-P[Sun],360)/12,4)</f>
        <v>0.82899999999999996</v>
      </c>
      <c r="Q310" s="4">
        <f>ROUNDUP(MOD(P[Sun]+P[Moon],360)/13.333333333,2)</f>
        <v>11.37</v>
      </c>
      <c r="R310" s="4" t="str">
        <f>SIGN(U311-Panchanga!$U310)*INT(Panchanga!$U310/30+1)&amp;"Ma,"&amp;SIGN(V311-Panchanga!$V310)*INT(Panchanga!$V310/30+1)&amp;"Me,"&amp;SIGN(W311-Panchanga!$W310)*INT(Panchanga!$W310/30+1)&amp;"J, "&amp;SIGN(X311-Panchanga!$X310)*INT(Panchanga!$X310/30+1)&amp;"V,"&amp;SIGN(Y311-Panchanga!$Y310)*INT(Panchanga!$Y310/30+1)&amp;"S,"&amp;INT(Panchanga!$Z310/30+1)&amp;"R"</f>
        <v>8Ma,9Me,9J, 10V,9S,3R</v>
      </c>
      <c r="S310" s="4">
        <f t="shared" si="47"/>
        <v>250.82397762903605</v>
      </c>
      <c r="T310" s="4">
        <f t="shared" si="48"/>
        <v>260.7711299606633</v>
      </c>
      <c r="U310" s="4">
        <f>Planet(Panchanga!$E310,4)</f>
        <v>210.92333109945056</v>
      </c>
      <c r="V310" s="4">
        <f>Planet(Panchanga!$E310,2)</f>
        <v>242.50207898750602</v>
      </c>
      <c r="W310" s="4">
        <f>Planet(Panchanga!$E310,5)</f>
        <v>251.39603599855349</v>
      </c>
      <c r="X310" s="4">
        <f>Planet(Panchanga!$E310,3)</f>
        <v>284.19305381203412</v>
      </c>
      <c r="Y310" s="4">
        <f>Planet(Panchanga!$E310,6)</f>
        <v>266.6866869449554</v>
      </c>
      <c r="Z310" s="4">
        <f>Planet(Panchanga!$E310,10)</f>
        <v>74.369984510268864</v>
      </c>
      <c r="AA310" s="4" t="str">
        <f>TEXT(Panchanga!$C310+($C311-Panchanga!$C310)/ABS(IF($P311&lt;1,$P311+30,$P311)-Panchanga!$P310)*(ROUNDUP(Panchanga!$P310,0)-Panchanga!$P310),"hh:mm AM/PM")</f>
        <v>10:41 AM</v>
      </c>
      <c r="AB310" s="4"/>
    </row>
    <row r="311" spans="1:28" x14ac:dyDescent="0.2">
      <c r="A311" s="3">
        <f t="shared" si="50"/>
        <v>43827</v>
      </c>
      <c r="B311" s="3">
        <f t="shared" si="44"/>
        <v>43827.229166666664</v>
      </c>
      <c r="C311" s="15">
        <f t="shared" si="45"/>
        <v>43827.271990822315</v>
      </c>
      <c r="D311" s="15">
        <f t="shared" si="46"/>
        <v>43826.742790043398</v>
      </c>
      <c r="E311" s="17">
        <f>Panchanga!$C311-TimeZone/24</f>
        <v>43827.042824155651</v>
      </c>
      <c r="F311" s="18" t="str">
        <f>INT(P[Sun]/30)&amp;"s"&amp;ROUNDUP(MOD(P[Sun],30),2)</f>
        <v>8s11.85</v>
      </c>
      <c r="G311" s="18" t="str">
        <f>INT(P[Moon]/30)&amp;"s"&amp;ROUNDUP(MOD(P[Moon],30),2)</f>
        <v>9s3.6</v>
      </c>
      <c r="H311" s="14">
        <f t="shared" si="49"/>
        <v>43827.042824155651</v>
      </c>
      <c r="I311" s="4" t="str">
        <f>naks(P[[#This Row],[Moon]])</f>
        <v>Uttara Asadha</v>
      </c>
      <c r="J311" s="15">
        <f>(C312-P[[#This Row],[SunRise]])/(T312-P[[#This Row],[Moon]])*(13.3333333333333-MOD(P[[#This Row],[Moon]],13.333333333333))+P[[#This Row],[SunRise]]</f>
        <v>43827.782279372543</v>
      </c>
      <c r="K311" s="4" t="str">
        <f>IF(Panchanga!$P311&gt;15,"K","S")&amp;ROUNDUP(MOD(Panchanga!$P311,15),0)&amp;" ("&amp;ROUND(Panchanga!$P311,2)&amp;")"</f>
        <v>S2 (1.81)</v>
      </c>
      <c r="L311" s="4">
        <f>IF(AND(Panchanga!$P311&lt;28.5,Panchanga!$P311&gt;0.49999),MOD((Panchanga!$P311-0.5)*2,7),MOD((Panchanga!$P311+30-28.5),30)*2+7)</f>
        <v>2.6254</v>
      </c>
      <c r="M311" s="4" t="str">
        <f>CHOOSE(ROUNDUP(Panchanga!$L311,0),"Bhava","Baalava","Kaulava","Taitula","Garija","Vanija","Vishti","Shakuni","Chatushapda","Naaga","Kimstugna")</f>
        <v>Kaulava</v>
      </c>
      <c r="N311" s="11" t="str">
        <f>CHOOSE(ROUNDUP(Panchanga!$Q311,0),"viṣkambha","prīti","āyuṣmāna","saubhāgya","śobhana","atigaṇḍa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("&amp;Panchanga!$Q311&amp;")"</f>
        <v>vyāghāta (12.41)</v>
      </c>
      <c r="O311" s="4">
        <f>IF(AND(Panchanga!$P311&lt;28.5,Panchanga!$P311&gt;0.49999),MOD((Panchanga!$P311-0.5)*2,7),MOD((Panchanga!$P311+30-28.5),30)*2+7)</f>
        <v>2.6254</v>
      </c>
      <c r="P311" s="4">
        <f>ROUNDUP(MOD(360+P[Moon]-P[Sun],360)/12,4)</f>
        <v>1.8127</v>
      </c>
      <c r="Q311" s="4">
        <f>ROUNDUP(MOD(P[Sun]+P[Moon],360)/13.333333333,2)</f>
        <v>12.41</v>
      </c>
      <c r="R311" s="4" t="str">
        <f>SIGN(U312-Panchanga!$U311)*INT(Panchanga!$U311/30+1)&amp;"Ma,"&amp;SIGN(V312-Panchanga!$V311)*INT(Panchanga!$V311/30+1)&amp;"Me,"&amp;SIGN(W312-Panchanga!$W311)*INT(Panchanga!$W311/30+1)&amp;"J, "&amp;SIGN(X312-Panchanga!$X311)*INT(Panchanga!$X311/30+1)&amp;"V,"&amp;SIGN(Y312-Panchanga!$Y311)*INT(Panchanga!$Y311/30+1)&amp;"S,"&amp;INT(Panchanga!$Z311/30+1)&amp;"R"</f>
        <v>8Ma,9Me,9J, 10V,9S,3R</v>
      </c>
      <c r="S311" s="4">
        <f t="shared" si="47"/>
        <v>251.84368132400229</v>
      </c>
      <c r="T311" s="4">
        <f t="shared" si="48"/>
        <v>273.59519047347749</v>
      </c>
      <c r="U311" s="4">
        <f>Planet(Panchanga!$E311,4)</f>
        <v>211.59452703531116</v>
      </c>
      <c r="V311" s="4">
        <f>Planet(Panchanga!$E311,2)</f>
        <v>244.05702764958434</v>
      </c>
      <c r="W311" s="4">
        <f>Planet(Panchanga!$E311,5)</f>
        <v>251.62599125169845</v>
      </c>
      <c r="X311" s="4">
        <f>Planet(Panchanga!$E311,3)</f>
        <v>285.42210704195753</v>
      </c>
      <c r="Y311" s="4">
        <f>Planet(Panchanga!$E311,6)</f>
        <v>266.80238677330448</v>
      </c>
      <c r="Z311" s="4">
        <f>Planet(Panchanga!$E311,10)</f>
        <v>74.316976047595574</v>
      </c>
      <c r="AA311" s="4" t="str">
        <f>TEXT(Panchanga!$C311+($C312-Panchanga!$C311)/ABS(IF($P312&lt;1,$P312+30,$P312)-Panchanga!$P311)*(ROUNDUP(Panchanga!$P311,0)-Panchanga!$P311),"hh:mm AM/PM")</f>
        <v>11:12 AM</v>
      </c>
      <c r="AB311" s="4"/>
    </row>
    <row r="312" spans="1:28" x14ac:dyDescent="0.2">
      <c r="A312" s="3">
        <f t="shared" si="50"/>
        <v>43828</v>
      </c>
      <c r="B312" s="3">
        <f t="shared" si="44"/>
        <v>43828.229166666664</v>
      </c>
      <c r="C312" s="15">
        <f t="shared" si="45"/>
        <v>43828.272293613911</v>
      </c>
      <c r="D312" s="15">
        <f t="shared" si="46"/>
        <v>43827.743167857683</v>
      </c>
      <c r="E312" s="17">
        <f>Panchanga!$C312-TimeZone/24</f>
        <v>43828.043126947246</v>
      </c>
      <c r="F312" s="18" t="str">
        <f>INT(P[Sun]/30)&amp;"s"&amp;ROUNDUP(MOD(P[Sun],30),2)</f>
        <v>8s12.87</v>
      </c>
      <c r="G312" s="18" t="str">
        <f>INT(P[Moon]/30)&amp;"s"&amp;ROUNDUP(MOD(P[Moon],30),2)</f>
        <v>9s16.16</v>
      </c>
      <c r="H312" s="14">
        <f t="shared" si="49"/>
        <v>43828.043126947246</v>
      </c>
      <c r="I312" s="4" t="str">
        <f>naks(P[[#This Row],[Moon]])</f>
        <v>Sravana</v>
      </c>
      <c r="J312" s="15">
        <f>(C313-P[[#This Row],[SunRise]])/(T313-P[[#This Row],[Moon]])*(13.3333333333333-MOD(P[[#This Row],[Moon]],13.333333333333))+P[[#This Row],[SunRise]]</f>
        <v>43828.855917282453</v>
      </c>
      <c r="K312" s="4" t="str">
        <f>IF(Panchanga!$P312&gt;15,"K","S")&amp;ROUNDUP(MOD(Panchanga!$P312,15),0)&amp;" ("&amp;ROUND(Panchanga!$P312,2)&amp;")"</f>
        <v>S3 (2.77)</v>
      </c>
      <c r="L312" s="4">
        <f>IF(AND(Panchanga!$P312&lt;28.5,Panchanga!$P312&gt;0.49999),MOD((Panchanga!$P312-0.5)*2,7),MOD((Panchanga!$P312+30-28.5),30)*2+7)</f>
        <v>4.548</v>
      </c>
      <c r="M312" s="4" t="str">
        <f>CHOOSE(ROUNDUP(Panchanga!$L312,0),"Bhava","Baalava","Kaulava","Taitula","Garija","Vanija","Vishti","Shakuni","Chatushapda","Naaga","Kimstugna")</f>
        <v>Garija</v>
      </c>
      <c r="N312" s="11" t="str">
        <f>CHOOSE(ROUNDUP(Panchanga!$Q312,0),"viṣkambha","prīti","āyuṣmāna","saubhāgya","śobhana","atigaṇḍa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("&amp;Panchanga!$Q312&amp;")"</f>
        <v>harṣaṇa (13.43)</v>
      </c>
      <c r="O312" s="4">
        <f>IF(AND(Panchanga!$P312&lt;28.5,Panchanga!$P312&gt;0.49999),MOD((Panchanga!$P312-0.5)*2,7),MOD((Panchanga!$P312+30-28.5),30)*2+7)</f>
        <v>4.548</v>
      </c>
      <c r="P312" s="4">
        <f>ROUNDUP(MOD(360+P[Moon]-P[Sun],360)/12,4)</f>
        <v>2.774</v>
      </c>
      <c r="Q312" s="4">
        <f>ROUNDUP(MOD(P[Sun]+P[Moon],360)/13.333333333,2)</f>
        <v>13.43</v>
      </c>
      <c r="R312" s="4" t="str">
        <f>SIGN(U313-Panchanga!$U312)*INT(Panchanga!$U312/30+1)&amp;"Ma,"&amp;SIGN(V313-Panchanga!$V312)*INT(Panchanga!$V312/30+1)&amp;"Me,"&amp;SIGN(W313-Panchanga!$W312)*INT(Panchanga!$W312/30+1)&amp;"J, "&amp;SIGN(X313-Panchanga!$X312)*INT(Panchanga!$X312/30+1)&amp;"V,"&amp;SIGN(Y313-Panchanga!$Y312)*INT(Panchanga!$Y312/30+1)&amp;"S,"&amp;INT(Panchanga!$Z312/30+1)&amp;"R"</f>
        <v>8Ma,9Me,9J, 10V,9S,3R</v>
      </c>
      <c r="S312" s="4">
        <f t="shared" si="47"/>
        <v>252.86342353216017</v>
      </c>
      <c r="T312" s="4">
        <f t="shared" si="48"/>
        <v>286.15033960657968</v>
      </c>
      <c r="U312" s="4">
        <f>Planet(Panchanga!$E312,4)</f>
        <v>212.26603523340319</v>
      </c>
      <c r="V312" s="4">
        <f>Planet(Panchanga!$E312,2)</f>
        <v>245.61622105971972</v>
      </c>
      <c r="W312" s="4">
        <f>Planet(Panchanga!$E312,5)</f>
        <v>251.85690015694186</v>
      </c>
      <c r="X312" s="4">
        <f>Planet(Panchanga!$E312,3)</f>
        <v>286.65053920646102</v>
      </c>
      <c r="Y312" s="4">
        <f>Planet(Panchanga!$E312,6)</f>
        <v>266.91840860121931</v>
      </c>
      <c r="Z312" s="4">
        <f>Planet(Panchanga!$E312,10)</f>
        <v>74.263968006054171</v>
      </c>
      <c r="AA312" s="4" t="str">
        <f>TEXT(Panchanga!$C312+($C313-Panchanga!$C312)/ABS(IF($P313&lt;1,$P313+30,$P313)-Panchanga!$P312)*(ROUNDUP(Panchanga!$P312,0)-Panchanga!$P312),"hh:mm AM/PM")</f>
        <v>12:18 PM</v>
      </c>
      <c r="AB312" s="4"/>
    </row>
    <row r="313" spans="1:28" x14ac:dyDescent="0.2">
      <c r="A313" s="3">
        <f t="shared" si="50"/>
        <v>43829</v>
      </c>
      <c r="B313" s="3">
        <f t="shared" si="44"/>
        <v>43829.229166666664</v>
      </c>
      <c r="C313" s="15">
        <f t="shared" si="45"/>
        <v>43829.272587981228</v>
      </c>
      <c r="D313" s="15">
        <f t="shared" si="46"/>
        <v>43828.7435494862</v>
      </c>
      <c r="E313" s="17">
        <f>Panchanga!$C313-TimeZone/24</f>
        <v>43829.043421314564</v>
      </c>
      <c r="F313" s="18" t="str">
        <f>INT(P[Sun]/30)&amp;"s"&amp;ROUNDUP(MOD(P[Sun],30),2)</f>
        <v>8s13.89</v>
      </c>
      <c r="G313" s="18" t="str">
        <f>INT(P[Moon]/30)&amp;"s"&amp;ROUNDUP(MOD(P[Moon],30),2)</f>
        <v>9s28.47</v>
      </c>
      <c r="H313" s="14">
        <f t="shared" si="49"/>
        <v>43829.043421314564</v>
      </c>
      <c r="I313" s="4" t="str">
        <f>naks(P[[#This Row],[Moon]])</f>
        <v>Dhanistha</v>
      </c>
      <c r="J313" s="15">
        <f>(C314-P[[#This Row],[SunRise]])/(T314-P[[#This Row],[Moon]])*(13.3333333333333-MOD(P[[#This Row],[Moon]],13.333333333333))+P[[#This Row],[SunRise]]</f>
        <v>43829.950398242996</v>
      </c>
      <c r="K313" s="4" t="str">
        <f>IF(Panchanga!$P313&gt;15,"K","S")&amp;ROUNDUP(MOD(Panchanga!$P313,15),0)&amp;" ("&amp;ROUND(Panchanga!$P313,2)&amp;")"</f>
        <v>S4 (3.71)</v>
      </c>
      <c r="L313" s="4">
        <f>IF(AND(Panchanga!$P313&lt;28.5,Panchanga!$P313&gt;0.49999),MOD((Panchanga!$P313-0.5)*2,7),MOD((Panchanga!$P313+30-28.5),30)*2+7)</f>
        <v>6.4298000000000002</v>
      </c>
      <c r="M313" s="4" t="str">
        <f>CHOOSE(ROUNDUP(Panchanga!$L313,0),"Bhava","Baalava","Kaulava","Taitula","Garija","Vanija","Vishti","Shakuni","Chatushapda","Naaga","Kimstugna")</f>
        <v>Vishti</v>
      </c>
      <c r="N313" s="11" t="str">
        <f>CHOOSE(ROUNDUP(Panchanga!$Q313,0),"viṣkambha","prīti","āyuṣmāna","saubhāgya","śobhana","atigaṇḍa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("&amp;Panchanga!$Q313&amp;")"</f>
        <v>vajra (14.43)</v>
      </c>
      <c r="O313" s="4">
        <f>IF(AND(Panchanga!$P313&lt;28.5,Panchanga!$P313&gt;0.49999),MOD((Panchanga!$P313-0.5)*2,7),MOD((Panchanga!$P313+30-28.5),30)*2+7)</f>
        <v>6.4298000000000002</v>
      </c>
      <c r="P313" s="4">
        <f>ROUNDUP(MOD(360+P[Moon]-P[Sun],360)/12,4)</f>
        <v>3.7149000000000001</v>
      </c>
      <c r="Q313" s="4">
        <f>ROUNDUP(MOD(P[Sun]+P[Moon],360)/13.333333333,2)</f>
        <v>14.43</v>
      </c>
      <c r="R313" s="4" t="str">
        <f>SIGN(U314-Panchanga!$U313)*INT(Panchanga!$U313/30+1)&amp;"Ma,"&amp;SIGN(V314-Panchanga!$V313)*INT(Panchanga!$V313/30+1)&amp;"Me,"&amp;SIGN(W314-Panchanga!$W313)*INT(Panchanga!$W313/30+1)&amp;"J, "&amp;SIGN(X314-Panchanga!$X313)*INT(Panchanga!$X313/30+1)&amp;"V,"&amp;SIGN(Y314-Panchanga!$Y313)*INT(Panchanga!$Y313/30+1)&amp;"S,"&amp;INT(Panchanga!$Z313/30+1)&amp;"R"</f>
        <v>8Ma,9Me,9J, 10V,9S,3R</v>
      </c>
      <c r="S313" s="4">
        <f t="shared" si="47"/>
        <v>253.88318017337983</v>
      </c>
      <c r="T313" s="4">
        <f t="shared" si="48"/>
        <v>298.46154038987896</v>
      </c>
      <c r="U313" s="4">
        <f>Planet(Panchanga!$E313,4)</f>
        <v>212.93785250350575</v>
      </c>
      <c r="V313" s="4">
        <f>Planet(Panchanga!$E313,2)</f>
        <v>247.17982338521966</v>
      </c>
      <c r="W313" s="4">
        <f>Planet(Panchanga!$E313,5)</f>
        <v>252.08753035274046</v>
      </c>
      <c r="X313" s="4">
        <f>Planet(Panchanga!$E313,3)</f>
        <v>287.87831674187339</v>
      </c>
      <c r="Y313" s="4">
        <f>Planet(Panchanga!$E313,6)</f>
        <v>267.03473140397199</v>
      </c>
      <c r="Z313" s="4">
        <f>Planet(Panchanga!$E313,10)</f>
        <v>74.210960410928465</v>
      </c>
      <c r="AA313" s="4" t="str">
        <f>TEXT(Panchanga!$C313+($C314-Panchanga!$C313)/ABS(IF($P314&lt;1,$P314+30,$P314)-Panchanga!$P313)*(ROUNDUP(Panchanga!$P313,0)-Panchanga!$P313),"hh:mm AM/PM")</f>
        <v>01:56 PM</v>
      </c>
      <c r="AB313" s="4"/>
    </row>
    <row r="314" spans="1:28" x14ac:dyDescent="0.2">
      <c r="A314" s="3">
        <f t="shared" si="50"/>
        <v>43830</v>
      </c>
      <c r="B314" s="3">
        <f t="shared" si="44"/>
        <v>43830.229166666664</v>
      </c>
      <c r="C314" s="15">
        <f t="shared" si="45"/>
        <v>43830.272873606686</v>
      </c>
      <c r="D314" s="15">
        <f t="shared" si="46"/>
        <v>43829.743934611834</v>
      </c>
      <c r="E314" s="17">
        <f>Panchanga!$C314-TimeZone/24</f>
        <v>43830.043706940021</v>
      </c>
      <c r="F314" s="18" t="str">
        <f>INT(P[Sun]/30)&amp;"s"&amp;ROUNDUP(MOD(P[Sun],30),2)</f>
        <v>8s14.91</v>
      </c>
      <c r="G314" s="18" t="str">
        <f>INT(P[Moon]/30)&amp;"s"&amp;ROUNDUP(MOD(P[Moon],30),2)</f>
        <v>10s10.58</v>
      </c>
      <c r="H314" s="14">
        <f t="shared" si="49"/>
        <v>43830.043706940021</v>
      </c>
      <c r="I314" s="4" t="str">
        <f>naks(P[[#This Row],[Moon]])</f>
        <v>Satabhisaj</v>
      </c>
      <c r="J314" s="15">
        <f>(C315-P[[#This Row],[SunRise]])/(T315-P[[#This Row],[Moon]])*(13.3333333333333-MOD(P[[#This Row],[Moon]],13.333333333333))+P[[#This Row],[SunRise]]</f>
        <v>43831.061385247107</v>
      </c>
      <c r="K314" s="4" t="str">
        <f>IF(Panchanga!$P314&gt;15,"K","S")&amp;ROUNDUP(MOD(Panchanga!$P314,15),0)&amp;" ("&amp;ROUND(Panchanga!$P314,2)&amp;")"</f>
        <v>S5 (4.64)</v>
      </c>
      <c r="L314" s="4">
        <f>IF(AND(Panchanga!$P314&lt;28.5,Panchanga!$P314&gt;0.49999),MOD((Panchanga!$P314-0.5)*2,7),MOD((Panchanga!$P314+30-28.5),30)*2+7)</f>
        <v>1.2779999999999987</v>
      </c>
      <c r="M314" s="4" t="str">
        <f>CHOOSE(ROUNDUP(Panchanga!$L314,0),"Bhava","Baalava","Kaulava","Taitula","Garija","Vanija","Vishti","Shakuni","Chatushapda","Naaga","Kimstugna")</f>
        <v>Baalava</v>
      </c>
      <c r="N314" s="11" t="str">
        <f>CHOOSE(ROUNDUP(Panchanga!$Q314,0),"viṣkambha","prīti","āyuṣmāna","saubhāgya","śobhana","atigaṇḍa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("&amp;Panchanga!$Q314&amp;")"</f>
        <v>siddhi (15.42)</v>
      </c>
      <c r="O314" s="4">
        <f>IF(AND(Panchanga!$P314&lt;28.5,Panchanga!$P314&gt;0.49999),MOD((Panchanga!$P314-0.5)*2,7),MOD((Panchanga!$P314+30-28.5),30)*2+7)</f>
        <v>1.2779999999999987</v>
      </c>
      <c r="P314" s="4">
        <f>ROUNDUP(MOD(360+P[Moon]-P[Sun],360)/12,4)</f>
        <v>4.6389999999999993</v>
      </c>
      <c r="Q314" s="4">
        <f>ROUNDUP(MOD(P[Sun]+P[Moon],360)/13.333333333,2)</f>
        <v>15.42</v>
      </c>
      <c r="R314" s="4" t="str">
        <f>SIGN(U315-Panchanga!$U314)*INT(Panchanga!$U314/30+1)&amp;"Ma,"&amp;SIGN(V315-Panchanga!$V314)*INT(Panchanga!$V314/30+1)&amp;"Me,"&amp;SIGN(W315-Panchanga!$W314)*INT(Panchanga!$W314/30+1)&amp;"J, "&amp;SIGN(X315-Panchanga!$X314)*INT(Panchanga!$X314/30+1)&amp;"V,"&amp;SIGN(Y315-Panchanga!$Y314)*INT(Panchanga!$Y314/30+1)&amp;"S,"&amp;INT(Panchanga!$Z314/30+1)&amp;"R"</f>
        <v>8Ma,9Me,9J, 10V,9S,3R</v>
      </c>
      <c r="S314" s="4">
        <f t="shared" si="47"/>
        <v>254.90292962124312</v>
      </c>
      <c r="T314" s="4">
        <f t="shared" si="48"/>
        <v>310.57034182389611</v>
      </c>
      <c r="U314" s="4">
        <f>Planet(Panchanga!$E314,4)</f>
        <v>213.60997713501095</v>
      </c>
      <c r="V314" s="4">
        <f>Planet(Panchanga!$E314,2)</f>
        <v>248.74802209657526</v>
      </c>
      <c r="W314" s="4">
        <f>Planet(Panchanga!$E314,5)</f>
        <v>252.31809952599986</v>
      </c>
      <c r="X314" s="4">
        <f>Planet(Panchanga!$E314,3)</f>
        <v>289.10540630598882</v>
      </c>
      <c r="Y314" s="4">
        <f>Planet(Panchanga!$E314,6)</f>
        <v>267.15133436997115</v>
      </c>
      <c r="Z314" s="4">
        <f>Planet(Panchanga!$E314,10)</f>
        <v>74.157953279069019</v>
      </c>
      <c r="AA314" s="4" t="str">
        <f>TEXT(Panchanga!$C314+($C315-Panchanga!$C314)/ABS(IF($P315&lt;1,$P315+30,$P315)-Panchanga!$P314)*(ROUNDUP(Panchanga!$P314,0)-Panchanga!$P314),"hh:mm AM/PM")</f>
        <v>04:03 PM</v>
      </c>
      <c r="AB314" s="4"/>
    </row>
    <row r="315" spans="1:28" x14ac:dyDescent="0.2">
      <c r="A315" s="3">
        <f t="shared" si="50"/>
        <v>43831</v>
      </c>
      <c r="B315" s="3">
        <f t="shared" si="44"/>
        <v>43831.229166666664</v>
      </c>
      <c r="C315" s="15">
        <f t="shared" si="45"/>
        <v>43831.273150013447</v>
      </c>
      <c r="D315" s="15">
        <f t="shared" si="46"/>
        <v>43830.744322439234</v>
      </c>
      <c r="E315" s="17">
        <f>Panchanga!$C315-TimeZone/24</f>
        <v>43831.043983346783</v>
      </c>
      <c r="F315" s="18" t="str">
        <f>INT(P[Sun]/30)&amp;"s"&amp;ROUNDUP(MOD(P[Sun],30),2)</f>
        <v>8s15.93</v>
      </c>
      <c r="G315" s="18" t="str">
        <f>INT(P[Moon]/30)&amp;"s"&amp;ROUNDUP(MOD(P[Moon],30),2)</f>
        <v>10s22.54</v>
      </c>
      <c r="H315" s="14">
        <f t="shared" si="49"/>
        <v>43831.043983346783</v>
      </c>
      <c r="I315" s="4" t="str">
        <f>naks(P[[#This Row],[Moon]])</f>
        <v>Purva Bhadrapada</v>
      </c>
      <c r="J315" s="15">
        <f>(C316-P[[#This Row],[SunRise]])/(T316-P[[#This Row],[Moon]])*(13.3333333333333-MOD(P[[#This Row],[Moon]],13.333333333333))+P[[#This Row],[SunRise]]</f>
        <v>43832.182387698063</v>
      </c>
      <c r="K315" s="4" t="str">
        <f>IF(Panchanga!$P315&gt;15,"K","S")&amp;ROUNDUP(MOD(Panchanga!$P315,15),0)&amp;" ("&amp;ROUND(Panchanga!$P315,2)&amp;")"</f>
        <v>S6 (5.55)</v>
      </c>
      <c r="L315" s="4">
        <f>IF(AND(Panchanga!$P315&lt;28.5,Panchanga!$P315&gt;0.49999),MOD((Panchanga!$P315-0.5)*2,7),MOD((Panchanga!$P315+30-28.5),30)*2+7)</f>
        <v>3.101799999999999</v>
      </c>
      <c r="M315" s="4" t="str">
        <f>CHOOSE(ROUNDUP(Panchanga!$L315,0),"Bhava","Baalava","Kaulava","Taitula","Garija","Vanija","Vishti","Shakuni","Chatushapda","Naaga","Kimstugna")</f>
        <v>Taitula</v>
      </c>
      <c r="N315" s="11" t="str">
        <f>CHOOSE(ROUNDUP(Panchanga!$Q315,0),"viṣkambha","prīti","āyuṣmāna","saubhāgya","śobhana","atigaṇḍa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("&amp;Panchanga!$Q315&amp;")"</f>
        <v>vyatipāta (16.39)</v>
      </c>
      <c r="O315" s="4">
        <f>IF(AND(Panchanga!$P315&lt;28.5,Panchanga!$P315&gt;0.49999),MOD((Panchanga!$P315-0.5)*2,7),MOD((Panchanga!$P315+30-28.5),30)*2+7)</f>
        <v>3.101799999999999</v>
      </c>
      <c r="P315" s="4">
        <f>ROUNDUP(MOD(360+P[Moon]-P[Sun],360)/12,4)</f>
        <v>5.5508999999999995</v>
      </c>
      <c r="Q315" s="4">
        <f>ROUNDUP(MOD(P[Sun]+P[Moon],360)/13.333333333,2)</f>
        <v>16.39</v>
      </c>
      <c r="R315" s="4" t="str">
        <f>SIGN(U316-Panchanga!$U315)*INT(Panchanga!$U315/30+1)&amp;"Ma,"&amp;SIGN(V316-Panchanga!$V315)*INT(Panchanga!$V315/30+1)&amp;"Me,"&amp;SIGN(W316-Panchanga!$W315)*INT(Panchanga!$W315/30+1)&amp;"J, "&amp;SIGN(X316-Panchanga!$X315)*INT(Panchanga!$X315/30+1)&amp;"V,"&amp;SIGN(Y316-Panchanga!$Y315)*INT(Panchanga!$Y315/30+1)&amp;"S,"&amp;INT(Panchanga!$Z315/30+1)&amp;"R"</f>
        <v>8Ma,9Me,9J, 10V,9S,3R</v>
      </c>
      <c r="S315" s="4">
        <f t="shared" si="47"/>
        <v>255.92265232121548</v>
      </c>
      <c r="T315" s="4">
        <f t="shared" si="48"/>
        <v>322.53245387628999</v>
      </c>
      <c r="U315" s="4">
        <f>Planet(Panchanga!$E315,4)</f>
        <v>214.28240852684979</v>
      </c>
      <c r="V315" s="4">
        <f>Planet(Panchanga!$E315,2)</f>
        <v>250.3210235929358</v>
      </c>
      <c r="W315" s="4">
        <f>Planet(Panchanga!$E315,5)</f>
        <v>252.54860356135845</v>
      </c>
      <c r="X315" s="4">
        <f>Planet(Panchanga!$E315,3)</f>
        <v>290.33177454017971</v>
      </c>
      <c r="Y315" s="4">
        <f>Planet(Panchanga!$E315,6)</f>
        <v>267.26819688874474</v>
      </c>
      <c r="Z315" s="4">
        <f>Planet(Panchanga!$E315,10)</f>
        <v>74.104946635710121</v>
      </c>
      <c r="AA315" s="4" t="str">
        <f>TEXT(Panchanga!$C315+($C316-Panchanga!$C315)/ABS(IF($P316&lt;1,$P316+30,$P316)-Panchanga!$P315)*(ROUNDUP(Panchanga!$P315,0)-Panchanga!$P315),"hh:mm AM/PM")</f>
        <v>06:27 PM</v>
      </c>
      <c r="AB315" s="4"/>
    </row>
    <row r="316" spans="1:28" x14ac:dyDescent="0.2">
      <c r="A316" s="3">
        <f t="shared" si="50"/>
        <v>43832</v>
      </c>
      <c r="B316" s="3">
        <f t="shared" si="44"/>
        <v>43832.229166666664</v>
      </c>
      <c r="C316" s="15">
        <f t="shared" si="45"/>
        <v>43832.273416883465</v>
      </c>
      <c r="D316" s="15">
        <f t="shared" si="46"/>
        <v>43831.744712810076</v>
      </c>
      <c r="E316" s="17">
        <f>Panchanga!$C316-TimeZone/24</f>
        <v>43832.044250216801</v>
      </c>
      <c r="F316" s="18" t="str">
        <f>INT(P[Sun]/30)&amp;"s"&amp;ROUNDUP(MOD(P[Sun],30),2)</f>
        <v>8s16.95</v>
      </c>
      <c r="G316" s="18" t="str">
        <f>INT(P[Moon]/30)&amp;"s"&amp;ROUNDUP(MOD(P[Moon],30),2)</f>
        <v>11s4.42</v>
      </c>
      <c r="H316" s="14">
        <f t="shared" si="49"/>
        <v>43832.044250216801</v>
      </c>
      <c r="I316" s="4" t="str">
        <f>naks(P[[#This Row],[Moon]])</f>
        <v>Uttara Bhadrapada</v>
      </c>
      <c r="J316" s="15">
        <f>(C317-P[[#This Row],[SunRise]])/(T317-P[[#This Row],[Moon]])*(13.3333333333333-MOD(P[[#This Row],[Moon]],13.333333333333))+P[[#This Row],[SunRise]]</f>
        <v>43833.305268773467</v>
      </c>
      <c r="K316" s="4" t="str">
        <f>IF(Panchanga!$P316&gt;15,"K","S")&amp;ROUNDUP(MOD(Panchanga!$P316,15),0)&amp;" ("&amp;ROUND(Panchanga!$P316,2)&amp;")"</f>
        <v>S7 (6.46)</v>
      </c>
      <c r="L316" s="4">
        <f>IF(AND(Panchanga!$P316&lt;28.5,Panchanga!$P316&gt;0.49999),MOD((Panchanga!$P316-0.5)*2,7),MOD((Panchanga!$P316+30-28.5),30)*2+7)</f>
        <v>4.9122000000000003</v>
      </c>
      <c r="M316" s="4" t="str">
        <f>CHOOSE(ROUNDUP(Panchanga!$L316,0),"Bhava","Baalava","Kaulava","Taitula","Garija","Vanija","Vishti","Shakuni","Chatushapda","Naaga","Kimstugna")</f>
        <v>Garija</v>
      </c>
      <c r="N316" s="11" t="str">
        <f>CHOOSE(ROUNDUP(Panchanga!$Q316,0),"viṣkambha","prīti","āyuṣmāna","saubhāgya","śobhana","atigaṇḍa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("&amp;Panchanga!$Q316&amp;")"</f>
        <v>varīyas (17.36)</v>
      </c>
      <c r="O316" s="4">
        <f>IF(AND(Panchanga!$P316&lt;28.5,Panchanga!$P316&gt;0.49999),MOD((Panchanga!$P316-0.5)*2,7),MOD((Panchanga!$P316+30-28.5),30)*2+7)</f>
        <v>4.9122000000000003</v>
      </c>
      <c r="P316" s="4">
        <f>ROUNDUP(MOD(360+P[Moon]-P[Sun],360)/12,4)</f>
        <v>6.4561000000000002</v>
      </c>
      <c r="Q316" s="4">
        <f>ROUNDUP(MOD(P[Sun]+P[Moon],360)/13.333333333,2)</f>
        <v>17.360000000000003</v>
      </c>
      <c r="R316" s="4" t="str">
        <f>SIGN(U317-Panchanga!$U316)*INT(Panchanga!$U316/30+1)&amp;"Ma,"&amp;SIGN(V317-Panchanga!$V316)*INT(Panchanga!$V316/30+1)&amp;"Me,"&amp;SIGN(W317-Panchanga!$W316)*INT(Panchanga!$W316/30+1)&amp;"J, "&amp;SIGN(X317-Panchanga!$X316)*INT(Panchanga!$X316/30+1)&amp;"V,"&amp;SIGN(Y317-Panchanga!$Y316)*INT(Panchanga!$Y316/30+1)&amp;"S,"&amp;INT(Panchanga!$Z316/30+1)&amp;"R"</f>
        <v>8Ma,9Me,9J, 10V,9S,3R</v>
      </c>
      <c r="S316" s="4">
        <f t="shared" si="47"/>
        <v>256.94233103553853</v>
      </c>
      <c r="T316" s="4">
        <f t="shared" si="48"/>
        <v>334.41467353209623</v>
      </c>
      <c r="U316" s="4">
        <f>Planet(Panchanga!$E316,4)</f>
        <v>214.95514728525347</v>
      </c>
      <c r="V316" s="4">
        <f>Planet(Panchanga!$E316,2)</f>
        <v>251.89905007593865</v>
      </c>
      <c r="W316" s="4">
        <f>Planet(Panchanga!$E316,5)</f>
        <v>252.77902361981478</v>
      </c>
      <c r="X316" s="4">
        <f>Planet(Panchanga!$E316,3)</f>
        <v>291.55738852914072</v>
      </c>
      <c r="Y316" s="4">
        <f>Planet(Panchanga!$E316,6)</f>
        <v>267.38529860405697</v>
      </c>
      <c r="Z316" s="4">
        <f>Planet(Panchanga!$E316,10)</f>
        <v>74.051940497735316</v>
      </c>
      <c r="AA316" s="4" t="str">
        <f>TEXT(Panchanga!$C316+($C317-Panchanga!$C316)/ABS(IF($P317&lt;1,$P317+30,$P317)-Panchanga!$P316)*(ROUNDUP(Panchanga!$P316,0)-Panchanga!$P316),"hh:mm AM/PM")</f>
        <v>08:59 PM</v>
      </c>
      <c r="AB316" s="4"/>
    </row>
    <row r="317" spans="1:28" x14ac:dyDescent="0.2">
      <c r="A317" s="3">
        <f t="shared" si="50"/>
        <v>43833</v>
      </c>
      <c r="B317" s="3">
        <f t="shared" si="44"/>
        <v>43833.229166666664</v>
      </c>
      <c r="C317" s="15">
        <f t="shared" si="45"/>
        <v>43833.273674057484</v>
      </c>
      <c r="D317" s="15">
        <f t="shared" si="46"/>
        <v>43832.745105247057</v>
      </c>
      <c r="E317" s="17">
        <f>Panchanga!$C317-TimeZone/24</f>
        <v>43833.044507390819</v>
      </c>
      <c r="F317" s="18" t="str">
        <f>INT(P[Sun]/30)&amp;"s"&amp;ROUNDUP(MOD(P[Sun],30),2)</f>
        <v>8s17.97</v>
      </c>
      <c r="G317" s="18" t="str">
        <f>INT(P[Moon]/30)&amp;"s"&amp;ROUNDUP(MOD(P[Moon],30),2)</f>
        <v>11s16.3</v>
      </c>
      <c r="H317" s="14">
        <f t="shared" si="49"/>
        <v>43833.044507390819</v>
      </c>
      <c r="I317" s="4" t="str">
        <f>naks(P[[#This Row],[Moon]])</f>
        <v>Uttara Bhadrapada</v>
      </c>
      <c r="J317" s="15">
        <f>(C318-P[[#This Row],[SunRise]])/(T318-P[[#This Row],[Moon]])*(13.3333333333333-MOD(P[[#This Row],[Moon]],13.333333333333))+P[[#This Row],[SunRise]]</f>
        <v>43833.305074821401</v>
      </c>
      <c r="K317" s="4" t="str">
        <f>IF(Panchanga!$P317&gt;15,"K","S")&amp;ROUNDUP(MOD(Panchanga!$P317,15),0)&amp;" ("&amp;ROUND(Panchanga!$P317,2)&amp;")"</f>
        <v>S8 (7.36)</v>
      </c>
      <c r="L317" s="4">
        <f>IF(AND(Panchanga!$P317&lt;28.5,Panchanga!$P317&gt;0.49999),MOD((Panchanga!$P317-0.5)*2,7),MOD((Panchanga!$P317+30-28.5),30)*2+7)</f>
        <v>6.7215999999999987</v>
      </c>
      <c r="M317" s="4" t="str">
        <f>CHOOSE(ROUNDUP(Panchanga!$L317,0),"Bhava","Baalava","Kaulava","Taitula","Garija","Vanija","Vishti","Shakuni","Chatushapda","Naaga","Kimstugna")</f>
        <v>Vishti</v>
      </c>
      <c r="N317" s="11" t="str">
        <f>CHOOSE(ROUNDUP(Panchanga!$Q317,0),"viṣkambha","prīti","āyuṣmāna","saubhāgya","śobhana","atigaṇḍa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("&amp;Panchanga!$Q317&amp;")"</f>
        <v>parigha (18.32)</v>
      </c>
      <c r="O317" s="4">
        <f>IF(AND(Panchanga!$P317&lt;28.5,Panchanga!$P317&gt;0.49999),MOD((Panchanga!$P317-0.5)*2,7),MOD((Panchanga!$P317+30-28.5),30)*2+7)</f>
        <v>6.7215999999999987</v>
      </c>
      <c r="P317" s="4">
        <f>ROUNDUP(MOD(360+P[Moon]-P[Sun],360)/12,4)</f>
        <v>7.3607999999999993</v>
      </c>
      <c r="Q317" s="4">
        <f>ROUNDUP(MOD(P[Sun]+P[Moon],360)/13.333333333,2)</f>
        <v>18.32</v>
      </c>
      <c r="R317" s="4" t="str">
        <f>SIGN(U318-Panchanga!$U317)*INT(Panchanga!$U317/30+1)&amp;"Ma,"&amp;SIGN(V318-Panchanga!$V317)*INT(Panchanga!$V317/30+1)&amp;"Me,"&amp;SIGN(W318-Panchanga!$W317)*INT(Panchanga!$W317/30+1)&amp;"J, "&amp;SIGN(X318-Panchanga!$X317)*INT(Panchanga!$X317/30+1)&amp;"V,"&amp;SIGN(Y318-Panchanga!$Y317)*INT(Panchanga!$Y317/30+1)&amp;"S,"&amp;INT(Panchanga!$Z317/30+1)&amp;"R"</f>
        <v>8Ma,9Me,9J, 10V,9S,3R</v>
      </c>
      <c r="S317" s="4">
        <f t="shared" si="47"/>
        <v>257.96195081095891</v>
      </c>
      <c r="T317" s="4">
        <f t="shared" si="48"/>
        <v>346.29151762919827</v>
      </c>
      <c r="U317" s="4">
        <f>Planet(Panchanga!$E317,4)</f>
        <v>215.62819515575339</v>
      </c>
      <c r="V317" s="4">
        <f>Planet(Panchanga!$E317,2)</f>
        <v>253.48233616706597</v>
      </c>
      <c r="W317" s="4">
        <f>Planet(Panchanga!$E317,5)</f>
        <v>253.0093381977519</v>
      </c>
      <c r="X317" s="4">
        <f>Planet(Panchanga!$E317,3)</f>
        <v>292.78221585146542</v>
      </c>
      <c r="Y317" s="4">
        <f>Planet(Panchanga!$E317,6)</f>
        <v>267.50261942856014</v>
      </c>
      <c r="Z317" s="4">
        <f>Planet(Panchanga!$E317,10)</f>
        <v>73.99893487359472</v>
      </c>
      <c r="AA317" s="4" t="str">
        <f>TEXT(Panchanga!$C317+($C318-Panchanga!$C317)/ABS(IF($P318&lt;1,$P318+30,$P318)-Panchanga!$P317)*(ROUNDUP(Panchanga!$P317,0)-Panchanga!$P317),"hh:mm AM/PM")</f>
        <v>11:24 PM</v>
      </c>
      <c r="AB317" s="4"/>
    </row>
    <row r="318" spans="1:28" x14ac:dyDescent="0.2">
      <c r="A318" s="3">
        <f t="shared" si="50"/>
        <v>43834</v>
      </c>
      <c r="B318" s="3">
        <f t="shared" si="44"/>
        <v>43834.229166666664</v>
      </c>
      <c r="C318" s="15">
        <f t="shared" si="45"/>
        <v>43834.273921217922</v>
      </c>
      <c r="D318" s="15">
        <f t="shared" si="46"/>
        <v>43833.74549927334</v>
      </c>
      <c r="E318" s="17">
        <f>Panchanga!$C318-TimeZone/24</f>
        <v>43834.044754551258</v>
      </c>
      <c r="F318" s="18" t="str">
        <f>INT(P[Sun]/30)&amp;"s"&amp;ROUNDUP(MOD(P[Sun],30),2)</f>
        <v>8s18.99</v>
      </c>
      <c r="G318" s="18" t="str">
        <f>INT(P[Moon]/30)&amp;"s"&amp;ROUNDUP(MOD(P[Moon],30),2)</f>
        <v>11s28.25</v>
      </c>
      <c r="H318" s="14">
        <f t="shared" si="49"/>
        <v>43834.044754551258</v>
      </c>
      <c r="I318" s="4" t="str">
        <f>naks(P[[#This Row],[Moon]])</f>
        <v>Revati</v>
      </c>
      <c r="J318" s="15">
        <f>(C319-P[[#This Row],[SunRise]])/(T319-P[[#This Row],[Moon]])*(13.3333333333333-MOD(P[[#This Row],[Moon]],13.333333333333))+P[[#This Row],[SunRise]]</f>
        <v>43834.268865670936</v>
      </c>
      <c r="K318" s="4" t="str">
        <f>IF(Panchanga!$P318&gt;15,"K","S")&amp;ROUNDUP(MOD(Panchanga!$P318,15),0)&amp;" ("&amp;ROUND(Panchanga!$P318,2)&amp;")"</f>
        <v>S9 (8.27)</v>
      </c>
      <c r="L318" s="4">
        <f>IF(AND(Panchanga!$P318&lt;28.5,Panchanga!$P318&gt;0.49999),MOD((Panchanga!$P318-0.5)*2,7),MOD((Panchanga!$P318+30-28.5),30)*2+7)</f>
        <v>1.5433999999999983</v>
      </c>
      <c r="M318" s="4" t="str">
        <f>CHOOSE(ROUNDUP(Panchanga!$L318,0),"Bhava","Baalava","Kaulava","Taitula","Garija","Vanija","Vishti","Shakuni","Chatushapda","Naaga","Kimstugna")</f>
        <v>Baalava</v>
      </c>
      <c r="N318" s="11" t="str">
        <f>CHOOSE(ROUNDUP(Panchanga!$Q318,0),"viṣkambha","prīti","āyuṣmāna","saubhāgya","śobhana","atigaṇḍa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("&amp;Panchanga!$Q318&amp;")"</f>
        <v>śiva (19.3)</v>
      </c>
      <c r="O318" s="4">
        <f>IF(AND(Panchanga!$P318&lt;28.5,Panchanga!$P318&gt;0.49999),MOD((Panchanga!$P318-0.5)*2,7),MOD((Panchanga!$P318+30-28.5),30)*2+7)</f>
        <v>1.5433999999999983</v>
      </c>
      <c r="P318" s="4">
        <f>ROUNDUP(MOD(360+P[Moon]-P[Sun],360)/12,4)</f>
        <v>8.2716999999999992</v>
      </c>
      <c r="Q318" s="4">
        <f>ROUNDUP(MOD(P[Sun]+P[Moon],360)/13.333333333,2)</f>
        <v>19.3</v>
      </c>
      <c r="R318" s="4" t="str">
        <f>SIGN(U319-Panchanga!$U318)*INT(Panchanga!$U318/30+1)&amp;"Ma,"&amp;SIGN(V319-Panchanga!$V318)*INT(Panchanga!$V318/30+1)&amp;"Me,"&amp;SIGN(W319-Panchanga!$W318)*INT(Panchanga!$W318/30+1)&amp;"J, "&amp;SIGN(X319-Panchanga!$X318)*INT(Panchanga!$X318/30+1)&amp;"V,"&amp;SIGN(Y319-Panchanga!$Y318)*INT(Panchanga!$Y318/30+1)&amp;"S,"&amp;INT(Panchanga!$Z318/30+1)&amp;"R"</f>
        <v>8Ma,9Me,9J, 10V,9S,3R</v>
      </c>
      <c r="S318" s="4">
        <f t="shared" si="47"/>
        <v>258.98149868162284</v>
      </c>
      <c r="T318" s="4">
        <f t="shared" si="48"/>
        <v>358.24160140633336</v>
      </c>
      <c r="U318" s="4">
        <f>Planet(Panchanga!$E318,4)</f>
        <v>216.30155477550363</v>
      </c>
      <c r="V318" s="4">
        <f>Planet(Panchanga!$E318,2)</f>
        <v>255.07112520844228</v>
      </c>
      <c r="W318" s="4">
        <f>Planet(Panchanga!$E318,5)</f>
        <v>253.23952521788476</v>
      </c>
      <c r="X318" s="4">
        <f>Planet(Panchanga!$E318,3)</f>
        <v>294.00622426164153</v>
      </c>
      <c r="Y318" s="4">
        <f>Planet(Panchanga!$E318,6)</f>
        <v>267.62013952445199</v>
      </c>
      <c r="Z318" s="4">
        <f>Planet(Panchanga!$E318,10)</f>
        <v>73.94592978007266</v>
      </c>
      <c r="AA318" s="4" t="str">
        <f>TEXT(Panchanga!$C318+($C319-Panchanga!$C318)/ABS(IF($P319&lt;1,$P319+30,$P319)-Panchanga!$P318)*(ROUNDUP(Panchanga!$P318,0)-Panchanga!$P318),"hh:mm AM/PM")</f>
        <v>01:30 AM</v>
      </c>
      <c r="AB318" s="4"/>
    </row>
    <row r="319" spans="1:28" x14ac:dyDescent="0.2">
      <c r="A319" s="3">
        <f t="shared" si="50"/>
        <v>43835</v>
      </c>
      <c r="B319" s="3">
        <f t="shared" si="44"/>
        <v>43835.229166666664</v>
      </c>
      <c r="C319" s="15">
        <f t="shared" si="45"/>
        <v>43835.274157888409</v>
      </c>
      <c r="D319" s="15">
        <f t="shared" si="46"/>
        <v>43834.745894571344</v>
      </c>
      <c r="E319" s="17">
        <f>Panchanga!$C319-TimeZone/24</f>
        <v>43835.044991221745</v>
      </c>
      <c r="F319" s="18" t="str">
        <f>INT(P[Sun]/30)&amp;"s"&amp;ROUNDUP(MOD(P[Sun],30),2)</f>
        <v>8s20.01</v>
      </c>
      <c r="G319" s="18" t="str">
        <f>INT(P[Moon]/30)&amp;"s"&amp;ROUNDUP(MOD(P[Moon],30),2)</f>
        <v>0s10.35</v>
      </c>
      <c r="H319" s="14">
        <f t="shared" si="49"/>
        <v>43835.044991221745</v>
      </c>
      <c r="I319" s="4" t="str">
        <f>naks(P[[#This Row],[Moon]])</f>
        <v>Aswini</v>
      </c>
      <c r="J319" s="15">
        <f>(C320-P[[#This Row],[SunRise]])/(T320-P[[#This Row],[Moon]])*(13.3333333333333-MOD(P[[#This Row],[Moon]],13.333333333333))+P[[#This Row],[SunRise]]</f>
        <v>43835.516730787851</v>
      </c>
      <c r="K319" s="4" t="str">
        <f>IF(Panchanga!$P319&gt;15,"K","S")&amp;ROUNDUP(MOD(Panchanga!$P319,15),0)&amp;" ("&amp;ROUND(Panchanga!$P319,2)&amp;")"</f>
        <v>S10 (9.2)</v>
      </c>
      <c r="L319" s="4">
        <f>IF(AND(Panchanga!$P319&lt;28.5,Panchanga!$P319&gt;0.49999),MOD((Panchanga!$P319-0.5)*2,7),MOD((Panchanga!$P319+30-28.5),30)*2+7)</f>
        <v>3.3905999999999992</v>
      </c>
      <c r="M319" s="4" t="str">
        <f>CHOOSE(ROUNDUP(Panchanga!$L319,0),"Bhava","Baalava","Kaulava","Taitula","Garija","Vanija","Vishti","Shakuni","Chatushapda","Naaga","Kimstugna")</f>
        <v>Taitula</v>
      </c>
      <c r="N319" s="11" t="str">
        <f>CHOOSE(ROUNDUP(Panchanga!$Q319,0),"viṣkambha","prīti","āyuṣmāna","saubhāgya","śobhana","atigaṇḍa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("&amp;Panchanga!$Q319&amp;")"</f>
        <v>siddha (20.28)</v>
      </c>
      <c r="O319" s="4">
        <f>IF(AND(Panchanga!$P319&lt;28.5,Panchanga!$P319&gt;0.49999),MOD((Panchanga!$P319-0.5)*2,7),MOD((Panchanga!$P319+30-28.5),30)*2+7)</f>
        <v>3.3905999999999992</v>
      </c>
      <c r="P319" s="4">
        <f>ROUNDUP(MOD(360+P[Moon]-P[Sun],360)/12,4)</f>
        <v>9.1952999999999996</v>
      </c>
      <c r="Q319" s="4">
        <f>ROUNDUP(MOD(P[Sun]+P[Moon],360)/13.333333333,2)</f>
        <v>20.28</v>
      </c>
      <c r="R319" s="4" t="str">
        <f>SIGN(U320-Panchanga!$U319)*INT(Panchanga!$U319/30+1)&amp;"Ma,"&amp;SIGN(V320-Panchanga!$V319)*INT(Panchanga!$V319/30+1)&amp;"Me,"&amp;SIGN(W320-Panchanga!$W319)*INT(Panchanga!$W319/30+1)&amp;"J, "&amp;SIGN(X320-Panchanga!$X319)*INT(Panchanga!$X319/30+1)&amp;"V,"&amp;SIGN(Y320-Panchanga!$Y319)*INT(Panchanga!$Y319/30+1)&amp;"S,"&amp;INT(Panchanga!$Z319/30+1)&amp;"R"</f>
        <v>8Ma,9Me,9J, 10V,9S,3R</v>
      </c>
      <c r="S319" s="4">
        <f t="shared" si="47"/>
        <v>260.00096373155861</v>
      </c>
      <c r="T319" s="4">
        <f t="shared" si="48"/>
        <v>10.343587839907931</v>
      </c>
      <c r="U319" s="4">
        <f>Planet(Panchanga!$E319,4)</f>
        <v>216.97522965150714</v>
      </c>
      <c r="V319" s="4">
        <f>Planet(Panchanga!$E319,2)</f>
        <v>256.66566614258977</v>
      </c>
      <c r="W319" s="4">
        <f>Planet(Panchanga!$E319,5)</f>
        <v>253.46956263589288</v>
      </c>
      <c r="X319" s="4">
        <f>Planet(Panchanga!$E319,3)</f>
        <v>295.22938177628708</v>
      </c>
      <c r="Y319" s="4">
        <f>Planet(Panchanga!$E319,6)</f>
        <v>267.73783932560048</v>
      </c>
      <c r="Z319" s="4">
        <f>Planet(Panchanga!$E319,10)</f>
        <v>73.89292524243632</v>
      </c>
      <c r="AA319" s="4" t="str">
        <f>TEXT(Panchanga!$C319+($C320-Panchanga!$C319)/ABS(IF($P320&lt;1,$P320+30,$P320)-Panchanga!$P319)*(ROUNDUP(Panchanga!$P319,0)-Panchanga!$P319),"hh:mm AM/PM")</f>
        <v>03:04 AM</v>
      </c>
      <c r="AB319" s="4"/>
    </row>
    <row r="320" spans="1:28" x14ac:dyDescent="0.2">
      <c r="A320" s="3">
        <f t="shared" si="50"/>
        <v>43836</v>
      </c>
      <c r="B320" s="3">
        <f t="shared" si="44"/>
        <v>43836.229166666664</v>
      </c>
      <c r="C320" s="15">
        <f t="shared" si="45"/>
        <v>43836.274383909222</v>
      </c>
      <c r="D320" s="15">
        <f t="shared" si="46"/>
        <v>43835.746290664232</v>
      </c>
      <c r="E320" s="17">
        <f>Panchanga!$C320-TimeZone/24</f>
        <v>43836.045217242558</v>
      </c>
      <c r="F320" s="18" t="str">
        <f>INT(P[Sun]/30)&amp;"s"&amp;ROUNDUP(MOD(P[Sun],30),2)</f>
        <v>8s21.03</v>
      </c>
      <c r="G320" s="18" t="str">
        <f>INT(P[Moon]/30)&amp;"s"&amp;ROUNDUP(MOD(P[Moon],30),2)</f>
        <v>0s22.68</v>
      </c>
      <c r="H320" s="14">
        <f t="shared" si="49"/>
        <v>43836.045217242558</v>
      </c>
      <c r="I320" s="4" t="str">
        <f>naks(P[[#This Row],[Moon]])</f>
        <v>Bharani</v>
      </c>
      <c r="J320" s="15">
        <f>(C321-P[[#This Row],[SunRise]])/(T321-P[[#This Row],[Moon]])*(13.3333333333333-MOD(P[[#This Row],[Moon]],13.333333333333))+P[[#This Row],[SunRise]]</f>
        <v>43836.591077646684</v>
      </c>
      <c r="K320" s="4" t="str">
        <f>IF(Panchanga!$P320&gt;15,"K","S")&amp;ROUNDUP(MOD(Panchanga!$P320,15),0)&amp;" ("&amp;ROUND(Panchanga!$P320,2)&amp;")"</f>
        <v>S11 (10.14)</v>
      </c>
      <c r="L320" s="4">
        <f>IF(AND(Panchanga!$P320&lt;28.5,Panchanga!$P320&gt;0.49999),MOD((Panchanga!$P320-0.5)*2,7),MOD((Panchanga!$P320+30-28.5),30)*2+7)</f>
        <v>5.2751999999999981</v>
      </c>
      <c r="M320" s="4" t="str">
        <f>CHOOSE(ROUNDUP(Panchanga!$L320,0),"Bhava","Baalava","Kaulava","Taitula","Garija","Vanija","Vishti","Shakuni","Chatushapda","Naaga","Kimstugna")</f>
        <v>Vanija</v>
      </c>
      <c r="N320" s="11" t="str">
        <f>CHOOSE(ROUNDUP(Panchanga!$Q320,0),"viṣkambha","prīti","āyuṣmāna","saubhāgya","śobhana","atigaṇḍa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("&amp;Panchanga!$Q320&amp;")"</f>
        <v>sādhya (21.28)</v>
      </c>
      <c r="O320" s="4">
        <f>IF(AND(Panchanga!$P320&lt;28.5,Panchanga!$P320&gt;0.49999),MOD((Panchanga!$P320-0.5)*2,7),MOD((Panchanga!$P320+30-28.5),30)*2+7)</f>
        <v>5.2751999999999981</v>
      </c>
      <c r="P320" s="4">
        <f>ROUNDUP(MOD(360+P[Moon]-P[Sun],360)/12,4)</f>
        <v>10.137599999999999</v>
      </c>
      <c r="Q320" s="4">
        <f>ROUNDUP(MOD(P[Sun]+P[Moon],360)/13.333333333,2)</f>
        <v>21.28</v>
      </c>
      <c r="R320" s="4" t="str">
        <f>SIGN(U321-Panchanga!$U320)*INT(Panchanga!$U320/30+1)&amp;"Ma,"&amp;SIGN(V321-Panchanga!$V320)*INT(Panchanga!$V320/30+1)&amp;"Me,"&amp;SIGN(W321-Panchanga!$W320)*INT(Panchanga!$W320/30+1)&amp;"J, "&amp;SIGN(X321-Panchanga!$X320)*INT(Panchanga!$X320/30+1)&amp;"V,"&amp;SIGN(Y321-Panchanga!$Y320)*INT(Panchanga!$Y320/30+1)&amp;"S,"&amp;INT(Panchanga!$Z320/30+1)&amp;"R"</f>
        <v>8Ma,9Me,9J, 10V,9S,3R</v>
      </c>
      <c r="S320" s="4">
        <f t="shared" si="47"/>
        <v>261.02033769766842</v>
      </c>
      <c r="T320" s="4">
        <f t="shared" si="48"/>
        <v>22.671515835880474</v>
      </c>
      <c r="U320" s="4">
        <f>Planet(Panchanga!$E320,4)</f>
        <v>217.64922447807768</v>
      </c>
      <c r="V320" s="4">
        <f>Planet(Panchanga!$E320,2)</f>
        <v>258.26621116153092</v>
      </c>
      <c r="W320" s="4">
        <f>Planet(Panchanga!$E320,5)</f>
        <v>253.69942877764419</v>
      </c>
      <c r="X320" s="4">
        <f>Planet(Panchanga!$E320,3)</f>
        <v>296.45165738577356</v>
      </c>
      <c r="Y320" s="4">
        <f>Planet(Panchanga!$E320,6)</f>
        <v>267.85569963396739</v>
      </c>
      <c r="Z320" s="4">
        <f>Planet(Panchanga!$E320,10)</f>
        <v>73.839921269169068</v>
      </c>
      <c r="AA320" s="4" t="str">
        <f>TEXT(Panchanga!$C320+($C321-Panchanga!$C320)/ABS(IF($P321&lt;1,$P321+30,$P321)-Panchanga!$P320)*(ROUNDUP(Panchanga!$P320,0)-Panchanga!$P320),"hh:mm AM/PM")</f>
        <v>04:00 AM</v>
      </c>
      <c r="AB320" s="4"/>
    </row>
    <row r="321" spans="1:28" x14ac:dyDescent="0.2">
      <c r="A321" s="3">
        <f t="shared" si="50"/>
        <v>43837</v>
      </c>
      <c r="B321" s="3">
        <f t="shared" si="44"/>
        <v>43837.229166666664</v>
      </c>
      <c r="C321" s="15">
        <f t="shared" si="45"/>
        <v>43837.27459896278</v>
      </c>
      <c r="D321" s="15">
        <f t="shared" si="46"/>
        <v>43836.746687074701</v>
      </c>
      <c r="E321" s="17">
        <f>Panchanga!$C321-TimeZone/24</f>
        <v>43837.045432296116</v>
      </c>
      <c r="F321" s="18" t="str">
        <f>INT(P[Sun]/30)&amp;"s"&amp;ROUNDUP(MOD(P[Sun],30),2)</f>
        <v>8s22.04</v>
      </c>
      <c r="G321" s="18" t="str">
        <f>INT(P[Moon]/30)&amp;"s"&amp;ROUNDUP(MOD(P[Moon],30),2)</f>
        <v>1s5.29</v>
      </c>
      <c r="H321" s="14">
        <f t="shared" si="49"/>
        <v>43837.045432296116</v>
      </c>
      <c r="I321" s="4" t="str">
        <f>naks(P[[#This Row],[Moon]])</f>
        <v>Krittika</v>
      </c>
      <c r="J321" s="15">
        <f>(C322-P[[#This Row],[SunRise]])/(T322-P[[#This Row],[Moon]])*(13.3333333333333-MOD(P[[#This Row],[Moon]],13.333333333333))+P[[#This Row],[SunRise]]</f>
        <v>43837.638258322491</v>
      </c>
      <c r="K321" s="4" t="str">
        <f>IF(Panchanga!$P321&gt;15,"K","S")&amp;ROUNDUP(MOD(Panchanga!$P321,15),0)&amp;" ("&amp;ROUND(Panchanga!$P321,2)&amp;")"</f>
        <v>S12 (11.1)</v>
      </c>
      <c r="L321" s="4">
        <f>IF(AND(Panchanga!$P321&lt;28.5,Panchanga!$P321&gt;0.49999),MOD((Panchanga!$P321-0.5)*2,7),MOD((Panchanga!$P321+30-28.5),30)*2+7)</f>
        <v>0.20840000000000103</v>
      </c>
      <c r="M321" s="4" t="str">
        <f>CHOOSE(ROUNDUP(Panchanga!$L321,0),"Bhava","Baalava","Kaulava","Taitula","Garija","Vanija","Vishti","Shakuni","Chatushapda","Naaga","Kimstugna")</f>
        <v>Bhava</v>
      </c>
      <c r="N321" s="11" t="str">
        <f>CHOOSE(ROUNDUP(Panchanga!$Q321,0),"viṣkambha","prīti","āyuṣmāna","saubhāgya","śobhana","atigaṇḍa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("&amp;Panchanga!$Q321&amp;")"</f>
        <v>śubha (22.3)</v>
      </c>
      <c r="O321" s="4">
        <f>IF(AND(Panchanga!$P321&lt;28.5,Panchanga!$P321&gt;0.49999),MOD((Panchanga!$P321-0.5)*2,7),MOD((Panchanga!$P321+30-28.5),30)*2+7)</f>
        <v>0.20840000000000103</v>
      </c>
      <c r="P321" s="4">
        <f>ROUNDUP(MOD(360+P[Moon]-P[Sun],360)/12,4)</f>
        <v>11.104200000000001</v>
      </c>
      <c r="Q321" s="4">
        <f>ROUNDUP(MOD(P[Sun]+P[Moon],360)/13.333333333,2)</f>
        <v>22.3</v>
      </c>
      <c r="R321" s="4" t="str">
        <f>SIGN(U322-Panchanga!$U321)*INT(Panchanga!$U321/30+1)&amp;"Ma,"&amp;SIGN(V322-Panchanga!$V321)*INT(Panchanga!$V321/30+1)&amp;"Me,"&amp;SIGN(W322-Panchanga!$W321)*INT(Panchanga!$W321/30+1)&amp;"J, "&amp;SIGN(X322-Panchanga!$X321)*INT(Panchanga!$X321/30+1)&amp;"V,"&amp;SIGN(Y322-Panchanga!$Y321)*INT(Panchanga!$Y321/30+1)&amp;"S,"&amp;INT(Panchanga!$Z321/30+1)&amp;"R"</f>
        <v>8Ma,9Me,9J, 10V,9S,3R</v>
      </c>
      <c r="S321" s="4">
        <f t="shared" si="47"/>
        <v>262.03961468306113</v>
      </c>
      <c r="T321" s="4">
        <f t="shared" si="48"/>
        <v>35.289416127078397</v>
      </c>
      <c r="U321" s="4">
        <f>Planet(Panchanga!$E321,4)</f>
        <v>218.32354481946766</v>
      </c>
      <c r="V321" s="4">
        <f>Planet(Panchanga!$E321,2)</f>
        <v>259.87301176693097</v>
      </c>
      <c r="W321" s="4">
        <f>Planet(Panchanga!$E321,5)</f>
        <v>253.92910234073517</v>
      </c>
      <c r="X321" s="4">
        <f>Planet(Panchanga!$E321,3)</f>
        <v>297.67302067888613</v>
      </c>
      <c r="Y321" s="4">
        <f>Planet(Panchanga!$E321,6)</f>
        <v>267.97370160702735</v>
      </c>
      <c r="Z321" s="4">
        <f>Planet(Panchanga!$E321,10)</f>
        <v>73.786917877071545</v>
      </c>
      <c r="AA321" s="4" t="str">
        <f>TEXT(Panchanga!$C321+($C322-Panchanga!$C321)/ABS(IF($P322&lt;1,$P322+30,$P322)-Panchanga!$P321)*(ROUNDUP(Panchanga!$P321,0)-Panchanga!$P321),"hh:mm AM/PM")</f>
        <v>04:12 AM</v>
      </c>
      <c r="AB321" s="4"/>
    </row>
    <row r="322" spans="1:28" x14ac:dyDescent="0.2">
      <c r="A322" s="3">
        <f t="shared" si="50"/>
        <v>43838</v>
      </c>
      <c r="B322" s="3">
        <f t="shared" si="44"/>
        <v>43838.229166666664</v>
      </c>
      <c r="C322" s="15">
        <f t="shared" si="45"/>
        <v>43838.274803049084</v>
      </c>
      <c r="D322" s="15">
        <f t="shared" si="46"/>
        <v>43837.747083644426</v>
      </c>
      <c r="E322" s="17">
        <f>Panchanga!$C322-TimeZone/24</f>
        <v>43838.04563638242</v>
      </c>
      <c r="F322" s="18" t="str">
        <f>INT(P[Sun]/30)&amp;"s"&amp;ROUNDUP(MOD(P[Sun],30),2)</f>
        <v>8s23.06</v>
      </c>
      <c r="G322" s="18" t="str">
        <f>INT(P[Moon]/30)&amp;"s"&amp;ROUNDUP(MOD(P[Moon],30),2)</f>
        <v>1s18.25</v>
      </c>
      <c r="H322" s="14">
        <f t="shared" si="49"/>
        <v>43838.04563638242</v>
      </c>
      <c r="I322" s="4" t="str">
        <f>naks(P[[#This Row],[Moon]])</f>
        <v>Rohini</v>
      </c>
      <c r="J322" s="15">
        <f>(C323-P[[#This Row],[SunRise]])/(T323-P[[#This Row],[Moon]])*(13.3333333333333-MOD(P[[#This Row],[Moon]],13.333333333333))+P[[#This Row],[SunRise]]</f>
        <v>43838.656860955023</v>
      </c>
      <c r="K322" s="4" t="str">
        <f>IF(Panchanga!$P322&gt;15,"K","S")&amp;ROUNDUP(MOD(Panchanga!$P322,15),0)&amp;" ("&amp;ROUND(Panchanga!$P322,2)&amp;")"</f>
        <v>S13 (12.1)</v>
      </c>
      <c r="L322" s="4">
        <f>IF(AND(Panchanga!$P322&lt;28.5,Panchanga!$P322&gt;0.49999),MOD((Panchanga!$P322-0.5)*2,7),MOD((Panchanga!$P322+30-28.5),30)*2+7)</f>
        <v>2.1978000000000009</v>
      </c>
      <c r="M322" s="4" t="str">
        <f>CHOOSE(ROUNDUP(Panchanga!$L322,0),"Bhava","Baalava","Kaulava","Taitula","Garija","Vanija","Vishti","Shakuni","Chatushapda","Naaga","Kimstugna")</f>
        <v>Kaulava</v>
      </c>
      <c r="N322" s="11" t="str">
        <f>CHOOSE(ROUNDUP(Panchanga!$Q322,0),"viṣkambha","prīti","āyuṣmāna","saubhāgya","śobhana","atigaṇḍa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("&amp;Panchanga!$Q322&amp;")"</f>
        <v>śukla (23.35)</v>
      </c>
      <c r="O322" s="4">
        <f>IF(AND(Panchanga!$P322&lt;28.5,Panchanga!$P322&gt;0.49999),MOD((Panchanga!$P322-0.5)*2,7),MOD((Panchanga!$P322+30-28.5),30)*2+7)</f>
        <v>2.1978000000000009</v>
      </c>
      <c r="P322" s="4">
        <f>ROUNDUP(MOD(360+P[Moon]-P[Sun],360)/12,4)</f>
        <v>12.0989</v>
      </c>
      <c r="Q322" s="4">
        <f>ROUNDUP(MOD(P[Sun]+P[Moon],360)/13.333333333,2)</f>
        <v>23.35</v>
      </c>
      <c r="R322" s="4" t="str">
        <f>SIGN(U323-Panchanga!$U322)*INT(Panchanga!$U322/30+1)&amp;"Ma,"&amp;SIGN(V323-Panchanga!$V322)*INT(Panchanga!$V322/30+1)&amp;"Me,"&amp;SIGN(W323-Panchanga!$W322)*INT(Panchanga!$W322/30+1)&amp;"J, "&amp;SIGN(X323-Panchanga!$X322)*INT(Panchanga!$X322/30+1)&amp;"V,"&amp;SIGN(Y323-Panchanga!$Y322)*INT(Panchanga!$Y322/30+1)&amp;"S,"&amp;INT(Panchanga!$Z322/30+1)&amp;"R"</f>
        <v>8Ma,9Me,9J, 10V,9S,3R</v>
      </c>
      <c r="S322" s="4">
        <f t="shared" si="47"/>
        <v>263.05879194151811</v>
      </c>
      <c r="T322" s="4">
        <f t="shared" si="48"/>
        <v>48.245346210390871</v>
      </c>
      <c r="U322" s="4">
        <f>Planet(Panchanga!$E322,4)</f>
        <v>218.99819741705463</v>
      </c>
      <c r="V322" s="4">
        <f>Planet(Panchanga!$E322,2)</f>
        <v>261.4863162226311</v>
      </c>
      <c r="W322" s="4">
        <f>Planet(Panchanga!$E322,5)</f>
        <v>254.15856257764779</v>
      </c>
      <c r="X322" s="4">
        <f>Planet(Panchanga!$E322,3)</f>
        <v>298.89344276936669</v>
      </c>
      <c r="Y322" s="4">
        <f>Planet(Panchanga!$E322,6)</f>
        <v>268.09182692243178</v>
      </c>
      <c r="Z322" s="4">
        <f>Planet(Panchanga!$E322,10)</f>
        <v>73.733915066143936</v>
      </c>
      <c r="AA322" s="4" t="str">
        <f>TEXT(Panchanga!$C322+($C323-Panchanga!$C322)/ABS(IF($P323&lt;1,$P323+30,$P323)-Panchanga!$P322)*(ROUNDUP(Panchanga!$P322,0)-Panchanga!$P322),"hh:mm AM/PM")</f>
        <v>03:41 AM</v>
      </c>
      <c r="AB322" s="4"/>
    </row>
    <row r="323" spans="1:28" x14ac:dyDescent="0.2">
      <c r="A323" s="3">
        <f t="shared" si="50"/>
        <v>43839</v>
      </c>
      <c r="B323" s="3">
        <f t="shared" ref="B323:B386" si="51">A323+TimeZone/24</f>
        <v>43839.229166666664</v>
      </c>
      <c r="C323" s="15">
        <f t="shared" ref="C323:C386" si="52">sunrise(Lat,Long,B323)+TimeZone/24+0.00103009259259259</f>
        <v>43839.274995691296</v>
      </c>
      <c r="D323" s="15">
        <f t="shared" ref="D323:D386" si="53">sunset(Lat,Long,B323)+TimeZone/24-0.000277777777777778</f>
        <v>43838.747479896105</v>
      </c>
      <c r="E323" s="17">
        <f>Panchanga!$C323-TimeZone/24</f>
        <v>43839.045829024632</v>
      </c>
      <c r="F323" s="18" t="str">
        <f>INT(P[Sun]/30)&amp;"s"&amp;ROUNDUP(MOD(P[Sun],30),2)</f>
        <v>8s24.08</v>
      </c>
      <c r="G323" s="18" t="str">
        <f>INT(P[Moon]/30)&amp;"s"&amp;ROUNDUP(MOD(P[Moon],30),2)</f>
        <v>2s1.57</v>
      </c>
      <c r="H323" s="14">
        <f t="shared" si="49"/>
        <v>43839.045829024632</v>
      </c>
      <c r="I323" s="4" t="str">
        <f>naks(P[[#This Row],[Moon]])</f>
        <v>Mrigashira</v>
      </c>
      <c r="J323" s="15">
        <f>(C324-P[[#This Row],[SunRise]])/(T324-P[[#This Row],[Moon]])*(13.3333333333333-MOD(P[[#This Row],[Moon]],13.333333333333))+P[[#This Row],[SunRise]]</f>
        <v>43839.647914098976</v>
      </c>
      <c r="K323" s="4" t="str">
        <f>IF(Panchanga!$P323&gt;15,"K","S")&amp;ROUNDUP(MOD(Panchanga!$P323,15),0)&amp;" ("&amp;ROUND(Panchanga!$P323,2)&amp;")"</f>
        <v>S14 (13.12)</v>
      </c>
      <c r="L323" s="4">
        <f>IF(AND(Panchanga!$P323&lt;28.5,Panchanga!$P323&gt;0.49999),MOD((Panchanga!$P323-0.5)*2,7),MOD((Panchanga!$P323+30-28.5),30)*2+7)</f>
        <v>4.2480000000000011</v>
      </c>
      <c r="M323" s="4" t="str">
        <f>CHOOSE(ROUNDUP(Panchanga!$L323,0),"Bhava","Baalava","Kaulava","Taitula","Garija","Vanija","Vishti","Shakuni","Chatushapda","Naaga","Kimstugna")</f>
        <v>Garija</v>
      </c>
      <c r="N323" s="11" t="str">
        <f>CHOOSE(ROUNDUP(Panchanga!$Q323,0),"viṣkambha","prīti","āyuṣmāna","saubhāgya","śobhana","atigaṇḍa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("&amp;Panchanga!$Q323&amp;")"</f>
        <v>brahma (24.43)</v>
      </c>
      <c r="O323" s="4">
        <f>IF(AND(Panchanga!$P323&lt;28.5,Panchanga!$P323&gt;0.49999),MOD((Panchanga!$P323-0.5)*2,7),MOD((Panchanga!$P323+30-28.5),30)*2+7)</f>
        <v>4.2480000000000011</v>
      </c>
      <c r="P323" s="4">
        <f>ROUNDUP(MOD(360+P[Moon]-P[Sun],360)/12,4)</f>
        <v>13.124000000000001</v>
      </c>
      <c r="Q323" s="4">
        <f>ROUNDUP(MOD(P[Sun]+P[Moon],360)/13.333333333,2)</f>
        <v>24.430000000000003</v>
      </c>
      <c r="R323" s="4" t="str">
        <f>SIGN(U324-Panchanga!$U323)*INT(Panchanga!$U323/30+1)&amp;"Ma,"&amp;SIGN(V324-Panchanga!$V323)*INT(Panchanga!$V323/30+1)&amp;"Me,"&amp;SIGN(W324-Panchanga!$W323)*INT(Panchanga!$W323/30+1)&amp;"J, "&amp;SIGN(X324-Panchanga!$X323)*INT(Panchanga!$X323/30+1)&amp;"V,"&amp;SIGN(Y324-Panchanga!$Y323)*INT(Panchanga!$Y323/30+1)&amp;"S,"&amp;INT(Panchanga!$Z323/30+1)&amp;"R"</f>
        <v>8Ma,9Me,9J, 11V,9S,3R</v>
      </c>
      <c r="S323" s="4">
        <f t="shared" ref="S323:S386" si="54">Planet($E323,0)</f>
        <v>264.07786940461443</v>
      </c>
      <c r="T323" s="4">
        <f t="shared" ref="T323:T386" si="55">Planet($E323,1)</f>
        <v>61.565230984108318</v>
      </c>
      <c r="U323" s="4">
        <f>Planet(Panchanga!$E323,4)</f>
        <v>219.67318955711977</v>
      </c>
      <c r="V323" s="4">
        <f>Planet(Panchanga!$E323,2)</f>
        <v>263.10636458697815</v>
      </c>
      <c r="W323" s="4">
        <f>Planet(Panchanga!$E323,5)</f>
        <v>254.38778916191706</v>
      </c>
      <c r="X323" s="4">
        <f>Planet(Panchanga!$E323,3)</f>
        <v>300.11289583884275</v>
      </c>
      <c r="Y323" s="4">
        <f>Planet(Panchanga!$E323,6)</f>
        <v>268.21005786148669</v>
      </c>
      <c r="Z323" s="4">
        <f>Planet(Panchanga!$E323,10)</f>
        <v>73.680912861670109</v>
      </c>
      <c r="AA323" s="4" t="str">
        <f>TEXT(Panchanga!$C323+($C324-Panchanga!$C323)/ABS(IF($P324&lt;1,$P324+30,$P324)-Panchanga!$P323)*(ROUNDUP(Panchanga!$P323,0)-Panchanga!$P323),"hh:mm AM/PM")</f>
        <v>02:31 AM</v>
      </c>
      <c r="AB323" s="4"/>
    </row>
    <row r="324" spans="1:28" x14ac:dyDescent="0.2">
      <c r="A324" s="3">
        <f t="shared" si="50"/>
        <v>43840</v>
      </c>
      <c r="B324" s="3">
        <f t="shared" si="51"/>
        <v>43840.229166666664</v>
      </c>
      <c r="C324" s="15">
        <f t="shared" si="52"/>
        <v>43840.275177048206</v>
      </c>
      <c r="D324" s="15">
        <f t="shared" si="53"/>
        <v>43839.74787551169</v>
      </c>
      <c r="E324" s="17">
        <f>Panchanga!$C324-TimeZone/24</f>
        <v>43840.046010381542</v>
      </c>
      <c r="F324" s="18" t="str">
        <f>INT(P[Sun]/30)&amp;"s"&amp;ROUNDUP(MOD(P[Sun],30),2)</f>
        <v>8s25.1</v>
      </c>
      <c r="G324" s="18" t="str">
        <f>INT(P[Moon]/30)&amp;"s"&amp;ROUNDUP(MOD(P[Moon],30),2)</f>
        <v>2s15.25</v>
      </c>
      <c r="H324" s="14">
        <f t="shared" si="49"/>
        <v>43840.046010381542</v>
      </c>
      <c r="I324" s="4" t="str">
        <f>naks(P[[#This Row],[Moon]])</f>
        <v>Ardra</v>
      </c>
      <c r="J324" s="15">
        <f>(C325-P[[#This Row],[SunRise]])/(T325-P[[#This Row],[Moon]])*(13.3333333333333-MOD(P[[#This Row],[Moon]],13.333333333333))+P[[#This Row],[SunRise]]</f>
        <v>43840.614401957238</v>
      </c>
      <c r="K324" s="4" t="str">
        <f>IF(Panchanga!$P324&gt;15,"K","S")&amp;ROUNDUP(MOD(Panchanga!$P324,15),0)&amp;" ("&amp;ROUND(Panchanga!$P324,2)&amp;")"</f>
        <v>S15 (14.18)</v>
      </c>
      <c r="L324" s="4">
        <f>IF(AND(Panchanga!$P324&lt;28.5,Panchanga!$P324&gt;0.49999),MOD((Panchanga!$P324-0.5)*2,7),MOD((Panchanga!$P324+30-28.5),30)*2+7)</f>
        <v>6.3585999999999991</v>
      </c>
      <c r="M324" s="4" t="str">
        <f>CHOOSE(ROUNDUP(Panchanga!$L324,0),"Bhava","Baalava","Kaulava","Taitula","Garija","Vanija","Vishti","Shakuni","Chatushapda","Naaga","Kimstugna")</f>
        <v>Vishti</v>
      </c>
      <c r="N324" s="11" t="str">
        <f>CHOOSE(ROUNDUP(Panchanga!$Q324,0),"viṣkambha","prīti","āyuṣmāna","saubhāgya","śobhana","atigaṇḍa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("&amp;Panchanga!$Q324&amp;")"</f>
        <v>mahendra (25.53)</v>
      </c>
      <c r="O324" s="4">
        <f>IF(AND(Panchanga!$P324&lt;28.5,Panchanga!$P324&gt;0.49999),MOD((Panchanga!$P324-0.5)*2,7),MOD((Panchanga!$P324+30-28.5),30)*2+7)</f>
        <v>6.3585999999999991</v>
      </c>
      <c r="P324" s="4">
        <f>ROUNDUP(MOD(360+P[Moon]-P[Sun],360)/12,4)</f>
        <v>14.1793</v>
      </c>
      <c r="Q324" s="4">
        <f>ROUNDUP(MOD(P[Sun]+P[Moon],360)/13.333333333,2)</f>
        <v>25.53</v>
      </c>
      <c r="R324" s="4" t="str">
        <f>SIGN(U325-Panchanga!$U324)*INT(Panchanga!$U324/30+1)&amp;"Ma,"&amp;SIGN(V325-Panchanga!$V324)*INT(Panchanga!$V324/30+1)&amp;"Me,"&amp;SIGN(W325-Panchanga!$W324)*INT(Panchanga!$W324/30+1)&amp;"J, "&amp;SIGN(X325-Panchanga!$X324)*INT(Panchanga!$X324/30+1)&amp;"V,"&amp;SIGN(Y325-Panchanga!$Y324)*INT(Panchanga!$Y324/30+1)&amp;"S,"&amp;INT(Panchanga!$Z324/30+1)&amp;"R"</f>
        <v>8Ma,9Me,9J, 11V,9S,3R</v>
      </c>
      <c r="S324" s="4">
        <f t="shared" si="54"/>
        <v>265.096851005612</v>
      </c>
      <c r="T324" s="4">
        <f t="shared" si="55"/>
        <v>75.247475566444507</v>
      </c>
      <c r="U324" s="4">
        <f>Planet(Panchanga!$E324,4)</f>
        <v>220.34852954728279</v>
      </c>
      <c r="V324" s="4">
        <f>Planet(Panchanga!$E324,2)</f>
        <v>264.73338539830769</v>
      </c>
      <c r="W324" s="4">
        <f>Planet(Panchanga!$E324,5)</f>
        <v>254.61676243916051</v>
      </c>
      <c r="X324" s="4">
        <f>Planet(Panchanga!$E324,3)</f>
        <v>301.33135509607439</v>
      </c>
      <c r="Y324" s="4">
        <f>Planet(Panchanga!$E324,6)</f>
        <v>268.32837786668989</v>
      </c>
      <c r="Z324" s="4">
        <f>Planet(Panchanga!$E324,10)</f>
        <v>73.627911255233101</v>
      </c>
      <c r="AA324" s="4" t="str">
        <f>TEXT(Panchanga!$C324+($C325-Panchanga!$C324)/ABS(IF($P325&lt;1,$P325+30,$P325)-Panchanga!$P324)*(ROUNDUP(Panchanga!$P324,0)-Panchanga!$P324),"hh:mm AM/PM")</f>
        <v>12:47 AM</v>
      </c>
      <c r="AB324" s="4"/>
    </row>
    <row r="325" spans="1:28" x14ac:dyDescent="0.2">
      <c r="A325" s="3">
        <f t="shared" si="50"/>
        <v>43841</v>
      </c>
      <c r="B325" s="3">
        <f t="shared" si="51"/>
        <v>43841.229166666664</v>
      </c>
      <c r="C325" s="15">
        <f t="shared" si="52"/>
        <v>43841.275346643444</v>
      </c>
      <c r="D325" s="15">
        <f t="shared" si="53"/>
        <v>43840.748270015276</v>
      </c>
      <c r="E325" s="17">
        <f>Panchanga!$C325-TimeZone/24</f>
        <v>43841.04617997678</v>
      </c>
      <c r="F325" s="18" t="str">
        <f>INT(P[Sun]/30)&amp;"s"&amp;ROUNDUP(MOD(P[Sun],30),2)</f>
        <v>8s26.12</v>
      </c>
      <c r="G325" s="18" t="str">
        <f>INT(P[Moon]/30)&amp;"s"&amp;ROUNDUP(MOD(P[Moon],30),2)</f>
        <v>2s29.26</v>
      </c>
      <c r="H325" s="14">
        <f t="shared" si="49"/>
        <v>43841.04617997678</v>
      </c>
      <c r="I325" s="4" t="str">
        <f>naks(P[[#This Row],[Moon]])</f>
        <v>Punarvasu</v>
      </c>
      <c r="J325" s="15">
        <f>(C326-P[[#This Row],[SunRise]])/(T326-P[[#This Row],[Moon]])*(13.3333333333333-MOD(P[[#This Row],[Moon]],13.333333333333))+P[[#This Row],[SunRise]]</f>
        <v>43841.560646548045</v>
      </c>
      <c r="K325" s="4" t="str">
        <f>IF(Panchanga!$P325&gt;15,"K","S")&amp;ROUNDUP(MOD(Panchanga!$P325,15),0)&amp;" ("&amp;ROUND(Panchanga!$P325,2)&amp;")"</f>
        <v>K1 (15.26)</v>
      </c>
      <c r="L325" s="4">
        <f>IF(AND(Panchanga!$P325&lt;28.5,Panchanga!$P325&gt;0.49999),MOD((Panchanga!$P325-0.5)*2,7),MOD((Panchanga!$P325+30-28.5),30)*2+7)</f>
        <v>1.5242000000000004</v>
      </c>
      <c r="M325" s="4" t="str">
        <f>CHOOSE(ROUNDUP(Panchanga!$L325,0),"Bhava","Baalava","Kaulava","Taitula","Garija","Vanija","Vishti","Shakuni","Chatushapda","Naaga","Kimstugna")</f>
        <v>Baalava</v>
      </c>
      <c r="N325" s="11" t="str">
        <f>CHOOSE(ROUNDUP(Panchanga!$Q325,0),"viṣkambha","prīti","āyuṣmāna","saubhāgya","śobhana","atigaṇḍa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("&amp;Panchanga!$Q325&amp;")"</f>
        <v>vaidhṛti (26.66)</v>
      </c>
      <c r="O325" s="4">
        <f>IF(AND(Panchanga!$P325&lt;28.5,Panchanga!$P325&gt;0.49999),MOD((Panchanga!$P325-0.5)*2,7),MOD((Panchanga!$P325+30-28.5),30)*2+7)</f>
        <v>1.5242000000000004</v>
      </c>
      <c r="P325" s="4">
        <f>ROUNDUP(MOD(360+P[Moon]-P[Sun],360)/12,4)</f>
        <v>15.2621</v>
      </c>
      <c r="Q325" s="4">
        <f>ROUNDUP(MOD(P[Sun]+P[Moon],360)/13.333333333,2)</f>
        <v>26.66</v>
      </c>
      <c r="R325" s="4" t="str">
        <f>SIGN(U326-Panchanga!$U325)*INT(Panchanga!$U325/30+1)&amp;"Ma,"&amp;SIGN(V326-Panchanga!$V325)*INT(Panchanga!$V325/30+1)&amp;"Me,"&amp;SIGN(W326-Panchanga!$W325)*INT(Panchanga!$W325/30+1)&amp;"J, "&amp;SIGN(X326-Panchanga!$X325)*INT(Panchanga!$X325/30+1)&amp;"V,"&amp;SIGN(Y326-Panchanga!$Y325)*INT(Panchanga!$Y325/30+1)&amp;"S,"&amp;INT(Panchanga!$Z325/30+1)&amp;"R"</f>
        <v>8Ma,9Me,9J, 11V,9S,3R</v>
      </c>
      <c r="S325" s="4">
        <f t="shared" si="54"/>
        <v>266.11574318249586</v>
      </c>
      <c r="T325" s="4">
        <f t="shared" si="55"/>
        <v>89.259802823430903</v>
      </c>
      <c r="U325" s="4">
        <f>Planet(Panchanga!$E325,4)</f>
        <v>221.02422534449823</v>
      </c>
      <c r="V325" s="4">
        <f>Planet(Panchanga!$E325,2)</f>
        <v>266.36758632195415</v>
      </c>
      <c r="W325" s="4">
        <f>Planet(Panchanga!$E325,5)</f>
        <v>254.84546304482672</v>
      </c>
      <c r="X325" s="4">
        <f>Planet(Panchanga!$E325,3)</f>
        <v>302.54879774479042</v>
      </c>
      <c r="Y325" s="4">
        <f>Planet(Panchanga!$E325,6)</f>
        <v>268.44677270263088</v>
      </c>
      <c r="Z325" s="4">
        <f>Planet(Panchanga!$E325,10)</f>
        <v>73.574910272083827</v>
      </c>
      <c r="AA325" s="4" t="str">
        <f>TEXT(Panchanga!$C325+($C326-Panchanga!$C325)/ABS(IF($P326&lt;1,$P326+30,$P326)-Panchanga!$P325)*(ROUNDUP(Panchanga!$P325,0)-Panchanga!$P325),"hh:mm AM/PM")</f>
        <v>10:38 PM</v>
      </c>
      <c r="AB325" s="4"/>
    </row>
    <row r="326" spans="1:28" x14ac:dyDescent="0.2">
      <c r="A326" s="3">
        <f t="shared" si="50"/>
        <v>43842</v>
      </c>
      <c r="B326" s="3">
        <f t="shared" si="51"/>
        <v>43842.229166666664</v>
      </c>
      <c r="C326" s="15">
        <f t="shared" si="52"/>
        <v>43842.275504476544</v>
      </c>
      <c r="D326" s="15">
        <f t="shared" si="53"/>
        <v>43841.748663405931</v>
      </c>
      <c r="E326" s="17">
        <f>Panchanga!$C326-TimeZone/24</f>
        <v>43842.046337809879</v>
      </c>
      <c r="F326" s="18" t="str">
        <f>INT(P[Sun]/30)&amp;"s"&amp;ROUNDUP(MOD(P[Sun],30),2)</f>
        <v>8s27.14</v>
      </c>
      <c r="G326" s="18" t="str">
        <f>INT(P[Moon]/30)&amp;"s"&amp;ROUNDUP(MOD(P[Moon],30),2)</f>
        <v>3s13.55</v>
      </c>
      <c r="H326" s="14">
        <f t="shared" si="49"/>
        <v>43842.046337809879</v>
      </c>
      <c r="I326" s="4" t="str">
        <f>naks(P[[#This Row],[Moon]])</f>
        <v>Pushya</v>
      </c>
      <c r="J326" s="15">
        <f>(C327-P[[#This Row],[SunRise]])/(T327-P[[#This Row],[Moon]])*(13.3333333333333-MOD(P[[#This Row],[Moon]],13.333333333333))+P[[#This Row],[SunRise]]</f>
        <v>43842.491720501966</v>
      </c>
      <c r="K326" s="4" t="str">
        <f>IF(Panchanga!$P326&gt;15,"K","S")&amp;ROUNDUP(MOD(Panchanga!$P326,15),0)&amp;" ("&amp;ROUND(Panchanga!$P326,2)&amp;")"</f>
        <v>K2 (16.37)</v>
      </c>
      <c r="L326" s="4">
        <f>IF(AND(Panchanga!$P326&lt;28.5,Panchanga!$P326&gt;0.49999),MOD((Panchanga!$P326-0.5)*2,7),MOD((Panchanga!$P326+30-28.5),30)*2+7)</f>
        <v>3.7344000000000008</v>
      </c>
      <c r="M326" s="4" t="str">
        <f>CHOOSE(ROUNDUP(Panchanga!$L326,0),"Bhava","Baalava","Kaulava","Taitula","Garija","Vanija","Vishti","Shakuni","Chatushapda","Naaga","Kimstugna")</f>
        <v>Taitula</v>
      </c>
      <c r="N326" s="11" t="str">
        <f>CHOOSE(ROUNDUP(Panchanga!$Q326,0),"viṣkambha","prīti","āyuṣmāna","saubhāgya","śobhana","atigaṇḍa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("&amp;Panchanga!$Q326&amp;")"</f>
        <v>viṣkambha (0.81)</v>
      </c>
      <c r="O326" s="4">
        <f>IF(AND(Panchanga!$P326&lt;28.5,Panchanga!$P326&gt;0.49999),MOD((Panchanga!$P326-0.5)*2,7),MOD((Panchanga!$P326+30-28.5),30)*2+7)</f>
        <v>3.7344000000000008</v>
      </c>
      <c r="P326" s="4">
        <f>ROUNDUP(MOD(360+P[Moon]-P[Sun],360)/12,4)</f>
        <v>16.3672</v>
      </c>
      <c r="Q326" s="4">
        <f>ROUNDUP(MOD(P[Sun]+P[Moon],360)/13.333333333,2)</f>
        <v>0.81</v>
      </c>
      <c r="R326" s="4" t="str">
        <f>SIGN(U327-Panchanga!$U326)*INT(Panchanga!$U326/30+1)&amp;"Ma,"&amp;SIGN(V327-Panchanga!$V326)*INT(Panchanga!$V326/30+1)&amp;"Me,"&amp;SIGN(W327-Panchanga!$W326)*INT(Panchanga!$W326/30+1)&amp;"J, "&amp;SIGN(X327-Panchanga!$X326)*INT(Panchanga!$X326/30+1)&amp;"V,"&amp;SIGN(Y327-Panchanga!$Y326)*INT(Panchanga!$Y326/30+1)&amp;"S,"&amp;INT(Panchanga!$Z326/30+1)&amp;"R"</f>
        <v>8Ma,9Me,9J, 11V,9S,3R</v>
      </c>
      <c r="S326" s="4">
        <f t="shared" si="54"/>
        <v>267.13455520946087</v>
      </c>
      <c r="T326" s="4">
        <f t="shared" si="55"/>
        <v>103.54012112048571</v>
      </c>
      <c r="U326" s="4">
        <f>Planet(Panchanga!$E326,4)</f>
        <v>221.7002845581701</v>
      </c>
      <c r="V326" s="4">
        <f>Planet(Panchanga!$E326,2)</f>
        <v>268.00915049028276</v>
      </c>
      <c r="W326" s="4">
        <f>Planet(Panchanga!$E326,5)</f>
        <v>255.07387195497756</v>
      </c>
      <c r="X326" s="4">
        <f>Planet(Panchanga!$E326,3)</f>
        <v>303.76520451147883</v>
      </c>
      <c r="Y326" s="4">
        <f>Planet(Panchanga!$E326,6)</f>
        <v>268.56523689602176</v>
      </c>
      <c r="Z326" s="4">
        <f>Planet(Panchanga!$E326,10)</f>
        <v>73.521909912222242</v>
      </c>
      <c r="AA326" s="4" t="str">
        <f>TEXT(Panchanga!$C326+($C327-Panchanga!$C326)/ABS(IF($P327&lt;1,$P327+30,$P327)-Panchanga!$P326)*(ROUNDUP(Panchanga!$P326,0)-Panchanga!$P326),"hh:mm AM/PM")</f>
        <v>08:10 PM</v>
      </c>
      <c r="AB326" s="4"/>
    </row>
    <row r="327" spans="1:28" x14ac:dyDescent="0.2">
      <c r="A327" s="3">
        <f t="shared" si="50"/>
        <v>43843</v>
      </c>
      <c r="B327" s="3">
        <f t="shared" si="51"/>
        <v>43843.229166666664</v>
      </c>
      <c r="C327" s="15">
        <f t="shared" si="52"/>
        <v>43843.275650388714</v>
      </c>
      <c r="D327" s="15">
        <f t="shared" si="53"/>
        <v>43842.749055048029</v>
      </c>
      <c r="E327" s="17">
        <f>Panchanga!$C327-TimeZone/24</f>
        <v>43843.04648372205</v>
      </c>
      <c r="F327" s="18" t="str">
        <f>INT(P[Sun]/30)&amp;"s"&amp;ROUNDUP(MOD(P[Sun],30),2)</f>
        <v>8s28.16</v>
      </c>
      <c r="G327" s="18" t="str">
        <f>INT(P[Moon]/30)&amp;"s"&amp;ROUNDUP(MOD(P[Moon],30),2)</f>
        <v>3s28.01</v>
      </c>
      <c r="H327" s="14">
        <f t="shared" si="49"/>
        <v>43843.04648372205</v>
      </c>
      <c r="I327" s="4" t="str">
        <f>naks(P[[#This Row],[Moon]])</f>
        <v>Aslesha</v>
      </c>
      <c r="J327" s="15">
        <f>(C328-P[[#This Row],[SunRise]])/(T328-P[[#This Row],[Moon]])*(13.3333333333333-MOD(P[[#This Row],[Moon]],13.333333333333))+P[[#This Row],[SunRise]]</f>
        <v>43843.412995061415</v>
      </c>
      <c r="K327" s="4" t="str">
        <f>IF(Panchanga!$P327&gt;15,"K","S")&amp;ROUNDUP(MOD(Panchanga!$P327,15),0)&amp;" ("&amp;ROUND(Panchanga!$P327,2)&amp;")"</f>
        <v>K3 (17.49)</v>
      </c>
      <c r="L327" s="4">
        <f>IF(AND(Panchanga!$P327&lt;28.5,Panchanga!$P327&gt;0.49999),MOD((Panchanga!$P327-0.5)*2,7),MOD((Panchanga!$P327+30-28.5),30)*2+7)</f>
        <v>5.9750000000000014</v>
      </c>
      <c r="M327" s="4" t="str">
        <f>CHOOSE(ROUNDUP(Panchanga!$L327,0),"Bhava","Baalava","Kaulava","Taitula","Garija","Vanija","Vishti","Shakuni","Chatushapda","Naaga","Kimstugna")</f>
        <v>Vanija</v>
      </c>
      <c r="N327" s="11" t="str">
        <f>CHOOSE(ROUNDUP(Panchanga!$Q327,0),"viṣkambha","prīti","āyuṣmāna","saubhāgya","śobhana","atigaṇḍa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("&amp;Panchanga!$Q327&amp;")"</f>
        <v>prīti (1.97)</v>
      </c>
      <c r="O327" s="4">
        <f>IF(AND(Panchanga!$P327&lt;28.5,Panchanga!$P327&gt;0.49999),MOD((Panchanga!$P327-0.5)*2,7),MOD((Panchanga!$P327+30-28.5),30)*2+7)</f>
        <v>5.9750000000000014</v>
      </c>
      <c r="P327" s="4">
        <f>ROUNDUP(MOD(360+P[Moon]-P[Sun],360)/12,4)</f>
        <v>17.487500000000001</v>
      </c>
      <c r="Q327" s="4">
        <f>ROUNDUP(MOD(P[Sun]+P[Moon],360)/13.333333333,2)</f>
        <v>1.97</v>
      </c>
      <c r="R327" s="4" t="str">
        <f>SIGN(U328-Panchanga!$U327)*INT(Panchanga!$U327/30+1)&amp;"Ma,"&amp;SIGN(V328-Panchanga!$V327)*INT(Panchanga!$V327/30+1)&amp;"Me,"&amp;SIGN(W328-Panchanga!$W327)*INT(Panchanga!$W327/30+1)&amp;"J, "&amp;SIGN(X328-Panchanga!$X327)*INT(Panchanga!$X327/30+1)&amp;"V,"&amp;SIGN(Y328-Panchanga!$Y327)*INT(Panchanga!$Y327/30+1)&amp;"S,"&amp;INT(Panchanga!$Z327/30+1)&amp;"R"</f>
        <v>8Ma,9Me,9J, 11V,9S,3R</v>
      </c>
      <c r="S327" s="4">
        <f t="shared" si="54"/>
        <v>268.15329715317728</v>
      </c>
      <c r="T327" s="4">
        <f t="shared" si="55"/>
        <v>118.0025169635384</v>
      </c>
      <c r="U327" s="4">
        <f>Planet(Panchanga!$E327,4)</f>
        <v>222.37671317148482</v>
      </c>
      <c r="V327" s="4">
        <f>Planet(Panchanga!$E327,2)</f>
        <v>269.65823226670148</v>
      </c>
      <c r="W327" s="4">
        <f>Planet(Panchanga!$E327,5)</f>
        <v>255.3019700368782</v>
      </c>
      <c r="X327" s="4">
        <f>Planet(Panchanga!$E327,3)</f>
        <v>304.98055852914899</v>
      </c>
      <c r="Y327" s="4">
        <f>Planet(Panchanga!$E327,6)</f>
        <v>268.6838443049358</v>
      </c>
      <c r="Z327" s="4">
        <f>Planet(Panchanga!$E327,10)</f>
        <v>73.468910184065265</v>
      </c>
      <c r="AA327" s="4" t="str">
        <f>TEXT(Panchanga!$C327+($C328-Panchanga!$C327)/ABS(IF($P328&lt;1,$P328+30,$P328)-Panchanga!$P327)*(ROUNDUP(Panchanga!$P327,0)-Panchanga!$P327),"hh:mm AM/PM")</f>
        <v>05:31 PM</v>
      </c>
      <c r="AB327" s="4"/>
    </row>
    <row r="328" spans="1:28" x14ac:dyDescent="0.2">
      <c r="A328" s="3">
        <f t="shared" si="50"/>
        <v>43844</v>
      </c>
      <c r="B328" s="3">
        <f t="shared" si="51"/>
        <v>43844.229166666664</v>
      </c>
      <c r="C328" s="15">
        <f t="shared" si="52"/>
        <v>43844.275784379955</v>
      </c>
      <c r="D328" s="15">
        <f t="shared" si="53"/>
        <v>43843.749444942034</v>
      </c>
      <c r="E328" s="17">
        <f>Panchanga!$C328-TimeZone/24</f>
        <v>43844.046617713291</v>
      </c>
      <c r="F328" s="18" t="str">
        <f>INT(P[Sun]/30)&amp;"s"&amp;ROUNDUP(MOD(P[Sun],30),2)</f>
        <v>8s29.18</v>
      </c>
      <c r="G328" s="18" t="str">
        <f>INT(P[Moon]/30)&amp;"s"&amp;ROUNDUP(MOD(P[Moon],30),2)</f>
        <v>4s12.55</v>
      </c>
      <c r="H328" s="14">
        <f t="shared" si="49"/>
        <v>43844.046617713291</v>
      </c>
      <c r="I328" s="4" t="str">
        <f>naks(P[[#This Row],[Moon]])</f>
        <v>Makha</v>
      </c>
      <c r="J328" s="15">
        <f>(C329-P[[#This Row],[SunRise]])/(T329-P[[#This Row],[Moon]])*(13.3333333333333-MOD(P[[#This Row],[Moon]],13.333333333333))+P[[#This Row],[SunRise]]</f>
        <v>43844.329836998426</v>
      </c>
      <c r="K328" s="4" t="str">
        <f>IF(Panchanga!$P328&gt;15,"K","S")&amp;ROUNDUP(MOD(Panchanga!$P328,15),0)&amp;" ("&amp;ROUND(Panchanga!$P328,2)&amp;")"</f>
        <v>K4 (18.61)</v>
      </c>
      <c r="L328" s="4">
        <f>IF(AND(Panchanga!$P328&lt;28.5,Panchanga!$P328&gt;0.49999),MOD((Panchanga!$P328-0.5)*2,7),MOD((Panchanga!$P328+30-28.5),30)*2+7)</f>
        <v>1.2293999999999983</v>
      </c>
      <c r="M328" s="4" t="str">
        <f>CHOOSE(ROUNDUP(Panchanga!$L328,0),"Bhava","Baalava","Kaulava","Taitula","Garija","Vanija","Vishti","Shakuni","Chatushapda","Naaga","Kimstugna")</f>
        <v>Baalava</v>
      </c>
      <c r="N328" s="11" t="str">
        <f>CHOOSE(ROUNDUP(Panchanga!$Q328,0),"viṣkambha","prīti","āyuṣmāna","saubhāgya","śobhana","atigaṇḍa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("&amp;Panchanga!$Q328&amp;")"</f>
        <v>saubhāgya (3.13)</v>
      </c>
      <c r="O328" s="4">
        <f>IF(AND(Panchanga!$P328&lt;28.5,Panchanga!$P328&gt;0.49999),MOD((Panchanga!$P328-0.5)*2,7),MOD((Panchanga!$P328+30-28.5),30)*2+7)</f>
        <v>1.2293999999999983</v>
      </c>
      <c r="P328" s="4">
        <f>ROUNDUP(MOD(360+P[Moon]-P[Sun],360)/12,4)</f>
        <v>18.614699999999999</v>
      </c>
      <c r="Q328" s="4">
        <f>ROUNDUP(MOD(P[Sun]+P[Moon],360)/13.333333333,2)</f>
        <v>3.13</v>
      </c>
      <c r="R328" s="4" t="str">
        <f>SIGN(U329-Panchanga!$U328)*INT(Panchanga!$U328/30+1)&amp;"Ma,"&amp;SIGN(V329-Panchanga!$V328)*INT(Panchanga!$V328/30+1)&amp;"Me,"&amp;SIGN(W329-Panchanga!$W328)*INT(Panchanga!$W328/30+1)&amp;"J, "&amp;SIGN(X329-Panchanga!$X328)*INT(Panchanga!$X328/30+1)&amp;"V,"&amp;SIGN(Y329-Panchanga!$Y328)*INT(Panchanga!$Y328/30+1)&amp;"S,"&amp;INT(Panchanga!$Z328/30+1)&amp;"R"</f>
        <v>8Ma,10Me,9J, 11V,9S,3R</v>
      </c>
      <c r="S328" s="4">
        <f t="shared" si="54"/>
        <v>269.17197842693992</v>
      </c>
      <c r="T328" s="4">
        <f t="shared" si="55"/>
        <v>132.54804422979501</v>
      </c>
      <c r="U328" s="4">
        <f>Planet(Panchanga!$E328,4)</f>
        <v>223.05351499092697</v>
      </c>
      <c r="V328" s="4">
        <f>Planet(Panchanga!$E328,2)</f>
        <v>271.31494912044639</v>
      </c>
      <c r="W328" s="4">
        <f>Planet(Panchanga!$E328,5)</f>
        <v>255.52973777266806</v>
      </c>
      <c r="X328" s="4">
        <f>Planet(Panchanga!$E328,3)</f>
        <v>306.19484482701517</v>
      </c>
      <c r="Y328" s="4">
        <f>Planet(Panchanga!$E328,6)</f>
        <v>268.801780618404</v>
      </c>
      <c r="Z328" s="4">
        <f>Planet(Panchanga!$E328,10)</f>
        <v>73.41591108762951</v>
      </c>
      <c r="AA328" s="4" t="str">
        <f>TEXT(Panchanga!$C328+($C329-Panchanga!$C328)/ABS(IF($P329&lt;1,$P329+30,$P329)-Panchanga!$P328)*(ROUNDUP(Panchanga!$P328,0)-Panchanga!$P328),"hh:mm AM/PM")</f>
        <v>02:49 PM</v>
      </c>
      <c r="AB328" s="4"/>
    </row>
    <row r="329" spans="1:28" x14ac:dyDescent="0.2">
      <c r="A329" s="3">
        <f t="shared" si="50"/>
        <v>43845</v>
      </c>
      <c r="B329" s="3">
        <f t="shared" si="51"/>
        <v>43845.229166666664</v>
      </c>
      <c r="C329" s="15">
        <f t="shared" si="52"/>
        <v>43845.275906291012</v>
      </c>
      <c r="D329" s="15">
        <f t="shared" si="53"/>
        <v>43844.749832610643</v>
      </c>
      <c r="E329" s="17">
        <f>Panchanga!$C329-TimeZone/24</f>
        <v>43845.046739624348</v>
      </c>
      <c r="F329" s="18" t="str">
        <f>INT(P[Sun]/30)&amp;"s"&amp;ROUNDUP(MOD(P[Sun],30),2)</f>
        <v>9s0.2</v>
      </c>
      <c r="G329" s="18" t="str">
        <f>INT(P[Moon]/30)&amp;"s"&amp;ROUNDUP(MOD(P[Moon],30),2)</f>
        <v>4s27.08</v>
      </c>
      <c r="H329" s="14">
        <f t="shared" si="49"/>
        <v>43845.046739624348</v>
      </c>
      <c r="I329" s="4" t="str">
        <f>naks(P[[#This Row],[Moon]])</f>
        <v>Uttara Phalguni</v>
      </c>
      <c r="J329" s="15">
        <f>(C330-P[[#This Row],[SunRise]])/(T330-P[[#This Row],[Moon]])*(13.3333333333333-MOD(P[[#This Row],[Moon]],13.333333333333))+P[[#This Row],[SunRise]]</f>
        <v>43846.171586287943</v>
      </c>
      <c r="K329" s="4" t="str">
        <f>IF(Panchanga!$P329&gt;15,"K","S")&amp;ROUNDUP(MOD(Panchanga!$P329,15),0)&amp;" ("&amp;ROUND(Panchanga!$P329,2)&amp;")"</f>
        <v>K5 (19.74)</v>
      </c>
      <c r="L329" s="4">
        <f>IF(AND(Panchanga!$P329&lt;28.5,Panchanga!$P329&gt;0.49999),MOD((Panchanga!$P329-0.5)*2,7),MOD((Panchanga!$P329+30-28.5),30)*2+7)</f>
        <v>3.4814000000000007</v>
      </c>
      <c r="M329" s="4" t="str">
        <f>CHOOSE(ROUNDUP(Panchanga!$L329,0),"Bhava","Baalava","Kaulava","Taitula","Garija","Vanija","Vishti","Shakuni","Chatushapda","Naaga","Kimstugna")</f>
        <v>Taitula</v>
      </c>
      <c r="N329" s="11" t="str">
        <f>CHOOSE(ROUNDUP(Panchanga!$Q329,0),"viṣkambha","prīti","āyuṣmāna","saubhāgya","śobhana","atigaṇḍa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("&amp;Panchanga!$Q329&amp;")"</f>
        <v>śobhana (4.3)</v>
      </c>
      <c r="O329" s="4">
        <f>IF(AND(Panchanga!$P329&lt;28.5,Panchanga!$P329&gt;0.49999),MOD((Panchanga!$P329-0.5)*2,7),MOD((Panchanga!$P329+30-28.5),30)*2+7)</f>
        <v>3.4814000000000007</v>
      </c>
      <c r="P329" s="4">
        <f>ROUNDUP(MOD(360+P[Moon]-P[Sun],360)/12,4)</f>
        <v>19.7407</v>
      </c>
      <c r="Q329" s="4">
        <f>ROUNDUP(MOD(P[Sun]+P[Moon],360)/13.333333333,2)</f>
        <v>4.3</v>
      </c>
      <c r="R329" s="4" t="str">
        <f>SIGN(U330-Panchanga!$U329)*INT(Panchanga!$U329/30+1)&amp;"Ma,"&amp;SIGN(V330-Panchanga!$V329)*INT(Panchanga!$V329/30+1)&amp;"Me,"&amp;SIGN(W330-Panchanga!$W329)*INT(Panchanga!$W329/30+1)&amp;"J, "&amp;SIGN(X330-Panchanga!$X329)*INT(Panchanga!$X329/30+1)&amp;"V,"&amp;SIGN(Y330-Panchanga!$Y329)*INT(Panchanga!$Y329/30+1)&amp;"S,"&amp;INT(Panchanga!$Z329/30+1)&amp;"R"</f>
        <v>8Ma,10Me,9J, 11V,9S,3R</v>
      </c>
      <c r="S329" s="4">
        <f t="shared" si="54"/>
        <v>270.1906057204431</v>
      </c>
      <c r="T329" s="4">
        <f t="shared" si="55"/>
        <v>147.07804964367156</v>
      </c>
      <c r="U329" s="4">
        <f>Planet(Panchanga!$E329,4)</f>
        <v>223.73069094110323</v>
      </c>
      <c r="V329" s="4">
        <f>Planet(Panchanga!$E329,2)</f>
        <v>272.9793691973926</v>
      </c>
      <c r="W329" s="4">
        <f>Planet(Panchanga!$E329,5)</f>
        <v>255.75715487039625</v>
      </c>
      <c r="X329" s="4">
        <f>Planet(Panchanga!$E329,3)</f>
        <v>307.40804867621813</v>
      </c>
      <c r="Y329" s="4">
        <f>Planet(Panchanga!$E329,6)</f>
        <v>268.92049018814572</v>
      </c>
      <c r="Z329" s="4">
        <f>Planet(Panchanga!$E329,10)</f>
        <v>73.362912631365049</v>
      </c>
      <c r="AA329" s="4" t="str">
        <f>TEXT(Panchanga!$C329+($C330-Panchanga!$C329)/ABS(IF($P330&lt;1,$P330+30,$P330)-Panchanga!$P329)*(ROUNDUP(Panchanga!$P329,0)-Panchanga!$P329),"hh:mm AM/PM")</f>
        <v>12:11 PM</v>
      </c>
      <c r="AB329" s="4"/>
    </row>
    <row r="330" spans="1:28" x14ac:dyDescent="0.2">
      <c r="A330" s="3">
        <f t="shared" si="50"/>
        <v>43846</v>
      </c>
      <c r="B330" s="3">
        <f t="shared" si="51"/>
        <v>43846.229166666664</v>
      </c>
      <c r="C330" s="15">
        <f t="shared" si="52"/>
        <v>43846.276015963558</v>
      </c>
      <c r="D330" s="15">
        <f t="shared" si="53"/>
        <v>43845.750217895067</v>
      </c>
      <c r="E330" s="17">
        <f>Panchanga!$C330-TimeZone/24</f>
        <v>43846.046849296894</v>
      </c>
      <c r="F330" s="18" t="str">
        <f>INT(P[Sun]/30)&amp;"s"&amp;ROUNDUP(MOD(P[Sun],30),2)</f>
        <v>9s1.21</v>
      </c>
      <c r="G330" s="18" t="str">
        <f>INT(P[Moon]/30)&amp;"s"&amp;ROUNDUP(MOD(P[Moon],30),2)</f>
        <v>5s11.51</v>
      </c>
      <c r="H330" s="14">
        <f t="shared" ref="H330:H393" si="56">E330</f>
        <v>43846.046849296894</v>
      </c>
      <c r="I330" s="4" t="str">
        <f>naks(P[[#This Row],[Moon]])</f>
        <v>Hasta</v>
      </c>
      <c r="J330" s="15">
        <f>(C331-P[[#This Row],[SunRise]])/(T331-P[[#This Row],[Moon]])*(13.3333333333333-MOD(P[[#This Row],[Moon]],13.333333333333))+P[[#This Row],[SunRise]]</f>
        <v>43847.105330608065</v>
      </c>
      <c r="K330" s="4" t="str">
        <f>IF(Panchanga!$P330&gt;15,"K","S")&amp;ROUNDUP(MOD(Panchanga!$P330,15),0)&amp;" ("&amp;ROUND(Panchanga!$P330,2)&amp;")"</f>
        <v>K6 (20.86)</v>
      </c>
      <c r="L330" s="4">
        <f>IF(AND(Panchanga!$P330&lt;28.5,Panchanga!$P330&gt;0.49999),MOD((Panchanga!$P330-0.5)*2,7),MOD((Panchanga!$P330+30-28.5),30)*2+7)</f>
        <v>5.7164000000000001</v>
      </c>
      <c r="M330" s="4" t="str">
        <f>CHOOSE(ROUNDUP(Panchanga!$L330,0),"Bhava","Baalava","Kaulava","Taitula","Garija","Vanija","Vishti","Shakuni","Chatushapda","Naaga","Kimstugna")</f>
        <v>Vanija</v>
      </c>
      <c r="N330" s="11" t="str">
        <f>CHOOSE(ROUNDUP(Panchanga!$Q330,0),"viṣkambha","prīti","āyuṣmāna","saubhāgya","śobhana","atigaṇḍa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("&amp;Panchanga!$Q330&amp;")"</f>
        <v>atigaṇḍa  (5.46)</v>
      </c>
      <c r="O330" s="4">
        <f>IF(AND(Panchanga!$P330&lt;28.5,Panchanga!$P330&gt;0.49999),MOD((Panchanga!$P330-0.5)*2,7),MOD((Panchanga!$P330+30-28.5),30)*2+7)</f>
        <v>5.7164000000000001</v>
      </c>
      <c r="P330" s="4">
        <f>ROUNDUP(MOD(360+P[Moon]-P[Sun],360)/12,4)</f>
        <v>20.8582</v>
      </c>
      <c r="Q330" s="4">
        <f>ROUNDUP(MOD(P[Sun]+P[Moon],360)/13.333333333,2)</f>
        <v>5.46</v>
      </c>
      <c r="R330" s="4" t="str">
        <f>SIGN(U331-Panchanga!$U330)*INT(Panchanga!$U330/30+1)&amp;"Ma,"&amp;SIGN(V331-Panchanga!$V330)*INT(Panchanga!$V330/30+1)&amp;"Me,"&amp;SIGN(W331-Panchanga!$W330)*INT(Panchanga!$W330/30+1)&amp;"J, "&amp;SIGN(X331-Panchanga!$X330)*INT(Panchanga!$X330/30+1)&amp;"V,"&amp;SIGN(Y331-Panchanga!$Y330)*INT(Panchanga!$Y330/30+1)&amp;"S,"&amp;INT(Panchanga!$Z330/30+1)&amp;"R"</f>
        <v>8Ma,10Me,9J, 11V,9S,3R</v>
      </c>
      <c r="S330" s="4">
        <f t="shared" si="54"/>
        <v>271.20918180387145</v>
      </c>
      <c r="T330" s="4">
        <f t="shared" si="55"/>
        <v>161.50660402000375</v>
      </c>
      <c r="U330" s="4">
        <f>Planet(Panchanga!$E330,4)</f>
        <v>224.40823903955658</v>
      </c>
      <c r="V330" s="4">
        <f>Planet(Panchanga!$E330,2)</f>
        <v>274.65149987276317</v>
      </c>
      <c r="W330" s="4">
        <f>Planet(Panchanga!$E330,5)</f>
        <v>255.98420007834793</v>
      </c>
      <c r="X330" s="4">
        <f>Planet(Panchanga!$E330,3)</f>
        <v>308.62015442533203</v>
      </c>
      <c r="Y330" s="4">
        <f>Planet(Panchanga!$E330,6)</f>
        <v>269.03899345876602</v>
      </c>
      <c r="Z330" s="4">
        <f>Planet(Panchanga!$E330,10)</f>
        <v>73.309914823639247</v>
      </c>
      <c r="AA330" s="4" t="str">
        <f>TEXT(Panchanga!$C330+($C331-Panchanga!$C330)/ABS(IF($P331&lt;1,$P331+30,$P331)-Panchanga!$P330)*(ROUNDUP(Panchanga!$P330,0)-Panchanga!$P330),"hh:mm AM/PM")</f>
        <v>09:42 AM</v>
      </c>
      <c r="AB330" s="4"/>
    </row>
    <row r="331" spans="1:28" x14ac:dyDescent="0.2">
      <c r="A331" s="3">
        <f t="shared" ref="A331:A394" si="57">A330+1</f>
        <v>43847</v>
      </c>
      <c r="B331" s="3">
        <f t="shared" si="51"/>
        <v>43847.229166666664</v>
      </c>
      <c r="C331" s="15">
        <f t="shared" si="52"/>
        <v>43847.276113397595</v>
      </c>
      <c r="D331" s="15">
        <f t="shared" si="53"/>
        <v>43846.750600477259</v>
      </c>
      <c r="E331" s="17">
        <f>Panchanga!$C331-TimeZone/24</f>
        <v>43847.04694673093</v>
      </c>
      <c r="F331" s="18" t="str">
        <f>INT(P[Sun]/30)&amp;"s"&amp;ROUNDUP(MOD(P[Sun],30),2)</f>
        <v>9s2.23</v>
      </c>
      <c r="G331" s="18" t="str">
        <f>INT(P[Moon]/30)&amp;"s"&amp;ROUNDUP(MOD(P[Moon],30),2)</f>
        <v>5s25.77</v>
      </c>
      <c r="H331" s="14">
        <f t="shared" si="56"/>
        <v>43847.04694673093</v>
      </c>
      <c r="I331" s="4" t="str">
        <f>naks(P[[#This Row],[Moon]])</f>
        <v>Chitra</v>
      </c>
      <c r="J331" s="15">
        <f>(C332-P[[#This Row],[SunRise]])/(T332-P[[#This Row],[Moon]])*(13.3333333333333-MOD(P[[#This Row],[Moon]],13.333333333333))+P[[#This Row],[SunRise]]</f>
        <v>43848.051560242879</v>
      </c>
      <c r="K331" s="4" t="str">
        <f>IF(Panchanga!$P331&gt;15,"K","S")&amp;ROUNDUP(MOD(Panchanga!$P331,15),0)&amp;" ("&amp;ROUND(Panchanga!$P331,2)&amp;")"</f>
        <v>K7 (21.96)</v>
      </c>
      <c r="L331" s="4">
        <f>IF(AND(Panchanga!$P331&lt;28.5,Panchanga!$P331&gt;0.49999),MOD((Panchanga!$P331-0.5)*2,7),MOD((Panchanga!$P331+30-28.5),30)*2+7)</f>
        <v>0.92360000000000042</v>
      </c>
      <c r="M331" s="4" t="str">
        <f>CHOOSE(ROUNDUP(Panchanga!$L331,0),"Bhava","Baalava","Kaulava","Taitula","Garija","Vanija","Vishti","Shakuni","Chatushapda","Naaga","Kimstugna")</f>
        <v>Bhava</v>
      </c>
      <c r="N331" s="11" t="str">
        <f>CHOOSE(ROUNDUP(Panchanga!$Q331,0),"viṣkambha","prīti","āyuṣmāna","saubhāgya","śobhana","atigaṇḍa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("&amp;Panchanga!$Q331&amp;")"</f>
        <v>sukarmā  (6.6)</v>
      </c>
      <c r="O331" s="4">
        <f>IF(AND(Panchanga!$P331&lt;28.5,Panchanga!$P331&gt;0.49999),MOD((Panchanga!$P331-0.5)*2,7),MOD((Panchanga!$P331+30-28.5),30)*2+7)</f>
        <v>0.92360000000000042</v>
      </c>
      <c r="P331" s="4">
        <f>ROUNDUP(MOD(360+P[Moon]-P[Sun],360)/12,4)</f>
        <v>21.9618</v>
      </c>
      <c r="Q331" s="4">
        <f>ROUNDUP(MOD(P[Sun]+P[Moon],360)/13.333333333,2)</f>
        <v>6.6</v>
      </c>
      <c r="R331" s="4" t="str">
        <f>SIGN(U332-Panchanga!$U331)*INT(Panchanga!$U331/30+1)&amp;"Ma,"&amp;SIGN(V332-Panchanga!$V331)*INT(Panchanga!$V331/30+1)&amp;"Me,"&amp;SIGN(W332-Panchanga!$W331)*INT(Panchanga!$W331/30+1)&amp;"J, "&amp;SIGN(X332-Panchanga!$X331)*INT(Panchanga!$X331/30+1)&amp;"V,"&amp;SIGN(Y332-Panchanga!$Y331)*INT(Panchanga!$Y331/30+1)&amp;"S,"&amp;INT(Panchanga!$Z331/30+1)&amp;"R"</f>
        <v>8Ma,10Me,9J, 11V,9S,3R</v>
      </c>
      <c r="S331" s="4">
        <f t="shared" si="54"/>
        <v>272.22770490584588</v>
      </c>
      <c r="T331" s="4">
        <f t="shared" si="55"/>
        <v>175.76884057600549</v>
      </c>
      <c r="U331" s="4">
        <f>Planet(Panchanga!$E331,4)</f>
        <v>225.08615469981515</v>
      </c>
      <c r="V331" s="4">
        <f>Planet(Panchanga!$E331,2)</f>
        <v>276.3312755544037</v>
      </c>
      <c r="W331" s="4">
        <f>Planet(Panchanga!$E331,5)</f>
        <v>256.21085112143959</v>
      </c>
      <c r="X331" s="4">
        <f>Planet(Panchanga!$E331,3)</f>
        <v>309.83114450419163</v>
      </c>
      <c r="Y331" s="4">
        <f>Planet(Panchanga!$E331,6)</f>
        <v>269.15743697144615</v>
      </c>
      <c r="Z331" s="4">
        <f>Planet(Panchanga!$E331,10)</f>
        <v>73.256917664451905</v>
      </c>
      <c r="AA331" s="4" t="str">
        <f>TEXT(Panchanga!$C331+($C332-Panchanga!$C331)/ABS(IF($P332&lt;1,$P332+30,$P332)-Panchanga!$P331)*(ROUNDUP(Panchanga!$P331,0)-Panchanga!$P331),"hh:mm AM/PM")</f>
        <v>07:28 AM</v>
      </c>
      <c r="AB331" s="4"/>
    </row>
    <row r="332" spans="1:28" x14ac:dyDescent="0.2">
      <c r="A332" s="3">
        <f t="shared" si="57"/>
        <v>43848</v>
      </c>
      <c r="B332" s="3">
        <f t="shared" si="51"/>
        <v>43848.229166666664</v>
      </c>
      <c r="C332" s="15">
        <f t="shared" si="52"/>
        <v>43848.276198433399</v>
      </c>
      <c r="D332" s="15">
        <f t="shared" si="53"/>
        <v>43847.750980039636</v>
      </c>
      <c r="E332" s="17">
        <f>Panchanga!$C332-TimeZone/24</f>
        <v>43848.047031766735</v>
      </c>
      <c r="F332" s="18" t="str">
        <f>INT(P[Sun]/30)&amp;"s"&amp;ROUNDUP(MOD(P[Sun],30),2)</f>
        <v>9s3.25</v>
      </c>
      <c r="G332" s="18" t="str">
        <f>INT(P[Moon]/30)&amp;"s"&amp;ROUNDUP(MOD(P[Moon],30),2)</f>
        <v>6s9.83</v>
      </c>
      <c r="H332" s="14">
        <f t="shared" si="56"/>
        <v>43848.047031766735</v>
      </c>
      <c r="I332" s="4" t="str">
        <f>naks(P[[#This Row],[Moon]])</f>
        <v>Swati</v>
      </c>
      <c r="J332" s="15">
        <f>(C333-P[[#This Row],[SunRise]])/(T333-P[[#This Row],[Moon]])*(13.3333333333333-MOD(P[[#This Row],[Moon]],13.333333333333))+P[[#This Row],[SunRise]]</f>
        <v>43849.012197474658</v>
      </c>
      <c r="K332" s="4" t="str">
        <f>IF(Panchanga!$P332&gt;15,"K","S")&amp;ROUNDUP(MOD(Panchanga!$P332,15),0)&amp;" ("&amp;ROUND(Panchanga!$P332,2)&amp;")"</f>
        <v>K9 (23.05)</v>
      </c>
      <c r="L332" s="4">
        <f>IF(AND(Panchanga!$P332&lt;28.5,Panchanga!$P332&gt;0.49999),MOD((Panchanga!$P332-0.5)*2,7),MOD((Panchanga!$P332+30-28.5),30)*2+7)</f>
        <v>3.0964000000000027</v>
      </c>
      <c r="M332" s="4" t="str">
        <f>CHOOSE(ROUNDUP(Panchanga!$L332,0),"Bhava","Baalava","Kaulava","Taitula","Garija","Vanija","Vishti","Shakuni","Chatushapda","Naaga","Kimstugna")</f>
        <v>Taitula</v>
      </c>
      <c r="N332" s="11" t="str">
        <f>CHOOSE(ROUNDUP(Panchanga!$Q332,0),"viṣkambha","prīti","āyuṣmāna","saubhāgya","śobhana","atigaṇḍa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("&amp;Panchanga!$Q332&amp;")"</f>
        <v>dhṛti  (7.74)</v>
      </c>
      <c r="O332" s="4">
        <f>IF(AND(Panchanga!$P332&lt;28.5,Panchanga!$P332&gt;0.49999),MOD((Panchanga!$P332-0.5)*2,7),MOD((Panchanga!$P332+30-28.5),30)*2+7)</f>
        <v>3.0964000000000027</v>
      </c>
      <c r="P332" s="4">
        <f>ROUNDUP(MOD(360+P[Moon]-P[Sun],360)/12,4)</f>
        <v>23.048200000000001</v>
      </c>
      <c r="Q332" s="4">
        <f>ROUNDUP(MOD(P[Sun]+P[Moon],360)/13.333333333,2)</f>
        <v>7.74</v>
      </c>
      <c r="R332" s="4" t="str">
        <f>SIGN(U333-Panchanga!$U332)*INT(Panchanga!$U332/30+1)&amp;"Ma,"&amp;SIGN(V333-Panchanga!$V332)*INT(Panchanga!$V332/30+1)&amp;"Me,"&amp;SIGN(W333-Panchanga!$W332)*INT(Panchanga!$W332/30+1)&amp;"J, "&amp;SIGN(X333-Panchanga!$X332)*INT(Panchanga!$X332/30+1)&amp;"V,"&amp;SIGN(Y333-Panchanga!$Y332)*INT(Panchanga!$Y332/30+1)&amp;"S,"&amp;INT(Panchanga!$Z332/30+1)&amp;"R"</f>
        <v>8Ma,10Me,9J, 11V,9S,3R</v>
      </c>
      <c r="S332" s="4">
        <f t="shared" si="54"/>
        <v>273.24616815613933</v>
      </c>
      <c r="T332" s="4">
        <f t="shared" si="55"/>
        <v>189.82364376773913</v>
      </c>
      <c r="U332" s="4">
        <f>Planet(Panchanga!$E332,4)</f>
        <v>225.7644309294528</v>
      </c>
      <c r="V332" s="4">
        <f>Planet(Panchanga!$E332,2)</f>
        <v>278.01854296785649</v>
      </c>
      <c r="W332" s="4">
        <f>Planet(Panchanga!$E332,5)</f>
        <v>256.43708463777091</v>
      </c>
      <c r="X332" s="4">
        <f>Planet(Panchanga!$E332,3)</f>
        <v>311.04099815221201</v>
      </c>
      <c r="Y332" s="4">
        <f>Planet(Panchanga!$E332,6)</f>
        <v>269.2758173198809</v>
      </c>
      <c r="Z332" s="4">
        <f>Planet(Panchanga!$E332,10)</f>
        <v>73.203921162302862</v>
      </c>
      <c r="AA332" s="4" t="str">
        <f>TEXT(Panchanga!$C332+($C333-Panchanga!$C332)/ABS(IF($P333&lt;1,$P333+30,$P333)-Panchanga!$P332)*(ROUNDUP(Panchanga!$P332,0)-Panchanga!$P332),"hh:mm AM/PM")</f>
        <v>04:01 AM</v>
      </c>
      <c r="AB332" s="4"/>
    </row>
    <row r="333" spans="1:28" x14ac:dyDescent="0.2">
      <c r="A333" s="3">
        <f t="shared" si="57"/>
        <v>43849</v>
      </c>
      <c r="B333" s="3">
        <f t="shared" si="51"/>
        <v>43849.229166666664</v>
      </c>
      <c r="C333" s="15">
        <f t="shared" si="52"/>
        <v>43849.276271071438</v>
      </c>
      <c r="D333" s="15">
        <f t="shared" si="53"/>
        <v>43848.751356422945</v>
      </c>
      <c r="E333" s="17">
        <f>Panchanga!$C333-TimeZone/24</f>
        <v>43849.047104404774</v>
      </c>
      <c r="F333" s="18" t="str">
        <f>INT(P[Sun]/30)&amp;"s"&amp;ROUNDUP(MOD(P[Sun],30),2)</f>
        <v>9s4.27</v>
      </c>
      <c r="G333" s="18" t="str">
        <f>INT(P[Moon]/30)&amp;"s"&amp;ROUNDUP(MOD(P[Moon],30),2)</f>
        <v>6s23.66</v>
      </c>
      <c r="H333" s="14">
        <f t="shared" si="56"/>
        <v>43849.047104404774</v>
      </c>
      <c r="I333" s="4" t="str">
        <f>naks(P[[#This Row],[Moon]])</f>
        <v>Visakha</v>
      </c>
      <c r="J333" s="15">
        <f>(C334-P[[#This Row],[SunRise]])/(T334-P[[#This Row],[Moon]])*(13.3333333333333-MOD(P[[#This Row],[Moon]],13.333333333333))+P[[#This Row],[SunRise]]</f>
        <v>43849.988422736722</v>
      </c>
      <c r="K333" s="4" t="str">
        <f>IF(Panchanga!$P333&gt;15,"K","S")&amp;ROUNDUP(MOD(Panchanga!$P333,15),0)&amp;" ("&amp;ROUND(Panchanga!$P333,2)&amp;")"</f>
        <v>K10 (24.12)</v>
      </c>
      <c r="L333" s="4">
        <f>IF(AND(Panchanga!$P333&lt;28.5,Panchanga!$P333&gt;0.49999),MOD((Panchanga!$P333-0.5)*2,7),MOD((Panchanga!$P333+30-28.5),30)*2+7)</f>
        <v>5.2312000000000012</v>
      </c>
      <c r="M333" s="4" t="str">
        <f>CHOOSE(ROUNDUP(Panchanga!$L333,0),"Bhava","Baalava","Kaulava","Taitula","Garija","Vanija","Vishti","Shakuni","Chatushapda","Naaga","Kimstugna")</f>
        <v>Vanija</v>
      </c>
      <c r="N333" s="11" t="str">
        <f>CHOOSE(ROUNDUP(Panchanga!$Q333,0),"viṣkambha","prīti","āyuṣmāna","saubhāgya","śobhana","atigaṇḍa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("&amp;Panchanga!$Q333&amp;")"</f>
        <v>śūla  (8.85)</v>
      </c>
      <c r="O333" s="4">
        <f>IF(AND(Panchanga!$P333&lt;28.5,Panchanga!$P333&gt;0.49999),MOD((Panchanga!$P333-0.5)*2,7),MOD((Panchanga!$P333+30-28.5),30)*2+7)</f>
        <v>5.2312000000000012</v>
      </c>
      <c r="P333" s="4">
        <f>ROUNDUP(MOD(360+P[Moon]-P[Sun],360)/12,4)</f>
        <v>24.115600000000001</v>
      </c>
      <c r="Q333" s="4">
        <f>ROUNDUP(MOD(P[Sun]+P[Moon],360)/13.333333333,2)</f>
        <v>8.85</v>
      </c>
      <c r="R333" s="4" t="str">
        <f>SIGN(U334-Panchanga!$U333)*INT(Panchanga!$U333/30+1)&amp;"Ma,"&amp;SIGN(V334-Panchanga!$V333)*INT(Panchanga!$V333/30+1)&amp;"Me,"&amp;SIGN(W334-Panchanga!$W333)*INT(Panchanga!$W333/30+1)&amp;"J, "&amp;SIGN(X334-Panchanga!$X333)*INT(Panchanga!$X333/30+1)&amp;"V,"&amp;SIGN(Y334-Panchanga!$Y333)*INT(Panchanga!$Y333/30+1)&amp;"S,"&amp;INT(Panchanga!$Z333/30+1)&amp;"R"</f>
        <v>8Ma,10Me,9J, 11V,9S,3R</v>
      </c>
      <c r="S333" s="4">
        <f t="shared" si="54"/>
        <v>274.26456008305098</v>
      </c>
      <c r="T333" s="4">
        <f t="shared" si="55"/>
        <v>203.65123708284432</v>
      </c>
      <c r="U333" s="4">
        <f>Planet(Panchanga!$E333,4)</f>
        <v>226.44305906740513</v>
      </c>
      <c r="V333" s="4">
        <f>Planet(Panchanga!$E333,2)</f>
        <v>279.71304533497306</v>
      </c>
      <c r="W333" s="4">
        <f>Planet(Panchanga!$E333,5)</f>
        <v>256.66287633647937</v>
      </c>
      <c r="X333" s="4">
        <f>Planet(Panchanga!$E333,3)</f>
        <v>312.24969122031763</v>
      </c>
      <c r="Y333" s="4">
        <f>Planet(Panchanga!$E333,6)</f>
        <v>269.39411905744095</v>
      </c>
      <c r="Z333" s="4">
        <f>Planet(Panchanga!$E333,10)</f>
        <v>73.150925317109426</v>
      </c>
      <c r="AA333" s="4" t="str">
        <f>TEXT(Panchanga!$C333+($C334-Panchanga!$C333)/ABS(IF($P334&lt;1,$P334+30,$P334)-Panchanga!$P333)*(ROUNDUP(Panchanga!$P333,0)-Panchanga!$P333),"hh:mm AM/PM")</f>
        <v>02:52 AM</v>
      </c>
      <c r="AB333" s="4"/>
    </row>
    <row r="334" spans="1:28" x14ac:dyDescent="0.2">
      <c r="A334" s="3">
        <f t="shared" si="57"/>
        <v>43850</v>
      </c>
      <c r="B334" s="3">
        <f t="shared" si="51"/>
        <v>43850.229166666664</v>
      </c>
      <c r="C334" s="15">
        <f t="shared" si="52"/>
        <v>43850.276330994129</v>
      </c>
      <c r="D334" s="15">
        <f t="shared" si="53"/>
        <v>43849.751729150812</v>
      </c>
      <c r="E334" s="17">
        <f>Panchanga!$C334-TimeZone/24</f>
        <v>43850.047164327465</v>
      </c>
      <c r="F334" s="18" t="str">
        <f>INT(P[Sun]/30)&amp;"s"&amp;ROUNDUP(MOD(P[Sun],30),2)</f>
        <v>9s5.29</v>
      </c>
      <c r="G334" s="18" t="str">
        <f>INT(P[Moon]/30)&amp;"s"&amp;ROUNDUP(MOD(P[Moon],30),2)</f>
        <v>7s7.25</v>
      </c>
      <c r="H334" s="14">
        <f t="shared" si="56"/>
        <v>43850.047164327465</v>
      </c>
      <c r="I334" s="4" t="str">
        <f>naks(P[[#This Row],[Moon]])</f>
        <v>Anuradha</v>
      </c>
      <c r="J334" s="15">
        <f>(C335-P[[#This Row],[SunRise]])/(T335-P[[#This Row],[Moon]])*(13.3333333333333-MOD(P[[#This Row],[Moon]],13.333333333333))+P[[#This Row],[SunRise]]</f>
        <v>43850.980833667163</v>
      </c>
      <c r="K334" s="4" t="str">
        <f>IF(Panchanga!$P334&gt;15,"K","S")&amp;ROUNDUP(MOD(Panchanga!$P334,15),0)&amp;" ("&amp;ROUND(Panchanga!$P334,2)&amp;")"</f>
        <v>K11 (25.16)</v>
      </c>
      <c r="L334" s="4">
        <f>IF(AND(Panchanga!$P334&lt;28.5,Panchanga!$P334&gt;0.49999),MOD((Panchanga!$P334-0.5)*2,7),MOD((Panchanga!$P334+30-28.5),30)*2+7)</f>
        <v>0.32759999999999678</v>
      </c>
      <c r="M334" s="4" t="str">
        <f>CHOOSE(ROUNDUP(Panchanga!$L334,0),"Bhava","Baalava","Kaulava","Taitula","Garija","Vanija","Vishti","Shakuni","Chatushapda","Naaga","Kimstugna")</f>
        <v>Bhava</v>
      </c>
      <c r="N334" s="11" t="str">
        <f>CHOOSE(ROUNDUP(Panchanga!$Q334,0),"viṣkambha","prīti","āyuṣmāna","saubhāgya","śobhana","atigaṇḍa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("&amp;Panchanga!$Q334&amp;")"</f>
        <v>gaṇḍa  (9.94)</v>
      </c>
      <c r="O334" s="4">
        <f>IF(AND(Panchanga!$P334&lt;28.5,Panchanga!$P334&gt;0.49999),MOD((Panchanga!$P334-0.5)*2,7),MOD((Panchanga!$P334+30-28.5),30)*2+7)</f>
        <v>0.32759999999999678</v>
      </c>
      <c r="P334" s="4">
        <f>ROUNDUP(MOD(360+P[Moon]-P[Sun],360)/12,4)</f>
        <v>25.163799999999998</v>
      </c>
      <c r="Q334" s="4">
        <f>ROUNDUP(MOD(P[Sun]+P[Moon],360)/13.333333333,2)</f>
        <v>9.94</v>
      </c>
      <c r="R334" s="4" t="str">
        <f>SIGN(U335-Panchanga!$U334)*INT(Panchanga!$U334/30+1)&amp;"Ma,"&amp;SIGN(V335-Panchanga!$V334)*INT(Panchanga!$V334/30+1)&amp;"Me,"&amp;SIGN(W335-Panchanga!$W334)*INT(Panchanga!$W334/30+1)&amp;"J, "&amp;SIGN(X335-Panchanga!$X334)*INT(Panchanga!$X334/30+1)&amp;"V,"&amp;SIGN(Y335-Panchanga!$Y334)*INT(Panchanga!$Y334/30+1)&amp;"S,"&amp;INT(Panchanga!$Z334/30+1)&amp;"R"</f>
        <v>8Ma,10Me,9J, 11V,9S,3R</v>
      </c>
      <c r="S334" s="4">
        <f t="shared" si="54"/>
        <v>275.28286455357483</v>
      </c>
      <c r="T334" s="4">
        <f t="shared" si="55"/>
        <v>217.24760552476141</v>
      </c>
      <c r="U334" s="4">
        <f>Planet(Panchanga!$E334,4)</f>
        <v>227.12202901557893</v>
      </c>
      <c r="V334" s="4">
        <f>Planet(Panchanga!$E334,2)</f>
        <v>281.41440258468106</v>
      </c>
      <c r="W334" s="4">
        <f>Planet(Panchanga!$E334,5)</f>
        <v>256.88820102343641</v>
      </c>
      <c r="X334" s="4">
        <f>Planet(Panchanga!$E334,3)</f>
        <v>313.45719524001981</v>
      </c>
      <c r="Y334" s="4">
        <f>Planet(Panchanga!$E334,6)</f>
        <v>269.51232366969077</v>
      </c>
      <c r="Z334" s="4">
        <f>Planet(Panchanga!$E334,10)</f>
        <v>73.097930145738417</v>
      </c>
      <c r="AA334" s="4" t="str">
        <f>TEXT(Panchanga!$C334+($C335-Panchanga!$C334)/ABS(IF($P335&lt;1,$P335+30,$P335)-Panchanga!$P334)*(ROUNDUP(Panchanga!$P334,0)-Panchanga!$P334),"hh:mm AM/PM")</f>
        <v>02:07 AM</v>
      </c>
      <c r="AB334" s="4"/>
    </row>
    <row r="335" spans="1:28" x14ac:dyDescent="0.2">
      <c r="A335" s="3">
        <f t="shared" si="57"/>
        <v>43851</v>
      </c>
      <c r="B335" s="3">
        <f t="shared" si="51"/>
        <v>43851.229166666664</v>
      </c>
      <c r="C335" s="15">
        <f t="shared" si="52"/>
        <v>43851.276378359798</v>
      </c>
      <c r="D335" s="15">
        <f t="shared" si="53"/>
        <v>43850.752098063982</v>
      </c>
      <c r="E335" s="17">
        <f>Panchanga!$C335-TimeZone/24</f>
        <v>43851.047211693134</v>
      </c>
      <c r="F335" s="18" t="str">
        <f>INT(P[Sun]/30)&amp;"s"&amp;ROUNDUP(MOD(P[Sun],30),2)</f>
        <v>9s6.31</v>
      </c>
      <c r="G335" s="18" t="str">
        <f>INT(P[Moon]/30)&amp;"s"&amp;ROUNDUP(MOD(P[Moon],30),2)</f>
        <v>7s20.62</v>
      </c>
      <c r="H335" s="14">
        <f t="shared" si="56"/>
        <v>43851.047211693134</v>
      </c>
      <c r="I335" s="4" t="str">
        <f>naks(P[[#This Row],[Moon]])</f>
        <v>Jyestha</v>
      </c>
      <c r="J335" s="15">
        <f>(C336-P[[#This Row],[SunRise]])/(T336-P[[#This Row],[Moon]])*(13.3333333333333-MOD(P[[#This Row],[Moon]],13.333333333333))+P[[#This Row],[SunRise]]</f>
        <v>43851.989670932606</v>
      </c>
      <c r="K335" s="4" t="str">
        <f>IF(Panchanga!$P335&gt;15,"K","S")&amp;ROUNDUP(MOD(Panchanga!$P335,15),0)&amp;" ("&amp;ROUND(Panchanga!$P335,2)&amp;")"</f>
        <v>K12 (26.19)</v>
      </c>
      <c r="L335" s="4">
        <f>IF(AND(Panchanga!$P335&lt;28.5,Panchanga!$P335&gt;0.49999),MOD((Panchanga!$P335-0.5)*2,7),MOD((Panchanga!$P335+30-28.5),30)*2+7)</f>
        <v>2.3862000000000023</v>
      </c>
      <c r="M335" s="4" t="str">
        <f>CHOOSE(ROUNDUP(Panchanga!$L335,0),"Bhava","Baalava","Kaulava","Taitula","Garija","Vanija","Vishti","Shakuni","Chatushapda","Naaga","Kimstugna")</f>
        <v>Kaulava</v>
      </c>
      <c r="N335" s="11" t="str">
        <f>CHOOSE(ROUNDUP(Panchanga!$Q335,0),"viṣkambha","prīti","āyuṣmāna","saubhāgya","śobhana","atigaṇḍa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("&amp;Panchanga!$Q335&amp;")"</f>
        <v>dhruva  (11.02)</v>
      </c>
      <c r="O335" s="4">
        <f>IF(AND(Panchanga!$P335&lt;28.5,Panchanga!$P335&gt;0.49999),MOD((Panchanga!$P335-0.5)*2,7),MOD((Panchanga!$P335+30-28.5),30)*2+7)</f>
        <v>2.3862000000000023</v>
      </c>
      <c r="P335" s="4">
        <f>ROUNDUP(MOD(360+P[Moon]-P[Sun],360)/12,4)</f>
        <v>26.193100000000001</v>
      </c>
      <c r="Q335" s="4">
        <f>ROUNDUP(MOD(P[Sun]+P[Moon],360)/13.333333333,2)</f>
        <v>11.02</v>
      </c>
      <c r="R335" s="4" t="str">
        <f>SIGN(U336-Panchanga!$U335)*INT(Panchanga!$U335/30+1)&amp;"Ma,"&amp;SIGN(V336-Panchanga!$V335)*INT(Panchanga!$V335/30+1)&amp;"Me,"&amp;SIGN(W336-Panchanga!$W335)*INT(Panchanga!$W335/30+1)&amp;"J, "&amp;SIGN(X336-Panchanga!$X335)*INT(Panchanga!$X335/30+1)&amp;"V,"&amp;SIGN(Y336-Panchanga!$Y335)*INT(Panchanga!$Y335/30+1)&amp;"S,"&amp;INT(Panchanga!$Z335/30+1)&amp;"R"</f>
        <v>8Ma,10Me,9J, 11V,9S,3R</v>
      </c>
      <c r="S335" s="4">
        <f t="shared" si="54"/>
        <v>276.30106220076385</v>
      </c>
      <c r="T335" s="4">
        <f t="shared" si="55"/>
        <v>230.61804064527149</v>
      </c>
      <c r="U335" s="4">
        <f>Planet(Panchanga!$E335,4)</f>
        <v>227.80133034609122</v>
      </c>
      <c r="V335" s="4">
        <f>Planet(Panchanga!$E335,2)</f>
        <v>283.12209061555251</v>
      </c>
      <c r="W335" s="4">
        <f>Planet(Panchanga!$E335,5)</f>
        <v>257.11303294607046</v>
      </c>
      <c r="X335" s="4">
        <f>Planet(Panchanga!$E335,3)</f>
        <v>314.66347822990895</v>
      </c>
      <c r="Y335" s="4">
        <f>Planet(Panchanga!$E335,6)</f>
        <v>269.63041146101472</v>
      </c>
      <c r="Z335" s="4">
        <f>Planet(Panchanga!$E335,10)</f>
        <v>73.044935639789628</v>
      </c>
      <c r="AA335" s="4" t="str">
        <f>TEXT(Panchanga!$C335+($C336-Panchanga!$C335)/ABS(IF($P336&lt;1,$P336+30,$P336)-Panchanga!$P335)*(ROUNDUP(Panchanga!$P335,0)-Panchanga!$P335),"hh:mm AM/PM")</f>
        <v>01:46 AM</v>
      </c>
      <c r="AB335" s="4"/>
    </row>
    <row r="336" spans="1:28" x14ac:dyDescent="0.2">
      <c r="A336" s="3">
        <f t="shared" si="57"/>
        <v>43852</v>
      </c>
      <c r="B336" s="3">
        <f t="shared" si="51"/>
        <v>43852.229166666664</v>
      </c>
      <c r="C336" s="15">
        <f t="shared" si="52"/>
        <v>43852.27641301012</v>
      </c>
      <c r="D336" s="15">
        <f t="shared" si="53"/>
        <v>43851.752462844408</v>
      </c>
      <c r="E336" s="17">
        <f>Panchanga!$C336-TimeZone/24</f>
        <v>43852.047246343456</v>
      </c>
      <c r="F336" s="18" t="str">
        <f>INT(P[Sun]/30)&amp;"s"&amp;ROUNDUP(MOD(P[Sun],30),2)</f>
        <v>9s7.32</v>
      </c>
      <c r="G336" s="18" t="str">
        <f>INT(P[Moon]/30)&amp;"s"&amp;ROUNDUP(MOD(P[Moon],30),2)</f>
        <v>8s3.78</v>
      </c>
      <c r="H336" s="14">
        <f t="shared" si="56"/>
        <v>43852.047246343456</v>
      </c>
      <c r="I336" s="4" t="str">
        <f>naks(P[[#This Row],[Moon]])</f>
        <v>Moola</v>
      </c>
      <c r="J336" s="15">
        <f>(C337-P[[#This Row],[SunRise]])/(T337-P[[#This Row],[Moon]])*(13.3333333333333-MOD(P[[#This Row],[Moon]],13.333333333333))+P[[#This Row],[SunRise]]</f>
        <v>43853.015047811328</v>
      </c>
      <c r="K336" s="4" t="str">
        <f>IF(Panchanga!$P336&gt;15,"K","S")&amp;ROUNDUP(MOD(Panchanga!$P336,15),0)&amp;" ("&amp;ROUND(Panchanga!$P336,2)&amp;")"</f>
        <v>K13 (27.2)</v>
      </c>
      <c r="L336" s="4">
        <f>IF(AND(Panchanga!$P336&lt;28.5,Panchanga!$P336&gt;0.49999),MOD((Panchanga!$P336-0.5)*2,7),MOD((Panchanga!$P336+30-28.5),30)*2+7)</f>
        <v>4.4087999999999994</v>
      </c>
      <c r="M336" s="4" t="str">
        <f>CHOOSE(ROUNDUP(Panchanga!$L336,0),"Bhava","Baalava","Kaulava","Taitula","Garija","Vanija","Vishti","Shakuni","Chatushapda","Naaga","Kimstugna")</f>
        <v>Garija</v>
      </c>
      <c r="N336" s="11" t="str">
        <f>CHOOSE(ROUNDUP(Panchanga!$Q336,0),"viṣkambha","prīti","āyuṣmāna","saubhāgya","śobhana","atigaṇḍa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("&amp;Panchanga!$Q336&amp;")"</f>
        <v>vyāghāta (12.09)</v>
      </c>
      <c r="O336" s="4">
        <f>IF(AND(Panchanga!$P336&lt;28.5,Panchanga!$P336&gt;0.49999),MOD((Panchanga!$P336-0.5)*2,7),MOD((Panchanga!$P336+30-28.5),30)*2+7)</f>
        <v>4.4087999999999994</v>
      </c>
      <c r="P336" s="4">
        <f>ROUNDUP(MOD(360+P[Moon]-P[Sun],360)/12,4)</f>
        <v>27.2044</v>
      </c>
      <c r="Q336" s="4">
        <f>ROUNDUP(MOD(P[Sun]+P[Moon],360)/13.333333333,2)</f>
        <v>12.09</v>
      </c>
      <c r="R336" s="4" t="str">
        <f>SIGN(U337-Panchanga!$U336)*INT(Panchanga!$U336/30+1)&amp;"Ma,"&amp;SIGN(V337-Panchanga!$V336)*INT(Panchanga!$V336/30+1)&amp;"Me,"&amp;SIGN(W337-Panchanga!$W336)*INT(Panchanga!$W336/30+1)&amp;"J, "&amp;SIGN(X337-Panchanga!$X336)*INT(Panchanga!$X336/30+1)&amp;"V,"&amp;SIGN(Y337-Panchanga!$Y336)*INT(Panchanga!$Y336/30+1)&amp;"S,"&amp;INT(Panchanga!$Z336/30+1)&amp;"R"</f>
        <v>8Ma,10Me,9J, 11V,9S,3R</v>
      </c>
      <c r="S336" s="4">
        <f t="shared" si="54"/>
        <v>277.31913039297558</v>
      </c>
      <c r="T336" s="4">
        <f t="shared" si="55"/>
        <v>243.77152744767082</v>
      </c>
      <c r="U336" s="4">
        <f>Planet(Panchanga!$E336,4)</f>
        <v>228.48095232109145</v>
      </c>
      <c r="V336" s="4">
        <f>Planet(Panchanga!$E336,2)</f>
        <v>284.83541418847847</v>
      </c>
      <c r="W336" s="4">
        <f>Planet(Panchanga!$E336,5)</f>
        <v>257.33734580684308</v>
      </c>
      <c r="X336" s="4">
        <f>Planet(Panchanga!$E336,3)</f>
        <v>315.86850377628463</v>
      </c>
      <c r="Y336" s="4">
        <f>Planet(Panchanga!$E336,6)</f>
        <v>269.74836204516305</v>
      </c>
      <c r="Z336" s="4">
        <f>Planet(Panchanga!$E336,10)</f>
        <v>72.991941807646768</v>
      </c>
      <c r="AA336" s="4" t="str">
        <f>TEXT(Panchanga!$C336+($C337-Panchanga!$C336)/ABS(IF($P337&lt;1,$P337+30,$P337)-Panchanga!$P336)*(ROUNDUP(Panchanga!$P336,0)-Panchanga!$P336),"hh:mm AM/PM")</f>
        <v>01:50 AM</v>
      </c>
      <c r="AB336" s="4"/>
    </row>
    <row r="337" spans="1:28" x14ac:dyDescent="0.2">
      <c r="A337" s="3">
        <f t="shared" si="57"/>
        <v>43853</v>
      </c>
      <c r="B337" s="3">
        <f t="shared" si="51"/>
        <v>43853.229166666664</v>
      </c>
      <c r="C337" s="15">
        <f t="shared" si="52"/>
        <v>43853.27643494463</v>
      </c>
      <c r="D337" s="15">
        <f t="shared" si="53"/>
        <v>43852.752823174043</v>
      </c>
      <c r="E337" s="17">
        <f>Panchanga!$C337-TimeZone/24</f>
        <v>43853.047268277965</v>
      </c>
      <c r="F337" s="18" t="str">
        <f>INT(P[Sun]/30)&amp;"s"&amp;ROUNDUP(MOD(P[Sun],30),2)</f>
        <v>9s8.34</v>
      </c>
      <c r="G337" s="18" t="str">
        <f>INT(P[Moon]/30)&amp;"s"&amp;ROUNDUP(MOD(P[Moon],30),2)</f>
        <v>8s16.72</v>
      </c>
      <c r="H337" s="14">
        <f t="shared" si="56"/>
        <v>43853.047268277965</v>
      </c>
      <c r="I337" s="4" t="str">
        <f>naks(P[[#This Row],[Moon]])</f>
        <v>Purva Asadha</v>
      </c>
      <c r="J337" s="15">
        <f>(C338-P[[#This Row],[SunRise]])/(T338-P[[#This Row],[Moon]])*(13.3333333333333-MOD(P[[#This Row],[Moon]],13.333333333333))+P[[#This Row],[SunRise]]</f>
        <v>43854.057099140999</v>
      </c>
      <c r="K337" s="4" t="str">
        <f>IF(Panchanga!$P337&gt;15,"K","S")&amp;ROUNDUP(MOD(Panchanga!$P337,15),0)&amp;" ("&amp;ROUND(Panchanga!$P337,2)&amp;")"</f>
        <v>K14 (28.2)</v>
      </c>
      <c r="L337" s="4">
        <f>IF(AND(Panchanga!$P337&lt;28.5,Panchanga!$P337&gt;0.49999),MOD((Panchanga!$P337-0.5)*2,7),MOD((Panchanga!$P337+30-28.5),30)*2+7)</f>
        <v>6.3967999999999989</v>
      </c>
      <c r="M337" s="4" t="str">
        <f>CHOOSE(ROUNDUP(Panchanga!$L337,0),"Bhava","Baalava","Kaulava","Taitula","Garija","Vanija","Vishti","Shakuni","Chatushapda","Naaga","Kimstugna")</f>
        <v>Vishti</v>
      </c>
      <c r="N337" s="11" t="str">
        <f>CHOOSE(ROUNDUP(Panchanga!$Q337,0),"viṣkambha","prīti","āyuṣmāna","saubhāgya","śobhana","atigaṇḍa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("&amp;Panchanga!$Q337&amp;")"</f>
        <v>harṣaṇa (13.13)</v>
      </c>
      <c r="O337" s="4">
        <f>IF(AND(Panchanga!$P337&lt;28.5,Panchanga!$P337&gt;0.49999),MOD((Panchanga!$P337-0.5)*2,7),MOD((Panchanga!$P337+30-28.5),30)*2+7)</f>
        <v>6.3967999999999989</v>
      </c>
      <c r="P337" s="4">
        <f>ROUNDUP(MOD(360+P[Moon]-P[Sun],360)/12,4)</f>
        <v>28.198399999999999</v>
      </c>
      <c r="Q337" s="4">
        <f>ROUNDUP(MOD(P[Sun]+P[Moon],360)/13.333333333,2)</f>
        <v>13.129999999999999</v>
      </c>
      <c r="R337" s="4" t="str">
        <f>SIGN(U338-Panchanga!$U337)*INT(Panchanga!$U337/30+1)&amp;"Ma,"&amp;SIGN(V338-Panchanga!$V337)*INT(Panchanga!$V337/30+1)&amp;"Me,"&amp;SIGN(W338-Panchanga!$W337)*INT(Panchanga!$W337/30+1)&amp;"J, "&amp;SIGN(X338-Panchanga!$X337)*INT(Panchanga!$X337/30+1)&amp;"V,"&amp;SIGN(Y338-Panchanga!$Y337)*INT(Panchanga!$Y337/30+1)&amp;"S,"&amp;INT(Panchanga!$Z337/30+1)&amp;"R"</f>
        <v>8Ma,10Me,9J, 11V,9S,3R</v>
      </c>
      <c r="S337" s="4">
        <f t="shared" si="54"/>
        <v>278.33704461225039</v>
      </c>
      <c r="T337" s="4">
        <f t="shared" si="55"/>
        <v>256.71705290018286</v>
      </c>
      <c r="U337" s="4">
        <f>Planet(Panchanga!$E337,4)</f>
        <v>229.16088472503111</v>
      </c>
      <c r="V337" s="4">
        <f>Planet(Panchanga!$E337,2)</f>
        <v>286.5534777182786</v>
      </c>
      <c r="W337" s="4">
        <f>Planet(Panchanga!$E337,5)</f>
        <v>257.56111307113093</v>
      </c>
      <c r="X337" s="4">
        <f>Planet(Panchanga!$E337,3)</f>
        <v>317.07223184605505</v>
      </c>
      <c r="Y337" s="4">
        <f>Planet(Panchanga!$E337,6)</f>
        <v>269.86615469464647</v>
      </c>
      <c r="Z337" s="4">
        <f>Planet(Panchanga!$E337,10)</f>
        <v>72.938948649359602</v>
      </c>
      <c r="AA337" s="4" t="str">
        <f>TEXT(Panchanga!$C337+($C338-Panchanga!$C337)/ABS(IF($P338&lt;1,$P338+30,$P338)-Panchanga!$P337)*(ROUNDUP(Panchanga!$P337,0)-Panchanga!$P337),"hh:mm AM/PM")</f>
        <v>02:19 AM</v>
      </c>
      <c r="AB337" s="4"/>
    </row>
    <row r="338" spans="1:28" x14ac:dyDescent="0.2">
      <c r="A338" s="3">
        <f t="shared" si="57"/>
        <v>43854</v>
      </c>
      <c r="B338" s="3">
        <f t="shared" si="51"/>
        <v>43854.229166666664</v>
      </c>
      <c r="C338" s="15">
        <f t="shared" si="52"/>
        <v>43854.276443845745</v>
      </c>
      <c r="D338" s="15">
        <f t="shared" si="53"/>
        <v>43853.753178894563</v>
      </c>
      <c r="E338" s="17">
        <f>Panchanga!$C338-TimeZone/24</f>
        <v>43854.047277179081</v>
      </c>
      <c r="F338" s="18" t="str">
        <f>INT(P[Sun]/30)&amp;"s"&amp;ROUNDUP(MOD(P[Sun],30),2)</f>
        <v>9s9.36</v>
      </c>
      <c r="G338" s="18" t="str">
        <f>INT(P[Moon]/30)&amp;"s"&amp;ROUNDUP(MOD(P[Moon],30),2)</f>
        <v>8s29.47</v>
      </c>
      <c r="H338" s="14">
        <f t="shared" si="56"/>
        <v>43854.047277179081</v>
      </c>
      <c r="I338" s="4" t="str">
        <f>naks(P[[#This Row],[Moon]])</f>
        <v>Uttara Asadha</v>
      </c>
      <c r="J338" s="15">
        <f>(C339-P[[#This Row],[SunRise]])/(T339-P[[#This Row],[Moon]])*(13.3333333333333-MOD(P[[#This Row],[Moon]],13.333333333333))+P[[#This Row],[SunRise]]</f>
        <v>43855.115974789864</v>
      </c>
      <c r="K338" s="4" t="str">
        <f>IF(Panchanga!$P338&gt;15,"K","S")&amp;ROUNDUP(MOD(Panchanga!$P338,15),0)&amp;" ("&amp;ROUND(Panchanga!$P338,2)&amp;")"</f>
        <v>K15 (29.18)</v>
      </c>
      <c r="L338" s="4">
        <f>IF(AND(Panchanga!$P338&lt;28.5,Panchanga!$P338&gt;0.49999),MOD((Panchanga!$P338-0.5)*2,7),MOD((Panchanga!$P338+30-28.5),30)*2+7)</f>
        <v>8.3513999999999982</v>
      </c>
      <c r="M338" s="4" t="str">
        <f>CHOOSE(ROUNDUP(Panchanga!$L338,0),"Bhava","Baalava","Kaulava","Taitula","Garija","Vanija","Vishti","Shakuni","Chatushapda","Naaga","Kimstugna")</f>
        <v>Chatushapda</v>
      </c>
      <c r="N338" s="11" t="str">
        <f>CHOOSE(ROUNDUP(Panchanga!$Q338,0),"viṣkambha","prīti","āyuṣmāna","saubhāgya","śobhana","atigaṇḍa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("&amp;Panchanga!$Q338&amp;")"</f>
        <v>vajra (14.17)</v>
      </c>
      <c r="O338" s="4">
        <f>IF(AND(Panchanga!$P338&lt;28.5,Panchanga!$P338&gt;0.49999),MOD((Panchanga!$P338-0.5)*2,7),MOD((Panchanga!$P338+30-28.5),30)*2+7)</f>
        <v>8.3513999999999982</v>
      </c>
      <c r="P338" s="4">
        <f>ROUNDUP(MOD(360+P[Moon]-P[Sun],360)/12,4)</f>
        <v>29.175699999999999</v>
      </c>
      <c r="Q338" s="4">
        <f>ROUNDUP(MOD(P[Sun]+P[Moon],360)/13.333333333,2)</f>
        <v>14.17</v>
      </c>
      <c r="R338" s="4" t="str">
        <f>SIGN(U339-Panchanga!$U338)*INT(Panchanga!$U338/30+1)&amp;"Ma,"&amp;SIGN(V339-Panchanga!$V338)*INT(Panchanga!$V338/30+1)&amp;"Me,"&amp;SIGN(W339-Panchanga!$W338)*INT(Panchanga!$W338/30+1)&amp;"J, "&amp;SIGN(X339-Panchanga!$X338)*INT(Panchanga!$X338/30+1)&amp;"V,"&amp;SIGN(Y339-Panchanga!$Y338)*INT(Panchanga!$Y338/30+1)&amp;"S,"&amp;INT(Panchanga!$Z338/30+1)&amp;"R"</f>
        <v>8Ma,10Me,9J, 11V,9S,3R</v>
      </c>
      <c r="S338" s="4">
        <f t="shared" si="54"/>
        <v>279.35477890098554</v>
      </c>
      <c r="T338" s="4">
        <f t="shared" si="55"/>
        <v>269.46222857927859</v>
      </c>
      <c r="U338" s="4">
        <f>Planet(Panchanga!$E338,4)</f>
        <v>229.8411179620193</v>
      </c>
      <c r="V338" s="4">
        <f>Planet(Panchanga!$E338,2)</f>
        <v>288.27514962774097</v>
      </c>
      <c r="W338" s="4">
        <f>Planet(Panchanga!$E338,5)</f>
        <v>257.7843080547903</v>
      </c>
      <c r="X338" s="4">
        <f>Planet(Panchanga!$E338,3)</f>
        <v>318.27461862865931</v>
      </c>
      <c r="Y338" s="4">
        <f>Planet(Panchanga!$E338,6)</f>
        <v>269.98376847094903</v>
      </c>
      <c r="Z338" s="4">
        <f>Planet(Panchanga!$E338,10)</f>
        <v>72.88595618172883</v>
      </c>
      <c r="AA338" s="4" t="str">
        <f>TEXT(Panchanga!$C338+($C339-Panchanga!$C338)/ABS(IF($P339&lt;1,$P339+30,$P339)-Panchanga!$P338)*(ROUNDUP(Panchanga!$P338,0)-Panchanga!$P338),"hh:mm AM/PM")</f>
        <v>03:12 AM</v>
      </c>
      <c r="AB338" s="4"/>
    </row>
    <row r="339" spans="1:28" x14ac:dyDescent="0.2">
      <c r="A339" s="3">
        <f t="shared" si="57"/>
        <v>43855</v>
      </c>
      <c r="B339" s="3">
        <f t="shared" si="51"/>
        <v>43855.229166666664</v>
      </c>
      <c r="C339" s="15">
        <f t="shared" si="52"/>
        <v>43855.276439871792</v>
      </c>
      <c r="D339" s="15">
        <f t="shared" si="53"/>
        <v>43854.753529529131</v>
      </c>
      <c r="E339" s="17">
        <f>Panchanga!$C339-TimeZone/24</f>
        <v>43855.047273205128</v>
      </c>
      <c r="F339" s="18" t="str">
        <f>INT(P[Sun]/30)&amp;"s"&amp;ROUNDUP(MOD(P[Sun],30),2)</f>
        <v>9s10.38</v>
      </c>
      <c r="G339" s="18" t="str">
        <f>INT(P[Moon]/30)&amp;"s"&amp;ROUNDUP(MOD(P[Moon],30),2)</f>
        <v>9s12.02</v>
      </c>
      <c r="H339" s="14">
        <f t="shared" si="56"/>
        <v>43855.047273205128</v>
      </c>
      <c r="I339" s="4" t="str">
        <f>naks(P[[#This Row],[Moon]])</f>
        <v>Sravana</v>
      </c>
      <c r="J339" s="15">
        <f>(C340-P[[#This Row],[SunRise]])/(T340-P[[#This Row],[Moon]])*(13.3333333333333-MOD(P[[#This Row],[Moon]],13.333333333333))+P[[#This Row],[SunRise]]</f>
        <v>43856.191641583842</v>
      </c>
      <c r="K339" s="4" t="str">
        <f>IF(Panchanga!$P339&gt;15,"K","S")&amp;ROUNDUP(MOD(Panchanga!$P339,15),0)&amp;" ("&amp;ROUND(Panchanga!$P339,2)&amp;")"</f>
        <v>S1 (0.14)</v>
      </c>
      <c r="L339" s="4">
        <f>IF(AND(Panchanga!$P339&lt;28.5,Panchanga!$P339&gt;0.49999),MOD((Panchanga!$P339-0.5)*2,7),MOD((Panchanga!$P339+30-28.5),30)*2+7)</f>
        <v>10.273800000000001</v>
      </c>
      <c r="M339" s="4" t="str">
        <f>CHOOSE(ROUNDUP(Panchanga!$L339,0),"Bhava","Baalava","Kaulava","Taitula","Garija","Vanija","Vishti","Shakuni","Chatushapda","Naaga","Kimstugna")</f>
        <v>Kimstugna</v>
      </c>
      <c r="N339" s="11" t="str">
        <f>CHOOSE(ROUNDUP(Panchanga!$Q339,0),"viṣkambha","prīti","āyuṣmāna","saubhāgya","śobhana","atigaṇḍa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("&amp;Panchanga!$Q339&amp;")"</f>
        <v>siddhi (15.18)</v>
      </c>
      <c r="O339" s="4">
        <f>IF(AND(Panchanga!$P339&lt;28.5,Panchanga!$P339&gt;0.49999),MOD((Panchanga!$P339-0.5)*2,7),MOD((Panchanga!$P339+30-28.5),30)*2+7)</f>
        <v>10.273800000000001</v>
      </c>
      <c r="P339" s="4">
        <f>ROUNDUP(MOD(360+P[Moon]-P[Sun],360)/12,4)</f>
        <v>0.13689999999999999</v>
      </c>
      <c r="Q339" s="4">
        <f>ROUNDUP(MOD(P[Sun]+P[Moon],360)/13.333333333,2)</f>
        <v>15.18</v>
      </c>
      <c r="R339" s="4" t="str">
        <f>SIGN(U340-Panchanga!$U339)*INT(Panchanga!$U339/30+1)&amp;"Ma,"&amp;SIGN(V340-Panchanga!$V339)*INT(Panchanga!$V339/30+1)&amp;"Me,"&amp;SIGN(W340-Panchanga!$W339)*INT(Panchanga!$W339/30+1)&amp;"J, "&amp;SIGN(X340-Panchanga!$X339)*INT(Panchanga!$X339/30+1)&amp;"V,"&amp;SIGN(Y340-Panchanga!$Y339)*INT(Panchanga!$Y339/30+1)&amp;"S,"&amp;INT(Panchanga!$Z339/30+1)&amp;"R"</f>
        <v>8Ma,10Me,9J, 11V,10S,3R</v>
      </c>
      <c r="S339" s="4">
        <f t="shared" si="54"/>
        <v>280.37230752479206</v>
      </c>
      <c r="T339" s="4">
        <f t="shared" si="55"/>
        <v>282.01415369645281</v>
      </c>
      <c r="U339" s="4">
        <f>Planet(Panchanga!$E339,4)</f>
        <v>230.52164388527731</v>
      </c>
      <c r="V339" s="4">
        <f>Planet(Panchanga!$E339,2)</f>
        <v>289.99902355729915</v>
      </c>
      <c r="W339" s="4">
        <f>Planet(Panchanga!$E339,5)</f>
        <v>258.00690426740681</v>
      </c>
      <c r="X339" s="4">
        <f>Planet(Panchanga!$E339,3)</f>
        <v>319.47561800548192</v>
      </c>
      <c r="Y339" s="4">
        <f>Planet(Panchanga!$E339,6)</f>
        <v>270.10118246299925</v>
      </c>
      <c r="Z339" s="4">
        <f>Planet(Panchanga!$E339,10)</f>
        <v>72.832964396370656</v>
      </c>
      <c r="AA339" s="4" t="str">
        <f>TEXT(Panchanga!$C339+($C340-Panchanga!$C339)/ABS(IF($P340&lt;1,$P340+30,$P340)-Panchanga!$P339)*(ROUNDUP(Panchanga!$P339,0)-Panchanga!$P339),"hh:mm AM/PM")</f>
        <v>04:32 AM</v>
      </c>
      <c r="AB339" s="4"/>
    </row>
    <row r="340" spans="1:28" x14ac:dyDescent="0.2">
      <c r="A340" s="3">
        <f t="shared" si="57"/>
        <v>43856</v>
      </c>
      <c r="B340" s="3">
        <f t="shared" si="51"/>
        <v>43856.229166666664</v>
      </c>
      <c r="C340" s="15">
        <f t="shared" si="52"/>
        <v>43856.27642286491</v>
      </c>
      <c r="D340" s="15">
        <f t="shared" si="53"/>
        <v>43855.753874918024</v>
      </c>
      <c r="E340" s="17">
        <f>Panchanga!$C340-TimeZone/24</f>
        <v>43856.047256198246</v>
      </c>
      <c r="F340" s="18" t="str">
        <f>INT(P[Sun]/30)&amp;"s"&amp;ROUNDUP(MOD(P[Sun],30),2)</f>
        <v>9s11.39</v>
      </c>
      <c r="G340" s="18" t="str">
        <f>INT(P[Moon]/30)&amp;"s"&amp;ROUNDUP(MOD(P[Moon],30),2)</f>
        <v>9s24.39</v>
      </c>
      <c r="H340" s="14">
        <f t="shared" si="56"/>
        <v>43856.047256198246</v>
      </c>
      <c r="I340" s="4" t="str">
        <f>naks(P[[#This Row],[Moon]])</f>
        <v>Dhanistha</v>
      </c>
      <c r="J340" s="15">
        <f>(C341-P[[#This Row],[SunRise]])/(T341-P[[#This Row],[Moon]])*(13.3333333333333-MOD(P[[#This Row],[Moon]],13.333333333333))+P[[#This Row],[SunRise]]</f>
        <v>43857.283514697483</v>
      </c>
      <c r="K340" s="4" t="str">
        <f>IF(Panchanga!$P340&gt;15,"K","S")&amp;ROUNDUP(MOD(Panchanga!$P340,15),0)&amp;" ("&amp;ROUND(Panchanga!$P340,2)&amp;")"</f>
        <v>S2 (1.08)</v>
      </c>
      <c r="L340" s="4">
        <f>IF(AND(Panchanga!$P340&lt;28.5,Panchanga!$P340&gt;0.49999),MOD((Panchanga!$P340-0.5)*2,7),MOD((Panchanga!$P340+30-28.5),30)*2+7)</f>
        <v>1.1654</v>
      </c>
      <c r="M340" s="4" t="str">
        <f>CHOOSE(ROUNDUP(Panchanga!$L340,0),"Bhava","Baalava","Kaulava","Taitula","Garija","Vanija","Vishti","Shakuni","Chatushapda","Naaga","Kimstugna")</f>
        <v>Baalava</v>
      </c>
      <c r="N340" s="11" t="str">
        <f>CHOOSE(ROUNDUP(Panchanga!$Q340,0),"viṣkambha","prīti","āyuṣmāna","saubhāgya","śobhana","atigaṇḍa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("&amp;Panchanga!$Q340&amp;")"</f>
        <v>vyatipāta (16.19)</v>
      </c>
      <c r="O340" s="4">
        <f>IF(AND(Panchanga!$P340&lt;28.5,Panchanga!$P340&gt;0.49999),MOD((Panchanga!$P340-0.5)*2,7),MOD((Panchanga!$P340+30-28.5),30)*2+7)</f>
        <v>1.1654</v>
      </c>
      <c r="P340" s="4">
        <f>ROUNDUP(MOD(360+P[Moon]-P[Sun],360)/12,4)</f>
        <v>1.0827</v>
      </c>
      <c r="Q340" s="4">
        <f>ROUNDUP(MOD(P[Sun]+P[Moon],360)/13.333333333,2)</f>
        <v>16.190000000000001</v>
      </c>
      <c r="R340" s="4" t="str">
        <f>SIGN(U341-Panchanga!$U340)*INT(Panchanga!$U340/30+1)&amp;"Ma,"&amp;SIGN(V341-Panchanga!$V340)*INT(Panchanga!$V340/30+1)&amp;"Me,"&amp;SIGN(W341-Panchanga!$W340)*INT(Panchanga!$W340/30+1)&amp;"J, "&amp;SIGN(X341-Panchanga!$X340)*INT(Panchanga!$X340/30+1)&amp;"V,"&amp;SIGN(Y341-Panchanga!$Y340)*INT(Panchanga!$Y340/30+1)&amp;"S,"&amp;INT(Panchanga!$Z340/30+1)&amp;"R"</f>
        <v>8Ma,10Me,9J, 11V,10S,3R</v>
      </c>
      <c r="S340" s="4">
        <f t="shared" si="54"/>
        <v>281.38960486540304</v>
      </c>
      <c r="T340" s="4">
        <f t="shared" si="55"/>
        <v>294.38190496248501</v>
      </c>
      <c r="U340" s="4">
        <f>Planet(Panchanga!$E340,4)</f>
        <v>231.20245541947185</v>
      </c>
      <c r="V340" s="4">
        <f>Planet(Panchanga!$E340,2)</f>
        <v>291.72337111881717</v>
      </c>
      <c r="W340" s="4">
        <f>Planet(Panchanga!$E340,5)</f>
        <v>258.2288753601606</v>
      </c>
      <c r="X340" s="4">
        <f>Planet(Panchanga!$E340,3)</f>
        <v>320.67518112454206</v>
      </c>
      <c r="Y340" s="4">
        <f>Planet(Panchanga!$E340,6)</f>
        <v>270.21837579478478</v>
      </c>
      <c r="Z340" s="4">
        <f>Planet(Panchanga!$E340,10)</f>
        <v>72.77997330168553</v>
      </c>
      <c r="AA340" s="4" t="str">
        <f>TEXT(Panchanga!$C340+($C341-Panchanga!$C340)/ABS(IF($P341&lt;1,$P341+30,$P341)-Panchanga!$P340)*(ROUNDUP(Panchanga!$P340,0)-Panchanga!$P340),"hh:mm AM/PM")</f>
        <v>06:15 AM</v>
      </c>
      <c r="AB340" s="4"/>
    </row>
    <row r="341" spans="1:28" x14ac:dyDescent="0.2">
      <c r="A341" s="3">
        <f t="shared" si="57"/>
        <v>43857</v>
      </c>
      <c r="B341" s="3">
        <f t="shared" si="51"/>
        <v>43857.229166666664</v>
      </c>
      <c r="C341" s="15">
        <f t="shared" si="52"/>
        <v>43857.27639298296</v>
      </c>
      <c r="D341" s="15">
        <f t="shared" si="53"/>
        <v>43856.754214902918</v>
      </c>
      <c r="E341" s="17">
        <f>Panchanga!$C341-TimeZone/24</f>
        <v>43857.047226316296</v>
      </c>
      <c r="F341" s="18" t="str">
        <f>INT(P[Sun]/30)&amp;"s"&amp;ROUNDUP(MOD(P[Sun],30),2)</f>
        <v>9s12.41</v>
      </c>
      <c r="G341" s="18" t="str">
        <f>INT(P[Moon]/30)&amp;"s"&amp;ROUNDUP(MOD(P[Moon],30),2)</f>
        <v>10s6.58</v>
      </c>
      <c r="H341" s="14">
        <f t="shared" si="56"/>
        <v>43857.047226316296</v>
      </c>
      <c r="I341" s="4" t="str">
        <f>naks(P[[#This Row],[Moon]])</f>
        <v>Dhanistha</v>
      </c>
      <c r="J341" s="15">
        <f>(C342-P[[#This Row],[SunRise]])/(T342-P[[#This Row],[Moon]])*(13.3333333333333-MOD(P[[#This Row],[Moon]],13.333333333333))+P[[#This Row],[SunRise]]</f>
        <v>43857.283601623763</v>
      </c>
      <c r="K341" s="4" t="str">
        <f>IF(Panchanga!$P341&gt;15,"K","S")&amp;ROUNDUP(MOD(Panchanga!$P341,15),0)&amp;" ("&amp;ROUND(Panchanga!$P341,2)&amp;")"</f>
        <v>S3 (2.01)</v>
      </c>
      <c r="L341" s="4">
        <f>IF(AND(Panchanga!$P341&lt;28.5,Panchanga!$P341&gt;0.49999),MOD((Panchanga!$P341-0.5)*2,7),MOD((Panchanga!$P341+30-28.5),30)*2+7)</f>
        <v>3.0290000000000008</v>
      </c>
      <c r="M341" s="4" t="str">
        <f>CHOOSE(ROUNDUP(Panchanga!$L341,0),"Bhava","Baalava","Kaulava","Taitula","Garija","Vanija","Vishti","Shakuni","Chatushapda","Naaga","Kimstugna")</f>
        <v>Taitula</v>
      </c>
      <c r="N341" s="11" t="str">
        <f>CHOOSE(ROUNDUP(Panchanga!$Q341,0),"viṣkambha","prīti","āyuṣmāna","saubhāgya","śobhana","atigaṇḍa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("&amp;Panchanga!$Q341&amp;")"</f>
        <v>varīyas (17.18)</v>
      </c>
      <c r="O341" s="4">
        <f>IF(AND(Panchanga!$P341&lt;28.5,Panchanga!$P341&gt;0.49999),MOD((Panchanga!$P341-0.5)*2,7),MOD((Panchanga!$P341+30-28.5),30)*2+7)</f>
        <v>3.0290000000000008</v>
      </c>
      <c r="P341" s="4">
        <f>ROUNDUP(MOD(360+P[Moon]-P[Sun],360)/12,4)</f>
        <v>2.0145000000000004</v>
      </c>
      <c r="Q341" s="4">
        <f>ROUNDUP(MOD(P[Sun]+P[Moon],360)/13.333333333,2)</f>
        <v>17.180000000000003</v>
      </c>
      <c r="R341" s="4" t="str">
        <f>SIGN(U342-Panchanga!$U341)*INT(Panchanga!$U341/30+1)&amp;"Ma,"&amp;SIGN(V342-Panchanga!$V341)*INT(Panchanga!$V341/30+1)&amp;"Me,"&amp;SIGN(W342-Panchanga!$W341)*INT(Panchanga!$W341/30+1)&amp;"J, "&amp;SIGN(X342-Panchanga!$X341)*INT(Panchanga!$X341/30+1)&amp;"V,"&amp;SIGN(Y342-Panchanga!$Y341)*INT(Panchanga!$Y341/30+1)&amp;"S,"&amp;INT(Panchanga!$Z341/30+1)&amp;"R"</f>
        <v>8Ma,10Me,9J, 11V,10S,3R</v>
      </c>
      <c r="S341" s="4">
        <f t="shared" si="54"/>
        <v>282.40664658227553</v>
      </c>
      <c r="T341" s="4">
        <f t="shared" si="55"/>
        <v>306.57979418593089</v>
      </c>
      <c r="U341" s="4">
        <f>Planet(Panchanga!$E341,4)</f>
        <v>231.8835470492636</v>
      </c>
      <c r="V341" s="4">
        <f>Planet(Panchanga!$E341,2)</f>
        <v>293.44609108479102</v>
      </c>
      <c r="W341" s="4">
        <f>Planet(Panchanga!$E341,5)</f>
        <v>258.4501953524375</v>
      </c>
      <c r="X341" s="4">
        <f>Planet(Panchanga!$E341,3)</f>
        <v>321.87325763482107</v>
      </c>
      <c r="Y341" s="4">
        <f>Planet(Panchanga!$E341,6)</f>
        <v>270.33532777338388</v>
      </c>
      <c r="Z341" s="4">
        <f>Planet(Panchanga!$E341,10)</f>
        <v>72.726982889256504</v>
      </c>
      <c r="AA341" s="4" t="str">
        <f>TEXT(Panchanga!$C341+($C342-Panchanga!$C341)/ABS(IF($P342&lt;1,$P342+30,$P342)-Panchanga!$P341)*(ROUNDUP(Panchanga!$P341,0)-Panchanga!$P341),"hh:mm AM/PM")</f>
        <v>08:21 AM</v>
      </c>
      <c r="AB341" s="4"/>
    </row>
    <row r="342" spans="1:28" x14ac:dyDescent="0.2">
      <c r="A342" s="3">
        <f t="shared" si="57"/>
        <v>43858</v>
      </c>
      <c r="B342" s="3">
        <f t="shared" si="51"/>
        <v>43858.229166666664</v>
      </c>
      <c r="C342" s="15">
        <f t="shared" si="52"/>
        <v>43858.276350067616</v>
      </c>
      <c r="D342" s="15">
        <f t="shared" si="53"/>
        <v>43857.754549006975</v>
      </c>
      <c r="E342" s="17">
        <f>Panchanga!$C342-TimeZone/24</f>
        <v>43858.047183400951</v>
      </c>
      <c r="F342" s="18" t="str">
        <f>INT(P[Sun]/30)&amp;"s"&amp;ROUNDUP(MOD(P[Sun],30),2)</f>
        <v>9s13.43</v>
      </c>
      <c r="G342" s="18" t="str">
        <f>INT(P[Moon]/30)&amp;"s"&amp;ROUNDUP(MOD(P[Moon],30),2)</f>
        <v>10s18.64</v>
      </c>
      <c r="H342" s="14">
        <f t="shared" si="56"/>
        <v>43858.047183400951</v>
      </c>
      <c r="I342" s="4" t="str">
        <f>naks(P[[#This Row],[Moon]])</f>
        <v>Satabhisaj</v>
      </c>
      <c r="J342" s="15">
        <f>(C343-P[[#This Row],[SunRise]])/(T343-P[[#This Row],[Moon]])*(13.3333333333333-MOD(P[[#This Row],[Moon]],13.333333333333))+P[[#This Row],[SunRise]]</f>
        <v>43858.391080417008</v>
      </c>
      <c r="K342" s="4" t="str">
        <f>IF(Panchanga!$P342&gt;15,"K","S")&amp;ROUNDUP(MOD(Panchanga!$P342,15),0)&amp;" ("&amp;ROUND(Panchanga!$P342,2)&amp;")"</f>
        <v>S3 (2.93)</v>
      </c>
      <c r="L342" s="4">
        <f>IF(AND(Panchanga!$P342&lt;28.5,Panchanga!$P342&gt;0.49999),MOD((Panchanga!$P342-0.5)*2,7),MOD((Panchanga!$P342+30-28.5),30)*2+7)</f>
        <v>4.8680000000000003</v>
      </c>
      <c r="M342" s="4" t="str">
        <f>CHOOSE(ROUNDUP(Panchanga!$L342,0),"Bhava","Baalava","Kaulava","Taitula","Garija","Vanija","Vishti","Shakuni","Chatushapda","Naaga","Kimstugna")</f>
        <v>Garija</v>
      </c>
      <c r="N342" s="11" t="str">
        <f>CHOOSE(ROUNDUP(Panchanga!$Q342,0),"viṣkambha","prīti","āyuṣmāna","saubhāgya","śobhana","atigaṇḍa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("&amp;Panchanga!$Q342&amp;")"</f>
        <v>parigha (18.16)</v>
      </c>
      <c r="O342" s="4">
        <f>IF(AND(Panchanga!$P342&lt;28.5,Panchanga!$P342&gt;0.49999),MOD((Panchanga!$P342-0.5)*2,7),MOD((Panchanga!$P342+30-28.5),30)*2+7)</f>
        <v>4.8680000000000003</v>
      </c>
      <c r="P342" s="4">
        <f>ROUNDUP(MOD(360+P[Moon]-P[Sun],360)/12,4)</f>
        <v>2.9340000000000002</v>
      </c>
      <c r="Q342" s="4">
        <f>ROUNDUP(MOD(P[Sun]+P[Moon],360)/13.333333333,2)</f>
        <v>18.16</v>
      </c>
      <c r="R342" s="4" t="str">
        <f>SIGN(U343-Panchanga!$U342)*INT(Panchanga!$U342/30+1)&amp;"Ma,"&amp;SIGN(V343-Panchanga!$V342)*INT(Panchanga!$V342/30+1)&amp;"Me,"&amp;SIGN(W343-Panchanga!$W342)*INT(Panchanga!$W342/30+1)&amp;"J, "&amp;SIGN(X343-Panchanga!$X342)*INT(Panchanga!$X342/30+1)&amp;"V,"&amp;SIGN(Y343-Panchanga!$Y342)*INT(Panchanga!$Y342/30+1)&amp;"S,"&amp;INT(Panchanga!$Z342/30+1)&amp;"R"</f>
        <v>8Ma,10Me,9J, 11V,10S,3R</v>
      </c>
      <c r="S342" s="4">
        <f t="shared" si="54"/>
        <v>283.42340932149176</v>
      </c>
      <c r="T342" s="4">
        <f t="shared" si="55"/>
        <v>318.63043659815139</v>
      </c>
      <c r="U342" s="4">
        <f>Planet(Panchanga!$E342,4)</f>
        <v>232.56491437740257</v>
      </c>
      <c r="V342" s="4">
        <f>Planet(Panchanga!$E342,2)</f>
        <v>295.16465023918414</v>
      </c>
      <c r="W342" s="4">
        <f>Planet(Panchanga!$E342,5)</f>
        <v>258.6708385417262</v>
      </c>
      <c r="X342" s="4">
        <f>Planet(Panchanga!$E342,3)</f>
        <v>323.06979530916323</v>
      </c>
      <c r="Y342" s="4">
        <f>Planet(Panchanga!$E342,6)</f>
        <v>270.45201787185539</v>
      </c>
      <c r="Z342" s="4">
        <f>Planet(Panchanga!$E342,10)</f>
        <v>72.673993167500413</v>
      </c>
      <c r="AA342" s="4" t="str">
        <f>TEXT(Panchanga!$C342+($C343-Panchanga!$C342)/ABS(IF($P343&lt;1,$P343+30,$P343)-Panchanga!$P342)*(ROUNDUP(Panchanga!$P342,0)-Panchanga!$P342),"hh:mm AM/PM")</f>
        <v>08:22 AM</v>
      </c>
      <c r="AB342" s="4"/>
    </row>
    <row r="343" spans="1:28" x14ac:dyDescent="0.2">
      <c r="A343" s="3">
        <f t="shared" si="57"/>
        <v>43859</v>
      </c>
      <c r="B343" s="3">
        <f t="shared" si="51"/>
        <v>43859.229166666664</v>
      </c>
      <c r="C343" s="15">
        <f t="shared" si="52"/>
        <v>43859.276294118878</v>
      </c>
      <c r="D343" s="15">
        <f t="shared" si="53"/>
        <v>43858.754877388521</v>
      </c>
      <c r="E343" s="17">
        <f>Panchanga!$C343-TimeZone/24</f>
        <v>43859.047127452213</v>
      </c>
      <c r="F343" s="18" t="str">
        <f>INT(P[Sun]/30)&amp;"s"&amp;ROUNDUP(MOD(P[Sun],30),2)</f>
        <v>9s14.44</v>
      </c>
      <c r="G343" s="18" t="str">
        <f>INT(P[Moon]/30)&amp;"s"&amp;ROUNDUP(MOD(P[Moon],30),2)</f>
        <v>11s0.57</v>
      </c>
      <c r="H343" s="14">
        <f t="shared" si="56"/>
        <v>43859.047127452213</v>
      </c>
      <c r="I343" s="4" t="str">
        <f>naks(P[[#This Row],[Moon]])</f>
        <v>Purva Bhadrapada</v>
      </c>
      <c r="J343" s="15">
        <f>(C344-P[[#This Row],[SunRise]])/(T344-P[[#This Row],[Moon]])*(13.3333333333333-MOD(P[[#This Row],[Moon]],13.333333333333))+P[[#This Row],[SunRise]]</f>
        <v>43859.509381455369</v>
      </c>
      <c r="K343" s="4" t="str">
        <f>IF(Panchanga!$P343&gt;15,"K","S")&amp;ROUNDUP(MOD(Panchanga!$P343,15),0)&amp;" ("&amp;ROUND(Panchanga!$P343,2)&amp;")"</f>
        <v>S4 (3.84)</v>
      </c>
      <c r="L343" s="4">
        <f>IF(AND(Panchanga!$P343&lt;28.5,Panchanga!$P343&gt;0.49999),MOD((Panchanga!$P343-0.5)*2,7),MOD((Panchanga!$P343+30-28.5),30)*2+7)</f>
        <v>6.6880000000000006</v>
      </c>
      <c r="M343" s="4" t="str">
        <f>CHOOSE(ROUNDUP(Panchanga!$L343,0),"Bhava","Baalava","Kaulava","Taitula","Garija","Vanija","Vishti","Shakuni","Chatushapda","Naaga","Kimstugna")</f>
        <v>Vishti</v>
      </c>
      <c r="N343" s="11" t="str">
        <f>CHOOSE(ROUNDUP(Panchanga!$Q343,0),"viṣkambha","prīti","āyuṣmāna","saubhāgya","śobhana","atigaṇḍa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("&amp;Panchanga!$Q343&amp;")"</f>
        <v>śiva (19.13)</v>
      </c>
      <c r="O343" s="4">
        <f>IF(AND(Panchanga!$P343&lt;28.5,Panchanga!$P343&gt;0.49999),MOD((Panchanga!$P343-0.5)*2,7),MOD((Panchanga!$P343+30-28.5),30)*2+7)</f>
        <v>6.6880000000000006</v>
      </c>
      <c r="P343" s="4">
        <f>ROUNDUP(MOD(360+P[Moon]-P[Sun],360)/12,4)</f>
        <v>3.8440000000000003</v>
      </c>
      <c r="Q343" s="4">
        <f>ROUNDUP(MOD(P[Sun]+P[Moon],360)/13.333333333,2)</f>
        <v>19.130000000000003</v>
      </c>
      <c r="R343" s="4" t="str">
        <f>SIGN(U344-Panchanga!$U343)*INT(Panchanga!$U343/30+1)&amp;"Ma,"&amp;SIGN(V344-Panchanga!$V343)*INT(Panchanga!$V343/30+1)&amp;"Me,"&amp;SIGN(W344-Panchanga!$W343)*INT(Panchanga!$W343/30+1)&amp;"J, "&amp;SIGN(X344-Panchanga!$X343)*INT(Panchanga!$X343/30+1)&amp;"V,"&amp;SIGN(Y344-Panchanga!$Y343)*INT(Panchanga!$Y343/30+1)&amp;"S,"&amp;INT(Panchanga!$Z343/30+1)&amp;"R"</f>
        <v>8Ma,10Me,9J, 11V,10S,3R</v>
      </c>
      <c r="S343" s="4">
        <f t="shared" si="54"/>
        <v>284.43987144555336</v>
      </c>
      <c r="T343" s="4">
        <f t="shared" si="55"/>
        <v>330.56700598656585</v>
      </c>
      <c r="U343" s="4">
        <f>Planet(Panchanga!$E343,4)</f>
        <v>233.24655440952978</v>
      </c>
      <c r="V343" s="4">
        <f>Planet(Panchanga!$E343,2)</f>
        <v>296.87602015508747</v>
      </c>
      <c r="W343" s="4">
        <f>Planet(Panchanga!$E343,5)</f>
        <v>258.89077964193729</v>
      </c>
      <c r="X343" s="4">
        <f>Planet(Panchanga!$E343,3)</f>
        <v>324.26474092023847</v>
      </c>
      <c r="Y343" s="4">
        <f>Planet(Panchanga!$E343,6)</f>
        <v>270.5684258154609</v>
      </c>
      <c r="Z343" s="4">
        <f>Planet(Panchanga!$E343,10)</f>
        <v>72.621004136400714</v>
      </c>
      <c r="AA343" s="4" t="str">
        <f>TEXT(Panchanga!$C343+($C344-Panchanga!$C343)/ABS(IF($P344&lt;1,$P344+30,$P344)-Panchanga!$P343)*(ROUNDUP(Panchanga!$P343,0)-Panchanga!$P343),"hh:mm AM/PM")</f>
        <v>10:46 AM</v>
      </c>
      <c r="AB343" s="4"/>
    </row>
    <row r="344" spans="1:28" x14ac:dyDescent="0.2">
      <c r="A344" s="3">
        <f t="shared" si="57"/>
        <v>43860</v>
      </c>
      <c r="B344" s="3">
        <f t="shared" si="51"/>
        <v>43860.229166666664</v>
      </c>
      <c r="C344" s="15">
        <f t="shared" si="52"/>
        <v>43860.276225295071</v>
      </c>
      <c r="D344" s="15">
        <f t="shared" si="53"/>
        <v>43859.75519973044</v>
      </c>
      <c r="E344" s="17">
        <f>Panchanga!$C344-TimeZone/24</f>
        <v>43860.047058628406</v>
      </c>
      <c r="F344" s="18" t="str">
        <f>INT(P[Sun]/30)&amp;"s"&amp;ROUNDUP(MOD(P[Sun],30),2)</f>
        <v>9s15.46</v>
      </c>
      <c r="G344" s="18" t="str">
        <f>INT(P[Moon]/30)&amp;"s"&amp;ROUNDUP(MOD(P[Moon],30),2)</f>
        <v>11s12.44</v>
      </c>
      <c r="H344" s="14">
        <f t="shared" si="56"/>
        <v>43860.047058628406</v>
      </c>
      <c r="I344" s="4" t="str">
        <f>naks(P[[#This Row],[Moon]])</f>
        <v>Uttara Bhadrapada</v>
      </c>
      <c r="J344" s="15">
        <f>(C345-P[[#This Row],[SunRise]])/(T345-P[[#This Row],[Moon]])*(13.3333333333333-MOD(P[[#This Row],[Moon]],13.333333333333))+P[[#This Row],[SunRise]]</f>
        <v>43860.633203859841</v>
      </c>
      <c r="K344" s="4" t="str">
        <f>IF(Panchanga!$P344&gt;15,"K","S")&amp;ROUNDUP(MOD(Panchanga!$P344,15),0)&amp;" ("&amp;ROUND(Panchanga!$P344,2)&amp;")"</f>
        <v>S5 (4.75)</v>
      </c>
      <c r="L344" s="4">
        <f>IF(AND(Panchanga!$P344&lt;28.5,Panchanga!$P344&gt;0.49999),MOD((Panchanga!$P344-0.5)*2,7),MOD((Panchanga!$P344+30-28.5),30)*2+7)</f>
        <v>1.4963999999999995</v>
      </c>
      <c r="M344" s="4" t="str">
        <f>CHOOSE(ROUNDUP(Panchanga!$L344,0),"Bhava","Baalava","Kaulava","Taitula","Garija","Vanija","Vishti","Shakuni","Chatushapda","Naaga","Kimstugna")</f>
        <v>Baalava</v>
      </c>
      <c r="N344" s="11" t="str">
        <f>CHOOSE(ROUNDUP(Panchanga!$Q344,0),"viṣkambha","prīti","āyuṣmāna","saubhāgya","śobhana","atigaṇḍa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("&amp;Panchanga!$Q344&amp;")"</f>
        <v>siddha (20.1)</v>
      </c>
      <c r="O344" s="4">
        <f>IF(AND(Panchanga!$P344&lt;28.5,Panchanga!$P344&gt;0.49999),MOD((Panchanga!$P344-0.5)*2,7),MOD((Panchanga!$P344+30-28.5),30)*2+7)</f>
        <v>1.4963999999999995</v>
      </c>
      <c r="P344" s="4">
        <f>ROUNDUP(MOD(360+P[Moon]-P[Sun],360)/12,4)</f>
        <v>4.7481999999999998</v>
      </c>
      <c r="Q344" s="4">
        <f>ROUNDUP(MOD(P[Sun]+P[Moon],360)/13.333333333,2)</f>
        <v>20.100000000000001</v>
      </c>
      <c r="R344" s="4" t="str">
        <f>SIGN(U345-Panchanga!$U344)*INT(Panchanga!$U344/30+1)&amp;"Ma,"&amp;SIGN(V345-Panchanga!$V344)*INT(Panchanga!$V344/30+1)&amp;"Me,"&amp;SIGN(W345-Panchanga!$W344)*INT(Panchanga!$W344/30+1)&amp;"J, "&amp;SIGN(X345-Panchanga!$X344)*INT(Panchanga!$X344/30+1)&amp;"V,"&amp;SIGN(Y345-Panchanga!$Y344)*INT(Panchanga!$Y344/30+1)&amp;"S,"&amp;INT(Panchanga!$Z344/30+1)&amp;"R"</f>
        <v>8Ma,10Me,9J, 11V,10S,3R</v>
      </c>
      <c r="S344" s="4">
        <f t="shared" si="54"/>
        <v>285.45601321013049</v>
      </c>
      <c r="T344" s="4">
        <f t="shared" si="55"/>
        <v>342.43439011468024</v>
      </c>
      <c r="U344" s="4">
        <f>Planet(Panchanga!$E344,4)</f>
        <v>233.92846550492428</v>
      </c>
      <c r="V344" s="4">
        <f>Planet(Panchanga!$E344,2)</f>
        <v>298.57660776902276</v>
      </c>
      <c r="W344" s="4">
        <f>Planet(Panchanga!$E344,5)</f>
        <v>259.10999379935532</v>
      </c>
      <c r="X344" s="4">
        <f>Planet(Panchanga!$E344,3)</f>
        <v>325.45804047887873</v>
      </c>
      <c r="Y344" s="4">
        <f>Planet(Panchanga!$E344,6)</f>
        <v>270.68453160582476</v>
      </c>
      <c r="Z344" s="4">
        <f>Planet(Panchanga!$E344,10)</f>
        <v>72.568015787590241</v>
      </c>
      <c r="AA344" s="4" t="str">
        <f>TEXT(Panchanga!$C344+($C345-Panchanga!$C344)/ABS(IF($P345&lt;1,$P345+30,$P345)-Panchanga!$P344)*(ROUNDUP(Panchanga!$P344,0)-Panchanga!$P344),"hh:mm AM/PM")</f>
        <v>01:19 PM</v>
      </c>
      <c r="AB344" s="4"/>
    </row>
    <row r="345" spans="1:28" x14ac:dyDescent="0.2">
      <c r="A345" s="3">
        <f t="shared" si="57"/>
        <v>43861</v>
      </c>
      <c r="B345" s="3">
        <f t="shared" si="51"/>
        <v>43861.229166666664</v>
      </c>
      <c r="C345" s="15">
        <f t="shared" si="52"/>
        <v>43861.276143597126</v>
      </c>
      <c r="D345" s="15">
        <f t="shared" si="53"/>
        <v>43860.755515714685</v>
      </c>
      <c r="E345" s="17">
        <f>Panchanga!$C345-TimeZone/24</f>
        <v>43861.046976930462</v>
      </c>
      <c r="F345" s="18" t="str">
        <f>INT(P[Sun]/30)&amp;"s"&amp;ROUNDUP(MOD(P[Sun],30),2)</f>
        <v>9s16.48</v>
      </c>
      <c r="G345" s="18" t="str">
        <f>INT(P[Moon]/30)&amp;"s"&amp;ROUNDUP(MOD(P[Moon],30),2)</f>
        <v>11s24.29</v>
      </c>
      <c r="H345" s="14">
        <f t="shared" si="56"/>
        <v>43861.046976930462</v>
      </c>
      <c r="I345" s="4" t="str">
        <f>naks(P[[#This Row],[Moon]])</f>
        <v>Revati</v>
      </c>
      <c r="J345" s="15">
        <f>(C346-P[[#This Row],[SunRise]])/(T346-P[[#This Row],[Moon]])*(13.3333333333333-MOD(P[[#This Row],[Moon]],13.333333333333))+P[[#This Row],[SunRise]]</f>
        <v>43861.259739203677</v>
      </c>
      <c r="K345" s="4" t="str">
        <f>IF(Panchanga!$P345&gt;15,"K","S")&amp;ROUNDUP(MOD(Panchanga!$P345,15),0)&amp;" ("&amp;ROUND(Panchanga!$P345,2)&amp;")"</f>
        <v>S6 (5.65)</v>
      </c>
      <c r="L345" s="4">
        <f>IF(AND(Panchanga!$P345&lt;28.5,Panchanga!$P345&gt;0.49999),MOD((Panchanga!$P345-0.5)*2,7),MOD((Panchanga!$P345+30-28.5),30)*2+7)</f>
        <v>3.302999999999999</v>
      </c>
      <c r="M345" s="4" t="str">
        <f>CHOOSE(ROUNDUP(Panchanga!$L345,0),"Bhava","Baalava","Kaulava","Taitula","Garija","Vanija","Vishti","Shakuni","Chatushapda","Naaga","Kimstugna")</f>
        <v>Taitula</v>
      </c>
      <c r="N345" s="11" t="str">
        <f>CHOOSE(ROUNDUP(Panchanga!$Q345,0),"viṣkambha","prīti","āyuṣmāna","saubhāgya","śobhana","atigaṇḍa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("&amp;Panchanga!$Q345&amp;")"</f>
        <v>sādhya (21.06)</v>
      </c>
      <c r="O345" s="4">
        <f>IF(AND(Panchanga!$P345&lt;28.5,Panchanga!$P345&gt;0.49999),MOD((Panchanga!$P345-0.5)*2,7),MOD((Panchanga!$P345+30-28.5),30)*2+7)</f>
        <v>3.302999999999999</v>
      </c>
      <c r="P345" s="4">
        <f>ROUNDUP(MOD(360+P[Moon]-P[Sun],360)/12,4)</f>
        <v>5.6514999999999995</v>
      </c>
      <c r="Q345" s="4">
        <f>ROUNDUP(MOD(P[Sun]+P[Moon],360)/13.333333333,2)</f>
        <v>21.060000000000002</v>
      </c>
      <c r="R345" s="4" t="str">
        <f>SIGN(U346-Panchanga!$U345)*INT(Panchanga!$U345/30+1)&amp;"Ma,"&amp;SIGN(V346-Panchanga!$V345)*INT(Panchanga!$V345/30+1)&amp;"Me,"&amp;SIGN(W346-Panchanga!$W345)*INT(Panchanga!$W345/30+1)&amp;"J, "&amp;SIGN(X346-Panchanga!$X345)*INT(Panchanga!$X345/30+1)&amp;"V,"&amp;SIGN(Y346-Panchanga!$Y345)*INT(Panchanga!$Y345/30+1)&amp;"S,"&amp;INT(Panchanga!$Z345/30+1)&amp;"R"</f>
        <v>8Ma,11Me,9J, 11V,10S,3R</v>
      </c>
      <c r="S345" s="4">
        <f t="shared" si="54"/>
        <v>286.47181658275804</v>
      </c>
      <c r="T345" s="4">
        <f t="shared" si="55"/>
        <v>354.2892497654351</v>
      </c>
      <c r="U345" s="4">
        <f>Planet(Panchanga!$E345,4)</f>
        <v>234.61064711519828</v>
      </c>
      <c r="V345" s="4">
        <f>Planet(Panchanga!$E345,2)</f>
        <v>300.26218137815778</v>
      </c>
      <c r="W345" s="4">
        <f>Planet(Panchanga!$E345,5)</f>
        <v>259.32845653585508</v>
      </c>
      <c r="X345" s="4">
        <f>Planet(Panchanga!$E345,3)</f>
        <v>326.64963905025809</v>
      </c>
      <c r="Y345" s="4">
        <f>Planet(Panchanga!$E345,6)</f>
        <v>270.80031550827192</v>
      </c>
      <c r="Z345" s="4">
        <f>Planet(Panchanga!$E345,10)</f>
        <v>72.5150281210027</v>
      </c>
      <c r="AA345" s="4" t="str">
        <f>TEXT(Panchanga!$C345+($C346-Panchanga!$C345)/ABS(IF($P346&lt;1,$P346+30,$P346)-Panchanga!$P345)*(ROUNDUP(Panchanga!$P345,0)-Panchanga!$P345),"hh:mm AM/PM")</f>
        <v>03:50 PM</v>
      </c>
      <c r="AB345" s="4"/>
    </row>
    <row r="346" spans="1:28" x14ac:dyDescent="0.2">
      <c r="A346" s="3">
        <f t="shared" si="57"/>
        <v>43862</v>
      </c>
      <c r="B346" s="3">
        <f t="shared" si="51"/>
        <v>43862.229166666664</v>
      </c>
      <c r="C346" s="15">
        <f t="shared" si="52"/>
        <v>43862.276048865322</v>
      </c>
      <c r="D346" s="15">
        <f t="shared" si="53"/>
        <v>43861.755825182001</v>
      </c>
      <c r="E346" s="17">
        <f>Panchanga!$C346-TimeZone/24</f>
        <v>43862.046882198658</v>
      </c>
      <c r="F346" s="18" t="str">
        <f>INT(P[Sun]/30)&amp;"s"&amp;ROUNDUP(MOD(P[Sun],30),2)</f>
        <v>9s17.49</v>
      </c>
      <c r="G346" s="18" t="str">
        <f>INT(P[Moon]/30)&amp;"s"&amp;ROUNDUP(MOD(P[Moon],30),2)</f>
        <v>0s6.2</v>
      </c>
      <c r="H346" s="14">
        <f t="shared" si="56"/>
        <v>43862.046882198658</v>
      </c>
      <c r="I346" s="4" t="str">
        <f>naks(P[[#This Row],[Moon]])</f>
        <v>Aswini</v>
      </c>
      <c r="J346" s="15">
        <f>(C347-P[[#This Row],[SunRise]])/(T347-P[[#This Row],[Moon]])*(13.3333333333333-MOD(P[[#This Row],[Moon]],13.333333333333))+P[[#This Row],[SunRise]]</f>
        <v>43862.868504945211</v>
      </c>
      <c r="K346" s="4" t="str">
        <f>IF(Panchanga!$P346&gt;15,"K","S")&amp;ROUNDUP(MOD(Panchanga!$P346,15),0)&amp;" ("&amp;ROUND(Panchanga!$P346,2)&amp;")"</f>
        <v>S7 (6.56)</v>
      </c>
      <c r="L346" s="4">
        <f>IF(AND(Panchanga!$P346&lt;28.5,Panchanga!$P346&gt;0.49999),MOD((Panchanga!$P346-0.5)*2,7),MOD((Panchanga!$P346+30-28.5),30)*2+7)</f>
        <v>5.1188000000000002</v>
      </c>
      <c r="M346" s="4" t="str">
        <f>CHOOSE(ROUNDUP(Panchanga!$L346,0),"Bhava","Baalava","Kaulava","Taitula","Garija","Vanija","Vishti","Shakuni","Chatushapda","Naaga","Kimstugna")</f>
        <v>Vanija</v>
      </c>
      <c r="N346" s="11" t="str">
        <f>CHOOSE(ROUNDUP(Panchanga!$Q346,0),"viṣkambha","prīti","āyuṣmāna","saubhāgya","śobhana","atigaṇḍa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("&amp;Panchanga!$Q346&amp;")"</f>
        <v>śubha (22.03)</v>
      </c>
      <c r="O346" s="4">
        <f>IF(AND(Panchanga!$P346&lt;28.5,Panchanga!$P346&gt;0.49999),MOD((Panchanga!$P346-0.5)*2,7),MOD((Panchanga!$P346+30-28.5),30)*2+7)</f>
        <v>5.1188000000000002</v>
      </c>
      <c r="P346" s="4">
        <f>ROUNDUP(MOD(360+P[Moon]-P[Sun],360)/12,4)</f>
        <v>6.5594000000000001</v>
      </c>
      <c r="Q346" s="4">
        <f>ROUNDUP(MOD(P[Sun]+P[Moon],360)/13.333333333,2)</f>
        <v>22.03</v>
      </c>
      <c r="R346" s="4" t="str">
        <f>SIGN(U347-Panchanga!$U346)*INT(Panchanga!$U346/30+1)&amp;"Ma,"&amp;SIGN(V347-Panchanga!$V346)*INT(Panchanga!$V346/30+1)&amp;"Me,"&amp;SIGN(W347-Panchanga!$W346)*INT(Panchanga!$W346/30+1)&amp;"J, "&amp;SIGN(X347-Panchanga!$X346)*INT(Panchanga!$X346/30+1)&amp;"V,"&amp;SIGN(Y347-Panchanga!$Y346)*INT(Panchanga!$Y346/30+1)&amp;"S,"&amp;INT(Panchanga!$Z346/30+1)&amp;"R"</f>
        <v>8Ma,11Me,9J, 11V,10S,3R</v>
      </c>
      <c r="S346" s="4">
        <f t="shared" si="54"/>
        <v>287.48726534888505</v>
      </c>
      <c r="T346" s="4">
        <f t="shared" si="55"/>
        <v>6.1990102004864633</v>
      </c>
      <c r="U346" s="4">
        <f>Planet(Panchanga!$E346,4)</f>
        <v>235.29309974361894</v>
      </c>
      <c r="V346" s="4">
        <f>Planet(Panchanga!$E346,2)</f>
        <v>301.92779542699896</v>
      </c>
      <c r="W346" s="4">
        <f>Planet(Panchanga!$E346,5)</f>
        <v>259.54614375379077</v>
      </c>
      <c r="X346" s="4">
        <f>Planet(Panchanga!$E346,3)</f>
        <v>327.83948089618184</v>
      </c>
      <c r="Y346" s="4">
        <f>Planet(Panchanga!$E346,6)</f>
        <v>270.91575806150274</v>
      </c>
      <c r="Z346" s="4">
        <f>Planet(Panchanga!$E346,10)</f>
        <v>72.462041145121333</v>
      </c>
      <c r="AA346" s="4" t="str">
        <f>TEXT(Panchanga!$C346+($C347-Panchanga!$C346)/ABS(IF($P347&lt;1,$P347+30,$P347)-Panchanga!$P346)*(ROUNDUP(Panchanga!$P346,0)-Panchanga!$P346),"hh:mm AM/PM")</f>
        <v>06:07 PM</v>
      </c>
      <c r="AB346" s="4"/>
    </row>
    <row r="347" spans="1:28" x14ac:dyDescent="0.2">
      <c r="A347" s="3">
        <f t="shared" si="57"/>
        <v>43863</v>
      </c>
      <c r="B347" s="3">
        <f t="shared" si="51"/>
        <v>43863.229166666664</v>
      </c>
      <c r="C347" s="15">
        <f t="shared" si="52"/>
        <v>43863.275941576961</v>
      </c>
      <c r="D347" s="15">
        <f t="shared" si="53"/>
        <v>43862.756128291643</v>
      </c>
      <c r="E347" s="17">
        <f>Panchanga!$C347-TimeZone/24</f>
        <v>43863.046774910297</v>
      </c>
      <c r="F347" s="18" t="str">
        <f>INT(P[Sun]/30)&amp;"s"&amp;ROUNDUP(MOD(P[Sun],30),2)</f>
        <v>9s18.51</v>
      </c>
      <c r="G347" s="18" t="str">
        <f>INT(P[Moon]/30)&amp;"s"&amp;ROUNDUP(MOD(P[Moon],30),2)</f>
        <v>0s18.24</v>
      </c>
      <c r="H347" s="14">
        <f t="shared" si="56"/>
        <v>43863.046774910297</v>
      </c>
      <c r="I347" s="4" t="str">
        <f>naks(P[[#This Row],[Moon]])</f>
        <v>Bharani</v>
      </c>
      <c r="J347" s="15">
        <f>(C348-P[[#This Row],[SunRise]])/(T348-P[[#This Row],[Moon]])*(13.3333333333333-MOD(P[[#This Row],[Moon]],13.333333333333))+P[[#This Row],[SunRise]]</f>
        <v>43863.963640829083</v>
      </c>
      <c r="K347" s="4" t="str">
        <f>IF(Panchanga!$P347&gt;15,"K","S")&amp;ROUNDUP(MOD(Panchanga!$P347,15),0)&amp;" ("&amp;ROUND(Panchanga!$P347,2)&amp;")"</f>
        <v>S8 (7.48)</v>
      </c>
      <c r="L347" s="4">
        <f>IF(AND(Panchanga!$P347&lt;28.5,Panchanga!$P347&gt;0.49999),MOD((Panchanga!$P347-0.5)*2,7),MOD((Panchanga!$P347+30-28.5),30)*2+7)</f>
        <v>6.9564000000000004</v>
      </c>
      <c r="M347" s="4" t="str">
        <f>CHOOSE(ROUNDUP(Panchanga!$L347,0),"Bhava","Baalava","Kaulava","Taitula","Garija","Vanija","Vishti","Shakuni","Chatushapda","Naaga","Kimstugna")</f>
        <v>Vishti</v>
      </c>
      <c r="N347" s="11" t="str">
        <f>CHOOSE(ROUNDUP(Panchanga!$Q347,0),"viṣkambha","prīti","āyuṣmāna","saubhāgya","śobhana","atigaṇḍa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("&amp;Panchanga!$Q347&amp;")"</f>
        <v>śukla (23.01)</v>
      </c>
      <c r="O347" s="4">
        <f>IF(AND(Panchanga!$P347&lt;28.5,Panchanga!$P347&gt;0.49999),MOD((Panchanga!$P347-0.5)*2,7),MOD((Panchanga!$P347+30-28.5),30)*2+7)</f>
        <v>6.9564000000000004</v>
      </c>
      <c r="P347" s="4">
        <f>ROUNDUP(MOD(360+P[Moon]-P[Sun],360)/12,4)</f>
        <v>7.4782000000000002</v>
      </c>
      <c r="Q347" s="4">
        <f>ROUNDUP(MOD(P[Sun]+P[Moon],360)/13.333333333,2)</f>
        <v>23.01</v>
      </c>
      <c r="R347" s="4" t="str">
        <f>SIGN(U348-Panchanga!$U347)*INT(Panchanga!$U347/30+1)&amp;"Ma,"&amp;SIGN(V348-Panchanga!$V347)*INT(Panchanga!$V347/30+1)&amp;"Me,"&amp;SIGN(W348-Panchanga!$W347)*INT(Panchanga!$W347/30+1)&amp;"J, "&amp;SIGN(X348-Panchanga!$X347)*INT(Panchanga!$X347/30+1)&amp;"V,"&amp;SIGN(Y348-Panchanga!$Y347)*INT(Panchanga!$Y347/30+1)&amp;"S,"&amp;INT(Panchanga!$Z347/30+1)&amp;"R"</f>
        <v>8Ma,11Me,9J, 11V,10S,3R</v>
      </c>
      <c r="S347" s="4">
        <f t="shared" si="54"/>
        <v>288.50234601863883</v>
      </c>
      <c r="T347" s="4">
        <f t="shared" si="55"/>
        <v>18.239662571522743</v>
      </c>
      <c r="U347" s="4">
        <f>Planet(Panchanga!$E347,4)</f>
        <v>235.9758254725057</v>
      </c>
      <c r="V347" s="4">
        <f>Planet(Panchanga!$E347,2)</f>
        <v>303.5677183118832</v>
      </c>
      <c r="W347" s="4">
        <f>Planet(Panchanga!$E347,5)</f>
        <v>259.76303191515836</v>
      </c>
      <c r="X347" s="4">
        <f>Planet(Panchanga!$E347,3)</f>
        <v>329.02751052360247</v>
      </c>
      <c r="Y347" s="4">
        <f>Planet(Panchanga!$E347,6)</f>
        <v>271.03084018272313</v>
      </c>
      <c r="Z347" s="4">
        <f>Planet(Panchanga!$E347,10)</f>
        <v>72.409054834612292</v>
      </c>
      <c r="AA347" s="4" t="str">
        <f>TEXT(Panchanga!$C347+($C348-Panchanga!$C347)/ABS(IF($P348&lt;1,$P348+30,$P348)-Panchanga!$P347)*(ROUNDUP(Panchanga!$P347,0)-Panchanga!$P347),"hh:mm AM/PM")</f>
        <v>07:59 PM</v>
      </c>
      <c r="AB347" s="4"/>
    </row>
    <row r="348" spans="1:28" x14ac:dyDescent="0.2">
      <c r="A348" s="3">
        <f t="shared" si="57"/>
        <v>43864</v>
      </c>
      <c r="B348" s="3">
        <f t="shared" si="51"/>
        <v>43864.229166666664</v>
      </c>
      <c r="C348" s="15">
        <f t="shared" si="52"/>
        <v>43864.275821573254</v>
      </c>
      <c r="D348" s="15">
        <f t="shared" si="53"/>
        <v>43863.756424725099</v>
      </c>
      <c r="E348" s="17">
        <f>Panchanga!$C348-TimeZone/24</f>
        <v>43864.04665490659</v>
      </c>
      <c r="F348" s="18" t="str">
        <f>INT(P[Sun]/30)&amp;"s"&amp;ROUNDUP(MOD(P[Sun],30),2)</f>
        <v>9s19.52</v>
      </c>
      <c r="G348" s="18" t="str">
        <f>INT(P[Moon]/30)&amp;"s"&amp;ROUNDUP(MOD(P[Moon],30),2)</f>
        <v>1s0.5</v>
      </c>
      <c r="H348" s="14">
        <f t="shared" si="56"/>
        <v>43864.04665490659</v>
      </c>
      <c r="I348" s="4" t="str">
        <f>naks(P[[#This Row],[Moon]])</f>
        <v>Krittika</v>
      </c>
      <c r="J348" s="15">
        <f>(C349-P[[#This Row],[SunRise]])/(T349-P[[#This Row],[Moon]])*(13.3333333333333-MOD(P[[#This Row],[Moon]],13.333333333333))+P[[#This Row],[SunRise]]</f>
        <v>43865.033640521979</v>
      </c>
      <c r="K348" s="4" t="str">
        <f>IF(Panchanga!$P348&gt;15,"K","S")&amp;ROUNDUP(MOD(Panchanga!$P348,15),0)&amp;" ("&amp;ROUND(Panchanga!$P348,2)&amp;")"</f>
        <v>S9 (8.41)</v>
      </c>
      <c r="L348" s="4">
        <f>IF(AND(Panchanga!$P348&lt;28.5,Panchanga!$P348&gt;0.49999),MOD((Panchanga!$P348-0.5)*2,7),MOD((Panchanga!$P348+30-28.5),30)*2+7)</f>
        <v>1.8292000000000002</v>
      </c>
      <c r="M348" s="4" t="str">
        <f>CHOOSE(ROUNDUP(Panchanga!$L348,0),"Bhava","Baalava","Kaulava","Taitula","Garija","Vanija","Vishti","Shakuni","Chatushapda","Naaga","Kimstugna")</f>
        <v>Baalava</v>
      </c>
      <c r="N348" s="11" t="str">
        <f>CHOOSE(ROUNDUP(Panchanga!$Q348,0),"viṣkambha","prīti","āyuṣmāna","saubhāgya","śobhana","atigaṇḍa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("&amp;Panchanga!$Q348&amp;")"</f>
        <v>brahma (24.01)</v>
      </c>
      <c r="O348" s="4">
        <f>IF(AND(Panchanga!$P348&lt;28.5,Panchanga!$P348&gt;0.49999),MOD((Panchanga!$P348-0.5)*2,7),MOD((Panchanga!$P348+30-28.5),30)*2+7)</f>
        <v>1.8292000000000002</v>
      </c>
      <c r="P348" s="4">
        <f>ROUNDUP(MOD(360+P[Moon]-P[Sun],360)/12,4)</f>
        <v>8.4146000000000001</v>
      </c>
      <c r="Q348" s="4">
        <f>ROUNDUP(MOD(P[Sun]+P[Moon],360)/13.333333333,2)</f>
        <v>24.01</v>
      </c>
      <c r="R348" s="4" t="str">
        <f>SIGN(U349-Panchanga!$U348)*INT(Panchanga!$U348/30+1)&amp;"Ma,"&amp;SIGN(V349-Panchanga!$V348)*INT(Panchanga!$V348/30+1)&amp;"Me,"&amp;SIGN(W349-Panchanga!$W348)*INT(Panchanga!$W348/30+1)&amp;"J, "&amp;SIGN(X349-Panchanga!$X348)*INT(Panchanga!$X348/30+1)&amp;"V,"&amp;SIGN(Y349-Panchanga!$Y348)*INT(Panchanga!$Y348/30+1)&amp;"S,"&amp;INT(Panchanga!$Z348/30+1)&amp;"R"</f>
        <v>8Ma,11Me,9J, 12V,10S,3R</v>
      </c>
      <c r="S348" s="4">
        <f t="shared" si="54"/>
        <v>289.51704665423097</v>
      </c>
      <c r="T348" s="4">
        <f t="shared" si="55"/>
        <v>30.492101115636153</v>
      </c>
      <c r="U348" s="4">
        <f>Planet(Panchanga!$E348,4)</f>
        <v>236.65882711336309</v>
      </c>
      <c r="V348" s="4">
        <f>Planet(Panchanga!$E348,2)</f>
        <v>305.17536321718626</v>
      </c>
      <c r="W348" s="4">
        <f>Planet(Panchanga!$E348,5)</f>
        <v>259.97909777843211</v>
      </c>
      <c r="X348" s="4">
        <f>Planet(Panchanga!$E348,3)</f>
        <v>330.21367124257637</v>
      </c>
      <c r="Y348" s="4">
        <f>Planet(Panchanga!$E348,6)</f>
        <v>271.1455430317165</v>
      </c>
      <c r="Z348" s="4">
        <f>Planet(Panchanga!$E348,10)</f>
        <v>72.356069197959044</v>
      </c>
      <c r="AA348" s="4" t="str">
        <f>TEXT(Panchanga!$C348+($C349-Panchanga!$C348)/ABS(IF($P349&lt;1,$P349+30,$P349)-Panchanga!$P348)*(ROUNDUP(Panchanga!$P348,0)-Panchanga!$P348),"hh:mm AM/PM")</f>
        <v>09:14 PM</v>
      </c>
      <c r="AB348" s="4"/>
    </row>
    <row r="349" spans="1:28" x14ac:dyDescent="0.2">
      <c r="A349" s="3">
        <f t="shared" si="57"/>
        <v>43865</v>
      </c>
      <c r="B349" s="3">
        <f t="shared" si="51"/>
        <v>43865.229166666664</v>
      </c>
      <c r="C349" s="15">
        <f t="shared" si="52"/>
        <v>43865.275689171314</v>
      </c>
      <c r="D349" s="15">
        <f t="shared" si="53"/>
        <v>43864.756714483301</v>
      </c>
      <c r="E349" s="17">
        <f>Panchanga!$C349-TimeZone/24</f>
        <v>43865.04652250465</v>
      </c>
      <c r="F349" s="18" t="str">
        <f>INT(P[Sun]/30)&amp;"s"&amp;ROUNDUP(MOD(P[Sun],30),2)</f>
        <v>9s20.54</v>
      </c>
      <c r="G349" s="18" t="str">
        <f>INT(P[Moon]/30)&amp;"s"&amp;ROUNDUP(MOD(P[Moon],30),2)</f>
        <v>1s13.04</v>
      </c>
      <c r="H349" s="14">
        <f t="shared" si="56"/>
        <v>43865.04652250465</v>
      </c>
      <c r="I349" s="4" t="str">
        <f>naks(P[[#This Row],[Moon]])</f>
        <v>Rohini</v>
      </c>
      <c r="J349" s="15">
        <f>(C350-P[[#This Row],[SunRise]])/(T350-P[[#This Row],[Moon]])*(13.3333333333333-MOD(P[[#This Row],[Moon]],13.333333333333))+P[[#This Row],[SunRise]]</f>
        <v>43866.073130326869</v>
      </c>
      <c r="K349" s="4" t="str">
        <f>IF(Panchanga!$P349&gt;15,"K","S")&amp;ROUNDUP(MOD(Panchanga!$P349,15),0)&amp;" ("&amp;ROUND(Panchanga!$P349,2)&amp;")"</f>
        <v>S10 (9.38)</v>
      </c>
      <c r="L349" s="4">
        <f>IF(AND(Panchanga!$P349&lt;28.5,Panchanga!$P349&gt;0.49999),MOD((Panchanga!$P349-0.5)*2,7),MOD((Panchanga!$P349+30-28.5),30)*2+7)</f>
        <v>3.7510000000000012</v>
      </c>
      <c r="M349" s="4" t="str">
        <f>CHOOSE(ROUNDUP(Panchanga!$L349,0),"Bhava","Baalava","Kaulava","Taitula","Garija","Vanija","Vishti","Shakuni","Chatushapda","Naaga","Kimstugna")</f>
        <v>Taitula</v>
      </c>
      <c r="N349" s="11" t="str">
        <f>CHOOSE(ROUNDUP(Panchanga!$Q349,0),"viṣkambha","prīti","āyuṣmāna","saubhāgya","śobhana","atigaṇḍa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("&amp;Panchanga!$Q349&amp;")"</f>
        <v>mahendra (25.02)</v>
      </c>
      <c r="O349" s="4">
        <f>IF(AND(Panchanga!$P349&lt;28.5,Panchanga!$P349&gt;0.49999),MOD((Panchanga!$P349-0.5)*2,7),MOD((Panchanga!$P349+30-28.5),30)*2+7)</f>
        <v>3.7510000000000012</v>
      </c>
      <c r="P349" s="4">
        <f>ROUNDUP(MOD(360+P[Moon]-P[Sun],360)/12,4)</f>
        <v>9.3755000000000006</v>
      </c>
      <c r="Q349" s="4">
        <f>ROUNDUP(MOD(P[Sun]+P[Moon],360)/13.333333333,2)</f>
        <v>25.020000000000003</v>
      </c>
      <c r="R349" s="4" t="str">
        <f>SIGN(U350-Panchanga!$U349)*INT(Panchanga!$U349/30+1)&amp;"Ma,"&amp;SIGN(V350-Panchanga!$V349)*INT(Panchanga!$V349/30+1)&amp;"Me,"&amp;SIGN(W350-Panchanga!$W349)*INT(Panchanga!$W349/30+1)&amp;"J, "&amp;SIGN(X350-Panchanga!$X349)*INT(Panchanga!$X349/30+1)&amp;"V,"&amp;SIGN(Y350-Panchanga!$Y349)*INT(Panchanga!$Y349/30+1)&amp;"S,"&amp;INT(Panchanga!$Z349/30+1)&amp;"R"</f>
        <v>8Ma,11Me,9J, 12V,10S,3R</v>
      </c>
      <c r="S349" s="4">
        <f t="shared" si="54"/>
        <v>290.53135821928402</v>
      </c>
      <c r="T349" s="4">
        <f t="shared" si="55"/>
        <v>43.03683892682799</v>
      </c>
      <c r="U349" s="4">
        <f>Planet(Panchanga!$E349,4)</f>
        <v>237.34210903303287</v>
      </c>
      <c r="V349" s="4">
        <f>Planet(Panchanga!$E349,2)</f>
        <v>306.7432355624282</v>
      </c>
      <c r="W349" s="4">
        <f>Planet(Panchanga!$E349,5)</f>
        <v>260.1943186663612</v>
      </c>
      <c r="X349" s="4">
        <f>Planet(Panchanga!$E349,3)</f>
        <v>331.39790660668501</v>
      </c>
      <c r="Y349" s="4">
        <f>Planet(Panchanga!$E349,6)</f>
        <v>271.25984816596298</v>
      </c>
      <c r="Z349" s="4">
        <f>Planet(Panchanga!$E349,10)</f>
        <v>72.303084218294302</v>
      </c>
      <c r="AA349" s="4" t="str">
        <f>TEXT(Panchanga!$C349+($C350-Panchanga!$C349)/ABS(IF($P350&lt;1,$P350+30,$P350)-Panchanga!$P349)*(ROUNDUP(Panchanga!$P349,0)-Panchanga!$P349),"hh:mm AM/PM")</f>
        <v>09:43 PM</v>
      </c>
      <c r="AB349" s="4"/>
    </row>
    <row r="350" spans="1:28" x14ac:dyDescent="0.2">
      <c r="A350" s="3">
        <f t="shared" si="57"/>
        <v>43866</v>
      </c>
      <c r="B350" s="3">
        <f t="shared" si="51"/>
        <v>43866.229166666664</v>
      </c>
      <c r="C350" s="15">
        <f t="shared" si="52"/>
        <v>43866.275544212818</v>
      </c>
      <c r="D350" s="15">
        <f t="shared" si="53"/>
        <v>43865.756997247736</v>
      </c>
      <c r="E350" s="17">
        <f>Panchanga!$C350-TimeZone/24</f>
        <v>43866.046377546154</v>
      </c>
      <c r="F350" s="18" t="str">
        <f>INT(P[Sun]/30)&amp;"s"&amp;ROUNDUP(MOD(P[Sun],30),2)</f>
        <v>9s21.55</v>
      </c>
      <c r="G350" s="18" t="str">
        <f>INT(P[Moon]/30)&amp;"s"&amp;ROUNDUP(MOD(P[Moon],30),2)</f>
        <v>1s25.95</v>
      </c>
      <c r="H350" s="14">
        <f t="shared" si="56"/>
        <v>43866.046377546154</v>
      </c>
      <c r="I350" s="4" t="str">
        <f>naks(P[[#This Row],[Moon]])</f>
        <v>Mrigashira</v>
      </c>
      <c r="J350" s="15">
        <f>(C351-P[[#This Row],[SunRise]])/(T351-P[[#This Row],[Moon]])*(13.3333333333333-MOD(P[[#This Row],[Moon]],13.333333333333))+P[[#This Row],[SunRise]]</f>
        <v>43867.079495975129</v>
      </c>
      <c r="K350" s="4" t="str">
        <f>IF(Panchanga!$P350&gt;15,"K","S")&amp;ROUNDUP(MOD(Panchanga!$P350,15),0)&amp;" ("&amp;ROUND(Panchanga!$P350,2)&amp;")"</f>
        <v>S11 (10.37)</v>
      </c>
      <c r="L350" s="4">
        <f>IF(AND(Panchanga!$P350&lt;28.5,Panchanga!$P350&gt;0.49999),MOD((Panchanga!$P350-0.5)*2,7),MOD((Panchanga!$P350+30-28.5),30)*2+7)</f>
        <v>5.7337999999999987</v>
      </c>
      <c r="M350" s="4" t="str">
        <f>CHOOSE(ROUNDUP(Panchanga!$L350,0),"Bhava","Baalava","Kaulava","Taitula","Garija","Vanija","Vishti","Shakuni","Chatushapda","Naaga","Kimstugna")</f>
        <v>Vanija</v>
      </c>
      <c r="N350" s="11" t="str">
        <f>CHOOSE(ROUNDUP(Panchanga!$Q350,0),"viṣkambha","prīti","āyuṣmāna","saubhāgya","śobhana","atigaṇḍa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("&amp;Panchanga!$Q350&amp;")"</f>
        <v>vaidhṛti (26.07)</v>
      </c>
      <c r="O350" s="4">
        <f>IF(AND(Panchanga!$P350&lt;28.5,Panchanga!$P350&gt;0.49999),MOD((Panchanga!$P350-0.5)*2,7),MOD((Panchanga!$P350+30-28.5),30)*2+7)</f>
        <v>5.7337999999999987</v>
      </c>
      <c r="P350" s="4">
        <f>ROUNDUP(MOD(360+P[Moon]-P[Sun],360)/12,4)</f>
        <v>10.366899999999999</v>
      </c>
      <c r="Q350" s="4">
        <f>ROUNDUP(MOD(P[Sun]+P[Moon],360)/13.333333333,2)</f>
        <v>26.07</v>
      </c>
      <c r="R350" s="4" t="str">
        <f>SIGN(U351-Panchanga!$U350)*INT(Panchanga!$U350/30+1)&amp;"Ma,"&amp;SIGN(V351-Panchanga!$V350)*INT(Panchanga!$V350/30+1)&amp;"Me,"&amp;SIGN(W351-Panchanga!$W350)*INT(Panchanga!$W350/30+1)&amp;"J, "&amp;SIGN(X351-Panchanga!$X350)*INT(Panchanga!$X350/30+1)&amp;"V,"&amp;SIGN(Y351-Panchanga!$Y350)*INT(Panchanga!$Y350/30+1)&amp;"S,"&amp;INT(Panchanga!$Z350/30+1)&amp;"R"</f>
        <v>8Ma,11Me,9J, 12V,10S,3R</v>
      </c>
      <c r="S350" s="4">
        <f t="shared" si="54"/>
        <v>291.54527400448472</v>
      </c>
      <c r="T350" s="4">
        <f t="shared" si="55"/>
        <v>55.94688472820669</v>
      </c>
      <c r="U350" s="4">
        <f>Planet(Panchanga!$E350,4)</f>
        <v>238.02567659456727</v>
      </c>
      <c r="V350" s="4">
        <f>Planet(Panchanga!$E350,2)</f>
        <v>308.26289731926266</v>
      </c>
      <c r="W350" s="4">
        <f>Planet(Panchanga!$E350,5)</f>
        <v>260.40867230578328</v>
      </c>
      <c r="X350" s="4">
        <f>Planet(Panchanga!$E350,3)</f>
        <v>332.58015956016015</v>
      </c>
      <c r="Y350" s="4">
        <f>Planet(Panchanga!$E350,6)</f>
        <v>271.37373745856485</v>
      </c>
      <c r="Z350" s="4">
        <f>Planet(Panchanga!$E350,10)</f>
        <v>72.250099904035281</v>
      </c>
      <c r="AA350" s="4" t="str">
        <f>TEXT(Panchanga!$C350+($C351-Panchanga!$C350)/ABS(IF($P351&lt;1,$P351+30,$P351)-Panchanga!$P350)*(ROUNDUP(Panchanga!$P350,0)-Panchanga!$P350),"hh:mm AM/PM")</f>
        <v>09:24 PM</v>
      </c>
      <c r="AB350" s="4"/>
    </row>
    <row r="351" spans="1:28" x14ac:dyDescent="0.2">
      <c r="A351" s="3">
        <f t="shared" si="57"/>
        <v>43867</v>
      </c>
      <c r="B351" s="3">
        <f t="shared" si="51"/>
        <v>43867.229166666664</v>
      </c>
      <c r="C351" s="15">
        <f t="shared" si="52"/>
        <v>43867.275387015346</v>
      </c>
      <c r="D351" s="15">
        <f t="shared" si="53"/>
        <v>43866.75727333645</v>
      </c>
      <c r="E351" s="17">
        <f>Panchanga!$C351-TimeZone/24</f>
        <v>43867.046220348682</v>
      </c>
      <c r="F351" s="18" t="str">
        <f>INT(P[Sun]/30)&amp;"s"&amp;ROUNDUP(MOD(P[Sun],30),2)</f>
        <v>9s22.56</v>
      </c>
      <c r="G351" s="18" t="str">
        <f>INT(P[Moon]/30)&amp;"s"&amp;ROUNDUP(MOD(P[Moon],30),2)</f>
        <v>2s9.28</v>
      </c>
      <c r="H351" s="14">
        <f t="shared" si="56"/>
        <v>43867.046220348682</v>
      </c>
      <c r="I351" s="4" t="str">
        <f>naks(P[[#This Row],[Moon]])</f>
        <v>Ardra</v>
      </c>
      <c r="J351" s="15">
        <f>(C352-P[[#This Row],[SunRise]])/(T352-P[[#This Row],[Moon]])*(13.3333333333333-MOD(P[[#This Row],[Moon]],13.333333333333))+P[[#This Row],[SunRise]]</f>
        <v>43868.053161437063</v>
      </c>
      <c r="K351" s="4" t="str">
        <f>IF(Panchanga!$P351&gt;15,"K","S")&amp;ROUNDUP(MOD(Panchanga!$P351,15),0)&amp;" ("&amp;ROUND(Panchanga!$P351,2)&amp;")"</f>
        <v>S12 (11.39)</v>
      </c>
      <c r="L351" s="4">
        <f>IF(AND(Panchanga!$P351&lt;28.5,Panchanga!$P351&gt;0.49999),MOD((Panchanga!$P351-0.5)*2,7),MOD((Panchanga!$P351+30-28.5),30)*2+7)</f>
        <v>0.7867999999999995</v>
      </c>
      <c r="M351" s="4" t="str">
        <f>CHOOSE(ROUNDUP(Panchanga!$L351,0),"Bhava","Baalava","Kaulava","Taitula","Garija","Vanija","Vishti","Shakuni","Chatushapda","Naaga","Kimstugna")</f>
        <v>Bhava</v>
      </c>
      <c r="N351" s="11" t="str">
        <f>CHOOSE(ROUNDUP(Panchanga!$Q351,0),"viṣkambha","prīti","āyuṣmāna","saubhāgya","śobhana","atigaṇḍa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("&amp;Panchanga!$Q351&amp;")"</f>
        <v>viṣkambha (0.14)</v>
      </c>
      <c r="O351" s="4">
        <f>IF(AND(Panchanga!$P351&lt;28.5,Panchanga!$P351&gt;0.49999),MOD((Panchanga!$P351-0.5)*2,7),MOD((Panchanga!$P351+30-28.5),30)*2+7)</f>
        <v>0.7867999999999995</v>
      </c>
      <c r="P351" s="4">
        <f>ROUNDUP(MOD(360+P[Moon]-P[Sun],360)/12,4)</f>
        <v>11.3934</v>
      </c>
      <c r="Q351" s="4">
        <f>ROUNDUP(MOD(P[Sun]+P[Moon],360)/13.333333333,2)</f>
        <v>0.14000000000000001</v>
      </c>
      <c r="R351" s="4" t="str">
        <f>SIGN(U352-Panchanga!$U351)*INT(Panchanga!$U351/30+1)&amp;"Ma,"&amp;SIGN(V352-Panchanga!$V351)*INT(Panchanga!$V351/30+1)&amp;"Me,"&amp;SIGN(W352-Panchanga!$W351)*INT(Panchanga!$W351/30+1)&amp;"J, "&amp;SIGN(X352-Panchanga!$X351)*INT(Panchanga!$X351/30+1)&amp;"V,"&amp;SIGN(Y352-Panchanga!$Y351)*INT(Panchanga!$Y351/30+1)&amp;"S,"&amp;INT(Panchanga!$Z351/30+1)&amp;"R"</f>
        <v>8Ma,11Me,9J, 12V,10S,3R</v>
      </c>
      <c r="S351" s="4">
        <f t="shared" si="54"/>
        <v>292.55879117592593</v>
      </c>
      <c r="T351" s="4">
        <f t="shared" si="55"/>
        <v>69.278650784739341</v>
      </c>
      <c r="U351" s="4">
        <f>Planet(Panchanga!$E351,4)</f>
        <v>238.70953685190929</v>
      </c>
      <c r="V351" s="4">
        <f>Planet(Panchanga!$E351,2)</f>
        <v>309.72496335790134</v>
      </c>
      <c r="W351" s="4">
        <f>Planet(Panchanga!$E351,5)</f>
        <v>260.62213707849008</v>
      </c>
      <c r="X351" s="4">
        <f>Planet(Panchanga!$E351,3)</f>
        <v>333.76037413750834</v>
      </c>
      <c r="Y351" s="4">
        <f>Planet(Panchanga!$E351,6)</f>
        <v>271.48719324773009</v>
      </c>
      <c r="Z351" s="4">
        <f>Planet(Panchanga!$E351,10)</f>
        <v>72.197116238331205</v>
      </c>
      <c r="AA351" s="4" t="str">
        <f>TEXT(Panchanga!$C351+($C352-Panchanga!$C351)/ABS(IF($P352&lt;1,$P352+30,$P352)-Panchanga!$P351)*(ROUNDUP(Panchanga!$P351,0)-Panchanga!$P351),"hh:mm AM/PM")</f>
        <v>08:17 PM</v>
      </c>
      <c r="AB351" s="4"/>
    </row>
    <row r="352" spans="1:28" x14ac:dyDescent="0.2">
      <c r="A352" s="3">
        <f t="shared" si="57"/>
        <v>43868</v>
      </c>
      <c r="B352" s="3">
        <f t="shared" si="51"/>
        <v>43868.229166666664</v>
      </c>
      <c r="C352" s="15">
        <f t="shared" si="52"/>
        <v>43868.275217897411</v>
      </c>
      <c r="D352" s="15">
        <f t="shared" si="53"/>
        <v>43867.757542431398</v>
      </c>
      <c r="E352" s="17">
        <f>Panchanga!$C352-TimeZone/24</f>
        <v>43868.046051230747</v>
      </c>
      <c r="F352" s="18" t="str">
        <f>INT(P[Sun]/30)&amp;"s"&amp;ROUNDUP(MOD(P[Sun],30),2)</f>
        <v>9s23.58</v>
      </c>
      <c r="G352" s="18" t="str">
        <f>INT(P[Moon]/30)&amp;"s"&amp;ROUNDUP(MOD(P[Moon],30),2)</f>
        <v>2s23.07</v>
      </c>
      <c r="H352" s="14">
        <f t="shared" si="56"/>
        <v>43868.046051230747</v>
      </c>
      <c r="I352" s="4" t="str">
        <f>naks(P[[#This Row],[Moon]])</f>
        <v>Punarvasu</v>
      </c>
      <c r="J352" s="15">
        <f>(C353-P[[#This Row],[SunRise]])/(T353-P[[#This Row],[Moon]])*(13.3333333333333-MOD(P[[#This Row],[Moon]],13.333333333333))+P[[#This Row],[SunRise]]</f>
        <v>43868.997340978509</v>
      </c>
      <c r="K352" s="4" t="str">
        <f>IF(Panchanga!$P352&gt;15,"K","S")&amp;ROUNDUP(MOD(Panchanga!$P352,15),0)&amp;" ("&amp;ROUND(Panchanga!$P352,2)&amp;")"</f>
        <v>S13 (12.46)</v>
      </c>
      <c r="L352" s="4">
        <f>IF(AND(Panchanga!$P352&lt;28.5,Panchanga!$P352&gt;0.49999),MOD((Panchanga!$P352-0.5)*2,7),MOD((Panchanga!$P352+30-28.5),30)*2+7)</f>
        <v>2.9149999999999991</v>
      </c>
      <c r="M352" s="4" t="str">
        <f>CHOOSE(ROUNDUP(Panchanga!$L352,0),"Bhava","Baalava","Kaulava","Taitula","Garija","Vanija","Vishti","Shakuni","Chatushapda","Naaga","Kimstugna")</f>
        <v>Kaulava</v>
      </c>
      <c r="N352" s="11" t="str">
        <f>CHOOSE(ROUNDUP(Panchanga!$Q352,0),"viṣkambha","prīti","āyuṣmāna","saubhāgya","śobhana","atigaṇḍa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("&amp;Panchanga!$Q352&amp;")"</f>
        <v>prīti (1.25)</v>
      </c>
      <c r="O352" s="4">
        <f>IF(AND(Panchanga!$P352&lt;28.5,Panchanga!$P352&gt;0.49999),MOD((Panchanga!$P352-0.5)*2,7),MOD((Panchanga!$P352+30-28.5),30)*2+7)</f>
        <v>2.9149999999999991</v>
      </c>
      <c r="P352" s="4">
        <f>ROUNDUP(MOD(360+P[Moon]-P[Sun],360)/12,4)</f>
        <v>12.4575</v>
      </c>
      <c r="Q352" s="4">
        <f>ROUNDUP(MOD(P[Sun]+P[Moon],360)/13.333333333,2)</f>
        <v>1.25</v>
      </c>
      <c r="R352" s="4" t="str">
        <f>SIGN(U353-Panchanga!$U352)*INT(Panchanga!$U352/30+1)&amp;"Ma,"&amp;SIGN(V353-Panchanga!$V352)*INT(Panchanga!$V352/30+1)&amp;"Me,"&amp;SIGN(W353-Panchanga!$W352)*INT(Panchanga!$W352/30+1)&amp;"J, "&amp;SIGN(X353-Panchanga!$X352)*INT(Panchanga!$X352/30+1)&amp;"V,"&amp;SIGN(Y353-Panchanga!$Y352)*INT(Panchanga!$Y352/30+1)&amp;"S,"&amp;INT(Panchanga!$Z352/30+1)&amp;"R"</f>
        <v>8Ma,11Me,9J, 12V,10S,3R</v>
      </c>
      <c r="S352" s="4">
        <f t="shared" si="54"/>
        <v>293.57191092989041</v>
      </c>
      <c r="T352" s="4">
        <f t="shared" si="55"/>
        <v>83.06097088111359</v>
      </c>
      <c r="U352" s="4">
        <f>Planet(Panchanga!$E352,4)</f>
        <v>239.39369808926452</v>
      </c>
      <c r="V352" s="4">
        <f>Planet(Panchanga!$E352,2)</f>
        <v>311.11913407098979</v>
      </c>
      <c r="W352" s="4">
        <f>Planet(Panchanga!$E352,5)</f>
        <v>260.83469192564945</v>
      </c>
      <c r="X352" s="4">
        <f>Planet(Panchanga!$E352,3)</f>
        <v>334.93849580395471</v>
      </c>
      <c r="Y352" s="4">
        <f>Planet(Panchanga!$E352,6)</f>
        <v>271.60019830934351</v>
      </c>
      <c r="Z352" s="4">
        <f>Planet(Panchanga!$E352,10)</f>
        <v>72.144133204315352</v>
      </c>
      <c r="AA352" s="4" t="str">
        <f>TEXT(Panchanga!$C352+($C353-Panchanga!$C352)/ABS(IF($P353&lt;1,$P353+30,$P353)-Panchanga!$P352)*(ROUNDUP(Panchanga!$P352,0)-Panchanga!$P352),"hh:mm AM/PM")</f>
        <v>06:25 PM</v>
      </c>
      <c r="AB352" s="4"/>
    </row>
    <row r="353" spans="1:28" x14ac:dyDescent="0.2">
      <c r="A353" s="3">
        <f t="shared" si="57"/>
        <v>43869</v>
      </c>
      <c r="B353" s="3">
        <f t="shared" si="51"/>
        <v>43869.229166666664</v>
      </c>
      <c r="C353" s="15">
        <f t="shared" si="52"/>
        <v>43869.275036699291</v>
      </c>
      <c r="D353" s="15">
        <f t="shared" si="53"/>
        <v>43868.757804691835</v>
      </c>
      <c r="E353" s="17">
        <f>Panchanga!$C353-TimeZone/24</f>
        <v>43869.045870032627</v>
      </c>
      <c r="F353" s="18" t="str">
        <f>INT(P[Sun]/30)&amp;"s"&amp;ROUNDUP(MOD(P[Sun],30),2)</f>
        <v>9s24.59</v>
      </c>
      <c r="G353" s="18" t="str">
        <f>INT(P[Moon]/30)&amp;"s"&amp;ROUNDUP(MOD(P[Moon],30),2)</f>
        <v>3s7.29</v>
      </c>
      <c r="H353" s="14">
        <f t="shared" si="56"/>
        <v>43869.045870032627</v>
      </c>
      <c r="I353" s="4" t="str">
        <f>naks(P[[#This Row],[Moon]])</f>
        <v>Pushya</v>
      </c>
      <c r="J353" s="15">
        <f>(C354-P[[#This Row],[SunRise]])/(T354-P[[#This Row],[Moon]])*(13.3333333333333-MOD(P[[#This Row],[Moon]],13.333333333333))+P[[#This Row],[SunRise]]</f>
        <v>43869.917358007726</v>
      </c>
      <c r="K353" s="4" t="str">
        <f>IF(Panchanga!$P353&gt;15,"K","S")&amp;ROUNDUP(MOD(Panchanga!$P353,15),0)&amp;" ("&amp;ROUND(Panchanga!$P353,2)&amp;")"</f>
        <v>S14 (13.56)</v>
      </c>
      <c r="L353" s="4">
        <f>IF(AND(Panchanga!$P353&lt;28.5,Panchanga!$P353&gt;0.49999),MOD((Panchanga!$P353-0.5)*2,7),MOD((Panchanga!$P353+30-28.5),30)*2+7)</f>
        <v>5.1165999999999983</v>
      </c>
      <c r="M353" s="4" t="str">
        <f>CHOOSE(ROUNDUP(Panchanga!$L353,0),"Bhava","Baalava","Kaulava","Taitula","Garija","Vanija","Vishti","Shakuni","Chatushapda","Naaga","Kimstugna")</f>
        <v>Vanija</v>
      </c>
      <c r="N353" s="11" t="str">
        <f>CHOOSE(ROUNDUP(Panchanga!$Q353,0),"viṣkambha","prīti","āyuṣmāna","saubhāgya","śobhana","atigaṇḍa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("&amp;Panchanga!$Q353&amp;")"</f>
        <v>āyuṣmāna (2.4)</v>
      </c>
      <c r="O353" s="4">
        <f>IF(AND(Panchanga!$P353&lt;28.5,Panchanga!$P353&gt;0.49999),MOD((Panchanga!$P353-0.5)*2,7),MOD((Panchanga!$P353+30-28.5),30)*2+7)</f>
        <v>5.1165999999999983</v>
      </c>
      <c r="P353" s="4">
        <f>ROUNDUP(MOD(360+P[Moon]-P[Sun],360)/12,4)</f>
        <v>13.558299999999999</v>
      </c>
      <c r="Q353" s="4">
        <f>ROUNDUP(MOD(P[Sun]+P[Moon],360)/13.333333333,2)</f>
        <v>2.4</v>
      </c>
      <c r="R353" s="4" t="str">
        <f>SIGN(U354-Panchanga!$U353)*INT(Panchanga!$U353/30+1)&amp;"Ma,"&amp;SIGN(V354-Panchanga!$V353)*INT(Panchanga!$V353/30+1)&amp;"Me,"&amp;SIGN(W354-Panchanga!$W353)*INT(Panchanga!$W353/30+1)&amp;"J, "&amp;SIGN(X354-Panchanga!$X353)*INT(Panchanga!$X353/30+1)&amp;"V,"&amp;SIGN(Y354-Panchanga!$Y353)*INT(Panchanga!$Y353/30+1)&amp;"S,"&amp;INT(Panchanga!$Z353/30+1)&amp;"R"</f>
        <v>9Ma,11Me,9J, 12V,10S,3R</v>
      </c>
      <c r="S353" s="4">
        <f t="shared" si="54"/>
        <v>294.58463841026816</v>
      </c>
      <c r="T353" s="4">
        <f t="shared" si="55"/>
        <v>97.283617114578277</v>
      </c>
      <c r="U353" s="4">
        <f>Planet(Panchanga!$E353,4)</f>
        <v>240.07816904221752</v>
      </c>
      <c r="V353" s="4">
        <f>Planet(Panchanga!$E353,2)</f>
        <v>312.43427633116823</v>
      </c>
      <c r="W353" s="4">
        <f>Planet(Panchanga!$E353,5)</f>
        <v>261.04631616124061</v>
      </c>
      <c r="X353" s="4">
        <f>Planet(Panchanga!$E353,3)</f>
        <v>336.1144720003424</v>
      </c>
      <c r="Y353" s="4">
        <f>Planet(Panchanga!$E353,6)</f>
        <v>271.71273577781727</v>
      </c>
      <c r="Z353" s="4">
        <f>Planet(Panchanga!$E353,10)</f>
        <v>72.091150810470751</v>
      </c>
      <c r="AA353" s="4" t="str">
        <f>TEXT(Panchanga!$C353+($C354-Panchanga!$C353)/ABS(IF($P354&lt;1,$P354+30,$P354)-Panchanga!$P353)*(ROUNDUP(Panchanga!$P353,0)-Panchanga!$P353),"hh:mm AM/PM")</f>
        <v>03:57 PM</v>
      </c>
      <c r="AB353" s="4"/>
    </row>
    <row r="354" spans="1:28" x14ac:dyDescent="0.2">
      <c r="A354" s="3">
        <f t="shared" si="57"/>
        <v>43870</v>
      </c>
      <c r="B354" s="3">
        <f t="shared" si="51"/>
        <v>43870.229166666664</v>
      </c>
      <c r="C354" s="15">
        <f t="shared" si="52"/>
        <v>43870.274843897823</v>
      </c>
      <c r="D354" s="15">
        <f t="shared" si="53"/>
        <v>43869.758060117761</v>
      </c>
      <c r="E354" s="17">
        <f>Panchanga!$C354-TimeZone/24</f>
        <v>43870.045677231159</v>
      </c>
      <c r="F354" s="18" t="str">
        <f>INT(P[Sun]/30)&amp;"s"&amp;ROUNDUP(MOD(P[Sun],30),2)</f>
        <v>9s25.6</v>
      </c>
      <c r="G354" s="18" t="str">
        <f>INT(P[Moon]/30)&amp;"s"&amp;ROUNDUP(MOD(P[Moon],30),2)</f>
        <v>3s21.89</v>
      </c>
      <c r="H354" s="14">
        <f t="shared" si="56"/>
        <v>43870.045677231159</v>
      </c>
      <c r="I354" s="4" t="str">
        <f>naks(P[[#This Row],[Moon]])</f>
        <v>Aslesha</v>
      </c>
      <c r="J354" s="15">
        <f>(C355-P[[#This Row],[SunRise]])/(T355-P[[#This Row],[Moon]])*(13.3333333333333-MOD(P[[#This Row],[Moon]],13.333333333333))+P[[#This Row],[SunRise]]</f>
        <v>43870.819766784727</v>
      </c>
      <c r="K354" s="4" t="str">
        <f>IF(Panchanga!$P354&gt;15,"K","S")&amp;ROUNDUP(MOD(Panchanga!$P354,15),0)&amp;" ("&amp;ROUND(Panchanga!$P354,2)&amp;")"</f>
        <v>S15 (14.69)</v>
      </c>
      <c r="L354" s="4">
        <f>IF(AND(Panchanga!$P354&lt;28.5,Panchanga!$P354&gt;0.49999),MOD((Panchanga!$P354-0.5)*2,7),MOD((Panchanga!$P354+30-28.5),30)*2+7)</f>
        <v>0.3819999999999979</v>
      </c>
      <c r="M354" s="4" t="str">
        <f>CHOOSE(ROUNDUP(Panchanga!$L354,0),"Bhava","Baalava","Kaulava","Taitula","Garija","Vanija","Vishti","Shakuni","Chatushapda","Naaga","Kimstugna")</f>
        <v>Bhava</v>
      </c>
      <c r="N354" s="11" t="str">
        <f>CHOOSE(ROUNDUP(Panchanga!$Q354,0),"viṣkambha","prīti","āyuṣmāna","saubhāgya","śobhana","atigaṇḍa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("&amp;Panchanga!$Q354&amp;")"</f>
        <v>saubhāgya (3.57)</v>
      </c>
      <c r="O354" s="4">
        <f>IF(AND(Panchanga!$P354&lt;28.5,Panchanga!$P354&gt;0.49999),MOD((Panchanga!$P354-0.5)*2,7),MOD((Panchanga!$P354+30-28.5),30)*2+7)</f>
        <v>0.3819999999999979</v>
      </c>
      <c r="P354" s="4">
        <f>ROUNDUP(MOD(360+P[Moon]-P[Sun],360)/12,4)</f>
        <v>14.690999999999999</v>
      </c>
      <c r="Q354" s="4">
        <f>ROUNDUP(MOD(P[Sun]+P[Moon],360)/13.333333333,2)</f>
        <v>3.57</v>
      </c>
      <c r="R354" s="4" t="str">
        <f>SIGN(U355-Panchanga!$U354)*INT(Panchanga!$U354/30+1)&amp;"Ma,"&amp;SIGN(V355-Panchanga!$V354)*INT(Panchanga!$V354/30+1)&amp;"Me,"&amp;SIGN(W355-Panchanga!$W354)*INT(Panchanga!$W354/30+1)&amp;"J, "&amp;SIGN(X355-Panchanga!$X354)*INT(Panchanga!$X354/30+1)&amp;"V,"&amp;SIGN(Y355-Panchanga!$Y354)*INT(Panchanga!$Y354/30+1)&amp;"S,"&amp;INT(Panchanga!$Z354/30+1)&amp;"R"</f>
        <v>9Ma,11Me,9J, 12V,10S,3R</v>
      </c>
      <c r="S354" s="4">
        <f t="shared" si="54"/>
        <v>295.59698365791104</v>
      </c>
      <c r="T354" s="4">
        <f t="shared" si="55"/>
        <v>111.88883161264172</v>
      </c>
      <c r="U354" s="4">
        <f>Planet(Panchanga!$E354,4)</f>
        <v>240.76295884198208</v>
      </c>
      <c r="V354" s="4">
        <f>Planet(Panchanga!$E354,2)</f>
        <v>313.65856352472474</v>
      </c>
      <c r="W354" s="4">
        <f>Planet(Panchanga!$E354,5)</f>
        <v>261.25698948996978</v>
      </c>
      <c r="X354" s="4">
        <f>Planet(Panchanga!$E354,3)</f>
        <v>337.28825444653768</v>
      </c>
      <c r="Y354" s="4">
        <f>Planet(Panchanga!$E354,6)</f>
        <v>271.82478918588328</v>
      </c>
      <c r="Z354" s="4">
        <f>Planet(Panchanga!$E354,10)</f>
        <v>72.038169031496906</v>
      </c>
      <c r="AA354" s="4" t="str">
        <f>TEXT(Panchanga!$C354+($C355-Panchanga!$C354)/ABS(IF($P355&lt;1,$P355+30,$P355)-Panchanga!$P354)*(ROUNDUP(Panchanga!$P354,0)-Panchanga!$P354),"hh:mm AM/PM")</f>
        <v>01:00 PM</v>
      </c>
      <c r="AB354" s="4"/>
    </row>
    <row r="355" spans="1:28" x14ac:dyDescent="0.2">
      <c r="A355" s="3">
        <f t="shared" si="57"/>
        <v>43871</v>
      </c>
      <c r="B355" s="3">
        <f t="shared" si="51"/>
        <v>43871.229166666664</v>
      </c>
      <c r="C355" s="15">
        <f t="shared" si="52"/>
        <v>43871.27463981152</v>
      </c>
      <c r="D355" s="15">
        <f t="shared" si="53"/>
        <v>43870.758308708711</v>
      </c>
      <c r="E355" s="17">
        <f>Panchanga!$C355-TimeZone/24</f>
        <v>43871.045473144855</v>
      </c>
      <c r="F355" s="18" t="str">
        <f>INT(P[Sun]/30)&amp;"s"&amp;ROUNDUP(MOD(P[Sun],30),2)</f>
        <v>9s26.61</v>
      </c>
      <c r="G355" s="18" t="str">
        <f>INT(P[Moon]/30)&amp;"s"&amp;ROUNDUP(MOD(P[Moon],30),2)</f>
        <v>4s6.78</v>
      </c>
      <c r="H355" s="14">
        <f t="shared" si="56"/>
        <v>43871.045473144855</v>
      </c>
      <c r="I355" s="4" t="str">
        <f>naks(P[[#This Row],[Moon]])</f>
        <v>Makha</v>
      </c>
      <c r="J355" s="15">
        <f>(C356-P[[#This Row],[SunRise]])/(T356-P[[#This Row],[Moon]])*(13.3333333333333-MOD(P[[#This Row],[Moon]],13.333333333333))+P[[#This Row],[SunRise]]</f>
        <v>43871.711587920807</v>
      </c>
      <c r="K355" s="4" t="str">
        <f>IF(Panchanga!$P355&gt;15,"K","S")&amp;ROUNDUP(MOD(Panchanga!$P355,15),0)&amp;" ("&amp;ROUND(Panchanga!$P355,2)&amp;")"</f>
        <v>K1 (15.85)</v>
      </c>
      <c r="L355" s="4">
        <f>IF(AND(Panchanga!$P355&lt;28.5,Panchanga!$P355&gt;0.49999),MOD((Panchanga!$P355-0.5)*2,7),MOD((Panchanga!$P355+30-28.5),30)*2+7)</f>
        <v>2.6937999999999995</v>
      </c>
      <c r="M355" s="4" t="str">
        <f>CHOOSE(ROUNDUP(Panchanga!$L355,0),"Bhava","Baalava","Kaulava","Taitula","Garija","Vanija","Vishti","Shakuni","Chatushapda","Naaga","Kimstugna")</f>
        <v>Kaulava</v>
      </c>
      <c r="N355" s="11" t="str">
        <f>CHOOSE(ROUNDUP(Panchanga!$Q355,0),"viṣkambha","prīti","āyuṣmāna","saubhāgya","śobhana","atigaṇḍa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("&amp;Panchanga!$Q355&amp;")"</f>
        <v>śobhana (4.76)</v>
      </c>
      <c r="O355" s="4">
        <f>IF(AND(Panchanga!$P355&lt;28.5,Panchanga!$P355&gt;0.49999),MOD((Panchanga!$P355-0.5)*2,7),MOD((Panchanga!$P355+30-28.5),30)*2+7)</f>
        <v>2.6937999999999995</v>
      </c>
      <c r="P355" s="4">
        <f>ROUNDUP(MOD(360+P[Moon]-P[Sun],360)/12,4)</f>
        <v>15.8469</v>
      </c>
      <c r="Q355" s="4">
        <f>ROUNDUP(MOD(P[Sun]+P[Moon],360)/13.333333333,2)</f>
        <v>4.76</v>
      </c>
      <c r="R355" s="4" t="str">
        <f>SIGN(U356-Panchanga!$U355)*INT(Panchanga!$U355/30+1)&amp;"Ma,"&amp;SIGN(V356-Panchanga!$V355)*INT(Panchanga!$V355/30+1)&amp;"Me,"&amp;SIGN(W356-Panchanga!$W355)*INT(Panchanga!$W355/30+1)&amp;"J, "&amp;SIGN(X356-Panchanga!$X355)*INT(Panchanga!$X355/30+1)&amp;"V,"&amp;SIGN(Y356-Panchanga!$Y355)*INT(Panchanga!$Y355/30+1)&amp;"S,"&amp;INT(Panchanga!$Z355/30+1)&amp;"R"</f>
        <v>9Ma,11Me,9J, 12V,10S,3R</v>
      </c>
      <c r="S355" s="4">
        <f t="shared" si="54"/>
        <v>296.60895981128778</v>
      </c>
      <c r="T355" s="4">
        <f t="shared" si="55"/>
        <v>126.7707776712386</v>
      </c>
      <c r="U355" s="4">
        <f>Planet(Panchanga!$E355,4)</f>
        <v>241.44807537315234</v>
      </c>
      <c r="V355" s="4">
        <f>Planet(Panchanga!$E355,2)</f>
        <v>314.77967673828306</v>
      </c>
      <c r="W355" s="4">
        <f>Planet(Panchanga!$E355,5)</f>
        <v>261.46669148708446</v>
      </c>
      <c r="X355" s="4">
        <f>Planet(Panchanga!$E355,3)</f>
        <v>338.45979867062675</v>
      </c>
      <c r="Y355" s="4">
        <f>Planet(Panchanga!$E355,6)</f>
        <v>271.93634219475581</v>
      </c>
      <c r="Z355" s="4">
        <f>Planet(Panchanga!$E355,10)</f>
        <v>71.985187850543312</v>
      </c>
      <c r="AA355" s="4" t="str">
        <f>TEXT(Panchanga!$C355+($C356-Panchanga!$C355)/ABS(IF($P356&lt;1,$P356+30,$P356)-Panchanga!$P355)*(ROUNDUP(Panchanga!$P355,0)-Panchanga!$P355),"hh:mm AM/PM")</f>
        <v>09:44 AM</v>
      </c>
      <c r="AB355" s="4"/>
    </row>
    <row r="356" spans="1:28" x14ac:dyDescent="0.2">
      <c r="A356" s="3">
        <f t="shared" si="57"/>
        <v>43872</v>
      </c>
      <c r="B356" s="3">
        <f t="shared" si="51"/>
        <v>43872.229166666664</v>
      </c>
      <c r="C356" s="15">
        <f t="shared" si="52"/>
        <v>43872.274424281124</v>
      </c>
      <c r="D356" s="15">
        <f t="shared" si="53"/>
        <v>43871.758550465151</v>
      </c>
      <c r="E356" s="17">
        <f>Panchanga!$C356-TimeZone/24</f>
        <v>43872.04525761446</v>
      </c>
      <c r="F356" s="18" t="str">
        <f>INT(P[Sun]/30)&amp;"s"&amp;ROUNDUP(MOD(P[Sun],30),2)</f>
        <v>9s27.63</v>
      </c>
      <c r="G356" s="18" t="str">
        <f>INT(P[Moon]/30)&amp;"s"&amp;ROUNDUP(MOD(P[Moon],30),2)</f>
        <v>4s21.79</v>
      </c>
      <c r="H356" s="14">
        <f t="shared" si="56"/>
        <v>43872.04525761446</v>
      </c>
      <c r="I356" s="4" t="str">
        <f>naks(P[[#This Row],[Moon]])</f>
        <v>Purva Phalguni</v>
      </c>
      <c r="J356" s="15">
        <f>(C357-P[[#This Row],[SunRise]])/(T357-P[[#This Row],[Moon]])*(13.3333333333333-MOD(P[[#This Row],[Moon]],13.333333333333))+P[[#This Row],[SunRise]]</f>
        <v>43872.599866064425</v>
      </c>
      <c r="K356" s="4" t="str">
        <f>IF(Panchanga!$P356&gt;15,"K","S")&amp;ROUNDUP(MOD(Panchanga!$P356,15),0)&amp;" ("&amp;ROUND(Panchanga!$P356,2)&amp;")"</f>
        <v>K3 (17.01)</v>
      </c>
      <c r="L356" s="4">
        <f>IF(AND(Panchanga!$P356&lt;28.5,Panchanga!$P356&gt;0.49999),MOD((Panchanga!$P356-0.5)*2,7),MOD((Panchanga!$P356+30-28.5),30)*2+7)</f>
        <v>5.0277999999999992</v>
      </c>
      <c r="M356" s="4" t="str">
        <f>CHOOSE(ROUNDUP(Panchanga!$L356,0),"Bhava","Baalava","Kaulava","Taitula","Garija","Vanija","Vishti","Shakuni","Chatushapda","Naaga","Kimstugna")</f>
        <v>Vanija</v>
      </c>
      <c r="N356" s="11" t="str">
        <f>CHOOSE(ROUNDUP(Panchanga!$Q356,0),"viṣkambha","prīti","āyuṣmāna","saubhāgya","śobhana","atigaṇḍa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("&amp;Panchanga!$Q356&amp;")"</f>
        <v>atigaṇḍa  (5.96)</v>
      </c>
      <c r="O356" s="4">
        <f>IF(AND(Panchanga!$P356&lt;28.5,Panchanga!$P356&gt;0.49999),MOD((Panchanga!$P356-0.5)*2,7),MOD((Panchanga!$P356+30-28.5),30)*2+7)</f>
        <v>5.0277999999999992</v>
      </c>
      <c r="P356" s="4">
        <f>ROUNDUP(MOD(360+P[Moon]-P[Sun],360)/12,4)</f>
        <v>17.0139</v>
      </c>
      <c r="Q356" s="4">
        <f>ROUNDUP(MOD(P[Sun]+P[Moon],360)/13.333333333,2)</f>
        <v>5.96</v>
      </c>
      <c r="R356" s="4" t="str">
        <f>SIGN(U357-Panchanga!$U356)*INT(Panchanga!$U356/30+1)&amp;"Ma,"&amp;SIGN(V357-Panchanga!$V356)*INT(Panchanga!$V356/30+1)&amp;"Me,"&amp;SIGN(W357-Panchanga!$W356)*INT(Panchanga!$W356/30+1)&amp;"J, "&amp;SIGN(X357-Panchanga!$X356)*INT(Panchanga!$X356/30+1)&amp;"V,"&amp;SIGN(Y357-Panchanga!$Y356)*INT(Panchanga!$Y356/30+1)&amp;"S,"&amp;INT(Panchanga!$Z356/30+1)&amp;"R"</f>
        <v>9Ma,11Me,9J, 12V,10S,3R</v>
      </c>
      <c r="S356" s="4">
        <f t="shared" si="54"/>
        <v>297.62058103699206</v>
      </c>
      <c r="T356" s="4">
        <f t="shared" si="55"/>
        <v>141.78661385954629</v>
      </c>
      <c r="U356" s="4">
        <f>Planet(Panchanga!$E356,4)</f>
        <v>242.13352391727972</v>
      </c>
      <c r="V356" s="4">
        <f>Planet(Panchanga!$E356,2)</f>
        <v>315.78507492853521</v>
      </c>
      <c r="W356" s="4">
        <f>Planet(Panchanga!$E356,5)</f>
        <v>261.67540111371784</v>
      </c>
      <c r="X356" s="4">
        <f>Planet(Panchanga!$E356,3)</f>
        <v>339.62906329119568</v>
      </c>
      <c r="Y356" s="4">
        <f>Planet(Panchanga!$E356,6)</f>
        <v>272.04737832920063</v>
      </c>
      <c r="Z356" s="4">
        <f>Planet(Panchanga!$E356,10)</f>
        <v>71.932207276060069</v>
      </c>
      <c r="AA356" s="4" t="str">
        <f>TEXT(Panchanga!$C356+($C357-Panchanga!$C356)/ABS(IF($P357&lt;1,$P357+30,$P357)-Panchanga!$P356)*(ROUNDUP(Panchanga!$P356,0)-Panchanga!$P356),"hh:mm AM/PM")</f>
        <v>02:53 AM</v>
      </c>
      <c r="AB356" s="4"/>
    </row>
    <row r="357" spans="1:28" x14ac:dyDescent="0.2">
      <c r="A357" s="3">
        <f t="shared" si="57"/>
        <v>43873</v>
      </c>
      <c r="B357" s="3">
        <f t="shared" si="51"/>
        <v>43873.229166666664</v>
      </c>
      <c r="C357" s="15">
        <f t="shared" si="52"/>
        <v>43873.27419794273</v>
      </c>
      <c r="D357" s="15">
        <f t="shared" si="53"/>
        <v>43872.75878554587</v>
      </c>
      <c r="E357" s="17">
        <f>Panchanga!$C357-TimeZone/24</f>
        <v>43873.045031276066</v>
      </c>
      <c r="F357" s="18" t="str">
        <f>INT(P[Sun]/30)&amp;"s"&amp;ROUNDUP(MOD(P[Sun],30),2)</f>
        <v>9s28.64</v>
      </c>
      <c r="G357" s="18" t="str">
        <f>INT(P[Moon]/30)&amp;"s"&amp;ROUNDUP(MOD(P[Moon],30),2)</f>
        <v>5s6.78</v>
      </c>
      <c r="H357" s="14">
        <f t="shared" si="56"/>
        <v>43873.045031276066</v>
      </c>
      <c r="I357" s="4" t="str">
        <f>naks(P[[#This Row],[Moon]])</f>
        <v>Uttara Phalguni</v>
      </c>
      <c r="J357" s="15">
        <f>(C358-P[[#This Row],[SunRise]])/(T358-P[[#This Row],[Moon]])*(13.3333333333333-MOD(P[[#This Row],[Moon]],13.333333333333))+P[[#This Row],[SunRise]]</f>
        <v>43873.491513497873</v>
      </c>
      <c r="K357" s="4" t="str">
        <f>IF(Panchanga!$P357&gt;15,"K","S")&amp;ROUNDUP(MOD(Panchanga!$P357,15),0)&amp;" ("&amp;ROUND(Panchanga!$P357,2)&amp;")"</f>
        <v>K4 (18.18)</v>
      </c>
      <c r="L357" s="4">
        <f>IF(AND(Panchanga!$P357&lt;28.5,Panchanga!$P357&gt;0.49999),MOD((Panchanga!$P357-0.5)*2,7),MOD((Panchanga!$P357+30-28.5),30)*2+7)</f>
        <v>0.35779999999999745</v>
      </c>
      <c r="M357" s="4" t="str">
        <f>CHOOSE(ROUNDUP(Panchanga!$L357,0),"Bhava","Baalava","Kaulava","Taitula","Garija","Vanija","Vishti","Shakuni","Chatushapda","Naaga","Kimstugna")</f>
        <v>Bhava</v>
      </c>
      <c r="N357" s="11" t="str">
        <f>CHOOSE(ROUNDUP(Panchanga!$Q357,0),"viṣkambha","prīti","āyuṣmāna","saubhāgya","śobhana","atigaṇḍa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("&amp;Panchanga!$Q357&amp;")"</f>
        <v>dhṛti  (7.16)</v>
      </c>
      <c r="O357" s="4">
        <f>IF(AND(Panchanga!$P357&lt;28.5,Panchanga!$P357&gt;0.49999),MOD((Panchanga!$P357-0.5)*2,7),MOD((Panchanga!$P357+30-28.5),30)*2+7)</f>
        <v>0.35779999999999745</v>
      </c>
      <c r="P357" s="4">
        <f>ROUNDUP(MOD(360+P[Moon]-P[Sun],360)/12,4)</f>
        <v>18.178899999999999</v>
      </c>
      <c r="Q357" s="4">
        <f>ROUNDUP(MOD(P[Sun]+P[Moon],360)/13.333333333,2)</f>
        <v>7.16</v>
      </c>
      <c r="R357" s="4" t="str">
        <f>SIGN(U358-Panchanga!$U357)*INT(Panchanga!$U357/30+1)&amp;"Ma,"&amp;SIGN(V358-Panchanga!$V357)*INT(Panchanga!$V357/30+1)&amp;"Me,"&amp;SIGN(W358-Panchanga!$W357)*INT(Panchanga!$W357/30+1)&amp;"J, "&amp;SIGN(X358-Panchanga!$X357)*INT(Panchanga!$X357/30+1)&amp;"V,"&amp;SIGN(Y358-Panchanga!$Y357)*INT(Panchanga!$Y357/30+1)&amp;"S,"&amp;INT(Panchanga!$Z357/30+1)&amp;"R"</f>
        <v>9Ma,11Me,9J, 12V,10S,3R</v>
      </c>
      <c r="S357" s="4">
        <f t="shared" si="54"/>
        <v>298.63186167878609</v>
      </c>
      <c r="T357" s="4">
        <f t="shared" si="55"/>
        <v>156.77838355259195</v>
      </c>
      <c r="U357" s="4">
        <f>Planet(Panchanga!$E357,4)</f>
        <v>242.81930713842686</v>
      </c>
      <c r="V357" s="4">
        <f>Planet(Panchanga!$E357,2)</f>
        <v>316.66233573852236</v>
      </c>
      <c r="W357" s="4">
        <f>Planet(Panchanga!$E357,5)</f>
        <v>261.88309659176031</v>
      </c>
      <c r="X357" s="4">
        <f>Planet(Panchanga!$E357,3)</f>
        <v>340.79601032744768</v>
      </c>
      <c r="Y357" s="4">
        <f>Planet(Panchanga!$E357,6)</f>
        <v>272.15788088961824</v>
      </c>
      <c r="Z357" s="4">
        <f>Planet(Panchanga!$E357,10)</f>
        <v>71.879227274280055</v>
      </c>
      <c r="AA357" s="4" t="str">
        <f>TEXT(Panchanga!$C357+($C358-Panchanga!$C357)/ABS(IF($P358&lt;1,$P358+30,$P358)-Panchanga!$P357)*(ROUNDUP(Panchanga!$P357,0)-Panchanga!$P357),"hh:mm AM/PM")</f>
        <v>11:41 PM</v>
      </c>
      <c r="AB357" s="4"/>
    </row>
    <row r="358" spans="1:28" x14ac:dyDescent="0.2">
      <c r="A358" s="3">
        <f t="shared" si="57"/>
        <v>43874</v>
      </c>
      <c r="B358" s="3">
        <f t="shared" si="51"/>
        <v>43874.229166666664</v>
      </c>
      <c r="C358" s="15">
        <f t="shared" si="52"/>
        <v>43874.273960636616</v>
      </c>
      <c r="D358" s="15">
        <f t="shared" si="53"/>
        <v>43873.759013950868</v>
      </c>
      <c r="E358" s="17">
        <f>Panchanga!$C358-TimeZone/24</f>
        <v>43874.044793969952</v>
      </c>
      <c r="F358" s="18" t="str">
        <f>INT(P[Sun]/30)&amp;"s"&amp;ROUNDUP(MOD(P[Sun],30),2)</f>
        <v>9s29.65</v>
      </c>
      <c r="G358" s="18" t="str">
        <f>INT(P[Moon]/30)&amp;"s"&amp;ROUNDUP(MOD(P[Moon],30),2)</f>
        <v>5s21.6</v>
      </c>
      <c r="H358" s="14">
        <f t="shared" si="56"/>
        <v>43874.044793969952</v>
      </c>
      <c r="I358" s="4" t="str">
        <f>naks(P[[#This Row],[Moon]])</f>
        <v>Hasta</v>
      </c>
      <c r="J358" s="15">
        <f>(C359-P[[#This Row],[SunRise]])/(T359-P[[#This Row],[Moon]])*(13.3333333333333-MOD(P[[#This Row],[Moon]],13.333333333333))+P[[#This Row],[SunRise]]</f>
        <v>43874.393199725127</v>
      </c>
      <c r="K358" s="4" t="str">
        <f>IF(Panchanga!$P358&gt;15,"K","S")&amp;ROUNDUP(MOD(Panchanga!$P358,15),0)&amp;" ("&amp;ROUND(Panchanga!$P358,2)&amp;")"</f>
        <v>K5 (19.33)</v>
      </c>
      <c r="L358" s="4">
        <f>IF(AND(Panchanga!$P358&lt;28.5,Panchanga!$P358&gt;0.49999),MOD((Panchanga!$P358-0.5)*2,7),MOD((Panchanga!$P358+30-28.5),30)*2+7)</f>
        <v>2.6595999999999975</v>
      </c>
      <c r="M358" s="4" t="str">
        <f>CHOOSE(ROUNDUP(Panchanga!$L358,0),"Bhava","Baalava","Kaulava","Taitula","Garija","Vanija","Vishti","Shakuni","Chatushapda","Naaga","Kimstugna")</f>
        <v>Kaulava</v>
      </c>
      <c r="N358" s="11" t="str">
        <f>CHOOSE(ROUNDUP(Panchanga!$Q358,0),"viṣkambha","prīti","āyuṣmāna","saubhāgya","śobhana","atigaṇḍa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("&amp;Panchanga!$Q358&amp;")"</f>
        <v>śūla  (8.35)</v>
      </c>
      <c r="O358" s="4">
        <f>IF(AND(Panchanga!$P358&lt;28.5,Panchanga!$P358&gt;0.49999),MOD((Panchanga!$P358-0.5)*2,7),MOD((Panchanga!$P358+30-28.5),30)*2+7)</f>
        <v>2.6595999999999975</v>
      </c>
      <c r="P358" s="4">
        <f>ROUNDUP(MOD(360+P[Moon]-P[Sun],360)/12,4)</f>
        <v>19.329799999999999</v>
      </c>
      <c r="Q358" s="4">
        <f>ROUNDUP(MOD(P[Sun]+P[Moon],360)/13.333333333,2)</f>
        <v>8.35</v>
      </c>
      <c r="R358" s="4" t="str">
        <f>SIGN(U359-Panchanga!$U358)*INT(Panchanga!$U358/30+1)&amp;"Ma,"&amp;SIGN(V359-Panchanga!$V358)*INT(Panchanga!$V358/30+1)&amp;"Me,"&amp;SIGN(W359-Panchanga!$W358)*INT(Panchanga!$W358/30+1)&amp;"J, "&amp;SIGN(X359-Panchanga!$X358)*INT(Panchanga!$X358/30+1)&amp;"V,"&amp;SIGN(Y359-Panchanga!$Y358)*INT(Panchanga!$Y358/30+1)&amp;"S,"&amp;INT(Panchanga!$Z358/30+1)&amp;"R"</f>
        <v>9Ma,11Me,9J, 12V,10S,3R</v>
      </c>
      <c r="S358" s="4">
        <f t="shared" si="54"/>
        <v>299.6428126157021</v>
      </c>
      <c r="T358" s="4">
        <f t="shared" si="55"/>
        <v>171.59946682032989</v>
      </c>
      <c r="U358" s="4">
        <f>Planet(Panchanga!$E358,4)</f>
        <v>243.50542355966422</v>
      </c>
      <c r="V358" s="4">
        <f>Planet(Panchanga!$E358,2)</f>
        <v>317.39955991957919</v>
      </c>
      <c r="W358" s="4">
        <f>Planet(Panchanga!$E358,5)</f>
        <v>262.08975479911675</v>
      </c>
      <c r="X358" s="4">
        <f>Planet(Panchanga!$E358,3)</f>
        <v>341.96060158600886</v>
      </c>
      <c r="Y358" s="4">
        <f>Planet(Panchanga!$E358,6)</f>
        <v>272.26783259153217</v>
      </c>
      <c r="Z358" s="4">
        <f>Planet(Panchanga!$E358,10)</f>
        <v>71.826247853736064</v>
      </c>
      <c r="AA358" s="4" t="str">
        <f>TEXT(Panchanga!$C358+($C359-Panchanga!$C358)/ABS(IF($P359&lt;1,$P359+30,$P359)-Panchanga!$P358)*(ROUNDUP(Panchanga!$P358,0)-Panchanga!$P358),"hh:mm AM/PM")</f>
        <v>08:50 PM</v>
      </c>
      <c r="AB358" s="4"/>
    </row>
    <row r="359" spans="1:28" x14ac:dyDescent="0.2">
      <c r="A359" s="3">
        <f t="shared" si="57"/>
        <v>43875</v>
      </c>
      <c r="B359" s="3">
        <f t="shared" si="51"/>
        <v>43875.229166666664</v>
      </c>
      <c r="C359" s="15">
        <f t="shared" si="52"/>
        <v>43875.27371299934</v>
      </c>
      <c r="D359" s="15">
        <f t="shared" si="53"/>
        <v>43874.759235839403</v>
      </c>
      <c r="E359" s="17">
        <f>Panchanga!$C359-TimeZone/24</f>
        <v>43875.044546332676</v>
      </c>
      <c r="F359" s="18" t="str">
        <f>INT(P[Sun]/30)&amp;"s"&amp;ROUNDUP(MOD(P[Sun],30),2)</f>
        <v>10s0.66</v>
      </c>
      <c r="G359" s="18" t="str">
        <f>INT(P[Moon]/30)&amp;"s"&amp;ROUNDUP(MOD(P[Moon],30),2)</f>
        <v>6s6.14</v>
      </c>
      <c r="H359" s="14">
        <f t="shared" si="56"/>
        <v>43875.044546332676</v>
      </c>
      <c r="I359" s="4" t="str">
        <f>naks(P[[#This Row],[Moon]])</f>
        <v>Chitra</v>
      </c>
      <c r="J359" s="15">
        <f>(C360-P[[#This Row],[SunRise]])/(T360-P[[#This Row],[Moon]])*(13.3333333333333-MOD(P[[#This Row],[Moon]],13.333333333333))+P[[#This Row],[SunRise]]</f>
        <v>43875.311042772541</v>
      </c>
      <c r="K359" s="4" t="str">
        <f>IF(Panchanga!$P359&gt;15,"K","S")&amp;ROUNDUP(MOD(Panchanga!$P359,15),0)&amp;" ("&amp;ROUND(Panchanga!$P359,2)&amp;")"</f>
        <v>K6 (20.46)</v>
      </c>
      <c r="L359" s="4">
        <f>IF(AND(Panchanga!$P359&lt;28.5,Panchanga!$P359&gt;0.49999),MOD((Panchanga!$P359-0.5)*2,7),MOD((Panchanga!$P359+30-28.5),30)*2+7)</f>
        <v>4.9140000000000015</v>
      </c>
      <c r="M359" s="4" t="str">
        <f>CHOOSE(ROUNDUP(Panchanga!$L359,0),"Bhava","Baalava","Kaulava","Taitula","Garija","Vanija","Vishti","Shakuni","Chatushapda","Naaga","Kimstugna")</f>
        <v>Garija</v>
      </c>
      <c r="N359" s="11" t="str">
        <f>CHOOSE(ROUNDUP(Panchanga!$Q359,0),"viṣkambha","prīti","āyuṣmāna","saubhāgya","śobhana","atigaṇḍa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("&amp;Panchanga!$Q359&amp;")"</f>
        <v>gaṇḍa  (9.51)</v>
      </c>
      <c r="O359" s="4">
        <f>IF(AND(Panchanga!$P359&lt;28.5,Panchanga!$P359&gt;0.49999),MOD((Panchanga!$P359-0.5)*2,7),MOD((Panchanga!$P359+30-28.5),30)*2+7)</f>
        <v>4.9140000000000015</v>
      </c>
      <c r="P359" s="4">
        <f>ROUNDUP(MOD(360+P[Moon]-P[Sun],360)/12,4)</f>
        <v>20.457000000000001</v>
      </c>
      <c r="Q359" s="4">
        <f>ROUNDUP(MOD(P[Sun]+P[Moon],360)/13.333333333,2)</f>
        <v>9.51</v>
      </c>
      <c r="R359" s="4" t="str">
        <f>SIGN(U360-Panchanga!$U359)*INT(Panchanga!$U359/30+1)&amp;"Ma,"&amp;SIGN(V360-Panchanga!$V359)*INT(Panchanga!$V359/30+1)&amp;"Me,"&amp;SIGN(W360-Panchanga!$W359)*INT(Panchanga!$W359/30+1)&amp;"J, "&amp;SIGN(X360-Panchanga!$X359)*INT(Panchanga!$X359/30+1)&amp;"V,"&amp;SIGN(Y360-Panchanga!$Y359)*INT(Panchanga!$Y359/30+1)&amp;"S,"&amp;INT(Panchanga!$Z359/30+1)&amp;"R"</f>
        <v>9Ma,11Me,9J, 12V,10S,3R</v>
      </c>
      <c r="S359" s="4">
        <f t="shared" si="54"/>
        <v>300.65344138200311</v>
      </c>
      <c r="T359" s="4">
        <f t="shared" si="55"/>
        <v>186.13695754326852</v>
      </c>
      <c r="U359" s="4">
        <f>Planet(Panchanga!$E359,4)</f>
        <v>244.191868734357</v>
      </c>
      <c r="V359" s="4">
        <f>Planet(Panchanga!$E359,2)</f>
        <v>317.98583905107461</v>
      </c>
      <c r="W359" s="4">
        <f>Planet(Panchanga!$E359,5)</f>
        <v>262.29535149657238</v>
      </c>
      <c r="X359" s="4">
        <f>Planet(Panchanga!$E359,3)</f>
        <v>343.12279862234362</v>
      </c>
      <c r="Y359" s="4">
        <f>Planet(Panchanga!$E359,6)</f>
        <v>272.37721564227627</v>
      </c>
      <c r="Z359" s="4">
        <f>Planet(Panchanga!$E359,10)</f>
        <v>71.773268980627805</v>
      </c>
      <c r="AA359" s="4" t="str">
        <f>TEXT(Panchanga!$C359+($C360-Panchanga!$C359)/ABS(IF($P360&lt;1,$P360+30,$P360)-Panchanga!$P359)*(ROUNDUP(Panchanga!$P359,0)-Panchanga!$P359),"hh:mm AM/PM")</f>
        <v>06:26 PM</v>
      </c>
      <c r="AB359" s="4"/>
    </row>
    <row r="360" spans="1:28" x14ac:dyDescent="0.2">
      <c r="A360" s="3">
        <f t="shared" si="57"/>
        <v>43876</v>
      </c>
      <c r="B360" s="3">
        <f t="shared" si="51"/>
        <v>43876.229166666664</v>
      </c>
      <c r="C360" s="15">
        <f t="shared" si="52"/>
        <v>43876.273455030438</v>
      </c>
      <c r="D360" s="15">
        <f t="shared" si="53"/>
        <v>43875.759451210542</v>
      </c>
      <c r="E360" s="17">
        <f>Panchanga!$C360-TimeZone/24</f>
        <v>43876.044288363773</v>
      </c>
      <c r="F360" s="18" t="str">
        <f>INT(P[Sun]/30)&amp;"s"&amp;ROUNDUP(MOD(P[Sun],30),2)</f>
        <v>10s1.67</v>
      </c>
      <c r="G360" s="18" t="str">
        <f>INT(P[Moon]/30)&amp;"s"&amp;ROUNDUP(MOD(P[Moon],30),2)</f>
        <v>6s20.33</v>
      </c>
      <c r="H360" s="14">
        <f t="shared" si="56"/>
        <v>43876.044288363773</v>
      </c>
      <c r="I360" s="4" t="str">
        <f>naks(P[[#This Row],[Moon]])</f>
        <v>Visakha</v>
      </c>
      <c r="J360" s="15">
        <f>(C361-P[[#This Row],[SunRise]])/(T361-P[[#This Row],[Moon]])*(13.3333333333333-MOD(P[[#This Row],[Moon]],13.333333333333))+P[[#This Row],[SunRise]]</f>
        <v>43877.215105305368</v>
      </c>
      <c r="K360" s="4" t="str">
        <f>IF(Panchanga!$P360&gt;15,"K","S")&amp;ROUNDUP(MOD(Panchanga!$P360,15),0)&amp;" ("&amp;ROUND(Panchanga!$P360,2)&amp;")"</f>
        <v>K7 (21.56)</v>
      </c>
      <c r="L360" s="4">
        <f>IF(AND(Panchanga!$P360&lt;28.5,Panchanga!$P360&gt;0.49999),MOD((Panchanga!$P360-0.5)*2,7),MOD((Panchanga!$P360+30-28.5),30)*2+7)</f>
        <v>0.10999999999999943</v>
      </c>
      <c r="M360" s="4" t="str">
        <f>CHOOSE(ROUNDUP(Panchanga!$L360,0),"Bhava","Baalava","Kaulava","Taitula","Garija","Vanija","Vishti","Shakuni","Chatushapda","Naaga","Kimstugna")</f>
        <v>Bhava</v>
      </c>
      <c r="N360" s="11" t="str">
        <f>CHOOSE(ROUNDUP(Panchanga!$Q360,0),"viṣkambha","prīti","āyuṣmāna","saubhāgya","śobhana","atigaṇḍa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("&amp;Panchanga!$Q360&amp;")"</f>
        <v>vṛddhi  (10.65)</v>
      </c>
      <c r="O360" s="4">
        <f>IF(AND(Panchanga!$P360&lt;28.5,Panchanga!$P360&gt;0.49999),MOD((Panchanga!$P360-0.5)*2,7),MOD((Panchanga!$P360+30-28.5),30)*2+7)</f>
        <v>0.10999999999999943</v>
      </c>
      <c r="P360" s="4">
        <f>ROUNDUP(MOD(360+P[Moon]-P[Sun],360)/12,4)</f>
        <v>21.555</v>
      </c>
      <c r="Q360" s="4">
        <f>ROUNDUP(MOD(P[Sun]+P[Moon],360)/13.333333333,2)</f>
        <v>10.65</v>
      </c>
      <c r="R360" s="4" t="str">
        <f>SIGN(U361-Panchanga!$U360)*INT(Panchanga!$U360/30+1)&amp;"Ma,"&amp;SIGN(V361-Panchanga!$V360)*INT(Panchanga!$V360/30+1)&amp;"Me,"&amp;SIGN(W361-Panchanga!$W360)*INT(Panchanga!$W360/30+1)&amp;"J, "&amp;SIGN(X361-Panchanga!$X360)*INT(Panchanga!$X360/30+1)&amp;"V,"&amp;SIGN(Y361-Panchanga!$Y360)*INT(Panchanga!$Y360/30+1)&amp;"S,"&amp;INT(Panchanga!$Z360/30+1)&amp;"R"</f>
        <v>9Ma,11Me,9J, 12V,10S,3R</v>
      </c>
      <c r="S360" s="4">
        <f t="shared" si="54"/>
        <v>301.66374994533027</v>
      </c>
      <c r="T360" s="4">
        <f t="shared" si="55"/>
        <v>200.32328736852287</v>
      </c>
      <c r="U360" s="4">
        <f>Planet(Panchanga!$E360,4)</f>
        <v>244.87863474068172</v>
      </c>
      <c r="V360" s="4">
        <f>Planet(Panchanga!$E360,2)</f>
        <v>318.41177086672309</v>
      </c>
      <c r="W360" s="4">
        <f>Planet(Panchanga!$E360,5)</f>
        <v>262.49986108377431</v>
      </c>
      <c r="X360" s="4">
        <f>Planet(Panchanga!$E360,3)</f>
        <v>344.28255939013832</v>
      </c>
      <c r="Y360" s="4">
        <f>Planet(Panchanga!$E360,6)</f>
        <v>272.4860115824755</v>
      </c>
      <c r="Z360" s="4">
        <f>Planet(Panchanga!$E360,10)</f>
        <v>71.720290655038184</v>
      </c>
      <c r="AA360" s="4" t="str">
        <f>TEXT(Panchanga!$C360+($C361-Panchanga!$C360)/ABS(IF($P361&lt;1,$P361+30,$P361)-Panchanga!$P360)*(ROUNDUP(Panchanga!$P360,0)-Panchanga!$P360),"hh:mm AM/PM")</f>
        <v>04:34 PM</v>
      </c>
      <c r="AB360" s="4"/>
    </row>
    <row r="361" spans="1:28" x14ac:dyDescent="0.2">
      <c r="A361" s="3">
        <f t="shared" si="57"/>
        <v>43877</v>
      </c>
      <c r="B361" s="3">
        <f t="shared" si="51"/>
        <v>43877.229166666664</v>
      </c>
      <c r="C361" s="15">
        <f t="shared" si="52"/>
        <v>43877.273186888699</v>
      </c>
      <c r="D361" s="15">
        <f t="shared" si="53"/>
        <v>43876.759660224474</v>
      </c>
      <c r="E361" s="17">
        <f>Panchanga!$C361-TimeZone/24</f>
        <v>43877.044020222034</v>
      </c>
      <c r="F361" s="18" t="str">
        <f>INT(P[Sun]/30)&amp;"s"&amp;ROUNDUP(MOD(P[Sun],30),2)</f>
        <v>10s2.68</v>
      </c>
      <c r="G361" s="18" t="str">
        <f>INT(P[Moon]/30)&amp;"s"&amp;ROUNDUP(MOD(P[Moon],30),2)</f>
        <v>7s4.14</v>
      </c>
      <c r="H361" s="14">
        <f t="shared" si="56"/>
        <v>43877.044020222034</v>
      </c>
      <c r="I361" s="4" t="str">
        <f>naks(P[[#This Row],[Moon]])</f>
        <v>Anuradha</v>
      </c>
      <c r="J361" s="15">
        <f>(C362-P[[#This Row],[SunRise]])/(T362-P[[#This Row],[Moon]])*(13.3333333333333-MOD(P[[#This Row],[Moon]],13.333333333333))+P[[#This Row],[SunRise]]</f>
        <v>43878.204467519288</v>
      </c>
      <c r="K361" s="4" t="str">
        <f>IF(Panchanga!$P361&gt;15,"K","S")&amp;ROUNDUP(MOD(Panchanga!$P361,15),0)&amp;" ("&amp;ROUND(Panchanga!$P361,2)&amp;")"</f>
        <v>K8 (22.62)</v>
      </c>
      <c r="L361" s="4">
        <f>IF(AND(Panchanga!$P361&lt;28.5,Panchanga!$P361&gt;0.49999),MOD((Panchanga!$P361-0.5)*2,7),MOD((Panchanga!$P361+30-28.5),30)*2+7)</f>
        <v>2.2438000000000002</v>
      </c>
      <c r="M361" s="4" t="str">
        <f>CHOOSE(ROUNDUP(Panchanga!$L361,0),"Bhava","Baalava","Kaulava","Taitula","Garija","Vanija","Vishti","Shakuni","Chatushapda","Naaga","Kimstugna")</f>
        <v>Kaulava</v>
      </c>
      <c r="N361" s="11" t="str">
        <f>CHOOSE(ROUNDUP(Panchanga!$Q361,0),"viṣkambha","prīti","āyuṣmāna","saubhāgya","śobhana","atigaṇḍa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("&amp;Panchanga!$Q361&amp;")"</f>
        <v>dhruva  (11.77)</v>
      </c>
      <c r="O361" s="4">
        <f>IF(AND(Panchanga!$P361&lt;28.5,Panchanga!$P361&gt;0.49999),MOD((Panchanga!$P361-0.5)*2,7),MOD((Panchanga!$P361+30-28.5),30)*2+7)</f>
        <v>2.2438000000000002</v>
      </c>
      <c r="P361" s="4">
        <f>ROUNDUP(MOD(360+P[Moon]-P[Sun],360)/12,4)</f>
        <v>22.6219</v>
      </c>
      <c r="Q361" s="4">
        <f>ROUNDUP(MOD(P[Sun]+P[Moon],360)/13.333333333,2)</f>
        <v>11.77</v>
      </c>
      <c r="R361" s="4" t="str">
        <f>SIGN(U362-Panchanga!$U361)*INT(Panchanga!$U361/30+1)&amp;"Ma,"&amp;SIGN(V362-Panchanga!$V361)*INT(Panchanga!$V361/30+1)&amp;"Me,"&amp;SIGN(W362-Panchanga!$W361)*INT(Panchanga!$W361/30+1)&amp;"J, "&amp;SIGN(X362-Panchanga!$X361)*INT(Panchanga!$X361/30+1)&amp;"V,"&amp;SIGN(Y362-Panchanga!$Y361)*INT(Panchanga!$Y361/30+1)&amp;"S,"&amp;INT(Panchanga!$Z361/30+1)&amp;"R"</f>
        <v>9Ma,11Me,9J, 12V,10S,3R</v>
      </c>
      <c r="S361" s="4">
        <f t="shared" si="54"/>
        <v>302.67373540921028</v>
      </c>
      <c r="T361" s="4">
        <f t="shared" si="55"/>
        <v>214.13580118040963</v>
      </c>
      <c r="U361" s="4">
        <f>Planet(Panchanga!$E361,4)</f>
        <v>245.5657114340149</v>
      </c>
      <c r="V361" s="4">
        <f>Planet(Panchanga!$E361,2)</f>
        <v>318.67001152175067</v>
      </c>
      <c r="W361" s="4">
        <f>Planet(Panchanga!$E361,5)</f>
        <v>262.70325693001371</v>
      </c>
      <c r="X361" s="4">
        <f>Planet(Panchanga!$E361,3)</f>
        <v>345.43983791411705</v>
      </c>
      <c r="Y361" s="4">
        <f>Planet(Panchanga!$E361,6)</f>
        <v>272.59420143358602</v>
      </c>
      <c r="Z361" s="4">
        <f>Planet(Panchanga!$E361,10)</f>
        <v>71.667312868517001</v>
      </c>
      <c r="AA361" s="4" t="str">
        <f>TEXT(Panchanga!$C361+($C362-Panchanga!$C361)/ABS(IF($P362&lt;1,$P362+30,$P362)-Panchanga!$P361)*(ROUNDUP(Panchanga!$P361,0)-Panchanga!$P361),"hh:mm AM/PM")</f>
        <v>03:18 PM</v>
      </c>
      <c r="AB361" s="4"/>
    </row>
    <row r="362" spans="1:28" x14ac:dyDescent="0.2">
      <c r="A362" s="3">
        <f t="shared" si="57"/>
        <v>43878</v>
      </c>
      <c r="B362" s="3">
        <f t="shared" si="51"/>
        <v>43878.229166666664</v>
      </c>
      <c r="C362" s="15">
        <f t="shared" si="52"/>
        <v>43878.272908892635</v>
      </c>
      <c r="D362" s="15">
        <f t="shared" si="53"/>
        <v>43877.759862880266</v>
      </c>
      <c r="E362" s="17">
        <f>Panchanga!$C362-TimeZone/24</f>
        <v>43878.043742225971</v>
      </c>
      <c r="F362" s="18" t="str">
        <f>INT(P[Sun]/30)&amp;"s"&amp;ROUNDUP(MOD(P[Sun],30),2)</f>
        <v>10s3.69</v>
      </c>
      <c r="G362" s="18" t="str">
        <f>INT(P[Moon]/30)&amp;"s"&amp;ROUNDUP(MOD(P[Moon],30),2)</f>
        <v>7s17.59</v>
      </c>
      <c r="H362" s="14">
        <f t="shared" si="56"/>
        <v>43878.043742225971</v>
      </c>
      <c r="I362" s="4" t="str">
        <f>naks(P[[#This Row],[Moon]])</f>
        <v>Jyestha</v>
      </c>
      <c r="J362" s="15">
        <f>(C363-P[[#This Row],[SunRise]])/(T363-P[[#This Row],[Moon]])*(13.3333333333333-MOD(P[[#This Row],[Moon]],13.333333333333))+P[[#This Row],[SunRise]]</f>
        <v>43879.218196856891</v>
      </c>
      <c r="K362" s="4" t="str">
        <f>IF(Panchanga!$P362&gt;15,"K","S")&amp;ROUNDUP(MOD(Panchanga!$P362,15),0)&amp;" ("&amp;ROUND(Panchanga!$P362,2)&amp;")"</f>
        <v>K9 (23.66)</v>
      </c>
      <c r="L362" s="4">
        <f>IF(AND(Panchanga!$P362&lt;28.5,Panchanga!$P362&gt;0.49999),MOD((Panchanga!$P362-0.5)*2,7),MOD((Panchanga!$P362+30-28.5),30)*2+7)</f>
        <v>4.3173999999999992</v>
      </c>
      <c r="M362" s="4" t="str">
        <f>CHOOSE(ROUNDUP(Panchanga!$L362,0),"Bhava","Baalava","Kaulava","Taitula","Garija","Vanija","Vishti","Shakuni","Chatushapda","Naaga","Kimstugna")</f>
        <v>Garija</v>
      </c>
      <c r="N362" s="11" t="str">
        <f>CHOOSE(ROUNDUP(Panchanga!$Q362,0),"viṣkambha","prīti","āyuṣmāna","saubhāgya","śobhana","atigaṇḍa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("&amp;Panchanga!$Q362&amp;")"</f>
        <v>vyāghāta (12.85)</v>
      </c>
      <c r="O362" s="4">
        <f>IF(AND(Panchanga!$P362&lt;28.5,Panchanga!$P362&gt;0.49999),MOD((Panchanga!$P362-0.5)*2,7),MOD((Panchanga!$P362+30-28.5),30)*2+7)</f>
        <v>4.3173999999999992</v>
      </c>
      <c r="P362" s="4">
        <f>ROUNDUP(MOD(360+P[Moon]-P[Sun],360)/12,4)</f>
        <v>23.6587</v>
      </c>
      <c r="Q362" s="4">
        <f>ROUNDUP(MOD(P[Sun]+P[Moon],360)/13.333333333,2)</f>
        <v>12.85</v>
      </c>
      <c r="R362" s="4" t="str">
        <f>SIGN(U363-Panchanga!$U362)*INT(Panchanga!$U362/30+1)&amp;"Ma,"&amp;SIGN(V363-Panchanga!$V362)*INT(Panchanga!$V362/30+1)&amp;"Me,"&amp;SIGN(W363-Panchanga!$W362)*INT(Panchanga!$W362/30+1)&amp;"J, "&amp;SIGN(X363-Panchanga!$X362)*INT(Panchanga!$X362/30+1)&amp;"V,"&amp;SIGN(Y363-Panchanga!$Y362)*INT(Panchanga!$Y362/30+1)&amp;"S,"&amp;INT(Panchanga!$Z362/30+1)&amp;"R"</f>
        <v>9Ma,-11Me,9J, 12V,10S,3R</v>
      </c>
      <c r="S362" s="4">
        <f t="shared" si="54"/>
        <v>303.68339039248156</v>
      </c>
      <c r="T362" s="4">
        <f t="shared" si="55"/>
        <v>227.58758095928511</v>
      </c>
      <c r="U362" s="4">
        <f>Planet(Panchanga!$E362,4)</f>
        <v>246.25308721716479</v>
      </c>
      <c r="V362" s="4">
        <f>Planet(Panchanga!$E362,2)</f>
        <v>318.75584125544447</v>
      </c>
      <c r="W362" s="4">
        <f>Planet(Panchanga!$E362,5)</f>
        <v>262.90551159804784</v>
      </c>
      <c r="X362" s="4">
        <f>Planet(Panchanga!$E362,3)</f>
        <v>346.59458348817611</v>
      </c>
      <c r="Y362" s="4">
        <f>Planet(Panchanga!$E362,6)</f>
        <v>272.70176580777718</v>
      </c>
      <c r="Z362" s="4">
        <f>Planet(Panchanga!$E362,10)</f>
        <v>71.614335604213878</v>
      </c>
      <c r="AA362" s="4" t="str">
        <f>TEXT(Panchanga!$C362+($C363-Panchanga!$C362)/ABS(IF($P363&lt;1,$P363+30,$P363)-Panchanga!$P362)*(ROUNDUP(Panchanga!$P362,0)-Panchanga!$P362),"hh:mm AM/PM")</f>
        <v>02:39 PM</v>
      </c>
      <c r="AB362" s="4"/>
    </row>
    <row r="363" spans="1:28" x14ac:dyDescent="0.2">
      <c r="A363" s="3">
        <f t="shared" si="57"/>
        <v>43879</v>
      </c>
      <c r="B363" s="3">
        <f t="shared" si="51"/>
        <v>43879.229166666664</v>
      </c>
      <c r="C363" s="15">
        <f t="shared" si="52"/>
        <v>43879.272621201038</v>
      </c>
      <c r="D363" s="15">
        <f t="shared" si="53"/>
        <v>43878.760059337175</v>
      </c>
      <c r="E363" s="17">
        <f>Panchanga!$C363-TimeZone/24</f>
        <v>43879.043454534374</v>
      </c>
      <c r="F363" s="18" t="str">
        <f>INT(P[Sun]/30)&amp;"s"&amp;ROUNDUP(MOD(P[Sun],30),2)</f>
        <v>10s4.7</v>
      </c>
      <c r="G363" s="18" t="str">
        <f>INT(P[Moon]/30)&amp;"s"&amp;ROUNDUP(MOD(P[Moon],30),2)</f>
        <v>8s0.72</v>
      </c>
      <c r="H363" s="14">
        <f t="shared" si="56"/>
        <v>43879.043454534374</v>
      </c>
      <c r="I363" s="4" t="str">
        <f>naks(P[[#This Row],[Moon]])</f>
        <v>Moola</v>
      </c>
      <c r="J363" s="15">
        <f>(C364-P[[#This Row],[SunRise]])/(T364-P[[#This Row],[Moon]])*(13.3333333333333-MOD(P[[#This Row],[Moon]],13.333333333333))+P[[#This Row],[SunRise]]</f>
        <v>43880.254407453693</v>
      </c>
      <c r="K363" s="4" t="str">
        <f>IF(Panchanga!$P363&gt;15,"K","S")&amp;ROUNDUP(MOD(Panchanga!$P363,15),0)&amp;" ("&amp;ROUND(Panchanga!$P363,2)&amp;")"</f>
        <v>K10 (24.67)</v>
      </c>
      <c r="L363" s="4">
        <f>IF(AND(Panchanga!$P363&lt;28.5,Panchanga!$P363&gt;0.49999),MOD((Panchanga!$P363-0.5)*2,7),MOD((Panchanga!$P363+30-28.5),30)*2+7)</f>
        <v>6.3369999999999962</v>
      </c>
      <c r="M363" s="4" t="str">
        <f>CHOOSE(ROUNDUP(Panchanga!$L363,0),"Bhava","Baalava","Kaulava","Taitula","Garija","Vanija","Vishti","Shakuni","Chatushapda","Naaga","Kimstugna")</f>
        <v>Vishti</v>
      </c>
      <c r="N363" s="11" t="str">
        <f>CHOOSE(ROUNDUP(Panchanga!$Q363,0),"viṣkambha","prīti","āyuṣmāna","saubhāgya","śobhana","atigaṇḍa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("&amp;Panchanga!$Q363&amp;")"</f>
        <v>harṣaṇa (13.91)</v>
      </c>
      <c r="O363" s="4">
        <f>IF(AND(Panchanga!$P363&lt;28.5,Panchanga!$P363&gt;0.49999),MOD((Panchanga!$P363-0.5)*2,7),MOD((Panchanga!$P363+30-28.5),30)*2+7)</f>
        <v>6.3369999999999962</v>
      </c>
      <c r="P363" s="4">
        <f>ROUNDUP(MOD(360+P[Moon]-P[Sun],360)/12,4)</f>
        <v>24.668499999999998</v>
      </c>
      <c r="Q363" s="4">
        <f>ROUNDUP(MOD(P[Sun]+P[Moon],360)/13.333333333,2)</f>
        <v>13.91</v>
      </c>
      <c r="R363" s="4" t="str">
        <f>SIGN(U364-Panchanga!$U363)*INT(Panchanga!$U363/30+1)&amp;"Ma,"&amp;SIGN(V364-Panchanga!$V363)*INT(Panchanga!$V363/30+1)&amp;"Me,"&amp;SIGN(W364-Panchanga!$W363)*INT(Panchanga!$W363/30+1)&amp;"J, "&amp;SIGN(X364-Panchanga!$X363)*INT(Panchanga!$X363/30+1)&amp;"V,"&amp;SIGN(Y364-Panchanga!$Y363)*INT(Panchanga!$Y363/30+1)&amp;"S,"&amp;INT(Panchanga!$Z363/30+1)&amp;"R"</f>
        <v>9Ma,-11Me,9J, 12V,10S,3R</v>
      </c>
      <c r="S363" s="4">
        <f t="shared" si="54"/>
        <v>304.69270336811377</v>
      </c>
      <c r="T363" s="4">
        <f t="shared" si="55"/>
        <v>240.71463701128377</v>
      </c>
      <c r="U363" s="4">
        <f>Planet(Panchanga!$E363,4)</f>
        <v>246.94074954211894</v>
      </c>
      <c r="V363" s="4">
        <f>Planet(Panchanga!$E363,2)</f>
        <v>318.66771530570884</v>
      </c>
      <c r="W363" s="4">
        <f>Planet(Panchanga!$E363,5)</f>
        <v>263.10659701598087</v>
      </c>
      <c r="X363" s="4">
        <f>Planet(Panchanga!$E363,3)</f>
        <v>347.74673989568521</v>
      </c>
      <c r="Y363" s="4">
        <f>Planet(Panchanga!$E363,6)</f>
        <v>272.80868499348463</v>
      </c>
      <c r="Z363" s="4">
        <f>Planet(Panchanga!$E363,10)</f>
        <v>71.561358853695282</v>
      </c>
      <c r="AA363" s="4" t="str">
        <f>TEXT(Panchanga!$C363+($C364-Panchanga!$C363)/ABS(IF($P364&lt;1,$P364+30,$P364)-Panchanga!$P363)*(ROUNDUP(Panchanga!$P363,0)-Panchanga!$P363),"hh:mm AM/PM")</f>
        <v>02:36 PM</v>
      </c>
      <c r="AB363" s="4"/>
    </row>
    <row r="364" spans="1:28" x14ac:dyDescent="0.2">
      <c r="A364" s="3">
        <f t="shared" si="57"/>
        <v>43880</v>
      </c>
      <c r="B364" s="3">
        <f t="shared" si="51"/>
        <v>43880.229166666664</v>
      </c>
      <c r="C364" s="15">
        <f t="shared" si="52"/>
        <v>43880.272324131489</v>
      </c>
      <c r="D364" s="15">
        <f t="shared" si="53"/>
        <v>43879.760249435945</v>
      </c>
      <c r="E364" s="17">
        <f>Panchanga!$C364-TimeZone/24</f>
        <v>43880.043157464825</v>
      </c>
      <c r="F364" s="18" t="str">
        <f>INT(P[Sun]/30)&amp;"s"&amp;ROUNDUP(MOD(P[Sun],30),2)</f>
        <v>10s5.71</v>
      </c>
      <c r="G364" s="18" t="str">
        <f>INT(P[Moon]/30)&amp;"s"&amp;ROUNDUP(MOD(P[Moon],30),2)</f>
        <v>8s13.57</v>
      </c>
      <c r="H364" s="14">
        <f t="shared" si="56"/>
        <v>43880.043157464825</v>
      </c>
      <c r="I364" s="4" t="str">
        <f>naks(P[[#This Row],[Moon]])</f>
        <v>Purva Asadha</v>
      </c>
      <c r="J364" s="15">
        <f>(C365-P[[#This Row],[SunRise]])/(T365-P[[#This Row],[Moon]])*(13.3333333333333-MOD(P[[#This Row],[Moon]],13.333333333333))+P[[#This Row],[SunRise]]</f>
        <v>43881.310400790018</v>
      </c>
      <c r="K364" s="4" t="str">
        <f>IF(Panchanga!$P364&gt;15,"K","S")&amp;ROUNDUP(MOD(Panchanga!$P364,15),0)&amp;" ("&amp;ROUND(Panchanga!$P364,2)&amp;")"</f>
        <v>K11 (25.66)</v>
      </c>
      <c r="L364" s="4">
        <f>IF(AND(Panchanga!$P364&lt;28.5,Panchanga!$P364&gt;0.49999),MOD((Panchanga!$P364-0.5)*2,7),MOD((Panchanga!$P364+30-28.5),30)*2+7)</f>
        <v>1.3104000000000013</v>
      </c>
      <c r="M364" s="4" t="str">
        <f>CHOOSE(ROUNDUP(Panchanga!$L364,0),"Bhava","Baalava","Kaulava","Taitula","Garija","Vanija","Vishti","Shakuni","Chatushapda","Naaga","Kimstugna")</f>
        <v>Baalava</v>
      </c>
      <c r="N364" s="11" t="str">
        <f>CHOOSE(ROUNDUP(Panchanga!$Q364,0),"viṣkambha","prīti","āyuṣmāna","saubhāgya","śobhana","atigaṇḍa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("&amp;Panchanga!$Q364&amp;")"</f>
        <v>vajra (14.95)</v>
      </c>
      <c r="O364" s="4">
        <f>IF(AND(Panchanga!$P364&lt;28.5,Panchanga!$P364&gt;0.49999),MOD((Panchanga!$P364-0.5)*2,7),MOD((Panchanga!$P364+30-28.5),30)*2+7)</f>
        <v>1.3104000000000013</v>
      </c>
      <c r="P364" s="4">
        <f>ROUNDUP(MOD(360+P[Moon]-P[Sun],360)/12,4)</f>
        <v>25.655200000000001</v>
      </c>
      <c r="Q364" s="4">
        <f>ROUNDUP(MOD(P[Sun]+P[Moon],360)/13.333333333,2)</f>
        <v>14.95</v>
      </c>
      <c r="R364" s="4" t="str">
        <f>SIGN(U365-Panchanga!$U364)*INT(Panchanga!$U364/30+1)&amp;"Ma,"&amp;SIGN(V365-Panchanga!$V364)*INT(Panchanga!$V364/30+1)&amp;"Me,"&amp;SIGN(W365-Panchanga!$W364)*INT(Panchanga!$W364/30+1)&amp;"J, "&amp;SIGN(X365-Panchanga!$X364)*INT(Panchanga!$X364/30+1)&amp;"V,"&amp;SIGN(Y365-Panchanga!$Y364)*INT(Panchanga!$Y364/30+1)&amp;"S,"&amp;INT(Panchanga!$Z364/30+1)&amp;"R"</f>
        <v>9Ma,-11Me,9J, 12V,10S,3R</v>
      </c>
      <c r="S364" s="4">
        <f t="shared" si="54"/>
        <v>305.70165977311689</v>
      </c>
      <c r="T364" s="4">
        <f t="shared" si="55"/>
        <v>253.56361269975667</v>
      </c>
      <c r="U364" s="4">
        <f>Planet(Panchanga!$E364,4)</f>
        <v>247.62868574357424</v>
      </c>
      <c r="V364" s="4">
        <f>Planet(Panchanga!$E364,2)</f>
        <v>318.40776142534122</v>
      </c>
      <c r="W364" s="4">
        <f>Planet(Panchanga!$E364,5)</f>
        <v>263.3064847671227</v>
      </c>
      <c r="X364" s="4">
        <f>Planet(Panchanga!$E364,3)</f>
        <v>348.89624567150275</v>
      </c>
      <c r="Y364" s="4">
        <f>Planet(Panchanga!$E364,6)</f>
        <v>272.9149391185357</v>
      </c>
      <c r="Z364" s="4">
        <f>Planet(Panchanga!$E364,10)</f>
        <v>71.508382600127234</v>
      </c>
      <c r="AA364" s="4" t="str">
        <f>TEXT(Panchanga!$C364+($C365-Panchanga!$C364)/ABS(IF($P365&lt;1,$P365+30,$P365)-Panchanga!$P364)*(ROUNDUP(Panchanga!$P364,0)-Panchanga!$P364),"hh:mm AM/PM")</f>
        <v>03:05 PM</v>
      </c>
      <c r="AB364" s="4"/>
    </row>
    <row r="365" spans="1:28" x14ac:dyDescent="0.2">
      <c r="A365" s="3">
        <f t="shared" si="57"/>
        <v>43881</v>
      </c>
      <c r="B365" s="3">
        <f t="shared" si="51"/>
        <v>43881.229166666664</v>
      </c>
      <c r="C365" s="15">
        <f t="shared" si="52"/>
        <v>43881.272017843243</v>
      </c>
      <c r="D365" s="15">
        <f t="shared" si="53"/>
        <v>43880.760433336298</v>
      </c>
      <c r="E365" s="17">
        <f>Panchanga!$C365-TimeZone/24</f>
        <v>43881.042851176579</v>
      </c>
      <c r="F365" s="18" t="str">
        <f>INT(P[Sun]/30)&amp;"s"&amp;ROUNDUP(MOD(P[Sun],30),2)</f>
        <v>10s6.72</v>
      </c>
      <c r="G365" s="18" t="str">
        <f>INT(P[Moon]/30)&amp;"s"&amp;ROUNDUP(MOD(P[Moon],30),2)</f>
        <v>8s26.19</v>
      </c>
      <c r="H365" s="14">
        <f t="shared" si="56"/>
        <v>43881.042851176579</v>
      </c>
      <c r="I365" s="4" t="str">
        <f>naks(P[[#This Row],[Moon]])</f>
        <v>Purva Asadha</v>
      </c>
      <c r="J365" s="15">
        <f>(C366-P[[#This Row],[SunRise]])/(T366-P[[#This Row],[Moon]])*(13.3333333333333-MOD(P[[#This Row],[Moon]],13.333333333333))+P[[#This Row],[SunRise]]</f>
        <v>43881.310980613314</v>
      </c>
      <c r="K365" s="4" t="str">
        <f>IF(Panchanga!$P365&gt;15,"K","S")&amp;ROUNDUP(MOD(Panchanga!$P365,15),0)&amp;" ("&amp;ROUND(Panchanga!$P365,2)&amp;")"</f>
        <v>K12 (26.62)</v>
      </c>
      <c r="L365" s="4">
        <f>IF(AND(Panchanga!$P365&lt;28.5,Panchanga!$P365&gt;0.49999),MOD((Panchanga!$P365-0.5)*2,7),MOD((Panchanga!$P365+30-28.5),30)*2+7)</f>
        <v>3.2453999999999965</v>
      </c>
      <c r="M365" s="4" t="str">
        <f>CHOOSE(ROUNDUP(Panchanga!$L365,0),"Bhava","Baalava","Kaulava","Taitula","Garija","Vanija","Vishti","Shakuni","Chatushapda","Naaga","Kimstugna")</f>
        <v>Taitula</v>
      </c>
      <c r="N365" s="11" t="str">
        <f>CHOOSE(ROUNDUP(Panchanga!$Q365,0),"viṣkambha","prīti","āyuṣmāna","saubhāgya","śobhana","atigaṇḍa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("&amp;Panchanga!$Q365&amp;")"</f>
        <v>siddhi (15.97)</v>
      </c>
      <c r="O365" s="4">
        <f>IF(AND(Panchanga!$P365&lt;28.5,Panchanga!$P365&gt;0.49999),MOD((Panchanga!$P365-0.5)*2,7),MOD((Panchanga!$P365+30-28.5),30)*2+7)</f>
        <v>3.2453999999999965</v>
      </c>
      <c r="P365" s="4">
        <f>ROUNDUP(MOD(360+P[Moon]-P[Sun],360)/12,4)</f>
        <v>26.622699999999998</v>
      </c>
      <c r="Q365" s="4">
        <f>ROUNDUP(MOD(P[Sun]+P[Moon],360)/13.333333333,2)</f>
        <v>15.97</v>
      </c>
      <c r="R365" s="4" t="str">
        <f>SIGN(U366-Panchanga!$U365)*INT(Panchanga!$U365/30+1)&amp;"Ma,"&amp;SIGN(V366-Panchanga!$V365)*INT(Panchanga!$V365/30+1)&amp;"Me,"&amp;SIGN(W366-Panchanga!$W365)*INT(Panchanga!$W365/30+1)&amp;"J, "&amp;SIGN(X366-Panchanga!$X365)*INT(Panchanga!$X365/30+1)&amp;"V,"&amp;SIGN(Y366-Panchanga!$Y365)*INT(Panchanga!$Y365/30+1)&amp;"S,"&amp;INT(Panchanga!$Z365/30+1)&amp;"R"</f>
        <v>9Ma,-11Me,9J, 12V,10S,3R</v>
      </c>
      <c r="S365" s="4">
        <f t="shared" si="54"/>
        <v>306.71024248943252</v>
      </c>
      <c r="T365" s="4">
        <f t="shared" si="55"/>
        <v>266.18218045952631</v>
      </c>
      <c r="U365" s="4">
        <f>Planet(Panchanga!$E365,4)</f>
        <v>248.31688329641131</v>
      </c>
      <c r="V365" s="4">
        <f>Planet(Panchanga!$E365,2)</f>
        <v>317.98217492501641</v>
      </c>
      <c r="W365" s="4">
        <f>Planet(Panchanga!$E365,5)</f>
        <v>263.50514621712983</v>
      </c>
      <c r="X365" s="4">
        <f>Planet(Panchanga!$E365,3)</f>
        <v>350.0430338460514</v>
      </c>
      <c r="Y365" s="4">
        <f>Planet(Panchanga!$E365,6)</f>
        <v>273.02050822603758</v>
      </c>
      <c r="Z365" s="4">
        <f>Planet(Panchanga!$E365,10)</f>
        <v>71.455406835109443</v>
      </c>
      <c r="AA365" s="4" t="str">
        <f>TEXT(Panchanga!$C365+($C366-Panchanga!$C365)/ABS(IF($P366&lt;1,$P366+30,$P366)-Panchanga!$P365)*(ROUNDUP(Panchanga!$P365,0)-Panchanga!$P365),"hh:mm AM/PM")</f>
        <v>04:02 PM</v>
      </c>
      <c r="AB365" s="4"/>
    </row>
    <row r="366" spans="1:28" x14ac:dyDescent="0.2">
      <c r="A366" s="3">
        <f t="shared" si="57"/>
        <v>43882</v>
      </c>
      <c r="B366" s="3">
        <f t="shared" si="51"/>
        <v>43882.229166666664</v>
      </c>
      <c r="C366" s="15">
        <f t="shared" si="52"/>
        <v>43882.271702335835</v>
      </c>
      <c r="D366" s="15">
        <f t="shared" si="53"/>
        <v>43881.760611196558</v>
      </c>
      <c r="E366" s="17">
        <f>Panchanga!$C366-TimeZone/24</f>
        <v>43882.04253566917</v>
      </c>
      <c r="F366" s="18" t="str">
        <f>INT(P[Sun]/30)&amp;"s"&amp;ROUNDUP(MOD(P[Sun],30),2)</f>
        <v>10s7.72</v>
      </c>
      <c r="G366" s="18" t="str">
        <f>INT(P[Moon]/30)&amp;"s"&amp;ROUNDUP(MOD(P[Moon],30),2)</f>
        <v>9s8.62</v>
      </c>
      <c r="H366" s="14">
        <f t="shared" si="56"/>
        <v>43882.04253566917</v>
      </c>
      <c r="I366" s="4" t="str">
        <f>naks(P[[#This Row],[Moon]])</f>
        <v>Uttara Asadha</v>
      </c>
      <c r="J366" s="15">
        <f>(C367-P[[#This Row],[SunRise]])/(T367-P[[#This Row],[Moon]])*(13.3333333333333-MOD(P[[#This Row],[Moon]],13.333333333333))+P[[#This Row],[SunRise]]</f>
        <v>43882.384650753032</v>
      </c>
      <c r="K366" s="4" t="str">
        <f>IF(Panchanga!$P366&gt;15,"K","S")&amp;ROUNDUP(MOD(Panchanga!$P366,15),0)&amp;" ("&amp;ROUND(Panchanga!$P366,2)&amp;")"</f>
        <v>K13 (27.57)</v>
      </c>
      <c r="L366" s="4">
        <f>IF(AND(Panchanga!$P366&lt;28.5,Panchanga!$P366&gt;0.49999),MOD((Panchanga!$P366-0.5)*2,7),MOD((Panchanga!$P366+30-28.5),30)*2+7)</f>
        <v>5.1492000000000004</v>
      </c>
      <c r="M366" s="4" t="str">
        <f>CHOOSE(ROUNDUP(Panchanga!$L366,0),"Bhava","Baalava","Kaulava","Taitula","Garija","Vanija","Vishti","Shakuni","Chatushapda","Naaga","Kimstugna")</f>
        <v>Vanija</v>
      </c>
      <c r="N366" s="11" t="str">
        <f>CHOOSE(ROUNDUP(Panchanga!$Q366,0),"viṣkambha","prīti","āyuṣmāna","saubhāgya","śobhana","atigaṇḍa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("&amp;Panchanga!$Q366&amp;")"</f>
        <v>vyatipāta (16.98)</v>
      </c>
      <c r="O366" s="4">
        <f>IF(AND(Panchanga!$P366&lt;28.5,Panchanga!$P366&gt;0.49999),MOD((Panchanga!$P366-0.5)*2,7),MOD((Panchanga!$P366+30-28.5),30)*2+7)</f>
        <v>5.1492000000000004</v>
      </c>
      <c r="P366" s="4">
        <f>ROUNDUP(MOD(360+P[Moon]-P[Sun],360)/12,4)</f>
        <v>27.5746</v>
      </c>
      <c r="Q366" s="4">
        <f>ROUNDUP(MOD(P[Sun]+P[Moon],360)/13.333333333,2)</f>
        <v>16.98</v>
      </c>
      <c r="R366" s="4" t="str">
        <f>SIGN(U367-Panchanga!$U366)*INT(Panchanga!$U366/30+1)&amp;"Ma,"&amp;SIGN(V367-Panchanga!$V366)*INT(Panchanga!$V366/30+1)&amp;"Me,"&amp;SIGN(W367-Panchanga!$W366)*INT(Panchanga!$W366/30+1)&amp;"J, "&amp;SIGN(X367-Panchanga!$X366)*INT(Panchanga!$X366/30+1)&amp;"V,"&amp;SIGN(Y367-Panchanga!$Y366)*INT(Panchanga!$Y366/30+1)&amp;"S,"&amp;INT(Panchanga!$Z366/30+1)&amp;"R"</f>
        <v>9Ma,-11Me,9J, 12V,10S,3R</v>
      </c>
      <c r="S366" s="4">
        <f t="shared" si="54"/>
        <v>307.71843258065263</v>
      </c>
      <c r="T366" s="4">
        <f t="shared" si="55"/>
        <v>278.61285074535482</v>
      </c>
      <c r="U366" s="4">
        <f>Planet(Panchanga!$E366,4)</f>
        <v>249.00533015291313</v>
      </c>
      <c r="V366" s="4">
        <f>Planet(Panchanga!$E366,2)</f>
        <v>317.4014544539466</v>
      </c>
      <c r="W366" s="4">
        <f>Planet(Panchanga!$E366,5)</f>
        <v>263.7025526689402</v>
      </c>
      <c r="X366" s="4">
        <f>Planet(Panchanga!$E366,3)</f>
        <v>351.18703218870274</v>
      </c>
      <c r="Y366" s="4">
        <f>Planet(Panchanga!$E366,6)</f>
        <v>273.12537236719072</v>
      </c>
      <c r="Z366" s="4">
        <f>Planet(Panchanga!$E366,10)</f>
        <v>71.402431558608768</v>
      </c>
      <c r="AA366" s="4" t="str">
        <f>TEXT(Panchanga!$C366+($C367-Panchanga!$C366)/ABS(IF($P367&lt;1,$P367+30,$P367)-Panchanga!$P366)*(ROUNDUP(Panchanga!$P366,0)-Panchanga!$P366),"hh:mm AM/PM")</f>
        <v>05:23 PM</v>
      </c>
      <c r="AB366" s="4"/>
    </row>
    <row r="367" spans="1:28" x14ac:dyDescent="0.2">
      <c r="A367" s="3">
        <f t="shared" si="57"/>
        <v>43883</v>
      </c>
      <c r="B367" s="3">
        <f t="shared" si="51"/>
        <v>43883.229166666664</v>
      </c>
      <c r="C367" s="15">
        <f t="shared" si="52"/>
        <v>43883.271378086567</v>
      </c>
      <c r="D367" s="15">
        <f t="shared" si="53"/>
        <v>43882.760782857935</v>
      </c>
      <c r="E367" s="17">
        <f>Panchanga!$C367-TimeZone/24</f>
        <v>43883.042211419903</v>
      </c>
      <c r="F367" s="18" t="str">
        <f>INT(P[Sun]/30)&amp;"s"&amp;ROUNDUP(MOD(P[Sun],30),2)</f>
        <v>10s8.73</v>
      </c>
      <c r="G367" s="18" t="str">
        <f>INT(P[Moon]/30)&amp;"s"&amp;ROUNDUP(MOD(P[Moon],30),2)</f>
        <v>9s20.9</v>
      </c>
      <c r="H367" s="14">
        <f t="shared" si="56"/>
        <v>43883.042211419903</v>
      </c>
      <c r="I367" s="4" t="str">
        <f>naks(P[[#This Row],[Moon]])</f>
        <v>Sravana</v>
      </c>
      <c r="J367" s="15">
        <f>(C368-P[[#This Row],[SunRise]])/(T368-P[[#This Row],[Moon]])*(13.3333333333333-MOD(P[[#This Row],[Moon]],13.333333333333))+P[[#This Row],[SunRise]]</f>
        <v>43883.472390565272</v>
      </c>
      <c r="K367" s="4" t="str">
        <f>IF(Panchanga!$P367&gt;15,"K","S")&amp;ROUNDUP(MOD(Panchanga!$P367,15),0)&amp;" ("&amp;ROUND(Panchanga!$P367,2)&amp;")"</f>
        <v>K14 (28.51)</v>
      </c>
      <c r="L367" s="4">
        <f>IF(AND(Panchanga!$P367&lt;28.5,Panchanga!$P367&gt;0.49999),MOD((Panchanga!$P367-0.5)*2,7),MOD((Panchanga!$P367+30-28.5),30)*2+7)</f>
        <v>7.0274000000000001</v>
      </c>
      <c r="M367" s="4" t="str">
        <f>CHOOSE(ROUNDUP(Panchanga!$L367,0),"Bhava","Baalava","Kaulava","Taitula","Garija","Vanija","Vishti","Shakuni","Chatushapda","Naaga","Kimstugna")</f>
        <v>Shakuni</v>
      </c>
      <c r="N367" s="11" t="str">
        <f>CHOOSE(ROUNDUP(Panchanga!$Q367,0),"viṣkambha","prīti","āyuṣmāna","saubhāgya","śobhana","atigaṇḍa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("&amp;Panchanga!$Q367&amp;")"</f>
        <v>varīyas (17.98)</v>
      </c>
      <c r="O367" s="4">
        <f>IF(AND(Panchanga!$P367&lt;28.5,Panchanga!$P367&gt;0.49999),MOD((Panchanga!$P367-0.5)*2,7),MOD((Panchanga!$P367+30-28.5),30)*2+7)</f>
        <v>7.0274000000000001</v>
      </c>
      <c r="P367" s="4">
        <f>ROUNDUP(MOD(360+P[Moon]-P[Sun],360)/12,4)</f>
        <v>28.5137</v>
      </c>
      <c r="Q367" s="4">
        <f>ROUNDUP(MOD(P[Sun]+P[Moon],360)/13.333333333,2)</f>
        <v>17.98</v>
      </c>
      <c r="R367" s="4" t="str">
        <f>SIGN(U368-Panchanga!$U367)*INT(Panchanga!$U367/30+1)&amp;"Ma,"&amp;SIGN(V368-Panchanga!$V367)*INT(Panchanga!$V367/30+1)&amp;"Me,"&amp;SIGN(W368-Panchanga!$W367)*INT(Panchanga!$W367/30+1)&amp;"J, "&amp;SIGN(X368-Panchanga!$X367)*INT(Panchanga!$X367/30+1)&amp;"V,"&amp;SIGN(Y368-Panchanga!$Y367)*INT(Panchanga!$Y367/30+1)&amp;"S,"&amp;INT(Panchanga!$Z367/30+1)&amp;"R"</f>
        <v>9Ma,-11Me,9J, 12V,10S,3R</v>
      </c>
      <c r="S367" s="4">
        <f t="shared" si="54"/>
        <v>308.72621055126126</v>
      </c>
      <c r="T367" s="4">
        <f t="shared" si="55"/>
        <v>290.89013188781882</v>
      </c>
      <c r="U367" s="4">
        <f>Planet(Panchanga!$E367,4)</f>
        <v>249.69401539736845</v>
      </c>
      <c r="V367" s="4">
        <f>Planet(Panchanga!$E367,2)</f>
        <v>316.68041958062912</v>
      </c>
      <c r="W367" s="4">
        <f>Planet(Panchanga!$E367,5)</f>
        <v>263.89867560094143</v>
      </c>
      <c r="X367" s="4">
        <f>Planet(Panchanga!$E367,3)</f>
        <v>352.32816421540593</v>
      </c>
      <c r="Y367" s="4">
        <f>Planet(Panchanga!$E367,6)</f>
        <v>273.22951174545699</v>
      </c>
      <c r="Z367" s="4">
        <f>Planet(Panchanga!$E367,10)</f>
        <v>71.349456745357728</v>
      </c>
      <c r="AA367" s="4" t="str">
        <f>TEXT(Panchanga!$C367+($C368-Panchanga!$C367)/ABS(IF($P368&lt;1,$P368+30,$P368)-Panchanga!$P367)*(ROUNDUP(Panchanga!$P367,0)-Panchanga!$P367),"hh:mm AM/PM")</f>
        <v>07:04 PM</v>
      </c>
      <c r="AB367" s="4"/>
    </row>
    <row r="368" spans="1:28" x14ac:dyDescent="0.2">
      <c r="A368" s="3">
        <f t="shared" si="57"/>
        <v>43884</v>
      </c>
      <c r="B368" s="3">
        <f t="shared" si="51"/>
        <v>43884.229166666664</v>
      </c>
      <c r="C368" s="15">
        <f t="shared" si="52"/>
        <v>43884.27104509544</v>
      </c>
      <c r="D368" s="15">
        <f t="shared" si="53"/>
        <v>43883.760948479219</v>
      </c>
      <c r="E368" s="17">
        <f>Panchanga!$C368-TimeZone/24</f>
        <v>43884.041878428776</v>
      </c>
      <c r="F368" s="18" t="str">
        <f>INT(P[Sun]/30)&amp;"s"&amp;ROUNDUP(MOD(P[Sun],30),2)</f>
        <v>10s9.74</v>
      </c>
      <c r="G368" s="18" t="str">
        <f>INT(P[Moon]/30)&amp;"s"&amp;ROUNDUP(MOD(P[Moon],30),2)</f>
        <v>10s3.05</v>
      </c>
      <c r="H368" s="14">
        <f t="shared" si="56"/>
        <v>43884.041878428776</v>
      </c>
      <c r="I368" s="4" t="str">
        <f>naks(P[[#This Row],[Moon]])</f>
        <v>Dhanistha</v>
      </c>
      <c r="J368" s="15">
        <f>(C369-P[[#This Row],[SunRise]])/(T369-P[[#This Row],[Moon]])*(13.3333333333333-MOD(P[[#This Row],[Moon]],13.333333333333))+P[[#This Row],[SunRise]]</f>
        <v>43884.572003636124</v>
      </c>
      <c r="K368" s="4" t="str">
        <f>IF(Panchanga!$P368&gt;15,"K","S")&amp;ROUNDUP(MOD(Panchanga!$P368,15),0)&amp;" ("&amp;ROUND(Panchanga!$P368,2)&amp;")"</f>
        <v>K15 (29.44)</v>
      </c>
      <c r="L368" s="4">
        <f>IF(AND(Panchanga!$P368&lt;28.5,Panchanga!$P368&gt;0.49999),MOD((Panchanga!$P368-0.5)*2,7),MOD((Panchanga!$P368+30-28.5),30)*2+7)</f>
        <v>8.884600000000006</v>
      </c>
      <c r="M368" s="4" t="str">
        <f>CHOOSE(ROUNDUP(Panchanga!$L368,0),"Bhava","Baalava","Kaulava","Taitula","Garija","Vanija","Vishti","Shakuni","Chatushapda","Naaga","Kimstugna")</f>
        <v>Chatushapda</v>
      </c>
      <c r="N368" s="11" t="str">
        <f>CHOOSE(ROUNDUP(Panchanga!$Q368,0),"viṣkambha","prīti","āyuṣmāna","saubhāgya","śobhana","atigaṇḍa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("&amp;Panchanga!$Q368&amp;")"</f>
        <v>parigha (18.96)</v>
      </c>
      <c r="O368" s="4">
        <f>IF(AND(Panchanga!$P368&lt;28.5,Panchanga!$P368&gt;0.49999),MOD((Panchanga!$P368-0.5)*2,7),MOD((Panchanga!$P368+30-28.5),30)*2+7)</f>
        <v>8.884600000000006</v>
      </c>
      <c r="P368" s="4">
        <f>ROUNDUP(MOD(360+P[Moon]-P[Sun],360)/12,4)</f>
        <v>29.442299999999999</v>
      </c>
      <c r="Q368" s="4">
        <f>ROUNDUP(MOD(P[Sun]+P[Moon],360)/13.333333333,2)</f>
        <v>18.96</v>
      </c>
      <c r="R368" s="4" t="str">
        <f>SIGN(U369-Panchanga!$U368)*INT(Panchanga!$U368/30+1)&amp;"Ma,"&amp;SIGN(V369-Panchanga!$V368)*INT(Panchanga!$V368/30+1)&amp;"Me,"&amp;SIGN(W369-Panchanga!$W368)*INT(Panchanga!$W368/30+1)&amp;"J, "&amp;SIGN(X369-Panchanga!$X368)*INT(Panchanga!$X368/30+1)&amp;"V,"&amp;SIGN(Y369-Panchanga!$Y368)*INT(Panchanga!$Y368/30+1)&amp;"S,"&amp;INT(Panchanga!$Z368/30+1)&amp;"R"</f>
        <v>9Ma,-11Me,9J, 12V,10S,3R</v>
      </c>
      <c r="S368" s="4">
        <f t="shared" si="54"/>
        <v>309.73355588037481</v>
      </c>
      <c r="T368" s="4">
        <f t="shared" si="55"/>
        <v>303.04056103946021</v>
      </c>
      <c r="U368" s="4">
        <f>Planet(Panchanga!$E368,4)</f>
        <v>250.38292872705645</v>
      </c>
      <c r="V368" s="4">
        <f>Planet(Panchanga!$E368,2)</f>
        <v>315.83796283449152</v>
      </c>
      <c r="W368" s="4">
        <f>Planet(Panchanga!$E368,5)</f>
        <v>264.09348656315768</v>
      </c>
      <c r="X368" s="4">
        <f>Planet(Panchanga!$E368,3)</f>
        <v>353.46634834909804</v>
      </c>
      <c r="Y368" s="4">
        <f>Planet(Panchanga!$E368,6)</f>
        <v>273.3329066718448</v>
      </c>
      <c r="Z368" s="4">
        <f>Planet(Panchanga!$E368,10)</f>
        <v>71.296482395356307</v>
      </c>
      <c r="AA368" s="4" t="str">
        <f>TEXT(Panchanga!$C368+($C369-Panchanga!$C368)/ABS(IF($P369&lt;1,$P369+30,$P369)-Panchanga!$P368)*(ROUNDUP(Panchanga!$P368,0)-Panchanga!$P368),"hh:mm AM/PM")</f>
        <v>09:03 PM</v>
      </c>
      <c r="AB368" s="4"/>
    </row>
    <row r="369" spans="1:28" x14ac:dyDescent="0.2">
      <c r="A369" s="3">
        <f t="shared" si="57"/>
        <v>43885</v>
      </c>
      <c r="B369" s="3">
        <f t="shared" si="51"/>
        <v>43885.229166666664</v>
      </c>
      <c r="C369" s="15">
        <f t="shared" si="52"/>
        <v>43885.270703520779</v>
      </c>
      <c r="D369" s="15">
        <f t="shared" si="53"/>
        <v>43884.761108378923</v>
      </c>
      <c r="E369" s="17">
        <f>Panchanga!$C369-TimeZone/24</f>
        <v>43885.041536854114</v>
      </c>
      <c r="F369" s="18" t="str">
        <f>INT(P[Sun]/30)&amp;"s"&amp;ROUNDUP(MOD(P[Sun],30),2)</f>
        <v>10s10.75</v>
      </c>
      <c r="G369" s="18" t="str">
        <f>INT(P[Moon]/30)&amp;"s"&amp;ROUNDUP(MOD(P[Moon],30),2)</f>
        <v>10s15.09</v>
      </c>
      <c r="H369" s="14">
        <f t="shared" si="56"/>
        <v>43885.041536854114</v>
      </c>
      <c r="I369" s="4" t="str">
        <f>naks(P[[#This Row],[Moon]])</f>
        <v>Satabhisaj</v>
      </c>
      <c r="J369" s="15">
        <f>(C370-P[[#This Row],[SunRise]])/(T370-P[[#This Row],[Moon]])*(13.3333333333333-MOD(P[[#This Row],[Moon]],13.333333333333))+P[[#This Row],[SunRise]]</f>
        <v>43885.681612342996</v>
      </c>
      <c r="K369" s="4" t="str">
        <f>IF(Panchanga!$P369&gt;15,"K","S")&amp;ROUNDUP(MOD(Panchanga!$P369,15),0)&amp;" ("&amp;ROUND(Panchanga!$P369,2)&amp;")"</f>
        <v>S1 (0.36)</v>
      </c>
      <c r="L369" s="4">
        <f>IF(AND(Panchanga!$P369&lt;28.5,Panchanga!$P369&gt;0.49999),MOD((Panchanga!$P369-0.5)*2,7),MOD((Panchanga!$P369+30-28.5),30)*2+7)</f>
        <v>10.724200000000003</v>
      </c>
      <c r="M369" s="4" t="str">
        <f>CHOOSE(ROUNDUP(Panchanga!$L369,0),"Bhava","Baalava","Kaulava","Taitula","Garija","Vanija","Vishti","Shakuni","Chatushapda","Naaga","Kimstugna")</f>
        <v>Kimstugna</v>
      </c>
      <c r="N369" s="11" t="str">
        <f>CHOOSE(ROUNDUP(Panchanga!$Q369,0),"viṣkambha","prīti","āyuṣmāna","saubhāgya","śobhana","atigaṇḍa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("&amp;Panchanga!$Q369&amp;")"</f>
        <v>śiva (19.94)</v>
      </c>
      <c r="O369" s="4">
        <f>IF(AND(Panchanga!$P369&lt;28.5,Panchanga!$P369&gt;0.49999),MOD((Panchanga!$P369-0.5)*2,7),MOD((Panchanga!$P369+30-28.5),30)*2+7)</f>
        <v>10.724200000000003</v>
      </c>
      <c r="P369" s="4">
        <f>ROUNDUP(MOD(360+P[Moon]-P[Sun],360)/12,4)</f>
        <v>0.36209999999999998</v>
      </c>
      <c r="Q369" s="4">
        <f>ROUNDUP(MOD(P[Sun]+P[Moon],360)/13.333333333,2)</f>
        <v>19.940000000000001</v>
      </c>
      <c r="R369" s="4" t="str">
        <f>SIGN(U370-Panchanga!$U369)*INT(Panchanga!$U369/30+1)&amp;"Ma,"&amp;SIGN(V370-Panchanga!$V369)*INT(Panchanga!$V369/30+1)&amp;"Me,"&amp;SIGN(W370-Panchanga!$W369)*INT(Panchanga!$W369/30+1)&amp;"J, "&amp;SIGN(X370-Panchanga!$X369)*INT(Panchanga!$X369/30+1)&amp;"V,"&amp;SIGN(Y370-Panchanga!$Y369)*INT(Panchanga!$Y369/30+1)&amp;"S,"&amp;INT(Panchanga!$Z369/30+1)&amp;"R"</f>
        <v>9Ma,-11Me,9J, 12V,10S,3R</v>
      </c>
      <c r="S369" s="4">
        <f t="shared" si="54"/>
        <v>310.74044807143395</v>
      </c>
      <c r="T369" s="4">
        <f t="shared" si="55"/>
        <v>315.0849676650289</v>
      </c>
      <c r="U369" s="4">
        <f>Planet(Panchanga!$E369,4)</f>
        <v>251.07206099607839</v>
      </c>
      <c r="V369" s="4">
        <f>Planet(Panchanga!$E369,2)</f>
        <v>314.89650876807411</v>
      </c>
      <c r="W369" s="4">
        <f>Planet(Panchanga!$E369,5)</f>
        <v>264.28695736956587</v>
      </c>
      <c r="X369" s="4">
        <f>Planet(Panchanga!$E369,3)</f>
        <v>354.60149884460026</v>
      </c>
      <c r="Y369" s="4">
        <f>Planet(Panchanga!$E369,6)</f>
        <v>273.43553767953637</v>
      </c>
      <c r="Z369" s="4">
        <f>Planet(Panchanga!$E369,10)</f>
        <v>71.243508500220827</v>
      </c>
      <c r="AA369" s="4" t="str">
        <f>TEXT(Panchanga!$C369+($C370-Panchanga!$C369)/ABS(IF($P370&lt;1,$P370+30,$P370)-Panchanga!$P369)*(ROUNDUP(Panchanga!$P369,0)-Panchanga!$P369),"hh:mm AM/PM")</f>
        <v>11:16 PM</v>
      </c>
      <c r="AB369" s="4"/>
    </row>
    <row r="370" spans="1:28" x14ac:dyDescent="0.2">
      <c r="A370" s="3">
        <f t="shared" si="57"/>
        <v>43886</v>
      </c>
      <c r="B370" s="3">
        <f t="shared" si="51"/>
        <v>43886.229166666664</v>
      </c>
      <c r="C370" s="15">
        <f t="shared" si="52"/>
        <v>43886.270353840351</v>
      </c>
      <c r="D370" s="15">
        <f t="shared" si="53"/>
        <v>43885.761262238069</v>
      </c>
      <c r="E370" s="17">
        <f>Panchanga!$C370-TimeZone/24</f>
        <v>43886.041187173687</v>
      </c>
      <c r="F370" s="18" t="str">
        <f>INT(P[Sun]/30)&amp;"s"&amp;ROUNDUP(MOD(P[Sun],30),2)</f>
        <v>10s11.75</v>
      </c>
      <c r="G370" s="18" t="str">
        <f>INT(P[Moon]/30)&amp;"s"&amp;ROUNDUP(MOD(P[Moon],30),2)</f>
        <v>10s27.05</v>
      </c>
      <c r="H370" s="14">
        <f t="shared" si="56"/>
        <v>43886.041187173687</v>
      </c>
      <c r="I370" s="4" t="str">
        <f>naks(P[[#This Row],[Moon]])</f>
        <v>Purva Bhadrapada</v>
      </c>
      <c r="J370" s="15">
        <f>(C371-P[[#This Row],[SunRise]])/(T371-P[[#This Row],[Moon]])*(13.3333333333333-MOD(P[[#This Row],[Moon]],13.333333333333))+P[[#This Row],[SunRise]]</f>
        <v>43886.799234340717</v>
      </c>
      <c r="K370" s="4" t="str">
        <f>IF(Panchanga!$P370&gt;15,"K","S")&amp;ROUNDUP(MOD(Panchanga!$P370,15),0)&amp;" ("&amp;ROUND(Panchanga!$P370,2)&amp;")"</f>
        <v>S2 (1.27)</v>
      </c>
      <c r="L370" s="4">
        <f>IF(AND(Panchanga!$P370&lt;28.5,Panchanga!$P370&gt;0.49999),MOD((Panchanga!$P370-0.5)*2,7),MOD((Panchanga!$P370+30-28.5),30)*2+7)</f>
        <v>1.5493999999999999</v>
      </c>
      <c r="M370" s="4" t="str">
        <f>CHOOSE(ROUNDUP(Panchanga!$L370,0),"Bhava","Baalava","Kaulava","Taitula","Garija","Vanija","Vishti","Shakuni","Chatushapda","Naaga","Kimstugna")</f>
        <v>Baalava</v>
      </c>
      <c r="N370" s="11" t="str">
        <f>CHOOSE(ROUNDUP(Panchanga!$Q370,0),"viṣkambha","prīti","āyuṣmāna","saubhāgya","śobhana","atigaṇḍa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("&amp;Panchanga!$Q370&amp;")"</f>
        <v>siddha (20.91)</v>
      </c>
      <c r="O370" s="4">
        <f>IF(AND(Panchanga!$P370&lt;28.5,Panchanga!$P370&gt;0.49999),MOD((Panchanga!$P370-0.5)*2,7),MOD((Panchanga!$P370+30-28.5),30)*2+7)</f>
        <v>1.5493999999999999</v>
      </c>
      <c r="P370" s="4">
        <f>ROUNDUP(MOD(360+P[Moon]-P[Sun],360)/12,4)</f>
        <v>1.2746999999999999</v>
      </c>
      <c r="Q370" s="4">
        <f>ROUNDUP(MOD(P[Sun]+P[Moon],360)/13.333333333,2)</f>
        <v>20.91</v>
      </c>
      <c r="R370" s="4" t="str">
        <f>SIGN(U371-Panchanga!$U370)*INT(Panchanga!$U370/30+1)&amp;"Ma,"&amp;SIGN(V371-Panchanga!$V370)*INT(Panchanga!$V370/30+1)&amp;"Me,"&amp;SIGN(W371-Panchanga!$W370)*INT(Panchanga!$W370/30+1)&amp;"J, "&amp;SIGN(X371-Panchanga!$X370)*INT(Panchanga!$X370/30+1)&amp;"V,"&amp;SIGN(Y371-Panchanga!$Y370)*INT(Panchanga!$Y370/30+1)&amp;"S,"&amp;INT(Panchanga!$Z370/30+1)&amp;"R"</f>
        <v>9Ma,-11Me,9J, 12V,10S,3R</v>
      </c>
      <c r="S370" s="4">
        <f t="shared" si="54"/>
        <v>311.7468671868167</v>
      </c>
      <c r="T370" s="4">
        <f t="shared" si="55"/>
        <v>327.04215470675189</v>
      </c>
      <c r="U370" s="4">
        <f>Planet(Panchanga!$E370,4)</f>
        <v>251.76140442249383</v>
      </c>
      <c r="V370" s="4">
        <f>Planet(Panchanga!$E370,2)</f>
        <v>313.88119149429212</v>
      </c>
      <c r="W370" s="4">
        <f>Planet(Panchanga!$E370,5)</f>
        <v>264.47906018764513</v>
      </c>
      <c r="X370" s="4">
        <f>Planet(Panchanga!$E370,3)</f>
        <v>355.73352613351199</v>
      </c>
      <c r="Y370" s="4">
        <f>Planet(Panchanga!$E370,6)</f>
        <v>273.53738557957752</v>
      </c>
      <c r="Z370" s="4">
        <f>Planet(Panchanga!$E370,10)</f>
        <v>71.190535034634038</v>
      </c>
      <c r="AA370" s="4" t="str">
        <f>TEXT(Panchanga!$C370+($C371-Panchanga!$C370)/ABS(IF($P371&lt;1,$P371+30,$P371)-Panchanga!$P370)*(ROUNDUP(Panchanga!$P370,0)-Panchanga!$P370),"hh:mm AM/PM")</f>
        <v>01:40 AM</v>
      </c>
      <c r="AB370" s="4"/>
    </row>
    <row r="371" spans="1:28" x14ac:dyDescent="0.2">
      <c r="A371" s="3">
        <f t="shared" si="57"/>
        <v>43887</v>
      </c>
      <c r="B371" s="3">
        <f t="shared" si="51"/>
        <v>43887.229166666664</v>
      </c>
      <c r="C371" s="15">
        <f t="shared" si="52"/>
        <v>43887.269996212483</v>
      </c>
      <c r="D371" s="15">
        <f t="shared" si="53"/>
        <v>43886.761410216845</v>
      </c>
      <c r="E371" s="17">
        <f>Panchanga!$C371-TimeZone/24</f>
        <v>43887.040829545818</v>
      </c>
      <c r="F371" s="18" t="str">
        <f>INT(P[Sun]/30)&amp;"s"&amp;ROUNDUP(MOD(P[Sun],30),2)</f>
        <v>10s12.76</v>
      </c>
      <c r="G371" s="18" t="str">
        <f>INT(P[Moon]/30)&amp;"s"&amp;ROUNDUP(MOD(P[Moon],30),2)</f>
        <v>11s8.94</v>
      </c>
      <c r="H371" s="14">
        <f t="shared" si="56"/>
        <v>43887.040829545818</v>
      </c>
      <c r="I371" s="4" t="str">
        <f>naks(P[[#This Row],[Moon]])</f>
        <v>Uttara Bhadrapada</v>
      </c>
      <c r="J371" s="15">
        <f>(C372-P[[#This Row],[SunRise]])/(T372-P[[#This Row],[Moon]])*(13.3333333333333-MOD(P[[#This Row],[Moon]],13.333333333333))+P[[#This Row],[SunRise]]</f>
        <v>43887.922248080977</v>
      </c>
      <c r="K371" s="4" t="str">
        <f>IF(Panchanga!$P371&gt;15,"K","S")&amp;ROUNDUP(MOD(Panchanga!$P371,15),0)&amp;" ("&amp;ROUND(Panchanga!$P371,2)&amp;")"</f>
        <v>S3 (2.18)</v>
      </c>
      <c r="L371" s="4">
        <f>IF(AND(Panchanga!$P371&lt;28.5,Panchanga!$P371&gt;0.49999),MOD((Panchanga!$P371-0.5)*2,7),MOD((Panchanga!$P371+30-28.5),30)*2+7)</f>
        <v>3.3634000000000004</v>
      </c>
      <c r="M371" s="4" t="str">
        <f>CHOOSE(ROUNDUP(Panchanga!$L371,0),"Bhava","Baalava","Kaulava","Taitula","Garija","Vanija","Vishti","Shakuni","Chatushapda","Naaga","Kimstugna")</f>
        <v>Taitula</v>
      </c>
      <c r="N371" s="11" t="str">
        <f>CHOOSE(ROUNDUP(Panchanga!$Q371,0),"viṣkambha","prīti","āyuṣmāna","saubhāgya","śobhana","atigaṇḍa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("&amp;Panchanga!$Q371&amp;")"</f>
        <v>sādhya (21.88)</v>
      </c>
      <c r="O371" s="4">
        <f>IF(AND(Panchanga!$P371&lt;28.5,Panchanga!$P371&gt;0.49999),MOD((Panchanga!$P371-0.5)*2,7),MOD((Panchanga!$P371+30-28.5),30)*2+7)</f>
        <v>3.3634000000000004</v>
      </c>
      <c r="P371" s="4">
        <f>ROUNDUP(MOD(360+P[Moon]-P[Sun],360)/12,4)</f>
        <v>2.1817000000000002</v>
      </c>
      <c r="Q371" s="4">
        <f>ROUNDUP(MOD(P[Sun]+P[Moon],360)/13.333333333,2)</f>
        <v>21.880000000000003</v>
      </c>
      <c r="R371" s="4" t="str">
        <f>SIGN(U372-Panchanga!$U371)*INT(Panchanga!$U371/30+1)&amp;"Ma,"&amp;SIGN(V372-Panchanga!$V371)*INT(Panchanga!$V371/30+1)&amp;"Me,"&amp;SIGN(W372-Panchanga!$W371)*INT(Panchanga!$W371/30+1)&amp;"J, "&amp;SIGN(X372-Panchanga!$X371)*INT(Panchanga!$X371/30+1)&amp;"V,"&amp;SIGN(Y372-Panchanga!$Y371)*INT(Panchanga!$Y371/30+1)&amp;"S,"&amp;INT(Panchanga!$Z371/30+1)&amp;"R"</f>
        <v>9Ma,-11Me,9J, 12V,10S,3R</v>
      </c>
      <c r="S371" s="4">
        <f t="shared" si="54"/>
        <v>312.75279357906624</v>
      </c>
      <c r="T371" s="4">
        <f t="shared" si="55"/>
        <v>338.93317493046368</v>
      </c>
      <c r="U371" s="4">
        <f>Planet(Panchanga!$E371,4)</f>
        <v>252.45095223682091</v>
      </c>
      <c r="V371" s="4">
        <f>Planet(Panchanga!$E371,2)</f>
        <v>312.81880498535293</v>
      </c>
      <c r="W371" s="4">
        <f>Planet(Panchanga!$E371,5)</f>
        <v>264.6697674691419</v>
      </c>
      <c r="X371" s="4">
        <f>Planet(Panchanga!$E371,3)</f>
        <v>356.86233627676353</v>
      </c>
      <c r="Y371" s="4">
        <f>Planet(Panchanga!$E371,6)</f>
        <v>273.6384314403407</v>
      </c>
      <c r="Z371" s="4">
        <f>Planet(Panchanga!$E371,10)</f>
        <v>71.137561990179108</v>
      </c>
      <c r="AA371" s="4" t="str">
        <f>TEXT(Panchanga!$C371+($C372-Panchanga!$C371)/ABS(IF($P372&lt;1,$P372+30,$P372)-Panchanga!$P371)*(ROUNDUP(Panchanga!$P371,0)-Panchanga!$P371),"hh:mm AM/PM")</f>
        <v>04:11 AM</v>
      </c>
      <c r="AB371" s="4"/>
    </row>
    <row r="372" spans="1:28" x14ac:dyDescent="0.2">
      <c r="A372" s="3">
        <f t="shared" si="57"/>
        <v>43888</v>
      </c>
      <c r="B372" s="3">
        <f t="shared" si="51"/>
        <v>43888.229166666664</v>
      </c>
      <c r="C372" s="15">
        <f t="shared" si="52"/>
        <v>43888.269630637173</v>
      </c>
      <c r="D372" s="15">
        <f t="shared" si="53"/>
        <v>43887.761552631899</v>
      </c>
      <c r="E372" s="17">
        <f>Panchanga!$C372-TimeZone/24</f>
        <v>43888.040463970508</v>
      </c>
      <c r="F372" s="18" t="str">
        <f>INT(P[Sun]/30)&amp;"s"&amp;ROUNDUP(MOD(P[Sun],30),2)</f>
        <v>10s13.76</v>
      </c>
      <c r="G372" s="18" t="str">
        <f>INT(P[Moon]/30)&amp;"s"&amp;ROUNDUP(MOD(P[Moon],30),2)</f>
        <v>11s20.79</v>
      </c>
      <c r="H372" s="14">
        <f t="shared" si="56"/>
        <v>43888.040463970508</v>
      </c>
      <c r="I372" s="4" t="str">
        <f>naks(P[[#This Row],[Moon]])</f>
        <v>Revati</v>
      </c>
      <c r="J372" s="15">
        <f>(C373-P[[#This Row],[SunRise]])/(T373-P[[#This Row],[Moon]])*(13.3333333333333-MOD(P[[#This Row],[Moon]],13.333333333333))+P[[#This Row],[SunRise]]</f>
        <v>43888.243173262577</v>
      </c>
      <c r="K372" s="4" t="str">
        <f>IF(Panchanga!$P372&gt;15,"K","S")&amp;ROUNDUP(MOD(Panchanga!$P372,15),0)&amp;" ("&amp;ROUND(Panchanga!$P372,2)&amp;")"</f>
        <v>S4 (3.09)</v>
      </c>
      <c r="L372" s="4">
        <f>IF(AND(Panchanga!$P372&lt;28.5,Panchanga!$P372&gt;0.49999),MOD((Panchanga!$P372-0.5)*2,7),MOD((Panchanga!$P372+30-28.5),30)*2+7)</f>
        <v>5.1714000000000002</v>
      </c>
      <c r="M372" s="4" t="str">
        <f>CHOOSE(ROUNDUP(Panchanga!$L372,0),"Bhava","Baalava","Kaulava","Taitula","Garija","Vanija","Vishti","Shakuni","Chatushapda","Naaga","Kimstugna")</f>
        <v>Vanija</v>
      </c>
      <c r="N372" s="11" t="str">
        <f>CHOOSE(ROUNDUP(Panchanga!$Q372,0),"viṣkambha","prīti","āyuṣmāna","saubhāgya","śobhana","atigaṇḍa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("&amp;Panchanga!$Q372&amp;")"</f>
        <v>śubha (22.85)</v>
      </c>
      <c r="O372" s="4">
        <f>IF(AND(Panchanga!$P372&lt;28.5,Panchanga!$P372&gt;0.49999),MOD((Panchanga!$P372-0.5)*2,7),MOD((Panchanga!$P372+30-28.5),30)*2+7)</f>
        <v>5.1714000000000002</v>
      </c>
      <c r="P372" s="4">
        <f>ROUNDUP(MOD(360+P[Moon]-P[Sun],360)/12,4)</f>
        <v>3.0857000000000001</v>
      </c>
      <c r="Q372" s="4">
        <f>ROUNDUP(MOD(P[Sun]+P[Moon],360)/13.333333333,2)</f>
        <v>22.85</v>
      </c>
      <c r="R372" s="4" t="str">
        <f>SIGN(U373-Panchanga!$U372)*INT(Panchanga!$U372/30+1)&amp;"Ma,"&amp;SIGN(V373-Panchanga!$V372)*INT(Panchanga!$V372/30+1)&amp;"Me,"&amp;SIGN(W373-Panchanga!$W372)*INT(Panchanga!$W372/30+1)&amp;"J, "&amp;SIGN(X373-Panchanga!$X372)*INT(Panchanga!$X372/30+1)&amp;"V,"&amp;SIGN(Y373-Panchanga!$Y372)*INT(Panchanga!$Y372/30+1)&amp;"S,"&amp;INT(Panchanga!$Z372/30+1)&amp;"R"</f>
        <v>9Ma,-11Me,9J, 12V,10S,3R</v>
      </c>
      <c r="S372" s="4">
        <f t="shared" si="54"/>
        <v>313.75820841712715</v>
      </c>
      <c r="T372" s="4">
        <f t="shared" si="55"/>
        <v>350.78544387135651</v>
      </c>
      <c r="U372" s="4">
        <f>Planet(Panchanga!$E372,4)</f>
        <v>253.14069885111704</v>
      </c>
      <c r="V372" s="4">
        <f>Planet(Panchanga!$E372,2)</f>
        <v>311.73661799836134</v>
      </c>
      <c r="W372" s="4">
        <f>Planet(Panchanga!$E372,5)</f>
        <v>264.8590520234406</v>
      </c>
      <c r="X372" s="4">
        <f>Planet(Panchanga!$E372,3)</f>
        <v>357.98783135847697</v>
      </c>
      <c r="Y372" s="4">
        <f>Planet(Panchanga!$E372,6)</f>
        <v>273.73865662952232</v>
      </c>
      <c r="Z372" s="4">
        <f>Planet(Panchanga!$E372,10)</f>
        <v>71.084589366905576</v>
      </c>
      <c r="AA372" s="4" t="str">
        <f>TEXT(Panchanga!$C372+($C373-Panchanga!$C372)/ABS(IF($P373&lt;1,$P373+30,$P373)-Panchanga!$P372)*(ROUNDUP(Panchanga!$P372,0)-Panchanga!$P372),"hh:mm AM/PM")</f>
        <v>06:44 AM</v>
      </c>
      <c r="AB372" s="4"/>
    </row>
    <row r="373" spans="1:28" x14ac:dyDescent="0.2">
      <c r="A373" s="3">
        <f t="shared" si="57"/>
        <v>43889</v>
      </c>
      <c r="B373" s="3">
        <f t="shared" si="51"/>
        <v>43889.229166666664</v>
      </c>
      <c r="C373" s="15">
        <f t="shared" si="52"/>
        <v>43889.269257591724</v>
      </c>
      <c r="D373" s="15">
        <f t="shared" si="53"/>
        <v>43888.761689484163</v>
      </c>
      <c r="E373" s="17">
        <f>Panchanga!$C373-TimeZone/24</f>
        <v>43889.04009092506</v>
      </c>
      <c r="F373" s="18" t="str">
        <f>INT(P[Sun]/30)&amp;"s"&amp;ROUNDUP(MOD(P[Sun],30),2)</f>
        <v>10s14.77</v>
      </c>
      <c r="G373" s="18" t="str">
        <f>INT(P[Moon]/30)&amp;"s"&amp;ROUNDUP(MOD(P[Moon],30),2)</f>
        <v>0s2.64</v>
      </c>
      <c r="H373" s="14">
        <f t="shared" si="56"/>
        <v>43889.04009092506</v>
      </c>
      <c r="I373" s="4" t="str">
        <f>naks(P[[#This Row],[Moon]])</f>
        <v>Aswini</v>
      </c>
      <c r="J373" s="15">
        <f>(C374-P[[#This Row],[SunRise]])/(T374-P[[#This Row],[Moon]])*(13.3333333333333-MOD(P[[#This Row],[Moon]],13.333333333333))+P[[#This Row],[SunRise]]</f>
        <v>43890.168009710062</v>
      </c>
      <c r="K373" s="4" t="str">
        <f>IF(Panchanga!$P373&gt;15,"K","S")&amp;ROUNDUP(MOD(Panchanga!$P373,15),0)&amp;" ("&amp;ROUND(Panchanga!$P373,2)&amp;")"</f>
        <v>S4 (3.99)</v>
      </c>
      <c r="L373" s="4">
        <f>IF(AND(Panchanga!$P373&lt;28.5,Panchanga!$P373&gt;0.49999),MOD((Panchanga!$P373-0.5)*2,7),MOD((Panchanga!$P373+30-28.5),30)*2+7)</f>
        <v>6.9790000000000001</v>
      </c>
      <c r="M373" s="4" t="str">
        <f>CHOOSE(ROUNDUP(Panchanga!$L373,0),"Bhava","Baalava","Kaulava","Taitula","Garija","Vanija","Vishti","Shakuni","Chatushapda","Naaga","Kimstugna")</f>
        <v>Vishti</v>
      </c>
      <c r="N373" s="11" t="str">
        <f>CHOOSE(ROUNDUP(Panchanga!$Q373,0),"viṣkambha","prīti","āyuṣmāna","saubhāgya","śobhana","atigaṇḍa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("&amp;Panchanga!$Q373&amp;")"</f>
        <v>śukla (23.81)</v>
      </c>
      <c r="O373" s="4">
        <f>IF(AND(Panchanga!$P373&lt;28.5,Panchanga!$P373&gt;0.49999),MOD((Panchanga!$P373-0.5)*2,7),MOD((Panchanga!$P373+30-28.5),30)*2+7)</f>
        <v>6.9790000000000001</v>
      </c>
      <c r="P373" s="4">
        <f>ROUNDUP(MOD(360+P[Moon]-P[Sun],360)/12,4)</f>
        <v>3.9895</v>
      </c>
      <c r="Q373" s="4">
        <f>ROUNDUP(MOD(P[Sun]+P[Moon],360)/13.333333333,2)</f>
        <v>23.810000000000002</v>
      </c>
      <c r="R373" s="4" t="str">
        <f>SIGN(U374-Panchanga!$U373)*INT(Panchanga!$U373/30+1)&amp;"Ma,"&amp;SIGN(V374-Panchanga!$V373)*INT(Panchanga!$V373/30+1)&amp;"Me,"&amp;SIGN(W374-Panchanga!$W373)*INT(Panchanga!$W373/30+1)&amp;"J, "&amp;SIGN(X374-Panchanga!$X373)*INT(Panchanga!$X373/30+1)&amp;"V,"&amp;SIGN(Y374-Panchanga!$Y373)*INT(Panchanga!$Y373/30+1)&amp;"S,"&amp;INT(Panchanga!$Z373/30+1)&amp;"R"</f>
        <v>9Ma,-11Me,9J, -12V,10S,3R</v>
      </c>
      <c r="S373" s="4">
        <f t="shared" si="54"/>
        <v>314.76309464796964</v>
      </c>
      <c r="T373" s="4">
        <f t="shared" si="55"/>
        <v>2.6360594319599633</v>
      </c>
      <c r="U373" s="4">
        <f>Planet(Panchanga!$E373,4)</f>
        <v>253.83064031755561</v>
      </c>
      <c r="V373" s="4">
        <f>Planet(Panchanga!$E373,2)</f>
        <v>310.66117297062124</v>
      </c>
      <c r="W373" s="4">
        <f>Planet(Panchanga!$E373,5)</f>
        <v>265.04688716554051</v>
      </c>
      <c r="X373" s="4">
        <f>Planet(Panchanga!$E373,3)</f>
        <v>359.1099104200199</v>
      </c>
      <c r="Y373" s="4">
        <f>Planet(Panchanga!$E373,6)</f>
        <v>273.83804290818142</v>
      </c>
      <c r="Z373" s="4">
        <f>Planet(Panchanga!$E373,10)</f>
        <v>71.031617139463378</v>
      </c>
      <c r="AA373" s="4" t="str">
        <f>TEXT(Panchanga!$C373+($C374-Panchanga!$C373)/ABS(IF($P374&lt;1,$P374+30,$P374)-Panchanga!$P373)*(ROUNDUP(Panchanga!$P373,0)-Panchanga!$P373),"hh:mm AM/PM")</f>
        <v>06:44 AM</v>
      </c>
      <c r="AB373" s="4"/>
    </row>
    <row r="374" spans="1:28" x14ac:dyDescent="0.2">
      <c r="A374" s="3">
        <f t="shared" si="57"/>
        <v>43890</v>
      </c>
      <c r="B374" s="3">
        <f t="shared" si="51"/>
        <v>43890.229166666664</v>
      </c>
      <c r="C374" s="15">
        <f t="shared" si="52"/>
        <v>43890.268877075672</v>
      </c>
      <c r="D374" s="15">
        <f t="shared" si="53"/>
        <v>43889.761820773638</v>
      </c>
      <c r="E374" s="17">
        <f>Panchanga!$C374-TimeZone/24</f>
        <v>43890.039710409008</v>
      </c>
      <c r="F374" s="18" t="str">
        <f>INT(P[Sun]/30)&amp;"s"&amp;ROUNDUP(MOD(P[Sun],30),2)</f>
        <v>10s15.77</v>
      </c>
      <c r="G374" s="18" t="str">
        <f>INT(P[Moon]/30)&amp;"s"&amp;ROUNDUP(MOD(P[Moon],30),2)</f>
        <v>0s14.54</v>
      </c>
      <c r="H374" s="14">
        <f t="shared" si="56"/>
        <v>43890.039710409008</v>
      </c>
      <c r="I374" s="4" t="str">
        <f>naks(P[[#This Row],[Moon]])</f>
        <v>Bharani</v>
      </c>
      <c r="J374" s="15">
        <f>(C375-P[[#This Row],[SunRise]])/(T375-P[[#This Row],[Moon]])*(13.3333333333333-MOD(P[[#This Row],[Moon]],13.333333333333))+P[[#This Row],[SunRise]]</f>
        <v>43891.279018745794</v>
      </c>
      <c r="K374" s="4" t="str">
        <f>IF(Panchanga!$P374&gt;15,"K","S")&amp;ROUNDUP(MOD(Panchanga!$P374,15),0)&amp;" ("&amp;ROUND(Panchanga!$P374,2)&amp;")"</f>
        <v>S5 (4.9)</v>
      </c>
      <c r="L374" s="4">
        <f>IF(AND(Panchanga!$P374&lt;28.5,Panchanga!$P374&gt;0.49999),MOD((Panchanga!$P374-0.5)*2,7),MOD((Panchanga!$P374+30-28.5),30)*2+7)</f>
        <v>1.7945999999999991</v>
      </c>
      <c r="M374" s="4" t="str">
        <f>CHOOSE(ROUNDUP(Panchanga!$L374,0),"Bhava","Baalava","Kaulava","Taitula","Garija","Vanija","Vishti","Shakuni","Chatushapda","Naaga","Kimstugna")</f>
        <v>Baalava</v>
      </c>
      <c r="N374" s="11" t="str">
        <f>CHOOSE(ROUNDUP(Panchanga!$Q374,0),"viṣkambha","prīti","āyuṣmāna","saubhāgya","śobhana","atigaṇḍa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("&amp;Panchanga!$Q374&amp;")"</f>
        <v>brahma (24.78)</v>
      </c>
      <c r="O374" s="4">
        <f>IF(AND(Panchanga!$P374&lt;28.5,Panchanga!$P374&gt;0.49999),MOD((Panchanga!$P374-0.5)*2,7),MOD((Panchanga!$P374+30-28.5),30)*2+7)</f>
        <v>1.7945999999999991</v>
      </c>
      <c r="P374" s="4">
        <f>ROUNDUP(MOD(360+P[Moon]-P[Sun],360)/12,4)</f>
        <v>4.8972999999999995</v>
      </c>
      <c r="Q374" s="4">
        <f>ROUNDUP(MOD(P[Sun]+P[Moon],360)/13.333333333,2)</f>
        <v>24.78</v>
      </c>
      <c r="R374" s="4" t="str">
        <f>SIGN(U375-Panchanga!$U374)*INT(Panchanga!$U374/30+1)&amp;"Ma,"&amp;SIGN(V375-Panchanga!$V374)*INT(Panchanga!$V374/30+1)&amp;"Me,"&amp;SIGN(W375-Panchanga!$W374)*INT(Panchanga!$W374/30+1)&amp;"J, "&amp;SIGN(X375-Panchanga!$X374)*INT(Panchanga!$X374/30+1)&amp;"V,"&amp;SIGN(Y375-Panchanga!$Y374)*INT(Panchanga!$Y374/30+1)&amp;"S,"&amp;INT(Panchanga!$Z374/30+1)&amp;"R"</f>
        <v>9Ma,-11Me,9J, 1V,10S,3R</v>
      </c>
      <c r="S374" s="4">
        <f t="shared" si="54"/>
        <v>315.76743627890482</v>
      </c>
      <c r="T374" s="4">
        <f t="shared" si="55"/>
        <v>14.533893327180488</v>
      </c>
      <c r="U374" s="4">
        <f>Planet(Panchanga!$E374,4)</f>
        <v>254.52077365704432</v>
      </c>
      <c r="V374" s="4">
        <f>Planet(Panchanga!$E374,2)</f>
        <v>309.61719408049578</v>
      </c>
      <c r="W374" s="4">
        <f>Planet(Panchanga!$E374,5)</f>
        <v>265.23324654555569</v>
      </c>
      <c r="X374" s="4">
        <f>Planet(Panchanga!$E374,3)</f>
        <v>0.22846855388884177</v>
      </c>
      <c r="Y374" s="4">
        <f>Planet(Panchanga!$E374,6)</f>
        <v>273.93657234558128</v>
      </c>
      <c r="Z374" s="4">
        <f>Planet(Panchanga!$E374,10)</f>
        <v>70.978645307951723</v>
      </c>
      <c r="AA374" s="4" t="str">
        <f>TEXT(Panchanga!$C374+($C375-Panchanga!$C374)/ABS(IF($P375&lt;1,$P375+30,$P375)-Panchanga!$P374)*(ROUNDUP(Panchanga!$P374,0)-Panchanga!$P374),"hh:mm AM/PM")</f>
        <v>09:08 AM</v>
      </c>
      <c r="AB374" s="4"/>
    </row>
    <row r="375" spans="1:28" x14ac:dyDescent="0.2">
      <c r="A375" s="3">
        <f t="shared" si="57"/>
        <v>43891</v>
      </c>
      <c r="B375" s="3">
        <f t="shared" si="51"/>
        <v>43891.229166666664</v>
      </c>
      <c r="C375" s="15">
        <f t="shared" si="52"/>
        <v>43891.268489565853</v>
      </c>
      <c r="D375" s="15">
        <f t="shared" si="53"/>
        <v>43890.761946658648</v>
      </c>
      <c r="E375" s="17">
        <f>Panchanga!$C375-TimeZone/24</f>
        <v>43891.039322899189</v>
      </c>
      <c r="F375" s="18" t="str">
        <f>INT(P[Sun]/30)&amp;"s"&amp;ROUNDUP(MOD(P[Sun],30),2)</f>
        <v>10s16.78</v>
      </c>
      <c r="G375" s="18" t="str">
        <f>INT(P[Moon]/30)&amp;"s"&amp;ROUNDUP(MOD(P[Moon],30),2)</f>
        <v>0s26.55</v>
      </c>
      <c r="H375" s="14">
        <f t="shared" si="56"/>
        <v>43891.039322899189</v>
      </c>
      <c r="I375" s="4" t="str">
        <f>naks(P[[#This Row],[Moon]])</f>
        <v>Bharani</v>
      </c>
      <c r="J375" s="15">
        <f>(C376-P[[#This Row],[SunRise]])/(T376-P[[#This Row],[Moon]])*(13.3333333333333-MOD(P[[#This Row],[Moon]],13.333333333333))+P[[#This Row],[SunRise]]</f>
        <v>43891.278862407424</v>
      </c>
      <c r="K375" s="4" t="str">
        <f>IF(Panchanga!$P375&gt;15,"K","S")&amp;ROUNDUP(MOD(Panchanga!$P375,15),0)&amp;" ("&amp;ROUND(Panchanga!$P375,2)&amp;")"</f>
        <v>S6 (5.81)</v>
      </c>
      <c r="L375" s="4">
        <f>IF(AND(Panchanga!$P375&lt;28.5,Panchanga!$P375&gt;0.49999),MOD((Panchanga!$P375-0.5)*2,7),MOD((Panchanga!$P375+30-28.5),30)*2+7)</f>
        <v>3.6281999999999996</v>
      </c>
      <c r="M375" s="4" t="str">
        <f>CHOOSE(ROUNDUP(Panchanga!$L375,0),"Bhava","Baalava","Kaulava","Taitula","Garija","Vanija","Vishti","Shakuni","Chatushapda","Naaga","Kimstugna")</f>
        <v>Taitula</v>
      </c>
      <c r="N375" s="11" t="str">
        <f>CHOOSE(ROUNDUP(Panchanga!$Q375,0),"viṣkambha","prīti","āyuṣmāna","saubhāgya","śobhana","atigaṇḍa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("&amp;Panchanga!$Q375&amp;")"</f>
        <v>mahendra (25.75)</v>
      </c>
      <c r="O375" s="4">
        <f>IF(AND(Panchanga!$P375&lt;28.5,Panchanga!$P375&gt;0.49999),MOD((Panchanga!$P375-0.5)*2,7),MOD((Panchanga!$P375+30-28.5),30)*2+7)</f>
        <v>3.6281999999999996</v>
      </c>
      <c r="P375" s="4">
        <f>ROUNDUP(MOD(360+P[Moon]-P[Sun],360)/12,4)</f>
        <v>5.8140999999999998</v>
      </c>
      <c r="Q375" s="4">
        <f>ROUNDUP(MOD(P[Sun]+P[Moon],360)/13.333333333,2)</f>
        <v>25.75</v>
      </c>
      <c r="R375" s="4" t="str">
        <f>SIGN(U376-Panchanga!$U375)*INT(Panchanga!$U375/30+1)&amp;"Ma,"&amp;SIGN(V376-Panchanga!$V375)*INT(Panchanga!$V375/30+1)&amp;"Me,"&amp;SIGN(W376-Panchanga!$W375)*INT(Panchanga!$W375/30+1)&amp;"J, "&amp;SIGN(X376-Panchanga!$X375)*INT(Panchanga!$X375/30+1)&amp;"V,"&amp;SIGN(Y376-Panchanga!$Y375)*INT(Panchanga!$Y375/30+1)&amp;"S,"&amp;INT(Panchanga!$Z375/30+1)&amp;"R"</f>
        <v>9Ma,-11Me,9J, 1V,10S,3R</v>
      </c>
      <c r="S375" s="4">
        <f t="shared" si="54"/>
        <v>316.77121950866655</v>
      </c>
      <c r="T375" s="4">
        <f t="shared" si="55"/>
        <v>26.540201085207354</v>
      </c>
      <c r="U375" s="4">
        <f>Planet(Panchanga!$E375,4)</f>
        <v>255.2110975101798</v>
      </c>
      <c r="V375" s="4">
        <f>Planet(Panchanga!$E375,2)</f>
        <v>308.6267035750007</v>
      </c>
      <c r="W375" s="4">
        <f>Planet(Panchanga!$E375,5)</f>
        <v>265.41810433222093</v>
      </c>
      <c r="X375" s="4">
        <f>Planet(Panchanga!$E375,3)</f>
        <v>1.3433980506668139</v>
      </c>
      <c r="Y375" s="4">
        <f>Planet(Panchanga!$E375,6)</f>
        <v>274.03422742573986</v>
      </c>
      <c r="Z375" s="4">
        <f>Planet(Panchanga!$E375,10)</f>
        <v>70.925673847037032</v>
      </c>
      <c r="AA375" s="4" t="str">
        <f>TEXT(Panchanga!$C375+($C376-Panchanga!$C375)/ABS(IF($P376&lt;1,$P376+30,$P376)-Panchanga!$P375)*(ROUNDUP(Panchanga!$P375,0)-Panchanga!$P375),"hh:mm AM/PM")</f>
        <v>11:13 AM</v>
      </c>
      <c r="AB375" s="4"/>
    </row>
    <row r="376" spans="1:28" x14ac:dyDescent="0.2">
      <c r="A376" s="3">
        <f t="shared" si="57"/>
        <v>43892</v>
      </c>
      <c r="B376" s="3">
        <f t="shared" si="51"/>
        <v>43892.229166666664</v>
      </c>
      <c r="C376" s="15">
        <f t="shared" si="52"/>
        <v>43892.268095221523</v>
      </c>
      <c r="D376" s="15">
        <f t="shared" si="53"/>
        <v>43891.762067457239</v>
      </c>
      <c r="E376" s="17">
        <f>Panchanga!$C376-TimeZone/24</f>
        <v>43892.038928554859</v>
      </c>
      <c r="F376" s="18" t="str">
        <f>INT(P[Sun]/30)&amp;"s"&amp;ROUNDUP(MOD(P[Sun],30),2)</f>
        <v>10s17.78</v>
      </c>
      <c r="G376" s="18" t="str">
        <f>INT(P[Moon]/30)&amp;"s"&amp;ROUNDUP(MOD(P[Moon],30),2)</f>
        <v>1s8.73</v>
      </c>
      <c r="H376" s="14">
        <f t="shared" si="56"/>
        <v>43892.038928554859</v>
      </c>
      <c r="I376" s="4" t="str">
        <f>naks(P[[#This Row],[Moon]])</f>
        <v>Krittika</v>
      </c>
      <c r="J376" s="15">
        <f>(C377-P[[#This Row],[SunRise]])/(T377-P[[#This Row],[Moon]])*(13.3333333333333-MOD(P[[#This Row],[Moon]],13.333333333333))+P[[#This Row],[SunRise]]</f>
        <v>43892.370287084152</v>
      </c>
      <c r="K376" s="4" t="str">
        <f>IF(Panchanga!$P376&gt;15,"K","S")&amp;ROUNDUP(MOD(Panchanga!$P376,15),0)&amp;" ("&amp;ROUND(Panchanga!$P376,2)&amp;")"</f>
        <v>S7 (6.75)</v>
      </c>
      <c r="L376" s="4">
        <f>IF(AND(Panchanga!$P376&lt;28.5,Panchanga!$P376&gt;0.49999),MOD((Panchanga!$P376-0.5)*2,7),MOD((Panchanga!$P376+30-28.5),30)*2+7)</f>
        <v>5.4922000000000004</v>
      </c>
      <c r="M376" s="4" t="str">
        <f>CHOOSE(ROUNDUP(Panchanga!$L376,0),"Bhava","Baalava","Kaulava","Taitula","Garija","Vanija","Vishti","Shakuni","Chatushapda","Naaga","Kimstugna")</f>
        <v>Vanija</v>
      </c>
      <c r="N376" s="11" t="str">
        <f>CHOOSE(ROUNDUP(Panchanga!$Q376,0),"viṣkambha","prīti","āyuṣmāna","saubhāgya","śobhana","atigaṇḍa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("&amp;Panchanga!$Q376&amp;")"</f>
        <v>vaidhṛti (26.74)</v>
      </c>
      <c r="O376" s="4">
        <f>IF(AND(Panchanga!$P376&lt;28.5,Panchanga!$P376&gt;0.49999),MOD((Panchanga!$P376-0.5)*2,7),MOD((Panchanga!$P376+30-28.5),30)*2+7)</f>
        <v>5.4922000000000004</v>
      </c>
      <c r="P376" s="4">
        <f>ROUNDUP(MOD(360+P[Moon]-P[Sun],360)/12,4)</f>
        <v>6.7461000000000002</v>
      </c>
      <c r="Q376" s="4">
        <f>ROUNDUP(MOD(P[Sun]+P[Moon],360)/13.333333333,2)</f>
        <v>26.740000000000002</v>
      </c>
      <c r="R376" s="4" t="str">
        <f>SIGN(U377-Panchanga!$U376)*INT(Panchanga!$U376/30+1)&amp;"Ma,"&amp;SIGN(V377-Panchanga!$V376)*INT(Panchanga!$V376/30+1)&amp;"Me,"&amp;SIGN(W377-Panchanga!$W376)*INT(Panchanga!$W376/30+1)&amp;"J, "&amp;SIGN(X377-Panchanga!$X376)*INT(Panchanga!$X376/30+1)&amp;"V,"&amp;SIGN(Y377-Panchanga!$Y376)*INT(Panchanga!$Y376/30+1)&amp;"S,"&amp;INT(Panchanga!$Z376/30+1)&amp;"R"</f>
        <v>9Ma,-11Me,9J, 1V,10S,3R</v>
      </c>
      <c r="S376" s="4">
        <f t="shared" si="54"/>
        <v>317.77443207110434</v>
      </c>
      <c r="T376" s="4">
        <f t="shared" si="55"/>
        <v>38.727383312958679</v>
      </c>
      <c r="U376" s="4">
        <f>Planet(Panchanga!$E376,4)</f>
        <v>255.90161162362628</v>
      </c>
      <c r="V376" s="4">
        <f>Planet(Panchanga!$E376,2)</f>
        <v>307.70841539669738</v>
      </c>
      <c r="W376" s="4">
        <f>Planet(Panchanga!$E376,5)</f>
        <v>265.60143507914847</v>
      </c>
      <c r="X376" s="4">
        <f>Planet(Panchanga!$E376,3)</f>
        <v>2.4545874777964563</v>
      </c>
      <c r="Y376" s="4">
        <f>Planet(Panchanga!$E376,6)</f>
        <v>274.13099098102674</v>
      </c>
      <c r="Z376" s="4">
        <f>Planet(Panchanga!$E376,10)</f>
        <v>70.872702748285889</v>
      </c>
      <c r="AA376" s="4" t="str">
        <f>TEXT(Panchanga!$C376+($C377-Panchanga!$C376)/ABS(IF($P377&lt;1,$P377+30,$P377)-Panchanga!$P376)*(ROUNDUP(Panchanga!$P376,0)-Panchanga!$P376),"hh:mm AM/PM")</f>
        <v>12:49 PM</v>
      </c>
      <c r="AB376" s="4"/>
    </row>
    <row r="377" spans="1:28" x14ac:dyDescent="0.2">
      <c r="A377" s="3">
        <f t="shared" si="57"/>
        <v>43893</v>
      </c>
      <c r="B377" s="3">
        <f t="shared" si="51"/>
        <v>43893.229166666664</v>
      </c>
      <c r="C377" s="15">
        <f t="shared" si="52"/>
        <v>43893.267694201473</v>
      </c>
      <c r="D377" s="15">
        <f t="shared" si="53"/>
        <v>43892.762183010622</v>
      </c>
      <c r="E377" s="17">
        <f>Panchanga!$C377-TimeZone/24</f>
        <v>43893.038527534809</v>
      </c>
      <c r="F377" s="18" t="str">
        <f>INT(P[Sun]/30)&amp;"s"&amp;ROUNDUP(MOD(P[Sun],30),2)</f>
        <v>10s18.78</v>
      </c>
      <c r="G377" s="18" t="str">
        <f>INT(P[Moon]/30)&amp;"s"&amp;ROUNDUP(MOD(P[Moon],30),2)</f>
        <v>1s21.18</v>
      </c>
      <c r="H377" s="14">
        <f t="shared" si="56"/>
        <v>43893.038527534809</v>
      </c>
      <c r="I377" s="4" t="str">
        <f>naks(P[[#This Row],[Moon]])</f>
        <v>Rohini</v>
      </c>
      <c r="J377" s="15">
        <f>(C378-P[[#This Row],[SunRise]])/(T378-P[[#This Row],[Moon]])*(13.3333333333333-MOD(P[[#This Row],[Moon]],13.333333333333))+P[[#This Row],[SunRise]]</f>
        <v>43893.436312595484</v>
      </c>
      <c r="K377" s="4" t="str">
        <f>IF(Panchanga!$P377&gt;15,"K","S")&amp;ROUNDUP(MOD(Panchanga!$P377,15),0)&amp;" ("&amp;ROUND(Panchanga!$P377,2)&amp;")"</f>
        <v>S8 (7.7)</v>
      </c>
      <c r="L377" s="4">
        <f>IF(AND(Panchanga!$P377&lt;28.5,Panchanga!$P377&gt;0.49999),MOD((Panchanga!$P377-0.5)*2,7),MOD((Panchanga!$P377+30-28.5),30)*2+7)</f>
        <v>0.39979999999999905</v>
      </c>
      <c r="M377" s="4" t="str">
        <f>CHOOSE(ROUNDUP(Panchanga!$L377,0),"Bhava","Baalava","Kaulava","Taitula","Garija","Vanija","Vishti","Shakuni","Chatushapda","Naaga","Kimstugna")</f>
        <v>Bhava</v>
      </c>
      <c r="N377" s="11" t="str">
        <f>CHOOSE(ROUNDUP(Panchanga!$Q377,0),"viṣkambha","prīti","āyuṣmāna","saubhāgya","śobhana","atigaṇḍa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("&amp;Panchanga!$Q377&amp;")"</f>
        <v>viṣkambha (0.75)</v>
      </c>
      <c r="O377" s="4">
        <f>IF(AND(Panchanga!$P377&lt;28.5,Panchanga!$P377&gt;0.49999),MOD((Panchanga!$P377-0.5)*2,7),MOD((Panchanga!$P377+30-28.5),30)*2+7)</f>
        <v>0.39979999999999905</v>
      </c>
      <c r="P377" s="4">
        <f>ROUNDUP(MOD(360+P[Moon]-P[Sun],360)/12,4)</f>
        <v>7.6998999999999995</v>
      </c>
      <c r="Q377" s="4">
        <f>ROUNDUP(MOD(P[Sun]+P[Moon],360)/13.333333333,2)</f>
        <v>0.75</v>
      </c>
      <c r="R377" s="4" t="str">
        <f>SIGN(U378-Panchanga!$U377)*INT(Panchanga!$U377/30+1)&amp;"Ma,"&amp;SIGN(V378-Panchanga!$V377)*INT(Panchanga!$V377/30+1)&amp;"Me,"&amp;SIGN(W378-Panchanga!$W377)*INT(Panchanga!$W377/30+1)&amp;"J, "&amp;SIGN(X378-Panchanga!$X377)*INT(Panchanga!$X377/30+1)&amp;"V,"&amp;SIGN(Y378-Panchanga!$Y377)*INT(Panchanga!$Y377/30+1)&amp;"S,"&amp;INT(Panchanga!$Z377/30+1)&amp;"R"</f>
        <v>9Ma,-11Me,9J, 1V,10S,3R</v>
      </c>
      <c r="S377" s="4">
        <f t="shared" si="54"/>
        <v>318.77706375996326</v>
      </c>
      <c r="T377" s="4">
        <f t="shared" si="55"/>
        <v>51.175598949009924</v>
      </c>
      <c r="U377" s="4">
        <f>Planet(Panchanga!$E377,4)</f>
        <v>256.59231717447693</v>
      </c>
      <c r="V377" s="4">
        <f>Planet(Panchanga!$E377,2)</f>
        <v>306.87742323366103</v>
      </c>
      <c r="W377" s="4">
        <f>Planet(Panchanga!$E377,5)</f>
        <v>265.78321381376441</v>
      </c>
      <c r="X377" s="4">
        <f>Planet(Panchanga!$E377,3)</f>
        <v>3.5619219718845159</v>
      </c>
      <c r="Y377" s="4">
        <f>Planet(Panchanga!$E377,6)</f>
        <v>274.22684624039636</v>
      </c>
      <c r="Z377" s="4">
        <f>Planet(Panchanga!$E377,10)</f>
        <v>70.819732003297716</v>
      </c>
      <c r="AA377" s="4" t="str">
        <f>TEXT(Panchanga!$C377+($C378-Panchanga!$C377)/ABS(IF($P378&lt;1,$P378+30,$P378)-Panchanga!$P377)*(ROUNDUP(Panchanga!$P377,0)-Panchanga!$P377),"hh:mm AM/PM")</f>
        <v>01:45 PM</v>
      </c>
      <c r="AB377" s="4"/>
    </row>
    <row r="378" spans="1:28" x14ac:dyDescent="0.2">
      <c r="A378" s="3">
        <f t="shared" si="57"/>
        <v>43894</v>
      </c>
      <c r="B378" s="3">
        <f t="shared" si="51"/>
        <v>43894.229166666664</v>
      </c>
      <c r="C378" s="15">
        <f t="shared" si="52"/>
        <v>43894.26728698254</v>
      </c>
      <c r="D378" s="15">
        <f t="shared" si="53"/>
        <v>43893.762293636843</v>
      </c>
      <c r="E378" s="17">
        <f>Panchanga!$C378-TimeZone/24</f>
        <v>43894.038120315876</v>
      </c>
      <c r="F378" s="18" t="str">
        <f>INT(P[Sun]/30)&amp;"s"&amp;ROUNDUP(MOD(P[Sun],30),2)</f>
        <v>10s19.78</v>
      </c>
      <c r="G378" s="18" t="str">
        <f>INT(P[Moon]/30)&amp;"s"&amp;ROUNDUP(MOD(P[Moon],30),2)</f>
        <v>2s3.97</v>
      </c>
      <c r="H378" s="14">
        <f t="shared" si="56"/>
        <v>43894.038120315876</v>
      </c>
      <c r="I378" s="4" t="str">
        <f>naks(P[[#This Row],[Moon]])</f>
        <v>Mrigashira</v>
      </c>
      <c r="J378" s="15">
        <f>(C379-P[[#This Row],[SunRise]])/(T379-P[[#This Row],[Moon]])*(13.3333333333333-MOD(P[[#This Row],[Moon]],13.333333333333))+P[[#This Row],[SunRise]]</f>
        <v>43894.471574734838</v>
      </c>
      <c r="K378" s="4" t="str">
        <f>IF(Panchanga!$P378&gt;15,"K","S")&amp;ROUNDUP(MOD(Panchanga!$P378,15),0)&amp;" ("&amp;ROUND(Panchanga!$P378,2)&amp;")"</f>
        <v>S9 (8.68)</v>
      </c>
      <c r="L378" s="4">
        <f>IF(AND(Panchanga!$P378&lt;28.5,Panchanga!$P378&gt;0.49999),MOD((Panchanga!$P378-0.5)*2,7),MOD((Panchanga!$P378+30-28.5),30)*2+7)</f>
        <v>2.3647999999999989</v>
      </c>
      <c r="M378" s="4" t="str">
        <f>CHOOSE(ROUNDUP(Panchanga!$L378,0),"Bhava","Baalava","Kaulava","Taitula","Garija","Vanija","Vishti","Shakuni","Chatushapda","Naaga","Kimstugna")</f>
        <v>Kaulava</v>
      </c>
      <c r="N378" s="11" t="str">
        <f>CHOOSE(ROUNDUP(Panchanga!$Q378,0),"viṣkambha","prīti","āyuṣmāna","saubhāgya","śobhana","atigaṇḍa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("&amp;Panchanga!$Q378&amp;")"</f>
        <v>prīti (1.79)</v>
      </c>
      <c r="O378" s="4">
        <f>IF(AND(Panchanga!$P378&lt;28.5,Panchanga!$P378&gt;0.49999),MOD((Panchanga!$P378-0.5)*2,7),MOD((Panchanga!$P378+30-28.5),30)*2+7)</f>
        <v>2.3647999999999989</v>
      </c>
      <c r="P378" s="4">
        <f>ROUNDUP(MOD(360+P[Moon]-P[Sun],360)/12,4)</f>
        <v>8.6823999999999995</v>
      </c>
      <c r="Q378" s="4">
        <f>ROUNDUP(MOD(P[Sun]+P[Moon],360)/13.333333333,2)</f>
        <v>1.79</v>
      </c>
      <c r="R378" s="4" t="str">
        <f>SIGN(U379-Panchanga!$U378)*INT(Panchanga!$U378/30+1)&amp;"Ma,"&amp;SIGN(V379-Panchanga!$V378)*INT(Panchanga!$V378/30+1)&amp;"Me,"&amp;SIGN(W379-Panchanga!$W378)*INT(Panchanga!$W378/30+1)&amp;"J, "&amp;SIGN(X379-Panchanga!$X378)*INT(Panchanga!$X378/30+1)&amp;"V,"&amp;SIGN(Y379-Panchanga!$Y378)*INT(Panchanga!$Y378/30+1)&amp;"S,"&amp;INT(Panchanga!$Z378/30+1)&amp;"R"</f>
        <v>9Ma,-11Me,9J, 1V,10S,3R</v>
      </c>
      <c r="S378" s="4">
        <f t="shared" si="54"/>
        <v>319.77910711728219</v>
      </c>
      <c r="T378" s="4">
        <f t="shared" si="55"/>
        <v>63.966941949877373</v>
      </c>
      <c r="U378" s="4">
        <f>Planet(Panchanga!$E378,4)</f>
        <v>257.2832171547808</v>
      </c>
      <c r="V378" s="4">
        <f>Planet(Panchanga!$E378,2)</f>
        <v>306.14516345394526</v>
      </c>
      <c r="W378" s="4">
        <f>Planet(Panchanga!$E378,5)</f>
        <v>265.96341614465246</v>
      </c>
      <c r="X378" s="4">
        <f>Planet(Panchanga!$E378,3)</f>
        <v>4.665283632514325</v>
      </c>
      <c r="Y378" s="4">
        <f>Planet(Panchanga!$E378,6)</f>
        <v>274.32177689736437</v>
      </c>
      <c r="Z378" s="4">
        <f>Planet(Panchanga!$E378,10)</f>
        <v>70.766761586805188</v>
      </c>
      <c r="AA378" s="4" t="str">
        <f>TEXT(Panchanga!$C378+($C379-Panchanga!$C378)/ABS(IF($P379&lt;1,$P379+30,$P379)-Panchanga!$P378)*(ROUNDUP(Panchanga!$P378,0)-Panchanga!$P378),"hh:mm AM/PM")</f>
        <v>01:54 PM</v>
      </c>
      <c r="AB378" s="4"/>
    </row>
    <row r="379" spans="1:28" x14ac:dyDescent="0.2">
      <c r="A379" s="3">
        <f t="shared" si="57"/>
        <v>43895</v>
      </c>
      <c r="B379" s="3">
        <f t="shared" si="51"/>
        <v>43895.229166666664</v>
      </c>
      <c r="C379" s="15">
        <f t="shared" si="52"/>
        <v>43895.266873564724</v>
      </c>
      <c r="D379" s="15">
        <f t="shared" si="53"/>
        <v>43894.762399653948</v>
      </c>
      <c r="E379" s="17">
        <f>Panchanga!$C379-TimeZone/24</f>
        <v>43895.03770689806</v>
      </c>
      <c r="F379" s="18" t="str">
        <f>INT(P[Sun]/30)&amp;"s"&amp;ROUNDUP(MOD(P[Sun],30),2)</f>
        <v>10s20.79</v>
      </c>
      <c r="G379" s="18" t="str">
        <f>INT(P[Moon]/30)&amp;"s"&amp;ROUNDUP(MOD(P[Moon],30),2)</f>
        <v>2s17.18</v>
      </c>
      <c r="H379" s="14">
        <f t="shared" si="56"/>
        <v>43895.03770689806</v>
      </c>
      <c r="I379" s="4" t="str">
        <f>naks(P[[#This Row],[Moon]])</f>
        <v>Ardra</v>
      </c>
      <c r="J379" s="15">
        <f>(C380-P[[#This Row],[SunRise]])/(T380-P[[#This Row],[Moon]])*(13.3333333333333-MOD(P[[#This Row],[Moon]],13.333333333333))+P[[#This Row],[SunRise]]</f>
        <v>43895.473088277642</v>
      </c>
      <c r="K379" s="4" t="str">
        <f>IF(Panchanga!$P379&gt;15,"K","S")&amp;ROUNDUP(MOD(Panchanga!$P379,15),0)&amp;" ("&amp;ROUND(Panchanga!$P379,2)&amp;")"</f>
        <v>S10 (9.7)</v>
      </c>
      <c r="L379" s="4">
        <f>IF(AND(Panchanga!$P379&lt;28.5,Panchanga!$P379&gt;0.49999),MOD((Panchanga!$P379-0.5)*2,7),MOD((Panchanga!$P379+30-28.5),30)*2+7)</f>
        <v>4.3994</v>
      </c>
      <c r="M379" s="4" t="str">
        <f>CHOOSE(ROUNDUP(Panchanga!$L379,0),"Bhava","Baalava","Kaulava","Taitula","Garija","Vanija","Vishti","Shakuni","Chatushapda","Naaga","Kimstugna")</f>
        <v>Garija</v>
      </c>
      <c r="N379" s="11" t="str">
        <f>CHOOSE(ROUNDUP(Panchanga!$Q379,0),"viṣkambha","prīti","āyuṣmāna","saubhāgya","śobhana","atigaṇḍa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("&amp;Panchanga!$Q379&amp;")"</f>
        <v>āyuṣmāna (2.85)</v>
      </c>
      <c r="O379" s="4">
        <f>IF(AND(Panchanga!$P379&lt;28.5,Panchanga!$P379&gt;0.49999),MOD((Panchanga!$P379-0.5)*2,7),MOD((Panchanga!$P379+30-28.5),30)*2+7)</f>
        <v>4.3994</v>
      </c>
      <c r="P379" s="4">
        <f>ROUNDUP(MOD(360+P[Moon]-P[Sun],360)/12,4)</f>
        <v>9.6997</v>
      </c>
      <c r="Q379" s="4">
        <f>ROUNDUP(MOD(P[Sun]+P[Moon],360)/13.333333333,2)</f>
        <v>2.8499999999999996</v>
      </c>
      <c r="R379" s="4" t="str">
        <f>SIGN(U380-Panchanga!$U379)*INT(Panchanga!$U379/30+1)&amp;"Ma,"&amp;SIGN(V380-Panchanga!$V379)*INT(Panchanga!$V379/30+1)&amp;"Me,"&amp;SIGN(W380-Panchanga!$W379)*INT(Panchanga!$W379/30+1)&amp;"J, "&amp;SIGN(X380-Panchanga!$X379)*INT(Panchanga!$X379/30+1)&amp;"V,"&amp;SIGN(Y380-Panchanga!$Y379)*INT(Panchanga!$Y379/30+1)&amp;"S,"&amp;INT(Panchanga!$Z379/30+1)&amp;"R"</f>
        <v>9Ma,-11Me,9J, 1V,10S,3R</v>
      </c>
      <c r="S379" s="4">
        <f t="shared" si="54"/>
        <v>320.78055723884586</v>
      </c>
      <c r="T379" s="4">
        <f t="shared" si="55"/>
        <v>77.176782344965275</v>
      </c>
      <c r="U379" s="4">
        <f>Planet(Panchanga!$E379,4)</f>
        <v>257.97431597584387</v>
      </c>
      <c r="V379" s="4">
        <f>Planet(Panchanga!$E379,2)</f>
        <v>305.51960337171539</v>
      </c>
      <c r="W379" s="4">
        <f>Planet(Panchanga!$E379,5)</f>
        <v>266.14201816791513</v>
      </c>
      <c r="X379" s="4">
        <f>Planet(Panchanga!$E379,3)</f>
        <v>5.7645509902340626</v>
      </c>
      <c r="Y379" s="4">
        <f>Planet(Panchanga!$E379,6)</f>
        <v>274.41576706392453</v>
      </c>
      <c r="Z379" s="4">
        <f>Planet(Panchanga!$E379,10)</f>
        <v>70.713791498808234</v>
      </c>
      <c r="AA379" s="4" t="str">
        <f>TEXT(Panchanga!$C379+($C380-Panchanga!$C379)/ABS(IF($P380&lt;1,$P380+30,$P380)-Panchanga!$P379)*(ROUNDUP(Panchanga!$P379,0)-Panchanga!$P379),"hh:mm AM/PM")</f>
        <v>01:13 PM</v>
      </c>
      <c r="AB379" s="4"/>
    </row>
    <row r="380" spans="1:28" x14ac:dyDescent="0.2">
      <c r="A380" s="3">
        <f t="shared" si="57"/>
        <v>43896</v>
      </c>
      <c r="B380" s="3">
        <f t="shared" si="51"/>
        <v>43896.229166666664</v>
      </c>
      <c r="C380" s="15">
        <f t="shared" si="52"/>
        <v>43896.266454584118</v>
      </c>
      <c r="D380" s="15">
        <f t="shared" si="53"/>
        <v>43895.762500902216</v>
      </c>
      <c r="E380" s="17">
        <f>Panchanga!$C380-TimeZone/24</f>
        <v>43896.037287917454</v>
      </c>
      <c r="F380" s="18" t="str">
        <f>INT(P[Sun]/30)&amp;"s"&amp;ROUNDUP(MOD(P[Sun],30),2)</f>
        <v>10s21.79</v>
      </c>
      <c r="G380" s="18" t="str">
        <f>INT(P[Moon]/30)&amp;"s"&amp;ROUNDUP(MOD(P[Moon],30),2)</f>
        <v>3s0.87</v>
      </c>
      <c r="H380" s="14">
        <f t="shared" si="56"/>
        <v>43896.037287917454</v>
      </c>
      <c r="I380" s="4" t="str">
        <f>naks(P[[#This Row],[Moon]])</f>
        <v>Punarvasu</v>
      </c>
      <c r="J380" s="15">
        <f>(C381-P[[#This Row],[SunRise]])/(T381-P[[#This Row],[Moon]])*(13.3333333333333-MOD(P[[#This Row],[Moon]],13.333333333333))+P[[#This Row],[SunRise]]</f>
        <v>43896.440653954145</v>
      </c>
      <c r="K380" s="4" t="str">
        <f>IF(Panchanga!$P380&gt;15,"K","S")&amp;ROUNDUP(MOD(Panchanga!$P380,15),0)&amp;" ("&amp;ROUND(Panchanga!$P380,2)&amp;")"</f>
        <v>S11 (10.76)</v>
      </c>
      <c r="L380" s="4">
        <f>IF(AND(Panchanga!$P380&lt;28.5,Panchanga!$P380&gt;0.49999),MOD((Panchanga!$P380-0.5)*2,7),MOD((Panchanga!$P380+30-28.5),30)*2+7)</f>
        <v>6.5134000000000007</v>
      </c>
      <c r="M380" s="4" t="str">
        <f>CHOOSE(ROUNDUP(Panchanga!$L380,0),"Bhava","Baalava","Kaulava","Taitula","Garija","Vanija","Vishti","Shakuni","Chatushapda","Naaga","Kimstugna")</f>
        <v>Vishti</v>
      </c>
      <c r="N380" s="11" t="str">
        <f>CHOOSE(ROUNDUP(Panchanga!$Q380,0),"viṣkambha","prīti","āyuṣmāna","saubhāgya","śobhana","atigaṇḍa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("&amp;Panchanga!$Q380&amp;")"</f>
        <v>saubhāgya (3.95)</v>
      </c>
      <c r="O380" s="4">
        <f>IF(AND(Panchanga!$P380&lt;28.5,Panchanga!$P380&gt;0.49999),MOD((Panchanga!$P380-0.5)*2,7),MOD((Panchanga!$P380+30-28.5),30)*2+7)</f>
        <v>6.5134000000000007</v>
      </c>
      <c r="P380" s="4">
        <f>ROUNDUP(MOD(360+P[Moon]-P[Sun],360)/12,4)</f>
        <v>10.7567</v>
      </c>
      <c r="Q380" s="4">
        <f>ROUNDUP(MOD(P[Sun]+P[Moon],360)/13.333333333,2)</f>
        <v>3.9499999999999997</v>
      </c>
      <c r="R380" s="4" t="str">
        <f>SIGN(U381-Panchanga!$U380)*INT(Panchanga!$U380/30+1)&amp;"Ma,"&amp;SIGN(V381-Panchanga!$V380)*INT(Panchanga!$V380/30+1)&amp;"Me,"&amp;SIGN(W381-Panchanga!$W380)*INT(Panchanga!$W380/30+1)&amp;"J, "&amp;SIGN(X381-Panchanga!$X380)*INT(Panchanga!$X380/30+1)&amp;"V,"&amp;SIGN(Y381-Panchanga!$Y380)*INT(Panchanga!$Y380/30+1)&amp;"S,"&amp;INT(Panchanga!$Z380/30+1)&amp;"R"</f>
        <v>9Ma,-11Me,9J, 1V,10S,3R</v>
      </c>
      <c r="S380" s="4">
        <f t="shared" si="54"/>
        <v>321.7814136957727</v>
      </c>
      <c r="T380" s="4">
        <f t="shared" si="55"/>
        <v>90.861716565621307</v>
      </c>
      <c r="U380" s="4">
        <f>Planet(Panchanga!$E380,4)</f>
        <v>258.66562025208651</v>
      </c>
      <c r="V380" s="4">
        <f>Planet(Panchanga!$E380,2)</f>
        <v>305.00558764818669</v>
      </c>
      <c r="W380" s="4">
        <f>Planet(Panchanga!$E380,5)</f>
        <v>266.31899667878383</v>
      </c>
      <c r="X380" s="4">
        <f>Planet(Panchanga!$E380,3)</f>
        <v>6.8596010609023983</v>
      </c>
      <c r="Y380" s="4">
        <f>Planet(Panchanga!$E380,6)</f>
        <v>274.50880140037719</v>
      </c>
      <c r="Z380" s="4">
        <f>Planet(Panchanga!$E380,10)</f>
        <v>70.66082170558947</v>
      </c>
      <c r="AA380" s="4" t="str">
        <f>TEXT(Panchanga!$C380+($C381-Panchanga!$C380)/ABS(IF($P381&lt;1,$P381+30,$P381)-Panchanga!$P380)*(ROUNDUP(Panchanga!$P380,0)-Panchanga!$P380),"hh:mm AM/PM")</f>
        <v>11:42 AM</v>
      </c>
      <c r="AB380" s="4"/>
    </row>
    <row r="381" spans="1:28" x14ac:dyDescent="0.2">
      <c r="A381" s="3">
        <f t="shared" si="57"/>
        <v>43897</v>
      </c>
      <c r="B381" s="3">
        <f t="shared" si="51"/>
        <v>43897.229166666664</v>
      </c>
      <c r="C381" s="15">
        <f t="shared" si="52"/>
        <v>43897.266030039791</v>
      </c>
      <c r="D381" s="15">
        <f t="shared" si="53"/>
        <v>43896.762597700159</v>
      </c>
      <c r="E381" s="17">
        <f>Panchanga!$C381-TimeZone/24</f>
        <v>43897.036863373127</v>
      </c>
      <c r="F381" s="18" t="str">
        <f>INT(P[Sun]/30)&amp;"s"&amp;ROUNDUP(MOD(P[Sun],30),2)</f>
        <v>10s22.79</v>
      </c>
      <c r="G381" s="18" t="str">
        <f>INT(P[Moon]/30)&amp;"s"&amp;ROUNDUP(MOD(P[Moon],30),2)</f>
        <v>3s15.05</v>
      </c>
      <c r="H381" s="14">
        <f t="shared" si="56"/>
        <v>43897.036863373127</v>
      </c>
      <c r="I381" s="4" t="str">
        <f>naks(P[[#This Row],[Moon]])</f>
        <v>Pushya</v>
      </c>
      <c r="J381" s="15">
        <f>(C382-P[[#This Row],[SunRise]])/(T382-P[[#This Row],[Moon]])*(13.3333333333333-MOD(P[[#This Row],[Moon]],13.333333333333))+P[[#This Row],[SunRise]]</f>
        <v>43897.376721315341</v>
      </c>
      <c r="K381" s="4" t="str">
        <f>IF(Panchanga!$P381&gt;15,"K","S")&amp;ROUNDUP(MOD(Panchanga!$P381,15),0)&amp;" ("&amp;ROUND(Panchanga!$P381,2)&amp;")"</f>
        <v>S12 (11.86)</v>
      </c>
      <c r="L381" s="4">
        <f>IF(AND(Panchanga!$P381&lt;28.5,Panchanga!$P381&gt;0.49999),MOD((Panchanga!$P381-0.5)*2,7),MOD((Panchanga!$P381+30-28.5),30)*2+7)</f>
        <v>1.7105999999999995</v>
      </c>
      <c r="M381" s="4" t="str">
        <f>CHOOSE(ROUNDUP(Panchanga!$L381,0),"Bhava","Baalava","Kaulava","Taitula","Garija","Vanija","Vishti","Shakuni","Chatushapda","Naaga","Kimstugna")</f>
        <v>Baalava</v>
      </c>
      <c r="N381" s="11" t="str">
        <f>CHOOSE(ROUNDUP(Panchanga!$Q381,0),"viṣkambha","prīti","āyuṣmāna","saubhāgya","śobhana","atigaṇḍa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("&amp;Panchanga!$Q381&amp;")"</f>
        <v>atigaṇḍa  (5.09)</v>
      </c>
      <c r="O381" s="4">
        <f>IF(AND(Panchanga!$P381&lt;28.5,Panchanga!$P381&gt;0.49999),MOD((Panchanga!$P381-0.5)*2,7),MOD((Panchanga!$P381+30-28.5),30)*2+7)</f>
        <v>1.7105999999999995</v>
      </c>
      <c r="P381" s="4">
        <f>ROUNDUP(MOD(360+P[Moon]-P[Sun],360)/12,4)</f>
        <v>11.8553</v>
      </c>
      <c r="Q381" s="4">
        <f>ROUNDUP(MOD(P[Sun]+P[Moon],360)/13.333333333,2)</f>
        <v>5.09</v>
      </c>
      <c r="R381" s="4" t="str">
        <f>SIGN(U382-Panchanga!$U381)*INT(Panchanga!$U381/30+1)&amp;"Ma,"&amp;SIGN(V382-Panchanga!$V381)*INT(Panchanga!$V381/30+1)&amp;"Me,"&amp;SIGN(W382-Panchanga!$W381)*INT(Panchanga!$W381/30+1)&amp;"J, "&amp;SIGN(X382-Panchanga!$X381)*INT(Panchanga!$X381/30+1)&amp;"V,"&amp;SIGN(Y382-Panchanga!$Y381)*INT(Panchanga!$Y381/30+1)&amp;"S,"&amp;INT(Panchanga!$Z381/30+1)&amp;"R"</f>
        <v>9Ma,-11Me,9J, 1V,10S,3R</v>
      </c>
      <c r="S381" s="4">
        <f t="shared" si="54"/>
        <v>322.78168008068997</v>
      </c>
      <c r="T381" s="4">
        <f t="shared" si="55"/>
        <v>105.04412983400896</v>
      </c>
      <c r="U381" s="4">
        <f>Planet(Panchanga!$E381,4)</f>
        <v>259.35713762961291</v>
      </c>
      <c r="V381" s="4">
        <f>Planet(Panchanga!$E381,2)</f>
        <v>304.60527954760357</v>
      </c>
      <c r="W381" s="4">
        <f>Planet(Panchanga!$E381,5)</f>
        <v>266.49432886547936</v>
      </c>
      <c r="X381" s="4">
        <f>Planet(Panchanga!$E381,3)</f>
        <v>7.9503092889945739</v>
      </c>
      <c r="Y381" s="4">
        <f>Planet(Panchanga!$E381,6)</f>
        <v>274.60086497410254</v>
      </c>
      <c r="Z381" s="4">
        <f>Planet(Panchanga!$E381,10)</f>
        <v>70.607852207215203</v>
      </c>
      <c r="AA381" s="4" t="str">
        <f>TEXT(Panchanga!$C381+($C382-Panchanga!$C381)/ABS(IF($P382&lt;1,$P382+30,$P382)-Panchanga!$P381)*(ROUNDUP(Panchanga!$P381,0)-Panchanga!$P381),"hh:mm AM/PM")</f>
        <v>09:26 AM</v>
      </c>
      <c r="AB381" s="4"/>
    </row>
    <row r="382" spans="1:28" x14ac:dyDescent="0.2">
      <c r="A382" s="3">
        <f t="shared" si="57"/>
        <v>43898</v>
      </c>
      <c r="B382" s="3">
        <f t="shared" si="51"/>
        <v>43898.229166666664</v>
      </c>
      <c r="C382" s="15">
        <f t="shared" si="52"/>
        <v>43898.265600250721</v>
      </c>
      <c r="D382" s="15">
        <f t="shared" si="53"/>
        <v>43897.762690365358</v>
      </c>
      <c r="E382" s="17">
        <f>Panchanga!$C382-TimeZone/24</f>
        <v>43898.036433584057</v>
      </c>
      <c r="F382" s="18" t="str">
        <f>INT(P[Sun]/30)&amp;"s"&amp;ROUNDUP(MOD(P[Sun],30),2)</f>
        <v>10s23.79</v>
      </c>
      <c r="G382" s="18" t="str">
        <f>INT(P[Moon]/30)&amp;"s"&amp;ROUNDUP(MOD(P[Moon],30),2)</f>
        <v>3s29.7</v>
      </c>
      <c r="H382" s="14">
        <f t="shared" si="56"/>
        <v>43898.036433584057</v>
      </c>
      <c r="I382" s="4" t="str">
        <f>naks(P[[#This Row],[Moon]])</f>
        <v>Aslesha</v>
      </c>
      <c r="J382" s="15">
        <f>(C383-P[[#This Row],[SunRise]])/(T383-P[[#This Row],[Moon]])*(13.3333333333333-MOD(P[[#This Row],[Moon]],13.333333333333))+P[[#This Row],[SunRise]]</f>
        <v>43898.285811216796</v>
      </c>
      <c r="K382" s="4" t="str">
        <f>IF(Panchanga!$P382&gt;15,"K","S")&amp;ROUNDUP(MOD(Panchanga!$P382,15),0)&amp;" ("&amp;ROUND(Panchanga!$P382,2)&amp;")"</f>
        <v>S13 (12.99)</v>
      </c>
      <c r="L382" s="4">
        <f>IF(AND(Panchanga!$P382&lt;28.5,Panchanga!$P382&gt;0.49999),MOD((Panchanga!$P382-0.5)*2,7),MOD((Panchanga!$P382+30-28.5),30)*2+7)</f>
        <v>3.9858000000000011</v>
      </c>
      <c r="M382" s="4" t="str">
        <f>CHOOSE(ROUNDUP(Panchanga!$L382,0),"Bhava","Baalava","Kaulava","Taitula","Garija","Vanija","Vishti","Shakuni","Chatushapda","Naaga","Kimstugna")</f>
        <v>Taitula</v>
      </c>
      <c r="N382" s="11" t="str">
        <f>CHOOSE(ROUNDUP(Panchanga!$Q382,0),"viṣkambha","prīti","āyuṣmāna","saubhāgya","śobhana","atigaṇḍa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("&amp;Panchanga!$Q382&amp;")"</f>
        <v>sukarmā  (6.27)</v>
      </c>
      <c r="O382" s="4">
        <f>IF(AND(Panchanga!$P382&lt;28.5,Panchanga!$P382&gt;0.49999),MOD((Panchanga!$P382-0.5)*2,7),MOD((Panchanga!$P382+30-28.5),30)*2+7)</f>
        <v>3.9858000000000011</v>
      </c>
      <c r="P382" s="4">
        <f>ROUNDUP(MOD(360+P[Moon]-P[Sun],360)/12,4)</f>
        <v>12.992900000000001</v>
      </c>
      <c r="Q382" s="4">
        <f>ROUNDUP(MOD(P[Sun]+P[Moon],360)/13.333333333,2)</f>
        <v>6.27</v>
      </c>
      <c r="R382" s="4" t="str">
        <f>SIGN(U383-Panchanga!$U382)*INT(Panchanga!$U382/30+1)&amp;"Ma,"&amp;SIGN(V383-Panchanga!$V382)*INT(Panchanga!$V382/30+1)&amp;"Me,"&amp;SIGN(W383-Panchanga!$W382)*INT(Panchanga!$W382/30+1)&amp;"J, "&amp;SIGN(X383-Panchanga!$X382)*INT(Panchanga!$X382/30+1)&amp;"V,"&amp;SIGN(Y383-Panchanga!$Y382)*INT(Panchanga!$Y382/30+1)&amp;"S,"&amp;INT(Panchanga!$Z382/30+1)&amp;"R"</f>
        <v>9Ma,-11Me,9J, 1V,10S,3R</v>
      </c>
      <c r="S382" s="4">
        <f t="shared" si="54"/>
        <v>323.78136546625473</v>
      </c>
      <c r="T382" s="4">
        <f t="shared" si="55"/>
        <v>119.69604775646759</v>
      </c>
      <c r="U382" s="4">
        <f>Planet(Panchanga!$E382,4)</f>
        <v>260.04887672355136</v>
      </c>
      <c r="V382" s="4">
        <f>Planet(Panchanga!$E382,2)</f>
        <v>304.31863624015898</v>
      </c>
      <c r="W382" s="4">
        <f>Planet(Panchanga!$E382,5)</f>
        <v>266.66799226368556</v>
      </c>
      <c r="X382" s="4">
        <f>Planet(Panchanga!$E382,3)</f>
        <v>9.0365522495706365</v>
      </c>
      <c r="Y382" s="4">
        <f>Planet(Panchanga!$E382,6)</f>
        <v>274.69194324937848</v>
      </c>
      <c r="Z382" s="4">
        <f>Planet(Panchanga!$E382,10)</f>
        <v>70.554882986768462</v>
      </c>
      <c r="AA382" s="4" t="str">
        <f>TEXT(Panchanga!$C382+($C383-Panchanga!$C382)/ABS(IF($P383&lt;1,$P383+30,$P383)-Panchanga!$P382)*(ROUNDUP(Panchanga!$P382,0)-Panchanga!$P382),"hh:mm AM/PM")</f>
        <v>06:31 AM</v>
      </c>
      <c r="AB382" s="4"/>
    </row>
    <row r="383" spans="1:28" x14ac:dyDescent="0.2">
      <c r="A383" s="3">
        <f t="shared" si="57"/>
        <v>43899</v>
      </c>
      <c r="B383" s="3">
        <f t="shared" si="51"/>
        <v>43899.229166666664</v>
      </c>
      <c r="C383" s="15">
        <f t="shared" si="52"/>
        <v>43899.26516585207</v>
      </c>
      <c r="D383" s="15">
        <f t="shared" si="53"/>
        <v>43898.76277905707</v>
      </c>
      <c r="E383" s="17">
        <f>Panchanga!$C383-TimeZone/24</f>
        <v>43899.035999185406</v>
      </c>
      <c r="F383" s="18" t="str">
        <f>INT(P[Sun]/30)&amp;"s"&amp;ROUNDUP(MOD(P[Sun],30),2)</f>
        <v>10s24.79</v>
      </c>
      <c r="G383" s="18" t="str">
        <f>INT(P[Moon]/30)&amp;"s"&amp;ROUNDUP(MOD(P[Moon],30),2)</f>
        <v>4s14.73</v>
      </c>
      <c r="H383" s="14">
        <f t="shared" si="56"/>
        <v>43899.035999185406</v>
      </c>
      <c r="I383" s="4" t="str">
        <f>naks(P[[#This Row],[Moon]])</f>
        <v>Purva Phalguni</v>
      </c>
      <c r="J383" s="15">
        <f>(C384-P[[#This Row],[SunRise]])/(T384-P[[#This Row],[Moon]])*(13.3333333333333-MOD(P[[#This Row],[Moon]],13.333333333333))+P[[#This Row],[SunRise]]</f>
        <v>43900.046855151108</v>
      </c>
      <c r="K383" s="4" t="str">
        <f>IF(Panchanga!$P383&gt;15,"K","S")&amp;ROUNDUP(MOD(Panchanga!$P383,15),0)&amp;" ("&amp;ROUND(Panchanga!$P383,2)&amp;")"</f>
        <v>S15 (14.16)</v>
      </c>
      <c r="L383" s="4">
        <f>IF(AND(Panchanga!$P383&lt;28.5,Panchanga!$P383&gt;0.49999),MOD((Panchanga!$P383-0.5)*2,7),MOD((Panchanga!$P383+30-28.5),30)*2+7)</f>
        <v>6.3247999999999998</v>
      </c>
      <c r="M383" s="4" t="str">
        <f>CHOOSE(ROUNDUP(Panchanga!$L383,0),"Bhava","Baalava","Kaulava","Taitula","Garija","Vanija","Vishti","Shakuni","Chatushapda","Naaga","Kimstugna")</f>
        <v>Vishti</v>
      </c>
      <c r="N383" s="11" t="str">
        <f>CHOOSE(ROUNDUP(Panchanga!$Q383,0),"viṣkambha","prīti","āyuṣmāna","saubhāgya","śobhana","atigaṇḍa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("&amp;Panchanga!$Q383&amp;")"</f>
        <v>dhṛti  (7.47)</v>
      </c>
      <c r="O383" s="4">
        <f>IF(AND(Panchanga!$P383&lt;28.5,Panchanga!$P383&gt;0.49999),MOD((Panchanga!$P383-0.5)*2,7),MOD((Panchanga!$P383+30-28.5),30)*2+7)</f>
        <v>6.3247999999999998</v>
      </c>
      <c r="P383" s="4">
        <f>ROUNDUP(MOD(360+P[Moon]-P[Sun],360)/12,4)</f>
        <v>14.1624</v>
      </c>
      <c r="Q383" s="4">
        <f>ROUNDUP(MOD(P[Sun]+P[Moon],360)/13.333333333,2)</f>
        <v>7.47</v>
      </c>
      <c r="R383" s="4" t="str">
        <f>SIGN(U384-Panchanga!$U383)*INT(Panchanga!$U383/30+1)&amp;"Ma,"&amp;SIGN(V384-Panchanga!$V383)*INT(Panchanga!$V383/30+1)&amp;"Me,"&amp;SIGN(W384-Panchanga!$W383)*INT(Panchanga!$W383/30+1)&amp;"J, "&amp;SIGN(X384-Panchanga!$X383)*INT(Panchanga!$X383/30+1)&amp;"V,"&amp;SIGN(Y384-Panchanga!$Y383)*INT(Panchanga!$Y383/30+1)&amp;"S,"&amp;INT(Panchanga!$Z383/30+1)&amp;"R"</f>
        <v>9Ma,-11Me,9J, 1V,10S,3R</v>
      </c>
      <c r="S383" s="4">
        <f t="shared" si="54"/>
        <v>324.78048421795046</v>
      </c>
      <c r="T383" s="4">
        <f t="shared" si="55"/>
        <v>134.72849132752799</v>
      </c>
      <c r="U383" s="4">
        <f>Planet(Panchanga!$E383,4)</f>
        <v>260.74084595985619</v>
      </c>
      <c r="V383" s="4">
        <f>Planet(Panchanga!$E383,2)</f>
        <v>304.14387598041037</v>
      </c>
      <c r="W383" s="4">
        <f>Planet(Panchanga!$E383,5)</f>
        <v>266.83996439156948</v>
      </c>
      <c r="X383" s="4">
        <f>Planet(Panchanga!$E383,3)</f>
        <v>10.118209143318344</v>
      </c>
      <c r="Y383" s="4">
        <f>Planet(Panchanga!$E383,6)</f>
        <v>274.78202191327688</v>
      </c>
      <c r="Z383" s="4">
        <f>Planet(Panchanga!$E383,10)</f>
        <v>70.501914010631324</v>
      </c>
      <c r="AA383" s="4" t="str">
        <f>TEXT(Panchanga!$C383+($C384-Panchanga!$C383)/ABS(IF($P384&lt;1,$P384+30,$P384)-Panchanga!$P383)*(ROUNDUP(Panchanga!$P383,0)-Panchanga!$P383),"hh:mm AM/PM")</f>
        <v>11:15 PM</v>
      </c>
      <c r="AB383" s="4"/>
    </row>
    <row r="384" spans="1:28" x14ac:dyDescent="0.2">
      <c r="A384" s="3">
        <f t="shared" si="57"/>
        <v>43900</v>
      </c>
      <c r="B384" s="3">
        <f t="shared" si="51"/>
        <v>43900.229166666664</v>
      </c>
      <c r="C384" s="15">
        <f t="shared" si="52"/>
        <v>43900.264726685047</v>
      </c>
      <c r="D384" s="15">
        <f t="shared" si="53"/>
        <v>43899.762863934084</v>
      </c>
      <c r="E384" s="17">
        <f>Panchanga!$C384-TimeZone/24</f>
        <v>43900.035560018383</v>
      </c>
      <c r="F384" s="18" t="str">
        <f>INT(P[Sun]/30)&amp;"s"&amp;ROUNDUP(MOD(P[Sun],30),2)</f>
        <v>10s25.78</v>
      </c>
      <c r="G384" s="18" t="str">
        <f>INT(P[Moon]/30)&amp;"s"&amp;ROUNDUP(MOD(P[Moon],30),2)</f>
        <v>4s30</v>
      </c>
      <c r="H384" s="14">
        <f t="shared" si="56"/>
        <v>43900.035560018383</v>
      </c>
      <c r="I384" s="4" t="str">
        <f>naks(P[[#This Row],[Moon]])</f>
        <v>Uttara Phalguni</v>
      </c>
      <c r="J384" s="15">
        <f>(C385-P[[#This Row],[SunRise]])/(T385-P[[#This Row],[Moon]])*(13.3333333333333-MOD(P[[#This Row],[Moon]],13.333333333333))+P[[#This Row],[SunRise]]</f>
        <v>43900.917875979474</v>
      </c>
      <c r="K384" s="4" t="str">
        <f>IF(Panchanga!$P384&gt;15,"K","S")&amp;ROUNDUP(MOD(Panchanga!$P384,15),0)&amp;" ("&amp;ROUND(Panchanga!$P384,2)&amp;")"</f>
        <v>K1 (15.35)</v>
      </c>
      <c r="L384" s="4">
        <f>IF(AND(Panchanga!$P384&lt;28.5,Panchanga!$P384&gt;0.49999),MOD((Panchanga!$P384-0.5)*2,7),MOD((Panchanga!$P384+30-28.5),30)*2+7)</f>
        <v>1.7026000000000003</v>
      </c>
      <c r="M384" s="4" t="str">
        <f>CHOOSE(ROUNDUP(Panchanga!$L384,0),"Bhava","Baalava","Kaulava","Taitula","Garija","Vanija","Vishti","Shakuni","Chatushapda","Naaga","Kimstugna")</f>
        <v>Baalava</v>
      </c>
      <c r="N384" s="11" t="str">
        <f>CHOOSE(ROUNDUP(Panchanga!$Q384,0),"viṣkambha","prīti","āyuṣmāna","saubhāgya","śobhana","atigaṇḍa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("&amp;Panchanga!$Q384&amp;")"</f>
        <v>śūla  (8.69)</v>
      </c>
      <c r="O384" s="4">
        <f>IF(AND(Panchanga!$P384&lt;28.5,Panchanga!$P384&gt;0.49999),MOD((Panchanga!$P384-0.5)*2,7),MOD((Panchanga!$P384+30-28.5),30)*2+7)</f>
        <v>1.7026000000000003</v>
      </c>
      <c r="P384" s="4">
        <f>ROUNDUP(MOD(360+P[Moon]-P[Sun],360)/12,4)</f>
        <v>15.3513</v>
      </c>
      <c r="Q384" s="4">
        <f>ROUNDUP(MOD(P[Sun]+P[Moon],360)/13.333333333,2)</f>
        <v>8.69</v>
      </c>
      <c r="R384" s="4" t="str">
        <f>SIGN(U385-Panchanga!$U384)*INT(Panchanga!$U384/30+1)&amp;"Ma,"&amp;SIGN(V385-Panchanga!$V384)*INT(Panchanga!$V384/30+1)&amp;"Me,"&amp;SIGN(W385-Panchanga!$W384)*INT(Panchanga!$W384/30+1)&amp;"J, "&amp;SIGN(X385-Panchanga!$X384)*INT(Panchanga!$X384/30+1)&amp;"V,"&amp;SIGN(Y385-Panchanga!$Y384)*INT(Panchanga!$Y384/30+1)&amp;"S,"&amp;INT(Panchanga!$Z384/30+1)&amp;"R"</f>
        <v>9Ma,11Me,9J, 1V,10S,3R</v>
      </c>
      <c r="S384" s="4">
        <f t="shared" si="54"/>
        <v>325.77905381134832</v>
      </c>
      <c r="T384" s="4">
        <f t="shared" si="55"/>
        <v>149.99406103772168</v>
      </c>
      <c r="U384" s="4">
        <f>Planet(Panchanga!$E384,4)</f>
        <v>261.4330513969241</v>
      </c>
      <c r="V384" s="4">
        <f>Planet(Panchanga!$E384,2)</f>
        <v>304.07790696603735</v>
      </c>
      <c r="W384" s="4">
        <f>Planet(Panchanga!$E384,5)</f>
        <v>267.0102221042859</v>
      </c>
      <c r="X384" s="4">
        <f>Planet(Panchanga!$E384,3)</f>
        <v>11.195161407237281</v>
      </c>
      <c r="Y384" s="4">
        <f>Planet(Panchanga!$E384,6)</f>
        <v>274.8710865304119</v>
      </c>
      <c r="Z384" s="4">
        <f>Planet(Panchanga!$E384,10)</f>
        <v>70.448945287137889</v>
      </c>
      <c r="AA384" s="4" t="str">
        <f>TEXT(Panchanga!$C384+($C385-Panchanga!$C384)/ABS(IF($P385&lt;1,$P385+30,$P385)-Panchanga!$P384)*(ROUNDUP(Panchanga!$P384,0)-Panchanga!$P384),"hh:mm AM/PM")</f>
        <v>07:23 PM</v>
      </c>
      <c r="AB384" s="4"/>
    </row>
    <row r="385" spans="1:28" x14ac:dyDescent="0.2">
      <c r="A385" s="3">
        <f t="shared" si="57"/>
        <v>43901</v>
      </c>
      <c r="B385" s="3">
        <f t="shared" si="51"/>
        <v>43901.229166666664</v>
      </c>
      <c r="C385" s="15">
        <f t="shared" si="52"/>
        <v>43901.264283544537</v>
      </c>
      <c r="D385" s="15">
        <f t="shared" si="53"/>
        <v>43900.762945314447</v>
      </c>
      <c r="E385" s="17">
        <f>Panchanga!$C385-TimeZone/24</f>
        <v>43901.035116877872</v>
      </c>
      <c r="F385" s="18" t="str">
        <f>INT(P[Sun]/30)&amp;"s"&amp;ROUNDUP(MOD(P[Sun],30),2)</f>
        <v>10s26.78</v>
      </c>
      <c r="G385" s="18" t="str">
        <f>INT(P[Moon]/30)&amp;"s"&amp;ROUNDUP(MOD(P[Moon],30),2)</f>
        <v>5s15.31</v>
      </c>
      <c r="H385" s="14">
        <f t="shared" si="56"/>
        <v>43901.035116877872</v>
      </c>
      <c r="I385" s="4" t="str">
        <f>naks(P[[#This Row],[Moon]])</f>
        <v>Hasta</v>
      </c>
      <c r="J385" s="15">
        <f>(C386-P[[#This Row],[SunRise]])/(T386-P[[#This Row],[Moon]])*(13.3333333333333-MOD(P[[#This Row],[Moon]],13.333333333333))+P[[#This Row],[SunRise]]</f>
        <v>43901.79321082215</v>
      </c>
      <c r="K385" s="4" t="str">
        <f>IF(Panchanga!$P385&gt;15,"K","S")&amp;ROUNDUP(MOD(Panchanga!$P385,15),0)&amp;" ("&amp;ROUND(Panchanga!$P385,2)&amp;")"</f>
        <v>K2 (16.54)</v>
      </c>
      <c r="L385" s="4">
        <f>IF(AND(Panchanga!$P385&lt;28.5,Panchanga!$P385&gt;0.49999),MOD((Panchanga!$P385-0.5)*2,7),MOD((Panchanga!$P385+30-28.5),30)*2+7)</f>
        <v>4.0884</v>
      </c>
      <c r="M385" s="4" t="str">
        <f>CHOOSE(ROUNDUP(Panchanga!$L385,0),"Bhava","Baalava","Kaulava","Taitula","Garija","Vanija","Vishti","Shakuni","Chatushapda","Naaga","Kimstugna")</f>
        <v>Garija</v>
      </c>
      <c r="N385" s="11" t="str">
        <f>CHOOSE(ROUNDUP(Panchanga!$Q385,0),"viṣkambha","prīti","āyuṣmāna","saubhāgya","śobhana","atigaṇḍa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("&amp;Panchanga!$Q385&amp;")"</f>
        <v>gaṇḍa  (9.91)</v>
      </c>
      <c r="O385" s="4">
        <f>IF(AND(Panchanga!$P385&lt;28.5,Panchanga!$P385&gt;0.49999),MOD((Panchanga!$P385-0.5)*2,7),MOD((Panchanga!$P385+30-28.5),30)*2+7)</f>
        <v>4.0884</v>
      </c>
      <c r="P385" s="4">
        <f>ROUNDUP(MOD(360+P[Moon]-P[Sun],360)/12,4)</f>
        <v>16.5442</v>
      </c>
      <c r="Q385" s="4">
        <f>ROUNDUP(MOD(P[Sun]+P[Moon],360)/13.333333333,2)</f>
        <v>9.91</v>
      </c>
      <c r="R385" s="4" t="str">
        <f>SIGN(U386-Panchanga!$U385)*INT(Panchanga!$U385/30+1)&amp;"Ma,"&amp;SIGN(V386-Panchanga!$V385)*INT(Panchanga!$V385/30+1)&amp;"Me,"&amp;SIGN(W386-Panchanga!$W385)*INT(Panchanga!$W385/30+1)&amp;"J, "&amp;SIGN(X386-Panchanga!$X385)*INT(Panchanga!$X385/30+1)&amp;"V,"&amp;SIGN(Y386-Panchanga!$Y385)*INT(Panchanga!$Y385/30+1)&amp;"S,"&amp;INT(Panchanga!$Z385/30+1)&amp;"R"</f>
        <v>9Ma,11Me,9J, 1V,10S,3R</v>
      </c>
      <c r="S385" s="4">
        <f t="shared" si="54"/>
        <v>326.77709469164648</v>
      </c>
      <c r="T385" s="4">
        <f t="shared" si="55"/>
        <v>165.30680042319224</v>
      </c>
      <c r="U385" s="4">
        <f>Planet(Panchanga!$E385,4)</f>
        <v>262.12549658100676</v>
      </c>
      <c r="V385" s="4">
        <f>Planet(Panchanga!$E385,2)</f>
        <v>304.1167013678139</v>
      </c>
      <c r="W385" s="4">
        <f>Planet(Panchanga!$E385,5)</f>
        <v>267.1787414390044</v>
      </c>
      <c r="X385" s="4">
        <f>Planet(Panchanga!$E385,3)</f>
        <v>12.267294295471778</v>
      </c>
      <c r="Y385" s="4">
        <f>Planet(Panchanga!$E385,6)</f>
        <v>274.95912244952081</v>
      </c>
      <c r="Z385" s="4">
        <f>Planet(Panchanga!$E385,10)</f>
        <v>70.395976774219903</v>
      </c>
      <c r="AA385" s="4" t="str">
        <f>TEXT(Panchanga!$C385+($C386-Panchanga!$C385)/ABS(IF($P386&lt;1,$P386+30,$P386)-Panchanga!$P385)*(ROUNDUP(Panchanga!$P385,0)-Panchanga!$P385),"hh:mm AM/PM")</f>
        <v>03:36 PM</v>
      </c>
      <c r="AB385" s="4"/>
    </row>
    <row r="386" spans="1:28" x14ac:dyDescent="0.2">
      <c r="A386" s="3">
        <f t="shared" si="57"/>
        <v>43902</v>
      </c>
      <c r="B386" s="3">
        <f t="shared" si="51"/>
        <v>43902.229166666664</v>
      </c>
      <c r="C386" s="15">
        <f t="shared" si="52"/>
        <v>43902.263836430073</v>
      </c>
      <c r="D386" s="15">
        <f t="shared" si="53"/>
        <v>43901.763023515741</v>
      </c>
      <c r="E386" s="17">
        <f>Panchanga!$C386-TimeZone/24</f>
        <v>43902.034669763409</v>
      </c>
      <c r="F386" s="18" t="str">
        <f>INT(P[Sun]/30)&amp;"s"&amp;ROUNDUP(MOD(P[Sun],30),2)</f>
        <v>10s27.78</v>
      </c>
      <c r="G386" s="18" t="str">
        <f>INT(P[Moon]/30)&amp;"s"&amp;ROUNDUP(MOD(P[Moon],30),2)</f>
        <v>6s0.48</v>
      </c>
      <c r="H386" s="14">
        <f t="shared" si="56"/>
        <v>43902.034669763409</v>
      </c>
      <c r="I386" s="4" t="str">
        <f>naks(P[[#This Row],[Moon]])</f>
        <v>Chitra</v>
      </c>
      <c r="J386" s="15">
        <f>(C387-P[[#This Row],[SunRise]])/(T387-P[[#This Row],[Moon]])*(13.3333333333333-MOD(P[[#This Row],[Moon]],13.333333333333))+P[[#This Row],[SunRise]]</f>
        <v>43902.68026492792</v>
      </c>
      <c r="K386" s="4" t="str">
        <f>IF(Panchanga!$P386&gt;15,"K","S")&amp;ROUNDUP(MOD(Panchanga!$P386,15),0)&amp;" ("&amp;ROUND(Panchanga!$P386,2)&amp;")"</f>
        <v>K3 (17.73)</v>
      </c>
      <c r="L386" s="4">
        <f>IF(AND(Panchanga!$P386&lt;28.5,Panchanga!$P386&gt;0.49999),MOD((Panchanga!$P386-0.5)*2,7),MOD((Panchanga!$P386+30-28.5),30)*2+7)</f>
        <v>6.4502000000000024</v>
      </c>
      <c r="M386" s="4" t="str">
        <f>CHOOSE(ROUNDUP(Panchanga!$L386,0),"Bhava","Baalava","Kaulava","Taitula","Garija","Vanija","Vishti","Shakuni","Chatushapda","Naaga","Kimstugna")</f>
        <v>Vishti</v>
      </c>
      <c r="N386" s="11" t="str">
        <f>CHOOSE(ROUNDUP(Panchanga!$Q386,0),"viṣkambha","prīti","āyuṣmāna","saubhāgya","śobhana","atigaṇḍa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("&amp;Panchanga!$Q386&amp;")"</f>
        <v>dhruva  (11.12)</v>
      </c>
      <c r="O386" s="4">
        <f>IF(AND(Panchanga!$P386&lt;28.5,Panchanga!$P386&gt;0.49999),MOD((Panchanga!$P386-0.5)*2,7),MOD((Panchanga!$P386+30-28.5),30)*2+7)</f>
        <v>6.4502000000000024</v>
      </c>
      <c r="P386" s="4">
        <f>ROUNDUP(MOD(360+P[Moon]-P[Sun],360)/12,4)</f>
        <v>17.725100000000001</v>
      </c>
      <c r="Q386" s="4">
        <f>ROUNDUP(MOD(P[Sun]+P[Moon],360)/13.333333333,2)</f>
        <v>11.12</v>
      </c>
      <c r="R386" s="4" t="str">
        <f>SIGN(U387-Panchanga!$U386)*INT(Panchanga!$U386/30+1)&amp;"Ma,"&amp;SIGN(V387-Panchanga!$V386)*INT(Panchanga!$V386/30+1)&amp;"Me,"&amp;SIGN(W387-Panchanga!$W386)*INT(Panchanga!$W386/30+1)&amp;"J, "&amp;SIGN(X387-Panchanga!$X386)*INT(Panchanga!$X386/30+1)&amp;"V,"&amp;SIGN(Y387-Panchanga!$Y386)*INT(Panchanga!$Y386/30+1)&amp;"S,"&amp;INT(Panchanga!$Z386/30+1)&amp;"R"</f>
        <v>9Ma,11Me,9J, 1V,10S,3R</v>
      </c>
      <c r="S386" s="4">
        <f t="shared" si="54"/>
        <v>327.77462621860866</v>
      </c>
      <c r="T386" s="4">
        <f t="shared" si="55"/>
        <v>180.47513162999158</v>
      </c>
      <c r="U386" s="4">
        <f>Planet(Panchanga!$E386,4)</f>
        <v>262.81818038083958</v>
      </c>
      <c r="V386" s="4">
        <f>Planet(Panchanga!$E386,2)</f>
        <v>304.25560968124961</v>
      </c>
      <c r="W386" s="4">
        <f>Planet(Panchanga!$E386,5)</f>
        <v>267.34549697799321</v>
      </c>
      <c r="X386" s="4">
        <f>Planet(Panchanga!$E386,3)</f>
        <v>13.334493496586855</v>
      </c>
      <c r="Y386" s="4">
        <f>Planet(Panchanga!$E386,6)</f>
        <v>275.04611443615119</v>
      </c>
      <c r="Z386" s="4">
        <f>Planet(Panchanga!$E386,10)</f>
        <v>70.343008471894009</v>
      </c>
      <c r="AA386" s="4" t="str">
        <f>TEXT(Panchanga!$C386+($C387-Panchanga!$C386)/ABS(IF($P387&lt;1,$P387+30,$P387)-Panchanga!$P386)*(ROUNDUP(Panchanga!$P386,0)-Panchanga!$P386),"hh:mm AM/PM")</f>
        <v>12:02 PM</v>
      </c>
      <c r="AB386" s="4"/>
    </row>
    <row r="387" spans="1:28" x14ac:dyDescent="0.2">
      <c r="A387" s="3">
        <f t="shared" si="57"/>
        <v>43903</v>
      </c>
      <c r="B387" s="3">
        <f t="shared" ref="B387:B450" si="58">A387+TimeZone/24</f>
        <v>43903.229166666664</v>
      </c>
      <c r="C387" s="15">
        <f t="shared" ref="C387:C450" si="59">sunrise(Lat,Long,B387)+TimeZone/24+0.00103009259259259</f>
        <v>43903.263385818958</v>
      </c>
      <c r="D387" s="15">
        <f t="shared" ref="D387:D450" si="60">sunset(Lat,Long,B387)+TimeZone/24-0.000277777777777778</f>
        <v>43902.763098697222</v>
      </c>
      <c r="E387" s="17">
        <f>Panchanga!$C387-TimeZone/24</f>
        <v>43903.034219152294</v>
      </c>
      <c r="F387" s="18" t="str">
        <f>INT(P[Sun]/30)&amp;"s"&amp;ROUNDUP(MOD(P[Sun],30),2)</f>
        <v>10s28.78</v>
      </c>
      <c r="G387" s="18" t="str">
        <f>INT(P[Moon]/30)&amp;"s"&amp;ROUNDUP(MOD(P[Moon],30),2)</f>
        <v>6s15.34</v>
      </c>
      <c r="H387" s="14">
        <f t="shared" si="56"/>
        <v>43903.034219152294</v>
      </c>
      <c r="I387" s="4" t="str">
        <f>naks(P[[#This Row],[Moon]])</f>
        <v>Swati</v>
      </c>
      <c r="J387" s="15">
        <f>(C388-P[[#This Row],[SunRise]])/(T388-P[[#This Row],[Moon]])*(13.3333333333333-MOD(P[[#This Row],[Moon]],13.333333333333))+P[[#This Row],[SunRise]]</f>
        <v>43903.586064763811</v>
      </c>
      <c r="K387" s="4" t="str">
        <f>IF(Panchanga!$P387&gt;15,"K","S")&amp;ROUNDUP(MOD(Panchanga!$P387,15),0)&amp;" ("&amp;ROUND(Panchanga!$P387,2)&amp;")"</f>
        <v>K4 (18.88)</v>
      </c>
      <c r="L387" s="4">
        <f>IF(AND(Panchanga!$P387&lt;28.5,Panchanga!$P387&gt;0.49999),MOD((Panchanga!$P387-0.5)*2,7),MOD((Panchanga!$P387+30-28.5),30)*2+7)</f>
        <v>1.7610000000000028</v>
      </c>
      <c r="M387" s="4" t="str">
        <f>CHOOSE(ROUNDUP(Panchanga!$L387,0),"Bhava","Baalava","Kaulava","Taitula","Garija","Vanija","Vishti","Shakuni","Chatushapda","Naaga","Kimstugna")</f>
        <v>Baalava</v>
      </c>
      <c r="N387" s="11" t="str">
        <f>CHOOSE(ROUNDUP(Panchanga!$Q387,0),"viṣkambha","prīti","āyuṣmāna","saubhāgya","śobhana","atigaṇḍa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("&amp;Panchanga!$Q387&amp;")"</f>
        <v>vyāghāta (12.31)</v>
      </c>
      <c r="O387" s="4">
        <f>IF(AND(Panchanga!$P387&lt;28.5,Panchanga!$P387&gt;0.49999),MOD((Panchanga!$P387-0.5)*2,7),MOD((Panchanga!$P387+30-28.5),30)*2+7)</f>
        <v>1.7610000000000028</v>
      </c>
      <c r="P387" s="4">
        <f>ROUNDUP(MOD(360+P[Moon]-P[Sun],360)/12,4)</f>
        <v>18.880500000000001</v>
      </c>
      <c r="Q387" s="4">
        <f>ROUNDUP(MOD(P[Sun]+P[Moon],360)/13.333333333,2)</f>
        <v>12.31</v>
      </c>
      <c r="R387" s="4" t="str">
        <f>SIGN(U388-Panchanga!$U387)*INT(Panchanga!$U387/30+1)&amp;"Ma,"&amp;SIGN(V388-Panchanga!$V387)*INT(Panchanga!$V387/30+1)&amp;"Me,"&amp;SIGN(W388-Panchanga!$W387)*INT(Panchanga!$W387/30+1)&amp;"J, "&amp;SIGN(X388-Panchanga!$X387)*INT(Panchanga!$X387/30+1)&amp;"V,"&amp;SIGN(Y388-Panchanga!$Y387)*INT(Panchanga!$Y387/30+1)&amp;"S,"&amp;INT(Panchanga!$Z387/30+1)&amp;"R"</f>
        <v>9Ma,11Me,9J, 1V,10S,3R</v>
      </c>
      <c r="S387" s="4">
        <f t="shared" ref="S387:S450" si="61">Planet($E387,0)</f>
        <v>328.77166572620183</v>
      </c>
      <c r="T387" s="4">
        <f t="shared" ref="T387:T450" si="62">Planet($E387,1)</f>
        <v>195.33661467979107</v>
      </c>
      <c r="U387" s="4">
        <f>Planet(Panchanga!$E387,4)</f>
        <v>263.51109752472263</v>
      </c>
      <c r="V387" s="4">
        <f>Planet(Panchanga!$E387,2)</f>
        <v>304.48961595156618</v>
      </c>
      <c r="W387" s="4">
        <f>Planet(Panchanga!$E387,5)</f>
        <v>267.51046192003224</v>
      </c>
      <c r="X387" s="4">
        <f>Planet(Panchanga!$E387,3)</f>
        <v>14.39664409791714</v>
      </c>
      <c r="Y387" s="4">
        <f>Planet(Panchanga!$E387,6)</f>
        <v>275.13204668128839</v>
      </c>
      <c r="Z387" s="4">
        <f>Planet(Panchanga!$E387,10)</f>
        <v>70.290040354876254</v>
      </c>
      <c r="AA387" s="4" t="str">
        <f>TEXT(Panchanga!$C387+($C388-Panchanga!$C387)/ABS(IF($P388&lt;1,$P388+30,$P388)-Panchanga!$P387)*(ROUNDUP(Panchanga!$P387,0)-Panchanga!$P387),"hh:mm AM/PM")</f>
        <v>08:52 AM</v>
      </c>
      <c r="AB387" s="4"/>
    </row>
    <row r="388" spans="1:28" x14ac:dyDescent="0.2">
      <c r="A388" s="3">
        <f t="shared" si="57"/>
        <v>43904</v>
      </c>
      <c r="B388" s="3">
        <f t="shared" si="58"/>
        <v>43904.229166666664</v>
      </c>
      <c r="C388" s="15">
        <f t="shared" si="59"/>
        <v>43904.262932028774</v>
      </c>
      <c r="D388" s="15">
        <f t="shared" si="60"/>
        <v>43903.763171017214</v>
      </c>
      <c r="E388" s="17">
        <f>Panchanga!$C388-TimeZone/24</f>
        <v>43904.03376536211</v>
      </c>
      <c r="F388" s="18" t="str">
        <f>INT(P[Sun]/30)&amp;"s"&amp;ROUNDUP(MOD(P[Sun],30),2)</f>
        <v>10s29.77</v>
      </c>
      <c r="G388" s="18" t="str">
        <f>INT(P[Moon]/30)&amp;"s"&amp;ROUNDUP(MOD(P[Moon],30),2)</f>
        <v>6s29.79</v>
      </c>
      <c r="H388" s="14">
        <f t="shared" si="56"/>
        <v>43904.03376536211</v>
      </c>
      <c r="I388" s="4" t="str">
        <f>naks(P[[#This Row],[Moon]])</f>
        <v>Visakha</v>
      </c>
      <c r="J388" s="15">
        <f>(C389-P[[#This Row],[SunRise]])/(T389-P[[#This Row],[Moon]])*(13.3333333333333-MOD(P[[#This Row],[Moon]],13.333333333333))+P[[#This Row],[SunRise]]</f>
        <v>43904.516814058908</v>
      </c>
      <c r="K388" s="4" t="str">
        <f>IF(Panchanga!$P388&gt;15,"K","S")&amp;ROUNDUP(MOD(Panchanga!$P388,15),0)&amp;" ("&amp;ROUND(Panchanga!$P388,2)&amp;")"</f>
        <v>K6 (20)</v>
      </c>
      <c r="L388" s="4">
        <f>IF(AND(Panchanga!$P388&lt;28.5,Panchanga!$P388&gt;0.49999),MOD((Panchanga!$P388-0.5)*2,7),MOD((Panchanga!$P388+30-28.5),30)*2+7)</f>
        <v>4.0024000000000015</v>
      </c>
      <c r="M388" s="4" t="str">
        <f>CHOOSE(ROUNDUP(Panchanga!$L388,0),"Bhava","Baalava","Kaulava","Taitula","Garija","Vanija","Vishti","Shakuni","Chatushapda","Naaga","Kimstugna")</f>
        <v>Garija</v>
      </c>
      <c r="N388" s="11" t="str">
        <f>CHOOSE(ROUNDUP(Panchanga!$Q388,0),"viṣkambha","prīti","āyuṣmāna","saubhāgya","śobhana","atigaṇḍa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("&amp;Panchanga!$Q388&amp;")"</f>
        <v>harṣaṇa (13.47)</v>
      </c>
      <c r="O388" s="4">
        <f>IF(AND(Panchanga!$P388&lt;28.5,Panchanga!$P388&gt;0.49999),MOD((Panchanga!$P388-0.5)*2,7),MOD((Panchanga!$P388+30-28.5),30)*2+7)</f>
        <v>4.0024000000000015</v>
      </c>
      <c r="P388" s="4">
        <f>ROUNDUP(MOD(360+P[Moon]-P[Sun],360)/12,4)</f>
        <v>20.001200000000001</v>
      </c>
      <c r="Q388" s="4">
        <f>ROUNDUP(MOD(P[Sun]+P[Moon],360)/13.333333333,2)</f>
        <v>13.47</v>
      </c>
      <c r="R388" s="4" t="str">
        <f>SIGN(U389-Panchanga!$U388)*INT(Panchanga!$U388/30+1)&amp;"Ma,"&amp;SIGN(V389-Panchanga!$V388)*INT(Panchanga!$V388/30+1)&amp;"Me,"&amp;SIGN(W389-Panchanga!$W388)*INT(Panchanga!$W388/30+1)&amp;"J, "&amp;SIGN(X389-Panchanga!$X388)*INT(Panchanga!$X388/30+1)&amp;"V,"&amp;SIGN(Y389-Panchanga!$Y388)*INT(Panchanga!$Y388/30+1)&amp;"S,"&amp;INT(Panchanga!$Z388/30+1)&amp;"R"</f>
        <v>9Ma,11Me,9J, 1V,10S,3R</v>
      </c>
      <c r="S388" s="4">
        <f t="shared" si="61"/>
        <v>329.7682262410865</v>
      </c>
      <c r="T388" s="4">
        <f t="shared" si="62"/>
        <v>209.78214698395459</v>
      </c>
      <c r="U388" s="4">
        <f>Planet(Panchanga!$E388,4)</f>
        <v>264.20423845701612</v>
      </c>
      <c r="V388" s="4">
        <f>Planet(Panchanga!$E388,2)</f>
        <v>304.81353914349887</v>
      </c>
      <c r="W388" s="4">
        <f>Planet(Panchanga!$E388,5)</f>
        <v>267.67360803711796</v>
      </c>
      <c r="X388" s="4">
        <f>Planet(Panchanga!$E388,3)</f>
        <v>15.453627125366179</v>
      </c>
      <c r="Y388" s="4">
        <f>Planet(Panchanga!$E388,6)</f>
        <v>275.21690274015117</v>
      </c>
      <c r="Z388" s="4">
        <f>Planet(Panchanga!$E388,10)</f>
        <v>70.237072406299532</v>
      </c>
      <c r="AA388" s="4" t="str">
        <f>TEXT(Panchanga!$C388+($C389-Panchanga!$C388)/ABS(IF($P389&lt;1,$P389+30,$P389)-Panchanga!$P388)*(ROUNDUP(Panchanga!$P388,0)-Panchanga!$P388),"hh:mm AM/PM")</f>
        <v>04:27 AM</v>
      </c>
      <c r="AB388" s="4"/>
    </row>
    <row r="389" spans="1:28" x14ac:dyDescent="0.2">
      <c r="A389" s="3">
        <f t="shared" si="57"/>
        <v>43905</v>
      </c>
      <c r="B389" s="3">
        <f t="shared" si="58"/>
        <v>43905.229166666664</v>
      </c>
      <c r="C389" s="15">
        <f t="shared" si="59"/>
        <v>43905.262475378033</v>
      </c>
      <c r="D389" s="15">
        <f t="shared" si="60"/>
        <v>43904.763240953485</v>
      </c>
      <c r="E389" s="17">
        <f>Panchanga!$C389-TimeZone/24</f>
        <v>43905.033308711369</v>
      </c>
      <c r="F389" s="18" t="str">
        <f>INT(P[Sun]/30)&amp;"s"&amp;ROUNDUP(MOD(P[Sun],30),2)</f>
        <v>11s0.77</v>
      </c>
      <c r="G389" s="18" t="str">
        <f>INT(P[Moon]/30)&amp;"s"&amp;ROUNDUP(MOD(P[Moon],30),2)</f>
        <v>7s13.77</v>
      </c>
      <c r="H389" s="14">
        <f t="shared" si="56"/>
        <v>43905.033308711369</v>
      </c>
      <c r="I389" s="4" t="str">
        <f>naks(P[[#This Row],[Moon]])</f>
        <v>Anuradha</v>
      </c>
      <c r="J389" s="15">
        <f>(C390-P[[#This Row],[SunRise]])/(T390-P[[#This Row],[Moon]])*(13.3333333333333-MOD(P[[#This Row],[Moon]],13.333333333333))+P[[#This Row],[SunRise]]</f>
        <v>43905.477099546508</v>
      </c>
      <c r="K389" s="4" t="str">
        <f>IF(Panchanga!$P389&gt;15,"K","S")&amp;ROUNDUP(MOD(Panchanga!$P389,15),0)&amp;" ("&amp;ROUND(Panchanga!$P389,2)&amp;")"</f>
        <v>K7 (21.08)</v>
      </c>
      <c r="L389" s="4">
        <f>IF(AND(Panchanga!$P389&lt;28.5,Panchanga!$P389&gt;0.49999),MOD((Panchanga!$P389-0.5)*2,7),MOD((Panchanga!$P389+30-28.5),30)*2+7)</f>
        <v>6.1666000000000025</v>
      </c>
      <c r="M389" s="4" t="str">
        <f>CHOOSE(ROUNDUP(Panchanga!$L389,0),"Bhava","Baalava","Kaulava","Taitula","Garija","Vanija","Vishti","Shakuni","Chatushapda","Naaga","Kimstugna")</f>
        <v>Vishti</v>
      </c>
      <c r="N389" s="11" t="str">
        <f>CHOOSE(ROUNDUP(Panchanga!$Q389,0),"viṣkambha","prīti","āyuṣmāna","saubhāgya","śobhana","atigaṇḍa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("&amp;Panchanga!$Q389&amp;")"</f>
        <v>vajra (14.59)</v>
      </c>
      <c r="O389" s="4">
        <f>IF(AND(Panchanga!$P389&lt;28.5,Panchanga!$P389&gt;0.49999),MOD((Panchanga!$P389-0.5)*2,7),MOD((Panchanga!$P389+30-28.5),30)*2+7)</f>
        <v>6.1666000000000025</v>
      </c>
      <c r="P389" s="4">
        <f>ROUNDUP(MOD(360+P[Moon]-P[Sun],360)/12,4)</f>
        <v>21.083300000000001</v>
      </c>
      <c r="Q389" s="4">
        <f>ROUNDUP(MOD(P[Sun]+P[Moon],360)/13.333333333,2)</f>
        <v>14.59</v>
      </c>
      <c r="R389" s="4" t="str">
        <f>SIGN(U390-Panchanga!$U389)*INT(Panchanga!$U389/30+1)&amp;"Ma,"&amp;SIGN(V390-Panchanga!$V389)*INT(Panchanga!$V389/30+1)&amp;"Me,"&amp;SIGN(W390-Panchanga!$W389)*INT(Panchanga!$W389/30+1)&amp;"J, "&amp;SIGN(X390-Panchanga!$X389)*INT(Panchanga!$X389/30+1)&amp;"V,"&amp;SIGN(Y390-Panchanga!$Y389)*INT(Panchanga!$Y389/30+1)&amp;"S,"&amp;INT(Panchanga!$Z389/30+1)&amp;"R"</f>
        <v>9Ma,11Me,9J, 1V,10S,3R</v>
      </c>
      <c r="S389" s="4">
        <f t="shared" si="61"/>
        <v>330.76431580906768</v>
      </c>
      <c r="T389" s="4">
        <f t="shared" si="62"/>
        <v>223.76330467202183</v>
      </c>
      <c r="U389" s="4">
        <f>Planet(Panchanga!$E389,4)</f>
        <v>264.89759023608315</v>
      </c>
      <c r="V389" s="4">
        <f>Planet(Panchanga!$E389,2)</f>
        <v>305.22218740220046</v>
      </c>
      <c r="W389" s="4">
        <f>Planet(Panchanga!$E389,5)</f>
        <v>267.83490593876701</v>
      </c>
      <c r="X389" s="4">
        <f>Planet(Panchanga!$E389,3)</f>
        <v>16.505317123637308</v>
      </c>
      <c r="Y389" s="4">
        <f>Planet(Panchanga!$E389,6)</f>
        <v>275.30066565737451</v>
      </c>
      <c r="Z389" s="4">
        <f>Planet(Panchanga!$E389,10)</f>
        <v>70.184104609329893</v>
      </c>
      <c r="AA389" s="4" t="str">
        <f>TEXT(Panchanga!$C389+($C390-Panchanga!$C389)/ABS(IF($P390&lt;1,$P390+30,$P390)-Panchanga!$P389)*(ROUNDUP(Panchanga!$P389,0)-Panchanga!$P389),"hh:mm AM/PM")</f>
        <v>03:22 AM</v>
      </c>
      <c r="AB389" s="4"/>
    </row>
    <row r="390" spans="1:28" x14ac:dyDescent="0.2">
      <c r="A390" s="3">
        <f t="shared" si="57"/>
        <v>43906</v>
      </c>
      <c r="B390" s="3">
        <f t="shared" si="58"/>
        <v>43906.229166666664</v>
      </c>
      <c r="C390" s="15">
        <f t="shared" si="59"/>
        <v>43906.262016024593</v>
      </c>
      <c r="D390" s="15">
        <f t="shared" si="60"/>
        <v>43905.763308346315</v>
      </c>
      <c r="E390" s="17">
        <f>Panchanga!$C390-TimeZone/24</f>
        <v>43906.032849357929</v>
      </c>
      <c r="F390" s="18" t="str">
        <f>INT(P[Sun]/30)&amp;"s"&amp;ROUNDUP(MOD(P[Sun],30),2)</f>
        <v>11s1.76</v>
      </c>
      <c r="G390" s="18" t="str">
        <f>INT(P[Moon]/30)&amp;"s"&amp;ROUNDUP(MOD(P[Moon],30),2)</f>
        <v>7s27.29</v>
      </c>
      <c r="H390" s="14">
        <f t="shared" si="56"/>
        <v>43906.032849357929</v>
      </c>
      <c r="I390" s="4" t="str">
        <f>naks(P[[#This Row],[Moon]])</f>
        <v>Jyestha</v>
      </c>
      <c r="J390" s="15">
        <f>(C391-P[[#This Row],[SunRise]])/(T391-P[[#This Row],[Moon]])*(13.3333333333333-MOD(P[[#This Row],[Moon]],13.333333333333))+P[[#This Row],[SunRise]]</f>
        <v>43906.469129289697</v>
      </c>
      <c r="K390" s="4" t="str">
        <f>IF(Panchanga!$P390&gt;15,"K","S")&amp;ROUNDUP(MOD(Panchanga!$P390,15),0)&amp;" ("&amp;ROUND(Panchanga!$P390,2)&amp;")"</f>
        <v>K8 (22.13)</v>
      </c>
      <c r="L390" s="4">
        <f>IF(AND(Panchanga!$P390&lt;28.5,Panchanga!$P390&gt;0.49999),MOD((Panchanga!$P390-0.5)*2,7),MOD((Panchanga!$P390+30-28.5),30)*2+7)</f>
        <v>1.2541999999999973</v>
      </c>
      <c r="M390" s="4" t="str">
        <f>CHOOSE(ROUNDUP(Panchanga!$L390,0),"Bhava","Baalava","Kaulava","Taitula","Garija","Vanija","Vishti","Shakuni","Chatushapda","Naaga","Kimstugna")</f>
        <v>Baalava</v>
      </c>
      <c r="N390" s="11" t="str">
        <f>CHOOSE(ROUNDUP(Panchanga!$Q390,0),"viṣkambha","prīti","āyuṣmāna","saubhāgya","śobhana","atigaṇḍa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("&amp;Panchanga!$Q390&amp;")"</f>
        <v>siddhi (15.68)</v>
      </c>
      <c r="O390" s="4">
        <f>IF(AND(Panchanga!$P390&lt;28.5,Panchanga!$P390&gt;0.49999),MOD((Panchanga!$P390-0.5)*2,7),MOD((Panchanga!$P390+30-28.5),30)*2+7)</f>
        <v>1.2541999999999973</v>
      </c>
      <c r="P390" s="4">
        <f>ROUNDUP(MOD(360+P[Moon]-P[Sun],360)/12,4)</f>
        <v>22.127099999999999</v>
      </c>
      <c r="Q390" s="4">
        <f>ROUNDUP(MOD(P[Sun]+P[Moon],360)/13.333333333,2)</f>
        <v>15.68</v>
      </c>
      <c r="R390" s="4" t="str">
        <f>SIGN(U391-Panchanga!$U390)*INT(Panchanga!$U390/30+1)&amp;"Ma,"&amp;SIGN(V391-Panchanga!$V390)*INT(Panchanga!$V390/30+1)&amp;"Me,"&amp;SIGN(W391-Panchanga!$W390)*INT(Panchanga!$W390/30+1)&amp;"J, "&amp;SIGN(X391-Panchanga!$X390)*INT(Panchanga!$X390/30+1)&amp;"V,"&amp;SIGN(Y391-Panchanga!$Y390)*INT(Panchanga!$Y390/30+1)&amp;"S,"&amp;INT(Panchanga!$Z390/30+1)&amp;"R"</f>
        <v>9Ma,11Me,9J, 1V,10S,3R</v>
      </c>
      <c r="S390" s="4">
        <f t="shared" si="61"/>
        <v>331.75993729172797</v>
      </c>
      <c r="T390" s="4">
        <f t="shared" si="62"/>
        <v>237.28474704245707</v>
      </c>
      <c r="U390" s="4">
        <f>Planet(Panchanga!$E390,4)</f>
        <v>265.59113744418221</v>
      </c>
      <c r="V390" s="4">
        <f>Planet(Panchanga!$E390,2)</f>
        <v>305.71047229850683</v>
      </c>
      <c r="W390" s="4">
        <f>Planet(Panchanga!$E390,5)</f>
        <v>267.99432537323861</v>
      </c>
      <c r="X390" s="4">
        <f>Planet(Panchanga!$E390,3)</f>
        <v>17.551579968602429</v>
      </c>
      <c r="Y390" s="4">
        <f>Planet(Panchanga!$E390,6)</f>
        <v>275.3833181071185</v>
      </c>
      <c r="Z390" s="4">
        <f>Planet(Panchanga!$E390,10)</f>
        <v>70.131136955583642</v>
      </c>
      <c r="AA390" s="4" t="str">
        <f>TEXT(Panchanga!$C390+($C391-Panchanga!$C390)/ABS(IF($P391&lt;1,$P391+30,$P391)-Panchanga!$P390)*(ROUNDUP(Panchanga!$P390,0)-Panchanga!$P390),"hh:mm AM/PM")</f>
        <v>03:02 AM</v>
      </c>
      <c r="AB390" s="4"/>
    </row>
    <row r="391" spans="1:28" x14ac:dyDescent="0.2">
      <c r="A391" s="3">
        <f t="shared" si="57"/>
        <v>43907</v>
      </c>
      <c r="B391" s="3">
        <f t="shared" si="58"/>
        <v>43907.229166666664</v>
      </c>
      <c r="C391" s="15">
        <f t="shared" si="59"/>
        <v>43907.261554287434</v>
      </c>
      <c r="D391" s="15">
        <f t="shared" si="60"/>
        <v>43906.763373832262</v>
      </c>
      <c r="E391" s="17">
        <f>Panchanga!$C391-TimeZone/24</f>
        <v>43907.032387620769</v>
      </c>
      <c r="F391" s="18" t="str">
        <f>INT(P[Sun]/30)&amp;"s"&amp;ROUNDUP(MOD(P[Sun],30),2)</f>
        <v>11s2.76</v>
      </c>
      <c r="G391" s="18" t="str">
        <f>INT(P[Moon]/30)&amp;"s"&amp;ROUNDUP(MOD(P[Moon],30),2)</f>
        <v>8s10.39</v>
      </c>
      <c r="H391" s="14">
        <f t="shared" si="56"/>
        <v>43907.032387620769</v>
      </c>
      <c r="I391" s="4" t="str">
        <f>naks(P[[#This Row],[Moon]])</f>
        <v>Moola</v>
      </c>
      <c r="J391" s="15">
        <f>(C392-P[[#This Row],[SunRise]])/(T392-P[[#This Row],[Moon]])*(13.3333333333333-MOD(P[[#This Row],[Moon]],13.333333333333))+P[[#This Row],[SunRise]]</f>
        <v>43907.492406684883</v>
      </c>
      <c r="K391" s="4" t="str">
        <f>IF(Panchanga!$P391&gt;15,"K","S")&amp;ROUNDUP(MOD(Panchanga!$P391,15),0)&amp;" ("&amp;ROUND(Panchanga!$P391,2)&amp;")"</f>
        <v>K9 (23.14)</v>
      </c>
      <c r="L391" s="4">
        <f>IF(AND(Panchanga!$P391&lt;28.5,Panchanga!$P391&gt;0.49999),MOD((Panchanga!$P391-0.5)*2,7),MOD((Panchanga!$P391+30-28.5),30)*2+7)</f>
        <v>3.2723999999999975</v>
      </c>
      <c r="M391" s="4" t="str">
        <f>CHOOSE(ROUNDUP(Panchanga!$L391,0),"Bhava","Baalava","Kaulava","Taitula","Garija","Vanija","Vishti","Shakuni","Chatushapda","Naaga","Kimstugna")</f>
        <v>Taitula</v>
      </c>
      <c r="N391" s="11" t="str">
        <f>CHOOSE(ROUNDUP(Panchanga!$Q391,0),"viṣkambha","prīti","āyuṣmāna","saubhāgya","śobhana","atigaṇḍa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("&amp;Panchanga!$Q391&amp;")"</f>
        <v>vyatipāta (16.74)</v>
      </c>
      <c r="O391" s="4">
        <f>IF(AND(Panchanga!$P391&lt;28.5,Panchanga!$P391&gt;0.49999),MOD((Panchanga!$P391-0.5)*2,7),MOD((Panchanga!$P391+30-28.5),30)*2+7)</f>
        <v>3.2723999999999975</v>
      </c>
      <c r="P391" s="4">
        <f>ROUNDUP(MOD(360+P[Moon]-P[Sun],360)/12,4)</f>
        <v>23.136199999999999</v>
      </c>
      <c r="Q391" s="4">
        <f>ROUNDUP(MOD(P[Sun]+P[Moon],360)/13.333333333,2)</f>
        <v>16.740000000000002</v>
      </c>
      <c r="R391" s="4" t="str">
        <f>SIGN(U392-Panchanga!$U391)*INT(Panchanga!$U391/30+1)&amp;"Ma,"&amp;SIGN(V392-Panchanga!$V391)*INT(Panchanga!$V391/30+1)&amp;"Me,"&amp;SIGN(W392-Panchanga!$W391)*INT(Panchanga!$W391/30+1)&amp;"J, "&amp;SIGN(X392-Panchanga!$X391)*INT(Panchanga!$X391/30+1)&amp;"V,"&amp;SIGN(Y392-Panchanga!$Y391)*INT(Panchanga!$Y391/30+1)&amp;"S,"&amp;INT(Panchanga!$Z391/30+1)&amp;"R"</f>
        <v>9Ma,11Me,9J, 1V,10S,3R</v>
      </c>
      <c r="S391" s="4">
        <f t="shared" si="61"/>
        <v>332.75508922481322</v>
      </c>
      <c r="T391" s="4">
        <f t="shared" si="62"/>
        <v>250.38868426721382</v>
      </c>
      <c r="U391" s="4">
        <f>Planet(Panchanga!$E391,4)</f>
        <v>266.28486342269008</v>
      </c>
      <c r="V391" s="4">
        <f>Planet(Panchanga!$E391,2)</f>
        <v>306.27349029738741</v>
      </c>
      <c r="W391" s="4">
        <f>Planet(Panchanga!$E391,5)</f>
        <v>268.1518356175693</v>
      </c>
      <c r="X391" s="4">
        <f>Planet(Panchanga!$E391,3)</f>
        <v>18.592271908106284</v>
      </c>
      <c r="Y391" s="4">
        <f>Planet(Panchanga!$E391,6)</f>
        <v>275.46484260585811</v>
      </c>
      <c r="Z391" s="4">
        <f>Planet(Panchanga!$E391,10)</f>
        <v>70.078169428160564</v>
      </c>
      <c r="AA391" s="4" t="str">
        <f>TEXT(Panchanga!$C391+($C392-Panchanga!$C391)/ABS(IF($P392&lt;1,$P392+30,$P392)-Panchanga!$P391)*(ROUNDUP(Panchanga!$P391,0)-Panchanga!$P391),"hh:mm AM/PM")</f>
        <v>03:25 AM</v>
      </c>
      <c r="AB391" s="4"/>
    </row>
    <row r="392" spans="1:28" x14ac:dyDescent="0.2">
      <c r="A392" s="3">
        <f t="shared" si="57"/>
        <v>43908</v>
      </c>
      <c r="B392" s="3">
        <f t="shared" si="58"/>
        <v>43908.229166666664</v>
      </c>
      <c r="C392" s="15">
        <f t="shared" si="59"/>
        <v>43908.261090483669</v>
      </c>
      <c r="D392" s="15">
        <f t="shared" si="60"/>
        <v>43907.763437410395</v>
      </c>
      <c r="E392" s="17">
        <f>Panchanga!$C392-TimeZone/24</f>
        <v>43908.031923817005</v>
      </c>
      <c r="F392" s="18" t="str">
        <f>INT(P[Sun]/30)&amp;"s"&amp;ROUNDUP(MOD(P[Sun],30),2)</f>
        <v>11s3.75</v>
      </c>
      <c r="G392" s="18" t="str">
        <f>INT(P[Moon]/30)&amp;"s"&amp;ROUNDUP(MOD(P[Moon],30),2)</f>
        <v>8s23.14</v>
      </c>
      <c r="H392" s="14">
        <f t="shared" si="56"/>
        <v>43908.031923817005</v>
      </c>
      <c r="I392" s="4" t="str">
        <f>naks(P[[#This Row],[Moon]])</f>
        <v>Purva Asadha</v>
      </c>
      <c r="J392" s="15">
        <f>(C393-P[[#This Row],[SunRise]])/(T393-P[[#This Row],[Moon]])*(13.3333333333333-MOD(P[[#This Row],[Moon]],13.333333333333))+P[[#This Row],[SunRise]]</f>
        <v>43908.543999734604</v>
      </c>
      <c r="K392" s="4" t="str">
        <f>IF(Panchanga!$P392&gt;15,"K","S")&amp;ROUNDUP(MOD(Panchanga!$P392,15),0)&amp;" ("&amp;ROUND(Panchanga!$P392,2)&amp;")"</f>
        <v>K10 (24.12)</v>
      </c>
      <c r="L392" s="4">
        <f>IF(AND(Panchanga!$P392&lt;28.5,Panchanga!$P392&gt;0.49999),MOD((Panchanga!$P392-0.5)*2,7),MOD((Panchanga!$P392+30-28.5),30)*2+7)</f>
        <v>5.2316000000000003</v>
      </c>
      <c r="M392" s="4" t="str">
        <f>CHOOSE(ROUNDUP(Panchanga!$L392,0),"Bhava","Baalava","Kaulava","Taitula","Garija","Vanija","Vishti","Shakuni","Chatushapda","Naaga","Kimstugna")</f>
        <v>Vanija</v>
      </c>
      <c r="N392" s="11" t="str">
        <f>CHOOSE(ROUNDUP(Panchanga!$Q392,0),"viṣkambha","prīti","āyuṣmāna","saubhāgya","śobhana","atigaṇḍa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("&amp;Panchanga!$Q392&amp;")"</f>
        <v>varīyas (17.77)</v>
      </c>
      <c r="O392" s="4">
        <f>IF(AND(Panchanga!$P392&lt;28.5,Panchanga!$P392&gt;0.49999),MOD((Panchanga!$P392-0.5)*2,7),MOD((Panchanga!$P392+30-28.5),30)*2+7)</f>
        <v>5.2316000000000003</v>
      </c>
      <c r="P392" s="4">
        <f>ROUNDUP(MOD(360+P[Moon]-P[Sun],360)/12,4)</f>
        <v>24.1158</v>
      </c>
      <c r="Q392" s="4">
        <f>ROUNDUP(MOD(P[Sun]+P[Moon],360)/13.333333333,2)</f>
        <v>17.770000000000003</v>
      </c>
      <c r="R392" s="4" t="str">
        <f>SIGN(U393-Panchanga!$U392)*INT(Panchanga!$U392/30+1)&amp;"Ma,"&amp;SIGN(V393-Panchanga!$V392)*INT(Panchanga!$V392/30+1)&amp;"Me,"&amp;SIGN(W393-Panchanga!$W392)*INT(Panchanga!$W392/30+1)&amp;"J, "&amp;SIGN(X393-Panchanga!$X392)*INT(Panchanga!$X392/30+1)&amp;"V,"&amp;SIGN(Y393-Panchanga!$Y392)*INT(Panchanga!$Y392/30+1)&amp;"S,"&amp;INT(Panchanga!$Z392/30+1)&amp;"R"</f>
        <v>9Ma,11Me,9J, 1V,10S,3R</v>
      </c>
      <c r="S392" s="4">
        <f t="shared" si="61"/>
        <v>333.74976647898819</v>
      </c>
      <c r="T392" s="4">
        <f t="shared" si="62"/>
        <v>263.13831718997227</v>
      </c>
      <c r="U392" s="4">
        <f>Planet(Panchanga!$E392,4)</f>
        <v>266.97875098109552</v>
      </c>
      <c r="V392" s="4">
        <f>Planet(Panchanga!$E392,2)</f>
        <v>306.90657744718754</v>
      </c>
      <c r="W392" s="4">
        <f>Planet(Panchanga!$E392,5)</f>
        <v>268.30740573700905</v>
      </c>
      <c r="X392" s="4">
        <f>Planet(Panchanga!$E392,3)</f>
        <v>19.627238733921111</v>
      </c>
      <c r="Y392" s="4">
        <f>Planet(Panchanga!$E392,6)</f>
        <v>275.54522165263813</v>
      </c>
      <c r="Z392" s="4">
        <f>Planet(Panchanga!$E392,10)</f>
        <v>70.025202010226607</v>
      </c>
      <c r="AA392" s="4" t="str">
        <f>TEXT(Panchanga!$C392+($C393-Panchanga!$C392)/ABS(IF($P393&lt;1,$P393+30,$P393)-Panchanga!$P392)*(ROUNDUP(Panchanga!$P392,0)-Panchanga!$P392),"hh:mm AM/PM")</f>
        <v>04:27 AM</v>
      </c>
      <c r="AB392" s="4"/>
    </row>
    <row r="393" spans="1:28" x14ac:dyDescent="0.2">
      <c r="A393" s="3">
        <f t="shared" si="57"/>
        <v>43909</v>
      </c>
      <c r="B393" s="3">
        <f t="shared" si="58"/>
        <v>43909.229166666664</v>
      </c>
      <c r="C393" s="15">
        <f t="shared" si="59"/>
        <v>43909.260624931812</v>
      </c>
      <c r="D393" s="15">
        <f t="shared" si="60"/>
        <v>43908.763499081178</v>
      </c>
      <c r="E393" s="17">
        <f>Panchanga!$C393-TimeZone/24</f>
        <v>43909.031458265148</v>
      </c>
      <c r="F393" s="18" t="str">
        <f>INT(P[Sun]/30)&amp;"s"&amp;ROUNDUP(MOD(P[Sun],30),2)</f>
        <v>11s4.75</v>
      </c>
      <c r="G393" s="18" t="str">
        <f>INT(P[Moon]/30)&amp;"s"&amp;ROUNDUP(MOD(P[Moon],30),2)</f>
        <v>9s5.61</v>
      </c>
      <c r="H393" s="14">
        <f t="shared" si="56"/>
        <v>43909.031458265148</v>
      </c>
      <c r="I393" s="4" t="str">
        <f>naks(P[[#This Row],[Moon]])</f>
        <v>Uttara Asadha</v>
      </c>
      <c r="J393" s="15">
        <f>(C394-P[[#This Row],[SunRise]])/(T394-P[[#This Row],[Moon]])*(13.3333333333333-MOD(P[[#This Row],[Moon]],13.333333333333))+P[[#This Row],[SunRise]]</f>
        <v>43909.619292183801</v>
      </c>
      <c r="K393" s="4" t="str">
        <f>IF(Panchanga!$P393&gt;15,"K","S")&amp;ROUNDUP(MOD(Panchanga!$P393,15),0)&amp;" ("&amp;ROUND(Panchanga!$P393,2)&amp;")"</f>
        <v>K11 (25.07)</v>
      </c>
      <c r="L393" s="4">
        <f>IF(AND(Panchanga!$P393&lt;28.5,Panchanga!$P393&gt;0.49999),MOD((Panchanga!$P393-0.5)*2,7),MOD((Panchanga!$P393+30-28.5),30)*2+7)</f>
        <v>0.14339999999999975</v>
      </c>
      <c r="M393" s="4" t="str">
        <f>CHOOSE(ROUNDUP(Panchanga!$L393,0),"Bhava","Baalava","Kaulava","Taitula","Garija","Vanija","Vishti","Shakuni","Chatushapda","Naaga","Kimstugna")</f>
        <v>Bhava</v>
      </c>
      <c r="N393" s="11" t="str">
        <f>CHOOSE(ROUNDUP(Panchanga!$Q393,0),"viṣkambha","prīti","āyuṣmāna","saubhāgya","śobhana","atigaṇḍa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("&amp;Panchanga!$Q393&amp;")"</f>
        <v>parigha (18.78)</v>
      </c>
      <c r="O393" s="4">
        <f>IF(AND(Panchanga!$P393&lt;28.5,Panchanga!$P393&gt;0.49999),MOD((Panchanga!$P393-0.5)*2,7),MOD((Panchanga!$P393+30-28.5),30)*2+7)</f>
        <v>0.14339999999999975</v>
      </c>
      <c r="P393" s="4">
        <f>ROUNDUP(MOD(360+P[Moon]-P[Sun],360)/12,4)</f>
        <v>25.0717</v>
      </c>
      <c r="Q393" s="4">
        <f>ROUNDUP(MOD(P[Sun]+P[Moon],360)/13.333333333,2)</f>
        <v>18.78</v>
      </c>
      <c r="R393" s="4" t="str">
        <f>SIGN(U394-Panchanga!$U393)*INT(Panchanga!$U393/30+1)&amp;"Ma,"&amp;SIGN(V394-Panchanga!$V393)*INT(Panchanga!$V393/30+1)&amp;"Me,"&amp;SIGN(W394-Panchanga!$W393)*INT(Panchanga!$W393/30+1)&amp;"J, "&amp;SIGN(X394-Panchanga!$X393)*INT(Panchanga!$X393/30+1)&amp;"V,"&amp;SIGN(Y394-Panchanga!$Y393)*INT(Panchanga!$Y393/30+1)&amp;"S,"&amp;INT(Panchanga!$Z393/30+1)&amp;"R"</f>
        <v>9Ma,11Me,9J, 1V,10S,3R</v>
      </c>
      <c r="S393" s="4">
        <f t="shared" si="61"/>
        <v>334.74396111748666</v>
      </c>
      <c r="T393" s="4">
        <f t="shared" si="62"/>
        <v>275.60417624323168</v>
      </c>
      <c r="U393" s="4">
        <f>Planet(Panchanga!$E393,4)</f>
        <v>267.6727829641552</v>
      </c>
      <c r="V393" s="4">
        <f>Planet(Panchanga!$E393,2)</f>
        <v>307.60534323726171</v>
      </c>
      <c r="W393" s="4">
        <f>Planet(Panchanga!$E393,5)</f>
        <v>268.46100479745405</v>
      </c>
      <c r="X393" s="4">
        <f>Planet(Panchanga!$E393,3)</f>
        <v>20.656315571014062</v>
      </c>
      <c r="Y393" s="4">
        <f>Planet(Panchanga!$E393,6)</f>
        <v>275.62443785339917</v>
      </c>
      <c r="Z393" s="4">
        <f>Planet(Panchanga!$E393,10)</f>
        <v>69.972234684964761</v>
      </c>
      <c r="AA393" s="4" t="str">
        <f>TEXT(Panchanga!$C393+($C394-Panchanga!$C393)/ABS(IF($P394&lt;1,$P394+30,$P394)-Panchanga!$P393)*(ROUNDUP(Panchanga!$P393,0)-Panchanga!$P393),"hh:mm AM/PM")</f>
        <v>05:59 AM</v>
      </c>
      <c r="AB393" s="4"/>
    </row>
    <row r="394" spans="1:28" x14ac:dyDescent="0.2">
      <c r="A394" s="3">
        <f t="shared" si="57"/>
        <v>43910</v>
      </c>
      <c r="B394" s="3">
        <f t="shared" si="58"/>
        <v>43910.229166666664</v>
      </c>
      <c r="C394" s="15">
        <f t="shared" si="59"/>
        <v>43910.260157790188</v>
      </c>
      <c r="D394" s="15">
        <f t="shared" si="60"/>
        <v>43909.76355916266</v>
      </c>
      <c r="E394" s="17">
        <f>Panchanga!$C394-TimeZone/24</f>
        <v>43910.030991123524</v>
      </c>
      <c r="F394" s="18" t="str">
        <f>INT(P[Sun]/30)&amp;"s"&amp;ROUNDUP(MOD(P[Sun],30),2)</f>
        <v>11s5.74</v>
      </c>
      <c r="G394" s="18" t="str">
        <f>INT(P[Moon]/30)&amp;"s"&amp;ROUNDUP(MOD(P[Moon],30),2)</f>
        <v>9s17.86</v>
      </c>
      <c r="H394" s="14">
        <f t="shared" ref="H394:H457" si="63">E394</f>
        <v>43910.030991123524</v>
      </c>
      <c r="I394" s="4" t="str">
        <f>naks(P[[#This Row],[Moon]])</f>
        <v>Sravana</v>
      </c>
      <c r="J394" s="15">
        <f>(C395-P[[#This Row],[SunRise]])/(T395-P[[#This Row],[Moon]])*(13.3333333333333-MOD(P[[#This Row],[Moon]],13.333333333333))+P[[#This Row],[SunRise]]</f>
        <v>43910.712948809181</v>
      </c>
      <c r="K394" s="4" t="str">
        <f>IF(Panchanga!$P394&gt;15,"K","S")&amp;ROUNDUP(MOD(Panchanga!$P394,15),0)&amp;" ("&amp;ROUND(Panchanga!$P394,2)&amp;")"</f>
        <v>K12 (26.01)</v>
      </c>
      <c r="L394" s="4">
        <f>IF(AND(Panchanga!$P394&lt;28.5,Panchanga!$P394&gt;0.49999),MOD((Panchanga!$P394-0.5)*2,7),MOD((Panchanga!$P394+30-28.5),30)*2+7)</f>
        <v>2.019599999999997</v>
      </c>
      <c r="M394" s="4" t="str">
        <f>CHOOSE(ROUNDUP(Panchanga!$L394,0),"Bhava","Baalava","Kaulava","Taitula","Garija","Vanija","Vishti","Shakuni","Chatushapda","Naaga","Kimstugna")</f>
        <v>Kaulava</v>
      </c>
      <c r="N394" s="11" t="str">
        <f>CHOOSE(ROUNDUP(Panchanga!$Q394,0),"viṣkambha","prīti","āyuṣmāna","saubhāgya","śobhana","atigaṇḍa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("&amp;Panchanga!$Q394&amp;")"</f>
        <v>śiva (19.77)</v>
      </c>
      <c r="O394" s="4">
        <f>IF(AND(Panchanga!$P394&lt;28.5,Panchanga!$P394&gt;0.49999),MOD((Panchanga!$P394-0.5)*2,7),MOD((Panchanga!$P394+30-28.5),30)*2+7)</f>
        <v>2.019599999999997</v>
      </c>
      <c r="P394" s="4">
        <f>ROUNDUP(MOD(360+P[Moon]-P[Sun],360)/12,4)</f>
        <v>26.009799999999998</v>
      </c>
      <c r="Q394" s="4">
        <f>ROUNDUP(MOD(P[Sun]+P[Moon],360)/13.333333333,2)</f>
        <v>19.770000000000003</v>
      </c>
      <c r="R394" s="4" t="str">
        <f>SIGN(U395-Panchanga!$U394)*INT(Panchanga!$U394/30+1)&amp;"Ma,"&amp;SIGN(V395-Panchanga!$V394)*INT(Panchanga!$V394/30+1)&amp;"Me,"&amp;SIGN(W395-Panchanga!$W394)*INT(Panchanga!$W394/30+1)&amp;"J, "&amp;SIGN(X395-Panchanga!$X394)*INT(Panchanga!$X394/30+1)&amp;"V,"&amp;SIGN(Y395-Panchanga!$Y394)*INT(Panchanga!$Y394/30+1)&amp;"S,"&amp;INT(Panchanga!$Z394/30+1)&amp;"R"</f>
        <v>9Ma,11Me,9J, 1V,10S,3R</v>
      </c>
      <c r="S394" s="4">
        <f t="shared" si="61"/>
        <v>335.73766295668662</v>
      </c>
      <c r="T394" s="4">
        <f t="shared" si="62"/>
        <v>287.85444514888582</v>
      </c>
      <c r="U394" s="4">
        <f>Planet(Panchanga!$E394,4)</f>
        <v>268.36694246274897</v>
      </c>
      <c r="V394" s="4">
        <f>Planet(Panchanga!$E394,2)</f>
        <v>308.36568840298634</v>
      </c>
      <c r="W394" s="4">
        <f>Planet(Panchanga!$E394,5)</f>
        <v>268.61260197463224</v>
      </c>
      <c r="X394" s="4">
        <f>Planet(Panchanga!$E394,3)</f>
        <v>21.679326703809796</v>
      </c>
      <c r="Y394" s="4">
        <f>Planet(Panchanga!$E394,6)</f>
        <v>275.70247399104539</v>
      </c>
      <c r="Z394" s="4">
        <f>Planet(Panchanga!$E394,10)</f>
        <v>69.919267443957793</v>
      </c>
      <c r="AA394" s="4" t="str">
        <f>TEXT(Panchanga!$C394+($C395-Panchanga!$C394)/ABS(IF($P395&lt;1,$P395+30,$P395)-Panchanga!$P394)*(ROUNDUP(Panchanga!$P394,0)-Panchanga!$P394),"hh:mm AM/PM")</f>
        <v>07:55 AM</v>
      </c>
      <c r="AB394" s="4"/>
    </row>
    <row r="395" spans="1:28" x14ac:dyDescent="0.2">
      <c r="A395" s="3">
        <f t="shared" ref="A395:A458" si="64">A394+1</f>
        <v>43911</v>
      </c>
      <c r="B395" s="3">
        <f t="shared" si="58"/>
        <v>43911.229166666664</v>
      </c>
      <c r="C395" s="15">
        <f t="shared" si="59"/>
        <v>43911.259689218517</v>
      </c>
      <c r="D395" s="15">
        <f t="shared" si="60"/>
        <v>43910.763617972887</v>
      </c>
      <c r="E395" s="17">
        <f>Panchanga!$C395-TimeZone/24</f>
        <v>43911.030522551853</v>
      </c>
      <c r="F395" s="18" t="str">
        <f>INT(P[Sun]/30)&amp;"s"&amp;ROUNDUP(MOD(P[Sun],30),2)</f>
        <v>11s6.74</v>
      </c>
      <c r="G395" s="18" t="str">
        <f>INT(P[Moon]/30)&amp;"s"&amp;ROUNDUP(MOD(P[Moon],30),2)</f>
        <v>9s29.95</v>
      </c>
      <c r="H395" s="14">
        <f t="shared" si="63"/>
        <v>43911.030522551853</v>
      </c>
      <c r="I395" s="4" t="str">
        <f>naks(P[[#This Row],[Moon]])</f>
        <v>Dhanistha</v>
      </c>
      <c r="J395" s="15">
        <f>(C396-P[[#This Row],[SunRise]])/(T396-P[[#This Row],[Moon]])*(13.3333333333333-MOD(P[[#This Row],[Moon]],13.333333333333))+P[[#This Row],[SunRise]]</f>
        <v>43911.819797974465</v>
      </c>
      <c r="K395" s="4" t="str">
        <f>IF(Panchanga!$P395&gt;15,"K","S")&amp;ROUNDUP(MOD(Panchanga!$P395,15),0)&amp;" ("&amp;ROUND(Panchanga!$P395,2)&amp;")"</f>
        <v>K12 (26.93)</v>
      </c>
      <c r="L395" s="4">
        <f>IF(AND(Panchanga!$P395&lt;28.5,Panchanga!$P395&gt;0.49999),MOD((Panchanga!$P395-0.5)*2,7),MOD((Panchanga!$P395+30-28.5),30)*2+7)</f>
        <v>3.8697999999999979</v>
      </c>
      <c r="M395" s="4" t="str">
        <f>CHOOSE(ROUNDUP(Panchanga!$L395,0),"Bhava","Baalava","Kaulava","Taitula","Garija","Vanija","Vishti","Shakuni","Chatushapda","Naaga","Kimstugna")</f>
        <v>Taitula</v>
      </c>
      <c r="N395" s="11" t="str">
        <f>CHOOSE(ROUNDUP(Panchanga!$Q395,0),"viṣkambha","prīti","āyuṣmāna","saubhāgya","śobhana","atigaṇḍa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("&amp;Panchanga!$Q395&amp;")"</f>
        <v>siddha (20.76)</v>
      </c>
      <c r="O395" s="4">
        <f>IF(AND(Panchanga!$P395&lt;28.5,Panchanga!$P395&gt;0.49999),MOD((Panchanga!$P395-0.5)*2,7),MOD((Panchanga!$P395+30-28.5),30)*2+7)</f>
        <v>3.8697999999999979</v>
      </c>
      <c r="P395" s="4">
        <f>ROUNDUP(MOD(360+P[Moon]-P[Sun],360)/12,4)</f>
        <v>26.934899999999999</v>
      </c>
      <c r="Q395" s="4">
        <f>ROUNDUP(MOD(P[Sun]+P[Moon],360)/13.333333333,2)</f>
        <v>20.76</v>
      </c>
      <c r="R395" s="4" t="str">
        <f>SIGN(U396-Panchanga!$U395)*INT(Panchanga!$U395/30+1)&amp;"Ma,"&amp;SIGN(V396-Panchanga!$V395)*INT(Panchanga!$V395/30+1)&amp;"Me,"&amp;SIGN(W396-Panchanga!$W395)*INT(Panchanga!$W395/30+1)&amp;"J, "&amp;SIGN(X396-Panchanga!$X395)*INT(Panchanga!$X395/30+1)&amp;"V,"&amp;SIGN(Y396-Panchanga!$Y395)*INT(Panchanga!$Y395/30+1)&amp;"S,"&amp;INT(Panchanga!$Z395/30+1)&amp;"R"</f>
        <v>9Ma,11Me,9J, 1V,10S,3R</v>
      </c>
      <c r="S395" s="4">
        <f t="shared" si="61"/>
        <v>336.73086026022492</v>
      </c>
      <c r="T395" s="4">
        <f t="shared" si="62"/>
        <v>299.94903338705996</v>
      </c>
      <c r="U395" s="4">
        <f>Planet(Panchanga!$E395,4)</f>
        <v>269.06121308610909</v>
      </c>
      <c r="V395" s="4">
        <f>Planet(Panchanga!$E395,2)</f>
        <v>309.18381118599405</v>
      </c>
      <c r="W395" s="4">
        <f>Planet(Panchanga!$E395,5)</f>
        <v>268.76216666248513</v>
      </c>
      <c r="X395" s="4">
        <f>Planet(Panchanga!$E395,3)</f>
        <v>22.696085748478314</v>
      </c>
      <c r="Y395" s="4">
        <f>Planet(Panchanga!$E395,6)</f>
        <v>275.77931309309474</v>
      </c>
      <c r="Z395" s="4">
        <f>Planet(Panchanga!$E395,10)</f>
        <v>69.866300278706078</v>
      </c>
      <c r="AA395" s="4" t="str">
        <f>TEXT(Panchanga!$C395+($C396-Panchanga!$C395)/ABS(IF($P396&lt;1,$P396+30,$P396)-Panchanga!$P395)*(ROUNDUP(Panchanga!$P395,0)-Panchanga!$P395),"hh:mm AM/PM")</f>
        <v>07:56 AM</v>
      </c>
      <c r="AB395" s="4"/>
    </row>
    <row r="396" spans="1:28" x14ac:dyDescent="0.2">
      <c r="A396" s="3">
        <f t="shared" si="64"/>
        <v>43912</v>
      </c>
      <c r="B396" s="3">
        <f t="shared" si="58"/>
        <v>43912.229166666664</v>
      </c>
      <c r="C396" s="15">
        <f t="shared" si="59"/>
        <v>43912.259219692707</v>
      </c>
      <c r="D396" s="15">
        <f t="shared" si="60"/>
        <v>43911.763675510927</v>
      </c>
      <c r="E396" s="17">
        <f>Panchanga!$C396-TimeZone/24</f>
        <v>43912.030053026043</v>
      </c>
      <c r="F396" s="18" t="str">
        <f>INT(P[Sun]/30)&amp;"s"&amp;ROUNDUP(MOD(P[Sun],30),2)</f>
        <v>11s7.73</v>
      </c>
      <c r="G396" s="18" t="str">
        <f>INT(P[Moon]/30)&amp;"s"&amp;ROUNDUP(MOD(P[Moon],30),2)</f>
        <v>10s11.94</v>
      </c>
      <c r="H396" s="14">
        <f t="shared" si="63"/>
        <v>43912.030053026043</v>
      </c>
      <c r="I396" s="4" t="str">
        <f>naks(P[[#This Row],[Moon]])</f>
        <v>Satabhisaj</v>
      </c>
      <c r="J396" s="15">
        <f>(C397-P[[#This Row],[SunRise]])/(T397-P[[#This Row],[Moon]])*(13.3333333333333-MOD(P[[#This Row],[Moon]],13.333333333333))+P[[#This Row],[SunRise]]</f>
        <v>43912.935407571364</v>
      </c>
      <c r="K396" s="4" t="str">
        <f>IF(Panchanga!$P396&gt;15,"K","S")&amp;ROUNDUP(MOD(Panchanga!$P396,15),0)&amp;" ("&amp;ROUND(Panchanga!$P396,2)&amp;")"</f>
        <v>K13 (27.85)</v>
      </c>
      <c r="L396" s="4">
        <f>IF(AND(Panchanga!$P396&lt;28.5,Panchanga!$P396&gt;0.49999),MOD((Panchanga!$P396-0.5)*2,7),MOD((Panchanga!$P396+30-28.5),30)*2+7)</f>
        <v>5.7023999999999972</v>
      </c>
      <c r="M396" s="4" t="str">
        <f>CHOOSE(ROUNDUP(Panchanga!$L396,0),"Bhava","Baalava","Kaulava","Taitula","Garija","Vanija","Vishti","Shakuni","Chatushapda","Naaga","Kimstugna")</f>
        <v>Vanija</v>
      </c>
      <c r="N396" s="11" t="str">
        <f>CHOOSE(ROUNDUP(Panchanga!$Q396,0),"viṣkambha","prīti","āyuṣmāna","saubhāgya","śobhana","atigaṇḍa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("&amp;Panchanga!$Q396&amp;")"</f>
        <v>sādhya (21.73)</v>
      </c>
      <c r="O396" s="4">
        <f>IF(AND(Panchanga!$P396&lt;28.5,Panchanga!$P396&gt;0.49999),MOD((Panchanga!$P396-0.5)*2,7),MOD((Panchanga!$P396+30-28.5),30)*2+7)</f>
        <v>5.7023999999999972</v>
      </c>
      <c r="P396" s="4">
        <f>ROUNDUP(MOD(360+P[Moon]-P[Sun],360)/12,4)</f>
        <v>27.851199999999999</v>
      </c>
      <c r="Q396" s="4">
        <f>ROUNDUP(MOD(P[Sun]+P[Moon],360)/13.333333333,2)</f>
        <v>21.73</v>
      </c>
      <c r="R396" s="4" t="str">
        <f>SIGN(U397-Panchanga!$U396)*INT(Panchanga!$U396/30+1)&amp;"Ma,"&amp;SIGN(V397-Panchanga!$V396)*INT(Panchanga!$V396/30+1)&amp;"Me,"&amp;SIGN(W397-Panchanga!$W396)*INT(Panchanga!$W396/30+1)&amp;"J, "&amp;SIGN(X397-Panchanga!$X396)*INT(Panchanga!$X396/30+1)&amp;"V,"&amp;SIGN(Y397-Panchanga!$Y396)*INT(Panchanga!$Y396/30+1)&amp;"S,"&amp;INT(Panchanga!$Z396/30+1)&amp;"R"</f>
        <v>9Ma,11Me,9J, 1V,10S,3R</v>
      </c>
      <c r="S396" s="4">
        <f t="shared" si="61"/>
        <v>337.72354041206341</v>
      </c>
      <c r="T396" s="4">
        <f t="shared" si="62"/>
        <v>311.93684665744178</v>
      </c>
      <c r="U396" s="4">
        <f>Planet(Panchanga!$E396,4)</f>
        <v>269.75557926496253</v>
      </c>
      <c r="V396" s="4">
        <f>Planet(Panchanga!$E396,2)</f>
        <v>310.0562053943458</v>
      </c>
      <c r="W396" s="4">
        <f>Planet(Panchanga!$E396,5)</f>
        <v>268.90966857459392</v>
      </c>
      <c r="X396" s="4">
        <f>Planet(Panchanga!$E396,3)</f>
        <v>23.706395852963183</v>
      </c>
      <c r="Y396" s="4">
        <f>Planet(Panchanga!$E396,6)</f>
        <v>275.85493849173969</v>
      </c>
      <c r="Z396" s="4">
        <f>Planet(Panchanga!$E396,10)</f>
        <v>69.813333164041453</v>
      </c>
      <c r="AA396" s="4" t="str">
        <f>TEXT(Panchanga!$C396+($C397-Panchanga!$C396)/ABS(IF($P397&lt;1,$P397+30,$P397)-Panchanga!$P396)*(ROUNDUP(Panchanga!$P396,0)-Panchanga!$P396),"hh:mm AM/PM")</f>
        <v>10:08 AM</v>
      </c>
      <c r="AB396" s="4"/>
    </row>
    <row r="397" spans="1:28" x14ac:dyDescent="0.2">
      <c r="A397" s="3">
        <f t="shared" si="64"/>
        <v>43913</v>
      </c>
      <c r="B397" s="3">
        <f t="shared" si="58"/>
        <v>43913.229166666664</v>
      </c>
      <c r="C397" s="15">
        <f t="shared" si="59"/>
        <v>43913.258749372479</v>
      </c>
      <c r="D397" s="15">
        <f t="shared" si="60"/>
        <v>43912.763731936968</v>
      </c>
      <c r="E397" s="17">
        <f>Panchanga!$C397-TimeZone/24</f>
        <v>43913.029582705814</v>
      </c>
      <c r="F397" s="18" t="str">
        <f>INT(P[Sun]/30)&amp;"s"&amp;ROUNDUP(MOD(P[Sun],30),2)</f>
        <v>11s8.72</v>
      </c>
      <c r="G397" s="18" t="str">
        <f>INT(P[Moon]/30)&amp;"s"&amp;ROUNDUP(MOD(P[Moon],30),2)</f>
        <v>10s23.86</v>
      </c>
      <c r="H397" s="14">
        <f t="shared" si="63"/>
        <v>43913.029582705814</v>
      </c>
      <c r="I397" s="4" t="str">
        <f>naks(P[[#This Row],[Moon]])</f>
        <v>Purva Bhadrapada</v>
      </c>
      <c r="J397" s="15">
        <f>(C398-P[[#This Row],[SunRise]])/(T398-P[[#This Row],[Moon]])*(13.3333333333333-MOD(P[[#This Row],[Moon]],13.333333333333))+P[[#This Row],[SunRise]]</f>
        <v>43914.056262878483</v>
      </c>
      <c r="K397" s="4" t="str">
        <f>IF(Panchanga!$P397&gt;15,"K","S")&amp;ROUNDUP(MOD(Panchanga!$P397,15),0)&amp;" ("&amp;ROUND(Panchanga!$P397,2)&amp;")"</f>
        <v>K14 (28.76)</v>
      </c>
      <c r="L397" s="4">
        <f>IF(AND(Panchanga!$P397&lt;28.5,Panchanga!$P397&gt;0.49999),MOD((Panchanga!$P397-0.5)*2,7),MOD((Panchanga!$P397+30-28.5),30)*2+7)</f>
        <v>7.5234000000000094</v>
      </c>
      <c r="M397" s="4" t="str">
        <f>CHOOSE(ROUNDUP(Panchanga!$L397,0),"Bhava","Baalava","Kaulava","Taitula","Garija","Vanija","Vishti","Shakuni","Chatushapda","Naaga","Kimstugna")</f>
        <v>Shakuni</v>
      </c>
      <c r="N397" s="11" t="str">
        <f>CHOOSE(ROUNDUP(Panchanga!$Q397,0),"viṣkambha","prīti","āyuṣmāna","saubhāgya","śobhana","atigaṇḍa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("&amp;Panchanga!$Q397&amp;")"</f>
        <v>śubha (22.7)</v>
      </c>
      <c r="O397" s="4">
        <f>IF(AND(Panchanga!$P397&lt;28.5,Panchanga!$P397&gt;0.49999),MOD((Panchanga!$P397-0.5)*2,7),MOD((Panchanga!$P397+30-28.5),30)*2+7)</f>
        <v>7.5234000000000094</v>
      </c>
      <c r="P397" s="4">
        <f>ROUNDUP(MOD(360+P[Moon]-P[Sun],360)/12,4)</f>
        <v>28.761700000000001</v>
      </c>
      <c r="Q397" s="4">
        <f>ROUNDUP(MOD(P[Sun]+P[Moon],360)/13.333333333,2)</f>
        <v>22.700000000000003</v>
      </c>
      <c r="R397" s="4" t="str">
        <f>SIGN(U398-Panchanga!$U397)*INT(Panchanga!$U397/30+1)&amp;"Ma,"&amp;SIGN(V398-Panchanga!$V397)*INT(Panchanga!$V397/30+1)&amp;"Me,"&amp;SIGN(W398-Panchanga!$W397)*INT(Panchanga!$W397/30+1)&amp;"J, "&amp;SIGN(X398-Panchanga!$X397)*INT(Panchanga!$X397/30+1)&amp;"V,"&amp;SIGN(Y398-Panchanga!$Y397)*INT(Panchanga!$Y397/30+1)&amp;"S,"&amp;INT(Panchanga!$Z397/30+1)&amp;"R"</f>
        <v>10Ma,11Me,9J, 1V,10S,3R</v>
      </c>
      <c r="S397" s="4">
        <f t="shared" si="61"/>
        <v>338.71568956053773</v>
      </c>
      <c r="T397" s="4">
        <f t="shared" si="62"/>
        <v>323.85566586846488</v>
      </c>
      <c r="U397" s="4">
        <f>Planet(Panchanga!$E397,4)</f>
        <v>270.45002590727137</v>
      </c>
      <c r="V397" s="4">
        <f>Planet(Panchanga!$E397,2)</f>
        <v>310.97965192257288</v>
      </c>
      <c r="W397" s="4">
        <f>Planet(Panchanga!$E397,5)</f>
        <v>269.05507770271316</v>
      </c>
      <c r="X397" s="4">
        <f>Planet(Panchanga!$E397,3)</f>
        <v>24.710048789979339</v>
      </c>
      <c r="Y397" s="4">
        <f>Planet(Panchanga!$E397,6)</f>
        <v>275.92933380811525</v>
      </c>
      <c r="Z397" s="4">
        <f>Planet(Panchanga!$E397,10)</f>
        <v>69.760366091464249</v>
      </c>
      <c r="AA397" s="4" t="str">
        <f>TEXT(Panchanga!$C397+($C398-Panchanga!$C397)/ABS(IF($P398&lt;1,$P398+30,$P398)-Panchanga!$P397)*(ROUNDUP(Panchanga!$P397,0)-Panchanga!$P397),"hh:mm AM/PM")</f>
        <v>12:30 PM</v>
      </c>
      <c r="AB397" s="4"/>
    </row>
    <row r="398" spans="1:28" x14ac:dyDescent="0.2">
      <c r="A398" s="3">
        <f t="shared" si="64"/>
        <v>43914</v>
      </c>
      <c r="B398" s="3">
        <f t="shared" si="58"/>
        <v>43914.229166666664</v>
      </c>
      <c r="C398" s="15">
        <f t="shared" si="59"/>
        <v>43914.258278416157</v>
      </c>
      <c r="D398" s="15">
        <f t="shared" si="60"/>
        <v>43913.763787408869</v>
      </c>
      <c r="E398" s="17">
        <f>Panchanga!$C398-TimeZone/24</f>
        <v>43914.029111749493</v>
      </c>
      <c r="F398" s="18" t="str">
        <f>INT(P[Sun]/30)&amp;"s"&amp;ROUNDUP(MOD(P[Sun],30),2)</f>
        <v>11s9.71</v>
      </c>
      <c r="G398" s="18" t="str">
        <f>INT(P[Moon]/30)&amp;"s"&amp;ROUNDUP(MOD(P[Moon],30),2)</f>
        <v>11s5.74</v>
      </c>
      <c r="H398" s="14">
        <f t="shared" si="63"/>
        <v>43914.029111749493</v>
      </c>
      <c r="I398" s="4" t="str">
        <f>naks(P[[#This Row],[Moon]])</f>
        <v>Uttara Bhadrapada</v>
      </c>
      <c r="J398" s="15">
        <f>(C399-P[[#This Row],[SunRise]])/(T399-P[[#This Row],[Moon]])*(13.3333333333333-MOD(P[[#This Row],[Moon]],13.333333333333))+P[[#This Row],[SunRise]]</f>
        <v>43915.179576507631</v>
      </c>
      <c r="K398" s="4" t="str">
        <f>IF(Panchanga!$P398&gt;15,"K","S")&amp;ROUNDUP(MOD(Panchanga!$P398,15),0)&amp;" ("&amp;ROUND(Panchanga!$P398,2)&amp;")"</f>
        <v>K15 (29.67)</v>
      </c>
      <c r="L398" s="4">
        <f>IF(AND(Panchanga!$P398&lt;28.5,Panchanga!$P398&gt;0.49999),MOD((Panchanga!$P398-0.5)*2,7),MOD((Panchanga!$P398+30-28.5),30)*2+7)</f>
        <v>9.3378000000000014</v>
      </c>
      <c r="M398" s="4" t="str">
        <f>CHOOSE(ROUNDUP(Panchanga!$L398,0),"Bhava","Baalava","Kaulava","Taitula","Garija","Vanija","Vishti","Shakuni","Chatushapda","Naaga","Kimstugna")</f>
        <v>Naaga</v>
      </c>
      <c r="N398" s="11" t="str">
        <f>CHOOSE(ROUNDUP(Panchanga!$Q398,0),"viṣkambha","prīti","āyuṣmāna","saubhāgya","śobhana","atigaṇḍa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("&amp;Panchanga!$Q398&amp;")"</f>
        <v>śukla (23.66)</v>
      </c>
      <c r="O398" s="4">
        <f>IF(AND(Panchanga!$P398&lt;28.5,Panchanga!$P398&gt;0.49999),MOD((Panchanga!$P398-0.5)*2,7),MOD((Panchanga!$P398+30-28.5),30)*2+7)</f>
        <v>9.3378000000000014</v>
      </c>
      <c r="P398" s="4">
        <f>ROUNDUP(MOD(360+P[Moon]-P[Sun],360)/12,4)</f>
        <v>29.668900000000001</v>
      </c>
      <c r="Q398" s="4">
        <f>ROUNDUP(MOD(P[Sun]+P[Moon],360)/13.333333333,2)</f>
        <v>23.66</v>
      </c>
      <c r="R398" s="4" t="str">
        <f>SIGN(U399-Panchanga!$U398)*INT(Panchanga!$U398/30+1)&amp;"Ma,"&amp;SIGN(V399-Panchanga!$V398)*INT(Panchanga!$V398/30+1)&amp;"Me,"&amp;SIGN(W399-Panchanga!$W398)*INT(Panchanga!$W398/30+1)&amp;"J, "&amp;SIGN(X399-Panchanga!$X398)*INT(Panchanga!$X398/30+1)&amp;"V,"&amp;SIGN(Y399-Panchanga!$Y398)*INT(Panchanga!$Y398/30+1)&amp;"S,"&amp;INT(Panchanga!$Z398/30+1)&amp;"R"</f>
        <v>10Ma,11Me,9J, 1V,10S,3R</v>
      </c>
      <c r="S398" s="4">
        <f t="shared" si="61"/>
        <v>339.70729319857327</v>
      </c>
      <c r="T398" s="4">
        <f t="shared" si="62"/>
        <v>335.7340902790362</v>
      </c>
      <c r="U398" s="4">
        <f>Planet(Panchanga!$E398,4)</f>
        <v>271.14453875979916</v>
      </c>
      <c r="V398" s="4">
        <f>Planet(Panchanga!$E398,2)</f>
        <v>311.95120730737494</v>
      </c>
      <c r="W398" s="4">
        <f>Planet(Panchanga!$E398,5)</f>
        <v>269.19836443042965</v>
      </c>
      <c r="X398" s="4">
        <f>Planet(Panchanga!$E398,3)</f>
        <v>25.706824913836101</v>
      </c>
      <c r="Y398" s="4">
        <f>Planet(Panchanga!$E398,6)</f>
        <v>276.00248301734257</v>
      </c>
      <c r="Z398" s="4">
        <f>Planet(Panchanga!$E398,10)</f>
        <v>69.707399052590688</v>
      </c>
      <c r="AA398" s="4" t="str">
        <f>TEXT(Panchanga!$C398+($C399-Panchanga!$C398)/ABS(IF($P399&lt;1,$P399+30,$P399)-Panchanga!$P398)*(ROUNDUP(Panchanga!$P398,0)-Panchanga!$P398),"hh:mm AM/PM")</f>
        <v>02:57 PM</v>
      </c>
      <c r="AB398" s="4"/>
    </row>
    <row r="399" spans="1:28" x14ac:dyDescent="0.2">
      <c r="A399" s="3">
        <f t="shared" si="64"/>
        <v>43915</v>
      </c>
      <c r="B399" s="3">
        <f t="shared" si="58"/>
        <v>43915.229166666664</v>
      </c>
      <c r="C399" s="15">
        <f t="shared" si="59"/>
        <v>43915.257807142254</v>
      </c>
      <c r="D399" s="15">
        <f t="shared" si="60"/>
        <v>43914.763842086351</v>
      </c>
      <c r="E399" s="17">
        <f>Panchanga!$C399-TimeZone/24</f>
        <v>43915.02864047559</v>
      </c>
      <c r="F399" s="18" t="str">
        <f>INT(P[Sun]/30)&amp;"s"&amp;ROUNDUP(MOD(P[Sun],30),2)</f>
        <v>11s10.7</v>
      </c>
      <c r="G399" s="18" t="str">
        <f>INT(P[Moon]/30)&amp;"s"&amp;ROUNDUP(MOD(P[Moon],30),2)</f>
        <v>11s17.6</v>
      </c>
      <c r="H399" s="14">
        <f t="shared" si="63"/>
        <v>43915.02864047559</v>
      </c>
      <c r="I399" s="4" t="str">
        <f>naks(P[[#This Row],[Moon]])</f>
        <v>Revati</v>
      </c>
      <c r="J399" s="15">
        <f>(C400-P[[#This Row],[SunRise]])/(T400-P[[#This Row],[Moon]])*(13.3333333333333-MOD(P[[#This Row],[Moon]],13.333333333333))+P[[#This Row],[SunRise]]</f>
        <v>43916.302837239964</v>
      </c>
      <c r="K399" s="4" t="str">
        <f>IF(Panchanga!$P399&gt;15,"K","S")&amp;ROUNDUP(MOD(Panchanga!$P399,15),0)&amp;" ("&amp;ROUND(Panchanga!$P399,2)&amp;")"</f>
        <v>S1 (0.57)</v>
      </c>
      <c r="L399" s="4">
        <f>IF(AND(Panchanga!$P399&lt;28.5,Panchanga!$P399&gt;0.49999),MOD((Panchanga!$P399-0.5)*2,7),MOD((Panchanga!$P399+30-28.5),30)*2+7)</f>
        <v>0.14959999999999996</v>
      </c>
      <c r="M399" s="4" t="str">
        <f>CHOOSE(ROUNDUP(Panchanga!$L399,0),"Bhava","Baalava","Kaulava","Taitula","Garija","Vanija","Vishti","Shakuni","Chatushapda","Naaga","Kimstugna")</f>
        <v>Bhava</v>
      </c>
      <c r="N399" s="11" t="str">
        <f>CHOOSE(ROUNDUP(Panchanga!$Q399,0),"viṣkambha","prīti","āyuṣmāna","saubhāgya","śobhana","atigaṇḍa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("&amp;Panchanga!$Q399&amp;")"</f>
        <v>brahma (24.63)</v>
      </c>
      <c r="O399" s="4">
        <f>IF(AND(Panchanga!$P399&lt;28.5,Panchanga!$P399&gt;0.49999),MOD((Panchanga!$P399-0.5)*2,7),MOD((Panchanga!$P399+30-28.5),30)*2+7)</f>
        <v>0.14959999999999996</v>
      </c>
      <c r="P399" s="4">
        <f>ROUNDUP(MOD(360+P[Moon]-P[Sun],360)/12,4)</f>
        <v>0.57479999999999998</v>
      </c>
      <c r="Q399" s="4">
        <f>ROUNDUP(MOD(P[Sun]+P[Moon],360)/13.333333333,2)</f>
        <v>24.630000000000003</v>
      </c>
      <c r="R399" s="4" t="str">
        <f>SIGN(U400-Panchanga!$U399)*INT(Panchanga!$U399/30+1)&amp;"Ma,"&amp;SIGN(V400-Panchanga!$V399)*INT(Panchanga!$V399/30+1)&amp;"Me,"&amp;SIGN(W400-Panchanga!$W399)*INT(Panchanga!$W399/30+1)&amp;"J, "&amp;SIGN(X400-Panchanga!$X399)*INT(Panchanga!$X399/30+1)&amp;"V,"&amp;SIGN(Y400-Panchanga!$Y399)*INT(Panchanga!$Y399/30+1)&amp;"S,"&amp;INT(Panchanga!$Z399/30+1)&amp;"R"</f>
        <v>10Ma,11Me,9J, 1V,10S,3R</v>
      </c>
      <c r="S399" s="4">
        <f t="shared" si="61"/>
        <v>340.6983366515741</v>
      </c>
      <c r="T399" s="4">
        <f t="shared" si="62"/>
        <v>347.59498986279419</v>
      </c>
      <c r="U399" s="4">
        <f>Planet(Panchanga!$E399,4)</f>
        <v>271.83910470170667</v>
      </c>
      <c r="V399" s="4">
        <f>Planet(Panchanga!$E399,2)</f>
        <v>312.96818999246881</v>
      </c>
      <c r="W399" s="4">
        <f>Planet(Panchanga!$E399,5)</f>
        <v>269.3394996280914</v>
      </c>
      <c r="X399" s="4">
        <f>Planet(Panchanga!$E399,3)</f>
        <v>26.696492953780183</v>
      </c>
      <c r="Y399" s="4">
        <f>Planet(Panchanga!$E399,6)</f>
        <v>276.0743705035577</v>
      </c>
      <c r="Z399" s="4">
        <f>Planet(Panchanga!$E399,10)</f>
        <v>69.654432030570163</v>
      </c>
      <c r="AA399" s="4" t="str">
        <f>TEXT(Panchanga!$C399+($C400-Panchanga!$C399)/ABS(IF($P400&lt;1,$P400+30,$P400)-Panchanga!$P399)*(ROUNDUP(Panchanga!$P399,0)-Panchanga!$P399),"hh:mm AM/PM")</f>
        <v>05:26 PM</v>
      </c>
      <c r="AB399" s="4"/>
    </row>
    <row r="400" spans="1:28" x14ac:dyDescent="0.2">
      <c r="A400" s="3">
        <f t="shared" si="64"/>
        <v>43916</v>
      </c>
      <c r="B400" s="3">
        <f t="shared" si="58"/>
        <v>43916.229166666664</v>
      </c>
      <c r="C400" s="15">
        <f t="shared" si="59"/>
        <v>43916.257335867886</v>
      </c>
      <c r="D400" s="15">
        <f t="shared" si="60"/>
        <v>43915.763896286531</v>
      </c>
      <c r="E400" s="17">
        <f>Panchanga!$C400-TimeZone/24</f>
        <v>43916.028169201221</v>
      </c>
      <c r="F400" s="18" t="str">
        <f>INT(P[Sun]/30)&amp;"s"&amp;ROUNDUP(MOD(P[Sun],30),2)</f>
        <v>11s11.69</v>
      </c>
      <c r="G400" s="18" t="str">
        <f>INT(P[Moon]/30)&amp;"s"&amp;ROUNDUP(MOD(P[Moon],30),2)</f>
        <v>11s29.46</v>
      </c>
      <c r="H400" s="14">
        <f t="shared" si="63"/>
        <v>43916.028169201221</v>
      </c>
      <c r="I400" s="4" t="str">
        <f>naks(P[[#This Row],[Moon]])</f>
        <v>Revati</v>
      </c>
      <c r="J400" s="15">
        <f>(C401-P[[#This Row],[SunRise]])/(T401-P[[#This Row],[Moon]])*(13.3333333333333-MOD(P[[#This Row],[Moon]],13.333333333333))+P[[#This Row],[SunRise]]</f>
        <v>43916.255784995315</v>
      </c>
      <c r="K400" s="4" t="str">
        <f>IF(Panchanga!$P400&gt;15,"K","S")&amp;ROUNDUP(MOD(Panchanga!$P400,15),0)&amp;" ("&amp;ROUND(Panchanga!$P400,2)&amp;")"</f>
        <v>S2 (1.48)</v>
      </c>
      <c r="L400" s="4">
        <f>IF(AND(Panchanga!$P400&lt;28.5,Panchanga!$P400&gt;0.49999),MOD((Panchanga!$P400-0.5)*2,7),MOD((Panchanga!$P400+30-28.5),30)*2+7)</f>
        <v>1.9620000000000002</v>
      </c>
      <c r="M400" s="4" t="str">
        <f>CHOOSE(ROUNDUP(Panchanga!$L400,0),"Bhava","Baalava","Kaulava","Taitula","Garija","Vanija","Vishti","Shakuni","Chatushapda","Naaga","Kimstugna")</f>
        <v>Baalava</v>
      </c>
      <c r="N400" s="11" t="str">
        <f>CHOOSE(ROUNDUP(Panchanga!$Q400,0),"viṣkambha","prīti","āyuṣmāna","saubhāgya","śobhana","atigaṇḍa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("&amp;Panchanga!$Q400&amp;")"</f>
        <v>mahendra (25.59)</v>
      </c>
      <c r="O400" s="4">
        <f>IF(AND(Panchanga!$P400&lt;28.5,Panchanga!$P400&gt;0.49999),MOD((Panchanga!$P400-0.5)*2,7),MOD((Panchanga!$P400+30-28.5),30)*2+7)</f>
        <v>1.9620000000000002</v>
      </c>
      <c r="P400" s="4">
        <f>ROUNDUP(MOD(360+P[Moon]-P[Sun],360)/12,4)</f>
        <v>1.4810000000000001</v>
      </c>
      <c r="Q400" s="4">
        <f>ROUNDUP(MOD(P[Sun]+P[Moon],360)/13.333333333,2)</f>
        <v>25.59</v>
      </c>
      <c r="R400" s="4" t="str">
        <f>SIGN(U401-Panchanga!$U400)*INT(Panchanga!$U400/30+1)&amp;"Ma,"&amp;SIGN(V401-Panchanga!$V400)*INT(Panchanga!$V400/30+1)&amp;"Me,"&amp;SIGN(W401-Panchanga!$W400)*INT(Panchanga!$W400/30+1)&amp;"J, "&amp;SIGN(X401-Panchanga!$X400)*INT(Panchanga!$X400/30+1)&amp;"V,"&amp;SIGN(Y401-Panchanga!$Y400)*INT(Panchanga!$Y400/30+1)&amp;"S,"&amp;INT(Panchanga!$Z400/30+1)&amp;"R"</f>
        <v>10Ma,11Me,9J, 1V,10S,3R</v>
      </c>
      <c r="S400" s="4">
        <f t="shared" si="61"/>
        <v>341.6888053093129</v>
      </c>
      <c r="T400" s="4">
        <f t="shared" si="62"/>
        <v>359.45987681777927</v>
      </c>
      <c r="U400" s="4">
        <f>Planet(Panchanga!$E400,4)</f>
        <v>272.53371180776338</v>
      </c>
      <c r="V400" s="4">
        <f>Planet(Panchanga!$E400,2)</f>
        <v>314.02816509742593</v>
      </c>
      <c r="W400" s="4">
        <f>Planet(Panchanga!$E400,5)</f>
        <v>269.47845469535287</v>
      </c>
      <c r="X400" s="4">
        <f>Planet(Panchanga!$E400,3)</f>
        <v>27.678809566849075</v>
      </c>
      <c r="Y400" s="4">
        <f>Planet(Panchanga!$E400,6)</f>
        <v>276.14498108685984</v>
      </c>
      <c r="Z400" s="4">
        <f>Planet(Panchanga!$E400,10)</f>
        <v>69.601465008535698</v>
      </c>
      <c r="AA400" s="4" t="str">
        <f>TEXT(Panchanga!$C400+($C401-Panchanga!$C400)/ABS(IF($P401&lt;1,$P401+30,$P401)-Panchanga!$P400)*(ROUNDUP(Panchanga!$P400,0)-Panchanga!$P400),"hh:mm AM/PM")</f>
        <v>07:52 PM</v>
      </c>
      <c r="AB400" s="4"/>
    </row>
    <row r="401" spans="1:28" x14ac:dyDescent="0.2">
      <c r="A401" s="3">
        <f t="shared" si="64"/>
        <v>43917</v>
      </c>
      <c r="B401" s="3">
        <f t="shared" si="58"/>
        <v>43917.229166666664</v>
      </c>
      <c r="C401" s="15">
        <f t="shared" si="59"/>
        <v>43917.256864593983</v>
      </c>
      <c r="D401" s="15">
        <f t="shared" si="60"/>
        <v>43916.763949851549</v>
      </c>
      <c r="E401" s="17">
        <f>Panchanga!$C401-TimeZone/24</f>
        <v>43917.027697927319</v>
      </c>
      <c r="F401" s="18" t="str">
        <f>INT(P[Sun]/30)&amp;"s"&amp;ROUNDUP(MOD(P[Sun],30),2)</f>
        <v>11s12.68</v>
      </c>
      <c r="G401" s="18" t="str">
        <f>INT(P[Moon]/30)&amp;"s"&amp;ROUNDUP(MOD(P[Moon],30),2)</f>
        <v>0s11.36</v>
      </c>
      <c r="H401" s="14">
        <f t="shared" si="63"/>
        <v>43917.027697927319</v>
      </c>
      <c r="I401" s="4" t="str">
        <f>naks(P[[#This Row],[Moon]])</f>
        <v>Aswini</v>
      </c>
      <c r="J401" s="15">
        <f>(C402-P[[#This Row],[SunRise]])/(T402-P[[#This Row],[Moon]])*(13.3333333333333-MOD(P[[#This Row],[Moon]],13.333333333333))+P[[#This Row],[SunRise]]</f>
        <v>43917.422401862139</v>
      </c>
      <c r="K401" s="4" t="str">
        <f>IF(Panchanga!$P401&gt;15,"K","S")&amp;ROUNDUP(MOD(Panchanga!$P401,15),0)&amp;" ("&amp;ROUND(Panchanga!$P401,2)&amp;")"</f>
        <v>S3 (2.39)</v>
      </c>
      <c r="L401" s="4">
        <f>IF(AND(Panchanga!$P401&lt;28.5,Panchanga!$P401&gt;0.49999),MOD((Panchanga!$P401-0.5)*2,7),MOD((Panchanga!$P401+30-28.5),30)*2+7)</f>
        <v>3.7792000000000003</v>
      </c>
      <c r="M401" s="4" t="str">
        <f>CHOOSE(ROUNDUP(Panchanga!$L401,0),"Bhava","Baalava","Kaulava","Taitula","Garija","Vanija","Vishti","Shakuni","Chatushapda","Naaga","Kimstugna")</f>
        <v>Taitula</v>
      </c>
      <c r="N401" s="11" t="str">
        <f>CHOOSE(ROUNDUP(Panchanga!$Q401,0),"viṣkambha","prīti","āyuṣmāna","saubhāgya","śobhana","atigaṇḍa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("&amp;Panchanga!$Q401&amp;")"</f>
        <v>vaidhṛti (26.56)</v>
      </c>
      <c r="O401" s="4">
        <f>IF(AND(Panchanga!$P401&lt;28.5,Panchanga!$P401&gt;0.49999),MOD((Panchanga!$P401-0.5)*2,7),MOD((Panchanga!$P401+30-28.5),30)*2+7)</f>
        <v>3.7792000000000003</v>
      </c>
      <c r="P401" s="4">
        <f>ROUNDUP(MOD(360+P[Moon]-P[Sun],360)/12,4)</f>
        <v>2.3896000000000002</v>
      </c>
      <c r="Q401" s="4">
        <f>ROUNDUP(MOD(P[Sun]+P[Moon],360)/13.333333333,2)</f>
        <v>26.560000000000002</v>
      </c>
      <c r="R401" s="4" t="str">
        <f>SIGN(U402-Panchanga!$U401)*INT(Panchanga!$U401/30+1)&amp;"Ma,"&amp;SIGN(V402-Panchanga!$V401)*INT(Panchanga!$V401/30+1)&amp;"Me,"&amp;SIGN(W402-Panchanga!$W401)*INT(Panchanga!$W401/30+1)&amp;"J, "&amp;SIGN(X402-Panchanga!$X401)*INT(Panchanga!$X401/30+1)&amp;"V,"&amp;SIGN(Y402-Panchanga!$Y401)*INT(Panchanga!$Y401/30+1)&amp;"S,"&amp;INT(Panchanga!$Z401/30+1)&amp;"R"</f>
        <v>10Ma,11Me,9J, 1V,10S,3R</v>
      </c>
      <c r="S401" s="4">
        <f t="shared" si="61"/>
        <v>342.6786847249864</v>
      </c>
      <c r="T401" s="4">
        <f t="shared" si="62"/>
        <v>11.353496750519787</v>
      </c>
      <c r="U401" s="4">
        <f>Planet(Panchanga!$E401,4)</f>
        <v>273.22834925685731</v>
      </c>
      <c r="V401" s="4">
        <f>Planet(Panchanga!$E401,2)</f>
        <v>315.12892849798419</v>
      </c>
      <c r="W401" s="4">
        <f>Planet(Panchanga!$E401,5)</f>
        <v>269.61520156628575</v>
      </c>
      <c r="X401" s="4">
        <f>Planet(Panchanga!$E401,3)</f>
        <v>28.65351884395082</v>
      </c>
      <c r="Y401" s="4">
        <f>Planet(Panchanga!$E401,6)</f>
        <v>276.21430003457056</v>
      </c>
      <c r="Z401" s="4">
        <f>Planet(Panchanga!$E401,10)</f>
        <v>69.548497986520516</v>
      </c>
      <c r="AA401" s="4" t="str">
        <f>TEXT(Panchanga!$C401+($C402-Panchanga!$C401)/ABS(IF($P402&lt;1,$P402+30,$P402)-Panchanga!$P401)*(ROUNDUP(Panchanga!$P401,0)-Panchanga!$P401),"hh:mm AM/PM")</f>
        <v>10:11 PM</v>
      </c>
      <c r="AB401" s="4"/>
    </row>
    <row r="402" spans="1:28" x14ac:dyDescent="0.2">
      <c r="A402" s="3">
        <f t="shared" si="64"/>
        <v>43918</v>
      </c>
      <c r="B402" s="3">
        <f t="shared" si="58"/>
        <v>43918.229166666664</v>
      </c>
      <c r="C402" s="15">
        <f t="shared" si="59"/>
        <v>43918.256393796917</v>
      </c>
      <c r="D402" s="15">
        <f t="shared" si="60"/>
        <v>43917.764003257311</v>
      </c>
      <c r="E402" s="17">
        <f>Panchanga!$C402-TimeZone/24</f>
        <v>43918.027227130253</v>
      </c>
      <c r="F402" s="18" t="str">
        <f>INT(P[Sun]/30)&amp;"s"&amp;ROUNDUP(MOD(P[Sun],30),2)</f>
        <v>11s13.67</v>
      </c>
      <c r="G402" s="18" t="str">
        <f>INT(P[Moon]/30)&amp;"s"&amp;ROUNDUP(MOD(P[Moon],30),2)</f>
        <v>0s23.31</v>
      </c>
      <c r="H402" s="14">
        <f t="shared" si="63"/>
        <v>43918.027227130253</v>
      </c>
      <c r="I402" s="4" t="str">
        <f>naks(P[[#This Row],[Moon]])</f>
        <v>Bharani</v>
      </c>
      <c r="J402" s="15">
        <f>(C403-P[[#This Row],[SunRise]])/(T403-P[[#This Row],[Moon]])*(13.3333333333333-MOD(P[[#This Row],[Moon]],13.333333333333))+P[[#This Row],[SunRise]]</f>
        <v>43918.534819399829</v>
      </c>
      <c r="K402" s="4" t="str">
        <f>IF(Panchanga!$P402&gt;15,"K","S")&amp;ROUNDUP(MOD(Panchanga!$P402,15),0)&amp;" ("&amp;ROUND(Panchanga!$P402,2)&amp;")"</f>
        <v>S4 (3.3)</v>
      </c>
      <c r="L402" s="4">
        <f>IF(AND(Panchanga!$P402&lt;28.5,Panchanga!$P402&gt;0.49999),MOD((Panchanga!$P402-0.5)*2,7),MOD((Panchanga!$P402+30-28.5),30)*2+7)</f>
        <v>5.6068000000000007</v>
      </c>
      <c r="M402" s="4" t="str">
        <f>CHOOSE(ROUNDUP(Panchanga!$L402,0),"Bhava","Baalava","Kaulava","Taitula","Garija","Vanija","Vishti","Shakuni","Chatushapda","Naaga","Kimstugna")</f>
        <v>Vanija</v>
      </c>
      <c r="N402" s="11" t="str">
        <f>CHOOSE(ROUNDUP(Panchanga!$Q402,0),"viṣkambha","prīti","āyuṣmāna","saubhāgya","śobhana","atigaṇḍa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("&amp;Panchanga!$Q402&amp;")"</f>
        <v>viṣkambha (0.53)</v>
      </c>
      <c r="O402" s="4">
        <f>IF(AND(Panchanga!$P402&lt;28.5,Panchanga!$P402&gt;0.49999),MOD((Panchanga!$P402-0.5)*2,7),MOD((Panchanga!$P402+30-28.5),30)*2+7)</f>
        <v>5.6068000000000007</v>
      </c>
      <c r="P402" s="4">
        <f>ROUNDUP(MOD(360+P[Moon]-P[Sun],360)/12,4)</f>
        <v>3.3034000000000003</v>
      </c>
      <c r="Q402" s="4">
        <f>ROUNDUP(MOD(P[Sun]+P[Moon],360)/13.333333333,2)</f>
        <v>0.53</v>
      </c>
      <c r="R402" s="4" t="str">
        <f>SIGN(U403-Panchanga!$U402)*INT(Panchanga!$U402/30+1)&amp;"Ma,"&amp;SIGN(V403-Panchanga!$V402)*INT(Panchanga!$V402/30+1)&amp;"Me,"&amp;SIGN(W403-Panchanga!$W402)*INT(Panchanga!$W402/30+1)&amp;"J, "&amp;SIGN(X403-Panchanga!$X402)*INT(Panchanga!$X402/30+1)&amp;"V,"&amp;SIGN(Y403-Panchanga!$Y402)*INT(Panchanga!$Y402/30+1)&amp;"S,"&amp;INT(Panchanga!$Z402/30+1)&amp;"R"</f>
        <v>10Ma,11Me,9J, 1V,10S,3R</v>
      </c>
      <c r="S402" s="4">
        <f t="shared" si="61"/>
        <v>343.66796175792103</v>
      </c>
      <c r="T402" s="4">
        <f t="shared" si="62"/>
        <v>23.307931565018144</v>
      </c>
      <c r="U402" s="4">
        <f>Planet(Panchanga!$E402,4)</f>
        <v>273.92300794827651</v>
      </c>
      <c r="V402" s="4">
        <f>Planet(Panchanga!$E402,2)</f>
        <v>316.26849213463237</v>
      </c>
      <c r="W402" s="4">
        <f>Planet(Panchanga!$E402,5)</f>
        <v>269.74971284423725</v>
      </c>
      <c r="X402" s="4">
        <f>Planet(Panchanga!$E402,3)</f>
        <v>29.620352916844055</v>
      </c>
      <c r="Y402" s="4">
        <f>Planet(Panchanga!$E402,6)</f>
        <v>276.28231313248898</v>
      </c>
      <c r="Z402" s="4">
        <f>Planet(Panchanga!$E402,10)</f>
        <v>69.495530939223968</v>
      </c>
      <c r="AA402" s="4" t="str">
        <f>TEXT(Panchanga!$C402+($C403-Panchanga!$C402)/ABS(IF($P403&lt;1,$P403+30,$P403)-Panchanga!$P402)*(ROUNDUP(Panchanga!$P402,0)-Panchanga!$P402),"hh:mm AM/PM")</f>
        <v>12:16 AM</v>
      </c>
      <c r="AB402" s="4"/>
    </row>
    <row r="403" spans="1:28" x14ac:dyDescent="0.2">
      <c r="A403" s="3">
        <f t="shared" si="64"/>
        <v>43919</v>
      </c>
      <c r="B403" s="3">
        <f t="shared" si="58"/>
        <v>43919.229166666664</v>
      </c>
      <c r="C403" s="15">
        <f t="shared" si="59"/>
        <v>43919.25592379427</v>
      </c>
      <c r="D403" s="15">
        <f t="shared" si="60"/>
        <v>43918.764056503816</v>
      </c>
      <c r="E403" s="17">
        <f>Panchanga!$C403-TimeZone/24</f>
        <v>43919.026757127605</v>
      </c>
      <c r="F403" s="18" t="str">
        <f>INT(P[Sun]/30)&amp;"s"&amp;ROUNDUP(MOD(P[Sun],30),2)</f>
        <v>11s14.66</v>
      </c>
      <c r="G403" s="18" t="str">
        <f>INT(P[Moon]/30)&amp;"s"&amp;ROUNDUP(MOD(P[Moon],30),2)</f>
        <v>1s5.37</v>
      </c>
      <c r="H403" s="14">
        <f t="shared" si="63"/>
        <v>43919.026757127605</v>
      </c>
      <c r="I403" s="4" t="str">
        <f>naks(P[[#This Row],[Moon]])</f>
        <v>Krittika</v>
      </c>
      <c r="J403" s="15">
        <f>(C404-P[[#This Row],[SunRise]])/(T404-P[[#This Row],[Moon]])*(13.3333333333333-MOD(P[[#This Row],[Moon]],13.333333333333))+P[[#This Row],[SunRise]]</f>
        <v>43919.635153152791</v>
      </c>
      <c r="K403" s="4" t="str">
        <f>IF(Panchanga!$P403&gt;15,"K","S")&amp;ROUNDUP(MOD(Panchanga!$P403,15),0)&amp;" ("&amp;ROUND(Panchanga!$P403,2)&amp;")"</f>
        <v>S5 (4.23)</v>
      </c>
      <c r="L403" s="4">
        <f>IF(AND(Panchanga!$P403&lt;28.5,Panchanga!$P403&gt;0.49999),MOD((Panchanga!$P403-0.5)*2,7),MOD((Panchanga!$P403+30-28.5),30)*2+7)</f>
        <v>0.45159999999999911</v>
      </c>
      <c r="M403" s="4" t="str">
        <f>CHOOSE(ROUNDUP(Panchanga!$L403,0),"Bhava","Baalava","Kaulava","Taitula","Garija","Vanija","Vishti","Shakuni","Chatushapda","Naaga","Kimstugna")</f>
        <v>Bhava</v>
      </c>
      <c r="N403" s="11" t="str">
        <f>CHOOSE(ROUNDUP(Panchanga!$Q403,0),"viṣkambha","prīti","āyuṣmāna","saubhāgya","śobhana","atigaṇḍa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("&amp;Panchanga!$Q403&amp;")"</f>
        <v>prīti (1.51)</v>
      </c>
      <c r="O403" s="4">
        <f>IF(AND(Panchanga!$P403&lt;28.5,Panchanga!$P403&gt;0.49999),MOD((Panchanga!$P403-0.5)*2,7),MOD((Panchanga!$P403+30-28.5),30)*2+7)</f>
        <v>0.45159999999999911</v>
      </c>
      <c r="P403" s="4">
        <f>ROUNDUP(MOD(360+P[Moon]-P[Sun],360)/12,4)</f>
        <v>4.2257999999999996</v>
      </c>
      <c r="Q403" s="4">
        <f>ROUNDUP(MOD(P[Sun]+P[Moon],360)/13.333333333,2)</f>
        <v>1.51</v>
      </c>
      <c r="R403" s="4" t="str">
        <f>SIGN(U404-Panchanga!$U403)*INT(Panchanga!$U403/30+1)&amp;"Ma,"&amp;SIGN(V404-Panchanga!$V403)*INT(Panchanga!$V403/30+1)&amp;"Me,"&amp;SIGN(W404-Panchanga!$W403)*INT(Panchanga!$W403/30+1)&amp;"J, "&amp;SIGN(X404-Panchanga!$X403)*INT(Panchanga!$X403/30+1)&amp;"V,"&amp;SIGN(Y404-Panchanga!$Y403)*INT(Panchanga!$Y403/30+1)&amp;"S,"&amp;INT(Panchanga!$Z403/30+1)&amp;"R"</f>
        <v>10Ma,11Me,9J, 2V,10S,3R</v>
      </c>
      <c r="S403" s="4">
        <f t="shared" si="61"/>
        <v>344.65662422243685</v>
      </c>
      <c r="T403" s="4">
        <f t="shared" si="62"/>
        <v>35.365574440473345</v>
      </c>
      <c r="U403" s="4">
        <f>Planet(Panchanga!$E403,4)</f>
        <v>274.61768010287227</v>
      </c>
      <c r="V403" s="4">
        <f>Planet(Panchanga!$E403,2)</f>
        <v>317.44506818634022</v>
      </c>
      <c r="W403" s="4">
        <f>Planet(Panchanga!$E403,5)</f>
        <v>269.8819617286029</v>
      </c>
      <c r="X403" s="4">
        <f>Planet(Panchanga!$E403,3)</f>
        <v>30.579031085631605</v>
      </c>
      <c r="Y403" s="4">
        <f>Planet(Panchanga!$E403,6)</f>
        <v>276.34900665682886</v>
      </c>
      <c r="Z403" s="4">
        <f>Planet(Panchanga!$E403,10)</f>
        <v>69.442563849828773</v>
      </c>
      <c r="AA403" s="4" t="str">
        <f>TEXT(Panchanga!$C403+($C404-Panchanga!$C403)/ABS(IF($P404&lt;1,$P404+30,$P404)-Panchanga!$P403)*(ROUNDUP(Panchanga!$P403,0)-Panchanga!$P403),"hh:mm AM/PM")</f>
        <v>01:59 AM</v>
      </c>
      <c r="AB403" s="4"/>
    </row>
    <row r="404" spans="1:28" x14ac:dyDescent="0.2">
      <c r="A404" s="3">
        <f t="shared" si="64"/>
        <v>43920</v>
      </c>
      <c r="B404" s="3">
        <f t="shared" si="58"/>
        <v>43920.229166666664</v>
      </c>
      <c r="C404" s="15">
        <f t="shared" si="59"/>
        <v>43920.255454427715</v>
      </c>
      <c r="D404" s="15">
        <f t="shared" si="60"/>
        <v>43919.764109591997</v>
      </c>
      <c r="E404" s="17">
        <f>Panchanga!$C404-TimeZone/24</f>
        <v>43920.026287761051</v>
      </c>
      <c r="F404" s="18" t="str">
        <f>INT(P[Sun]/30)&amp;"s"&amp;ROUNDUP(MOD(P[Sun],30),2)</f>
        <v>11s15.65</v>
      </c>
      <c r="G404" s="18" t="str">
        <f>INT(P[Moon]/30)&amp;"s"&amp;ROUNDUP(MOD(P[Moon],30),2)</f>
        <v>1s17.59</v>
      </c>
      <c r="H404" s="14">
        <f t="shared" si="63"/>
        <v>43920.026287761051</v>
      </c>
      <c r="I404" s="4" t="str">
        <f>naks(P[[#This Row],[Moon]])</f>
        <v>Rohini</v>
      </c>
      <c r="J404" s="15">
        <f>(C405-P[[#This Row],[SunRise]])/(T405-P[[#This Row],[Moon]])*(13.3333333333333-MOD(P[[#This Row],[Moon]],13.333333333333))+P[[#This Row],[SunRise]]</f>
        <v>43920.717793936892</v>
      </c>
      <c r="K404" s="4" t="str">
        <f>IF(Panchanga!$P404&gt;15,"K","S")&amp;ROUNDUP(MOD(Panchanga!$P404,15),0)&amp;" ("&amp;ROUND(Panchanga!$P404,2)&amp;")"</f>
        <v>S6 (5.16)</v>
      </c>
      <c r="L404" s="4">
        <f>IF(AND(Panchanga!$P404&lt;28.5,Panchanga!$P404&gt;0.49999),MOD((Panchanga!$P404-0.5)*2,7),MOD((Panchanga!$P404+30-28.5),30)*2+7)</f>
        <v>2.3227999999999991</v>
      </c>
      <c r="M404" s="4" t="str">
        <f>CHOOSE(ROUNDUP(Panchanga!$L404,0),"Bhava","Baalava","Kaulava","Taitula","Garija","Vanija","Vishti","Shakuni","Chatushapda","Naaga","Kimstugna")</f>
        <v>Kaulava</v>
      </c>
      <c r="N404" s="11" t="str">
        <f>CHOOSE(ROUNDUP(Panchanga!$Q404,0),"viṣkambha","prīti","āyuṣmāna","saubhāgya","śobhana","atigaṇḍa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("&amp;Panchanga!$Q404&amp;")"</f>
        <v>āyuṣmāna (2.5)</v>
      </c>
      <c r="O404" s="4">
        <f>IF(AND(Panchanga!$P404&lt;28.5,Panchanga!$P404&gt;0.49999),MOD((Panchanga!$P404-0.5)*2,7),MOD((Panchanga!$P404+30-28.5),30)*2+7)</f>
        <v>2.3227999999999991</v>
      </c>
      <c r="P404" s="4">
        <f>ROUNDUP(MOD(360+P[Moon]-P[Sun],360)/12,4)</f>
        <v>5.1613999999999995</v>
      </c>
      <c r="Q404" s="4">
        <f>ROUNDUP(MOD(P[Sun]+P[Moon],360)/13.333333333,2)</f>
        <v>2.5</v>
      </c>
      <c r="R404" s="4" t="str">
        <f>SIGN(U405-Panchanga!$U404)*INT(Panchanga!$U404/30+1)&amp;"Ma,"&amp;SIGN(V405-Panchanga!$V404)*INT(Panchanga!$V404/30+1)&amp;"Me,"&amp;SIGN(W405-Panchanga!$W404)*INT(Panchanga!$W404/30+1)&amp;"J, "&amp;SIGN(X405-Panchanga!$X404)*INT(Panchanga!$X404/30+1)&amp;"V,"&amp;SIGN(Y405-Panchanga!$Y404)*INT(Panchanga!$Y404/30+1)&amp;"S,"&amp;INT(Panchanga!$Z404/30+1)&amp;"R"</f>
        <v>10Ma,11Me,10J, 2V,10S,3R</v>
      </c>
      <c r="S404" s="4">
        <f t="shared" si="61"/>
        <v>345.64466079580131</v>
      </c>
      <c r="T404" s="4">
        <f t="shared" si="62"/>
        <v>47.580478722315824</v>
      </c>
      <c r="U404" s="4">
        <f>Planet(Panchanga!$E404,4)</f>
        <v>275.31235911327951</v>
      </c>
      <c r="V404" s="4">
        <f>Planet(Panchanga!$E404,2)</f>
        <v>318.6570541643564</v>
      </c>
      <c r="W404" s="4">
        <f>Planet(Panchanga!$E404,5)</f>
        <v>270.01192199483074</v>
      </c>
      <c r="X404" s="4">
        <f>Planet(Panchanga!$E404,3)</f>
        <v>31.529259138481962</v>
      </c>
      <c r="Y404" s="4">
        <f>Planet(Panchanga!$E404,6)</f>
        <v>276.41436736010559</v>
      </c>
      <c r="Z404" s="4">
        <f>Planet(Panchanga!$E404,10)</f>
        <v>69.389596726735263</v>
      </c>
      <c r="AA404" s="4" t="str">
        <f>TEXT(Panchanga!$C404+($C405-Panchanga!$C404)/ABS(IF($P405&lt;1,$P405+30,$P405)-Panchanga!$P404)*(ROUNDUP(Panchanga!$P404,0)-Panchanga!$P404),"hh:mm AM/PM")</f>
        <v>03:12 AM</v>
      </c>
      <c r="AB404" s="4"/>
    </row>
    <row r="405" spans="1:28" x14ac:dyDescent="0.2">
      <c r="A405" s="3">
        <f t="shared" si="64"/>
        <v>43921</v>
      </c>
      <c r="B405" s="3">
        <f t="shared" si="58"/>
        <v>43921.229166666664</v>
      </c>
      <c r="C405" s="15">
        <f t="shared" si="59"/>
        <v>43921.254986332417</v>
      </c>
      <c r="D405" s="15">
        <f t="shared" si="60"/>
        <v>43920.764162997759</v>
      </c>
      <c r="E405" s="17">
        <f>Panchanga!$C405-TimeZone/24</f>
        <v>43921.025819665752</v>
      </c>
      <c r="F405" s="18" t="str">
        <f>INT(P[Sun]/30)&amp;"s"&amp;ROUNDUP(MOD(P[Sun],30),2)</f>
        <v>11s16.64</v>
      </c>
      <c r="G405" s="18" t="str">
        <f>INT(P[Moon]/30)&amp;"s"&amp;ROUNDUP(MOD(P[Moon],30),2)</f>
        <v>2s0.02</v>
      </c>
      <c r="H405" s="14">
        <f t="shared" si="63"/>
        <v>43921.025819665752</v>
      </c>
      <c r="I405" s="4" t="str">
        <f>naks(P[[#This Row],[Moon]])</f>
        <v>Mrigashira</v>
      </c>
      <c r="J405" s="15">
        <f>(C406-P[[#This Row],[SunRise]])/(T406-P[[#This Row],[Moon]])*(13.3333333333333-MOD(P[[#This Row],[Moon]],13.333333333333))+P[[#This Row],[SunRise]]</f>
        <v>43921.776991669438</v>
      </c>
      <c r="K405" s="4" t="str">
        <f>IF(Panchanga!$P405&gt;15,"K","S")&amp;ROUNDUP(MOD(Panchanga!$P405,15),0)&amp;" ("&amp;ROUND(Panchanga!$P405,2)&amp;")"</f>
        <v>S7 (6.12)</v>
      </c>
      <c r="L405" s="4">
        <f>IF(AND(Panchanga!$P405&lt;28.5,Panchanga!$P405&gt;0.49999),MOD((Panchanga!$P405-0.5)*2,7),MOD((Panchanga!$P405+30-28.5),30)*2+7)</f>
        <v>4.2309999999999999</v>
      </c>
      <c r="M405" s="4" t="str">
        <f>CHOOSE(ROUNDUP(Panchanga!$L405,0),"Bhava","Baalava","Kaulava","Taitula","Garija","Vanija","Vishti","Shakuni","Chatushapda","Naaga","Kimstugna")</f>
        <v>Garija</v>
      </c>
      <c r="N405" s="11" t="str">
        <f>CHOOSE(ROUNDUP(Panchanga!$Q405,0),"viṣkambha","prīti","āyuṣmāna","saubhāgya","śobhana","atigaṇḍa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("&amp;Panchanga!$Q405&amp;")"</f>
        <v>saubhāgya (3.5)</v>
      </c>
      <c r="O405" s="4">
        <f>IF(AND(Panchanga!$P405&lt;28.5,Panchanga!$P405&gt;0.49999),MOD((Panchanga!$P405-0.5)*2,7),MOD((Panchanga!$P405+30-28.5),30)*2+7)</f>
        <v>4.2309999999999999</v>
      </c>
      <c r="P405" s="4">
        <f>ROUNDUP(MOD(360+P[Moon]-P[Sun],360)/12,4)</f>
        <v>6.1154999999999999</v>
      </c>
      <c r="Q405" s="4">
        <f>ROUNDUP(MOD(P[Sun]+P[Moon],360)/13.333333333,2)</f>
        <v>3.5</v>
      </c>
      <c r="R405" s="4" t="str">
        <f>SIGN(U406-Panchanga!$U405)*INT(Panchanga!$U405/30+1)&amp;"Ma,"&amp;SIGN(V406-Panchanga!$V405)*INT(Panchanga!$V405/30+1)&amp;"Me,"&amp;SIGN(W406-Panchanga!$W405)*INT(Panchanga!$W405/30+1)&amp;"J, "&amp;SIGN(X406-Panchanga!$X405)*INT(Panchanga!$X405/30+1)&amp;"V,"&amp;SIGN(Y406-Panchanga!$Y405)*INT(Panchanga!$Y405/30+1)&amp;"S,"&amp;INT(Panchanga!$Z405/30+1)&amp;"R"</f>
        <v>10Ma,11Me,10J, 2V,10S,3R</v>
      </c>
      <c r="S405" s="4">
        <f t="shared" si="61"/>
        <v>346.63206251705918</v>
      </c>
      <c r="T405" s="4">
        <f t="shared" si="62"/>
        <v>60.01757659673757</v>
      </c>
      <c r="U405" s="4">
        <f>Planet(Panchanga!$E405,4)</f>
        <v>276.00704056543668</v>
      </c>
      <c r="V405" s="4">
        <f>Planet(Panchanga!$E405,2)</f>
        <v>319.90302084070385</v>
      </c>
      <c r="W405" s="4">
        <f>Planet(Panchanga!$E405,5)</f>
        <v>270.13956819534127</v>
      </c>
      <c r="X405" s="4">
        <f>Planet(Panchanga!$E405,3)</f>
        <v>32.470730081700943</v>
      </c>
      <c r="Y405" s="4">
        <f>Planet(Panchanga!$E405,6)</f>
        <v>276.47838258134601</v>
      </c>
      <c r="Z405" s="4">
        <f>Planet(Panchanga!$E405,10)</f>
        <v>69.336629536259011</v>
      </c>
      <c r="AA405" s="4" t="str">
        <f>TEXT(Panchanga!$C405+($C406-Panchanga!$C405)/ABS(IF($P406&lt;1,$P406+30,$P406)-Panchanga!$P405)*(ROUNDUP(Panchanga!$P405,0)-Panchanga!$P405),"hh:mm AM/PM")</f>
        <v>03:47 AM</v>
      </c>
      <c r="AB405" s="4"/>
    </row>
    <row r="406" spans="1:28" x14ac:dyDescent="0.2">
      <c r="A406" s="3">
        <f t="shared" si="64"/>
        <v>43922</v>
      </c>
      <c r="B406" s="3">
        <f t="shared" si="58"/>
        <v>43922.229166666664</v>
      </c>
      <c r="C406" s="15">
        <f t="shared" si="59"/>
        <v>43922.254519667629</v>
      </c>
      <c r="D406" s="15">
        <f t="shared" si="60"/>
        <v>43921.764216562311</v>
      </c>
      <c r="E406" s="17">
        <f>Panchanga!$C406-TimeZone/24</f>
        <v>43922.025353000965</v>
      </c>
      <c r="F406" s="18" t="str">
        <f>INT(P[Sun]/30)&amp;"s"&amp;ROUNDUP(MOD(P[Sun],30),2)</f>
        <v>11s17.62</v>
      </c>
      <c r="G406" s="18" t="str">
        <f>INT(P[Moon]/30)&amp;"s"&amp;ROUNDUP(MOD(P[Moon],30),2)</f>
        <v>2s12.75</v>
      </c>
      <c r="H406" s="14">
        <f t="shared" si="63"/>
        <v>43922.025353000965</v>
      </c>
      <c r="I406" s="4" t="str">
        <f>naks(P[[#This Row],[Moon]])</f>
        <v>Ardra</v>
      </c>
      <c r="J406" s="15">
        <f>(C407-P[[#This Row],[SunRise]])/(T407-P[[#This Row],[Moon]])*(13.3333333333333-MOD(P[[#This Row],[Moon]],13.333333333333))+P[[#This Row],[SunRise]]</f>
        <v>43922.807780114505</v>
      </c>
      <c r="K406" s="4" t="str">
        <f>IF(Panchanga!$P406&gt;15,"K","S")&amp;ROUNDUP(MOD(Panchanga!$P406,15),0)&amp;" ("&amp;ROUND(Panchanga!$P406,2)&amp;")"</f>
        <v>S8 (7.09)</v>
      </c>
      <c r="L406" s="4">
        <f>IF(AND(Panchanga!$P406&lt;28.5,Panchanga!$P406&gt;0.49999),MOD((Panchanga!$P406-0.5)*2,7),MOD((Panchanga!$P406+30-28.5),30)*2+7)</f>
        <v>6.1885999999999992</v>
      </c>
      <c r="M406" s="4" t="str">
        <f>CHOOSE(ROUNDUP(Panchanga!$L406,0),"Bhava","Baalava","Kaulava","Taitula","Garija","Vanija","Vishti","Shakuni","Chatushapda","Naaga","Kimstugna")</f>
        <v>Vishti</v>
      </c>
      <c r="N406" s="11" t="str">
        <f>CHOOSE(ROUNDUP(Panchanga!$Q406,0),"viṣkambha","prīti","āyuṣmāna","saubhāgya","śobhana","atigaṇḍa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("&amp;Panchanga!$Q406&amp;")"</f>
        <v>śobhana (4.53)</v>
      </c>
      <c r="O406" s="4">
        <f>IF(AND(Panchanga!$P406&lt;28.5,Panchanga!$P406&gt;0.49999),MOD((Panchanga!$P406-0.5)*2,7),MOD((Panchanga!$P406+30-28.5),30)*2+7)</f>
        <v>6.1885999999999992</v>
      </c>
      <c r="P406" s="4">
        <f>ROUNDUP(MOD(360+P[Moon]-P[Sun],360)/12,4)</f>
        <v>7.0942999999999996</v>
      </c>
      <c r="Q406" s="4">
        <f>ROUNDUP(MOD(P[Sun]+P[Moon],360)/13.333333333,2)</f>
        <v>4.5299999999999994</v>
      </c>
      <c r="R406" s="4" t="str">
        <f>SIGN(U407-Panchanga!$U406)*INT(Panchanga!$U406/30+1)&amp;"Ma,"&amp;SIGN(V407-Panchanga!$V406)*INT(Panchanga!$V406/30+1)&amp;"Me,"&amp;SIGN(W407-Panchanga!$W406)*INT(Panchanga!$W406/30+1)&amp;"J, "&amp;SIGN(X407-Panchanga!$X406)*INT(Panchanga!$X406/30+1)&amp;"V,"&amp;SIGN(Y407-Panchanga!$Y406)*INT(Panchanga!$Y406/30+1)&amp;"S,"&amp;INT(Panchanga!$Z406/30+1)&amp;"R"</f>
        <v>10Ma,11Me,10J, 2V,10S,3R</v>
      </c>
      <c r="S406" s="4">
        <f t="shared" si="61"/>
        <v>347.61882189284717</v>
      </c>
      <c r="T406" s="4">
        <f t="shared" si="62"/>
        <v>72.749222621011768</v>
      </c>
      <c r="U406" s="4">
        <f>Planet(Panchanga!$E406,4)</f>
        <v>276.70172155737521</v>
      </c>
      <c r="V406" s="4">
        <f>Planet(Panchanga!$E406,2)</f>
        <v>321.18169816576585</v>
      </c>
      <c r="W406" s="4">
        <f>Planet(Panchanga!$E406,5)</f>
        <v>270.26487553864462</v>
      </c>
      <c r="X406" s="4">
        <f>Planet(Panchanga!$E406,3)</f>
        <v>33.403122499847179</v>
      </c>
      <c r="Y406" s="4">
        <f>Planet(Panchanga!$E406,6)</f>
        <v>276.54104018243754</v>
      </c>
      <c r="Z406" s="4">
        <f>Planet(Panchanga!$E406,10)</f>
        <v>69.283662269999837</v>
      </c>
      <c r="AA406" s="4" t="str">
        <f>TEXT(Panchanga!$C406+($C407-Panchanga!$C406)/ABS(IF($P407&lt;1,$P407+30,$P407)-Panchanga!$P406)*(ROUNDUP(Panchanga!$P406,0)-Panchanga!$P406),"hh:mm AM/PM")</f>
        <v>03:37 AM</v>
      </c>
      <c r="AB406" s="4"/>
    </row>
    <row r="407" spans="1:28" x14ac:dyDescent="0.2">
      <c r="A407" s="3">
        <f t="shared" si="64"/>
        <v>43923</v>
      </c>
      <c r="B407" s="3">
        <f t="shared" si="58"/>
        <v>43923.229166666664</v>
      </c>
      <c r="C407" s="15">
        <f t="shared" si="59"/>
        <v>43923.254054592609</v>
      </c>
      <c r="D407" s="15">
        <f t="shared" si="60"/>
        <v>43922.764270762957</v>
      </c>
      <c r="E407" s="17">
        <f>Panchanga!$C407-TimeZone/24</f>
        <v>43923.024887925945</v>
      </c>
      <c r="F407" s="18" t="str">
        <f>INT(P[Sun]/30)&amp;"s"&amp;ROUNDUP(MOD(P[Sun],30),2)</f>
        <v>11s18.61</v>
      </c>
      <c r="G407" s="18" t="str">
        <f>INT(P[Moon]/30)&amp;"s"&amp;ROUNDUP(MOD(P[Moon],30),2)</f>
        <v>2s25.85</v>
      </c>
      <c r="H407" s="14">
        <f t="shared" si="63"/>
        <v>43923.024887925945</v>
      </c>
      <c r="I407" s="4" t="str">
        <f>naks(P[[#This Row],[Moon]])</f>
        <v>Punarvasu</v>
      </c>
      <c r="J407" s="15">
        <f>(C408-P[[#This Row],[SunRise]])/(T408-P[[#This Row],[Moon]])*(13.3333333333333-MOD(P[[#This Row],[Moon]],13.333333333333))+P[[#This Row],[SunRise]]</f>
        <v>43923.806937044013</v>
      </c>
      <c r="K407" s="4" t="str">
        <f>IF(Panchanga!$P407&gt;15,"K","S")&amp;ROUNDUP(MOD(Panchanga!$P407,15),0)&amp;" ("&amp;ROUND(Panchanga!$P407,2)&amp;")"</f>
        <v>S9 (8.1)</v>
      </c>
      <c r="L407" s="4">
        <f>IF(AND(Panchanga!$P407&lt;28.5,Panchanga!$P407&gt;0.49999),MOD((Panchanga!$P407-0.5)*2,7),MOD((Panchanga!$P407+30-28.5),30)*2+7)</f>
        <v>1.2073999999999998</v>
      </c>
      <c r="M407" s="4" t="str">
        <f>CHOOSE(ROUNDUP(Panchanga!$L407,0),"Bhava","Baalava","Kaulava","Taitula","Garija","Vanija","Vishti","Shakuni","Chatushapda","Naaga","Kimstugna")</f>
        <v>Baalava</v>
      </c>
      <c r="N407" s="11" t="str">
        <f>CHOOSE(ROUNDUP(Panchanga!$Q407,0),"viṣkambha","prīti","āyuṣmāna","saubhāgya","śobhana","atigaṇḍa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("&amp;Panchanga!$Q407&amp;")"</f>
        <v>atigaṇḍa  (5.59)</v>
      </c>
      <c r="O407" s="4">
        <f>IF(AND(Panchanga!$P407&lt;28.5,Panchanga!$P407&gt;0.49999),MOD((Panchanga!$P407-0.5)*2,7),MOD((Panchanga!$P407+30-28.5),30)*2+7)</f>
        <v>1.2073999999999998</v>
      </c>
      <c r="P407" s="4">
        <f>ROUNDUP(MOD(360+P[Moon]-P[Sun],360)/12,4)</f>
        <v>8.1036999999999999</v>
      </c>
      <c r="Q407" s="4">
        <f>ROUNDUP(MOD(P[Sun]+P[Moon],360)/13.333333333,2)</f>
        <v>5.59</v>
      </c>
      <c r="R407" s="4" t="str">
        <f>SIGN(U408-Panchanga!$U407)*INT(Panchanga!$U407/30+1)&amp;"Ma,"&amp;SIGN(V408-Panchanga!$V407)*INT(Panchanga!$V407/30+1)&amp;"Me,"&amp;SIGN(W408-Panchanga!$W407)*INT(Panchanga!$W407/30+1)&amp;"J, "&amp;SIGN(X408-Panchanga!$X407)*INT(Panchanga!$X407/30+1)&amp;"V,"&amp;SIGN(Y408-Panchanga!$Y407)*INT(Panchanga!$Y407/30+1)&amp;"S,"&amp;INT(Panchanga!$Z407/30+1)&amp;"R"</f>
        <v>10Ma,11Me,10J, 2V,10S,3R</v>
      </c>
      <c r="S407" s="4">
        <f t="shared" si="61"/>
        <v>348.60493391946585</v>
      </c>
      <c r="T407" s="4">
        <f t="shared" si="62"/>
        <v>85.848668396538429</v>
      </c>
      <c r="U407" s="4">
        <f>Planet(Panchanga!$E407,4)</f>
        <v>277.39640123117937</v>
      </c>
      <c r="V407" s="4">
        <f>Planet(Panchanga!$E407,2)</f>
        <v>322.49196431375185</v>
      </c>
      <c r="W407" s="4">
        <f>Planet(Panchanga!$E407,5)</f>
        <v>270.38781998842268</v>
      </c>
      <c r="X407" s="4">
        <f>Planet(Panchanga!$E407,3)</f>
        <v>34.326100864651828</v>
      </c>
      <c r="Y407" s="4">
        <f>Planet(Panchanga!$E407,6)</f>
        <v>276.60232860949321</v>
      </c>
      <c r="Z407" s="4">
        <f>Planet(Panchanga!$E407,10)</f>
        <v>69.230694919524041</v>
      </c>
      <c r="AA407" s="4" t="str">
        <f>TEXT(Panchanga!$C407+($C408-Panchanga!$C407)/ABS(IF($P408&lt;1,$P408+30,$P408)-Panchanga!$P407)*(ROUNDUP(Panchanga!$P407,0)-Panchanga!$P407),"hh:mm AM/PM")</f>
        <v>02:39 AM</v>
      </c>
      <c r="AB407" s="4"/>
    </row>
    <row r="408" spans="1:28" x14ac:dyDescent="0.2">
      <c r="A408" s="3">
        <f t="shared" si="64"/>
        <v>43924</v>
      </c>
      <c r="B408" s="3">
        <f t="shared" si="58"/>
        <v>43924.229166666664</v>
      </c>
      <c r="C408" s="15">
        <f t="shared" si="59"/>
        <v>43924.253591424938</v>
      </c>
      <c r="D408" s="15">
        <f t="shared" si="60"/>
        <v>43923.764325439974</v>
      </c>
      <c r="E408" s="17">
        <f>Panchanga!$C408-TimeZone/24</f>
        <v>43924.024424758274</v>
      </c>
      <c r="F408" s="18" t="str">
        <f>INT(P[Sun]/30)&amp;"s"&amp;ROUNDUP(MOD(P[Sun],30),2)</f>
        <v>11s19.6</v>
      </c>
      <c r="G408" s="18" t="str">
        <f>INT(P[Moon]/30)&amp;"s"&amp;ROUNDUP(MOD(P[Moon],30),2)</f>
        <v>3s9.38</v>
      </c>
      <c r="H408" s="14">
        <f t="shared" si="63"/>
        <v>43924.024424758274</v>
      </c>
      <c r="I408" s="4" t="str">
        <f>naks(P[[#This Row],[Moon]])</f>
        <v>Pushya</v>
      </c>
      <c r="J408" s="15">
        <f>(C409-P[[#This Row],[SunRise]])/(T409-P[[#This Row],[Moon]])*(13.3333333333333-MOD(P[[#This Row],[Moon]],13.333333333333))+P[[#This Row],[SunRise]]</f>
        <v>43924.773691474154</v>
      </c>
      <c r="K408" s="4" t="str">
        <f>IF(Panchanga!$P408&gt;15,"K","S")&amp;ROUNDUP(MOD(Panchanga!$P408,15),0)&amp;" ("&amp;ROUND(Panchanga!$P408,2)&amp;")"</f>
        <v>S10 (9.15)</v>
      </c>
      <c r="L408" s="4">
        <f>IF(AND(Panchanga!$P408&lt;28.5,Panchanga!$P408&gt;0.49999),MOD((Panchanga!$P408-0.5)*2,7),MOD((Panchanga!$P408+30-28.5),30)*2+7)</f>
        <v>3.2984000000000009</v>
      </c>
      <c r="M408" s="4" t="str">
        <f>CHOOSE(ROUNDUP(Panchanga!$L408,0),"Bhava","Baalava","Kaulava","Taitula","Garija","Vanija","Vishti","Shakuni","Chatushapda","Naaga","Kimstugna")</f>
        <v>Taitula</v>
      </c>
      <c r="N408" s="11" t="str">
        <f>CHOOSE(ROUNDUP(Panchanga!$Q408,0),"viṣkambha","prīti","āyuṣmāna","saubhāgya","śobhana","atigaṇḍa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("&amp;Panchanga!$Q408&amp;")"</f>
        <v>sukarmā  (6.68)</v>
      </c>
      <c r="O408" s="4">
        <f>IF(AND(Panchanga!$P408&lt;28.5,Panchanga!$P408&gt;0.49999),MOD((Panchanga!$P408-0.5)*2,7),MOD((Panchanga!$P408+30-28.5),30)*2+7)</f>
        <v>3.2984000000000009</v>
      </c>
      <c r="P408" s="4">
        <f>ROUNDUP(MOD(360+P[Moon]-P[Sun],360)/12,4)</f>
        <v>9.1492000000000004</v>
      </c>
      <c r="Q408" s="4">
        <f>ROUNDUP(MOD(P[Sun]+P[Moon],360)/13.333333333,2)</f>
        <v>6.68</v>
      </c>
      <c r="R408" s="4" t="str">
        <f>SIGN(U409-Panchanga!$U408)*INT(Panchanga!$U408/30+1)&amp;"Ma,"&amp;SIGN(V409-Panchanga!$V408)*INT(Panchanga!$V408/30+1)&amp;"Me,"&amp;SIGN(W409-Panchanga!$W408)*INT(Panchanga!$W408/30+1)&amp;"J, "&amp;SIGN(X409-Panchanga!$X408)*INT(Panchanga!$X408/30+1)&amp;"V,"&amp;SIGN(Y409-Panchanga!$Y408)*INT(Panchanga!$Y408/30+1)&amp;"S,"&amp;INT(Panchanga!$Z408/30+1)&amp;"R"</f>
        <v>10Ma,11Me,10J, 2V,10S,3R</v>
      </c>
      <c r="S408" s="4">
        <f t="shared" si="61"/>
        <v>349.59039699979087</v>
      </c>
      <c r="T408" s="4">
        <f t="shared" si="62"/>
        <v>99.379932163274262</v>
      </c>
      <c r="U408" s="4">
        <f>Planet(Panchanga!$E408,4)</f>
        <v>278.09108097451997</v>
      </c>
      <c r="V408" s="4">
        <f>Planet(Panchanga!$E408,2)</f>
        <v>323.83283539992976</v>
      </c>
      <c r="W408" s="4">
        <f>Planet(Panchanga!$E408,5)</f>
        <v>270.50837827435328</v>
      </c>
      <c r="X408" s="4">
        <f>Planet(Panchanga!$E408,3)</f>
        <v>35.239316044717597</v>
      </c>
      <c r="Y408" s="4">
        <f>Planet(Panchanga!$E408,6)</f>
        <v>276.66223690063674</v>
      </c>
      <c r="Z408" s="4">
        <f>Planet(Panchanga!$E408,10)</f>
        <v>69.177727467948088</v>
      </c>
      <c r="AA408" s="4" t="str">
        <f>TEXT(Panchanga!$C408+($C409-Panchanga!$C408)/ABS(IF($P409&lt;1,$P409+30,$P409)-Panchanga!$P408)*(ROUNDUP(Panchanga!$P408,0)-Panchanga!$P408),"hh:mm AM/PM")</f>
        <v>12:53 AM</v>
      </c>
      <c r="AB408" s="4"/>
    </row>
    <row r="409" spans="1:28" x14ac:dyDescent="0.2">
      <c r="A409" s="3">
        <f t="shared" si="64"/>
        <v>43925</v>
      </c>
      <c r="B409" s="3">
        <f t="shared" si="58"/>
        <v>43925.229166666664</v>
      </c>
      <c r="C409" s="15">
        <f t="shared" si="59"/>
        <v>43925.253130482197</v>
      </c>
      <c r="D409" s="15">
        <f t="shared" si="60"/>
        <v>43924.764381071131</v>
      </c>
      <c r="E409" s="17">
        <f>Panchanga!$C409-TimeZone/24</f>
        <v>43925.023963815533</v>
      </c>
      <c r="F409" s="18" t="str">
        <f>INT(P[Sun]/30)&amp;"s"&amp;ROUNDUP(MOD(P[Sun],30),2)</f>
        <v>11s20.58</v>
      </c>
      <c r="G409" s="18" t="str">
        <f>INT(P[Moon]/30)&amp;"s"&amp;ROUNDUP(MOD(P[Moon],30),2)</f>
        <v>3s23.39</v>
      </c>
      <c r="H409" s="14">
        <f t="shared" si="63"/>
        <v>43925.023963815533</v>
      </c>
      <c r="I409" s="4" t="str">
        <f>naks(P[[#This Row],[Moon]])</f>
        <v>Aslesha</v>
      </c>
      <c r="J409" s="15">
        <f>(C410-P[[#This Row],[SunRise]])/(T410-P[[#This Row],[Moon]])*(13.3333333333333-MOD(P[[#This Row],[Moon]],13.333333333333))+P[[#This Row],[SunRise]]</f>
        <v>43925.709943656191</v>
      </c>
      <c r="K409" s="4" t="str">
        <f>IF(Panchanga!$P409&gt;15,"K","S")&amp;ROUNDUP(MOD(Panchanga!$P409,15),0)&amp;" ("&amp;ROUND(Panchanga!$P409,2)&amp;")"</f>
        <v>S11 (10.23)</v>
      </c>
      <c r="L409" s="4">
        <f>IF(AND(Panchanga!$P409&lt;28.5,Panchanga!$P409&gt;0.49999),MOD((Panchanga!$P409-0.5)*2,7),MOD((Panchanga!$P409+30-28.5),30)*2+7)</f>
        <v>5.4681999999999995</v>
      </c>
      <c r="M409" s="4" t="str">
        <f>CHOOSE(ROUNDUP(Panchanga!$L409,0),"Bhava","Baalava","Kaulava","Taitula","Garija","Vanija","Vishti","Shakuni","Chatushapda","Naaga","Kimstugna")</f>
        <v>Vanija</v>
      </c>
      <c r="N409" s="11" t="str">
        <f>CHOOSE(ROUNDUP(Panchanga!$Q409,0),"viṣkambha","prīti","āyuṣmāna","saubhāgya","śobhana","atigaṇḍa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("&amp;Panchanga!$Q409&amp;")"</f>
        <v>dhṛti  (7.8)</v>
      </c>
      <c r="O409" s="4">
        <f>IF(AND(Panchanga!$P409&lt;28.5,Panchanga!$P409&gt;0.49999),MOD((Panchanga!$P409-0.5)*2,7),MOD((Panchanga!$P409+30-28.5),30)*2+7)</f>
        <v>5.4681999999999995</v>
      </c>
      <c r="P409" s="4">
        <f>ROUNDUP(MOD(360+P[Moon]-P[Sun],360)/12,4)</f>
        <v>10.2341</v>
      </c>
      <c r="Q409" s="4">
        <f>ROUNDUP(MOD(P[Sun]+P[Moon],360)/13.333333333,2)</f>
        <v>7.8</v>
      </c>
      <c r="R409" s="4" t="str">
        <f>SIGN(U410-Panchanga!$U409)*INT(Panchanga!$U409/30+1)&amp;"Ma,"&amp;SIGN(V410-Panchanga!$V409)*INT(Panchanga!$V409/30+1)&amp;"Me,"&amp;SIGN(W410-Panchanga!$W409)*INT(Panchanga!$W409/30+1)&amp;"J, "&amp;SIGN(X410-Panchanga!$X409)*INT(Panchanga!$X409/30+1)&amp;"V,"&amp;SIGN(Y410-Panchanga!$Y409)*INT(Panchanga!$Y409/30+1)&amp;"S,"&amp;INT(Panchanga!$Z409/30+1)&amp;"R"</f>
        <v>10Ma,11Me,10J, 2V,10S,3R</v>
      </c>
      <c r="S409" s="4">
        <f t="shared" si="61"/>
        <v>350.57521367332077</v>
      </c>
      <c r="T409" s="4">
        <f t="shared" si="62"/>
        <v>113.38372959985801</v>
      </c>
      <c r="U409" s="4">
        <f>Planet(Panchanga!$E409,4)</f>
        <v>278.78576414552236</v>
      </c>
      <c r="V409" s="4">
        <f>Planet(Panchanga!$E409,2)</f>
        <v>325.20345562091677</v>
      </c>
      <c r="W409" s="4">
        <f>Planet(Panchanga!$E409,5)</f>
        <v>270.62652777636572</v>
      </c>
      <c r="X409" s="4">
        <f>Planet(Panchanga!$E409,3)</f>
        <v>36.142406192436198</v>
      </c>
      <c r="Y409" s="4">
        <f>Planet(Panchanga!$E409,6)</f>
        <v>276.72075463795539</v>
      </c>
      <c r="Z409" s="4">
        <f>Planet(Panchanga!$E409,10)</f>
        <v>69.124759898454684</v>
      </c>
      <c r="AA409" s="4" t="str">
        <f>TEXT(Panchanga!$C409+($C410-Panchanga!$C409)/ABS(IF($P410&lt;1,$P410+30,$P410)-Panchanga!$P409)*(ROUNDUP(Panchanga!$P409,0)-Panchanga!$P409),"hh:mm AM/PM")</f>
        <v>10:24 PM</v>
      </c>
      <c r="AB409" s="4"/>
    </row>
    <row r="410" spans="1:28" x14ac:dyDescent="0.2">
      <c r="A410" s="3">
        <f t="shared" si="64"/>
        <v>43926</v>
      </c>
      <c r="B410" s="3">
        <f t="shared" si="58"/>
        <v>43926.229166666664</v>
      </c>
      <c r="C410" s="15">
        <f t="shared" si="59"/>
        <v>43926.252672082897</v>
      </c>
      <c r="D410" s="15">
        <f t="shared" si="60"/>
        <v>43925.764437655962</v>
      </c>
      <c r="E410" s="17">
        <f>Panchanga!$C410-TimeZone/24</f>
        <v>43926.023505416233</v>
      </c>
      <c r="F410" s="18" t="str">
        <f>INT(P[Sun]/30)&amp;"s"&amp;ROUNDUP(MOD(P[Sun],30),2)</f>
        <v>11s21.56</v>
      </c>
      <c r="G410" s="18" t="str">
        <f>INT(P[Moon]/30)&amp;"s"&amp;ROUNDUP(MOD(P[Moon],30),2)</f>
        <v>4s7.87</v>
      </c>
      <c r="H410" s="14">
        <f t="shared" si="63"/>
        <v>43926.023505416233</v>
      </c>
      <c r="I410" s="4" t="str">
        <f>naks(P[[#This Row],[Moon]])</f>
        <v>Makha</v>
      </c>
      <c r="J410" s="15">
        <f>(C411-P[[#This Row],[SunRise]])/(T411-P[[#This Row],[Moon]])*(13.3333333333333-MOD(P[[#This Row],[Moon]],13.333333333333))+P[[#This Row],[SunRise]]</f>
        <v>43926.619919375218</v>
      </c>
      <c r="K410" s="4" t="str">
        <f>IF(Panchanga!$P410&gt;15,"K","S")&amp;ROUNDUP(MOD(Panchanga!$P410,15),0)&amp;" ("&amp;ROUND(Panchanga!$P410,2)&amp;")"</f>
        <v>S12 (11.36)</v>
      </c>
      <c r="L410" s="4">
        <f>IF(AND(Panchanga!$P410&lt;28.5,Panchanga!$P410&gt;0.49999),MOD((Panchanga!$P410-0.5)*2,7),MOD((Panchanga!$P410+30-28.5),30)*2+7)</f>
        <v>0.71699999999999875</v>
      </c>
      <c r="M410" s="4" t="str">
        <f>CHOOSE(ROUNDUP(Panchanga!$L410,0),"Bhava","Baalava","Kaulava","Taitula","Garija","Vanija","Vishti","Shakuni","Chatushapda","Naaga","Kimstugna")</f>
        <v>Bhava</v>
      </c>
      <c r="N410" s="11" t="str">
        <f>CHOOSE(ROUNDUP(Panchanga!$Q410,0),"viṣkambha","prīti","āyuṣmāna","saubhāgya","śobhana","atigaṇḍa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("&amp;Panchanga!$Q410&amp;")"</f>
        <v>śūla  (8.96)</v>
      </c>
      <c r="O410" s="4">
        <f>IF(AND(Panchanga!$P410&lt;28.5,Panchanga!$P410&gt;0.49999),MOD((Panchanga!$P410-0.5)*2,7),MOD((Panchanga!$P410+30-28.5),30)*2+7)</f>
        <v>0.71699999999999875</v>
      </c>
      <c r="P410" s="4">
        <f>ROUNDUP(MOD(360+P[Moon]-P[Sun],360)/12,4)</f>
        <v>11.358499999999999</v>
      </c>
      <c r="Q410" s="4">
        <f>ROUNDUP(MOD(P[Sun]+P[Moon],360)/13.333333333,2)</f>
        <v>8.9599999999999991</v>
      </c>
      <c r="R410" s="4" t="str">
        <f>SIGN(U411-Panchanga!$U410)*INT(Panchanga!$U410/30+1)&amp;"Ma,"&amp;SIGN(V411-Panchanga!$V410)*INT(Panchanga!$V410/30+1)&amp;"Me,"&amp;SIGN(W411-Panchanga!$W410)*INT(Panchanga!$W410/30+1)&amp;"J, "&amp;SIGN(X411-Panchanga!$X410)*INT(Panchanga!$X410/30+1)&amp;"V,"&amp;SIGN(Y411-Panchanga!$Y410)*INT(Panchanga!$Y410/30+1)&amp;"S,"&amp;INT(Panchanga!$Z410/30+1)&amp;"R"</f>
        <v>10Ma,11Me,10J, 2V,10S,3R</v>
      </c>
      <c r="S410" s="4">
        <f t="shared" si="61"/>
        <v>351.55939144659948</v>
      </c>
      <c r="T410" s="4">
        <f t="shared" si="62"/>
        <v>127.86062712134414</v>
      </c>
      <c r="U410" s="4">
        <f>Planet(Panchanga!$E410,4)</f>
        <v>279.48045551847565</v>
      </c>
      <c r="V410" s="4">
        <f>Planet(Panchanga!$E410,2)</f>
        <v>326.6030881876045</v>
      </c>
      <c r="W410" s="4">
        <f>Planet(Panchanga!$E410,5)</f>
        <v>270.74224631098343</v>
      </c>
      <c r="X410" s="4">
        <f>Planet(Panchanga!$E410,3)</f>
        <v>37.03499844563337</v>
      </c>
      <c r="Y410" s="4">
        <f>Planet(Panchanga!$E410,6)</f>
        <v>276.7778718489152</v>
      </c>
      <c r="Z410" s="4">
        <f>Planet(Panchanga!$E410,10)</f>
        <v>69.071792194209806</v>
      </c>
      <c r="AA410" s="4" t="str">
        <f>TEXT(Panchanga!$C410+($C411-Panchanga!$C410)/ABS(IF($P411&lt;1,$P411+30,$P411)-Panchanga!$P410)*(ROUNDUP(Panchanga!$P410,0)-Panchanga!$P410),"hh:mm AM/PM")</f>
        <v>07:20 PM</v>
      </c>
      <c r="AB410" s="4"/>
    </row>
    <row r="411" spans="1:28" x14ac:dyDescent="0.2">
      <c r="A411" s="3">
        <f t="shared" si="64"/>
        <v>43927</v>
      </c>
      <c r="B411" s="3">
        <f t="shared" si="58"/>
        <v>43927.229166666664</v>
      </c>
      <c r="C411" s="15">
        <f t="shared" si="59"/>
        <v>43927.252216385365</v>
      </c>
      <c r="D411" s="15">
        <f t="shared" si="60"/>
        <v>43926.764495353258</v>
      </c>
      <c r="E411" s="17">
        <f>Panchanga!$C411-TimeZone/24</f>
        <v>43927.0230497187</v>
      </c>
      <c r="F411" s="18" t="str">
        <f>INT(P[Sun]/30)&amp;"s"&amp;ROUNDUP(MOD(P[Sun],30),2)</f>
        <v>11s22.55</v>
      </c>
      <c r="G411" s="18" t="str">
        <f>INT(P[Moon]/30)&amp;"s"&amp;ROUNDUP(MOD(P[Moon],30),2)</f>
        <v>4s22.76</v>
      </c>
      <c r="H411" s="14">
        <f t="shared" si="63"/>
        <v>43927.0230497187</v>
      </c>
      <c r="I411" s="4" t="str">
        <f>naks(P[[#This Row],[Moon]])</f>
        <v>Purva Phalguni</v>
      </c>
      <c r="J411" s="15">
        <f>(C412-P[[#This Row],[SunRise]])/(T412-P[[#This Row],[Moon]])*(13.3333333333333-MOD(P[[#This Row],[Moon]],13.333333333333))+P[[#This Row],[SunRise]]</f>
        <v>43927.509443064351</v>
      </c>
      <c r="K411" s="4" t="str">
        <f>IF(Panchanga!$P411&gt;15,"K","S")&amp;ROUNDUP(MOD(Panchanga!$P411,15),0)&amp;" ("&amp;ROUND(Panchanga!$P411,2)&amp;")"</f>
        <v>S13 (12.52)</v>
      </c>
      <c r="L411" s="4">
        <f>IF(AND(Panchanga!$P411&lt;28.5,Panchanga!$P411&gt;0.49999),MOD((Panchanga!$P411-0.5)*2,7),MOD((Panchanga!$P411+30-28.5),30)*2+7)</f>
        <v>3.0355999999999987</v>
      </c>
      <c r="M411" s="4" t="str">
        <f>CHOOSE(ROUNDUP(Panchanga!$L411,0),"Bhava","Baalava","Kaulava","Taitula","Garija","Vanija","Vishti","Shakuni","Chatushapda","Naaga","Kimstugna")</f>
        <v>Taitula</v>
      </c>
      <c r="N411" s="11" t="str">
        <f>CHOOSE(ROUNDUP(Panchanga!$Q411,0),"viṣkambha","prīti","āyuṣmāna","saubhāgya","śobhana","atigaṇḍa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("&amp;Panchanga!$Q411&amp;")"</f>
        <v>vṛddhi  (10.15)</v>
      </c>
      <c r="O411" s="4">
        <f>IF(AND(Panchanga!$P411&lt;28.5,Panchanga!$P411&gt;0.49999),MOD((Panchanga!$P411-0.5)*2,7),MOD((Panchanga!$P411+30-28.5),30)*2+7)</f>
        <v>3.0355999999999987</v>
      </c>
      <c r="P411" s="4">
        <f>ROUNDUP(MOD(360+P[Moon]-P[Sun],360)/12,4)</f>
        <v>12.517799999999999</v>
      </c>
      <c r="Q411" s="4">
        <f>ROUNDUP(MOD(P[Sun]+P[Moon],360)/13.333333333,2)</f>
        <v>10.15</v>
      </c>
      <c r="R411" s="4" t="str">
        <f>SIGN(U412-Panchanga!$U411)*INT(Panchanga!$U411/30+1)&amp;"Ma,"&amp;SIGN(V412-Panchanga!$V411)*INT(Panchanga!$V411/30+1)&amp;"Me,"&amp;SIGN(W412-Panchanga!$W411)*INT(Panchanga!$W411/30+1)&amp;"J, "&amp;SIGN(X412-Panchanga!$X411)*INT(Panchanga!$X411/30+1)&amp;"V,"&amp;SIGN(Y412-Panchanga!$Y411)*INT(Panchanga!$Y411/30+1)&amp;"S,"&amp;INT(Panchanga!$Z411/30+1)&amp;"R"</f>
        <v>10Ma,11Me,10J, 2V,10S,3R</v>
      </c>
      <c r="S411" s="4">
        <f t="shared" si="61"/>
        <v>352.54294310813424</v>
      </c>
      <c r="T411" s="4">
        <f t="shared" si="62"/>
        <v>142.75580110274177</v>
      </c>
      <c r="U411" s="4">
        <f>Planet(Panchanga!$E411,4)</f>
        <v>280.17516014754807</v>
      </c>
      <c r="V411" s="4">
        <f>Planet(Panchanga!$E411,2)</f>
        <v>328.03110633219973</v>
      </c>
      <c r="W411" s="4">
        <f>Planet(Panchanga!$E411,5)</f>
        <v>270.85551176519101</v>
      </c>
      <c r="X411" s="4">
        <f>Planet(Panchanga!$E411,3)</f>
        <v>37.916710857080282</v>
      </c>
      <c r="Y411" s="4">
        <f>Planet(Panchanga!$E411,6)</f>
        <v>276.83357882588024</v>
      </c>
      <c r="Z411" s="4">
        <f>Planet(Panchanga!$E411,10)</f>
        <v>69.01882434678005</v>
      </c>
      <c r="AA411" s="4" t="str">
        <f>TEXT(Panchanga!$C411+($C412-Panchanga!$C411)/ABS(IF($P412&lt;1,$P412+30,$P412)-Panchanga!$P411)*(ROUNDUP(Panchanga!$P411,0)-Panchanga!$P411),"hh:mm AM/PM")</f>
        <v>03:49 PM</v>
      </c>
      <c r="AB411" s="4"/>
    </row>
    <row r="412" spans="1:28" x14ac:dyDescent="0.2">
      <c r="A412" s="3">
        <f t="shared" si="64"/>
        <v>43928</v>
      </c>
      <c r="B412" s="3">
        <f t="shared" si="58"/>
        <v>43928.229166666664</v>
      </c>
      <c r="C412" s="15">
        <f t="shared" si="59"/>
        <v>43928.251763708111</v>
      </c>
      <c r="D412" s="15">
        <f t="shared" si="60"/>
        <v>43927.764554481066</v>
      </c>
      <c r="E412" s="17">
        <f>Panchanga!$C412-TimeZone/24</f>
        <v>43928.022597041447</v>
      </c>
      <c r="F412" s="18" t="str">
        <f>INT(P[Sun]/30)&amp;"s"&amp;ROUNDUP(MOD(P[Sun],30),2)</f>
        <v>11s23.53</v>
      </c>
      <c r="G412" s="18" t="str">
        <f>INT(P[Moon]/30)&amp;"s"&amp;ROUNDUP(MOD(P[Moon],30),2)</f>
        <v>5s7.96</v>
      </c>
      <c r="H412" s="14">
        <f t="shared" si="63"/>
        <v>43928.022597041447</v>
      </c>
      <c r="I412" s="4" t="str">
        <f>naks(P[[#This Row],[Moon]])</f>
        <v>Uttara Phalguni</v>
      </c>
      <c r="J412" s="15">
        <f>(C413-P[[#This Row],[SunRise]])/(T413-P[[#This Row],[Moon]])*(13.3333333333333-MOD(P[[#This Row],[Moon]],13.333333333333))+P[[#This Row],[SunRise]]</f>
        <v>43928.385232940513</v>
      </c>
      <c r="K412" s="4" t="str">
        <f>IF(Panchanga!$P412&gt;15,"K","S")&amp;ROUNDUP(MOD(Panchanga!$P412,15),0)&amp;" ("&amp;ROUND(Panchanga!$P412,2)&amp;")"</f>
        <v>S14 (13.7)</v>
      </c>
      <c r="L412" s="4">
        <f>IF(AND(Panchanga!$P412&lt;28.5,Panchanga!$P412&gt;0.49999),MOD((Panchanga!$P412-0.5)*2,7),MOD((Panchanga!$P412+30-28.5),30)*2+7)</f>
        <v>5.4045999999999985</v>
      </c>
      <c r="M412" s="4" t="str">
        <f>CHOOSE(ROUNDUP(Panchanga!$L412,0),"Bhava","Baalava","Kaulava","Taitula","Garija","Vanija","Vishti","Shakuni","Chatushapda","Naaga","Kimstugna")</f>
        <v>Vanija</v>
      </c>
      <c r="N412" s="11" t="str">
        <f>CHOOSE(ROUNDUP(Panchanga!$Q412,0),"viṣkambha","prīti","āyuṣmāna","saubhāgya","śobhana","atigaṇḍa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("&amp;Panchanga!$Q412&amp;")"</f>
        <v>dhruva  (11.37)</v>
      </c>
      <c r="O412" s="4">
        <f>IF(AND(Panchanga!$P412&lt;28.5,Panchanga!$P412&gt;0.49999),MOD((Panchanga!$P412-0.5)*2,7),MOD((Panchanga!$P412+30-28.5),30)*2+7)</f>
        <v>5.4045999999999985</v>
      </c>
      <c r="P412" s="4">
        <f>ROUNDUP(MOD(360+P[Moon]-P[Sun],360)/12,4)</f>
        <v>13.702299999999999</v>
      </c>
      <c r="Q412" s="4">
        <f>ROUNDUP(MOD(P[Sun]+P[Moon],360)/13.333333333,2)</f>
        <v>11.37</v>
      </c>
      <c r="R412" s="4" t="str">
        <f>SIGN(U413-Panchanga!$U412)*INT(Panchanga!$U412/30+1)&amp;"Ma,"&amp;SIGN(V413-Panchanga!$V412)*INT(Panchanga!$V412/30+1)&amp;"Me,"&amp;SIGN(W413-Panchanga!$W412)*INT(Panchanga!$W412/30+1)&amp;"J, "&amp;SIGN(X413-Panchanga!$X412)*INT(Panchanga!$X412/30+1)&amp;"V,"&amp;SIGN(Y413-Panchanga!$Y412)*INT(Panchanga!$Y412/30+1)&amp;"S,"&amp;INT(Panchanga!$Z412/30+1)&amp;"R"</f>
        <v>10Ma,11Me,10J, 2V,10S,3R</v>
      </c>
      <c r="S412" s="4">
        <f t="shared" si="61"/>
        <v>353.52588685980572</v>
      </c>
      <c r="T412" s="4">
        <f t="shared" si="62"/>
        <v>157.95288415592407</v>
      </c>
      <c r="U412" s="4">
        <f>Planet(Panchanga!$E412,4)</f>
        <v>280.86988215151376</v>
      </c>
      <c r="V412" s="4">
        <f>Planet(Panchanga!$E412,2)</f>
        <v>329.48698510293536</v>
      </c>
      <c r="W412" s="4">
        <f>Planet(Panchanga!$E412,5)</f>
        <v>270.96630169006346</v>
      </c>
      <c r="X412" s="4">
        <f>Planet(Panchanga!$E412,3)</f>
        <v>38.787154562307087</v>
      </c>
      <c r="Y412" s="4">
        <f>Planet(Panchanga!$E412,6)</f>
        <v>276.88786591686738</v>
      </c>
      <c r="Z412" s="4">
        <f>Planet(Panchanga!$E412,10)</f>
        <v>68.965856339298341</v>
      </c>
      <c r="AA412" s="4" t="str">
        <f>TEXT(Panchanga!$C412+($C413-Panchanga!$C412)/ABS(IF($P413&lt;1,$P413+30,$P413)-Panchanga!$P412)*(ROUNDUP(Panchanga!$P412,0)-Panchanga!$P412),"hh:mm AM/PM")</f>
        <v>12:00 PM</v>
      </c>
      <c r="AB412" s="4"/>
    </row>
    <row r="413" spans="1:28" x14ac:dyDescent="0.2">
      <c r="A413" s="3">
        <f t="shared" si="64"/>
        <v>43929</v>
      </c>
      <c r="B413" s="3">
        <f t="shared" si="58"/>
        <v>43929.229166666664</v>
      </c>
      <c r="C413" s="15">
        <f t="shared" si="59"/>
        <v>43929.251314368252</v>
      </c>
      <c r="D413" s="15">
        <f t="shared" si="60"/>
        <v>43928.764615198175</v>
      </c>
      <c r="E413" s="17">
        <f>Panchanga!$C413-TimeZone/24</f>
        <v>43929.022147701588</v>
      </c>
      <c r="F413" s="18" t="str">
        <f>INT(P[Sun]/30)&amp;"s"&amp;ROUNDUP(MOD(P[Sun],30),2)</f>
        <v>11s24.51</v>
      </c>
      <c r="G413" s="18" t="str">
        <f>INT(P[Moon]/30)&amp;"s"&amp;ROUNDUP(MOD(P[Moon],30),2)</f>
        <v>5s23.29</v>
      </c>
      <c r="H413" s="14">
        <f t="shared" si="63"/>
        <v>43929.022147701588</v>
      </c>
      <c r="I413" s="4" t="str">
        <f>naks(P[[#This Row],[Moon]])</f>
        <v>Hasta</v>
      </c>
      <c r="J413" s="15">
        <f>(C414-P[[#This Row],[SunRise]])/(T414-P[[#This Row],[Moon]])*(13.3333333333333-MOD(P[[#This Row],[Moon]],13.333333333333))+P[[#This Row],[SunRise]]</f>
        <v>43929.254561209593</v>
      </c>
      <c r="K413" s="4" t="str">
        <f>IF(Panchanga!$P413&gt;15,"K","S")&amp;ROUNDUP(MOD(Panchanga!$P413,15),0)&amp;" ("&amp;ROUND(Panchanga!$P413,2)&amp;")"</f>
        <v>S15 (14.9)</v>
      </c>
      <c r="L413" s="4">
        <f>IF(AND(Panchanga!$P413&lt;28.5,Panchanga!$P413&gt;0.49999),MOD((Panchanga!$P413-0.5)*2,7),MOD((Panchanga!$P413+30-28.5),30)*2+7)</f>
        <v>0.79599999999999937</v>
      </c>
      <c r="M413" s="4" t="str">
        <f>CHOOSE(ROUNDUP(Panchanga!$L413,0),"Bhava","Baalava","Kaulava","Taitula","Garija","Vanija","Vishti","Shakuni","Chatushapda","Naaga","Kimstugna")</f>
        <v>Bhava</v>
      </c>
      <c r="N413" s="11" t="str">
        <f>CHOOSE(ROUNDUP(Panchanga!$Q413,0),"viṣkambha","prīti","āyuṣmāna","saubhāgya","śobhana","atigaṇḍa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("&amp;Panchanga!$Q413&amp;")"</f>
        <v>vyāghāta (12.59)</v>
      </c>
      <c r="O413" s="4">
        <f>IF(AND(Panchanga!$P413&lt;28.5,Panchanga!$P413&gt;0.49999),MOD((Panchanga!$P413-0.5)*2,7),MOD((Panchanga!$P413+30-28.5),30)*2+7)</f>
        <v>0.79599999999999937</v>
      </c>
      <c r="P413" s="4">
        <f>ROUNDUP(MOD(360+P[Moon]-P[Sun],360)/12,4)</f>
        <v>14.898</v>
      </c>
      <c r="Q413" s="4">
        <f>ROUNDUP(MOD(P[Sun]+P[Moon],360)/13.333333333,2)</f>
        <v>12.59</v>
      </c>
      <c r="R413" s="4" t="str">
        <f>SIGN(U414-Panchanga!$U413)*INT(Panchanga!$U413/30+1)&amp;"Ma,"&amp;SIGN(V414-Panchanga!$V413)*INT(Panchanga!$V413/30+1)&amp;"Me,"&amp;SIGN(W414-Panchanga!$W413)*INT(Panchanga!$W413/30+1)&amp;"J, "&amp;SIGN(X414-Panchanga!$X413)*INT(Panchanga!$X413/30+1)&amp;"V,"&amp;SIGN(Y414-Panchanga!$Y413)*INT(Panchanga!$Y413/30+1)&amp;"S,"&amp;INT(Panchanga!$Z413/30+1)&amp;"R"</f>
        <v>10Ma,12Me,10J, 2V,10S,3R</v>
      </c>
      <c r="S413" s="4">
        <f t="shared" si="61"/>
        <v>354.50824512448264</v>
      </c>
      <c r="T413" s="4">
        <f t="shared" si="62"/>
        <v>173.28372825046378</v>
      </c>
      <c r="U413" s="4">
        <f>Planet(Panchanga!$E413,4)</f>
        <v>281.56462296284735</v>
      </c>
      <c r="V413" s="4">
        <f>Planet(Panchanga!$E413,2)</f>
        <v>330.97029254860911</v>
      </c>
      <c r="W413" s="4">
        <f>Planet(Panchanga!$E413,5)</f>
        <v>271.07459281391976</v>
      </c>
      <c r="X413" s="4">
        <f>Planet(Panchanga!$E413,3)</f>
        <v>39.645934613243895</v>
      </c>
      <c r="Y413" s="4">
        <f>Planet(Panchanga!$E413,6)</f>
        <v>276.94072326402772</v>
      </c>
      <c r="Z413" s="4">
        <f>Planet(Panchanga!$E413,10)</f>
        <v>68.912888154980536</v>
      </c>
      <c r="AA413" s="4" t="str">
        <f>TEXT(Panchanga!$C413+($C414-Panchanga!$C413)/ABS(IF($P414&lt;1,$P414+30,$P414)-Panchanga!$P413)*(ROUNDUP(Panchanga!$P413,0)-Panchanga!$P413),"hh:mm AM/PM")</f>
        <v>08:05 AM</v>
      </c>
      <c r="AB413" s="4"/>
    </row>
    <row r="414" spans="1:28" x14ac:dyDescent="0.2">
      <c r="A414" s="3">
        <f t="shared" si="64"/>
        <v>43930</v>
      </c>
      <c r="B414" s="3">
        <f t="shared" si="58"/>
        <v>43930.229166666664</v>
      </c>
      <c r="C414" s="15">
        <f t="shared" si="59"/>
        <v>43930.250868843556</v>
      </c>
      <c r="D414" s="15">
        <f t="shared" si="60"/>
        <v>43929.764677663843</v>
      </c>
      <c r="E414" s="17">
        <f>Panchanga!$C414-TimeZone/24</f>
        <v>43930.021702176891</v>
      </c>
      <c r="F414" s="18" t="str">
        <f>INT(P[Sun]/30)&amp;"s"&amp;ROUNDUP(MOD(P[Sun],30),2)</f>
        <v>11s25.5</v>
      </c>
      <c r="G414" s="18" t="str">
        <f>INT(P[Moon]/30)&amp;"s"&amp;ROUNDUP(MOD(P[Moon],30),2)</f>
        <v>6s8.56</v>
      </c>
      <c r="H414" s="14">
        <f t="shared" si="63"/>
        <v>43930.021702176891</v>
      </c>
      <c r="I414" s="4" t="str">
        <f>naks(P[[#This Row],[Moon]])</f>
        <v>Swati</v>
      </c>
      <c r="J414" s="15">
        <f>(C415-P[[#This Row],[SunRise]])/(T415-P[[#This Row],[Moon]])*(13.3333333333333-MOD(P[[#This Row],[Moon]],13.333333333333))+P[[#This Row],[SunRise]]</f>
        <v>43931.012116417987</v>
      </c>
      <c r="K414" s="4" t="str">
        <f>IF(Panchanga!$P414&gt;15,"K","S")&amp;ROUNDUP(MOD(Panchanga!$P414,15),0)&amp;" ("&amp;ROUND(Panchanga!$P414,2)&amp;")"</f>
        <v>K2 (16.09)</v>
      </c>
      <c r="L414" s="4">
        <f>IF(AND(Panchanga!$P414&lt;28.5,Panchanga!$P414&gt;0.49999),MOD((Panchanga!$P414-0.5)*2,7),MOD((Panchanga!$P414+30-28.5),30)*2+7)</f>
        <v>3.1775999999999982</v>
      </c>
      <c r="M414" s="4" t="str">
        <f>CHOOSE(ROUNDUP(Panchanga!$L414,0),"Bhava","Baalava","Kaulava","Taitula","Garija","Vanija","Vishti","Shakuni","Chatushapda","Naaga","Kimstugna")</f>
        <v>Taitula</v>
      </c>
      <c r="N414" s="11" t="str">
        <f>CHOOSE(ROUNDUP(Panchanga!$Q414,0),"viṣkambha","prīti","āyuṣmāna","saubhāgya","śobhana","atigaṇḍa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("&amp;Panchanga!$Q414&amp;")"</f>
        <v>harṣaṇa (13.81)</v>
      </c>
      <c r="O414" s="4">
        <f>IF(AND(Panchanga!$P414&lt;28.5,Panchanga!$P414&gt;0.49999),MOD((Panchanga!$P414-0.5)*2,7),MOD((Panchanga!$P414+30-28.5),30)*2+7)</f>
        <v>3.1775999999999982</v>
      </c>
      <c r="P414" s="4">
        <f>ROUNDUP(MOD(360+P[Moon]-P[Sun],360)/12,4)</f>
        <v>16.088799999999999</v>
      </c>
      <c r="Q414" s="4">
        <f>ROUNDUP(MOD(P[Sun]+P[Moon],360)/13.333333333,2)</f>
        <v>13.81</v>
      </c>
      <c r="R414" s="4" t="str">
        <f>SIGN(U415-Panchanga!$U414)*INT(Panchanga!$U414/30+1)&amp;"Ma,"&amp;SIGN(V415-Panchanga!$V414)*INT(Panchanga!$V414/30+1)&amp;"Me,"&amp;SIGN(W415-Panchanga!$W414)*INT(Panchanga!$W414/30+1)&amp;"J, "&amp;SIGN(X415-Panchanga!$X414)*INT(Panchanga!$X414/30+1)&amp;"V,"&amp;SIGN(Y415-Panchanga!$Y414)*INT(Panchanga!$Y414/30+1)&amp;"S,"&amp;INT(Panchanga!$Z414/30+1)&amp;"R"</f>
        <v>10Ma,12Me,10J, 2V,10S,3R</v>
      </c>
      <c r="S414" s="4">
        <f t="shared" si="61"/>
        <v>355.49004286914652</v>
      </c>
      <c r="T414" s="4">
        <f t="shared" si="62"/>
        <v>188.55487254052036</v>
      </c>
      <c r="U414" s="4">
        <f>Planet(Panchanga!$E414,4)</f>
        <v>282.25937994656277</v>
      </c>
      <c r="V414" s="4">
        <f>Planet(Panchanga!$E414,2)</f>
        <v>332.480681574475</v>
      </c>
      <c r="W414" s="4">
        <f>Planet(Panchanga!$E414,5)</f>
        <v>271.18036068282208</v>
      </c>
      <c r="X414" s="4">
        <f>Planet(Panchanga!$E414,3)</f>
        <v>40.492649580596051</v>
      </c>
      <c r="Y414" s="4">
        <f>Planet(Panchanga!$E414,6)</f>
        <v>276.99214060195681</v>
      </c>
      <c r="Z414" s="4">
        <f>Planet(Panchanga!$E414,10)</f>
        <v>68.859919768476246</v>
      </c>
      <c r="AA414" s="4" t="str">
        <f>TEXT(Panchanga!$C414+($C415-Panchanga!$C414)/ABS(IF($P415&lt;1,$P415+30,$P415)-Panchanga!$P414)*(ROUNDUP(Panchanga!$P414,0)-Panchanga!$P414),"hh:mm AM/PM")</f>
        <v>12:41 AM</v>
      </c>
      <c r="AB414" s="4"/>
    </row>
    <row r="415" spans="1:28" x14ac:dyDescent="0.2">
      <c r="A415" s="3">
        <f t="shared" si="64"/>
        <v>43931</v>
      </c>
      <c r="B415" s="3">
        <f t="shared" si="58"/>
        <v>43931.229166666664</v>
      </c>
      <c r="C415" s="15">
        <f t="shared" si="59"/>
        <v>43931.250427133557</v>
      </c>
      <c r="D415" s="15">
        <f t="shared" si="60"/>
        <v>43930.764742354906</v>
      </c>
      <c r="E415" s="17">
        <f>Panchanga!$C415-TimeZone/24</f>
        <v>43931.021260466892</v>
      </c>
      <c r="F415" s="18" t="str">
        <f>INT(P[Sun]/30)&amp;"s"&amp;ROUNDUP(MOD(P[Sun],30),2)</f>
        <v>11s26.48</v>
      </c>
      <c r="G415" s="18" t="str">
        <f>INT(P[Moon]/30)&amp;"s"&amp;ROUNDUP(MOD(P[Moon],30),2)</f>
        <v>6s23.59</v>
      </c>
      <c r="H415" s="14">
        <f t="shared" si="63"/>
        <v>43931.021260466892</v>
      </c>
      <c r="I415" s="4" t="str">
        <f>naks(P[[#This Row],[Moon]])</f>
        <v>Visakha</v>
      </c>
      <c r="J415" s="15">
        <f>(C416-P[[#This Row],[SunRise]])/(T416-P[[#This Row],[Moon]])*(13.3333333333333-MOD(P[[#This Row],[Moon]],13.333333333333))+P[[#This Row],[SunRise]]</f>
        <v>43931.916000253717</v>
      </c>
      <c r="K415" s="4" t="str">
        <f>IF(Panchanga!$P415&gt;15,"K","S")&amp;ROUNDUP(MOD(Panchanga!$P415,15),0)&amp;" ("&amp;ROUND(Panchanga!$P415,2)&amp;")"</f>
        <v>K3 (17.26)</v>
      </c>
      <c r="L415" s="4">
        <f>IF(AND(Panchanga!$P415&lt;28.5,Panchanga!$P415&gt;0.49999),MOD((Panchanga!$P415-0.5)*2,7),MOD((Panchanga!$P415+30-28.5),30)*2+7)</f>
        <v>5.5187999999999988</v>
      </c>
      <c r="M415" s="4" t="str">
        <f>CHOOSE(ROUNDUP(Panchanga!$L415,0),"Bhava","Baalava","Kaulava","Taitula","Garija","Vanija","Vishti","Shakuni","Chatushapda","Naaga","Kimstugna")</f>
        <v>Vanija</v>
      </c>
      <c r="N415" s="11" t="str">
        <f>CHOOSE(ROUNDUP(Panchanga!$Q415,0),"viṣkambha","prīti","āyuṣmāna","saubhāgya","śobhana","atigaṇḍa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("&amp;Panchanga!$Q415&amp;")"</f>
        <v>siddhi (15.01)</v>
      </c>
      <c r="O415" s="4">
        <f>IF(AND(Panchanga!$P415&lt;28.5,Panchanga!$P415&gt;0.49999),MOD((Panchanga!$P415-0.5)*2,7),MOD((Panchanga!$P415+30-28.5),30)*2+7)</f>
        <v>5.5187999999999988</v>
      </c>
      <c r="P415" s="4">
        <f>ROUNDUP(MOD(360+P[Moon]-P[Sun],360)/12,4)</f>
        <v>17.259399999999999</v>
      </c>
      <c r="Q415" s="4">
        <f>ROUNDUP(MOD(P[Sun]+P[Moon],360)/13.333333333,2)</f>
        <v>15.01</v>
      </c>
      <c r="R415" s="4" t="str">
        <f>SIGN(U416-Panchanga!$U415)*INT(Panchanga!$U415/30+1)&amp;"Ma,"&amp;SIGN(V416-Panchanga!$V415)*INT(Panchanga!$V415/30+1)&amp;"Me,"&amp;SIGN(W416-Panchanga!$W415)*INT(Panchanga!$W415/30+1)&amp;"J, "&amp;SIGN(X416-Panchanga!$X415)*INT(Panchanga!$X415/30+1)&amp;"V,"&amp;SIGN(Y416-Panchanga!$Y415)*INT(Panchanga!$Y415/30+1)&amp;"S,"&amp;INT(Panchanga!$Z415/30+1)&amp;"R"</f>
        <v>10Ma,12Me,10J, 2V,10S,3R</v>
      </c>
      <c r="S415" s="4">
        <f t="shared" si="61"/>
        <v>356.47130466311933</v>
      </c>
      <c r="T415" s="4">
        <f t="shared" si="62"/>
        <v>203.58292966207659</v>
      </c>
      <c r="U415" s="4">
        <f>Planet(Panchanga!$E415,4)</f>
        <v>282.95414497460735</v>
      </c>
      <c r="V415" s="4">
        <f>Planet(Panchanga!$E415,2)</f>
        <v>334.01788106700025</v>
      </c>
      <c r="W415" s="4">
        <f>Planet(Panchanga!$E415,5)</f>
        <v>271.28357940843193</v>
      </c>
      <c r="X415" s="4">
        <f>Planet(Panchanga!$E415,3)</f>
        <v>41.326888724169628</v>
      </c>
      <c r="Y415" s="4">
        <f>Planet(Panchanga!$E415,6)</f>
        <v>277.04210710017242</v>
      </c>
      <c r="Z415" s="4">
        <f>Planet(Panchanga!$E415,10)</f>
        <v>68.806951179835323</v>
      </c>
      <c r="AA415" s="4" t="str">
        <f>TEXT(Panchanga!$C415+($C416-Panchanga!$C415)/ABS(IF($P416&lt;1,$P416+30,$P416)-Panchanga!$P415)*(ROUNDUP(Panchanga!$P415,0)-Panchanga!$P415),"hh:mm AM/PM")</f>
        <v>09:36 PM</v>
      </c>
      <c r="AB415" s="4"/>
    </row>
    <row r="416" spans="1:28" x14ac:dyDescent="0.2">
      <c r="A416" s="3">
        <f t="shared" si="64"/>
        <v>43932</v>
      </c>
      <c r="B416" s="3">
        <f t="shared" si="58"/>
        <v>43932.229166666664</v>
      </c>
      <c r="C416" s="15">
        <f t="shared" si="59"/>
        <v>43932.249989714626</v>
      </c>
      <c r="D416" s="15">
        <f t="shared" si="60"/>
        <v>43931.764809112108</v>
      </c>
      <c r="E416" s="17">
        <f>Panchanga!$C416-TimeZone/24</f>
        <v>43932.020823047962</v>
      </c>
      <c r="F416" s="18" t="str">
        <f>INT(P[Sun]/30)&amp;"s"&amp;ROUNDUP(MOD(P[Sun],30),2)</f>
        <v>11s27.46</v>
      </c>
      <c r="G416" s="18" t="str">
        <f>INT(P[Moon]/30)&amp;"s"&amp;ROUNDUP(MOD(P[Moon],30),2)</f>
        <v>7s8.23</v>
      </c>
      <c r="H416" s="14">
        <f t="shared" si="63"/>
        <v>43932.020823047962</v>
      </c>
      <c r="I416" s="4" t="str">
        <f>naks(P[[#This Row],[Moon]])</f>
        <v>Anuradha</v>
      </c>
      <c r="J416" s="15">
        <f>(C417-P[[#This Row],[SunRise]])/(T417-P[[#This Row],[Moon]])*(13.3333333333333-MOD(P[[#This Row],[Moon]],13.333333333333))+P[[#This Row],[SunRise]]</f>
        <v>43932.845156668511</v>
      </c>
      <c r="K416" s="4" t="str">
        <f>IF(Panchanga!$P416&gt;15,"K","S")&amp;ROUNDUP(MOD(Panchanga!$P416,15),0)&amp;" ("&amp;ROUND(Panchanga!$P416,2)&amp;")"</f>
        <v>K4 (18.4)</v>
      </c>
      <c r="L416" s="4">
        <f>IF(AND(Panchanga!$P416&lt;28.5,Panchanga!$P416&gt;0.49999),MOD((Panchanga!$P416-0.5)*2,7),MOD((Panchanga!$P416+30-28.5),30)*2+7)</f>
        <v>0.79579999999999984</v>
      </c>
      <c r="M416" s="4" t="str">
        <f>CHOOSE(ROUNDUP(Panchanga!$L416,0),"Bhava","Baalava","Kaulava","Taitula","Garija","Vanija","Vishti","Shakuni","Chatushapda","Naaga","Kimstugna")</f>
        <v>Bhava</v>
      </c>
      <c r="N416" s="11" t="str">
        <f>CHOOSE(ROUNDUP(Panchanga!$Q416,0),"viṣkambha","prīti","āyuṣmāna","saubhāgya","śobhana","atigaṇḍa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("&amp;Panchanga!$Q416&amp;")"</f>
        <v>vyatipāta (16.18)</v>
      </c>
      <c r="O416" s="4">
        <f>IF(AND(Panchanga!$P416&lt;28.5,Panchanga!$P416&gt;0.49999),MOD((Panchanga!$P416-0.5)*2,7),MOD((Panchanga!$P416+30-28.5),30)*2+7)</f>
        <v>0.79579999999999984</v>
      </c>
      <c r="P416" s="4">
        <f>ROUNDUP(MOD(360+P[Moon]-P[Sun],360)/12,4)</f>
        <v>18.3979</v>
      </c>
      <c r="Q416" s="4">
        <f>ROUNDUP(MOD(P[Sun]+P[Moon],360)/13.333333333,2)</f>
        <v>16.180000000000003</v>
      </c>
      <c r="R416" s="4" t="str">
        <f>SIGN(U417-Panchanga!$U416)*INT(Panchanga!$U416/30+1)&amp;"Ma,"&amp;SIGN(V417-Panchanga!$V416)*INT(Panchanga!$V416/30+1)&amp;"Me,"&amp;SIGN(W417-Panchanga!$W416)*INT(Panchanga!$W416/30+1)&amp;"J, "&amp;SIGN(X417-Panchanga!$X416)*INT(Panchanga!$X416/30+1)&amp;"V,"&amp;SIGN(Y417-Panchanga!$Y416)*INT(Panchanga!$Y416/30+1)&amp;"S,"&amp;INT(Panchanga!$Z416/30+1)&amp;"R"</f>
        <v>10Ma,12Me,10J, 2V,10S,3R</v>
      </c>
      <c r="S416" s="4">
        <f t="shared" si="61"/>
        <v>357.45205333563155</v>
      </c>
      <c r="T416" s="4">
        <f t="shared" si="62"/>
        <v>218.22615722766821</v>
      </c>
      <c r="U416" s="4">
        <f>Planet(Panchanga!$E416,4)</f>
        <v>283.64890486781815</v>
      </c>
      <c r="V416" s="4">
        <f>Planet(Panchanga!$E416,2)</f>
        <v>335.58169018499359</v>
      </c>
      <c r="W416" s="4">
        <f>Planet(Panchanga!$E416,5)</f>
        <v>271.38422183092456</v>
      </c>
      <c r="X416" s="4">
        <f>Planet(Panchanga!$E416,3)</f>
        <v>42.148229037787793</v>
      </c>
      <c r="Y416" s="4">
        <f>Planet(Panchanga!$E416,6)</f>
        <v>277.09061141513087</v>
      </c>
      <c r="Z416" s="4">
        <f>Planet(Panchanga!$E416,10)</f>
        <v>68.753982363806784</v>
      </c>
      <c r="AA416" s="4" t="str">
        <f>TEXT(Panchanga!$C416+($C417-Panchanga!$C416)/ABS(IF($P417&lt;1,$P417+30,$P417)-Panchanga!$P416)*(ROUNDUP(Panchanga!$P416,0)-Panchanga!$P416),"hh:mm AM/PM")</f>
        <v>07:08 PM</v>
      </c>
      <c r="AB416" s="4"/>
    </row>
    <row r="417" spans="1:28" x14ac:dyDescent="0.2">
      <c r="A417" s="3">
        <f t="shared" si="64"/>
        <v>43933</v>
      </c>
      <c r="B417" s="3">
        <f t="shared" si="58"/>
        <v>43933.229166666664</v>
      </c>
      <c r="C417" s="15">
        <f t="shared" si="59"/>
        <v>43933.249556746487</v>
      </c>
      <c r="D417" s="15">
        <f t="shared" si="60"/>
        <v>43932.764878412287</v>
      </c>
      <c r="E417" s="17">
        <f>Panchanga!$C417-TimeZone/24</f>
        <v>43933.020390079822</v>
      </c>
      <c r="F417" s="18" t="str">
        <f>INT(P[Sun]/30)&amp;"s"&amp;ROUNDUP(MOD(P[Sun],30),2)</f>
        <v>11s28.44</v>
      </c>
      <c r="G417" s="18" t="str">
        <f>INT(P[Moon]/30)&amp;"s"&amp;ROUNDUP(MOD(P[Moon],30),2)</f>
        <v>7s22.41</v>
      </c>
      <c r="H417" s="14">
        <f t="shared" si="63"/>
        <v>43933.020390079822</v>
      </c>
      <c r="I417" s="4" t="str">
        <f>naks(P[[#This Row],[Moon]])</f>
        <v>Jyestha</v>
      </c>
      <c r="J417" s="15">
        <f>(C418-P[[#This Row],[SunRise]])/(T418-P[[#This Row],[Moon]])*(13.3333333333333-MOD(P[[#This Row],[Moon]],13.333333333333))+P[[#This Row],[SunRise]]</f>
        <v>43933.804556107571</v>
      </c>
      <c r="K417" s="4" t="str">
        <f>IF(Panchanga!$P417&gt;15,"K","S")&amp;ROUNDUP(MOD(Panchanga!$P417,15),0)&amp;" ("&amp;ROUND(Panchanga!$P417,2)&amp;")"</f>
        <v>K5 (19.5)</v>
      </c>
      <c r="L417" s="4">
        <f>IF(AND(Panchanga!$P417&lt;28.5,Panchanga!$P417&gt;0.49999),MOD((Panchanga!$P417-0.5)*2,7),MOD((Panchanga!$P417+30-28.5),30)*2+7)</f>
        <v>2.9949999999999974</v>
      </c>
      <c r="M417" s="4" t="str">
        <f>CHOOSE(ROUNDUP(Panchanga!$L417,0),"Bhava","Baalava","Kaulava","Taitula","Garija","Vanija","Vishti","Shakuni","Chatushapda","Naaga","Kimstugna")</f>
        <v>Kaulava</v>
      </c>
      <c r="N417" s="11" t="str">
        <f>CHOOSE(ROUNDUP(Panchanga!$Q417,0),"viṣkambha","prīti","āyuṣmāna","saubhāgya","śobhana","atigaṇḍa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("&amp;Panchanga!$Q417&amp;")"</f>
        <v>varīyas (17.32)</v>
      </c>
      <c r="O417" s="4">
        <f>IF(AND(Panchanga!$P417&lt;28.5,Panchanga!$P417&gt;0.49999),MOD((Panchanga!$P417-0.5)*2,7),MOD((Panchanga!$P417+30-28.5),30)*2+7)</f>
        <v>2.9949999999999974</v>
      </c>
      <c r="P417" s="4">
        <f>ROUNDUP(MOD(360+P[Moon]-P[Sun],360)/12,4)</f>
        <v>19.497499999999999</v>
      </c>
      <c r="Q417" s="4">
        <f>ROUNDUP(MOD(P[Sun]+P[Moon],360)/13.333333333,2)</f>
        <v>17.32</v>
      </c>
      <c r="R417" s="4" t="str">
        <f>SIGN(U418-Panchanga!$U417)*INT(Panchanga!$U417/30+1)&amp;"Ma,"&amp;SIGN(V418-Panchanga!$V417)*INT(Panchanga!$V417/30+1)&amp;"Me,"&amp;SIGN(W418-Panchanga!$W417)*INT(Panchanga!$W417/30+1)&amp;"J, "&amp;SIGN(X418-Panchanga!$X417)*INT(Panchanga!$X417/30+1)&amp;"V,"&amp;SIGN(Y418-Panchanga!$Y417)*INT(Panchanga!$Y417/30+1)&amp;"S,"&amp;INT(Panchanga!$Z417/30+1)&amp;"R"</f>
        <v>10Ma,12Me,10J, 2V,10S,3R</v>
      </c>
      <c r="S417" s="4">
        <f t="shared" si="61"/>
        <v>358.43230746842062</v>
      </c>
      <c r="T417" s="4">
        <f t="shared" si="62"/>
        <v>232.40176780601021</v>
      </c>
      <c r="U417" s="4">
        <f>Planet(Panchanga!$E417,4)</f>
        <v>284.34364140099154</v>
      </c>
      <c r="V417" s="4">
        <f>Planet(Panchanga!$E417,2)</f>
        <v>337.17197085418462</v>
      </c>
      <c r="W417" s="4">
        <f>Planet(Panchanga!$E417,5)</f>
        <v>271.48225972616768</v>
      </c>
      <c r="X417" s="4">
        <f>Planet(Panchanga!$E417,3)</f>
        <v>42.956230091092451</v>
      </c>
      <c r="Y417" s="4">
        <f>Planet(Panchanga!$E417,6)</f>
        <v>277.13764177855768</v>
      </c>
      <c r="Z417" s="4">
        <f>Planet(Panchanga!$E417,10)</f>
        <v>68.701013311907602</v>
      </c>
      <c r="AA417" s="4" t="str">
        <f>TEXT(Panchanga!$C417+($C418-Panchanga!$C417)/ABS(IF($P418&lt;1,$P418+30,$P418)-Panchanga!$P417)*(ROUNDUP(Panchanga!$P417,0)-Panchanga!$P417),"hh:mm AM/PM")</f>
        <v>05:22 PM</v>
      </c>
      <c r="AB417" s="4"/>
    </row>
    <row r="418" spans="1:28" x14ac:dyDescent="0.2">
      <c r="A418" s="3">
        <f t="shared" si="64"/>
        <v>43934</v>
      </c>
      <c r="B418" s="3">
        <f t="shared" si="58"/>
        <v>43934.229166666664</v>
      </c>
      <c r="C418" s="15">
        <f t="shared" si="59"/>
        <v>43934.249128705975</v>
      </c>
      <c r="D418" s="15">
        <f t="shared" si="60"/>
        <v>43933.764950414698</v>
      </c>
      <c r="E418" s="17">
        <f>Panchanga!$C418-TimeZone/24</f>
        <v>43934.01996203931</v>
      </c>
      <c r="F418" s="18" t="str">
        <f>INT(P[Sun]/30)&amp;"s"&amp;ROUNDUP(MOD(P[Sun],30),2)</f>
        <v>11s29.42</v>
      </c>
      <c r="G418" s="18" t="str">
        <f>INT(P[Moon]/30)&amp;"s"&amp;ROUNDUP(MOD(P[Moon],30),2)</f>
        <v>8s6.09</v>
      </c>
      <c r="H418" s="14">
        <f t="shared" si="63"/>
        <v>43934.01996203931</v>
      </c>
      <c r="I418" s="4" t="str">
        <f>naks(P[[#This Row],[Moon]])</f>
        <v>Moola</v>
      </c>
      <c r="J418" s="15">
        <f>(C419-P[[#This Row],[SunRise]])/(T419-P[[#This Row],[Moon]])*(13.3333333333333-MOD(P[[#This Row],[Moon]],13.333333333333))+P[[#This Row],[SunRise]]</f>
        <v>43934.797143179778</v>
      </c>
      <c r="K418" s="4" t="str">
        <f>IF(Panchanga!$P418&gt;15,"K","S")&amp;ROUNDUP(MOD(Panchanga!$P418,15),0)&amp;" ("&amp;ROUND(Panchanga!$P418,2)&amp;")"</f>
        <v>K6 (20.56)</v>
      </c>
      <c r="L418" s="4">
        <f>IF(AND(Panchanga!$P418&lt;28.5,Panchanga!$P418&gt;0.49999),MOD((Panchanga!$P418-0.5)*2,7),MOD((Panchanga!$P418+30-28.5),30)*2+7)</f>
        <v>5.1124000000000009</v>
      </c>
      <c r="M418" s="4" t="str">
        <f>CHOOSE(ROUNDUP(Panchanga!$L418,0),"Bhava","Baalava","Kaulava","Taitula","Garija","Vanija","Vishti","Shakuni","Chatushapda","Naaga","Kimstugna")</f>
        <v>Vanija</v>
      </c>
      <c r="N418" s="11" t="str">
        <f>CHOOSE(ROUNDUP(Panchanga!$Q418,0),"viṣkambha","prīti","āyuṣmāna","saubhāgya","śobhana","atigaṇḍa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("&amp;Panchanga!$Q418&amp;")"</f>
        <v>parigha (18.42)</v>
      </c>
      <c r="O418" s="4">
        <f>IF(AND(Panchanga!$P418&lt;28.5,Panchanga!$P418&gt;0.49999),MOD((Panchanga!$P418-0.5)*2,7),MOD((Panchanga!$P418+30-28.5),30)*2+7)</f>
        <v>5.1124000000000009</v>
      </c>
      <c r="P418" s="4">
        <f>ROUNDUP(MOD(360+P[Moon]-P[Sun],360)/12,4)</f>
        <v>20.5562</v>
      </c>
      <c r="Q418" s="4">
        <f>ROUNDUP(MOD(P[Sun]+P[Moon],360)/13.333333333,2)</f>
        <v>18.420000000000002</v>
      </c>
      <c r="R418" s="4" t="str">
        <f>SIGN(U419-Panchanga!$U418)*INT(Panchanga!$U418/30+1)&amp;"Ma,"&amp;SIGN(V419-Panchanga!$V418)*INT(Panchanga!$V418/30+1)&amp;"Me,"&amp;SIGN(W419-Panchanga!$W418)*INT(Panchanga!$W418/30+1)&amp;"J, "&amp;SIGN(X419-Panchanga!$X418)*INT(Panchanga!$X418/30+1)&amp;"V,"&amp;SIGN(Y419-Panchanga!$Y418)*INT(Panchanga!$Y418/30+1)&amp;"S,"&amp;INT(Panchanga!$Z418/30+1)&amp;"R"</f>
        <v>10Ma,12Me,10J, 2V,10S,3R</v>
      </c>
      <c r="S418" s="4">
        <f t="shared" si="61"/>
        <v>359.41208115539723</v>
      </c>
      <c r="T418" s="4">
        <f t="shared" si="62"/>
        <v>246.08643192521458</v>
      </c>
      <c r="U418" s="4">
        <f>Planet(Panchanga!$E418,4)</f>
        <v>285.03833285398645</v>
      </c>
      <c r="V418" s="4">
        <f>Planet(Panchanga!$E418,2)</f>
        <v>338.78864316518133</v>
      </c>
      <c r="W418" s="4">
        <f>Planet(Panchanga!$E418,5)</f>
        <v>271.57766429889591</v>
      </c>
      <c r="X418" s="4">
        <f>Planet(Panchanga!$E418,3)</f>
        <v>43.750430249919461</v>
      </c>
      <c r="Y418" s="4">
        <f>Planet(Panchanga!$E418,6)</f>
        <v>277.18318622905076</v>
      </c>
      <c r="Z418" s="4">
        <f>Planet(Panchanga!$E418,10)</f>
        <v>68.648043998903319</v>
      </c>
      <c r="AA418" s="4" t="str">
        <f>TEXT(Panchanga!$C418+($C419-Panchanga!$C418)/ABS(IF($P419&lt;1,$P419+30,$P419)-Panchanga!$P418)*(ROUNDUP(Panchanga!$P418,0)-Panchanga!$P418),"hh:mm AM/PM")</f>
        <v>04:25 PM</v>
      </c>
      <c r="AB418" s="4"/>
    </row>
    <row r="419" spans="1:28" x14ac:dyDescent="0.2">
      <c r="A419" s="3">
        <f t="shared" si="64"/>
        <v>43935</v>
      </c>
      <c r="B419" s="3">
        <f t="shared" si="58"/>
        <v>43935.229166666664</v>
      </c>
      <c r="C419" s="15">
        <f t="shared" si="59"/>
        <v>43935.248705751415</v>
      </c>
      <c r="D419" s="15">
        <f t="shared" si="60"/>
        <v>43934.765025119341</v>
      </c>
      <c r="E419" s="17">
        <f>Panchanga!$C419-TimeZone/24</f>
        <v>43935.019539084751</v>
      </c>
      <c r="F419" s="18" t="str">
        <f>INT(P[Sun]/30)&amp;"s"&amp;ROUNDUP(MOD(P[Sun],30),2)</f>
        <v>0s0.4</v>
      </c>
      <c r="G419" s="18" t="str">
        <f>INT(P[Moon]/30)&amp;"s"&amp;ROUNDUP(MOD(P[Moon],30),2)</f>
        <v>8s19.31</v>
      </c>
      <c r="H419" s="14">
        <f t="shared" si="63"/>
        <v>43935.019539084751</v>
      </c>
      <c r="I419" s="4" t="str">
        <f>naks(P[[#This Row],[Moon]])</f>
        <v>Purva Asadha</v>
      </c>
      <c r="J419" s="15">
        <f>(C420-P[[#This Row],[SunRise]])/(T420-P[[#This Row],[Moon]])*(13.3333333333333-MOD(P[[#This Row],[Moon]],13.333333333333))+P[[#This Row],[SunRise]]</f>
        <v>43935.82323151669</v>
      </c>
      <c r="K419" s="4" t="str">
        <f>IF(Panchanga!$P419&gt;15,"K","S")&amp;ROUNDUP(MOD(Panchanga!$P419,15),0)&amp;" ("&amp;ROUND(Panchanga!$P419,2)&amp;")"</f>
        <v>K7 (21.58)</v>
      </c>
      <c r="L419" s="4">
        <f>IF(AND(Panchanga!$P419&lt;28.5,Panchanga!$P419&gt;0.49999),MOD((Panchanga!$P419-0.5)*2,7),MOD((Panchanga!$P419+30-28.5),30)*2+7)</f>
        <v>0.15240000000000009</v>
      </c>
      <c r="M419" s="4" t="str">
        <f>CHOOSE(ROUNDUP(Panchanga!$L419,0),"Bhava","Baalava","Kaulava","Taitula","Garija","Vanija","Vishti","Shakuni","Chatushapda","Naaga","Kimstugna")</f>
        <v>Bhava</v>
      </c>
      <c r="N419" s="11" t="str">
        <f>CHOOSE(ROUNDUP(Panchanga!$Q419,0),"viṣkambha","prīti","āyuṣmāna","saubhāgya","śobhana","atigaṇḍa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("&amp;Panchanga!$Q419&amp;")"</f>
        <v>śiva (19.48)</v>
      </c>
      <c r="O419" s="4">
        <f>IF(AND(Panchanga!$P419&lt;28.5,Panchanga!$P419&gt;0.49999),MOD((Panchanga!$P419-0.5)*2,7),MOD((Panchanga!$P419+30-28.5),30)*2+7)</f>
        <v>0.15240000000000009</v>
      </c>
      <c r="P419" s="4">
        <f>ROUNDUP(MOD(360+P[Moon]-P[Sun],360)/12,4)</f>
        <v>21.5762</v>
      </c>
      <c r="Q419" s="4">
        <f>ROUNDUP(MOD(P[Sun]+P[Moon],360)/13.333333333,2)</f>
        <v>19.48</v>
      </c>
      <c r="R419" s="4" t="str">
        <f>SIGN(U420-Panchanga!$U419)*INT(Panchanga!$U419/30+1)&amp;"Ma,"&amp;SIGN(V420-Panchanga!$V419)*INT(Panchanga!$V419/30+1)&amp;"Me,"&amp;SIGN(W420-Panchanga!$W419)*INT(Panchanga!$W419/30+1)&amp;"J, "&amp;SIGN(X420-Panchanga!$X419)*INT(Panchanga!$X419/30+1)&amp;"V,"&amp;SIGN(Y420-Panchanga!$Y419)*INT(Panchanga!$Y419/30+1)&amp;"S,"&amp;INT(Panchanga!$Z419/30+1)&amp;"R"</f>
        <v>10Ma,12Me,10J, 2V,10S,3R</v>
      </c>
      <c r="S419" s="4">
        <f t="shared" si="61"/>
        <v>0.39138338438668174</v>
      </c>
      <c r="T419" s="4">
        <f t="shared" si="62"/>
        <v>259.3047621780978</v>
      </c>
      <c r="U419" s="4">
        <f>Planet(Panchanga!$E419,4)</f>
        <v>285.73295487223817</v>
      </c>
      <c r="V419" s="4">
        <f>Planet(Panchanga!$E419,2)</f>
        <v>340.43167907671034</v>
      </c>
      <c r="W419" s="4">
        <f>Planet(Panchanga!$E419,5)</f>
        <v>271.67040657162283</v>
      </c>
      <c r="X419" s="4">
        <f>Planet(Panchanga!$E419,3)</f>
        <v>44.53034277151626</v>
      </c>
      <c r="Y419" s="4">
        <f>Planet(Panchanga!$E419,6)</f>
        <v>277.22723281439164</v>
      </c>
      <c r="Z419" s="4">
        <f>Planet(Panchanga!$E419,10)</f>
        <v>68.595074416376974</v>
      </c>
      <c r="AA419" s="4" t="str">
        <f>TEXT(Panchanga!$C419+($C420-Panchanga!$C419)/ABS(IF($P420&lt;1,$P420+30,$P420)-Panchanga!$P419)*(ROUNDUP(Panchanga!$P419,0)-Panchanga!$P419),"hh:mm AM/PM")</f>
        <v>04:16 PM</v>
      </c>
      <c r="AB419" s="4"/>
    </row>
    <row r="420" spans="1:28" x14ac:dyDescent="0.2">
      <c r="A420" s="3">
        <f t="shared" si="64"/>
        <v>43936</v>
      </c>
      <c r="B420" s="3">
        <f t="shared" si="58"/>
        <v>43936.229166666664</v>
      </c>
      <c r="C420" s="15">
        <f t="shared" si="59"/>
        <v>43936.248288042065</v>
      </c>
      <c r="D420" s="15">
        <f t="shared" si="60"/>
        <v>43935.765102684541</v>
      </c>
      <c r="E420" s="17">
        <f>Panchanga!$C420-TimeZone/24</f>
        <v>43936.019121375401</v>
      </c>
      <c r="F420" s="18" t="str">
        <f>INT(P[Sun]/30)&amp;"s"&amp;ROUNDUP(MOD(P[Sun],30),2)</f>
        <v>0s1.38</v>
      </c>
      <c r="G420" s="18" t="str">
        <f>INT(P[Moon]/30)&amp;"s"&amp;ROUNDUP(MOD(P[Moon],30),2)</f>
        <v>9s2.12</v>
      </c>
      <c r="H420" s="14">
        <f t="shared" si="63"/>
        <v>43936.019121375401</v>
      </c>
      <c r="I420" s="4" t="str">
        <f>naks(P[[#This Row],[Moon]])</f>
        <v>Uttara Asadha</v>
      </c>
      <c r="J420" s="15">
        <f>(C421-P[[#This Row],[SunRise]])/(T421-P[[#This Row],[Moon]])*(13.3333333333333-MOD(P[[#This Row],[Moon]],13.333333333333))+P[[#This Row],[SunRise]]</f>
        <v>43936.880371279265</v>
      </c>
      <c r="K420" s="4" t="str">
        <f>IF(Panchanga!$P420&gt;15,"K","S")&amp;ROUNDUP(MOD(Panchanga!$P420,15),0)&amp;" ("&amp;ROUND(Panchanga!$P420,2)&amp;")"</f>
        <v>K8 (22.56)</v>
      </c>
      <c r="L420" s="4">
        <f>IF(AND(Panchanga!$P420&lt;28.5,Panchanga!$P420&gt;0.49999),MOD((Panchanga!$P420-0.5)*2,7),MOD((Panchanga!$P420+30-28.5),30)*2+7)</f>
        <v>2.1240000000000023</v>
      </c>
      <c r="M420" s="4" t="str">
        <f>CHOOSE(ROUNDUP(Panchanga!$L420,0),"Bhava","Baalava","Kaulava","Taitula","Garija","Vanija","Vishti","Shakuni","Chatushapda","Naaga","Kimstugna")</f>
        <v>Kaulava</v>
      </c>
      <c r="N420" s="11" t="str">
        <f>CHOOSE(ROUNDUP(Panchanga!$Q420,0),"viṣkambha","prīti","āyuṣmāna","saubhāgya","śobhana","atigaṇḍa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("&amp;Panchanga!$Q420&amp;")"</f>
        <v>siddha (20.52)</v>
      </c>
      <c r="O420" s="4">
        <f>IF(AND(Panchanga!$P420&lt;28.5,Panchanga!$P420&gt;0.49999),MOD((Panchanga!$P420-0.5)*2,7),MOD((Panchanga!$P420+30-28.5),30)*2+7)</f>
        <v>2.1240000000000023</v>
      </c>
      <c r="P420" s="4">
        <f>ROUNDUP(MOD(360+P[Moon]-P[Sun],360)/12,4)</f>
        <v>22.562000000000001</v>
      </c>
      <c r="Q420" s="4">
        <f>ROUNDUP(MOD(P[Sun]+P[Moon],360)/13.333333333,2)</f>
        <v>20.520000000000003</v>
      </c>
      <c r="R420" s="4" t="str">
        <f>SIGN(U421-Panchanga!$U420)*INT(Panchanga!$U420/30+1)&amp;"Ma,"&amp;SIGN(V421-Panchanga!$V420)*INT(Panchanga!$V420/30+1)&amp;"Me,"&amp;SIGN(W421-Panchanga!$W420)*INT(Panchanga!$W420/30+1)&amp;"J, "&amp;SIGN(X421-Panchanga!$X420)*INT(Panchanga!$X420/30+1)&amp;"V,"&amp;SIGN(Y421-Panchanga!$Y420)*INT(Panchanga!$Y420/30+1)&amp;"S,"&amp;INT(Panchanga!$Z420/30+1)&amp;"R"</f>
        <v>10Ma,12Me,10J, 2V,10S,3R</v>
      </c>
      <c r="S420" s="4">
        <f t="shared" si="61"/>
        <v>1.3702189564307297</v>
      </c>
      <c r="T420" s="4">
        <f t="shared" si="62"/>
        <v>272.11329017984696</v>
      </c>
      <c r="U420" s="4">
        <f>Planet(Panchanga!$E420,4)</f>
        <v>286.42748183918667</v>
      </c>
      <c r="V420" s="4">
        <f>Planet(Panchanga!$E420,2)</f>
        <v>342.10109742603572</v>
      </c>
      <c r="W420" s="4">
        <f>Planet(Panchanga!$E420,5)</f>
        <v>271.76045779564896</v>
      </c>
      <c r="X420" s="4">
        <f>Planet(Panchanga!$E420,3)</f>
        <v>45.295453856308811</v>
      </c>
      <c r="Y420" s="4">
        <f>Planet(Panchanga!$E420,6)</f>
        <v>277.26976980310508</v>
      </c>
      <c r="Z420" s="4">
        <f>Planet(Panchanga!$E420,10)</f>
        <v>68.542104555911777</v>
      </c>
      <c r="AA420" s="4" t="str">
        <f>TEXT(Panchanga!$C420+($C421-Panchanga!$C420)/ABS(IF($P421&lt;1,$P421+30,$P421)-Panchanga!$P420)*(ROUNDUP(Panchanga!$P420,0)-Panchanga!$P420),"hh:mm AM/PM")</f>
        <v>04:55 PM</v>
      </c>
      <c r="AB420" s="4"/>
    </row>
    <row r="421" spans="1:28" x14ac:dyDescent="0.2">
      <c r="A421" s="3">
        <f t="shared" si="64"/>
        <v>43937</v>
      </c>
      <c r="B421" s="3">
        <f t="shared" si="58"/>
        <v>43937.229166666664</v>
      </c>
      <c r="C421" s="15">
        <f t="shared" si="59"/>
        <v>43937.247875895504</v>
      </c>
      <c r="D421" s="15">
        <f t="shared" si="60"/>
        <v>43936.765183429277</v>
      </c>
      <c r="E421" s="17">
        <f>Panchanga!$C421-TimeZone/24</f>
        <v>43937.01870922884</v>
      </c>
      <c r="F421" s="18" t="str">
        <f>INT(P[Sun]/30)&amp;"s"&amp;ROUNDUP(MOD(P[Sun],30),2)</f>
        <v>0s2.35</v>
      </c>
      <c r="G421" s="18" t="str">
        <f>INT(P[Moon]/30)&amp;"s"&amp;ROUNDUP(MOD(P[Moon],30),2)</f>
        <v>9s14.59</v>
      </c>
      <c r="H421" s="14">
        <f t="shared" si="63"/>
        <v>43937.01870922884</v>
      </c>
      <c r="I421" s="4" t="str">
        <f>naks(P[[#This Row],[Moon]])</f>
        <v>Sravana</v>
      </c>
      <c r="J421" s="15">
        <f>(C422-P[[#This Row],[SunRise]])/(T422-P[[#This Row],[Moon]])*(13.3333333333333-MOD(P[[#This Row],[Moon]],13.333333333333))+P[[#This Row],[SunRise]]</f>
        <v>43937.963769500828</v>
      </c>
      <c r="K421" s="4" t="str">
        <f>IF(Panchanga!$P421&gt;15,"K","S")&amp;ROUNDUP(MOD(Panchanga!$P421,15),0)&amp;" ("&amp;ROUND(Panchanga!$P421,2)&amp;")"</f>
        <v>K9 (23.52)</v>
      </c>
      <c r="L421" s="4">
        <f>IF(AND(Panchanga!$P421&lt;28.5,Panchanga!$P421&gt;0.49999),MOD((Panchanga!$P421-0.5)*2,7),MOD((Panchanga!$P421+30-28.5),30)*2+7)</f>
        <v>4.0396000000000001</v>
      </c>
      <c r="M421" s="4" t="str">
        <f>CHOOSE(ROUNDUP(Panchanga!$L421,0),"Bhava","Baalava","Kaulava","Taitula","Garija","Vanija","Vishti","Shakuni","Chatushapda","Naaga","Kimstugna")</f>
        <v>Garija</v>
      </c>
      <c r="N421" s="11" t="str">
        <f>CHOOSE(ROUNDUP(Panchanga!$Q421,0),"viṣkambha","prīti","āyuṣmāna","saubhāgya","śobhana","atigaṇḍa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("&amp;Panchanga!$Q421&amp;")"</f>
        <v>sādhya (21.53)</v>
      </c>
      <c r="O421" s="4">
        <f>IF(AND(Panchanga!$P421&lt;28.5,Panchanga!$P421&gt;0.49999),MOD((Panchanga!$P421-0.5)*2,7),MOD((Panchanga!$P421+30-28.5),30)*2+7)</f>
        <v>4.0396000000000001</v>
      </c>
      <c r="P421" s="4">
        <f>ROUNDUP(MOD(360+P[Moon]-P[Sun],360)/12,4)</f>
        <v>23.5198</v>
      </c>
      <c r="Q421" s="4">
        <f>ROUNDUP(MOD(P[Sun]+P[Moon],360)/13.333333333,2)</f>
        <v>21.53</v>
      </c>
      <c r="R421" s="4" t="str">
        <f>SIGN(U422-Panchanga!$U421)*INT(Panchanga!$U421/30+1)&amp;"Ma,"&amp;SIGN(V422-Panchanga!$V421)*INT(Panchanga!$V421/30+1)&amp;"Me,"&amp;SIGN(W422-Panchanga!$W421)*INT(Panchanga!$W421/30+1)&amp;"J, "&amp;SIGN(X422-Panchanga!$X421)*INT(Panchanga!$X421/30+1)&amp;"V,"&amp;SIGN(Y422-Panchanga!$Y421)*INT(Panchanga!$Y421/30+1)&amp;"S,"&amp;INT(Panchanga!$Z421/30+1)&amp;"R"</f>
        <v>10Ma,12Me,10J, 2V,10S,3R</v>
      </c>
      <c r="S421" s="4">
        <f t="shared" si="61"/>
        <v>2.3485894774185536</v>
      </c>
      <c r="T421" s="4">
        <f t="shared" si="62"/>
        <v>284.58547560706916</v>
      </c>
      <c r="U421" s="4">
        <f>Planet(Panchanga!$E421,4)</f>
        <v>287.1218877891389</v>
      </c>
      <c r="V421" s="4">
        <f>Planet(Panchanga!$E421,2)</f>
        <v>343.79695803041557</v>
      </c>
      <c r="W421" s="4">
        <f>Planet(Panchanga!$E421,5)</f>
        <v>271.84778972225507</v>
      </c>
      <c r="X421" s="4">
        <f>Planet(Panchanga!$E421,3)</f>
        <v>46.045221552569366</v>
      </c>
      <c r="Y421" s="4">
        <f>Planet(Panchanga!$E421,6)</f>
        <v>277.31078582940381</v>
      </c>
      <c r="Z421" s="4">
        <f>Planet(Panchanga!$E421,10)</f>
        <v>68.489134400657079</v>
      </c>
      <c r="AA421" s="4" t="str">
        <f>TEXT(Panchanga!$C421+($C422-Panchanga!$C421)/ABS(IF($P422&lt;1,$P422+30,$P422)-Panchanga!$P421)*(ROUNDUP(Panchanga!$P421,0)-Panchanga!$P421),"hh:mm AM/PM")</f>
        <v>06:15 PM</v>
      </c>
      <c r="AB421" s="4"/>
    </row>
    <row r="422" spans="1:28" x14ac:dyDescent="0.2">
      <c r="A422" s="3">
        <f t="shared" si="64"/>
        <v>43938</v>
      </c>
      <c r="B422" s="3">
        <f t="shared" si="58"/>
        <v>43938.229166666664</v>
      </c>
      <c r="C422" s="15">
        <f t="shared" si="59"/>
        <v>43938.247469471455</v>
      </c>
      <c r="D422" s="15">
        <f t="shared" si="60"/>
        <v>43937.765267193361</v>
      </c>
      <c r="E422" s="17">
        <f>Panchanga!$C422-TimeZone/24</f>
        <v>43938.01830280479</v>
      </c>
      <c r="F422" s="18" t="str">
        <f>INT(P[Sun]/30)&amp;"s"&amp;ROUNDUP(MOD(P[Sun],30),2)</f>
        <v>0s3.33</v>
      </c>
      <c r="G422" s="18" t="str">
        <f>INT(P[Moon]/30)&amp;"s"&amp;ROUNDUP(MOD(P[Moon],30),2)</f>
        <v>9s26.81</v>
      </c>
      <c r="H422" s="14">
        <f t="shared" si="63"/>
        <v>43938.01830280479</v>
      </c>
      <c r="I422" s="4" t="str">
        <f>naks(P[[#This Row],[Moon]])</f>
        <v>Dhanistha</v>
      </c>
      <c r="J422" s="15">
        <f>(C423-P[[#This Row],[SunRise]])/(T423-P[[#This Row],[Moon]])*(13.3333333333333-MOD(P[[#This Row],[Moon]],13.333333333333))+P[[#This Row],[SunRise]]</f>
        <v>43939.06713882411</v>
      </c>
      <c r="K422" s="4" t="str">
        <f>IF(Panchanga!$P422&gt;15,"K","S")&amp;ROUNDUP(MOD(Panchanga!$P422,15),0)&amp;" ("&amp;ROUND(Panchanga!$P422,2)&amp;")"</f>
        <v>K10 (24.46)</v>
      </c>
      <c r="L422" s="4">
        <f>IF(AND(Panchanga!$P422&lt;28.5,Panchanga!$P422&gt;0.49999),MOD((Panchanga!$P422-0.5)*2,7),MOD((Panchanga!$P422+30-28.5),30)*2+7)</f>
        <v>5.9123999999999981</v>
      </c>
      <c r="M422" s="4" t="str">
        <f>CHOOSE(ROUNDUP(Panchanga!$L422,0),"Bhava","Baalava","Kaulava","Taitula","Garija","Vanija","Vishti","Shakuni","Chatushapda","Naaga","Kimstugna")</f>
        <v>Vanija</v>
      </c>
      <c r="N422" s="11" t="str">
        <f>CHOOSE(ROUNDUP(Panchanga!$Q422,0),"viṣkambha","prīti","āyuṣmāna","saubhāgya","śobhana","atigaṇḍa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("&amp;Panchanga!$Q422&amp;")"</f>
        <v>śubha (22.51)</v>
      </c>
      <c r="O422" s="4">
        <f>IF(AND(Panchanga!$P422&lt;28.5,Panchanga!$P422&gt;0.49999),MOD((Panchanga!$P422-0.5)*2,7),MOD((Panchanga!$P422+30-28.5),30)*2+7)</f>
        <v>5.9123999999999981</v>
      </c>
      <c r="P422" s="4">
        <f>ROUNDUP(MOD(360+P[Moon]-P[Sun],360)/12,4)</f>
        <v>24.456199999999999</v>
      </c>
      <c r="Q422" s="4">
        <f>ROUNDUP(MOD(P[Sun]+P[Moon],360)/13.333333333,2)</f>
        <v>22.51</v>
      </c>
      <c r="R422" s="4" t="str">
        <f>SIGN(U423-Panchanga!$U422)*INT(Panchanga!$U422/30+1)&amp;"Ma,"&amp;SIGN(V423-Panchanga!$V422)*INT(Panchanga!$V422/30+1)&amp;"Me,"&amp;SIGN(W423-Panchanga!$W422)*INT(Panchanga!$W422/30+1)&amp;"J, "&amp;SIGN(X423-Panchanga!$X422)*INT(Panchanga!$X422/30+1)&amp;"V,"&amp;SIGN(Y423-Panchanga!$Y422)*INT(Panchanga!$Y422/30+1)&amp;"S,"&amp;INT(Panchanga!$Z422/30+1)&amp;"R"</f>
        <v>10Ma,12Me,10J, 2V,10S,3R</v>
      </c>
      <c r="S422" s="4">
        <f t="shared" si="61"/>
        <v>3.326493816218266</v>
      </c>
      <c r="T422" s="4">
        <f t="shared" si="62"/>
        <v>296.80000346635603</v>
      </c>
      <c r="U422" s="4">
        <f>Planet(Panchanga!$E422,4)</f>
        <v>287.81614662594859</v>
      </c>
      <c r="V422" s="4">
        <f>Planet(Panchanga!$E422,2)</f>
        <v>345.51935392597352</v>
      </c>
      <c r="W422" s="4">
        <f>Planet(Panchanga!$E422,5)</f>
        <v>271.9323747237861</v>
      </c>
      <c r="X422" s="4">
        <f>Planet(Panchanga!$E422,3)</f>
        <v>46.779074882391789</v>
      </c>
      <c r="Y422" s="4">
        <f>Planet(Panchanga!$E422,6)</f>
        <v>277.35026996392958</v>
      </c>
      <c r="Z422" s="4">
        <f>Planet(Panchanga!$E422,10)</f>
        <v>68.436163942146379</v>
      </c>
      <c r="AA422" s="4" t="str">
        <f>TEXT(Panchanga!$C422+($C423-Panchanga!$C422)/ABS(IF($P423&lt;1,$P423+30,$P423)-Panchanga!$P422)*(ROUNDUP(Panchanga!$P422,0)-Panchanga!$P422),"hh:mm AM/PM")</f>
        <v>08:06 PM</v>
      </c>
      <c r="AB422" s="4"/>
    </row>
    <row r="423" spans="1:28" x14ac:dyDescent="0.2">
      <c r="A423" s="3">
        <f t="shared" si="64"/>
        <v>43939</v>
      </c>
      <c r="B423" s="3">
        <f t="shared" si="58"/>
        <v>43939.229166666664</v>
      </c>
      <c r="C423" s="15">
        <f t="shared" si="59"/>
        <v>43939.247068928242</v>
      </c>
      <c r="D423" s="15">
        <f t="shared" si="60"/>
        <v>43938.765354295771</v>
      </c>
      <c r="E423" s="17">
        <f>Panchanga!$C423-TimeZone/24</f>
        <v>43939.017902261578</v>
      </c>
      <c r="F423" s="18" t="str">
        <f>INT(P[Sun]/30)&amp;"s"&amp;ROUNDUP(MOD(P[Sun],30),2)</f>
        <v>0s4.31</v>
      </c>
      <c r="G423" s="18" t="str">
        <f>INT(P[Moon]/30)&amp;"s"&amp;ROUNDUP(MOD(P[Moon],30),2)</f>
        <v>10s8.84</v>
      </c>
      <c r="H423" s="14">
        <f t="shared" si="63"/>
        <v>43939.017902261578</v>
      </c>
      <c r="I423" s="4" t="str">
        <f>naks(P[[#This Row],[Moon]])</f>
        <v>Satabhisaj</v>
      </c>
      <c r="J423" s="15">
        <f>(C424-P[[#This Row],[SunRise]])/(T424-P[[#This Row],[Moon]])*(13.3333333333333-MOD(P[[#This Row],[Moon]],13.333333333333))+P[[#This Row],[SunRise]]</f>
        <v>43940.183719578163</v>
      </c>
      <c r="K423" s="4" t="str">
        <f>IF(Panchanga!$P423&gt;15,"K","S")&amp;ROUNDUP(MOD(Panchanga!$P423,15),0)&amp;" ("&amp;ROUND(Panchanga!$P423,2)&amp;")"</f>
        <v>K11 (25.38)</v>
      </c>
      <c r="L423" s="4">
        <f>IF(AND(Panchanga!$P423&lt;28.5,Panchanga!$P423&gt;0.49999),MOD((Panchanga!$P423-0.5)*2,7),MOD((Panchanga!$P423+30-28.5),30)*2+7)</f>
        <v>0.75480000000000302</v>
      </c>
      <c r="M423" s="4" t="str">
        <f>CHOOSE(ROUNDUP(Panchanga!$L423,0),"Bhava","Baalava","Kaulava","Taitula","Garija","Vanija","Vishti","Shakuni","Chatushapda","Naaga","Kimstugna")</f>
        <v>Bhava</v>
      </c>
      <c r="N423" s="11" t="str">
        <f>CHOOSE(ROUNDUP(Panchanga!$Q423,0),"viṣkambha","prīti","āyuṣmāna","saubhāgya","śobhana","atigaṇḍa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("&amp;Panchanga!$Q423&amp;")"</f>
        <v>śukla (23.49)</v>
      </c>
      <c r="O423" s="4">
        <f>IF(AND(Panchanga!$P423&lt;28.5,Panchanga!$P423&gt;0.49999),MOD((Panchanga!$P423-0.5)*2,7),MOD((Panchanga!$P423+30-28.5),30)*2+7)</f>
        <v>0.75480000000000302</v>
      </c>
      <c r="P423" s="4">
        <f>ROUNDUP(MOD(360+P[Moon]-P[Sun],360)/12,4)</f>
        <v>25.377400000000002</v>
      </c>
      <c r="Q423" s="4">
        <f>ROUNDUP(MOD(P[Sun]+P[Moon],360)/13.333333333,2)</f>
        <v>23.490000000000002</v>
      </c>
      <c r="R423" s="4" t="str">
        <f>SIGN(U424-Panchanga!$U423)*INT(Panchanga!$U423/30+1)&amp;"Ma,"&amp;SIGN(V424-Panchanga!$V423)*INT(Panchanga!$V423/30+1)&amp;"Me,"&amp;SIGN(W424-Panchanga!$W423)*INT(Panchanga!$W423/30+1)&amp;"J, "&amp;SIGN(X424-Panchanga!$X423)*INT(Panchanga!$X423/30+1)&amp;"V,"&amp;SIGN(Y424-Panchanga!$Y423)*INT(Panchanga!$Y423/30+1)&amp;"S,"&amp;INT(Panchanga!$Z423/30+1)&amp;"R"</f>
        <v>10Ma,12Me,10J, 2V,10S,3R</v>
      </c>
      <c r="S423" s="4">
        <f t="shared" si="61"/>
        <v>4.303928810170536</v>
      </c>
      <c r="T423" s="4">
        <f t="shared" si="62"/>
        <v>308.83255188767322</v>
      </c>
      <c r="U423" s="4">
        <f>Planet(Panchanga!$E423,4)</f>
        <v>288.51023240939918</v>
      </c>
      <c r="V423" s="4">
        <f>Planet(Panchanga!$E423,2)</f>
        <v>347.2684030306641</v>
      </c>
      <c r="W423" s="4">
        <f>Planet(Panchanga!$E423,5)</f>
        <v>272.01418588454698</v>
      </c>
      <c r="X423" s="4">
        <f>Planet(Panchanga!$E423,3)</f>
        <v>47.496413494453641</v>
      </c>
      <c r="Y423" s="4">
        <f>Planet(Panchanga!$E423,6)</f>
        <v>277.38821176093302</v>
      </c>
      <c r="Z423" s="4">
        <f>Planet(Panchanga!$E423,10)</f>
        <v>68.383193172028882</v>
      </c>
      <c r="AA423" s="4" t="str">
        <f>TEXT(Panchanga!$C423+($C424-Panchanga!$C423)/ABS(IF($P424&lt;1,$P424+30,$P424)-Panchanga!$P423)*(ROUNDUP(Panchanga!$P423,0)-Panchanga!$P423),"hh:mm AM/PM")</f>
        <v>10:18 PM</v>
      </c>
      <c r="AB423" s="4"/>
    </row>
    <row r="424" spans="1:28" x14ac:dyDescent="0.2">
      <c r="A424" s="3">
        <f t="shared" si="64"/>
        <v>43940</v>
      </c>
      <c r="B424" s="3">
        <f t="shared" si="58"/>
        <v>43940.229166666664</v>
      </c>
      <c r="C424" s="15">
        <f t="shared" si="59"/>
        <v>43940.246674742702</v>
      </c>
      <c r="D424" s="15">
        <f t="shared" si="60"/>
        <v>43939.76544473604</v>
      </c>
      <c r="E424" s="17">
        <f>Panchanga!$C424-TimeZone/24</f>
        <v>43940.017508076038</v>
      </c>
      <c r="F424" s="18" t="str">
        <f>INT(P[Sun]/30)&amp;"s"&amp;ROUNDUP(MOD(P[Sun],30),2)</f>
        <v>0s5.29</v>
      </c>
      <c r="G424" s="18" t="str">
        <f>INT(P[Moon]/30)&amp;"s"&amp;ROUNDUP(MOD(P[Moon],30),2)</f>
        <v>10s20.76</v>
      </c>
      <c r="H424" s="14">
        <f t="shared" si="63"/>
        <v>43940.017508076038</v>
      </c>
      <c r="I424" s="4" t="str">
        <f>naks(P[[#This Row],[Moon]])</f>
        <v>Purva Bhadrapada</v>
      </c>
      <c r="J424" s="15">
        <f>(C425-P[[#This Row],[SunRise]])/(T425-P[[#This Row],[Moon]])*(13.3333333333333-MOD(P[[#This Row],[Moon]],13.333333333333))+P[[#This Row],[SunRise]]</f>
        <v>43941.307184557532</v>
      </c>
      <c r="K424" s="4" t="str">
        <f>IF(Panchanga!$P424&gt;15,"K","S")&amp;ROUNDUP(MOD(Panchanga!$P424,15),0)&amp;" ("&amp;ROUND(Panchanga!$P424,2)&amp;")"</f>
        <v>K12 (26.29)</v>
      </c>
      <c r="L424" s="4">
        <f>IF(AND(Panchanga!$P424&lt;28.5,Panchanga!$P424&gt;0.49999),MOD((Panchanga!$P424-0.5)*2,7),MOD((Panchanga!$P424+30-28.5),30)*2+7)</f>
        <v>2.578400000000002</v>
      </c>
      <c r="M424" s="4" t="str">
        <f>CHOOSE(ROUNDUP(Panchanga!$L424,0),"Bhava","Baalava","Kaulava","Taitula","Garija","Vanija","Vishti","Shakuni","Chatushapda","Naaga","Kimstugna")</f>
        <v>Kaulava</v>
      </c>
      <c r="N424" s="11" t="str">
        <f>CHOOSE(ROUNDUP(Panchanga!$Q424,0),"viṣkambha","prīti","āyuṣmāna","saubhāgya","śobhana","atigaṇḍa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("&amp;Panchanga!$Q424&amp;")"</f>
        <v>brahma (24.46)</v>
      </c>
      <c r="O424" s="4">
        <f>IF(AND(Panchanga!$P424&lt;28.5,Panchanga!$P424&gt;0.49999),MOD((Panchanga!$P424-0.5)*2,7),MOD((Panchanga!$P424+30-28.5),30)*2+7)</f>
        <v>2.578400000000002</v>
      </c>
      <c r="P424" s="4">
        <f>ROUNDUP(MOD(360+P[Moon]-P[Sun],360)/12,4)</f>
        <v>26.289200000000001</v>
      </c>
      <c r="Q424" s="4">
        <f>ROUNDUP(MOD(P[Sun]+P[Moon],360)/13.333333333,2)</f>
        <v>24.46</v>
      </c>
      <c r="R424" s="4" t="str">
        <f>SIGN(U425-Panchanga!$U424)*INT(Panchanga!$U424/30+1)&amp;"Ma,"&amp;SIGN(V425-Panchanga!$V424)*INT(Panchanga!$V424/30+1)&amp;"Me,"&amp;SIGN(W425-Panchanga!$W424)*INT(Panchanga!$W424/30+1)&amp;"J, "&amp;SIGN(X425-Panchanga!$X424)*INT(Panchanga!$X424/30+1)&amp;"V,"&amp;SIGN(Y425-Panchanga!$Y424)*INT(Panchanga!$Y424/30+1)&amp;"S,"&amp;INT(Panchanga!$Z424/30+1)&amp;"R"</f>
        <v>10Ma,12Me,10J, 2V,10S,3R</v>
      </c>
      <c r="S424" s="4">
        <f t="shared" si="61"/>
        <v>5.2808899148421551</v>
      </c>
      <c r="T424" s="4">
        <f t="shared" si="62"/>
        <v>320.75059845788456</v>
      </c>
      <c r="U424" s="4">
        <f>Planet(Panchanga!$E424,4)</f>
        <v>289.20411964321136</v>
      </c>
      <c r="V424" s="4">
        <f>Planet(Panchanga!$E424,2)</f>
        <v>349.04423850809047</v>
      </c>
      <c r="W424" s="4">
        <f>Planet(Panchanga!$E424,5)</f>
        <v>272.09319707892377</v>
      </c>
      <c r="X424" s="4">
        <f>Planet(Panchanga!$E424,3)</f>
        <v>48.19660731041521</v>
      </c>
      <c r="Y424" s="4">
        <f>Planet(Panchanga!$E424,6)</f>
        <v>277.42460129811661</v>
      </c>
      <c r="Z424" s="4">
        <f>Planet(Panchanga!$E424,10)</f>
        <v>68.330222065020649</v>
      </c>
      <c r="AA424" s="4" t="str">
        <f>TEXT(Panchanga!$C424+($C425-Panchanga!$C424)/ABS(IF($P425&lt;1,$P425+30,$P425)-Panchanga!$P424)*(ROUNDUP(Panchanga!$P424,0)-Panchanga!$P424),"hh:mm AM/PM")</f>
        <v>12:43 AM</v>
      </c>
      <c r="AB424" s="4"/>
    </row>
    <row r="425" spans="1:28" x14ac:dyDescent="0.2">
      <c r="A425" s="3">
        <f t="shared" si="64"/>
        <v>43941</v>
      </c>
      <c r="B425" s="3">
        <f t="shared" si="58"/>
        <v>43941.229166666664</v>
      </c>
      <c r="C425" s="15">
        <f t="shared" si="59"/>
        <v>43941.246286756512</v>
      </c>
      <c r="D425" s="15">
        <f t="shared" si="60"/>
        <v>43940.76553867296</v>
      </c>
      <c r="E425" s="17">
        <f>Panchanga!$C425-TimeZone/24</f>
        <v>43941.017120089848</v>
      </c>
      <c r="F425" s="18" t="str">
        <f>INT(P[Sun]/30)&amp;"s"&amp;ROUNDUP(MOD(P[Sun],30),2)</f>
        <v>0s6.26</v>
      </c>
      <c r="G425" s="18" t="str">
        <f>INT(P[Moon]/30)&amp;"s"&amp;ROUNDUP(MOD(P[Moon],30),2)</f>
        <v>11s2.62</v>
      </c>
      <c r="H425" s="14">
        <f t="shared" si="63"/>
        <v>43941.017120089848</v>
      </c>
      <c r="I425" s="4" t="str">
        <f>naks(P[[#This Row],[Moon]])</f>
        <v>Purva Bhadrapada</v>
      </c>
      <c r="J425" s="15">
        <f>(C426-P[[#This Row],[SunRise]])/(T426-P[[#This Row],[Moon]])*(13.3333333333333-MOD(P[[#This Row],[Moon]],13.333333333333))+P[[#This Row],[SunRise]]</f>
        <v>43941.307249304133</v>
      </c>
      <c r="K425" s="4" t="str">
        <f>IF(Panchanga!$P425&gt;15,"K","S")&amp;ROUNDUP(MOD(Panchanga!$P425,15),0)&amp;" ("&amp;ROUND(Panchanga!$P425,2)&amp;")"</f>
        <v>K13 (27.2)</v>
      </c>
      <c r="L425" s="4">
        <f>IF(AND(Panchanga!$P425&lt;28.5,Panchanga!$P425&gt;0.49999),MOD((Panchanga!$P425-0.5)*2,7),MOD((Panchanga!$P425+30-28.5),30)*2+7)</f>
        <v>4.3924000000000021</v>
      </c>
      <c r="M425" s="4" t="str">
        <f>CHOOSE(ROUNDUP(Panchanga!$L425,0),"Bhava","Baalava","Kaulava","Taitula","Garija","Vanija","Vishti","Shakuni","Chatushapda","Naaga","Kimstugna")</f>
        <v>Garija</v>
      </c>
      <c r="N425" s="11" t="str">
        <f>CHOOSE(ROUNDUP(Panchanga!$Q425,0),"viṣkambha","prīti","āyuṣmāna","saubhāgya","śobhana","atigaṇḍa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("&amp;Panchanga!$Q425&amp;")"</f>
        <v>mahendra (25.42)</v>
      </c>
      <c r="O425" s="4">
        <f>IF(AND(Panchanga!$P425&lt;28.5,Panchanga!$P425&gt;0.49999),MOD((Panchanga!$P425-0.5)*2,7),MOD((Panchanga!$P425+30-28.5),30)*2+7)</f>
        <v>4.3924000000000021</v>
      </c>
      <c r="P425" s="4">
        <f>ROUNDUP(MOD(360+P[Moon]-P[Sun],360)/12,4)</f>
        <v>27.196200000000001</v>
      </c>
      <c r="Q425" s="4">
        <f>ROUNDUP(MOD(P[Sun]+P[Moon],360)/13.333333333,2)</f>
        <v>25.42</v>
      </c>
      <c r="R425" s="4" t="str">
        <f>SIGN(U426-Panchanga!$U425)*INT(Panchanga!$U425/30+1)&amp;"Ma,"&amp;SIGN(V426-Panchanga!$V425)*INT(Panchanga!$V425/30+1)&amp;"Me,"&amp;SIGN(W426-Panchanga!$W425)*INT(Panchanga!$W425/30+1)&amp;"J, "&amp;SIGN(X426-Panchanga!$X425)*INT(Panchanga!$X425/30+1)&amp;"V,"&amp;SIGN(Y426-Panchanga!$Y425)*INT(Panchanga!$Y425/30+1)&amp;"S,"&amp;INT(Panchanga!$Z425/30+1)&amp;"R"</f>
        <v>10Ma,12Me,10J, 2V,10S,3R</v>
      </c>
      <c r="S425" s="4">
        <f t="shared" si="61"/>
        <v>6.2573704783158535</v>
      </c>
      <c r="T425" s="4">
        <f t="shared" si="62"/>
        <v>332.61079321724486</v>
      </c>
      <c r="U425" s="4">
        <f>Planet(Panchanga!$E425,4)</f>
        <v>289.89778268853814</v>
      </c>
      <c r="V425" s="4">
        <f>Planet(Panchanga!$E425,2)</f>
        <v>350.84699497756463</v>
      </c>
      <c r="W425" s="4">
        <f>Planet(Panchanga!$E425,5)</f>
        <v>272.16938295239487</v>
      </c>
      <c r="X425" s="4">
        <f>Planet(Panchanga!$E425,3)</f>
        <v>48.878995094074298</v>
      </c>
      <c r="Y425" s="4">
        <f>Planet(Panchanga!$E425,6)</f>
        <v>277.45942916830984</v>
      </c>
      <c r="Z425" s="4">
        <f>Planet(Panchanga!$E425,10)</f>
        <v>68.277250629472405</v>
      </c>
      <c r="AA425" s="4" t="str">
        <f>TEXT(Panchanga!$C425+($C426-Panchanga!$C425)/ABS(IF($P426&lt;1,$P426+30,$P426)-Panchanga!$P425)*(ROUNDUP(Panchanga!$P425,0)-Panchanga!$P425),"hh:mm AM/PM")</f>
        <v>03:11 AM</v>
      </c>
      <c r="AB425" s="4"/>
    </row>
    <row r="426" spans="1:28" x14ac:dyDescent="0.2">
      <c r="A426" s="3">
        <f t="shared" si="64"/>
        <v>43942</v>
      </c>
      <c r="B426" s="3">
        <f t="shared" si="58"/>
        <v>43942.229166666664</v>
      </c>
      <c r="C426" s="15">
        <f t="shared" si="59"/>
        <v>43942.245905445576</v>
      </c>
      <c r="D426" s="15">
        <f t="shared" si="60"/>
        <v>43941.765635947741</v>
      </c>
      <c r="E426" s="17">
        <f>Panchanga!$C426-TimeZone/24</f>
        <v>43942.016738778912</v>
      </c>
      <c r="F426" s="18" t="str">
        <f>INT(P[Sun]/30)&amp;"s"&amp;ROUNDUP(MOD(P[Sun],30),2)</f>
        <v>0s7.24</v>
      </c>
      <c r="G426" s="18" t="str">
        <f>INT(P[Moon]/30)&amp;"s"&amp;ROUNDUP(MOD(P[Moon],30),2)</f>
        <v>11s14.46</v>
      </c>
      <c r="H426" s="14">
        <f t="shared" si="63"/>
        <v>43942.016738778912</v>
      </c>
      <c r="I426" s="4" t="str">
        <f>naks(P[[#This Row],[Moon]])</f>
        <v>Uttara Bhadrapada</v>
      </c>
      <c r="J426" s="15">
        <f>(C427-P[[#This Row],[SunRise]])/(T427-P[[#This Row],[Moon]])*(13.3333333333333-MOD(P[[#This Row],[Moon]],13.333333333333))+P[[#This Row],[SunRise]]</f>
        <v>43942.43186210483</v>
      </c>
      <c r="K426" s="4" t="str">
        <f>IF(Panchanga!$P426&gt;15,"K","S")&amp;ROUNDUP(MOD(Panchanga!$P426,15),0)&amp;" ("&amp;ROUND(Panchanga!$P426,2)&amp;")"</f>
        <v>K14 (28.1)</v>
      </c>
      <c r="L426" s="4">
        <f>IF(AND(Panchanga!$P426&lt;28.5,Panchanga!$P426&gt;0.49999),MOD((Panchanga!$P426-0.5)*2,7),MOD((Panchanga!$P426+30-28.5),30)*2+7)</f>
        <v>6.2042000000000002</v>
      </c>
      <c r="M426" s="4" t="str">
        <f>CHOOSE(ROUNDUP(Panchanga!$L426,0),"Bhava","Baalava","Kaulava","Taitula","Garija","Vanija","Vishti","Shakuni","Chatushapda","Naaga","Kimstugna")</f>
        <v>Vishti</v>
      </c>
      <c r="N426" s="11" t="str">
        <f>CHOOSE(ROUNDUP(Panchanga!$Q426,0),"viṣkambha","prīti","āyuṣmāna","saubhāgya","śobhana","atigaṇḍa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("&amp;Panchanga!$Q426&amp;")"</f>
        <v>vaidhṛti (26.38)</v>
      </c>
      <c r="O426" s="4">
        <f>IF(AND(Panchanga!$P426&lt;28.5,Panchanga!$P426&gt;0.49999),MOD((Panchanga!$P426-0.5)*2,7),MOD((Panchanga!$P426+30-28.5),30)*2+7)</f>
        <v>6.2042000000000002</v>
      </c>
      <c r="P426" s="4">
        <f>ROUNDUP(MOD(360+P[Moon]-P[Sun],360)/12,4)</f>
        <v>28.1021</v>
      </c>
      <c r="Q426" s="4">
        <f>ROUNDUP(MOD(P[Sun]+P[Moon],360)/13.333333333,2)</f>
        <v>26.380000000000003</v>
      </c>
      <c r="R426" s="4" t="str">
        <f>SIGN(U427-Panchanga!$U426)*INT(Panchanga!$U426/30+1)&amp;"Ma,"&amp;SIGN(V427-Panchanga!$V426)*INT(Panchanga!$V426/30+1)&amp;"Me,"&amp;SIGN(W427-Panchanga!$W426)*INT(Panchanga!$W426/30+1)&amp;"J, "&amp;SIGN(X427-Panchanga!$X426)*INT(Panchanga!$X426/30+1)&amp;"V,"&amp;SIGN(Y427-Panchanga!$Y426)*INT(Panchanga!$Y426/30+1)&amp;"S,"&amp;INT(Panchanga!$Z426/30+1)&amp;"R"</f>
        <v>10Ma,12Me,10J, 2V,10S,3R</v>
      </c>
      <c r="S426" s="4">
        <f t="shared" si="61"/>
        <v>7.2333631494696746</v>
      </c>
      <c r="T426" s="4">
        <f t="shared" si="62"/>
        <v>344.45847071481563</v>
      </c>
      <c r="U426" s="4">
        <f>Planet(Panchanga!$E426,4)</f>
        <v>290.59119678760214</v>
      </c>
      <c r="V426" s="4">
        <f>Planet(Panchanga!$E426,2)</f>
        <v>352.67679645430974</v>
      </c>
      <c r="W426" s="4">
        <f>Planet(Panchanga!$E426,5)</f>
        <v>272.24271909779867</v>
      </c>
      <c r="X426" s="4">
        <f>Planet(Panchanga!$E426,3)</f>
        <v>49.542884456239143</v>
      </c>
      <c r="Y426" s="4">
        <f>Planet(Panchanga!$E426,6)</f>
        <v>277.49268656078669</v>
      </c>
      <c r="Z426" s="4">
        <f>Planet(Panchanga!$E426,10)</f>
        <v>68.224278840166363</v>
      </c>
      <c r="AA426" s="4" t="str">
        <f>TEXT(Panchanga!$C426+($C427-Panchanga!$C426)/ABS(IF($P427&lt;1,$P427+30,$P427)-Panchanga!$P426)*(ROUNDUP(Panchanga!$P426,0)-Panchanga!$P426),"hh:mm AM/PM")</f>
        <v>05:37 AM</v>
      </c>
      <c r="AB426" s="4"/>
    </row>
    <row r="427" spans="1:28" x14ac:dyDescent="0.2">
      <c r="A427" s="3">
        <f t="shared" si="64"/>
        <v>43943</v>
      </c>
      <c r="B427" s="3">
        <f t="shared" si="58"/>
        <v>43943.229166666664</v>
      </c>
      <c r="C427" s="15">
        <f t="shared" si="59"/>
        <v>43943.245530969616</v>
      </c>
      <c r="D427" s="15">
        <f t="shared" si="60"/>
        <v>43942.765736877962</v>
      </c>
      <c r="E427" s="17">
        <f>Panchanga!$C427-TimeZone/24</f>
        <v>43943.016364302952</v>
      </c>
      <c r="F427" s="18" t="str">
        <f>INT(P[Sun]/30)&amp;"s"&amp;ROUNDUP(MOD(P[Sun],30),2)</f>
        <v>0s8.21</v>
      </c>
      <c r="G427" s="18" t="str">
        <f>INT(P[Moon]/30)&amp;"s"&amp;ROUNDUP(MOD(P[Moon],30),2)</f>
        <v>11s26.33</v>
      </c>
      <c r="H427" s="14">
        <f t="shared" si="63"/>
        <v>43943.016364302952</v>
      </c>
      <c r="I427" s="4" t="str">
        <f>naks(P[[#This Row],[Moon]])</f>
        <v>Revati</v>
      </c>
      <c r="J427" s="15">
        <f>(C428-P[[#This Row],[SunRise]])/(T428-P[[#This Row],[Moon]])*(13.3333333333333-MOD(P[[#This Row],[Moon]],13.333333333333))+P[[#This Row],[SunRise]]</f>
        <v>43943.234987864686</v>
      </c>
      <c r="K427" s="4" t="str">
        <f>IF(Panchanga!$P427&gt;15,"K","S")&amp;ROUNDUP(MOD(Panchanga!$P427,15),0)&amp;" ("&amp;ROUND(Panchanga!$P427,2)&amp;")"</f>
        <v>K15 (29.01)</v>
      </c>
      <c r="L427" s="4">
        <f>IF(AND(Panchanga!$P427&lt;28.5,Panchanga!$P427&gt;0.49999),MOD((Panchanga!$P427-0.5)*2,7),MOD((Panchanga!$P427+30-28.5),30)*2+7)</f>
        <v>8.019999999999996</v>
      </c>
      <c r="M427" s="4" t="str">
        <f>CHOOSE(ROUNDUP(Panchanga!$L427,0),"Bhava","Baalava","Kaulava","Taitula","Garija","Vanija","Vishti","Shakuni","Chatushapda","Naaga","Kimstugna")</f>
        <v>Chatushapda</v>
      </c>
      <c r="N427" s="11" t="str">
        <f>CHOOSE(ROUNDUP(Panchanga!$Q427,0),"viṣkambha","prīti","āyuṣmāna","saubhāgya","śobhana","atigaṇḍa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("&amp;Panchanga!$Q427&amp;")"</f>
        <v>viṣkambha (0.35)</v>
      </c>
      <c r="O427" s="4">
        <f>IF(AND(Panchanga!$P427&lt;28.5,Panchanga!$P427&gt;0.49999),MOD((Panchanga!$P427-0.5)*2,7),MOD((Panchanga!$P427+30-28.5),30)*2+7)</f>
        <v>8.019999999999996</v>
      </c>
      <c r="P427" s="4">
        <f>ROUNDUP(MOD(360+P[Moon]-P[Sun],360)/12,4)</f>
        <v>29.009999999999998</v>
      </c>
      <c r="Q427" s="4">
        <f>ROUNDUP(MOD(P[Sun]+P[Moon],360)/13.333333333,2)</f>
        <v>0.35000000000000003</v>
      </c>
      <c r="R427" s="4" t="str">
        <f>SIGN(U428-Panchanga!$U427)*INT(Panchanga!$U427/30+1)&amp;"Ma,"&amp;SIGN(V428-Panchanga!$V427)*INT(Panchanga!$V427/30+1)&amp;"Me,"&amp;SIGN(W428-Panchanga!$W427)*INT(Panchanga!$W427/30+1)&amp;"J, "&amp;SIGN(X428-Panchanga!$X427)*INT(Panchanga!$X427/30+1)&amp;"V,"&amp;SIGN(Y428-Panchanga!$Y427)*INT(Panchanga!$Y427/30+1)&amp;"S,"&amp;INT(Panchanga!$Z427/30+1)&amp;"R"</f>
        <v>10Ma,12Me,10J, 2V,10S,3R</v>
      </c>
      <c r="S427" s="4">
        <f t="shared" si="61"/>
        <v>8.2088591671300914</v>
      </c>
      <c r="T427" s="4">
        <f t="shared" si="62"/>
        <v>356.32881213972973</v>
      </c>
      <c r="U427" s="4">
        <f>Planet(Panchanga!$E427,4)</f>
        <v>291.28433762693078</v>
      </c>
      <c r="V427" s="4">
        <f>Planet(Panchanga!$E427,2)</f>
        <v>354.5337378168424</v>
      </c>
      <c r="W427" s="4">
        <f>Planet(Panchanga!$E427,5)</f>
        <v>272.31318207135627</v>
      </c>
      <c r="X427" s="4">
        <f>Planet(Panchanga!$E427,3)</f>
        <v>50.187550339653015</v>
      </c>
      <c r="Y427" s="4">
        <f>Planet(Panchanga!$E427,6)</f>
        <v>277.52436527022451</v>
      </c>
      <c r="Z427" s="4">
        <f>Planet(Panchanga!$E427,10)</f>
        <v>68.171306688702188</v>
      </c>
      <c r="AA427" s="4" t="str">
        <f>TEXT(Panchanga!$C427+($C428-Panchanga!$C427)/ABS(IF($P428&lt;1,$P428+30,$P428)-Panchanga!$P427)*(ROUNDUP(Panchanga!$P427,0)-Panchanga!$P427),"hh:mm AM/PM")</f>
        <v>07:55 AM</v>
      </c>
      <c r="AB427" s="4"/>
    </row>
    <row r="428" spans="1:28" x14ac:dyDescent="0.2">
      <c r="A428" s="3">
        <f t="shared" si="64"/>
        <v>43944</v>
      </c>
      <c r="B428" s="3">
        <f t="shared" si="58"/>
        <v>43944.229166666664</v>
      </c>
      <c r="C428" s="15">
        <f t="shared" si="59"/>
        <v>43944.245163328167</v>
      </c>
      <c r="D428" s="15">
        <f t="shared" si="60"/>
        <v>43943.7658413053</v>
      </c>
      <c r="E428" s="17">
        <f>Panchanga!$C428-TimeZone/24</f>
        <v>43944.015996661503</v>
      </c>
      <c r="F428" s="18" t="str">
        <f>INT(P[Sun]/30)&amp;"s"&amp;ROUNDUP(MOD(P[Sun],30),2)</f>
        <v>0s9.19</v>
      </c>
      <c r="G428" s="18" t="str">
        <f>INT(P[Moon]/30)&amp;"s"&amp;ROUNDUP(MOD(P[Moon],30),2)</f>
        <v>0s8.25</v>
      </c>
      <c r="H428" s="14">
        <f t="shared" si="63"/>
        <v>43944.015996661503</v>
      </c>
      <c r="I428" s="4" t="str">
        <f>naks(P[[#This Row],[Moon]])</f>
        <v>Aswini</v>
      </c>
      <c r="J428" s="15">
        <f>(C429-P[[#This Row],[SunRise]])/(T429-P[[#This Row],[Moon]])*(13.3333333333333-MOD(P[[#This Row],[Moon]],13.333333333333))+P[[#This Row],[SunRise]]</f>
        <v>43944.668880614285</v>
      </c>
      <c r="K428" s="4" t="str">
        <f>IF(Panchanga!$P428&gt;15,"K","S")&amp;ROUNDUP(MOD(Panchanga!$P428,15),0)&amp;" ("&amp;ROUND(Panchanga!$P428,2)&amp;")"</f>
        <v>K15 (29.92)</v>
      </c>
      <c r="L428" s="4">
        <f>IF(AND(Panchanga!$P428&lt;28.5,Panchanga!$P428&gt;0.49999),MOD((Panchanga!$P428-0.5)*2,7),MOD((Panchanga!$P428+30-28.5),30)*2+7)</f>
        <v>9.8444000000000074</v>
      </c>
      <c r="M428" s="4" t="str">
        <f>CHOOSE(ROUNDUP(Panchanga!$L428,0),"Bhava","Baalava","Kaulava","Taitula","Garija","Vanija","Vishti","Shakuni","Chatushapda","Naaga","Kimstugna")</f>
        <v>Naaga</v>
      </c>
      <c r="N428" s="11" t="str">
        <f>CHOOSE(ROUNDUP(Panchanga!$Q428,0),"viṣkambha","prīti","āyuṣmāna","saubhāgya","śobhana","atigaṇḍa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("&amp;Panchanga!$Q428&amp;")"</f>
        <v>prīti (1.31)</v>
      </c>
      <c r="O428" s="4">
        <f>IF(AND(Panchanga!$P428&lt;28.5,Panchanga!$P428&gt;0.49999),MOD((Panchanga!$P428-0.5)*2,7),MOD((Panchanga!$P428+30-28.5),30)*2+7)</f>
        <v>9.8444000000000074</v>
      </c>
      <c r="P428" s="4">
        <f>ROUNDUP(MOD(360+P[Moon]-P[Sun],360)/12,4)</f>
        <v>29.9222</v>
      </c>
      <c r="Q428" s="4">
        <f>ROUNDUP(MOD(P[Sun]+P[Moon],360)/13.333333333,2)</f>
        <v>1.31</v>
      </c>
      <c r="R428" s="4" t="str">
        <f>SIGN(U429-Panchanga!$U428)*INT(Panchanga!$U428/30+1)&amp;"Ma,"&amp;SIGN(V429-Panchanga!$V428)*INT(Panchanga!$V428/30+1)&amp;"Me,"&amp;SIGN(W429-Panchanga!$W428)*INT(Panchanga!$W428/30+1)&amp;"J, "&amp;SIGN(X429-Panchanga!$X428)*INT(Panchanga!$X428/30+1)&amp;"V,"&amp;SIGN(Y429-Panchanga!$Y428)*INT(Panchanga!$Y428/30+1)&amp;"S,"&amp;INT(Panchanga!$Z428/30+1)&amp;"R"</f>
        <v>10Ma,12Me,10J, 2V,10S,3R</v>
      </c>
      <c r="S428" s="4">
        <f t="shared" si="61"/>
        <v>9.1838488037958754</v>
      </c>
      <c r="T428" s="4">
        <f t="shared" si="62"/>
        <v>8.2493607039806456</v>
      </c>
      <c r="U428" s="4">
        <f>Planet(Panchanga!$E428,4)</f>
        <v>291.97718170449741</v>
      </c>
      <c r="V428" s="4">
        <f>Planet(Panchanga!$E428,2)</f>
        <v>356.41786533285688</v>
      </c>
      <c r="W428" s="4">
        <f>Planet(Panchanga!$E428,5)</f>
        <v>272.38074949741309</v>
      </c>
      <c r="X428" s="4">
        <f>Planet(Panchanga!$E428,3)</f>
        <v>50.812234484331292</v>
      </c>
      <c r="Y428" s="4">
        <f>Planet(Panchanga!$E428,6)</f>
        <v>277.55445774470007</v>
      </c>
      <c r="Z428" s="4">
        <f>Planet(Panchanga!$E428,10)</f>
        <v>68.118334175046783</v>
      </c>
      <c r="AA428" s="4" t="str">
        <f>TEXT(Panchanga!$C428+($C429-Panchanga!$C428)/ABS(IF($P429&lt;1,$P429+30,$P429)-Panchanga!$P428)*(ROUNDUP(Panchanga!$P428,0)-Panchanga!$P428),"hh:mm AM/PM")</f>
        <v>07:54 AM</v>
      </c>
      <c r="AB428" s="4"/>
    </row>
    <row r="429" spans="1:28" x14ac:dyDescent="0.2">
      <c r="A429" s="3">
        <f t="shared" si="64"/>
        <v>43945</v>
      </c>
      <c r="B429" s="3">
        <f t="shared" si="58"/>
        <v>43945.229166666664</v>
      </c>
      <c r="C429" s="15">
        <f t="shared" si="59"/>
        <v>43945.244802680019</v>
      </c>
      <c r="D429" s="15">
        <f t="shared" si="60"/>
        <v>43944.765949388544</v>
      </c>
      <c r="E429" s="17">
        <f>Panchanga!$C429-TimeZone/24</f>
        <v>43945.015636013355</v>
      </c>
      <c r="F429" s="18" t="str">
        <f>INT(P[Sun]/30)&amp;"s"&amp;ROUNDUP(MOD(P[Sun],30),2)</f>
        <v>0s10.16</v>
      </c>
      <c r="G429" s="18" t="str">
        <f>INT(P[Moon]/30)&amp;"s"&amp;ROUNDUP(MOD(P[Moon],30),2)</f>
        <v>0s20.25</v>
      </c>
      <c r="H429" s="14">
        <f t="shared" si="63"/>
        <v>43945.015636013355</v>
      </c>
      <c r="I429" s="4" t="str">
        <f>naks(P[[#This Row],[Moon]])</f>
        <v>Bharani</v>
      </c>
      <c r="J429" s="15">
        <f>(C430-P[[#This Row],[SunRise]])/(T430-P[[#This Row],[Moon]])*(13.3333333333333-MOD(P[[#This Row],[Moon]],13.333333333333))+P[[#This Row],[SunRise]]</f>
        <v>43945.775843141048</v>
      </c>
      <c r="K429" s="4" t="str">
        <f>IF(Panchanga!$P429&gt;15,"K","S")&amp;ROUNDUP(MOD(Panchanga!$P429,15),0)&amp;" ("&amp;ROUND(Panchanga!$P429,2)&amp;")"</f>
        <v>S1 (0.84)</v>
      </c>
      <c r="L429" s="4">
        <f>IF(AND(Panchanga!$P429&lt;28.5,Panchanga!$P429&gt;0.49999),MOD((Panchanga!$P429-0.5)*2,7),MOD((Panchanga!$P429+30-28.5),30)*2+7)</f>
        <v>0.68100000000000005</v>
      </c>
      <c r="M429" s="4" t="str">
        <f>CHOOSE(ROUNDUP(Panchanga!$L429,0),"Bhava","Baalava","Kaulava","Taitula","Garija","Vanija","Vishti","Shakuni","Chatushapda","Naaga","Kimstugna")</f>
        <v>Bhava</v>
      </c>
      <c r="N429" s="11" t="str">
        <f>CHOOSE(ROUNDUP(Panchanga!$Q429,0),"viṣkambha","prīti","āyuṣmāna","saubhāgya","śobhana","atigaṇḍa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("&amp;Panchanga!$Q429&amp;")"</f>
        <v>āyuṣmāna (2.29)</v>
      </c>
      <c r="O429" s="4">
        <f>IF(AND(Panchanga!$P429&lt;28.5,Panchanga!$P429&gt;0.49999),MOD((Panchanga!$P429-0.5)*2,7),MOD((Panchanga!$P429+30-28.5),30)*2+7)</f>
        <v>0.68100000000000005</v>
      </c>
      <c r="P429" s="4">
        <f>ROUNDUP(MOD(360+P[Moon]-P[Sun],360)/12,4)</f>
        <v>0.84050000000000002</v>
      </c>
      <c r="Q429" s="4">
        <f>ROUNDUP(MOD(P[Sun]+P[Moon],360)/13.333333333,2)</f>
        <v>2.2899999999999996</v>
      </c>
      <c r="R429" s="4" t="str">
        <f>SIGN(U430-Panchanga!$U429)*INT(Panchanga!$U429/30+1)&amp;"Ma,"&amp;SIGN(V430-Panchanga!$V429)*INT(Panchanga!$V429/30+1)&amp;"Me,"&amp;SIGN(W430-Panchanga!$W429)*INT(Panchanga!$W429/30+1)&amp;"J, "&amp;SIGN(X430-Panchanga!$X429)*INT(Panchanga!$X429/30+1)&amp;"V,"&amp;SIGN(Y430-Panchanga!$Y429)*INT(Panchanga!$Y429/30+1)&amp;"S,"&amp;INT(Panchanga!$Z429/30+1)&amp;"R"</f>
        <v>10Ma,-12Me,10J, 2V,10S,3R</v>
      </c>
      <c r="S429" s="4">
        <f t="shared" si="61"/>
        <v>10.158322031172972</v>
      </c>
      <c r="T429" s="4">
        <f t="shared" si="62"/>
        <v>20.243535288272586</v>
      </c>
      <c r="U429" s="4">
        <f>Planet(Panchanga!$E429,4)</f>
        <v>292.6697067985437</v>
      </c>
      <c r="V429" s="4">
        <f>Planet(Panchanga!$E429,2)</f>
        <v>358.32915428937775</v>
      </c>
      <c r="W429" s="4">
        <f>Planet(Panchanga!$E429,5)</f>
        <v>272.44540016888203</v>
      </c>
      <c r="X429" s="4">
        <f>Planet(Panchanga!$E429,3)</f>
        <v>51.416145277592847</v>
      </c>
      <c r="Y429" s="4">
        <f>Planet(Panchanga!$E429,6)</f>
        <v>277.58295713549222</v>
      </c>
      <c r="Z429" s="4">
        <f>Planet(Panchanga!$E429,10)</f>
        <v>68.065361290816142</v>
      </c>
      <c r="AA429" s="4" t="str">
        <f>TEXT(Panchanga!$C429+($C430-Panchanga!$C429)/ABS(IF($P430&lt;1,$P430+30,$P430)-Panchanga!$P429)*(ROUNDUP(Panchanga!$P429,0)-Panchanga!$P429),"hh:mm AM/PM")</f>
        <v>10:00 AM</v>
      </c>
      <c r="AB429" s="4"/>
    </row>
    <row r="430" spans="1:28" x14ac:dyDescent="0.2">
      <c r="A430" s="3">
        <f t="shared" si="64"/>
        <v>43946</v>
      </c>
      <c r="B430" s="3">
        <f t="shared" si="58"/>
        <v>43946.229166666664</v>
      </c>
      <c r="C430" s="15">
        <f t="shared" si="59"/>
        <v>43946.244449343685</v>
      </c>
      <c r="D430" s="15">
        <f t="shared" si="60"/>
        <v>43945.766061127229</v>
      </c>
      <c r="E430" s="17">
        <f>Panchanga!$C430-TimeZone/24</f>
        <v>43946.015282677021</v>
      </c>
      <c r="F430" s="18" t="str">
        <f>INT(P[Sun]/30)&amp;"s"&amp;ROUNDUP(MOD(P[Sun],30),2)</f>
        <v>0s11.14</v>
      </c>
      <c r="G430" s="18" t="str">
        <f>INT(P[Moon]/30)&amp;"s"&amp;ROUNDUP(MOD(P[Moon],30),2)</f>
        <v>1s2.34</v>
      </c>
      <c r="H430" s="14">
        <f t="shared" si="63"/>
        <v>43946.015282677021</v>
      </c>
      <c r="I430" s="4" t="str">
        <f>naks(P[[#This Row],[Moon]])</f>
        <v>Krittika</v>
      </c>
      <c r="J430" s="15">
        <f>(C431-P[[#This Row],[SunRise]])/(T431-P[[#This Row],[Moon]])*(13.3333333333333-MOD(P[[#This Row],[Moon]],13.333333333333))+P[[#This Row],[SunRise]]</f>
        <v>43946.871767918557</v>
      </c>
      <c r="K430" s="4" t="str">
        <f>IF(Panchanga!$P430&gt;15,"K","S")&amp;ROUNDUP(MOD(Panchanga!$P430,15),0)&amp;" ("&amp;ROUND(Panchanga!$P430,2)&amp;")"</f>
        <v>S2 (1.77)</v>
      </c>
      <c r="L430" s="4">
        <f>IF(AND(Panchanga!$P430&lt;28.5,Panchanga!$P430&gt;0.49999),MOD((Panchanga!$P430-0.5)*2,7),MOD((Panchanga!$P430+30-28.5),30)*2+7)</f>
        <v>2.5337999999999998</v>
      </c>
      <c r="M430" s="4" t="str">
        <f>CHOOSE(ROUNDUP(Panchanga!$L430,0),"Bhava","Baalava","Kaulava","Taitula","Garija","Vanija","Vishti","Shakuni","Chatushapda","Naaga","Kimstugna")</f>
        <v>Kaulava</v>
      </c>
      <c r="N430" s="11" t="str">
        <f>CHOOSE(ROUNDUP(Panchanga!$Q430,0),"viṣkambha","prīti","āyuṣmāna","saubhāgya","śobhana","atigaṇḍa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("&amp;Panchanga!$Q430&amp;")"</f>
        <v>saubhāgya (3.27)</v>
      </c>
      <c r="O430" s="4">
        <f>IF(AND(Panchanga!$P430&lt;28.5,Panchanga!$P430&gt;0.49999),MOD((Panchanga!$P430-0.5)*2,7),MOD((Panchanga!$P430+30-28.5),30)*2+7)</f>
        <v>2.5337999999999998</v>
      </c>
      <c r="P430" s="4">
        <f>ROUNDUP(MOD(360+P[Moon]-P[Sun],360)/12,4)</f>
        <v>1.7668999999999999</v>
      </c>
      <c r="Q430" s="4">
        <f>ROUNDUP(MOD(P[Sun]+P[Moon],360)/13.333333333,2)</f>
        <v>3.2699999999999996</v>
      </c>
      <c r="R430" s="4" t="str">
        <f>SIGN(U431-Panchanga!$U430)*INT(Panchanga!$U430/30+1)&amp;"Ma,"&amp;SIGN(V431-Panchanga!$V430)*INT(Panchanga!$V430/30+1)&amp;"Me,"&amp;SIGN(W431-Panchanga!$W430)*INT(Panchanga!$W430/30+1)&amp;"J, "&amp;SIGN(X431-Panchanga!$X430)*INT(Panchanga!$X430/30+1)&amp;"V,"&amp;SIGN(Y431-Panchanga!$Y430)*INT(Panchanga!$Y430/30+1)&amp;"S,"&amp;INT(Panchanga!$Z430/30+1)&amp;"R"</f>
        <v>10Ma,1Me,10J, 2V,10S,3R</v>
      </c>
      <c r="S430" s="4">
        <f t="shared" si="61"/>
        <v>11.132268887570122</v>
      </c>
      <c r="T430" s="4">
        <f t="shared" si="62"/>
        <v>32.334632528282746</v>
      </c>
      <c r="U430" s="4">
        <f>Planet(Panchanga!$E430,4)</f>
        <v>293.3618921742293</v>
      </c>
      <c r="V430" s="4">
        <f>Planet(Panchanga!$E430,2)</f>
        <v>0.26748246456394686</v>
      </c>
      <c r="W430" s="4">
        <f>Planet(Panchanga!$E430,5)</f>
        <v>272.50711410208345</v>
      </c>
      <c r="X430" s="4">
        <f>Planet(Panchanga!$E430,3)</f>
        <v>51.998457702408977</v>
      </c>
      <c r="Y430" s="4">
        <f>Planet(Panchanga!$E430,6)</f>
        <v>277.60985731801162</v>
      </c>
      <c r="Z430" s="4">
        <f>Planet(Panchanga!$E430,10)</f>
        <v>68.012388019110318</v>
      </c>
      <c r="AA430" s="4" t="str">
        <f>TEXT(Panchanga!$C430+($C431-Panchanga!$C430)/ABS(IF($P431&lt;1,$P431+30,$P431)-Panchanga!$P430)*(ROUNDUP(Panchanga!$P430,0)-Panchanga!$P430),"hh:mm AM/PM")</f>
        <v>11:50 AM</v>
      </c>
      <c r="AB430" s="4"/>
    </row>
    <row r="431" spans="1:28" x14ac:dyDescent="0.2">
      <c r="A431" s="3">
        <f t="shared" si="64"/>
        <v>43947</v>
      </c>
      <c r="B431" s="3">
        <f t="shared" si="58"/>
        <v>43947.229166666664</v>
      </c>
      <c r="C431" s="15">
        <f t="shared" si="59"/>
        <v>43947.244103477955</v>
      </c>
      <c r="D431" s="15">
        <f t="shared" si="60"/>
        <v>43946.766176521822</v>
      </c>
      <c r="E431" s="17">
        <f>Panchanga!$C431-TimeZone/24</f>
        <v>43947.014936811291</v>
      </c>
      <c r="F431" s="18" t="str">
        <f>INT(P[Sun]/30)&amp;"s"&amp;ROUNDUP(MOD(P[Sun],30),2)</f>
        <v>0s12.11</v>
      </c>
      <c r="G431" s="18" t="str">
        <f>INT(P[Moon]/30)&amp;"s"&amp;ROUNDUP(MOD(P[Moon],30),2)</f>
        <v>1s14.55</v>
      </c>
      <c r="H431" s="14">
        <f t="shared" si="63"/>
        <v>43947.014936811291</v>
      </c>
      <c r="I431" s="4" t="str">
        <f>naks(P[[#This Row],[Moon]])</f>
        <v>Rohini</v>
      </c>
      <c r="J431" s="15">
        <f>(C432-P[[#This Row],[SunRise]])/(T432-P[[#This Row],[Moon]])*(13.3333333333333-MOD(P[[#This Row],[Moon]],13.333333333333))+P[[#This Row],[SunRise]]</f>
        <v>43947.953787863175</v>
      </c>
      <c r="K431" s="4" t="str">
        <f>IF(Panchanga!$P431&gt;15,"K","S")&amp;ROUNDUP(MOD(Panchanga!$P431,15),0)&amp;" ("&amp;ROUND(Panchanga!$P431,2)&amp;")"</f>
        <v>S3 (2.7)</v>
      </c>
      <c r="L431" s="4">
        <f>IF(AND(Panchanga!$P431&lt;28.5,Panchanga!$P431&gt;0.49999),MOD((Panchanga!$P431-0.5)*2,7),MOD((Panchanga!$P431+30-28.5),30)*2+7)</f>
        <v>4.4074</v>
      </c>
      <c r="M431" s="4" t="str">
        <f>CHOOSE(ROUNDUP(Panchanga!$L431,0),"Bhava","Baalava","Kaulava","Taitula","Garija","Vanija","Vishti","Shakuni","Chatushapda","Naaga","Kimstugna")</f>
        <v>Garija</v>
      </c>
      <c r="N431" s="11" t="str">
        <f>CHOOSE(ROUNDUP(Panchanga!$Q431,0),"viṣkambha","prīti","āyuṣmāna","saubhāgya","śobhana","atigaṇḍa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("&amp;Panchanga!$Q431&amp;")"</f>
        <v>śobhana (4.25)</v>
      </c>
      <c r="O431" s="4">
        <f>IF(AND(Panchanga!$P431&lt;28.5,Panchanga!$P431&gt;0.49999),MOD((Panchanga!$P431-0.5)*2,7),MOD((Panchanga!$P431+30-28.5),30)*2+7)</f>
        <v>4.4074</v>
      </c>
      <c r="P431" s="4">
        <f>ROUNDUP(MOD(360+P[Moon]-P[Sun],360)/12,4)</f>
        <v>2.7037</v>
      </c>
      <c r="Q431" s="4">
        <f>ROUNDUP(MOD(P[Sun]+P[Moon],360)/13.333333333,2)</f>
        <v>4.25</v>
      </c>
      <c r="R431" s="4" t="str">
        <f>SIGN(U432-Panchanga!$U431)*INT(Panchanga!$U431/30+1)&amp;"Ma,"&amp;SIGN(V432-Panchanga!$V431)*INT(Panchanga!$V431/30+1)&amp;"Me,"&amp;SIGN(W432-Panchanga!$W431)*INT(Panchanga!$W431/30+1)&amp;"J, "&amp;SIGN(X432-Panchanga!$X431)*INT(Panchanga!$X431/30+1)&amp;"V,"&amp;SIGN(Y432-Panchanga!$Y431)*INT(Panchanga!$Y431/30+1)&amp;"S,"&amp;INT(Panchanga!$Z431/30+1)&amp;"R"</f>
        <v>10Ma,1Me,10J, 2V,10S,3R</v>
      </c>
      <c r="S431" s="4">
        <f t="shared" si="61"/>
        <v>12.105679513564825</v>
      </c>
      <c r="T431" s="4">
        <f t="shared" si="62"/>
        <v>44.549664237477501</v>
      </c>
      <c r="U431" s="4">
        <f>Planet(Panchanga!$E431,4)</f>
        <v>294.05371853794696</v>
      </c>
      <c r="V431" s="4">
        <f>Planet(Panchanga!$E431,2)</f>
        <v>2.232599108739064</v>
      </c>
      <c r="W431" s="4">
        <f>Planet(Panchanga!$E431,5)</f>
        <v>272.56587255928741</v>
      </c>
      <c r="X431" s="4">
        <f>Planet(Panchanga!$E431,3)</f>
        <v>52.558313395814864</v>
      </c>
      <c r="Y431" s="4">
        <f>Planet(Panchanga!$E431,6)</f>
        <v>277.63515290552414</v>
      </c>
      <c r="Z431" s="4">
        <f>Planet(Panchanga!$E431,10)</f>
        <v>67.959414351545419</v>
      </c>
      <c r="AA431" s="4" t="str">
        <f>TEXT(Panchanga!$C431+($C432-Panchanga!$C431)/ABS(IF($P432&lt;1,$P432+30,$P432)-Panchanga!$P431)*(ROUNDUP(Panchanga!$P431,0)-Panchanga!$P431),"hh:mm AM/PM")</f>
        <v>01:20 PM</v>
      </c>
      <c r="AB431" s="4"/>
    </row>
    <row r="432" spans="1:28" x14ac:dyDescent="0.2">
      <c r="A432" s="3">
        <f t="shared" si="64"/>
        <v>43948</v>
      </c>
      <c r="B432" s="3">
        <f t="shared" si="58"/>
        <v>43948.229166666664</v>
      </c>
      <c r="C432" s="15">
        <f t="shared" si="59"/>
        <v>43948.243765241619</v>
      </c>
      <c r="D432" s="15">
        <f t="shared" si="60"/>
        <v>43947.766295572321</v>
      </c>
      <c r="E432" s="17">
        <f>Panchanga!$C432-TimeZone/24</f>
        <v>43948.014598574955</v>
      </c>
      <c r="F432" s="18" t="str">
        <f>INT(P[Sun]/30)&amp;"s"&amp;ROUNDUP(MOD(P[Sun],30),2)</f>
        <v>0s13.08</v>
      </c>
      <c r="G432" s="18" t="str">
        <f>INT(P[Moon]/30)&amp;"s"&amp;ROUNDUP(MOD(P[Moon],30),2)</f>
        <v>1s26.93</v>
      </c>
      <c r="H432" s="14">
        <f t="shared" si="63"/>
        <v>43948.014598574955</v>
      </c>
      <c r="I432" s="4" t="str">
        <f>naks(P[[#This Row],[Moon]])</f>
        <v>Mrigashira</v>
      </c>
      <c r="J432" s="15">
        <f>(C433-P[[#This Row],[SunRise]])/(T433-P[[#This Row],[Moon]])*(13.3333333333333-MOD(P[[#This Row],[Moon]],13.333333333333))+P[[#This Row],[SunRise]]</f>
        <v>43949.01857995864</v>
      </c>
      <c r="K432" s="4" t="str">
        <f>IF(Panchanga!$P432&gt;15,"K","S")&amp;ROUNDUP(MOD(Panchanga!$P432,15),0)&amp;" ("&amp;ROUND(Panchanga!$P432,2)&amp;")"</f>
        <v>S4 (3.65)</v>
      </c>
      <c r="L432" s="4">
        <f>IF(AND(Panchanga!$P432&lt;28.5,Panchanga!$P432&gt;0.49999),MOD((Panchanga!$P432-0.5)*2,7),MOD((Panchanga!$P432+30-28.5),30)*2+7)</f>
        <v>6.3074000000000003</v>
      </c>
      <c r="M432" s="4" t="str">
        <f>CHOOSE(ROUNDUP(Panchanga!$L432,0),"Bhava","Baalava","Kaulava","Taitula","Garija","Vanija","Vishti","Shakuni","Chatushapda","Naaga","Kimstugna")</f>
        <v>Vishti</v>
      </c>
      <c r="N432" s="11" t="str">
        <f>CHOOSE(ROUNDUP(Panchanga!$Q432,0),"viṣkambha","prīti","āyuṣmāna","saubhāgya","śobhana","atigaṇḍa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("&amp;Panchanga!$Q432&amp;")"</f>
        <v>atigaṇḍa  (5.26)</v>
      </c>
      <c r="O432" s="4">
        <f>IF(AND(Panchanga!$P432&lt;28.5,Panchanga!$P432&gt;0.49999),MOD((Panchanga!$P432-0.5)*2,7),MOD((Panchanga!$P432+30-28.5),30)*2+7)</f>
        <v>6.3074000000000003</v>
      </c>
      <c r="P432" s="4">
        <f>ROUNDUP(MOD(360+P[Moon]-P[Sun],360)/12,4)</f>
        <v>3.6537000000000002</v>
      </c>
      <c r="Q432" s="4">
        <f>ROUNDUP(MOD(P[Sun]+P[Moon],360)/13.333333333,2)</f>
        <v>5.26</v>
      </c>
      <c r="R432" s="4" t="str">
        <f>SIGN(U433-Panchanga!$U432)*INT(Panchanga!$U432/30+1)&amp;"Ma,"&amp;SIGN(V433-Panchanga!$V432)*INT(Panchanga!$V432/30+1)&amp;"Me,"&amp;SIGN(W433-Panchanga!$W432)*INT(Panchanga!$W432/30+1)&amp;"J, "&amp;SIGN(X433-Panchanga!$X432)*INT(Panchanga!$X432/30+1)&amp;"V,"&amp;SIGN(Y433-Panchanga!$Y432)*INT(Panchanga!$Y432/30+1)&amp;"S,"&amp;INT(Panchanga!$Z432/30+1)&amp;"R"</f>
        <v>10Ma,1Me,10J, 2V,10S,3R</v>
      </c>
      <c r="S432" s="4">
        <f t="shared" si="61"/>
        <v>13.078544637524887</v>
      </c>
      <c r="T432" s="4">
        <f t="shared" si="62"/>
        <v>56.922344717236122</v>
      </c>
      <c r="U432" s="4">
        <f>Planet(Panchanga!$E432,4)</f>
        <v>294.7451683310029</v>
      </c>
      <c r="V432" s="4">
        <f>Planet(Panchanga!$E432,2)</f>
        <v>4.2240908939621962</v>
      </c>
      <c r="W432" s="4">
        <f>Planet(Panchanga!$E432,5)</f>
        <v>272.62165809942161</v>
      </c>
      <c r="X432" s="4">
        <f>Planet(Panchanga!$E432,3)</f>
        <v>53.094821282242314</v>
      </c>
      <c r="Y432" s="4">
        <f>Planet(Panchanga!$E432,6)</f>
        <v>277.65883926410237</v>
      </c>
      <c r="Z432" s="4">
        <f>Planet(Panchanga!$E432,10)</f>
        <v>67.90644027967133</v>
      </c>
      <c r="AA432" s="4" t="str">
        <f>TEXT(Panchanga!$C432+($C433-Panchanga!$C432)/ABS(IF($P433&lt;1,$P433+30,$P433)-Panchanga!$P432)*(ROUNDUP(Panchanga!$P432,0)-Panchanga!$P432),"hh:mm AM/PM")</f>
        <v>02:26 PM</v>
      </c>
      <c r="AB432" s="4"/>
    </row>
    <row r="433" spans="1:28" x14ac:dyDescent="0.2">
      <c r="A433" s="3">
        <f t="shared" si="64"/>
        <v>43949</v>
      </c>
      <c r="B433" s="3">
        <f t="shared" si="58"/>
        <v>43949.229166666664</v>
      </c>
      <c r="C433" s="15">
        <f t="shared" si="59"/>
        <v>43949.243434634212</v>
      </c>
      <c r="D433" s="15">
        <f t="shared" si="60"/>
        <v>43948.766418278261</v>
      </c>
      <c r="E433" s="17">
        <f>Panchanga!$C433-TimeZone/24</f>
        <v>43949.014267967548</v>
      </c>
      <c r="F433" s="18" t="str">
        <f>INT(P[Sun]/30)&amp;"s"&amp;ROUNDUP(MOD(P[Sun],30),2)</f>
        <v>0s14.06</v>
      </c>
      <c r="G433" s="18" t="str">
        <f>INT(P[Moon]/30)&amp;"s"&amp;ROUNDUP(MOD(P[Moon],30),2)</f>
        <v>2s9.5</v>
      </c>
      <c r="H433" s="14">
        <f t="shared" si="63"/>
        <v>43949.014267967548</v>
      </c>
      <c r="I433" s="4" t="str">
        <f>naks(P[[#This Row],[Moon]])</f>
        <v>Ardra</v>
      </c>
      <c r="J433" s="15">
        <f>(C434-P[[#This Row],[SunRise]])/(T434-P[[#This Row],[Moon]])*(13.3333333333333-MOD(P[[#This Row],[Moon]],13.333333333333))+P[[#This Row],[SunRise]]</f>
        <v>43950.062582008009</v>
      </c>
      <c r="K433" s="4" t="str">
        <f>IF(Panchanga!$P433&gt;15,"K","S")&amp;ROUNDUP(MOD(Panchanga!$P433,15),0)&amp;" ("&amp;ROUND(Panchanga!$P433,2)&amp;")"</f>
        <v>S5 (4.62)</v>
      </c>
      <c r="L433" s="4">
        <f>IF(AND(Panchanga!$P433&lt;28.5,Panchanga!$P433&gt;0.49999),MOD((Panchanga!$P433-0.5)*2,7),MOD((Panchanga!$P433+30-28.5),30)*2+7)</f>
        <v>1.2408000000000001</v>
      </c>
      <c r="M433" s="4" t="str">
        <f>CHOOSE(ROUNDUP(Panchanga!$L433,0),"Bhava","Baalava","Kaulava","Taitula","Garija","Vanija","Vishti","Shakuni","Chatushapda","Naaga","Kimstugna")</f>
        <v>Baalava</v>
      </c>
      <c r="N433" s="11" t="str">
        <f>CHOOSE(ROUNDUP(Panchanga!$Q433,0),"viṣkambha","prīti","āyuṣmāna","saubhāgya","śobhana","atigaṇḍa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("&amp;Panchanga!$Q433&amp;")"</f>
        <v>sukarmā  (6.27)</v>
      </c>
      <c r="O433" s="4">
        <f>IF(AND(Panchanga!$P433&lt;28.5,Panchanga!$P433&gt;0.49999),MOD((Panchanga!$P433-0.5)*2,7),MOD((Panchanga!$P433+30-28.5),30)*2+7)</f>
        <v>1.2408000000000001</v>
      </c>
      <c r="P433" s="4">
        <f>ROUNDUP(MOD(360+P[Moon]-P[Sun],360)/12,4)</f>
        <v>4.6204000000000001</v>
      </c>
      <c r="Q433" s="4">
        <f>ROUNDUP(MOD(P[Sun]+P[Moon],360)/13.333333333,2)</f>
        <v>6.27</v>
      </c>
      <c r="R433" s="4" t="str">
        <f>SIGN(U434-Panchanga!$U433)*INT(Panchanga!$U433/30+1)&amp;"Ma,"&amp;SIGN(V434-Panchanga!$V433)*INT(Panchanga!$V433/30+1)&amp;"Me,"&amp;SIGN(W434-Panchanga!$W433)*INT(Panchanga!$W433/30+1)&amp;"J, "&amp;SIGN(X434-Panchanga!$X433)*INT(Panchanga!$X433/30+1)&amp;"V,"&amp;SIGN(Y434-Panchanga!$Y433)*INT(Panchanga!$Y433/30+1)&amp;"S,"&amp;INT(Panchanga!$Z433/30+1)&amp;"R"</f>
        <v>10Ma,1Me,10J, 2V,10S,3R</v>
      </c>
      <c r="S433" s="4">
        <f t="shared" si="61"/>
        <v>14.050855782177599</v>
      </c>
      <c r="T433" s="4">
        <f t="shared" si="62"/>
        <v>69.494512217930648</v>
      </c>
      <c r="U433" s="4">
        <f>Planet(Panchanga!$E433,4)</f>
        <v>295.43622583831257</v>
      </c>
      <c r="V433" s="4">
        <f>Planet(Panchanga!$E433,2)</f>
        <v>6.241343541352653</v>
      </c>
      <c r="W433" s="4">
        <f>Planet(Panchanga!$E433,5)</f>
        <v>272.67445460678522</v>
      </c>
      <c r="X433" s="4">
        <f>Planet(Panchanga!$E433,3)</f>
        <v>53.607058417198274</v>
      </c>
      <c r="Y433" s="4">
        <f>Planet(Panchanga!$E433,6)</f>
        <v>277.68091252797791</v>
      </c>
      <c r="Z433" s="4">
        <f>Planet(Panchanga!$E433,10)</f>
        <v>67.853465803521203</v>
      </c>
      <c r="AA433" s="4" t="str">
        <f>TEXT(Panchanga!$C433+($C434-Panchanga!$C433)/ABS(IF($P434&lt;1,$P434+30,$P434)-Panchanga!$P433)*(ROUNDUP(Panchanga!$P433,0)-Panchanga!$P433),"hh:mm AM/PM")</f>
        <v>03:03 PM</v>
      </c>
      <c r="AB433" s="4"/>
    </row>
    <row r="434" spans="1:28" x14ac:dyDescent="0.2">
      <c r="A434" s="3">
        <f t="shared" si="64"/>
        <v>43950</v>
      </c>
      <c r="B434" s="3">
        <f t="shared" si="58"/>
        <v>43950.229166666664</v>
      </c>
      <c r="C434" s="15">
        <f t="shared" si="59"/>
        <v>43950.243111974713</v>
      </c>
      <c r="D434" s="15">
        <f t="shared" si="60"/>
        <v>43949.766544799364</v>
      </c>
      <c r="E434" s="17">
        <f>Panchanga!$C434-TimeZone/24</f>
        <v>43950.013945308048</v>
      </c>
      <c r="F434" s="18" t="str">
        <f>INT(P[Sun]/30)&amp;"s"&amp;ROUNDUP(MOD(P[Sun],30),2)</f>
        <v>0s15.03</v>
      </c>
      <c r="G434" s="18" t="str">
        <f>INT(P[Moon]/30)&amp;"s"&amp;ROUNDUP(MOD(P[Moon],30),2)</f>
        <v>2s22.32</v>
      </c>
      <c r="H434" s="14">
        <f t="shared" si="63"/>
        <v>43950.013945308048</v>
      </c>
      <c r="I434" s="4" t="str">
        <f>naks(P[[#This Row],[Moon]])</f>
        <v>Punarvasu</v>
      </c>
      <c r="J434" s="15">
        <f>(C435-P[[#This Row],[SunRise]])/(T435-P[[#This Row],[Moon]])*(13.3333333333333-MOD(P[[#This Row],[Moon]],13.333333333333))+P[[#This Row],[SunRise]]</f>
        <v>43951.082511405548</v>
      </c>
      <c r="K434" s="4" t="str">
        <f>IF(Panchanga!$P434&gt;15,"K","S")&amp;ROUNDUP(MOD(Panchanga!$P434,15),0)&amp;" ("&amp;ROUND(Panchanga!$P434,2)&amp;")"</f>
        <v>S6 (5.61)</v>
      </c>
      <c r="L434" s="4">
        <f>IF(AND(Panchanga!$P434&lt;28.5,Panchanga!$P434&gt;0.49999),MOD((Panchanga!$P434-0.5)*2,7),MOD((Panchanga!$P434+30-28.5),30)*2+7)</f>
        <v>3.2156000000000002</v>
      </c>
      <c r="M434" s="4" t="str">
        <f>CHOOSE(ROUNDUP(Panchanga!$L434,0),"Bhava","Baalava","Kaulava","Taitula","Garija","Vanija","Vishti","Shakuni","Chatushapda","Naaga","Kimstugna")</f>
        <v>Taitula</v>
      </c>
      <c r="N434" s="11" t="str">
        <f>CHOOSE(ROUNDUP(Panchanga!$Q434,0),"viṣkambha","prīti","āyuṣmāna","saubhāgya","śobhana","atigaṇḍa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("&amp;Panchanga!$Q434&amp;")"</f>
        <v>dhṛti  (7.31)</v>
      </c>
      <c r="O434" s="4">
        <f>IF(AND(Panchanga!$P434&lt;28.5,Panchanga!$P434&gt;0.49999),MOD((Panchanga!$P434-0.5)*2,7),MOD((Panchanga!$P434+30-28.5),30)*2+7)</f>
        <v>3.2156000000000002</v>
      </c>
      <c r="P434" s="4">
        <f>ROUNDUP(MOD(360+P[Moon]-P[Sun],360)/12,4)</f>
        <v>5.6078000000000001</v>
      </c>
      <c r="Q434" s="4">
        <f>ROUNDUP(MOD(P[Sun]+P[Moon],360)/13.333333333,2)</f>
        <v>7.31</v>
      </c>
      <c r="R434" s="4" t="str">
        <f>SIGN(U435-Panchanga!$U434)*INT(Panchanga!$U434/30+1)&amp;"Ma,"&amp;SIGN(V435-Panchanga!$V434)*INT(Panchanga!$V434/30+1)&amp;"Me,"&amp;SIGN(W435-Panchanga!$W434)*INT(Panchanga!$W434/30+1)&amp;"J, "&amp;SIGN(X435-Panchanga!$X434)*INT(Panchanga!$X434/30+1)&amp;"V,"&amp;SIGN(Y435-Panchanga!$Y434)*INT(Panchanga!$Y434/30+1)&amp;"S,"&amp;INT(Panchanga!$Z434/30+1)&amp;"R"</f>
        <v>10Ma,1Me,10J, 2V,10S,3R</v>
      </c>
      <c r="S434" s="4">
        <f t="shared" si="61"/>
        <v>15.022606183567158</v>
      </c>
      <c r="T434" s="4">
        <f t="shared" si="62"/>
        <v>82.315279789884386</v>
      </c>
      <c r="U434" s="4">
        <f>Planet(Panchanga!$E434,4)</f>
        <v>296.12687775600529</v>
      </c>
      <c r="V434" s="4">
        <f>Planet(Panchanga!$E434,2)</f>
        <v>8.2835017233615211</v>
      </c>
      <c r="W434" s="4">
        <f>Planet(Panchanga!$E434,5)</f>
        <v>272.72424734306674</v>
      </c>
      <c r="X434" s="4">
        <f>Planet(Panchanga!$E434,3)</f>
        <v>54.094071786941541</v>
      </c>
      <c r="Y434" s="4">
        <f>Planet(Panchanga!$E434,6)</f>
        <v>277.70136961622728</v>
      </c>
      <c r="Z434" s="4">
        <f>Planet(Panchanga!$E434,10)</f>
        <v>67.800490906194852</v>
      </c>
      <c r="AA434" s="4" t="str">
        <f>TEXT(Panchanga!$C434+($C435-Panchanga!$C434)/ABS(IF($P435&lt;1,$P435+30,$P435)-Panchanga!$P434)*(ROUNDUP(Panchanga!$P434,0)-Panchanga!$P434),"hh:mm AM/PM")</f>
        <v>03:07 PM</v>
      </c>
      <c r="AB434" s="4"/>
    </row>
    <row r="435" spans="1:28" x14ac:dyDescent="0.2">
      <c r="A435" s="3">
        <f t="shared" si="64"/>
        <v>43951</v>
      </c>
      <c r="B435" s="3">
        <f t="shared" si="58"/>
        <v>43951.229166666664</v>
      </c>
      <c r="C435" s="15">
        <f t="shared" si="59"/>
        <v>43951.242797420979</v>
      </c>
      <c r="D435" s="15">
        <f t="shared" si="60"/>
        <v>43950.766674816652</v>
      </c>
      <c r="E435" s="17">
        <f>Panchanga!$C435-TimeZone/24</f>
        <v>43951.013630754314</v>
      </c>
      <c r="F435" s="18" t="str">
        <f>INT(P[Sun]/30)&amp;"s"&amp;ROUNDUP(MOD(P[Sun],30),2)</f>
        <v>0s16</v>
      </c>
      <c r="G435" s="18" t="str">
        <f>INT(P[Moon]/30)&amp;"s"&amp;ROUNDUP(MOD(P[Moon],30),2)</f>
        <v>3s5.44</v>
      </c>
      <c r="H435" s="14">
        <f t="shared" si="63"/>
        <v>43951.013630754314</v>
      </c>
      <c r="I435" s="4" t="str">
        <f>naks(P[[#This Row],[Moon]])</f>
        <v>Pushya</v>
      </c>
      <c r="J435" s="15">
        <f>(C436-P[[#This Row],[SunRise]])/(T436-P[[#This Row],[Moon]])*(13.3333333333333-MOD(P[[#This Row],[Moon]],13.333333333333))+P[[#This Row],[SunRise]]</f>
        <v>43952.076061918808</v>
      </c>
      <c r="K435" s="4" t="str">
        <f>IF(Panchanga!$P435&gt;15,"K","S")&amp;ROUNDUP(MOD(Panchanga!$P435,15),0)&amp;" ("&amp;ROUND(Panchanga!$P435,2)&amp;")"</f>
        <v>S7 (6.62)</v>
      </c>
      <c r="L435" s="4">
        <f>IF(AND(Panchanga!$P435&lt;28.5,Panchanga!$P435&gt;0.49999),MOD((Panchanga!$P435-0.5)*2,7),MOD((Panchanga!$P435+30-28.5),30)*2+7)</f>
        <v>5.2405999999999988</v>
      </c>
      <c r="M435" s="4" t="str">
        <f>CHOOSE(ROUNDUP(Panchanga!$L435,0),"Bhava","Baalava","Kaulava","Taitula","Garija","Vanija","Vishti","Shakuni","Chatushapda","Naaga","Kimstugna")</f>
        <v>Vanija</v>
      </c>
      <c r="N435" s="11" t="str">
        <f>CHOOSE(ROUNDUP(Panchanga!$Q435,0),"viṣkambha","prīti","āyuṣmāna","saubhāgya","śobhana","atigaṇḍa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("&amp;Panchanga!$Q435&amp;")"</f>
        <v>śūla  (8.36)</v>
      </c>
      <c r="O435" s="4">
        <f>IF(AND(Panchanga!$P435&lt;28.5,Panchanga!$P435&gt;0.49999),MOD((Panchanga!$P435-0.5)*2,7),MOD((Panchanga!$P435+30-28.5),30)*2+7)</f>
        <v>5.2405999999999988</v>
      </c>
      <c r="P435" s="4">
        <f>ROUNDUP(MOD(360+P[Moon]-P[Sun],360)/12,4)</f>
        <v>6.6202999999999994</v>
      </c>
      <c r="Q435" s="4">
        <f>ROUNDUP(MOD(P[Sun]+P[Moon],360)/13.333333333,2)</f>
        <v>8.36</v>
      </c>
      <c r="R435" s="4" t="str">
        <f>SIGN(U436-Panchanga!$U435)*INT(Panchanga!$U435/30+1)&amp;"Ma,"&amp;SIGN(V436-Panchanga!$V435)*INT(Panchanga!$V435/30+1)&amp;"Me,"&amp;SIGN(W436-Panchanga!$W435)*INT(Panchanga!$W435/30+1)&amp;"J, "&amp;SIGN(X436-Panchanga!$X435)*INT(Panchanga!$X435/30+1)&amp;"V,"&amp;SIGN(Y436-Panchanga!$Y435)*INT(Panchanga!$Y435/30+1)&amp;"S,"&amp;INT(Panchanga!$Z435/30+1)&amp;"R"</f>
        <v>10Ma,1Me,10J, 2V,10S,3R</v>
      </c>
      <c r="S435" s="4">
        <f t="shared" si="61"/>
        <v>15.993790912573909</v>
      </c>
      <c r="T435" s="4">
        <f t="shared" si="62"/>
        <v>95.437266020691041</v>
      </c>
      <c r="U435" s="4">
        <f>Planet(Panchanga!$E435,4)</f>
        <v>296.81711305504575</v>
      </c>
      <c r="V435" s="4">
        <f>Planet(Panchanga!$E435,2)</f>
        <v>10.349425302123956</v>
      </c>
      <c r="W435" s="4">
        <f>Planet(Panchanga!$E435,5)</f>
        <v>272.77102291468714</v>
      </c>
      <c r="X435" s="4">
        <f>Planet(Panchanga!$E435,3)</f>
        <v>54.554880543258051</v>
      </c>
      <c r="Y435" s="4">
        <f>Planet(Panchanga!$E435,6)</f>
        <v>277.72020821886827</v>
      </c>
      <c r="Z435" s="4">
        <f>Planet(Panchanga!$E435,10)</f>
        <v>67.747515579341638</v>
      </c>
      <c r="AA435" s="4" t="str">
        <f>TEXT(Panchanga!$C435+($C436-Panchanga!$C435)/ABS(IF($P436&lt;1,$P436+30,$P436)-Panchanga!$P435)*(ROUNDUP(Panchanga!$P435,0)-Panchanga!$P435),"hh:mm AM/PM")</f>
        <v>02:34 PM</v>
      </c>
      <c r="AB435" s="4"/>
    </row>
    <row r="436" spans="1:28" x14ac:dyDescent="0.2">
      <c r="A436" s="3">
        <f t="shared" si="64"/>
        <v>43952</v>
      </c>
      <c r="B436" s="3">
        <f t="shared" si="58"/>
        <v>43952.229166666664</v>
      </c>
      <c r="C436" s="15">
        <f t="shared" si="59"/>
        <v>43952.242490973476</v>
      </c>
      <c r="D436" s="15">
        <f t="shared" si="60"/>
        <v>43951.766808649103</v>
      </c>
      <c r="E436" s="17">
        <f>Panchanga!$C436-TimeZone/24</f>
        <v>43952.013324306812</v>
      </c>
      <c r="F436" s="18" t="str">
        <f>INT(P[Sun]/30)&amp;"s"&amp;ROUNDUP(MOD(P[Sun],30),2)</f>
        <v>0s16.97</v>
      </c>
      <c r="G436" s="18" t="str">
        <f>INT(P[Moon]/30)&amp;"s"&amp;ROUNDUP(MOD(P[Moon],30),2)</f>
        <v>3s18.91</v>
      </c>
      <c r="H436" s="14">
        <f t="shared" si="63"/>
        <v>43952.013324306812</v>
      </c>
      <c r="I436" s="4" t="str">
        <f>naks(P[[#This Row],[Moon]])</f>
        <v>Aslesha</v>
      </c>
      <c r="J436" s="15">
        <f>(C437-P[[#This Row],[SunRise]])/(T437-P[[#This Row],[Moon]])*(13.3333333333333-MOD(P[[#This Row],[Moon]],13.333333333333))+P[[#This Row],[SunRise]]</f>
        <v>43953.042563545139</v>
      </c>
      <c r="K436" s="4" t="str">
        <f>IF(Panchanga!$P436&gt;15,"K","S")&amp;ROUNDUP(MOD(Panchanga!$P436,15),0)&amp;" ("&amp;ROUND(Panchanga!$P436,2)&amp;")"</f>
        <v>S8 (7.66)</v>
      </c>
      <c r="L436" s="4">
        <f>IF(AND(Panchanga!$P436&lt;28.5,Panchanga!$P436&gt;0.49999),MOD((Panchanga!$P436-0.5)*2,7),MOD((Panchanga!$P436+30-28.5),30)*2+7)</f>
        <v>0.32419999999999938</v>
      </c>
      <c r="M436" s="4" t="str">
        <f>CHOOSE(ROUNDUP(Panchanga!$L436,0),"Bhava","Baalava","Kaulava","Taitula","Garija","Vanija","Vishti","Shakuni","Chatushapda","Naaga","Kimstugna")</f>
        <v>Bhava</v>
      </c>
      <c r="N436" s="11" t="str">
        <f>CHOOSE(ROUNDUP(Panchanga!$Q436,0),"viṣkambha","prīti","āyuṣmāna","saubhāgya","śobhana","atigaṇḍa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("&amp;Panchanga!$Q436&amp;")"</f>
        <v>gaṇḍa  (9.45)</v>
      </c>
      <c r="O436" s="4">
        <f>IF(AND(Panchanga!$P436&lt;28.5,Panchanga!$P436&gt;0.49999),MOD((Panchanga!$P436-0.5)*2,7),MOD((Panchanga!$P436+30-28.5),30)*2+7)</f>
        <v>0.32419999999999938</v>
      </c>
      <c r="P436" s="4">
        <f>ROUNDUP(MOD(360+P[Moon]-P[Sun],360)/12,4)</f>
        <v>7.6620999999999997</v>
      </c>
      <c r="Q436" s="4">
        <f>ROUNDUP(MOD(P[Sun]+P[Moon],360)/13.333333333,2)</f>
        <v>9.4499999999999993</v>
      </c>
      <c r="R436" s="4" t="str">
        <f>SIGN(U437-Panchanga!$U436)*INT(Panchanga!$U436/30+1)&amp;"Ma,"&amp;SIGN(V437-Panchanga!$V436)*INT(Panchanga!$V436/30+1)&amp;"Me,"&amp;SIGN(W437-Panchanga!$W436)*INT(Panchanga!$W436/30+1)&amp;"J, "&amp;SIGN(X437-Panchanga!$X436)*INT(Panchanga!$X436/30+1)&amp;"V,"&amp;SIGN(Y437-Panchanga!$Y436)*INT(Panchanga!$Y436/30+1)&amp;"S,"&amp;INT(Panchanga!$Z436/30+1)&amp;"R"</f>
        <v>10Ma,1Me,10J, 2V,10S,3R</v>
      </c>
      <c r="S436" s="4">
        <f t="shared" si="61"/>
        <v>16.964407598228394</v>
      </c>
      <c r="T436" s="4">
        <f t="shared" si="62"/>
        <v>108.90953017386128</v>
      </c>
      <c r="U436" s="4">
        <f>Planet(Panchanga!$E436,4)</f>
        <v>297.50692304558407</v>
      </c>
      <c r="V436" s="4">
        <f>Planet(Panchanga!$E436,2)</f>
        <v>12.437646652053923</v>
      </c>
      <c r="W436" s="4">
        <f>Planet(Panchanga!$E436,5)</f>
        <v>272.81476921290943</v>
      </c>
      <c r="X436" s="4">
        <f>Planet(Panchanga!$E436,3)</f>
        <v>54.988479747544424</v>
      </c>
      <c r="Y436" s="4">
        <f>Planet(Panchanga!$E436,6)</f>
        <v>277.73742676222111</v>
      </c>
      <c r="Z436" s="4">
        <f>Planet(Panchanga!$E436,10)</f>
        <v>67.694539822928434</v>
      </c>
      <c r="AA436" s="4" t="str">
        <f>TEXT(Panchanga!$C436+($C437-Panchanga!$C436)/ABS(IF($P437&lt;1,$P437+30,$P437)-Panchanga!$P436)*(ROUNDUP(Panchanga!$P436,0)-Panchanga!$P436),"hh:mm AM/PM")</f>
        <v>01:22 PM</v>
      </c>
      <c r="AB436" s="4"/>
    </row>
    <row r="437" spans="1:28" x14ac:dyDescent="0.2">
      <c r="A437" s="3">
        <f t="shared" si="64"/>
        <v>43953</v>
      </c>
      <c r="B437" s="3">
        <f t="shared" si="58"/>
        <v>43953.229166666664</v>
      </c>
      <c r="C437" s="15">
        <f t="shared" si="59"/>
        <v>43953.242192791462</v>
      </c>
      <c r="D437" s="15">
        <f t="shared" si="60"/>
        <v>43952.766945978205</v>
      </c>
      <c r="E437" s="17">
        <f>Panchanga!$C437-TimeZone/24</f>
        <v>43953.013026124798</v>
      </c>
      <c r="F437" s="18" t="str">
        <f>INT(P[Sun]/30)&amp;"s"&amp;ROUNDUP(MOD(P[Sun],30),2)</f>
        <v>0s17.94</v>
      </c>
      <c r="G437" s="18" t="str">
        <f>INT(P[Moon]/30)&amp;"s"&amp;ROUNDUP(MOD(P[Moon],30),2)</f>
        <v>4s2.77</v>
      </c>
      <c r="H437" s="14">
        <f t="shared" si="63"/>
        <v>43953.013026124798</v>
      </c>
      <c r="I437" s="4" t="str">
        <f>naks(P[[#This Row],[Moon]])</f>
        <v>Makha</v>
      </c>
      <c r="J437" s="15">
        <f>(C438-P[[#This Row],[SunRise]])/(T438-P[[#This Row],[Moon]])*(13.3333333333333-MOD(P[[#This Row],[Moon]],13.333333333333))+P[[#This Row],[SunRise]]</f>
        <v>43953.983375099153</v>
      </c>
      <c r="K437" s="4" t="str">
        <f>IF(Panchanga!$P437&gt;15,"K","S")&amp;ROUNDUP(MOD(Panchanga!$P437,15),0)&amp;" ("&amp;ROUND(Panchanga!$P437,2)&amp;")"</f>
        <v>S9 (8.74)</v>
      </c>
      <c r="L437" s="4">
        <f>IF(AND(Panchanga!$P437&lt;28.5,Panchanga!$P437&gt;0.49999),MOD((Panchanga!$P437-0.5)*2,7),MOD((Panchanga!$P437+30-28.5),30)*2+7)</f>
        <v>2.4722000000000008</v>
      </c>
      <c r="M437" s="4" t="str">
        <f>CHOOSE(ROUNDUP(Panchanga!$L437,0),"Bhava","Baalava","Kaulava","Taitula","Garija","Vanija","Vishti","Shakuni","Chatushapda","Naaga","Kimstugna")</f>
        <v>Kaulava</v>
      </c>
      <c r="N437" s="11" t="str">
        <f>CHOOSE(ROUNDUP(Panchanga!$Q437,0),"viṣkambha","prīti","āyuṣmāna","saubhāgya","śobhana","atigaṇḍa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("&amp;Panchanga!$Q437&amp;")"</f>
        <v>vṛddhi  (10.56)</v>
      </c>
      <c r="O437" s="4">
        <f>IF(AND(Panchanga!$P437&lt;28.5,Panchanga!$P437&gt;0.49999),MOD((Panchanga!$P437-0.5)*2,7),MOD((Panchanga!$P437+30-28.5),30)*2+7)</f>
        <v>2.4722000000000008</v>
      </c>
      <c r="P437" s="4">
        <f>ROUNDUP(MOD(360+P[Moon]-P[Sun],360)/12,4)</f>
        <v>8.7361000000000004</v>
      </c>
      <c r="Q437" s="4">
        <f>ROUNDUP(MOD(P[Sun]+P[Moon],360)/13.333333333,2)</f>
        <v>10.56</v>
      </c>
      <c r="R437" s="4" t="str">
        <f>SIGN(U438-Panchanga!$U437)*INT(Panchanga!$U437/30+1)&amp;"Ma,"&amp;SIGN(V438-Panchanga!$V437)*INT(Panchanga!$V437/30+1)&amp;"Me,"&amp;SIGN(W438-Panchanga!$W437)*INT(Panchanga!$W437/30+1)&amp;"J, "&amp;SIGN(X438-Panchanga!$X437)*INT(Panchanga!$X437/30+1)&amp;"V,"&amp;SIGN(Y438-Panchanga!$Y437)*INT(Panchanga!$Y437/30+1)&amp;"S,"&amp;INT(Panchanga!$Z437/30+1)&amp;"R"</f>
        <v>10Ma,1Me,10J, 2V,10S,3R</v>
      </c>
      <c r="S437" s="4">
        <f t="shared" si="61"/>
        <v>17.934457542442097</v>
      </c>
      <c r="T437" s="4">
        <f t="shared" si="62"/>
        <v>122.76722663810298</v>
      </c>
      <c r="U437" s="4">
        <f>Planet(Panchanga!$E437,4)</f>
        <v>298.19630142735963</v>
      </c>
      <c r="V437" s="4">
        <f>Planet(Panchanga!$E437,2)</f>
        <v>14.546331277672371</v>
      </c>
      <c r="W437" s="4">
        <f>Planet(Panchanga!$E437,5)</f>
        <v>272.85547528551859</v>
      </c>
      <c r="X437" s="4">
        <f>Planet(Panchanga!$E437,3)</f>
        <v>55.393845691816949</v>
      </c>
      <c r="Y437" s="4">
        <f>Planet(Panchanga!$E437,6)</f>
        <v>277.7530243465925</v>
      </c>
      <c r="Z437" s="4">
        <f>Planet(Panchanga!$E437,10)</f>
        <v>67.641563628505082</v>
      </c>
      <c r="AA437" s="4" t="str">
        <f>TEXT(Panchanga!$C437+($C438-Panchanga!$C437)/ABS(IF($P438&lt;1,$P438+30,$P438)-Panchanga!$P437)*(ROUNDUP(Panchanga!$P437,0)-Panchanga!$P437),"hh:mm AM/PM")</f>
        <v>11:31 AM</v>
      </c>
      <c r="AB437" s="4"/>
    </row>
    <row r="438" spans="1:28" x14ac:dyDescent="0.2">
      <c r="A438" s="3">
        <f t="shared" si="64"/>
        <v>43954</v>
      </c>
      <c r="B438" s="3">
        <f t="shared" si="58"/>
        <v>43954.229166666664</v>
      </c>
      <c r="C438" s="15">
        <f t="shared" si="59"/>
        <v>43954.241903192516</v>
      </c>
      <c r="D438" s="15">
        <f t="shared" si="60"/>
        <v>43953.767086963213</v>
      </c>
      <c r="E438" s="17">
        <f>Panchanga!$C438-TimeZone/24</f>
        <v>43954.012736525852</v>
      </c>
      <c r="F438" s="18" t="str">
        <f>INT(P[Sun]/30)&amp;"s"&amp;ROUNDUP(MOD(P[Sun],30),2)</f>
        <v>0s18.91</v>
      </c>
      <c r="G438" s="18" t="str">
        <f>INT(P[Moon]/30)&amp;"s"&amp;ROUNDUP(MOD(P[Moon],30),2)</f>
        <v>4s17.02</v>
      </c>
      <c r="H438" s="14">
        <f t="shared" si="63"/>
        <v>43954.012736525852</v>
      </c>
      <c r="I438" s="4" t="str">
        <f>naks(P[[#This Row],[Moon]])</f>
        <v>Purva Phalguni</v>
      </c>
      <c r="J438" s="15">
        <f>(C439-P[[#This Row],[SunRise]])/(T439-P[[#This Row],[Moon]])*(13.3333333333333-MOD(P[[#This Row],[Moon]],13.333333333333))+P[[#This Row],[SunRise]]</f>
        <v>43954.901861970429</v>
      </c>
      <c r="K438" s="4" t="str">
        <f>IF(Panchanga!$P438&gt;15,"K","S")&amp;ROUNDUP(MOD(Panchanga!$P438,15),0)&amp;" ("&amp;ROUND(Panchanga!$P438,2)&amp;")"</f>
        <v>S10 (9.84)</v>
      </c>
      <c r="L438" s="4">
        <f>IF(AND(Panchanga!$P438&lt;28.5,Panchanga!$P438&gt;0.49999),MOD((Panchanga!$P438-0.5)*2,7),MOD((Panchanga!$P438+30-28.5),30)*2+7)</f>
        <v>4.6859999999999999</v>
      </c>
      <c r="M438" s="4" t="str">
        <f>CHOOSE(ROUNDUP(Panchanga!$L438,0),"Bhava","Baalava","Kaulava","Taitula","Garija","Vanija","Vishti","Shakuni","Chatushapda","Naaga","Kimstugna")</f>
        <v>Garija</v>
      </c>
      <c r="N438" s="11" t="str">
        <f>CHOOSE(ROUNDUP(Panchanga!$Q438,0),"viṣkambha","prīti","āyuṣmāna","saubhāgya","śobhana","atigaṇḍa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("&amp;Panchanga!$Q438&amp;")"</f>
        <v>dhruva  (11.7)</v>
      </c>
      <c r="O438" s="4">
        <f>IF(AND(Panchanga!$P438&lt;28.5,Panchanga!$P438&gt;0.49999),MOD((Panchanga!$P438-0.5)*2,7),MOD((Panchanga!$P438+30-28.5),30)*2+7)</f>
        <v>4.6859999999999999</v>
      </c>
      <c r="P438" s="4">
        <f>ROUNDUP(MOD(360+P[Moon]-P[Sun],360)/12,4)</f>
        <v>9.843</v>
      </c>
      <c r="Q438" s="4">
        <f>ROUNDUP(MOD(P[Sun]+P[Moon],360)/13.333333333,2)</f>
        <v>11.7</v>
      </c>
      <c r="R438" s="4" t="str">
        <f>SIGN(U439-Panchanga!$U438)*INT(Panchanga!$U438/30+1)&amp;"Ma,"&amp;SIGN(V439-Panchanga!$V438)*INT(Panchanga!$V438/30+1)&amp;"Me,"&amp;SIGN(W439-Panchanga!$W438)*INT(Panchanga!$W438/30+1)&amp;"J, "&amp;SIGN(X439-Panchanga!$X438)*INT(Panchanga!$X438/30+1)&amp;"V,"&amp;SIGN(Y439-Panchanga!$Y438)*INT(Panchanga!$Y438/30+1)&amp;"S,"&amp;INT(Panchanga!$Z438/30+1)&amp;"R"</f>
        <v>10Ma,1Me,10J, 2V,10S,3R</v>
      </c>
      <c r="S438" s="4">
        <f t="shared" si="61"/>
        <v>18.903946531976104</v>
      </c>
      <c r="T438" s="4">
        <f t="shared" si="62"/>
        <v>137.0188441581401</v>
      </c>
      <c r="U438" s="4">
        <f>Planet(Panchanga!$E438,4)</f>
        <v>298.88524380488394</v>
      </c>
      <c r="V438" s="4">
        <f>Planet(Panchanga!$E438,2)</f>
        <v>16.673243216117569</v>
      </c>
      <c r="W438" s="4">
        <f>Planet(Panchanga!$E438,5)</f>
        <v>272.89313110506765</v>
      </c>
      <c r="X438" s="4">
        <f>Planet(Panchanga!$E438,3)</f>
        <v>55.769942613878001</v>
      </c>
      <c r="Y438" s="4">
        <f>Planet(Panchanga!$E438,6)</f>
        <v>277.76700062671995</v>
      </c>
      <c r="Z438" s="4">
        <f>Planet(Panchanga!$E438,10)</f>
        <v>67.58858697923776</v>
      </c>
      <c r="AA438" s="4" t="str">
        <f>TEXT(Panchanga!$C438+($C439-Panchanga!$C438)/ABS(IF($P439&lt;1,$P439+30,$P439)-Panchanga!$P438)*(ROUNDUP(Panchanga!$P438,0)-Panchanga!$P438),"hh:mm AM/PM")</f>
        <v>09:07 AM</v>
      </c>
      <c r="AB438" s="4"/>
    </row>
    <row r="439" spans="1:28" x14ac:dyDescent="0.2">
      <c r="A439" s="3">
        <f t="shared" si="64"/>
        <v>43955</v>
      </c>
      <c r="B439" s="3">
        <f t="shared" si="58"/>
        <v>43955.229166666664</v>
      </c>
      <c r="C439" s="15">
        <f t="shared" si="59"/>
        <v>43955.241622176174</v>
      </c>
      <c r="D439" s="15">
        <f t="shared" si="60"/>
        <v>43954.767231762453</v>
      </c>
      <c r="E439" s="17">
        <f>Panchanga!$C439-TimeZone/24</f>
        <v>43955.01245550951</v>
      </c>
      <c r="F439" s="18" t="str">
        <f>INT(P[Sun]/30)&amp;"s"&amp;ROUNDUP(MOD(P[Sun],30),2)</f>
        <v>0s19.88</v>
      </c>
      <c r="G439" s="18" t="str">
        <f>INT(P[Moon]/30)&amp;"s"&amp;ROUNDUP(MOD(P[Moon],30),2)</f>
        <v>5s1.64</v>
      </c>
      <c r="H439" s="14">
        <f t="shared" si="63"/>
        <v>43955.01245550951</v>
      </c>
      <c r="I439" s="4" t="str">
        <f>naks(P[[#This Row],[Moon]])</f>
        <v>Uttara Phalguni</v>
      </c>
      <c r="J439" s="15">
        <f>(C440-P[[#This Row],[SunRise]])/(T440-P[[#This Row],[Moon]])*(13.3333333333333-MOD(P[[#This Row],[Moon]],13.333333333333))+P[[#This Row],[SunRise]]</f>
        <v>43955.802985235059</v>
      </c>
      <c r="K439" s="4" t="str">
        <f>IF(Panchanga!$P439&gt;15,"K","S")&amp;ROUNDUP(MOD(Panchanga!$P439,15),0)&amp;" ("&amp;ROUND(Panchanga!$P439,2)&amp;")"</f>
        <v>S11 (10.98)</v>
      </c>
      <c r="L439" s="4">
        <f>IF(AND(Panchanga!$P439&lt;28.5,Panchanga!$P439&gt;0.49999),MOD((Panchanga!$P439-0.5)*2,7),MOD((Panchanga!$P439+30-28.5),30)*2+7)</f>
        <v>6.9602000000000004</v>
      </c>
      <c r="M439" s="4" t="str">
        <f>CHOOSE(ROUNDUP(Panchanga!$L439,0),"Bhava","Baalava","Kaulava","Taitula","Garija","Vanija","Vishti","Shakuni","Chatushapda","Naaga","Kimstugna")</f>
        <v>Vishti</v>
      </c>
      <c r="N439" s="11" t="str">
        <f>CHOOSE(ROUNDUP(Panchanga!$Q439,0),"viṣkambha","prīti","āyuṣmāna","saubhāgya","śobhana","atigaṇḍa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("&amp;Panchanga!$Q439&amp;")"</f>
        <v>vyāghāta (12.87)</v>
      </c>
      <c r="O439" s="4">
        <f>IF(AND(Panchanga!$P439&lt;28.5,Panchanga!$P439&gt;0.49999),MOD((Panchanga!$P439-0.5)*2,7),MOD((Panchanga!$P439+30-28.5),30)*2+7)</f>
        <v>6.9602000000000004</v>
      </c>
      <c r="P439" s="4">
        <f>ROUNDUP(MOD(360+P[Moon]-P[Sun],360)/12,4)</f>
        <v>10.9801</v>
      </c>
      <c r="Q439" s="4">
        <f>ROUNDUP(MOD(P[Sun]+P[Moon],360)/13.333333333,2)</f>
        <v>12.87</v>
      </c>
      <c r="R439" s="4" t="str">
        <f>SIGN(U440-Panchanga!$U439)*INT(Panchanga!$U439/30+1)&amp;"Ma,"&amp;SIGN(V440-Panchanga!$V439)*INT(Panchanga!$V439/30+1)&amp;"Me,"&amp;SIGN(W440-Panchanga!$W439)*INT(Panchanga!$W439/30+1)&amp;"J, "&amp;SIGN(X440-Panchanga!$X439)*INT(Panchanga!$X439/30+1)&amp;"V,"&amp;SIGN(Y440-Panchanga!$Y439)*INT(Panchanga!$Y439/30+1)&amp;"S,"&amp;INT(Panchanga!$Z439/30+1)&amp;"R"</f>
        <v>10Ma,1Me,10J, 2V,10S,3R</v>
      </c>
      <c r="S439" s="4">
        <f t="shared" si="61"/>
        <v>19.872885060527008</v>
      </c>
      <c r="T439" s="4">
        <f t="shared" si="62"/>
        <v>151.63356197928152</v>
      </c>
      <c r="U439" s="4">
        <f>Planet(Panchanga!$E439,4)</f>
        <v>299.57374648522813</v>
      </c>
      <c r="V439" s="4">
        <f>Planet(Panchanga!$E439,2)</f>
        <v>18.81571473076378</v>
      </c>
      <c r="W439" s="4">
        <f>Planet(Panchanga!$E439,5)</f>
        <v>272.92772722730894</v>
      </c>
      <c r="X439" s="4">
        <f>Planet(Panchanga!$E439,3)</f>
        <v>56.115730753645984</v>
      </c>
      <c r="Y439" s="4">
        <f>Planet(Panchanga!$E439,6)</f>
        <v>277.77935564215454</v>
      </c>
      <c r="Z439" s="4">
        <f>Planet(Panchanga!$E439,10)</f>
        <v>67.535609875192705</v>
      </c>
      <c r="AA439" s="4" t="str">
        <f>TEXT(Panchanga!$C439+($C440-Panchanga!$C439)/ABS(IF($P440&lt;1,$P440+30,$P440)-Panchanga!$P439)*(ROUNDUP(Panchanga!$P439,0)-Panchanga!$P439),"hh:mm AM/PM")</f>
        <v>06:12 AM</v>
      </c>
      <c r="AB439" s="4"/>
    </row>
    <row r="440" spans="1:28" x14ac:dyDescent="0.2">
      <c r="A440" s="3">
        <f t="shared" si="64"/>
        <v>43956</v>
      </c>
      <c r="B440" s="3">
        <f t="shared" si="58"/>
        <v>43956.229166666664</v>
      </c>
      <c r="C440" s="15">
        <f t="shared" si="59"/>
        <v>43956.241350061413</v>
      </c>
      <c r="D440" s="15">
        <f t="shared" si="60"/>
        <v>43955.767380058809</v>
      </c>
      <c r="E440" s="17">
        <f>Panchanga!$C440-TimeZone/24</f>
        <v>43956.012183394749</v>
      </c>
      <c r="F440" s="18" t="str">
        <f>INT(P[Sun]/30)&amp;"s"&amp;ROUNDUP(MOD(P[Sun],30),2)</f>
        <v>0s20.85</v>
      </c>
      <c r="G440" s="18" t="str">
        <f>INT(P[Moon]/30)&amp;"s"&amp;ROUNDUP(MOD(P[Moon],30),2)</f>
        <v>5s16.54</v>
      </c>
      <c r="H440" s="14">
        <f t="shared" si="63"/>
        <v>43956.012183394749</v>
      </c>
      <c r="I440" s="4" t="str">
        <f>naks(P[[#This Row],[Moon]])</f>
        <v>Hasta</v>
      </c>
      <c r="J440" s="15">
        <f>(C441-P[[#This Row],[SunRise]])/(T441-P[[#This Row],[Moon]])*(13.3333333333333-MOD(P[[#This Row],[Moon]],13.333333333333))+P[[#This Row],[SunRise]]</f>
        <v>43956.692721449537</v>
      </c>
      <c r="K440" s="4" t="str">
        <f>IF(Panchanga!$P440&gt;15,"K","S")&amp;ROUNDUP(MOD(Panchanga!$P440,15),0)&amp;" ("&amp;ROUND(Panchanga!$P440,2)&amp;")"</f>
        <v>S13 (12.14)</v>
      </c>
      <c r="L440" s="4">
        <f>IF(AND(Panchanga!$P440&lt;28.5,Panchanga!$P440&gt;0.49999),MOD((Panchanga!$P440-0.5)*2,7),MOD((Panchanga!$P440+30-28.5),30)*2+7)</f>
        <v>2.2821999999999996</v>
      </c>
      <c r="M440" s="4" t="str">
        <f>CHOOSE(ROUNDUP(Panchanga!$L440,0),"Bhava","Baalava","Kaulava","Taitula","Garija","Vanija","Vishti","Shakuni","Chatushapda","Naaga","Kimstugna")</f>
        <v>Kaulava</v>
      </c>
      <c r="N440" s="11" t="str">
        <f>CHOOSE(ROUNDUP(Panchanga!$Q440,0),"viṣkambha","prīti","āyuṣmāna","saubhāgya","śobhana","atigaṇḍa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("&amp;Panchanga!$Q440&amp;")"</f>
        <v>vajra (14.06)</v>
      </c>
      <c r="O440" s="4">
        <f>IF(AND(Panchanga!$P440&lt;28.5,Panchanga!$P440&gt;0.49999),MOD((Panchanga!$P440-0.5)*2,7),MOD((Panchanga!$P440+30-28.5),30)*2+7)</f>
        <v>2.2821999999999996</v>
      </c>
      <c r="P440" s="4">
        <f>ROUNDUP(MOD(360+P[Moon]-P[Sun],360)/12,4)</f>
        <v>12.1411</v>
      </c>
      <c r="Q440" s="4">
        <f>ROUNDUP(MOD(P[Sun]+P[Moon],360)/13.333333333,2)</f>
        <v>14.06</v>
      </c>
      <c r="R440" s="4" t="str">
        <f>SIGN(U441-Panchanga!$U440)*INT(Panchanga!$U440/30+1)&amp;"Ma,"&amp;SIGN(V441-Panchanga!$V440)*INT(Panchanga!$V440/30+1)&amp;"Me,"&amp;SIGN(W441-Panchanga!$W440)*INT(Panchanga!$W440/30+1)&amp;"J, "&amp;SIGN(X441-Panchanga!$X440)*INT(Panchanga!$X440/30+1)&amp;"V,"&amp;SIGN(Y441-Panchanga!$Y440)*INT(Panchanga!$Y440/30+1)&amp;"S,"&amp;INT(Panchanga!$Z440/30+1)&amp;"R"</f>
        <v>11Ma,1Me,10J, 2V,10S,3R</v>
      </c>
      <c r="S440" s="4">
        <f t="shared" si="61"/>
        <v>20.84128930221334</v>
      </c>
      <c r="T440" s="4">
        <f t="shared" si="62"/>
        <v>166.53329800051407</v>
      </c>
      <c r="U440" s="4">
        <f>Planet(Panchanga!$E440,4)</f>
        <v>300.26180562101877</v>
      </c>
      <c r="V440" s="4">
        <f>Planet(Panchanga!$E440,2)</f>
        <v>20.970856979479507</v>
      </c>
      <c r="W440" s="4">
        <f>Planet(Panchanga!$E440,5)</f>
        <v>272.95925442118102</v>
      </c>
      <c r="X440" s="4">
        <f>Planet(Panchanga!$E440,3)</f>
        <v>56.430175986661155</v>
      </c>
      <c r="Y440" s="4">
        <f>Planet(Panchanga!$E440,6)</f>
        <v>277.790089624769</v>
      </c>
      <c r="Z440" s="4">
        <f>Planet(Panchanga!$E440,10)</f>
        <v>67.482632299420047</v>
      </c>
      <c r="AA440" s="4" t="str">
        <f>TEXT(Panchanga!$C440+($C441-Panchanga!$C440)/ABS(IF($P441&lt;1,$P441+30,$P441)-Panchanga!$P440)*(ROUNDUP(Panchanga!$P440,0)-Panchanga!$P440),"hh:mm AM/PM")</f>
        <v>11:20 PM</v>
      </c>
      <c r="AB440" s="4"/>
    </row>
    <row r="441" spans="1:28" x14ac:dyDescent="0.2">
      <c r="A441" s="3">
        <f t="shared" si="64"/>
        <v>43957</v>
      </c>
      <c r="B441" s="3">
        <f t="shared" si="58"/>
        <v>43957.229166666664</v>
      </c>
      <c r="C441" s="15">
        <f t="shared" si="59"/>
        <v>43957.241087006092</v>
      </c>
      <c r="D441" s="15">
        <f t="shared" si="60"/>
        <v>43956.767532011072</v>
      </c>
      <c r="E441" s="17">
        <f>Panchanga!$C441-TimeZone/24</f>
        <v>43957.011920339428</v>
      </c>
      <c r="F441" s="18" t="str">
        <f>INT(P[Sun]/30)&amp;"s"&amp;ROUNDUP(MOD(P[Sun],30),2)</f>
        <v>0s21.81</v>
      </c>
      <c r="G441" s="18" t="str">
        <f>INT(P[Moon]/30)&amp;"s"&amp;ROUNDUP(MOD(P[Moon],30),2)</f>
        <v>6s1.6</v>
      </c>
      <c r="H441" s="14">
        <f t="shared" si="63"/>
        <v>43957.011920339428</v>
      </c>
      <c r="I441" s="4" t="str">
        <f>naks(P[[#This Row],[Moon]])</f>
        <v>Chitra</v>
      </c>
      <c r="J441" s="15">
        <f>(C442-P[[#This Row],[SunRise]])/(T442-P[[#This Row],[Moon]])*(13.3333333333333-MOD(P[[#This Row],[Moon]],13.333333333333))+P[[#This Row],[SunRise]]</f>
        <v>43957.577599853175</v>
      </c>
      <c r="K441" s="4" t="str">
        <f>IF(Panchanga!$P441&gt;15,"K","S")&amp;ROUNDUP(MOD(Panchanga!$P441,15),0)&amp;" ("&amp;ROUND(Panchanga!$P441,2)&amp;")"</f>
        <v>S14 (13.32)</v>
      </c>
      <c r="L441" s="4">
        <f>IF(AND(Panchanga!$P441&lt;28.5,Panchanga!$P441&gt;0.49999),MOD((Panchanga!$P441-0.5)*2,7),MOD((Panchanga!$P441+30-28.5),30)*2+7)</f>
        <v>4.6310000000000002</v>
      </c>
      <c r="M441" s="4" t="str">
        <f>CHOOSE(ROUNDUP(Panchanga!$L441,0),"Bhava","Baalava","Kaulava","Taitula","Garija","Vanija","Vishti","Shakuni","Chatushapda","Naaga","Kimstugna")</f>
        <v>Garija</v>
      </c>
      <c r="N441" s="11" t="str">
        <f>CHOOSE(ROUNDUP(Panchanga!$Q441,0),"viṣkambha","prīti","āyuṣmāna","saubhāgya","śobhana","atigaṇḍa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("&amp;Panchanga!$Q441&amp;")"</f>
        <v>siddhi (15.26)</v>
      </c>
      <c r="O441" s="4">
        <f>IF(AND(Panchanga!$P441&lt;28.5,Panchanga!$P441&gt;0.49999),MOD((Panchanga!$P441-0.5)*2,7),MOD((Panchanga!$P441+30-28.5),30)*2+7)</f>
        <v>4.6310000000000002</v>
      </c>
      <c r="P441" s="4">
        <f>ROUNDUP(MOD(360+P[Moon]-P[Sun],360)/12,4)</f>
        <v>13.3155</v>
      </c>
      <c r="Q441" s="4">
        <f>ROUNDUP(MOD(P[Sun]+P[Moon],360)/13.333333333,2)</f>
        <v>15.26</v>
      </c>
      <c r="R441" s="4" t="str">
        <f>SIGN(U442-Panchanga!$U441)*INT(Panchanga!$U441/30+1)&amp;"Ma,"&amp;SIGN(V442-Panchanga!$V441)*INT(Panchanga!$V441/30+1)&amp;"Me,"&amp;SIGN(W442-Panchanga!$W441)*INT(Panchanga!$W441/30+1)&amp;"J, "&amp;SIGN(X442-Panchanga!$X441)*INT(Panchanga!$X441/30+1)&amp;"V,"&amp;SIGN(Y442-Panchanga!$Y441)*INT(Panchanga!$Y441/30+1)&amp;"S,"&amp;INT(Panchanga!$Z441/30+1)&amp;"R"</f>
        <v>11Ma,1Me,10J, 2V,10S,3R</v>
      </c>
      <c r="S441" s="4">
        <f t="shared" si="61"/>
        <v>21.809180433016991</v>
      </c>
      <c r="T441" s="4">
        <f t="shared" si="62"/>
        <v>181.59461275418604</v>
      </c>
      <c r="U441" s="4">
        <f>Planet(Panchanga!$E441,4)</f>
        <v>300.94941522788133</v>
      </c>
      <c r="V441" s="4">
        <f>Planet(Panchanga!$E441,2)</f>
        <v>23.134631703299817</v>
      </c>
      <c r="W441" s="4">
        <f>Planet(Panchanga!$E441,5)</f>
        <v>272.98770323952601</v>
      </c>
      <c r="X441" s="4">
        <f>Planet(Panchanga!$E441,3)</f>
        <v>56.712259481038195</v>
      </c>
      <c r="Y441" s="4">
        <f>Planet(Panchanga!$E441,6)</f>
        <v>277.79920277624444</v>
      </c>
      <c r="Z441" s="4">
        <f>Planet(Panchanga!$E441,10)</f>
        <v>67.429654243585645</v>
      </c>
      <c r="AA441" s="4" t="str">
        <f>TEXT(Panchanga!$C441+($C442-Panchanga!$C441)/ABS(IF($P442&lt;1,$P442+30,$P442)-Panchanga!$P441)*(ROUNDUP(Panchanga!$P441,0)-Panchanga!$P441),"hh:mm AM/PM")</f>
        <v>07:45 PM</v>
      </c>
      <c r="AB441" s="4"/>
    </row>
    <row r="442" spans="1:28" x14ac:dyDescent="0.2">
      <c r="A442" s="3">
        <f t="shared" si="64"/>
        <v>43958</v>
      </c>
      <c r="B442" s="3">
        <f t="shared" si="58"/>
        <v>43958.229166666664</v>
      </c>
      <c r="C442" s="15">
        <f t="shared" si="59"/>
        <v>43958.240833010677</v>
      </c>
      <c r="D442" s="15">
        <f t="shared" si="60"/>
        <v>43957.767687778032</v>
      </c>
      <c r="E442" s="17">
        <f>Panchanga!$C442-TimeZone/24</f>
        <v>43958.011666344013</v>
      </c>
      <c r="F442" s="18" t="str">
        <f>INT(P[Sun]/30)&amp;"s"&amp;ROUNDUP(MOD(P[Sun],30),2)</f>
        <v>0s22.78</v>
      </c>
      <c r="G442" s="18" t="str">
        <f>INT(P[Moon]/30)&amp;"s"&amp;ROUNDUP(MOD(P[Moon],30),2)</f>
        <v>6s16.67</v>
      </c>
      <c r="H442" s="14">
        <f t="shared" si="63"/>
        <v>43958.011666344013</v>
      </c>
      <c r="I442" s="4" t="str">
        <f>naks(P[[#This Row],[Moon]])</f>
        <v>Swati</v>
      </c>
      <c r="J442" s="15">
        <f>(C443-P[[#This Row],[SunRise]])/(T443-P[[#This Row],[Moon]])*(13.3333333333333-MOD(P[[#This Row],[Moon]],13.333333333333))+P[[#This Row],[SunRise]]</f>
        <v>43958.464500764836</v>
      </c>
      <c r="K442" s="4" t="str">
        <f>IF(Panchanga!$P442&gt;15,"K","S")&amp;ROUNDUP(MOD(Panchanga!$P442,15),0)&amp;" ("&amp;ROUND(Panchanga!$P442,2)&amp;")"</f>
        <v>S15 (14.49)</v>
      </c>
      <c r="L442" s="4">
        <f>IF(AND(Panchanga!$P442&lt;28.5,Panchanga!$P442&gt;0.49999),MOD((Panchanga!$P442-0.5)*2,7),MOD((Panchanga!$P442+30-28.5),30)*2+7)</f>
        <v>6.9812000000000012</v>
      </c>
      <c r="M442" s="4" t="str">
        <f>CHOOSE(ROUNDUP(Panchanga!$L442,0),"Bhava","Baalava","Kaulava","Taitula","Garija","Vanija","Vishti","Shakuni","Chatushapda","Naaga","Kimstugna")</f>
        <v>Vishti</v>
      </c>
      <c r="N442" s="11" t="str">
        <f>CHOOSE(ROUNDUP(Panchanga!$Q442,0),"viṣkambha","prīti","āyuṣmāna","saubhāgya","śobhana","atigaṇḍa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("&amp;Panchanga!$Q442&amp;")"</f>
        <v>vyatipāta (16.46)</v>
      </c>
      <c r="O442" s="4">
        <f>IF(AND(Panchanga!$P442&lt;28.5,Panchanga!$P442&gt;0.49999),MOD((Panchanga!$P442-0.5)*2,7),MOD((Panchanga!$P442+30-28.5),30)*2+7)</f>
        <v>6.9812000000000012</v>
      </c>
      <c r="P442" s="4">
        <f>ROUNDUP(MOD(360+P[Moon]-P[Sun],360)/12,4)</f>
        <v>14.490600000000001</v>
      </c>
      <c r="Q442" s="4">
        <f>ROUNDUP(MOD(P[Sun]+P[Moon],360)/13.333333333,2)</f>
        <v>16.46</v>
      </c>
      <c r="R442" s="4" t="str">
        <f>SIGN(U443-Panchanga!$U442)*INT(Panchanga!$U442/30+1)&amp;"Ma,"&amp;SIGN(V443-Panchanga!$V442)*INT(Panchanga!$V442/30+1)&amp;"Me,"&amp;SIGN(W443-Panchanga!$W442)*INT(Panchanga!$W442/30+1)&amp;"J, "&amp;SIGN(X443-Panchanga!$X442)*INT(Panchanga!$X442/30+1)&amp;"V,"&amp;SIGN(Y443-Panchanga!$Y442)*INT(Panchanga!$Y442/30+1)&amp;"S,"&amp;INT(Panchanga!$Z442/30+1)&amp;"R"</f>
        <v>11Ma,1Me,10J, 2V,10S,3R</v>
      </c>
      <c r="S442" s="4">
        <f t="shared" si="61"/>
        <v>22.776583666968776</v>
      </c>
      <c r="T442" s="4">
        <f t="shared" si="62"/>
        <v>196.6631775295796</v>
      </c>
      <c r="U442" s="4">
        <f>Planet(Panchanga!$E442,4)</f>
        <v>301.63656540405481</v>
      </c>
      <c r="V442" s="4">
        <f>Planet(Panchanga!$E442,2)</f>
        <v>25.303549179773345</v>
      </c>
      <c r="W442" s="4">
        <f>Planet(Panchanga!$E442,5)</f>
        <v>273.0130636766329</v>
      </c>
      <c r="X442" s="4">
        <f>Planet(Panchanga!$E442,3)</f>
        <v>56.960987022618575</v>
      </c>
      <c r="Y442" s="4">
        <f>Planet(Panchanga!$E442,6)</f>
        <v>277.80669507459339</v>
      </c>
      <c r="Z442" s="4">
        <f>Planet(Panchanga!$E442,10)</f>
        <v>67.376675707639848</v>
      </c>
      <c r="AA442" s="4" t="str">
        <f>TEXT(Panchanga!$C442+($C443-Panchanga!$C442)/ABS(IF($P443&lt;1,$P443+30,$P443)-Panchanga!$P442)*(ROUNDUP(Panchanga!$P442,0)-Panchanga!$P442),"hh:mm AM/PM")</f>
        <v>04:17 PM</v>
      </c>
      <c r="AB442" s="4"/>
    </row>
    <row r="443" spans="1:28" x14ac:dyDescent="0.2">
      <c r="A443" s="3">
        <f t="shared" si="64"/>
        <v>43959</v>
      </c>
      <c r="B443" s="3">
        <f t="shared" si="58"/>
        <v>43959.229166666664</v>
      </c>
      <c r="C443" s="15">
        <f t="shared" si="59"/>
        <v>43959.240588552471</v>
      </c>
      <c r="D443" s="15">
        <f t="shared" si="60"/>
        <v>43958.767847200434</v>
      </c>
      <c r="E443" s="17">
        <f>Panchanga!$C443-TimeZone/24</f>
        <v>43959.011421885807</v>
      </c>
      <c r="F443" s="18" t="str">
        <f>INT(P[Sun]/30)&amp;"s"&amp;ROUNDUP(MOD(P[Sun],30),2)</f>
        <v>0s23.75</v>
      </c>
      <c r="G443" s="18" t="str">
        <f>INT(P[Moon]/30)&amp;"s"&amp;ROUNDUP(MOD(P[Moon],30),2)</f>
        <v>7s1.58</v>
      </c>
      <c r="H443" s="14">
        <f t="shared" si="63"/>
        <v>43959.011421885807</v>
      </c>
      <c r="I443" s="4" t="str">
        <f>naks(P[[#This Row],[Moon]])</f>
        <v>Visakha</v>
      </c>
      <c r="J443" s="15">
        <f>(C444-P[[#This Row],[SunRise]])/(T444-P[[#This Row],[Moon]])*(13.3333333333333-MOD(P[[#This Row],[Moon]],13.333333333333))+P[[#This Row],[SunRise]]</f>
        <v>43959.360604214227</v>
      </c>
      <c r="K443" s="4" t="str">
        <f>IF(Panchanga!$P443&gt;15,"K","S")&amp;ROUNDUP(MOD(Panchanga!$P443,15),0)&amp;" ("&amp;ROUND(Panchanga!$P443,2)&amp;")"</f>
        <v>K1 (15.65)</v>
      </c>
      <c r="L443" s="4">
        <f>IF(AND(Panchanga!$P443&lt;28.5,Panchanga!$P443&gt;0.49999),MOD((Panchanga!$P443-0.5)*2,7),MOD((Panchanga!$P443+30-28.5),30)*2+7)</f>
        <v>2.3057999999999979</v>
      </c>
      <c r="M443" s="4" t="str">
        <f>CHOOSE(ROUNDUP(Panchanga!$L443,0),"Bhava","Baalava","Kaulava","Taitula","Garija","Vanija","Vishti","Shakuni","Chatushapda","Naaga","Kimstugna")</f>
        <v>Kaulava</v>
      </c>
      <c r="N443" s="11" t="str">
        <f>CHOOSE(ROUNDUP(Panchanga!$Q443,0),"viṣkambha","prīti","āyuṣmāna","saubhāgya","śobhana","atigaṇḍa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("&amp;Panchanga!$Q443&amp;")"</f>
        <v>varīyas (17.65)</v>
      </c>
      <c r="O443" s="4">
        <f>IF(AND(Panchanga!$P443&lt;28.5,Panchanga!$P443&gt;0.49999),MOD((Panchanga!$P443-0.5)*2,7),MOD((Panchanga!$P443+30-28.5),30)*2+7)</f>
        <v>2.3057999999999979</v>
      </c>
      <c r="P443" s="4">
        <f>ROUNDUP(MOD(360+P[Moon]-P[Sun],360)/12,4)</f>
        <v>15.652899999999999</v>
      </c>
      <c r="Q443" s="4">
        <f>ROUNDUP(MOD(P[Sun]+P[Moon],360)/13.333333333,2)</f>
        <v>17.650000000000002</v>
      </c>
      <c r="R443" s="4" t="str">
        <f>SIGN(U444-Panchanga!$U443)*INT(Panchanga!$U443/30+1)&amp;"Ma,"&amp;SIGN(V444-Panchanga!$V443)*INT(Panchanga!$V443/30+1)&amp;"Me,"&amp;SIGN(W444-Panchanga!$W443)*INT(Panchanga!$W443/30+1)&amp;"J, "&amp;SIGN(X444-Panchanga!$X443)*INT(Panchanga!$X443/30+1)&amp;"V,"&amp;SIGN(Y444-Panchanga!$Y443)*INT(Panchanga!$Y443/30+1)&amp;"S,"&amp;INT(Panchanga!$Z443/30+1)&amp;"R"</f>
        <v>11Ma,1Me,10J, 2V,10S,3R</v>
      </c>
      <c r="S443" s="4">
        <f t="shared" si="61"/>
        <v>23.743527150288884</v>
      </c>
      <c r="T443" s="4">
        <f t="shared" si="62"/>
        <v>211.57818738142248</v>
      </c>
      <c r="U443" s="4">
        <f>Planet(Panchanga!$E443,4)</f>
        <v>302.32324122553541</v>
      </c>
      <c r="V443" s="4">
        <f>Planet(Panchanga!$E443,2)</f>
        <v>27.473216229714549</v>
      </c>
      <c r="W443" s="4">
        <f>Planet(Panchanga!$E443,5)</f>
        <v>273.03532501851248</v>
      </c>
      <c r="X443" s="4">
        <f>Planet(Panchanga!$E443,3)</f>
        <v>57.1753970511894</v>
      </c>
      <c r="Y443" s="4">
        <f>Planet(Panchanga!$E443,6)</f>
        <v>277.81256617402431</v>
      </c>
      <c r="Z443" s="4">
        <f>Planet(Panchanga!$E443,10)</f>
        <v>67.32369666629863</v>
      </c>
      <c r="AA443" s="4" t="str">
        <f>TEXT(Panchanga!$C443+($C444-Panchanga!$C443)/ABS(IF($P444&lt;1,$P444+30,$P444)-Panchanga!$P443)*(ROUNDUP(Panchanga!$P443,0)-Panchanga!$P443),"hh:mm AM/PM")</f>
        <v>01:05 PM</v>
      </c>
      <c r="AB443" s="4"/>
    </row>
    <row r="444" spans="1:28" x14ac:dyDescent="0.2">
      <c r="A444" s="3">
        <f t="shared" si="64"/>
        <v>43960</v>
      </c>
      <c r="B444" s="3">
        <f t="shared" si="58"/>
        <v>43960.229166666664</v>
      </c>
      <c r="C444" s="15">
        <f t="shared" si="59"/>
        <v>43960.240353471752</v>
      </c>
      <c r="D444" s="15">
        <f t="shared" si="60"/>
        <v>43959.768010278742</v>
      </c>
      <c r="E444" s="17">
        <f>Panchanga!$C444-TimeZone/24</f>
        <v>43960.011186805088</v>
      </c>
      <c r="F444" s="18" t="str">
        <f>INT(P[Sun]/30)&amp;"s"&amp;ROUNDUP(MOD(P[Sun],30),2)</f>
        <v>0s24.72</v>
      </c>
      <c r="G444" s="18" t="str">
        <f>INT(P[Moon]/30)&amp;"s"&amp;ROUNDUP(MOD(P[Moon],30),2)</f>
        <v>7s16.2</v>
      </c>
      <c r="H444" s="14">
        <f t="shared" si="63"/>
        <v>43960.011186805088</v>
      </c>
      <c r="I444" s="4" t="str">
        <f>naks(P[[#This Row],[Moon]])</f>
        <v>Anuradha</v>
      </c>
      <c r="J444" s="15">
        <f>(C445-P[[#This Row],[SunRise]])/(T445-P[[#This Row],[Moon]])*(13.3333333333333-MOD(P[[#This Row],[Moon]],13.333333333333))+P[[#This Row],[SunRise]]</f>
        <v>43960.273214646964</v>
      </c>
      <c r="K444" s="4" t="str">
        <f>IF(Panchanga!$P444&gt;15,"K","S")&amp;ROUNDUP(MOD(Panchanga!$P444,15),0)&amp;" ("&amp;ROUND(Panchanga!$P444,2)&amp;")"</f>
        <v>K2 (16.79)</v>
      </c>
      <c r="L444" s="4">
        <f>IF(AND(Panchanga!$P444&lt;28.5,Panchanga!$P444&gt;0.49999),MOD((Panchanga!$P444-0.5)*2,7),MOD((Panchanga!$P444+30-28.5),30)*2+7)</f>
        <v>4.5816000000000017</v>
      </c>
      <c r="M444" s="4" t="str">
        <f>CHOOSE(ROUNDUP(Panchanga!$L444,0),"Bhava","Baalava","Kaulava","Taitula","Garija","Vanija","Vishti","Shakuni","Chatushapda","Naaga","Kimstugna")</f>
        <v>Garija</v>
      </c>
      <c r="N444" s="11" t="str">
        <f>CHOOSE(ROUNDUP(Panchanga!$Q444,0),"viṣkambha","prīti","āyuṣmāna","saubhāgya","śobhana","atigaṇḍa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("&amp;Panchanga!$Q444&amp;")"</f>
        <v>parigha (18.82)</v>
      </c>
      <c r="O444" s="4">
        <f>IF(AND(Panchanga!$P444&lt;28.5,Panchanga!$P444&gt;0.49999),MOD((Panchanga!$P444-0.5)*2,7),MOD((Panchanga!$P444+30-28.5),30)*2+7)</f>
        <v>4.5816000000000017</v>
      </c>
      <c r="P444" s="4">
        <f>ROUNDUP(MOD(360+P[Moon]-P[Sun],360)/12,4)</f>
        <v>16.790800000000001</v>
      </c>
      <c r="Q444" s="4">
        <f>ROUNDUP(MOD(P[Sun]+P[Moon],360)/13.333333333,2)</f>
        <v>18.82</v>
      </c>
      <c r="R444" s="4" t="str">
        <f>SIGN(U445-Panchanga!$U444)*INT(Panchanga!$U444/30+1)&amp;"Ma,"&amp;SIGN(V445-Panchanga!$V444)*INT(Panchanga!$V444/30+1)&amp;"Me,"&amp;SIGN(W445-Panchanga!$W444)*INT(Panchanga!$W444/30+1)&amp;"J, "&amp;SIGN(X445-Panchanga!$X444)*INT(Panchanga!$X444/30+1)&amp;"V,"&amp;SIGN(Y445-Panchanga!$Y444)*INT(Panchanga!$Y444/30+1)&amp;"S,"&amp;INT(Panchanga!$Z444/30+1)&amp;"R"</f>
        <v>11Ma,1Me,10J, 2V,10S,3R</v>
      </c>
      <c r="S444" s="4">
        <f t="shared" si="61"/>
        <v>24.710038691639905</v>
      </c>
      <c r="T444" s="4">
        <f t="shared" si="62"/>
        <v>226.19905706851404</v>
      </c>
      <c r="U444" s="4">
        <f>Planet(Panchanga!$E444,4)</f>
        <v>303.00942108766856</v>
      </c>
      <c r="V444" s="4">
        <f>Planet(Panchanga!$E444,2)</f>
        <v>29.63906727142728</v>
      </c>
      <c r="W444" s="4">
        <f>Planet(Panchanga!$E444,5)</f>
        <v>273.05447589551397</v>
      </c>
      <c r="X444" s="4">
        <f>Planet(Panchanga!$E444,3)</f>
        <v>57.354566630836992</v>
      </c>
      <c r="Y444" s="4">
        <f>Planet(Panchanga!$E444,6)</f>
        <v>277.81681540079137</v>
      </c>
      <c r="Z444" s="4">
        <f>Planet(Panchanga!$E444,10)</f>
        <v>67.270717128045206</v>
      </c>
      <c r="AA444" s="4" t="str">
        <f>TEXT(Panchanga!$C444+($C445-Panchanga!$C444)/ABS(IF($P445&lt;1,$P445+30,$P445)-Panchanga!$P444)*(ROUNDUP(Panchanga!$P444,0)-Panchanga!$P444),"hh:mm AM/PM")</f>
        <v>10:18 AM</v>
      </c>
      <c r="AB444" s="4"/>
    </row>
    <row r="445" spans="1:28" x14ac:dyDescent="0.2">
      <c r="A445" s="3">
        <f t="shared" si="64"/>
        <v>43961</v>
      </c>
      <c r="B445" s="3">
        <f t="shared" si="58"/>
        <v>43961.229166666664</v>
      </c>
      <c r="C445" s="15">
        <f t="shared" si="59"/>
        <v>43961.240128086567</v>
      </c>
      <c r="D445" s="15">
        <f t="shared" si="60"/>
        <v>43960.768177171747</v>
      </c>
      <c r="E445" s="17">
        <f>Panchanga!$C445-TimeZone/24</f>
        <v>43961.010961419903</v>
      </c>
      <c r="F445" s="18" t="str">
        <f>INT(P[Sun]/30)&amp;"s"&amp;ROUNDUP(MOD(P[Sun],30),2)</f>
        <v>0s25.68</v>
      </c>
      <c r="G445" s="18" t="str">
        <f>INT(P[Moon]/30)&amp;"s"&amp;ROUNDUP(MOD(P[Moon],30),2)</f>
        <v>8s0.43</v>
      </c>
      <c r="H445" s="14">
        <f t="shared" si="63"/>
        <v>43961.010961419903</v>
      </c>
      <c r="I445" s="4" t="str">
        <f>naks(P[[#This Row],[Moon]])</f>
        <v>Moola</v>
      </c>
      <c r="J445" s="15">
        <f>(C446-P[[#This Row],[SunRise]])/(T446-P[[#This Row],[Moon]])*(13.3333333333333-MOD(P[[#This Row],[Moon]],13.333333333333))+P[[#This Row],[SunRise]]</f>
        <v>43962.176521501169</v>
      </c>
      <c r="K445" s="4" t="str">
        <f>IF(Panchanga!$P445&gt;15,"K","S")&amp;ROUNDUP(MOD(Panchanga!$P445,15),0)&amp;" ("&amp;ROUND(Panchanga!$P445,2)&amp;")"</f>
        <v>K3 (17.9)</v>
      </c>
      <c r="L445" s="4">
        <f>IF(AND(Panchanga!$P445&lt;28.5,Panchanga!$P445&gt;0.49999),MOD((Panchanga!$P445-0.5)*2,7),MOD((Panchanga!$P445+30-28.5),30)*2+7)</f>
        <v>6.7916000000000025</v>
      </c>
      <c r="M445" s="4" t="str">
        <f>CHOOSE(ROUNDUP(Panchanga!$L445,0),"Bhava","Baalava","Kaulava","Taitula","Garija","Vanija","Vishti","Shakuni","Chatushapda","Naaga","Kimstugna")</f>
        <v>Vishti</v>
      </c>
      <c r="N445" s="11" t="str">
        <f>CHOOSE(ROUNDUP(Panchanga!$Q445,0),"viṣkambha","prīti","āyuṣmāna","saubhāgya","śobhana","atigaṇḍa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("&amp;Panchanga!$Q445&amp;")"</f>
        <v>śiva (19.96)</v>
      </c>
      <c r="O445" s="4">
        <f>IF(AND(Panchanga!$P445&lt;28.5,Panchanga!$P445&gt;0.49999),MOD((Panchanga!$P445-0.5)*2,7),MOD((Panchanga!$P445+30-28.5),30)*2+7)</f>
        <v>6.7916000000000025</v>
      </c>
      <c r="P445" s="4">
        <f>ROUNDUP(MOD(360+P[Moon]-P[Sun],360)/12,4)</f>
        <v>17.895800000000001</v>
      </c>
      <c r="Q445" s="4">
        <f>ROUNDUP(MOD(P[Sun]+P[Moon],360)/13.333333333,2)</f>
        <v>19.96</v>
      </c>
      <c r="R445" s="4" t="str">
        <f>SIGN(U446-Panchanga!$U445)*INT(Panchanga!$U445/30+1)&amp;"Ma,"&amp;SIGN(V446-Panchanga!$V445)*INT(Panchanga!$V445/30+1)&amp;"Me,"&amp;SIGN(W446-Panchanga!$W445)*INT(Panchanga!$W445/30+1)&amp;"J, "&amp;SIGN(X446-Panchanga!$X445)*INT(Panchanga!$X445/30+1)&amp;"V,"&amp;SIGN(Y446-Panchanga!$Y445)*INT(Panchanga!$Y445/30+1)&amp;"S,"&amp;INT(Panchanga!$Z445/30+1)&amp;"R"</f>
        <v>11Ma,2Me,10J, 2V,10S,3R</v>
      </c>
      <c r="S445" s="4">
        <f t="shared" si="61"/>
        <v>25.676144678601911</v>
      </c>
      <c r="T445" s="4">
        <f t="shared" si="62"/>
        <v>240.42569999421522</v>
      </c>
      <c r="U445" s="4">
        <f>Planet(Panchanga!$E445,4)</f>
        <v>303.69507747569293</v>
      </c>
      <c r="V445" s="4">
        <f>Planet(Panchanga!$E445,2)</f>
        <v>31.796352689767929</v>
      </c>
      <c r="W445" s="4">
        <f>Planet(Panchanga!$E445,5)</f>
        <v>273.07050464749091</v>
      </c>
      <c r="X445" s="4">
        <f>Planet(Panchanga!$E445,3)</f>
        <v>57.497617011526543</v>
      </c>
      <c r="Y445" s="4">
        <f>Planet(Panchanga!$E445,6)</f>
        <v>277.819441899938</v>
      </c>
      <c r="Z445" s="4">
        <f>Planet(Panchanga!$E445,10)</f>
        <v>67.217737075979429</v>
      </c>
      <c r="AA445" s="4" t="str">
        <f>TEXT(Panchanga!$C445+($C446-Panchanga!$C445)/ABS(IF($P446&lt;1,$P446+30,$P446)-Panchanga!$P445)*(ROUNDUP(Panchanga!$P445,0)-Panchanga!$P445),"hh:mm AM/PM")</f>
        <v>08:06 AM</v>
      </c>
      <c r="AB445" s="4"/>
    </row>
    <row r="446" spans="1:28" x14ac:dyDescent="0.2">
      <c r="A446" s="3">
        <f t="shared" si="64"/>
        <v>43962</v>
      </c>
      <c r="B446" s="3">
        <f t="shared" si="58"/>
        <v>43962.229166666664</v>
      </c>
      <c r="C446" s="15">
        <f t="shared" si="59"/>
        <v>43962.239912556171</v>
      </c>
      <c r="D446" s="15">
        <f t="shared" si="60"/>
        <v>43961.768347720659</v>
      </c>
      <c r="E446" s="17">
        <f>Panchanga!$C446-TimeZone/24</f>
        <v>43962.010745889507</v>
      </c>
      <c r="F446" s="18" t="str">
        <f>INT(P[Sun]/30)&amp;"s"&amp;ROUNDUP(MOD(P[Sun],30),2)</f>
        <v>0s26.65</v>
      </c>
      <c r="G446" s="18" t="str">
        <f>INT(P[Moon]/30)&amp;"s"&amp;ROUNDUP(MOD(P[Moon],30),2)</f>
        <v>8s14.21</v>
      </c>
      <c r="H446" s="14">
        <f t="shared" si="63"/>
        <v>43962.010745889507</v>
      </c>
      <c r="I446" s="4" t="str">
        <f>naks(P[[#This Row],[Moon]])</f>
        <v>Purva Asadha</v>
      </c>
      <c r="J446" s="15">
        <f>(C447-P[[#This Row],[SunRise]])/(T447-P[[#This Row],[Moon]])*(13.3333333333333-MOD(P[[#This Row],[Moon]],13.333333333333))+P[[#This Row],[SunRise]]</f>
        <v>43963.174294627934</v>
      </c>
      <c r="K446" s="4" t="str">
        <f>IF(Panchanga!$P446&gt;15,"K","S")&amp;ROUNDUP(MOD(Panchanga!$P446,15),0)&amp;" ("&amp;ROUND(Panchanga!$P446,2)&amp;")"</f>
        <v>K4 (18.96)</v>
      </c>
      <c r="L446" s="4">
        <f>IF(AND(Panchanga!$P446&lt;28.5,Panchanga!$P446&gt;0.49999),MOD((Panchanga!$P446-0.5)*2,7),MOD((Panchanga!$P446+30-28.5),30)*2+7)</f>
        <v>1.9275999999999982</v>
      </c>
      <c r="M446" s="4" t="str">
        <f>CHOOSE(ROUNDUP(Panchanga!$L446,0),"Bhava","Baalava","Kaulava","Taitula","Garija","Vanija","Vishti","Shakuni","Chatushapda","Naaga","Kimstugna")</f>
        <v>Baalava</v>
      </c>
      <c r="N446" s="11" t="str">
        <f>CHOOSE(ROUNDUP(Panchanga!$Q446,0),"viṣkambha","prīti","āyuṣmāna","saubhāgya","śobhana","atigaṇḍa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("&amp;Panchanga!$Q446&amp;")"</f>
        <v>sādhya (21.07)</v>
      </c>
      <c r="O446" s="4">
        <f>IF(AND(Panchanga!$P446&lt;28.5,Panchanga!$P446&gt;0.49999),MOD((Panchanga!$P446-0.5)*2,7),MOD((Panchanga!$P446+30-28.5),30)*2+7)</f>
        <v>1.9275999999999982</v>
      </c>
      <c r="P446" s="4">
        <f>ROUNDUP(MOD(360+P[Moon]-P[Sun],360)/12,4)</f>
        <v>18.963799999999999</v>
      </c>
      <c r="Q446" s="4">
        <f>ROUNDUP(MOD(P[Sun]+P[Moon],360)/13.333333333,2)</f>
        <v>21.07</v>
      </c>
      <c r="R446" s="4" t="str">
        <f>SIGN(U447-Panchanga!$U446)*INT(Panchanga!$U446/30+1)&amp;"Ma,"&amp;SIGN(V447-Panchanga!$V446)*INT(Panchanga!$V446/30+1)&amp;"Me,"&amp;SIGN(W447-Panchanga!$W446)*INT(Panchanga!$W446/30+1)&amp;"J, "&amp;SIGN(X447-Panchanga!$X446)*INT(Panchanga!$X446/30+1)&amp;"V,"&amp;SIGN(Y447-Panchanga!$Y446)*INT(Panchanga!$Y446/30+1)&amp;"S,"&amp;INT(Panchanga!$Z446/30+1)&amp;"R"</f>
        <v>11Ma,2Me,10J, 2V,-10S,3R</v>
      </c>
      <c r="S446" s="4">
        <f t="shared" si="61"/>
        <v>26.641867846449351</v>
      </c>
      <c r="T446" s="4">
        <f t="shared" si="62"/>
        <v>254.20714180117267</v>
      </c>
      <c r="U446" s="4">
        <f>Planet(Panchanga!$E446,4)</f>
        <v>304.38017737832593</v>
      </c>
      <c r="V446" s="4">
        <f>Planet(Panchanga!$E446,2)</f>
        <v>33.940239453990507</v>
      </c>
      <c r="W446" s="4">
        <f>Planet(Panchanga!$E446,5)</f>
        <v>273.08339981601188</v>
      </c>
      <c r="X446" s="4">
        <f>Planet(Panchanga!$E446,3)</f>
        <v>57.60371939384369</v>
      </c>
      <c r="Y446" s="4">
        <f>Planet(Panchanga!$E446,6)</f>
        <v>277.82044485797104</v>
      </c>
      <c r="Z446" s="4">
        <f>Planet(Panchanga!$E446,10)</f>
        <v>67.164756501734018</v>
      </c>
      <c r="AA446" s="4" t="str">
        <f>TEXT(Panchanga!$C446+($C447-Panchanga!$C446)/ABS(IF($P447&lt;1,$P447+30,$P447)-Panchanga!$P446)*(ROUNDUP(Panchanga!$P446,0)-Panchanga!$P446),"hh:mm AM/PM")</f>
        <v>06:36 AM</v>
      </c>
      <c r="AB446" s="4"/>
    </row>
    <row r="447" spans="1:28" x14ac:dyDescent="0.2">
      <c r="A447" s="3">
        <f t="shared" si="64"/>
        <v>43963</v>
      </c>
      <c r="B447" s="3">
        <f t="shared" si="58"/>
        <v>43963.229166666664</v>
      </c>
      <c r="C447" s="15">
        <f t="shared" si="59"/>
        <v>43963.239706880566</v>
      </c>
      <c r="D447" s="15">
        <f t="shared" si="60"/>
        <v>43962.768521925012</v>
      </c>
      <c r="E447" s="17">
        <f>Panchanga!$C447-TimeZone/24</f>
        <v>43963.010540213902</v>
      </c>
      <c r="F447" s="18" t="str">
        <f>INT(P[Sun]/30)&amp;"s"&amp;ROUNDUP(MOD(P[Sun],30),2)</f>
        <v>0s27.61</v>
      </c>
      <c r="G447" s="18" t="str">
        <f>INT(P[Moon]/30)&amp;"s"&amp;ROUNDUP(MOD(P[Moon],30),2)</f>
        <v>8s27.54</v>
      </c>
      <c r="H447" s="14">
        <f t="shared" si="63"/>
        <v>43963.010540213902</v>
      </c>
      <c r="I447" s="4" t="str">
        <f>naks(P[[#This Row],[Moon]])</f>
        <v>Uttara Asadha</v>
      </c>
      <c r="J447" s="15">
        <f>(C448-P[[#This Row],[SunRise]])/(T448-P[[#This Row],[Moon]])*(13.3333333333333-MOD(P[[#This Row],[Moon]],13.333333333333))+P[[#This Row],[SunRise]]</f>
        <v>43964.204406130782</v>
      </c>
      <c r="K447" s="4" t="str">
        <f>IF(Panchanga!$P447&gt;15,"K","S")&amp;ROUNDUP(MOD(Panchanga!$P447,15),0)&amp;" ("&amp;ROUND(Panchanga!$P447,2)&amp;")"</f>
        <v>K5 (19.99)</v>
      </c>
      <c r="L447" s="4">
        <f>IF(AND(Panchanga!$P447&lt;28.5,Panchanga!$P447&gt;0.49999),MOD((Panchanga!$P447-0.5)*2,7),MOD((Panchanga!$P447+30-28.5),30)*2+7)</f>
        <v>3.9887999999999977</v>
      </c>
      <c r="M447" s="4" t="str">
        <f>CHOOSE(ROUNDUP(Panchanga!$L447,0),"Bhava","Baalava","Kaulava","Taitula","Garija","Vanija","Vishti","Shakuni","Chatushapda","Naaga","Kimstugna")</f>
        <v>Taitula</v>
      </c>
      <c r="N447" s="11" t="str">
        <f>CHOOSE(ROUNDUP(Panchanga!$Q447,0),"viṣkambha","prīti","āyuṣmāna","saubhāgya","śobhana","atigaṇḍa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("&amp;Panchanga!$Q447&amp;")"</f>
        <v>śubha (22.14)</v>
      </c>
      <c r="O447" s="4">
        <f>IF(AND(Panchanga!$P447&lt;28.5,Panchanga!$P447&gt;0.49999),MOD((Panchanga!$P447-0.5)*2,7),MOD((Panchanga!$P447+30-28.5),30)*2+7)</f>
        <v>3.9887999999999977</v>
      </c>
      <c r="P447" s="4">
        <f>ROUNDUP(MOD(360+P[Moon]-P[Sun],360)/12,4)</f>
        <v>19.994399999999999</v>
      </c>
      <c r="Q447" s="4">
        <f>ROUNDUP(MOD(P[Sun]+P[Moon],360)/13.333333333,2)</f>
        <v>22.14</v>
      </c>
      <c r="R447" s="4" t="str">
        <f>SIGN(U448-Panchanga!$U447)*INT(Panchanga!$U447/30+1)&amp;"Ma,"&amp;SIGN(V448-Panchanga!$V447)*INT(Panchanga!$V447/30+1)&amp;"Me,"&amp;SIGN(W448-Panchanga!$W447)*INT(Panchanga!$W447/30+1)&amp;"J, "&amp;SIGN(X448-Panchanga!$X447)*INT(Panchanga!$X447/30+1)&amp;"V,"&amp;SIGN(Y448-Panchanga!$Y447)*INT(Panchanga!$Y447/30+1)&amp;"S,"&amp;INT(Panchanga!$Z447/30+1)&amp;"R"</f>
        <v>11Ma,2Me,10J, 2V,-10S,3R</v>
      </c>
      <c r="S447" s="4">
        <f t="shared" si="61"/>
        <v>27.607226504482139</v>
      </c>
      <c r="T447" s="4">
        <f t="shared" si="62"/>
        <v>267.53890684850279</v>
      </c>
      <c r="U447" s="4">
        <f>Planet(Panchanga!$E447,4)</f>
        <v>305.06468364717875</v>
      </c>
      <c r="V447" s="4">
        <f>Planet(Panchanga!$E447,2)</f>
        <v>36.065922653071439</v>
      </c>
      <c r="W447" s="4">
        <f>Planet(Panchanga!$E447,5)</f>
        <v>273.09315069152228</v>
      </c>
      <c r="X447" s="4">
        <f>Planet(Panchanga!$E447,3)</f>
        <v>57.672103110447814</v>
      </c>
      <c r="Y447" s="4">
        <f>Planet(Panchanga!$E447,6)</f>
        <v>277.81982375830006</v>
      </c>
      <c r="Z447" s="4">
        <f>Planet(Panchanga!$E447,10)</f>
        <v>67.111775405226297</v>
      </c>
      <c r="AA447" s="4" t="str">
        <f>TEXT(Panchanga!$C447+($C448-Panchanga!$C447)/ABS(IF($P448&lt;1,$P448+30,$P448)-Panchanga!$P447)*(ROUNDUP(Panchanga!$P447,0)-Panchanga!$P447),"hh:mm AM/PM")</f>
        <v>05:53 AM</v>
      </c>
      <c r="AB447" s="4"/>
    </row>
    <row r="448" spans="1:28" x14ac:dyDescent="0.2">
      <c r="A448" s="3">
        <f t="shared" si="64"/>
        <v>43964</v>
      </c>
      <c r="B448" s="3">
        <f t="shared" si="58"/>
        <v>43964.229166666664</v>
      </c>
      <c r="C448" s="15">
        <f t="shared" si="59"/>
        <v>43964.239511218075</v>
      </c>
      <c r="D448" s="15">
        <f t="shared" si="60"/>
        <v>43963.768699944063</v>
      </c>
      <c r="E448" s="17">
        <f>Panchanga!$C448-TimeZone/24</f>
        <v>43964.010344551411</v>
      </c>
      <c r="F448" s="18" t="str">
        <f>INT(P[Sun]/30)&amp;"s"&amp;ROUNDUP(MOD(P[Sun],30),2)</f>
        <v>0s28.58</v>
      </c>
      <c r="G448" s="18" t="str">
        <f>INT(P[Moon]/30)&amp;"s"&amp;ROUNDUP(MOD(P[Moon],30),2)</f>
        <v>9s10.46</v>
      </c>
      <c r="H448" s="14">
        <f t="shared" si="63"/>
        <v>43964.010344551411</v>
      </c>
      <c r="I448" s="4" t="str">
        <f>naks(P[[#This Row],[Moon]])</f>
        <v>Sravana</v>
      </c>
      <c r="J448" s="15">
        <f>(C449-P[[#This Row],[SunRise]])/(T449-P[[#This Row],[Moon]])*(13.3333333333333-MOD(P[[#This Row],[Moon]],13.333333333333))+P[[#This Row],[SunRise]]</f>
        <v>43965.265197794972</v>
      </c>
      <c r="K448" s="4" t="str">
        <f>IF(Panchanga!$P448&gt;15,"K","S")&amp;ROUNDUP(MOD(Panchanga!$P448,15),0)&amp;" ("&amp;ROUND(Panchanga!$P448,2)&amp;")"</f>
        <v>K6 (20.99)</v>
      </c>
      <c r="L448" s="4">
        <f>IF(AND(Panchanga!$P448&lt;28.5,Panchanga!$P448&gt;0.49999),MOD((Panchanga!$P448-0.5)*2,7),MOD((Panchanga!$P448+30-28.5),30)*2+7)</f>
        <v>5.980400000000003</v>
      </c>
      <c r="M448" s="4" t="str">
        <f>CHOOSE(ROUNDUP(Panchanga!$L448,0),"Bhava","Baalava","Kaulava","Taitula","Garija","Vanija","Vishti","Shakuni","Chatushapda","Naaga","Kimstugna")</f>
        <v>Vanija</v>
      </c>
      <c r="N448" s="11" t="str">
        <f>CHOOSE(ROUNDUP(Panchanga!$Q448,0),"viṣkambha","prīti","āyuṣmāna","saubhāgya","śobhana","atigaṇḍa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("&amp;Panchanga!$Q448&amp;")"</f>
        <v>śukla (23.18)</v>
      </c>
      <c r="O448" s="4">
        <f>IF(AND(Panchanga!$P448&lt;28.5,Panchanga!$P448&gt;0.49999),MOD((Panchanga!$P448-0.5)*2,7),MOD((Panchanga!$P448+30-28.5),30)*2+7)</f>
        <v>5.980400000000003</v>
      </c>
      <c r="P448" s="4">
        <f>ROUNDUP(MOD(360+P[Moon]-P[Sun],360)/12,4)</f>
        <v>20.990200000000002</v>
      </c>
      <c r="Q448" s="4">
        <f>ROUNDUP(MOD(P[Sun]+P[Moon],360)/13.333333333,2)</f>
        <v>23.180000000000003</v>
      </c>
      <c r="R448" s="4" t="str">
        <f>SIGN(U449-Panchanga!$U448)*INT(Panchanga!$U448/30+1)&amp;"Ma,"&amp;SIGN(V449-Panchanga!$V448)*INT(Panchanga!$V448/30+1)&amp;"Me,"&amp;SIGN(W449-Panchanga!$W448)*INT(Panchanga!$W448/30+1)&amp;"J, "&amp;SIGN(X449-Panchanga!$X448)*INT(Panchanga!$X448/30+1)&amp;"V,"&amp;SIGN(Y449-Panchanga!$Y448)*INT(Panchanga!$Y448/30+1)&amp;"S,"&amp;INT(Panchanga!$Z448/30+1)&amp;"R"</f>
        <v>11Ma,2Me,10J, -2V,-10S,3R</v>
      </c>
      <c r="S448" s="4">
        <f t="shared" si="61"/>
        <v>28.572234871098363</v>
      </c>
      <c r="T448" s="4">
        <f t="shared" si="62"/>
        <v>280.45345506668309</v>
      </c>
      <c r="U448" s="4">
        <f>Planet(Panchanga!$E448,4)</f>
        <v>305.74855663107127</v>
      </c>
      <c r="V448" s="4">
        <f>Planet(Panchanga!$E448,2)</f>
        <v>38.168736184692165</v>
      </c>
      <c r="W448" s="4">
        <f>Planet(Panchanga!$E448,5)</f>
        <v>273.09974777809077</v>
      </c>
      <c r="X448" s="4">
        <f>Planet(Panchanga!$E448,3)</f>
        <v>57.702067099154931</v>
      </c>
      <c r="Y448" s="4">
        <f>Planet(Panchanga!$E448,6)</f>
        <v>277.81757860337058</v>
      </c>
      <c r="Z448" s="4">
        <f>Planet(Panchanga!$E448,10)</f>
        <v>67.05879377812191</v>
      </c>
      <c r="AA448" s="4" t="str">
        <f>TEXT(Panchanga!$C448+($C449-Panchanga!$C448)/ABS(IF($P449&lt;1,$P449+30,$P449)-Panchanga!$P448)*(ROUNDUP(Panchanga!$P448,0)-Panchanga!$P448),"hh:mm AM/PM")</f>
        <v>05:59 AM</v>
      </c>
      <c r="AB448" s="4"/>
    </row>
    <row r="449" spans="1:28" x14ac:dyDescent="0.2">
      <c r="A449" s="3">
        <f t="shared" si="64"/>
        <v>43965</v>
      </c>
      <c r="B449" s="3">
        <f t="shared" si="58"/>
        <v>43965.229166666664</v>
      </c>
      <c r="C449" s="15">
        <f t="shared" si="59"/>
        <v>43965.23932572842</v>
      </c>
      <c r="D449" s="15">
        <f t="shared" si="60"/>
        <v>43964.768881301439</v>
      </c>
      <c r="E449" s="17">
        <f>Panchanga!$C449-TimeZone/24</f>
        <v>43965.010159061756</v>
      </c>
      <c r="F449" s="18" t="str">
        <f>INT(P[Sun]/30)&amp;"s"&amp;ROUNDUP(MOD(P[Sun],30),2)</f>
        <v>0s29.54</v>
      </c>
      <c r="G449" s="18" t="str">
        <f>INT(P[Moon]/30)&amp;"s"&amp;ROUNDUP(MOD(P[Moon],30),2)</f>
        <v>9s23.01</v>
      </c>
      <c r="H449" s="14">
        <f t="shared" si="63"/>
        <v>43965.010159061756</v>
      </c>
      <c r="I449" s="4" t="str">
        <f>naks(P[[#This Row],[Moon]])</f>
        <v>Sravana</v>
      </c>
      <c r="J449" s="15">
        <f>(C450-P[[#This Row],[SunRise]])/(T450-P[[#This Row],[Moon]])*(13.3333333333333-MOD(P[[#This Row],[Moon]],13.333333333333))+P[[#This Row],[SunRise]]</f>
        <v>43965.265804473645</v>
      </c>
      <c r="K449" s="4" t="str">
        <f>IF(Panchanga!$P449&gt;15,"K","S")&amp;ROUNDUP(MOD(Panchanga!$P449,15),0)&amp;" ("&amp;ROUND(Panchanga!$P449,2)&amp;")"</f>
        <v>K7 (21.96)</v>
      </c>
      <c r="L449" s="4">
        <f>IF(AND(Panchanga!$P449&lt;28.5,Panchanga!$P449&gt;0.49999),MOD((Panchanga!$P449-0.5)*2,7),MOD((Panchanga!$P449+30-28.5),30)*2+7)</f>
        <v>0.91199999999999903</v>
      </c>
      <c r="M449" s="4" t="str">
        <f>CHOOSE(ROUNDUP(Panchanga!$L449,0),"Bhava","Baalava","Kaulava","Taitula","Garija","Vanija","Vishti","Shakuni","Chatushapda","Naaga","Kimstugna")</f>
        <v>Bhava</v>
      </c>
      <c r="N449" s="11" t="str">
        <f>CHOOSE(ROUNDUP(Panchanga!$Q449,0),"viṣkambha","prīti","āyuṣmāna","saubhāgya","śobhana","atigaṇḍa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("&amp;Panchanga!$Q449&amp;")"</f>
        <v>brahma (24.2)</v>
      </c>
      <c r="O449" s="4">
        <f>IF(AND(Panchanga!$P449&lt;28.5,Panchanga!$P449&gt;0.49999),MOD((Panchanga!$P449-0.5)*2,7),MOD((Panchanga!$P449+30-28.5),30)*2+7)</f>
        <v>0.91199999999999903</v>
      </c>
      <c r="P449" s="4">
        <f>ROUNDUP(MOD(360+P[Moon]-P[Sun],360)/12,4)</f>
        <v>21.956</v>
      </c>
      <c r="Q449" s="4">
        <f>ROUNDUP(MOD(P[Sun]+P[Moon],360)/13.333333333,2)</f>
        <v>24.200000000000003</v>
      </c>
      <c r="R449" s="4" t="str">
        <f>SIGN(U450-Panchanga!$U449)*INT(Panchanga!$U449/30+1)&amp;"Ma,"&amp;SIGN(V450-Panchanga!$V449)*INT(Panchanga!$V449/30+1)&amp;"Me,"&amp;SIGN(W450-Panchanga!$W449)*INT(Panchanga!$W449/30+1)&amp;"J, "&amp;SIGN(X450-Panchanga!$X449)*INT(Panchanga!$X449/30+1)&amp;"V,"&amp;SIGN(Y450-Panchanga!$Y449)*INT(Panchanga!$Y449/30+1)&amp;"S,"&amp;INT(Panchanga!$Z449/30+1)&amp;"R"</f>
        <v>11Ma,2Me,10J, -2V,-10S,3R</v>
      </c>
      <c r="S449" s="4">
        <f t="shared" si="61"/>
        <v>29.536903454016969</v>
      </c>
      <c r="T449" s="4">
        <f t="shared" si="62"/>
        <v>293.00844942122581</v>
      </c>
      <c r="U449" s="4">
        <f>Planet(Panchanga!$E449,4)</f>
        <v>306.43175518635906</v>
      </c>
      <c r="V449" s="4">
        <f>Planet(Panchanga!$E449,2)</f>
        <v>40.244252117637551</v>
      </c>
      <c r="W449" s="4">
        <f>Planet(Panchanga!$E449,5)</f>
        <v>273.10318310381848</v>
      </c>
      <c r="X449" s="4">
        <f>Planet(Panchanga!$E449,3)</f>
        <v>57.692994687115437</v>
      </c>
      <c r="Y449" s="4">
        <f>Planet(Panchanga!$E449,6)</f>
        <v>277.8137100639471</v>
      </c>
      <c r="Z449" s="4">
        <f>Planet(Panchanga!$E449,10)</f>
        <v>67.005811611937773</v>
      </c>
      <c r="AA449" s="4" t="str">
        <f>TEXT(Panchanga!$C449+($C450-Panchanga!$C449)/ABS(IF($P450&lt;1,$P450+30,$P450)-Panchanga!$P449)*(ROUNDUP(Panchanga!$P449,0)-Panchanga!$P449),"hh:mm AM/PM")</f>
        <v>06:51 AM</v>
      </c>
      <c r="AB449" s="4"/>
    </row>
    <row r="450" spans="1:28" x14ac:dyDescent="0.2">
      <c r="A450" s="3">
        <f t="shared" si="64"/>
        <v>43966</v>
      </c>
      <c r="B450" s="3">
        <f t="shared" si="58"/>
        <v>43966.229166666664</v>
      </c>
      <c r="C450" s="15">
        <f t="shared" si="59"/>
        <v>43966.239150411602</v>
      </c>
      <c r="D450" s="15">
        <f t="shared" si="60"/>
        <v>43965.769066155</v>
      </c>
      <c r="E450" s="17">
        <f>Panchanga!$C450-TimeZone/24</f>
        <v>43966.009983744938</v>
      </c>
      <c r="F450" s="18" t="str">
        <f>INT(P[Sun]/30)&amp;"s"&amp;ROUNDUP(MOD(P[Sun],30),2)</f>
        <v>1s0.51</v>
      </c>
      <c r="G450" s="18" t="str">
        <f>INT(P[Moon]/30)&amp;"s"&amp;ROUNDUP(MOD(P[Moon],30),2)</f>
        <v>10s5.28</v>
      </c>
      <c r="H450" s="14">
        <f t="shared" si="63"/>
        <v>43966.009983744938</v>
      </c>
      <c r="I450" s="4" t="str">
        <f>naks(P[[#This Row],[Moon]])</f>
        <v>Dhanistha</v>
      </c>
      <c r="J450" s="15">
        <f>(C451-P[[#This Row],[SunRise]])/(T451-P[[#This Row],[Moon]])*(13.3333333333333-MOD(P[[#This Row],[Moon]],13.333333333333))+P[[#This Row],[SunRise]]</f>
        <v>43966.354475165295</v>
      </c>
      <c r="K450" s="4" t="str">
        <f>IF(Panchanga!$P450&gt;15,"K","S")&amp;ROUNDUP(MOD(Panchanga!$P450,15),0)&amp;" ("&amp;ROUND(Panchanga!$P450,2)&amp;")"</f>
        <v>K8 (22.9)</v>
      </c>
      <c r="L450" s="4">
        <f>IF(AND(Panchanga!$P450&lt;28.5,Panchanga!$P450&gt;0.49999),MOD((Panchanga!$P450-0.5)*2,7),MOD((Panchanga!$P450+30-28.5),30)*2+7)</f>
        <v>2.7957999999999998</v>
      </c>
      <c r="M450" s="4" t="str">
        <f>CHOOSE(ROUNDUP(Panchanga!$L450,0),"Bhava","Baalava","Kaulava","Taitula","Garija","Vanija","Vishti","Shakuni","Chatushapda","Naaga","Kimstugna")</f>
        <v>Kaulava</v>
      </c>
      <c r="N450" s="11" t="str">
        <f>CHOOSE(ROUNDUP(Panchanga!$Q450,0),"viṣkambha","prīti","āyuṣmāna","saubhāgya","śobhana","atigaṇḍa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("&amp;Panchanga!$Q450&amp;")"</f>
        <v>mahendra (25.19)</v>
      </c>
      <c r="O450" s="4">
        <f>IF(AND(Panchanga!$P450&lt;28.5,Panchanga!$P450&gt;0.49999),MOD((Panchanga!$P450-0.5)*2,7),MOD((Panchanga!$P450+30-28.5),30)*2+7)</f>
        <v>2.7957999999999998</v>
      </c>
      <c r="P450" s="4">
        <f>ROUNDUP(MOD(360+P[Moon]-P[Sun],360)/12,4)</f>
        <v>22.8979</v>
      </c>
      <c r="Q450" s="4">
        <f>ROUNDUP(MOD(P[Sun]+P[Moon],360)/13.333333333,2)</f>
        <v>25.19</v>
      </c>
      <c r="R450" s="4" t="str">
        <f>SIGN(U451-Panchanga!$U450)*INT(Panchanga!$U450/30+1)&amp;"Ma,"&amp;SIGN(V451-Panchanga!$V450)*INT(Panchanga!$V450/30+1)&amp;"Me,"&amp;SIGN(W451-Panchanga!$W450)*INT(Panchanga!$W450/30+1)&amp;"J, "&amp;SIGN(X451-Panchanga!$X450)*INT(Panchanga!$X450/30+1)&amp;"V,"&amp;SIGN(Y451-Panchanga!$Y450)*INT(Panchanga!$Y450/30+1)&amp;"S,"&amp;INT(Panchanga!$Z450/30+1)&amp;"R"</f>
        <v>11Ma,2Me,-10J, -2V,-10S,3R</v>
      </c>
      <c r="S450" s="4">
        <f t="shared" si="61"/>
        <v>30.501239567183674</v>
      </c>
      <c r="T450" s="4">
        <f t="shared" si="62"/>
        <v>305.27590967019046</v>
      </c>
      <c r="U450" s="4">
        <f>Planet(Panchanga!$E450,4)</f>
        <v>307.11423725446241</v>
      </c>
      <c r="V450" s="4">
        <f>Planet(Panchanga!$E450,2)</f>
        <v>42.28836258409553</v>
      </c>
      <c r="W450" s="4">
        <f>Planet(Panchanga!$E450,5)</f>
        <v>273.10345039961157</v>
      </c>
      <c r="X450" s="4">
        <f>Planet(Panchanga!$E450,3)</f>
        <v>57.644371112554666</v>
      </c>
      <c r="Y450" s="4">
        <f>Planet(Panchanga!$E450,6)</f>
        <v>277.80821956541962</v>
      </c>
      <c r="Z450" s="4">
        <f>Planet(Panchanga!$E450,10)</f>
        <v>66.952828906690485</v>
      </c>
      <c r="AA450" s="4" t="str">
        <f>TEXT(Panchanga!$C450+($C451-Panchanga!$C450)/ABS(IF($P451&lt;1,$P451+30,$P451)-Panchanga!$P450)*(ROUNDUP(Panchanga!$P450,0)-Panchanga!$P450),"hh:mm AM/PM")</f>
        <v>08:23 AM</v>
      </c>
      <c r="AB450" s="4"/>
    </row>
    <row r="451" spans="1:28" x14ac:dyDescent="0.2">
      <c r="A451" s="3">
        <f t="shared" si="64"/>
        <v>43967</v>
      </c>
      <c r="B451" s="3">
        <f t="shared" ref="B451:B463" si="65">A451+TimeZone/24</f>
        <v>43967.229166666664</v>
      </c>
      <c r="C451" s="15">
        <f t="shared" ref="C451:C463" si="66">sunrise(Lat,Long,B451)+TimeZone/24+0.00103009259259259</f>
        <v>43967.238985266689</v>
      </c>
      <c r="D451" s="15">
        <f t="shared" ref="D451:D463" si="67">sunset(Lat,Long,B451)+TimeZone/24-0.000277777777777778</f>
        <v>43966.769254346887</v>
      </c>
      <c r="E451" s="17">
        <f>Panchanga!$C451-TimeZone/24</f>
        <v>43967.009818600025</v>
      </c>
      <c r="F451" s="18" t="str">
        <f>INT(P[Sun]/30)&amp;"s"&amp;ROUNDUP(MOD(P[Sun],30),2)</f>
        <v>1s1.47</v>
      </c>
      <c r="G451" s="18" t="str">
        <f>INT(P[Moon]/30)&amp;"s"&amp;ROUNDUP(MOD(P[Moon],30),2)</f>
        <v>10s17.34</v>
      </c>
      <c r="H451" s="14">
        <f t="shared" si="63"/>
        <v>43967.009818600025</v>
      </c>
      <c r="I451" s="4" t="str">
        <f>naks(P[[#This Row],[Moon]])</f>
        <v>Satabhisaj</v>
      </c>
      <c r="J451" s="15">
        <f>(C452-P[[#This Row],[SunRise]])/(T452-P[[#This Row],[Moon]])*(13.3333333333333-MOD(P[[#This Row],[Moon]],13.333333333333))+P[[#This Row],[SunRise]]</f>
        <v>43967.462583262677</v>
      </c>
      <c r="K451" s="4" t="str">
        <f>IF(Panchanga!$P451&gt;15,"K","S")&amp;ROUNDUP(MOD(Panchanga!$P451,15),0)&amp;" ("&amp;ROUND(Panchanga!$P451,2)&amp;")"</f>
        <v>K9 (23.82)</v>
      </c>
      <c r="L451" s="4">
        <f>IF(AND(Panchanga!$P451&lt;28.5,Panchanga!$P451&gt;0.49999),MOD((Panchanga!$P451-0.5)*2,7),MOD((Panchanga!$P451+30-28.5),30)*2+7)</f>
        <v>4.6447999999999965</v>
      </c>
      <c r="M451" s="4" t="str">
        <f>CHOOSE(ROUNDUP(Panchanga!$L451,0),"Bhava","Baalava","Kaulava","Taitula","Garija","Vanija","Vishti","Shakuni","Chatushapda","Naaga","Kimstugna")</f>
        <v>Garija</v>
      </c>
      <c r="N451" s="11" t="str">
        <f>CHOOSE(ROUNDUP(Panchanga!$Q451,0),"viṣkambha","prīti","āyuṣmāna","saubhāgya","śobhana","atigaṇḍa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("&amp;Panchanga!$Q451&amp;")"</f>
        <v>vaidhṛti (26.16)</v>
      </c>
      <c r="O451" s="4">
        <f>IF(AND(Panchanga!$P451&lt;28.5,Panchanga!$P451&gt;0.49999),MOD((Panchanga!$P451-0.5)*2,7),MOD((Panchanga!$P451+30-28.5),30)*2+7)</f>
        <v>4.6447999999999965</v>
      </c>
      <c r="P451" s="4">
        <f>ROUNDUP(MOD(360+P[Moon]-P[Sun],360)/12,4)</f>
        <v>23.822399999999998</v>
      </c>
      <c r="Q451" s="4">
        <f>ROUNDUP(MOD(P[Sun]+P[Moon],360)/13.333333333,2)</f>
        <v>26.16</v>
      </c>
      <c r="R451" s="4" t="str">
        <f>SIGN(U452-Panchanga!$U451)*INT(Panchanga!$U451/30+1)&amp;"Ma,"&amp;SIGN(V452-Panchanga!$V451)*INT(Panchanga!$V451/30+1)&amp;"Me,"&amp;SIGN(W452-Panchanga!$W451)*INT(Panchanga!$W451/30+1)&amp;"J, "&amp;SIGN(X452-Panchanga!$X451)*INT(Panchanga!$X451/30+1)&amp;"V,"&amp;SIGN(Y452-Panchanga!$Y451)*INT(Panchanga!$Y451/30+1)&amp;"S,"&amp;INT(Panchanga!$Z451/30+1)&amp;"R"</f>
        <v>11Ma,2Me,-10J, -2V,-10S,3R</v>
      </c>
      <c r="S451" s="4">
        <f t="shared" ref="S451:S463" si="68">Planet($E451,0)</f>
        <v>31.465248038972575</v>
      </c>
      <c r="T451" s="4">
        <f t="shared" ref="T451:T463" si="69">Planet($E451,1)</f>
        <v>317.3334018868606</v>
      </c>
      <c r="U451" s="4">
        <f>Planet(Panchanga!$E451,4)</f>
        <v>307.79596029590806</v>
      </c>
      <c r="V451" s="4">
        <f>Planet(Panchanga!$E451,2)</f>
        <v>44.297340016643602</v>
      </c>
      <c r="W451" s="4">
        <f>Planet(Panchanga!$E451,5)</f>
        <v>273.10054519542172</v>
      </c>
      <c r="X451" s="4">
        <f>Planet(Panchanga!$E451,3)</f>
        <v>57.555802818362217</v>
      </c>
      <c r="Y451" s="4">
        <f>Planet(Panchanga!$E451,6)</f>
        <v>277.80110932481597</v>
      </c>
      <c r="Z451" s="4">
        <f>Planet(Panchanga!$E451,10)</f>
        <v>66.899845662396459</v>
      </c>
      <c r="AA451" s="4" t="str">
        <f>TEXT(Panchanga!$C451+($C452-Panchanga!$C451)/ABS(IF($P452&lt;1,$P452+30,$P452)-Panchanga!$P451)*(ROUNDUP(Panchanga!$P451,0)-Panchanga!$P451),"hh:mm AM/PM")</f>
        <v>10:24 AM</v>
      </c>
      <c r="AB451" s="4"/>
    </row>
    <row r="452" spans="1:28" x14ac:dyDescent="0.2">
      <c r="A452" s="3">
        <f t="shared" si="64"/>
        <v>43968</v>
      </c>
      <c r="B452" s="3">
        <f t="shared" si="65"/>
        <v>43968.229166666664</v>
      </c>
      <c r="C452" s="15">
        <f t="shared" si="66"/>
        <v>43968.238830453869</v>
      </c>
      <c r="D452" s="15">
        <f t="shared" si="67"/>
        <v>43967.769445558588</v>
      </c>
      <c r="E452" s="17">
        <f>Panchanga!$C452-TimeZone/24</f>
        <v>43968.009663787205</v>
      </c>
      <c r="F452" s="18" t="str">
        <f>INT(P[Sun]/30)&amp;"s"&amp;ROUNDUP(MOD(P[Sun],30),2)</f>
        <v>1s2.43</v>
      </c>
      <c r="G452" s="18" t="str">
        <f>INT(P[Moon]/30)&amp;"s"&amp;ROUNDUP(MOD(P[Moon],30),2)</f>
        <v>10s29.26</v>
      </c>
      <c r="H452" s="14">
        <f t="shared" si="63"/>
        <v>43968.009663787205</v>
      </c>
      <c r="I452" s="4" t="str">
        <f>naks(P[[#This Row],[Moon]])</f>
        <v>Purva Bhadrapada</v>
      </c>
      <c r="J452" s="15">
        <f>(C453-P[[#This Row],[SunRise]])/(T453-P[[#This Row],[Moon]])*(13.3333333333333-MOD(P[[#This Row],[Moon]],13.333333333333))+P[[#This Row],[SunRise]]</f>
        <v>43968.58241092012</v>
      </c>
      <c r="K452" s="4" t="str">
        <f>IF(Panchanga!$P452&gt;15,"K","S")&amp;ROUNDUP(MOD(Panchanga!$P452,15),0)&amp;" ("&amp;ROUND(Panchanga!$P452,2)&amp;")"</f>
        <v>K10 (24.74)</v>
      </c>
      <c r="L452" s="4">
        <f>IF(AND(Panchanga!$P452&lt;28.5,Panchanga!$P452&gt;0.49999),MOD((Panchanga!$P452-0.5)*2,7),MOD((Panchanga!$P452+30-28.5),30)*2+7)</f>
        <v>6.4716000000000022</v>
      </c>
      <c r="M452" s="4" t="str">
        <f>CHOOSE(ROUNDUP(Panchanga!$L452,0),"Bhava","Baalava","Kaulava","Taitula","Garija","Vanija","Vishti","Shakuni","Chatushapda","Naaga","Kimstugna")</f>
        <v>Vishti</v>
      </c>
      <c r="N452" s="11" t="str">
        <f>CHOOSE(ROUNDUP(Panchanga!$Q452,0),"viṣkambha","prīti","āyuṣmāna","saubhāgya","śobhana","atigaṇḍa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("&amp;Panchanga!$Q452&amp;")"</f>
        <v>viṣkambha (0.13)</v>
      </c>
      <c r="O452" s="4">
        <f>IF(AND(Panchanga!$P452&lt;28.5,Panchanga!$P452&gt;0.49999),MOD((Panchanga!$P452-0.5)*2,7),MOD((Panchanga!$P452+30-28.5),30)*2+7)</f>
        <v>6.4716000000000022</v>
      </c>
      <c r="P452" s="4">
        <f>ROUNDUP(MOD(360+P[Moon]-P[Sun],360)/12,4)</f>
        <v>24.735800000000001</v>
      </c>
      <c r="Q452" s="4">
        <f>ROUNDUP(MOD(P[Sun]+P[Moon],360)/13.333333333,2)</f>
        <v>0.13</v>
      </c>
      <c r="R452" s="4" t="str">
        <f>SIGN(U453-Panchanga!$U452)*INT(Panchanga!$U452/30+1)&amp;"Ma,"&amp;SIGN(V453-Panchanga!$V452)*INT(Panchanga!$V452/30+1)&amp;"Me,"&amp;SIGN(W453-Panchanga!$W452)*INT(Panchanga!$W452/30+1)&amp;"J, "&amp;SIGN(X453-Panchanga!$X452)*INT(Panchanga!$X452/30+1)&amp;"V,"&amp;SIGN(Y453-Panchanga!$Y452)*INT(Panchanga!$Y452/30+1)&amp;"S,"&amp;INT(Panchanga!$Z452/30+1)&amp;"R"</f>
        <v>11Ma,2Me,-10J, -2V,-10S,3R</v>
      </c>
      <c r="S452" s="4">
        <f t="shared" si="68"/>
        <v>32.428931724640293</v>
      </c>
      <c r="T452" s="4">
        <f t="shared" si="69"/>
        <v>329.25741434393331</v>
      </c>
      <c r="U452" s="4">
        <f>Planet(Panchanga!$E452,4)</f>
        <v>308.47688153374179</v>
      </c>
      <c r="V452" s="4">
        <f>Planet(Panchanga!$E452,2)</f>
        <v>46.267872907946234</v>
      </c>
      <c r="W452" s="4">
        <f>Planet(Panchanga!$E452,5)</f>
        <v>273.09446488178287</v>
      </c>
      <c r="X452" s="4">
        <f>Planet(Panchanga!$E452,3)</f>
        <v>57.427037714736471</v>
      </c>
      <c r="Y452" s="4">
        <f>Planet(Panchanga!$E452,6)</f>
        <v>277.79238237311012</v>
      </c>
      <c r="Z452" s="4">
        <f>Planet(Panchanga!$E452,10)</f>
        <v>66.846861870605792</v>
      </c>
      <c r="AA452" s="4" t="str">
        <f>TEXT(Panchanga!$C452+($C453-Panchanga!$C452)/ABS(IF($P453&lt;1,$P453+30,$P453)-Panchanga!$P452)*(ROUNDUP(Panchanga!$P452,0)-Panchanga!$P452),"hh:mm AM/PM")</f>
        <v>12:42 PM</v>
      </c>
      <c r="AB452" s="4"/>
    </row>
    <row r="453" spans="1:28" x14ac:dyDescent="0.2">
      <c r="A453" s="3">
        <f t="shared" si="64"/>
        <v>43969</v>
      </c>
      <c r="B453" s="3">
        <f t="shared" si="65"/>
        <v>43969.229166666664</v>
      </c>
      <c r="C453" s="15">
        <f t="shared" si="66"/>
        <v>43969.23868597221</v>
      </c>
      <c r="D453" s="15">
        <f t="shared" si="67"/>
        <v>43968.769639949358</v>
      </c>
      <c r="E453" s="17">
        <f>Panchanga!$C453-TimeZone/24</f>
        <v>43969.009519305546</v>
      </c>
      <c r="F453" s="18" t="str">
        <f>INT(P[Sun]/30)&amp;"s"&amp;ROUNDUP(MOD(P[Sun],30),2)</f>
        <v>1s3.4</v>
      </c>
      <c r="G453" s="18" t="str">
        <f>INT(P[Moon]/30)&amp;"s"&amp;ROUNDUP(MOD(P[Moon],30),2)</f>
        <v>11s11.12</v>
      </c>
      <c r="H453" s="14">
        <f t="shared" si="63"/>
        <v>43969.009519305546</v>
      </c>
      <c r="I453" s="4" t="str">
        <f>naks(P[[#This Row],[Moon]])</f>
        <v>Uttara Bhadrapada</v>
      </c>
      <c r="J453" s="15">
        <f>(C454-P[[#This Row],[SunRise]])/(T454-P[[#This Row],[Moon]])*(13.3333333333333-MOD(P[[#This Row],[Moon]],13.333333333333))+P[[#This Row],[SunRise]]</f>
        <v>43969.706364337413</v>
      </c>
      <c r="K453" s="4" t="str">
        <f>IF(Panchanga!$P453&gt;15,"K","S")&amp;ROUNDUP(MOD(Panchanga!$P453,15),0)&amp;" ("&amp;ROUND(Panchanga!$P453,2)&amp;")"</f>
        <v>K11 (25.64)</v>
      </c>
      <c r="L453" s="4">
        <f>IF(AND(Panchanga!$P453&lt;28.5,Panchanga!$P453&gt;0.49999),MOD((Panchanga!$P453-0.5)*2,7),MOD((Panchanga!$P453+30-28.5),30)*2+7)</f>
        <v>1.2877999999999972</v>
      </c>
      <c r="M453" s="4" t="str">
        <f>CHOOSE(ROUNDUP(Panchanga!$L453,0),"Bhava","Baalava","Kaulava","Taitula","Garija","Vanija","Vishti","Shakuni","Chatushapda","Naaga","Kimstugna")</f>
        <v>Baalava</v>
      </c>
      <c r="N453" s="11" t="str">
        <f>CHOOSE(ROUNDUP(Panchanga!$Q453,0),"viṣkambha","prīti","āyuṣmāna","saubhāgya","śobhana","atigaṇḍa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("&amp;Panchanga!$Q453&amp;")"</f>
        <v>prīti (1.09)</v>
      </c>
      <c r="O453" s="4">
        <f>IF(AND(Panchanga!$P453&lt;28.5,Panchanga!$P453&gt;0.49999),MOD((Panchanga!$P453-0.5)*2,7),MOD((Panchanga!$P453+30-28.5),30)*2+7)</f>
        <v>1.2877999999999972</v>
      </c>
      <c r="P453" s="4">
        <f>ROUNDUP(MOD(360+P[Moon]-P[Sun],360)/12,4)</f>
        <v>25.643899999999999</v>
      </c>
      <c r="Q453" s="4">
        <f>ROUNDUP(MOD(P[Sun]+P[Moon],360)/13.333333333,2)</f>
        <v>1.0900000000000001</v>
      </c>
      <c r="R453" s="4" t="str">
        <f>SIGN(U454-Panchanga!$U453)*INT(Panchanga!$U453/30+1)&amp;"Ma,"&amp;SIGN(V454-Panchanga!$V453)*INT(Panchanga!$V453/30+1)&amp;"Me,"&amp;SIGN(W454-Panchanga!$W453)*INT(Panchanga!$W453/30+1)&amp;"J, "&amp;SIGN(X454-Panchanga!$X453)*INT(Panchanga!$X453/30+1)&amp;"V,"&amp;SIGN(Y454-Panchanga!$Y453)*INT(Panchanga!$Y453/30+1)&amp;"S,"&amp;INT(Panchanga!$Z453/30+1)&amp;"R"</f>
        <v>11Ma,2Me,-10J, -2V,-10S,3R</v>
      </c>
      <c r="S453" s="4">
        <f t="shared" si="68"/>
        <v>33.392291395228057</v>
      </c>
      <c r="T453" s="4">
        <f t="shared" si="69"/>
        <v>341.11876996271985</v>
      </c>
      <c r="U453" s="4">
        <f>Planet(Panchanga!$E453,4)</f>
        <v>309.15695782940884</v>
      </c>
      <c r="V453" s="4">
        <f>Planet(Panchanga!$E453,2)</f>
        <v>48.197076618788664</v>
      </c>
      <c r="W453" s="4">
        <f>Planet(Panchanga!$E453,5)</f>
        <v>273.08520877898911</v>
      </c>
      <c r="X453" s="4">
        <f>Planet(Panchanga!$E453,3)</f>
        <v>57.257986046983923</v>
      </c>
      <c r="Y453" s="4">
        <f>Planet(Panchanga!$E453,6)</f>
        <v>277.78204257817134</v>
      </c>
      <c r="Z453" s="4">
        <f>Planet(Panchanga!$E453,10)</f>
        <v>66.793877531334914</v>
      </c>
      <c r="AA453" s="4" t="str">
        <f>TEXT(Panchanga!$C453+($C454-Panchanga!$C453)/ABS(IF($P454&lt;1,$P454+30,$P454)-Panchanga!$P453)*(ROUNDUP(Panchanga!$P453,0)-Panchanga!$P453),"hh:mm AM/PM")</f>
        <v>03:08 PM</v>
      </c>
      <c r="AB453" s="4"/>
    </row>
    <row r="454" spans="1:28" x14ac:dyDescent="0.2">
      <c r="A454" s="3">
        <f t="shared" si="64"/>
        <v>43970</v>
      </c>
      <c r="B454" s="3">
        <f t="shared" si="65"/>
        <v>43970.229166666664</v>
      </c>
      <c r="C454" s="15">
        <f t="shared" si="66"/>
        <v>43970.238551821712</v>
      </c>
      <c r="D454" s="15">
        <f t="shared" si="67"/>
        <v>43969.769837200685</v>
      </c>
      <c r="E454" s="17">
        <f>Panchanga!$C454-TimeZone/24</f>
        <v>43970.009385155048</v>
      </c>
      <c r="F454" s="18" t="str">
        <f>INT(P[Sun]/30)&amp;"s"&amp;ROUNDUP(MOD(P[Sun],30),2)</f>
        <v>1s4.36</v>
      </c>
      <c r="G454" s="18" t="str">
        <f>INT(P[Moon]/30)&amp;"s"&amp;ROUNDUP(MOD(P[Moon],30),2)</f>
        <v>11s22.98</v>
      </c>
      <c r="H454" s="14">
        <f t="shared" si="63"/>
        <v>43970.009385155048</v>
      </c>
      <c r="I454" s="4" t="str">
        <f>naks(P[[#This Row],[Moon]])</f>
        <v>Revati</v>
      </c>
      <c r="J454" s="15">
        <f>(C455-P[[#This Row],[SunRise]])/(T455-P[[#This Row],[Moon]])*(13.3333333333333-MOD(P[[#This Row],[Moon]],13.333333333333))+P[[#This Row],[SunRise]]</f>
        <v>43970.218386397901</v>
      </c>
      <c r="K454" s="4" t="str">
        <f>IF(Panchanga!$P454&gt;15,"K","S")&amp;ROUNDUP(MOD(Panchanga!$P454,15),0)&amp;" ("&amp;ROUND(Panchanga!$P454,2)&amp;")"</f>
        <v>K12 (26.55)</v>
      </c>
      <c r="L454" s="4">
        <f>IF(AND(Panchanga!$P454&lt;28.5,Panchanga!$P454&gt;0.49999),MOD((Panchanga!$P454-0.5)*2,7),MOD((Panchanga!$P454+30-28.5),30)*2+7)</f>
        <v>3.1041999999999987</v>
      </c>
      <c r="M454" s="4" t="str">
        <f>CHOOSE(ROUNDUP(Panchanga!$L454,0),"Bhava","Baalava","Kaulava","Taitula","Garija","Vanija","Vishti","Shakuni","Chatushapda","Naaga","Kimstugna")</f>
        <v>Taitula</v>
      </c>
      <c r="N454" s="11" t="str">
        <f>CHOOSE(ROUNDUP(Panchanga!$Q454,0),"viṣkambha","prīti","āyuṣmāna","saubhāgya","śobhana","atigaṇḍa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("&amp;Panchanga!$Q454&amp;")"</f>
        <v>āyuṣmāna (2.06)</v>
      </c>
      <c r="O454" s="4">
        <f>IF(AND(Panchanga!$P454&lt;28.5,Panchanga!$P454&gt;0.49999),MOD((Panchanga!$P454-0.5)*2,7),MOD((Panchanga!$P454+30-28.5),30)*2+7)</f>
        <v>3.1041999999999987</v>
      </c>
      <c r="P454" s="4">
        <f>ROUNDUP(MOD(360+P[Moon]-P[Sun],360)/12,4)</f>
        <v>26.552099999999999</v>
      </c>
      <c r="Q454" s="4">
        <f>ROUNDUP(MOD(P[Sun]+P[Moon],360)/13.333333333,2)</f>
        <v>2.0599999999999996</v>
      </c>
      <c r="R454" s="4" t="str">
        <f>SIGN(U455-Panchanga!$U454)*INT(Panchanga!$U454/30+1)&amp;"Ma,"&amp;SIGN(V455-Panchanga!$V454)*INT(Panchanga!$V454/30+1)&amp;"Me,"&amp;SIGN(W455-Panchanga!$W454)*INT(Panchanga!$W454/30+1)&amp;"J, "&amp;SIGN(X455-Panchanga!$X454)*INT(Panchanga!$X454/30+1)&amp;"V,"&amp;SIGN(Y455-Panchanga!$Y454)*INT(Panchanga!$Y454/30+1)&amp;"S,"&amp;INT(Panchanga!$Z454/30+1)&amp;"R"</f>
        <v>11Ma,2Me,-10J, -2V,-10S,3R</v>
      </c>
      <c r="S454" s="4">
        <f t="shared" si="68"/>
        <v>34.355326023124867</v>
      </c>
      <c r="T454" s="4">
        <f t="shared" si="69"/>
        <v>352.97981136124844</v>
      </c>
      <c r="U454" s="4">
        <f>Planet(Panchanga!$E454,4)</f>
        <v>309.83614593755499</v>
      </c>
      <c r="V454" s="4">
        <f>Planet(Panchanga!$E454,2)</f>
        <v>50.082483767892484</v>
      </c>
      <c r="W454" s="4">
        <f>Planet(Panchanga!$E454,5)</f>
        <v>273.07277821870201</v>
      </c>
      <c r="X454" s="4">
        <f>Planet(Panchanga!$E454,3)</f>
        <v>57.048741514122497</v>
      </c>
      <c r="Y454" s="4">
        <f>Planet(Panchanga!$E454,6)</f>
        <v>277.77009467047321</v>
      </c>
      <c r="Z454" s="4">
        <f>Planet(Panchanga!$E454,10)</f>
        <v>66.740892644600521</v>
      </c>
      <c r="AA454" s="4" t="str">
        <f>TEXT(Panchanga!$C454+($C455-Panchanga!$C454)/ABS(IF($P455&lt;1,$P455+30,$P455)-Panchanga!$P454)*(ROUNDUP(Panchanga!$P454,0)-Panchanga!$P454),"hh:mm AM/PM")</f>
        <v>05:30 PM</v>
      </c>
      <c r="AB454" s="4"/>
    </row>
    <row r="455" spans="1:28" x14ac:dyDescent="0.2">
      <c r="A455" s="3">
        <f t="shared" si="64"/>
        <v>43971</v>
      </c>
      <c r="B455" s="3">
        <f t="shared" si="65"/>
        <v>43971.229166666664</v>
      </c>
      <c r="C455" s="15">
        <f t="shared" si="66"/>
        <v>43971.238427844051</v>
      </c>
      <c r="D455" s="15">
        <f t="shared" si="67"/>
        <v>43970.770037154711</v>
      </c>
      <c r="E455" s="17">
        <f>Panchanga!$C455-TimeZone/24</f>
        <v>43971.009261177387</v>
      </c>
      <c r="F455" s="18" t="str">
        <f>INT(P[Sun]/30)&amp;"s"&amp;ROUNDUP(MOD(P[Sun],30),2)</f>
        <v>1s5.32</v>
      </c>
      <c r="G455" s="18" t="str">
        <f>INT(P[Moon]/30)&amp;"s"&amp;ROUNDUP(MOD(P[Moon],30),2)</f>
        <v>0s4.9</v>
      </c>
      <c r="H455" s="14">
        <f t="shared" si="63"/>
        <v>43971.009261177387</v>
      </c>
      <c r="I455" s="4" t="str">
        <f>naks(P[[#This Row],[Moon]])</f>
        <v>Aswini</v>
      </c>
      <c r="J455" s="15">
        <f>(C456-P[[#This Row],[SunRise]])/(T456-P[[#This Row],[Moon]])*(13.3333333333333-MOD(P[[#This Row],[Moon]],13.333333333333))+P[[#This Row],[SunRise]]</f>
        <v>43971.941265279354</v>
      </c>
      <c r="K455" s="4" t="str">
        <f>IF(Panchanga!$P455&gt;15,"K","S")&amp;ROUNDUP(MOD(Panchanga!$P455,15),0)&amp;" ("&amp;ROUND(Panchanga!$P455,2)&amp;")"</f>
        <v>K13 (27.46)</v>
      </c>
      <c r="L455" s="4">
        <f>IF(AND(Panchanga!$P455&lt;28.5,Panchanga!$P455&gt;0.49999),MOD((Panchanga!$P455-0.5)*2,7),MOD((Panchanga!$P455+30-28.5),30)*2+7)</f>
        <v>4.9292000000000016</v>
      </c>
      <c r="M455" s="4" t="str">
        <f>CHOOSE(ROUNDUP(Panchanga!$L455,0),"Bhava","Baalava","Kaulava","Taitula","Garija","Vanija","Vishti","Shakuni","Chatushapda","Naaga","Kimstugna")</f>
        <v>Garija</v>
      </c>
      <c r="N455" s="11" t="str">
        <f>CHOOSE(ROUNDUP(Panchanga!$Q455,0),"viṣkambha","prīti","āyuṣmāna","saubhāgya","śobhana","atigaṇḍa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("&amp;Panchanga!$Q455&amp;")"</f>
        <v>saubhāgya (3.02)</v>
      </c>
      <c r="O455" s="4">
        <f>IF(AND(Panchanga!$P455&lt;28.5,Panchanga!$P455&gt;0.49999),MOD((Panchanga!$P455-0.5)*2,7),MOD((Panchanga!$P455+30-28.5),30)*2+7)</f>
        <v>4.9292000000000016</v>
      </c>
      <c r="P455" s="4">
        <f>ROUNDUP(MOD(360+P[Moon]-P[Sun],360)/12,4)</f>
        <v>27.464600000000001</v>
      </c>
      <c r="Q455" s="4">
        <f>ROUNDUP(MOD(P[Sun]+P[Moon],360)/13.333333333,2)</f>
        <v>3.0199999999999996</v>
      </c>
      <c r="R455" s="4" t="str">
        <f>SIGN(U456-Panchanga!$U455)*INT(Panchanga!$U455/30+1)&amp;"Ma,"&amp;SIGN(V456-Panchanga!$V455)*INT(Panchanga!$V455/30+1)&amp;"Me,"&amp;SIGN(W456-Panchanga!$W455)*INT(Panchanga!$W455/30+1)&amp;"J, "&amp;SIGN(X456-Panchanga!$X455)*INT(Panchanga!$X455/30+1)&amp;"V,"&amp;SIGN(Y456-Panchanga!$Y455)*INT(Panchanga!$Y455/30+1)&amp;"S,"&amp;INT(Panchanga!$Z455/30+1)&amp;"R"</f>
        <v>11Ma,2Me,-10J, -2V,-10S,3R</v>
      </c>
      <c r="S455" s="4">
        <f t="shared" si="68"/>
        <v>35.318032754428735</v>
      </c>
      <c r="T455" s="4">
        <f t="shared" si="69"/>
        <v>4.8929891376684411</v>
      </c>
      <c r="U455" s="4">
        <f>Planet(Panchanga!$E455,4)</f>
        <v>310.51440261697559</v>
      </c>
      <c r="V455" s="4">
        <f>Planet(Panchanga!$E455,2)</f>
        <v>51.922016596952687</v>
      </c>
      <c r="W455" s="4">
        <f>Planet(Panchanga!$E455,5)</f>
        <v>273.05717663848264</v>
      </c>
      <c r="X455" s="4">
        <f>Planet(Panchanga!$E455,3)</f>
        <v>56.799602451454206</v>
      </c>
      <c r="Y455" s="4">
        <f>Planet(Panchanga!$E455,6)</f>
        <v>277.75654427787964</v>
      </c>
      <c r="Z455" s="4">
        <f>Planet(Panchanga!$E455,10)</f>
        <v>66.687907218786279</v>
      </c>
      <c r="AA455" s="4" t="str">
        <f>TEXT(Panchanga!$C455+($C456-Panchanga!$C455)/ABS(IF($P456&lt;1,$P456+30,$P456)-Panchanga!$P455)*(ROUNDUP(Panchanga!$P455,0)-Panchanga!$P455),"hh:mm AM/PM")</f>
        <v>07:40 PM</v>
      </c>
      <c r="AB455" s="4"/>
    </row>
    <row r="456" spans="1:28" x14ac:dyDescent="0.2">
      <c r="A456" s="3">
        <f t="shared" si="64"/>
        <v>43972</v>
      </c>
      <c r="B456" s="3">
        <f t="shared" si="65"/>
        <v>43972.229166666664</v>
      </c>
      <c r="C456" s="15">
        <f t="shared" si="66"/>
        <v>43972.238314198017</v>
      </c>
      <c r="D456" s="15">
        <f t="shared" si="67"/>
        <v>43971.770239651247</v>
      </c>
      <c r="E456" s="17">
        <f>Panchanga!$C456-TimeZone/24</f>
        <v>43972.009147531353</v>
      </c>
      <c r="F456" s="18" t="str">
        <f>INT(P[Sun]/30)&amp;"s"&amp;ROUNDUP(MOD(P[Sun],30),2)</f>
        <v>1s6.29</v>
      </c>
      <c r="G456" s="18" t="str">
        <f>INT(P[Moon]/30)&amp;"s"&amp;ROUNDUP(MOD(P[Moon],30),2)</f>
        <v>0s16.91</v>
      </c>
      <c r="H456" s="14">
        <f t="shared" si="63"/>
        <v>43972.009147531353</v>
      </c>
      <c r="I456" s="4" t="str">
        <f>naks(P[[#This Row],[Moon]])</f>
        <v>Bharani</v>
      </c>
      <c r="J456" s="15">
        <f>(C457-P[[#This Row],[SunRise]])/(T457-P[[#This Row],[Moon]])*(13.3333333333333-MOD(P[[#This Row],[Moon]],13.333333333333))+P[[#This Row],[SunRise]]</f>
        <v>43973.043028556247</v>
      </c>
      <c r="K456" s="4" t="str">
        <f>IF(Panchanga!$P456&gt;15,"K","S")&amp;ROUNDUP(MOD(Panchanga!$P456,15),0)&amp;" ("&amp;ROUND(Panchanga!$P456,2)&amp;")"</f>
        <v>K14 (28.39)</v>
      </c>
      <c r="L456" s="4">
        <f>IF(AND(Panchanga!$P456&lt;28.5,Panchanga!$P456&gt;0.49999),MOD((Panchanga!$P456-0.5)*2,7),MOD((Panchanga!$P456+30-28.5),30)*2+7)</f>
        <v>6.7702000000000027</v>
      </c>
      <c r="M456" s="4" t="str">
        <f>CHOOSE(ROUNDUP(Panchanga!$L456,0),"Bhava","Baalava","Kaulava","Taitula","Garija","Vanija","Vishti","Shakuni","Chatushapda","Naaga","Kimstugna")</f>
        <v>Vishti</v>
      </c>
      <c r="N456" s="11" t="str">
        <f>CHOOSE(ROUNDUP(Panchanga!$Q456,0),"viṣkambha","prīti","āyuṣmāna","saubhāgya","śobhana","atigaṇḍa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("&amp;Panchanga!$Q456&amp;")"</f>
        <v>saubhāgya (3.99)</v>
      </c>
      <c r="O456" s="4">
        <f>IF(AND(Panchanga!$P456&lt;28.5,Panchanga!$P456&gt;0.49999),MOD((Panchanga!$P456-0.5)*2,7),MOD((Panchanga!$P456+30-28.5),30)*2+7)</f>
        <v>6.7702000000000027</v>
      </c>
      <c r="P456" s="4">
        <f>ROUNDUP(MOD(360+P[Moon]-P[Sun],360)/12,4)</f>
        <v>28.385100000000001</v>
      </c>
      <c r="Q456" s="4">
        <f>ROUNDUP(MOD(P[Sun]+P[Moon],360)/13.333333333,2)</f>
        <v>3.9899999999999998</v>
      </c>
      <c r="R456" s="4" t="str">
        <f>SIGN(U457-Panchanga!$U456)*INT(Panchanga!$U456/30+1)&amp;"Ma,"&amp;SIGN(V457-Panchanga!$V456)*INT(Panchanga!$V456/30+1)&amp;"Me,"&amp;SIGN(W457-Panchanga!$W456)*INT(Panchanga!$W456/30+1)&amp;"J, "&amp;SIGN(X457-Panchanga!$X456)*INT(Panchanga!$X456/30+1)&amp;"V,"&amp;SIGN(Y457-Panchanga!$Y456)*INT(Panchanga!$Y456/30+1)&amp;"S,"&amp;INT(Panchanga!$Z456/30+1)&amp;"R"</f>
        <v>11Ma,2Me,-10J, -2V,-10S,3R</v>
      </c>
      <c r="S456" s="4">
        <f t="shared" si="68"/>
        <v>36.280407518629382</v>
      </c>
      <c r="T456" s="4">
        <f t="shared" si="69"/>
        <v>16.900580879529446</v>
      </c>
      <c r="U456" s="4">
        <f>Planet(Panchanga!$E456,4)</f>
        <v>311.19168523483597</v>
      </c>
      <c r="V456" s="4">
        <f>Planet(Panchanga!$E456,2)</f>
        <v>53.713947771036757</v>
      </c>
      <c r="W456" s="4">
        <f>Planet(Panchanga!$E456,5)</f>
        <v>273.03840966953692</v>
      </c>
      <c r="X456" s="4">
        <f>Planet(Panchanga!$E456,3)</f>
        <v>56.5110924785996</v>
      </c>
      <c r="Y456" s="4">
        <f>Planet(Panchanga!$E456,6)</f>
        <v>277.74139795449105</v>
      </c>
      <c r="Z456" s="4">
        <f>Planet(Panchanga!$E456,10)</f>
        <v>66.634921245491967</v>
      </c>
      <c r="AA456" s="4" t="str">
        <f>TEXT(Panchanga!$C456+($C457-Panchanga!$C456)/ABS(IF($P457&lt;1,$P457+30,$P457)-Panchanga!$P456)*(ROUNDUP(Panchanga!$P456,0)-Panchanga!$P456),"hh:mm AM/PM")</f>
        <v>09:34 PM</v>
      </c>
      <c r="AB456" s="4"/>
    </row>
    <row r="457" spans="1:28" x14ac:dyDescent="0.2">
      <c r="A457" s="3">
        <f t="shared" si="64"/>
        <v>43973</v>
      </c>
      <c r="B457" s="3">
        <f t="shared" si="65"/>
        <v>43973.229166666664</v>
      </c>
      <c r="C457" s="15">
        <f t="shared" si="66"/>
        <v>43973.238210724354</v>
      </c>
      <c r="D457" s="15">
        <f t="shared" si="67"/>
        <v>43972.770444214388</v>
      </c>
      <c r="E457" s="17">
        <f>Panchanga!$C457-TimeZone/24</f>
        <v>43973.00904405769</v>
      </c>
      <c r="F457" s="18" t="str">
        <f>INT(P[Sun]/30)&amp;"s"&amp;ROUNDUP(MOD(P[Sun],30),2)</f>
        <v>1s7.25</v>
      </c>
      <c r="G457" s="18" t="str">
        <f>INT(P[Moon]/30)&amp;"s"&amp;ROUNDUP(MOD(P[Moon],30),2)</f>
        <v>0s29.04</v>
      </c>
      <c r="H457" s="14">
        <f t="shared" si="63"/>
        <v>43973.00904405769</v>
      </c>
      <c r="I457" s="4" t="str">
        <f>naks(P[[#This Row],[Moon]])</f>
        <v>Krittika</v>
      </c>
      <c r="J457" s="15">
        <f>(C458-P[[#This Row],[SunRise]])/(T458-P[[#This Row],[Moon]])*(13.3333333333333-MOD(P[[#This Row],[Moon]],13.333333333333))+P[[#This Row],[SunRise]]</f>
        <v>43974.130487930735</v>
      </c>
      <c r="K457" s="4" t="str">
        <f>IF(Panchanga!$P457&gt;15,"K","S")&amp;ROUNDUP(MOD(Panchanga!$P457,15),0)&amp;" ("&amp;ROUND(Panchanga!$P457,2)&amp;")"</f>
        <v>K15 (29.32)</v>
      </c>
      <c r="L457" s="4">
        <f>IF(AND(Panchanga!$P457&lt;28.5,Panchanga!$P457&gt;0.49999),MOD((Panchanga!$P457-0.5)*2,7),MOD((Panchanga!$P457+30-28.5),30)*2+7)</f>
        <v>8.6321999999999974</v>
      </c>
      <c r="M457" s="4" t="str">
        <f>CHOOSE(ROUNDUP(Panchanga!$L457,0),"Bhava","Baalava","Kaulava","Taitula","Garija","Vanija","Vishti","Shakuni","Chatushapda","Naaga","Kimstugna")</f>
        <v>Chatushapda</v>
      </c>
      <c r="N457" s="11" t="str">
        <f>CHOOSE(ROUNDUP(Panchanga!$Q457,0),"viṣkambha","prīti","āyuṣmāna","saubhāgya","śobhana","atigaṇḍa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("&amp;Panchanga!$Q457&amp;")"</f>
        <v>śobhana (4.98)</v>
      </c>
      <c r="O457" s="4">
        <f>IF(AND(Panchanga!$P457&lt;28.5,Panchanga!$P457&gt;0.49999),MOD((Panchanga!$P457-0.5)*2,7),MOD((Panchanga!$P457+30-28.5),30)*2+7)</f>
        <v>8.6321999999999974</v>
      </c>
      <c r="P457" s="4">
        <f>ROUNDUP(MOD(360+P[Moon]-P[Sun],360)/12,4)</f>
        <v>29.316099999999999</v>
      </c>
      <c r="Q457" s="4">
        <f>ROUNDUP(MOD(P[Sun]+P[Moon],360)/13.333333333,2)</f>
        <v>4.9799999999999995</v>
      </c>
      <c r="R457" s="4" t="str">
        <f>SIGN(U458-Panchanga!$U457)*INT(Panchanga!$U457/30+1)&amp;"Ma,"&amp;SIGN(V458-Panchanga!$V457)*INT(Panchanga!$V457/30+1)&amp;"Me,"&amp;SIGN(W458-Panchanga!$W457)*INT(Panchanga!$W457/30+1)&amp;"J, "&amp;SIGN(X458-Panchanga!$X457)*INT(Panchanga!$X457/30+1)&amp;"V,"&amp;SIGN(Y458-Panchanga!$Y457)*INT(Panchanga!$Y457/30+1)&amp;"S,"&amp;INT(Panchanga!$Z457/30+1)&amp;"R"</f>
        <v>11Ma,2Me,-10J, -2V,-10S,3R</v>
      </c>
      <c r="S457" s="4">
        <f t="shared" si="68"/>
        <v>37.242444604676002</v>
      </c>
      <c r="T457" s="4">
        <f t="shared" si="69"/>
        <v>29.035415003672945</v>
      </c>
      <c r="U457" s="4">
        <f>Planet(Panchanga!$E457,4)</f>
        <v>311.8679516663185</v>
      </c>
      <c r="V457" s="4">
        <f>Planet(Panchanga!$E457,2)</f>
        <v>55.456851080021188</v>
      </c>
      <c r="W457" s="4">
        <f>Planet(Panchanga!$E457,5)</f>
        <v>273.01648523468339</v>
      </c>
      <c r="X457" s="4">
        <f>Planet(Panchanga!$E457,3)</f>
        <v>56.183980502486527</v>
      </c>
      <c r="Y457" s="4">
        <f>Planet(Panchanga!$E457,6)</f>
        <v>277.72466322028038</v>
      </c>
      <c r="Z457" s="4">
        <f>Planet(Panchanga!$E457,10)</f>
        <v>66.581934733150959</v>
      </c>
      <c r="AA457" s="4" t="str">
        <f>TEXT(Panchanga!$C457+($C458-Panchanga!$C457)/ABS(IF($P458&lt;1,$P458+30,$P458)-Panchanga!$P457)*(ROUNDUP(Panchanga!$P457,0)-Panchanga!$P457),"hh:mm AM/PM")</f>
        <v>11:06 PM</v>
      </c>
      <c r="AB457" s="4"/>
    </row>
    <row r="458" spans="1:28" x14ac:dyDescent="0.2">
      <c r="A458" s="3">
        <f t="shared" si="64"/>
        <v>43974</v>
      </c>
      <c r="B458" s="3">
        <f t="shared" si="65"/>
        <v>43974.229166666664</v>
      </c>
      <c r="C458" s="15">
        <f t="shared" si="66"/>
        <v>43974.238117582317</v>
      </c>
      <c r="D458" s="15">
        <f t="shared" si="67"/>
        <v>43973.770651002924</v>
      </c>
      <c r="E458" s="17">
        <f>Panchanga!$C458-TimeZone/24</f>
        <v>43974.008950915653</v>
      </c>
      <c r="F458" s="18" t="str">
        <f>INT(P[Sun]/30)&amp;"s"&amp;ROUNDUP(MOD(P[Sun],30),2)</f>
        <v>1s8.21</v>
      </c>
      <c r="G458" s="18" t="str">
        <f>INT(P[Moon]/30)&amp;"s"&amp;ROUNDUP(MOD(P[Moon],30),2)</f>
        <v>1s11.33</v>
      </c>
      <c r="H458" s="14">
        <f t="shared" ref="H458:H463" si="70">E458</f>
        <v>43974.008950915653</v>
      </c>
      <c r="I458" s="4" t="str">
        <f>naks(P[[#This Row],[Moon]])</f>
        <v>Rohini</v>
      </c>
      <c r="J458" s="15">
        <f>(C459-P[[#This Row],[SunRise]])/(T459-P[[#This Row],[Moon]])*(13.3333333333333-MOD(P[[#This Row],[Moon]],13.333333333333))+P[[#This Row],[SunRise]]</f>
        <v>43975.202031800742</v>
      </c>
      <c r="K458" s="4" t="str">
        <f>IF(Panchanga!$P458&gt;15,"K","S")&amp;ROUNDUP(MOD(Panchanga!$P458,15),0)&amp;" ("&amp;ROUND(Panchanga!$P458,2)&amp;")"</f>
        <v>S1 (0.26)</v>
      </c>
      <c r="L458" s="4">
        <f>IF(AND(Panchanga!$P458&lt;28.5,Panchanga!$P458&gt;0.49999),MOD((Panchanga!$P458-0.5)*2,7),MOD((Panchanga!$P458+30-28.5),30)*2+7)</f>
        <v>10.519799999999996</v>
      </c>
      <c r="M458" s="4" t="str">
        <f>CHOOSE(ROUNDUP(Panchanga!$L458,0),"Bhava","Baalava","Kaulava","Taitula","Garija","Vanija","Vishti","Shakuni","Chatushapda","Naaga","Kimstugna")</f>
        <v>Kimstugna</v>
      </c>
      <c r="N458" s="11" t="str">
        <f>CHOOSE(ROUNDUP(Panchanga!$Q458,0),"viṣkambha","prīti","āyuṣmāna","saubhāgya","śobhana","atigaṇḍa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("&amp;Panchanga!$Q458&amp;")"</f>
        <v>atigaṇḍa  (5.97)</v>
      </c>
      <c r="O458" s="4">
        <f>IF(AND(Panchanga!$P458&lt;28.5,Panchanga!$P458&gt;0.49999),MOD((Panchanga!$P458-0.5)*2,7),MOD((Panchanga!$P458+30-28.5),30)*2+7)</f>
        <v>10.519799999999996</v>
      </c>
      <c r="P458" s="4">
        <f>ROUNDUP(MOD(360+P[Moon]-P[Sun],360)/12,4)</f>
        <v>0.25989999999999996</v>
      </c>
      <c r="Q458" s="4">
        <f>ROUNDUP(MOD(P[Sun]+P[Moon],360)/13.333333333,2)</f>
        <v>5.97</v>
      </c>
      <c r="R458" s="4" t="str">
        <f>SIGN(U459-Panchanga!$U458)*INT(Panchanga!$U458/30+1)&amp;"Ma,"&amp;SIGN(V459-Panchanga!$V458)*INT(Panchanga!$V458/30+1)&amp;"Me,"&amp;SIGN(W459-Panchanga!$W458)*INT(Panchanga!$W458/30+1)&amp;"J, "&amp;SIGN(X459-Panchanga!$X458)*INT(Panchanga!$X458/30+1)&amp;"V,"&amp;SIGN(Y459-Panchanga!$Y458)*INT(Panchanga!$Y458/30+1)&amp;"S,"&amp;INT(Panchanga!$Z458/30+1)&amp;"R"</f>
        <v>11Ma,2Me,-10J, -2V,-10S,3R</v>
      </c>
      <c r="S458" s="4">
        <f t="shared" si="68"/>
        <v>38.204137496209469</v>
      </c>
      <c r="T458" s="4">
        <f t="shared" si="69"/>
        <v>41.322587256997672</v>
      </c>
      <c r="U458" s="4">
        <f>Planet(Panchanga!$E458,4)</f>
        <v>312.54316109577161</v>
      </c>
      <c r="V458" s="4">
        <f>Planet(Panchanga!$E458,2)</f>
        <v>57.149550562108338</v>
      </c>
      <c r="W458" s="4">
        <f>Planet(Panchanga!$E458,5)</f>
        <v>272.99141361781483</v>
      </c>
      <c r="X458" s="4">
        <f>Planet(Panchanga!$E458,3)</f>
        <v>55.819298810278795</v>
      </c>
      <c r="Y458" s="4">
        <f>Planet(Panchanga!$E458,6)</f>
        <v>277.70634858036493</v>
      </c>
      <c r="Z458" s="4">
        <f>Planet(Panchanga!$E458,10)</f>
        <v>66.528947673313297</v>
      </c>
      <c r="AA458" s="4" t="str">
        <f>TEXT(Panchanga!$C458+($C459-Panchanga!$C458)/ABS(IF($P459&lt;1,$P459+30,$P459)-Panchanga!$P458)*(ROUNDUP(Panchanga!$P458,0)-Panchanga!$P458),"hh:mm AM/PM")</f>
        <v>12:15 AM</v>
      </c>
      <c r="AB458" s="4"/>
    </row>
    <row r="459" spans="1:28" x14ac:dyDescent="0.2">
      <c r="A459" s="3">
        <f>A458+1</f>
        <v>43975</v>
      </c>
      <c r="B459" s="3">
        <f t="shared" si="65"/>
        <v>43975.229166666664</v>
      </c>
      <c r="C459" s="15">
        <f t="shared" si="66"/>
        <v>43975.238034453396</v>
      </c>
      <c r="D459" s="15">
        <f t="shared" si="67"/>
        <v>43974.770859698809</v>
      </c>
      <c r="E459" s="17">
        <f>Panchanga!$C459-TimeZone/24</f>
        <v>43975.008867786732</v>
      </c>
      <c r="F459" s="18" t="str">
        <f>INT(P[Sun]/30)&amp;"s"&amp;ROUNDUP(MOD(P[Sun],30),2)</f>
        <v>1s9.17</v>
      </c>
      <c r="G459" s="18" t="str">
        <f>INT(P[Moon]/30)&amp;"s"&amp;ROUNDUP(MOD(P[Moon],30),2)</f>
        <v>1s23.79</v>
      </c>
      <c r="H459" s="14">
        <f t="shared" si="70"/>
        <v>43975.008867786732</v>
      </c>
      <c r="I459" s="4" t="str">
        <f>naks(P[[#This Row],[Moon]])</f>
        <v>Mrigashira</v>
      </c>
      <c r="J459" s="15">
        <f>(C460-P[[#This Row],[SunRise]])/(T460-P[[#This Row],[Moon]])*(13.3333333333333-MOD(P[[#This Row],[Moon]],13.333333333333))+P[[#This Row],[SunRise]]</f>
        <v>43976.256601581801</v>
      </c>
      <c r="K459" s="4" t="str">
        <f>IF(Panchanga!$P459&gt;15,"K","S")&amp;ROUNDUP(MOD(Panchanga!$P459,15),0)&amp;" ("&amp;ROUND(Panchanga!$P459,2)&amp;")"</f>
        <v>S2 (1.22)</v>
      </c>
      <c r="L459" s="4">
        <f>IF(AND(Panchanga!$P459&lt;28.5,Panchanga!$P459&gt;0.49999),MOD((Panchanga!$P459-0.5)*2,7),MOD((Panchanga!$P459+30-28.5),30)*2+7)</f>
        <v>1.4361999999999999</v>
      </c>
      <c r="M459" s="4" t="str">
        <f>CHOOSE(ROUNDUP(Panchanga!$L459,0),"Bhava","Baalava","Kaulava","Taitula","Garija","Vanija","Vishti","Shakuni","Chatushapda","Naaga","Kimstugna")</f>
        <v>Baalava</v>
      </c>
      <c r="N459" s="11" t="str">
        <f>CHOOSE(ROUNDUP(Panchanga!$Q459,0),"viṣkambha","prīti","āyuṣmāna","saubhāgya","śobhana","atigaṇḍa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("&amp;Panchanga!$Q459&amp;")"</f>
        <v>sukarmā  (6.98)</v>
      </c>
      <c r="O459" s="4">
        <f>IF(AND(Panchanga!$P459&lt;28.5,Panchanga!$P459&gt;0.49999),MOD((Panchanga!$P459-0.5)*2,7),MOD((Panchanga!$P459+30-28.5),30)*2+7)</f>
        <v>1.4361999999999999</v>
      </c>
      <c r="P459" s="4">
        <f>ROUNDUP(MOD(360+P[Moon]-P[Sun],360)/12,4)</f>
        <v>1.2181</v>
      </c>
      <c r="Q459" s="4">
        <f>ROUNDUP(MOD(P[Sun]+P[Moon],360)/13.333333333,2)</f>
        <v>6.9799999999999995</v>
      </c>
      <c r="R459" s="4" t="str">
        <f>SIGN(U460-Panchanga!$U459)*INT(Panchanga!$U459/30+1)&amp;"Ma,"&amp;SIGN(V460-Panchanga!$V459)*INT(Panchanga!$V459/30+1)&amp;"Me,"&amp;SIGN(W460-Panchanga!$W459)*INT(Panchanga!$W459/30+1)&amp;"J, "&amp;SIGN(X460-Panchanga!$X459)*INT(Panchanga!$X459/30+1)&amp;"V,"&amp;SIGN(Y460-Panchanga!$Y459)*INT(Panchanga!$Y459/30+1)&amp;"S,"&amp;INT(Panchanga!$Z459/30+1)&amp;"R"</f>
        <v>11Ma,2Me,-10J, -2V,-10S,3R</v>
      </c>
      <c r="S459" s="4">
        <f t="shared" si="68"/>
        <v>39.165478385841922</v>
      </c>
      <c r="T459" s="4">
        <f t="shared" si="69"/>
        <v>53.781940388694061</v>
      </c>
      <c r="U459" s="4">
        <f>Planet(Panchanga!$E459,4)</f>
        <v>313.21727389014666</v>
      </c>
      <c r="V459" s="4">
        <f>Planet(Panchanga!$E459,2)</f>
        <v>58.791066633450683</v>
      </c>
      <c r="W459" s="4">
        <f>Planet(Panchanga!$E459,5)</f>
        <v>272.96320755181915</v>
      </c>
      <c r="X459" s="4">
        <f>Planet(Panchanga!$E459,3)</f>
        <v>55.418359367619793</v>
      </c>
      <c r="Y459" s="4">
        <f>Planet(Panchanga!$E459,6)</f>
        <v>277.68646356269761</v>
      </c>
      <c r="Z459" s="4">
        <f>Planet(Panchanga!$E459,10)</f>
        <v>66.475960082845859</v>
      </c>
      <c r="AA459" s="4" t="str">
        <f>TEXT(Panchanga!$C459+($C460-Panchanga!$C459)/ABS(IF($P460&lt;1,$P460+30,$P460)-Panchanga!$P459)*(ROUNDUP(Panchanga!$P459,0)-Panchanga!$P459),"hh:mm AM/PM")</f>
        <v>12:58 AM</v>
      </c>
      <c r="AB459" s="4"/>
    </row>
    <row r="460" spans="1:28" x14ac:dyDescent="0.2">
      <c r="A460" s="3">
        <f>A459+1</f>
        <v>43976</v>
      </c>
      <c r="B460" s="3">
        <f t="shared" si="65"/>
        <v>43976.229166666664</v>
      </c>
      <c r="C460" s="15">
        <f t="shared" si="66"/>
        <v>43976.23796133852</v>
      </c>
      <c r="D460" s="15">
        <f t="shared" si="67"/>
        <v>43975.771069824739</v>
      </c>
      <c r="E460" s="17">
        <f>Panchanga!$C460-TimeZone/24</f>
        <v>43976.008794671856</v>
      </c>
      <c r="F460" s="18" t="str">
        <f>INT(P[Sun]/30)&amp;"s"&amp;ROUNDUP(MOD(P[Sun],30),2)</f>
        <v>1s10.13</v>
      </c>
      <c r="G460" s="18" t="str">
        <f>INT(P[Moon]/30)&amp;"s"&amp;ROUNDUP(MOD(P[Moon],30),2)</f>
        <v>2s6.44</v>
      </c>
      <c r="H460" s="14">
        <f t="shared" si="70"/>
        <v>43976.008794671856</v>
      </c>
      <c r="I460" s="4" t="str">
        <f>naks(P[[#This Row],[Moon]])</f>
        <v>Mrigashira</v>
      </c>
      <c r="J460" s="15">
        <f>(C461-P[[#This Row],[SunRise]])/(T461-P[[#This Row],[Moon]])*(13.3333333333333-MOD(P[[#This Row],[Moon]],13.333333333333))+P[[#This Row],[SunRise]]</f>
        <v>43976.256301741079</v>
      </c>
      <c r="K460" s="4" t="str">
        <f>IF(Panchanga!$P460&gt;15,"K","S")&amp;ROUNDUP(MOD(Panchanga!$P460,15),0)&amp;" ("&amp;ROUND(Panchanga!$P460,2)&amp;")"</f>
        <v>S3 (2.19)</v>
      </c>
      <c r="L460" s="4">
        <f>IF(AND(Panchanga!$P460&lt;28.5,Panchanga!$P460&gt;0.49999),MOD((Panchanga!$P460-0.5)*2,7),MOD((Panchanga!$P460+30-28.5),30)*2+7)</f>
        <v>3.3842000000000008</v>
      </c>
      <c r="M460" s="4" t="str">
        <f>CHOOSE(ROUNDUP(Panchanga!$L460,0),"Bhava","Baalava","Kaulava","Taitula","Garija","Vanija","Vishti","Shakuni","Chatushapda","Naaga","Kimstugna")</f>
        <v>Taitula</v>
      </c>
      <c r="N460" s="11" t="str">
        <f>CHOOSE(ROUNDUP(Panchanga!$Q460,0),"viṣkambha","prīti","āyuṣmāna","saubhāgya","śobhana","atigaṇḍa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("&amp;Panchanga!$Q460&amp;")"</f>
        <v>dhṛti  (8)</v>
      </c>
      <c r="O460" s="4">
        <f>IF(AND(Panchanga!$P460&lt;28.5,Panchanga!$P460&gt;0.49999),MOD((Panchanga!$P460-0.5)*2,7),MOD((Panchanga!$P460+30-28.5),30)*2+7)</f>
        <v>3.3842000000000008</v>
      </c>
      <c r="P460" s="4">
        <f>ROUNDUP(MOD(360+P[Moon]-P[Sun],360)/12,4)</f>
        <v>2.1921000000000004</v>
      </c>
      <c r="Q460" s="4">
        <f>ROUNDUP(MOD(P[Sun]+P[Moon],360)/13.333333333,2)</f>
        <v>8</v>
      </c>
      <c r="R460" s="4" t="str">
        <f>SIGN(U461-Panchanga!$U460)*INT(Panchanga!$U460/30+1)&amp;"Ma,"&amp;SIGN(V461-Panchanga!$V460)*INT(Panchanga!$V460/30+1)&amp;"Me,"&amp;SIGN(W461-Panchanga!$W460)*INT(Panchanga!$W460/30+1)&amp;"J, "&amp;SIGN(X461-Panchanga!$X460)*INT(Panchanga!$X460/30+1)&amp;"V,"&amp;SIGN(Y461-Panchanga!$Y460)*INT(Panchanga!$Y460/30+1)&amp;"S,"&amp;INT(Panchanga!$Z460/30+1)&amp;"R"</f>
        <v>11Ma,3Me,-10J, -2V,-10S,3R</v>
      </c>
      <c r="S460" s="4">
        <f t="shared" si="68"/>
        <v>40.12645930950174</v>
      </c>
      <c r="T460" s="4">
        <f t="shared" si="69"/>
        <v>66.430870295714229</v>
      </c>
      <c r="U460" s="4">
        <f>Planet(Panchanga!$E460,4)</f>
        <v>313.89025258094716</v>
      </c>
      <c r="V460" s="4">
        <f>Planet(Panchanga!$E460,2)</f>
        <v>60.380566980081575</v>
      </c>
      <c r="W460" s="4">
        <f>Planet(Panchanga!$E460,5)</f>
        <v>272.93188224442309</v>
      </c>
      <c r="X460" s="4">
        <f>Planet(Panchanga!$E460,3)</f>
        <v>54.982766646531552</v>
      </c>
      <c r="Y460" s="4">
        <f>Planet(Panchanga!$E460,6)</f>
        <v>277.66501871726291</v>
      </c>
      <c r="Z460" s="4">
        <f>Planet(Panchanga!$E460,10)</f>
        <v>66.42297196173223</v>
      </c>
      <c r="AA460" s="4" t="str">
        <f>TEXT(Panchanga!$C460+($C461-Panchanga!$C460)/ABS(IF($P461&lt;1,$P461+30,$P461)-Panchanga!$P460)*(ROUNDUP(Panchanga!$P460,0)-Panchanga!$P460),"hh:mm AM/PM")</f>
        <v>01:16 AM</v>
      </c>
      <c r="AB460" s="4"/>
    </row>
    <row r="461" spans="1:28" x14ac:dyDescent="0.2">
      <c r="A461" s="3">
        <f>A460+1</f>
        <v>43977</v>
      </c>
      <c r="B461" s="3">
        <f t="shared" si="65"/>
        <v>43977.229166666664</v>
      </c>
      <c r="C461" s="15">
        <f t="shared" si="66"/>
        <v>43977.237898237225</v>
      </c>
      <c r="D461" s="15">
        <f t="shared" si="67"/>
        <v>43976.771281381647</v>
      </c>
      <c r="E461" s="17">
        <f>Panchanga!$C461-TimeZone/24</f>
        <v>43977.00873157056</v>
      </c>
      <c r="F461" s="18" t="str">
        <f>INT(P[Sun]/30)&amp;"s"&amp;ROUNDUP(MOD(P[Sun],30),2)</f>
        <v>1s11.09</v>
      </c>
      <c r="G461" s="18" t="str">
        <f>INT(P[Moon]/30)&amp;"s"&amp;ROUNDUP(MOD(P[Moon],30),2)</f>
        <v>2s19.29</v>
      </c>
      <c r="H461" s="14">
        <f t="shared" si="70"/>
        <v>43977.00873157056</v>
      </c>
      <c r="I461" s="4" t="str">
        <f>naks(P[[#This Row],[Moon]])</f>
        <v>Ardra</v>
      </c>
      <c r="J461" s="15">
        <f>(C462-P[[#This Row],[SunRise]])/(T462-P[[#This Row],[Moon]])*(13.3333333333333-MOD(P[[#This Row],[Moon]],13.333333333333))+P[[#This Row],[SunRise]]</f>
        <v>43977.292421950056</v>
      </c>
      <c r="K461" s="4" t="str">
        <f>IF(Panchanga!$P461&gt;15,"K","S")&amp;ROUNDUP(MOD(Panchanga!$P461,15),0)&amp;" ("&amp;ROUND(Panchanga!$P461,2)&amp;")"</f>
        <v>S4 (3.18)</v>
      </c>
      <c r="L461" s="4">
        <f>IF(AND(Panchanga!$P461&lt;28.5,Panchanga!$P461&gt;0.49999),MOD((Panchanga!$P461-0.5)*2,7),MOD((Panchanga!$P461+30-28.5),30)*2+7)</f>
        <v>5.3668000000000005</v>
      </c>
      <c r="M461" s="4" t="str">
        <f>CHOOSE(ROUNDUP(Panchanga!$L461,0),"Bhava","Baalava","Kaulava","Taitula","Garija","Vanija","Vishti","Shakuni","Chatushapda","Naaga","Kimstugna")</f>
        <v>Vanija</v>
      </c>
      <c r="N461" s="11" t="str">
        <f>CHOOSE(ROUNDUP(Panchanga!$Q461,0),"viṣkambha","prīti","āyuṣmāna","saubhāgya","śobhana","atigaṇḍa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("&amp;Panchanga!$Q461&amp;")"</f>
        <v>gaṇḍa  (9.03)</v>
      </c>
      <c r="O461" s="4">
        <f>IF(AND(Panchanga!$P461&lt;28.5,Panchanga!$P461&gt;0.49999),MOD((Panchanga!$P461-0.5)*2,7),MOD((Panchanga!$P461+30-28.5),30)*2+7)</f>
        <v>5.3668000000000005</v>
      </c>
      <c r="P461" s="4">
        <f>ROUNDUP(MOD(360+P[Moon]-P[Sun],360)/12,4)</f>
        <v>3.1834000000000002</v>
      </c>
      <c r="Q461" s="4">
        <f>ROUNDUP(MOD(P[Sun]+P[Moon],360)/13.333333333,2)</f>
        <v>9.0299999999999994</v>
      </c>
      <c r="R461" s="4" t="str">
        <f>SIGN(U462-Panchanga!$U461)*INT(Panchanga!$U461/30+1)&amp;"Ma,"&amp;SIGN(V462-Panchanga!$V461)*INT(Panchanga!$V461/30+1)&amp;"Me,"&amp;SIGN(W462-Panchanga!$W461)*INT(Panchanga!$W461/30+1)&amp;"J, "&amp;SIGN(X462-Panchanga!$X461)*INT(Panchanga!$X461/30+1)&amp;"V,"&amp;SIGN(Y462-Panchanga!$Y461)*INT(Panchanga!$Y461/30+1)&amp;"S,"&amp;INT(Panchanga!$Z461/30+1)&amp;"R"</f>
        <v>11Ma,3Me,-10J, -2V,-10S,3R</v>
      </c>
      <c r="S461" s="4">
        <f t="shared" si="68"/>
        <v>41.087072335134927</v>
      </c>
      <c r="T461" s="4">
        <f t="shared" si="69"/>
        <v>79.28672180362355</v>
      </c>
      <c r="U461" s="4">
        <f>Planet(Panchanga!$E461,4)</f>
        <v>314.56206208793873</v>
      </c>
      <c r="V461" s="4">
        <f>Planet(Panchanga!$E461,2)</f>
        <v>61.91731926838456</v>
      </c>
      <c r="W461" s="4">
        <f>Planet(Panchanga!$E461,5)</f>
        <v>272.89745539594401</v>
      </c>
      <c r="X461" s="4">
        <f>Planet(Panchanga!$E461,3)</f>
        <v>54.514427278556127</v>
      </c>
      <c r="Y461" s="4">
        <f>Planet(Panchanga!$E461,6)</f>
        <v>277.64202561928045</v>
      </c>
      <c r="Z461" s="4">
        <f>Planet(Panchanga!$E461,10)</f>
        <v>66.369983309988896</v>
      </c>
      <c r="AA461" s="4" t="str">
        <f>TEXT(Panchanga!$C461+($C462-Panchanga!$C461)/ABS(IF($P462&lt;1,$P462+30,$P462)-Panchanga!$P461)*(ROUNDUP(Panchanga!$P461,0)-Panchanga!$P461),"hh:mm AM/PM")</f>
        <v>01:06 AM</v>
      </c>
      <c r="AB461" s="4"/>
    </row>
    <row r="462" spans="1:28" x14ac:dyDescent="0.2">
      <c r="A462" s="3">
        <f>A461+1</f>
        <v>43978</v>
      </c>
      <c r="B462" s="3">
        <f t="shared" si="65"/>
        <v>43978.229166666664</v>
      </c>
      <c r="C462" s="15">
        <f t="shared" si="66"/>
        <v>43978.237845149044</v>
      </c>
      <c r="D462" s="15">
        <f t="shared" si="67"/>
        <v>43977.77149405102</v>
      </c>
      <c r="E462" s="17">
        <f>Panchanga!$C462-TimeZone/24</f>
        <v>43978.00867848238</v>
      </c>
      <c r="F462" s="18" t="str">
        <f>INT(P[Sun]/30)&amp;"s"&amp;ROUNDUP(MOD(P[Sun],30),2)</f>
        <v>1s12.05</v>
      </c>
      <c r="G462" s="18" t="str">
        <f>INT(P[Moon]/30)&amp;"s"&amp;ROUNDUP(MOD(P[Moon],30),2)</f>
        <v>3s2.37</v>
      </c>
      <c r="H462" s="14">
        <f t="shared" si="70"/>
        <v>43978.00867848238</v>
      </c>
      <c r="I462" s="4" t="str">
        <f>naks(P[[#This Row],[Moon]])</f>
        <v>Punarvasu</v>
      </c>
      <c r="J462" s="15">
        <f>(C463-P[[#This Row],[SunRise]])/(T463-P[[#This Row],[Moon]])*(13.3333333333333-MOD(P[[#This Row],[Moon]],13.333333333333))+P[[#This Row],[SunRise]]</f>
        <v>43978.310282483908</v>
      </c>
      <c r="K462" s="4" t="str">
        <f>IF(Panchanga!$P462&gt;15,"K","S")&amp;ROUNDUP(MOD(Panchanga!$P462,15),0)&amp;" ("&amp;ROUND(Panchanga!$P462,2)&amp;")"</f>
        <v>S5 (4.19)</v>
      </c>
      <c r="L462" s="4">
        <f>IF(AND(Panchanga!$P462&lt;28.5,Panchanga!$P462&gt;0.49999),MOD((Panchanga!$P462-0.5)*2,7),MOD((Panchanga!$P462+30-28.5),30)*2+7)</f>
        <v>0.38679999999999914</v>
      </c>
      <c r="M462" s="4" t="str">
        <f>CHOOSE(ROUNDUP(Panchanga!$L462,0),"Bhava","Baalava","Kaulava","Taitula","Garija","Vanija","Vishti","Shakuni","Chatushapda","Naaga","Kimstugna")</f>
        <v>Bhava</v>
      </c>
      <c r="N462" s="11" t="str">
        <f>CHOOSE(ROUNDUP(Panchanga!$Q462,0),"viṣkambha","prīti","āyuṣmāna","saubhāgya","śobhana","atigaṇḍa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("&amp;Panchanga!$Q462&amp;")"</f>
        <v>vṛddhi  (10.09)</v>
      </c>
      <c r="O462" s="4">
        <f>IF(AND(Panchanga!$P462&lt;28.5,Panchanga!$P462&gt;0.49999),MOD((Panchanga!$P462-0.5)*2,7),MOD((Panchanga!$P462+30-28.5),30)*2+7)</f>
        <v>0.38679999999999914</v>
      </c>
      <c r="P462" s="4">
        <f>ROUNDUP(MOD(360+P[Moon]-P[Sun],360)/12,4)</f>
        <v>4.1933999999999996</v>
      </c>
      <c r="Q462" s="4">
        <f>ROUNDUP(MOD(P[Sun]+P[Moon],360)/13.333333333,2)</f>
        <v>10.09</v>
      </c>
      <c r="R462" s="4" t="str">
        <f>SIGN(U463-Panchanga!$U462)*INT(Panchanga!$U462/30+1)&amp;"Ma,"&amp;SIGN(V463-Panchanga!$V462)*INT(Panchanga!$V462/30+1)&amp;"Me,"&amp;SIGN(W463-Panchanga!$W462)*INT(Panchanga!$W462/30+1)&amp;"J, "&amp;SIGN(X463-Panchanga!$X462)*INT(Panchanga!$X462/30+1)&amp;"V,"&amp;SIGN(Y463-Panchanga!$Y462)*INT(Panchanga!$Y462/30+1)&amp;"S,"&amp;INT(Panchanga!$Z462/30+1)&amp;"R"</f>
        <v>11Ma,3Me,-10J, -2V,-10S,3R</v>
      </c>
      <c r="S462" s="4">
        <f t="shared" si="68"/>
        <v>42.047310211014967</v>
      </c>
      <c r="T462" s="4">
        <f t="shared" si="69"/>
        <v>92.368008691509445</v>
      </c>
      <c r="U462" s="4">
        <f>Planet(Panchanga!$E462,4)</f>
        <v>315.23267008543451</v>
      </c>
      <c r="V462" s="4">
        <f>Planet(Panchanga!$E462,2)</f>
        <v>63.400649246918597</v>
      </c>
      <c r="W462" s="4">
        <f>Planet(Panchanga!$E462,5)</f>
        <v>272.85994715078743</v>
      </c>
      <c r="X462" s="4">
        <f>Planet(Panchanga!$E462,3)</f>
        <v>54.015555393379771</v>
      </c>
      <c r="Y462" s="4">
        <f>Planet(Panchanga!$E462,6)</f>
        <v>277.61749684361922</v>
      </c>
      <c r="Z462" s="4">
        <f>Planet(Panchanga!$E462,10)</f>
        <v>66.316994127615914</v>
      </c>
      <c r="AA462" s="4" t="str">
        <f>TEXT(Panchanga!$C462+($C463-Panchanga!$C462)/ABS(IF($P463&lt;1,$P463+30,$P463)-Panchanga!$P462)*(ROUNDUP(Panchanga!$P462,0)-Panchanga!$P462),"hh:mm AM/PM")</f>
        <v>12:29 AM</v>
      </c>
      <c r="AB462" s="4"/>
    </row>
    <row r="463" spans="1:28" x14ac:dyDescent="0.2">
      <c r="A463" s="3">
        <f>A462+1</f>
        <v>43979</v>
      </c>
      <c r="B463" s="3">
        <f t="shared" si="65"/>
        <v>43979.229166666664</v>
      </c>
      <c r="C463" s="15">
        <f t="shared" si="66"/>
        <v>43979.237801598072</v>
      </c>
      <c r="D463" s="15">
        <f t="shared" si="67"/>
        <v>43978.771707515276</v>
      </c>
      <c r="E463" s="17">
        <f>Panchanga!$C463-TimeZone/24</f>
        <v>43979.008634931408</v>
      </c>
      <c r="F463" s="18" t="str">
        <f>INT(P[Sun]/30)&amp;"s"&amp;ROUNDUP(MOD(P[Sun],30),2)</f>
        <v>1s13.01</v>
      </c>
      <c r="G463" s="18" t="str">
        <f>INT(P[Moon]/30)&amp;"s"&amp;ROUNDUP(MOD(P[Moon],30),2)</f>
        <v>3s15.7</v>
      </c>
      <c r="H463" s="14">
        <f t="shared" si="70"/>
        <v>43979.008634931408</v>
      </c>
      <c r="I463" s="4" t="str">
        <f>naks(P[[#This Row],[Moon]])</f>
        <v>Pushya</v>
      </c>
      <c r="J463" s="15">
        <f>(C464-P[[#This Row],[SunRise]])/(T464-P[[#This Row],[Moon]])*(13.3333333333333-MOD(P[[#This Row],[Moon]],13.333333333333))+P[[#This Row],[SunRise]]</f>
        <v>44384.060850675967</v>
      </c>
      <c r="K463" s="4" t="str">
        <f>IF(Panchanga!$P463&gt;15,"K","S")&amp;ROUNDUP(MOD(Panchanga!$P463,15),0)&amp;" ("&amp;ROUND(Panchanga!$P463,2)&amp;")"</f>
        <v>S6 (5.22)</v>
      </c>
      <c r="L463" s="4">
        <f>IF(AND(Panchanga!$P463&lt;28.5,Panchanga!$P463&gt;0.49999),MOD((Panchanga!$P463-0.5)*2,7),MOD((Panchanga!$P463+30-28.5),30)*2+7)</f>
        <v>2.4477999999999991</v>
      </c>
      <c r="M463" s="4" t="str">
        <f>CHOOSE(ROUNDUP(Panchanga!$L463,0),"Bhava","Baalava","Kaulava","Taitula","Garija","Vanija","Vishti","Shakuni","Chatushapda","Naaga","Kimstugna")</f>
        <v>Kaulava</v>
      </c>
      <c r="N463" s="11" t="str">
        <f>CHOOSE(ROUNDUP(Panchanga!$Q463,0),"viṣkambha","prīti","āyuṣmāna","saubhāgya","śobhana","atigaṇḍa ","sukarmā ","dhṛti ","śūla ","gaṇḍa ","vṛddhi ","dhruva ","vyāghāta","harṣaṇa","vajra","siddhi","vyatipāta","varīyas","parigha","śiva","siddha","sādhya","śubha","śukla","brahma","mahendra","vaidhṛti")&amp;" ("&amp;Panchanga!$Q463&amp;")"</f>
        <v>dhruva  (11.16)</v>
      </c>
      <c r="O463" s="4">
        <f>IF(AND(Panchanga!$P463&lt;28.5,Panchanga!$P463&gt;0.49999),MOD((Panchanga!$P463-0.5)*2,7),MOD((Panchanga!$P463+30-28.5),30)*2+7)</f>
        <v>2.4477999999999991</v>
      </c>
      <c r="P463" s="4">
        <f>ROUNDUP(MOD(360+P[Moon]-P[Sun],360)/12,4)</f>
        <v>5.2238999999999995</v>
      </c>
      <c r="Q463" s="4">
        <f>ROUNDUP(MOD(P[Sun]+P[Moon],360)/13.333333333,2)</f>
        <v>11.16</v>
      </c>
      <c r="R463" s="4" t="str">
        <f>SIGN(U464-Panchanga!$U463)*INT(Panchanga!$U463/30+1)&amp;"Ma,"&amp;SIGN(V464-Panchanga!$V463)*INT(Panchanga!$V463/30+1)&amp;"Me,"&amp;SIGN(W464-Panchanga!$W463)*INT(Panchanga!$W463/30+1)&amp;"J, "&amp;SIGN(X464-Panchanga!$X463)*INT(Panchanga!$X463/30+1)&amp;"V,"&amp;SIGN(Y464-Panchanga!$Y463)*INT(Panchanga!$Y463/30+1)&amp;"S,"&amp;INT(Panchanga!$Z463/30+1)&amp;"R"</f>
        <v>-11Ma,-3Me,-10J, -2V,-10S,3R</v>
      </c>
      <c r="S463" s="4">
        <f t="shared" si="68"/>
        <v>43.007166683833262</v>
      </c>
      <c r="T463" s="4">
        <f t="shared" si="69"/>
        <v>105.69376954081881</v>
      </c>
      <c r="U463" s="4">
        <f>Planet(Panchanga!$E463,4)</f>
        <v>315.90204688101591</v>
      </c>
      <c r="V463" s="4">
        <f>Planet(Panchanga!$E463,2)</f>
        <v>64.829903558677472</v>
      </c>
      <c r="W463" s="4">
        <f>Planet(Panchanga!$E463,5)</f>
        <v>272.81938000196868</v>
      </c>
      <c r="X463" s="4">
        <f>Planet(Panchanga!$E463,3)</f>
        <v>53.48867321407392</v>
      </c>
      <c r="Y463" s="4">
        <f>Planet(Panchanga!$E463,6)</f>
        <v>277.59144591407448</v>
      </c>
      <c r="Z463" s="4">
        <f>Planet(Panchanga!$E463,10)</f>
        <v>66.264004439863982</v>
      </c>
      <c r="AA463" s="4" t="str">
        <f>TEXT(Panchanga!$C463+($C464-Panchanga!$C463)/ABS(IF($P464&lt;1,$P464+30,$P464)-Panchanga!$P463)*(ROUNDUP(Panchanga!$P463,0)-Panchanga!$P463),"hh:mm AM/PM")</f>
        <v>02:35 PM</v>
      </c>
      <c r="AB463" s="4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/>
  <dimension ref="A1:G130"/>
  <sheetViews>
    <sheetView view="pageLayout" zoomScale="44" zoomScaleNormal="39" zoomScaleSheetLayoutView="40" zoomScalePageLayoutView="44" workbookViewId="0">
      <selection activeCell="D14" sqref="D14"/>
    </sheetView>
  </sheetViews>
  <sheetFormatPr defaultColWidth="11.7109375" defaultRowHeight="39" customHeight="1" x14ac:dyDescent="0.35"/>
  <cols>
    <col min="1" max="1" width="46.140625" style="20" customWidth="1"/>
    <col min="2" max="6" width="46.140625" style="19" customWidth="1"/>
    <col min="7" max="7" width="46.140625" style="28" customWidth="1"/>
    <col min="8" max="8" width="5.5703125" style="19" customWidth="1"/>
    <col min="9" max="16384" width="11.7109375" style="19"/>
  </cols>
  <sheetData>
    <row r="1" spans="1:7" s="22" customFormat="1" ht="173.25" customHeight="1" thickBot="1" x14ac:dyDescent="1.25">
      <c r="A1" s="79">
        <f>Panchanga!A9</f>
        <v>43525</v>
      </c>
      <c r="B1" s="80"/>
      <c r="C1" s="80"/>
      <c r="D1" s="80"/>
      <c r="E1" s="80"/>
      <c r="F1" s="80"/>
      <c r="G1" s="81"/>
    </row>
    <row r="2" spans="1:7" s="24" customFormat="1" ht="45.75" thickBot="1" x14ac:dyDescent="0.5">
      <c r="A2" s="57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9">
        <v>7</v>
      </c>
    </row>
    <row r="3" spans="1:7" s="22" customFormat="1" ht="45" x14ac:dyDescent="0.5">
      <c r="A3" s="60">
        <f>CalMonth-WEEKDAY(CalMonth)+1</f>
        <v>43520</v>
      </c>
      <c r="B3" s="61">
        <f t="shared" ref="B3:G3" si="0">A3+1</f>
        <v>43521</v>
      </c>
      <c r="C3" s="61">
        <f t="shared" si="0"/>
        <v>43522</v>
      </c>
      <c r="D3" s="61">
        <f t="shared" si="0"/>
        <v>43523</v>
      </c>
      <c r="E3" s="62">
        <f t="shared" si="0"/>
        <v>43524</v>
      </c>
      <c r="F3" s="61">
        <f t="shared" si="0"/>
        <v>43525</v>
      </c>
      <c r="G3" s="63">
        <f t="shared" si="0"/>
        <v>43526</v>
      </c>
    </row>
    <row r="4" spans="1:7" s="21" customFormat="1" ht="36" customHeight="1" x14ac:dyDescent="0.5">
      <c r="A4" s="29" t="str">
        <f>TEXT(VLOOKUP(A3,Panchanga!$A$3:$AA$463,3,TRUE),"HH:MM AM/PM")&amp;" - "&amp;TEXT(VLOOKUP(A3,Panchanga!$A$3:$AA$463,4,TRUE),"HH:MM AM/PM")</f>
        <v>06:29 AM - 06:16 PM</v>
      </c>
      <c r="B4" s="30" t="str">
        <f>TEXT(VLOOKUP(B3,Panchanga!$A$3:$AA$463,3,TRUE),"HH:MM AM/PM")&amp;" - "&amp;TEXT(VLOOKUP(B3,Panchanga!$A$3:$AA$463,4,TRUE),"HH:MM AM/PM")</f>
        <v>06:29 AM - 06:16 PM</v>
      </c>
      <c r="C4" s="30" t="str">
        <f>TEXT(VLOOKUP(C3,Panchanga!$A$3:$AA$463,3,TRUE),"HH:MM AM/PM")&amp;" - "&amp;TEXT(VLOOKUP(C3,Panchanga!$A$3:$AA$463,4,TRUE),"HH:MM AM/PM")</f>
        <v>06:28 AM - 06:16 PM</v>
      </c>
      <c r="D4" s="30" t="str">
        <f>TEXT(VLOOKUP(D3,Panchanga!$A$3:$AA$463,3,TRUE),"HH:MM AM/PM")&amp;" - "&amp;TEXT(VLOOKUP(D3,Panchanga!$A$3:$AA$463,4,TRUE),"HH:MM AM/PM")</f>
        <v>06:28 AM - 06:16 PM</v>
      </c>
      <c r="E4" s="51" t="str">
        <f>TEXT(VLOOKUP(E3,Panchanga!$A$3:$AA$463,3,TRUE),"HH:MM AM/PM")&amp;" - "&amp;TEXT(VLOOKUP(E3,Panchanga!$A$3:$AA$463,4,TRUE),"HH:MM AM/PM")</f>
        <v>06:27 AM - 06:16 PM</v>
      </c>
      <c r="F4" s="30" t="str">
        <f>TEXT(VLOOKUP(F3,Panchanga!$A$3:$AA$463,3,TRUE),"HH:MM AM/PM")&amp;" - "&amp;TEXT(VLOOKUP(F3,Panchanga!$A$3:$AA$463,4,TRUE),"HH:MM AM/PM")</f>
        <v>06:27 AM - 06:17 PM</v>
      </c>
      <c r="G4" s="54" t="str">
        <f>TEXT(VLOOKUP(G3,Panchanga!$A$3:$AA$463,3,TRUE),"HH:MM AM/PM")&amp;" - "&amp;TEXT(VLOOKUP(G3,Panchanga!$A$3:$AA$463,4,TRUE),"HH:MM AM/PM")</f>
        <v>06:26 AM - 06:17 PM</v>
      </c>
    </row>
    <row r="5" spans="1:7" s="21" customFormat="1" ht="36" customHeight="1" x14ac:dyDescent="0.5">
      <c r="A5" s="32" t="str">
        <f>"Su="&amp;VLOOKUP(A3,Panchanga!$A$3:$AA$463,6,TRUE)&amp;",Mo="&amp;VLOOKUP(A3,Panchanga!$A$3:$AA$463,7,TRUE)</f>
        <v>Su=10s11,Mo=6s11.15</v>
      </c>
      <c r="B5" s="33" t="str">
        <f>"Su="&amp;VLOOKUP(B3,Panchanga!$A$3:$AA$463,6,TRUE)&amp;",Mo="&amp;VLOOKUP(B3,Panchanga!$A$3:$AA$463,7,TRUE)</f>
        <v>Su=10s12.01,Mo=6s24.74</v>
      </c>
      <c r="C5" s="33" t="str">
        <f>"Su="&amp;VLOOKUP(C3,Panchanga!$A$3:$AA$463,6,TRUE)&amp;",Mo="&amp;VLOOKUP(C3,Panchanga!$A$3:$AA$463,7,TRUE)</f>
        <v>Su=10s13.01,Mo=7s7.86</v>
      </c>
      <c r="D5" s="33" t="str">
        <f>"Su="&amp;VLOOKUP(D3,Panchanga!$A$3:$AA$463,6,TRUE)&amp;",Mo="&amp;VLOOKUP(D3,Panchanga!$A$3:$AA$463,7,TRUE)</f>
        <v>Su=10s14.02,Mo=7s20.56</v>
      </c>
      <c r="E5" s="52" t="str">
        <f>"Su="&amp;VLOOKUP(E3,Panchanga!$A$3:$AA$463,6,TRUE)&amp;",Mo="&amp;VLOOKUP(E3,Panchanga!$A$3:$AA$463,7,TRUE)</f>
        <v>Su=10s15.02,Mo=8s2.92</v>
      </c>
      <c r="F5" s="33" t="str">
        <f>"Su="&amp;VLOOKUP(F3,Panchanga!$A$3:$AA$463,6,TRUE)&amp;",Mo="&amp;VLOOKUP(F3,Panchanga!$A$3:$AA$463,7,TRUE)</f>
        <v>Su=10s16.03,Mo=8s15.02</v>
      </c>
      <c r="G5" s="55" t="str">
        <f>"Su="&amp;VLOOKUP(G3,Panchanga!$A$3:$AA$463,6,TRUE)&amp;",Mo="&amp;VLOOKUP(G3,Panchanga!$A$3:$AA$463,7,TRUE)</f>
        <v>Su=10s17.03,Mo=8s26.94</v>
      </c>
    </row>
    <row r="6" spans="1:7" s="21" customFormat="1" ht="36" customHeight="1" x14ac:dyDescent="0.5">
      <c r="A6" s="35" t="str">
        <f>VLOOKUP(A3,Panchanga!$A$3:$AA$463,9,TRUE)&amp;"-" &amp; TEXT(VLOOKUP(A3,Panchanga!$A$3:$AA$463,10,TRUE)," HH:MM AM/PM")</f>
        <v>Swati- 10:07 PM</v>
      </c>
      <c r="B6" s="36" t="str">
        <f>VLOOKUP(B3,Panchanga!$A$3:$AA$463,9,TRUE)&amp;"-" &amp; TEXT(VLOOKUP(B3,Panchanga!$A$3:$AA$463,10,TRUE)," HH:MM AM/PM")</f>
        <v>Visakha- 10:12 PM</v>
      </c>
      <c r="C6" s="36" t="str">
        <f>VLOOKUP(C3,Panchanga!$A$3:$AA$463,9,TRUE)&amp;"-" &amp; TEXT(VLOOKUP(C3,Panchanga!$A$3:$AA$463,10,TRUE)," HH:MM AM/PM")</f>
        <v>Anuradha- 11:07 PM</v>
      </c>
      <c r="D6" s="36" t="str">
        <f>VLOOKUP(D3,Panchanga!$A$3:$AA$463,9,TRUE)&amp;"-" &amp; TEXT(VLOOKUP(D3,Panchanga!$A$3:$AA$463,10,TRUE)," HH:MM AM/PM")</f>
        <v>Jyestha- 12:48 AM</v>
      </c>
      <c r="E6" s="53" t="str">
        <f>VLOOKUP(E3,Panchanga!$A$3:$AA$463,9,TRUE)&amp;"-" &amp; TEXT(VLOOKUP(E3,Panchanga!$A$3:$AA$463,10,TRUE)," HH:MM AM/PM")</f>
        <v>Moola- 03:07 AM</v>
      </c>
      <c r="F6" s="36" t="str">
        <f>VLOOKUP(F3,Panchanga!$A$3:$AA$463,9,TRUE)&amp;"-" &amp; TEXT(VLOOKUP(F3,Panchanga!$A$3:$AA$463,10,TRUE)," HH:MM AM/PM")</f>
        <v>Purva Asadha- 05:54 AM</v>
      </c>
      <c r="G6" s="56" t="str">
        <f>VLOOKUP(G3,Panchanga!$A$3:$AA$463,9,TRUE)&amp;"-" &amp; TEXT(VLOOKUP(G3,Panchanga!$A$3:$AA$463,10,TRUE)," HH:MM AM/PM")</f>
        <v>Uttara Asadha- 08:58 AM</v>
      </c>
    </row>
    <row r="7" spans="1:7" s="21" customFormat="1" ht="36" customHeight="1" x14ac:dyDescent="0.5">
      <c r="A7" s="35" t="str">
        <f>VLOOKUP(A3,Panchanga!$A$3:$AA$463,11,TRUE)&amp;" " &amp;VLOOKUP(A3,Panchanga!$A$3:$AA$463,27,TRUE)</f>
        <v>K6 (20.01) 05:05 AM</v>
      </c>
      <c r="B7" s="36" t="str">
        <f>VLOOKUP(B3,Panchanga!$A$3:$AA$463,11,TRUE)&amp;" " &amp;VLOOKUP(B3,Panchanga!$A$3:$AA$463,27,TRUE)</f>
        <v>K7 (21.06) 04:48 AM</v>
      </c>
      <c r="C7" s="36" t="str">
        <f>VLOOKUP(C3,Panchanga!$A$3:$AA$463,11,TRUE)&amp;" " &amp;VLOOKUP(C3,Panchanga!$A$3:$AA$463,27,TRUE)</f>
        <v>K8 (22.07) 05:21 AM</v>
      </c>
      <c r="D7" s="36" t="str">
        <f>VLOOKUP(D3,Panchanga!$A$3:$AA$463,11,TRUE)&amp;" " &amp;VLOOKUP(D3,Panchanga!$A$3:$AA$463,27,TRUE)</f>
        <v>K9 (23.05) 06:40 AM</v>
      </c>
      <c r="E7" s="53" t="str">
        <f>VLOOKUP(E3,Panchanga!$A$3:$AA$463,11,TRUE)&amp;" " &amp;VLOOKUP(E3,Panchanga!$A$3:$AA$463,27,TRUE)</f>
        <v>K9 (23.99) 06:40 AM</v>
      </c>
      <c r="F7" s="36" t="str">
        <f>VLOOKUP(F3,Panchanga!$A$3:$AA$463,11,TRUE)&amp;" " &amp;VLOOKUP(F3,Panchanga!$A$3:$AA$463,27,TRUE)</f>
        <v>K10 (24.92) 08:39 AM</v>
      </c>
      <c r="G7" s="56" t="str">
        <f>VLOOKUP(G3,Panchanga!$A$3:$AA$463,11,TRUE)&amp;" " &amp;VLOOKUP(G3,Panchanga!$A$3:$AA$463,27,TRUE)</f>
        <v>K11 (25.83) 11:05 AM</v>
      </c>
    </row>
    <row r="8" spans="1:7" s="21" customFormat="1" ht="36" customHeight="1" x14ac:dyDescent="0.5">
      <c r="A8" s="38" t="str">
        <f>VLOOKUP(A3,Panchanga!$A$3:$AA$463,13,TRUE)</f>
        <v>Garija</v>
      </c>
      <c r="B8" s="39" t="str">
        <f>VLOOKUP(B3,Panchanga!$A$3:$AA$463,13,TRUE)</f>
        <v>Vishti</v>
      </c>
      <c r="C8" s="39" t="str">
        <f>VLOOKUP(C3,Panchanga!$A$3:$AA$463,13,TRUE)</f>
        <v>Baalava</v>
      </c>
      <c r="D8" s="39" t="str">
        <f>VLOOKUP(D3,Panchanga!$A$3:$AA$463,13,TRUE)</f>
        <v>Taitula</v>
      </c>
      <c r="E8" s="48" t="str">
        <f>VLOOKUP(E3,Panchanga!$A$3:$AA$463,13,TRUE)</f>
        <v>Garija</v>
      </c>
      <c r="F8" s="39" t="str">
        <f>VLOOKUP(F3,Panchanga!$A$3:$AA$463,13,TRUE)</f>
        <v>Vishti</v>
      </c>
      <c r="G8" s="49" t="str">
        <f>VLOOKUP(G3,Panchanga!$A$3:$AA$463,13,TRUE)</f>
        <v>Baalava</v>
      </c>
    </row>
    <row r="9" spans="1:7" s="21" customFormat="1" ht="36" customHeight="1" x14ac:dyDescent="0.5">
      <c r="A9" s="38" t="str">
        <f>VLOOKUP(A3,Panchanga!$A$3:$AA$463,14,TRUE)</f>
        <v>vṛddhi  (10.67)</v>
      </c>
      <c r="B9" s="39" t="str">
        <f>VLOOKUP(B3,Panchanga!$A$3:$AA$463,14,TRUE)</f>
        <v>dhruva  (11.76)</v>
      </c>
      <c r="C9" s="39" t="str">
        <f>VLOOKUP(C3,Panchanga!$A$3:$AA$463,14,TRUE)</f>
        <v>vyāghāta (12.82)</v>
      </c>
      <c r="D9" s="39" t="str">
        <f>VLOOKUP(D3,Panchanga!$A$3:$AA$463,14,TRUE)</f>
        <v>harṣaṇa (13.85)</v>
      </c>
      <c r="E9" s="48" t="str">
        <f>VLOOKUP(E3,Panchanga!$A$3:$AA$463,14,TRUE)</f>
        <v>vajra (14.85)</v>
      </c>
      <c r="F9" s="39" t="str">
        <f>VLOOKUP(F3,Panchanga!$A$3:$AA$463,14,TRUE)</f>
        <v>siddhi (15.83)</v>
      </c>
      <c r="G9" s="49" t="str">
        <f>VLOOKUP(G3,Panchanga!$A$3:$AA$463,14,TRUE)</f>
        <v>vyatipāta (16.8)</v>
      </c>
    </row>
    <row r="10" spans="1:7" s="50" customFormat="1" ht="36" customHeight="1" x14ac:dyDescent="0.25">
      <c r="A10" s="74" t="str">
        <f>VLOOKUP(A3,Panchanga!$A$3:$AA$463,18,TRUE)</f>
        <v>1Ma,11Me,8J, 9V,9S,4R</v>
      </c>
      <c r="B10" s="70" t="str">
        <f>VLOOKUP(B3,Panchanga!$A$3:$AA$463,18,TRUE)</f>
        <v>1Ma,11Me,8J, 10V,9S,4R</v>
      </c>
      <c r="C10" s="70" t="str">
        <f>VLOOKUP(C3,Panchanga!$A$3:$AA$463,18,TRUE)</f>
        <v>1Ma,12Me,8J, 10V,9S,4R</v>
      </c>
      <c r="D10" s="70" t="str">
        <f>VLOOKUP(D3,Panchanga!$A$3:$AA$463,18,TRUE)</f>
        <v>1Ma,12Me,8J, 10V,9S,4R</v>
      </c>
      <c r="E10" s="77" t="str">
        <f>VLOOKUP(E3,Panchanga!$A$3:$AA$463,18,TRUE)</f>
        <v>1Ma,12Me,8J, 10V,9S,4R</v>
      </c>
      <c r="F10" s="70" t="str">
        <f>VLOOKUP(F3,Panchanga!$A$3:$AA$463,18,TRUE)</f>
        <v>1Ma,12Me,8J, 10V,9S,4R</v>
      </c>
      <c r="G10" s="75" t="str">
        <f>VLOOKUP(G3,Panchanga!$A$3:$AA$463,18,TRUE)</f>
        <v>1Ma,12Me,8J, 10V,9S,4R</v>
      </c>
    </row>
    <row r="11" spans="1:7" s="50" customFormat="1" ht="36" customHeight="1" x14ac:dyDescent="0.25">
      <c r="A11" s="74"/>
      <c r="B11" s="71"/>
      <c r="C11" s="71"/>
      <c r="D11" s="71"/>
      <c r="E11" s="78"/>
      <c r="F11" s="71"/>
      <c r="G11" s="76"/>
    </row>
    <row r="12" spans="1:7" ht="14.25" customHeight="1" thickBot="1" x14ac:dyDescent="0.55000000000000004">
      <c r="A12" s="46"/>
      <c r="B12" s="47"/>
      <c r="C12" s="47"/>
      <c r="D12" s="47"/>
      <c r="E12" s="41"/>
      <c r="F12" s="47"/>
      <c r="G12" s="42"/>
    </row>
    <row r="13" spans="1:7" s="22" customFormat="1" ht="45" x14ac:dyDescent="0.5">
      <c r="A13" s="60">
        <f>G3+1</f>
        <v>43527</v>
      </c>
      <c r="B13" s="61">
        <f t="shared" ref="B13:G13" si="1">A13+1</f>
        <v>43528</v>
      </c>
      <c r="C13" s="61">
        <f t="shared" si="1"/>
        <v>43529</v>
      </c>
      <c r="D13" s="61">
        <f>C13+1</f>
        <v>43530</v>
      </c>
      <c r="E13" s="62">
        <f t="shared" si="1"/>
        <v>43531</v>
      </c>
      <c r="F13" s="61">
        <f t="shared" si="1"/>
        <v>43532</v>
      </c>
      <c r="G13" s="63">
        <f t="shared" si="1"/>
        <v>43533</v>
      </c>
    </row>
    <row r="14" spans="1:7" s="21" customFormat="1" ht="36" customHeight="1" x14ac:dyDescent="0.5">
      <c r="A14" s="29" t="str">
        <f>TEXT(VLOOKUP(A13,Panchanga!$A$3:$AA$463,3,TRUE),"HH:MM AM/PM")&amp;" - "&amp;TEXT(VLOOKUP(A13,Panchanga!$A$3:$AA$463,4,TRUE),"HH:MM AM/PM")</f>
        <v>06:25 AM - 06:17 PM</v>
      </c>
      <c r="B14" s="30" t="str">
        <f>TEXT(VLOOKUP(B13,Panchanga!$A$3:$AA$463,3,TRUE),"HH:MM AM/PM")&amp;" - "&amp;TEXT(VLOOKUP(B13,Panchanga!$A$3:$AA$463,4,TRUE),"HH:MM AM/PM")</f>
        <v>06:25 AM - 06:17 PM</v>
      </c>
      <c r="C14" s="30" t="str">
        <f>TEXT(VLOOKUP(C13,Panchanga!$A$3:$AA$463,3,TRUE),"HH:MM AM/PM")&amp;" - "&amp;TEXT(VLOOKUP(C13,Panchanga!$A$3:$AA$463,4,TRUE),"HH:MM AM/PM")</f>
        <v>06:24 AM - 06:17 PM</v>
      </c>
      <c r="D14" s="30" t="str">
        <f>TEXT(VLOOKUP(D13,Panchanga!$A$3:$AA$463,3,TRUE),"HH:MM AM/PM")&amp;" - "&amp;TEXT(VLOOKUP(D13,Panchanga!$A$3:$AA$463,4,TRUE),"HH:MM AM/PM")</f>
        <v>06:24 AM - 06:17 PM</v>
      </c>
      <c r="E14" s="51" t="str">
        <f>TEXT(VLOOKUP(E13,Panchanga!$A$3:$AA$463,3,TRUE),"HH:MM AM/PM")&amp;" - "&amp;TEXT(VLOOKUP(E13,Panchanga!$A$3:$AA$463,4,TRUE),"HH:MM AM/PM")</f>
        <v>06:23 AM - 06:18 PM</v>
      </c>
      <c r="F14" s="30" t="str">
        <f>TEXT(VLOOKUP(F13,Panchanga!$A$3:$AA$463,3,TRUE),"HH:MM AM/PM")&amp;" - "&amp;TEXT(VLOOKUP(F13,Panchanga!$A$3:$AA$463,4,TRUE),"HH:MM AM/PM")</f>
        <v>06:22 AM - 06:18 PM</v>
      </c>
      <c r="G14" s="54" t="str">
        <f>TEXT(VLOOKUP(G13,Panchanga!$A$3:$AA$463,3,TRUE),"HH:MM AM/PM")&amp;" - "&amp;TEXT(VLOOKUP(G13,Panchanga!$A$3:$AA$463,4,TRUE),"HH:MM AM/PM")</f>
        <v>06:22 AM - 06:18 PM</v>
      </c>
    </row>
    <row r="15" spans="1:7" s="21" customFormat="1" ht="36" customHeight="1" x14ac:dyDescent="0.5">
      <c r="A15" s="32" t="str">
        <f>"Su="&amp;VLOOKUP(A13,Panchanga!$A$3:$AA$463,6,TRUE)&amp;",Mo="&amp;VLOOKUP(A13,Panchanga!$A$3:$AA$463,7,TRUE)</f>
        <v>Su=10s18.03,Mo=9s8.75</v>
      </c>
      <c r="B15" s="33" t="str">
        <f>"Su="&amp;VLOOKUP(B13,Panchanga!$A$3:$AA$463,6,TRUE)&amp;",Mo="&amp;VLOOKUP(B13,Panchanga!$A$3:$AA$463,7,TRUE)</f>
        <v>Su=10s19.04,Mo=9s20.52</v>
      </c>
      <c r="C15" s="33" t="str">
        <f>"Su="&amp;VLOOKUP(C13,Panchanga!$A$3:$AA$463,6,TRUE)&amp;",Mo="&amp;VLOOKUP(C13,Panchanga!$A$3:$AA$463,7,TRUE)</f>
        <v>Su=10s20.04,Mo=10s2.31</v>
      </c>
      <c r="D15" s="33" t="str">
        <f>"Su="&amp;VLOOKUP(D13,Panchanga!$A$3:$AA$463,6,TRUE)&amp;",Mo="&amp;VLOOKUP(D13,Panchanga!$A$3:$AA$463,7,TRUE)</f>
        <v>Su=10s21.04,Mo=10s14.15</v>
      </c>
      <c r="E15" s="52" t="str">
        <f>"Su="&amp;VLOOKUP(E13,Panchanga!$A$3:$AA$463,6,TRUE)&amp;",Mo="&amp;VLOOKUP(E13,Panchanga!$A$3:$AA$463,7,TRUE)</f>
        <v>Su=10s22.04,Mo=10s26.08</v>
      </c>
      <c r="F15" s="33" t="str">
        <f>"Su="&amp;VLOOKUP(F13,Panchanga!$A$3:$AA$463,6,TRUE)&amp;",Mo="&amp;VLOOKUP(F13,Panchanga!$A$3:$AA$463,7,TRUE)</f>
        <v>Su=10s23.04,Mo=11s8.12</v>
      </c>
      <c r="G15" s="55" t="str">
        <f>"Su="&amp;VLOOKUP(G13,Panchanga!$A$3:$AA$463,6,TRUE)&amp;",Mo="&amp;VLOOKUP(G13,Panchanga!$A$3:$AA$463,7,TRUE)</f>
        <v>Su=10s24.04,Mo=11s20.29</v>
      </c>
    </row>
    <row r="16" spans="1:7" s="21" customFormat="1" ht="36" customHeight="1" x14ac:dyDescent="0.5">
      <c r="A16" s="35" t="str">
        <f>VLOOKUP(A13,Panchanga!$A$3:$AA$463,9,TRUE)&amp;"-" &amp; TEXT(VLOOKUP(A13,Panchanga!$A$3:$AA$463,10,TRUE)," HH:MM AM/PM")</f>
        <v>Uttara Asadha- 08:59 AM</v>
      </c>
      <c r="B16" s="36" t="str">
        <f>VLOOKUP(B13,Panchanga!$A$3:$AA$463,9,TRUE)&amp;"-" &amp; TEXT(VLOOKUP(B13,Panchanga!$A$3:$AA$463,10,TRUE)," HH:MM AM/PM")</f>
        <v>Sravana- 12:09 PM</v>
      </c>
      <c r="C16" s="36" t="str">
        <f>VLOOKUP(C13,Panchanga!$A$3:$AA$463,9,TRUE)&amp;"-" &amp; TEXT(VLOOKUP(C13,Panchanga!$A$3:$AA$463,10,TRUE)," HH:MM AM/PM")</f>
        <v>Dhanistha- 03:15 PM</v>
      </c>
      <c r="D16" s="36" t="str">
        <f>VLOOKUP(D13,Panchanga!$A$3:$AA$463,9,TRUE)&amp;"-" &amp; TEXT(VLOOKUP(D13,Panchanga!$A$3:$AA$463,10,TRUE)," HH:MM AM/PM")</f>
        <v>Satabhisaj- 06:10 PM</v>
      </c>
      <c r="E16" s="53" t="str">
        <f>VLOOKUP(E13,Panchanga!$A$3:$AA$463,9,TRUE)&amp;"-" &amp; TEXT(VLOOKUP(E13,Panchanga!$A$3:$AA$463,10,TRUE)," HH:MM AM/PM")</f>
        <v>Purva Bhadrapada- 08:51 PM</v>
      </c>
      <c r="F16" s="36" t="str">
        <f>VLOOKUP(F13,Panchanga!$A$3:$AA$463,9,TRUE)&amp;"-" &amp; TEXT(VLOOKUP(F13,Panchanga!$A$3:$AA$463,10,TRUE)," HH:MM AM/PM")</f>
        <v>Uttara Bhadrapada- 11:14 PM</v>
      </c>
      <c r="G16" s="56" t="str">
        <f>VLOOKUP(G13,Panchanga!$A$3:$AA$463,9,TRUE)&amp;"-" &amp; TEXT(VLOOKUP(G13,Panchanga!$A$3:$AA$463,10,TRUE)," HH:MM AM/PM")</f>
        <v>Revati- 05:42 AM</v>
      </c>
    </row>
    <row r="17" spans="1:7" s="21" customFormat="1" ht="36" customHeight="1" x14ac:dyDescent="0.5">
      <c r="A17" s="35" t="str">
        <f>VLOOKUP(A13,Panchanga!$A$3:$AA$463,11,TRUE)&amp;" " &amp;VLOOKUP(A13,Panchanga!$A$3:$AA$463,27,TRUE)</f>
        <v>K12 (26.73) 01:44 PM</v>
      </c>
      <c r="B17" s="36" t="str">
        <f>VLOOKUP(B13,Panchanga!$A$3:$AA$463,11,TRUE)&amp;" " &amp;VLOOKUP(B13,Panchanga!$A$3:$AA$463,27,TRUE)</f>
        <v>K13 (27.62) 04:27 PM</v>
      </c>
      <c r="C17" s="36" t="str">
        <f>VLOOKUP(C13,Panchanga!$A$3:$AA$463,11,TRUE)&amp;" " &amp;VLOOKUP(C13,Panchanga!$A$3:$AA$463,27,TRUE)</f>
        <v>K14 (28.52) 07:05 PM</v>
      </c>
      <c r="D17" s="36" t="str">
        <f>VLOOKUP(D13,Panchanga!$A$3:$AA$463,11,TRUE)&amp;" " &amp;VLOOKUP(D13,Panchanga!$A$3:$AA$463,27,TRUE)</f>
        <v>K15 (29.43) 09:32 PM</v>
      </c>
      <c r="E17" s="53" t="str">
        <f>VLOOKUP(E13,Panchanga!$A$3:$AA$463,11,TRUE)&amp;" " &amp;VLOOKUP(E13,Panchanga!$A$3:$AA$463,27,TRUE)</f>
        <v>S1 (0.34) 11:42 PM</v>
      </c>
      <c r="F17" s="36" t="str">
        <f>VLOOKUP(F13,Panchanga!$A$3:$AA$463,11,TRUE)&amp;" " &amp;VLOOKUP(F13,Panchanga!$A$3:$AA$463,27,TRUE)</f>
        <v>S2 (1.26) 01:32 AM</v>
      </c>
      <c r="G17" s="56" t="str">
        <f>VLOOKUP(G13,Panchanga!$A$3:$AA$463,11,TRUE)&amp;" " &amp;VLOOKUP(G13,Panchanga!$A$3:$AA$463,27,TRUE)</f>
        <v>S3 (2.19) 03:01 AM</v>
      </c>
    </row>
    <row r="18" spans="1:7" s="21" customFormat="1" ht="36" customHeight="1" x14ac:dyDescent="0.5">
      <c r="A18" s="38" t="str">
        <f>VLOOKUP(A13,Panchanga!$A$3:$AA$463,13,TRUE)</f>
        <v>Taitula</v>
      </c>
      <c r="B18" s="39" t="str">
        <f>VLOOKUP(B13,Panchanga!$A$3:$AA$463,13,TRUE)</f>
        <v>Vanija</v>
      </c>
      <c r="C18" s="39" t="str">
        <f>VLOOKUP(C13,Panchanga!$A$3:$AA$463,13,TRUE)</f>
        <v>Shakuni</v>
      </c>
      <c r="D18" s="39" t="str">
        <f>VLOOKUP(D13,Panchanga!$A$3:$AA$463,13,TRUE)</f>
        <v>Chatushapda</v>
      </c>
      <c r="E18" s="48" t="str">
        <f>VLOOKUP(E13,Panchanga!$A$3:$AA$463,13,TRUE)</f>
        <v>Kimstugna</v>
      </c>
      <c r="F18" s="39" t="str">
        <f>VLOOKUP(F13,Panchanga!$A$3:$AA$463,13,TRUE)</f>
        <v>Baalava</v>
      </c>
      <c r="G18" s="49" t="str">
        <f>VLOOKUP(G13,Panchanga!$A$3:$AA$463,13,TRUE)</f>
        <v>Taitula</v>
      </c>
    </row>
    <row r="19" spans="1:7" s="21" customFormat="1" ht="36" customHeight="1" x14ac:dyDescent="0.5">
      <c r="A19" s="38" t="str">
        <f>VLOOKUP(A13,Panchanga!$A$3:$AA$463,14,TRUE)</f>
        <v>varīyas (17.76)</v>
      </c>
      <c r="B19" s="39" t="str">
        <f>VLOOKUP(B13,Panchanga!$A$3:$AA$463,14,TRUE)</f>
        <v>parigha (18.72)</v>
      </c>
      <c r="C19" s="39" t="str">
        <f>VLOOKUP(C13,Panchanga!$A$3:$AA$463,14,TRUE)</f>
        <v>śiva (19.68)</v>
      </c>
      <c r="D19" s="39" t="str">
        <f>VLOOKUP(D13,Panchanga!$A$3:$AA$463,14,TRUE)</f>
        <v>siddha (20.64)</v>
      </c>
      <c r="E19" s="48" t="str">
        <f>VLOOKUP(E13,Panchanga!$A$3:$AA$463,14,TRUE)</f>
        <v>sādhya (21.61)</v>
      </c>
      <c r="F19" s="39" t="str">
        <f>VLOOKUP(F13,Panchanga!$A$3:$AA$463,14,TRUE)</f>
        <v>śubha (22.59)</v>
      </c>
      <c r="G19" s="49" t="str">
        <f>VLOOKUP(G13,Panchanga!$A$3:$AA$463,14,TRUE)</f>
        <v>śukla (23.58)</v>
      </c>
    </row>
    <row r="20" spans="1:7" s="21" customFormat="1" ht="36" customHeight="1" x14ac:dyDescent="0.25">
      <c r="A20" s="74" t="str">
        <f>VLOOKUP(A13,Panchanga!$A$3:$AA$463,18,TRUE)</f>
        <v>1Ma,12Me,8J, 10V,9S,4R</v>
      </c>
      <c r="B20" s="70" t="str">
        <f>VLOOKUP(B13,Panchanga!$A$3:$AA$463,18,TRUE)</f>
        <v>1Ma,12Me,8J, 10V,9S,4R</v>
      </c>
      <c r="C20" s="70" t="str">
        <f>VLOOKUP(C13,Panchanga!$A$3:$AA$463,18,TRUE)</f>
        <v>1Ma,12Me,8J, 10V,9S,4R</v>
      </c>
      <c r="D20" s="70" t="str">
        <f>VLOOKUP(D13,Panchanga!$A$3:$AA$463,18,TRUE)</f>
        <v>1Ma,-12Me,8J, 10V,9S,4R</v>
      </c>
      <c r="E20" s="77" t="str">
        <f>VLOOKUP(E13,Panchanga!$A$3:$AA$463,18,TRUE)</f>
        <v>1Ma,-12Me,8J, 10V,9S,4R</v>
      </c>
      <c r="F20" s="70" t="str">
        <f>VLOOKUP(F13,Panchanga!$A$3:$AA$463,18,TRUE)</f>
        <v>1Ma,-12Me,8J, 10V,9S,3R</v>
      </c>
      <c r="G20" s="75" t="str">
        <f>VLOOKUP(G13,Panchanga!$A$3:$AA$463,18,TRUE)</f>
        <v>1Ma,-12Me,8J, 10V,9S,3R</v>
      </c>
    </row>
    <row r="21" spans="1:7" s="21" customFormat="1" ht="36" customHeight="1" x14ac:dyDescent="0.25">
      <c r="A21" s="74"/>
      <c r="B21" s="71"/>
      <c r="C21" s="71"/>
      <c r="D21" s="71"/>
      <c r="E21" s="78"/>
      <c r="F21" s="71"/>
      <c r="G21" s="76"/>
    </row>
    <row r="22" spans="1:7" ht="14.25" customHeight="1" thickBot="1" x14ac:dyDescent="0.55000000000000004">
      <c r="A22" s="46"/>
      <c r="B22" s="47"/>
      <c r="C22" s="47"/>
      <c r="D22" s="47"/>
      <c r="E22" s="41"/>
      <c r="F22" s="47"/>
      <c r="G22" s="42"/>
    </row>
    <row r="23" spans="1:7" s="23" customFormat="1" ht="45" x14ac:dyDescent="0.35">
      <c r="A23" s="60">
        <f>G13+1</f>
        <v>43534</v>
      </c>
      <c r="B23" s="61">
        <f t="shared" ref="B23:G23" si="2">A23+1</f>
        <v>43535</v>
      </c>
      <c r="C23" s="61">
        <f t="shared" si="2"/>
        <v>43536</v>
      </c>
      <c r="D23" s="61">
        <f t="shared" si="2"/>
        <v>43537</v>
      </c>
      <c r="E23" s="62">
        <f t="shared" si="2"/>
        <v>43538</v>
      </c>
      <c r="F23" s="61">
        <f t="shared" si="2"/>
        <v>43539</v>
      </c>
      <c r="G23" s="63">
        <f t="shared" si="2"/>
        <v>43540</v>
      </c>
    </row>
    <row r="24" spans="1:7" s="21" customFormat="1" ht="36" customHeight="1" x14ac:dyDescent="0.5">
      <c r="A24" s="29" t="str">
        <f>TEXT(VLOOKUP(A23,Panchanga!$A$3:$AA$463,3,TRUE),"HH:MM AM/PM")&amp;" - "&amp;TEXT(VLOOKUP(A23,Panchanga!$A$3:$AA$463,4,TRUE),"HH:MM AM/PM")</f>
        <v>06:21 AM - 06:18 PM</v>
      </c>
      <c r="B24" s="30" t="str">
        <f>TEXT(VLOOKUP(B23,Panchanga!$A$3:$AA$463,3,TRUE),"HH:MM AM/PM")&amp;" - "&amp;TEXT(VLOOKUP(B23,Panchanga!$A$3:$AA$463,4,TRUE),"HH:MM AM/PM")</f>
        <v>06:21 AM - 06:18 PM</v>
      </c>
      <c r="C24" s="30" t="str">
        <f>TEXT(VLOOKUP(C23,Panchanga!$A$3:$AA$463,3,TRUE),"HH:MM AM/PM")&amp;" - "&amp;TEXT(VLOOKUP(C23,Panchanga!$A$3:$AA$463,4,TRUE),"HH:MM AM/PM")</f>
        <v>06:20 AM - 06:18 PM</v>
      </c>
      <c r="D24" s="30" t="str">
        <f>TEXT(VLOOKUP(D23,Panchanga!$A$3:$AA$463,3,TRUE),"HH:MM AM/PM")&amp;" - "&amp;TEXT(VLOOKUP(D23,Panchanga!$A$3:$AA$463,4,TRUE),"HH:MM AM/PM")</f>
        <v>06:19 AM - 06:18 PM</v>
      </c>
      <c r="E24" s="51" t="str">
        <f>TEXT(VLOOKUP(E23,Panchanga!$A$3:$AA$463,3,TRUE),"HH:MM AM/PM")&amp;" - "&amp;TEXT(VLOOKUP(E23,Panchanga!$A$3:$AA$463,4,TRUE),"HH:MM AM/PM")</f>
        <v>06:19 AM - 06:18 PM</v>
      </c>
      <c r="F24" s="30" t="str">
        <f>TEXT(VLOOKUP(F23,Panchanga!$A$3:$AA$463,3,TRUE),"HH:MM AM/PM")&amp;" - "&amp;TEXT(VLOOKUP(F23,Panchanga!$A$3:$AA$463,4,TRUE),"HH:MM AM/PM")</f>
        <v>06:18 AM - 06:19 PM</v>
      </c>
      <c r="G24" s="54" t="str">
        <f>TEXT(VLOOKUP(G23,Panchanga!$A$3:$AA$463,3,TRUE),"HH:MM AM/PM")&amp;" - "&amp;TEXT(VLOOKUP(G23,Panchanga!$A$3:$AA$463,4,TRUE),"HH:MM AM/PM")</f>
        <v>06:17 AM - 06:19 PM</v>
      </c>
    </row>
    <row r="25" spans="1:7" s="21" customFormat="1" ht="36" customHeight="1" x14ac:dyDescent="0.5">
      <c r="A25" s="32" t="str">
        <f>"Su="&amp;VLOOKUP(A23,Panchanga!$A$3:$AA$463,6,TRUE)&amp;",Mo="&amp;VLOOKUP(A23,Panchanga!$A$3:$AA$463,7,TRUE)</f>
        <v>Su=10s25.04,Mo=0s2.62</v>
      </c>
      <c r="B25" s="33" t="str">
        <f>"Su="&amp;VLOOKUP(B23,Panchanga!$A$3:$AA$463,6,TRUE)&amp;",Mo="&amp;VLOOKUP(B23,Panchanga!$A$3:$AA$463,7,TRUE)</f>
        <v>Su=10s26.04,Mo=0s15.13</v>
      </c>
      <c r="C25" s="33" t="str">
        <f>"Su="&amp;VLOOKUP(C23,Panchanga!$A$3:$AA$463,6,TRUE)&amp;",Mo="&amp;VLOOKUP(C23,Panchanga!$A$3:$AA$463,7,TRUE)</f>
        <v>Su=10s27.04,Mo=0s27.84</v>
      </c>
      <c r="D25" s="33" t="str">
        <f>"Su="&amp;VLOOKUP(D23,Panchanga!$A$3:$AA$463,6,TRUE)&amp;",Mo="&amp;VLOOKUP(D23,Panchanga!$A$3:$AA$463,7,TRUE)</f>
        <v>Su=10s28.04,Mo=1s10.79</v>
      </c>
      <c r="E25" s="52" t="str">
        <f>"Su="&amp;VLOOKUP(E23,Panchanga!$A$3:$AA$463,6,TRUE)&amp;",Mo="&amp;VLOOKUP(E23,Panchanga!$A$3:$AA$463,7,TRUE)</f>
        <v>Su=10s29.04,Mo=1s24.03</v>
      </c>
      <c r="F25" s="33" t="str">
        <f>"Su="&amp;VLOOKUP(F23,Panchanga!$A$3:$AA$463,6,TRUE)&amp;",Mo="&amp;VLOOKUP(F23,Panchanga!$A$3:$AA$463,7,TRUE)</f>
        <v>Su=11s0.03,Mo=2s7.6</v>
      </c>
      <c r="G25" s="55" t="str">
        <f>"Su="&amp;VLOOKUP(G23,Panchanga!$A$3:$AA$463,6,TRUE)&amp;",Mo="&amp;VLOOKUP(G23,Panchanga!$A$3:$AA$463,7,TRUE)</f>
        <v>Su=11s1.03,Mo=2s21.51</v>
      </c>
    </row>
    <row r="26" spans="1:7" s="21" customFormat="1" ht="36" customHeight="1" x14ac:dyDescent="0.5">
      <c r="A26" s="35" t="str">
        <f>VLOOKUP(A23,Panchanga!$A$3:$AA$463,9,TRUE)&amp;"-" &amp; TEXT(VLOOKUP(A23,Panchanga!$A$3:$AA$463,10,TRUE)," HH:MM AM/PM")</f>
        <v>Aswini- 02:55 AM</v>
      </c>
      <c r="B26" s="36" t="str">
        <f>VLOOKUP(B23,Panchanga!$A$3:$AA$463,9,TRUE)&amp;"-" &amp; TEXT(VLOOKUP(B23,Panchanga!$A$3:$AA$463,10,TRUE)," HH:MM AM/PM")</f>
        <v>Bharani- 04:08 AM</v>
      </c>
      <c r="C26" s="36" t="str">
        <f>VLOOKUP(C23,Panchanga!$A$3:$AA$463,9,TRUE)&amp;"-" &amp; TEXT(VLOOKUP(C23,Panchanga!$A$3:$AA$463,10,TRUE)," HH:MM AM/PM")</f>
        <v>Krittika- 04:52 AM</v>
      </c>
      <c r="D26" s="36" t="str">
        <f>VLOOKUP(D23,Panchanga!$A$3:$AA$463,9,TRUE)&amp;"-" &amp; TEXT(VLOOKUP(D23,Panchanga!$A$3:$AA$463,10,TRUE)," HH:MM AM/PM")</f>
        <v>Rohini- 05:03 AM</v>
      </c>
      <c r="E26" s="53" t="str">
        <f>VLOOKUP(E23,Panchanga!$A$3:$AA$463,9,TRUE)&amp;"-" &amp; TEXT(VLOOKUP(E23,Panchanga!$A$3:$AA$463,10,TRUE)," HH:MM AM/PM")</f>
        <v>Mrigashira- 04:40 AM</v>
      </c>
      <c r="F26" s="36" t="str">
        <f>VLOOKUP(F23,Panchanga!$A$3:$AA$463,9,TRUE)&amp;"-" &amp; TEXT(VLOOKUP(F23,Panchanga!$A$3:$AA$463,10,TRUE)," HH:MM AM/PM")</f>
        <v>Ardra- 03:42 AM</v>
      </c>
      <c r="G26" s="56" t="str">
        <f>VLOOKUP(G23,Panchanga!$A$3:$AA$463,9,TRUE)&amp;"-" &amp; TEXT(VLOOKUP(G23,Panchanga!$A$3:$AA$463,10,TRUE)," HH:MM AM/PM")</f>
        <v>Punarvasu- 02:09 AM</v>
      </c>
    </row>
    <row r="27" spans="1:7" s="21" customFormat="1" ht="36" customHeight="1" x14ac:dyDescent="0.5">
      <c r="A27" s="35" t="str">
        <f>VLOOKUP(A23,Panchanga!$A$3:$AA$463,11,TRUE)&amp;" " &amp;VLOOKUP(A23,Panchanga!$A$3:$AA$463,27,TRUE)</f>
        <v>S4 (3.13) 04:05 AM</v>
      </c>
      <c r="B27" s="36" t="str">
        <f>VLOOKUP(B23,Panchanga!$A$3:$AA$463,11,TRUE)&amp;" " &amp;VLOOKUP(B23,Panchanga!$A$3:$AA$463,27,TRUE)</f>
        <v>S5 (4.09) 04:42 AM</v>
      </c>
      <c r="C27" s="36" t="str">
        <f>VLOOKUP(C23,Panchanga!$A$3:$AA$463,11,TRUE)&amp;" " &amp;VLOOKUP(C23,Panchanga!$A$3:$AA$463,27,TRUE)</f>
        <v>S6 (5.07) 04:48 AM</v>
      </c>
      <c r="D27" s="36" t="str">
        <f>VLOOKUP(D23,Panchanga!$A$3:$AA$463,11,TRUE)&amp;" " &amp;VLOOKUP(D23,Panchanga!$A$3:$AA$463,27,TRUE)</f>
        <v>S7 (6.06) 04:21 AM</v>
      </c>
      <c r="E27" s="53" t="str">
        <f>VLOOKUP(E23,Panchanga!$A$3:$AA$463,11,TRUE)&amp;" " &amp;VLOOKUP(E23,Panchanga!$A$3:$AA$463,27,TRUE)</f>
        <v>S8 (7.08) 03:19 AM</v>
      </c>
      <c r="F27" s="36" t="str">
        <f>VLOOKUP(F23,Panchanga!$A$3:$AA$463,11,TRUE)&amp;" " &amp;VLOOKUP(F23,Panchanga!$A$3:$AA$463,27,TRUE)</f>
        <v>S9 (8.13) 01:41 AM</v>
      </c>
      <c r="G27" s="56" t="str">
        <f>VLOOKUP(G23,Panchanga!$A$3:$AA$463,11,TRUE)&amp;" " &amp;VLOOKUP(G23,Panchanga!$A$3:$AA$463,27,TRUE)</f>
        <v>S10 (9.21) 11:28 PM</v>
      </c>
    </row>
    <row r="28" spans="1:7" s="21" customFormat="1" ht="36" customHeight="1" x14ac:dyDescent="0.5">
      <c r="A28" s="38" t="str">
        <f>VLOOKUP(A23,Panchanga!$A$3:$AA$463,13,TRUE)</f>
        <v>Vanija</v>
      </c>
      <c r="B28" s="39" t="str">
        <f>VLOOKUP(B23,Panchanga!$A$3:$AA$463,13,TRUE)</f>
        <v>Bhava</v>
      </c>
      <c r="C28" s="39" t="str">
        <f>VLOOKUP(C23,Panchanga!$A$3:$AA$463,13,TRUE)</f>
        <v>Kaulava</v>
      </c>
      <c r="D28" s="39" t="str">
        <f>VLOOKUP(D23,Panchanga!$A$3:$AA$463,13,TRUE)</f>
        <v>Garija</v>
      </c>
      <c r="E28" s="48" t="str">
        <f>VLOOKUP(E23,Panchanga!$A$3:$AA$463,13,TRUE)</f>
        <v>Vishti</v>
      </c>
      <c r="F28" s="39" t="str">
        <f>VLOOKUP(F23,Panchanga!$A$3:$AA$463,13,TRUE)</f>
        <v>Baalava</v>
      </c>
      <c r="G28" s="49" t="str">
        <f>VLOOKUP(G23,Panchanga!$A$3:$AA$463,13,TRUE)</f>
        <v>Taitula</v>
      </c>
    </row>
    <row r="29" spans="1:7" s="21" customFormat="1" ht="36" customHeight="1" x14ac:dyDescent="0.5">
      <c r="A29" s="38" t="str">
        <f>VLOOKUP(A23,Panchanga!$A$3:$AA$463,14,TRUE)</f>
        <v>brahma (24.58)</v>
      </c>
      <c r="B29" s="39" t="str">
        <f>VLOOKUP(B23,Panchanga!$A$3:$AA$463,14,TRUE)</f>
        <v>mahendra (25.59)</v>
      </c>
      <c r="C29" s="39" t="str">
        <f>VLOOKUP(C23,Panchanga!$A$3:$AA$463,14,TRUE)</f>
        <v>vaidhṛti (26.62)</v>
      </c>
      <c r="D29" s="39" t="str">
        <f>VLOOKUP(D23,Panchanga!$A$3:$AA$463,14,TRUE)</f>
        <v>viṣkambha (0.67)</v>
      </c>
      <c r="E29" s="48" t="str">
        <f>VLOOKUP(E23,Panchanga!$A$3:$AA$463,14,TRUE)</f>
        <v>prīti (1.73)</v>
      </c>
      <c r="F29" s="39" t="str">
        <f>VLOOKUP(F23,Panchanga!$A$3:$AA$463,14,TRUE)</f>
        <v>āyuṣmāna (2.83)</v>
      </c>
      <c r="G29" s="49" t="str">
        <f>VLOOKUP(G23,Panchanga!$A$3:$AA$463,14,TRUE)</f>
        <v>saubhāgya (3.94)</v>
      </c>
    </row>
    <row r="30" spans="1:7" s="21" customFormat="1" ht="36" customHeight="1" x14ac:dyDescent="0.25">
      <c r="A30" s="74" t="str">
        <f>VLOOKUP(A23,Panchanga!$A$3:$AA$463,18,TRUE)</f>
        <v>1Ma,-12Me,8J, 10V,9S,3R</v>
      </c>
      <c r="B30" s="70" t="str">
        <f>VLOOKUP(B23,Panchanga!$A$3:$AA$463,18,TRUE)</f>
        <v>1Ma,-12Me,8J, 10V,9S,3R</v>
      </c>
      <c r="C30" s="70" t="str">
        <f>VLOOKUP(C23,Panchanga!$A$3:$AA$463,18,TRUE)</f>
        <v>1Ma,-12Me,8J, 10V,9S,3R</v>
      </c>
      <c r="D30" s="70" t="str">
        <f>VLOOKUP(D23,Panchanga!$A$3:$AA$463,18,TRUE)</f>
        <v>1Ma,-12Me,8J, 10V,9S,3R</v>
      </c>
      <c r="E30" s="77" t="str">
        <f>VLOOKUP(E23,Panchanga!$A$3:$AA$463,18,TRUE)</f>
        <v>1Ma,-12Me,8J, 10V,9S,3R</v>
      </c>
      <c r="F30" s="70" t="str">
        <f>VLOOKUP(F23,Panchanga!$A$3:$AA$463,18,TRUE)</f>
        <v>1Ma,-12Me,8J, 10V,9S,3R</v>
      </c>
      <c r="G30" s="75" t="str">
        <f>VLOOKUP(G23,Panchanga!$A$3:$AA$463,18,TRUE)</f>
        <v>1Ma,-11Me,8J, 10V,9S,3R</v>
      </c>
    </row>
    <row r="31" spans="1:7" s="21" customFormat="1" ht="36" customHeight="1" x14ac:dyDescent="0.25">
      <c r="A31" s="74"/>
      <c r="B31" s="71"/>
      <c r="C31" s="71"/>
      <c r="D31" s="71"/>
      <c r="E31" s="78"/>
      <c r="F31" s="71"/>
      <c r="G31" s="76"/>
    </row>
    <row r="32" spans="1:7" ht="14.25" customHeight="1" thickBot="1" x14ac:dyDescent="0.55000000000000004">
      <c r="A32" s="46"/>
      <c r="B32" s="47"/>
      <c r="C32" s="47"/>
      <c r="D32" s="47"/>
      <c r="E32" s="41"/>
      <c r="F32" s="47"/>
      <c r="G32" s="42"/>
    </row>
    <row r="33" spans="1:7" s="22" customFormat="1" ht="45" x14ac:dyDescent="0.5">
      <c r="A33" s="60">
        <f>G23+1</f>
        <v>43541</v>
      </c>
      <c r="B33" s="61">
        <f t="shared" ref="B33:G33" si="3">A33+1</f>
        <v>43542</v>
      </c>
      <c r="C33" s="61">
        <f t="shared" si="3"/>
        <v>43543</v>
      </c>
      <c r="D33" s="61">
        <f t="shared" si="3"/>
        <v>43544</v>
      </c>
      <c r="E33" s="62">
        <f t="shared" si="3"/>
        <v>43545</v>
      </c>
      <c r="F33" s="61">
        <f t="shared" si="3"/>
        <v>43546</v>
      </c>
      <c r="G33" s="63">
        <f t="shared" si="3"/>
        <v>43547</v>
      </c>
    </row>
    <row r="34" spans="1:7" s="21" customFormat="1" ht="36" customHeight="1" x14ac:dyDescent="0.5">
      <c r="A34" s="29" t="str">
        <f>TEXT(VLOOKUP(A33,Panchanga!$A$3:$AA$463,3,TRUE),"HH:MM AM/PM")&amp;" - "&amp;TEXT(VLOOKUP(A33,Panchanga!$A$3:$AA$463,4,TRUE),"HH:MM AM/PM")</f>
        <v>06:17 AM - 06:19 PM</v>
      </c>
      <c r="B34" s="30" t="str">
        <f>TEXT(VLOOKUP(B33,Panchanga!$A$3:$AA$463,3,TRUE),"HH:MM AM/PM")&amp;" - "&amp;TEXT(VLOOKUP(B33,Panchanga!$A$3:$AA$463,4,TRUE),"HH:MM AM/PM")</f>
        <v>06:16 AM - 06:19 PM</v>
      </c>
      <c r="C34" s="30" t="str">
        <f>TEXT(VLOOKUP(C33,Panchanga!$A$3:$AA$463,3,TRUE),"HH:MM AM/PM")&amp;" - "&amp;TEXT(VLOOKUP(C33,Panchanga!$A$3:$AA$463,4,TRUE),"HH:MM AM/PM")</f>
        <v>06:15 AM - 06:19 PM</v>
      </c>
      <c r="D34" s="30" t="str">
        <f>TEXT(VLOOKUP(D33,Panchanga!$A$3:$AA$463,3,TRUE),"HH:MM AM/PM")&amp;" - "&amp;TEXT(VLOOKUP(D33,Panchanga!$A$3:$AA$463,4,TRUE),"HH:MM AM/PM")</f>
        <v>06:15 AM - 06:19 PM</v>
      </c>
      <c r="E34" s="51" t="str">
        <f>TEXT(VLOOKUP(E33,Panchanga!$A$3:$AA$463,3,TRUE),"HH:MM AM/PM")&amp;" - "&amp;TEXT(VLOOKUP(E33,Panchanga!$A$3:$AA$463,4,TRUE),"HH:MM AM/PM")</f>
        <v>06:14 AM - 06:19 PM</v>
      </c>
      <c r="F34" s="30" t="str">
        <f>TEXT(VLOOKUP(F33,Panchanga!$A$3:$AA$463,3,TRUE),"HH:MM AM/PM")&amp;" - "&amp;TEXT(VLOOKUP(F33,Panchanga!$A$3:$AA$463,4,TRUE),"HH:MM AM/PM")</f>
        <v>06:13 AM - 06:19 PM</v>
      </c>
      <c r="G34" s="54" t="str">
        <f>TEXT(VLOOKUP(G33,Panchanga!$A$3:$AA$463,3,TRUE),"HH:MM AM/PM")&amp;" - "&amp;TEXT(VLOOKUP(G33,Panchanga!$A$3:$AA$463,4,TRUE),"HH:MM AM/PM")</f>
        <v>06:13 AM - 06:19 PM</v>
      </c>
    </row>
    <row r="35" spans="1:7" s="21" customFormat="1" ht="36" customHeight="1" x14ac:dyDescent="0.5">
      <c r="A35" s="32" t="str">
        <f>"Su="&amp;VLOOKUP(A33,Panchanga!$A$3:$AA$463,6,TRUE)&amp;",Mo="&amp;VLOOKUP(A33,Panchanga!$A$3:$AA$463,7,TRUE)</f>
        <v>Su=11s2.02,Mo=3s5.79</v>
      </c>
      <c r="B35" s="33" t="str">
        <f>"Su="&amp;VLOOKUP(B33,Panchanga!$A$3:$AA$463,6,TRUE)&amp;",Mo="&amp;VLOOKUP(B33,Panchanga!$A$3:$AA$463,7,TRUE)</f>
        <v>Su=11s3.02,Mo=3s20.41</v>
      </c>
      <c r="C35" s="33" t="str">
        <f>"Su="&amp;VLOOKUP(C33,Panchanga!$A$3:$AA$463,6,TRUE)&amp;",Mo="&amp;VLOOKUP(C33,Panchanga!$A$3:$AA$463,7,TRUE)</f>
        <v>Su=11s4.01,Mo=4s5.31</v>
      </c>
      <c r="D35" s="33" t="str">
        <f>"Su="&amp;VLOOKUP(D33,Panchanga!$A$3:$AA$463,6,TRUE)&amp;",Mo="&amp;VLOOKUP(D33,Panchanga!$A$3:$AA$463,7,TRUE)</f>
        <v>Su=11s5.01,Mo=4s20.37</v>
      </c>
      <c r="E35" s="52" t="str">
        <f>"Su="&amp;VLOOKUP(E33,Panchanga!$A$3:$AA$463,6,TRUE)&amp;",Mo="&amp;VLOOKUP(E33,Panchanga!$A$3:$AA$463,7,TRUE)</f>
        <v>Su=11s6,Mo=5s5.43</v>
      </c>
      <c r="F35" s="33" t="str">
        <f>"Su="&amp;VLOOKUP(F33,Panchanga!$A$3:$AA$463,6,TRUE)&amp;",Mo="&amp;VLOOKUP(F33,Panchanga!$A$3:$AA$463,7,TRUE)</f>
        <v>Su=11s6.99,Mo=5s20.35</v>
      </c>
      <c r="G35" s="55" t="str">
        <f>"Su="&amp;VLOOKUP(G33,Panchanga!$A$3:$AA$463,6,TRUE)&amp;",Mo="&amp;VLOOKUP(G33,Panchanga!$A$3:$AA$463,7,TRUE)</f>
        <v>Su=11s7.98,Mo=6s4.95</v>
      </c>
    </row>
    <row r="36" spans="1:7" s="21" customFormat="1" ht="36" customHeight="1" x14ac:dyDescent="0.5">
      <c r="A36" s="35" t="str">
        <f>VLOOKUP(A33,Panchanga!$A$3:$AA$463,9,TRUE)&amp;"-" &amp; TEXT(VLOOKUP(A33,Panchanga!$A$3:$AA$463,10,TRUE)," HH:MM AM/PM")</f>
        <v>Pushya- 12:08 AM</v>
      </c>
      <c r="B36" s="36" t="str">
        <f>VLOOKUP(B33,Panchanga!$A$3:$AA$463,9,TRUE)&amp;"-" &amp; TEXT(VLOOKUP(B33,Panchanga!$A$3:$AA$463,10,TRUE)," HH:MM AM/PM")</f>
        <v>Aslesha- 09:43 PM</v>
      </c>
      <c r="C36" s="36" t="str">
        <f>VLOOKUP(C33,Panchanga!$A$3:$AA$463,9,TRUE)&amp;"-" &amp; TEXT(VLOOKUP(C33,Panchanga!$A$3:$AA$463,10,TRUE)," HH:MM AM/PM")</f>
        <v>Makha- 07:03 PM</v>
      </c>
      <c r="D36" s="36" t="str">
        <f>VLOOKUP(D33,Panchanga!$A$3:$AA$463,9,TRUE)&amp;"-" &amp; TEXT(VLOOKUP(D33,Panchanga!$A$3:$AA$463,10,TRUE)," HH:MM AM/PM")</f>
        <v>Purva Phalguni- 04:17 PM</v>
      </c>
      <c r="E36" s="53" t="str">
        <f>VLOOKUP(E33,Panchanga!$A$3:$AA$463,9,TRUE)&amp;"-" &amp; TEXT(VLOOKUP(E33,Panchanga!$A$3:$AA$463,10,TRUE)," HH:MM AM/PM")</f>
        <v>Uttara Phalguni- 01:35 PM</v>
      </c>
      <c r="F36" s="36" t="str">
        <f>VLOOKUP(F33,Panchanga!$A$3:$AA$463,9,TRUE)&amp;"-" &amp; TEXT(VLOOKUP(F33,Panchanga!$A$3:$AA$463,10,TRUE)," HH:MM AM/PM")</f>
        <v>Hasta- 11:08 AM</v>
      </c>
      <c r="G36" s="56" t="str">
        <f>VLOOKUP(G33,Panchanga!$A$3:$AA$463,9,TRUE)&amp;"-" &amp; TEXT(VLOOKUP(G33,Panchanga!$A$3:$AA$463,10,TRUE)," HH:MM AM/PM")</f>
        <v>Chitra- 09:07 AM</v>
      </c>
    </row>
    <row r="37" spans="1:7" s="21" customFormat="1" ht="36" customHeight="1" x14ac:dyDescent="0.5">
      <c r="A37" s="35" t="str">
        <f>VLOOKUP(A33,Panchanga!$A$3:$AA$463,11,TRUE)&amp;" " &amp;VLOOKUP(A33,Panchanga!$A$3:$AA$463,27,TRUE)</f>
        <v>S11 (10.31) 08:46 PM</v>
      </c>
      <c r="B37" s="36" t="str">
        <f>VLOOKUP(B33,Panchanga!$A$3:$AA$463,11,TRUE)&amp;" " &amp;VLOOKUP(B33,Panchanga!$A$3:$AA$463,27,TRUE)</f>
        <v>S12 (11.45) 05:40 PM</v>
      </c>
      <c r="C37" s="36" t="str">
        <f>VLOOKUP(C33,Panchanga!$A$3:$AA$463,11,TRUE)&amp;" " &amp;VLOOKUP(C33,Panchanga!$A$3:$AA$463,27,TRUE)</f>
        <v>S13 (12.61) 02:17 PM</v>
      </c>
      <c r="D37" s="36" t="str">
        <f>VLOOKUP(D33,Panchanga!$A$3:$AA$463,11,TRUE)&amp;" " &amp;VLOOKUP(D33,Panchanga!$A$3:$AA$463,27,TRUE)</f>
        <v>S14 (13.78) 10:45 AM</v>
      </c>
      <c r="E37" s="53" t="str">
        <f>VLOOKUP(E33,Panchanga!$A$3:$AA$463,11,TRUE)&amp;" " &amp;VLOOKUP(E33,Panchanga!$A$3:$AA$463,27,TRUE)</f>
        <v>S15 (14.95) 07:12 AM</v>
      </c>
      <c r="F37" s="36" t="str">
        <f>VLOOKUP(F33,Panchanga!$A$3:$AA$463,11,TRUE)&amp;" " &amp;VLOOKUP(F33,Panchanga!$A$3:$AA$463,27,TRUE)</f>
        <v>K2 (16.11) 12:58 AM</v>
      </c>
      <c r="G37" s="56" t="str">
        <f>VLOOKUP(G33,Panchanga!$A$3:$AA$463,11,TRUE)&amp;" " &amp;VLOOKUP(G33,Panchanga!$A$3:$AA$463,27,TRUE)</f>
        <v>K3 (17.25) 10:37 PM</v>
      </c>
    </row>
    <row r="38" spans="1:7" s="21" customFormat="1" ht="36" customHeight="1" x14ac:dyDescent="0.5">
      <c r="A38" s="38" t="str">
        <f>VLOOKUP(A33,Panchanga!$A$3:$AA$463,13,TRUE)</f>
        <v>Vanija</v>
      </c>
      <c r="B38" s="39" t="str">
        <f>VLOOKUP(B33,Panchanga!$A$3:$AA$463,13,TRUE)</f>
        <v>Bhava</v>
      </c>
      <c r="C38" s="39" t="str">
        <f>VLOOKUP(C33,Panchanga!$A$3:$AA$463,13,TRUE)</f>
        <v>Taitula</v>
      </c>
      <c r="D38" s="39" t="str">
        <f>VLOOKUP(D33,Panchanga!$A$3:$AA$463,13,TRUE)</f>
        <v>Vanija</v>
      </c>
      <c r="E38" s="48" t="str">
        <f>VLOOKUP(E33,Panchanga!$A$3:$AA$463,13,TRUE)</f>
        <v>Bhava</v>
      </c>
      <c r="F38" s="39" t="str">
        <f>VLOOKUP(F33,Panchanga!$A$3:$AA$463,13,TRUE)</f>
        <v>Taitula</v>
      </c>
      <c r="G38" s="49" t="str">
        <f>VLOOKUP(G33,Panchanga!$A$3:$AA$463,13,TRUE)</f>
        <v>Vanija</v>
      </c>
    </row>
    <row r="39" spans="1:7" s="21" customFormat="1" ht="36" customHeight="1" x14ac:dyDescent="0.5">
      <c r="A39" s="38" t="str">
        <f>VLOOKUP(A33,Panchanga!$A$3:$AA$463,14,TRUE)</f>
        <v>atigaṇḍa  (5.09)</v>
      </c>
      <c r="B39" s="39" t="str">
        <f>VLOOKUP(B33,Panchanga!$A$3:$AA$463,14,TRUE)</f>
        <v>sukarmā  (6.26)</v>
      </c>
      <c r="C39" s="39" t="str">
        <f>VLOOKUP(C33,Panchanga!$A$3:$AA$463,14,TRUE)</f>
        <v>dhṛti  (7.45)</v>
      </c>
      <c r="D39" s="39" t="str">
        <f>VLOOKUP(D33,Panchanga!$A$3:$AA$463,14,TRUE)</f>
        <v>śūla  (8.66)</v>
      </c>
      <c r="E39" s="48" t="str">
        <f>VLOOKUP(E33,Panchanga!$A$3:$AA$463,14,TRUE)</f>
        <v>gaṇḍa  (9.86)</v>
      </c>
      <c r="F39" s="39" t="str">
        <f>VLOOKUP(F33,Panchanga!$A$3:$AA$463,14,TRUE)</f>
        <v>dhruva  (11.05)</v>
      </c>
      <c r="G39" s="49" t="str">
        <f>VLOOKUP(G33,Panchanga!$A$3:$AA$463,14,TRUE)</f>
        <v>vyāghāta (12.22)</v>
      </c>
    </row>
    <row r="40" spans="1:7" s="21" customFormat="1" ht="36" customHeight="1" x14ac:dyDescent="0.25">
      <c r="A40" s="74" t="str">
        <f>VLOOKUP(A33,Panchanga!$A$3:$AA$463,18,TRUE)</f>
        <v>1Ma,-11Me,8J, 10V,9S,3R</v>
      </c>
      <c r="B40" s="70" t="str">
        <f>VLOOKUP(B33,Panchanga!$A$3:$AA$463,18,TRUE)</f>
        <v>1Ma,-11Me,8J, 10V,9S,3R</v>
      </c>
      <c r="C40" s="70" t="str">
        <f>VLOOKUP(C33,Panchanga!$A$3:$AA$463,18,TRUE)</f>
        <v>1Ma,-11Me,8J, 10V,9S,3R</v>
      </c>
      <c r="D40" s="70" t="str">
        <f>VLOOKUP(D33,Panchanga!$A$3:$AA$463,18,TRUE)</f>
        <v>1Ma,-11Me,8J, 10V,9S,3R</v>
      </c>
      <c r="E40" s="77" t="str">
        <f>VLOOKUP(E33,Panchanga!$A$3:$AA$463,18,TRUE)</f>
        <v>1Ma,-11Me,8J, 10V,9S,3R</v>
      </c>
      <c r="F40" s="70" t="str">
        <f>VLOOKUP(F33,Panchanga!$A$3:$AA$463,18,TRUE)</f>
        <v>1Ma,-11Me,8J, 11V,9S,3R</v>
      </c>
      <c r="G40" s="75" t="str">
        <f>VLOOKUP(G33,Panchanga!$A$3:$AA$463,18,TRUE)</f>
        <v>2Ma,-11Me,8J, 11V,9S,3R</v>
      </c>
    </row>
    <row r="41" spans="1:7" s="21" customFormat="1" ht="36" customHeight="1" x14ac:dyDescent="0.25">
      <c r="A41" s="74"/>
      <c r="B41" s="71"/>
      <c r="C41" s="71"/>
      <c r="D41" s="71"/>
      <c r="E41" s="78"/>
      <c r="F41" s="71"/>
      <c r="G41" s="76"/>
    </row>
    <row r="42" spans="1:7" ht="14.25" customHeight="1" thickBot="1" x14ac:dyDescent="0.55000000000000004">
      <c r="A42" s="46"/>
      <c r="B42" s="47"/>
      <c r="C42" s="47"/>
      <c r="D42" s="47"/>
      <c r="E42" s="41"/>
      <c r="F42" s="47"/>
      <c r="G42" s="42"/>
    </row>
    <row r="43" spans="1:7" s="22" customFormat="1" ht="45" x14ac:dyDescent="0.5">
      <c r="A43" s="60">
        <f>G33+1</f>
        <v>43548</v>
      </c>
      <c r="B43" s="61">
        <f t="shared" ref="B43:G43" si="4">A43+1</f>
        <v>43549</v>
      </c>
      <c r="C43" s="61">
        <f t="shared" si="4"/>
        <v>43550</v>
      </c>
      <c r="D43" s="61">
        <f t="shared" si="4"/>
        <v>43551</v>
      </c>
      <c r="E43" s="62">
        <f t="shared" si="4"/>
        <v>43552</v>
      </c>
      <c r="F43" s="61">
        <f t="shared" si="4"/>
        <v>43553</v>
      </c>
      <c r="G43" s="63">
        <f t="shared" si="4"/>
        <v>43554</v>
      </c>
    </row>
    <row r="44" spans="1:7" s="21" customFormat="1" ht="36" customHeight="1" x14ac:dyDescent="0.5">
      <c r="A44" s="29" t="str">
        <f>TEXT(VLOOKUP(A43,Panchanga!$A$3:$AA$463,3,TRUE),"HH:MM AM/PM")&amp;" - "&amp;TEXT(VLOOKUP(A43,Panchanga!$A$3:$AA$463,4,TRUE),"HH:MM AM/PM")</f>
        <v>06:12 AM - 06:19 PM</v>
      </c>
      <c r="B44" s="30" t="str">
        <f>TEXT(VLOOKUP(B43,Panchanga!$A$3:$AA$463,3,TRUE),"HH:MM AM/PM")&amp;" - "&amp;TEXT(VLOOKUP(B43,Panchanga!$A$3:$AA$463,4,TRUE),"HH:MM AM/PM")</f>
        <v>06:11 AM - 06:19 PM</v>
      </c>
      <c r="C44" s="30" t="str">
        <f>TEXT(VLOOKUP(C43,Panchanga!$A$3:$AA$463,3,TRUE),"HH:MM AM/PM")&amp;" - "&amp;TEXT(VLOOKUP(C43,Panchanga!$A$3:$AA$463,4,TRUE),"HH:MM AM/PM")</f>
        <v>06:11 AM - 06:19 PM</v>
      </c>
      <c r="D44" s="30" t="str">
        <f>TEXT(VLOOKUP(D43,Panchanga!$A$3:$AA$463,3,TRUE),"HH:MM AM/PM")&amp;" - "&amp;TEXT(VLOOKUP(D43,Panchanga!$A$3:$AA$463,4,TRUE),"HH:MM AM/PM")</f>
        <v>06:10 AM - 06:20 PM</v>
      </c>
      <c r="E44" s="51" t="str">
        <f>TEXT(VLOOKUP(E43,Panchanga!$A$3:$AA$463,3,TRUE),"HH:MM AM/PM")&amp;" - "&amp;TEXT(VLOOKUP(E43,Panchanga!$A$3:$AA$463,4,TRUE),"HH:MM AM/PM")</f>
        <v>06:09 AM - 06:20 PM</v>
      </c>
      <c r="F44" s="30" t="str">
        <f>TEXT(VLOOKUP(F43,Panchanga!$A$3:$AA$463,3,TRUE),"HH:MM AM/PM")&amp;" - "&amp;TEXT(VLOOKUP(F43,Panchanga!$A$3:$AA$463,4,TRUE),"HH:MM AM/PM")</f>
        <v>06:09 AM - 06:20 PM</v>
      </c>
      <c r="G44" s="54" t="str">
        <f>TEXT(VLOOKUP(G43,Panchanga!$A$3:$AA$463,3,TRUE),"HH:MM AM/PM")&amp;" - "&amp;TEXT(VLOOKUP(G43,Panchanga!$A$3:$AA$463,4,TRUE),"HH:MM AM/PM")</f>
        <v>06:08 AM - 06:20 PM</v>
      </c>
    </row>
    <row r="45" spans="1:7" s="21" customFormat="1" ht="36" customHeight="1" x14ac:dyDescent="0.5">
      <c r="A45" s="32" t="str">
        <f>"Su="&amp;VLOOKUP(A43,Panchanga!$A$3:$AA$463,6,TRUE)&amp;",Mo="&amp;VLOOKUP(A43,Panchanga!$A$3:$AA$463,7,TRUE)</f>
        <v>Su=11s8.97,Mo=6s19.15</v>
      </c>
      <c r="B45" s="33" t="str">
        <f>"Su="&amp;VLOOKUP(B43,Panchanga!$A$3:$AA$463,6,TRUE)&amp;",Mo="&amp;VLOOKUP(B43,Panchanga!$A$3:$AA$463,7,TRUE)</f>
        <v>Su=11s9.96,Mo=7s2.86</v>
      </c>
      <c r="C45" s="33" t="str">
        <f>"Su="&amp;VLOOKUP(C43,Panchanga!$A$3:$AA$463,6,TRUE)&amp;",Mo="&amp;VLOOKUP(C43,Panchanga!$A$3:$AA$463,7,TRUE)</f>
        <v>Su=11s10.96,Mo=7s16.1</v>
      </c>
      <c r="D45" s="33" t="str">
        <f>"Su="&amp;VLOOKUP(D43,Panchanga!$A$3:$AA$463,6,TRUE)&amp;",Mo="&amp;VLOOKUP(D43,Panchanga!$A$3:$AA$463,7,TRUE)</f>
        <v>Su=11s11.94,Mo=7s28.89</v>
      </c>
      <c r="E45" s="52" t="str">
        <f>"Su="&amp;VLOOKUP(E43,Panchanga!$A$3:$AA$463,6,TRUE)&amp;",Mo="&amp;VLOOKUP(E43,Panchanga!$A$3:$AA$463,7,TRUE)</f>
        <v>Su=11s12.93,Mo=8s11.3</v>
      </c>
      <c r="F45" s="33" t="str">
        <f>"Su="&amp;VLOOKUP(F43,Panchanga!$A$3:$AA$463,6,TRUE)&amp;",Mo="&amp;VLOOKUP(F43,Panchanga!$A$3:$AA$463,7,TRUE)</f>
        <v>Su=11s13.92,Mo=8s23.41</v>
      </c>
      <c r="G45" s="55" t="str">
        <f>"Su="&amp;VLOOKUP(G43,Panchanga!$A$3:$AA$463,6,TRUE)&amp;",Mo="&amp;VLOOKUP(G43,Panchanga!$A$3:$AA$463,7,TRUE)</f>
        <v>Su=11s14.91,Mo=9s5.33</v>
      </c>
    </row>
    <row r="46" spans="1:7" s="21" customFormat="1" ht="36" customHeight="1" x14ac:dyDescent="0.5">
      <c r="A46" s="35" t="str">
        <f>VLOOKUP(A43,Panchanga!$A$3:$AA$463,9,TRUE)&amp;"-" &amp; TEXT(VLOOKUP(A43,Panchanga!$A$3:$AA$463,10,TRUE)," HH:MM AM/PM")</f>
        <v>Swati- 07:42 AM</v>
      </c>
      <c r="B46" s="36" t="str">
        <f>VLOOKUP(B43,Panchanga!$A$3:$AA$463,9,TRUE)&amp;"-" &amp; TEXT(VLOOKUP(B43,Panchanga!$A$3:$AA$463,10,TRUE)," HH:MM AM/PM")</f>
        <v>Visakha- 07:03 AM</v>
      </c>
      <c r="C46" s="36" t="str">
        <f>VLOOKUP(C43,Panchanga!$A$3:$AA$463,9,TRUE)&amp;"-" &amp; TEXT(VLOOKUP(C43,Panchanga!$A$3:$AA$463,10,TRUE)," HH:MM AM/PM")</f>
        <v>Anuradha- 07:15 AM</v>
      </c>
      <c r="D46" s="36" t="str">
        <f>VLOOKUP(D43,Panchanga!$A$3:$AA$463,9,TRUE)&amp;"-" &amp; TEXT(VLOOKUP(D43,Panchanga!$A$3:$AA$463,10,TRUE)," HH:MM AM/PM")</f>
        <v>Jyestha- 08:20 AM</v>
      </c>
      <c r="E46" s="53" t="str">
        <f>VLOOKUP(E43,Panchanga!$A$3:$AA$463,9,TRUE)&amp;"-" &amp; TEXT(VLOOKUP(E43,Panchanga!$A$3:$AA$463,10,TRUE)," HH:MM AM/PM")</f>
        <v>Moola- 10:12 AM</v>
      </c>
      <c r="F46" s="36" t="str">
        <f>VLOOKUP(F43,Panchanga!$A$3:$AA$463,9,TRUE)&amp;"-" &amp; TEXT(VLOOKUP(F43,Panchanga!$A$3:$AA$463,10,TRUE)," HH:MM AM/PM")</f>
        <v>Purva Asadha- 12:42 PM</v>
      </c>
      <c r="G46" s="56" t="str">
        <f>VLOOKUP(G43,Panchanga!$A$3:$AA$463,9,TRUE)&amp;"-" &amp; TEXT(VLOOKUP(G43,Panchanga!$A$3:$AA$463,10,TRUE)," HH:MM AM/PM")</f>
        <v>Uttara Asadha- 03:38 PM</v>
      </c>
    </row>
    <row r="47" spans="1:7" s="21" customFormat="1" ht="36" customHeight="1" x14ac:dyDescent="0.5">
      <c r="A47" s="35" t="str">
        <f>VLOOKUP(A43,Panchanga!$A$3:$AA$463,11,TRUE)&amp;" " &amp;VLOOKUP(A43,Panchanga!$A$3:$AA$463,27,TRUE)</f>
        <v>K4 (18.35) 08:57 PM</v>
      </c>
      <c r="B47" s="36" t="str">
        <f>VLOOKUP(B43,Panchanga!$A$3:$AA$463,11,TRUE)&amp;" " &amp;VLOOKUP(B43,Panchanga!$A$3:$AA$463,27,TRUE)</f>
        <v>K5 (19.41) 08:06 PM</v>
      </c>
      <c r="C47" s="36" t="str">
        <f>VLOOKUP(C43,Panchanga!$A$3:$AA$463,11,TRUE)&amp;" " &amp;VLOOKUP(C43,Panchanga!$A$3:$AA$463,27,TRUE)</f>
        <v>K6 (20.43) 08:07 PM</v>
      </c>
      <c r="D47" s="36" t="str">
        <f>VLOOKUP(D43,Panchanga!$A$3:$AA$463,11,TRUE)&amp;" " &amp;VLOOKUP(D43,Panchanga!$A$3:$AA$463,27,TRUE)</f>
        <v>K7 (21.41) 08:59 PM</v>
      </c>
      <c r="E47" s="53" t="str">
        <f>VLOOKUP(E43,Panchanga!$A$3:$AA$463,11,TRUE)&amp;" " &amp;VLOOKUP(E43,Panchanga!$A$3:$AA$463,27,TRUE)</f>
        <v>K8 (22.36) 10:37 PM</v>
      </c>
      <c r="F47" s="36" t="str">
        <f>VLOOKUP(F43,Panchanga!$A$3:$AA$463,11,TRUE)&amp;" " &amp;VLOOKUP(F43,Panchanga!$A$3:$AA$463,27,TRUE)</f>
        <v>K9 (23.29) 12:49 AM</v>
      </c>
      <c r="G47" s="56" t="str">
        <f>VLOOKUP(G43,Panchanga!$A$3:$AA$463,11,TRUE)&amp;" " &amp;VLOOKUP(G43,Panchanga!$A$3:$AA$463,27,TRUE)</f>
        <v>K10 (24.2) 03:23 AM</v>
      </c>
    </row>
    <row r="48" spans="1:7" s="21" customFormat="1" ht="36" customHeight="1" x14ac:dyDescent="0.5">
      <c r="A48" s="38" t="str">
        <f>VLOOKUP(A43,Panchanga!$A$3:$AA$463,13,TRUE)</f>
        <v>Bhava</v>
      </c>
      <c r="B48" s="39" t="str">
        <f>VLOOKUP(B43,Panchanga!$A$3:$AA$463,13,TRUE)</f>
        <v>Kaulava</v>
      </c>
      <c r="C48" s="39" t="str">
        <f>VLOOKUP(C43,Panchanga!$A$3:$AA$463,13,TRUE)</f>
        <v>Garija</v>
      </c>
      <c r="D48" s="39" t="str">
        <f>VLOOKUP(D43,Panchanga!$A$3:$AA$463,13,TRUE)</f>
        <v>Vishti</v>
      </c>
      <c r="E48" s="48" t="str">
        <f>VLOOKUP(E43,Panchanga!$A$3:$AA$463,13,TRUE)</f>
        <v>Baalava</v>
      </c>
      <c r="F48" s="39" t="str">
        <f>VLOOKUP(F43,Panchanga!$A$3:$AA$463,13,TRUE)</f>
        <v>Taitula</v>
      </c>
      <c r="G48" s="49" t="str">
        <f>VLOOKUP(G43,Panchanga!$A$3:$AA$463,13,TRUE)</f>
        <v>Vanija</v>
      </c>
    </row>
    <row r="49" spans="1:7" s="21" customFormat="1" ht="36" customHeight="1" x14ac:dyDescent="0.5">
      <c r="A49" s="38" t="str">
        <f>VLOOKUP(A43,Panchanga!$A$3:$AA$463,14,TRUE)</f>
        <v>harṣaṇa (13.36)</v>
      </c>
      <c r="B49" s="39" t="str">
        <f>VLOOKUP(B43,Panchanga!$A$3:$AA$463,14,TRUE)</f>
        <v>vajra (14.47)</v>
      </c>
      <c r="C49" s="39" t="str">
        <f>VLOOKUP(C43,Panchanga!$A$3:$AA$463,14,TRUE)</f>
        <v>siddhi (15.53)</v>
      </c>
      <c r="D49" s="39" t="str">
        <f>VLOOKUP(D43,Panchanga!$A$3:$AA$463,14,TRUE)</f>
        <v>vyatipāta (16.57)</v>
      </c>
      <c r="E49" s="48" t="str">
        <f>VLOOKUP(E43,Panchanga!$A$3:$AA$463,14,TRUE)</f>
        <v>varīyas (17.57)</v>
      </c>
      <c r="F49" s="39" t="str">
        <f>VLOOKUP(F43,Panchanga!$A$3:$AA$463,14,TRUE)</f>
        <v>parigha (18.55)</v>
      </c>
      <c r="G49" s="49" t="str">
        <f>VLOOKUP(G43,Panchanga!$A$3:$AA$463,14,TRUE)</f>
        <v>śiva (19.52)</v>
      </c>
    </row>
    <row r="50" spans="1:7" s="21" customFormat="1" ht="36" customHeight="1" x14ac:dyDescent="0.25">
      <c r="A50" s="74" t="str">
        <f>VLOOKUP(A43,Panchanga!$A$3:$AA$463,18,TRUE)</f>
        <v>2Ma,-11Me,8J, 11V,9S,3R</v>
      </c>
      <c r="B50" s="70" t="str">
        <f>VLOOKUP(B43,Panchanga!$A$3:$AA$463,18,TRUE)</f>
        <v>2Ma,-11Me,8J, 11V,9S,3R</v>
      </c>
      <c r="C50" s="70" t="str">
        <f>VLOOKUP(C43,Panchanga!$A$3:$AA$463,18,TRUE)</f>
        <v>2Ma,-11Me,8J, 11V,9S,3R</v>
      </c>
      <c r="D50" s="70" t="str">
        <f>VLOOKUP(D43,Panchanga!$A$3:$AA$463,18,TRUE)</f>
        <v>2Ma,-11Me,8J, 11V,9S,3R</v>
      </c>
      <c r="E50" s="77" t="str">
        <f>VLOOKUP(E43,Panchanga!$A$3:$AA$463,18,TRUE)</f>
        <v>2Ma,-11Me,8J, 11V,9S,3R</v>
      </c>
      <c r="F50" s="70" t="str">
        <f>VLOOKUP(F43,Panchanga!$A$3:$AA$463,18,TRUE)</f>
        <v>2Ma,11Me,8J, 11V,9S,3R</v>
      </c>
      <c r="G50" s="75" t="str">
        <f>VLOOKUP(G43,Panchanga!$A$3:$AA$463,18,TRUE)</f>
        <v>2Ma,11Me,9J, 11V,9S,3R</v>
      </c>
    </row>
    <row r="51" spans="1:7" s="21" customFormat="1" ht="36" customHeight="1" x14ac:dyDescent="0.25">
      <c r="A51" s="74"/>
      <c r="B51" s="71"/>
      <c r="C51" s="71"/>
      <c r="D51" s="71"/>
      <c r="E51" s="78"/>
      <c r="F51" s="71"/>
      <c r="G51" s="76"/>
    </row>
    <row r="52" spans="1:7" ht="14.25" customHeight="1" thickBot="1" x14ac:dyDescent="0.55000000000000004">
      <c r="A52" s="46"/>
      <c r="B52" s="47"/>
      <c r="C52" s="47"/>
      <c r="D52" s="47"/>
      <c r="E52" s="41"/>
      <c r="F52" s="47"/>
      <c r="G52" s="42"/>
    </row>
    <row r="53" spans="1:7" s="22" customFormat="1" ht="45" x14ac:dyDescent="0.5">
      <c r="A53" s="60">
        <f>G43+1</f>
        <v>43555</v>
      </c>
      <c r="B53" s="61">
        <f>A53+1</f>
        <v>43556</v>
      </c>
      <c r="C53" s="61"/>
      <c r="D53" s="61"/>
      <c r="E53" s="61"/>
      <c r="F53" s="61"/>
      <c r="G53" s="68"/>
    </row>
    <row r="54" spans="1:7" s="21" customFormat="1" ht="36" customHeight="1" x14ac:dyDescent="0.5">
      <c r="A54" s="29" t="str">
        <f>TEXT(VLOOKUP(A53,Panchanga!$A$3:$AA$463,3,TRUE),"HH:MM AM/PM")&amp;" - "&amp;TEXT(VLOOKUP(A53,Panchanga!$A$3:$AA$463,4,TRUE),"HH:MM AM/PM")</f>
        <v>06:07 AM - 06:20 PM</v>
      </c>
      <c r="B54" s="30" t="str">
        <f>TEXT(VLOOKUP(B53,Panchanga!$A$3:$AA$463,3,TRUE),"HH:MM AM/PM")&amp;" - "&amp;TEXT(VLOOKUP(B53,Panchanga!$A$3:$AA$463,4,TRUE),"HH:MM AM/PM")</f>
        <v>06:07 AM - 06:20 PM</v>
      </c>
      <c r="C54" s="30" t="s">
        <v>35</v>
      </c>
      <c r="D54" s="30"/>
      <c r="E54" s="30"/>
      <c r="F54" s="30"/>
      <c r="G54" s="31"/>
    </row>
    <row r="55" spans="1:7" s="21" customFormat="1" ht="36" customHeight="1" x14ac:dyDescent="0.5">
      <c r="A55" s="32" t="str">
        <f>"Su="&amp;VLOOKUP(A53,Panchanga!$A$3:$AA$463,6,TRUE)&amp;",Mo="&amp;VLOOKUP(A53,Panchanga!$A$3:$AA$463,7,TRUE)</f>
        <v>Su=11s15.9,Mo=9s17.13</v>
      </c>
      <c r="B55" s="33" t="str">
        <f>"Su="&amp;VLOOKUP(B53,Panchanga!$A$3:$AA$463,6,TRUE)&amp;",Mo="&amp;VLOOKUP(B53,Panchanga!$A$3:$AA$463,7,TRUE)</f>
        <v>Su=11s16.89,Mo=9s28.91</v>
      </c>
      <c r="C55" s="33" t="s">
        <v>36</v>
      </c>
      <c r="D55" s="33"/>
      <c r="E55" s="33"/>
      <c r="F55" s="33"/>
      <c r="G55" s="34"/>
    </row>
    <row r="56" spans="1:7" s="21" customFormat="1" ht="36" customHeight="1" x14ac:dyDescent="0.5">
      <c r="A56" s="35" t="str">
        <f>VLOOKUP(A53,Panchanga!$A$3:$AA$463,9,TRUE)&amp;"-" &amp; TEXT(VLOOKUP(A53,Panchanga!$A$3:$AA$463,10,TRUE)," HH:MM AM/PM")</f>
        <v>Sravana- 06:46 PM</v>
      </c>
      <c r="B56" s="36" t="str">
        <f>VLOOKUP(B53,Panchanga!$A$3:$AA$463,9,TRUE)&amp;"-" &amp; TEXT(VLOOKUP(B53,Panchanga!$A$3:$AA$463,10,TRUE)," HH:MM AM/PM")</f>
        <v>Dhanistha- 09:52 PM</v>
      </c>
      <c r="C56" s="36" t="s">
        <v>31</v>
      </c>
      <c r="D56" s="36"/>
      <c r="E56" s="36"/>
      <c r="F56" s="36"/>
      <c r="G56" s="37"/>
    </row>
    <row r="57" spans="1:7" s="21" customFormat="1" ht="36" customHeight="1" x14ac:dyDescent="0.5">
      <c r="A57" s="35" t="str">
        <f>VLOOKUP(A53,Panchanga!$A$3:$AA$463,11,TRUE)&amp;" " &amp;VLOOKUP(A53,Panchanga!$A$3:$AA$463,27,TRUE)</f>
        <v>K11 (25.1) 06:03 AM</v>
      </c>
      <c r="B57" s="36" t="str">
        <f>VLOOKUP(B53,Panchanga!$A$3:$AA$463,11,TRUE)&amp;" " &amp;VLOOKUP(B53,Panchanga!$A$3:$AA$463,27,TRUE)</f>
        <v>K12 (26) 08:39 AM</v>
      </c>
      <c r="C57" s="36" t="s">
        <v>37</v>
      </c>
      <c r="D57" s="36"/>
      <c r="E57" s="36"/>
      <c r="F57" s="36"/>
      <c r="G57" s="37"/>
    </row>
    <row r="58" spans="1:7" s="21" customFormat="1" ht="36" customHeight="1" x14ac:dyDescent="0.5">
      <c r="A58" s="38" t="str">
        <f>VLOOKUP(A53,Panchanga!$A$3:$AA$463,13,TRUE)</f>
        <v>Bhava</v>
      </c>
      <c r="B58" s="39" t="str">
        <f>VLOOKUP(B53,Panchanga!$A$3:$AA$463,13,TRUE)</f>
        <v>Kaulava</v>
      </c>
      <c r="C58" s="39" t="s">
        <v>32</v>
      </c>
      <c r="D58" s="39"/>
      <c r="E58" s="39"/>
      <c r="F58" s="39"/>
      <c r="G58" s="40"/>
    </row>
    <row r="59" spans="1:7" s="21" customFormat="1" ht="36" customHeight="1" x14ac:dyDescent="0.5">
      <c r="A59" s="38" t="str">
        <f>VLOOKUP(A53,Panchanga!$A$3:$AA$463,14,TRUE)</f>
        <v>siddha (20.48)</v>
      </c>
      <c r="B59" s="39" t="str">
        <f>VLOOKUP(B53,Panchanga!$A$3:$AA$463,14,TRUE)</f>
        <v>sādhya (21.44)</v>
      </c>
      <c r="C59" s="39" t="s">
        <v>17</v>
      </c>
      <c r="D59" s="39"/>
      <c r="E59" s="39"/>
      <c r="F59" s="39"/>
      <c r="G59" s="40"/>
    </row>
    <row r="60" spans="1:7" s="21" customFormat="1" ht="36" customHeight="1" x14ac:dyDescent="0.25">
      <c r="A60" s="74" t="str">
        <f>VLOOKUP(A53,Panchanga!$A$3:$AA$463,18,TRUE)</f>
        <v>2Ma,11Me,9J, 11V,9S,3R</v>
      </c>
      <c r="B60" s="70" t="str">
        <f>VLOOKUP(B53,Panchanga!$A$3:$AA$463,18,TRUE)</f>
        <v>2Ma,11Me,9J, 11V,9S,3R</v>
      </c>
      <c r="C60" s="70" t="s">
        <v>38</v>
      </c>
      <c r="D60" s="70"/>
      <c r="E60" s="70"/>
      <c r="F60" s="70"/>
      <c r="G60" s="72"/>
    </row>
    <row r="61" spans="1:7" s="21" customFormat="1" ht="36" customHeight="1" x14ac:dyDescent="0.25">
      <c r="A61" s="74"/>
      <c r="B61" s="71"/>
      <c r="C61" s="71"/>
      <c r="D61" s="71"/>
      <c r="E61" s="71"/>
      <c r="F61" s="71"/>
      <c r="G61" s="73"/>
    </row>
    <row r="62" spans="1:7" ht="14.25" customHeight="1" thickBot="1" x14ac:dyDescent="0.55000000000000004">
      <c r="A62" s="46"/>
      <c r="B62" s="47"/>
      <c r="C62" s="47"/>
      <c r="D62" s="47"/>
      <c r="E62" s="47"/>
      <c r="F62" s="47"/>
      <c r="G62" s="69"/>
    </row>
    <row r="63" spans="1:7" ht="39" customHeight="1" thickBot="1" x14ac:dyDescent="0.55000000000000004">
      <c r="A63" s="43" t="s">
        <v>39</v>
      </c>
      <c r="B63" s="44"/>
      <c r="C63" s="44"/>
      <c r="D63" s="44"/>
      <c r="E63" s="44"/>
      <c r="F63" s="44"/>
      <c r="G63" s="45"/>
    </row>
    <row r="64" spans="1:7" ht="39" customHeight="1" thickBot="1" x14ac:dyDescent="0.5">
      <c r="A64" s="64" t="s">
        <v>30</v>
      </c>
      <c r="B64" s="65">
        <f>Lat</f>
        <v>13.5</v>
      </c>
      <c r="C64" s="66" t="s">
        <v>29</v>
      </c>
      <c r="D64" s="65">
        <f>Long</f>
        <v>80.23</v>
      </c>
      <c r="E64" s="66" t="s">
        <v>2</v>
      </c>
      <c r="F64" s="67">
        <f>TimeZone</f>
        <v>5.5</v>
      </c>
      <c r="G64" s="45"/>
    </row>
    <row r="65" spans="1:7" ht="34.5" thickBot="1" x14ac:dyDescent="0.55000000000000004">
      <c r="A65" s="43"/>
      <c r="B65" s="44"/>
      <c r="C65" s="44"/>
      <c r="D65" s="44"/>
      <c r="E65" s="44"/>
      <c r="F65" s="44"/>
      <c r="G65" s="45"/>
    </row>
    <row r="66" spans="1:7" s="22" customFormat="1" ht="173.25" customHeight="1" thickBot="1" x14ac:dyDescent="1.25">
      <c r="A66" s="79">
        <f>DATE(YEAR(A1),MONTH(A1)+1,1)</f>
        <v>43556</v>
      </c>
      <c r="B66" s="80"/>
      <c r="C66" s="80"/>
      <c r="D66" s="80"/>
      <c r="E66" s="80"/>
      <c r="F66" s="80"/>
      <c r="G66" s="81"/>
    </row>
    <row r="67" spans="1:7" s="24" customFormat="1" ht="45.75" thickBot="1" x14ac:dyDescent="0.5">
      <c r="A67" s="57">
        <v>1</v>
      </c>
      <c r="B67" s="58">
        <v>2</v>
      </c>
      <c r="C67" s="58">
        <v>3</v>
      </c>
      <c r="D67" s="58">
        <v>4</v>
      </c>
      <c r="E67" s="58">
        <v>5</v>
      </c>
      <c r="F67" s="58">
        <v>6</v>
      </c>
      <c r="G67" s="59">
        <v>7</v>
      </c>
    </row>
    <row r="68" spans="1:7" s="22" customFormat="1" ht="45" x14ac:dyDescent="0.5">
      <c r="A68" s="60">
        <f>A66-WEEKDAY(A66)+1</f>
        <v>43555</v>
      </c>
      <c r="B68" s="61">
        <f t="shared" ref="B68" si="5">A68+1</f>
        <v>43556</v>
      </c>
      <c r="C68" s="61">
        <f t="shared" ref="C68" si="6">B68+1</f>
        <v>43557</v>
      </c>
      <c r="D68" s="61">
        <f t="shared" ref="D68" si="7">C68+1</f>
        <v>43558</v>
      </c>
      <c r="E68" s="62">
        <f t="shared" ref="E68" si="8">D68+1</f>
        <v>43559</v>
      </c>
      <c r="F68" s="61">
        <f t="shared" ref="F68" si="9">E68+1</f>
        <v>43560</v>
      </c>
      <c r="G68" s="63">
        <f t="shared" ref="G68" si="10">F68+1</f>
        <v>43561</v>
      </c>
    </row>
    <row r="69" spans="1:7" s="21" customFormat="1" ht="36" customHeight="1" x14ac:dyDescent="0.5">
      <c r="A69" s="29" t="str">
        <f>TEXT(VLOOKUP(A68,Panchanga!$A$3:$AA$463,3,TRUE),"HH:MM AM/PM")&amp;" - "&amp;TEXT(VLOOKUP(A68,Panchanga!$A$3:$AA$463,4,TRUE),"HH:MM AM/PM")</f>
        <v>06:07 AM - 06:20 PM</v>
      </c>
      <c r="B69" s="30" t="str">
        <f>TEXT(VLOOKUP(B68,Panchanga!$A$3:$AA$463,3,TRUE),"HH:MM AM/PM")&amp;" - "&amp;TEXT(VLOOKUP(B68,Panchanga!$A$3:$AA$463,4,TRUE),"HH:MM AM/PM")</f>
        <v>06:07 AM - 06:20 PM</v>
      </c>
      <c r="C69" s="30" t="str">
        <f>TEXT(VLOOKUP(C68,Panchanga!$A$3:$AA$463,3,TRUE),"HH:MM AM/PM")&amp;" - "&amp;TEXT(VLOOKUP(C68,Panchanga!$A$3:$AA$463,4,TRUE),"HH:MM AM/PM")</f>
        <v>06:06 AM - 06:20 PM</v>
      </c>
      <c r="D69" s="30" t="str">
        <f>TEXT(VLOOKUP(D68,Panchanga!$A$3:$AA$463,3,TRUE),"HH:MM AM/PM")&amp;" - "&amp;TEXT(VLOOKUP(D68,Panchanga!$A$3:$AA$463,4,TRUE),"HH:MM AM/PM")</f>
        <v>06:05 AM - 06:20 PM</v>
      </c>
      <c r="E69" s="51" t="str">
        <f>TEXT(VLOOKUP(E68,Panchanga!$A$3:$AA$463,3,TRUE),"HH:MM AM/PM")&amp;" - "&amp;TEXT(VLOOKUP(E68,Panchanga!$A$3:$AA$463,4,TRUE),"HH:MM AM/PM")</f>
        <v>06:05 AM - 06:20 PM</v>
      </c>
      <c r="F69" s="30" t="str">
        <f>TEXT(VLOOKUP(F68,Panchanga!$A$3:$AA$463,3,TRUE),"HH:MM AM/PM")&amp;" - "&amp;TEXT(VLOOKUP(F68,Panchanga!$A$3:$AA$463,4,TRUE),"HH:MM AM/PM")</f>
        <v>06:04 AM - 06:20 PM</v>
      </c>
      <c r="G69" s="54" t="str">
        <f>TEXT(VLOOKUP(G68,Panchanga!$A$3:$AA$463,3,TRUE),"HH:MM AM/PM")&amp;" - "&amp;TEXT(VLOOKUP(G68,Panchanga!$A$3:$AA$463,4,TRUE),"HH:MM AM/PM")</f>
        <v>06:03 AM - 06:20 PM</v>
      </c>
    </row>
    <row r="70" spans="1:7" s="21" customFormat="1" ht="36" customHeight="1" x14ac:dyDescent="0.5">
      <c r="A70" s="32" t="str">
        <f>"Su="&amp;VLOOKUP(A68,Panchanga!$A$3:$AA$463,6,TRUE)&amp;",Mo="&amp;VLOOKUP(A68,Panchanga!$A$3:$AA$463,7,TRUE)</f>
        <v>Su=11s15.9,Mo=9s17.13</v>
      </c>
      <c r="B70" s="33" t="str">
        <f>"Su="&amp;VLOOKUP(B68,Panchanga!$A$3:$AA$463,6,TRUE)&amp;",Mo="&amp;VLOOKUP(B68,Panchanga!$A$3:$AA$463,7,TRUE)</f>
        <v>Su=11s16.89,Mo=9s28.91</v>
      </c>
      <c r="C70" s="33" t="str">
        <f>"Su="&amp;VLOOKUP(C68,Panchanga!$A$3:$AA$463,6,TRUE)&amp;",Mo="&amp;VLOOKUP(C68,Panchanga!$A$3:$AA$463,7,TRUE)</f>
        <v>Su=11s17.87,Mo=10s10.72</v>
      </c>
      <c r="D70" s="33" t="str">
        <f>"Su="&amp;VLOOKUP(D68,Panchanga!$A$3:$AA$463,6,TRUE)&amp;",Mo="&amp;VLOOKUP(D68,Panchanga!$A$3:$AA$463,7,TRUE)</f>
        <v>Su=11s18.86,Mo=10s22.64</v>
      </c>
      <c r="E70" s="52" t="str">
        <f>"Su="&amp;VLOOKUP(E68,Panchanga!$A$3:$AA$463,6,TRUE)&amp;",Mo="&amp;VLOOKUP(E68,Panchanga!$A$3:$AA$463,7,TRUE)</f>
        <v>Su=11s19.85,Mo=11s4.69</v>
      </c>
      <c r="F70" s="33" t="str">
        <f>"Su="&amp;VLOOKUP(F68,Panchanga!$A$3:$AA$463,6,TRUE)&amp;",Mo="&amp;VLOOKUP(F68,Panchanga!$A$3:$AA$463,7,TRUE)</f>
        <v>Su=11s20.83,Mo=11s16.92</v>
      </c>
      <c r="G70" s="55" t="str">
        <f>"Su="&amp;VLOOKUP(G68,Panchanga!$A$3:$AA$463,6,TRUE)&amp;",Mo="&amp;VLOOKUP(G68,Panchanga!$A$3:$AA$463,7,TRUE)</f>
        <v>Su=11s21.82,Mo=11s29.32</v>
      </c>
    </row>
    <row r="71" spans="1:7" s="21" customFormat="1" ht="36" customHeight="1" x14ac:dyDescent="0.5">
      <c r="A71" s="35" t="str">
        <f>VLOOKUP(A68,Panchanga!$A$3:$AA$463,9,TRUE)&amp;"-" &amp; TEXT(VLOOKUP(A68,Panchanga!$A$3:$AA$463,10,TRUE)," HH:MM AM/PM")</f>
        <v>Sravana- 06:46 PM</v>
      </c>
      <c r="B71" s="36" t="str">
        <f>VLOOKUP(B68,Panchanga!$A$3:$AA$463,9,TRUE)&amp;"-" &amp; TEXT(VLOOKUP(B68,Panchanga!$A$3:$AA$463,10,TRUE)," HH:MM AM/PM")</f>
        <v>Dhanistha- 09:52 PM</v>
      </c>
      <c r="C71" s="36" t="str">
        <f>VLOOKUP(C68,Panchanga!$A$3:$AA$463,9,TRUE)&amp;"-" &amp; TEXT(VLOOKUP(C68,Panchanga!$A$3:$AA$463,10,TRUE)," HH:MM AM/PM")</f>
        <v>Satabhisaj- 12:47 AM</v>
      </c>
      <c r="D71" s="36" t="str">
        <f>VLOOKUP(D68,Panchanga!$A$3:$AA$463,9,TRUE)&amp;"-" &amp; TEXT(VLOOKUP(D68,Panchanga!$A$3:$AA$463,10,TRUE)," HH:MM AM/PM")</f>
        <v>Purva Bhadrapada- 03:23 AM</v>
      </c>
      <c r="E71" s="53" t="str">
        <f>VLOOKUP(E68,Panchanga!$A$3:$AA$463,9,TRUE)&amp;"-" &amp; TEXT(VLOOKUP(E68,Panchanga!$A$3:$AA$463,10,TRUE)," HH:MM AM/PM")</f>
        <v>Uttara Bhadrapada- 05:35 AM</v>
      </c>
      <c r="F71" s="36" t="str">
        <f>VLOOKUP(F68,Panchanga!$A$3:$AA$463,9,TRUE)&amp;"-" &amp; TEXT(VLOOKUP(F68,Panchanga!$A$3:$AA$463,10,TRUE)," HH:MM AM/PM")</f>
        <v>Revati- 07:22 AM</v>
      </c>
      <c r="G71" s="56" t="str">
        <f>VLOOKUP(G68,Panchanga!$A$3:$AA$463,9,TRUE)&amp;"-" &amp; TEXT(VLOOKUP(G68,Panchanga!$A$3:$AA$463,10,TRUE)," HH:MM AM/PM")</f>
        <v>Revati- 06:00 AM</v>
      </c>
    </row>
    <row r="72" spans="1:7" s="21" customFormat="1" ht="36" customHeight="1" x14ac:dyDescent="0.5">
      <c r="A72" s="35" t="str">
        <f>VLOOKUP(A68,Panchanga!$A$3:$AA$463,11,TRUE)&amp;" " &amp;VLOOKUP(A68,Panchanga!$A$3:$AA$463,27,TRUE)</f>
        <v>K11 (25.1) 06:03 AM</v>
      </c>
      <c r="B72" s="36" t="str">
        <f>VLOOKUP(B68,Panchanga!$A$3:$AA$463,11,TRUE)&amp;" " &amp;VLOOKUP(B68,Panchanga!$A$3:$AA$463,27,TRUE)</f>
        <v>K12 (26) 08:39 AM</v>
      </c>
      <c r="C72" s="36" t="str">
        <f>VLOOKUP(C68,Panchanga!$A$3:$AA$463,11,TRUE)&amp;" " &amp;VLOOKUP(C68,Panchanga!$A$3:$AA$463,27,TRUE)</f>
        <v>K12 (26.9) 08:37 AM</v>
      </c>
      <c r="D72" s="36" t="str">
        <f>VLOOKUP(D68,Panchanga!$A$3:$AA$463,11,TRUE)&amp;" " &amp;VLOOKUP(D68,Panchanga!$A$3:$AA$463,27,TRUE)</f>
        <v>K13 (27.81) 10:54 AM</v>
      </c>
      <c r="E72" s="53" t="str">
        <f>VLOOKUP(E68,Panchanga!$A$3:$AA$463,11,TRUE)&amp;" " &amp;VLOOKUP(E68,Panchanga!$A$3:$AA$463,27,TRUE)</f>
        <v>K14 (28.74) 12:48 PM</v>
      </c>
      <c r="F72" s="36" t="str">
        <f>VLOOKUP(F68,Panchanga!$A$3:$AA$463,11,TRUE)&amp;" " &amp;VLOOKUP(F68,Panchanga!$A$3:$AA$463,27,TRUE)</f>
        <v>K15 (29.67) 02:17 PM</v>
      </c>
      <c r="G72" s="56" t="str">
        <f>VLOOKUP(G68,Panchanga!$A$3:$AA$463,11,TRUE)&amp;" " &amp;VLOOKUP(G68,Panchanga!$A$3:$AA$463,27,TRUE)</f>
        <v>S1 (0.63) 03:20 PM</v>
      </c>
    </row>
    <row r="73" spans="1:7" s="21" customFormat="1" ht="36" customHeight="1" x14ac:dyDescent="0.5">
      <c r="A73" s="38" t="str">
        <f>VLOOKUP(A68,Panchanga!$A$3:$AA$463,13,TRUE)</f>
        <v>Bhava</v>
      </c>
      <c r="B73" s="39" t="str">
        <f>VLOOKUP(B68,Panchanga!$A$3:$AA$463,13,TRUE)</f>
        <v>Kaulava</v>
      </c>
      <c r="C73" s="39" t="str">
        <f>VLOOKUP(C68,Panchanga!$A$3:$AA$463,13,TRUE)</f>
        <v>Taitula</v>
      </c>
      <c r="D73" s="39" t="str">
        <f>VLOOKUP(D68,Panchanga!$A$3:$AA$463,13,TRUE)</f>
        <v>Vanija</v>
      </c>
      <c r="E73" s="48" t="str">
        <f>VLOOKUP(E68,Panchanga!$A$3:$AA$463,13,TRUE)</f>
        <v>Shakuni</v>
      </c>
      <c r="F73" s="39" t="str">
        <f>VLOOKUP(F68,Panchanga!$A$3:$AA$463,13,TRUE)</f>
        <v>Naaga</v>
      </c>
      <c r="G73" s="49" t="str">
        <f>VLOOKUP(G68,Panchanga!$A$3:$AA$463,13,TRUE)</f>
        <v>Bhava</v>
      </c>
    </row>
    <row r="74" spans="1:7" s="21" customFormat="1" ht="36" customHeight="1" x14ac:dyDescent="0.5">
      <c r="A74" s="38" t="str">
        <f>VLOOKUP(A68,Panchanga!$A$3:$AA$463,14,TRUE)</f>
        <v>siddha (20.48)</v>
      </c>
      <c r="B74" s="39" t="str">
        <f>VLOOKUP(B68,Panchanga!$A$3:$AA$463,14,TRUE)</f>
        <v>sādhya (21.44)</v>
      </c>
      <c r="C74" s="39" t="str">
        <f>VLOOKUP(C68,Panchanga!$A$3:$AA$463,14,TRUE)</f>
        <v>śubha (22.4)</v>
      </c>
      <c r="D74" s="39" t="str">
        <f>VLOOKUP(D68,Panchanga!$A$3:$AA$463,14,TRUE)</f>
        <v>śukla (23.37)</v>
      </c>
      <c r="E74" s="48" t="str">
        <f>VLOOKUP(E68,Panchanga!$A$3:$AA$463,14,TRUE)</f>
        <v>brahma (24.34)</v>
      </c>
      <c r="F74" s="39" t="str">
        <f>VLOOKUP(F68,Panchanga!$A$3:$AA$463,14,TRUE)</f>
        <v>mahendra (25.34)</v>
      </c>
      <c r="G74" s="49" t="str">
        <f>VLOOKUP(G68,Panchanga!$A$3:$AA$463,14,TRUE)</f>
        <v>vaidhṛti (26.34)</v>
      </c>
    </row>
    <row r="75" spans="1:7" s="50" customFormat="1" ht="36" customHeight="1" x14ac:dyDescent="0.25">
      <c r="A75" s="74" t="str">
        <f>VLOOKUP(A68,Panchanga!$A$3:$AA$463,18,TRUE)</f>
        <v>2Ma,11Me,9J, 11V,9S,3R</v>
      </c>
      <c r="B75" s="70" t="str">
        <f>VLOOKUP(B68,Panchanga!$A$3:$AA$463,18,TRUE)</f>
        <v>2Ma,11Me,9J, 11V,9S,3R</v>
      </c>
      <c r="C75" s="70" t="str">
        <f>VLOOKUP(C68,Panchanga!$A$3:$AA$463,18,TRUE)</f>
        <v>2Ma,11Me,9J, 11V,9S,3R</v>
      </c>
      <c r="D75" s="70" t="str">
        <f>VLOOKUP(D68,Panchanga!$A$3:$AA$463,18,TRUE)</f>
        <v>2Ma,11Me,9J, 11V,9S,3R</v>
      </c>
      <c r="E75" s="77" t="str">
        <f>VLOOKUP(E68,Panchanga!$A$3:$AA$463,18,TRUE)</f>
        <v>2Ma,11Me,9J, 11V,9S,3R</v>
      </c>
      <c r="F75" s="70" t="str">
        <f>VLOOKUP(F68,Panchanga!$A$3:$AA$463,18,TRUE)</f>
        <v>2Ma,11Me,9J, 11V,9S,3R</v>
      </c>
      <c r="G75" s="75" t="str">
        <f>VLOOKUP(G68,Panchanga!$A$3:$AA$463,18,TRUE)</f>
        <v>2Ma,11Me,9J, 11V,9S,3R</v>
      </c>
    </row>
    <row r="76" spans="1:7" s="50" customFormat="1" ht="36" customHeight="1" x14ac:dyDescent="0.25">
      <c r="A76" s="74"/>
      <c r="B76" s="71"/>
      <c r="C76" s="71"/>
      <c r="D76" s="71"/>
      <c r="E76" s="78"/>
      <c r="F76" s="71"/>
      <c r="G76" s="76"/>
    </row>
    <row r="77" spans="1:7" ht="14.25" customHeight="1" thickBot="1" x14ac:dyDescent="0.55000000000000004">
      <c r="A77" s="46"/>
      <c r="B77" s="47"/>
      <c r="C77" s="47"/>
      <c r="D77" s="47"/>
      <c r="E77" s="41"/>
      <c r="F77" s="47"/>
      <c r="G77" s="42"/>
    </row>
    <row r="78" spans="1:7" s="22" customFormat="1" ht="45" x14ac:dyDescent="0.5">
      <c r="A78" s="60">
        <f>G68+1</f>
        <v>43562</v>
      </c>
      <c r="B78" s="61">
        <f t="shared" ref="B78" si="11">A78+1</f>
        <v>43563</v>
      </c>
      <c r="C78" s="61">
        <f t="shared" ref="C78" si="12">B78+1</f>
        <v>43564</v>
      </c>
      <c r="D78" s="61">
        <f t="shared" ref="D78" si="13">C78+1</f>
        <v>43565</v>
      </c>
      <c r="E78" s="62">
        <f t="shared" ref="E78" si="14">D78+1</f>
        <v>43566</v>
      </c>
      <c r="F78" s="61">
        <f t="shared" ref="F78" si="15">E78+1</f>
        <v>43567</v>
      </c>
      <c r="G78" s="63">
        <f t="shared" ref="G78" si="16">F78+1</f>
        <v>43568</v>
      </c>
    </row>
    <row r="79" spans="1:7" s="21" customFormat="1" ht="36" customHeight="1" x14ac:dyDescent="0.5">
      <c r="A79" s="29" t="str">
        <f>TEXT(VLOOKUP(A78,Panchanga!$A$3:$AA$463,3,TRUE),"HH:MM AM/PM")&amp;" - "&amp;TEXT(VLOOKUP(A78,Panchanga!$A$3:$AA$463,4,TRUE),"HH:MM AM/PM")</f>
        <v>06:03 AM - 06:20 PM</v>
      </c>
      <c r="B79" s="30" t="str">
        <f>TEXT(VLOOKUP(B78,Panchanga!$A$3:$AA$463,3,TRUE),"HH:MM AM/PM")&amp;" - "&amp;TEXT(VLOOKUP(B78,Panchanga!$A$3:$AA$463,4,TRUE),"HH:MM AM/PM")</f>
        <v>06:02 AM - 06:20 PM</v>
      </c>
      <c r="C79" s="30" t="str">
        <f>TEXT(VLOOKUP(C78,Panchanga!$A$3:$AA$463,3,TRUE),"HH:MM AM/PM")&amp;" - "&amp;TEXT(VLOOKUP(C78,Panchanga!$A$3:$AA$463,4,TRUE),"HH:MM AM/PM")</f>
        <v>06:01 AM - 06:21 PM</v>
      </c>
      <c r="D79" s="30" t="str">
        <f>TEXT(VLOOKUP(D78,Panchanga!$A$3:$AA$463,3,TRUE),"HH:MM AM/PM")&amp;" - "&amp;TEXT(VLOOKUP(D78,Panchanga!$A$3:$AA$463,4,TRUE),"HH:MM AM/PM")</f>
        <v>06:01 AM - 06:21 PM</v>
      </c>
      <c r="E79" s="51" t="str">
        <f>TEXT(VLOOKUP(E78,Panchanga!$A$3:$AA$463,3,TRUE),"HH:MM AM/PM")&amp;" - "&amp;TEXT(VLOOKUP(E78,Panchanga!$A$3:$AA$463,4,TRUE),"HH:MM AM/PM")</f>
        <v>06:00 AM - 06:21 PM</v>
      </c>
      <c r="F79" s="30" t="str">
        <f>TEXT(VLOOKUP(F78,Panchanga!$A$3:$AA$463,3,TRUE),"HH:MM AM/PM")&amp;" - "&amp;TEXT(VLOOKUP(F78,Panchanga!$A$3:$AA$463,4,TRUE),"HH:MM AM/PM")</f>
        <v>05:59 AM - 06:21 PM</v>
      </c>
      <c r="G79" s="54" t="str">
        <f>TEXT(VLOOKUP(G78,Panchanga!$A$3:$AA$463,3,TRUE),"HH:MM AM/PM")&amp;" - "&amp;TEXT(VLOOKUP(G78,Panchanga!$A$3:$AA$463,4,TRUE),"HH:MM AM/PM")</f>
        <v>05:59 AM - 06:21 PM</v>
      </c>
    </row>
    <row r="80" spans="1:7" s="21" customFormat="1" ht="36" customHeight="1" x14ac:dyDescent="0.5">
      <c r="A80" s="32" t="str">
        <f>"Su="&amp;VLOOKUP(A78,Panchanga!$A$3:$AA$463,6,TRUE)&amp;",Mo="&amp;VLOOKUP(A78,Panchanga!$A$3:$AA$463,7,TRUE)</f>
        <v>Su=11s22.8,Mo=0s11.92</v>
      </c>
      <c r="B80" s="33" t="str">
        <f>"Su="&amp;VLOOKUP(B78,Panchanga!$A$3:$AA$463,6,TRUE)&amp;",Mo="&amp;VLOOKUP(B78,Panchanga!$A$3:$AA$463,7,TRUE)</f>
        <v>Su=11s23.78,Mo=0s24.7</v>
      </c>
      <c r="C80" s="33" t="str">
        <f>"Su="&amp;VLOOKUP(C78,Panchanga!$A$3:$AA$463,6,TRUE)&amp;",Mo="&amp;VLOOKUP(C78,Panchanga!$A$3:$AA$463,7,TRUE)</f>
        <v>Su=11s24.77,Mo=1s7.67</v>
      </c>
      <c r="D80" s="33" t="str">
        <f>"Su="&amp;VLOOKUP(D78,Panchanga!$A$3:$AA$463,6,TRUE)&amp;",Mo="&amp;VLOOKUP(D78,Panchanga!$A$3:$AA$463,7,TRUE)</f>
        <v>Su=11s25.75,Mo=1s20.83</v>
      </c>
      <c r="E80" s="52" t="str">
        <f>"Su="&amp;VLOOKUP(E78,Panchanga!$A$3:$AA$463,6,TRUE)&amp;",Mo="&amp;VLOOKUP(E78,Panchanga!$A$3:$AA$463,7,TRUE)</f>
        <v>Su=11s26.73,Mo=2s4.19</v>
      </c>
      <c r="F80" s="33" t="str">
        <f>"Su="&amp;VLOOKUP(F78,Panchanga!$A$3:$AA$463,6,TRUE)&amp;",Mo="&amp;VLOOKUP(F78,Panchanga!$A$3:$AA$463,7,TRUE)</f>
        <v>Su=11s27.71,Mo=2s17.78</v>
      </c>
      <c r="G80" s="55" t="str">
        <f>"Su="&amp;VLOOKUP(G78,Panchanga!$A$3:$AA$463,6,TRUE)&amp;",Mo="&amp;VLOOKUP(G78,Panchanga!$A$3:$AA$463,7,TRUE)</f>
        <v>Su=11s28.69,Mo=3s1.6</v>
      </c>
    </row>
    <row r="81" spans="1:7" s="21" customFormat="1" ht="36" customHeight="1" x14ac:dyDescent="0.5">
      <c r="A81" s="35" t="str">
        <f>VLOOKUP(A78,Panchanga!$A$3:$AA$463,9,TRUE)&amp;"-" &amp; TEXT(VLOOKUP(A78,Panchanga!$A$3:$AA$463,10,TRUE)," HH:MM AM/PM")</f>
        <v>Aswini- 08:42 AM</v>
      </c>
      <c r="B81" s="36" t="str">
        <f>VLOOKUP(B78,Panchanga!$A$3:$AA$463,9,TRUE)&amp;"-" &amp; TEXT(VLOOKUP(B78,Panchanga!$A$3:$AA$463,10,TRUE)," HH:MM AM/PM")</f>
        <v>Bharani- 09:41 AM</v>
      </c>
      <c r="C81" s="36" t="str">
        <f>VLOOKUP(C78,Panchanga!$A$3:$AA$463,9,TRUE)&amp;"-" &amp; TEXT(VLOOKUP(C78,Panchanga!$A$3:$AA$463,10,TRUE)," HH:MM AM/PM")</f>
        <v>Krittika- 10:17 AM</v>
      </c>
      <c r="D81" s="36" t="str">
        <f>VLOOKUP(D78,Panchanga!$A$3:$AA$463,9,TRUE)&amp;"-" &amp; TEXT(VLOOKUP(D78,Panchanga!$A$3:$AA$463,10,TRUE)," HH:MM AM/PM")</f>
        <v>Rohini- 10:31 AM</v>
      </c>
      <c r="E81" s="53" t="str">
        <f>VLOOKUP(E78,Panchanga!$A$3:$AA$463,9,TRUE)&amp;"-" &amp; TEXT(VLOOKUP(E78,Panchanga!$A$3:$AA$463,10,TRUE)," HH:MM AM/PM")</f>
        <v>Mrigashira- 10:23 AM</v>
      </c>
      <c r="F81" s="36" t="str">
        <f>VLOOKUP(F78,Panchanga!$A$3:$AA$463,9,TRUE)&amp;"-" &amp; TEXT(VLOOKUP(F78,Panchanga!$A$3:$AA$463,10,TRUE)," HH:MM AM/PM")</f>
        <v>Ardra- 09:51 AM</v>
      </c>
      <c r="G81" s="56" t="str">
        <f>VLOOKUP(G78,Panchanga!$A$3:$AA$463,9,TRUE)&amp;"-" &amp; TEXT(VLOOKUP(G78,Panchanga!$A$3:$AA$463,10,TRUE)," HH:MM AM/PM")</f>
        <v>Punarvasu- 08:56 AM</v>
      </c>
    </row>
    <row r="82" spans="1:7" s="21" customFormat="1" ht="36" customHeight="1" x14ac:dyDescent="0.5">
      <c r="A82" s="35" t="str">
        <f>VLOOKUP(A78,Panchanga!$A$3:$AA$463,11,TRUE)&amp;" " &amp;VLOOKUP(A78,Panchanga!$A$3:$AA$463,27,TRUE)</f>
        <v>S2 (1.59) 03:58 PM</v>
      </c>
      <c r="B82" s="36" t="str">
        <f>VLOOKUP(B78,Panchanga!$A$3:$AA$463,11,TRUE)&amp;" " &amp;VLOOKUP(B78,Panchanga!$A$3:$AA$463,27,TRUE)</f>
        <v>S3 (2.58) 04:12 PM</v>
      </c>
      <c r="C82" s="36" t="str">
        <f>VLOOKUP(C78,Panchanga!$A$3:$AA$463,11,TRUE)&amp;" " &amp;VLOOKUP(C78,Panchanga!$A$3:$AA$463,27,TRUE)</f>
        <v>S4 (3.58) 04:04 PM</v>
      </c>
      <c r="D82" s="36" t="str">
        <f>VLOOKUP(D78,Panchanga!$A$3:$AA$463,11,TRUE)&amp;" " &amp;VLOOKUP(D78,Panchanga!$A$3:$AA$463,27,TRUE)</f>
        <v>S5 (4.59) 03:32 PM</v>
      </c>
      <c r="E82" s="53" t="str">
        <f>VLOOKUP(E78,Panchanga!$A$3:$AA$463,11,TRUE)&amp;" " &amp;VLOOKUP(E78,Panchanga!$A$3:$AA$463,27,TRUE)</f>
        <v>S6 (5.62) 02:38 PM</v>
      </c>
      <c r="F82" s="36" t="str">
        <f>VLOOKUP(F78,Panchanga!$A$3:$AA$463,11,TRUE)&amp;" " &amp;VLOOKUP(F78,Panchanga!$A$3:$AA$463,27,TRUE)</f>
        <v>S7 (6.67) 01:20 PM</v>
      </c>
      <c r="G82" s="56" t="str">
        <f>VLOOKUP(G78,Panchanga!$A$3:$AA$463,11,TRUE)&amp;" " &amp;VLOOKUP(G78,Panchanga!$A$3:$AA$463,27,TRUE)</f>
        <v>S8 (7.74) 11:38 AM</v>
      </c>
    </row>
    <row r="83" spans="1:7" s="21" customFormat="1" ht="36" customHeight="1" x14ac:dyDescent="0.5">
      <c r="A83" s="38" t="str">
        <f>VLOOKUP(A78,Panchanga!$A$3:$AA$463,13,TRUE)</f>
        <v>Kaulava</v>
      </c>
      <c r="B83" s="39" t="str">
        <f>VLOOKUP(B78,Panchanga!$A$3:$AA$463,13,TRUE)</f>
        <v>Garija</v>
      </c>
      <c r="C83" s="39" t="str">
        <f>VLOOKUP(C78,Panchanga!$A$3:$AA$463,13,TRUE)</f>
        <v>Vishti</v>
      </c>
      <c r="D83" s="39" t="str">
        <f>VLOOKUP(D78,Panchanga!$A$3:$AA$463,13,TRUE)</f>
        <v>Baalava</v>
      </c>
      <c r="E83" s="48" t="str">
        <f>VLOOKUP(E78,Panchanga!$A$3:$AA$463,13,TRUE)</f>
        <v>Taitula</v>
      </c>
      <c r="F83" s="39" t="str">
        <f>VLOOKUP(F78,Panchanga!$A$3:$AA$463,13,TRUE)</f>
        <v>Vanija</v>
      </c>
      <c r="G83" s="49" t="str">
        <f>VLOOKUP(G78,Panchanga!$A$3:$AA$463,13,TRUE)</f>
        <v>Bhava</v>
      </c>
    </row>
    <row r="84" spans="1:7" s="21" customFormat="1" ht="36" customHeight="1" x14ac:dyDescent="0.5">
      <c r="A84" s="38" t="str">
        <f>VLOOKUP(A78,Panchanga!$A$3:$AA$463,14,TRUE)</f>
        <v>viṣkambha (0.36)</v>
      </c>
      <c r="B84" s="39" t="str">
        <f>VLOOKUP(B78,Panchanga!$A$3:$AA$463,14,TRUE)</f>
        <v>prīti (1.39)</v>
      </c>
      <c r="C84" s="39" t="str">
        <f>VLOOKUP(C78,Panchanga!$A$3:$AA$463,14,TRUE)</f>
        <v>āyuṣmāna (2.44)</v>
      </c>
      <c r="D84" s="39" t="str">
        <f>VLOOKUP(D78,Panchanga!$A$3:$AA$463,14,TRUE)</f>
        <v>saubhāgya (3.5)</v>
      </c>
      <c r="E84" s="48" t="str">
        <f>VLOOKUP(E78,Panchanga!$A$3:$AA$463,14,TRUE)</f>
        <v>śobhana (4.57)</v>
      </c>
      <c r="F84" s="39" t="str">
        <f>VLOOKUP(F78,Panchanga!$A$3:$AA$463,14,TRUE)</f>
        <v>atigaṇḍa  (5.67)</v>
      </c>
      <c r="G84" s="49" t="str">
        <f>VLOOKUP(G78,Panchanga!$A$3:$AA$463,14,TRUE)</f>
        <v>sukarmā  (6.78)</v>
      </c>
    </row>
    <row r="85" spans="1:7" s="21" customFormat="1" ht="36" customHeight="1" x14ac:dyDescent="0.25">
      <c r="A85" s="74" t="str">
        <f>VLOOKUP(A78,Panchanga!$A$3:$AA$463,18,TRUE)</f>
        <v>2Ma,11Me,9J, 11V,9S,3R</v>
      </c>
      <c r="B85" s="70" t="str">
        <f>VLOOKUP(B78,Panchanga!$A$3:$AA$463,18,TRUE)</f>
        <v>2Ma,11Me,9J, 11V,9S,3R</v>
      </c>
      <c r="C85" s="70" t="str">
        <f>VLOOKUP(C78,Panchanga!$A$3:$AA$463,18,TRUE)</f>
        <v>2Ma,11Me,9J, 11V,9S,3R</v>
      </c>
      <c r="D85" s="70" t="str">
        <f>VLOOKUP(D78,Panchanga!$A$3:$AA$463,18,TRUE)</f>
        <v>2Ma,11Me,9J, 11V,9S,3R</v>
      </c>
      <c r="E85" s="77" t="str">
        <f>VLOOKUP(E78,Panchanga!$A$3:$AA$463,18,TRUE)</f>
        <v>2Ma,11Me,-9J, 11V,9S,3R</v>
      </c>
      <c r="F85" s="70" t="str">
        <f>VLOOKUP(F78,Panchanga!$A$3:$AA$463,18,TRUE)</f>
        <v>2Ma,12Me,-9J, 11V,9S,3R</v>
      </c>
      <c r="G85" s="75" t="str">
        <f>VLOOKUP(G78,Panchanga!$A$3:$AA$463,18,TRUE)</f>
        <v>2Ma,12Me,-9J, 11V,9S,3R</v>
      </c>
    </row>
    <row r="86" spans="1:7" s="21" customFormat="1" ht="36" customHeight="1" x14ac:dyDescent="0.25">
      <c r="A86" s="74"/>
      <c r="B86" s="71"/>
      <c r="C86" s="71"/>
      <c r="D86" s="71"/>
      <c r="E86" s="78"/>
      <c r="F86" s="71"/>
      <c r="G86" s="76"/>
    </row>
    <row r="87" spans="1:7" ht="14.25" customHeight="1" thickBot="1" x14ac:dyDescent="0.55000000000000004">
      <c r="A87" s="46"/>
      <c r="B87" s="47"/>
      <c r="C87" s="47"/>
      <c r="D87" s="47"/>
      <c r="E87" s="41"/>
      <c r="F87" s="47"/>
      <c r="G87" s="42"/>
    </row>
    <row r="88" spans="1:7" s="23" customFormat="1" ht="45" x14ac:dyDescent="0.35">
      <c r="A88" s="60">
        <f>G78+1</f>
        <v>43569</v>
      </c>
      <c r="B88" s="61">
        <f t="shared" ref="B88" si="17">A88+1</f>
        <v>43570</v>
      </c>
      <c r="C88" s="61">
        <f t="shared" ref="C88" si="18">B88+1</f>
        <v>43571</v>
      </c>
      <c r="D88" s="61">
        <f t="shared" ref="D88" si="19">C88+1</f>
        <v>43572</v>
      </c>
      <c r="E88" s="62">
        <f t="shared" ref="E88" si="20">D88+1</f>
        <v>43573</v>
      </c>
      <c r="F88" s="61">
        <f t="shared" ref="F88" si="21">E88+1</f>
        <v>43574</v>
      </c>
      <c r="G88" s="63">
        <f t="shared" ref="G88" si="22">F88+1</f>
        <v>43575</v>
      </c>
    </row>
    <row r="89" spans="1:7" s="21" customFormat="1" ht="36" customHeight="1" x14ac:dyDescent="0.5">
      <c r="A89" s="29" t="str">
        <f>TEXT(VLOOKUP(A88,Panchanga!$A$3:$AA$463,3,TRUE),"HH:MM AM/PM")&amp;" - "&amp;TEXT(VLOOKUP(A88,Panchanga!$A$3:$AA$463,4,TRUE),"HH:MM AM/PM")</f>
        <v>05:58 AM - 06:21 PM</v>
      </c>
      <c r="B89" s="30" t="str">
        <f>TEXT(VLOOKUP(B88,Panchanga!$A$3:$AA$463,3,TRUE),"HH:MM AM/PM")&amp;" - "&amp;TEXT(VLOOKUP(B88,Panchanga!$A$3:$AA$463,4,TRUE),"HH:MM AM/PM")</f>
        <v>05:58 AM - 06:21 PM</v>
      </c>
      <c r="C89" s="30" t="str">
        <f>TEXT(VLOOKUP(C88,Panchanga!$A$3:$AA$463,3,TRUE),"HH:MM AM/PM")&amp;" - "&amp;TEXT(VLOOKUP(C88,Panchanga!$A$3:$AA$463,4,TRUE),"HH:MM AM/PM")</f>
        <v>05:57 AM - 06:21 PM</v>
      </c>
      <c r="D89" s="30" t="str">
        <f>TEXT(VLOOKUP(D88,Panchanga!$A$3:$AA$463,3,TRUE),"HH:MM AM/PM")&amp;" - "&amp;TEXT(VLOOKUP(D88,Panchanga!$A$3:$AA$463,4,TRUE),"HH:MM AM/PM")</f>
        <v>05:56 AM - 06:21 PM</v>
      </c>
      <c r="E89" s="51" t="str">
        <f>TEXT(VLOOKUP(E88,Panchanga!$A$3:$AA$463,3,TRUE),"HH:MM AM/PM")&amp;" - "&amp;TEXT(VLOOKUP(E88,Panchanga!$A$3:$AA$463,4,TRUE),"HH:MM AM/PM")</f>
        <v>05:56 AM - 06:22 PM</v>
      </c>
      <c r="F89" s="30" t="str">
        <f>TEXT(VLOOKUP(F88,Panchanga!$A$3:$AA$463,3,TRUE),"HH:MM AM/PM")&amp;" - "&amp;TEXT(VLOOKUP(F88,Panchanga!$A$3:$AA$463,4,TRUE),"HH:MM AM/PM")</f>
        <v>05:55 AM - 06:22 PM</v>
      </c>
      <c r="G89" s="54" t="str">
        <f>TEXT(VLOOKUP(G88,Panchanga!$A$3:$AA$463,3,TRUE),"HH:MM AM/PM")&amp;" - "&amp;TEXT(VLOOKUP(G88,Panchanga!$A$3:$AA$463,4,TRUE),"HH:MM AM/PM")</f>
        <v>05:55 AM - 06:22 PM</v>
      </c>
    </row>
    <row r="90" spans="1:7" s="21" customFormat="1" ht="36" customHeight="1" x14ac:dyDescent="0.5">
      <c r="A90" s="32" t="str">
        <f>"Su="&amp;VLOOKUP(A88,Panchanga!$A$3:$AA$463,6,TRUE)&amp;",Mo="&amp;VLOOKUP(A88,Panchanga!$A$3:$AA$463,7,TRUE)</f>
        <v>Su=11s29.67,Mo=3s15.68</v>
      </c>
      <c r="B90" s="33" t="str">
        <f>"Su="&amp;VLOOKUP(B88,Panchanga!$A$3:$AA$463,6,TRUE)&amp;",Mo="&amp;VLOOKUP(B88,Panchanga!$A$3:$AA$463,7,TRUE)</f>
        <v>Su=0s0.65,Mo=3s30</v>
      </c>
      <c r="C90" s="33" t="str">
        <f>"Su="&amp;VLOOKUP(C88,Panchanga!$A$3:$AA$463,6,TRUE)&amp;",Mo="&amp;VLOOKUP(C88,Panchanga!$A$3:$AA$463,7,TRUE)</f>
        <v>Su=0s1.63,Mo=4s14.52</v>
      </c>
      <c r="D90" s="33" t="str">
        <f>"Su="&amp;VLOOKUP(D88,Panchanga!$A$3:$AA$463,6,TRUE)&amp;",Mo="&amp;VLOOKUP(D88,Panchanga!$A$3:$AA$463,7,TRUE)</f>
        <v>Su=0s2.61,Mo=4s29.19</v>
      </c>
      <c r="E90" s="52" t="str">
        <f>"Su="&amp;VLOOKUP(E88,Panchanga!$A$3:$AA$463,6,TRUE)&amp;",Mo="&amp;VLOOKUP(E88,Panchanga!$A$3:$AA$463,7,TRUE)</f>
        <v>Su=0s3.58,Mo=5s13.89</v>
      </c>
      <c r="F90" s="33" t="str">
        <f>"Su="&amp;VLOOKUP(F88,Panchanga!$A$3:$AA$463,6,TRUE)&amp;",Mo="&amp;VLOOKUP(F88,Panchanga!$A$3:$AA$463,7,TRUE)</f>
        <v>Su=0s4.56,Mo=5s28.5</v>
      </c>
      <c r="G90" s="55" t="str">
        <f>"Su="&amp;VLOOKUP(G88,Panchanga!$A$3:$AA$463,6,TRUE)&amp;",Mo="&amp;VLOOKUP(G88,Panchanga!$A$3:$AA$463,7,TRUE)</f>
        <v>Su=0s5.54,Mo=6s12.9</v>
      </c>
    </row>
    <row r="91" spans="1:7" s="21" customFormat="1" ht="36" customHeight="1" x14ac:dyDescent="0.5">
      <c r="A91" s="35" t="str">
        <f>VLOOKUP(A88,Panchanga!$A$3:$AA$463,9,TRUE)&amp;"-" &amp; TEXT(VLOOKUP(A88,Panchanga!$A$3:$AA$463,10,TRUE)," HH:MM AM/PM")</f>
        <v>Pushya- 07:38 AM</v>
      </c>
      <c r="B91" s="36" t="str">
        <f>VLOOKUP(B88,Panchanga!$A$3:$AA$463,9,TRUE)&amp;"-" &amp; TEXT(VLOOKUP(B88,Panchanga!$A$3:$AA$463,10,TRUE)," HH:MM AM/PM")</f>
        <v>Makha- 05:58 AM</v>
      </c>
      <c r="C91" s="36" t="str">
        <f>VLOOKUP(C88,Panchanga!$A$3:$AA$463,9,TRUE)&amp;"-" &amp; TEXT(VLOOKUP(C88,Panchanga!$A$3:$AA$463,10,TRUE)," HH:MM AM/PM")</f>
        <v>Purva Phalguni- 01:49 AM</v>
      </c>
      <c r="D91" s="36" t="str">
        <f>VLOOKUP(D88,Panchanga!$A$3:$AA$463,9,TRUE)&amp;"-" &amp; TEXT(VLOOKUP(D88,Panchanga!$A$3:$AA$463,10,TRUE)," HH:MM AM/PM")</f>
        <v>Uttara Phalguni- 11:35 PM</v>
      </c>
      <c r="E91" s="53" t="str">
        <f>VLOOKUP(E88,Panchanga!$A$3:$AA$463,9,TRUE)&amp;"-" &amp; TEXT(VLOOKUP(E88,Panchanga!$A$3:$AA$463,10,TRUE)," HH:MM AM/PM")</f>
        <v>Hasta- 09:26 PM</v>
      </c>
      <c r="F91" s="36" t="str">
        <f>VLOOKUP(F88,Panchanga!$A$3:$AA$463,9,TRUE)&amp;"-" &amp; TEXT(VLOOKUP(F88,Panchanga!$A$3:$AA$463,10,TRUE)," HH:MM AM/PM")</f>
        <v>Chitra- 07:32 PM</v>
      </c>
      <c r="G91" s="56" t="str">
        <f>VLOOKUP(G88,Panchanga!$A$3:$AA$463,9,TRUE)&amp;"-" &amp; TEXT(VLOOKUP(G88,Panchanga!$A$3:$AA$463,10,TRUE)," HH:MM AM/PM")</f>
        <v>Swati- 06:02 PM</v>
      </c>
    </row>
    <row r="92" spans="1:7" s="21" customFormat="1" ht="36" customHeight="1" x14ac:dyDescent="0.5">
      <c r="A92" s="35" t="str">
        <f>VLOOKUP(A88,Panchanga!$A$3:$AA$463,11,TRUE)&amp;" " &amp;VLOOKUP(A88,Panchanga!$A$3:$AA$463,27,TRUE)</f>
        <v>S9 (8.83) 09:33 AM</v>
      </c>
      <c r="B92" s="36" t="str">
        <f>VLOOKUP(B88,Panchanga!$A$3:$AA$463,11,TRUE)&amp;" " &amp;VLOOKUP(B88,Panchanga!$A$3:$AA$463,27,TRUE)</f>
        <v>S10 (9.95) 07:07 AM</v>
      </c>
      <c r="C92" s="36" t="str">
        <f>VLOOKUP(C88,Panchanga!$A$3:$AA$463,11,TRUE)&amp;" " &amp;VLOOKUP(C88,Panchanga!$A$3:$AA$463,27,TRUE)</f>
        <v>S12 (11.07) 01:25 AM</v>
      </c>
      <c r="D92" s="36" t="str">
        <f>VLOOKUP(D88,Panchanga!$A$3:$AA$463,11,TRUE)&amp;" " &amp;VLOOKUP(D88,Panchanga!$A$3:$AA$463,27,TRUE)</f>
        <v>S13 (12.22) 10:24 PM</v>
      </c>
      <c r="E92" s="53" t="str">
        <f>VLOOKUP(E88,Panchanga!$A$3:$AA$463,11,TRUE)&amp;" " &amp;VLOOKUP(E88,Panchanga!$A$3:$AA$463,27,TRUE)</f>
        <v>S14 (13.36) 07:28 PM</v>
      </c>
      <c r="F92" s="36" t="str">
        <f>VLOOKUP(F88,Panchanga!$A$3:$AA$463,11,TRUE)&amp;" " &amp;VLOOKUP(F88,Panchanga!$A$3:$AA$463,27,TRUE)</f>
        <v>S15 (14.5) 04:45 PM</v>
      </c>
      <c r="G92" s="56" t="str">
        <f>VLOOKUP(G88,Panchanga!$A$3:$AA$463,11,TRUE)&amp;" " &amp;VLOOKUP(G88,Panchanga!$A$3:$AA$463,27,TRUE)</f>
        <v>K1 (15.61) 02:25 PM</v>
      </c>
    </row>
    <row r="93" spans="1:7" s="21" customFormat="1" ht="36" customHeight="1" x14ac:dyDescent="0.5">
      <c r="A93" s="38" t="str">
        <f>VLOOKUP(A88,Panchanga!$A$3:$AA$463,13,TRUE)</f>
        <v>Kaulava</v>
      </c>
      <c r="B93" s="39" t="str">
        <f>VLOOKUP(B88,Panchanga!$A$3:$AA$463,13,TRUE)</f>
        <v>Garija</v>
      </c>
      <c r="C93" s="39" t="str">
        <f>VLOOKUP(C88,Panchanga!$A$3:$AA$463,13,TRUE)</f>
        <v>Bhava</v>
      </c>
      <c r="D93" s="39" t="str">
        <f>VLOOKUP(D88,Panchanga!$A$3:$AA$463,13,TRUE)</f>
        <v>Kaulava</v>
      </c>
      <c r="E93" s="48" t="str">
        <f>VLOOKUP(E88,Panchanga!$A$3:$AA$463,13,TRUE)</f>
        <v>Garija</v>
      </c>
      <c r="F93" s="39" t="str">
        <f>VLOOKUP(F88,Panchanga!$A$3:$AA$463,13,TRUE)</f>
        <v>Vishti</v>
      </c>
      <c r="G93" s="49" t="str">
        <f>VLOOKUP(G88,Panchanga!$A$3:$AA$463,13,TRUE)</f>
        <v>Kaulava</v>
      </c>
    </row>
    <row r="94" spans="1:7" s="21" customFormat="1" ht="36" customHeight="1" x14ac:dyDescent="0.5">
      <c r="A94" s="38" t="str">
        <f>VLOOKUP(A88,Panchanga!$A$3:$AA$463,14,TRUE)</f>
        <v>dhṛti  (7.91)</v>
      </c>
      <c r="B94" s="39" t="str">
        <f>VLOOKUP(B88,Panchanga!$A$3:$AA$463,14,TRUE)</f>
        <v>gaṇḍa  (9.05)</v>
      </c>
      <c r="C94" s="39" t="str">
        <f>VLOOKUP(C88,Panchanga!$A$3:$AA$463,14,TRUE)</f>
        <v>vṛddhi  (10.22)</v>
      </c>
      <c r="D94" s="39" t="str">
        <f>VLOOKUP(D88,Panchanga!$A$3:$AA$463,14,TRUE)</f>
        <v>dhruva  (11.39)</v>
      </c>
      <c r="E94" s="48" t="str">
        <f>VLOOKUP(E88,Panchanga!$A$3:$AA$463,14,TRUE)</f>
        <v>vyāghāta (12.57)</v>
      </c>
      <c r="F94" s="39" t="str">
        <f>VLOOKUP(F88,Panchanga!$A$3:$AA$463,14,TRUE)</f>
        <v>harṣaṇa (13.73)</v>
      </c>
      <c r="G94" s="49" t="str">
        <f>VLOOKUP(G88,Panchanga!$A$3:$AA$463,14,TRUE)</f>
        <v>vajra (14.89)</v>
      </c>
    </row>
    <row r="95" spans="1:7" s="21" customFormat="1" ht="36" customHeight="1" x14ac:dyDescent="0.25">
      <c r="A95" s="74" t="str">
        <f>VLOOKUP(A88,Panchanga!$A$3:$AA$463,18,TRUE)</f>
        <v>2Ma,12Me,-9J, 11V,9S,3R</v>
      </c>
      <c r="B95" s="70" t="str">
        <f>VLOOKUP(B88,Panchanga!$A$3:$AA$463,18,TRUE)</f>
        <v>2Ma,12Me,-9J, 11V,9S,3R</v>
      </c>
      <c r="C95" s="70" t="str">
        <f>VLOOKUP(C88,Panchanga!$A$3:$AA$463,18,TRUE)</f>
        <v>2Ma,12Me,-9J, 12V,9S,3R</v>
      </c>
      <c r="D95" s="70" t="str">
        <f>VLOOKUP(D88,Panchanga!$A$3:$AA$463,18,TRUE)</f>
        <v>2Ma,12Me,-9J, 12V,9S,3R</v>
      </c>
      <c r="E95" s="77" t="str">
        <f>VLOOKUP(E88,Panchanga!$A$3:$AA$463,18,TRUE)</f>
        <v>2Ma,12Me,-9J, 12V,9S,3R</v>
      </c>
      <c r="F95" s="70" t="str">
        <f>VLOOKUP(F88,Panchanga!$A$3:$AA$463,18,TRUE)</f>
        <v>2Ma,12Me,-9J, 12V,9S,3R</v>
      </c>
      <c r="G95" s="75" t="str">
        <f>VLOOKUP(G88,Panchanga!$A$3:$AA$463,18,TRUE)</f>
        <v>2Ma,12Me,-9J, 12V,9S,3R</v>
      </c>
    </row>
    <row r="96" spans="1:7" s="21" customFormat="1" ht="36" customHeight="1" x14ac:dyDescent="0.25">
      <c r="A96" s="74"/>
      <c r="B96" s="71"/>
      <c r="C96" s="71"/>
      <c r="D96" s="71"/>
      <c r="E96" s="78"/>
      <c r="F96" s="71"/>
      <c r="G96" s="76"/>
    </row>
    <row r="97" spans="1:7" ht="14.25" customHeight="1" thickBot="1" x14ac:dyDescent="0.55000000000000004">
      <c r="A97" s="46"/>
      <c r="B97" s="47"/>
      <c r="C97" s="47"/>
      <c r="D97" s="47"/>
      <c r="E97" s="41"/>
      <c r="F97" s="47"/>
      <c r="G97" s="42"/>
    </row>
    <row r="98" spans="1:7" s="22" customFormat="1" ht="45" x14ac:dyDescent="0.5">
      <c r="A98" s="60">
        <f>G88+1</f>
        <v>43576</v>
      </c>
      <c r="B98" s="61">
        <f t="shared" ref="B98" si="23">A98+1</f>
        <v>43577</v>
      </c>
      <c r="C98" s="61">
        <f t="shared" ref="C98" si="24">B98+1</f>
        <v>43578</v>
      </c>
      <c r="D98" s="61">
        <f t="shared" ref="D98" si="25">C98+1</f>
        <v>43579</v>
      </c>
      <c r="E98" s="62">
        <f t="shared" ref="E98" si="26">D98+1</f>
        <v>43580</v>
      </c>
      <c r="F98" s="61">
        <f t="shared" ref="F98" si="27">E98+1</f>
        <v>43581</v>
      </c>
      <c r="G98" s="63">
        <f t="shared" ref="G98" si="28">F98+1</f>
        <v>43582</v>
      </c>
    </row>
    <row r="99" spans="1:7" s="21" customFormat="1" ht="36" customHeight="1" x14ac:dyDescent="0.5">
      <c r="A99" s="29" t="str">
        <f>TEXT(VLOOKUP(A98,Panchanga!$A$3:$AA$463,3,TRUE),"HH:MM AM/PM")&amp;" - "&amp;TEXT(VLOOKUP(A98,Panchanga!$A$3:$AA$463,4,TRUE),"HH:MM AM/PM")</f>
        <v>05:54 AM - 06:22 PM</v>
      </c>
      <c r="B99" s="30" t="str">
        <f>TEXT(VLOOKUP(B98,Panchanga!$A$3:$AA$463,3,TRUE),"HH:MM AM/PM")&amp;" - "&amp;TEXT(VLOOKUP(B98,Panchanga!$A$3:$AA$463,4,TRUE),"HH:MM AM/PM")</f>
        <v>05:53 AM - 06:22 PM</v>
      </c>
      <c r="C99" s="30" t="str">
        <f>TEXT(VLOOKUP(C98,Panchanga!$A$3:$AA$463,3,TRUE),"HH:MM AM/PM")&amp;" - "&amp;TEXT(VLOOKUP(C98,Panchanga!$A$3:$AA$463,4,TRUE),"HH:MM AM/PM")</f>
        <v>05:53 AM - 06:22 PM</v>
      </c>
      <c r="D99" s="30" t="str">
        <f>TEXT(VLOOKUP(D98,Panchanga!$A$3:$AA$463,3,TRUE),"HH:MM AM/PM")&amp;" - "&amp;TEXT(VLOOKUP(D98,Panchanga!$A$3:$AA$463,4,TRUE),"HH:MM AM/PM")</f>
        <v>05:52 AM - 06:22 PM</v>
      </c>
      <c r="E99" s="51" t="str">
        <f>TEXT(VLOOKUP(E98,Panchanga!$A$3:$AA$463,3,TRUE),"HH:MM AM/PM")&amp;" - "&amp;TEXT(VLOOKUP(E98,Panchanga!$A$3:$AA$463,4,TRUE),"HH:MM AM/PM")</f>
        <v>05:52 AM - 06:23 PM</v>
      </c>
      <c r="F99" s="30" t="str">
        <f>TEXT(VLOOKUP(F98,Panchanga!$A$3:$AA$463,3,TRUE),"HH:MM AM/PM")&amp;" - "&amp;TEXT(VLOOKUP(F98,Panchanga!$A$3:$AA$463,4,TRUE),"HH:MM AM/PM")</f>
        <v>05:51 AM - 06:23 PM</v>
      </c>
      <c r="G99" s="54" t="str">
        <f>TEXT(VLOOKUP(G98,Panchanga!$A$3:$AA$463,3,TRUE),"HH:MM AM/PM")&amp;" - "&amp;TEXT(VLOOKUP(G98,Panchanga!$A$3:$AA$463,4,TRUE),"HH:MM AM/PM")</f>
        <v>05:51 AM - 06:23 PM</v>
      </c>
    </row>
    <row r="100" spans="1:7" s="21" customFormat="1" ht="36" customHeight="1" x14ac:dyDescent="0.5">
      <c r="A100" s="32" t="str">
        <f>"Su="&amp;VLOOKUP(A98,Panchanga!$A$3:$AA$463,6,TRUE)&amp;",Mo="&amp;VLOOKUP(A98,Panchanga!$A$3:$AA$463,7,TRUE)</f>
        <v>Su=0s6.51,Mo=6s26.96</v>
      </c>
      <c r="B100" s="33" t="str">
        <f>"Su="&amp;VLOOKUP(B98,Panchanga!$A$3:$AA$463,6,TRUE)&amp;",Mo="&amp;VLOOKUP(B98,Panchanga!$A$3:$AA$463,7,TRUE)</f>
        <v>Su=0s7.49,Mo=7s10.63</v>
      </c>
      <c r="C100" s="33" t="str">
        <f>"Su="&amp;VLOOKUP(C98,Panchanga!$A$3:$AA$463,6,TRUE)&amp;",Mo="&amp;VLOOKUP(C98,Panchanga!$A$3:$AA$463,7,TRUE)</f>
        <v>Su=0s8.46,Mo=7s23.87</v>
      </c>
      <c r="D100" s="33" t="str">
        <f>"Su="&amp;VLOOKUP(D98,Panchanga!$A$3:$AA$463,6,TRUE)&amp;",Mo="&amp;VLOOKUP(D98,Panchanga!$A$3:$AA$463,7,TRUE)</f>
        <v>Su=0s9.44,Mo=8s6.7</v>
      </c>
      <c r="E100" s="52" t="str">
        <f>"Su="&amp;VLOOKUP(E98,Panchanga!$A$3:$AA$463,6,TRUE)&amp;",Mo="&amp;VLOOKUP(E98,Panchanga!$A$3:$AA$463,7,TRUE)</f>
        <v>Su=0s10.41,Mo=8s19.16</v>
      </c>
      <c r="F100" s="33" t="str">
        <f>"Su="&amp;VLOOKUP(F98,Panchanga!$A$3:$AA$463,6,TRUE)&amp;",Mo="&amp;VLOOKUP(F98,Panchanga!$A$3:$AA$463,7,TRUE)</f>
        <v>Su=0s11.38,Mo=9s1.33</v>
      </c>
      <c r="G100" s="55" t="str">
        <f>"Su="&amp;VLOOKUP(G98,Panchanga!$A$3:$AA$463,6,TRUE)&amp;",Mo="&amp;VLOOKUP(G98,Panchanga!$A$3:$AA$463,7,TRUE)</f>
        <v>Su=0s12.36,Mo=9s13.29</v>
      </c>
    </row>
    <row r="101" spans="1:7" s="21" customFormat="1" ht="36" customHeight="1" x14ac:dyDescent="0.5">
      <c r="A101" s="35" t="str">
        <f>VLOOKUP(A98,Panchanga!$A$3:$AA$463,9,TRUE)&amp;"-" &amp; TEXT(VLOOKUP(A98,Panchanga!$A$3:$AA$463,10,TRUE)," HH:MM AM/PM")</f>
        <v>Visakha- 05:05 PM</v>
      </c>
      <c r="B101" s="36" t="str">
        <f>VLOOKUP(B98,Panchanga!$A$3:$AA$463,9,TRUE)&amp;"-" &amp; TEXT(VLOOKUP(B98,Panchanga!$A$3:$AA$463,10,TRUE)," HH:MM AM/PM")</f>
        <v>Anuradha- 04:50 PM</v>
      </c>
      <c r="C101" s="36" t="str">
        <f>VLOOKUP(C98,Panchanga!$A$3:$AA$463,9,TRUE)&amp;"-" &amp; TEXT(VLOOKUP(C98,Panchanga!$A$3:$AA$463,10,TRUE)," HH:MM AM/PM")</f>
        <v>Jyestha- 05:21 PM</v>
      </c>
      <c r="D101" s="36" t="str">
        <f>VLOOKUP(D98,Panchanga!$A$3:$AA$463,9,TRUE)&amp;"-" &amp; TEXT(VLOOKUP(D98,Panchanga!$A$3:$AA$463,10,TRUE)," HH:MM AM/PM")</f>
        <v>Moola- 06:39 PM</v>
      </c>
      <c r="E101" s="53" t="str">
        <f>VLOOKUP(E98,Panchanga!$A$3:$AA$463,9,TRUE)&amp;"-" &amp; TEXT(VLOOKUP(E98,Panchanga!$A$3:$AA$463,10,TRUE)," HH:MM AM/PM")</f>
        <v>Purva Asadha- 08:40 PM</v>
      </c>
      <c r="F101" s="36" t="str">
        <f>VLOOKUP(F98,Panchanga!$A$3:$AA$463,9,TRUE)&amp;"-" &amp; TEXT(VLOOKUP(F98,Panchanga!$A$3:$AA$463,10,TRUE)," HH:MM AM/PM")</f>
        <v>Uttara Asadha- 11:15 PM</v>
      </c>
      <c r="G101" s="56" t="str">
        <f>VLOOKUP(G98,Panchanga!$A$3:$AA$463,9,TRUE)&amp;"-" &amp; TEXT(VLOOKUP(G98,Panchanga!$A$3:$AA$463,10,TRUE)," HH:MM AM/PM")</f>
        <v>Sravana- 02:12 AM</v>
      </c>
    </row>
    <row r="102" spans="1:7" s="21" customFormat="1" ht="36" customHeight="1" x14ac:dyDescent="0.5">
      <c r="A102" s="35" t="str">
        <f>VLOOKUP(A98,Panchanga!$A$3:$AA$463,11,TRUE)&amp;" " &amp;VLOOKUP(A98,Panchanga!$A$3:$AA$463,27,TRUE)</f>
        <v>K2 (16.7) 12:37 PM</v>
      </c>
      <c r="B102" s="36" t="str">
        <f>VLOOKUP(B98,Panchanga!$A$3:$AA$463,11,TRUE)&amp;" " &amp;VLOOKUP(B98,Panchanga!$A$3:$AA$463,27,TRUE)</f>
        <v>K3 (17.76) 11:29 AM</v>
      </c>
      <c r="C102" s="36" t="str">
        <f>VLOOKUP(C98,Panchanga!$A$3:$AA$463,11,TRUE)&amp;" " &amp;VLOOKUP(C98,Panchanga!$A$3:$AA$463,27,TRUE)</f>
        <v>K4 (18.78) 11:07 AM</v>
      </c>
      <c r="D102" s="36" t="str">
        <f>VLOOKUP(D98,Panchanga!$A$3:$AA$463,11,TRUE)&amp;" " &amp;VLOOKUP(D98,Panchanga!$A$3:$AA$463,27,TRUE)</f>
        <v>K5 (19.77) 11:35 AM</v>
      </c>
      <c r="E102" s="53" t="str">
        <f>VLOOKUP(E98,Panchanga!$A$3:$AA$463,11,TRUE)&amp;" " &amp;VLOOKUP(E98,Panchanga!$A$3:$AA$463,27,TRUE)</f>
        <v>K6 (20.73) 12:49 PM</v>
      </c>
      <c r="F102" s="36" t="str">
        <f>VLOOKUP(F98,Panchanga!$A$3:$AA$463,11,TRUE)&amp;" " &amp;VLOOKUP(F98,Panchanga!$A$3:$AA$463,27,TRUE)</f>
        <v>K7 (21.66) 02:42 PM</v>
      </c>
      <c r="G102" s="56" t="str">
        <f>VLOOKUP(G98,Panchanga!$A$3:$AA$463,11,TRUE)&amp;" " &amp;VLOOKUP(G98,Panchanga!$A$3:$AA$463,27,TRUE)</f>
        <v>K8 (22.58) 05:02 PM</v>
      </c>
    </row>
    <row r="103" spans="1:7" s="21" customFormat="1" ht="36" customHeight="1" x14ac:dyDescent="0.5">
      <c r="A103" s="38" t="str">
        <f>VLOOKUP(A98,Panchanga!$A$3:$AA$463,13,TRUE)</f>
        <v>Garija</v>
      </c>
      <c r="B103" s="39" t="str">
        <f>VLOOKUP(B98,Panchanga!$A$3:$AA$463,13,TRUE)</f>
        <v>Vishti</v>
      </c>
      <c r="C103" s="39" t="str">
        <f>VLOOKUP(C98,Panchanga!$A$3:$AA$463,13,TRUE)</f>
        <v>Baalava</v>
      </c>
      <c r="D103" s="39" t="str">
        <f>VLOOKUP(D98,Panchanga!$A$3:$AA$463,13,TRUE)</f>
        <v>Taitula</v>
      </c>
      <c r="E103" s="48" t="str">
        <f>VLOOKUP(E98,Panchanga!$A$3:$AA$463,13,TRUE)</f>
        <v>Vanija</v>
      </c>
      <c r="F103" s="39" t="str">
        <f>VLOOKUP(F98,Panchanga!$A$3:$AA$463,13,TRUE)</f>
        <v>Bhava</v>
      </c>
      <c r="G103" s="49" t="str">
        <f>VLOOKUP(G98,Panchanga!$A$3:$AA$463,13,TRUE)</f>
        <v>Kaulava</v>
      </c>
    </row>
    <row r="104" spans="1:7" s="21" customFormat="1" ht="36" customHeight="1" x14ac:dyDescent="0.5">
      <c r="A104" s="38" t="str">
        <f>VLOOKUP(A98,Panchanga!$A$3:$AA$463,14,TRUE)</f>
        <v>vyatipāta (16.01)</v>
      </c>
      <c r="B104" s="39" t="str">
        <f>VLOOKUP(B98,Panchanga!$A$3:$AA$463,14,TRUE)</f>
        <v>varīyas (17.11)</v>
      </c>
      <c r="C104" s="39" t="str">
        <f>VLOOKUP(C98,Panchanga!$A$3:$AA$463,14,TRUE)</f>
        <v>parigha (18.18)</v>
      </c>
      <c r="D104" s="39" t="str">
        <f>VLOOKUP(D98,Panchanga!$A$3:$AA$463,14,TRUE)</f>
        <v>śiva (19.21)</v>
      </c>
      <c r="E104" s="48" t="str">
        <f>VLOOKUP(E98,Panchanga!$A$3:$AA$463,14,TRUE)</f>
        <v>siddha (20.22)</v>
      </c>
      <c r="F104" s="39" t="str">
        <f>VLOOKUP(F98,Panchanga!$A$3:$AA$463,14,TRUE)</f>
        <v>sādhya (21.21)</v>
      </c>
      <c r="G104" s="49" t="str">
        <f>VLOOKUP(G98,Panchanga!$A$3:$AA$463,14,TRUE)</f>
        <v>śubha (22.18)</v>
      </c>
    </row>
    <row r="105" spans="1:7" s="21" customFormat="1" ht="36" customHeight="1" x14ac:dyDescent="0.25">
      <c r="A105" s="74" t="str">
        <f>VLOOKUP(A98,Panchanga!$A$3:$AA$463,18,TRUE)</f>
        <v>2Ma,12Me,-9J, 12V,9S,3R</v>
      </c>
      <c r="B105" s="70" t="str">
        <f>VLOOKUP(B98,Panchanga!$A$3:$AA$463,18,TRUE)</f>
        <v>2Ma,12Me,-9J, 12V,9S,3R</v>
      </c>
      <c r="C105" s="70" t="str">
        <f>VLOOKUP(C98,Panchanga!$A$3:$AA$463,18,TRUE)</f>
        <v>2Ma,12Me,-8J, 12V,9S,3R</v>
      </c>
      <c r="D105" s="70" t="str">
        <f>VLOOKUP(D98,Panchanga!$A$3:$AA$463,18,TRUE)</f>
        <v>2Ma,12Me,-8J, 12V,9S,3R</v>
      </c>
      <c r="E105" s="77" t="str">
        <f>VLOOKUP(E98,Panchanga!$A$3:$AA$463,18,TRUE)</f>
        <v>2Ma,12Me,-8J, 12V,9S,3R</v>
      </c>
      <c r="F105" s="70" t="str">
        <f>VLOOKUP(F98,Panchanga!$A$3:$AA$463,18,TRUE)</f>
        <v>2Ma,12Me,-8J, 12V,9S,3R</v>
      </c>
      <c r="G105" s="75" t="str">
        <f>VLOOKUP(G98,Panchanga!$A$3:$AA$463,18,TRUE)</f>
        <v>2Ma,12Me,-8J, 12V,9S,3R</v>
      </c>
    </row>
    <row r="106" spans="1:7" s="21" customFormat="1" ht="36" customHeight="1" x14ac:dyDescent="0.25">
      <c r="A106" s="74"/>
      <c r="B106" s="71"/>
      <c r="C106" s="71"/>
      <c r="D106" s="71"/>
      <c r="E106" s="78"/>
      <c r="F106" s="71"/>
      <c r="G106" s="76"/>
    </row>
    <row r="107" spans="1:7" ht="14.25" customHeight="1" thickBot="1" x14ac:dyDescent="0.55000000000000004">
      <c r="A107" s="46"/>
      <c r="B107" s="47"/>
      <c r="C107" s="47"/>
      <c r="D107" s="47"/>
      <c r="E107" s="41"/>
      <c r="F107" s="47"/>
      <c r="G107" s="42"/>
    </row>
    <row r="108" spans="1:7" s="22" customFormat="1" ht="45" x14ac:dyDescent="0.5">
      <c r="A108" s="60">
        <f>G98+1</f>
        <v>43583</v>
      </c>
      <c r="B108" s="61">
        <f t="shared" ref="B108" si="29">A108+1</f>
        <v>43584</v>
      </c>
      <c r="C108" s="61">
        <f t="shared" ref="C108" si="30">B108+1</f>
        <v>43585</v>
      </c>
      <c r="D108" s="61">
        <f t="shared" ref="D108" si="31">C108+1</f>
        <v>43586</v>
      </c>
      <c r="E108" s="62">
        <f t="shared" ref="E108" si="32">D108+1</f>
        <v>43587</v>
      </c>
      <c r="F108" s="61">
        <f t="shared" ref="F108" si="33">E108+1</f>
        <v>43588</v>
      </c>
      <c r="G108" s="63">
        <f t="shared" ref="G108" si="34">F108+1</f>
        <v>43589</v>
      </c>
    </row>
    <row r="109" spans="1:7" s="21" customFormat="1" ht="36" customHeight="1" x14ac:dyDescent="0.5">
      <c r="A109" s="29" t="str">
        <f>TEXT(VLOOKUP(A108,Panchanga!$A$3:$AA$463,3,TRUE),"HH:MM AM/PM")&amp;" - "&amp;TEXT(VLOOKUP(A108,Panchanga!$A$3:$AA$463,4,TRUE),"HH:MM AM/PM")</f>
        <v>05:50 AM - 06:23 PM</v>
      </c>
      <c r="B109" s="30" t="str">
        <f>TEXT(VLOOKUP(B108,Panchanga!$A$3:$AA$463,3,TRUE),"HH:MM AM/PM")&amp;" - "&amp;TEXT(VLOOKUP(B108,Panchanga!$A$3:$AA$463,4,TRUE),"HH:MM AM/PM")</f>
        <v>05:50 AM - 06:23 PM</v>
      </c>
      <c r="C109" s="30" t="str">
        <f>TEXT(VLOOKUP(C108,Panchanga!$A$3:$AA$463,3,TRUE),"HH:MM AM/PM")&amp;" - "&amp;TEXT(VLOOKUP(C108,Panchanga!$A$3:$AA$463,4,TRUE),"HH:MM AM/PM")</f>
        <v>05:49 AM - 06:23 PM</v>
      </c>
      <c r="D109" s="30" t="str">
        <f>TEXT(VLOOKUP(D108,Panchanga!$A$3:$AA$463,3,TRUE),"HH:MM AM/PM")&amp;" - "&amp;TEXT(VLOOKUP(D108,Panchanga!$A$3:$AA$463,4,TRUE),"HH:MM AM/PM")</f>
        <v>05:49 AM - 06:24 PM</v>
      </c>
      <c r="E109" s="51" t="str">
        <f>TEXT(VLOOKUP(E108,Panchanga!$A$3:$AA$463,3,TRUE),"HH:MM AM/PM")&amp;" - "&amp;TEXT(VLOOKUP(E108,Panchanga!$A$3:$AA$463,4,TRUE),"HH:MM AM/PM")</f>
        <v>05:49 AM - 06:24 PM</v>
      </c>
      <c r="F109" s="30" t="str">
        <f>TEXT(VLOOKUP(F108,Panchanga!$A$3:$AA$463,3,TRUE),"HH:MM AM/PM")&amp;" - "&amp;TEXT(VLOOKUP(F108,Panchanga!$A$3:$AA$463,4,TRUE),"HH:MM AM/PM")</f>
        <v>05:48 AM - 06:24 PM</v>
      </c>
      <c r="G109" s="54" t="str">
        <f>TEXT(VLOOKUP(G108,Panchanga!$A$3:$AA$463,3,TRUE),"HH:MM AM/PM")&amp;" - "&amp;TEXT(VLOOKUP(G108,Panchanga!$A$3:$AA$463,4,TRUE),"HH:MM AM/PM")</f>
        <v>05:48 AM - 06:24 PM</v>
      </c>
    </row>
    <row r="110" spans="1:7" s="21" customFormat="1" ht="36" customHeight="1" x14ac:dyDescent="0.5">
      <c r="A110" s="32" t="str">
        <f>"Su="&amp;VLOOKUP(A108,Panchanga!$A$3:$AA$463,6,TRUE)&amp;",Mo="&amp;VLOOKUP(A108,Panchanga!$A$3:$AA$463,7,TRUE)</f>
        <v>Su=0s13.33,Mo=9s25.13</v>
      </c>
      <c r="B110" s="33" t="str">
        <f>"Su="&amp;VLOOKUP(B108,Panchanga!$A$3:$AA$463,6,TRUE)&amp;",Mo="&amp;VLOOKUP(B108,Panchanga!$A$3:$AA$463,7,TRUE)</f>
        <v>Su=0s14.3,Mo=10s6.94</v>
      </c>
      <c r="C110" s="33" t="str">
        <f>"Su="&amp;VLOOKUP(C108,Panchanga!$A$3:$AA$463,6,TRUE)&amp;",Mo="&amp;VLOOKUP(C108,Panchanga!$A$3:$AA$463,7,TRUE)</f>
        <v>Su=0s15.27,Mo=10s18.81</v>
      </c>
      <c r="D110" s="33" t="str">
        <f>"Su="&amp;VLOOKUP(D108,Panchanga!$A$3:$AA$463,6,TRUE)&amp;",Mo="&amp;VLOOKUP(D108,Panchanga!$A$3:$AA$463,7,TRUE)</f>
        <v>Su=0s16.24,Mo=11s0.8</v>
      </c>
      <c r="E110" s="52" t="str">
        <f>"Su="&amp;VLOOKUP(E108,Panchanga!$A$3:$AA$463,6,TRUE)&amp;",Mo="&amp;VLOOKUP(E108,Panchanga!$A$3:$AA$463,7,TRUE)</f>
        <v>Su=0s17.22,Mo=11s12.97</v>
      </c>
      <c r="F110" s="33" t="str">
        <f>"Su="&amp;VLOOKUP(F108,Panchanga!$A$3:$AA$463,6,TRUE)&amp;",Mo="&amp;VLOOKUP(F108,Panchanga!$A$3:$AA$463,7,TRUE)</f>
        <v>Su=0s18.19,Mo=11s25.37</v>
      </c>
      <c r="G110" s="55" t="str">
        <f>"Su="&amp;VLOOKUP(G108,Panchanga!$A$3:$AA$463,6,TRUE)&amp;",Mo="&amp;VLOOKUP(G108,Panchanga!$A$3:$AA$463,7,TRUE)</f>
        <v>Su=0s19.16,Mo=0s8.01</v>
      </c>
    </row>
    <row r="111" spans="1:7" s="21" customFormat="1" ht="36" customHeight="1" x14ac:dyDescent="0.5">
      <c r="A111" s="35" t="str">
        <f>VLOOKUP(A108,Panchanga!$A$3:$AA$463,9,TRUE)&amp;"-" &amp; TEXT(VLOOKUP(A108,Panchanga!$A$3:$AA$463,10,TRUE)," HH:MM AM/PM")</f>
        <v>Dhanistha- 05:17 AM</v>
      </c>
      <c r="B111" s="36" t="str">
        <f>VLOOKUP(B108,Panchanga!$A$3:$AA$463,9,TRUE)&amp;"-" &amp; TEXT(VLOOKUP(B108,Panchanga!$A$3:$AA$463,10,TRUE)," HH:MM AM/PM")</f>
        <v>Satabhisaj- 08:15 AM</v>
      </c>
      <c r="C111" s="36" t="str">
        <f>VLOOKUP(C108,Panchanga!$A$3:$AA$463,9,TRUE)&amp;"-" &amp; TEXT(VLOOKUP(C108,Panchanga!$A$3:$AA$463,10,TRUE)," HH:MM AM/PM")</f>
        <v>Satabhisaj- 08:13 AM</v>
      </c>
      <c r="D111" s="36" t="str">
        <f>VLOOKUP(D108,Panchanga!$A$3:$AA$463,9,TRUE)&amp;"-" &amp; TEXT(VLOOKUP(D108,Panchanga!$A$3:$AA$463,10,TRUE)," HH:MM AM/PM")</f>
        <v>Purva Bhadrapada- 10:49 AM</v>
      </c>
      <c r="E111" s="53" t="str">
        <f>VLOOKUP(E108,Panchanga!$A$3:$AA$463,9,TRUE)&amp;"-" &amp; TEXT(VLOOKUP(E108,Panchanga!$A$3:$AA$463,10,TRUE)," HH:MM AM/PM")</f>
        <v>Uttara Bhadrapada- 12:58 PM</v>
      </c>
      <c r="F111" s="36" t="str">
        <f>VLOOKUP(F108,Panchanga!$A$3:$AA$463,9,TRUE)&amp;"-" &amp; TEXT(VLOOKUP(F108,Panchanga!$A$3:$AA$463,10,TRUE)," HH:MM AM/PM")</f>
        <v>Revati- 05:29 AM</v>
      </c>
      <c r="G111" s="56" t="str">
        <f>VLOOKUP(G108,Panchanga!$A$3:$AA$463,9,TRUE)&amp;"-" &amp; TEXT(VLOOKUP(G108,Panchanga!$A$3:$AA$463,10,TRUE)," HH:MM AM/PM")</f>
        <v>Aswini- 03:43 PM</v>
      </c>
    </row>
    <row r="112" spans="1:7" s="21" customFormat="1" ht="36" customHeight="1" x14ac:dyDescent="0.5">
      <c r="A112" s="35" t="str">
        <f>VLOOKUP(A108,Panchanga!$A$3:$AA$463,11,TRUE)&amp;" " &amp;VLOOKUP(A108,Panchanga!$A$3:$AA$463,27,TRUE)</f>
        <v>K9 (23.48) 07:33 PM</v>
      </c>
      <c r="B112" s="36" t="str">
        <f>VLOOKUP(B108,Panchanga!$A$3:$AA$463,11,TRUE)&amp;" " &amp;VLOOKUP(B108,Panchanga!$A$3:$AA$463,27,TRUE)</f>
        <v>K10 (24.39) 10:02 PM</v>
      </c>
      <c r="C112" s="36" t="str">
        <f>VLOOKUP(C108,Panchanga!$A$3:$AA$463,11,TRUE)&amp;" " &amp;VLOOKUP(C108,Panchanga!$A$3:$AA$463,27,TRUE)</f>
        <v>K11 (25.29) 12:15 AM</v>
      </c>
      <c r="D112" s="36" t="str">
        <f>VLOOKUP(D108,Panchanga!$A$3:$AA$463,11,TRUE)&amp;" " &amp;VLOOKUP(D108,Panchanga!$A$3:$AA$463,27,TRUE)</f>
        <v>K12 (26.21) 02:03 AM</v>
      </c>
      <c r="E112" s="53" t="str">
        <f>VLOOKUP(E108,Panchanga!$A$3:$AA$463,11,TRUE)&amp;" " &amp;VLOOKUP(E108,Panchanga!$A$3:$AA$463,27,TRUE)</f>
        <v>K13 (27.15) 03:19 AM</v>
      </c>
      <c r="F112" s="36" t="str">
        <f>VLOOKUP(F108,Panchanga!$A$3:$AA$463,11,TRUE)&amp;" " &amp;VLOOKUP(F108,Panchanga!$A$3:$AA$463,27,TRUE)</f>
        <v>K14 (28.1) 04:02 AM</v>
      </c>
      <c r="G112" s="56" t="str">
        <f>VLOOKUP(G108,Panchanga!$A$3:$AA$463,11,TRUE)&amp;" " &amp;VLOOKUP(G108,Panchanga!$A$3:$AA$463,27,TRUE)</f>
        <v>K15 (29.07) 04:14 AM</v>
      </c>
    </row>
    <row r="113" spans="1:7" s="21" customFormat="1" ht="36" customHeight="1" x14ac:dyDescent="0.5">
      <c r="A113" s="38" t="str">
        <f>VLOOKUP(A108,Panchanga!$A$3:$AA$463,13,TRUE)</f>
        <v>Taitula</v>
      </c>
      <c r="B113" s="39" t="str">
        <f>VLOOKUP(B108,Panchanga!$A$3:$AA$463,13,TRUE)</f>
        <v>Vanija</v>
      </c>
      <c r="C113" s="39" t="str">
        <f>VLOOKUP(C108,Panchanga!$A$3:$AA$463,13,TRUE)</f>
        <v>Bhava</v>
      </c>
      <c r="D113" s="39" t="str">
        <f>VLOOKUP(D108,Panchanga!$A$3:$AA$463,13,TRUE)</f>
        <v>Kaulava</v>
      </c>
      <c r="E113" s="48" t="str">
        <f>VLOOKUP(E108,Panchanga!$A$3:$AA$463,13,TRUE)</f>
        <v>Garija</v>
      </c>
      <c r="F113" s="39" t="str">
        <f>VLOOKUP(F108,Panchanga!$A$3:$AA$463,13,TRUE)</f>
        <v>Vishti</v>
      </c>
      <c r="G113" s="49" t="str">
        <f>VLOOKUP(G108,Panchanga!$A$3:$AA$463,13,TRUE)</f>
        <v>Chatushapda</v>
      </c>
    </row>
    <row r="114" spans="1:7" s="21" customFormat="1" ht="36" customHeight="1" x14ac:dyDescent="0.5">
      <c r="A114" s="38" t="str">
        <f>VLOOKUP(A108,Panchanga!$A$3:$AA$463,14,TRUE)</f>
        <v>śukla (23.14)</v>
      </c>
      <c r="B114" s="39" t="str">
        <f>VLOOKUP(B108,Panchanga!$A$3:$AA$463,14,TRUE)</f>
        <v>brahma (24.1)</v>
      </c>
      <c r="C114" s="39" t="str">
        <f>VLOOKUP(C108,Panchanga!$A$3:$AA$463,14,TRUE)</f>
        <v>mahendra (25.06)</v>
      </c>
      <c r="D114" s="39" t="str">
        <f>VLOOKUP(D108,Panchanga!$A$3:$AA$463,14,TRUE)</f>
        <v>vaidhṛti (26.03)</v>
      </c>
      <c r="E114" s="48" t="str">
        <f>VLOOKUP(E108,Panchanga!$A$3:$AA$463,14,TRUE)</f>
        <v>viṣkambha (0.02)</v>
      </c>
      <c r="F114" s="39" t="str">
        <f>VLOOKUP(F108,Panchanga!$A$3:$AA$463,14,TRUE)</f>
        <v>prīti (1.02)</v>
      </c>
      <c r="G114" s="49" t="str">
        <f>VLOOKUP(G108,Panchanga!$A$3:$AA$463,14,TRUE)</f>
        <v>āyuṣmāna (2.04)</v>
      </c>
    </row>
    <row r="115" spans="1:7" s="21" customFormat="1" ht="36" customHeight="1" x14ac:dyDescent="0.25">
      <c r="A115" s="74" t="str">
        <f>VLOOKUP(A108,Panchanga!$A$3:$AA$463,18,TRUE)</f>
        <v>2Ma,12Me,-8J, 12V,9S,3R</v>
      </c>
      <c r="B115" s="70" t="str">
        <f>VLOOKUP(B108,Panchanga!$A$3:$AA$463,18,TRUE)</f>
        <v>2Ma,12Me,-8J, 12V,9S,3R</v>
      </c>
      <c r="C115" s="70" t="str">
        <f>VLOOKUP(C108,Panchanga!$A$3:$AA$463,18,TRUE)</f>
        <v>2Ma,12Me,-8J, 12V,-9S,3R</v>
      </c>
      <c r="D115" s="70" t="str">
        <f>VLOOKUP(D108,Panchanga!$A$3:$AA$463,18,TRUE)</f>
        <v>2Ma,12Me,-8J, 12V,-9S,3R</v>
      </c>
      <c r="E115" s="77" t="str">
        <f>VLOOKUP(E108,Panchanga!$A$3:$AA$463,18,TRUE)</f>
        <v>2Ma,12Me,-8J, 12V,-9S,3R</v>
      </c>
      <c r="F115" s="70" t="str">
        <f>VLOOKUP(F108,Panchanga!$A$3:$AA$463,18,TRUE)</f>
        <v>2Ma,-12Me,-8J, 12V,-9S,3R</v>
      </c>
      <c r="G115" s="75" t="str">
        <f>VLOOKUP(G108,Panchanga!$A$3:$AA$463,18,TRUE)</f>
        <v>2Ma,1Me,-8J, 12V,-9S,3R</v>
      </c>
    </row>
    <row r="116" spans="1:7" s="21" customFormat="1" ht="36" customHeight="1" x14ac:dyDescent="0.25">
      <c r="A116" s="74"/>
      <c r="B116" s="71"/>
      <c r="C116" s="71"/>
      <c r="D116" s="71"/>
      <c r="E116" s="78"/>
      <c r="F116" s="71"/>
      <c r="G116" s="76"/>
    </row>
    <row r="117" spans="1:7" ht="14.25" customHeight="1" thickBot="1" x14ac:dyDescent="0.55000000000000004">
      <c r="A117" s="46"/>
      <c r="B117" s="47"/>
      <c r="C117" s="47"/>
      <c r="D117" s="47"/>
      <c r="E117" s="41"/>
      <c r="F117" s="47"/>
      <c r="G117" s="42"/>
    </row>
    <row r="118" spans="1:7" s="22" customFormat="1" ht="45" x14ac:dyDescent="0.5">
      <c r="A118" s="60">
        <f>G108+1</f>
        <v>43590</v>
      </c>
      <c r="B118" s="61">
        <f>A118+1</f>
        <v>43591</v>
      </c>
      <c r="C118" s="61"/>
      <c r="D118" s="61"/>
      <c r="E118" s="61"/>
      <c r="F118" s="61"/>
      <c r="G118" s="68"/>
    </row>
    <row r="119" spans="1:7" s="21" customFormat="1" ht="36" customHeight="1" x14ac:dyDescent="0.5">
      <c r="A119" s="29" t="str">
        <f>TEXT(VLOOKUP(A118,Panchanga!$A$3:$AA$463,3,TRUE),"HH:MM AM/PM")&amp;" - "&amp;TEXT(VLOOKUP(A118,Panchanga!$A$3:$AA$463,4,TRUE),"HH:MM AM/PM")</f>
        <v>05:47 AM - 06:24 PM</v>
      </c>
      <c r="B119" s="30" t="str">
        <f>TEXT(VLOOKUP(B118,Panchanga!$A$3:$AA$463,3,TRUE),"HH:MM AM/PM")&amp;" - "&amp;TEXT(VLOOKUP(B118,Panchanga!$A$3:$AA$463,4,TRUE),"HH:MM AM/PM")</f>
        <v>05:47 AM - 06:25 PM</v>
      </c>
      <c r="C119" s="30" t="s">
        <v>35</v>
      </c>
      <c r="D119" s="30"/>
      <c r="E119" s="30"/>
      <c r="F119" s="30"/>
      <c r="G119" s="31"/>
    </row>
    <row r="120" spans="1:7" s="21" customFormat="1" ht="36" customHeight="1" x14ac:dyDescent="0.5">
      <c r="A120" s="32" t="str">
        <f>"Su="&amp;VLOOKUP(A118,Panchanga!$A$3:$AA$463,6,TRUE)&amp;",Mo="&amp;VLOOKUP(A118,Panchanga!$A$3:$AA$463,7,TRUE)</f>
        <v>Su=0s20.13,Mo=0s20.9</v>
      </c>
      <c r="B120" s="33" t="str">
        <f>"Su="&amp;VLOOKUP(B118,Panchanga!$A$3:$AA$463,6,TRUE)&amp;",Mo="&amp;VLOOKUP(B118,Panchanga!$A$3:$AA$463,7,TRUE)</f>
        <v>Su=0s21.09,Mo=1s4.02</v>
      </c>
      <c r="C120" s="33" t="s">
        <v>36</v>
      </c>
      <c r="D120" s="33"/>
      <c r="E120" s="33"/>
      <c r="F120" s="33"/>
      <c r="G120" s="34"/>
    </row>
    <row r="121" spans="1:7" s="21" customFormat="1" ht="36" customHeight="1" x14ac:dyDescent="0.5">
      <c r="A121" s="35" t="str">
        <f>VLOOKUP(A118,Panchanga!$A$3:$AA$463,9,TRUE)&amp;"-" &amp; TEXT(VLOOKUP(A118,Panchanga!$A$3:$AA$463,10,TRUE)," HH:MM AM/PM")</f>
        <v>Bharani- 04:21 PM</v>
      </c>
      <c r="B121" s="36" t="str">
        <f>VLOOKUP(B118,Panchanga!$A$3:$AA$463,9,TRUE)&amp;"-" &amp; TEXT(VLOOKUP(B118,Panchanga!$A$3:$AA$463,10,TRUE)," HH:MM AM/PM")</f>
        <v>Krittika- 04:33 PM</v>
      </c>
      <c r="C121" s="36" t="s">
        <v>31</v>
      </c>
      <c r="D121" s="36"/>
      <c r="E121" s="36"/>
      <c r="F121" s="36"/>
      <c r="G121" s="37"/>
    </row>
    <row r="122" spans="1:7" s="21" customFormat="1" ht="36" customHeight="1" x14ac:dyDescent="0.5">
      <c r="A122" s="35" t="str">
        <f>VLOOKUP(A118,Panchanga!$A$3:$AA$463,11,TRUE)&amp;" " &amp;VLOOKUP(A118,Panchanga!$A$3:$AA$463,27,TRUE)</f>
        <v>S1 (0.06) 03:57 AM</v>
      </c>
      <c r="B122" s="36" t="str">
        <f>VLOOKUP(B118,Panchanga!$A$3:$AA$463,11,TRUE)&amp;" " &amp;VLOOKUP(B118,Panchanga!$A$3:$AA$463,27,TRUE)</f>
        <v>S2 (1.08) 03:16 AM</v>
      </c>
      <c r="C122" s="36" t="s">
        <v>37</v>
      </c>
      <c r="D122" s="36"/>
      <c r="E122" s="36"/>
      <c r="F122" s="36"/>
      <c r="G122" s="37"/>
    </row>
    <row r="123" spans="1:7" s="21" customFormat="1" ht="36" customHeight="1" x14ac:dyDescent="0.5">
      <c r="A123" s="38" t="str">
        <f>VLOOKUP(A118,Panchanga!$A$3:$AA$463,13,TRUE)</f>
        <v>Kimstugna</v>
      </c>
      <c r="B123" s="39" t="str">
        <f>VLOOKUP(B118,Panchanga!$A$3:$AA$463,13,TRUE)</f>
        <v>Baalava</v>
      </c>
      <c r="C123" s="39" t="s">
        <v>32</v>
      </c>
      <c r="D123" s="39"/>
      <c r="E123" s="39"/>
      <c r="F123" s="39"/>
      <c r="G123" s="40"/>
    </row>
    <row r="124" spans="1:7" s="21" customFormat="1" ht="36" customHeight="1" x14ac:dyDescent="0.5">
      <c r="A124" s="38" t="str">
        <f>VLOOKUP(A118,Panchanga!$A$3:$AA$463,14,TRUE)</f>
        <v>saubhāgya (3.08)</v>
      </c>
      <c r="B124" s="39" t="str">
        <f>VLOOKUP(B118,Panchanga!$A$3:$AA$463,14,TRUE)</f>
        <v>śobhana (4.14)</v>
      </c>
      <c r="C124" s="39" t="s">
        <v>17</v>
      </c>
      <c r="D124" s="39"/>
      <c r="E124" s="39"/>
      <c r="F124" s="39"/>
      <c r="G124" s="40"/>
    </row>
    <row r="125" spans="1:7" s="21" customFormat="1" ht="36" customHeight="1" x14ac:dyDescent="0.25">
      <c r="A125" s="74" t="str">
        <f>VLOOKUP(A118,Panchanga!$A$3:$AA$463,18,TRUE)</f>
        <v>2Ma,1Me,-8J, 12V,-9S,3R</v>
      </c>
      <c r="B125" s="70" t="str">
        <f>VLOOKUP(B118,Panchanga!$A$3:$AA$463,18,TRUE)</f>
        <v>2Ma,1Me,-8J, 12V,-9S,3R</v>
      </c>
      <c r="C125" s="70" t="s">
        <v>38</v>
      </c>
      <c r="D125" s="70"/>
      <c r="E125" s="70"/>
      <c r="F125" s="70"/>
      <c r="G125" s="72"/>
    </row>
    <row r="126" spans="1:7" s="21" customFormat="1" ht="36" customHeight="1" x14ac:dyDescent="0.25">
      <c r="A126" s="74"/>
      <c r="B126" s="71"/>
      <c r="C126" s="71"/>
      <c r="D126" s="71"/>
      <c r="E126" s="71"/>
      <c r="F126" s="71"/>
      <c r="G126" s="73"/>
    </row>
    <row r="127" spans="1:7" ht="14.25" customHeight="1" thickBot="1" x14ac:dyDescent="0.55000000000000004">
      <c r="A127" s="46"/>
      <c r="B127" s="47"/>
      <c r="C127" s="47"/>
      <c r="D127" s="47"/>
      <c r="E127" s="47"/>
      <c r="F127" s="47"/>
      <c r="G127" s="69"/>
    </row>
    <row r="128" spans="1:7" ht="39" customHeight="1" thickBot="1" x14ac:dyDescent="0.55000000000000004">
      <c r="A128" s="43" t="s">
        <v>39</v>
      </c>
      <c r="B128" s="44"/>
      <c r="C128" s="44"/>
      <c r="D128" s="44"/>
      <c r="E128" s="44"/>
      <c r="F128" s="44"/>
      <c r="G128" s="45"/>
    </row>
    <row r="129" spans="1:7" ht="39" customHeight="1" thickBot="1" x14ac:dyDescent="0.5">
      <c r="A129" s="64" t="s">
        <v>30</v>
      </c>
      <c r="B129" s="65">
        <f>Lat</f>
        <v>13.5</v>
      </c>
      <c r="C129" s="66" t="s">
        <v>29</v>
      </c>
      <c r="D129" s="65">
        <f>Long</f>
        <v>80.23</v>
      </c>
      <c r="E129" s="66" t="s">
        <v>2</v>
      </c>
      <c r="F129" s="67">
        <f>TimeZone</f>
        <v>5.5</v>
      </c>
      <c r="G129" s="45"/>
    </row>
    <row r="130" spans="1:7" ht="39" customHeight="1" x14ac:dyDescent="0.5">
      <c r="A130" s="43"/>
      <c r="B130" s="44"/>
      <c r="C130" s="44"/>
      <c r="D130" s="44"/>
      <c r="E130" s="44"/>
      <c r="F130" s="44"/>
      <c r="G130" s="45"/>
    </row>
  </sheetData>
  <mergeCells count="86">
    <mergeCell ref="F50:F51"/>
    <mergeCell ref="G50:G51"/>
    <mergeCell ref="A60:A61"/>
    <mergeCell ref="B60:B61"/>
    <mergeCell ref="C60:C61"/>
    <mergeCell ref="D60:D61"/>
    <mergeCell ref="E60:E61"/>
    <mergeCell ref="F60:F61"/>
    <mergeCell ref="G60:G61"/>
    <mergeCell ref="A50:A51"/>
    <mergeCell ref="B50:B51"/>
    <mergeCell ref="C50:C51"/>
    <mergeCell ref="D50:D51"/>
    <mergeCell ref="E50:E51"/>
    <mergeCell ref="F20:F21"/>
    <mergeCell ref="G20:G21"/>
    <mergeCell ref="F30:F31"/>
    <mergeCell ref="G30:G31"/>
    <mergeCell ref="A40:A41"/>
    <mergeCell ref="B40:B41"/>
    <mergeCell ref="C40:C41"/>
    <mergeCell ref="D40:D41"/>
    <mergeCell ref="E40:E41"/>
    <mergeCell ref="F40:F41"/>
    <mergeCell ref="G40:G41"/>
    <mergeCell ref="A30:A31"/>
    <mergeCell ref="B30:B31"/>
    <mergeCell ref="C30:C31"/>
    <mergeCell ref="D30:D31"/>
    <mergeCell ref="E30:E31"/>
    <mergeCell ref="A20:A21"/>
    <mergeCell ref="B20:B21"/>
    <mergeCell ref="C20:C21"/>
    <mergeCell ref="D20:D21"/>
    <mergeCell ref="E20:E21"/>
    <mergeCell ref="A1:G1"/>
    <mergeCell ref="A10:A11"/>
    <mergeCell ref="B10:B11"/>
    <mergeCell ref="C10:C11"/>
    <mergeCell ref="D10:D11"/>
    <mergeCell ref="E10:E11"/>
    <mergeCell ref="F10:F11"/>
    <mergeCell ref="G10:G11"/>
    <mergeCell ref="A66:G66"/>
    <mergeCell ref="A75:A76"/>
    <mergeCell ref="B75:B76"/>
    <mergeCell ref="C75:C76"/>
    <mergeCell ref="D75:D76"/>
    <mergeCell ref="E75:E76"/>
    <mergeCell ref="F75:F76"/>
    <mergeCell ref="G75:G76"/>
    <mergeCell ref="F85:F86"/>
    <mergeCell ref="G85:G86"/>
    <mergeCell ref="A95:A96"/>
    <mergeCell ref="B95:B96"/>
    <mergeCell ref="C95:C96"/>
    <mergeCell ref="D95:D96"/>
    <mergeCell ref="E95:E96"/>
    <mergeCell ref="F95:F96"/>
    <mergeCell ref="G95:G96"/>
    <mergeCell ref="A85:A86"/>
    <mergeCell ref="B85:B86"/>
    <mergeCell ref="C85:C86"/>
    <mergeCell ref="D85:D86"/>
    <mergeCell ref="E85:E86"/>
    <mergeCell ref="F105:F106"/>
    <mergeCell ref="G105:G106"/>
    <mergeCell ref="A115:A116"/>
    <mergeCell ref="B115:B116"/>
    <mergeCell ref="C115:C116"/>
    <mergeCell ref="D115:D116"/>
    <mergeCell ref="E115:E116"/>
    <mergeCell ref="F115:F116"/>
    <mergeCell ref="G115:G116"/>
    <mergeCell ref="A105:A106"/>
    <mergeCell ref="B105:B106"/>
    <mergeCell ref="C105:C106"/>
    <mergeCell ref="D105:D106"/>
    <mergeCell ref="E105:E106"/>
    <mergeCell ref="F125:F126"/>
    <mergeCell ref="G125:G126"/>
    <mergeCell ref="A125:A126"/>
    <mergeCell ref="B125:B126"/>
    <mergeCell ref="C125:C126"/>
    <mergeCell ref="D125:D126"/>
    <mergeCell ref="E125:E126"/>
  </mergeCells>
  <pageMargins left="0" right="0" top="0" bottom="0.27222112860892389" header="0" footer="0.15312445319335083"/>
  <pageSetup scale="3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Panchanga</vt:lpstr>
      <vt:lpstr>Calendar</vt:lpstr>
      <vt:lpstr>CalLatitude</vt:lpstr>
      <vt:lpstr>CalLongitude</vt:lpstr>
      <vt:lpstr>CalMonth</vt:lpstr>
      <vt:lpstr>CalTimeZone</vt:lpstr>
      <vt:lpstr>Calendar!Lat</vt:lpstr>
      <vt:lpstr>Lat</vt:lpstr>
      <vt:lpstr>Calendar!Long</vt:lpstr>
      <vt:lpstr>Long</vt:lpstr>
      <vt:lpstr>Calendar!Print_Area</vt:lpstr>
      <vt:lpstr>Calendar!TimeZone</vt:lpstr>
      <vt:lpstr>TimeZone</vt:lpstr>
    </vt:vector>
  </TitlesOfParts>
  <Company>Wells Fargo N.A.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Prabhakaran, Sanjay</dc:creator>
  <cp:lastModifiedBy>Prabhakaran, Sanjay</cp:lastModifiedBy>
  <cp:lastPrinted>2018-12-10T17:54:40Z</cp:lastPrinted>
  <dcterms:created xsi:type="dcterms:W3CDTF">2018-08-30T12:29:53Z</dcterms:created>
  <dcterms:modified xsi:type="dcterms:W3CDTF">2019-03-06T16:32:53Z</dcterms:modified>
</cp:coreProperties>
</file>