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5180" windowHeight="6585" activeTab="1"/>
    <workbookView xWindow="540" yWindow="4860" windowWidth="19035" windowHeight="7260"/>
  </bookViews>
  <sheets>
    <sheet name="Sheet1" sheetId="28" r:id="rId1"/>
    <sheet name="Charts" sheetId="27" r:id="rId2"/>
    <sheet name="Basic" sheetId="1" r:id="rId3"/>
    <sheet name="Division" sheetId="23" r:id="rId4"/>
    <sheet name="Two Big Charts" sheetId="24" r:id="rId5"/>
    <sheet name="All Divisional Charts" sheetId="26" r:id="rId6"/>
  </sheets>
  <functionGroups/>
  <externalReferences>
    <externalReference r:id="rId7"/>
  </externalReferences>
  <definedNames>
    <definedName name="_xlnm._FilterDatabase" localSheetId="2" hidden="1">Basic!$C$12:$C$26</definedName>
    <definedName name="_xlnm._FilterDatabase" localSheetId="3" hidden="1">Division!$C$4:$C$18</definedName>
    <definedName name="Lat">Sheet1!$C$1</definedName>
    <definedName name="Long">Sheet1!$F$1</definedName>
    <definedName name="_xlnm.Print_Area" localSheetId="2">Basic!$A$1:$Q$26</definedName>
    <definedName name="_xlnm.Print_Area" localSheetId="3">Division!$A$2:$N$18</definedName>
    <definedName name="StarDeg">[1]DATA!$F$44</definedName>
    <definedName name="TimeZone">Sheet1!$H$1</definedName>
  </definedNames>
  <calcPr calcId="125725"/>
</workbook>
</file>

<file path=xl/calcChain.xml><?xml version="1.0" encoding="utf-8"?>
<calcChain xmlns="http://schemas.openxmlformats.org/spreadsheetml/2006/main">
  <c r="J3" i="28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R7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3"/>
  <c r="G3" i="27"/>
  <c r="I3"/>
  <c r="F3"/>
  <c r="E3"/>
  <c r="G2"/>
  <c r="I2"/>
  <c r="B7" i="1"/>
  <c r="B9"/>
  <c r="I6" i="28"/>
  <c r="I10"/>
  <c r="I14"/>
  <c r="I18"/>
  <c r="I22"/>
  <c r="I26"/>
  <c r="I30"/>
  <c r="I34"/>
  <c r="I38"/>
  <c r="I42"/>
  <c r="I46"/>
  <c r="I50"/>
  <c r="I54"/>
  <c r="I58"/>
  <c r="I5"/>
  <c r="I9"/>
  <c r="I13"/>
  <c r="I17"/>
  <c r="I21"/>
  <c r="I25"/>
  <c r="I29"/>
  <c r="I33"/>
  <c r="I37"/>
  <c r="I41"/>
  <c r="I45"/>
  <c r="I49"/>
  <c r="I53"/>
  <c r="I57"/>
  <c r="I4"/>
  <c r="I8"/>
  <c r="I12"/>
  <c r="I16"/>
  <c r="I20"/>
  <c r="I24"/>
  <c r="I28"/>
  <c r="I32"/>
  <c r="I36"/>
  <c r="I40"/>
  <c r="I44"/>
  <c r="I48"/>
  <c r="I52"/>
  <c r="I56"/>
  <c r="I60"/>
  <c r="I3"/>
  <c r="I7"/>
  <c r="I11"/>
  <c r="I15"/>
  <c r="I19"/>
  <c r="I23"/>
  <c r="I27"/>
  <c r="I31"/>
  <c r="I35"/>
  <c r="I39"/>
  <c r="I43"/>
  <c r="I47"/>
  <c r="I51"/>
  <c r="I55"/>
  <c r="I59"/>
  <c r="D18"/>
  <c r="D34"/>
  <c r="D50"/>
  <c r="D16"/>
  <c r="D48"/>
  <c r="D19"/>
  <c r="D47"/>
  <c r="D13"/>
  <c r="D29"/>
  <c r="D45"/>
  <c r="D8"/>
  <c r="D36"/>
  <c r="D7"/>
  <c r="D39"/>
  <c r="C10"/>
  <c r="C26"/>
  <c r="C42"/>
  <c r="C58"/>
  <c r="C16"/>
  <c r="C40"/>
  <c r="C11"/>
  <c r="C43"/>
  <c r="C9"/>
  <c r="C25"/>
  <c r="C41"/>
  <c r="C57"/>
  <c r="C52"/>
  <c r="C23"/>
  <c r="C59"/>
  <c r="C34" i="26"/>
  <c r="F15" i="1"/>
  <c r="J3" i="27"/>
  <c r="C28" i="26"/>
  <c r="C52"/>
  <c r="O3" i="27"/>
  <c r="C4" i="24"/>
  <c r="F16" i="1"/>
  <c r="D15"/>
  <c r="C46" i="26"/>
  <c r="C58"/>
  <c r="L3" i="27"/>
  <c r="M52" i="26"/>
  <c r="B8" i="1"/>
  <c r="K2" i="27"/>
  <c r="E15" i="1"/>
  <c r="H52" i="26"/>
  <c r="B16" i="1"/>
  <c r="G16"/>
  <c r="D14" i="28"/>
  <c r="D30"/>
  <c r="D46"/>
  <c r="D4"/>
  <c r="D40"/>
  <c r="D11"/>
  <c r="D43"/>
  <c r="D9"/>
  <c r="D25"/>
  <c r="D41"/>
  <c r="D57"/>
  <c r="D28"/>
  <c r="D60"/>
  <c r="D31"/>
  <c r="C6"/>
  <c r="C22"/>
  <c r="C38"/>
  <c r="C54"/>
  <c r="C12"/>
  <c r="C32"/>
  <c r="C3"/>
  <c r="C35"/>
  <c r="C5"/>
  <c r="C21"/>
  <c r="C37"/>
  <c r="C53"/>
  <c r="C44"/>
  <c r="C15"/>
  <c r="C51"/>
  <c r="H2" i="27"/>
  <c r="N3"/>
  <c r="F20" i="1"/>
  <c r="M10" i="26"/>
  <c r="E20" i="1"/>
  <c r="G20"/>
  <c r="F19"/>
  <c r="L2" i="27"/>
  <c r="H58" i="26"/>
  <c r="D26" i="28"/>
  <c r="D58"/>
  <c r="D3"/>
  <c r="D5"/>
  <c r="D37"/>
  <c r="D20"/>
  <c r="D23"/>
  <c r="C18"/>
  <c r="C50"/>
  <c r="C28"/>
  <c r="C27"/>
  <c r="C17"/>
  <c r="C49"/>
  <c r="C7"/>
  <c r="F12" i="1"/>
  <c r="H57" i="26"/>
  <c r="N48"/>
  <c r="E42"/>
  <c r="C51"/>
  <c r="B60"/>
  <c r="I48"/>
  <c r="G36"/>
  <c r="L33"/>
  <c r="G39"/>
  <c r="B53"/>
  <c r="O6"/>
  <c r="E35"/>
  <c r="O16"/>
  <c r="B39"/>
  <c r="G15" i="1"/>
  <c r="B5" i="24"/>
  <c r="I36" i="26"/>
  <c r="E57"/>
  <c r="J42"/>
  <c r="H16"/>
  <c r="E40"/>
  <c r="M36"/>
  <c r="N24"/>
  <c r="P2" i="27"/>
  <c r="P3"/>
  <c r="I15" i="1"/>
  <c r="O57" i="26"/>
  <c r="O54"/>
  <c r="G6" i="24"/>
  <c r="L11" i="26"/>
  <c r="D45"/>
  <c r="M51"/>
  <c r="B20" i="1"/>
  <c r="E6" i="26"/>
  <c r="L30"/>
  <c r="G5" i="24"/>
  <c r="L18" i="26"/>
  <c r="G17"/>
  <c r="I24"/>
  <c r="G3" i="24"/>
  <c r="C36" i="26"/>
  <c r="E27"/>
  <c r="L5"/>
  <c r="B18"/>
  <c r="B12"/>
  <c r="E41"/>
  <c r="E46"/>
  <c r="B15" i="1"/>
  <c r="K15"/>
  <c r="R3" i="27"/>
  <c r="J60" i="26"/>
  <c r="L19" i="1"/>
  <c r="L24" i="26"/>
  <c r="O29"/>
  <c r="D6" i="24"/>
  <c r="H28" i="26"/>
  <c r="J45"/>
  <c r="J15" i="1"/>
  <c r="E59" i="26"/>
  <c r="C3" i="24"/>
  <c r="G4" i="26"/>
  <c r="G59"/>
  <c r="N3"/>
  <c r="F18" i="1"/>
  <c r="E12"/>
  <c r="K18"/>
  <c r="O52" i="26"/>
  <c r="N9"/>
  <c r="L51"/>
  <c r="L54"/>
  <c r="I39"/>
  <c r="D20" i="1"/>
  <c r="O22" i="26"/>
  <c r="C42"/>
  <c r="M42"/>
  <c r="E19" i="1"/>
  <c r="G18"/>
  <c r="B18"/>
  <c r="C39" i="28"/>
  <c r="O2" i="27"/>
  <c r="B28" i="26"/>
  <c r="I54"/>
  <c r="C30"/>
  <c r="J9"/>
  <c r="J5"/>
  <c r="O35"/>
  <c r="H10"/>
  <c r="O24"/>
  <c r="M28"/>
  <c r="D36"/>
  <c r="D42"/>
  <c r="I19" i="1"/>
  <c r="J16" i="26"/>
  <c r="O45"/>
  <c r="J2" i="27"/>
  <c r="J3" i="26"/>
  <c r="D3"/>
  <c r="B54"/>
  <c r="O34"/>
  <c r="L3"/>
  <c r="F14" i="1"/>
  <c r="M2" i="27"/>
  <c r="E39" i="26"/>
  <c r="E16" i="1"/>
  <c r="G54" i="26"/>
  <c r="H18"/>
  <c r="O36"/>
  <c r="D19" i="1"/>
  <c r="C48" i="26"/>
  <c r="O4"/>
  <c r="E6" i="24"/>
  <c r="H4"/>
  <c r="K3" i="27"/>
  <c r="B42" i="26"/>
  <c r="H6" i="24"/>
  <c r="C15" i="26"/>
  <c r="C16" i="1"/>
  <c r="E18"/>
  <c r="D38" i="28"/>
  <c r="D27"/>
  <c r="D49"/>
  <c r="D51"/>
  <c r="C4"/>
  <c r="C47"/>
  <c r="C20"/>
  <c r="L60" i="26"/>
  <c r="G48"/>
  <c r="Q3" i="27"/>
  <c r="G60" i="26"/>
  <c r="C45"/>
  <c r="L47"/>
  <c r="N57"/>
  <c r="G29"/>
  <c r="J46"/>
  <c r="D27"/>
  <c r="D21"/>
  <c r="J12" i="1"/>
  <c r="D24" i="26"/>
  <c r="H4"/>
  <c r="E53"/>
  <c r="H15" i="1"/>
  <c r="E60" i="26"/>
  <c r="Q2" i="27"/>
  <c r="D48" i="26"/>
  <c r="L34"/>
  <c r="H34"/>
  <c r="I3" i="24"/>
  <c r="K19" i="1"/>
  <c r="H21" i="26"/>
  <c r="E30"/>
  <c r="B4"/>
  <c r="K20" i="1"/>
  <c r="N2" i="27"/>
  <c r="H42" i="26"/>
  <c r="I20" i="1"/>
  <c r="M22" i="26"/>
  <c r="O60"/>
  <c r="I9"/>
  <c r="L36"/>
  <c r="N45"/>
  <c r="G21"/>
  <c r="J17"/>
  <c r="C14" i="1"/>
  <c r="D14"/>
  <c r="D22" i="28"/>
  <c r="D54"/>
  <c r="D56"/>
  <c r="D55"/>
  <c r="D33"/>
  <c r="D12"/>
  <c r="D15"/>
  <c r="C14"/>
  <c r="C46"/>
  <c r="C24"/>
  <c r="C19"/>
  <c r="C13"/>
  <c r="C45"/>
  <c r="C60"/>
  <c r="M4" i="26"/>
  <c r="M33"/>
  <c r="O11"/>
  <c r="J29"/>
  <c r="G30"/>
  <c r="B17"/>
  <c r="F17" i="1"/>
  <c r="G11" i="26"/>
  <c r="M34"/>
  <c r="M58"/>
  <c r="E11"/>
  <c r="E52"/>
  <c r="I21"/>
  <c r="G28"/>
  <c r="E4"/>
  <c r="I60"/>
  <c r="H22"/>
  <c r="E5" i="24"/>
  <c r="L39" i="26"/>
  <c r="L28"/>
  <c r="E5"/>
  <c r="E12"/>
  <c r="M40"/>
  <c r="M9"/>
  <c r="F13" i="1"/>
  <c r="J11" i="26"/>
  <c r="G12"/>
  <c r="B51"/>
  <c r="D13" i="1"/>
  <c r="H15" i="26"/>
  <c r="H54"/>
  <c r="C20" i="1"/>
  <c r="H30" i="26"/>
  <c r="D30"/>
  <c r="J39"/>
  <c r="C4"/>
  <c r="O41"/>
  <c r="G52"/>
  <c r="O17"/>
  <c r="C12" i="1"/>
  <c r="I27" i="26"/>
  <c r="O10"/>
  <c r="N60"/>
  <c r="J28"/>
  <c r="L48"/>
  <c r="E17"/>
  <c r="L35"/>
  <c r="I51"/>
  <c r="C12"/>
  <c r="I12"/>
  <c r="R2" i="27"/>
  <c r="I6" i="24"/>
  <c r="K13" i="1"/>
  <c r="H16"/>
  <c r="C60" i="26"/>
  <c r="B57"/>
  <c r="O30"/>
  <c r="C3"/>
  <c r="G22"/>
  <c r="B5"/>
  <c r="J4" i="24"/>
  <c r="J36" i="26"/>
  <c r="G40"/>
  <c r="M3" i="27"/>
  <c r="E22" i="26"/>
  <c r="E21"/>
  <c r="H3" i="27"/>
  <c r="C6" i="26"/>
  <c r="K17" i="1"/>
  <c r="N18" i="26"/>
  <c r="G5"/>
  <c r="D3" i="24"/>
  <c r="C15" i="1"/>
  <c r="E24" i="26"/>
  <c r="L23"/>
  <c r="D17" i="1"/>
  <c r="E3" i="24"/>
  <c r="J51" i="26"/>
  <c r="E36"/>
  <c r="D16" i="1"/>
  <c r="H19"/>
  <c r="L16"/>
  <c r="C18"/>
  <c r="D10" i="28"/>
  <c r="D42"/>
  <c r="D32"/>
  <c r="D35"/>
  <c r="D21"/>
  <c r="D53"/>
  <c r="D52"/>
  <c r="D59"/>
  <c r="C34"/>
  <c r="C8"/>
  <c r="C56"/>
  <c r="C55"/>
  <c r="C33"/>
  <c r="C36"/>
  <c r="C54" i="26"/>
  <c r="N27"/>
  <c r="J59"/>
  <c r="J47"/>
  <c r="G27"/>
  <c r="J27"/>
  <c r="B30"/>
  <c r="M54"/>
  <c r="B29"/>
  <c r="C10"/>
  <c r="E58"/>
  <c r="L57"/>
  <c r="G53"/>
  <c r="H46"/>
  <c r="M60"/>
  <c r="J41"/>
  <c r="M12"/>
  <c r="D39"/>
  <c r="J19" i="1"/>
  <c r="M24" i="26"/>
  <c r="J40"/>
  <c r="J34"/>
  <c r="B3" i="24"/>
  <c r="M16" i="26"/>
  <c r="M46"/>
  <c r="J57"/>
  <c r="G10"/>
  <c r="H40"/>
  <c r="B16"/>
  <c r="D12"/>
  <c r="L9"/>
  <c r="J16" i="1"/>
  <c r="J35" i="26"/>
  <c r="B36"/>
  <c r="D6"/>
  <c r="L12" i="1"/>
  <c r="L22" i="26"/>
  <c r="B22"/>
  <c r="G3"/>
  <c r="O39"/>
  <c r="E18"/>
  <c r="B19" i="1"/>
  <c r="B14"/>
  <c r="I18"/>
  <c r="D6" i="28"/>
  <c r="D24"/>
  <c r="D17"/>
  <c r="D44"/>
  <c r="C30"/>
  <c r="C48"/>
  <c r="C29"/>
  <c r="C31"/>
  <c r="D54" i="26"/>
  <c r="G23"/>
  <c r="I6"/>
  <c r="E16"/>
  <c r="O46"/>
  <c r="G33"/>
  <c r="L42"/>
  <c r="C40"/>
  <c r="L21"/>
  <c r="G42"/>
  <c r="M57"/>
  <c r="G46"/>
  <c r="L16"/>
  <c r="O27"/>
  <c r="N15"/>
  <c r="C16"/>
  <c r="I13" i="1"/>
  <c r="B58" i="26"/>
  <c r="D9"/>
  <c r="C22"/>
  <c r="E47"/>
  <c r="B24"/>
  <c r="N36"/>
  <c r="G45"/>
  <c r="B3"/>
  <c r="O28"/>
  <c r="E17" i="1"/>
  <c r="I45" i="26"/>
  <c r="D18"/>
  <c r="G13" i="1"/>
  <c r="N6" i="26"/>
  <c r="J58"/>
  <c r="B21"/>
  <c r="K16" i="1"/>
  <c r="J24" i="26"/>
  <c r="H9"/>
  <c r="N54"/>
  <c r="G47"/>
  <c r="B41"/>
  <c r="N42"/>
  <c r="I16" i="1"/>
  <c r="J18"/>
  <c r="H20"/>
  <c r="J20"/>
  <c r="C19"/>
  <c r="G19"/>
  <c r="O21" i="26"/>
  <c r="G16"/>
  <c r="J15"/>
  <c r="J10"/>
  <c r="B4" i="24"/>
  <c r="B47" i="26"/>
  <c r="C33"/>
  <c r="G12" i="1"/>
  <c r="E54" i="26"/>
  <c r="E10"/>
  <c r="B11"/>
  <c r="O51"/>
  <c r="O18"/>
  <c r="N51"/>
  <c r="H33"/>
  <c r="E45"/>
  <c r="G51"/>
  <c r="N30"/>
  <c r="O58"/>
  <c r="J52"/>
  <c r="J18"/>
  <c r="L59"/>
  <c r="J48"/>
  <c r="J4"/>
  <c r="G18"/>
  <c r="B15"/>
  <c r="G35"/>
  <c r="H36"/>
  <c r="L45"/>
  <c r="B34"/>
  <c r="N21"/>
  <c r="B59"/>
  <c r="I33"/>
  <c r="O42"/>
  <c r="L20" i="1"/>
  <c r="J22" i="26"/>
  <c r="L4"/>
  <c r="B9"/>
  <c r="O3"/>
  <c r="I15"/>
  <c r="O48"/>
  <c r="E4" i="24"/>
  <c r="H60" i="26"/>
  <c r="C27"/>
  <c r="J5" i="24"/>
  <c r="H48" i="26"/>
  <c r="L6"/>
  <c r="E51"/>
  <c r="M6"/>
  <c r="O5"/>
  <c r="B10"/>
  <c r="M21"/>
  <c r="M27"/>
  <c r="L40"/>
  <c r="L14" i="1"/>
  <c r="B6" i="24"/>
  <c r="D33" i="26"/>
  <c r="I12" i="1"/>
  <c r="H45" i="26"/>
  <c r="E33"/>
  <c r="L46"/>
  <c r="L17" i="1"/>
  <c r="G34" i="26"/>
  <c r="H27"/>
  <c r="M39"/>
  <c r="J53"/>
  <c r="L12"/>
  <c r="L18" i="1"/>
  <c r="N39" i="26"/>
  <c r="J30"/>
  <c r="L15" i="1"/>
  <c r="O9" i="26"/>
  <c r="E3"/>
  <c r="L41"/>
  <c r="B33"/>
  <c r="N12"/>
  <c r="H39"/>
  <c r="O53"/>
  <c r="L10"/>
  <c r="L58"/>
  <c r="I18"/>
  <c r="I3"/>
  <c r="K12" i="1"/>
  <c r="G6" i="26"/>
  <c r="M3"/>
  <c r="J6" i="24"/>
  <c r="C39" i="26"/>
  <c r="B52"/>
  <c r="B6"/>
  <c r="H3" i="24"/>
  <c r="C21" i="26"/>
  <c r="B23"/>
  <c r="M45"/>
  <c r="J3" i="24"/>
  <c r="M48" i="26"/>
  <c r="O33"/>
  <c r="J33"/>
  <c r="C6" i="24"/>
  <c r="G41" i="26"/>
  <c r="E15"/>
  <c r="D12" i="1"/>
  <c r="E48" i="26"/>
  <c r="H6"/>
  <c r="N33"/>
  <c r="O47"/>
  <c r="B46"/>
  <c r="I30"/>
  <c r="J54"/>
  <c r="D51"/>
  <c r="O40"/>
  <c r="J23"/>
  <c r="C9"/>
  <c r="D60"/>
  <c r="M18"/>
  <c r="L27"/>
  <c r="O15"/>
  <c r="B35"/>
  <c r="E34"/>
  <c r="B48"/>
  <c r="H12" i="1"/>
  <c r="I57" i="26"/>
  <c r="O59"/>
  <c r="I42"/>
  <c r="G9"/>
  <c r="E28"/>
  <c r="M30"/>
  <c r="B45"/>
  <c r="J12"/>
  <c r="G4" i="24"/>
  <c r="C18" i="26"/>
  <c r="J21"/>
  <c r="G57"/>
  <c r="O12"/>
  <c r="O23"/>
  <c r="C24"/>
  <c r="B12" i="1"/>
  <c r="H24" i="26"/>
  <c r="L15"/>
  <c r="E23"/>
  <c r="L52"/>
  <c r="H12"/>
  <c r="D15"/>
  <c r="C57"/>
  <c r="H51"/>
  <c r="G58"/>
  <c r="G24"/>
  <c r="H3"/>
  <c r="L29"/>
  <c r="J6"/>
  <c r="G15"/>
  <c r="B27"/>
  <c r="B40"/>
  <c r="D57"/>
  <c r="M15"/>
  <c r="E29"/>
  <c r="L53"/>
  <c r="E9"/>
  <c r="L17"/>
  <c r="H18" i="1"/>
  <c r="D18"/>
  <c r="J14"/>
  <c r="E14"/>
  <c r="G14"/>
  <c r="K14"/>
  <c r="I14"/>
  <c r="H14"/>
  <c r="H17"/>
  <c r="C17"/>
  <c r="G17"/>
  <c r="J17"/>
  <c r="B17"/>
  <c r="I17"/>
  <c r="J13"/>
  <c r="L13"/>
  <c r="B13"/>
  <c r="C13"/>
  <c r="E13"/>
  <c r="E52" i="28" l="1"/>
  <c r="E48"/>
  <c r="E36"/>
  <c r="E32"/>
  <c r="E28"/>
  <c r="E26"/>
  <c r="E24"/>
  <c r="E22"/>
  <c r="E20"/>
  <c r="E18"/>
  <c r="E16"/>
  <c r="E14"/>
  <c r="E12"/>
  <c r="E10"/>
  <c r="E8"/>
  <c r="E6"/>
  <c r="E4"/>
  <c r="E59"/>
  <c r="E55"/>
  <c r="E51"/>
  <c r="E47"/>
  <c r="E43"/>
  <c r="E39"/>
  <c r="E35"/>
  <c r="E31"/>
  <c r="E60"/>
  <c r="E56"/>
  <c r="E44"/>
  <c r="E40"/>
  <c r="E58"/>
  <c r="E54"/>
  <c r="E50"/>
  <c r="E46"/>
  <c r="E42"/>
  <c r="E38"/>
  <c r="E34"/>
  <c r="E30"/>
  <c r="E3"/>
  <c r="H3" s="1"/>
  <c r="E27"/>
  <c r="E25"/>
  <c r="E23"/>
  <c r="E21"/>
  <c r="E19"/>
  <c r="E17"/>
  <c r="E15"/>
  <c r="E13"/>
  <c r="E11"/>
  <c r="E9"/>
  <c r="E7"/>
  <c r="E5"/>
  <c r="E57"/>
  <c r="E53"/>
  <c r="E49"/>
  <c r="E45"/>
  <c r="E41"/>
  <c r="E37"/>
  <c r="E33"/>
  <c r="E29"/>
  <c r="D19" i="24"/>
  <c r="D21"/>
  <c r="D13"/>
  <c r="D12"/>
  <c r="D14"/>
  <c r="D16"/>
  <c r="D15"/>
  <c r="D22"/>
  <c r="D17"/>
  <c r="D11"/>
  <c r="D18"/>
  <c r="D20"/>
  <c r="K13"/>
  <c r="K12"/>
  <c r="K11"/>
  <c r="M11" s="1"/>
  <c r="K17"/>
  <c r="K18"/>
  <c r="K15"/>
  <c r="K19"/>
  <c r="K14"/>
  <c r="K21"/>
  <c r="K22"/>
  <c r="K20"/>
  <c r="K16"/>
  <c r="E13"/>
  <c r="E21"/>
  <c r="E16"/>
  <c r="E14"/>
  <c r="E17"/>
  <c r="E11"/>
  <c r="E22"/>
  <c r="E15"/>
  <c r="E18"/>
  <c r="E19"/>
  <c r="E20"/>
  <c r="E12"/>
  <c r="H12"/>
  <c r="H19"/>
  <c r="H14"/>
  <c r="H13"/>
  <c r="H17"/>
  <c r="H16"/>
  <c r="H15"/>
  <c r="H20"/>
  <c r="H21"/>
  <c r="H11"/>
  <c r="H18"/>
  <c r="H22"/>
  <c r="G13"/>
  <c r="G12"/>
  <c r="G15"/>
  <c r="G17"/>
  <c r="G16"/>
  <c r="G21"/>
  <c r="G19"/>
  <c r="G11"/>
  <c r="G18"/>
  <c r="G20"/>
  <c r="G14"/>
  <c r="G22"/>
  <c r="S3" i="27"/>
  <c r="F8" i="23"/>
  <c r="I20" i="24"/>
  <c r="I18"/>
  <c r="I21"/>
  <c r="I12"/>
  <c r="I13"/>
  <c r="I16"/>
  <c r="I11"/>
  <c r="I22"/>
  <c r="I15"/>
  <c r="I17"/>
  <c r="I14"/>
  <c r="I19"/>
  <c r="F10" i="23"/>
  <c r="S2" i="27"/>
  <c r="T3"/>
  <c r="U3" s="1"/>
  <c r="V3" s="1"/>
  <c r="W3" s="1"/>
  <c r="X3" s="1"/>
  <c r="F22" i="1"/>
  <c r="F5" i="23"/>
  <c r="F21" i="1"/>
  <c r="F12" i="23"/>
  <c r="F6"/>
  <c r="F11" i="24"/>
  <c r="F21"/>
  <c r="F12"/>
  <c r="F15"/>
  <c r="F13"/>
  <c r="F16"/>
  <c r="F14"/>
  <c r="F19"/>
  <c r="F18"/>
  <c r="F22"/>
  <c r="F20"/>
  <c r="F17"/>
  <c r="J18"/>
  <c r="J17"/>
  <c r="J20"/>
  <c r="J22"/>
  <c r="J12"/>
  <c r="J13"/>
  <c r="J11"/>
  <c r="J21"/>
  <c r="J15"/>
  <c r="J19"/>
  <c r="J16"/>
  <c r="J14"/>
  <c r="F9" i="23"/>
  <c r="F11"/>
  <c r="F7"/>
  <c r="C17" i="24"/>
  <c r="C15"/>
  <c r="C11"/>
  <c r="C21"/>
  <c r="C16"/>
  <c r="C22"/>
  <c r="C18"/>
  <c r="C12"/>
  <c r="C20"/>
  <c r="C14"/>
  <c r="C13"/>
  <c r="C19"/>
  <c r="F4" i="23"/>
  <c r="T2" i="27"/>
  <c r="U2" s="1"/>
  <c r="V2" s="1"/>
  <c r="W2" s="1"/>
  <c r="X2" s="1"/>
  <c r="F22" i="28"/>
  <c r="F6"/>
  <c r="G35"/>
  <c r="F50"/>
  <c r="F25"/>
  <c r="F9"/>
  <c r="F37"/>
  <c r="G11" i="23"/>
  <c r="I22" i="1"/>
  <c r="I21"/>
  <c r="F24" i="28"/>
  <c r="G8"/>
  <c r="F39"/>
  <c r="F54"/>
  <c r="F27"/>
  <c r="F11"/>
  <c r="F41"/>
  <c r="L21" i="1"/>
  <c r="H22"/>
  <c r="G5" i="23"/>
  <c r="F26" i="28"/>
  <c r="G10"/>
  <c r="G43"/>
  <c r="F58"/>
  <c r="G3"/>
  <c r="F13"/>
  <c r="F45"/>
  <c r="B21" i="1"/>
  <c r="G9" i="23"/>
  <c r="B11"/>
  <c r="D5"/>
  <c r="F28" i="28"/>
  <c r="F12"/>
  <c r="G47"/>
  <c r="G40"/>
  <c r="F30"/>
  <c r="F15"/>
  <c r="F49"/>
  <c r="E5" i="23"/>
  <c r="E9"/>
  <c r="F32" i="28"/>
  <c r="G14"/>
  <c r="F51"/>
  <c r="F44"/>
  <c r="G34"/>
  <c r="G17"/>
  <c r="G53"/>
  <c r="K21" i="1"/>
  <c r="G22"/>
  <c r="H11" i="23"/>
  <c r="F36" i="28"/>
  <c r="G16"/>
  <c r="G55"/>
  <c r="F56"/>
  <c r="G38"/>
  <c r="G19"/>
  <c r="G57"/>
  <c r="C21" i="1"/>
  <c r="E22"/>
  <c r="D21"/>
  <c r="F48" i="28"/>
  <c r="G18"/>
  <c r="F59"/>
  <c r="F60"/>
  <c r="G42"/>
  <c r="G21"/>
  <c r="G5"/>
  <c r="G29"/>
  <c r="G12" i="23"/>
  <c r="G6"/>
  <c r="F52" i="28"/>
  <c r="G20"/>
  <c r="G4"/>
  <c r="F31"/>
  <c r="G46"/>
  <c r="G23"/>
  <c r="G7"/>
  <c r="G33"/>
  <c r="D12" i="23"/>
  <c r="C6"/>
  <c r="G32" i="28"/>
  <c r="F14"/>
  <c r="G51"/>
  <c r="G44"/>
  <c r="F34"/>
  <c r="F17"/>
  <c r="F53"/>
  <c r="E21" i="1"/>
  <c r="K22"/>
  <c r="J22"/>
  <c r="G36" i="28"/>
  <c r="F16"/>
  <c r="F55"/>
  <c r="G56"/>
  <c r="F38"/>
  <c r="F19"/>
  <c r="F57"/>
  <c r="H21" i="1"/>
  <c r="L22"/>
  <c r="C11" i="23"/>
  <c r="G8"/>
  <c r="G48" i="28"/>
  <c r="F18"/>
  <c r="G59"/>
  <c r="G60"/>
  <c r="F42"/>
  <c r="F21"/>
  <c r="F5"/>
  <c r="F29"/>
  <c r="J21" i="1"/>
  <c r="B22"/>
  <c r="B9" i="23"/>
  <c r="G52" i="28"/>
  <c r="F20"/>
  <c r="F4"/>
  <c r="G31"/>
  <c r="F46"/>
  <c r="F23"/>
  <c r="F7"/>
  <c r="F33"/>
  <c r="C5" i="23"/>
  <c r="B8"/>
  <c r="E12"/>
  <c r="D9"/>
  <c r="D6"/>
  <c r="G22" i="28"/>
  <c r="G6"/>
  <c r="F35"/>
  <c r="G50"/>
  <c r="G25"/>
  <c r="G9"/>
  <c r="G37"/>
  <c r="G10" i="23"/>
  <c r="E11"/>
  <c r="G4"/>
  <c r="E4"/>
  <c r="G24" i="28"/>
  <c r="F8"/>
  <c r="G39"/>
  <c r="G54"/>
  <c r="G27"/>
  <c r="G11"/>
  <c r="G41"/>
  <c r="G7" i="23"/>
  <c r="D11"/>
  <c r="H7"/>
  <c r="C22" i="1"/>
  <c r="E10" i="23"/>
  <c r="G26" i="28"/>
  <c r="F10"/>
  <c r="F43"/>
  <c r="G58"/>
  <c r="F3"/>
  <c r="G13"/>
  <c r="G45"/>
  <c r="G21" i="1"/>
  <c r="D22"/>
  <c r="H4" i="23"/>
  <c r="C12"/>
  <c r="C9"/>
  <c r="B5"/>
  <c r="G28" i="28"/>
  <c r="G12"/>
  <c r="F47"/>
  <c r="F40"/>
  <c r="G30"/>
  <c r="G15"/>
  <c r="G49"/>
  <c r="I8" i="23"/>
  <c r="D7"/>
  <c r="H5"/>
  <c r="H8"/>
  <c r="H9"/>
  <c r="B6"/>
  <c r="H13" i="1"/>
  <c r="H12" i="23"/>
  <c r="B12"/>
  <c r="E6"/>
  <c r="H6"/>
  <c r="E8"/>
  <c r="C8"/>
  <c r="D8"/>
  <c r="B10"/>
  <c r="D10"/>
  <c r="H10"/>
  <c r="C10"/>
  <c r="I6"/>
  <c r="I12"/>
  <c r="I9"/>
  <c r="I5"/>
  <c r="I4"/>
  <c r="B4"/>
  <c r="I7"/>
  <c r="C4"/>
  <c r="D4"/>
  <c r="I10"/>
  <c r="I11"/>
  <c r="E7"/>
  <c r="B7"/>
  <c r="C7"/>
  <c r="H49" i="28" l="1"/>
  <c r="H23"/>
  <c r="H46"/>
  <c r="H40"/>
  <c r="H47"/>
  <c r="H20"/>
  <c r="H52"/>
  <c r="H45"/>
  <c r="H13"/>
  <c r="H21"/>
  <c r="H42"/>
  <c r="H60"/>
  <c r="H59"/>
  <c r="H18"/>
  <c r="H48"/>
  <c r="H41"/>
  <c r="H57"/>
  <c r="H11"/>
  <c r="H19"/>
  <c r="H27"/>
  <c r="H38"/>
  <c r="H54"/>
  <c r="H56"/>
  <c r="H39"/>
  <c r="H55"/>
  <c r="H8"/>
  <c r="H16"/>
  <c r="H24"/>
  <c r="H36"/>
  <c r="H33"/>
  <c r="H7"/>
  <c r="H15"/>
  <c r="H30"/>
  <c r="H31"/>
  <c r="H4"/>
  <c r="H12"/>
  <c r="H28"/>
  <c r="H29"/>
  <c r="H5"/>
  <c r="H58"/>
  <c r="H43"/>
  <c r="H10"/>
  <c r="H26"/>
  <c r="H37"/>
  <c r="H53"/>
  <c r="H9"/>
  <c r="H17"/>
  <c r="H25"/>
  <c r="H34"/>
  <c r="H50"/>
  <c r="H44"/>
  <c r="H35"/>
  <c r="H51"/>
  <c r="H6"/>
  <c r="H14"/>
  <c r="H22"/>
  <c r="H32"/>
  <c r="N33"/>
  <c r="N49"/>
  <c r="N7"/>
  <c r="N15"/>
  <c r="N23"/>
  <c r="N30"/>
  <c r="N46"/>
  <c r="N40"/>
  <c r="N31"/>
  <c r="N47"/>
  <c r="N4"/>
  <c r="N12"/>
  <c r="N20"/>
  <c r="N28"/>
  <c r="N52"/>
  <c r="N29"/>
  <c r="N45"/>
  <c r="N5"/>
  <c r="N13"/>
  <c r="N21"/>
  <c r="N3"/>
  <c r="N42"/>
  <c r="N58"/>
  <c r="N60"/>
  <c r="N43"/>
  <c r="N59"/>
  <c r="N10"/>
  <c r="N18"/>
  <c r="N26"/>
  <c r="N48"/>
  <c r="N41"/>
  <c r="N57"/>
  <c r="N11"/>
  <c r="N19"/>
  <c r="N27"/>
  <c r="N38"/>
  <c r="N54"/>
  <c r="N56"/>
  <c r="N39"/>
  <c r="N55"/>
  <c r="N8"/>
  <c r="N16"/>
  <c r="N24"/>
  <c r="N36"/>
  <c r="N37"/>
  <c r="N53"/>
  <c r="N9"/>
  <c r="N17"/>
  <c r="N25"/>
  <c r="N34"/>
  <c r="N50"/>
  <c r="N44"/>
  <c r="N35"/>
  <c r="N51"/>
  <c r="N6"/>
  <c r="N14"/>
  <c r="N22"/>
  <c r="N32"/>
  <c r="K33"/>
  <c r="L33" s="1"/>
  <c r="K49"/>
  <c r="L49" s="1"/>
  <c r="K7"/>
  <c r="L7" s="1"/>
  <c r="K15"/>
  <c r="L15" s="1"/>
  <c r="K23"/>
  <c r="L23" s="1"/>
  <c r="K30"/>
  <c r="L30" s="1"/>
  <c r="K46"/>
  <c r="L46" s="1"/>
  <c r="K40"/>
  <c r="L40" s="1"/>
  <c r="K31"/>
  <c r="L31" s="1"/>
  <c r="K47"/>
  <c r="L47" s="1"/>
  <c r="K4"/>
  <c r="L4" s="1"/>
  <c r="K12"/>
  <c r="L12" s="1"/>
  <c r="K20"/>
  <c r="L20" s="1"/>
  <c r="K28"/>
  <c r="L28" s="1"/>
  <c r="K52"/>
  <c r="L52" s="1"/>
  <c r="K29"/>
  <c r="L29" s="1"/>
  <c r="K45"/>
  <c r="L45" s="1"/>
  <c r="K5"/>
  <c r="L5" s="1"/>
  <c r="K13"/>
  <c r="L13" s="1"/>
  <c r="K21"/>
  <c r="L21" s="1"/>
  <c r="K3"/>
  <c r="L3" s="1"/>
  <c r="K42"/>
  <c r="L42" s="1"/>
  <c r="K58"/>
  <c r="L58" s="1"/>
  <c r="K60"/>
  <c r="L60" s="1"/>
  <c r="K43"/>
  <c r="L43" s="1"/>
  <c r="K59"/>
  <c r="L59" s="1"/>
  <c r="K10"/>
  <c r="L10" s="1"/>
  <c r="K18"/>
  <c r="L18" s="1"/>
  <c r="K26"/>
  <c r="L26" s="1"/>
  <c r="K48"/>
  <c r="L48" s="1"/>
  <c r="K41"/>
  <c r="L41" s="1"/>
  <c r="K57"/>
  <c r="L57" s="1"/>
  <c r="K11"/>
  <c r="L11" s="1"/>
  <c r="K19"/>
  <c r="L19" s="1"/>
  <c r="K27"/>
  <c r="L27" s="1"/>
  <c r="K38"/>
  <c r="L38" s="1"/>
  <c r="K54"/>
  <c r="L54" s="1"/>
  <c r="K56"/>
  <c r="L56" s="1"/>
  <c r="K39"/>
  <c r="L39" s="1"/>
  <c r="K55"/>
  <c r="L55" s="1"/>
  <c r="K8"/>
  <c r="L8" s="1"/>
  <c r="K16"/>
  <c r="L16" s="1"/>
  <c r="K24"/>
  <c r="L24" s="1"/>
  <c r="K36"/>
  <c r="L36" s="1"/>
  <c r="K37"/>
  <c r="L37" s="1"/>
  <c r="K53"/>
  <c r="L53" s="1"/>
  <c r="K9"/>
  <c r="L9" s="1"/>
  <c r="K17"/>
  <c r="L17" s="1"/>
  <c r="K25"/>
  <c r="L25" s="1"/>
  <c r="K34"/>
  <c r="L34" s="1"/>
  <c r="K50"/>
  <c r="L50" s="1"/>
  <c r="K44"/>
  <c r="L44" s="1"/>
  <c r="K35"/>
  <c r="L35" s="1"/>
  <c r="K51"/>
  <c r="L51" s="1"/>
  <c r="K6"/>
  <c r="L6" s="1"/>
  <c r="K14"/>
  <c r="L14" s="1"/>
  <c r="K22"/>
  <c r="L22" s="1"/>
  <c r="K32"/>
  <c r="L32" s="1"/>
  <c r="E36" i="24"/>
  <c r="E27"/>
  <c r="E34"/>
  <c r="E25"/>
  <c r="E30"/>
  <c r="E35"/>
  <c r="E29"/>
  <c r="E31"/>
  <c r="E33"/>
  <c r="E26"/>
  <c r="E28"/>
  <c r="E32"/>
  <c r="G31"/>
  <c r="G32"/>
  <c r="G34"/>
  <c r="G27"/>
  <c r="G30"/>
  <c r="G33"/>
  <c r="G35"/>
  <c r="G26"/>
  <c r="G29"/>
  <c r="G25"/>
  <c r="G36"/>
  <c r="G28"/>
  <c r="H25"/>
  <c r="H31"/>
  <c r="H26"/>
  <c r="H35"/>
  <c r="H27"/>
  <c r="H32"/>
  <c r="H30"/>
  <c r="H28"/>
  <c r="H36"/>
  <c r="H29"/>
  <c r="H33"/>
  <c r="H34"/>
  <c r="D30"/>
  <c r="D33"/>
  <c r="D27"/>
  <c r="D34"/>
  <c r="D25"/>
  <c r="D32"/>
  <c r="D29"/>
  <c r="D26"/>
  <c r="D35"/>
  <c r="D28"/>
  <c r="D31"/>
  <c r="D36"/>
  <c r="I33"/>
  <c r="I35"/>
  <c r="I36"/>
  <c r="I28"/>
  <c r="I34"/>
  <c r="I26"/>
  <c r="I30"/>
  <c r="I31"/>
  <c r="I25"/>
  <c r="I29"/>
  <c r="I27"/>
  <c r="I32"/>
  <c r="F35"/>
  <c r="F33"/>
  <c r="F28"/>
  <c r="F27"/>
  <c r="F31"/>
  <c r="F25"/>
  <c r="F29"/>
  <c r="F30"/>
  <c r="F32"/>
  <c r="F34"/>
  <c r="F26"/>
  <c r="F36"/>
  <c r="K31"/>
  <c r="K29"/>
  <c r="K35"/>
  <c r="K25"/>
  <c r="K34"/>
  <c r="K26"/>
  <c r="K36"/>
  <c r="K28"/>
  <c r="K30"/>
  <c r="K33"/>
  <c r="K27"/>
  <c r="K32"/>
  <c r="C31"/>
  <c r="C30"/>
  <c r="C28"/>
  <c r="C33"/>
  <c r="C29"/>
  <c r="C35"/>
  <c r="C26"/>
  <c r="C27"/>
  <c r="C36"/>
  <c r="C25"/>
  <c r="C32"/>
  <c r="C34"/>
  <c r="J31"/>
  <c r="J29"/>
  <c r="J28"/>
  <c r="J25"/>
  <c r="J34"/>
  <c r="J36"/>
  <c r="J33"/>
  <c r="J26"/>
  <c r="J32"/>
  <c r="J27"/>
  <c r="J30"/>
  <c r="J35"/>
  <c r="L21"/>
  <c r="L12"/>
  <c r="M12" s="1"/>
  <c r="L16"/>
  <c r="M16" s="1"/>
  <c r="L19"/>
  <c r="M19" s="1"/>
  <c r="L22"/>
  <c r="L20"/>
  <c r="M20" s="1"/>
  <c r="L17"/>
  <c r="M17" s="1"/>
  <c r="L15"/>
  <c r="M15" s="1"/>
  <c r="L11"/>
  <c r="L13"/>
  <c r="M13" s="1"/>
  <c r="L14"/>
  <c r="M14" s="1"/>
  <c r="L18"/>
  <c r="M18" s="1"/>
  <c r="F14" i="23"/>
  <c r="F23" i="1"/>
  <c r="M21" i="24"/>
  <c r="M22"/>
  <c r="F13" i="23"/>
  <c r="J23" i="1"/>
  <c r="K23"/>
  <c r="G23"/>
  <c r="H23"/>
  <c r="L23"/>
  <c r="E23"/>
  <c r="I23"/>
  <c r="C23"/>
  <c r="B23"/>
  <c r="G13" i="23"/>
  <c r="H13"/>
  <c r="G14"/>
  <c r="D23" i="1"/>
  <c r="I13" i="23"/>
  <c r="E13"/>
  <c r="D13"/>
  <c r="B13"/>
  <c r="C13"/>
  <c r="I14"/>
  <c r="E14"/>
  <c r="H14"/>
  <c r="L30" i="24" l="1"/>
  <c r="M30" s="1"/>
  <c r="L28"/>
  <c r="M28" s="1"/>
  <c r="L32"/>
  <c r="M32" s="1"/>
  <c r="L29"/>
  <c r="L36"/>
  <c r="M36" s="1"/>
  <c r="L35"/>
  <c r="M35" s="1"/>
  <c r="L34"/>
  <c r="M34" s="1"/>
  <c r="L25"/>
  <c r="L27"/>
  <c r="M27" s="1"/>
  <c r="L33"/>
  <c r="L26"/>
  <c r="L31"/>
  <c r="M31" s="1"/>
  <c r="C14" i="23"/>
  <c r="B14"/>
  <c r="F24" i="1"/>
  <c r="F15" i="23"/>
  <c r="M26" i="24"/>
  <c r="M29"/>
  <c r="M25"/>
  <c r="M33"/>
  <c r="E24" i="1"/>
  <c r="C24"/>
  <c r="K24"/>
  <c r="B24"/>
  <c r="H24"/>
  <c r="L24"/>
  <c r="D24"/>
  <c r="I24"/>
  <c r="G15" i="23"/>
  <c r="D14"/>
  <c r="G24" i="1"/>
  <c r="J24"/>
  <c r="E15" i="23"/>
  <c r="H15"/>
  <c r="D15"/>
  <c r="I15"/>
  <c r="F25" i="1" l="1"/>
  <c r="F16" i="23"/>
  <c r="B15"/>
  <c r="C15"/>
  <c r="E25" i="1"/>
  <c r="K25"/>
  <c r="B25"/>
  <c r="G25"/>
  <c r="G16" i="23"/>
  <c r="J25" i="1"/>
  <c r="I25"/>
  <c r="C25"/>
  <c r="D16" i="23"/>
  <c r="L25" i="1"/>
  <c r="H25"/>
  <c r="D25"/>
  <c r="I16" i="23"/>
  <c r="H16"/>
  <c r="F26" i="1" l="1"/>
  <c r="F17" i="23"/>
  <c r="B16"/>
  <c r="C16"/>
  <c r="E26" i="1"/>
  <c r="H26"/>
  <c r="B26"/>
  <c r="E16" i="23"/>
  <c r="G17"/>
  <c r="C26" i="1"/>
  <c r="E17" i="23"/>
  <c r="G26" i="1"/>
  <c r="D26"/>
  <c r="J26"/>
  <c r="I26"/>
  <c r="K26"/>
  <c r="L26"/>
  <c r="I17" i="23"/>
  <c r="D17"/>
  <c r="F18" l="1"/>
  <c r="B17"/>
  <c r="C17"/>
  <c r="H17"/>
  <c r="G18"/>
  <c r="H18" s="1"/>
  <c r="E18"/>
  <c r="I18"/>
  <c r="D18"/>
  <c r="C18" l="1"/>
  <c r="B18"/>
</calcChain>
</file>

<file path=xl/sharedStrings.xml><?xml version="1.0" encoding="utf-8"?>
<sst xmlns="http://schemas.openxmlformats.org/spreadsheetml/2006/main" count="134" uniqueCount="71">
  <si>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</si>
  <si>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</si>
  <si>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</si>
  <si>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</si>
  <si>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</si>
  <si>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</si>
  <si>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</si>
  <si>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</si>
  <si>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</si>
  <si>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</si>
  <si>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</si>
  <si>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</si>
  <si>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</si>
  <si>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</si>
  <si>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</si>
  <si>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</si>
  <si>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</si>
  <si>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</si>
  <si>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</si>
  <si>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</si>
  <si>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</si>
  <si>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</si>
  <si>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</si>
  <si>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</si>
  <si>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</si>
  <si>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</si>
  <si>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</si>
  <si>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</si>
  <si>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</si>
  <si>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</si>
  <si>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</si>
  <si>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</si>
  <si>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</si>
  <si>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</si>
  <si>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</si>
  <si>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</si>
  <si>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</si>
  <si>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</si>
  <si>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</si>
  <si>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</si>
  <si>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</si>
  <si>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</si>
  <si>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</si>
  <si>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</si>
  <si>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</si>
  <si>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</si>
  <si>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</si>
  <si>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</si>
  <si>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</si>
  <si>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</si>
  <si>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</si>
  <si>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</si>
  <si>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</si>
  <si>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</si>
  <si>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</si>
  <si>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</si>
  <si>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</si>
  <si>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</si>
  <si>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</si>
  <si>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</si>
  <si>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</si>
  <si>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</si>
  <si>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</si>
  <si>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</si>
  <si>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</si>
  <si>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</si>
  <si>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</si>
  <si>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</si>
  <si>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</si>
  <si>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</si>
  <si>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Column2</t>
  </si>
</sst>
</file>

<file path=xl/styles.xml><?xml version="1.0" encoding="utf-8"?>
<styleSheet xmlns="http://schemas.openxmlformats.org/spreadsheetml/2006/main">
  <numFmts count="11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</numFmts>
  <fonts count="25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8"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172" formatCode="[$-F400]h:mm:ss\ AM/PM"/>
      <alignment horizontal="center" vertical="bottom" textRotation="0" wrapText="0" indent="0" relativeIndent="0" justifyLastLine="0" shrinkToFit="0" mergeCell="0" readingOrder="0"/>
    </dxf>
    <dxf>
      <numFmt numFmtId="27" formatCode="dd/mm/yyyy\ hh:mm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2" formatCode="0.00"/>
      <alignment horizontal="center" vertical="bottom" textRotation="0" wrapText="0" indent="0" relativeIndent="255" justifyLastLine="0" shrinkToFit="0" mergeCell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protection locked="0" hidden="1"/>
    </dxf>
    <dxf>
      <numFmt numFmtId="27" formatCode="dd/mm/yyyy\ hh:mm"/>
      <alignment horizontal="center" vertical="bottom" textRotation="0" wrapText="0" indent="0" relativeIndent="255" justifyLastLine="0" shrinkToFit="0" mergeCell="0" readingOrder="0"/>
    </dxf>
    <dxf>
      <numFmt numFmtId="172" formatCode="[$-F400]h:mm:ss\ AM/PM"/>
      <alignment horizontal="center" vertical="bottom" textRotation="0" wrapText="0" indent="0" relativeIndent="255" justifyLastLine="0" shrinkToFit="0" mergeCell="0" readingOrder="0"/>
    </dxf>
    <dxf>
      <numFmt numFmtId="172" formatCode="[$-F400]h:mm:ss\ AM/PM"/>
      <alignment horizontal="center" vertical="bottom" textRotation="0" wrapText="0" indent="0" relativeIndent="255" justifyLastLine="0" shrinkToFit="0" mergeCell="0" readingOrder="0"/>
    </dxf>
    <dxf>
      <numFmt numFmtId="171" formatCode="[$-809]dd\ mmmm\ yyyy;@"/>
      <alignment horizontal="center" vertical="bottom" textRotation="0" wrapText="0" indent="0" relativeIndent="255" justifyLastLine="0" shrinkToFit="0" mergeCell="0" readingOrder="0"/>
    </dxf>
    <dxf>
      <numFmt numFmtId="171" formatCode="[$-809]dd\ mmmm\ yyyy;@"/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P60" totalsRowShown="0" headerRowDxfId="17" dataDxfId="16">
  <tableColumns count="16">
    <tableColumn id="1" name="Date" dataDxfId="15"/>
    <tableColumn id="2" name="GMT" dataDxfId="14">
      <calculatedColumnFormula>A3+TimeZone/24</calculatedColumnFormula>
    </tableColumn>
    <tableColumn id="3" name="SunRise" dataDxfId="13">
      <calculatedColumnFormula>sunrise(Lat,Long,B3)+TimeZone/24+0.00103009259259259</calculatedColumnFormula>
    </tableColumn>
    <tableColumn id="4" name="Sun Set" dataDxfId="12">
      <calculatedColumnFormula>sunset(Lat,Long,B3)+TimeZone/24-0.000277777777777778</calculatedColumnFormula>
    </tableColumn>
    <tableColumn id="5" name="GMT Sun Rise" dataDxfId="11">
      <calculatedColumnFormula>C3-TimeZone/24</calculatedColumnFormula>
    </tableColumn>
    <tableColumn id="6" name="Sun" dataDxfId="10">
      <calculatedColumnFormula>Planet(E3,0)</calculatedColumnFormula>
    </tableColumn>
    <tableColumn id="7" name="Moon" dataDxfId="9">
      <calculatedColumnFormula>Planet(E3,1)</calculatedColumnFormula>
    </tableColumn>
    <tableColumn id="8" name="Vaara" dataDxfId="8">
      <calculatedColumnFormula>E3</calculatedColumnFormula>
    </tableColumn>
    <tableColumn id="9" name="Nakshatra" dataDxfId="0">
      <calculatedColumnFormula>naks(P[[#This Row],[Moon]])</calculatedColumnFormula>
    </tableColumn>
    <tableColumn id="14" name="Nx Ending" dataDxfId="1">
      <calculatedColumnFormula>(C4-P[[#This Row],[SunRise]])/(G4-P[[#This Row],[Moon]])*(13.3333333333333-MOD(P[[#This Row],[Moon]],13.333333333333))+P[[#This Row],[SunRise]]</calculatedColumnFormula>
    </tableColumn>
    <tableColumn id="10" name="Tithi" dataDxfId="7">
      <calculatedColumnFormula>MOD(360+G3-F3,360)/12</calculatedColumnFormula>
    </tableColumn>
    <tableColumn id="11" name="Karana1" dataDxfId="6">
      <calculatedColumnFormula>IF(AND(K3&lt;28.5,K3&gt;0.49999),MOD(K3*2,7),"S")</calculatedColumnFormula>
    </tableColumn>
    <tableColumn id="12" name="Karana2" dataDxfId="5"/>
    <tableColumn id="13" name="Yoga" dataDxfId="4">
      <calculatedColumnFormula>MOD(F3+G3,360)/13.333333333</calculatedColumnFormula>
    </tableColumn>
    <tableColumn id="15" name="Column1" dataDxfId="3"/>
    <tableColumn id="16" name="Column2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R60"/>
  <sheetViews>
    <sheetView workbookViewId="0"/>
    <sheetView tabSelected="1" workbookViewId="1">
      <selection activeCell="M12" sqref="M12"/>
    </sheetView>
  </sheetViews>
  <sheetFormatPr defaultRowHeight="12.75"/>
  <cols>
    <col min="1" max="1" width="12" style="130" bestFit="1" customWidth="1"/>
    <col min="2" max="2" width="12" style="128" hidden="1" customWidth="1"/>
    <col min="3" max="3" width="10.140625" style="128" customWidth="1"/>
    <col min="4" max="4" width="9.85546875" style="128" customWidth="1"/>
    <col min="5" max="5" width="15.42578125" style="128" hidden="1" customWidth="1"/>
    <col min="6" max="6" width="6.5703125" style="128" bestFit="1" customWidth="1"/>
    <col min="7" max="7" width="9.140625" style="128"/>
    <col min="8" max="8" width="6.42578125" style="128" bestFit="1" customWidth="1"/>
    <col min="9" max="9" width="16.5703125" style="128" bestFit="1" customWidth="1"/>
    <col min="10" max="10" width="15.140625" style="128" customWidth="1"/>
    <col min="11" max="11" width="9.140625" style="128"/>
    <col min="12" max="13" width="10" style="128" customWidth="1"/>
    <col min="14" max="14" width="7.42578125" style="129" customWidth="1"/>
    <col min="15" max="15" width="9.140625" style="128"/>
    <col min="16" max="16" width="15.42578125" style="128" bestFit="1" customWidth="1"/>
    <col min="17" max="16384" width="9.140625" style="128"/>
  </cols>
  <sheetData>
    <row r="1" spans="1:18">
      <c r="A1" s="128" t="s">
        <v>53</v>
      </c>
      <c r="C1" s="128">
        <v>13.5</v>
      </c>
      <c r="D1" s="128" t="s">
        <v>54</v>
      </c>
      <c r="F1" s="128">
        <v>80.23</v>
      </c>
      <c r="G1" s="128" t="s">
        <v>55</v>
      </c>
      <c r="H1" s="128">
        <v>5.5</v>
      </c>
      <c r="N1" s="128"/>
      <c r="P1" s="129"/>
    </row>
    <row r="2" spans="1:18">
      <c r="A2" s="130" t="s">
        <v>56</v>
      </c>
      <c r="B2" s="131" t="s">
        <v>57</v>
      </c>
      <c r="C2" s="131" t="s">
        <v>58</v>
      </c>
      <c r="D2" s="131" t="s">
        <v>59</v>
      </c>
      <c r="E2" s="131" t="s">
        <v>62</v>
      </c>
      <c r="F2" s="131" t="s">
        <v>60</v>
      </c>
      <c r="G2" s="131" t="s">
        <v>61</v>
      </c>
      <c r="H2" s="131" t="s">
        <v>67</v>
      </c>
      <c r="I2" s="131" t="s">
        <v>15</v>
      </c>
      <c r="J2" s="131" t="s">
        <v>69</v>
      </c>
      <c r="K2" s="131" t="s">
        <v>63</v>
      </c>
      <c r="L2" s="131" t="s">
        <v>65</v>
      </c>
      <c r="M2" s="131" t="s">
        <v>66</v>
      </c>
      <c r="N2" s="129" t="s">
        <v>64</v>
      </c>
      <c r="O2" s="131" t="s">
        <v>68</v>
      </c>
      <c r="P2" s="131" t="s">
        <v>70</v>
      </c>
    </row>
    <row r="3" spans="1:18">
      <c r="A3" s="130">
        <v>42156</v>
      </c>
      <c r="B3" s="130">
        <f t="shared" ref="B3:B34" si="0">A3+TimeZone/24</f>
        <v>42156.229166666664</v>
      </c>
      <c r="C3" s="132">
        <f t="shared" ref="C3:C34" si="1">sunrise(Lat,Long,B3)+TimeZone/24+0.00103009259259259</f>
        <v>42156.237708932873</v>
      </c>
      <c r="D3" s="132">
        <f t="shared" ref="D3:D34" si="2">sunset(Lat,Long,B3)+TimeZone/24-0.000277777777777778</f>
        <v>42155.772373974367</v>
      </c>
      <c r="E3" s="133">
        <f t="shared" ref="E3:E34" si="3">C3-TimeZone/24</f>
        <v>42156.008542266209</v>
      </c>
      <c r="F3" s="134">
        <f>Planet(E3,0)</f>
        <v>46.148822234768609</v>
      </c>
      <c r="G3" s="134">
        <f>Planet(E3,1)</f>
        <v>206.05358569797352</v>
      </c>
      <c r="H3" s="135">
        <f>E3</f>
        <v>42156.008542266209</v>
      </c>
      <c r="I3" s="129" t="str">
        <f>naks(P[[#This Row],[Moon]])</f>
        <v>Visakha</v>
      </c>
      <c r="J3" s="132">
        <f>(C4-P[[#This Row],[SunRise]])/(G4-P[[#This Row],[Moon]])*(13.3333333333333-MOD(P[[#This Row],[Moon]],13.333333333333))+P[[#This Row],[SunRise]]</f>
        <v>42156.802809973531</v>
      </c>
      <c r="K3" s="129">
        <f>MOD(360+G3-F3,360)/12</f>
        <v>13.325396955267072</v>
      </c>
      <c r="L3" s="129">
        <f>IF(AND(K3&lt;28.5,K3&gt;0.49999),MOD(K3*2,7),"S")</f>
        <v>5.6507939105341443</v>
      </c>
      <c r="M3" s="129"/>
      <c r="N3" s="129">
        <f>MOD(F3+G3,360)/13.333333333</f>
        <v>18.915180595428538</v>
      </c>
      <c r="O3" s="137">
        <v>1.3888888888888888E-2</v>
      </c>
      <c r="P3" s="133"/>
    </row>
    <row r="4" spans="1:18">
      <c r="A4" s="130">
        <v>42157</v>
      </c>
      <c r="B4" s="130">
        <f t="shared" si="0"/>
        <v>42157.229166666664</v>
      </c>
      <c r="C4" s="132">
        <f t="shared" si="1"/>
        <v>42157.237704800129</v>
      </c>
      <c r="D4" s="132">
        <f t="shared" si="2"/>
        <v>42156.772587120577</v>
      </c>
      <c r="E4" s="133">
        <f t="shared" si="3"/>
        <v>42157.008538133465</v>
      </c>
      <c r="F4" s="134">
        <f t="shared" ref="F4:F60" si="4">Planet(E4,0)</f>
        <v>47.106896722370742</v>
      </c>
      <c r="G4" s="134">
        <f t="shared" ref="G4:G28" si="5">Planet(E4,1)</f>
        <v>218.9357377845231</v>
      </c>
      <c r="H4" s="135">
        <f t="shared" ref="H4:H60" si="6">E4</f>
        <v>42157.008538133465</v>
      </c>
      <c r="I4" s="129" t="str">
        <f>naks(P[[#This Row],[Moon]])</f>
        <v>Anuradha</v>
      </c>
      <c r="J4" s="136">
        <f>(C5-P[[#This Row],[SunRise]])/(G5-P[[#This Row],[Moon]])*(13.3333333333333-MOD(P[[#This Row],[Moon]],13.333333333333))+P[[#This Row],[SunRise]]</f>
        <v>42157.824278082648</v>
      </c>
      <c r="K4" s="129">
        <f t="shared" ref="K4:K60" si="7">MOD(360+G4-F4,360)/12</f>
        <v>14.319070088512698</v>
      </c>
      <c r="L4" s="129">
        <f t="shared" ref="L4:L60" si="8">IF(AND(K4&lt;28.5,K4&gt;0.49999),MOD(K4*2,7),"S")</f>
        <v>0.63814017702539516</v>
      </c>
      <c r="M4" s="129"/>
      <c r="N4" s="129">
        <f t="shared" ref="N4:N60" si="9">MOD(F4+G4,360)/13.333333333</f>
        <v>19.953197588515867</v>
      </c>
      <c r="O4" s="129"/>
      <c r="P4" s="133"/>
    </row>
    <row r="5" spans="1:18">
      <c r="A5" s="130">
        <v>42158</v>
      </c>
      <c r="B5" s="130">
        <f t="shared" si="0"/>
        <v>42158.229166666664</v>
      </c>
      <c r="C5" s="132">
        <f t="shared" si="1"/>
        <v>42158.237710045338</v>
      </c>
      <c r="D5" s="132">
        <f t="shared" si="2"/>
        <v>42157.772799949205</v>
      </c>
      <c r="E5" s="133">
        <f t="shared" si="3"/>
        <v>42158.008543378673</v>
      </c>
      <c r="F5" s="134">
        <f t="shared" si="4"/>
        <v>48.064680915500752</v>
      </c>
      <c r="G5" s="134">
        <f t="shared" si="5"/>
        <v>232.11562453163199</v>
      </c>
      <c r="H5" s="135">
        <f t="shared" si="6"/>
        <v>42158.008543378673</v>
      </c>
      <c r="I5" s="129" t="str">
        <f>naks(P[[#This Row],[Moon]])</f>
        <v>Jyestha</v>
      </c>
      <c r="J5" s="136">
        <f>(C6-P[[#This Row],[SunRise]])/(G6-P[[#This Row],[Moon]])*(13.3333333333333-MOD(P[[#This Row],[Moon]],13.333333333333))+P[[#This Row],[SunRise]]</f>
        <v>42158.823724872171</v>
      </c>
      <c r="K5" s="129">
        <f t="shared" si="7"/>
        <v>15.337578634677604</v>
      </c>
      <c r="L5" s="129">
        <f t="shared" si="8"/>
        <v>2.675157269355207</v>
      </c>
      <c r="M5" s="129"/>
      <c r="N5" s="129">
        <f t="shared" si="9"/>
        <v>21.013522909060292</v>
      </c>
      <c r="O5" s="129"/>
      <c r="P5" s="133"/>
    </row>
    <row r="6" spans="1:18">
      <c r="A6" s="130">
        <v>42159</v>
      </c>
      <c r="B6" s="130">
        <f t="shared" si="0"/>
        <v>42159.229166666664</v>
      </c>
      <c r="C6" s="132">
        <f t="shared" si="1"/>
        <v>42159.237724668499</v>
      </c>
      <c r="D6" s="132">
        <f t="shared" si="2"/>
        <v>42158.773012300531</v>
      </c>
      <c r="E6" s="133">
        <f t="shared" si="3"/>
        <v>42159.008558001835</v>
      </c>
      <c r="F6" s="134">
        <f t="shared" si="4"/>
        <v>49.02219977395378</v>
      </c>
      <c r="G6" s="134">
        <f t="shared" si="5"/>
        <v>245.5700465049768</v>
      </c>
      <c r="H6" s="135">
        <f t="shared" si="6"/>
        <v>42159.008558001835</v>
      </c>
      <c r="I6" s="129" t="str">
        <f>naks(P[[#This Row],[Moon]])</f>
        <v>Moola</v>
      </c>
      <c r="J6" s="136">
        <f>(C7-P[[#This Row],[SunRise]])/(G7-P[[#This Row],[Moon]])*(13.3333333333333-MOD(P[[#This Row],[Moon]],13.333333333333))+P[[#This Row],[SunRise]]</f>
        <v>42159.804925489887</v>
      </c>
      <c r="K6" s="129">
        <f t="shared" si="7"/>
        <v>16.378987227585252</v>
      </c>
      <c r="L6" s="129">
        <f t="shared" si="8"/>
        <v>4.7579744551705048</v>
      </c>
      <c r="M6" s="129"/>
      <c r="N6" s="129">
        <f t="shared" si="9"/>
        <v>22.094418471472153</v>
      </c>
      <c r="O6" s="129"/>
      <c r="P6" s="133"/>
    </row>
    <row r="7" spans="1:18">
      <c r="A7" s="130">
        <v>42160</v>
      </c>
      <c r="B7" s="130">
        <f t="shared" si="0"/>
        <v>42160.229166666664</v>
      </c>
      <c r="C7" s="132">
        <f t="shared" si="1"/>
        <v>42160.237748510357</v>
      </c>
      <c r="D7" s="132">
        <f t="shared" si="2"/>
        <v>42159.773223698183</v>
      </c>
      <c r="E7" s="133">
        <f t="shared" si="3"/>
        <v>42160.008581843693</v>
      </c>
      <c r="F7" s="134">
        <f t="shared" si="4"/>
        <v>49.979478829875589</v>
      </c>
      <c r="G7" s="134">
        <f t="shared" si="5"/>
        <v>259.25738902428924</v>
      </c>
      <c r="H7" s="135">
        <f t="shared" si="6"/>
        <v>42160.008581843693</v>
      </c>
      <c r="I7" s="129" t="str">
        <f>naks(P[[#This Row],[Moon]])</f>
        <v>Purva Asadha</v>
      </c>
      <c r="J7" s="136">
        <f>(C8-P[[#This Row],[SunRise]])/(G8-P[[#This Row],[Moon]])*(13.3333333333333-MOD(P[[#This Row],[Moon]],13.333333333333))+P[[#This Row],[SunRise]]</f>
        <v>42160.772044891994</v>
      </c>
      <c r="K7" s="129">
        <f t="shared" si="7"/>
        <v>17.439825849534476</v>
      </c>
      <c r="L7" s="129">
        <f t="shared" si="8"/>
        <v>6.8796516990689511</v>
      </c>
      <c r="M7" s="129"/>
      <c r="N7" s="129">
        <f t="shared" si="9"/>
        <v>23.19276508964218</v>
      </c>
      <c r="O7" s="129"/>
      <c r="P7" s="133"/>
      <c r="R7" s="128">
        <f>13.3333/24/60*20</f>
        <v>0.18518472222222224</v>
      </c>
    </row>
    <row r="8" spans="1:18">
      <c r="A8" s="130">
        <v>42161</v>
      </c>
      <c r="B8" s="130">
        <f t="shared" si="0"/>
        <v>42161.229166666664</v>
      </c>
      <c r="C8" s="132">
        <f t="shared" si="1"/>
        <v>42161.237781412121</v>
      </c>
      <c r="D8" s="132">
        <f t="shared" si="2"/>
        <v>42160.773434142626</v>
      </c>
      <c r="E8" s="133">
        <f t="shared" si="3"/>
        <v>42161.008614745457</v>
      </c>
      <c r="F8" s="134">
        <f t="shared" si="4"/>
        <v>50.936543300594664</v>
      </c>
      <c r="G8" s="134">
        <f t="shared" si="5"/>
        <v>273.12520036523443</v>
      </c>
      <c r="H8" s="135">
        <f t="shared" si="6"/>
        <v>42161.008614745457</v>
      </c>
      <c r="I8" s="129" t="str">
        <f>naks(P[[#This Row],[Moon]])</f>
        <v>Uttara Asadha</v>
      </c>
      <c r="J8" s="136">
        <f>(C9-P[[#This Row],[SunRise]])/(G9-P[[#This Row],[Moon]])*(13.3333333333333-MOD(P[[#This Row],[Moon]],13.333333333333))+P[[#This Row],[SunRise]]</f>
        <v>42161.729062677477</v>
      </c>
      <c r="K8" s="129">
        <f t="shared" si="7"/>
        <v>18.515721422053314</v>
      </c>
      <c r="L8" s="129">
        <f t="shared" si="8"/>
        <v>2.0314428441066283</v>
      </c>
      <c r="M8" s="129"/>
      <c r="N8" s="129">
        <f t="shared" si="9"/>
        <v>24.304630775544798</v>
      </c>
      <c r="O8" s="129"/>
      <c r="P8" s="133"/>
    </row>
    <row r="9" spans="1:18">
      <c r="A9" s="130">
        <v>42162</v>
      </c>
      <c r="B9" s="130">
        <f t="shared" si="0"/>
        <v>42162.229166666664</v>
      </c>
      <c r="C9" s="132">
        <f t="shared" si="1"/>
        <v>42162.237823373791</v>
      </c>
      <c r="D9" s="132">
        <f t="shared" si="2"/>
        <v>42161.773643474138</v>
      </c>
      <c r="E9" s="133">
        <f t="shared" si="3"/>
        <v>42162.008656707127</v>
      </c>
      <c r="F9" s="134">
        <f t="shared" si="4"/>
        <v>51.893417178401641</v>
      </c>
      <c r="G9" s="134">
        <f t="shared" si="5"/>
        <v>287.11940001758103</v>
      </c>
      <c r="H9" s="135">
        <f t="shared" si="6"/>
        <v>42162.008656707127</v>
      </c>
      <c r="I9" s="129" t="str">
        <f>naks(P[[#This Row],[Moon]])</f>
        <v>Sravana</v>
      </c>
      <c r="J9" s="136">
        <f>(C10-P[[#This Row],[SunRise]])/(G10-P[[#This Row],[Moon]])*(13.3333333333333-MOD(P[[#This Row],[Moon]],13.333333333333))+P[[#This Row],[SunRise]]</f>
        <v>42162.679393328704</v>
      </c>
      <c r="K9" s="129">
        <f t="shared" si="7"/>
        <v>19.602165236598285</v>
      </c>
      <c r="L9" s="129">
        <f t="shared" si="8"/>
        <v>4.2043304731965705</v>
      </c>
      <c r="M9" s="129"/>
      <c r="N9" s="129">
        <f t="shared" si="9"/>
        <v>25.425961290334349</v>
      </c>
      <c r="O9" s="129"/>
      <c r="P9" s="133"/>
    </row>
    <row r="10" spans="1:18">
      <c r="A10" s="130">
        <v>42163</v>
      </c>
      <c r="B10" s="130">
        <f t="shared" si="0"/>
        <v>42163.229166666664</v>
      </c>
      <c r="C10" s="132">
        <f t="shared" si="1"/>
        <v>42163.237874236111</v>
      </c>
      <c r="D10" s="132">
        <f t="shared" si="2"/>
        <v>42162.773851215883</v>
      </c>
      <c r="E10" s="133">
        <f t="shared" si="3"/>
        <v>42163.008707569446</v>
      </c>
      <c r="F10" s="134">
        <f t="shared" si="4"/>
        <v>52.850121899034669</v>
      </c>
      <c r="G10" s="134">
        <f t="shared" si="5"/>
        <v>301.19248017549711</v>
      </c>
      <c r="H10" s="135">
        <f t="shared" si="6"/>
        <v>42163.008707569446</v>
      </c>
      <c r="I10" s="129" t="str">
        <f>naks(P[[#This Row],[Moon]])</f>
        <v>Dhanistha</v>
      </c>
      <c r="J10" s="136">
        <f>(C11-P[[#This Row],[SunRise]])/(G11-P[[#This Row],[Moon]])*(13.3333333333333-MOD(P[[#This Row],[Moon]],13.333333333333))+P[[#This Row],[SunRise]]</f>
        <v>42163.625706403334</v>
      </c>
      <c r="K10" s="129">
        <f t="shared" si="7"/>
        <v>20.695196523038543</v>
      </c>
      <c r="L10" s="129">
        <f t="shared" si="8"/>
        <v>6.3903930460770866</v>
      </c>
      <c r="M10" s="129"/>
      <c r="N10" s="129">
        <f t="shared" si="9"/>
        <v>26.553195156253711</v>
      </c>
      <c r="O10" s="129"/>
      <c r="P10" s="133"/>
    </row>
    <row r="11" spans="1:18">
      <c r="A11" s="130">
        <v>42164</v>
      </c>
      <c r="B11" s="130">
        <f t="shared" si="0"/>
        <v>42164.229166666664</v>
      </c>
      <c r="C11" s="132">
        <f t="shared" si="1"/>
        <v>42164.237933840755</v>
      </c>
      <c r="D11" s="132">
        <f t="shared" si="2"/>
        <v>42163.774057209535</v>
      </c>
      <c r="E11" s="133">
        <f t="shared" si="3"/>
        <v>42164.008767174091</v>
      </c>
      <c r="F11" s="134">
        <f t="shared" si="4"/>
        <v>53.806675550705307</v>
      </c>
      <c r="G11" s="134">
        <f t="shared" si="5"/>
        <v>315.30815504922674</v>
      </c>
      <c r="H11" s="135">
        <f t="shared" si="6"/>
        <v>42164.008767174091</v>
      </c>
      <c r="I11" s="129" t="str">
        <f>naks(P[[#This Row],[Moon]])</f>
        <v>Satabhisaj</v>
      </c>
      <c r="J11" s="136">
        <f>(C12-P[[#This Row],[SunRise]])/(G12-P[[#This Row],[Moon]])*(13.3333333333333-MOD(P[[#This Row],[Moon]],13.333333333333))+P[[#This Row],[SunRise]]</f>
        <v>42164.569932631777</v>
      </c>
      <c r="K11" s="129">
        <f t="shared" si="7"/>
        <v>21.791789958210121</v>
      </c>
      <c r="L11" s="129">
        <f t="shared" si="8"/>
        <v>1.5835799164202413</v>
      </c>
      <c r="M11" s="129"/>
      <c r="N11" s="129">
        <f t="shared" si="9"/>
        <v>0.68361229501199183</v>
      </c>
      <c r="O11" s="129"/>
      <c r="P11" s="133"/>
    </row>
    <row r="12" spans="1:18">
      <c r="A12" s="130">
        <v>42165</v>
      </c>
      <c r="B12" s="130">
        <f t="shared" si="0"/>
        <v>42165.229166666664</v>
      </c>
      <c r="C12" s="132">
        <f t="shared" si="1"/>
        <v>42165.238001869679</v>
      </c>
      <c r="D12" s="132">
        <f t="shared" si="2"/>
        <v>42164.774261295839</v>
      </c>
      <c r="E12" s="133">
        <f t="shared" si="3"/>
        <v>42165.008835203014</v>
      </c>
      <c r="F12" s="134">
        <f t="shared" si="4"/>
        <v>54.763091908699082</v>
      </c>
      <c r="G12" s="134">
        <f t="shared" si="5"/>
        <v>329.44123100861839</v>
      </c>
      <c r="H12" s="135">
        <f t="shared" si="6"/>
        <v>42165.008835203014</v>
      </c>
      <c r="I12" s="129" t="str">
        <f>naks(P[[#This Row],[Moon]])</f>
        <v>Purva Bhadrapada</v>
      </c>
      <c r="J12" s="136">
        <f>(C13-P[[#This Row],[SunRise]])/(G13-P[[#This Row],[Moon]])*(13.3333333333333-MOD(P[[#This Row],[Moon]],13.333333333333))+P[[#This Row],[SunRise]]</f>
        <v>42165.513433022701</v>
      </c>
      <c r="K12" s="129">
        <f t="shared" si="7"/>
        <v>22.88984492499328</v>
      </c>
      <c r="L12" s="129">
        <f t="shared" si="8"/>
        <v>3.7796898499865605</v>
      </c>
      <c r="M12" s="129"/>
      <c r="N12" s="129">
        <f t="shared" si="9"/>
        <v>1.8153242188441943</v>
      </c>
      <c r="O12" s="129"/>
      <c r="P12" s="133"/>
    </row>
    <row r="13" spans="1:18">
      <c r="A13" s="130">
        <v>42166</v>
      </c>
      <c r="B13" s="130">
        <f t="shared" si="0"/>
        <v>42166.229166666664</v>
      </c>
      <c r="C13" s="132">
        <f t="shared" si="1"/>
        <v>42166.238078481671</v>
      </c>
      <c r="D13" s="132">
        <f t="shared" si="2"/>
        <v>42165.774463157213</v>
      </c>
      <c r="E13" s="133">
        <f t="shared" si="3"/>
        <v>42166.008911815006</v>
      </c>
      <c r="F13" s="134">
        <f t="shared" si="4"/>
        <v>55.719380464218588</v>
      </c>
      <c r="G13" s="134">
        <f t="shared" si="5"/>
        <v>343.57325806388553</v>
      </c>
      <c r="H13" s="135">
        <f t="shared" si="6"/>
        <v>42166.008911815006</v>
      </c>
      <c r="I13" s="129" t="str">
        <f>naks(P[[#This Row],[Moon]])</f>
        <v>Uttara Bhadrapada</v>
      </c>
      <c r="J13" s="136">
        <f>(C14-P[[#This Row],[SunRise]])/(G14-P[[#This Row],[Moon]])*(13.3333333333333-MOD(P[[#This Row],[Moon]],13.333333333333))+P[[#This Row],[SunRise]]</f>
        <v>42166.457293913474</v>
      </c>
      <c r="K13" s="129">
        <f t="shared" si="7"/>
        <v>23.987823133305579</v>
      </c>
      <c r="L13" s="129">
        <f t="shared" si="8"/>
        <v>5.9756462666111574</v>
      </c>
      <c r="M13" s="129"/>
      <c r="N13" s="129">
        <f t="shared" si="9"/>
        <v>2.9469478896814838</v>
      </c>
      <c r="O13" s="129"/>
      <c r="P13" s="133"/>
    </row>
    <row r="14" spans="1:18">
      <c r="A14" s="130">
        <v>42167</v>
      </c>
      <c r="B14" s="130">
        <f t="shared" si="0"/>
        <v>42167.229166666664</v>
      </c>
      <c r="C14" s="132">
        <f t="shared" si="1"/>
        <v>42167.238163040638</v>
      </c>
      <c r="D14" s="132">
        <f t="shared" si="2"/>
        <v>42166.774662315889</v>
      </c>
      <c r="E14" s="133">
        <f t="shared" si="3"/>
        <v>42167.008996373974</v>
      </c>
      <c r="F14" s="134">
        <f t="shared" si="4"/>
        <v>56.675545004048757</v>
      </c>
      <c r="G14" s="138">
        <f t="shared" si="5"/>
        <v>357.68572338048864</v>
      </c>
      <c r="H14" s="135">
        <f t="shared" si="6"/>
        <v>42167.008996373974</v>
      </c>
      <c r="I14" s="129" t="str">
        <f>naks(P[[#This Row],[Moon]])</f>
        <v>Revati</v>
      </c>
      <c r="J14" s="136">
        <f>(C15-P[[#This Row],[SunRise]])/(G15-P[[#This Row],[Moon]])*(13.3333333333333-MOD(P[[#This Row],[Moon]],13.333333333333))+P[[#This Row],[SunRise]]</f>
        <v>42167.231472456304</v>
      </c>
      <c r="K14" s="129">
        <f t="shared" si="7"/>
        <v>25.084181531369989</v>
      </c>
      <c r="L14" s="129">
        <f t="shared" si="8"/>
        <v>1.1683630627399779</v>
      </c>
      <c r="M14" s="129"/>
      <c r="N14" s="129">
        <f t="shared" si="9"/>
        <v>4.0770951289422337</v>
      </c>
      <c r="O14" s="129"/>
      <c r="P14" s="133"/>
    </row>
    <row r="15" spans="1:18">
      <c r="A15" s="130">
        <v>42168</v>
      </c>
      <c r="B15" s="130">
        <f t="shared" si="0"/>
        <v>42168.229166666664</v>
      </c>
      <c r="C15" s="132">
        <f t="shared" si="1"/>
        <v>42168.238255547047</v>
      </c>
      <c r="D15" s="132">
        <f t="shared" si="2"/>
        <v>42167.774858772798</v>
      </c>
      <c r="E15" s="133">
        <f t="shared" si="3"/>
        <v>42168.009088880382</v>
      </c>
      <c r="F15" s="134">
        <f t="shared" si="4"/>
        <v>57.631585225293271</v>
      </c>
      <c r="G15" s="134">
        <f t="shared" si="5"/>
        <v>11.753202372985422</v>
      </c>
      <c r="H15" s="135">
        <f t="shared" si="6"/>
        <v>42168.009088880382</v>
      </c>
      <c r="I15" s="129" t="str">
        <f>naks(P[[#This Row],[Moon]])</f>
        <v>Aswini</v>
      </c>
      <c r="J15" s="136">
        <f>(C16-P[[#This Row],[SunRise]])/(G16-P[[#This Row],[Moon]])*(13.3333333333333-MOD(P[[#This Row],[Moon]],13.333333333333))+P[[#This Row],[SunRise]]</f>
        <v>42168.351249335654</v>
      </c>
      <c r="K15" s="129">
        <f t="shared" si="7"/>
        <v>26.176801428974343</v>
      </c>
      <c r="L15" s="129">
        <f t="shared" si="8"/>
        <v>3.3536028579486867</v>
      </c>
      <c r="M15" s="129"/>
      <c r="N15" s="129">
        <f t="shared" si="9"/>
        <v>5.2038590700009983</v>
      </c>
      <c r="O15" s="129"/>
      <c r="P15" s="133"/>
    </row>
    <row r="16" spans="1:18">
      <c r="A16" s="130">
        <v>42169</v>
      </c>
      <c r="B16" s="130">
        <f t="shared" si="0"/>
        <v>42169.229166666664</v>
      </c>
      <c r="C16" s="132">
        <f t="shared" si="1"/>
        <v>42169.23835584164</v>
      </c>
      <c r="D16" s="132">
        <f t="shared" si="2"/>
        <v>42168.775052051104</v>
      </c>
      <c r="E16" s="133">
        <f t="shared" si="3"/>
        <v>42169.009189174976</v>
      </c>
      <c r="F16" s="134">
        <f t="shared" si="4"/>
        <v>58.587496672114177</v>
      </c>
      <c r="G16" s="134">
        <f t="shared" si="5"/>
        <v>25.738833428019952</v>
      </c>
      <c r="H16" s="135">
        <f t="shared" si="6"/>
        <v>42169.009189174976</v>
      </c>
      <c r="I16" s="129" t="str">
        <f>naks(P[[#This Row],[Moon]])</f>
        <v>Bharani</v>
      </c>
      <c r="J16" s="136">
        <f>(C17-P[[#This Row],[SunRise]])/(G17-P[[#This Row],[Moon]])*(13.3333333333333-MOD(P[[#This Row],[Moon]],13.333333333333))+P[[#This Row],[SunRise]]</f>
        <v>42169.305328972187</v>
      </c>
      <c r="K16" s="129">
        <f t="shared" si="7"/>
        <v>27.262611396325482</v>
      </c>
      <c r="L16" s="129">
        <f t="shared" si="8"/>
        <v>5.5252227926509647</v>
      </c>
      <c r="M16" s="129"/>
      <c r="N16" s="129">
        <f t="shared" si="9"/>
        <v>6.3244747576681712</v>
      </c>
      <c r="O16" s="129"/>
      <c r="P16" s="133"/>
    </row>
    <row r="17" spans="1:16">
      <c r="A17" s="130">
        <v>42170</v>
      </c>
      <c r="B17" s="130">
        <f t="shared" si="0"/>
        <v>42170.229166666664</v>
      </c>
      <c r="C17" s="132">
        <f t="shared" si="1"/>
        <v>42170.238463448048</v>
      </c>
      <c r="D17" s="132">
        <f t="shared" si="2"/>
        <v>42169.775241832293</v>
      </c>
      <c r="E17" s="133">
        <f t="shared" si="3"/>
        <v>42170.009296781383</v>
      </c>
      <c r="F17" s="134">
        <f t="shared" si="4"/>
        <v>59.543271616780757</v>
      </c>
      <c r="G17" s="134">
        <f t="shared" si="5"/>
        <v>39.594137367062807</v>
      </c>
      <c r="H17" s="135">
        <f t="shared" si="6"/>
        <v>42170.009296781383</v>
      </c>
      <c r="I17" s="129" t="str">
        <f>naks(P[[#This Row],[Moon]])</f>
        <v>Krittika</v>
      </c>
      <c r="J17" s="136">
        <f>(C18-P[[#This Row],[SunRise]])/(G18-P[[#This Row],[Moon]])*(13.3333333333333-MOD(P[[#This Row],[Moon]],13.333333333333))+P[[#This Row],[SunRise]]</f>
        <v>42170.268157483602</v>
      </c>
      <c r="K17" s="129">
        <f t="shared" si="7"/>
        <v>28.337572145856836</v>
      </c>
      <c r="L17" s="129">
        <f t="shared" si="8"/>
        <v>0.67514429171367141</v>
      </c>
      <c r="M17" s="129"/>
      <c r="N17" s="129">
        <f t="shared" si="9"/>
        <v>7.435305673974149</v>
      </c>
      <c r="O17" s="129"/>
      <c r="P17" s="133"/>
    </row>
    <row r="18" spans="1:16">
      <c r="A18" s="130">
        <v>42171</v>
      </c>
      <c r="B18" s="130">
        <f t="shared" si="0"/>
        <v>42171.229166666664</v>
      </c>
      <c r="C18" s="132">
        <f t="shared" si="1"/>
        <v>42171.238578047756</v>
      </c>
      <c r="D18" s="132">
        <f t="shared" si="2"/>
        <v>42170.775427639528</v>
      </c>
      <c r="E18" s="133">
        <f t="shared" si="3"/>
        <v>42171.009411381092</v>
      </c>
      <c r="F18" s="134">
        <f t="shared" si="4"/>
        <v>60.498900703789303</v>
      </c>
      <c r="G18" s="134">
        <f t="shared" si="5"/>
        <v>53.263857129829042</v>
      </c>
      <c r="H18" s="135">
        <f t="shared" si="6"/>
        <v>42171.009411381092</v>
      </c>
      <c r="I18" s="129" t="str">
        <f>naks(P[[#This Row],[Moon]])</f>
        <v>Rohini</v>
      </c>
      <c r="J18" s="136">
        <f>(C19-P[[#This Row],[SunRise]])/(G19-P[[#This Row],[Moon]])*(13.3333333333333-MOD(P[[#This Row],[Moon]],13.333333333333))+P[[#This Row],[SunRise]]</f>
        <v>42171.243751607966</v>
      </c>
      <c r="K18" s="129">
        <f t="shared" si="7"/>
        <v>29.397079702169975</v>
      </c>
      <c r="L18" s="129" t="str">
        <f t="shared" si="8"/>
        <v>S</v>
      </c>
      <c r="M18" s="129"/>
      <c r="N18" s="129">
        <f t="shared" si="9"/>
        <v>8.5322068377346802</v>
      </c>
      <c r="O18" s="129"/>
      <c r="P18" s="133"/>
    </row>
    <row r="19" spans="1:16">
      <c r="A19" s="130">
        <v>42172</v>
      </c>
      <c r="B19" s="130">
        <f t="shared" si="0"/>
        <v>42172.229166666664</v>
      </c>
      <c r="C19" s="132">
        <f t="shared" si="1"/>
        <v>42172.238699482441</v>
      </c>
      <c r="D19" s="132">
        <f t="shared" si="2"/>
        <v>42171.775609314485</v>
      </c>
      <c r="E19" s="133">
        <f t="shared" si="3"/>
        <v>42172.009532815777</v>
      </c>
      <c r="F19" s="134">
        <f t="shared" si="4"/>
        <v>61.454374154911385</v>
      </c>
      <c r="G19" s="134">
        <f t="shared" si="5"/>
        <v>66.694577467353128</v>
      </c>
      <c r="H19" s="135">
        <f t="shared" si="6"/>
        <v>42172.009532815777</v>
      </c>
      <c r="I19" s="129" t="str">
        <f>naks(P[[#This Row],[Moon]])</f>
        <v>Ardra</v>
      </c>
      <c r="J19" s="136">
        <f>(C20-P[[#This Row],[SunRise]])/(G20-P[[#This Row],[Moon]])*(13.3333333333333-MOD(P[[#This Row],[Moon]],13.333333333333))+P[[#This Row],[SunRise]]</f>
        <v>42173.250658693796</v>
      </c>
      <c r="K19" s="129">
        <f t="shared" si="7"/>
        <v>0.43668360937014938</v>
      </c>
      <c r="L19" s="129" t="str">
        <f t="shared" si="8"/>
        <v>S</v>
      </c>
      <c r="M19" s="129"/>
      <c r="N19" s="129">
        <f t="shared" si="9"/>
        <v>9.6111713719101175</v>
      </c>
      <c r="O19" s="129"/>
      <c r="P19" s="133"/>
    </row>
    <row r="20" spans="1:16">
      <c r="A20" s="130">
        <v>42173</v>
      </c>
      <c r="B20" s="130">
        <f t="shared" si="0"/>
        <v>42173.229166666664</v>
      </c>
      <c r="C20" s="132">
        <f t="shared" si="1"/>
        <v>42173.23882743359</v>
      </c>
      <c r="D20" s="132">
        <f t="shared" si="2"/>
        <v>42172.775786539118</v>
      </c>
      <c r="E20" s="133">
        <f t="shared" si="3"/>
        <v>42173.009660766926</v>
      </c>
      <c r="F20" s="134">
        <f t="shared" si="4"/>
        <v>62.409682551173397</v>
      </c>
      <c r="G20" s="134">
        <f t="shared" si="5"/>
        <v>79.844440453317674</v>
      </c>
      <c r="H20" s="135">
        <f t="shared" si="6"/>
        <v>42173.009660766926</v>
      </c>
      <c r="I20" s="129" t="str">
        <f>naks(P[[#This Row],[Moon]])</f>
        <v>Ardra</v>
      </c>
      <c r="J20" s="136">
        <f>(C21-P[[#This Row],[SunRise]])/(G21-P[[#This Row],[Moon]])*(13.3333333333333-MOD(P[[#This Row],[Moon]],13.333333333333))+P[[#This Row],[SunRise]]</f>
        <v>42173.25093794422</v>
      </c>
      <c r="K20" s="129">
        <f t="shared" si="7"/>
        <v>1.4528964918453606</v>
      </c>
      <c r="L20" s="129">
        <f t="shared" si="8"/>
        <v>2.9057929836907213</v>
      </c>
      <c r="M20" s="129"/>
      <c r="N20" s="129">
        <f t="shared" si="9"/>
        <v>10.669059225603556</v>
      </c>
      <c r="O20" s="129"/>
      <c r="P20" s="133"/>
    </row>
    <row r="21" spans="1:16">
      <c r="A21" s="130">
        <v>42174</v>
      </c>
      <c r="B21" s="130">
        <f t="shared" si="0"/>
        <v>42174.229166666664</v>
      </c>
      <c r="C21" s="132">
        <f t="shared" si="1"/>
        <v>42174.238961584088</v>
      </c>
      <c r="D21" s="132">
        <f t="shared" si="2"/>
        <v>42173.775958677332</v>
      </c>
      <c r="E21" s="133">
        <f t="shared" si="3"/>
        <v>42174.009794917423</v>
      </c>
      <c r="F21" s="134">
        <f t="shared" si="4"/>
        <v>63.364817897411129</v>
      </c>
      <c r="G21" s="134">
        <f t="shared" si="5"/>
        <v>92.691166727515267</v>
      </c>
      <c r="H21" s="135">
        <f t="shared" si="6"/>
        <v>42174.009794917423</v>
      </c>
      <c r="I21" s="129" t="str">
        <f>naks(P[[#This Row],[Moon]])</f>
        <v>Punarvasu</v>
      </c>
      <c r="J21" s="136">
        <f>(C22-P[[#This Row],[SunRise]])/(G22-P[[#This Row],[Moon]])*(13.3333333333333-MOD(P[[#This Row],[Moon]],13.333333333333))+P[[#This Row],[SunRise]]</f>
        <v>42174.290155767216</v>
      </c>
      <c r="K21" s="129">
        <f t="shared" si="7"/>
        <v>2.4438624025086804</v>
      </c>
      <c r="L21" s="129">
        <f t="shared" si="8"/>
        <v>4.8877248050173607</v>
      </c>
      <c r="M21" s="129"/>
      <c r="N21" s="129">
        <f t="shared" si="9"/>
        <v>11.704198847162084</v>
      </c>
      <c r="O21" s="129"/>
      <c r="P21" s="133"/>
    </row>
    <row r="22" spans="1:16">
      <c r="A22" s="130">
        <v>42175</v>
      </c>
      <c r="B22" s="130">
        <f t="shared" si="0"/>
        <v>42175.229166666664</v>
      </c>
      <c r="C22" s="132">
        <f t="shared" si="1"/>
        <v>42175.239101456165</v>
      </c>
      <c r="D22" s="132">
        <f t="shared" si="2"/>
        <v>42174.776125729128</v>
      </c>
      <c r="E22" s="133">
        <f t="shared" si="3"/>
        <v>42175.009934789501</v>
      </c>
      <c r="F22" s="134">
        <f t="shared" si="4"/>
        <v>64.31977414003488</v>
      </c>
      <c r="G22" s="134">
        <f t="shared" si="5"/>
        <v>105.23666287146089</v>
      </c>
      <c r="H22" s="135">
        <f t="shared" si="6"/>
        <v>42175.009934789501</v>
      </c>
      <c r="I22" s="129" t="str">
        <f>naks(P[[#This Row],[Moon]])</f>
        <v>Pushya</v>
      </c>
      <c r="J22" s="136">
        <f>(C23-P[[#This Row],[SunRise]])/(G23-P[[#This Row],[Moon]])*(13.3333333333333-MOD(P[[#This Row],[Moon]],13.333333333333))+P[[#This Row],[SunRise]]</f>
        <v>42175.355651516824</v>
      </c>
      <c r="K22" s="129">
        <f t="shared" si="7"/>
        <v>3.4097407276188343</v>
      </c>
      <c r="L22" s="129">
        <f t="shared" si="8"/>
        <v>6.8194814552376686</v>
      </c>
      <c r="M22" s="129"/>
      <c r="N22" s="129">
        <f t="shared" si="9"/>
        <v>12.7167327761801</v>
      </c>
      <c r="O22" s="129"/>
      <c r="P22" s="133"/>
    </row>
    <row r="23" spans="1:16">
      <c r="A23" s="130">
        <v>42176</v>
      </c>
      <c r="B23" s="130">
        <f t="shared" si="0"/>
        <v>42176.229166666664</v>
      </c>
      <c r="C23" s="132">
        <f t="shared" si="1"/>
        <v>42176.239247050289</v>
      </c>
      <c r="D23" s="132">
        <f t="shared" si="2"/>
        <v>42175.776287218134</v>
      </c>
      <c r="E23" s="133">
        <f t="shared" si="3"/>
        <v>42176.010080383625</v>
      </c>
      <c r="F23" s="134">
        <f t="shared" si="4"/>
        <v>65.274548171100776</v>
      </c>
      <c r="G23" s="134">
        <f t="shared" si="5"/>
        <v>117.50788767639864</v>
      </c>
      <c r="H23" s="135">
        <f t="shared" si="6"/>
        <v>42176.010080383625</v>
      </c>
      <c r="I23" s="129" t="str">
        <f>naks(P[[#This Row],[Moon]])</f>
        <v>Aslesha</v>
      </c>
      <c r="J23" s="136">
        <f>(C24-P[[#This Row],[SunRise]])/(G24-P[[#This Row],[Moon]])*(13.3333333333333-MOD(P[[#This Row],[Moon]],13.333333333333))+P[[#This Row],[SunRise]]</f>
        <v>42176.44615001668</v>
      </c>
      <c r="K23" s="129">
        <f t="shared" si="7"/>
        <v>4.3527782921081553</v>
      </c>
      <c r="L23" s="129">
        <f t="shared" si="8"/>
        <v>1.7055565842163105</v>
      </c>
      <c r="M23" s="129"/>
      <c r="N23" s="129">
        <f t="shared" si="9"/>
        <v>13.708682688905172</v>
      </c>
      <c r="O23" s="129"/>
      <c r="P23" s="133"/>
    </row>
    <row r="24" spans="1:16">
      <c r="A24" s="130">
        <v>42177</v>
      </c>
      <c r="B24" s="130">
        <f t="shared" si="0"/>
        <v>42177.229166666664</v>
      </c>
      <c r="C24" s="132">
        <f t="shared" si="1"/>
        <v>42177.239397730831</v>
      </c>
      <c r="D24" s="132">
        <f t="shared" si="2"/>
        <v>42176.776442825838</v>
      </c>
      <c r="E24" s="133">
        <f t="shared" si="3"/>
        <v>42177.010231064167</v>
      </c>
      <c r="F24" s="134">
        <f t="shared" si="4"/>
        <v>66.229138891717767</v>
      </c>
      <c r="G24" s="134">
        <f t="shared" si="5"/>
        <v>129.55453872232496</v>
      </c>
      <c r="H24" s="135">
        <f t="shared" si="6"/>
        <v>42177.010231064167</v>
      </c>
      <c r="I24" s="129" t="str">
        <f>naks(P[[#This Row],[Moon]])</f>
        <v>Makha</v>
      </c>
      <c r="J24" s="136">
        <f>(C25-P[[#This Row],[SunRise]])/(G25-P[[#This Row],[Moon]])*(13.3333333333333-MOD(P[[#This Row],[Moon]],13.333333333333))+P[[#This Row],[SunRise]]</f>
        <v>42177.557256744316</v>
      </c>
      <c r="K24" s="129">
        <f t="shared" si="7"/>
        <v>5.2771166525506032</v>
      </c>
      <c r="L24" s="129">
        <f t="shared" si="8"/>
        <v>3.5542333051012065</v>
      </c>
      <c r="M24" s="129"/>
      <c r="N24" s="129">
        <f t="shared" si="9"/>
        <v>14.6837758214203</v>
      </c>
      <c r="O24" s="129"/>
      <c r="P24" s="133"/>
    </row>
    <row r="25" spans="1:16">
      <c r="A25" s="130">
        <v>42178</v>
      </c>
      <c r="B25" s="130">
        <f t="shared" si="0"/>
        <v>42178.229166666664</v>
      </c>
      <c r="C25" s="132">
        <f t="shared" si="1"/>
        <v>42178.239553497791</v>
      </c>
      <c r="D25" s="132">
        <f t="shared" si="2"/>
        <v>42177.776592393915</v>
      </c>
      <c r="E25" s="133">
        <f t="shared" si="3"/>
        <v>42178.010386831127</v>
      </c>
      <c r="F25" s="134">
        <f t="shared" si="4"/>
        <v>67.183548335163621</v>
      </c>
      <c r="G25" s="134">
        <f t="shared" si="5"/>
        <v>141.44466315498801</v>
      </c>
      <c r="H25" s="135">
        <f t="shared" si="6"/>
        <v>42178.010386831127</v>
      </c>
      <c r="I25" s="129" t="str">
        <f>naks(P[[#This Row],[Moon]])</f>
        <v>Purva Phalguni</v>
      </c>
      <c r="J25" s="136">
        <f>(C26-P[[#This Row],[SunRise]])/(G26-P[[#This Row],[Moon]])*(13.3333333333333-MOD(P[[#This Row],[Moon]],13.333333333333))+P[[#This Row],[SunRise]]</f>
        <v>42178.681618207898</v>
      </c>
      <c r="K25" s="129">
        <f t="shared" si="7"/>
        <v>6.1884262349853669</v>
      </c>
      <c r="L25" s="129">
        <f t="shared" si="8"/>
        <v>5.3768524699707338</v>
      </c>
      <c r="M25" s="129"/>
      <c r="N25" s="129">
        <f t="shared" si="9"/>
        <v>15.647115862152548</v>
      </c>
      <c r="O25" s="129"/>
      <c r="P25" s="133"/>
    </row>
    <row r="26" spans="1:16">
      <c r="A26" s="130">
        <v>42179</v>
      </c>
      <c r="B26" s="130">
        <f t="shared" si="0"/>
        <v>42179.229166666664</v>
      </c>
      <c r="C26" s="132">
        <f t="shared" si="1"/>
        <v>42179.239714033123</v>
      </c>
      <c r="D26" s="132">
        <f t="shared" si="2"/>
        <v>42178.776735286272</v>
      </c>
      <c r="E26" s="133">
        <f t="shared" si="3"/>
        <v>42179.010547366459</v>
      </c>
      <c r="F26" s="134">
        <f t="shared" si="4"/>
        <v>68.137780552232783</v>
      </c>
      <c r="G26" s="134">
        <f t="shared" si="5"/>
        <v>153.25931768031288</v>
      </c>
      <c r="H26" s="135">
        <f t="shared" si="6"/>
        <v>42179.010547366459</v>
      </c>
      <c r="I26" s="129" t="str">
        <f>naks(P[[#This Row],[Moon]])</f>
        <v>Uttara Phalguni</v>
      </c>
      <c r="J26" s="136">
        <f>(C27-P[[#This Row],[SunRise]])/(G27-P[[#This Row],[Moon]])*(13.3333333333333-MOD(P[[#This Row],[Moon]],13.333333333333))+P[[#This Row],[SunRise]]</f>
        <v>42179.809704810024</v>
      </c>
      <c r="K26" s="129">
        <f t="shared" si="7"/>
        <v>7.093461427340003</v>
      </c>
      <c r="L26" s="129">
        <f t="shared" si="8"/>
        <v>0.18692285468000591</v>
      </c>
      <c r="M26" s="129"/>
      <c r="N26" s="129">
        <f t="shared" si="9"/>
        <v>16.604782367856043</v>
      </c>
      <c r="O26" s="129"/>
      <c r="P26" s="133"/>
    </row>
    <row r="27" spans="1:16">
      <c r="A27" s="130">
        <v>42180</v>
      </c>
      <c r="B27" s="130">
        <f t="shared" si="0"/>
        <v>42180.229166666664</v>
      </c>
      <c r="C27" s="132">
        <f t="shared" si="1"/>
        <v>42180.239878859524</v>
      </c>
      <c r="D27" s="132">
        <f t="shared" si="2"/>
        <v>42179.776871661699</v>
      </c>
      <c r="E27" s="133">
        <f t="shared" si="3"/>
        <v>42180.01071219286</v>
      </c>
      <c r="F27" s="134">
        <f t="shared" si="4"/>
        <v>69.091841577158533</v>
      </c>
      <c r="G27" s="134">
        <f t="shared" si="5"/>
        <v>165.0872167188769</v>
      </c>
      <c r="H27" s="135">
        <f t="shared" si="6"/>
        <v>42180.01071219286</v>
      </c>
      <c r="I27" s="129" t="str">
        <f>naks(P[[#This Row],[Moon]])</f>
        <v>Hasta</v>
      </c>
      <c r="J27" s="136">
        <f>(C28-P[[#This Row],[SunRise]])/(G28-P[[#This Row],[Moon]])*(13.3333333333333-MOD(P[[#This Row],[Moon]],13.333333333333))+P[[#This Row],[SunRise]]</f>
        <v>42180.931068986494</v>
      </c>
      <c r="K27" s="129">
        <f t="shared" si="7"/>
        <v>7.9996145951431954</v>
      </c>
      <c r="L27" s="129">
        <f t="shared" si="8"/>
        <v>1.9992291902863908</v>
      </c>
      <c r="M27" s="129"/>
      <c r="N27" s="129">
        <f t="shared" si="9"/>
        <v>17.563429372641743</v>
      </c>
      <c r="O27" s="129"/>
      <c r="P27" s="133"/>
    </row>
    <row r="28" spans="1:16">
      <c r="A28" s="130">
        <v>42181</v>
      </c>
      <c r="B28" s="130">
        <f t="shared" si="0"/>
        <v>42181.229166666664</v>
      </c>
      <c r="C28" s="132">
        <f t="shared" si="1"/>
        <v>42181.240047819134</v>
      </c>
      <c r="D28" s="132">
        <f t="shared" si="2"/>
        <v>42180.777000884569</v>
      </c>
      <c r="E28" s="133">
        <f t="shared" si="3"/>
        <v>42181.01088115247</v>
      </c>
      <c r="F28" s="134">
        <f t="shared" si="4"/>
        <v>70.045739810381789</v>
      </c>
      <c r="G28" s="134">
        <f t="shared" si="5"/>
        <v>177.01954843665328</v>
      </c>
      <c r="H28" s="135">
        <f t="shared" si="6"/>
        <v>42181.01088115247</v>
      </c>
      <c r="I28" s="129" t="str">
        <f>naks(P[[#This Row],[Moon]])</f>
        <v>Chitra</v>
      </c>
      <c r="J28" s="136">
        <f>(C29-P[[#This Row],[SunRise]])/(G29-P[[#This Row],[Moon]])*(13.3333333333333-MOD(P[[#This Row],[Moon]],13.333333333333))+P[[#This Row],[SunRise]]</f>
        <v>42182.035830795583</v>
      </c>
      <c r="K28" s="129">
        <f t="shared" si="7"/>
        <v>8.9144840521892892</v>
      </c>
      <c r="L28" s="129">
        <f t="shared" si="8"/>
        <v>3.8289681043785784</v>
      </c>
      <c r="M28" s="129"/>
      <c r="N28" s="129">
        <f t="shared" si="9"/>
        <v>18.529896618990879</v>
      </c>
      <c r="O28" s="129"/>
      <c r="P28" s="133"/>
    </row>
    <row r="29" spans="1:16">
      <c r="A29" s="130">
        <v>42182</v>
      </c>
      <c r="B29" s="130">
        <f t="shared" si="0"/>
        <v>42182.229166666664</v>
      </c>
      <c r="C29" s="132">
        <f t="shared" si="1"/>
        <v>42182.240220434185</v>
      </c>
      <c r="D29" s="132">
        <f t="shared" si="2"/>
        <v>42181.777122954882</v>
      </c>
      <c r="E29" s="133">
        <f t="shared" si="3"/>
        <v>42182.011053767521</v>
      </c>
      <c r="F29" s="134">
        <f t="shared" si="4"/>
        <v>70.999485510370121</v>
      </c>
      <c r="G29" s="134">
        <f t="shared" ref="G29:G60" si="10">Planet(E29,1)</f>
        <v>189.14444147077467</v>
      </c>
      <c r="H29" s="135">
        <f t="shared" si="6"/>
        <v>42182.011053767521</v>
      </c>
      <c r="I29" s="129" t="str">
        <f>naks(P[[#This Row],[Moon]])</f>
        <v>Swati</v>
      </c>
      <c r="J29" s="136">
        <f>(C30-P[[#This Row],[SunRise]])/(G30-P[[#This Row],[Moon]])*(13.3333333333333-MOD(P[[#This Row],[Moon]],13.333333333333))+P[[#This Row],[SunRise]]</f>
        <v>42183.11610094738</v>
      </c>
      <c r="K29" s="129">
        <f t="shared" si="7"/>
        <v>9.8454129967003752</v>
      </c>
      <c r="L29" s="129">
        <f t="shared" si="8"/>
        <v>5.6908259934007503</v>
      </c>
      <c r="M29" s="129"/>
      <c r="N29" s="129">
        <f t="shared" si="9"/>
        <v>19.510794524073628</v>
      </c>
      <c r="O29" s="129"/>
      <c r="P29" s="133"/>
    </row>
    <row r="30" spans="1:16">
      <c r="A30" s="130">
        <v>42183</v>
      </c>
      <c r="B30" s="130">
        <f t="shared" si="0"/>
        <v>42183.229166666664</v>
      </c>
      <c r="C30" s="132">
        <f t="shared" si="1"/>
        <v>42183.240396863934</v>
      </c>
      <c r="D30" s="132">
        <f t="shared" si="2"/>
        <v>42182.777237713381</v>
      </c>
      <c r="E30" s="133">
        <f t="shared" si="3"/>
        <v>42183.011230197269</v>
      </c>
      <c r="F30" s="134">
        <f t="shared" si="4"/>
        <v>71.953091971014317</v>
      </c>
      <c r="G30" s="134">
        <f t="shared" si="10"/>
        <v>201.54050875292677</v>
      </c>
      <c r="H30" s="135">
        <f t="shared" si="6"/>
        <v>42183.011230197269</v>
      </c>
      <c r="I30" s="129" t="str">
        <f>naks(P[[#This Row],[Moon]])</f>
        <v>Visakha</v>
      </c>
      <c r="J30" s="136">
        <f>(C31-P[[#This Row],[SunRise]])/(G31-P[[#This Row],[Moon]])*(13.3333333333333-MOD(P[[#This Row],[Moon]],13.333333333333))+P[[#This Row],[SunRise]]</f>
        <v>42184.167027458047</v>
      </c>
      <c r="K30" s="129">
        <f t="shared" si="7"/>
        <v>10.79895139849271</v>
      </c>
      <c r="L30" s="129">
        <f t="shared" si="8"/>
        <v>0.59790279698541937</v>
      </c>
      <c r="M30" s="129"/>
      <c r="N30" s="129">
        <f t="shared" si="9"/>
        <v>20.512020054808382</v>
      </c>
      <c r="O30" s="129"/>
      <c r="P30" s="133"/>
    </row>
    <row r="31" spans="1:16">
      <c r="A31" s="130">
        <v>42184</v>
      </c>
      <c r="B31" s="130">
        <f t="shared" si="0"/>
        <v>42184.229166666664</v>
      </c>
      <c r="C31" s="132">
        <f t="shared" si="1"/>
        <v>42184.240576472286</v>
      </c>
      <c r="D31" s="132">
        <f t="shared" si="2"/>
        <v>42183.777344524904</v>
      </c>
      <c r="E31" s="133">
        <f t="shared" si="3"/>
        <v>42184.011409805622</v>
      </c>
      <c r="F31" s="134">
        <f t="shared" si="4"/>
        <v>72.906574501866217</v>
      </c>
      <c r="G31" s="134">
        <f t="shared" si="10"/>
        <v>214.26935965113782</v>
      </c>
      <c r="H31" s="135">
        <f t="shared" si="6"/>
        <v>42184.011409805622</v>
      </c>
      <c r="I31" s="129" t="str">
        <f>naks(P[[#This Row],[Moon]])</f>
        <v>Anuradha</v>
      </c>
      <c r="J31" s="136">
        <f>(C32-P[[#This Row],[SunRise]])/(G32-P[[#This Row],[Moon]])*(13.3333333333333-MOD(P[[#This Row],[Moon]],13.333333333333))+P[[#This Row],[SunRise]]</f>
        <v>42185.187216762948</v>
      </c>
      <c r="K31" s="129">
        <f t="shared" si="7"/>
        <v>11.780232095772638</v>
      </c>
      <c r="L31" s="129">
        <f t="shared" si="8"/>
        <v>2.5604641915452753</v>
      </c>
      <c r="M31" s="129"/>
      <c r="N31" s="129">
        <f t="shared" si="9"/>
        <v>21.538195062013759</v>
      </c>
      <c r="O31" s="129"/>
      <c r="P31" s="133"/>
    </row>
    <row r="32" spans="1:16">
      <c r="A32" s="130">
        <v>42185</v>
      </c>
      <c r="B32" s="130">
        <f t="shared" si="0"/>
        <v>42185.229166666664</v>
      </c>
      <c r="C32" s="132">
        <f t="shared" si="1"/>
        <v>42185.240758942127</v>
      </c>
      <c r="D32" s="132">
        <f t="shared" si="2"/>
        <v>42184.777443548242</v>
      </c>
      <c r="E32" s="133">
        <f t="shared" si="3"/>
        <v>42185.011592275463</v>
      </c>
      <c r="F32" s="134">
        <f t="shared" si="4"/>
        <v>73.859951791152852</v>
      </c>
      <c r="G32" s="134">
        <f t="shared" si="10"/>
        <v>227.36786102751034</v>
      </c>
      <c r="H32" s="135">
        <f t="shared" si="6"/>
        <v>42185.011592275463</v>
      </c>
      <c r="I32" s="129" t="str">
        <f>naks(P[[#This Row],[Moon]])</f>
        <v>Jyestha</v>
      </c>
      <c r="J32" s="136">
        <f>(C33-P[[#This Row],[SunRise]])/(G33-P[[#This Row],[Moon]])*(13.3333333333333-MOD(P[[#This Row],[Moon]],13.333333333333))+P[[#This Row],[SunRise]]</f>
        <v>42186.178474910674</v>
      </c>
      <c r="K32" s="129">
        <f t="shared" si="7"/>
        <v>12.792325769696456</v>
      </c>
      <c r="L32" s="129">
        <f t="shared" si="8"/>
        <v>4.5846515393929117</v>
      </c>
      <c r="M32" s="129"/>
      <c r="N32" s="129">
        <f t="shared" si="9"/>
        <v>22.592085961964543</v>
      </c>
      <c r="O32" s="129"/>
      <c r="P32" s="133"/>
    </row>
    <row r="33" spans="1:16">
      <c r="A33" s="130">
        <v>42186</v>
      </c>
      <c r="B33" s="130">
        <f t="shared" si="0"/>
        <v>42186.229166666664</v>
      </c>
      <c r="C33" s="132">
        <f t="shared" si="1"/>
        <v>42186.240944431782</v>
      </c>
      <c r="D33" s="132">
        <f t="shared" si="2"/>
        <v>42185.777534465349</v>
      </c>
      <c r="E33" s="133">
        <f t="shared" si="3"/>
        <v>42186.011777765118</v>
      </c>
      <c r="F33" s="134">
        <f t="shared" si="4"/>
        <v>74.813246149710181</v>
      </c>
      <c r="G33" s="134">
        <f t="shared" si="10"/>
        <v>240.84153805483746</v>
      </c>
      <c r="H33" s="135">
        <f t="shared" si="6"/>
        <v>42186.011777765118</v>
      </c>
      <c r="I33" s="129" t="str">
        <f>naks(P[[#This Row],[Moon]])</f>
        <v>Moola</v>
      </c>
      <c r="J33" s="136">
        <f>(C34-P[[#This Row],[SunRise]])/(G34-P[[#This Row],[Moon]])*(13.3333333333333-MOD(P[[#This Row],[Moon]],13.333333333333))+P[[#This Row],[SunRise]]</f>
        <v>42187.145032644963</v>
      </c>
      <c r="K33" s="129">
        <f t="shared" si="7"/>
        <v>13.835690992093939</v>
      </c>
      <c r="L33" s="129">
        <f t="shared" si="8"/>
        <v>6.6713819841878781</v>
      </c>
      <c r="M33" s="129"/>
      <c r="N33" s="129">
        <f t="shared" si="9"/>
        <v>23.674108815932925</v>
      </c>
      <c r="O33" s="129"/>
      <c r="P33" s="133"/>
    </row>
    <row r="34" spans="1:16">
      <c r="A34" s="130">
        <v>42187</v>
      </c>
      <c r="B34" s="130">
        <f t="shared" si="0"/>
        <v>42187.229166666664</v>
      </c>
      <c r="C34" s="132">
        <f t="shared" si="1"/>
        <v>42187.241132305622</v>
      </c>
      <c r="D34" s="132">
        <f t="shared" si="2"/>
        <v>42186.777617116968</v>
      </c>
      <c r="E34" s="133">
        <f t="shared" si="3"/>
        <v>42187.011965638958</v>
      </c>
      <c r="F34" s="134">
        <f t="shared" si="4"/>
        <v>75.766482050674327</v>
      </c>
      <c r="G34" s="134">
        <f t="shared" si="10"/>
        <v>254.66114324142461</v>
      </c>
      <c r="H34" s="135">
        <f t="shared" si="6"/>
        <v>42187.011965638958</v>
      </c>
      <c r="I34" s="129" t="str">
        <f>naks(P[[#This Row],[Moon]])</f>
        <v>Purva Asadha</v>
      </c>
      <c r="J34" s="136">
        <f>(C35-P[[#This Row],[SunRise]])/(G35-P[[#This Row],[Moon]])*(13.3333333333333-MOD(P[[#This Row],[Moon]],13.333333333333))+P[[#This Row],[SunRise]]</f>
        <v>42188.09253682274</v>
      </c>
      <c r="K34" s="129">
        <f t="shared" si="7"/>
        <v>14.907888432562524</v>
      </c>
      <c r="L34" s="129">
        <f t="shared" si="8"/>
        <v>1.8157768651250485</v>
      </c>
      <c r="M34" s="129"/>
      <c r="N34" s="129">
        <f t="shared" si="9"/>
        <v>24.782071897526968</v>
      </c>
      <c r="O34" s="129"/>
      <c r="P34" s="133"/>
    </row>
    <row r="35" spans="1:16">
      <c r="A35" s="130">
        <v>42188</v>
      </c>
      <c r="B35" s="130">
        <f t="shared" ref="B35:B60" si="11">A35+TimeZone/24</f>
        <v>42188.229166666664</v>
      </c>
      <c r="C35" s="132">
        <f t="shared" ref="C35:C66" si="12">sunrise(Lat,Long,B35)+TimeZone/24+0.00103009259259259</f>
        <v>42188.241322404858</v>
      </c>
      <c r="D35" s="132">
        <f t="shared" ref="D35:D60" si="13">sunset(Lat,Long,B35)+TimeZone/24-0.000277777777777778</f>
        <v>42187.777691344774</v>
      </c>
      <c r="E35" s="133">
        <f t="shared" ref="E35:E60" si="14">C35-TimeZone/24</f>
        <v>42188.012155738194</v>
      </c>
      <c r="F35" s="134">
        <f t="shared" si="4"/>
        <v>76.71968668931828</v>
      </c>
      <c r="G35" s="134">
        <f t="shared" si="10"/>
        <v>268.76466915019978</v>
      </c>
      <c r="H35" s="135">
        <f t="shared" si="6"/>
        <v>42188.012155738194</v>
      </c>
      <c r="I35" s="129" t="str">
        <f>naks(P[[#This Row],[Moon]])</f>
        <v>Uttara Asadha</v>
      </c>
      <c r="J35" s="136">
        <f>(C36-P[[#This Row],[SunRise]])/(G36-P[[#This Row],[Moon]])*(13.3333333333333-MOD(P[[#This Row],[Moon]],13.333333333333))+P[[#This Row],[SunRise]]</f>
        <v>42189.02708867706</v>
      </c>
      <c r="K35" s="129">
        <f t="shared" si="7"/>
        <v>16.003748538406796</v>
      </c>
      <c r="L35" s="129">
        <f t="shared" si="8"/>
        <v>4.0074970768135927</v>
      </c>
      <c r="M35" s="129"/>
      <c r="N35" s="129">
        <f t="shared" si="9"/>
        <v>25.911326688611638</v>
      </c>
      <c r="O35" s="129"/>
      <c r="P35" s="133"/>
    </row>
    <row r="36" spans="1:16">
      <c r="A36" s="130">
        <v>42189</v>
      </c>
      <c r="B36" s="130">
        <f t="shared" si="11"/>
        <v>42189.229166666664</v>
      </c>
      <c r="C36" s="132">
        <f t="shared" si="12"/>
        <v>42189.241514729023</v>
      </c>
      <c r="D36" s="132">
        <f t="shared" si="13"/>
        <v>42188.777756989046</v>
      </c>
      <c r="E36" s="133">
        <f t="shared" si="14"/>
        <v>42189.012348062359</v>
      </c>
      <c r="F36" s="134">
        <f t="shared" si="4"/>
        <v>77.672888627051677</v>
      </c>
      <c r="G36" s="134">
        <f t="shared" si="10"/>
        <v>283.06598504147041</v>
      </c>
      <c r="H36" s="135">
        <f t="shared" si="6"/>
        <v>42189.012348062359</v>
      </c>
      <c r="I36" s="129" t="str">
        <f>naks(P[[#This Row],[Moon]])</f>
        <v>Sravana</v>
      </c>
      <c r="J36" s="136">
        <f>(C37-P[[#This Row],[SunRise]])/(G37-P[[#This Row],[Moon]])*(13.3333333333333-MOD(P[[#This Row],[Moon]],13.333333333333))+P[[#This Row],[SunRise]]</f>
        <v>42189.954518039929</v>
      </c>
      <c r="K36" s="129">
        <f t="shared" si="7"/>
        <v>17.116091367868233</v>
      </c>
      <c r="L36" s="129">
        <f t="shared" si="8"/>
        <v>6.2321827357364654</v>
      </c>
      <c r="M36" s="129"/>
      <c r="N36" s="129">
        <f t="shared" si="9"/>
        <v>5.541552514054314E-2</v>
      </c>
      <c r="O36" s="129"/>
      <c r="P36" s="133"/>
    </row>
    <row r="37" spans="1:16">
      <c r="A37" s="130">
        <v>42190</v>
      </c>
      <c r="B37" s="130">
        <f t="shared" si="11"/>
        <v>42190.229166666664</v>
      </c>
      <c r="C37" s="132">
        <f t="shared" si="12"/>
        <v>42190.241708801746</v>
      </c>
      <c r="D37" s="132">
        <f t="shared" si="13"/>
        <v>42189.777813891924</v>
      </c>
      <c r="E37" s="133">
        <f t="shared" si="14"/>
        <v>42190.012542135082</v>
      </c>
      <c r="F37" s="134">
        <f t="shared" si="4"/>
        <v>78.626115842532229</v>
      </c>
      <c r="G37" s="134">
        <f t="shared" si="10"/>
        <v>297.46892083014041</v>
      </c>
      <c r="H37" s="135">
        <f t="shared" si="6"/>
        <v>42190.012542135082</v>
      </c>
      <c r="I37" s="129" t="str">
        <f>naks(P[[#This Row],[Moon]])</f>
        <v>Dhanistha</v>
      </c>
      <c r="J37" s="136">
        <f>(C38-P[[#This Row],[SunRise]])/(G38-P[[#This Row],[Moon]])*(13.3333333333333-MOD(P[[#This Row],[Moon]],13.333333333333))+P[[#This Row],[SunRise]]</f>
        <v>42190.879945645</v>
      </c>
      <c r="K37" s="129">
        <f t="shared" si="7"/>
        <v>18.236900415634011</v>
      </c>
      <c r="L37" s="129">
        <f t="shared" si="8"/>
        <v>1.4738008312680222</v>
      </c>
      <c r="M37" s="129"/>
      <c r="N37" s="129">
        <f t="shared" si="9"/>
        <v>1.2071277504806246</v>
      </c>
      <c r="O37" s="129"/>
      <c r="P37" s="133"/>
    </row>
    <row r="38" spans="1:16">
      <c r="A38" s="130">
        <v>42191</v>
      </c>
      <c r="B38" s="130">
        <f t="shared" si="11"/>
        <v>42191.229166666664</v>
      </c>
      <c r="C38" s="132">
        <f t="shared" si="12"/>
        <v>42191.241904463772</v>
      </c>
      <c r="D38" s="132">
        <f t="shared" si="13"/>
        <v>42190.777862052477</v>
      </c>
      <c r="E38" s="133">
        <f t="shared" si="14"/>
        <v>42191.012737797108</v>
      </c>
      <c r="F38" s="134">
        <f t="shared" si="4"/>
        <v>79.579394998291903</v>
      </c>
      <c r="G38" s="134">
        <f t="shared" si="10"/>
        <v>311.88292024648797</v>
      </c>
      <c r="H38" s="135">
        <f t="shared" si="6"/>
        <v>42191.012737797108</v>
      </c>
      <c r="I38" s="129" t="str">
        <f>naks(P[[#This Row],[Moon]])</f>
        <v>Satabhisaj</v>
      </c>
      <c r="J38" s="136">
        <f>(C39-P[[#This Row],[SunRise]])/(G39-P[[#This Row],[Moon]])*(13.3333333333333-MOD(P[[#This Row],[Moon]],13.333333333333))+P[[#This Row],[SunRise]]</f>
        <v>42191.807572537662</v>
      </c>
      <c r="K38" s="129">
        <f t="shared" si="7"/>
        <v>19.358627104016335</v>
      </c>
      <c r="L38" s="129">
        <f t="shared" si="8"/>
        <v>3.7172542080326707</v>
      </c>
      <c r="M38" s="129"/>
      <c r="N38" s="129">
        <f t="shared" si="9"/>
        <v>2.359673643417481</v>
      </c>
      <c r="O38" s="129"/>
      <c r="P38" s="133"/>
    </row>
    <row r="39" spans="1:16">
      <c r="A39" s="130">
        <v>42192</v>
      </c>
      <c r="B39" s="130">
        <f t="shared" si="11"/>
        <v>42192.229166666664</v>
      </c>
      <c r="C39" s="132">
        <f t="shared" si="12"/>
        <v>42192.242101397518</v>
      </c>
      <c r="D39" s="132">
        <f t="shared" si="13"/>
        <v>42191.777901153124</v>
      </c>
      <c r="E39" s="133">
        <f t="shared" si="14"/>
        <v>42192.012934730854</v>
      </c>
      <c r="F39" s="134">
        <f t="shared" si="4"/>
        <v>80.532749549742604</v>
      </c>
      <c r="G39" s="134">
        <f t="shared" si="10"/>
        <v>326.23529163727642</v>
      </c>
      <c r="H39" s="135">
        <f t="shared" si="6"/>
        <v>42192.012934730854</v>
      </c>
      <c r="I39" s="129" t="str">
        <f>naks(P[[#This Row],[Moon]])</f>
        <v>Purva Bhadrapada</v>
      </c>
      <c r="J39" s="136">
        <f>(C40-P[[#This Row],[SunRise]])/(G40-P[[#This Row],[Moon]])*(13.3333333333333-MOD(P[[#This Row],[Moon]],13.333333333333))+P[[#This Row],[SunRise]]</f>
        <v>42192.740608049404</v>
      </c>
      <c r="K39" s="129">
        <f t="shared" si="7"/>
        <v>20.475211840627821</v>
      </c>
      <c r="L39" s="129">
        <f t="shared" si="8"/>
        <v>5.9504236812556428</v>
      </c>
      <c r="M39" s="129"/>
      <c r="N39" s="129">
        <f t="shared" si="9"/>
        <v>3.5076030891141179</v>
      </c>
      <c r="O39" s="129"/>
      <c r="P39" s="133"/>
    </row>
    <row r="40" spans="1:16">
      <c r="A40" s="130">
        <v>42193</v>
      </c>
      <c r="B40" s="130">
        <f t="shared" si="11"/>
        <v>42193.229166666664</v>
      </c>
      <c r="C40" s="132">
        <f t="shared" si="12"/>
        <v>42193.242299602985</v>
      </c>
      <c r="D40" s="132">
        <f t="shared" si="13"/>
        <v>42192.777931193865</v>
      </c>
      <c r="E40" s="133">
        <f t="shared" si="14"/>
        <v>42193.013132936321</v>
      </c>
      <c r="F40" s="134">
        <f t="shared" si="4"/>
        <v>81.486199033006656</v>
      </c>
      <c r="G40" s="134">
        <f t="shared" si="10"/>
        <v>340.47672360184976</v>
      </c>
      <c r="H40" s="135">
        <f t="shared" si="6"/>
        <v>42193.013132936321</v>
      </c>
      <c r="I40" s="129" t="str">
        <f>naks(P[[#This Row],[Moon]])</f>
        <v>Uttara Bhadrapada</v>
      </c>
      <c r="J40" s="136">
        <f>(C41-P[[#This Row],[SunRise]])/(G41-P[[#This Row],[Moon]])*(13.3333333333333-MOD(P[[#This Row],[Moon]],13.333333333333))+P[[#This Row],[SunRise]]</f>
        <v>42193.681296907736</v>
      </c>
      <c r="K40" s="129">
        <f t="shared" si="7"/>
        <v>21.582543714070255</v>
      </c>
      <c r="L40" s="129">
        <f t="shared" si="8"/>
        <v>1.1650874281405095</v>
      </c>
      <c r="M40" s="129"/>
      <c r="N40" s="129">
        <f t="shared" si="9"/>
        <v>4.6472191977304105</v>
      </c>
      <c r="O40" s="129"/>
      <c r="P40" s="133"/>
    </row>
    <row r="41" spans="1:16">
      <c r="A41" s="130">
        <v>42194</v>
      </c>
      <c r="B41" s="130">
        <f t="shared" si="11"/>
        <v>42194.229166666664</v>
      </c>
      <c r="C41" s="132">
        <f t="shared" si="12"/>
        <v>42194.242498602871</v>
      </c>
      <c r="D41" s="132">
        <f t="shared" si="13"/>
        <v>42193.777951856653</v>
      </c>
      <c r="E41" s="133">
        <f t="shared" si="14"/>
        <v>42194.013331936207</v>
      </c>
      <c r="F41" s="134">
        <f t="shared" si="4"/>
        <v>82.43975759551914</v>
      </c>
      <c r="G41" s="134">
        <f t="shared" si="10"/>
        <v>354.57971420275624</v>
      </c>
      <c r="H41" s="135">
        <f t="shared" si="6"/>
        <v>42194.013331936207</v>
      </c>
      <c r="I41" s="129" t="str">
        <f>naks(P[[#This Row],[Moon]])</f>
        <v>Revati</v>
      </c>
      <c r="J41" s="136">
        <f>(C42-P[[#This Row],[SunRise]])/(G42-P[[#This Row],[Moon]])*(13.3333333333333-MOD(P[[#This Row],[Moon]],13.333333333333))+P[[#This Row],[SunRise]]</f>
        <v>42194.226832064567</v>
      </c>
      <c r="K41" s="129">
        <f t="shared" si="7"/>
        <v>22.678329717269758</v>
      </c>
      <c r="L41" s="129">
        <f t="shared" si="8"/>
        <v>3.356659434539516</v>
      </c>
      <c r="M41" s="129"/>
      <c r="N41" s="129">
        <f t="shared" si="9"/>
        <v>5.7764603850150653</v>
      </c>
      <c r="O41" s="129"/>
      <c r="P41" s="133"/>
    </row>
    <row r="42" spans="1:16">
      <c r="A42" s="130">
        <v>42195</v>
      </c>
      <c r="B42" s="130">
        <f t="shared" si="11"/>
        <v>42195.229166666664</v>
      </c>
      <c r="C42" s="132">
        <f t="shared" si="12"/>
        <v>42195.24269823885</v>
      </c>
      <c r="D42" s="132">
        <f t="shared" si="13"/>
        <v>42194.777963300745</v>
      </c>
      <c r="E42" s="133">
        <f t="shared" si="14"/>
        <v>42195.013531572185</v>
      </c>
      <c r="F42" s="134">
        <f t="shared" si="4"/>
        <v>83.393434584241561</v>
      </c>
      <c r="G42" s="134">
        <f t="shared" si="10"/>
        <v>8.5321204644160087</v>
      </c>
      <c r="H42" s="135">
        <f t="shared" si="6"/>
        <v>42195.013531572185</v>
      </c>
      <c r="I42" s="129" t="str">
        <f>naks(P[[#This Row],[Moon]])</f>
        <v>Aswini</v>
      </c>
      <c r="J42" s="136">
        <f>(C43-P[[#This Row],[SunRise]])/(G43-P[[#This Row],[Moon]])*(13.3333333333333-MOD(P[[#This Row],[Moon]],13.333333333333))+P[[#This Row],[SunRise]]</f>
        <v>42195.59076506678</v>
      </c>
      <c r="K42" s="129">
        <f t="shared" si="7"/>
        <v>23.761557156681203</v>
      </c>
      <c r="L42" s="129">
        <f t="shared" si="8"/>
        <v>5.5231143133624059</v>
      </c>
      <c r="M42" s="129"/>
      <c r="N42" s="129">
        <f t="shared" si="9"/>
        <v>6.8944166288216779</v>
      </c>
      <c r="O42" s="129"/>
      <c r="P42" s="133"/>
    </row>
    <row r="43" spans="1:16">
      <c r="A43" s="130">
        <v>42196</v>
      </c>
      <c r="B43" s="130">
        <f t="shared" si="11"/>
        <v>42196.229166666664</v>
      </c>
      <c r="C43" s="132">
        <f t="shared" si="12"/>
        <v>42196.242898192409</v>
      </c>
      <c r="D43" s="132">
        <f t="shared" si="13"/>
        <v>42195.777965208094</v>
      </c>
      <c r="E43" s="133">
        <f t="shared" si="14"/>
        <v>42196.013731525745</v>
      </c>
      <c r="F43" s="134">
        <f t="shared" si="4"/>
        <v>84.347234426357232</v>
      </c>
      <c r="G43" s="134">
        <f t="shared" si="10"/>
        <v>22.328818406349015</v>
      </c>
      <c r="H43" s="135">
        <f t="shared" si="6"/>
        <v>42196.013731525745</v>
      </c>
      <c r="I43" s="129" t="str">
        <f>naks(P[[#This Row],[Moon]])</f>
        <v>Bharani</v>
      </c>
      <c r="J43" s="136">
        <f>(C44-P[[#This Row],[SunRise]])/(G44-P[[#This Row],[Moon]])*(13.3333333333333-MOD(P[[#This Row],[Moon]],13.333333333333))+P[[#This Row],[SunRise]]</f>
        <v>42196.561093657438</v>
      </c>
      <c r="K43" s="129">
        <f t="shared" si="7"/>
        <v>24.831798664999315</v>
      </c>
      <c r="L43" s="129">
        <f t="shared" si="8"/>
        <v>0.66359732999863041</v>
      </c>
      <c r="M43" s="129"/>
      <c r="N43" s="129">
        <f t="shared" si="9"/>
        <v>8.0007039626529863</v>
      </c>
      <c r="O43" s="129"/>
      <c r="P43" s="133"/>
    </row>
    <row r="44" spans="1:16">
      <c r="A44" s="130">
        <v>42197</v>
      </c>
      <c r="B44" s="130">
        <f t="shared" si="11"/>
        <v>42197.229166666664</v>
      </c>
      <c r="C44" s="132">
        <f t="shared" si="12"/>
        <v>42197.243098146435</v>
      </c>
      <c r="D44" s="132">
        <f t="shared" si="13"/>
        <v>42196.777957419908</v>
      </c>
      <c r="E44" s="133">
        <f t="shared" si="14"/>
        <v>42197.013931479771</v>
      </c>
      <c r="F44" s="134">
        <f t="shared" si="4"/>
        <v>85.301157471694921</v>
      </c>
      <c r="G44" s="134">
        <f t="shared" si="10"/>
        <v>35.964196994117586</v>
      </c>
      <c r="H44" s="135">
        <f t="shared" si="6"/>
        <v>42197.013931479771</v>
      </c>
      <c r="I44" s="129" t="str">
        <f>naks(P[[#This Row],[Moon]])</f>
        <v>Krittika</v>
      </c>
      <c r="J44" s="136">
        <f>(C45-P[[#This Row],[SunRise]])/(G45-P[[#This Row],[Moon]])*(13.3333333333333-MOD(P[[#This Row],[Moon]],13.333333333333))+P[[#This Row],[SunRise]]</f>
        <v>42197.54292255902</v>
      </c>
      <c r="K44" s="129">
        <f t="shared" si="7"/>
        <v>25.888586626868555</v>
      </c>
      <c r="L44" s="129">
        <f t="shared" si="8"/>
        <v>2.7771732537371108</v>
      </c>
      <c r="M44" s="129"/>
      <c r="N44" s="129">
        <f t="shared" si="9"/>
        <v>9.0949015851633099</v>
      </c>
      <c r="O44" s="129"/>
      <c r="P44" s="133"/>
    </row>
    <row r="45" spans="1:16">
      <c r="A45" s="130">
        <v>42198</v>
      </c>
      <c r="B45" s="130">
        <f t="shared" si="11"/>
        <v>42198.229166666664</v>
      </c>
      <c r="C45" s="132">
        <f t="shared" si="12"/>
        <v>42198.243297941204</v>
      </c>
      <c r="D45" s="132">
        <f t="shared" si="13"/>
        <v>42197.777939776934</v>
      </c>
      <c r="E45" s="133">
        <f t="shared" si="14"/>
        <v>42198.01413127454</v>
      </c>
      <c r="F45" s="134">
        <f t="shared" si="4"/>
        <v>86.255200982956509</v>
      </c>
      <c r="G45" s="134">
        <f t="shared" si="10"/>
        <v>49.427441375715695</v>
      </c>
      <c r="H45" s="135">
        <f t="shared" si="6"/>
        <v>42198.01413127454</v>
      </c>
      <c r="I45" s="129" t="str">
        <f>naks(P[[#This Row],[Moon]])</f>
        <v>Rohini</v>
      </c>
      <c r="J45" s="136">
        <f>(C46-P[[#This Row],[SunRise]])/(G46-P[[#This Row],[Moon]])*(13.3333333333333-MOD(P[[#This Row],[Moon]],13.333333333333))+P[[#This Row],[SunRise]]</f>
        <v>42198.537603238881</v>
      </c>
      <c r="K45" s="129">
        <f t="shared" si="7"/>
        <v>26.931020032729933</v>
      </c>
      <c r="L45" s="129">
        <f t="shared" si="8"/>
        <v>4.8620400654598654</v>
      </c>
      <c r="M45" s="129"/>
      <c r="N45" s="129">
        <f t="shared" si="9"/>
        <v>10.17619817715482</v>
      </c>
      <c r="O45" s="129"/>
      <c r="P45" s="133"/>
    </row>
    <row r="46" spans="1:16">
      <c r="A46" s="130">
        <v>42199</v>
      </c>
      <c r="B46" s="130">
        <f t="shared" si="11"/>
        <v>42199.229166666664</v>
      </c>
      <c r="C46" s="132">
        <f t="shared" si="12"/>
        <v>42199.24349709988</v>
      </c>
      <c r="D46" s="132">
        <f t="shared" si="13"/>
        <v>42198.777912279169</v>
      </c>
      <c r="E46" s="133">
        <f t="shared" si="14"/>
        <v>42199.014330433216</v>
      </c>
      <c r="F46" s="134">
        <f t="shared" si="4"/>
        <v>87.209359540107755</v>
      </c>
      <c r="G46" s="134">
        <f t="shared" si="10"/>
        <v>62.701649759812732</v>
      </c>
      <c r="H46" s="135">
        <f t="shared" si="6"/>
        <v>42199.014330433216</v>
      </c>
      <c r="I46" s="129" t="str">
        <f>naks(P[[#This Row],[Moon]])</f>
        <v>Mrigashira</v>
      </c>
      <c r="J46" s="136">
        <f>(C47-P[[#This Row],[SunRise]])/(G47-P[[#This Row],[Moon]])*(13.3333333333333-MOD(P[[#This Row],[Moon]],13.333333333333))+P[[#This Row],[SunRise]]</f>
        <v>42199.547040564263</v>
      </c>
      <c r="K46" s="129">
        <f t="shared" si="7"/>
        <v>27.957690851642081</v>
      </c>
      <c r="L46" s="129">
        <f t="shared" si="8"/>
        <v>6.9153817032841616</v>
      </c>
      <c r="M46" s="129"/>
      <c r="N46" s="129">
        <f t="shared" si="9"/>
        <v>11.24332569777512</v>
      </c>
      <c r="O46" s="129"/>
      <c r="P46" s="133"/>
    </row>
    <row r="47" spans="1:16">
      <c r="A47" s="130">
        <v>42200</v>
      </c>
      <c r="B47" s="130">
        <f t="shared" si="11"/>
        <v>42200.229166666664</v>
      </c>
      <c r="C47" s="132">
        <f t="shared" si="12"/>
        <v>42200.243695305348</v>
      </c>
      <c r="D47" s="132">
        <f t="shared" si="13"/>
        <v>42199.777874609033</v>
      </c>
      <c r="E47" s="133">
        <f t="shared" si="14"/>
        <v>42200.014528638683</v>
      </c>
      <c r="F47" s="134">
        <f t="shared" si="4"/>
        <v>88.163626305941293</v>
      </c>
      <c r="G47" s="134">
        <f t="shared" si="10"/>
        <v>75.766674246442065</v>
      </c>
      <c r="H47" s="135">
        <f t="shared" si="6"/>
        <v>42200.014528638683</v>
      </c>
      <c r="I47" s="129" t="str">
        <f>naks(P[[#This Row],[Moon]])</f>
        <v>Ardra</v>
      </c>
      <c r="J47" s="136">
        <f>(C48-P[[#This Row],[SunRise]])/(G48-P[[#This Row],[Moon]])*(13.3333333333333-MOD(P[[#This Row],[Moon]],13.333333333333))+P[[#This Row],[SunRise]]</f>
        <v>42200.573517187528</v>
      </c>
      <c r="K47" s="129">
        <f t="shared" si="7"/>
        <v>28.966920661708397</v>
      </c>
      <c r="L47" s="129" t="str">
        <f t="shared" si="8"/>
        <v>S</v>
      </c>
      <c r="M47" s="129"/>
      <c r="N47" s="129">
        <f t="shared" si="9"/>
        <v>12.294772541736121</v>
      </c>
      <c r="O47" s="129"/>
      <c r="P47" s="133"/>
    </row>
    <row r="48" spans="1:16">
      <c r="A48" s="130">
        <v>42201</v>
      </c>
      <c r="B48" s="130">
        <f t="shared" si="11"/>
        <v>42201.229166666664</v>
      </c>
      <c r="C48" s="132">
        <f t="shared" si="12"/>
        <v>42201.24389255714</v>
      </c>
      <c r="D48" s="132">
        <f t="shared" si="13"/>
        <v>42200.777826766527</v>
      </c>
      <c r="E48" s="133">
        <f t="shared" si="14"/>
        <v>42201.014725890476</v>
      </c>
      <c r="F48" s="134">
        <f t="shared" si="4"/>
        <v>89.117993956448814</v>
      </c>
      <c r="G48" s="134">
        <f t="shared" si="10"/>
        <v>88.604393674448616</v>
      </c>
      <c r="H48" s="135">
        <f t="shared" si="6"/>
        <v>42201.014725890476</v>
      </c>
      <c r="I48" s="129" t="str">
        <f>naks(P[[#This Row],[Moon]])</f>
        <v>Punarvasu</v>
      </c>
      <c r="J48" s="136">
        <f>(C49-P[[#This Row],[SunRise]])/(G49-P[[#This Row],[Moon]])*(13.3333333333333-MOD(P[[#This Row],[Moon]],13.333333333333))+P[[#This Row],[SunRise]]</f>
        <v>42201.619271732125</v>
      </c>
      <c r="K48" s="129">
        <f t="shared" si="7"/>
        <v>29.957199976499982</v>
      </c>
      <c r="L48" s="129" t="str">
        <f t="shared" si="8"/>
        <v>S</v>
      </c>
      <c r="M48" s="129"/>
      <c r="N48" s="129">
        <f t="shared" si="9"/>
        <v>13.329179072650536</v>
      </c>
      <c r="O48" s="129"/>
      <c r="P48" s="133"/>
    </row>
    <row r="49" spans="1:16">
      <c r="A49" s="130">
        <v>42202</v>
      </c>
      <c r="B49" s="130">
        <f t="shared" si="11"/>
        <v>42202.229166666664</v>
      </c>
      <c r="C49" s="132">
        <f t="shared" si="12"/>
        <v>42202.244088377956</v>
      </c>
      <c r="D49" s="132">
        <f t="shared" si="13"/>
        <v>42201.777768592394</v>
      </c>
      <c r="E49" s="133">
        <f t="shared" si="14"/>
        <v>42202.014921711292</v>
      </c>
      <c r="F49" s="134">
        <f t="shared" si="4"/>
        <v>90.072454699051818</v>
      </c>
      <c r="G49" s="134">
        <f t="shared" si="10"/>
        <v>101.2046283143958</v>
      </c>
      <c r="H49" s="135">
        <f t="shared" si="6"/>
        <v>42202.014921711292</v>
      </c>
      <c r="I49" s="129" t="str">
        <f>naks(P[[#This Row],[Moon]])</f>
        <v>Pushya</v>
      </c>
      <c r="J49" s="136">
        <f>(C50-P[[#This Row],[SunRise]])/(G50-P[[#This Row],[Moon]])*(13.3333333333333-MOD(P[[#This Row],[Moon]],13.333333333333))+P[[#This Row],[SunRise]]</f>
        <v>42202.685886613777</v>
      </c>
      <c r="K49" s="129">
        <f t="shared" si="7"/>
        <v>0.92768113461199653</v>
      </c>
      <c r="L49" s="129">
        <f t="shared" si="8"/>
        <v>1.8553622692239931</v>
      </c>
      <c r="M49" s="129"/>
      <c r="N49" s="129">
        <f t="shared" si="9"/>
        <v>14.345781226367215</v>
      </c>
      <c r="O49" s="129"/>
      <c r="P49" s="133"/>
    </row>
    <row r="50" spans="1:16">
      <c r="A50" s="130">
        <v>42203</v>
      </c>
      <c r="B50" s="130">
        <f t="shared" si="11"/>
        <v>42203.229166666664</v>
      </c>
      <c r="C50" s="132">
        <f t="shared" si="12"/>
        <v>42203.24428245068</v>
      </c>
      <c r="D50" s="132">
        <f t="shared" si="13"/>
        <v>42202.777699927843</v>
      </c>
      <c r="E50" s="133">
        <f t="shared" si="14"/>
        <v>42203.015115784016</v>
      </c>
      <c r="F50" s="134">
        <f t="shared" si="4"/>
        <v>91.027001619225928</v>
      </c>
      <c r="G50" s="134">
        <f t="shared" si="10"/>
        <v>113.57022405920299</v>
      </c>
      <c r="H50" s="135">
        <f t="shared" si="6"/>
        <v>42203.015115784016</v>
      </c>
      <c r="I50" s="129" t="str">
        <f>naks(P[[#This Row],[Moon]])</f>
        <v>Aslesha</v>
      </c>
      <c r="J50" s="136">
        <f>(C51-P[[#This Row],[SunRise]])/(G51-P[[#This Row],[Moon]])*(13.3333333333333-MOD(P[[#This Row],[Moon]],13.333333333333))+P[[#This Row],[SunRise]]</f>
        <v>42203.773576429987</v>
      </c>
      <c r="K50" s="129">
        <f t="shared" si="7"/>
        <v>1.8786018699980882</v>
      </c>
      <c r="L50" s="129">
        <f t="shared" si="8"/>
        <v>3.7572037399961764</v>
      </c>
      <c r="M50" s="129"/>
      <c r="N50" s="129">
        <f t="shared" si="9"/>
        <v>15.344791926265788</v>
      </c>
      <c r="O50" s="129"/>
      <c r="P50" s="133"/>
    </row>
    <row r="51" spans="1:16">
      <c r="A51" s="130">
        <v>42204</v>
      </c>
      <c r="B51" s="130">
        <f t="shared" si="11"/>
        <v>42204.229166666664</v>
      </c>
      <c r="C51" s="132">
        <f t="shared" si="12"/>
        <v>42204.244474616055</v>
      </c>
      <c r="D51" s="132">
        <f t="shared" si="13"/>
        <v>42203.777620772875</v>
      </c>
      <c r="E51" s="133">
        <f t="shared" si="14"/>
        <v>42204.01530794939</v>
      </c>
      <c r="F51" s="134">
        <f t="shared" si="4"/>
        <v>91.981629292063673</v>
      </c>
      <c r="G51" s="134">
        <f t="shared" si="10"/>
        <v>125.72039347830446</v>
      </c>
      <c r="H51" s="135">
        <f t="shared" si="6"/>
        <v>42204.01530794939</v>
      </c>
      <c r="I51" s="129" t="str">
        <f>naks(P[[#This Row],[Moon]])</f>
        <v>Makha</v>
      </c>
      <c r="J51" s="136">
        <f>(C52-P[[#This Row],[SunRise]])/(G52-P[[#This Row],[Moon]])*(13.3333333333333-MOD(P[[#This Row],[Moon]],13.333333333333))+P[[#This Row],[SunRise]]</f>
        <v>42204.880514031596</v>
      </c>
      <c r="K51" s="129">
        <f t="shared" si="7"/>
        <v>2.8115636821867347</v>
      </c>
      <c r="L51" s="129">
        <f t="shared" si="8"/>
        <v>5.6231273643734694</v>
      </c>
      <c r="M51" s="129"/>
      <c r="N51" s="129">
        <f t="shared" si="9"/>
        <v>16.327651708185801</v>
      </c>
      <c r="O51" s="129"/>
      <c r="P51" s="133"/>
    </row>
    <row r="52" spans="1:16">
      <c r="A52" s="130">
        <v>42205</v>
      </c>
      <c r="B52" s="130">
        <f t="shared" si="11"/>
        <v>42205.229166666664</v>
      </c>
      <c r="C52" s="132">
        <f t="shared" si="12"/>
        <v>42205.24466471529</v>
      </c>
      <c r="D52" s="132">
        <f t="shared" si="13"/>
        <v>42204.777530968233</v>
      </c>
      <c r="E52" s="133">
        <f t="shared" si="14"/>
        <v>42205.015498048626</v>
      </c>
      <c r="F52" s="134">
        <f t="shared" si="4"/>
        <v>92.93633403804651</v>
      </c>
      <c r="G52" s="134">
        <f t="shared" si="10"/>
        <v>137.69195826347809</v>
      </c>
      <c r="H52" s="135">
        <f t="shared" si="6"/>
        <v>42205.015498048626</v>
      </c>
      <c r="I52" s="129" t="str">
        <f>naks(P[[#This Row],[Moon]])</f>
        <v>Purva Phalguni</v>
      </c>
      <c r="J52" s="136">
        <f>(C53-P[[#This Row],[SunRise]])/(G53-P[[#This Row],[Moon]])*(13.3333333333333-MOD(P[[#This Row],[Moon]],13.333333333333))+P[[#This Row],[SunRise]]</f>
        <v>42206.00238341486</v>
      </c>
      <c r="K52" s="129">
        <f t="shared" si="7"/>
        <v>3.7296353521192978</v>
      </c>
      <c r="L52" s="129">
        <f t="shared" si="8"/>
        <v>0.45927070423859551</v>
      </c>
      <c r="M52" s="129"/>
      <c r="N52" s="129">
        <f t="shared" si="9"/>
        <v>17.29712192304677</v>
      </c>
      <c r="O52" s="129"/>
      <c r="P52" s="133"/>
    </row>
    <row r="53" spans="1:16">
      <c r="A53" s="130">
        <v>42206</v>
      </c>
      <c r="B53" s="130">
        <f t="shared" si="11"/>
        <v>42206.229166666664</v>
      </c>
      <c r="C53" s="132">
        <f t="shared" si="12"/>
        <v>42206.244852271084</v>
      </c>
      <c r="D53" s="132">
        <f t="shared" si="13"/>
        <v>42205.777430514849</v>
      </c>
      <c r="E53" s="133">
        <f t="shared" si="14"/>
        <v>42206.01568560442</v>
      </c>
      <c r="F53" s="134">
        <f t="shared" si="4"/>
        <v>93.891113786182657</v>
      </c>
      <c r="G53" s="134">
        <f t="shared" si="10"/>
        <v>149.53855999952793</v>
      </c>
      <c r="H53" s="135">
        <f t="shared" si="6"/>
        <v>42206.01568560442</v>
      </c>
      <c r="I53" s="129" t="str">
        <f>naks(P[[#This Row],[Moon]])</f>
        <v>Uttara Phalguni</v>
      </c>
      <c r="J53" s="136">
        <f>(C54-P[[#This Row],[SunRise]])/(G54-P[[#This Row],[Moon]])*(13.3333333333333-MOD(P[[#This Row],[Moon]],13.333333333333))+P[[#This Row],[SunRise]]</f>
        <v>42207.132347790423</v>
      </c>
      <c r="K53" s="129">
        <f t="shared" si="7"/>
        <v>4.6372871844454409</v>
      </c>
      <c r="L53" s="129">
        <f t="shared" si="8"/>
        <v>2.2745743688908817</v>
      </c>
      <c r="M53" s="129"/>
      <c r="N53" s="129">
        <f t="shared" si="9"/>
        <v>18.257225534384723</v>
      </c>
      <c r="O53" s="129"/>
      <c r="P53" s="133"/>
    </row>
    <row r="54" spans="1:16">
      <c r="A54" s="130">
        <v>42207</v>
      </c>
      <c r="B54" s="130">
        <f t="shared" si="11"/>
        <v>42207.229166666664</v>
      </c>
      <c r="C54" s="132">
        <f t="shared" si="12"/>
        <v>42207.245037283901</v>
      </c>
      <c r="D54" s="132">
        <f t="shared" si="13"/>
        <v>42206.777319411791</v>
      </c>
      <c r="E54" s="133">
        <f t="shared" si="14"/>
        <v>42207.015870617237</v>
      </c>
      <c r="F54" s="134">
        <f t="shared" si="4"/>
        <v>94.845968816555597</v>
      </c>
      <c r="G54" s="134">
        <f t="shared" si="10"/>
        <v>161.3283383961253</v>
      </c>
      <c r="H54" s="135">
        <f t="shared" si="6"/>
        <v>42207.015870617237</v>
      </c>
      <c r="I54" s="129" t="str">
        <f>naks(P[[#This Row],[Moon]])</f>
        <v>Hasta</v>
      </c>
      <c r="J54" s="136">
        <f>(C55-P[[#This Row],[SunRise]])/(G55-P[[#This Row],[Moon]])*(13.3333333333333-MOD(P[[#This Row],[Moon]],13.333333333333))+P[[#This Row],[SunRise]]</f>
        <v>42208.261530564465</v>
      </c>
      <c r="K54" s="129">
        <f t="shared" si="7"/>
        <v>5.5401974649641472</v>
      </c>
      <c r="L54" s="129">
        <f t="shared" si="8"/>
        <v>4.0803949299282944</v>
      </c>
      <c r="M54" s="129"/>
      <c r="N54" s="129">
        <f t="shared" si="9"/>
        <v>19.213073041431393</v>
      </c>
      <c r="O54" s="129"/>
      <c r="P54" s="133"/>
    </row>
    <row r="55" spans="1:16">
      <c r="A55" s="130">
        <v>42208</v>
      </c>
      <c r="B55" s="130">
        <f t="shared" si="11"/>
        <v>42208.229166666664</v>
      </c>
      <c r="C55" s="132">
        <f t="shared" si="12"/>
        <v>42208.245219435696</v>
      </c>
      <c r="D55" s="132">
        <f t="shared" si="13"/>
        <v>42207.777197341478</v>
      </c>
      <c r="E55" s="133">
        <f t="shared" si="14"/>
        <v>42208.016052769031</v>
      </c>
      <c r="F55" s="134">
        <f t="shared" si="4"/>
        <v>95.800900929148781</v>
      </c>
      <c r="G55" s="134">
        <f t="shared" si="10"/>
        <v>173.14069554411009</v>
      </c>
      <c r="H55" s="135">
        <f t="shared" si="6"/>
        <v>42208.016052769031</v>
      </c>
      <c r="I55" s="129" t="str">
        <f>naks(P[[#This Row],[Moon]])</f>
        <v>Hasta</v>
      </c>
      <c r="J55" s="136">
        <f>(C56-P[[#This Row],[SunRise]])/(G56-P[[#This Row],[Moon]])*(13.3333333333333-MOD(P[[#This Row],[Moon]],13.333333333333))+P[[#This Row],[SunRise]]</f>
        <v>42208.261380788732</v>
      </c>
      <c r="K55" s="129">
        <f t="shared" si="7"/>
        <v>6.4449828845801038</v>
      </c>
      <c r="L55" s="129">
        <f t="shared" si="8"/>
        <v>5.8899657691602076</v>
      </c>
      <c r="M55" s="129"/>
      <c r="N55" s="129">
        <f t="shared" si="9"/>
        <v>20.170619735998681</v>
      </c>
      <c r="O55" s="129"/>
      <c r="P55" s="133"/>
    </row>
    <row r="56" spans="1:16">
      <c r="A56" s="130">
        <v>42209</v>
      </c>
      <c r="B56" s="130">
        <f t="shared" si="11"/>
        <v>42209.229166666664</v>
      </c>
      <c r="C56" s="132">
        <f t="shared" si="12"/>
        <v>42209.245398726467</v>
      </c>
      <c r="D56" s="132">
        <f t="shared" si="13"/>
        <v>42208.777064621492</v>
      </c>
      <c r="E56" s="133">
        <f t="shared" si="14"/>
        <v>42209.016232059803</v>
      </c>
      <c r="F56" s="134">
        <f t="shared" si="4"/>
        <v>96.755914045724666</v>
      </c>
      <c r="G56" s="134">
        <f t="shared" si="10"/>
        <v>185.06248989977701</v>
      </c>
      <c r="H56" s="135">
        <f t="shared" si="6"/>
        <v>42209.016232059803</v>
      </c>
      <c r="I56" s="129" t="str">
        <f>naks(P[[#This Row],[Moon]])</f>
        <v>Chitra</v>
      </c>
      <c r="J56" s="136">
        <f>(C57-P[[#This Row],[SunRise]])/(G57-P[[#This Row],[Moon]])*(13.3333333333333-MOD(P[[#This Row],[Moon]],13.333333333333))+P[[#This Row],[SunRise]]</f>
        <v>42209.377770650332</v>
      </c>
      <c r="K56" s="129">
        <f t="shared" si="7"/>
        <v>7.358881321171026</v>
      </c>
      <c r="L56" s="129">
        <f t="shared" si="8"/>
        <v>0.717762642342052</v>
      </c>
      <c r="M56" s="129"/>
      <c r="N56" s="129">
        <f t="shared" si="9"/>
        <v>21.136380296441036</v>
      </c>
      <c r="O56" s="129"/>
      <c r="P56" s="133"/>
    </row>
    <row r="57" spans="1:16">
      <c r="A57" s="130">
        <v>42210</v>
      </c>
      <c r="B57" s="130">
        <f t="shared" si="11"/>
        <v>42210.229166666664</v>
      </c>
      <c r="C57" s="132">
        <f t="shared" si="12"/>
        <v>42210.245574679378</v>
      </c>
      <c r="D57" s="132">
        <f t="shared" si="13"/>
        <v>42209.776920934717</v>
      </c>
      <c r="E57" s="133">
        <f t="shared" si="14"/>
        <v>42210.016408012714</v>
      </c>
      <c r="F57" s="134">
        <f t="shared" si="4"/>
        <v>97.71101358370332</v>
      </c>
      <c r="G57" s="134">
        <f t="shared" si="10"/>
        <v>197.18333078238103</v>
      </c>
      <c r="H57" s="135">
        <f t="shared" si="6"/>
        <v>42210.016408012714</v>
      </c>
      <c r="I57" s="129" t="str">
        <f>naks(P[[#This Row],[Moon]])</f>
        <v>Swati</v>
      </c>
      <c r="J57" s="136">
        <f>(C58-P[[#This Row],[SunRise]])/(G58-P[[#This Row],[Moon]])*(13.3333333333333-MOD(P[[#This Row],[Moon]],13.333333333333))+P[[#This Row],[SunRise]]</f>
        <v>42210.472652899101</v>
      </c>
      <c r="K57" s="129">
        <f t="shared" si="7"/>
        <v>8.289359766556478</v>
      </c>
      <c r="L57" s="129">
        <f t="shared" si="8"/>
        <v>2.578719533112956</v>
      </c>
      <c r="M57" s="129"/>
      <c r="N57" s="129">
        <f t="shared" si="9"/>
        <v>22.117075828009252</v>
      </c>
      <c r="O57" s="129"/>
      <c r="P57" s="133"/>
    </row>
    <row r="58" spans="1:16">
      <c r="A58" s="130">
        <v>42211</v>
      </c>
      <c r="B58" s="130">
        <f t="shared" si="11"/>
        <v>42211.229166666664</v>
      </c>
      <c r="C58" s="132">
        <f t="shared" si="12"/>
        <v>42211.245747453686</v>
      </c>
      <c r="D58" s="132">
        <f t="shared" si="13"/>
        <v>42210.776766598268</v>
      </c>
      <c r="E58" s="133">
        <f t="shared" si="14"/>
        <v>42211.016580787022</v>
      </c>
      <c r="F58" s="134">
        <f t="shared" si="4"/>
        <v>98.666207807858669</v>
      </c>
      <c r="G58" s="134">
        <f t="shared" si="10"/>
        <v>209.58943414686541</v>
      </c>
      <c r="H58" s="135">
        <f t="shared" si="6"/>
        <v>42211.016580787022</v>
      </c>
      <c r="I58" s="129" t="str">
        <f>naks(P[[#This Row],[Moon]])</f>
        <v>Visakha</v>
      </c>
      <c r="J58" s="136">
        <f>(C59-P[[#This Row],[SunRise]])/(G59-P[[#This Row],[Moon]])*(13.3333333333333-MOD(P[[#This Row],[Moon]],13.333333333333))+P[[#This Row],[SunRise]]</f>
        <v>42211.53906282322</v>
      </c>
      <c r="K58" s="129">
        <f t="shared" si="7"/>
        <v>9.24360219491723</v>
      </c>
      <c r="L58" s="129">
        <f t="shared" si="8"/>
        <v>4.48720438983446</v>
      </c>
      <c r="M58" s="129"/>
      <c r="N58" s="129">
        <f t="shared" si="9"/>
        <v>23.119173147182284</v>
      </c>
      <c r="O58" s="129"/>
      <c r="P58" s="133"/>
    </row>
    <row r="59" spans="1:16">
      <c r="A59" s="130">
        <v>42212</v>
      </c>
      <c r="B59" s="130">
        <f t="shared" si="11"/>
        <v>42212.229166666664</v>
      </c>
      <c r="C59" s="132">
        <f t="shared" si="12"/>
        <v>42212.245916730877</v>
      </c>
      <c r="D59" s="132">
        <f t="shared" si="13"/>
        <v>42211.776601453821</v>
      </c>
      <c r="E59" s="133">
        <f t="shared" si="14"/>
        <v>42212.016750064213</v>
      </c>
      <c r="F59" s="134">
        <f t="shared" si="4"/>
        <v>99.621507169837827</v>
      </c>
      <c r="G59" s="134">
        <f t="shared" si="10"/>
        <v>222.35566916935915</v>
      </c>
      <c r="H59" s="135">
        <f t="shared" si="6"/>
        <v>42212.016750064213</v>
      </c>
      <c r="I59" s="129" t="str">
        <f>naks(P[[#This Row],[Moon]])</f>
        <v>Anuradha</v>
      </c>
      <c r="J59" s="136">
        <f>(C60-P[[#This Row],[SunRise]])/(G60-P[[#This Row],[Moon]])*(13.3333333333333-MOD(P[[#This Row],[Moon]],13.333333333333))+P[[#This Row],[SunRise]]</f>
        <v>42212.573047213897</v>
      </c>
      <c r="K59" s="129">
        <f t="shared" si="7"/>
        <v>10.227846833293436</v>
      </c>
      <c r="L59" s="129">
        <f t="shared" si="8"/>
        <v>6.4556936665868712</v>
      </c>
      <c r="M59" s="129"/>
      <c r="N59" s="129">
        <f t="shared" si="9"/>
        <v>24.148288226043476</v>
      </c>
      <c r="O59" s="129"/>
      <c r="P59" s="133"/>
    </row>
    <row r="60" spans="1:16">
      <c r="A60" s="130">
        <v>42213</v>
      </c>
      <c r="B60" s="130">
        <f t="shared" si="11"/>
        <v>42213.229166666664</v>
      </c>
      <c r="C60" s="132">
        <f t="shared" si="12"/>
        <v>42213.246082352161</v>
      </c>
      <c r="D60" s="132">
        <f t="shared" si="13"/>
        <v>42212.7764256597</v>
      </c>
      <c r="E60" s="133">
        <f t="shared" si="14"/>
        <v>42213.016915685497</v>
      </c>
      <c r="F60" s="134">
        <f t="shared" si="4"/>
        <v>100.5769253643554</v>
      </c>
      <c r="G60" s="134">
        <f t="shared" si="10"/>
        <v>235.53607183464678</v>
      </c>
      <c r="H60" s="135">
        <f t="shared" si="6"/>
        <v>42213.016915685497</v>
      </c>
      <c r="I60" s="129" t="str">
        <f>naks(P[[#This Row],[Moon]])</f>
        <v>Jyestha</v>
      </c>
      <c r="J60" s="136">
        <f>(C61-P[[#This Row],[SunRise]])/(G61-P[[#This Row],[Moon]])*(13.3333333333333-MOD(P[[#This Row],[Moon]],13.333333333333))+P[[#This Row],[SunRise]]</f>
        <v>43013.28022009581</v>
      </c>
      <c r="K60" s="129">
        <f t="shared" si="7"/>
        <v>11.246595539190949</v>
      </c>
      <c r="L60" s="129">
        <f t="shared" si="8"/>
        <v>1.4931910783818978</v>
      </c>
      <c r="M60" s="129"/>
      <c r="N60" s="129">
        <f t="shared" si="9"/>
        <v>25.208474790555375</v>
      </c>
      <c r="O60" s="129"/>
      <c r="P60" s="1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3"/>
  <sheetViews>
    <sheetView tabSelected="1" workbookViewId="0">
      <selection activeCell="A2" sqref="A2"/>
    </sheetView>
    <sheetView workbookViewId="1">
      <selection activeCell="L2" sqref="K2:L2"/>
    </sheetView>
  </sheetViews>
  <sheetFormatPr defaultRowHeight="12.75"/>
  <cols>
    <col min="1" max="1" width="19.85546875" bestFit="1" customWidth="1"/>
    <col min="2" max="2" width="10.5703125" bestFit="1" customWidth="1"/>
    <col min="3" max="3" width="11.28515625" bestFit="1" customWidth="1"/>
    <col min="4" max="4" width="9.42578125" bestFit="1" customWidth="1"/>
    <col min="5" max="5" width="7.28515625" bestFit="1" customWidth="1"/>
    <col min="6" max="6" width="8.85546875" bestFit="1" customWidth="1"/>
    <col min="7" max="8" width="18.140625" bestFit="1" customWidth="1"/>
    <col min="9" max="9" width="8.5703125" bestFit="1" customWidth="1"/>
    <col min="10" max="13" width="6.5703125" bestFit="1" customWidth="1"/>
    <col min="14" max="14" width="8.140625" bestFit="1" customWidth="1"/>
    <col min="15" max="15" width="6.7109375" bestFit="1" customWidth="1"/>
    <col min="16" max="16" width="6.5703125" bestFit="1" customWidth="1"/>
    <col min="17" max="17" width="6.85546875" bestFit="1" customWidth="1"/>
    <col min="18" max="19" width="6.5703125" bestFit="1" customWidth="1"/>
    <col min="20" max="20" width="7.7109375" bestFit="1" customWidth="1"/>
    <col min="21" max="21" width="6.5703125" bestFit="1" customWidth="1"/>
    <col min="22" max="22" width="9.140625" bestFit="1" customWidth="1"/>
    <col min="23" max="23" width="7" bestFit="1" customWidth="1"/>
    <col min="24" max="24" width="7.7109375" bestFit="1" customWidth="1"/>
  </cols>
  <sheetData>
    <row r="1" spans="1:24" s="128" customFormat="1" ht="15">
      <c r="A1" s="123" t="s">
        <v>21</v>
      </c>
      <c r="B1" s="124" t="s">
        <v>22</v>
      </c>
      <c r="C1" s="125" t="s">
        <v>23</v>
      </c>
      <c r="D1" s="125" t="s">
        <v>24</v>
      </c>
      <c r="E1" s="124" t="s">
        <v>18</v>
      </c>
      <c r="F1" s="126" t="s">
        <v>19</v>
      </c>
      <c r="G1" s="127" t="s">
        <v>25</v>
      </c>
      <c r="H1" s="127" t="s">
        <v>26</v>
      </c>
      <c r="I1" s="127" t="s">
        <v>20</v>
      </c>
      <c r="J1" s="125" t="s">
        <v>9</v>
      </c>
      <c r="K1" s="125" t="s">
        <v>2</v>
      </c>
      <c r="L1" s="125" t="s">
        <v>3</v>
      </c>
      <c r="M1" s="125" t="s">
        <v>16</v>
      </c>
      <c r="N1" s="125" t="s">
        <v>4</v>
      </c>
      <c r="O1" s="125" t="s">
        <v>44</v>
      </c>
      <c r="P1" s="125" t="s">
        <v>5</v>
      </c>
      <c r="Q1" s="125" t="s">
        <v>6</v>
      </c>
      <c r="R1" s="125" t="s">
        <v>7</v>
      </c>
      <c r="S1" s="125" t="s">
        <v>8</v>
      </c>
      <c r="T1" s="125" t="s">
        <v>11</v>
      </c>
      <c r="U1" s="125" t="s">
        <v>12</v>
      </c>
      <c r="V1" s="125" t="s">
        <v>29</v>
      </c>
      <c r="W1" s="125" t="s">
        <v>13</v>
      </c>
      <c r="X1" s="125" t="s">
        <v>14</v>
      </c>
    </row>
    <row r="2" spans="1:24" ht="13.5" thickBot="1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5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U26"/>
  <sheetViews>
    <sheetView zoomScale="90" workbookViewId="0">
      <selection activeCell="F17" sqref="F17"/>
    </sheetView>
    <sheetView workbookViewId="1"/>
  </sheetViews>
  <sheetFormatPr defaultRowHeight="12.75"/>
  <cols>
    <col min="1" max="1" width="19" style="12" bestFit="1" customWidth="1"/>
    <col min="2" max="2" width="19.28515625" style="12" bestFit="1" customWidth="1"/>
    <col min="3" max="3" width="5.710937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>
      <c r="A1" s="41" t="s">
        <v>21</v>
      </c>
      <c r="B1" s="42" t="s">
        <v>0</v>
      </c>
      <c r="C1" s="24"/>
      <c r="D1" s="24"/>
      <c r="E1" s="24"/>
      <c r="F1" s="24"/>
      <c r="G1" s="24"/>
    </row>
    <row r="2" spans="1:21">
      <c r="A2" s="36" t="s">
        <v>22</v>
      </c>
      <c r="B2" s="44">
        <v>26133</v>
      </c>
      <c r="C2" s="25"/>
      <c r="F2" s="26"/>
      <c r="G2" s="27"/>
      <c r="H2" s="25"/>
      <c r="I2" s="27"/>
      <c r="J2" s="28"/>
      <c r="K2" s="29"/>
      <c r="L2" s="140"/>
      <c r="M2" s="140"/>
      <c r="N2" s="139"/>
      <c r="O2" s="139"/>
      <c r="P2" s="139"/>
      <c r="Q2" s="28"/>
      <c r="R2" s="7"/>
      <c r="S2" s="7"/>
      <c r="T2" s="7"/>
      <c r="U2" s="11"/>
    </row>
    <row r="3" spans="1:21">
      <c r="A3" s="37" t="s">
        <v>23</v>
      </c>
      <c r="B3" s="45">
        <v>0.38819444444444445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>
      <c r="A4" s="37" t="s">
        <v>24</v>
      </c>
      <c r="B4" s="46"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>
      <c r="A5" s="37" t="s">
        <v>18</v>
      </c>
      <c r="B5" s="46">
        <v>23.667000000000002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>
      <c r="A6" s="47" t="s">
        <v>19</v>
      </c>
      <c r="B6" s="48">
        <v>85.283000000000001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>
      <c r="A7" s="38" t="s">
        <v>25</v>
      </c>
      <c r="B7" s="43">
        <f>B2+B3-B4/24</f>
        <v>26133.159027777776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>
      <c r="A8" s="38" t="s">
        <v>26</v>
      </c>
      <c r="B8" s="43">
        <f>sunrise(B5,B6,B7)+B4/24</f>
        <v>26133.216853264876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>
      <c r="A9" s="39" t="s">
        <v>20</v>
      </c>
      <c r="B9" s="40" t="str">
        <f>CHOOSE(WEEKDAY(B7),"Sunday","Monday","Tuesday","Wednesday","Thursday","Friday","Saturday")</f>
        <v>Monday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>
      <c r="A12" s="1" t="s">
        <v>9</v>
      </c>
      <c r="B12" s="2">
        <f>degree(F12)</f>
        <v>26</v>
      </c>
      <c r="C12" s="2" t="str">
        <f>Rasi(F12)</f>
        <v>Le</v>
      </c>
      <c r="D12" s="4">
        <f>Minutes(F12)</f>
        <v>18</v>
      </c>
      <c r="E12" s="4">
        <f>seconds(F12)</f>
        <v>51.08</v>
      </c>
      <c r="F12" s="98">
        <f>Asdt(B5,B6,B7)</f>
        <v>146.31418949244772</v>
      </c>
      <c r="G12" s="3" t="str">
        <f t="shared" ref="G12:G26" si="0">naks(F12)</f>
        <v>Purva Phalguni</v>
      </c>
      <c r="H12" s="5" t="str">
        <f t="shared" ref="H12:H21" si="1">nakspad(F12)</f>
        <v>2</v>
      </c>
      <c r="I12" s="5" t="str">
        <f t="shared" ref="I12:I21" si="2">naksdeity(F12)</f>
        <v>Bhaga</v>
      </c>
      <c r="J12" s="5" t="str">
        <f t="shared" ref="J12:J21" si="3">nakslord(F12)</f>
        <v>Venus</v>
      </c>
      <c r="K12" s="99">
        <f>rasinum(F12)</f>
        <v>5</v>
      </c>
      <c r="L12" s="99">
        <f>HouseNum(F12,$F$12)</f>
        <v>1</v>
      </c>
      <c r="R12" s="7"/>
      <c r="S12" s="16"/>
      <c r="T12" s="16"/>
      <c r="U12" s="17"/>
    </row>
    <row r="13" spans="1:21">
      <c r="A13" s="1" t="s">
        <v>2</v>
      </c>
      <c r="B13" s="2">
        <f t="shared" ref="B13:B26" si="4">degree(F13)</f>
        <v>2</v>
      </c>
      <c r="C13" s="2" t="str">
        <f t="shared" ref="C13:C26" si="5">Rasi(F13)</f>
        <v>Cn</v>
      </c>
      <c r="D13" s="4">
        <f t="shared" ref="D13:D26" si="6">Minutes(F13)</f>
        <v>22</v>
      </c>
      <c r="E13" s="4">
        <f t="shared" ref="E13:E26" si="7">seconds(F13)</f>
        <v>55.31</v>
      </c>
      <c r="F13" s="98">
        <f>Planet($B$7,0)</f>
        <v>92.382030552606707</v>
      </c>
      <c r="G13" s="3" t="str">
        <f t="shared" si="0"/>
        <v>Punarvasu</v>
      </c>
      <c r="H13" s="5" t="str">
        <f t="shared" si="1"/>
        <v>4</v>
      </c>
      <c r="I13" s="5" t="str">
        <f t="shared" si="2"/>
        <v>Aditi</v>
      </c>
      <c r="J13" s="5" t="str">
        <f t="shared" si="3"/>
        <v>Jupiter</v>
      </c>
      <c r="K13" s="99">
        <f t="shared" ref="K13:K21" si="8">rasinum(F13)</f>
        <v>4</v>
      </c>
      <c r="L13" s="99">
        <f t="shared" ref="L13:L21" si="9">HouseNum(F13,$F$12)</f>
        <v>12</v>
      </c>
      <c r="R13" s="14"/>
      <c r="S13" s="16"/>
      <c r="T13" s="16"/>
      <c r="U13" s="17"/>
    </row>
    <row r="14" spans="1:21">
      <c r="A14" s="1" t="s">
        <v>3</v>
      </c>
      <c r="B14" s="2">
        <f t="shared" si="4"/>
        <v>23</v>
      </c>
      <c r="C14" s="2" t="str">
        <f t="shared" si="5"/>
        <v>Ta</v>
      </c>
      <c r="D14" s="4">
        <f t="shared" si="6"/>
        <v>3</v>
      </c>
      <c r="E14" s="4">
        <f t="shared" si="7"/>
        <v>18.649999999999999</v>
      </c>
      <c r="F14" s="98">
        <f>Planet($B$7,1)</f>
        <v>53.055179366212087</v>
      </c>
      <c r="G14" s="3" t="str">
        <f t="shared" si="0"/>
        <v>Rohini</v>
      </c>
      <c r="H14" s="5" t="str">
        <f t="shared" si="1"/>
        <v>1</v>
      </c>
      <c r="I14" s="5" t="str">
        <f t="shared" si="2"/>
        <v>Brahma</v>
      </c>
      <c r="J14" s="5" t="str">
        <f t="shared" si="3"/>
        <v>Moon</v>
      </c>
      <c r="K14" s="99">
        <f t="shared" si="8"/>
        <v>2</v>
      </c>
      <c r="L14" s="99">
        <f t="shared" si="9"/>
        <v>10</v>
      </c>
      <c r="R14" s="14"/>
      <c r="S14" s="16"/>
      <c r="T14" s="16"/>
      <c r="U14" s="17"/>
    </row>
    <row r="15" spans="1:21">
      <c r="A15" s="1" t="s">
        <v>16</v>
      </c>
      <c r="B15" s="2">
        <f t="shared" si="4"/>
        <v>28</v>
      </c>
      <c r="C15" s="2" t="str">
        <f t="shared" si="5"/>
        <v>Cp</v>
      </c>
      <c r="D15" s="4">
        <f t="shared" si="6"/>
        <v>5</v>
      </c>
      <c r="E15" s="4">
        <f t="shared" si="7"/>
        <v>34.47</v>
      </c>
      <c r="F15" s="98">
        <f>Planet($B$7,4)</f>
        <v>298.0929084383572</v>
      </c>
      <c r="G15" s="3" t="str">
        <f t="shared" si="0"/>
        <v>Dhanistha</v>
      </c>
      <c r="H15" s="5" t="str">
        <f t="shared" si="1"/>
        <v>2</v>
      </c>
      <c r="I15" s="5" t="str">
        <f t="shared" si="2"/>
        <v>Asta-Vasavas</v>
      </c>
      <c r="J15" s="5" t="str">
        <f t="shared" si="3"/>
        <v>Mars</v>
      </c>
      <c r="K15" s="99">
        <f t="shared" si="8"/>
        <v>10</v>
      </c>
      <c r="L15" s="99">
        <f t="shared" si="9"/>
        <v>6</v>
      </c>
      <c r="R15" s="14"/>
      <c r="S15" s="16"/>
      <c r="T15" s="16"/>
      <c r="U15" s="17"/>
    </row>
    <row r="16" spans="1:21">
      <c r="A16" s="1" t="s">
        <v>4</v>
      </c>
      <c r="B16" s="2">
        <f t="shared" si="4"/>
        <v>27</v>
      </c>
      <c r="C16" s="2" t="str">
        <f t="shared" si="5"/>
        <v>Cn</v>
      </c>
      <c r="D16" s="4">
        <f t="shared" si="6"/>
        <v>6</v>
      </c>
      <c r="E16" s="4">
        <f t="shared" si="7"/>
        <v>42.12</v>
      </c>
      <c r="F16" s="98">
        <f>Planet($B$7,2)</f>
        <v>117.1116989094008</v>
      </c>
      <c r="G16" s="3" t="str">
        <f t="shared" si="0"/>
        <v>Aslesha</v>
      </c>
      <c r="H16" s="5" t="str">
        <f t="shared" si="1"/>
        <v>1</v>
      </c>
      <c r="I16" s="5" t="str">
        <f t="shared" si="2"/>
        <v>Nagas</v>
      </c>
      <c r="J16" s="5" t="str">
        <f t="shared" si="3"/>
        <v>Mercury</v>
      </c>
      <c r="K16" s="99">
        <f t="shared" si="8"/>
        <v>4</v>
      </c>
      <c r="L16" s="99">
        <f t="shared" si="9"/>
        <v>12</v>
      </c>
      <c r="R16" s="14"/>
      <c r="S16" s="16"/>
      <c r="T16" s="16"/>
      <c r="U16" s="17"/>
    </row>
    <row r="17" spans="1:21">
      <c r="A17" s="1" t="s">
        <v>44</v>
      </c>
      <c r="B17" s="2">
        <f t="shared" si="4"/>
        <v>3</v>
      </c>
      <c r="C17" s="2" t="str">
        <f t="shared" si="5"/>
        <v>Sc</v>
      </c>
      <c r="D17" s="4">
        <f t="shared" si="6"/>
        <v>10</v>
      </c>
      <c r="E17" s="4">
        <f t="shared" si="7"/>
        <v>55.77</v>
      </c>
      <c r="F17" s="98">
        <f>Planet($B$7,5)</f>
        <v>213.18215833611245</v>
      </c>
      <c r="G17" s="3" t="str">
        <f t="shared" si="0"/>
        <v>Visakha</v>
      </c>
      <c r="H17" s="5" t="str">
        <f t="shared" si="1"/>
        <v>1</v>
      </c>
      <c r="I17" s="5" t="str">
        <f t="shared" si="2"/>
        <v>Indragni</v>
      </c>
      <c r="J17" s="5" t="str">
        <f t="shared" si="3"/>
        <v>Jupiter</v>
      </c>
      <c r="K17" s="99">
        <f t="shared" si="8"/>
        <v>8</v>
      </c>
      <c r="L17" s="99">
        <f t="shared" si="9"/>
        <v>4</v>
      </c>
      <c r="R17" s="14"/>
      <c r="S17" s="16"/>
      <c r="T17" s="16"/>
      <c r="U17" s="17"/>
    </row>
    <row r="18" spans="1:21">
      <c r="A18" s="1" t="s">
        <v>5</v>
      </c>
      <c r="B18" s="2">
        <f t="shared" si="4"/>
        <v>21</v>
      </c>
      <c r="C18" s="2" t="str">
        <f t="shared" si="5"/>
        <v>Ge</v>
      </c>
      <c r="D18" s="4">
        <f t="shared" si="6"/>
        <v>31</v>
      </c>
      <c r="E18" s="4">
        <f t="shared" si="7"/>
        <v>5.34</v>
      </c>
      <c r="F18" s="98">
        <f>Planet($B$7,3)</f>
        <v>81.518150873214793</v>
      </c>
      <c r="G18" s="3" t="str">
        <f t="shared" si="0"/>
        <v>Punarvasu</v>
      </c>
      <c r="H18" s="5" t="str">
        <f t="shared" si="1"/>
        <v>2</v>
      </c>
      <c r="I18" s="5" t="str">
        <f t="shared" si="2"/>
        <v>Aditi</v>
      </c>
      <c r="J18" s="5" t="str">
        <f t="shared" si="3"/>
        <v>Jupiter</v>
      </c>
      <c r="K18" s="99">
        <f t="shared" si="8"/>
        <v>3</v>
      </c>
      <c r="L18" s="99">
        <f t="shared" si="9"/>
        <v>11</v>
      </c>
      <c r="R18" s="14"/>
      <c r="S18" s="16"/>
      <c r="T18" s="16"/>
      <c r="U18" s="17"/>
    </row>
    <row r="19" spans="1:21">
      <c r="A19" s="1" t="s">
        <v>6</v>
      </c>
      <c r="B19" s="2">
        <f t="shared" si="4"/>
        <v>9</v>
      </c>
      <c r="C19" s="2" t="str">
        <f t="shared" si="5"/>
        <v>Ta</v>
      </c>
      <c r="D19" s="4">
        <f t="shared" si="6"/>
        <v>51</v>
      </c>
      <c r="E19" s="4">
        <f t="shared" si="7"/>
        <v>53.37</v>
      </c>
      <c r="F19" s="98">
        <f>Planet($B$7,6)</f>
        <v>39.864825593544474</v>
      </c>
      <c r="G19" s="3" t="str">
        <f t="shared" si="0"/>
        <v>Krittika</v>
      </c>
      <c r="H19" s="5" t="str">
        <f t="shared" si="1"/>
        <v>4</v>
      </c>
      <c r="I19" s="5" t="str">
        <f t="shared" si="2"/>
        <v>Agni</v>
      </c>
      <c r="J19" s="5" t="str">
        <f t="shared" si="3"/>
        <v>Sun</v>
      </c>
      <c r="K19" s="99">
        <f t="shared" si="8"/>
        <v>2</v>
      </c>
      <c r="L19" s="99">
        <f t="shared" si="9"/>
        <v>10</v>
      </c>
      <c r="R19" s="14"/>
      <c r="S19" s="16"/>
      <c r="T19" s="16"/>
      <c r="U19" s="17"/>
    </row>
    <row r="20" spans="1:21">
      <c r="A20" s="1" t="s">
        <v>7</v>
      </c>
      <c r="B20" s="2">
        <f t="shared" si="4"/>
        <v>21</v>
      </c>
      <c r="C20" s="2" t="str">
        <f t="shared" si="5"/>
        <v>Cp</v>
      </c>
      <c r="D20" s="4">
        <f t="shared" si="6"/>
        <v>57</v>
      </c>
      <c r="E20" s="4">
        <f t="shared" si="7"/>
        <v>5.77</v>
      </c>
      <c r="F20" s="98">
        <f>Planet($B$7,10)</f>
        <v>291.95160280013101</v>
      </c>
      <c r="G20" s="3" t="str">
        <f t="shared" si="0"/>
        <v>Sravana</v>
      </c>
      <c r="H20" s="5" t="str">
        <f t="shared" si="1"/>
        <v>4</v>
      </c>
      <c r="I20" s="5" t="str">
        <f t="shared" si="2"/>
        <v>Vishnu</v>
      </c>
      <c r="J20" s="5" t="str">
        <f t="shared" si="3"/>
        <v>Moon</v>
      </c>
      <c r="K20" s="99">
        <f t="shared" si="8"/>
        <v>10</v>
      </c>
      <c r="L20" s="99">
        <f t="shared" si="9"/>
        <v>6</v>
      </c>
      <c r="R20" s="14"/>
      <c r="S20" s="16"/>
      <c r="T20" s="16"/>
      <c r="U20" s="17"/>
    </row>
    <row r="21" spans="1:21">
      <c r="A21" s="1" t="s">
        <v>8</v>
      </c>
      <c r="B21" s="2">
        <f t="shared" si="4"/>
        <v>21</v>
      </c>
      <c r="C21" s="2" t="str">
        <f t="shared" si="5"/>
        <v>Cn</v>
      </c>
      <c r="D21" s="4">
        <f t="shared" si="6"/>
        <v>57</v>
      </c>
      <c r="E21" s="4">
        <f t="shared" si="7"/>
        <v>5.77</v>
      </c>
      <c r="F21" s="98">
        <f>IF(F20&lt;180,F20+180,F20-180)</f>
        <v>111.95160280013101</v>
      </c>
      <c r="G21" s="3" t="str">
        <f t="shared" si="0"/>
        <v>Aslesha</v>
      </c>
      <c r="H21" s="5" t="str">
        <f t="shared" si="1"/>
        <v>4</v>
      </c>
      <c r="I21" s="5" t="str">
        <f t="shared" si="2"/>
        <v>Nagas</v>
      </c>
      <c r="J21" s="5" t="str">
        <f t="shared" si="3"/>
        <v>Mercury</v>
      </c>
      <c r="K21" s="99">
        <f t="shared" si="8"/>
        <v>4</v>
      </c>
      <c r="L21" s="99">
        <f t="shared" si="9"/>
        <v>12</v>
      </c>
      <c r="R21" s="7"/>
      <c r="S21" s="16"/>
      <c r="T21" s="16"/>
      <c r="U21" s="17"/>
    </row>
    <row r="22" spans="1:21">
      <c r="A22" s="92" t="s">
        <v>11</v>
      </c>
      <c r="B22" s="93">
        <f t="shared" si="4"/>
        <v>15</v>
      </c>
      <c r="C22" s="93" t="str">
        <f t="shared" si="5"/>
        <v>Sc</v>
      </c>
      <c r="D22" s="94">
        <f t="shared" si="6"/>
        <v>42</v>
      </c>
      <c r="E22" s="94">
        <f t="shared" si="7"/>
        <v>43.31</v>
      </c>
      <c r="F22" s="100">
        <f>(F13+133.33)-FLOOR((F13+133.33)/360,1)*360</f>
        <v>225.71203055260673</v>
      </c>
      <c r="G22" s="101" t="str">
        <f t="shared" si="0"/>
        <v>Anuradha</v>
      </c>
      <c r="H22" s="102" t="str">
        <f>nakspad(F22)</f>
        <v>2</v>
      </c>
      <c r="I22" s="102" t="str">
        <f>naksdeity(F22)</f>
        <v xml:space="preserve">Mitra </v>
      </c>
      <c r="J22" s="102" t="str">
        <f>nakslord(F22)</f>
        <v>Saturn</v>
      </c>
      <c r="K22" s="103">
        <f>rasinum(F22)</f>
        <v>8</v>
      </c>
      <c r="L22" s="103">
        <f>HouseNum(F22,$F$12)</f>
        <v>4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>
      <c r="A23" s="92" t="s">
        <v>12</v>
      </c>
      <c r="B23" s="93">
        <f t="shared" si="4"/>
        <v>14</v>
      </c>
      <c r="C23" s="93" t="str">
        <f t="shared" si="5"/>
        <v>Le</v>
      </c>
      <c r="D23" s="94">
        <f t="shared" si="6"/>
        <v>17</v>
      </c>
      <c r="E23" s="94">
        <f t="shared" si="7"/>
        <v>16.690000000000001</v>
      </c>
      <c r="F23" s="100">
        <f>360-F22</f>
        <v>134.28796944739327</v>
      </c>
      <c r="G23" s="101" t="str">
        <f t="shared" si="0"/>
        <v>Purva Phalguni</v>
      </c>
      <c r="H23" s="102" t="str">
        <f>nakspad(F23)</f>
        <v>2</v>
      </c>
      <c r="I23" s="102" t="str">
        <f>naksdeity(F23)</f>
        <v>Bhaga</v>
      </c>
      <c r="J23" s="102" t="str">
        <f>nakslord(F23)</f>
        <v>Venus</v>
      </c>
      <c r="K23" s="103">
        <f>rasinum(F23)</f>
        <v>5</v>
      </c>
      <c r="L23" s="103">
        <f>HouseNum(F23,$F$12)</f>
        <v>1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>
      <c r="A24" s="92" t="s">
        <v>29</v>
      </c>
      <c r="B24" s="93">
        <f t="shared" si="4"/>
        <v>14</v>
      </c>
      <c r="C24" s="93" t="str">
        <f t="shared" si="5"/>
        <v>Aq</v>
      </c>
      <c r="D24" s="94">
        <f t="shared" si="6"/>
        <v>17</v>
      </c>
      <c r="E24" s="94">
        <f t="shared" si="7"/>
        <v>16.690000000000001</v>
      </c>
      <c r="F24" s="100">
        <f>(180+F23)-FLOOR((180+F23)/360,1)*360</f>
        <v>314.28796944739327</v>
      </c>
      <c r="G24" s="101" t="str">
        <f t="shared" si="0"/>
        <v>Satabhisaj</v>
      </c>
      <c r="H24" s="102" t="str">
        <f>nakspad(F24)</f>
        <v>2</v>
      </c>
      <c r="I24" s="102" t="str">
        <f>naksdeity(F24)</f>
        <v>Varuna</v>
      </c>
      <c r="J24" s="102" t="str">
        <f>nakslord(F24)</f>
        <v>Rahu</v>
      </c>
      <c r="K24" s="103">
        <f>rasinum(F24)</f>
        <v>11</v>
      </c>
      <c r="L24" s="103">
        <f>HouseNum(F24,$F$12)</f>
        <v>7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>
      <c r="A25" s="92" t="s">
        <v>13</v>
      </c>
      <c r="B25" s="93">
        <f t="shared" si="4"/>
        <v>15</v>
      </c>
      <c r="C25" s="93" t="str">
        <f t="shared" si="5"/>
        <v>Ta</v>
      </c>
      <c r="D25" s="94">
        <f t="shared" si="6"/>
        <v>42</v>
      </c>
      <c r="E25" s="94">
        <f t="shared" si="7"/>
        <v>43.31</v>
      </c>
      <c r="F25" s="100">
        <f>360-F24</f>
        <v>45.712030552606734</v>
      </c>
      <c r="G25" s="101" t="str">
        <f t="shared" si="0"/>
        <v>Rohini</v>
      </c>
      <c r="H25" s="102" t="str">
        <f>nakspad(F25)</f>
        <v>2</v>
      </c>
      <c r="I25" s="102" t="str">
        <f>naksdeity(F25)</f>
        <v>Brahma</v>
      </c>
      <c r="J25" s="102" t="str">
        <f>nakslord(F25)</f>
        <v>Moon</v>
      </c>
      <c r="K25" s="103">
        <f>rasinum(F25)</f>
        <v>2</v>
      </c>
      <c r="L25" s="103">
        <f>HouseNum(F25,$F$12)</f>
        <v>10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>
      <c r="A26" s="92" t="s">
        <v>14</v>
      </c>
      <c r="B26" s="93">
        <f t="shared" si="4"/>
        <v>2</v>
      </c>
      <c r="C26" s="93" t="str">
        <f t="shared" si="5"/>
        <v>Ge</v>
      </c>
      <c r="D26" s="94">
        <f t="shared" si="6"/>
        <v>22</v>
      </c>
      <c r="E26" s="94">
        <f t="shared" si="7"/>
        <v>55.31</v>
      </c>
      <c r="F26" s="100">
        <f>(F25+16.67)-FLOOR((F25+16.67)/360,1)*360</f>
        <v>62.382030552606736</v>
      </c>
      <c r="G26" s="101" t="str">
        <f t="shared" si="0"/>
        <v>Mrigashira</v>
      </c>
      <c r="H26" s="102" t="str">
        <f>nakspad(F26)</f>
        <v>2</v>
      </c>
      <c r="I26" s="102" t="str">
        <f>naksdeity(F26)</f>
        <v>Chandra</v>
      </c>
      <c r="J26" s="102" t="str">
        <f>nakslord(F26)</f>
        <v>Mars</v>
      </c>
      <c r="K26" s="103">
        <f>rasinum(F26)</f>
        <v>3</v>
      </c>
      <c r="L26" s="103">
        <f>HouseNum(F26,$F$12)</f>
        <v>11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R18"/>
  <sheetViews>
    <sheetView workbookViewId="0">
      <selection activeCell="B3" sqref="B3"/>
    </sheetView>
    <sheetView workbookViewId="1"/>
  </sheetViews>
  <sheetFormatPr defaultRowHeight="12.75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>
      <c r="B1" s="61" t="s">
        <v>51</v>
      </c>
    </row>
    <row r="2" spans="1:18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>
      <c r="A4" s="1" t="s">
        <v>9</v>
      </c>
      <c r="B4" s="66">
        <f>degree(G4)</f>
        <v>21</v>
      </c>
      <c r="C4" s="66" t="str">
        <f>Rasi(G4)</f>
        <v>Vi</v>
      </c>
      <c r="D4" s="67">
        <f>Minutes(G4)</f>
        <v>55</v>
      </c>
      <c r="E4" s="68">
        <f>seconds(G4)</f>
        <v>56.87</v>
      </c>
      <c r="F4" s="106">
        <f>Basic!F12</f>
        <v>146.31418949244772</v>
      </c>
      <c r="G4" s="104">
        <f>divplanetlongitude(divplanetlongitude(F4,B2,C2),D2,E2)</f>
        <v>171.93246518435342</v>
      </c>
      <c r="H4" s="99">
        <f>rasinum(G4)</f>
        <v>6</v>
      </c>
      <c r="I4" s="99">
        <f>HouseNum(G4,$G$4)</f>
        <v>1</v>
      </c>
      <c r="O4" s="7"/>
      <c r="P4" s="16"/>
      <c r="Q4" s="16"/>
      <c r="R4" s="17"/>
    </row>
    <row r="5" spans="1:18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50.62</v>
      </c>
      <c r="F5" s="106">
        <f>Basic!F13</f>
        <v>92.382030552606707</v>
      </c>
      <c r="G5" s="104">
        <f t="shared" ref="G5:G18" si="3">divplanetlongitude(F5,2,5)</f>
        <v>94.764061105213401</v>
      </c>
      <c r="H5" s="99">
        <f t="shared" ref="H5:H13" si="4">rasinum(G5)</f>
        <v>4</v>
      </c>
      <c r="I5" s="99">
        <f t="shared" ref="I5:I13" si="5">HouseNum(G5,$G$4)</f>
        <v>11</v>
      </c>
      <c r="O5" s="14"/>
      <c r="P5" s="16"/>
      <c r="Q5" s="16"/>
      <c r="R5" s="17"/>
    </row>
    <row r="6" spans="1:18">
      <c r="A6" s="1" t="s">
        <v>3</v>
      </c>
      <c r="B6" s="66">
        <f t="shared" ref="B6:B13" si="6">degree(G6)</f>
        <v>16</v>
      </c>
      <c r="C6" s="66" t="str">
        <f t="shared" si="0"/>
        <v>Li</v>
      </c>
      <c r="D6" s="67">
        <f t="shared" si="1"/>
        <v>6</v>
      </c>
      <c r="E6" s="68">
        <f t="shared" si="2"/>
        <v>37.29</v>
      </c>
      <c r="F6" s="106">
        <f>Basic!F14</f>
        <v>53.055179366212087</v>
      </c>
      <c r="G6" s="104">
        <f t="shared" si="3"/>
        <v>196.1103587324242</v>
      </c>
      <c r="H6" s="99">
        <f t="shared" si="4"/>
        <v>7</v>
      </c>
      <c r="I6" s="99">
        <f t="shared" si="5"/>
        <v>2</v>
      </c>
      <c r="O6" s="14"/>
      <c r="P6" s="16"/>
      <c r="Q6" s="16"/>
      <c r="R6" s="17"/>
    </row>
    <row r="7" spans="1:18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8.94</v>
      </c>
      <c r="F7" s="106">
        <f>Basic!F15</f>
        <v>298.0929084383572</v>
      </c>
      <c r="G7" s="104">
        <f t="shared" si="3"/>
        <v>326.1858168767144</v>
      </c>
      <c r="H7" s="99">
        <f t="shared" si="4"/>
        <v>11</v>
      </c>
      <c r="I7" s="99">
        <f t="shared" si="5"/>
        <v>6</v>
      </c>
      <c r="O7" s="14"/>
      <c r="P7" s="16"/>
      <c r="Q7" s="16"/>
      <c r="R7" s="17"/>
    </row>
    <row r="8" spans="1:18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13</v>
      </c>
      <c r="E8" s="68">
        <f t="shared" si="2"/>
        <v>24.23</v>
      </c>
      <c r="F8" s="106">
        <f>Basic!F16</f>
        <v>117.1116989094008</v>
      </c>
      <c r="G8" s="104">
        <f t="shared" si="3"/>
        <v>144.2233978188016</v>
      </c>
      <c r="H8" s="99">
        <f t="shared" si="4"/>
        <v>5</v>
      </c>
      <c r="I8" s="99">
        <f t="shared" si="5"/>
        <v>12</v>
      </c>
      <c r="O8" s="14"/>
      <c r="P8" s="16"/>
      <c r="Q8" s="16"/>
      <c r="R8" s="17"/>
    </row>
    <row r="9" spans="1:18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51.54</v>
      </c>
      <c r="F9" s="106">
        <f>Basic!F17</f>
        <v>213.18215833611245</v>
      </c>
      <c r="G9" s="104">
        <f t="shared" si="3"/>
        <v>6.3643166722248878</v>
      </c>
      <c r="H9" s="99">
        <f t="shared" si="4"/>
        <v>1</v>
      </c>
      <c r="I9" s="99">
        <f t="shared" si="5"/>
        <v>8</v>
      </c>
      <c r="O9" s="14"/>
      <c r="P9" s="16"/>
      <c r="Q9" s="16"/>
      <c r="R9" s="17"/>
    </row>
    <row r="10" spans="1:18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2</v>
      </c>
      <c r="E10" s="68">
        <f t="shared" si="2"/>
        <v>10.69</v>
      </c>
      <c r="F10" s="106">
        <f>Basic!F18</f>
        <v>81.518150873214793</v>
      </c>
      <c r="G10" s="104">
        <f t="shared" si="3"/>
        <v>73.036301746429587</v>
      </c>
      <c r="H10" s="99">
        <f t="shared" si="4"/>
        <v>3</v>
      </c>
      <c r="I10" s="99">
        <f t="shared" si="5"/>
        <v>10</v>
      </c>
      <c r="O10" s="14"/>
      <c r="P10" s="16"/>
      <c r="Q10" s="16"/>
      <c r="R10" s="17"/>
    </row>
    <row r="11" spans="1:18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46.74</v>
      </c>
      <c r="F11" s="106">
        <f>Basic!F19</f>
        <v>39.864825593544474</v>
      </c>
      <c r="G11" s="104">
        <f t="shared" si="3"/>
        <v>49.729651187088947</v>
      </c>
      <c r="H11" s="99">
        <f t="shared" si="4"/>
        <v>2</v>
      </c>
      <c r="I11" s="99">
        <f t="shared" si="5"/>
        <v>9</v>
      </c>
      <c r="O11" s="14"/>
      <c r="P11" s="16"/>
      <c r="Q11" s="16"/>
      <c r="R11" s="17"/>
    </row>
    <row r="12" spans="1:18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11.54</v>
      </c>
      <c r="F12" s="106">
        <f>Basic!F20</f>
        <v>291.95160280013101</v>
      </c>
      <c r="G12" s="104">
        <f t="shared" si="3"/>
        <v>313.90320560026208</v>
      </c>
      <c r="H12" s="99">
        <f t="shared" si="4"/>
        <v>11</v>
      </c>
      <c r="I12" s="99">
        <f t="shared" si="5"/>
        <v>6</v>
      </c>
      <c r="O12" s="14"/>
      <c r="P12" s="16"/>
      <c r="Q12" s="16"/>
      <c r="R12" s="17"/>
    </row>
    <row r="13" spans="1:18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11.54</v>
      </c>
      <c r="F13" s="106">
        <f>Basic!F21</f>
        <v>111.95160280013101</v>
      </c>
      <c r="G13" s="104">
        <f t="shared" si="3"/>
        <v>133.90320560026203</v>
      </c>
      <c r="H13" s="99">
        <f t="shared" si="4"/>
        <v>5</v>
      </c>
      <c r="I13" s="99">
        <f t="shared" si="5"/>
        <v>12</v>
      </c>
      <c r="O13" s="7"/>
      <c r="P13" s="16"/>
      <c r="Q13" s="16"/>
      <c r="R13" s="17"/>
    </row>
    <row r="14" spans="1:18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25</v>
      </c>
      <c r="E14" s="97">
        <f>seconds(G14)</f>
        <v>26.62</v>
      </c>
      <c r="F14" s="107">
        <f>Basic!F22</f>
        <v>225.71203055260673</v>
      </c>
      <c r="G14" s="104">
        <f t="shared" si="3"/>
        <v>211.42406110521347</v>
      </c>
      <c r="H14" s="103">
        <f>rasinum(G14)</f>
        <v>8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34</v>
      </c>
      <c r="E15" s="97">
        <f>seconds(G15)</f>
        <v>33.380000000000003</v>
      </c>
      <c r="F15" s="107">
        <f>Basic!F23</f>
        <v>134.28796944739327</v>
      </c>
      <c r="G15" s="104">
        <f t="shared" si="3"/>
        <v>148.57593889478653</v>
      </c>
      <c r="H15" s="103">
        <f>rasinum(G15)</f>
        <v>5</v>
      </c>
      <c r="I15" s="103">
        <f>HouseNum(G15,$G$4)</f>
        <v>12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34</v>
      </c>
      <c r="E16" s="97">
        <f>seconds(G16)</f>
        <v>33.380000000000003</v>
      </c>
      <c r="F16" s="107">
        <f>Basic!F24</f>
        <v>314.28796944739327</v>
      </c>
      <c r="G16" s="104">
        <f t="shared" si="3"/>
        <v>328.57593889478659</v>
      </c>
      <c r="H16" s="103">
        <f>rasinum(G16)</f>
        <v>11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25</v>
      </c>
      <c r="E17" s="97">
        <f>seconds(G17)</f>
        <v>26.62</v>
      </c>
      <c r="F17" s="107">
        <f>Basic!F25</f>
        <v>45.712030552606734</v>
      </c>
      <c r="G17" s="104">
        <f t="shared" si="3"/>
        <v>181.42406110521347</v>
      </c>
      <c r="H17" s="103">
        <f>rasinum(G17)</f>
        <v>7</v>
      </c>
      <c r="I17" s="103">
        <f>HouseNum(G17,$G$4)</f>
        <v>2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50.62</v>
      </c>
      <c r="F18" s="107">
        <f>Basic!F26</f>
        <v>62.382030552606736</v>
      </c>
      <c r="G18" s="104">
        <f t="shared" si="3"/>
        <v>154.76406110521347</v>
      </c>
      <c r="H18" s="103">
        <f>rasinum(G18)</f>
        <v>6</v>
      </c>
      <c r="I18" s="103">
        <f>HouseNum(G18,$G$4)</f>
        <v>1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B2:M42"/>
  <sheetViews>
    <sheetView workbookViewId="0">
      <selection activeCell="I3" sqref="I3"/>
    </sheetView>
    <sheetView workbookViewId="1"/>
  </sheetViews>
  <sheetFormatPr defaultRowHeight="12.75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>
      <c r="C2" s="108">
        <v>1</v>
      </c>
      <c r="D2" s="108">
        <v>1</v>
      </c>
      <c r="H2" s="108">
        <v>9</v>
      </c>
      <c r="I2" s="108">
        <v>1</v>
      </c>
    </row>
    <row r="3" spans="2:13" ht="75" customHeight="1">
      <c r="B3" s="74" t="str">
        <f>RasiContent(12,Basic!$B$7,C2,D2,Basic!$F$12)</f>
        <v/>
      </c>
      <c r="C3" s="75" t="str">
        <f>RasiContent(1,Basic!$B$7,C2,D2,Basic!$F$12)</f>
        <v/>
      </c>
      <c r="D3" s="75" t="str">
        <f>RasiContent(2,Basic!$B$7,C2,D2,Basic!$F$12)</f>
        <v xml:space="preserve"> Moon Saturn</v>
      </c>
      <c r="E3" s="76" t="str">
        <f>RasiContent(3,Basic!$B$7,C2,D2,Basic!$F$12)</f>
        <v xml:space="preserve"> Venus</v>
      </c>
      <c r="F3" s="52"/>
      <c r="G3" s="74" t="str">
        <f>RasiContent(12,Basic!$B$7,H2,I2,Basic!$F$12)</f>
        <v xml:space="preserve"> Merc Saturn</v>
      </c>
      <c r="H3" s="75" t="str">
        <f>RasiContent(1,Basic!$B$7,H2,I2,Basic!$F$12)</f>
        <v xml:space="preserve"> Venus</v>
      </c>
      <c r="I3" s="75" t="str">
        <f>RasiContent(2,Basic!$B$7,H2,I2,Basic!$F$12)</f>
        <v xml:space="preserve"> </v>
      </c>
      <c r="J3" s="76" t="str">
        <f>RasiContent(3,Basic!$B$7,H2,I2,Basic!$F$12)</f>
        <v/>
      </c>
    </row>
    <row r="4" spans="2:13" ht="75" customHeight="1">
      <c r="B4" s="77" t="str">
        <f>RasiContent(11,Basic!$B$7,C2,D2,Basic!$F$12)</f>
        <v/>
      </c>
      <c r="C4" s="141" t="str">
        <f>divname(C2,D2)</f>
        <v>Rasi</v>
      </c>
      <c r="D4" s="141"/>
      <c r="E4" s="78" t="str">
        <f>RasiContent(4,Basic!$B$7,C2,D2,Basic!$F$12)</f>
        <v xml:space="preserve"> Sun Merc Ketu</v>
      </c>
      <c r="F4" s="52"/>
      <c r="G4" s="77" t="str">
        <f>RasiContent(11,Basic!$B$7,H2,I2,Basic!$F$12)</f>
        <v xml:space="preserve"> </v>
      </c>
      <c r="H4" s="141" t="str">
        <f>divname(H2,I2)</f>
        <v>Navamsa</v>
      </c>
      <c r="I4" s="141"/>
      <c r="J4" s="78" t="str">
        <f>RasiContent(4,Basic!$B$7,H2,I2,Basic!$F$12)</f>
        <v xml:space="preserve"> Sun Moon Jupiter Rahu</v>
      </c>
    </row>
    <row r="5" spans="2:13" ht="75" customHeight="1">
      <c r="B5" s="77" t="str">
        <f>RasiContent(10,Basic!$B$7,C2,D2,Basic!$F$12)</f>
        <v xml:space="preserve"> Mars Rahu</v>
      </c>
      <c r="C5" s="141"/>
      <c r="D5" s="141"/>
      <c r="E5" s="78" t="str">
        <f>RasiContent(5,Basic!$B$7,C2,D2,Basic!$F$12)</f>
        <v xml:space="preserve"> Asdt</v>
      </c>
      <c r="F5" s="52"/>
      <c r="G5" s="77" t="str">
        <f>RasiContent(10,Basic!$B$7,H2,I2,Basic!$F$12)</f>
        <v xml:space="preserve"> Ketu</v>
      </c>
      <c r="H5" s="141"/>
      <c r="I5" s="141"/>
      <c r="J5" s="78" t="str">
        <f>RasiContent(5,Basic!$B$7,H2,I2,Basic!$F$12)</f>
        <v/>
      </c>
    </row>
    <row r="6" spans="2:13" ht="75" customHeight="1" thickBot="1">
      <c r="B6" s="79" t="str">
        <f>RasiContent(9,Basic!$B$7,C2,D2,Basic!$F$12)</f>
        <v/>
      </c>
      <c r="C6" s="80" t="str">
        <f>RasiContent(8,Basic!$B$7,C2,D2,Basic!$F$12)</f>
        <v xml:space="preserve"> Jupiter </v>
      </c>
      <c r="D6" s="80" t="str">
        <f>RasiContent(7,Basic!$B$7,C2,D2,Basic!$F$12)</f>
        <v/>
      </c>
      <c r="E6" s="81" t="str">
        <f>RasiContent(6,Basic!$B$7,C2,D2,Basic!$F$12)</f>
        <v xml:space="preserve">  </v>
      </c>
      <c r="F6" s="52"/>
      <c r="G6" s="79" t="str">
        <f>RasiContent(9,Basic!$B$7,H2,I2,Basic!$F$12)</f>
        <v/>
      </c>
      <c r="H6" s="80" t="str">
        <f>RasiContent(8,Basic!$B$7,H2,I2,Basic!$F$12)</f>
        <v xml:space="preserve"> Asdt</v>
      </c>
      <c r="I6" s="80" t="str">
        <f>RasiContent(7,Basic!$B$7,H2,I2,Basic!$F$12)</f>
        <v/>
      </c>
      <c r="J6" s="81" t="str">
        <f>RasiContent(6,Basic!$B$7,H2,I2,Basic!$F$12)</f>
        <v xml:space="preserve"> Mars </v>
      </c>
    </row>
    <row r="9" spans="2:13" s="53" customFormat="1"/>
    <row r="10" spans="2:13" s="53" customFormat="1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 xml:space="preserve">Saturn </v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Saturn </v>
      </c>
    </row>
    <row r="13" spans="2:13" s="53" customFormat="1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 xml:space="preserve">Venus </v>
      </c>
      <c r="J13" s="53" t="str">
        <f>IF(B13=Basic!$C$19,Basic!$A$19,"")</f>
        <v/>
      </c>
      <c r="K13" s="53" t="str">
        <f>IF(B13=Basic!$C$20,Basic!$A$20,"")</f>
        <v/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>
      <c r="B14" s="53" t="s">
        <v>35</v>
      </c>
      <c r="C14" s="53" t="str">
        <f>IF(B14=Basic!$C$12,Basic!$A$12,"")</f>
        <v/>
      </c>
      <c r="D14" s="53" t="str">
        <f>IF(B14=Basic!$C$13,Basic!$A$13,"")</f>
        <v xml:space="preserve">Sun </v>
      </c>
      <c r="E14" s="53" t="str">
        <f>IF(B14=Basic!$C$14,Basic!$A$14,"")</f>
        <v/>
      </c>
      <c r="F14" s="53" t="str">
        <f>IF(B14=Basic!$C$15,Basic!$A$15,"")</f>
        <v/>
      </c>
      <c r="G14" s="53" t="str">
        <f>IF(B14=Basic!$C$16,Basic!$A$16,"")</f>
        <v xml:space="preserve">Mercury </v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/>
      </c>
      <c r="K14" s="53" t="str">
        <f>IF(B14=Basic!$C$20,Basic!$A$20,"")</f>
        <v/>
      </c>
      <c r="L14" s="53" t="str">
        <f>IF(B14=Basic!$C$21,Basic!$A$21,"")</f>
        <v xml:space="preserve">Ketu </v>
      </c>
      <c r="M14" s="53" t="str">
        <f t="shared" si="0"/>
        <v xml:space="preserve">Sun Mercury Ketu </v>
      </c>
    </row>
    <row r="15" spans="2:13" s="53" customFormat="1">
      <c r="B15" s="53" t="s">
        <v>36</v>
      </c>
      <c r="C15" s="53" t="str">
        <f>IF(B15=Basic!$C$12,Basic!$A$12,"")</f>
        <v xml:space="preserve">Asdt </v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 xml:space="preserve">Asdt </v>
      </c>
    </row>
    <row r="16" spans="2:13" s="53" customFormat="1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/>
      </c>
      <c r="I16" s="53" t="str">
        <f>IF(B16=Basic!$C$18,Basic!$A$18,"")</f>
        <v/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/>
      </c>
    </row>
    <row r="17" spans="2:13" s="53" customFormat="1">
      <c r="B17" s="53" t="s">
        <v>38</v>
      </c>
      <c r="C17" s="53" t="str">
        <f>IF(B17=Basic!$C$12,Basic!$A$12,"")</f>
        <v/>
      </c>
      <c r="D17" s="53" t="str">
        <f>IF(B17=Basic!$C$13,Basic!$A$13,"")</f>
        <v/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/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/>
      </c>
    </row>
    <row r="18" spans="2:13" s="53" customFormat="1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>Jupiter</v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>Jupiter</v>
      </c>
    </row>
    <row r="19" spans="2:13" s="53" customFormat="1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/>
      </c>
      <c r="M19" s="53" t="str">
        <f t="shared" si="0"/>
        <v/>
      </c>
    </row>
    <row r="20" spans="2:13" s="53" customFormat="1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 xml:space="preserve">Mars </v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 xml:space="preserve">Rahu </v>
      </c>
      <c r="L20" s="53" t="str">
        <f>IF(B20=Basic!$C$21,Basic!$A$21,"")</f>
        <v/>
      </c>
      <c r="M20" s="53" t="str">
        <f t="shared" si="0"/>
        <v xml:space="preserve">Mars Rahu </v>
      </c>
    </row>
    <row r="21" spans="2:13" s="53" customFormat="1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>
      <c r="B22" s="53" t="s">
        <v>43</v>
      </c>
      <c r="C22" s="53" t="str">
        <f>IF(B22=Basic!$C$12,Basic!$A$12,"")</f>
        <v/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/>
      </c>
    </row>
    <row r="23" spans="2:13" s="53" customFormat="1"/>
    <row r="24" spans="2:13" s="53" customFormat="1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Saturn </v>
      </c>
    </row>
    <row r="27" spans="2:13" s="53" customFormat="1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>
      <c r="B30" s="53" t="s">
        <v>37</v>
      </c>
      <c r="C30" s="53" t="str">
        <f>IF(B30=Division!$C$4,Division!$A$4,"")</f>
        <v xml:space="preserve">Asdt </v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 xml:space="preserve">Asdt </v>
      </c>
    </row>
    <row r="31" spans="2:13" s="53" customFormat="1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/>
    <row r="38" spans="2:13" s="53" customFormat="1"/>
    <row r="39" spans="2:13" s="53" customFormat="1"/>
    <row r="40" spans="2:13" s="53" customFormat="1"/>
    <row r="41" spans="2:13" s="53" customFormat="1"/>
    <row r="42" spans="2:13" s="53" customFormat="1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O459"/>
  <sheetViews>
    <sheetView workbookViewId="0">
      <selection activeCell="C43" sqref="C43"/>
    </sheetView>
    <sheetView workbookViewId="1"/>
  </sheetViews>
  <sheetFormatPr defaultRowHeight="12.75" customHeight="1"/>
  <cols>
    <col min="1" max="16384" width="9.140625" style="54"/>
  </cols>
  <sheetData>
    <row r="1" spans="2:15" ht="39" customHeight="1"/>
    <row r="2" spans="2:15" s="55" customFormat="1" ht="9.9499999999999993" customHeight="1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>
      <c r="B3" s="57" t="str">
        <f>RasiContent(12,Basic!$B$7,C2,D2,Basic!$F$12)</f>
        <v/>
      </c>
      <c r="C3" s="57" t="str">
        <f>RasiContent(1,Basic!$B$7,C2,D2,Basic!$F$12)</f>
        <v/>
      </c>
      <c r="D3" s="57" t="str">
        <f>RasiContent(2,Basic!$B$7,C2,D2,Basic!$F$12)</f>
        <v xml:space="preserve"> Moon Saturn</v>
      </c>
      <c r="E3" s="57" t="str">
        <f>RasiContent(3,Basic!$B$7,C2,D2,Basic!$F$12)</f>
        <v xml:space="preserve"> Venus</v>
      </c>
      <c r="G3" s="57" t="str">
        <f>RasiContent(12,Basic!$B$7,H2,I2,Basic!$F$12)</f>
        <v xml:space="preserve"> </v>
      </c>
      <c r="H3" s="57" t="str">
        <f>RasiContent(1,Basic!$B$7,H2,I2,Basic!$F$12)</f>
        <v/>
      </c>
      <c r="I3" s="57" t="str">
        <f>RasiContent(2,Basic!$B$7,H2,I2,Basic!$F$12)</f>
        <v xml:space="preserve"> Saturn</v>
      </c>
      <c r="J3" s="57" t="str">
        <f>RasiContent(3,Basic!$B$7,H2,I2,Basic!$F$12)</f>
        <v/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>
      <c r="B4" s="57" t="str">
        <f>RasiContent(11,Basic!$B$7,C2,D2,Basic!$F$12)</f>
        <v/>
      </c>
      <c r="C4" s="142" t="str">
        <f>divname(C2,D2)</f>
        <v>Rasi</v>
      </c>
      <c r="D4" s="142"/>
      <c r="E4" s="57" t="str">
        <f>RasiContent(4,Basic!$B$7,C2,D2,Basic!$F$12)</f>
        <v xml:space="preserve"> Sun Merc Ketu</v>
      </c>
      <c r="G4" s="57" t="str">
        <f>RasiContent(11,Basic!$B$7,H2,I2,Basic!$F$12)</f>
        <v xml:space="preserve"> Asdt</v>
      </c>
      <c r="H4" s="142" t="str">
        <f>divname(H2,I2)</f>
        <v>Hora (1/7 House)</v>
      </c>
      <c r="I4" s="142"/>
      <c r="J4" s="57" t="str">
        <f>RasiContent(4,Basic!$B$7,H2,I2,Basic!$F$12)</f>
        <v xml:space="preserve"> Sun Mars Rahu</v>
      </c>
      <c r="L4" s="57" t="str">
        <f>RasiContent(11,Basic!$B$7,M2,N2,Basic!$F$12)</f>
        <v/>
      </c>
      <c r="M4" s="142" t="str">
        <f>divname(M2,N2)</f>
        <v>Parashara Hora</v>
      </c>
      <c r="N4" s="142"/>
      <c r="O4" s="57" t="str">
        <f>RasiContent(4,Basic!$B$7,M2,N2,Basic!$F$12)</f>
        <v xml:space="preserve"> Sun Venus Jupiter Saturn   Asdt</v>
      </c>
    </row>
    <row r="5" spans="2:15" ht="50.1" customHeight="1">
      <c r="B5" s="57" t="str">
        <f>RasiContent(10,Basic!$B$7,C2,D2,Basic!$F$12)</f>
        <v xml:space="preserve"> Mars Rahu</v>
      </c>
      <c r="C5" s="142"/>
      <c r="D5" s="142"/>
      <c r="E5" s="57" t="str">
        <f>RasiContent(5,Basic!$B$7,C2,D2,Basic!$F$12)</f>
        <v xml:space="preserve"> Asdt</v>
      </c>
      <c r="G5" s="57" t="str">
        <f>RasiContent(10,Basic!$B$7,H2,I2,Basic!$F$12)</f>
        <v xml:space="preserve"> Merc Ketu</v>
      </c>
      <c r="H5" s="142"/>
      <c r="I5" s="142"/>
      <c r="J5" s="57" t="str">
        <f>RasiContent(5,Basic!$B$7,H2,I2,Basic!$F$12)</f>
        <v/>
      </c>
      <c r="L5" s="57" t="str">
        <f>RasiContent(10,Basic!$B$7,M2,N2,Basic!$F$12)</f>
        <v/>
      </c>
      <c r="M5" s="142"/>
      <c r="N5" s="142"/>
      <c r="O5" s="57" t="str">
        <f>RasiContent(5,Basic!$B$7,M2,N2,Basic!$F$12)</f>
        <v xml:space="preserve"> Moon Merc Mars  Rahu Ketu</v>
      </c>
    </row>
    <row r="6" spans="2:15" ht="50.1" customHeight="1">
      <c r="B6" s="57" t="str">
        <f>RasiContent(9,Basic!$B$7,C2,D2,Basic!$F$12)</f>
        <v/>
      </c>
      <c r="C6" s="57" t="str">
        <f>RasiContent(8,Basic!$B$7,C2,D2,Basic!$F$12)</f>
        <v xml:space="preserve"> Jupiter </v>
      </c>
      <c r="D6" s="57" t="str">
        <f>RasiContent(7,Basic!$B$7,C2,D2,Basic!$F$12)</f>
        <v/>
      </c>
      <c r="E6" s="57" t="str">
        <f>RasiContent(6,Basic!$B$7,C2,D2,Basic!$F$12)</f>
        <v xml:space="preserve">  </v>
      </c>
      <c r="G6" s="57" t="str">
        <f>RasiContent(9,Basic!$B$7,H2,I2,Basic!$F$12)</f>
        <v xml:space="preserve"> Venus</v>
      </c>
      <c r="H6" s="57" t="str">
        <f>RasiContent(8,Basic!$B$7,H2,I2,Basic!$F$12)</f>
        <v xml:space="preserve"> Moon Jupiter </v>
      </c>
      <c r="I6" s="57" t="str">
        <f>RasiContent(7,Basic!$B$7,H2,I2,Basic!$F$12)</f>
        <v/>
      </c>
      <c r="J6" s="57" t="str">
        <f>RasiContent(6,Basic!$B$7,H2,I2,Basic!$F$12)</f>
        <v xml:space="preserve"> 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>
      <c r="B9" s="57" t="str">
        <f>RasiContent(12,Basic!$B$7,C8,D8,Basic!$F$12)</f>
        <v xml:space="preserve"> </v>
      </c>
      <c r="C9" s="57" t="str">
        <f>RasiContent(1,Basic!$B$7,C8,D8,Basic!$F$12)</f>
        <v/>
      </c>
      <c r="D9" s="57" t="str">
        <f>RasiContent(2,Basic!$B$7,C8,D8,Basic!$F$12)</f>
        <v/>
      </c>
      <c r="E9" s="57" t="str">
        <f>RasiContent(3,Basic!$B$7,C8,D8,Basic!$F$12)</f>
        <v xml:space="preserve"> Jupiter Saturn </v>
      </c>
      <c r="G9" s="57" t="str">
        <f>RasiContent(12,Basic!$B$7,H8,I8,Basic!$F$12)</f>
        <v xml:space="preserve"> </v>
      </c>
      <c r="H9" s="57" t="str">
        <f>RasiContent(1,Basic!$B$7,H8,I8,Basic!$F$12)</f>
        <v/>
      </c>
      <c r="I9" s="57" t="str">
        <f>RasiContent(2,Basic!$B$7,H8,I8,Basic!$F$12)</f>
        <v xml:space="preserve"> Jupiter Saturn </v>
      </c>
      <c r="J9" s="57" t="str">
        <f>RasiContent(3,Basic!$B$7,H8,I8,Basic!$F$12)</f>
        <v xml:space="preserve"> Venus</v>
      </c>
      <c r="L9" s="57" t="str">
        <f>RasiContent(12,Basic!$B$7,M8,N8,Basic!$F$12)</f>
        <v/>
      </c>
      <c r="M9" s="57" t="str">
        <f>RasiContent(1,Basic!$B$7,M8,N8,Basic!$F$12)</f>
        <v xml:space="preserve"> Jupiter </v>
      </c>
      <c r="N9" s="57" t="str">
        <f>RasiContent(2,Basic!$B$7,M8,N8,Basic!$F$12)</f>
        <v xml:space="preserve"> Saturn</v>
      </c>
      <c r="O9" s="57" t="str">
        <f>RasiContent(3,Basic!$B$7,M8,N8,Basic!$F$12)</f>
        <v xml:space="preserve"> Venus </v>
      </c>
    </row>
    <row r="10" spans="2:15" ht="50.1" customHeight="1">
      <c r="B10" s="57" t="str">
        <f>RasiContent(11,Basic!$B$7,C8,D8,Basic!$F$12)</f>
        <v xml:space="preserve"> </v>
      </c>
      <c r="C10" s="142" t="str">
        <f>divname(C8,D8)</f>
        <v>Parivrittidvaya  Hora</v>
      </c>
      <c r="D10" s="142"/>
      <c r="E10" s="57" t="str">
        <f>RasiContent(4,Basic!$B$7,C8,D8,Basic!$F$12)</f>
        <v xml:space="preserve"> Moon</v>
      </c>
      <c r="G10" s="57" t="str">
        <f>RasiContent(11,Basic!$B$7,H8,I8,Basic!$F$12)</f>
        <v xml:space="preserve"> Asdt</v>
      </c>
      <c r="H10" s="142" t="str">
        <f>divname(H8,I8)</f>
        <v>Jagannath Hora</v>
      </c>
      <c r="I10" s="142"/>
      <c r="J10" s="57" t="str">
        <f>RasiContent(4,Basic!$B$7,H8,I8,Basic!$F$12)</f>
        <v xml:space="preserve"> Sun</v>
      </c>
      <c r="L10" s="57" t="str">
        <f>RasiContent(11,Basic!$B$7,M8,N8,Basic!$F$12)</f>
        <v xml:space="preserve"> Mars Rahu</v>
      </c>
      <c r="M10" s="142" t="str">
        <f>divname(M8,N8)</f>
        <v>Kashinath Hora</v>
      </c>
      <c r="N10" s="142"/>
      <c r="O10" s="57" t="str">
        <f>RasiContent(4,Basic!$B$7,M8,N8,Basic!$F$12)</f>
        <v xml:space="preserve"> Sun Asdt</v>
      </c>
    </row>
    <row r="11" spans="2:15" ht="50.1" customHeight="1">
      <c r="B11" s="57" t="str">
        <f>RasiContent(10,Basic!$B$7,C8,D8,Basic!$F$12)</f>
        <v xml:space="preserve"> Asdt</v>
      </c>
      <c r="C11" s="142"/>
      <c r="D11" s="142"/>
      <c r="E11" s="57" t="str">
        <f>RasiContent(5,Basic!$B$7,C8,D8,Basic!$F$12)</f>
        <v/>
      </c>
      <c r="G11" s="57" t="str">
        <f>RasiContent(10,Basic!$B$7,H8,I8,Basic!$F$12)</f>
        <v xml:space="preserve"> Merc Mars Rahu Ketu</v>
      </c>
      <c r="H11" s="142"/>
      <c r="I11" s="142"/>
      <c r="J11" s="57" t="str">
        <f>RasiContent(5,Basic!$B$7,H8,I8,Basic!$F$12)</f>
        <v/>
      </c>
      <c r="L11" s="57" t="str">
        <f>RasiContent(10,Basic!$B$7,M8,N8,Basic!$F$12)</f>
        <v/>
      </c>
      <c r="M11" s="142"/>
      <c r="N11" s="142"/>
      <c r="O11" s="57" t="str">
        <f>RasiContent(5,Basic!$B$7,M8,N8,Basic!$F$12)</f>
        <v xml:space="preserve"> Merc Ketu</v>
      </c>
    </row>
    <row r="12" spans="2:15" ht="50.1" customHeight="1">
      <c r="B12" s="57" t="str">
        <f>RasiContent(9,Basic!$B$7,C8,D8,Basic!$F$12)</f>
        <v/>
      </c>
      <c r="C12" s="57" t="str">
        <f>RasiContent(8,Basic!$B$7,C8,D8,Basic!$F$12)</f>
        <v xml:space="preserve"> Merc Mars Rahu Ketu</v>
      </c>
      <c r="D12" s="57" t="str">
        <f>RasiContent(7,Basic!$B$7,C8,D8,Basic!$F$12)</f>
        <v xml:space="preserve"> Sun</v>
      </c>
      <c r="E12" s="57" t="str">
        <f>RasiContent(6,Basic!$B$7,C8,D8,Basic!$F$12)</f>
        <v xml:space="preserve"> Venus</v>
      </c>
      <c r="G12" s="57" t="str">
        <f>RasiContent(9,Basic!$B$7,H8,I8,Basic!$F$12)</f>
        <v/>
      </c>
      <c r="H12" s="57" t="str">
        <f>RasiContent(8,Basic!$B$7,H8,I8,Basic!$F$12)</f>
        <v xml:space="preserve"> Moon</v>
      </c>
      <c r="I12" s="57" t="str">
        <f>RasiContent(7,Basic!$B$7,H8,I8,Basic!$F$12)</f>
        <v/>
      </c>
      <c r="J12" s="57" t="str">
        <f>RasiContent(6,Basic!$B$7,H8,I8,Basic!$F$12)</f>
        <v xml:space="preserve"> 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Moon</v>
      </c>
      <c r="O12" s="57" t="str">
        <f>RasiContent(6,Basic!$B$7,M8,N8,Basic!$F$12)</f>
        <v xml:space="preserve"> </v>
      </c>
    </row>
    <row r="13" spans="2:15" ht="50.1" customHeight="1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>
      <c r="B15" s="57" t="str">
        <f>RasiContent(12,Basic!$B$7,C14,D14,Basic!$F$12)</f>
        <v/>
      </c>
      <c r="C15" s="57" t="str">
        <f>RasiContent(1,Basic!$B$7,C14,D14,Basic!$F$12)</f>
        <v/>
      </c>
      <c r="D15" s="57" t="str">
        <f>RasiContent(2,Basic!$B$7,C14,D14,Basic!$F$12)</f>
        <v xml:space="preserve"> Moon Saturn</v>
      </c>
      <c r="E15" s="57" t="str">
        <f>RasiContent(3,Basic!$B$7,C14,D14,Basic!$F$12)</f>
        <v xml:space="preserve"> Venus</v>
      </c>
      <c r="G15" s="57" t="str">
        <f>RasiContent(12,Basic!$B$7,H14,I14,Basic!$F$12)</f>
        <v xml:space="preserve"> Merc Ketu</v>
      </c>
      <c r="H15" s="57" t="str">
        <f>RasiContent(1,Basic!$B$7,H14,I14,Basic!$F$12)</f>
        <v/>
      </c>
      <c r="I15" s="57" t="str">
        <f>RasiContent(2,Basic!$B$7,H14,I14,Basic!$F$12)</f>
        <v xml:space="preserve"> </v>
      </c>
      <c r="J15" s="57" t="str">
        <f>RasiContent(3,Basic!$B$7,H14,I14,Basic!$F$12)</f>
        <v xml:space="preserve"> Venus</v>
      </c>
      <c r="L15" s="57" t="str">
        <f>RasiContent(12,Basic!$B$7,M14,N14,Basic!$F$12)</f>
        <v xml:space="preserve"> Merc Ketu</v>
      </c>
      <c r="M15" s="57" t="str">
        <f>RasiContent(1,Basic!$B$7,M14,N14,Basic!$F$12)</f>
        <v/>
      </c>
      <c r="N15" s="57" t="str">
        <f>RasiContent(2,Basic!$B$7,M14,N14,Basic!$F$12)</f>
        <v/>
      </c>
      <c r="O15" s="57" t="str">
        <f>RasiContent(3,Basic!$B$7,M14,N14,Basic!$F$12)</f>
        <v xml:space="preserve"> Asdt</v>
      </c>
    </row>
    <row r="16" spans="2:15" ht="50.1" customHeight="1">
      <c r="B16" s="57" t="str">
        <f>RasiContent(11,Basic!$B$7,C14,D14,Basic!$F$12)</f>
        <v/>
      </c>
      <c r="C16" s="142" t="str">
        <f>divname(C14,D14)</f>
        <v>Parashara Drekkana</v>
      </c>
      <c r="D16" s="142"/>
      <c r="E16" s="57" t="str">
        <f>RasiContent(4,Basic!$B$7,C14,D14,Basic!$F$12)</f>
        <v xml:space="preserve"> Sun Merc Ketu</v>
      </c>
      <c r="G16" s="57" t="str">
        <f>RasiContent(11,Basic!$B$7,H14,I14,Basic!$F$12)</f>
        <v/>
      </c>
      <c r="H16" s="142" t="str">
        <f>divname(H14,I14)</f>
        <v>Jagannath Drekkana</v>
      </c>
      <c r="I16" s="142"/>
      <c r="J16" s="57" t="str">
        <f>RasiContent(4,Basic!$B$7,H14,I14,Basic!$F$12)</f>
        <v xml:space="preserve"> Sun Jupiter </v>
      </c>
      <c r="L16" s="57" t="str">
        <f>RasiContent(11,Basic!$B$7,M14,N14,Basic!$F$12)</f>
        <v/>
      </c>
      <c r="M16" s="142" t="str">
        <f>divname(M14,N14)</f>
        <v>Parivrittitraya  Drekkana</v>
      </c>
      <c r="N16" s="142"/>
      <c r="O16" s="57" t="str">
        <f>RasiContent(4,Basic!$B$7,M14,N14,Basic!$F$12)</f>
        <v xml:space="preserve"> Saturn </v>
      </c>
    </row>
    <row r="17" spans="2:15" ht="50.1" customHeight="1">
      <c r="B17" s="57" t="str">
        <f>RasiContent(10,Basic!$B$7,C14,D14,Basic!$F$12)</f>
        <v xml:space="preserve"> Mars Rahu</v>
      </c>
      <c r="C17" s="142"/>
      <c r="D17" s="142"/>
      <c r="E17" s="57" t="str">
        <f>RasiContent(5,Basic!$B$7,C14,D14,Basic!$F$12)</f>
        <v xml:space="preserve"> Asdt</v>
      </c>
      <c r="G17" s="57" t="str">
        <f>RasiContent(10,Basic!$B$7,H14,I14,Basic!$F$12)</f>
        <v xml:space="preserve"> Saturn </v>
      </c>
      <c r="H17" s="142"/>
      <c r="I17" s="142"/>
      <c r="J17" s="57" t="str">
        <f>RasiContent(5,Basic!$B$7,H14,I14,Basic!$F$12)</f>
        <v/>
      </c>
      <c r="L17" s="57" t="str">
        <f>RasiContent(10,Basic!$B$7,M14,N14,Basic!$F$12)</f>
        <v xml:space="preserve"> Sun Jupiter </v>
      </c>
      <c r="M17" s="142"/>
      <c r="N17" s="142"/>
      <c r="O17" s="57" t="str">
        <f>RasiContent(5,Basic!$B$7,M14,N14,Basic!$F$12)</f>
        <v xml:space="preserve"> </v>
      </c>
    </row>
    <row r="18" spans="2:15" ht="50.1" customHeight="1">
      <c r="B18" s="57" t="str">
        <f>RasiContent(9,Basic!$B$7,C14,D14,Basic!$F$12)</f>
        <v/>
      </c>
      <c r="C18" s="57" t="str">
        <f>RasiContent(8,Basic!$B$7,C14,D14,Basic!$F$12)</f>
        <v xml:space="preserve"> Jupiter </v>
      </c>
      <c r="D18" s="57" t="str">
        <f>RasiContent(7,Basic!$B$7,C14,D14,Basic!$F$12)</f>
        <v/>
      </c>
      <c r="E18" s="57" t="str">
        <f>RasiContent(6,Basic!$B$7,C14,D14,Basic!$F$12)</f>
        <v xml:space="preserve">  </v>
      </c>
      <c r="G18" s="57" t="str">
        <f>RasiContent(9,Basic!$B$7,H14,I14,Basic!$F$12)</f>
        <v xml:space="preserve"> Asdt</v>
      </c>
      <c r="H18" s="57" t="str">
        <f>RasiContent(8,Basic!$B$7,H14,I14,Basic!$F$12)</f>
        <v/>
      </c>
      <c r="I18" s="57" t="str">
        <f>RasiContent(7,Basic!$B$7,H14,I14,Basic!$F$12)</f>
        <v/>
      </c>
      <c r="J18" s="57" t="str">
        <f>RasiContent(6,Basic!$B$7,H14,I14,Basic!$F$12)</f>
        <v xml:space="preserve"> Moon Mars Rahu</v>
      </c>
      <c r="L18" s="57" t="str">
        <f>RasiContent(9,Basic!$B$7,M14,N14,Basic!$F$12)</f>
        <v xml:space="preserve"> Venus</v>
      </c>
      <c r="M18" s="57" t="str">
        <f>RasiContent(8,Basic!$B$7,M14,N14,Basic!$F$12)</f>
        <v/>
      </c>
      <c r="N18" s="57" t="str">
        <f>RasiContent(7,Basic!$B$7,M14,N14,Basic!$F$12)</f>
        <v/>
      </c>
      <c r="O18" s="57" t="str">
        <f>RasiContent(6,Basic!$B$7,M14,N14,Basic!$F$12)</f>
        <v xml:space="preserve"> Moon Mars Rahu</v>
      </c>
    </row>
    <row r="19" spans="2:15" ht="50.1" customHeight="1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>
      <c r="B21" s="57" t="str">
        <f>RasiContent(12,Basic!$B$7,C20,D20,Basic!$F$12)</f>
        <v xml:space="preserve"> Saturn</v>
      </c>
      <c r="C21" s="57" t="str">
        <f>RasiContent(1,Basic!$B$7,C20,D20,Basic!$F$12)</f>
        <v/>
      </c>
      <c r="D21" s="57" t="str">
        <f>RasiContent(2,Basic!$B$7,C20,D20,Basic!$F$12)</f>
        <v/>
      </c>
      <c r="E21" s="57" t="str">
        <f>RasiContent(3,Basic!$B$7,C20,D20,Basic!$F$12)</f>
        <v xml:space="preserve"> Jupiter </v>
      </c>
      <c r="G21" s="57" t="str">
        <f>RasiContent(12,Basic!$B$7,H20,I20,Basic!$F$12)</f>
        <v xml:space="preserve"> </v>
      </c>
      <c r="H21" s="57" t="str">
        <f>RasiContent(1,Basic!$B$7,H20,I20,Basic!$F$12)</f>
        <v xml:space="preserve"> Merc</v>
      </c>
      <c r="I21" s="57" t="str">
        <f>RasiContent(2,Basic!$B$7,H20,I20,Basic!$F$12)</f>
        <v xml:space="preserve"> Asdt</v>
      </c>
      <c r="J21" s="57" t="str">
        <f>RasiContent(3,Basic!$B$7,H20,I20,Basic!$F$12)</f>
        <v/>
      </c>
      <c r="L21" s="57" t="str">
        <f>RasiContent(12,Basic!$B$7,M20,N20,Basic!$F$12)</f>
        <v/>
      </c>
      <c r="M21" s="57" t="str">
        <f>RasiContent(1,Basic!$B$7,M20,N20,Basic!$F$12)</f>
        <v xml:space="preserve"> Sun</v>
      </c>
      <c r="N21" s="57" t="str">
        <f>RasiContent(2,Basic!$B$7,M20,N20,Basic!$F$12)</f>
        <v/>
      </c>
      <c r="O21" s="57" t="str">
        <f>RasiContent(3,Basic!$B$7,M20,N20,Basic!$F$12)</f>
        <v xml:space="preserve"> Rahu Ketu</v>
      </c>
    </row>
    <row r="22" spans="2:15" ht="50.1" customHeight="1">
      <c r="B22" s="57" t="str">
        <f>RasiContent(11,Basic!$B$7,C20,D20,Basic!$F$12)</f>
        <v/>
      </c>
      <c r="C22" s="142" t="str">
        <f>divname(C20,D20)</f>
        <v>Somnath Drekkana</v>
      </c>
      <c r="D22" s="142"/>
      <c r="E22" s="57" t="str">
        <f>RasiContent(4,Basic!$B$7,C20,D20,Basic!$F$12)</f>
        <v/>
      </c>
      <c r="G22" s="57" t="str">
        <f>RasiContent(11,Basic!$B$7,H20,I20,Basic!$F$12)</f>
        <v xml:space="preserve"> Moon</v>
      </c>
      <c r="H22" s="142" t="str">
        <f>divname(H20,I20)</f>
        <v>Parashara Chaturthamsa</v>
      </c>
      <c r="I22" s="142"/>
      <c r="J22" s="57" t="str">
        <f>RasiContent(4,Basic!$B$7,H20,I20,Basic!$F$12)</f>
        <v xml:space="preserve"> Sun Rahu</v>
      </c>
      <c r="L22" s="57" t="str">
        <f>RasiContent(11,Basic!$B$7,M20,N20,Basic!$F$12)</f>
        <v xml:space="preserve"> Venus </v>
      </c>
      <c r="M22" s="142" t="str">
        <f>divname(M20,N20)</f>
        <v>Cyclical Chaturthamsa</v>
      </c>
      <c r="N22" s="142"/>
      <c r="O22" s="57" t="str">
        <f>RasiContent(4,Basic!$B$7,M20,N20,Basic!$F$12)</f>
        <v xml:space="preserve"> Merc Mars</v>
      </c>
    </row>
    <row r="23" spans="2:15" ht="50.1" customHeight="1">
      <c r="B23" s="57" t="str">
        <f>RasiContent(10,Basic!$B$7,C20,D20,Basic!$F$12)</f>
        <v xml:space="preserve"> Moon Mars Rahu</v>
      </c>
      <c r="C23" s="142"/>
      <c r="D23" s="142"/>
      <c r="E23" s="57" t="str">
        <f>RasiContent(5,Basic!$B$7,C20,D20,Basic!$F$12)</f>
        <v xml:space="preserve"> </v>
      </c>
      <c r="G23" s="57" t="str">
        <f>RasiContent(10,Basic!$B$7,H20,I20,Basic!$F$12)</f>
        <v xml:space="preserve"> Ketu</v>
      </c>
      <c r="H23" s="142"/>
      <c r="I23" s="142"/>
      <c r="J23" s="57" t="str">
        <f>RasiContent(5,Basic!$B$7,H20,I20,Basic!$F$12)</f>
        <v xml:space="preserve"> Saturn</v>
      </c>
      <c r="L23" s="57" t="str">
        <f>RasiContent(10,Basic!$B$7,M20,N20,Basic!$F$12)</f>
        <v/>
      </c>
      <c r="M23" s="142"/>
      <c r="N23" s="142"/>
      <c r="O23" s="57" t="str">
        <f>RasiContent(5,Basic!$B$7,M20,N20,Basic!$F$12)</f>
        <v xml:space="preserve"> Jupiter </v>
      </c>
    </row>
    <row r="24" spans="2:15" ht="50.1" customHeight="1">
      <c r="B24" s="57" t="str">
        <f>RasiContent(9,Basic!$B$7,C20,D20,Basic!$F$12)</f>
        <v xml:space="preserve"> Sun Asdt</v>
      </c>
      <c r="C24" s="57" t="str">
        <f>RasiContent(8,Basic!$B$7,C20,D20,Basic!$F$12)</f>
        <v/>
      </c>
      <c r="D24" s="57" t="str">
        <f>RasiContent(7,Basic!$B$7,C20,D20,Basic!$F$12)</f>
        <v xml:space="preserve"> Merc Ketu</v>
      </c>
      <c r="E24" s="57" t="str">
        <f>RasiContent(6,Basic!$B$7,C20,D20,Basic!$F$12)</f>
        <v xml:space="preserve"> Venus </v>
      </c>
      <c r="G24" s="57" t="str">
        <f>RasiContent(9,Basic!$B$7,H20,I20,Basic!$F$12)</f>
        <v xml:space="preserve"> Venus</v>
      </c>
      <c r="H24" s="57" t="str">
        <f>RasiContent(8,Basic!$B$7,H20,I20,Basic!$F$12)</f>
        <v xml:space="preserve"> Jupiter </v>
      </c>
      <c r="I24" s="57" t="str">
        <f>RasiContent(7,Basic!$B$7,H20,I20,Basic!$F$12)</f>
        <v xml:space="preserve"> Mars</v>
      </c>
      <c r="J24" s="57" t="str">
        <f>RasiContent(6,Basic!$B$7,H20,I20,Basic!$F$12)</f>
        <v xml:space="preserve"> </v>
      </c>
      <c r="L24" s="57" t="str">
        <f>RasiContent(9,Basic!$B$7,M20,N20,Basic!$F$12)</f>
        <v xml:space="preserve"> </v>
      </c>
      <c r="M24" s="57" t="str">
        <f>RasiContent(8,Basic!$B$7,M20,N20,Basic!$F$12)</f>
        <v xml:space="preserve"> Moon Asdt</v>
      </c>
      <c r="N24" s="57" t="str">
        <f>RasiContent(7,Basic!$B$7,M20,N20,Basic!$F$12)</f>
        <v/>
      </c>
      <c r="O24" s="57" t="str">
        <f>RasiContent(6,Basic!$B$7,M20,N20,Basic!$F$12)</f>
        <v xml:space="preserve"> Saturn</v>
      </c>
    </row>
    <row r="25" spans="2:15" ht="50.1" customHeight="1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>
      <c r="B27" s="57" t="str">
        <f>RasiContent(12,Basic!$B$7,C26,D26,Basic!$F$12)</f>
        <v xml:space="preserve"> Jupiter</v>
      </c>
      <c r="C27" s="57" t="str">
        <f>RasiContent(1,Basic!$B$7,C26,D26,Basic!$F$12)</f>
        <v xml:space="preserve">  Rahu Asdt</v>
      </c>
      <c r="D27" s="57" t="str">
        <f>RasiContent(2,Basic!$B$7,C26,D26,Basic!$F$12)</f>
        <v xml:space="preserve"> Venus Mars </v>
      </c>
      <c r="E27" s="57" t="str">
        <f>RasiContent(3,Basic!$B$7,C26,D26,Basic!$F$12)</f>
        <v/>
      </c>
      <c r="G27" s="57" t="str">
        <f>RasiContent(12,Basic!$B$7,H26,I26,Basic!$F$12)</f>
        <v xml:space="preserve"> </v>
      </c>
      <c r="H27" s="57" t="str">
        <f>RasiContent(1,Basic!$B$7,H26,I26,Basic!$F$12)</f>
        <v xml:space="preserve"> Moon</v>
      </c>
      <c r="I27" s="57" t="str">
        <f>RasiContent(2,Basic!$B$7,H26,I26,Basic!$F$12)</f>
        <v xml:space="preserve"> Jupiter</v>
      </c>
      <c r="J27" s="57" t="str">
        <f>RasiContent(3,Basic!$B$7,H26,I26,Basic!$F$12)</f>
        <v xml:space="preserve">   Ketu</v>
      </c>
      <c r="L27" s="57" t="str">
        <f>RasiContent(12,Basic!$B$7,M26,N26,Basic!$F$12)</f>
        <v xml:space="preserve"> Merc Saturn</v>
      </c>
      <c r="M27" s="57" t="str">
        <f>RasiContent(1,Basic!$B$7,M26,N26,Basic!$F$12)</f>
        <v xml:space="preserve"> Venus</v>
      </c>
      <c r="N27" s="57" t="str">
        <f>RasiContent(2,Basic!$B$7,M26,N26,Basic!$F$12)</f>
        <v xml:space="preserve"> </v>
      </c>
      <c r="O27" s="57" t="str">
        <f>RasiContent(3,Basic!$B$7,M26,N26,Basic!$F$12)</f>
        <v/>
      </c>
    </row>
    <row r="28" spans="2:15" ht="50.1" customHeight="1">
      <c r="B28" s="57" t="str">
        <f>RasiContent(11,Basic!$B$7,C26,D26,Basic!$F$12)</f>
        <v/>
      </c>
      <c r="C28" s="142" t="str">
        <f>divname(C26,D26)</f>
        <v>Cyclical Panchamsa</v>
      </c>
      <c r="D28" s="142"/>
      <c r="E28" s="57" t="str">
        <f>RasiContent(4,Basic!$B$7,C26,D26,Basic!$F$12)</f>
        <v xml:space="preserve"> Sun </v>
      </c>
      <c r="G28" s="57" t="str">
        <f>RasiContent(11,Basic!$B$7,H26,I26,Basic!$F$12)</f>
        <v xml:space="preserve"> Asdt</v>
      </c>
      <c r="H28" s="142" t="str">
        <f>divname(H26,I26)</f>
        <v>Saptamsa</v>
      </c>
      <c r="I28" s="142"/>
      <c r="J28" s="57" t="str">
        <f>RasiContent(4,Basic!$B$7,H26,I26,Basic!$F$12)</f>
        <v xml:space="preserve"> Merc</v>
      </c>
      <c r="L28" s="57" t="str">
        <f>RasiContent(11,Basic!$B$7,M26,N26,Basic!$F$12)</f>
        <v xml:space="preserve"> </v>
      </c>
      <c r="M28" s="142" t="str">
        <f>divname(M26,N26)</f>
        <v>Navamsa</v>
      </c>
      <c r="N28" s="142"/>
      <c r="O28" s="57" t="str">
        <f>RasiContent(4,Basic!$B$7,M26,N26,Basic!$F$12)</f>
        <v xml:space="preserve"> Sun Moon Jupiter Rahu</v>
      </c>
    </row>
    <row r="29" spans="2:15" ht="50.1" customHeight="1">
      <c r="B29" s="57" t="str">
        <f>RasiContent(10,Basic!$B$7,C26,D26,Basic!$F$12)</f>
        <v/>
      </c>
      <c r="C29" s="142"/>
      <c r="D29" s="142"/>
      <c r="E29" s="57" t="str">
        <f>RasiContent(5,Basic!$B$7,C26,D26,Basic!$F$12)</f>
        <v/>
      </c>
      <c r="G29" s="57" t="str">
        <f>RasiContent(10,Basic!$B$7,H26,I26,Basic!$F$12)</f>
        <v xml:space="preserve"> Sun Mars Saturn</v>
      </c>
      <c r="H29" s="142"/>
      <c r="I29" s="142"/>
      <c r="J29" s="57" t="str">
        <f>RasiContent(5,Basic!$B$7,H26,I26,Basic!$F$12)</f>
        <v/>
      </c>
      <c r="L29" s="57" t="str">
        <f>RasiContent(10,Basic!$B$7,M26,N26,Basic!$F$12)</f>
        <v xml:space="preserve"> Ketu</v>
      </c>
      <c r="M29" s="142"/>
      <c r="N29" s="142"/>
      <c r="O29" s="57" t="str">
        <f>RasiContent(5,Basic!$B$7,M26,N26,Basic!$F$12)</f>
        <v/>
      </c>
    </row>
    <row r="30" spans="2:15" ht="50.1" customHeight="1">
      <c r="B30" s="57" t="str">
        <f>RasiContent(9,Basic!$B$7,C26,D26,Basic!$F$12)</f>
        <v xml:space="preserve"> Moon</v>
      </c>
      <c r="C30" s="57" t="str">
        <f>RasiContent(8,Basic!$B$7,C26,D26,Basic!$F$12)</f>
        <v xml:space="preserve"> Merc</v>
      </c>
      <c r="D30" s="57" t="str">
        <f>RasiContent(7,Basic!$B$7,C26,D26,Basic!$F$12)</f>
        <v xml:space="preserve"> Saturn Ketu</v>
      </c>
      <c r="E30" s="57" t="str">
        <f>RasiContent(6,Basic!$B$7,C26,D26,Basic!$F$12)</f>
        <v/>
      </c>
      <c r="G30" s="57" t="str">
        <f>RasiContent(9,Basic!$B$7,H26,I26,Basic!$F$12)</f>
        <v xml:space="preserve"> Rahu</v>
      </c>
      <c r="H30" s="57" t="str">
        <f>RasiContent(8,Basic!$B$7,H26,I26,Basic!$F$12)</f>
        <v xml:space="preserve"> Venus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/>
      </c>
      <c r="M30" s="57" t="str">
        <f>RasiContent(8,Basic!$B$7,M26,N26,Basic!$F$12)</f>
        <v xml:space="preserve"> Asdt</v>
      </c>
      <c r="N30" s="57" t="str">
        <f>RasiContent(7,Basic!$B$7,M26,N26,Basic!$F$12)</f>
        <v/>
      </c>
      <c r="O30" s="57" t="str">
        <f>RasiContent(6,Basic!$B$7,M26,N26,Basic!$F$12)</f>
        <v xml:space="preserve"> Mars </v>
      </c>
    </row>
    <row r="31" spans="2:15" ht="50.1" customHeight="1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>
      <c r="B33" s="57" t="str">
        <f>RasiContent(12,Basic!$B$7,C32,D32,Basic!$F$12)</f>
        <v xml:space="preserve"> Sun</v>
      </c>
      <c r="C33" s="57" t="str">
        <f>RasiContent(1,Basic!$B$7,C32,D32,Basic!$F$12)</f>
        <v xml:space="preserve"> Saturn Rahu Asdt</v>
      </c>
      <c r="D33" s="57" t="str">
        <f>RasiContent(2,Basic!$B$7,C32,D32,Basic!$F$12)</f>
        <v/>
      </c>
      <c r="E33" s="57" t="str">
        <f>RasiContent(3,Basic!$B$7,C32,D32,Basic!$F$12)</f>
        <v xml:space="preserve"> Mars </v>
      </c>
      <c r="G33" s="57" t="str">
        <f>RasiContent(12,Basic!$B$7,H32,I32,Basic!$F$12)</f>
        <v xml:space="preserve"> Rahu</v>
      </c>
      <c r="H33" s="57" t="str">
        <f>RasiContent(1,Basic!$B$7,H32,I32,Basic!$F$12)</f>
        <v/>
      </c>
      <c r="I33" s="57" t="str">
        <f>RasiContent(2,Basic!$B$7,H32,I32,Basic!$F$12)</f>
        <v xml:space="preserve"> Mars </v>
      </c>
      <c r="J33" s="57" t="str">
        <f>RasiContent(3,Basic!$B$7,H32,I32,Basic!$F$12)</f>
        <v xml:space="preserve"> Saturn</v>
      </c>
      <c r="L33" s="57" t="str">
        <f>RasiContent(12,Basic!$B$7,M32,N32,Basic!$F$12)</f>
        <v xml:space="preserve">  Ketu</v>
      </c>
      <c r="M33" s="57" t="str">
        <f>RasiContent(1,Basic!$B$7,M32,N32,Basic!$F$12)</f>
        <v/>
      </c>
      <c r="N33" s="57" t="str">
        <f>RasiContent(2,Basic!$B$7,M32,N32,Basic!$F$12)</f>
        <v xml:space="preserve"> Merc</v>
      </c>
      <c r="O33" s="57" t="str">
        <f>RasiContent(3,Basic!$B$7,M32,N32,Basic!$F$12)</f>
        <v xml:space="preserve"> Asdt</v>
      </c>
    </row>
    <row r="34" spans="2:15" ht="50.1" customHeight="1">
      <c r="B34" s="57" t="str">
        <f>RasiContent(11,Basic!$B$7,C32,D32,Basic!$F$12)</f>
        <v/>
      </c>
      <c r="C34" s="142" t="str">
        <f>divname(C32,D32)</f>
        <v>Dasamsa</v>
      </c>
      <c r="D34" s="142"/>
      <c r="E34" s="57" t="str">
        <f>RasiContent(4,Basic!$B$7,C32,D32,Basic!$F$12)</f>
        <v/>
      </c>
      <c r="G34" s="57" t="str">
        <f>RasiContent(11,Basic!$B$7,H32,I32,Basic!$F$12)</f>
        <v/>
      </c>
      <c r="H34" s="142" t="str">
        <f>divname(H32,I32)</f>
        <v>Rudramsa</v>
      </c>
      <c r="I34" s="142"/>
      <c r="J34" s="57" t="str">
        <f>RasiContent(4,Basic!$B$7,H32,I32,Basic!$F$12)</f>
        <v/>
      </c>
      <c r="L34" s="57" t="str">
        <f>RasiContent(11,Basic!$B$7,M32,N32,Basic!$F$12)</f>
        <v xml:space="preserve"> Moon Venus</v>
      </c>
      <c r="M34" s="142" t="str">
        <f>divname(M32,N32)</f>
        <v>Dwadasamsa</v>
      </c>
      <c r="N34" s="142"/>
      <c r="O34" s="57" t="str">
        <f>RasiContent(4,Basic!$B$7,M32,N32,Basic!$F$12)</f>
        <v xml:space="preserve"> Sun</v>
      </c>
    </row>
    <row r="35" spans="2:15" ht="50.1" customHeight="1">
      <c r="B35" s="57" t="str">
        <f>RasiContent(10,Basic!$B$7,C32,D32,Basic!$F$12)</f>
        <v xml:space="preserve"> Venus</v>
      </c>
      <c r="C35" s="142"/>
      <c r="D35" s="142"/>
      <c r="E35" s="57" t="str">
        <f>RasiContent(5,Basic!$B$7,C32,D32,Basic!$F$12)</f>
        <v xml:space="preserve"> Moon Jupiter</v>
      </c>
      <c r="G35" s="57" t="str">
        <f>RasiContent(10,Basic!$B$7,H32,I32,Basic!$F$12)</f>
        <v xml:space="preserve"> Sun</v>
      </c>
      <c r="H35" s="142"/>
      <c r="I35" s="142"/>
      <c r="J35" s="57" t="str">
        <f>RasiContent(5,Basic!$B$7,H32,I32,Basic!$F$12)</f>
        <v/>
      </c>
      <c r="L35" s="57" t="str">
        <f>RasiContent(10,Basic!$B$7,M32,N32,Basic!$F$12)</f>
        <v xml:space="preserve"> </v>
      </c>
      <c r="M35" s="142"/>
      <c r="N35" s="142"/>
      <c r="O35" s="57" t="str">
        <f>RasiContent(5,Basic!$B$7,M32,N32,Basic!$F$12)</f>
        <v xml:space="preserve"> Saturn</v>
      </c>
    </row>
    <row r="36" spans="2:15" ht="50.1" customHeight="1">
      <c r="B36" s="57" t="str">
        <f>RasiContent(9,Basic!$B$7,C32,D32,Basic!$F$12)</f>
        <v xml:space="preserve"> Merc</v>
      </c>
      <c r="C36" s="57" t="str">
        <f>RasiContent(8,Basic!$B$7,C32,D32,Basic!$F$12)</f>
        <v/>
      </c>
      <c r="D36" s="57" t="str">
        <f>RasiContent(7,Basic!$B$7,C32,D32,Basic!$F$12)</f>
        <v xml:space="preserve">  Ketu</v>
      </c>
      <c r="E36" s="57" t="str">
        <f>RasiContent(6,Basic!$B$7,C32,D32,Basic!$F$12)</f>
        <v xml:space="preserve"> </v>
      </c>
      <c r="G36" s="57" t="str">
        <f>RasiContent(9,Basic!$B$7,H32,I32,Basic!$F$12)</f>
        <v xml:space="preserve"> </v>
      </c>
      <c r="H36" s="57" t="str">
        <f>RasiContent(8,Basic!$B$7,H32,I32,Basic!$F$12)</f>
        <v xml:space="preserve"> Moon </v>
      </c>
      <c r="I36" s="57" t="str">
        <f>RasiContent(7,Basic!$B$7,H32,I32,Basic!$F$12)</f>
        <v xml:space="preserve"> Merc Jupiter</v>
      </c>
      <c r="J36" s="57" t="str">
        <f>RasiContent(6,Basic!$B$7,H32,I32,Basic!$F$12)</f>
        <v xml:space="preserve"> Venus Asdt Ketu</v>
      </c>
      <c r="L36" s="57" t="str">
        <f>RasiContent(9,Basic!$B$7,M32,N32,Basic!$F$12)</f>
        <v xml:space="preserve"> Mars Jupiter</v>
      </c>
      <c r="M36" s="57" t="str">
        <f>RasiContent(8,Basic!$B$7,M32,N32,Basic!$F$12)</f>
        <v/>
      </c>
      <c r="N36" s="57" t="str">
        <f>RasiContent(7,Basic!$B$7,M32,N32,Basic!$F$12)</f>
        <v xml:space="preserve"> </v>
      </c>
      <c r="O36" s="57" t="str">
        <f>RasiContent(6,Basic!$B$7,M32,N32,Basic!$F$12)</f>
        <v xml:space="preserve"> Rahu</v>
      </c>
    </row>
    <row r="37" spans="2:15" ht="50.1" customHeight="1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>
      <c r="B39" s="57" t="str">
        <f>RasiContent(12,Basic!$B$7,C38,D38,Basic!$F$12)</f>
        <v xml:space="preserve"> Rahu Ketu</v>
      </c>
      <c r="C39" s="57" t="str">
        <f>RasiContent(1,Basic!$B$7,C38,D38,Basic!$F$12)</f>
        <v/>
      </c>
      <c r="D39" s="57" t="str">
        <f>RasiContent(2,Basic!$B$7,C38,D38,Basic!$F$12)</f>
        <v xml:space="preserve"> Sun</v>
      </c>
      <c r="E39" s="57" t="str">
        <f>RasiContent(3,Basic!$B$7,C38,D38,Basic!$F$12)</f>
        <v xml:space="preserve"> Merc Mars</v>
      </c>
      <c r="G39" s="57" t="str">
        <f>RasiContent(12,Basic!$B$7,H38,I38,Basic!$F$12)</f>
        <v xml:space="preserve"> Moon</v>
      </c>
      <c r="H39" s="57" t="str">
        <f>RasiContent(1,Basic!$B$7,H38,I38,Basic!$F$12)</f>
        <v xml:space="preserve"> </v>
      </c>
      <c r="I39" s="57" t="str">
        <f>RasiContent(2,Basic!$B$7,H38,I38,Basic!$F$12)</f>
        <v xml:space="preserve"> Sun Asdt</v>
      </c>
      <c r="J39" s="57" t="str">
        <f>RasiContent(3,Basic!$B$7,H38,I38,Basic!$F$12)</f>
        <v xml:space="preserve"> Saturn  Rahu Ketu</v>
      </c>
      <c r="L39" s="57" t="str">
        <f>RasiContent(12,Basic!$B$7,M38,N38,Basic!$F$12)</f>
        <v/>
      </c>
      <c r="M39" s="57" t="str">
        <f>RasiContent(1,Basic!$B$7,M38,N38,Basic!$F$12)</f>
        <v xml:space="preserve"> Merc</v>
      </c>
      <c r="N39" s="57" t="str">
        <f>RasiContent(2,Basic!$B$7,M38,N38,Basic!$F$12)</f>
        <v xml:space="preserve"> Mars Asdt</v>
      </c>
      <c r="O39" s="57" t="str">
        <f>RasiContent(3,Basic!$B$7,M38,N38,Basic!$F$12)</f>
        <v/>
      </c>
    </row>
    <row r="40" spans="2:15" ht="50.1" customHeight="1">
      <c r="B40" s="57" t="str">
        <f>RasiContent(11,Basic!$B$7,C38,D38,Basic!$F$12)</f>
        <v xml:space="preserve"> </v>
      </c>
      <c r="C40" s="142" t="str">
        <f>divname(C38,D38)</f>
        <v>Shodasamsa</v>
      </c>
      <c r="D40" s="142"/>
      <c r="E40" s="57" t="str">
        <f>RasiContent(4,Basic!$B$7,C38,D38,Basic!$F$12)</f>
        <v/>
      </c>
      <c r="G40" s="57" t="str">
        <f>RasiContent(11,Basic!$B$7,H38,I38,Basic!$F$12)</f>
        <v xml:space="preserve"> Jupiter</v>
      </c>
      <c r="H40" s="142" t="str">
        <f>divname(H38,I38)</f>
        <v>Vimsamsa</v>
      </c>
      <c r="I40" s="142"/>
      <c r="J40" s="57" t="str">
        <f>RasiContent(4,Basic!$B$7,H38,I38,Basic!$F$12)</f>
        <v/>
      </c>
      <c r="L40" s="57" t="str">
        <f>RasiContent(11,Basic!$B$7,M38,N38,Basic!$F$12)</f>
        <v xml:space="preserve"> Saturn</v>
      </c>
      <c r="M40" s="142" t="str">
        <f>divname(M38,N38)</f>
        <v>Siddhamsa</v>
      </c>
      <c r="N40" s="142"/>
      <c r="O40" s="57" t="str">
        <f>RasiContent(4,Basic!$B$7,M38,N38,Basic!$F$12)</f>
        <v/>
      </c>
    </row>
    <row r="41" spans="2:15" ht="50.1" customHeight="1">
      <c r="B41" s="57" t="str">
        <f>RasiContent(10,Basic!$B$7,C38,D38,Basic!$F$12)</f>
        <v xml:space="preserve"> Saturn</v>
      </c>
      <c r="C41" s="142"/>
      <c r="D41" s="142"/>
      <c r="E41" s="57" t="str">
        <f>RasiContent(5,Basic!$B$7,C38,D38,Basic!$F$12)</f>
        <v xml:space="preserve"> Moon </v>
      </c>
      <c r="G41" s="57" t="str">
        <f>RasiContent(10,Basic!$B$7,H38,I38,Basic!$F$12)</f>
        <v/>
      </c>
      <c r="H41" s="142"/>
      <c r="I41" s="142"/>
      <c r="J41" s="57" t="str">
        <f>RasiContent(5,Basic!$B$7,H38,I38,Basic!$F$12)</f>
        <v/>
      </c>
      <c r="L41" s="57" t="str">
        <f>RasiContent(10,Basic!$B$7,M38,N38,Basic!$F$12)</f>
        <v xml:space="preserve"> Moon Venus</v>
      </c>
      <c r="M41" s="142"/>
      <c r="N41" s="142"/>
      <c r="O41" s="57" t="str">
        <f>RasiContent(5,Basic!$B$7,M38,N38,Basic!$F$12)</f>
        <v xml:space="preserve"> Sun </v>
      </c>
    </row>
    <row r="42" spans="2:15" ht="50.1" customHeight="1">
      <c r="B42" s="57" t="str">
        <f>RasiContent(9,Basic!$B$7,C38,D38,Basic!$F$12)</f>
        <v/>
      </c>
      <c r="C42" s="57" t="str">
        <f>RasiContent(8,Basic!$B$7,C38,D38,Basic!$F$12)</f>
        <v xml:space="preserve"> Venus </v>
      </c>
      <c r="D42" s="57" t="str">
        <f>RasiContent(7,Basic!$B$7,C38,D38,Basic!$F$12)</f>
        <v xml:space="preserve"> Asdt</v>
      </c>
      <c r="E42" s="57" t="str">
        <f>RasiContent(6,Basic!$B$7,C38,D38,Basic!$F$12)</f>
        <v xml:space="preserve"> Jupiter</v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 xml:space="preserve"> Merc Venus Mars </v>
      </c>
      <c r="J42" s="57" t="str">
        <f>RasiContent(6,Basic!$B$7,H38,I38,Basic!$F$12)</f>
        <v/>
      </c>
      <c r="L42" s="57" t="str">
        <f>RasiContent(9,Basic!$B$7,M38,N38,Basic!$F$12)</f>
        <v xml:space="preserve">  Rahu Ketu</v>
      </c>
      <c r="M42" s="57" t="str">
        <f>RasiContent(8,Basic!$B$7,M38,N38,Basic!$F$12)</f>
        <v/>
      </c>
      <c r="N42" s="57" t="str">
        <f>RasiContent(7,Basic!$B$7,M38,N38,Basic!$F$12)</f>
        <v xml:space="preserve"> </v>
      </c>
      <c r="O42" s="57" t="str">
        <f>RasiContent(6,Basic!$B$7,M38,N38,Basic!$F$12)</f>
        <v xml:space="preserve"> Jupiter</v>
      </c>
    </row>
    <row r="43" spans="2:15" ht="50.1" customHeight="1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>
      <c r="B45" s="57" t="str">
        <f>RasiContent(12,Basic!$B$7,C44,D44,Basic!$F$12)</f>
        <v xml:space="preserve"> Sun Moon Jupiter Saturn Asdt</v>
      </c>
      <c r="C45" s="57" t="str">
        <f>RasiContent(1,Basic!$B$7,C44,D44,Basic!$F$12)</f>
        <v/>
      </c>
      <c r="D45" s="57" t="str">
        <f>RasiContent(2,Basic!$B$7,C44,D44,Basic!$F$12)</f>
        <v xml:space="preserve"> Venus</v>
      </c>
      <c r="E45" s="57" t="str">
        <f>RasiContent(3,Basic!$B$7,C44,D44,Basic!$F$12)</f>
        <v/>
      </c>
      <c r="G45" s="57" t="str">
        <f>RasiContent(12,Basic!$B$7,H44,I44,Basic!$F$12)</f>
        <v xml:space="preserve"> </v>
      </c>
      <c r="H45" s="57" t="str">
        <f>RasiContent(1,Basic!$B$7,H44,I44,Basic!$F$12)</f>
        <v xml:space="preserve"> Sun Jupiter </v>
      </c>
      <c r="I45" s="57" t="str">
        <f>RasiContent(2,Basic!$B$7,H44,I44,Basic!$F$12)</f>
        <v/>
      </c>
      <c r="J45" s="57" t="str">
        <f>RasiContent(3,Basic!$B$7,H44,I44,Basic!$F$12)</f>
        <v xml:space="preserve"> Venus</v>
      </c>
      <c r="L45" s="57" t="str">
        <f>RasiContent(12,Basic!$B$7,M44,N44,Basic!$F$12)</f>
        <v/>
      </c>
      <c r="M45" s="57" t="str">
        <f>RasiContent(1,Basic!$B$7,M44,N44,Basic!$F$12)</f>
        <v/>
      </c>
      <c r="N45" s="57" t="str">
        <f>RasiContent(2,Basic!$B$7,M44,N44,Basic!$F$12)</f>
        <v/>
      </c>
      <c r="O45" s="57" t="str">
        <f>RasiContent(3,Basic!$B$7,M44,N44,Basic!$F$12)</f>
        <v xml:space="preserve"> Venus Asdt</v>
      </c>
    </row>
    <row r="46" spans="2:15" ht="50.1" customHeight="1">
      <c r="B46" s="57" t="str">
        <f>RasiContent(11,Basic!$B$7,C44,D44,Basic!$F$12)</f>
        <v xml:space="preserve"> Rahu</v>
      </c>
      <c r="C46" s="142" t="str">
        <f>divname(C44,D44)</f>
        <v>Nakshatramsa</v>
      </c>
      <c r="D46" s="142"/>
      <c r="E46" s="57" t="str">
        <f>RasiContent(4,Basic!$B$7,C44,D44,Basic!$F$12)</f>
        <v xml:space="preserve"> </v>
      </c>
      <c r="G46" s="57" t="str">
        <f>RasiContent(11,Basic!$B$7,H44,I44,Basic!$F$12)</f>
        <v/>
      </c>
      <c r="H46" s="142" t="str">
        <f>divname(H44,I44)</f>
        <v>Standard Trimsamsa</v>
      </c>
      <c r="I46" s="142"/>
      <c r="J46" s="57" t="str">
        <f>RasiContent(4,Basic!$B$7,H44,I44,Basic!$F$12)</f>
        <v/>
      </c>
      <c r="L46" s="57" t="str">
        <f>RasiContent(11,Basic!$B$7,M44,N44,Basic!$F$12)</f>
        <v/>
      </c>
      <c r="M46" s="142" t="str">
        <f>divname(M44,N44)</f>
        <v>Parivritti Trimsa Trimsamsa</v>
      </c>
      <c r="N46" s="142"/>
      <c r="O46" s="57" t="str">
        <f>RasiContent(4,Basic!$B$7,M44,N44,Basic!$F$12)</f>
        <v/>
      </c>
    </row>
    <row r="47" spans="2:15" ht="50.1" customHeight="1">
      <c r="B47" s="57" t="str">
        <f>RasiContent(10,Basic!$B$7,C44,D44,Basic!$F$12)</f>
        <v xml:space="preserve"> Merc</v>
      </c>
      <c r="C47" s="142"/>
      <c r="D47" s="142"/>
      <c r="E47" s="57" t="str">
        <f>RasiContent(5,Basic!$B$7,C44,D44,Basic!$F$12)</f>
        <v xml:space="preserve"> Mars Ketu</v>
      </c>
      <c r="G47" s="57" t="str">
        <f>RasiContent(10,Basic!$B$7,H44,I44,Basic!$F$12)</f>
        <v xml:space="preserve"> Moon Rahu Ketu</v>
      </c>
      <c r="H47" s="142"/>
      <c r="I47" s="142"/>
      <c r="J47" s="57" t="str">
        <f>RasiContent(5,Basic!$B$7,H44,I44,Basic!$F$12)</f>
        <v/>
      </c>
      <c r="L47" s="57" t="str">
        <f>RasiContent(10,Basic!$B$7,M44,N44,Basic!$F$12)</f>
        <v/>
      </c>
      <c r="M47" s="142"/>
      <c r="N47" s="142"/>
      <c r="O47" s="57" t="str">
        <f>RasiContent(5,Basic!$B$7,M44,N44,Basic!$F$12)</f>
        <v/>
      </c>
    </row>
    <row r="48" spans="2:15" ht="50.1" customHeight="1">
      <c r="B48" s="57" t="str">
        <f>RasiContent(9,Basic!$B$7,C44,D44,Basic!$F$12)</f>
        <v/>
      </c>
      <c r="C48" s="57" t="str">
        <f>RasiContent(8,Basic!$B$7,C44,D44,Basic!$F$12)</f>
        <v/>
      </c>
      <c r="D48" s="57" t="str">
        <f>RasiContent(7,Basic!$B$7,C44,D44,Basic!$F$12)</f>
        <v xml:space="preserve"> </v>
      </c>
      <c r="E48" s="57" t="str">
        <f>RasiContent(6,Basic!$B$7,C44,D44,Basic!$F$12)</f>
        <v xml:space="preserve"> </v>
      </c>
      <c r="G48" s="57" t="str">
        <f>RasiContent(9,Basic!$B$7,H44,I44,Basic!$F$12)</f>
        <v/>
      </c>
      <c r="H48" s="57" t="str">
        <f>RasiContent(8,Basic!$B$7,H44,I44,Basic!$F$12)</f>
        <v xml:space="preserve"> Merc Mars</v>
      </c>
      <c r="I48" s="57" t="str">
        <f>RasiContent(7,Basic!$B$7,H44,I44,Basic!$F$12)</f>
        <v xml:space="preserve"> Asdt</v>
      </c>
      <c r="J48" s="57" t="str">
        <f>RasiContent(6,Basic!$B$7,H44,I44,Basic!$F$12)</f>
        <v xml:space="preserve"> Saturn </v>
      </c>
      <c r="L48" s="57" t="str">
        <f>RasiContent(9,Basic!$B$7,M44,N44,Basic!$F$12)</f>
        <v xml:space="preserve"> Moon Merc Mars Rahu Ketu</v>
      </c>
      <c r="M48" s="57" t="str">
        <f>RasiContent(8,Basic!$B$7,M44,N44,Basic!$F$12)</f>
        <v xml:space="preserve"> </v>
      </c>
      <c r="N48" s="57" t="str">
        <f>RasiContent(7,Basic!$B$7,M44,N44,Basic!$F$12)</f>
        <v xml:space="preserve"> Sun Jupiter Saturn  </v>
      </c>
      <c r="O48" s="57" t="str">
        <f>RasiContent(6,Basic!$B$7,M44,N44,Basic!$F$12)</f>
        <v/>
      </c>
    </row>
    <row r="49" spans="2:15" ht="50.1" customHeight="1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>
      <c r="B51" s="57" t="str">
        <f>RasiContent(12,Basic!$B$7,C50,D50,Basic!$F$12)</f>
        <v xml:space="preserve"> Venus</v>
      </c>
      <c r="C51" s="57" t="str">
        <f>RasiContent(1,Basic!$B$7,C50,D50,Basic!$F$12)</f>
        <v xml:space="preserve"> Moon Ketu</v>
      </c>
      <c r="D51" s="57" t="str">
        <f>RasiContent(2,Basic!$B$7,C50,D50,Basic!$F$12)</f>
        <v xml:space="preserve"> Mars </v>
      </c>
      <c r="E51" s="57" t="str">
        <f>RasiContent(3,Basic!$B$7,C50,D50,Basic!$F$12)</f>
        <v/>
      </c>
      <c r="G51" s="57" t="str">
        <f>RasiContent(12,Basic!$B$7,H50,I50,Basic!$F$12)</f>
        <v xml:space="preserve">  Rahu Asdt Ketu</v>
      </c>
      <c r="H51" s="57" t="str">
        <f>RasiContent(1,Basic!$B$7,H50,I50,Basic!$F$12)</f>
        <v xml:space="preserve"> Moon</v>
      </c>
      <c r="I51" s="57" t="str">
        <f>RasiContent(2,Basic!$B$7,H50,I50,Basic!$F$12)</f>
        <v/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/>
      </c>
      <c r="N51" s="57" t="str">
        <f>RasiContent(2,Basic!$B$7,M50,N50,Basic!$F$12)</f>
        <v xml:space="preserve"> </v>
      </c>
      <c r="O51" s="57" t="str">
        <f>RasiContent(3,Basic!$B$7,M50,N50,Basic!$F$12)</f>
        <v xml:space="preserve"> Moon </v>
      </c>
    </row>
    <row r="52" spans="2:15" ht="50.1" customHeight="1">
      <c r="B52" s="57" t="str">
        <f>RasiContent(11,Basic!$B$7,C50,D50,Basic!$F$12)</f>
        <v xml:space="preserve"> Jupiter Saturn</v>
      </c>
      <c r="C52" s="142" t="str">
        <f>divname(C50,D50)</f>
        <v>Trimsamsa (Like Shastyamsa)</v>
      </c>
      <c r="D52" s="142"/>
      <c r="E52" s="57" t="str">
        <f>RasiContent(4,Basic!$B$7,C50,D50,Basic!$F$12)</f>
        <v/>
      </c>
      <c r="G52" s="57" t="str">
        <f>RasiContent(11,Basic!$B$7,H50,I50,Basic!$F$12)</f>
        <v xml:space="preserve"> Jupiter</v>
      </c>
      <c r="H52" s="142" t="str">
        <f>divname(H50,I50)</f>
        <v>Khavedamsa</v>
      </c>
      <c r="I52" s="142"/>
      <c r="J52" s="57" t="str">
        <f>RasiContent(4,Basic!$B$7,H50,I50,Basic!$F$12)</f>
        <v xml:space="preserve">  </v>
      </c>
      <c r="L52" s="57" t="str">
        <f>RasiContent(11,Basic!$B$7,M50,N50,Basic!$F$12)</f>
        <v/>
      </c>
      <c r="M52" s="142" t="str">
        <f>divname(M50,N50)</f>
        <v>Akshavedamsa</v>
      </c>
      <c r="N52" s="142"/>
      <c r="O52" s="57" t="str">
        <f>RasiContent(4,Basic!$B$7,M50,N50,Basic!$F$12)</f>
        <v xml:space="preserve"> Sun</v>
      </c>
    </row>
    <row r="53" spans="2:15" ht="50.1" customHeight="1">
      <c r="B53" s="57" t="str">
        <f>RasiContent(10,Basic!$B$7,C50,D50,Basic!$F$12)</f>
        <v xml:space="preserve"> </v>
      </c>
      <c r="C53" s="142"/>
      <c r="D53" s="142"/>
      <c r="E53" s="57" t="str">
        <f>RasiContent(5,Basic!$B$7,C50,D50,Basic!$F$12)</f>
        <v/>
      </c>
      <c r="G53" s="57" t="str">
        <f>RasiContent(10,Basic!$B$7,H50,I50,Basic!$F$12)</f>
        <v xml:space="preserve"> Sun</v>
      </c>
      <c r="H53" s="142"/>
      <c r="I53" s="142"/>
      <c r="J53" s="57" t="str">
        <f>RasiContent(5,Basic!$B$7,H50,I50,Basic!$F$12)</f>
        <v xml:space="preserve"> Venus</v>
      </c>
      <c r="L53" s="57" t="str">
        <f>RasiContent(10,Basic!$B$7,M50,N50,Basic!$F$12)</f>
        <v/>
      </c>
      <c r="M53" s="142"/>
      <c r="N53" s="142"/>
      <c r="O53" s="57" t="str">
        <f>RasiContent(5,Basic!$B$7,M50,N50,Basic!$F$12)</f>
        <v xml:space="preserve"> Merc Venus</v>
      </c>
    </row>
    <row r="54" spans="2:15" ht="50.1" customHeight="1">
      <c r="B54" s="57" t="str">
        <f>RasiContent(9,Basic!$B$7,C50,D50,Basic!$F$12)</f>
        <v xml:space="preserve"> </v>
      </c>
      <c r="C54" s="57" t="str">
        <f>RasiContent(8,Basic!$B$7,C50,D50,Basic!$F$12)</f>
        <v/>
      </c>
      <c r="D54" s="57" t="str">
        <f>RasiContent(7,Basic!$B$7,C50,D50,Basic!$F$12)</f>
        <v xml:space="preserve"> Merc Rahu Asdt</v>
      </c>
      <c r="E54" s="57" t="str">
        <f>RasiContent(6,Basic!$B$7,C50,D50,Basic!$F$12)</f>
        <v xml:space="preserve"> Sun</v>
      </c>
      <c r="G54" s="57" t="str">
        <f>RasiContent(9,Basic!$B$7,H50,I50,Basic!$F$12)</f>
        <v/>
      </c>
      <c r="H54" s="57" t="str">
        <f>RasiContent(8,Basic!$B$7,H50,I50,Basic!$F$12)</f>
        <v xml:space="preserve"> Mars Saturn</v>
      </c>
      <c r="I54" s="57" t="str">
        <f>RasiContent(7,Basic!$B$7,H50,I50,Basic!$F$12)</f>
        <v xml:space="preserve"> Merc</v>
      </c>
      <c r="J54" s="57" t="str">
        <f>RasiContent(6,Basic!$B$7,H50,I50,Basic!$F$12)</f>
        <v/>
      </c>
      <c r="L54" s="57" t="str">
        <f>RasiContent(9,Basic!$B$7,M50,N50,Basic!$F$12)</f>
        <v xml:space="preserve"> Jupiter  Rahu Ketu</v>
      </c>
      <c r="M54" s="57" t="str">
        <f>RasiContent(8,Basic!$B$7,M50,N50,Basic!$F$12)</f>
        <v xml:space="preserve"> Asdt</v>
      </c>
      <c r="N54" s="57" t="str">
        <f>RasiContent(7,Basic!$B$7,M50,N50,Basic!$F$12)</f>
        <v xml:space="preserve"> Mars Saturn</v>
      </c>
      <c r="O54" s="57" t="str">
        <f>RasiContent(6,Basic!$B$7,M50,N50,Basic!$F$12)</f>
        <v/>
      </c>
    </row>
    <row r="55" spans="2:15" ht="50.1" customHeight="1"/>
    <row r="56" spans="2:15" s="55" customFormat="1" ht="9.9499999999999993" customHeight="1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>
      <c r="B57" s="57" t="str">
        <f>RasiContent(12,Basic!$B$7,C56,D56,Basic!$F$12)</f>
        <v xml:space="preserve"> Moon</v>
      </c>
      <c r="C57" s="57" t="str">
        <f>RasiContent(1,Basic!$B$7,C56,D56,Basic!$F$12)</f>
        <v xml:space="preserve"> </v>
      </c>
      <c r="D57" s="57" t="str">
        <f>RasiContent(2,Basic!$B$7,C56,D56,Basic!$F$12)</f>
        <v xml:space="preserve"> Jupiter </v>
      </c>
      <c r="E57" s="57" t="str">
        <f>RasiContent(3,Basic!$B$7,C56,D56,Basic!$F$12)</f>
        <v/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>
      <c r="B58" s="57" t="str">
        <f>RasiContent(11,Basic!$B$7,C56,D56,Basic!$F$12)</f>
        <v xml:space="preserve"> Ketu</v>
      </c>
      <c r="C58" s="142" t="str">
        <f>divname(C56,D56)</f>
        <v>Shastyamsa</v>
      </c>
      <c r="D58" s="142"/>
      <c r="E58" s="57" t="str">
        <f>RasiContent(4,Basic!$B$7,C56,D56,Basic!$F$12)</f>
        <v/>
      </c>
      <c r="G58" s="57" t="str">
        <f>RasiContent(11,Basic!$B$7,H56,I56,Basic!$F$12)</f>
        <v/>
      </c>
      <c r="H58" s="142" t="str">
        <f>divname(H56,I56)</f>
        <v/>
      </c>
      <c r="I58" s="142"/>
      <c r="J58" s="57" t="str">
        <f>RasiContent(4,Basic!$B$7,H56,I56,Basic!$F$12)</f>
        <v/>
      </c>
      <c r="L58" s="57" t="str">
        <f>RasiContent(11,Basic!$B$7,M56,N56,Basic!$F$12)</f>
        <v/>
      </c>
      <c r="M58" s="142" t="str">
        <f>divname(M56,N56)</f>
        <v/>
      </c>
      <c r="N58" s="142"/>
      <c r="O58" s="57" t="str">
        <f>RasiContent(4,Basic!$B$7,M56,N56,Basic!$F$12)</f>
        <v/>
      </c>
    </row>
    <row r="59" spans="2:15" ht="50.1" customHeight="1">
      <c r="B59" s="57" t="str">
        <f>RasiContent(10,Basic!$B$7,C56,D56,Basic!$F$12)</f>
        <v xml:space="preserve"> Merc Venus</v>
      </c>
      <c r="C59" s="142"/>
      <c r="D59" s="142"/>
      <c r="E59" s="57" t="str">
        <f>RasiContent(5,Basic!$B$7,C56,D56,Basic!$F$12)</f>
        <v xml:space="preserve"> Rahu</v>
      </c>
      <c r="G59" s="57" t="str">
        <f>RasiContent(10,Basic!$B$7,H56,I56,Basic!$F$12)</f>
        <v/>
      </c>
      <c r="H59" s="142"/>
      <c r="I59" s="142"/>
      <c r="J59" s="57" t="str">
        <f>RasiContent(5,Basic!$B$7,H56,I56,Basic!$F$12)</f>
        <v/>
      </c>
      <c r="L59" s="57" t="str">
        <f>RasiContent(10,Basic!$B$7,M56,N56,Basic!$F$12)</f>
        <v/>
      </c>
      <c r="M59" s="142"/>
      <c r="N59" s="142"/>
      <c r="O59" s="57" t="str">
        <f>RasiContent(5,Basic!$B$7,M56,N56,Basic!$F$12)</f>
        <v/>
      </c>
    </row>
    <row r="60" spans="2:15" ht="50.1" customHeight="1">
      <c r="B60" s="57" t="str">
        <f>RasiContent(9,Basic!$B$7,C56,D56,Basic!$F$12)</f>
        <v xml:space="preserve"> Saturn  Asdt</v>
      </c>
      <c r="C60" s="57" t="str">
        <f>RasiContent(8,Basic!$B$7,C56,D56,Basic!$F$12)</f>
        <v xml:space="preserve"> Sun</v>
      </c>
      <c r="D60" s="57" t="str">
        <f>RasiContent(7,Basic!$B$7,C56,D56,Basic!$F$12)</f>
        <v/>
      </c>
      <c r="E60" s="57" t="str">
        <f>RasiContent(6,Basic!$B$7,C56,D56,Basic!$F$12)</f>
        <v xml:space="preserve"> Mars</v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/>
    <row r="62" spans="2:15" ht="50.1" customHeight="1"/>
    <row r="63" spans="2:15" ht="50.1" customHeight="1"/>
    <row r="64" spans="2:15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  <row r="417" ht="50.1" customHeight="1"/>
    <row r="418" ht="50.1" customHeight="1"/>
    <row r="419" ht="50.1" customHeight="1"/>
    <row r="420" ht="50.1" customHeight="1"/>
    <row r="421" ht="50.1" customHeight="1"/>
    <row r="422" ht="50.1" customHeight="1"/>
    <row r="423" ht="50.1" customHeight="1"/>
    <row r="424" ht="50.1" customHeight="1"/>
    <row r="425" ht="50.1" customHeight="1"/>
    <row r="426" ht="50.1" customHeight="1"/>
    <row r="427" ht="50.1" customHeight="1"/>
    <row r="428" ht="50.1" customHeight="1"/>
    <row r="429" ht="50.1" customHeight="1"/>
    <row r="430" ht="50.1" customHeight="1"/>
    <row r="431" ht="50.1" customHeight="1"/>
    <row r="432" ht="50.1" customHeight="1"/>
    <row r="433" ht="50.1" customHeight="1"/>
    <row r="434" ht="50.1" customHeight="1"/>
    <row r="435" ht="50.1" customHeight="1"/>
    <row r="436" ht="50.1" customHeight="1"/>
    <row r="437" ht="50.1" customHeight="1"/>
    <row r="438" ht="50.1" customHeight="1"/>
    <row r="439" ht="50.1" customHeight="1"/>
    <row r="440" ht="50.1" customHeight="1"/>
    <row r="441" ht="50.1" customHeight="1"/>
    <row r="442" ht="50.1" customHeight="1"/>
    <row r="443" ht="50.1" customHeight="1"/>
    <row r="444" ht="50.1" customHeight="1"/>
    <row r="445" ht="50.1" customHeight="1"/>
    <row r="446" ht="50.1" customHeight="1"/>
    <row r="447" ht="50.1" customHeight="1"/>
    <row r="448" ht="50.1" customHeight="1"/>
    <row r="449" ht="50.1" customHeight="1"/>
    <row r="450" ht="50.1" customHeight="1"/>
    <row r="451" ht="50.1" customHeight="1"/>
    <row r="452" ht="50.1" customHeight="1"/>
    <row r="453" ht="50.1" customHeight="1"/>
    <row r="454" ht="50.1" customHeight="1"/>
    <row r="455" ht="50.1" customHeight="1"/>
    <row r="456" ht="50.1" customHeight="1"/>
    <row r="457" ht="50.1" customHeight="1"/>
    <row r="458" ht="50.1" customHeight="1"/>
    <row r="459" ht="50.1" customHeight="1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Sheet1</vt:lpstr>
      <vt:lpstr>Charts</vt:lpstr>
      <vt:lpstr>Basic</vt:lpstr>
      <vt:lpstr>Division</vt:lpstr>
      <vt:lpstr>Two Big Charts</vt:lpstr>
      <vt:lpstr>All Divisional Charts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Sanjay Prabhakaran</cp:lastModifiedBy>
  <cp:lastPrinted>2015-06-15T08:22:27Z</cp:lastPrinted>
  <dcterms:created xsi:type="dcterms:W3CDTF">2001-11-19T16:23:41Z</dcterms:created>
  <dcterms:modified xsi:type="dcterms:W3CDTF">2015-06-15T08:22:30Z</dcterms:modified>
</cp:coreProperties>
</file>