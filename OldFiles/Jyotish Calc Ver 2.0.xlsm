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FSMNSV2NSF24\C_IND_Users\U608394\My Documents\SJC\JyotishCalc-master\"/>
    </mc:Choice>
  </mc:AlternateContent>
  <bookViews>
    <workbookView xWindow="0" yWindow="0" windowWidth="20490" windowHeight="7620" activeTab="1"/>
  </bookViews>
  <sheets>
    <sheet name="Charts" sheetId="27" r:id="rId1"/>
    <sheet name="Basic" sheetId="1" r:id="rId2"/>
    <sheet name="Two Big Charts" sheetId="24" r:id="rId3"/>
    <sheet name="All Divisional Charts" sheetId="26" r:id="rId4"/>
    <sheet name="Division" sheetId="23" r:id="rId5"/>
  </sheets>
  <functionGroups builtInGroupCount="18"/>
  <externalReferences>
    <externalReference r:id="rId6"/>
  </externalReferences>
  <definedNames>
    <definedName name="_xlnm._FilterDatabase" localSheetId="1" hidden="1">Basic!$C$13:$C$27</definedName>
    <definedName name="_xlnm._FilterDatabase" localSheetId="4" hidden="1">Division!$C$4:$C$18</definedName>
    <definedName name="CalLatitude">#REF!</definedName>
    <definedName name="CalLongitude">#REF!</definedName>
    <definedName name="CalMonth">#REF!</definedName>
    <definedName name="CalTimeZone">#REF!</definedName>
    <definedName name="Lat">#REF!</definedName>
    <definedName name="Long">#REF!</definedName>
    <definedName name="_xlnm.Print_Area" localSheetId="1">Basic!$A$1:$Q$27</definedName>
    <definedName name="_xlnm.Print_Area" localSheetId="4">Division!$A$2:$N$18</definedName>
    <definedName name="StarDeg">[1]DATA!$F$44</definedName>
    <definedName name="TimeZone">#REF!</definedName>
  </definedNames>
  <calcPr calcId="162913"/>
</workbook>
</file>

<file path=xl/calcChain.xml><?xml version="1.0" encoding="utf-8"?>
<calcChain xmlns="http://schemas.openxmlformats.org/spreadsheetml/2006/main">
  <c r="G7" i="27" l="1"/>
  <c r="I7" i="27"/>
  <c r="K7" i="27"/>
  <c r="M7" i="27"/>
  <c r="O7" i="27"/>
  <c r="Q7" i="27"/>
  <c r="H7" i="27"/>
  <c r="J7" i="27"/>
  <c r="L7" i="27"/>
  <c r="N7" i="27"/>
  <c r="P7" i="27"/>
  <c r="R7" i="27"/>
  <c r="B9" i="1"/>
  <c r="B8" i="1"/>
  <c r="F28" i="1" l="1"/>
  <c r="F30" i="1"/>
  <c r="F29" i="1"/>
  <c r="S7" i="27"/>
  <c r="T7" i="27"/>
  <c r="U7" i="27" s="1"/>
  <c r="V7" i="27" s="1"/>
  <c r="W7" i="27" s="1"/>
  <c r="X7" i="27" s="1"/>
  <c r="G6" i="27"/>
  <c r="I6" i="27"/>
  <c r="K6" i="27"/>
  <c r="M6" i="27"/>
  <c r="O6" i="27"/>
  <c r="Q6" i="27"/>
  <c r="H6" i="27"/>
  <c r="J6" i="27"/>
  <c r="L6" i="27"/>
  <c r="N6" i="27"/>
  <c r="P6" i="27"/>
  <c r="R6" i="27"/>
  <c r="E28" i="1"/>
  <c r="C28" i="1"/>
  <c r="D28" i="1"/>
  <c r="B28" i="1"/>
  <c r="D29" i="1"/>
  <c r="B29" i="1"/>
  <c r="E29" i="1"/>
  <c r="C29" i="1"/>
  <c r="C30" i="1"/>
  <c r="E30" i="1"/>
  <c r="B30" i="1"/>
  <c r="D30" i="1"/>
  <c r="S6" i="27" l="1"/>
  <c r="T6" i="27"/>
  <c r="U6" i="27" s="1"/>
  <c r="V6" i="27" s="1"/>
  <c r="W6" i="27" s="1"/>
  <c r="X6" i="27" s="1"/>
  <c r="B6" i="1" l="1"/>
  <c r="B5" i="1"/>
  <c r="B4" i="1"/>
  <c r="B3" i="1"/>
  <c r="B2" i="1"/>
  <c r="G5" i="27" l="1"/>
  <c r="I5" i="27" s="1"/>
  <c r="K5" i="27"/>
  <c r="O5" i="27"/>
  <c r="H5" i="27"/>
  <c r="L5" i="27"/>
  <c r="P5" i="27"/>
  <c r="M5" i="27"/>
  <c r="Q5" i="27"/>
  <c r="J5" i="27"/>
  <c r="N5" i="27"/>
  <c r="R5" i="27"/>
  <c r="S5" i="27" l="1"/>
  <c r="T5" i="27"/>
  <c r="U5" i="27" s="1"/>
  <c r="V5" i="27" s="1"/>
  <c r="W5" i="27" s="1"/>
  <c r="X5" i="27" s="1"/>
  <c r="G4" i="27" l="1"/>
  <c r="I4" i="27" s="1"/>
  <c r="F4" i="27" l="1"/>
  <c r="E4" i="27"/>
  <c r="J4" i="27"/>
  <c r="H4" i="27"/>
  <c r="N4" i="27"/>
  <c r="R4" i="27"/>
  <c r="Q4" i="27"/>
  <c r="M4" i="27"/>
  <c r="P4" i="27"/>
  <c r="L4" i="27"/>
  <c r="O4" i="27"/>
  <c r="K4" i="27"/>
  <c r="S4" i="27" l="1"/>
  <c r="T4" i="27"/>
  <c r="U4" i="27" s="1"/>
  <c r="V4" i="27" s="1"/>
  <c r="W4" i="27" s="1"/>
  <c r="X4" i="27" s="1"/>
  <c r="G3" i="27" l="1"/>
  <c r="F3" i="27"/>
  <c r="E3" i="27"/>
  <c r="G2" i="27"/>
  <c r="B7" i="1"/>
  <c r="B10" i="1" s="1"/>
  <c r="L2" i="27"/>
  <c r="J2" i="27"/>
  <c r="R2" i="27"/>
  <c r="O2" i="27"/>
  <c r="H2" i="27"/>
  <c r="M2" i="27"/>
  <c r="P2" i="27"/>
  <c r="N2" i="27"/>
  <c r="K2" i="27"/>
  <c r="Q2" i="27"/>
  <c r="O3" i="27"/>
  <c r="L3" i="27"/>
  <c r="M3" i="27"/>
  <c r="P3" i="27"/>
  <c r="N3" i="27"/>
  <c r="H3" i="27"/>
  <c r="Q3" i="27"/>
  <c r="K3" i="27"/>
  <c r="R3" i="27"/>
  <c r="J3" i="27"/>
  <c r="F16" i="1"/>
  <c r="F19" i="1"/>
  <c r="F21" i="1"/>
  <c r="F17" i="1"/>
  <c r="F18" i="1"/>
  <c r="F13" i="1"/>
  <c r="F15" i="1"/>
  <c r="F20" i="1"/>
  <c r="F14" i="1"/>
  <c r="S3" i="27" l="1"/>
  <c r="I3" i="27"/>
  <c r="I2" i="27"/>
  <c r="H16" i="1"/>
  <c r="H17" i="1"/>
  <c r="H14" i="1"/>
  <c r="H15" i="1"/>
  <c r="H18" i="1"/>
  <c r="H20" i="1"/>
  <c r="H21" i="1"/>
  <c r="H13" i="1"/>
  <c r="H19" i="1"/>
  <c r="F22" i="1"/>
  <c r="H22" i="1" s="1"/>
  <c r="M40" i="26"/>
  <c r="C22" i="26"/>
  <c r="C40" i="26"/>
  <c r="M34" i="26"/>
  <c r="C4" i="26"/>
  <c r="M4" i="26"/>
  <c r="H10" i="26"/>
  <c r="M46" i="26"/>
  <c r="H28" i="26"/>
  <c r="H34" i="26"/>
  <c r="M10" i="26"/>
  <c r="H16" i="26"/>
  <c r="M22" i="26"/>
  <c r="C28" i="26"/>
  <c r="H52" i="26"/>
  <c r="M16" i="26"/>
  <c r="C46" i="26"/>
  <c r="C34" i="26"/>
  <c r="C52" i="26"/>
  <c r="H40" i="26"/>
  <c r="M58" i="26"/>
  <c r="M52" i="26"/>
  <c r="C16" i="26"/>
  <c r="H22" i="26"/>
  <c r="H4" i="26"/>
  <c r="H58" i="26"/>
  <c r="C10" i="26"/>
  <c r="M28" i="26"/>
  <c r="C58" i="26"/>
  <c r="H46" i="26"/>
  <c r="H4" i="24"/>
  <c r="C4" i="24"/>
  <c r="F9" i="23" l="1"/>
  <c r="S2" i="27"/>
  <c r="T3" i="27"/>
  <c r="U3" i="27" s="1"/>
  <c r="V3" i="27" s="1"/>
  <c r="W3" i="27" s="1"/>
  <c r="X3" i="27" s="1"/>
  <c r="F6" i="23"/>
  <c r="F5" i="23"/>
  <c r="F23" i="1"/>
  <c r="H23" i="1" s="1"/>
  <c r="F7" i="23"/>
  <c r="F11" i="23"/>
  <c r="T2" i="27"/>
  <c r="U2" i="27" s="1"/>
  <c r="V2" i="27" s="1"/>
  <c r="W2" i="27" s="1"/>
  <c r="X2" i="27" s="1"/>
  <c r="F10" i="23"/>
  <c r="F4" i="23"/>
  <c r="F12" i="23"/>
  <c r="F8" i="23"/>
  <c r="F13" i="23" l="1"/>
  <c r="F24" i="1"/>
  <c r="H24" i="1" s="1"/>
  <c r="F14" i="23"/>
  <c r="F25" i="1" l="1"/>
  <c r="H25" i="1" s="1"/>
  <c r="F15" i="23"/>
  <c r="C14" i="23"/>
  <c r="B14" i="23"/>
  <c r="B15" i="23" l="1"/>
  <c r="C15" i="23"/>
  <c r="F26" i="1"/>
  <c r="H26" i="1" s="1"/>
  <c r="F16" i="23"/>
  <c r="B16" i="23" l="1"/>
  <c r="C16" i="23"/>
  <c r="F27" i="1"/>
  <c r="H27" i="1" s="1"/>
  <c r="F17" i="23"/>
  <c r="F18" i="23" l="1"/>
  <c r="C18" i="23" s="1"/>
  <c r="C17" i="23"/>
  <c r="B17" i="23"/>
  <c r="B18" i="23" l="1"/>
  <c r="G5" i="24"/>
  <c r="O18" i="26"/>
  <c r="L23" i="26"/>
  <c r="L35" i="26"/>
  <c r="C15" i="26"/>
  <c r="J12" i="26"/>
  <c r="J51" i="26"/>
  <c r="L30" i="26"/>
  <c r="L11" i="26"/>
  <c r="C18" i="26"/>
  <c r="L60" i="26"/>
  <c r="D17" i="1"/>
  <c r="L21" i="26"/>
  <c r="I9" i="26"/>
  <c r="D42" i="26"/>
  <c r="E21" i="1"/>
  <c r="E20" i="1"/>
  <c r="O16" i="26"/>
  <c r="B35" i="26"/>
  <c r="G6" i="26"/>
  <c r="E3" i="26"/>
  <c r="B30" i="26"/>
  <c r="O12" i="26"/>
  <c r="B53" i="26"/>
  <c r="L46" i="26"/>
  <c r="L18" i="26"/>
  <c r="J15" i="26"/>
  <c r="B34" i="26"/>
  <c r="I54" i="26"/>
  <c r="G48" i="26"/>
  <c r="J29" i="26"/>
  <c r="G11" i="26"/>
  <c r="D12" i="26"/>
  <c r="E4" i="26"/>
  <c r="C13" i="1"/>
  <c r="B28" i="26"/>
  <c r="J18" i="26"/>
  <c r="M3" i="26"/>
  <c r="G6" i="24"/>
  <c r="C57" i="26"/>
  <c r="I15" i="1"/>
  <c r="I16" i="1"/>
  <c r="N9" i="26"/>
  <c r="K16" i="1"/>
  <c r="J53" i="26"/>
  <c r="M39" i="26"/>
  <c r="E19" i="1"/>
  <c r="M54" i="26"/>
  <c r="E42" i="26"/>
  <c r="N12" i="26"/>
  <c r="B14" i="1"/>
  <c r="O30" i="26"/>
  <c r="B60" i="26"/>
  <c r="H57" i="26"/>
  <c r="O48" i="26"/>
  <c r="D57" i="26"/>
  <c r="I36" i="26"/>
  <c r="L29" i="26"/>
  <c r="I14" i="1"/>
  <c r="M18" i="26"/>
  <c r="C24" i="26"/>
  <c r="C22" i="1"/>
  <c r="L6" i="26"/>
  <c r="I42" i="26"/>
  <c r="E6" i="26"/>
  <c r="D6" i="24"/>
  <c r="H9" i="26"/>
  <c r="C33" i="26"/>
  <c r="B15" i="1"/>
  <c r="C16" i="1"/>
  <c r="O54" i="26"/>
  <c r="O28" i="26"/>
  <c r="D30" i="26"/>
  <c r="E12" i="26"/>
  <c r="I39" i="26"/>
  <c r="D60" i="26"/>
  <c r="D18" i="1"/>
  <c r="O58" i="26"/>
  <c r="N60" i="26"/>
  <c r="L47" i="26"/>
  <c r="G36" i="26"/>
  <c r="D16" i="1"/>
  <c r="B5" i="24"/>
  <c r="L20" i="1"/>
  <c r="H3" i="26"/>
  <c r="E58" i="26"/>
  <c r="H21" i="26"/>
  <c r="I18" i="1"/>
  <c r="E35" i="26"/>
  <c r="O60" i="26"/>
  <c r="E17" i="26"/>
  <c r="G10" i="26"/>
  <c r="E30" i="26"/>
  <c r="E16" i="1"/>
  <c r="M36" i="26"/>
  <c r="B11" i="26"/>
  <c r="G40" i="26"/>
  <c r="J39" i="26"/>
  <c r="N21" i="26"/>
  <c r="E22" i="26"/>
  <c r="I6" i="24"/>
  <c r="J57" i="26"/>
  <c r="E54" i="26"/>
  <c r="G47" i="26"/>
  <c r="J34" i="26"/>
  <c r="H12" i="26"/>
  <c r="E47" i="26"/>
  <c r="G51" i="26"/>
  <c r="H60" i="26"/>
  <c r="B54" i="26"/>
  <c r="J6" i="24"/>
  <c r="G19" i="1"/>
  <c r="C21" i="1"/>
  <c r="N51" i="26"/>
  <c r="C48" i="26"/>
  <c r="B17" i="26"/>
  <c r="M21" i="26"/>
  <c r="B13" i="1"/>
  <c r="K14" i="1"/>
  <c r="E28" i="26"/>
  <c r="I13" i="1"/>
  <c r="L22" i="26"/>
  <c r="N39" i="26"/>
  <c r="C19" i="1"/>
  <c r="O41" i="26"/>
  <c r="D54" i="26"/>
  <c r="C39" i="26"/>
  <c r="O4" i="26"/>
  <c r="J4" i="24"/>
  <c r="G57" i="26"/>
  <c r="H27" i="26"/>
  <c r="H51" i="26"/>
  <c r="B15" i="26"/>
  <c r="C9" i="26"/>
  <c r="G20" i="1"/>
  <c r="N54" i="26"/>
  <c r="B40" i="26"/>
  <c r="E45" i="26"/>
  <c r="D15" i="26"/>
  <c r="O6" i="26"/>
  <c r="E5" i="24"/>
  <c r="M51" i="26"/>
  <c r="E40" i="26"/>
  <c r="C6" i="24"/>
  <c r="M24" i="26"/>
  <c r="G14" i="1"/>
  <c r="E3" i="24"/>
  <c r="J11" i="26"/>
  <c r="L34" i="26"/>
  <c r="K13" i="1"/>
  <c r="H36" i="26"/>
  <c r="C12" i="26"/>
  <c r="G33" i="26"/>
  <c r="C15" i="1"/>
  <c r="B6" i="24"/>
  <c r="J33" i="26"/>
  <c r="G8" i="23"/>
  <c r="H42" i="26"/>
  <c r="D14" i="1"/>
  <c r="G28" i="26"/>
  <c r="H54" i="26"/>
  <c r="D19" i="1"/>
  <c r="E24" i="26"/>
  <c r="E16" i="26"/>
  <c r="C36" i="26"/>
  <c r="O35" i="26"/>
  <c r="J3" i="24"/>
  <c r="J24" i="26"/>
  <c r="J48" i="26"/>
  <c r="I20" i="1"/>
  <c r="C14" i="1"/>
  <c r="B36" i="26"/>
  <c r="D3" i="24"/>
  <c r="D3" i="26"/>
  <c r="E53" i="26"/>
  <c r="J45" i="26"/>
  <c r="G4" i="24"/>
  <c r="M60" i="26"/>
  <c r="O36" i="26"/>
  <c r="L42" i="26"/>
  <c r="D9" i="26"/>
  <c r="B58" i="26"/>
  <c r="B21" i="1"/>
  <c r="I22" i="1"/>
  <c r="N30" i="26"/>
  <c r="C17" i="1"/>
  <c r="B52" i="26"/>
  <c r="O17" i="26"/>
  <c r="J4" i="26"/>
  <c r="O27" i="26"/>
  <c r="M6" i="26"/>
  <c r="N27" i="26"/>
  <c r="D24" i="1"/>
  <c r="J15" i="1"/>
  <c r="B29" i="26"/>
  <c r="D23" i="1"/>
  <c r="B17" i="1"/>
  <c r="H45" i="26"/>
  <c r="C21" i="26"/>
  <c r="C54" i="26"/>
  <c r="G58" i="26"/>
  <c r="M12" i="26"/>
  <c r="O46" i="26"/>
  <c r="B18" i="1"/>
  <c r="I60" i="26"/>
  <c r="B23" i="26"/>
  <c r="G17" i="1"/>
  <c r="E9" i="26"/>
  <c r="G23" i="26"/>
  <c r="G16" i="1"/>
  <c r="L27" i="26"/>
  <c r="M45" i="26"/>
  <c r="E52" i="26"/>
  <c r="C27" i="26"/>
  <c r="O9" i="26"/>
  <c r="N18" i="26"/>
  <c r="E39" i="26"/>
  <c r="L53" i="26"/>
  <c r="E5" i="26"/>
  <c r="C60" i="26"/>
  <c r="G5" i="23"/>
  <c r="D21" i="26"/>
  <c r="G52" i="26"/>
  <c r="N15" i="26"/>
  <c r="C5" i="23"/>
  <c r="M42" i="26"/>
  <c r="I3" i="26"/>
  <c r="K19" i="1"/>
  <c r="G24" i="26"/>
  <c r="C42" i="26"/>
  <c r="G60" i="26"/>
  <c r="I27" i="26"/>
  <c r="J17" i="26"/>
  <c r="I19" i="1"/>
  <c r="I51" i="26"/>
  <c r="L19" i="1"/>
  <c r="G27" i="26"/>
  <c r="B6" i="26"/>
  <c r="J13" i="1"/>
  <c r="K18" i="1"/>
  <c r="B23" i="1"/>
  <c r="E29" i="26"/>
  <c r="I24" i="26"/>
  <c r="L52" i="26"/>
  <c r="I48" i="26"/>
  <c r="B48" i="26"/>
  <c r="H18" i="26"/>
  <c r="L12" i="26"/>
  <c r="E14" i="1"/>
  <c r="J58" i="26"/>
  <c r="L27" i="1"/>
  <c r="C45" i="26"/>
  <c r="G30" i="26"/>
  <c r="O40" i="26"/>
  <c r="C30" i="26"/>
  <c r="L39" i="26"/>
  <c r="M15" i="26"/>
  <c r="O24" i="26"/>
  <c r="L33" i="26"/>
  <c r="O33" i="26"/>
  <c r="G4" i="23"/>
  <c r="B10" i="26"/>
  <c r="B18" i="26"/>
  <c r="D33" i="26"/>
  <c r="J30" i="26"/>
  <c r="G41" i="26"/>
  <c r="O21" i="26"/>
  <c r="D48" i="26"/>
  <c r="D8" i="23"/>
  <c r="M33" i="26"/>
  <c r="J23" i="26"/>
  <c r="K20" i="1"/>
  <c r="L51" i="26"/>
  <c r="J6" i="26"/>
  <c r="D24" i="26"/>
  <c r="J16" i="1"/>
  <c r="B39" i="26"/>
  <c r="J28" i="26"/>
  <c r="L28" i="26"/>
  <c r="N6" i="26"/>
  <c r="J20" i="1"/>
  <c r="G16" i="23"/>
  <c r="B22" i="26"/>
  <c r="I21" i="1"/>
  <c r="G16" i="26"/>
  <c r="K22" i="1"/>
  <c r="G29" i="26"/>
  <c r="L22" i="1"/>
  <c r="O51" i="26"/>
  <c r="G18" i="1"/>
  <c r="I24" i="1"/>
  <c r="J21" i="1"/>
  <c r="L5" i="26"/>
  <c r="E23" i="26"/>
  <c r="M57" i="26"/>
  <c r="I12" i="26"/>
  <c r="K21" i="1"/>
  <c r="G24" i="1"/>
  <c r="E26" i="1"/>
  <c r="E59" i="26"/>
  <c r="G46" i="26"/>
  <c r="D21" i="1"/>
  <c r="E8" i="23"/>
  <c r="B5" i="23"/>
  <c r="D20" i="1"/>
  <c r="D36" i="26"/>
  <c r="E17" i="1"/>
  <c r="J18" i="1"/>
  <c r="O10" i="26"/>
  <c r="C23" i="1"/>
  <c r="E4" i="23"/>
  <c r="I26" i="1"/>
  <c r="J54" i="26"/>
  <c r="E51" i="26"/>
  <c r="L48" i="26"/>
  <c r="N42" i="26"/>
  <c r="N24" i="26"/>
  <c r="E21" i="26"/>
  <c r="K26" i="1"/>
  <c r="B8" i="23"/>
  <c r="G17" i="23"/>
  <c r="B3" i="26"/>
  <c r="O15" i="26"/>
  <c r="J42" i="26"/>
  <c r="L18" i="1"/>
  <c r="H16" i="23"/>
  <c r="J41" i="26"/>
  <c r="E27" i="1"/>
  <c r="E22" i="1"/>
  <c r="J47" i="26"/>
  <c r="G53" i="26"/>
  <c r="G17" i="26"/>
  <c r="B3" i="24"/>
  <c r="B59" i="26"/>
  <c r="J60" i="26"/>
  <c r="I23" i="1"/>
  <c r="B9" i="26"/>
  <c r="G13" i="1"/>
  <c r="H48" i="26"/>
  <c r="L10" i="26"/>
  <c r="L41" i="26"/>
  <c r="J46" i="26"/>
  <c r="B16" i="26"/>
  <c r="E48" i="26"/>
  <c r="E57" i="26"/>
  <c r="O42" i="26"/>
  <c r="E4" i="24"/>
  <c r="B45" i="26"/>
  <c r="B46" i="26"/>
  <c r="L16" i="1"/>
  <c r="J36" i="26"/>
  <c r="M30" i="26"/>
  <c r="E36" i="26"/>
  <c r="J52" i="26"/>
  <c r="N33" i="26"/>
  <c r="J3" i="26"/>
  <c r="E34" i="26"/>
  <c r="O3" i="26"/>
  <c r="G23" i="1"/>
  <c r="L17" i="1"/>
  <c r="G11" i="23"/>
  <c r="H11" i="23" s="1"/>
  <c r="H39" i="26"/>
  <c r="E10" i="26"/>
  <c r="D39" i="26"/>
  <c r="G5" i="26"/>
  <c r="O47" i="26"/>
  <c r="E23" i="1"/>
  <c r="G4" i="26"/>
  <c r="C8" i="23"/>
  <c r="L15" i="1"/>
  <c r="B4" i="24"/>
  <c r="O53" i="26"/>
  <c r="E13" i="1"/>
  <c r="J10" i="26"/>
  <c r="J9" i="26"/>
  <c r="D22" i="1"/>
  <c r="G34" i="26"/>
  <c r="J40" i="26"/>
  <c r="B24" i="1"/>
  <c r="D18" i="26"/>
  <c r="G15" i="1"/>
  <c r="G9" i="23"/>
  <c r="H9" i="23" s="1"/>
  <c r="G12" i="26"/>
  <c r="O59" i="26"/>
  <c r="O57" i="26"/>
  <c r="C3" i="24"/>
  <c r="L24" i="1"/>
  <c r="D15" i="1"/>
  <c r="K25" i="1"/>
  <c r="K15" i="1"/>
  <c r="J27" i="26"/>
  <c r="B12" i="26"/>
  <c r="L45" i="26"/>
  <c r="I45" i="26"/>
  <c r="M27" i="26"/>
  <c r="B22" i="1"/>
  <c r="G21" i="1"/>
  <c r="O5" i="26"/>
  <c r="E5" i="23"/>
  <c r="I30" i="26"/>
  <c r="N57" i="26"/>
  <c r="O45" i="26"/>
  <c r="B5" i="26"/>
  <c r="I25" i="1"/>
  <c r="B4" i="23"/>
  <c r="E16" i="23"/>
  <c r="C3" i="26"/>
  <c r="B4" i="26"/>
  <c r="J16" i="26"/>
  <c r="G42" i="26"/>
  <c r="J17" i="1"/>
  <c r="O52" i="26"/>
  <c r="L24" i="26"/>
  <c r="I18" i="26"/>
  <c r="J22" i="1"/>
  <c r="D25" i="1"/>
  <c r="C20" i="1"/>
  <c r="D13" i="1"/>
  <c r="G12" i="23"/>
  <c r="H30" i="26"/>
  <c r="E24" i="1"/>
  <c r="O23" i="26"/>
  <c r="O11" i="26"/>
  <c r="B27" i="26"/>
  <c r="B41" i="26"/>
  <c r="L59" i="26"/>
  <c r="B16" i="1"/>
  <c r="C18" i="1"/>
  <c r="N48" i="26"/>
  <c r="E25" i="1"/>
  <c r="G15" i="26"/>
  <c r="N45" i="26"/>
  <c r="H3" i="24"/>
  <c r="J14" i="1"/>
  <c r="G9" i="26"/>
  <c r="B27" i="1"/>
  <c r="H15" i="26"/>
  <c r="B26" i="1"/>
  <c r="D5" i="23"/>
  <c r="D6" i="26"/>
  <c r="H5" i="23"/>
  <c r="H12" i="23"/>
  <c r="O34" i="26"/>
  <c r="E15" i="1"/>
  <c r="M48" i="26"/>
  <c r="G54" i="26"/>
  <c r="C26" i="1"/>
  <c r="G35" i="26"/>
  <c r="D27" i="26"/>
  <c r="L57" i="26"/>
  <c r="B25" i="1"/>
  <c r="I21" i="26"/>
  <c r="I6" i="26"/>
  <c r="L54" i="26"/>
  <c r="L36" i="26"/>
  <c r="H6" i="26"/>
  <c r="E60" i="26"/>
  <c r="B42" i="26"/>
  <c r="J22" i="26"/>
  <c r="B21" i="26"/>
  <c r="J59" i="26"/>
  <c r="G22" i="26"/>
  <c r="C6" i="26"/>
  <c r="E18" i="1"/>
  <c r="I4" i="23"/>
  <c r="E33" i="26"/>
  <c r="G25" i="1"/>
  <c r="D17" i="23"/>
  <c r="J24" i="1"/>
  <c r="N3" i="26"/>
  <c r="H6" i="24"/>
  <c r="L17" i="26"/>
  <c r="E17" i="23"/>
  <c r="G3" i="26"/>
  <c r="J23" i="1"/>
  <c r="G45" i="26"/>
  <c r="I17" i="1"/>
  <c r="B20" i="1"/>
  <c r="E6" i="24"/>
  <c r="C24" i="1"/>
  <c r="J26" i="1"/>
  <c r="L23" i="1"/>
  <c r="J27" i="1"/>
  <c r="C25" i="1"/>
  <c r="I17" i="23"/>
  <c r="L16" i="26"/>
  <c r="L25" i="1"/>
  <c r="J25" i="1"/>
  <c r="G22" i="1"/>
  <c r="G10" i="23"/>
  <c r="L9" i="26"/>
  <c r="G27" i="1"/>
  <c r="H4" i="23"/>
  <c r="C4" i="23"/>
  <c r="J5" i="24"/>
  <c r="K23" i="1"/>
  <c r="L58" i="26"/>
  <c r="G59" i="26"/>
  <c r="E9" i="23"/>
  <c r="L21" i="1"/>
  <c r="G6" i="23"/>
  <c r="O39" i="26"/>
  <c r="K24" i="1"/>
  <c r="B47" i="26"/>
  <c r="I33" i="26"/>
  <c r="K27" i="1"/>
  <c r="B51" i="26"/>
  <c r="B11" i="23"/>
  <c r="B10" i="23"/>
  <c r="I12" i="23"/>
  <c r="N36" i="26"/>
  <c r="E10" i="23"/>
  <c r="G18" i="23"/>
  <c r="J19" i="1"/>
  <c r="D6" i="23"/>
  <c r="C6" i="23"/>
  <c r="D16" i="23"/>
  <c r="H6" i="23"/>
  <c r="E6" i="23"/>
  <c r="E18" i="23"/>
  <c r="C12" i="23"/>
  <c r="O29" i="26"/>
  <c r="G39" i="26"/>
  <c r="G15" i="23"/>
  <c r="B19" i="1"/>
  <c r="D9" i="23"/>
  <c r="D51" i="26"/>
  <c r="L40" i="26"/>
  <c r="H8" i="23"/>
  <c r="I15" i="26"/>
  <c r="I57" i="26"/>
  <c r="G18" i="26"/>
  <c r="I3" i="24"/>
  <c r="H24" i="26"/>
  <c r="G14" i="23"/>
  <c r="D45" i="26"/>
  <c r="D4" i="23"/>
  <c r="D27" i="1"/>
  <c r="E46" i="26"/>
  <c r="K17" i="1"/>
  <c r="I9" i="23"/>
  <c r="I5" i="23"/>
  <c r="G7" i="23"/>
  <c r="H33" i="26"/>
  <c r="B9" i="23"/>
  <c r="C51" i="26"/>
  <c r="I16" i="23"/>
  <c r="E15" i="26"/>
  <c r="L15" i="26"/>
  <c r="G3" i="24"/>
  <c r="G13" i="23"/>
  <c r="L3" i="26"/>
  <c r="B57" i="26"/>
  <c r="I27" i="1"/>
  <c r="L13" i="1"/>
  <c r="G26" i="1"/>
  <c r="G21" i="26"/>
  <c r="E27" i="26"/>
  <c r="D26" i="1"/>
  <c r="I10" i="23"/>
  <c r="I8" i="23"/>
  <c r="I15" i="23"/>
  <c r="O22" i="26"/>
  <c r="C27" i="1"/>
  <c r="H13" i="23"/>
  <c r="H17" i="23"/>
  <c r="C9" i="23"/>
  <c r="E41" i="26"/>
  <c r="L14" i="1"/>
  <c r="B33" i="26"/>
  <c r="E7" i="23"/>
  <c r="E11" i="26"/>
  <c r="H10" i="23"/>
  <c r="E14" i="23"/>
  <c r="J35" i="26"/>
  <c r="D18" i="23"/>
  <c r="H18" i="23"/>
  <c r="H14" i="23"/>
  <c r="I18" i="23"/>
  <c r="I13" i="23"/>
  <c r="B6" i="23"/>
  <c r="I6" i="23"/>
  <c r="M9" i="26"/>
  <c r="D15" i="23"/>
  <c r="J5" i="26"/>
  <c r="E18" i="26"/>
  <c r="L4" i="26"/>
  <c r="B24" i="26"/>
  <c r="L26" i="1"/>
  <c r="J21" i="26"/>
  <c r="D13" i="23"/>
  <c r="D11" i="23"/>
  <c r="D10" i="23"/>
  <c r="C7" i="23"/>
  <c r="C11" i="23"/>
  <c r="I11" i="23"/>
  <c r="E11" i="23"/>
  <c r="C10" i="23"/>
  <c r="D12" i="23"/>
  <c r="E12" i="23"/>
  <c r="E15" i="23"/>
  <c r="H15" i="23"/>
  <c r="I14" i="23"/>
  <c r="D14" i="23"/>
  <c r="H7" i="23"/>
  <c r="I7" i="23"/>
  <c r="D7" i="23"/>
  <c r="B7" i="23"/>
  <c r="E13" i="23"/>
  <c r="B13" i="23"/>
  <c r="I28" i="24" l="1"/>
  <c r="I32" i="24"/>
  <c r="I30" i="24"/>
  <c r="I35" i="24"/>
  <c r="I29" i="24"/>
  <c r="I34" i="24"/>
  <c r="I31" i="24"/>
  <c r="I36" i="24"/>
  <c r="I27" i="24"/>
  <c r="I26" i="24"/>
  <c r="I33" i="24"/>
  <c r="I25" i="24"/>
  <c r="J25" i="24"/>
  <c r="J26" i="24"/>
  <c r="J35" i="24"/>
  <c r="J28" i="24"/>
  <c r="J33" i="24"/>
  <c r="J30" i="24"/>
  <c r="J29" i="24"/>
  <c r="J36" i="24"/>
  <c r="J27" i="24"/>
  <c r="J31" i="24"/>
  <c r="J34" i="24"/>
  <c r="J32" i="24"/>
  <c r="F33" i="24"/>
  <c r="F25" i="24"/>
  <c r="F34" i="24"/>
  <c r="F35" i="24"/>
  <c r="F31" i="24"/>
  <c r="F32" i="24"/>
  <c r="F27" i="24"/>
  <c r="F36" i="24"/>
  <c r="F29" i="24"/>
  <c r="F30" i="24"/>
  <c r="F28" i="24"/>
  <c r="F26" i="24"/>
  <c r="H35" i="24"/>
  <c r="H28" i="24"/>
  <c r="H34" i="24"/>
  <c r="H26" i="24"/>
  <c r="H30" i="24"/>
  <c r="H33" i="24"/>
  <c r="H31" i="24"/>
  <c r="H32" i="24"/>
  <c r="H29" i="24"/>
  <c r="H25" i="24"/>
  <c r="H27" i="24"/>
  <c r="H36" i="24"/>
  <c r="K25" i="24"/>
  <c r="K28" i="24"/>
  <c r="K32" i="24"/>
  <c r="K35" i="24"/>
  <c r="K36" i="24"/>
  <c r="K27" i="24"/>
  <c r="K29" i="24"/>
  <c r="K33" i="24"/>
  <c r="K34" i="24"/>
  <c r="K26" i="24"/>
  <c r="K31" i="24"/>
  <c r="K30" i="24"/>
  <c r="E34" i="24"/>
  <c r="E35" i="24"/>
  <c r="E31" i="24"/>
  <c r="E26" i="24"/>
  <c r="E32" i="24"/>
  <c r="E36" i="24"/>
  <c r="E29" i="24"/>
  <c r="E30" i="24"/>
  <c r="E27" i="24"/>
  <c r="E33" i="24"/>
  <c r="E28" i="24"/>
  <c r="E25" i="24"/>
  <c r="C30" i="24"/>
  <c r="C35" i="24"/>
  <c r="C25" i="24"/>
  <c r="C31" i="24"/>
  <c r="C29" i="24"/>
  <c r="C36" i="24"/>
  <c r="C33" i="24"/>
  <c r="C27" i="24"/>
  <c r="C34" i="24"/>
  <c r="C28" i="24"/>
  <c r="C26" i="24"/>
  <c r="C32" i="24"/>
  <c r="H14" i="24"/>
  <c r="H15" i="24"/>
  <c r="H18" i="24"/>
  <c r="H13" i="24"/>
  <c r="H20" i="24"/>
  <c r="H22" i="24"/>
  <c r="H12" i="24"/>
  <c r="H17" i="24"/>
  <c r="H21" i="24"/>
  <c r="H19" i="24"/>
  <c r="H16" i="24"/>
  <c r="H11" i="24"/>
  <c r="J20" i="24"/>
  <c r="J11" i="24"/>
  <c r="J16" i="24"/>
  <c r="J22" i="24"/>
  <c r="J21" i="24"/>
  <c r="J14" i="24"/>
  <c r="J18" i="24"/>
  <c r="J12" i="24"/>
  <c r="J15" i="24"/>
  <c r="J17" i="24"/>
  <c r="J13" i="24"/>
  <c r="J19" i="24"/>
  <c r="G26" i="24"/>
  <c r="G27" i="24"/>
  <c r="G34" i="24"/>
  <c r="G28" i="24"/>
  <c r="G36" i="24"/>
  <c r="G35" i="24"/>
  <c r="G31" i="24"/>
  <c r="G33" i="24"/>
  <c r="G32" i="24"/>
  <c r="G29" i="24"/>
  <c r="G30" i="24"/>
  <c r="G25" i="24"/>
  <c r="D33" i="24"/>
  <c r="D32" i="24"/>
  <c r="D28" i="24"/>
  <c r="D30" i="24"/>
  <c r="D25" i="24"/>
  <c r="D35" i="24"/>
  <c r="D34" i="24"/>
  <c r="D26" i="24"/>
  <c r="D36" i="24"/>
  <c r="D27" i="24"/>
  <c r="D29" i="24"/>
  <c r="D31" i="24"/>
  <c r="G18" i="24"/>
  <c r="G19" i="24"/>
  <c r="G14" i="24"/>
  <c r="G15" i="24"/>
  <c r="G21" i="24"/>
  <c r="G22" i="24"/>
  <c r="G16" i="24"/>
  <c r="G12" i="24"/>
  <c r="G11" i="24"/>
  <c r="G17" i="24"/>
  <c r="G20" i="24"/>
  <c r="G13" i="24"/>
  <c r="D15" i="24"/>
  <c r="D21" i="24"/>
  <c r="D16" i="24"/>
  <c r="D11" i="24"/>
  <c r="D19" i="24"/>
  <c r="D18" i="24"/>
  <c r="D12" i="24"/>
  <c r="D22" i="24"/>
  <c r="D20" i="24"/>
  <c r="D13" i="24"/>
  <c r="D14" i="24"/>
  <c r="D17" i="24"/>
  <c r="E22" i="24"/>
  <c r="E15" i="24"/>
  <c r="E16" i="24"/>
  <c r="E11" i="24"/>
  <c r="E21" i="24"/>
  <c r="E14" i="24"/>
  <c r="E17" i="24"/>
  <c r="E19" i="24"/>
  <c r="E12" i="24"/>
  <c r="E13" i="24"/>
  <c r="E20" i="24"/>
  <c r="E18" i="24"/>
  <c r="I18" i="24"/>
  <c r="I17" i="24"/>
  <c r="I19" i="24"/>
  <c r="I11" i="24"/>
  <c r="I14" i="24"/>
  <c r="I21" i="24"/>
  <c r="I15" i="24"/>
  <c r="I20" i="24"/>
  <c r="I12" i="24"/>
  <c r="I13" i="24"/>
  <c r="I22" i="24"/>
  <c r="I16" i="24"/>
  <c r="K22" i="24"/>
  <c r="K12" i="24"/>
  <c r="K15" i="24"/>
  <c r="K11" i="24"/>
  <c r="M11" i="24" s="1"/>
  <c r="K17" i="24"/>
  <c r="K19" i="24"/>
  <c r="K21" i="24"/>
  <c r="K14" i="24"/>
  <c r="K18" i="24"/>
  <c r="K13" i="24"/>
  <c r="K16" i="24"/>
  <c r="K20" i="24"/>
  <c r="F16" i="24"/>
  <c r="F18" i="24"/>
  <c r="F17" i="24"/>
  <c r="F15" i="24"/>
  <c r="F13" i="24"/>
  <c r="F12" i="24"/>
  <c r="F21" i="24"/>
  <c r="F20" i="24"/>
  <c r="F22" i="24"/>
  <c r="F14" i="24"/>
  <c r="F11" i="24"/>
  <c r="F19" i="24"/>
  <c r="L21" i="24"/>
  <c r="L20" i="24"/>
  <c r="L15" i="24"/>
  <c r="L16" i="24"/>
  <c r="L17" i="24"/>
  <c r="L14" i="24"/>
  <c r="L12" i="24"/>
  <c r="L18" i="24"/>
  <c r="L19" i="24"/>
  <c r="L13" i="24"/>
  <c r="L22" i="24"/>
  <c r="L11" i="24"/>
  <c r="C12" i="24"/>
  <c r="C15" i="24"/>
  <c r="C20" i="24"/>
  <c r="C13" i="24"/>
  <c r="C22" i="24"/>
  <c r="C16" i="24"/>
  <c r="C19" i="24"/>
  <c r="C11" i="24"/>
  <c r="C17" i="24"/>
  <c r="C18" i="24"/>
  <c r="C21" i="24"/>
  <c r="C14" i="24"/>
  <c r="C13" i="23"/>
  <c r="B12" i="23"/>
  <c r="M14" i="24" l="1"/>
  <c r="M18" i="24"/>
  <c r="M16" i="24"/>
  <c r="M13" i="24"/>
  <c r="M15" i="24"/>
  <c r="L25" i="24"/>
  <c r="M25" i="24" s="1"/>
  <c r="L36" i="24"/>
  <c r="M36" i="24" s="1"/>
  <c r="L35" i="24"/>
  <c r="M35" i="24" s="1"/>
  <c r="L34" i="24"/>
  <c r="M34" i="24" s="1"/>
  <c r="L33" i="24"/>
  <c r="L27" i="24"/>
  <c r="L30" i="24"/>
  <c r="L26" i="24"/>
  <c r="M26" i="24" s="1"/>
  <c r="L31" i="24"/>
  <c r="L28" i="24"/>
  <c r="M28" i="24" s="1"/>
  <c r="L32" i="24"/>
  <c r="L29" i="24"/>
  <c r="M29" i="24" s="1"/>
  <c r="M30" i="24"/>
  <c r="M21" i="24"/>
  <c r="M17" i="24"/>
  <c r="M19" i="24"/>
  <c r="M22" i="24"/>
  <c r="M20" i="24"/>
  <c r="M12" i="24"/>
  <c r="M32" i="24"/>
  <c r="M27" i="24"/>
  <c r="M31" i="24"/>
  <c r="M33" i="24"/>
</calcChain>
</file>

<file path=xl/sharedStrings.xml><?xml version="1.0" encoding="utf-8"?>
<sst xmlns="http://schemas.openxmlformats.org/spreadsheetml/2006/main" count="123" uniqueCount="68">
  <si>
    <t>Sarajit Poddar</t>
  </si>
  <si>
    <t>Pada</t>
  </si>
  <si>
    <t xml:space="preserve">Sun </t>
  </si>
  <si>
    <t xml:space="preserve">Moon </t>
  </si>
  <si>
    <t xml:space="preserve">Mercury </t>
  </si>
  <si>
    <t xml:space="preserve">Venus </t>
  </si>
  <si>
    <t xml:space="preserve">Saturn </t>
  </si>
  <si>
    <t xml:space="preserve">Rahu </t>
  </si>
  <si>
    <t xml:space="preserve">Ketu </t>
  </si>
  <si>
    <t xml:space="preserve">Asdt </t>
  </si>
  <si>
    <t>Rasi</t>
  </si>
  <si>
    <t>Dhooma</t>
  </si>
  <si>
    <t>Vyati</t>
  </si>
  <si>
    <t>I.Chapa</t>
  </si>
  <si>
    <t>Upaketu</t>
  </si>
  <si>
    <t>Nakshatra</t>
  </si>
  <si>
    <t xml:space="preserve">Mars </t>
  </si>
  <si>
    <t xml:space="preserve">(Jupiter) </t>
  </si>
  <si>
    <t>Latitude</t>
  </si>
  <si>
    <t>Longitude</t>
  </si>
  <si>
    <t>Weekday</t>
  </si>
  <si>
    <t>Name</t>
  </si>
  <si>
    <t>Date of Birth</t>
  </si>
  <si>
    <t>Time of Birth</t>
  </si>
  <si>
    <t>Time Zone</t>
  </si>
  <si>
    <t>GMT Date and Time</t>
  </si>
  <si>
    <t>Sunrise</t>
  </si>
  <si>
    <t>Planet</t>
  </si>
  <si>
    <t>Deg</t>
  </si>
  <si>
    <t>Parivesha</t>
  </si>
  <si>
    <t>Division</t>
  </si>
  <si>
    <t>House</t>
  </si>
  <si>
    <t>Ar</t>
  </si>
  <si>
    <t>Ta</t>
  </si>
  <si>
    <t>Ge</t>
  </si>
  <si>
    <t>Cn</t>
  </si>
  <si>
    <t>Le</t>
  </si>
  <si>
    <t>Vi</t>
  </si>
  <si>
    <t>Li</t>
  </si>
  <si>
    <t>Sc</t>
  </si>
  <si>
    <t>Sg</t>
  </si>
  <si>
    <t>Cp</t>
  </si>
  <si>
    <t>Aq</t>
  </si>
  <si>
    <t>Pi</t>
  </si>
  <si>
    <t>Jupiter</t>
  </si>
  <si>
    <t>Min</t>
  </si>
  <si>
    <t>Sec</t>
  </si>
  <si>
    <t>Deg in Rasi</t>
  </si>
  <si>
    <t>Deg in Division</t>
  </si>
  <si>
    <t>Naks Deity</t>
  </si>
  <si>
    <t>Naks Lord (Vims)</t>
  </si>
  <si>
    <t>Navamsa Dwadasamsa Example</t>
  </si>
  <si>
    <t>Sanjay Prabhakaran</t>
  </si>
  <si>
    <t>United Nations</t>
  </si>
  <si>
    <t>Madan</t>
  </si>
  <si>
    <t>Washintong DC vilambi 2018</t>
  </si>
  <si>
    <t>TZ</t>
  </si>
  <si>
    <t>Date</t>
  </si>
  <si>
    <t>Time</t>
  </si>
  <si>
    <t>Lat</t>
  </si>
  <si>
    <t>Long</t>
  </si>
  <si>
    <t>UT(GMT)</t>
  </si>
  <si>
    <t>Merc</t>
  </si>
  <si>
    <t>JJ Punya</t>
  </si>
  <si>
    <t>Hora Lagna</t>
  </si>
  <si>
    <t>Ghatika Lagna</t>
  </si>
  <si>
    <t>Bhaava Lagna</t>
  </si>
  <si>
    <t>Sunset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</si>
</sst>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d\-mmm\-yyyy\ h:mm:ss\ AM/PM"/>
    <numFmt numFmtId="165" formatCode="dd/mm/yyyy\ hh:mm:ss"/>
    <numFmt numFmtId="166" formatCode="0.0000"/>
    <numFmt numFmtId="167" formatCode="mmmm\ d\,\ yyyy"/>
    <numFmt numFmtId="168" formatCode="dd\.mm\.yyyy"/>
    <numFmt numFmtId="169" formatCode="h:mm:ss;@"/>
    <numFmt numFmtId="170" formatCode="dd\.mm\.yyyy\ hh:mm:ss"/>
    <numFmt numFmtId="171" formatCode="[$-F400]h:mm:ss\ AM/PM"/>
    <numFmt numFmtId="172" formatCode="yyyy/mm/dd\ ddd\ hh:mm"/>
    <numFmt numFmtId="173" formatCode="0.000"/>
  </numFmts>
  <fonts count="21" x14ac:knownFonts="1">
    <font>
      <sz val="10"/>
      <name val="Arial"/>
    </font>
    <font>
      <b/>
      <i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i/>
      <sz val="10"/>
      <color indexed="10"/>
      <name val="Arial"/>
      <family val="2"/>
    </font>
    <font>
      <b/>
      <sz val="12"/>
      <name val="Arial"/>
      <family val="2"/>
    </font>
    <font>
      <b/>
      <sz val="10"/>
      <color indexed="42"/>
      <name val="Arial"/>
      <family val="2"/>
    </font>
    <font>
      <i/>
      <sz val="11"/>
      <name val="Garamond"/>
      <family val="1"/>
    </font>
    <font>
      <b/>
      <i/>
      <sz val="10"/>
      <color indexed="8"/>
      <name val="Arial"/>
      <family val="2"/>
    </font>
    <font>
      <b/>
      <i/>
      <sz val="10"/>
      <color indexed="42"/>
      <name val="Arial"/>
      <family val="2"/>
    </font>
    <font>
      <sz val="10"/>
      <color indexed="42"/>
      <name val="Arial"/>
      <family val="2"/>
    </font>
    <font>
      <b/>
      <sz val="12"/>
      <name val="Arial"/>
      <family val="2"/>
    </font>
    <font>
      <sz val="10"/>
      <color indexed="47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i/>
      <sz val="10"/>
      <name val="Garamond"/>
      <family val="1"/>
    </font>
    <font>
      <sz val="12"/>
      <name val="Arial"/>
      <family val="2"/>
    </font>
    <font>
      <i/>
      <sz val="12"/>
      <name val="Garamond"/>
      <family val="1"/>
    </font>
    <font>
      <sz val="12"/>
      <name val="Arial"/>
      <family val="2"/>
    </font>
    <font>
      <sz val="18"/>
      <name val="Algerian"/>
      <family val="5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2">
    <xf numFmtId="0" fontId="0" fillId="0" borderId="0" xfId="0"/>
    <xf numFmtId="0" fontId="1" fillId="2" borderId="1" xfId="0" applyFont="1" applyFill="1" applyBorder="1" applyProtection="1"/>
    <xf numFmtId="0" fontId="8" fillId="2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8" fillId="2" borderId="1" xfId="0" applyFont="1" applyFill="1" applyBorder="1" applyAlignment="1" applyProtection="1">
      <alignment horizontal="left"/>
      <protection locked="0"/>
    </xf>
    <xf numFmtId="0" fontId="1" fillId="2" borderId="1" xfId="0" applyFont="1" applyFill="1" applyBorder="1" applyAlignment="1" applyProtection="1">
      <alignment horizontal="left"/>
      <protection locked="0"/>
    </xf>
    <xf numFmtId="164" fontId="1" fillId="2" borderId="0" xfId="0" applyNumberFormat="1" applyFont="1" applyFill="1" applyBorder="1" applyProtection="1"/>
    <xf numFmtId="0" fontId="0" fillId="2" borderId="0" xfId="0" applyFill="1" applyBorder="1" applyProtection="1"/>
    <xf numFmtId="22" fontId="0" fillId="2" borderId="0" xfId="0" applyNumberFormat="1" applyFill="1" applyBorder="1" applyProtection="1"/>
    <xf numFmtId="0" fontId="0" fillId="2" borderId="0" xfId="0" applyFill="1" applyBorder="1" applyAlignment="1" applyProtection="1">
      <alignment horizontal="left"/>
    </xf>
    <xf numFmtId="0" fontId="0" fillId="2" borderId="0" xfId="0" applyFill="1" applyBorder="1" applyAlignment="1" applyProtection="1">
      <alignment horizontal="center"/>
    </xf>
    <xf numFmtId="0" fontId="3" fillId="2" borderId="0" xfId="0" applyFont="1" applyFill="1" applyBorder="1" applyProtection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1" fillId="2" borderId="0" xfId="0" applyFont="1" applyFill="1" applyBorder="1" applyProtection="1"/>
    <xf numFmtId="0" fontId="4" fillId="2" borderId="0" xfId="0" applyFont="1" applyFill="1" applyBorder="1" applyAlignment="1" applyProtection="1">
      <alignment horizontal="left"/>
      <protection locked="0"/>
    </xf>
    <xf numFmtId="2" fontId="0" fillId="2" borderId="0" xfId="0" applyNumberFormat="1" applyFill="1" applyBorder="1" applyProtection="1"/>
    <xf numFmtId="0" fontId="3" fillId="2" borderId="0" xfId="0" applyFont="1" applyFill="1" applyBorder="1" applyAlignment="1">
      <alignment shrinkToFit="1"/>
    </xf>
    <xf numFmtId="0" fontId="9" fillId="2" borderId="0" xfId="0" applyFont="1" applyFill="1" applyBorder="1" applyAlignment="1" applyProtection="1">
      <alignment horizontal="center"/>
      <protection locked="0"/>
    </xf>
    <xf numFmtId="0" fontId="0" fillId="2" borderId="0" xfId="0" applyFill="1" applyBorder="1" applyAlignment="1">
      <alignment shrinkToFit="1"/>
    </xf>
    <xf numFmtId="0" fontId="0" fillId="2" borderId="0" xfId="0" applyFill="1" applyBorder="1" applyAlignment="1">
      <alignment horizontal="center"/>
    </xf>
    <xf numFmtId="0" fontId="3" fillId="2" borderId="0" xfId="0" applyFont="1" applyFill="1" applyBorder="1"/>
    <xf numFmtId="0" fontId="10" fillId="2" borderId="0" xfId="0" applyNumberFormat="1" applyFont="1" applyFill="1" applyBorder="1" applyAlignment="1" applyProtection="1">
      <alignment horizontal="center"/>
    </xf>
    <xf numFmtId="0" fontId="10" fillId="2" borderId="0" xfId="0" applyFont="1" applyFill="1" applyBorder="1" applyProtection="1"/>
    <xf numFmtId="0" fontId="5" fillId="2" borderId="0" xfId="0" applyFont="1" applyFill="1" applyBorder="1" applyAlignment="1">
      <alignment horizontal="left"/>
    </xf>
    <xf numFmtId="0" fontId="2" fillId="2" borderId="0" xfId="0" applyFont="1" applyFill="1" applyBorder="1" applyAlignment="1" applyProtection="1">
      <alignment horizontal="right"/>
    </xf>
    <xf numFmtId="0" fontId="2" fillId="2" borderId="0" xfId="0" applyFont="1" applyFill="1" applyBorder="1" applyAlignment="1" applyProtection="1">
      <alignment horizontal="left"/>
    </xf>
    <xf numFmtId="0" fontId="2" fillId="2" borderId="0" xfId="0" applyFont="1" applyFill="1" applyBorder="1" applyAlignment="1" applyProtection="1">
      <alignment horizontal="center"/>
      <protection locked="0"/>
    </xf>
    <xf numFmtId="0" fontId="2" fillId="2" borderId="0" xfId="0" applyFont="1" applyFill="1" applyBorder="1" applyAlignment="1" applyProtection="1">
      <alignment horizontal="center"/>
    </xf>
    <xf numFmtId="167" fontId="2" fillId="2" borderId="0" xfId="0" applyNumberFormat="1" applyFont="1" applyFill="1" applyBorder="1" applyAlignment="1" applyProtection="1">
      <alignment horizontal="center"/>
    </xf>
    <xf numFmtId="165" fontId="2" fillId="2" borderId="0" xfId="0" applyNumberFormat="1" applyFont="1" applyFill="1" applyBorder="1" applyAlignment="1" applyProtection="1">
      <alignment horizontal="left"/>
    </xf>
    <xf numFmtId="19" fontId="2" fillId="2" borderId="0" xfId="0" applyNumberFormat="1" applyFont="1" applyFill="1" applyBorder="1" applyAlignment="1" applyProtection="1">
      <alignment horizontal="center"/>
    </xf>
    <xf numFmtId="0" fontId="2" fillId="2" borderId="0" xfId="0" quotePrefix="1" applyFont="1" applyFill="1" applyBorder="1" applyAlignment="1" applyProtection="1">
      <alignment horizontal="right"/>
    </xf>
    <xf numFmtId="0" fontId="6" fillId="2" borderId="0" xfId="0" applyFont="1" applyFill="1" applyBorder="1" applyAlignment="1" applyProtection="1">
      <alignment horizontal="center"/>
    </xf>
    <xf numFmtId="165" fontId="2" fillId="2" borderId="0" xfId="0" applyNumberFormat="1" applyFont="1" applyFill="1" applyBorder="1" applyProtection="1"/>
    <xf numFmtId="21" fontId="2" fillId="2" borderId="0" xfId="0" applyNumberFormat="1" applyFont="1" applyFill="1" applyBorder="1" applyProtection="1"/>
    <xf numFmtId="0" fontId="1" fillId="2" borderId="2" xfId="0" applyFont="1" applyFill="1" applyBorder="1" applyAlignment="1" applyProtection="1"/>
    <xf numFmtId="0" fontId="1" fillId="2" borderId="3" xfId="0" applyFont="1" applyFill="1" applyBorder="1" applyAlignment="1" applyProtection="1"/>
    <xf numFmtId="164" fontId="1" fillId="2" borderId="3" xfId="0" applyNumberFormat="1" applyFont="1" applyFill="1" applyBorder="1" applyProtection="1"/>
    <xf numFmtId="164" fontId="1" fillId="2" borderId="4" xfId="0" applyNumberFormat="1" applyFont="1" applyFill="1" applyBorder="1" applyProtection="1"/>
    <xf numFmtId="22" fontId="2" fillId="2" borderId="5" xfId="0" applyNumberFormat="1" applyFont="1" applyFill="1" applyBorder="1" applyProtection="1"/>
    <xf numFmtId="0" fontId="1" fillId="3" borderId="6" xfId="0" applyFont="1" applyFill="1" applyBorder="1"/>
    <xf numFmtId="0" fontId="5" fillId="3" borderId="7" xfId="0" applyFont="1" applyFill="1" applyBorder="1" applyAlignment="1">
      <alignment horizontal="left"/>
    </xf>
    <xf numFmtId="170" fontId="2" fillId="2" borderId="8" xfId="0" applyNumberFormat="1" applyFont="1" applyFill="1" applyBorder="1" applyAlignment="1" applyProtection="1">
      <alignment horizontal="left"/>
    </xf>
    <xf numFmtId="168" fontId="2" fillId="4" borderId="9" xfId="0" applyNumberFormat="1" applyFont="1" applyFill="1" applyBorder="1" applyAlignment="1" applyProtection="1">
      <alignment horizontal="left"/>
      <protection locked="0"/>
    </xf>
    <xf numFmtId="169" fontId="2" fillId="4" borderId="8" xfId="0" applyNumberFormat="1" applyFont="1" applyFill="1" applyBorder="1" applyAlignment="1" applyProtection="1">
      <alignment horizontal="left"/>
      <protection locked="0"/>
    </xf>
    <xf numFmtId="0" fontId="2" fillId="4" borderId="8" xfId="0" applyFont="1" applyFill="1" applyBorder="1" applyAlignment="1" applyProtection="1">
      <alignment horizontal="left"/>
      <protection locked="0"/>
    </xf>
    <xf numFmtId="0" fontId="1" fillId="2" borderId="4" xfId="0" applyFont="1" applyFill="1" applyBorder="1"/>
    <xf numFmtId="0" fontId="2" fillId="4" borderId="5" xfId="0" applyFont="1" applyFill="1" applyBorder="1" applyAlignment="1" applyProtection="1">
      <alignment horizontal="left"/>
      <protection locked="0"/>
    </xf>
    <xf numFmtId="0" fontId="7" fillId="5" borderId="6" xfId="0" applyFont="1" applyFill="1" applyBorder="1" applyAlignment="1" applyProtection="1">
      <alignment horizontal="left"/>
    </xf>
    <xf numFmtId="0" fontId="7" fillId="5" borderId="10" xfId="0" applyFont="1" applyFill="1" applyBorder="1" applyAlignment="1" applyProtection="1">
      <alignment horizontal="center"/>
    </xf>
    <xf numFmtId="0" fontId="0" fillId="4" borderId="0" xfId="0" applyFill="1"/>
    <xf numFmtId="0" fontId="11" fillId="4" borderId="0" xfId="0" applyFont="1" applyFill="1" applyAlignment="1">
      <alignment horizontal="center" vertical="center" wrapText="1"/>
    </xf>
    <xf numFmtId="0" fontId="12" fillId="4" borderId="0" xfId="0" applyFont="1" applyFill="1" applyBorder="1"/>
    <xf numFmtId="0" fontId="13" fillId="2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2" borderId="0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 applyProtection="1">
      <alignment horizontal="right"/>
    </xf>
    <xf numFmtId="0" fontId="0" fillId="2" borderId="0" xfId="0" applyFill="1" applyBorder="1" applyAlignment="1">
      <alignment horizontal="right"/>
    </xf>
    <xf numFmtId="166" fontId="2" fillId="2" borderId="0" xfId="0" applyNumberFormat="1" applyFont="1" applyFill="1" applyBorder="1" applyAlignment="1" applyProtection="1">
      <alignment horizontal="left"/>
    </xf>
    <xf numFmtId="0" fontId="2" fillId="6" borderId="1" xfId="0" applyNumberFormat="1" applyFont="1" applyFill="1" applyBorder="1" applyAlignment="1" applyProtection="1">
      <alignment horizontal="center"/>
    </xf>
    <xf numFmtId="0" fontId="16" fillId="5" borderId="10" xfId="0" applyFont="1" applyFill="1" applyBorder="1" applyAlignment="1" applyProtection="1">
      <alignment horizontal="center"/>
    </xf>
    <xf numFmtId="1" fontId="16" fillId="5" borderId="10" xfId="0" applyNumberFormat="1" applyFont="1" applyFill="1" applyBorder="1" applyAlignment="1" applyProtection="1">
      <alignment horizontal="center"/>
    </xf>
    <xf numFmtId="2" fontId="16" fillId="5" borderId="10" xfId="0" applyNumberFormat="1" applyFont="1" applyFill="1" applyBorder="1" applyAlignment="1" applyProtection="1">
      <alignment horizontal="center"/>
    </xf>
    <xf numFmtId="0" fontId="8" fillId="2" borderId="1" xfId="0" applyFont="1" applyFill="1" applyBorder="1" applyAlignment="1" applyProtection="1">
      <alignment horizontal="center"/>
      <protection locked="0"/>
    </xf>
    <xf numFmtId="1" fontId="8" fillId="2" borderId="1" xfId="0" applyNumberFormat="1" applyFont="1" applyFill="1" applyBorder="1" applyAlignment="1" applyProtection="1">
      <alignment horizontal="center"/>
      <protection locked="0"/>
    </xf>
    <xf numFmtId="2" fontId="8" fillId="2" borderId="1" xfId="0" applyNumberFormat="1" applyFont="1" applyFill="1" applyBorder="1" applyAlignment="1" applyProtection="1">
      <alignment horizontal="center"/>
      <protection locked="0"/>
    </xf>
    <xf numFmtId="0" fontId="14" fillId="2" borderId="0" xfId="0" applyFont="1" applyFill="1" applyBorder="1" applyAlignment="1">
      <alignment horizontal="center"/>
    </xf>
    <xf numFmtId="1" fontId="14" fillId="2" borderId="0" xfId="0" applyNumberFormat="1" applyFont="1" applyFill="1" applyBorder="1" applyAlignment="1">
      <alignment horizontal="center"/>
    </xf>
    <xf numFmtId="2" fontId="14" fillId="2" borderId="0" xfId="0" applyNumberFormat="1" applyFont="1" applyFill="1" applyBorder="1" applyAlignment="1">
      <alignment horizontal="center"/>
    </xf>
    <xf numFmtId="166" fontId="7" fillId="5" borderId="10" xfId="0" applyNumberFormat="1" applyFont="1" applyFill="1" applyBorder="1" applyAlignment="1" applyProtection="1">
      <alignment horizontal="right"/>
    </xf>
    <xf numFmtId="166" fontId="0" fillId="2" borderId="0" xfId="0" applyNumberFormat="1" applyFill="1" applyBorder="1" applyAlignment="1">
      <alignment horizontal="right"/>
    </xf>
    <xf numFmtId="0" fontId="11" fillId="4" borderId="11" xfId="0" applyFont="1" applyFill="1" applyBorder="1" applyAlignment="1">
      <alignment horizontal="center" vertical="center" wrapText="1"/>
    </xf>
    <xf numFmtId="0" fontId="11" fillId="4" borderId="12" xfId="0" applyFont="1" applyFill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1" fillId="4" borderId="18" xfId="0" applyFont="1" applyFill="1" applyBorder="1" applyAlignment="1">
      <alignment horizontal="center" vertical="center" wrapText="1"/>
    </xf>
    <xf numFmtId="0" fontId="18" fillId="3" borderId="6" xfId="0" applyFont="1" applyFill="1" applyBorder="1" applyAlignment="1" applyProtection="1">
      <alignment horizontal="left"/>
    </xf>
    <xf numFmtId="0" fontId="18" fillId="3" borderId="10" xfId="0" applyFont="1" applyFill="1" applyBorder="1" applyAlignment="1" applyProtection="1">
      <alignment horizontal="left"/>
    </xf>
    <xf numFmtId="0" fontId="18" fillId="3" borderId="10" xfId="0" applyFont="1" applyFill="1" applyBorder="1" applyProtection="1"/>
    <xf numFmtId="0" fontId="18" fillId="3" borderId="7" xfId="0" applyFont="1" applyFill="1" applyBorder="1" applyProtection="1"/>
    <xf numFmtId="0" fontId="17" fillId="2" borderId="0" xfId="0" applyFont="1" applyFill="1" applyBorder="1"/>
    <xf numFmtId="0" fontId="17" fillId="2" borderId="0" xfId="0" applyFont="1" applyFill="1" applyBorder="1" applyAlignment="1">
      <alignment horizontal="left"/>
    </xf>
    <xf numFmtId="0" fontId="17" fillId="2" borderId="0" xfId="0" applyFont="1" applyFill="1" applyBorder="1" applyProtection="1"/>
    <xf numFmtId="0" fontId="19" fillId="2" borderId="0" xfId="0" applyFont="1" applyFill="1" applyBorder="1" applyProtection="1"/>
    <xf numFmtId="0" fontId="18" fillId="3" borderId="10" xfId="0" applyFont="1" applyFill="1" applyBorder="1" applyAlignment="1" applyProtection="1">
      <alignment horizontal="right"/>
    </xf>
    <xf numFmtId="0" fontId="7" fillId="5" borderId="7" xfId="0" applyFont="1" applyFill="1" applyBorder="1" applyAlignment="1" applyProtection="1">
      <alignment horizontal="center"/>
    </xf>
    <xf numFmtId="0" fontId="1" fillId="7" borderId="1" xfId="0" applyFont="1" applyFill="1" applyBorder="1" applyProtection="1"/>
    <xf numFmtId="0" fontId="8" fillId="7" borderId="1" xfId="0" applyFont="1" applyFill="1" applyBorder="1" applyProtection="1">
      <protection locked="0"/>
    </xf>
    <xf numFmtId="0" fontId="8" fillId="7" borderId="1" xfId="0" applyFont="1" applyFill="1" applyBorder="1" applyAlignment="1" applyProtection="1">
      <alignment horizontal="left"/>
      <protection locked="0"/>
    </xf>
    <xf numFmtId="0" fontId="8" fillId="7" borderId="1" xfId="0" applyFont="1" applyFill="1" applyBorder="1" applyAlignment="1" applyProtection="1">
      <alignment horizontal="center"/>
      <protection locked="0"/>
    </xf>
    <xf numFmtId="1" fontId="8" fillId="7" borderId="1" xfId="0" applyNumberFormat="1" applyFont="1" applyFill="1" applyBorder="1" applyAlignment="1" applyProtection="1">
      <alignment horizontal="center"/>
      <protection locked="0"/>
    </xf>
    <xf numFmtId="2" fontId="8" fillId="7" borderId="1" xfId="0" applyNumberFormat="1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7" borderId="1" xfId="0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left"/>
      <protection locked="0"/>
    </xf>
    <xf numFmtId="0" fontId="1" fillId="7" borderId="1" xfId="0" applyFont="1" applyFill="1" applyBorder="1" applyAlignment="1" applyProtection="1">
      <alignment horizontal="center"/>
      <protection locked="0"/>
    </xf>
    <xf numFmtId="166" fontId="1" fillId="2" borderId="1" xfId="0" applyNumberFormat="1" applyFont="1" applyFill="1" applyBorder="1" applyAlignment="1" applyProtection="1">
      <alignment horizontal="right"/>
      <protection locked="0" hidden="1"/>
    </xf>
    <xf numFmtId="0" fontId="0" fillId="2" borderId="0" xfId="0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  <protection locked="0" hidden="1"/>
    </xf>
    <xf numFmtId="0" fontId="1" fillId="7" borderId="1" xfId="0" applyFont="1" applyFill="1" applyBorder="1" applyAlignment="1" applyProtection="1">
      <alignment horizontal="right"/>
      <protection locked="0" hidden="1"/>
    </xf>
    <xf numFmtId="0" fontId="2" fillId="8" borderId="19" xfId="0" applyFont="1" applyFill="1" applyBorder="1" applyAlignment="1">
      <alignment horizontal="center"/>
    </xf>
    <xf numFmtId="14" fontId="0" fillId="0" borderId="0" xfId="0" applyNumberFormat="1"/>
    <xf numFmtId="2" fontId="1" fillId="2" borderId="1" xfId="0" applyNumberFormat="1" applyFont="1" applyFill="1" applyBorder="1" applyAlignment="1" applyProtection="1">
      <alignment horizontal="left"/>
      <protection locked="0" hidden="1"/>
    </xf>
    <xf numFmtId="2" fontId="1" fillId="7" borderId="1" xfId="0" applyNumberFormat="1" applyFont="1" applyFill="1" applyBorder="1" applyAlignment="1" applyProtection="1">
      <alignment horizontal="left"/>
      <protection locked="0" hidden="1"/>
    </xf>
    <xf numFmtId="171" fontId="0" fillId="0" borderId="0" xfId="0" applyNumberFormat="1"/>
    <xf numFmtId="172" fontId="0" fillId="0" borderId="0" xfId="0" applyNumberFormat="1"/>
    <xf numFmtId="0" fontId="14" fillId="0" borderId="0" xfId="0" applyFont="1"/>
    <xf numFmtId="173" fontId="0" fillId="0" borderId="0" xfId="0" applyNumberFormat="1"/>
    <xf numFmtId="172" fontId="14" fillId="0" borderId="0" xfId="0" applyNumberFormat="1" applyFont="1"/>
    <xf numFmtId="171" fontId="14" fillId="0" borderId="0" xfId="0" applyNumberFormat="1" applyFont="1"/>
    <xf numFmtId="165" fontId="2" fillId="2" borderId="0" xfId="0" applyNumberFormat="1" applyFont="1" applyFill="1" applyBorder="1" applyAlignment="1" applyProtection="1">
      <alignment horizontal="left"/>
    </xf>
    <xf numFmtId="2" fontId="0" fillId="2" borderId="0" xfId="0" applyNumberFormat="1" applyFill="1" applyBorder="1" applyAlignment="1">
      <alignment horizontal="left"/>
    </xf>
    <xf numFmtId="165" fontId="2" fillId="2" borderId="0" xfId="0" applyNumberFormat="1" applyFont="1" applyFill="1" applyBorder="1" applyAlignment="1" applyProtection="1">
      <alignment horizontal="left"/>
    </xf>
    <xf numFmtId="0" fontId="2" fillId="2" borderId="0" xfId="0" applyFont="1" applyFill="1" applyBorder="1" applyAlignment="1" applyProtection="1">
      <alignment horizontal="right"/>
    </xf>
    <xf numFmtId="0" fontId="20" fillId="4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1"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1" formatCode="[$-F400]h:mm:ss\ AM/PM"/>
    </dxf>
    <dxf>
      <numFmt numFmtId="172" formatCode="yyyy/mm/dd\ ddd\ hh:mm"/>
    </dxf>
    <dxf>
      <numFmt numFmtId="173" formatCode="0.000"/>
    </dxf>
    <dxf>
      <numFmt numFmtId="173" formatCode="0.000"/>
    </dxf>
    <dxf>
      <numFmt numFmtId="171" formatCode="[$-F400]h:mm:ss\ AM/PM"/>
    </dxf>
    <dxf>
      <numFmt numFmtId="19" formatCode="yyyy/mm/dd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25" name="Rectangle 1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6" name="Rectangle 2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7" name="Rectangle 3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2" name="Rectangle 8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3" name="Rectangle 9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4" name="Rectangle 10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5" name="Rectangle 11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6" name="Rectangle 12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7" name="Rectangle 13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8" name="Rectangle 14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9" name="Rectangle 15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0" name="Rectangle 16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1" name="Rectangle 17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2" name="Rectangle 18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3" name="Rectangle 19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4" name="Rectangle 20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5" name="Rectangle 21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6" name="Rectangle 22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7" name="Rectangle 23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8" name="Rectangle 24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9" name="Rectangle 25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0" name="Rectangle 26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1" name="Rectangle 27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2" name="Rectangle 28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3" name="Rectangle 29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49" name="Rectangle 1"/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50" name="Rectangle 2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51" name="Rectangle 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52" name="Rectangle 4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53" name="Rectangle 5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54" name="Rectangle 6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055" name="Rectangle 7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056" name="Rectangle 8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057" name="Rectangle 9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8" name="Rectangle 10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9" name="Rectangle 11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060" name="Rectangle 1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061" name="Rectangle 13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062" name="Rectangle 14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063" name="Rectangle 15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064" name="Rectangle 16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065" name="Rectangle 17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066" name="Rectangle 18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7" name="Rectangle 19"/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8" name="Rectangle 20"/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69" name="Rectangle 21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0" name="Rectangle 22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1" name="Rectangle 23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2" name="Rectangle 24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3" name="Rectangle 25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4" name="Rectangle 26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5" name="Rectangle 27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6" name="Rectangle 28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7" name="Rectangle 29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8" name="Rectangle 30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9" name="Rectangle 31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0" name="Rectangle 32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1" name="Rectangle 33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2" name="Rectangle 34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3" name="Rectangle 35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4" name="Rectangle 36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5" name="Rectangle 37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6" name="Rectangle 38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7" name="Rectangle 39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8" name="Rectangle 40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9" name="Rectangle 41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0" name="Rectangle 42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1" name="Rectangle 4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2" name="Rectangle 44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3" name="Rectangle 45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4" name="Rectangle 46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5" name="Rectangle 47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6" name="Rectangle 48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7" name="Rectangle 49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8" name="Rectangle 50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9" name="Rectangle 51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0" name="Rectangle 52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1" name="Rectangle 53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2" name="Rectangle 54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3" name="Rectangle 55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4" name="Rectangle 56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5" name="Rectangle 57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6" name="Rectangle 58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7" name="Rectangle 59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8" name="Rectangle 60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9" name="Rectangle 61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0" name="Rectangle 62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1" name="Rectangle 63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2" name="Rectangle 64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3" name="Rectangle 65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4" name="Rectangle 66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5" name="Rectangle 67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6" name="Rectangle 68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7" name="Rectangle 69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8" name="Rectangle 70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9" name="Rectangle 71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0" name="Rectangle 72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1" name="Rectangle 73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2" name="Rectangle 74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3" name="Rectangle 75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4" name="Rectangle 76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5" name="Rectangle 77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6" name="Rectangle 78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7" name="Rectangle 79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8" name="Rectangle 8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9" name="Rectangle 8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0" name="Rectangle 8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1" name="Rectangle 83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2" name="Rectangle 84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3" name="Rectangle 85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4" name="Rectangle 86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5" name="Rectangle 87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6" name="Rectangle 88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7" name="Rectangle 89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8" name="Rectangle 90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9" name="Rectangle 91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0" name="Rectangle 92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1" name="Rectangle 93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2" name="Rectangle 94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3" name="Rectangle 95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4" name="Rectangle 96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5" name="Rectangle 97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6" name="Rectangle 98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7" name="Rectangle 99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8" name="Rectangle 100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9" name="Rectangle 101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0" name="Rectangle 102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1" name="Rectangle 103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2" name="Rectangle 104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3" name="Rectangle 105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4" name="Rectangle 106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5" name="Rectangle 107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6" name="Rectangle 108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7" name="Rectangle 109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8" name="Rectangle 110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59" name="Rectangle 111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0" name="Rectangle 112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1" name="Rectangle 11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2" name="Rectangle 114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3" name="Rectangle 115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4" name="Rectangle 116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5" name="Rectangle 117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6" name="Rectangle 118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7" name="Rectangle 119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8" name="Rectangle 120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9" name="Rectangle 121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70" name="Rectangle 122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1" name="Rectangle 123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2" name="Rectangle 124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3" name="Rectangle 125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4" name="Rectangle 126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5" name="Rectangle 127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6" name="Rectangle 128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7" name="Rectangle 129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8" name="Rectangle 130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9" name="Rectangle 131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0" name="Rectangle 132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1" name="Rectangle 133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2" name="Rectangle 134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3" name="Rectangle 135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4" name="Rectangle 136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5" name="Rectangle 137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6" name="Rectangle 138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7" name="Rectangle 139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8" name="Rectangle 14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89" name="Rectangle 141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0" name="Rectangle 142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1" name="Rectangle 143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2" name="Rectangle 144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3" name="Rectangle 145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4" name="Rectangle 146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5" name="Rectangle 147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6" name="Rectangle 148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7" name="Rectangle 149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8" name="Rectangle 150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9" name="Rectangle 151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200" name="Rectangle 152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1" name="Rectangle 153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2" name="Rectangle 154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3" name="Rectangle 155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4" name="Rectangle 156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5" name="Rectangle 157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6" name="Rectangle 158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7" name="Rectangle 159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8" name="Rectangle 160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9" name="Rectangle 161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0" name="Rectangle 162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1" name="Rectangle 163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2" name="Rectangle 164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3" name="Rectangle 165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4" name="Rectangle 166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5" name="Rectangle 167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6" name="Rectangle 168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7" name="Rectangle 169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8" name="Rectangle 170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9" name="Rectangle 171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0" name="Rectangle 172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1" name="Rectangle 173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2" name="Rectangle 174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3" name="Rectangle 175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4" name="Rectangle 176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5" name="Rectangle 177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6" name="Rectangle 178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7" name="Rectangle 179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8" name="Rectangle 180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9" name="Rectangle 181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30" name="Rectangle 182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1" name="Rectangle 183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2" name="Rectangle 184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3" name="Rectangle 185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4" name="Rectangle 186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5" name="Rectangle 187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6" name="Rectangle 188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7" name="Rectangle 189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8" name="Rectangle 190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39" name="Rectangle 191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0" name="Rectangle 192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1" name="Rectangle 193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2" name="Rectangle 194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3" name="Rectangle 195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4" name="Rectangle 196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5" name="Rectangle 197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6" name="Rectangle 198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7" name="Rectangle 199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8" name="Rectangle 200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9" name="Rectangle 201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0" name="Rectangle 202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1" name="Rectangle 203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2" name="Rectangle 204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3" name="Rectangle 205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4" name="Rectangle 206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5" name="Rectangle 207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6" name="Rectangle 208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7" name="Rectangle 209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8" name="Rectangle 210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9" name="Rectangle 211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0" name="Rectangle 212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1" name="Rectangle 213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2" name="Rectangle 214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3" name="Rectangle 215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4" name="Rectangle 216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5" name="Rectangle 217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6" name="Rectangle 218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7" name="Rectangle 219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8" name="Rectangle 220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9" name="Rectangle 221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70" name="Rectangle 222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1" name="Rectangle 223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2" name="Rectangle 224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3" name="Rectangle 225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4" name="Rectangle 226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5" name="Rectangle 227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6" name="Rectangle 228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7" name="Rectangle 229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8" name="Rectangle 230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79" name="Rectangle 23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0" name="Rectangle 23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1" name="Rectangle 233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2" name="Rectangle 234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3" name="Rectangle 235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4" name="Rectangle 236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5" name="Rectangle 237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6" name="Rectangle 238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7" name="Rectangle 239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8" name="Rectangle 24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9" name="Rectangle 24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0" name="Rectangle 24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1" name="Rectangle 243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2" name="Rectangle 244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3" name="Rectangle 245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4" name="Rectangle 246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3" name="Rectangle 255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4" name="Rectangle 256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5" name="Rectangle 257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6" name="Rectangle 258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7" name="Rectangle 259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8" name="Rectangle 260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9" name="Rectangle 261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10" name="Rectangle 262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1" name="Rectangle 263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2" name="Rectangle 264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3" name="Rectangle 265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4" name="Rectangle 266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5" name="Rectangle 267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6" name="Rectangle 268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7" name="Rectangle 269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8" name="Rectangle 270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19" name="Rectangle 271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0" name="Rectangle 272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1" name="Rectangle 273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2" name="Rectangle 274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3" name="Rectangle 275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4" name="Rectangle 276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5" name="Rectangle 277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6" name="Rectangle 278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7" name="Rectangle 279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8" name="Rectangle 280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9" name="Rectangle 281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0" name="Rectangle 282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1" name="Rectangle 28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2" name="Rectangle 284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3" name="Rectangle 285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4" name="Rectangle 286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5" name="Rectangle 287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6" name="Rectangle 288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7" name="Rectangle 289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8" name="Rectangle 290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39" name="Rectangle 291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0" name="Rectangle 292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1" name="Rectangle 293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2" name="Rectangle 294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3" name="Rectangle 295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4" name="Rectangle 296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5" name="Rectangle 297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6" name="Rectangle 298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7" name="Rectangle 299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8" name="Rectangle 300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9" name="Rectangle 301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50" name="Rectangle 302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1" name="Rectangle 303"/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2" name="Rectangle 304"/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3" name="Rectangle 305"/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4" name="Rectangle 306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5" name="Rectangle 307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6" name="Rectangle 308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7" name="Rectangle 309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8" name="Rectangle 31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9" name="Rectangle 31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0" name="Rectangle 312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1" name="Rectangle 313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2" name="Rectangle 314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3" name="Rectangle 315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4" name="Rectangle 316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5" name="Rectangle 317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6" name="Rectangle 318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7" name="Rectangle 319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8" name="Rectangle 320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69" name="Rectangle 321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0" name="Rectangle 322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1" name="Rectangle 323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2" name="Rectangle 324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3" name="Rectangle 325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4" name="Rectangle 326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5" name="Rectangle 327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6" name="Rectangle 328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7" name="Rectangle 329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8" name="Rectangle 330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9" name="Rectangle 331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80" name="Rectangle 332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1" name="Rectangle 333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2" name="Rectangle 334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3" name="Rectangle 335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4" name="Rectangle 336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5" name="Rectangle 337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6" name="Rectangle 338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7" name="Rectangle 339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8" name="Rectangle 340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9" name="Rectangle 341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0" name="Rectangle 342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1" name="Rectangle 343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2" name="Rectangle 344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3" name="Rectangle 345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4" name="Rectangle 346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5" name="Rectangle 347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6" name="Rectangle 348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7" name="Rectangle 349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8" name="Rectangle 350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399" name="Rectangle 351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0" name="Rectangle 352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1" name="Rectangle 353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2" name="Rectangle 354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3" name="Rectangle 355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4" name="Rectangle 356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5" name="Rectangle 357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6" name="Rectangle 358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7" name="Rectangle 359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8" name="Rectangle 360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9" name="Rectangle 361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10" name="Rectangle 362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1" name="Rectangle 363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2" name="Rectangle 364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3" name="Rectangle 365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Das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&amp;Vimsottari"/>
      <sheetName val="VimshottariSubCycles"/>
      <sheetName val="Ashtakavarga"/>
      <sheetName val="Sarvotabhadra"/>
      <sheetName val="DivCharts"/>
      <sheetName val="NarayanaDasa"/>
      <sheetName val="Ashtottari&amp;Sudasa"/>
      <sheetName val="Progression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4">
          <cell r="F44">
            <v>13.333333333333334</v>
          </cell>
        </row>
      </sheetData>
    </sheetDataSet>
  </externalBook>
</externalLink>
</file>

<file path=xl/tables/table1.xml><?xml version="1.0" encoding="utf-8"?>
<table xmlns="http://schemas.openxmlformats.org/spreadsheetml/2006/main" id="2" name="Charts" displayName="Charts" ref="A1:X7" totalsRowShown="0">
  <autoFilter ref="A1:X7"/>
  <tableColumns count="24">
    <tableColumn id="1" name="Name"/>
    <tableColumn id="2" name="Date" dataDxfId="20"/>
    <tableColumn id="3" name="Time" dataDxfId="19"/>
    <tableColumn id="4" name="TZ"/>
    <tableColumn id="5" name="Lat" dataDxfId="18">
      <calculatedColumnFormula>10+57/60</calculatedColumnFormula>
    </tableColumn>
    <tableColumn id="6" name="Long" dataDxfId="17">
      <calculatedColumnFormula>78+5/60</calculatedColumnFormula>
    </tableColumn>
    <tableColumn id="7" name="UT(GMT)" dataDxfId="16">
      <calculatedColumnFormula>B2+C2-D2/24</calculatedColumnFormula>
    </tableColumn>
    <tableColumn id="8" name="Sunrise" dataDxfId="15">
      <calculatedColumnFormula>sunrise(E2,F2,G2)+D2/24</calculatedColumnFormula>
    </tableColumn>
    <tableColumn id="9" name="Weekday">
      <calculatedColumnFormula>CHOOSE(WEEKDAY(G2),"Sunday","Monday","Tuesday","Wednesday","Thursday","Friday","Saturday")</calculatedColumnFormula>
    </tableColumn>
    <tableColumn id="10" name="Asdt " dataDxfId="14">
      <calculatedColumnFormula>Asdt(E2,F2,G2)</calculatedColumnFormula>
    </tableColumn>
    <tableColumn id="11" name="Sun " dataDxfId="13">
      <calculatedColumnFormula>Planet(G2,0)</calculatedColumnFormula>
    </tableColumn>
    <tableColumn id="12" name="Moon " dataDxfId="12">
      <calculatedColumnFormula>Planet(G2,1)</calculatedColumnFormula>
    </tableColumn>
    <tableColumn id="13" name="Mars " dataDxfId="11">
      <calculatedColumnFormula>Planet(G2,4)</calculatedColumnFormula>
    </tableColumn>
    <tableColumn id="14" name="Merc" dataDxfId="10">
      <calculatedColumnFormula>Planet(G2,2)</calculatedColumnFormula>
    </tableColumn>
    <tableColumn id="15" name="Jupiter" dataDxfId="9">
      <calculatedColumnFormula>Planet(G2,5)</calculatedColumnFormula>
    </tableColumn>
    <tableColumn id="16" name="Venus " dataDxfId="8">
      <calculatedColumnFormula>Planet(G2,3)</calculatedColumnFormula>
    </tableColumn>
    <tableColumn id="17" name="Saturn " dataDxfId="7">
      <calculatedColumnFormula>Planet(G2,6)</calculatedColumnFormula>
    </tableColumn>
    <tableColumn id="18" name="Rahu " dataDxfId="6">
      <calculatedColumnFormula>Planet(G2,10)</calculatedColumnFormula>
    </tableColumn>
    <tableColumn id="19" name="Ketu " dataDxfId="5">
      <calculatedColumnFormula>IF(R2&lt;180,R2+180,R2-180)</calculatedColumnFormula>
    </tableColumn>
    <tableColumn id="20" name="Dhooma" dataDxfId="4">
      <calculatedColumnFormula>(K2+133.33)-FLOOR((K2+133.33)/360,1)*360</calculatedColumnFormula>
    </tableColumn>
    <tableColumn id="21" name="Vyati" dataDxfId="3">
      <calculatedColumnFormula>360-T2</calculatedColumnFormula>
    </tableColumn>
    <tableColumn id="22" name="Parivesha" dataDxfId="2">
      <calculatedColumnFormula>(180+U2)-FLOOR((180+U2)/360,1)*360</calculatedColumnFormula>
    </tableColumn>
    <tableColumn id="23" name="I.Chapa" dataDxfId="1">
      <calculatedColumnFormula>360-V2</calculatedColumnFormula>
    </tableColumn>
    <tableColumn id="24" name="Upaketu" dataDxfId="0">
      <calculatedColumnFormula>(W2+16.67)-FLOOR((W2+16.67)/360,1)*360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7"/>
  <sheetViews>
    <sheetView workbookViewId="0">
      <selection activeCell="C4" sqref="C4"/>
    </sheetView>
  </sheetViews>
  <sheetFormatPr defaultColWidth="8" defaultRowHeight="12.75" x14ac:dyDescent="0.2"/>
  <cols>
    <col min="1" max="1" width="19.85546875" bestFit="1" customWidth="1"/>
    <col min="2" max="2" width="10.140625" bestFit="1" customWidth="1"/>
    <col min="3" max="3" width="11.5703125" bestFit="1" customWidth="1"/>
    <col min="4" max="4" width="5.42578125" bestFit="1" customWidth="1"/>
    <col min="5" max="5" width="6.5703125" bestFit="1" customWidth="1"/>
    <col min="6" max="6" width="7.85546875" bestFit="1" customWidth="1"/>
    <col min="7" max="7" width="20" style="111" bestFit="1" customWidth="1"/>
    <col min="8" max="8" width="10.5703125" bestFit="1" customWidth="1"/>
    <col min="9" max="9" width="10.7109375" customWidth="1"/>
    <col min="10" max="10" width="7.7109375" bestFit="1" customWidth="1"/>
    <col min="11" max="11" width="7.5703125" bestFit="1" customWidth="1"/>
    <col min="12" max="13" width="8.5703125" bestFit="1" customWidth="1"/>
    <col min="14" max="14" width="7.7109375" bestFit="1" customWidth="1"/>
    <col min="15" max="15" width="8.85546875" customWidth="1"/>
    <col min="16" max="16" width="8.7109375" customWidth="1"/>
    <col min="17" max="17" width="9" customWidth="1"/>
    <col min="18" max="19" width="8.5703125" bestFit="1" customWidth="1"/>
    <col min="20" max="20" width="9.85546875" customWidth="1"/>
    <col min="21" max="21" width="8.5703125" bestFit="1" customWidth="1"/>
    <col min="22" max="22" width="12.28515625" bestFit="1" customWidth="1"/>
    <col min="23" max="23" width="9.140625" customWidth="1"/>
    <col min="24" max="24" width="9.85546875" customWidth="1"/>
  </cols>
  <sheetData>
    <row r="1" spans="1:24" x14ac:dyDescent="0.2">
      <c r="A1" t="s">
        <v>21</v>
      </c>
      <c r="B1" s="112" t="s">
        <v>57</v>
      </c>
      <c r="C1" s="112" t="s">
        <v>58</v>
      </c>
      <c r="D1" s="112" t="s">
        <v>56</v>
      </c>
      <c r="E1" s="112" t="s">
        <v>59</v>
      </c>
      <c r="F1" s="112" t="s">
        <v>60</v>
      </c>
      <c r="G1" s="114" t="s">
        <v>61</v>
      </c>
      <c r="H1" t="s">
        <v>26</v>
      </c>
      <c r="I1" t="s">
        <v>20</v>
      </c>
      <c r="J1" t="s">
        <v>9</v>
      </c>
      <c r="K1" t="s">
        <v>2</v>
      </c>
      <c r="L1" t="s">
        <v>3</v>
      </c>
      <c r="M1" t="s">
        <v>16</v>
      </c>
      <c r="N1" s="112" t="s">
        <v>62</v>
      </c>
      <c r="O1" t="s">
        <v>44</v>
      </c>
      <c r="P1" t="s">
        <v>5</v>
      </c>
      <c r="Q1" t="s">
        <v>6</v>
      </c>
      <c r="R1" t="s">
        <v>7</v>
      </c>
      <c r="S1" t="s">
        <v>8</v>
      </c>
      <c r="T1" t="s">
        <v>11</v>
      </c>
      <c r="U1" t="s">
        <v>12</v>
      </c>
      <c r="V1" t="s">
        <v>29</v>
      </c>
      <c r="W1" t="s">
        <v>13</v>
      </c>
      <c r="X1" t="s">
        <v>14</v>
      </c>
    </row>
    <row r="2" spans="1:24" x14ac:dyDescent="0.2">
      <c r="A2" t="s">
        <v>0</v>
      </c>
      <c r="B2" s="107">
        <v>27266</v>
      </c>
      <c r="C2" s="110">
        <v>0.60606481481481478</v>
      </c>
      <c r="D2">
        <v>5.5</v>
      </c>
      <c r="E2" s="113">
        <v>23.667000000000002</v>
      </c>
      <c r="F2" s="113">
        <v>85.283000000000001</v>
      </c>
      <c r="G2" s="111">
        <f t="shared" ref="G2:G7" si="0">B2+C2-D2/24</f>
        <v>27266.376898148148</v>
      </c>
      <c r="H2" s="110">
        <f>sunrise(E2,F2,G2)+D2/24</f>
        <v>27266.227727670845</v>
      </c>
      <c r="I2" t="str">
        <f t="shared" ref="I2:I7" si="1">CHOOSE(WEEKDAY(G2),"Sunday","Monday","Tuesday","Wednesday","Thursday","Friday","Saturday")</f>
        <v>Sunday</v>
      </c>
      <c r="J2" s="113">
        <f t="shared" ref="J2:J7" si="2">Asdt(E2,F2,G2)</f>
        <v>249.50039880705395</v>
      </c>
      <c r="K2" s="113">
        <f t="shared" ref="K2:K7" si="3">Planet(G2,0)</f>
        <v>128.28283499575139</v>
      </c>
      <c r="L2" s="113">
        <f t="shared" ref="L2:L7" si="4">Planet(G2,1)</f>
        <v>226.62968529973151</v>
      </c>
      <c r="M2" s="113">
        <f t="shared" ref="M2:M7" si="5">Planet(G2,4)</f>
        <v>144.6693680756668</v>
      </c>
      <c r="N2" s="113">
        <f t="shared" ref="N2:N7" si="6">Planet(G2,2)</f>
        <v>136.02585156868244</v>
      </c>
      <c r="O2" s="113">
        <f t="shared" ref="O2:O7" si="7">Planet(G2,5)</f>
        <v>320.86641286231941</v>
      </c>
      <c r="P2" s="113">
        <f t="shared" ref="P2:P7" si="8">Planet(G2,3)</f>
        <v>109.19143639065378</v>
      </c>
      <c r="Q2" s="113">
        <f t="shared" ref="Q2:Q7" si="9">Planet(G2,6)</f>
        <v>81.587611108826096</v>
      </c>
      <c r="R2" s="113">
        <f t="shared" ref="R2:R7" si="10">Planet(G2,10)</f>
        <v>231.90007479762508</v>
      </c>
      <c r="S2" s="113">
        <f t="shared" ref="S2:S7" si="11">IF(R2&lt;180,R2+180,R2-180)</f>
        <v>51.900074797625081</v>
      </c>
      <c r="T2" s="113">
        <f t="shared" ref="T2:T7" si="12">(K2+133.33)-FLOOR((K2+133.33)/360,1)*360</f>
        <v>261.61283499575143</v>
      </c>
      <c r="U2" s="113">
        <f t="shared" ref="U2:U7" si="13">360-T2</f>
        <v>98.387165004248573</v>
      </c>
      <c r="V2" s="113">
        <f t="shared" ref="V2:V7" si="14">(180+U2)-FLOOR((180+U2)/360,1)*360</f>
        <v>278.38716500424857</v>
      </c>
      <c r="W2" s="113">
        <f t="shared" ref="W2:W7" si="15">360-V2</f>
        <v>81.612834995751427</v>
      </c>
      <c r="X2" s="113">
        <f t="shared" ref="X2:X7" si="16">(W2+16.67)-FLOOR((W2+16.67)/360,1)*360</f>
        <v>98.282834995751429</v>
      </c>
    </row>
    <row r="3" spans="1:24" x14ac:dyDescent="0.2">
      <c r="A3" t="s">
        <v>52</v>
      </c>
      <c r="B3" s="107">
        <v>26133</v>
      </c>
      <c r="C3" s="110">
        <v>0.38194444444444442</v>
      </c>
      <c r="D3">
        <v>5.5</v>
      </c>
      <c r="E3" s="113">
        <f>10+57/60</f>
        <v>10.95</v>
      </c>
      <c r="F3" s="113">
        <f>78+5/60</f>
        <v>78.083333333333329</v>
      </c>
      <c r="G3" s="111">
        <f t="shared" si="0"/>
        <v>26133.152777777777</v>
      </c>
      <c r="H3" s="110">
        <f>sunrise(E3,F3,G3)+D3/24</f>
        <v>26133.25215819354</v>
      </c>
      <c r="I3" t="str">
        <f t="shared" si="1"/>
        <v>Monday</v>
      </c>
      <c r="J3" s="113">
        <f t="shared" si="2"/>
        <v>135.90295677492219</v>
      </c>
      <c r="K3" s="113">
        <f t="shared" si="3"/>
        <v>92.376065416736438</v>
      </c>
      <c r="L3" s="113">
        <f t="shared" si="4"/>
        <v>52.970642490536576</v>
      </c>
      <c r="M3" s="113">
        <f t="shared" si="5"/>
        <v>298.09354096697024</v>
      </c>
      <c r="N3" s="113">
        <f t="shared" si="6"/>
        <v>117.10301293553121</v>
      </c>
      <c r="O3" s="113">
        <f t="shared" si="7"/>
        <v>213.18226650156078</v>
      </c>
      <c r="P3" s="113">
        <f t="shared" si="8"/>
        <v>81.51048702599681</v>
      </c>
      <c r="Q3" s="113">
        <f t="shared" si="9"/>
        <v>39.864230165645864</v>
      </c>
      <c r="R3" s="113">
        <f t="shared" si="10"/>
        <v>291.95193400039489</v>
      </c>
      <c r="S3" s="113">
        <f t="shared" si="11"/>
        <v>111.95193400039489</v>
      </c>
      <c r="T3" s="113">
        <f t="shared" si="12"/>
        <v>225.70606541673646</v>
      </c>
      <c r="U3" s="113">
        <f t="shared" si="13"/>
        <v>134.29393458326354</v>
      </c>
      <c r="V3" s="113">
        <f t="shared" si="14"/>
        <v>314.29393458326354</v>
      </c>
      <c r="W3" s="113">
        <f t="shared" si="15"/>
        <v>45.706065416736465</v>
      </c>
      <c r="X3" s="113">
        <f t="shared" si="16"/>
        <v>62.376065416736466</v>
      </c>
    </row>
    <row r="4" spans="1:24" x14ac:dyDescent="0.2">
      <c r="A4" t="s">
        <v>53</v>
      </c>
      <c r="B4" s="107">
        <v>16734</v>
      </c>
      <c r="C4" s="110">
        <v>0.70138888888888884</v>
      </c>
      <c r="D4">
        <v>-5</v>
      </c>
      <c r="E4" s="113">
        <f>38+53/60+42/3600</f>
        <v>38.894999999999996</v>
      </c>
      <c r="F4" s="113">
        <f>-(77+2/60)</f>
        <v>-77.033333333333331</v>
      </c>
      <c r="G4" s="111">
        <f t="shared" si="0"/>
        <v>16734.909722222223</v>
      </c>
      <c r="H4" s="110">
        <f t="shared" ref="H4" si="17">sunrise(E4,F4,G4)+D4/24</f>
        <v>16734.268389993969</v>
      </c>
      <c r="I4" t="str">
        <f t="shared" si="1"/>
        <v>Wednesday</v>
      </c>
      <c r="J4" s="113">
        <f t="shared" si="2"/>
        <v>358.96949024622785</v>
      </c>
      <c r="K4" s="113">
        <f t="shared" si="3"/>
        <v>188.03022521255693</v>
      </c>
      <c r="L4" s="113">
        <f t="shared" si="4"/>
        <v>59.569866521188494</v>
      </c>
      <c r="M4" s="113">
        <f t="shared" si="5"/>
        <v>90.885528672031725</v>
      </c>
      <c r="N4" s="113">
        <f t="shared" si="6"/>
        <v>202.27872575209327</v>
      </c>
      <c r="O4" s="113">
        <f t="shared" si="7"/>
        <v>169.80165606080959</v>
      </c>
      <c r="P4" s="113">
        <f t="shared" si="8"/>
        <v>164.00519121102309</v>
      </c>
      <c r="Q4" s="113">
        <f t="shared" si="9"/>
        <v>91.65764608686834</v>
      </c>
      <c r="R4" s="113">
        <f t="shared" si="10"/>
        <v>69.984138839399407</v>
      </c>
      <c r="S4" s="113">
        <f t="shared" si="11"/>
        <v>249.98413883939941</v>
      </c>
      <c r="T4" s="113">
        <f t="shared" si="12"/>
        <v>321.36022521255694</v>
      </c>
      <c r="U4" s="113">
        <f t="shared" si="13"/>
        <v>38.639774787443059</v>
      </c>
      <c r="V4" s="113">
        <f t="shared" si="14"/>
        <v>218.63977478744306</v>
      </c>
      <c r="W4" s="113">
        <f t="shared" si="15"/>
        <v>141.36022521255694</v>
      </c>
      <c r="X4" s="113">
        <f t="shared" si="16"/>
        <v>158.03022521255696</v>
      </c>
    </row>
    <row r="5" spans="1:24" x14ac:dyDescent="0.2">
      <c r="A5" t="s">
        <v>54</v>
      </c>
      <c r="B5" s="107">
        <v>26072</v>
      </c>
      <c r="C5" s="110">
        <v>0.3263888888888889</v>
      </c>
      <c r="D5">
        <v>5.5</v>
      </c>
      <c r="E5" s="113">
        <v>19.054444</v>
      </c>
      <c r="F5" s="113">
        <v>72.840556000000007</v>
      </c>
      <c r="G5" s="111">
        <f t="shared" si="0"/>
        <v>26072.097222222223</v>
      </c>
      <c r="H5" s="110">
        <f>sunrise(E5,F5,G5)+D5/24</f>
        <v>26072.252063567441</v>
      </c>
      <c r="I5" t="str">
        <f t="shared" si="1"/>
        <v>Wednesday</v>
      </c>
      <c r="J5" s="113">
        <f t="shared" si="2"/>
        <v>59.642952678765475</v>
      </c>
      <c r="K5" s="113">
        <f t="shared" si="3"/>
        <v>34.016470528148382</v>
      </c>
      <c r="L5" s="113">
        <f t="shared" si="4"/>
        <v>320.47810592286305</v>
      </c>
      <c r="M5" s="113">
        <f t="shared" si="5"/>
        <v>284.04283999959517</v>
      </c>
      <c r="N5" s="113">
        <f t="shared" si="6"/>
        <v>8.4602110163761015</v>
      </c>
      <c r="O5" s="113">
        <f t="shared" si="7"/>
        <v>218.67596542014968</v>
      </c>
      <c r="P5" s="113">
        <f t="shared" si="8"/>
        <v>7.2218351311158564</v>
      </c>
      <c r="Q5" s="113">
        <f t="shared" si="9"/>
        <v>32.680654677827036</v>
      </c>
      <c r="R5" s="113">
        <f t="shared" si="10"/>
        <v>295.18739260400918</v>
      </c>
      <c r="S5" s="113">
        <f t="shared" si="11"/>
        <v>115.18739260400918</v>
      </c>
      <c r="T5" s="113">
        <f t="shared" si="12"/>
        <v>167.34647052814839</v>
      </c>
      <c r="U5" s="113">
        <f t="shared" si="13"/>
        <v>192.65352947185161</v>
      </c>
      <c r="V5" s="113">
        <f t="shared" si="14"/>
        <v>12.653529471851584</v>
      </c>
      <c r="W5" s="113">
        <f t="shared" si="15"/>
        <v>347.34647052814842</v>
      </c>
      <c r="X5" s="113">
        <f t="shared" si="16"/>
        <v>4.0164705281484316</v>
      </c>
    </row>
    <row r="6" spans="1:24" x14ac:dyDescent="0.2">
      <c r="A6" t="s">
        <v>55</v>
      </c>
      <c r="B6" s="107">
        <v>43176</v>
      </c>
      <c r="C6" s="115">
        <v>0.34375</v>
      </c>
      <c r="D6">
        <v>-5</v>
      </c>
      <c r="E6" s="113">
        <v>38.904000000000003</v>
      </c>
      <c r="F6" s="113">
        <v>-77.016390000000001</v>
      </c>
      <c r="G6" s="111">
        <f t="shared" si="0"/>
        <v>43176.552083333336</v>
      </c>
      <c r="H6" s="110">
        <f>sunrise(E6,F6,G6)+D6/24</f>
        <v>43176.261245014299</v>
      </c>
      <c r="I6" t="str">
        <f t="shared" si="1"/>
        <v>Saturday</v>
      </c>
      <c r="J6" s="113">
        <f t="shared" si="2"/>
        <v>18.04556066924069</v>
      </c>
      <c r="K6" s="113">
        <f t="shared" si="3"/>
        <v>332.78325552823378</v>
      </c>
      <c r="L6" s="113">
        <f t="shared" si="4"/>
        <v>332.81397956104411</v>
      </c>
      <c r="M6" s="113">
        <f t="shared" si="5"/>
        <v>245.81033836766198</v>
      </c>
      <c r="N6" s="113">
        <f t="shared" si="6"/>
        <v>350.79171255112254</v>
      </c>
      <c r="O6" s="113">
        <f t="shared" si="7"/>
        <v>209.0047212768601</v>
      </c>
      <c r="P6" s="113">
        <f t="shared" si="8"/>
        <v>349.01413566750574</v>
      </c>
      <c r="Q6" s="113">
        <f t="shared" si="9"/>
        <v>254.23360334077699</v>
      </c>
      <c r="R6" s="113">
        <f t="shared" si="10"/>
        <v>108.78777934044334</v>
      </c>
      <c r="S6" s="113">
        <f t="shared" si="11"/>
        <v>288.78777934044331</v>
      </c>
      <c r="T6" s="113">
        <f t="shared" si="12"/>
        <v>106.11325552823382</v>
      </c>
      <c r="U6" s="113">
        <f t="shared" si="13"/>
        <v>253.88674447176618</v>
      </c>
      <c r="V6" s="113">
        <f t="shared" si="14"/>
        <v>73.886744471766178</v>
      </c>
      <c r="W6" s="113">
        <f t="shared" si="15"/>
        <v>286.11325552823382</v>
      </c>
      <c r="X6" s="113">
        <f t="shared" si="16"/>
        <v>302.78325552823384</v>
      </c>
    </row>
    <row r="7" spans="1:24" x14ac:dyDescent="0.2">
      <c r="A7" t="s">
        <v>63</v>
      </c>
      <c r="B7" s="107">
        <v>42708</v>
      </c>
      <c r="C7" s="110">
        <v>0.71875</v>
      </c>
      <c r="D7">
        <v>5.5</v>
      </c>
      <c r="E7" s="113">
        <v>13.082700000000001</v>
      </c>
      <c r="F7" s="113">
        <v>80.270700000000005</v>
      </c>
      <c r="G7" s="111">
        <f t="shared" si="0"/>
        <v>42708.489583333336</v>
      </c>
      <c r="H7" s="110">
        <f>sunrise(E7,F7,G7)+D7/24</f>
        <v>42708.261934678689</v>
      </c>
      <c r="I7" t="str">
        <f t="shared" si="1"/>
        <v>Sunday</v>
      </c>
      <c r="J7" s="113">
        <f t="shared" si="2"/>
        <v>43.217265055206063</v>
      </c>
      <c r="K7" s="113">
        <f t="shared" si="3"/>
        <v>228.66963954535964</v>
      </c>
      <c r="L7" s="113">
        <f t="shared" si="4"/>
        <v>284.23989643857686</v>
      </c>
      <c r="M7" s="113">
        <f t="shared" si="5"/>
        <v>294.67796622952733</v>
      </c>
      <c r="N7" s="113">
        <f t="shared" si="6"/>
        <v>248.07853632091238</v>
      </c>
      <c r="O7" s="113">
        <f t="shared" si="7"/>
        <v>173.31003097232264</v>
      </c>
      <c r="P7" s="113">
        <f t="shared" si="8"/>
        <v>272.26628601122002</v>
      </c>
      <c r="Q7" s="113">
        <f t="shared" si="9"/>
        <v>234.05760772326204</v>
      </c>
      <c r="R7" s="113">
        <f t="shared" si="10"/>
        <v>133.59134655261931</v>
      </c>
      <c r="S7" s="113">
        <f t="shared" si="11"/>
        <v>313.59134655261931</v>
      </c>
      <c r="T7" s="113">
        <f t="shared" si="12"/>
        <v>1.9996395453596278</v>
      </c>
      <c r="U7" s="113">
        <f t="shared" si="13"/>
        <v>358.00036045464037</v>
      </c>
      <c r="V7" s="113">
        <f t="shared" si="14"/>
        <v>178.00036045464037</v>
      </c>
      <c r="W7" s="113">
        <f t="shared" si="15"/>
        <v>181.99963954535963</v>
      </c>
      <c r="X7" s="113">
        <f t="shared" si="16"/>
        <v>198.66963954535964</v>
      </c>
    </row>
  </sheetData>
  <phoneticPr fontId="13" type="noConversion"/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U30"/>
  <sheetViews>
    <sheetView tabSelected="1" workbookViewId="0">
      <selection activeCell="F30" sqref="F30"/>
    </sheetView>
  </sheetViews>
  <sheetFormatPr defaultRowHeight="12.75" x14ac:dyDescent="0.2"/>
  <cols>
    <col min="1" max="1" width="19" style="12" bestFit="1" customWidth="1"/>
    <col min="2" max="2" width="18.140625" style="12" bestFit="1" customWidth="1"/>
    <col min="3" max="3" width="5.28515625" style="12" bestFit="1" customWidth="1"/>
    <col min="4" max="4" width="5" style="13" bestFit="1" customWidth="1"/>
    <col min="5" max="5" width="5.7109375" style="13" customWidth="1"/>
    <col min="6" max="6" width="11.140625" style="13" bestFit="1" customWidth="1"/>
    <col min="7" max="7" width="19.28515625" style="12" bestFit="1" customWidth="1"/>
    <col min="8" max="8" width="5.85546875" style="12" bestFit="1" customWidth="1"/>
    <col min="9" max="9" width="13" style="12" bestFit="1" customWidth="1"/>
    <col min="10" max="10" width="17.28515625" style="12" bestFit="1" customWidth="1"/>
    <col min="11" max="11" width="4.85546875" style="20" bestFit="1" customWidth="1"/>
    <col min="12" max="12" width="6.28515625" style="12" bestFit="1" customWidth="1"/>
    <col min="13" max="13" width="10.7109375" style="12" customWidth="1"/>
    <col min="14" max="14" width="4.28515625" style="12" customWidth="1"/>
    <col min="15" max="15" width="23.28515625" style="13" bestFit="1" customWidth="1"/>
    <col min="16" max="16" width="10.7109375" style="13" customWidth="1"/>
    <col min="17" max="17" width="13.42578125" style="12" bestFit="1" customWidth="1"/>
    <col min="18" max="20" width="9.140625" style="12"/>
    <col min="21" max="21" width="30.7109375" style="21" bestFit="1" customWidth="1"/>
    <col min="22" max="16384" width="9.140625" style="12"/>
  </cols>
  <sheetData>
    <row r="1" spans="1:21" ht="15.75" x14ac:dyDescent="0.25">
      <c r="A1" s="41" t="s">
        <v>21</v>
      </c>
      <c r="B1" s="42" t="s">
        <v>52</v>
      </c>
      <c r="C1" s="24"/>
      <c r="D1" s="24"/>
      <c r="E1" s="24"/>
      <c r="F1" s="24"/>
      <c r="G1" s="24"/>
    </row>
    <row r="2" spans="1:21" x14ac:dyDescent="0.2">
      <c r="A2" s="36" t="s">
        <v>22</v>
      </c>
      <c r="B2" s="44">
        <f>VLOOKUP($B$1,Charts[],2,FALSE)</f>
        <v>26133</v>
      </c>
      <c r="C2" s="25"/>
      <c r="F2" s="26"/>
      <c r="G2" s="27"/>
      <c r="H2" s="25"/>
      <c r="I2" s="27"/>
      <c r="J2" s="28"/>
      <c r="K2" s="29"/>
      <c r="L2" s="119"/>
      <c r="M2" s="119"/>
      <c r="N2" s="118"/>
      <c r="O2" s="118"/>
      <c r="P2" s="118"/>
      <c r="Q2" s="28"/>
      <c r="R2" s="7"/>
      <c r="S2" s="7"/>
      <c r="T2" s="7"/>
      <c r="U2" s="11"/>
    </row>
    <row r="3" spans="1:21" x14ac:dyDescent="0.2">
      <c r="A3" s="37" t="s">
        <v>23</v>
      </c>
      <c r="B3" s="45">
        <f>VLOOKUP($B$1,Charts[],3,FALSE)</f>
        <v>0.38194444444444442</v>
      </c>
      <c r="C3" s="25"/>
      <c r="F3" s="26"/>
      <c r="G3" s="27"/>
      <c r="H3" s="25"/>
      <c r="I3" s="27"/>
      <c r="J3" s="28"/>
      <c r="K3" s="31"/>
      <c r="L3" s="28"/>
      <c r="M3" s="28"/>
      <c r="N3" s="28"/>
      <c r="O3" s="28"/>
      <c r="P3" s="28"/>
      <c r="Q3" s="28"/>
      <c r="R3" s="7"/>
      <c r="S3" s="7"/>
      <c r="T3" s="7"/>
      <c r="U3" s="11"/>
    </row>
    <row r="4" spans="1:21" x14ac:dyDescent="0.2">
      <c r="A4" s="37" t="s">
        <v>24</v>
      </c>
      <c r="B4" s="46">
        <f>VLOOKUP($B$1,Charts[],4,FALSE)</f>
        <v>5.5</v>
      </c>
      <c r="C4" s="25"/>
      <c r="F4" s="26"/>
      <c r="G4" s="27"/>
      <c r="H4" s="32"/>
      <c r="I4" s="27"/>
      <c r="J4" s="33"/>
      <c r="K4" s="28"/>
      <c r="L4" s="28"/>
      <c r="M4" s="28"/>
      <c r="N4" s="28"/>
      <c r="O4" s="28"/>
      <c r="P4" s="28"/>
      <c r="Q4" s="28"/>
      <c r="R4" s="7"/>
      <c r="S4" s="7"/>
      <c r="T4" s="7"/>
      <c r="U4" s="11"/>
    </row>
    <row r="5" spans="1:21" x14ac:dyDescent="0.2">
      <c r="A5" s="37" t="s">
        <v>18</v>
      </c>
      <c r="B5" s="46">
        <f>VLOOKUP($B$1,Charts[],5,FALSE)</f>
        <v>10.95</v>
      </c>
      <c r="C5" s="28"/>
      <c r="D5" s="28"/>
      <c r="E5" s="28"/>
      <c r="F5" s="28"/>
      <c r="G5" s="7"/>
      <c r="H5" s="7"/>
      <c r="I5" s="7"/>
      <c r="J5" s="11"/>
      <c r="K5" s="12"/>
      <c r="O5" s="12"/>
      <c r="P5" s="12"/>
      <c r="U5" s="12"/>
    </row>
    <row r="6" spans="1:21" x14ac:dyDescent="0.2">
      <c r="A6" s="47" t="s">
        <v>19</v>
      </c>
      <c r="B6" s="48">
        <f>VLOOKUP($B$1,Charts[],6,FALSE)</f>
        <v>78.083333333333329</v>
      </c>
      <c r="C6" s="28"/>
      <c r="D6" s="28"/>
      <c r="E6" s="28"/>
      <c r="F6" s="28"/>
      <c r="G6" s="7"/>
      <c r="H6" s="7"/>
      <c r="I6" s="7"/>
      <c r="J6" s="11"/>
      <c r="K6" s="12"/>
      <c r="O6" s="12"/>
      <c r="P6" s="12"/>
      <c r="U6" s="12"/>
    </row>
    <row r="7" spans="1:21" x14ac:dyDescent="0.2">
      <c r="A7" s="38" t="s">
        <v>25</v>
      </c>
      <c r="B7" s="43">
        <f>B2+B3-B4/24</f>
        <v>26133.152777777777</v>
      </c>
      <c r="C7" s="30"/>
      <c r="D7" s="30"/>
      <c r="E7" s="30"/>
      <c r="G7" s="34"/>
      <c r="H7" s="7"/>
      <c r="I7" s="7"/>
      <c r="J7" s="7"/>
      <c r="K7" s="10"/>
      <c r="L7" s="7"/>
      <c r="M7" s="7"/>
      <c r="N7" s="7"/>
      <c r="O7" s="9"/>
      <c r="P7" s="9"/>
      <c r="Q7" s="7"/>
      <c r="R7" s="7"/>
      <c r="S7" s="7"/>
      <c r="T7" s="7"/>
      <c r="U7" s="11"/>
    </row>
    <row r="8" spans="1:21" x14ac:dyDescent="0.2">
      <c r="A8" s="38" t="s">
        <v>26</v>
      </c>
      <c r="B8" s="43">
        <f>sunrise(B5,B6,B7)+B4/24</f>
        <v>26133.25215819354</v>
      </c>
      <c r="C8" s="30"/>
      <c r="D8" s="30"/>
      <c r="E8" s="30"/>
      <c r="G8" s="14"/>
      <c r="H8" s="35"/>
      <c r="I8" s="7"/>
      <c r="J8" s="7"/>
      <c r="K8" s="22"/>
      <c r="L8" s="23"/>
      <c r="M8" s="23"/>
      <c r="N8" s="7"/>
      <c r="O8" s="9"/>
      <c r="P8" s="9"/>
      <c r="Q8" s="7"/>
      <c r="R8" s="7"/>
      <c r="S8" s="7"/>
      <c r="T8" s="7"/>
      <c r="U8" s="11"/>
    </row>
    <row r="9" spans="1:21" x14ac:dyDescent="0.2">
      <c r="A9" s="38" t="s">
        <v>67</v>
      </c>
      <c r="B9" s="43">
        <f>sunset(B5,B6,B7)+B4/24</f>
        <v>26132.780938334919</v>
      </c>
      <c r="C9" s="116"/>
      <c r="D9" s="116"/>
      <c r="E9" s="116"/>
      <c r="G9" s="14"/>
      <c r="H9" s="35"/>
      <c r="I9" s="7"/>
      <c r="J9" s="7"/>
      <c r="K9" s="22"/>
      <c r="L9" s="23"/>
      <c r="M9" s="23"/>
      <c r="N9" s="7"/>
      <c r="O9" s="9"/>
      <c r="P9" s="9"/>
      <c r="Q9" s="7"/>
      <c r="R9" s="7"/>
      <c r="S9" s="7"/>
      <c r="T9" s="7"/>
      <c r="U9" s="11"/>
    </row>
    <row r="10" spans="1:21" x14ac:dyDescent="0.2">
      <c r="A10" s="39" t="s">
        <v>20</v>
      </c>
      <c r="B10" s="40" t="str">
        <f>CHOOSE(WEEKDAY(B7),"Sunday","Monday","Tuesday","Wednesday","Thursday","Friday","Saturday")</f>
        <v>Monday</v>
      </c>
      <c r="C10" s="9"/>
      <c r="D10" s="9"/>
      <c r="E10" s="9"/>
      <c r="G10" s="7"/>
      <c r="H10" s="7"/>
      <c r="I10" s="7"/>
      <c r="J10" s="7"/>
      <c r="K10" s="10"/>
      <c r="L10" s="7"/>
      <c r="M10" s="7"/>
      <c r="N10" s="7"/>
      <c r="O10" s="9"/>
      <c r="P10" s="9"/>
      <c r="Q10" s="7"/>
      <c r="R10" s="7"/>
      <c r="S10" s="7"/>
      <c r="T10" s="7"/>
      <c r="U10" s="11"/>
    </row>
    <row r="11" spans="1:21" x14ac:dyDescent="0.2">
      <c r="A11" s="6"/>
      <c r="B11" s="7"/>
      <c r="C11" s="8"/>
      <c r="D11" s="9"/>
      <c r="E11" s="9"/>
      <c r="F11" s="9"/>
      <c r="G11" s="7"/>
      <c r="H11" s="7"/>
      <c r="I11" s="7"/>
      <c r="J11" s="7"/>
      <c r="K11" s="10"/>
      <c r="L11" s="7"/>
      <c r="M11" s="7"/>
      <c r="N11" s="7"/>
      <c r="O11" s="9"/>
      <c r="P11" s="9"/>
      <c r="Q11" s="7"/>
      <c r="R11" s="7"/>
      <c r="S11" s="7"/>
      <c r="T11" s="7"/>
      <c r="U11" s="11"/>
    </row>
    <row r="12" spans="1:21" s="86" customFormat="1" ht="15.75" x14ac:dyDescent="0.25">
      <c r="A12" s="82" t="s">
        <v>27</v>
      </c>
      <c r="B12" s="90" t="s">
        <v>28</v>
      </c>
      <c r="C12" s="83" t="s">
        <v>10</v>
      </c>
      <c r="D12" s="83" t="s">
        <v>45</v>
      </c>
      <c r="E12" s="83" t="s">
        <v>46</v>
      </c>
      <c r="F12" s="83" t="s">
        <v>47</v>
      </c>
      <c r="G12" s="84" t="s">
        <v>15</v>
      </c>
      <c r="H12" s="83" t="s">
        <v>1</v>
      </c>
      <c r="I12" s="83" t="s">
        <v>49</v>
      </c>
      <c r="J12" s="83" t="s">
        <v>50</v>
      </c>
      <c r="K12" s="84" t="s">
        <v>10</v>
      </c>
      <c r="L12" s="85" t="s">
        <v>31</v>
      </c>
      <c r="O12" s="87"/>
      <c r="P12" s="87"/>
      <c r="R12" s="88"/>
      <c r="S12" s="88"/>
      <c r="T12" s="88"/>
      <c r="U12" s="89"/>
    </row>
    <row r="13" spans="1:21" x14ac:dyDescent="0.2">
      <c r="A13" s="1" t="s">
        <v>9</v>
      </c>
      <c r="B13" s="2">
        <f>degree(F13)</f>
        <v>15</v>
      </c>
      <c r="C13" s="2" t="str">
        <f>Rasi(F13)</f>
        <v>Le</v>
      </c>
      <c r="D13" s="4">
        <f>Minutes(F13)</f>
        <v>54</v>
      </c>
      <c r="E13" s="4">
        <f>seconds(F13)</f>
        <v>10.64</v>
      </c>
      <c r="F13" s="108">
        <f>Asdt(B5,B6,B7)</f>
        <v>135.90295677492219</v>
      </c>
      <c r="G13" s="3" t="str">
        <f t="shared" ref="G13:G27" si="0">naks(F13)</f>
        <v>Purva Phalguni</v>
      </c>
      <c r="H13" s="5">
        <f>ROUNDUP(MOD(F13/3.3333333,4),0)</f>
        <v>1</v>
      </c>
      <c r="I13" s="5" t="str">
        <f t="shared" ref="I13:I22" si="1">naksdeity(F13)</f>
        <v>Bhaga</v>
      </c>
      <c r="J13" s="5" t="str">
        <f t="shared" ref="J13:J22" si="2">nakslord(F13)</f>
        <v>Venus</v>
      </c>
      <c r="K13" s="98">
        <f>rasinum(F13)</f>
        <v>5</v>
      </c>
      <c r="L13" s="98">
        <f>HouseNum(F13,$F$13)</f>
        <v>1</v>
      </c>
      <c r="R13" s="7"/>
      <c r="S13" s="16"/>
      <c r="T13" s="16"/>
      <c r="U13" s="17"/>
    </row>
    <row r="14" spans="1:21" x14ac:dyDescent="0.2">
      <c r="A14" s="1" t="s">
        <v>2</v>
      </c>
      <c r="B14" s="2">
        <f t="shared" ref="B14:B27" si="3">degree(F14)</f>
        <v>2</v>
      </c>
      <c r="C14" s="2" t="str">
        <f t="shared" ref="C14:C27" si="4">Rasi(F14)</f>
        <v>Cn</v>
      </c>
      <c r="D14" s="4">
        <f t="shared" ref="D14:D27" si="5">Minutes(F14)</f>
        <v>22</v>
      </c>
      <c r="E14" s="4">
        <f t="shared" ref="E14:E27" si="6">seconds(F14)</f>
        <v>33.840000000000003</v>
      </c>
      <c r="F14" s="108">
        <f>Planet($B$7,0)</f>
        <v>92.376065416736438</v>
      </c>
      <c r="G14" s="3" t="str">
        <f t="shared" si="0"/>
        <v>Punarvasu</v>
      </c>
      <c r="H14" s="5">
        <f t="shared" ref="H14:H27" si="7">ROUNDUP(MOD(F14/3.3333333,4),0)</f>
        <v>4</v>
      </c>
      <c r="I14" s="5" t="str">
        <f t="shared" si="1"/>
        <v>Aditi</v>
      </c>
      <c r="J14" s="5" t="str">
        <f t="shared" si="2"/>
        <v>Jupiter</v>
      </c>
      <c r="K14" s="98">
        <f t="shared" ref="K14:K22" si="8">rasinum(F14)</f>
        <v>4</v>
      </c>
      <c r="L14" s="98">
        <f t="shared" ref="L14:L22" si="9">HouseNum(F14,$F$13)</f>
        <v>12</v>
      </c>
      <c r="R14" s="14"/>
      <c r="S14" s="16"/>
      <c r="T14" s="16"/>
      <c r="U14" s="17"/>
    </row>
    <row r="15" spans="1:21" x14ac:dyDescent="0.2">
      <c r="A15" s="1" t="s">
        <v>3</v>
      </c>
      <c r="B15" s="2">
        <f t="shared" si="3"/>
        <v>22</v>
      </c>
      <c r="C15" s="2" t="str">
        <f t="shared" si="4"/>
        <v>Ta</v>
      </c>
      <c r="D15" s="4">
        <f t="shared" si="5"/>
        <v>58</v>
      </c>
      <c r="E15" s="4">
        <f t="shared" si="6"/>
        <v>14.31</v>
      </c>
      <c r="F15" s="108">
        <f>Planet($B$7,1)</f>
        <v>52.970642490536576</v>
      </c>
      <c r="G15" s="3" t="str">
        <f t="shared" si="0"/>
        <v>Rohini</v>
      </c>
      <c r="H15" s="5">
        <f t="shared" si="7"/>
        <v>4</v>
      </c>
      <c r="I15" s="5" t="str">
        <f t="shared" si="1"/>
        <v>Brahma</v>
      </c>
      <c r="J15" s="5" t="str">
        <f t="shared" si="2"/>
        <v>Moon</v>
      </c>
      <c r="K15" s="98">
        <f t="shared" si="8"/>
        <v>2</v>
      </c>
      <c r="L15" s="98">
        <f t="shared" si="9"/>
        <v>10</v>
      </c>
      <c r="R15" s="14"/>
      <c r="S15" s="16"/>
      <c r="T15" s="16"/>
      <c r="U15" s="17"/>
    </row>
    <row r="16" spans="1:21" x14ac:dyDescent="0.2">
      <c r="A16" s="1" t="s">
        <v>16</v>
      </c>
      <c r="B16" s="2">
        <f t="shared" si="3"/>
        <v>28</v>
      </c>
      <c r="C16" s="2" t="str">
        <f t="shared" si="4"/>
        <v>Cp</v>
      </c>
      <c r="D16" s="4">
        <f t="shared" si="5"/>
        <v>5</v>
      </c>
      <c r="E16" s="4">
        <f t="shared" si="6"/>
        <v>36.75</v>
      </c>
      <c r="F16" s="108">
        <f>Planet($B$7,4)</f>
        <v>298.09354096697024</v>
      </c>
      <c r="G16" s="3" t="str">
        <f t="shared" si="0"/>
        <v>Dhanistha</v>
      </c>
      <c r="H16" s="5">
        <f t="shared" si="7"/>
        <v>2</v>
      </c>
      <c r="I16" s="5" t="str">
        <f t="shared" si="1"/>
        <v>Asta-Vasavas</v>
      </c>
      <c r="J16" s="5" t="str">
        <f t="shared" si="2"/>
        <v>Mars</v>
      </c>
      <c r="K16" s="98">
        <f t="shared" si="8"/>
        <v>10</v>
      </c>
      <c r="L16" s="98">
        <f t="shared" si="9"/>
        <v>6</v>
      </c>
      <c r="R16" s="14"/>
      <c r="S16" s="16"/>
      <c r="T16" s="16"/>
      <c r="U16" s="17"/>
    </row>
    <row r="17" spans="1:21" x14ac:dyDescent="0.2">
      <c r="A17" s="1" t="s">
        <v>4</v>
      </c>
      <c r="B17" s="2">
        <f t="shared" si="3"/>
        <v>27</v>
      </c>
      <c r="C17" s="2" t="str">
        <f t="shared" si="4"/>
        <v>Cn</v>
      </c>
      <c r="D17" s="4">
        <f t="shared" si="5"/>
        <v>6</v>
      </c>
      <c r="E17" s="4">
        <f t="shared" si="6"/>
        <v>10.85</v>
      </c>
      <c r="F17" s="108">
        <f>Planet($B$7,2)</f>
        <v>117.10301293553121</v>
      </c>
      <c r="G17" s="3" t="str">
        <f t="shared" si="0"/>
        <v>Aslesha</v>
      </c>
      <c r="H17" s="5">
        <f t="shared" si="7"/>
        <v>4</v>
      </c>
      <c r="I17" s="5" t="str">
        <f t="shared" si="1"/>
        <v>Nagas</v>
      </c>
      <c r="J17" s="5" t="str">
        <f t="shared" si="2"/>
        <v>Mercury</v>
      </c>
      <c r="K17" s="98">
        <f t="shared" si="8"/>
        <v>4</v>
      </c>
      <c r="L17" s="98">
        <f t="shared" si="9"/>
        <v>12</v>
      </c>
      <c r="R17" s="14"/>
      <c r="S17" s="16"/>
      <c r="T17" s="16"/>
      <c r="U17" s="17"/>
    </row>
    <row r="18" spans="1:21" x14ac:dyDescent="0.2">
      <c r="A18" s="1" t="s">
        <v>44</v>
      </c>
      <c r="B18" s="2">
        <f t="shared" si="3"/>
        <v>3</v>
      </c>
      <c r="C18" s="2" t="str">
        <f t="shared" si="4"/>
        <v>Sc</v>
      </c>
      <c r="D18" s="4">
        <f t="shared" si="5"/>
        <v>10</v>
      </c>
      <c r="E18" s="4">
        <f t="shared" si="6"/>
        <v>56.16</v>
      </c>
      <c r="F18" s="108">
        <f>Planet($B$7,5)</f>
        <v>213.18226650156078</v>
      </c>
      <c r="G18" s="3" t="str">
        <f t="shared" si="0"/>
        <v>Visakha</v>
      </c>
      <c r="H18" s="5">
        <f t="shared" si="7"/>
        <v>4</v>
      </c>
      <c r="I18" s="5" t="str">
        <f t="shared" si="1"/>
        <v>Indragni</v>
      </c>
      <c r="J18" s="5" t="str">
        <f t="shared" si="2"/>
        <v>Jupiter</v>
      </c>
      <c r="K18" s="98">
        <f t="shared" si="8"/>
        <v>8</v>
      </c>
      <c r="L18" s="98">
        <f t="shared" si="9"/>
        <v>4</v>
      </c>
      <c r="R18" s="14"/>
      <c r="S18" s="16"/>
      <c r="T18" s="16"/>
      <c r="U18" s="17"/>
    </row>
    <row r="19" spans="1:21" x14ac:dyDescent="0.2">
      <c r="A19" s="1" t="s">
        <v>5</v>
      </c>
      <c r="B19" s="2">
        <f t="shared" si="3"/>
        <v>21</v>
      </c>
      <c r="C19" s="2" t="str">
        <f t="shared" si="4"/>
        <v>Ge</v>
      </c>
      <c r="D19" s="4">
        <f t="shared" si="5"/>
        <v>30</v>
      </c>
      <c r="E19" s="4">
        <f t="shared" si="6"/>
        <v>37.75</v>
      </c>
      <c r="F19" s="108">
        <f>Planet($B$7,3)</f>
        <v>81.51048702599681</v>
      </c>
      <c r="G19" s="3" t="str">
        <f t="shared" si="0"/>
        <v>Punarvasu</v>
      </c>
      <c r="H19" s="5">
        <f t="shared" si="7"/>
        <v>1</v>
      </c>
      <c r="I19" s="5" t="str">
        <f t="shared" si="1"/>
        <v>Aditi</v>
      </c>
      <c r="J19" s="5" t="str">
        <f t="shared" si="2"/>
        <v>Jupiter</v>
      </c>
      <c r="K19" s="98">
        <f t="shared" si="8"/>
        <v>3</v>
      </c>
      <c r="L19" s="98">
        <f t="shared" si="9"/>
        <v>11</v>
      </c>
      <c r="R19" s="14"/>
      <c r="S19" s="16"/>
      <c r="T19" s="16"/>
      <c r="U19" s="17"/>
    </row>
    <row r="20" spans="1:21" x14ac:dyDescent="0.2">
      <c r="A20" s="1" t="s">
        <v>6</v>
      </c>
      <c r="B20" s="2">
        <f t="shared" si="3"/>
        <v>9</v>
      </c>
      <c r="C20" s="2" t="str">
        <f t="shared" si="4"/>
        <v>Ta</v>
      </c>
      <c r="D20" s="4">
        <f t="shared" si="5"/>
        <v>51</v>
      </c>
      <c r="E20" s="4">
        <f t="shared" si="6"/>
        <v>51.23</v>
      </c>
      <c r="F20" s="108">
        <f>Planet($B$7,6)</f>
        <v>39.864230165645864</v>
      </c>
      <c r="G20" s="3" t="str">
        <f t="shared" si="0"/>
        <v>Krittika</v>
      </c>
      <c r="H20" s="5">
        <f t="shared" si="7"/>
        <v>4</v>
      </c>
      <c r="I20" s="5" t="str">
        <f t="shared" si="1"/>
        <v>Agni</v>
      </c>
      <c r="J20" s="5" t="str">
        <f t="shared" si="2"/>
        <v>Sun</v>
      </c>
      <c r="K20" s="98">
        <f t="shared" si="8"/>
        <v>2</v>
      </c>
      <c r="L20" s="98">
        <f t="shared" si="9"/>
        <v>10</v>
      </c>
      <c r="R20" s="14"/>
      <c r="S20" s="16"/>
      <c r="T20" s="16"/>
      <c r="U20" s="17"/>
    </row>
    <row r="21" spans="1:21" x14ac:dyDescent="0.2">
      <c r="A21" s="1" t="s">
        <v>7</v>
      </c>
      <c r="B21" s="2">
        <f t="shared" si="3"/>
        <v>21</v>
      </c>
      <c r="C21" s="2" t="str">
        <f t="shared" si="4"/>
        <v>Cp</v>
      </c>
      <c r="D21" s="4">
        <f t="shared" si="5"/>
        <v>57</v>
      </c>
      <c r="E21" s="4">
        <f t="shared" si="6"/>
        <v>6.96</v>
      </c>
      <c r="F21" s="108">
        <f>Planet($B$7,10)</f>
        <v>291.95193400039489</v>
      </c>
      <c r="G21" s="3" t="str">
        <f t="shared" si="0"/>
        <v>Sravana</v>
      </c>
      <c r="H21" s="5">
        <f t="shared" si="7"/>
        <v>4</v>
      </c>
      <c r="I21" s="5" t="str">
        <f t="shared" si="1"/>
        <v>Vishnu</v>
      </c>
      <c r="J21" s="5" t="str">
        <f t="shared" si="2"/>
        <v>Moon</v>
      </c>
      <c r="K21" s="98">
        <f t="shared" si="8"/>
        <v>10</v>
      </c>
      <c r="L21" s="98">
        <f t="shared" si="9"/>
        <v>6</v>
      </c>
      <c r="R21" s="14"/>
      <c r="S21" s="16"/>
      <c r="T21" s="16"/>
      <c r="U21" s="17"/>
    </row>
    <row r="22" spans="1:21" x14ac:dyDescent="0.2">
      <c r="A22" s="1" t="s">
        <v>8</v>
      </c>
      <c r="B22" s="2">
        <f t="shared" si="3"/>
        <v>21</v>
      </c>
      <c r="C22" s="2" t="str">
        <f t="shared" si="4"/>
        <v>Cn</v>
      </c>
      <c r="D22" s="4">
        <f t="shared" si="5"/>
        <v>57</v>
      </c>
      <c r="E22" s="4">
        <f t="shared" si="6"/>
        <v>6.96</v>
      </c>
      <c r="F22" s="108">
        <f>IF(F21&lt;180,F21+180,F21-180)</f>
        <v>111.95193400039489</v>
      </c>
      <c r="G22" s="3" t="str">
        <f t="shared" si="0"/>
        <v>Aslesha</v>
      </c>
      <c r="H22" s="5">
        <f t="shared" si="7"/>
        <v>2</v>
      </c>
      <c r="I22" s="5" t="str">
        <f t="shared" si="1"/>
        <v>Nagas</v>
      </c>
      <c r="J22" s="5" t="str">
        <f t="shared" si="2"/>
        <v>Mercury</v>
      </c>
      <c r="K22" s="98">
        <f t="shared" si="8"/>
        <v>4</v>
      </c>
      <c r="L22" s="98">
        <f t="shared" si="9"/>
        <v>12</v>
      </c>
      <c r="R22" s="7"/>
      <c r="S22" s="16"/>
      <c r="T22" s="16"/>
      <c r="U22" s="17"/>
    </row>
    <row r="23" spans="1:21" x14ac:dyDescent="0.2">
      <c r="A23" s="92" t="s">
        <v>11</v>
      </c>
      <c r="B23" s="93">
        <f t="shared" si="3"/>
        <v>15</v>
      </c>
      <c r="C23" s="93" t="str">
        <f t="shared" si="4"/>
        <v>Sc</v>
      </c>
      <c r="D23" s="94">
        <f t="shared" si="5"/>
        <v>42</v>
      </c>
      <c r="E23" s="94">
        <f t="shared" si="6"/>
        <v>21.84</v>
      </c>
      <c r="F23" s="109">
        <f>(F14+133.33)-FLOOR((F14+133.33)/360,1)*360</f>
        <v>225.70606541673646</v>
      </c>
      <c r="G23" s="99" t="str">
        <f t="shared" si="0"/>
        <v>Anuradha</v>
      </c>
      <c r="H23" s="5">
        <f t="shared" si="7"/>
        <v>4</v>
      </c>
      <c r="I23" s="100" t="str">
        <f>naksdeity(F23)</f>
        <v xml:space="preserve">Mitra </v>
      </c>
      <c r="J23" s="100" t="str">
        <f>nakslord(F23)</f>
        <v>Saturn</v>
      </c>
      <c r="K23" s="101">
        <f>rasinum(F23)</f>
        <v>8</v>
      </c>
      <c r="L23" s="101">
        <f>HouseNum(F23,$F$13)</f>
        <v>4</v>
      </c>
      <c r="M23" s="15"/>
      <c r="N23" s="18"/>
      <c r="O23" s="15"/>
      <c r="P23" s="15"/>
      <c r="Q23" s="19"/>
      <c r="R23" s="7"/>
      <c r="S23" s="16"/>
      <c r="T23" s="16"/>
      <c r="U23" s="17"/>
    </row>
    <row r="24" spans="1:21" x14ac:dyDescent="0.2">
      <c r="A24" s="92" t="s">
        <v>12</v>
      </c>
      <c r="B24" s="93">
        <f t="shared" si="3"/>
        <v>14</v>
      </c>
      <c r="C24" s="93" t="str">
        <f t="shared" si="4"/>
        <v>Le</v>
      </c>
      <c r="D24" s="94">
        <f t="shared" si="5"/>
        <v>17</v>
      </c>
      <c r="E24" s="94">
        <f t="shared" si="6"/>
        <v>38.159999999999997</v>
      </c>
      <c r="F24" s="109">
        <f>360-F23</f>
        <v>134.29393458326354</v>
      </c>
      <c r="G24" s="99" t="str">
        <f t="shared" si="0"/>
        <v>Purva Phalguni</v>
      </c>
      <c r="H24" s="5">
        <f t="shared" si="7"/>
        <v>1</v>
      </c>
      <c r="I24" s="100" t="str">
        <f>naksdeity(F24)</f>
        <v>Bhaga</v>
      </c>
      <c r="J24" s="100" t="str">
        <f>nakslord(F24)</f>
        <v>Venus</v>
      </c>
      <c r="K24" s="101">
        <f>rasinum(F24)</f>
        <v>5</v>
      </c>
      <c r="L24" s="101">
        <f>HouseNum(F24,$F$13)</f>
        <v>1</v>
      </c>
      <c r="M24" s="15"/>
      <c r="N24" s="18"/>
      <c r="O24" s="15"/>
      <c r="P24" s="15"/>
      <c r="Q24" s="19"/>
      <c r="R24" s="14"/>
      <c r="S24" s="16"/>
      <c r="T24" s="16"/>
      <c r="U24" s="17"/>
    </row>
    <row r="25" spans="1:21" x14ac:dyDescent="0.2">
      <c r="A25" s="92" t="s">
        <v>29</v>
      </c>
      <c r="B25" s="93">
        <f t="shared" si="3"/>
        <v>14</v>
      </c>
      <c r="C25" s="93" t="str">
        <f t="shared" si="4"/>
        <v>Aq</v>
      </c>
      <c r="D25" s="94">
        <f t="shared" si="5"/>
        <v>17</v>
      </c>
      <c r="E25" s="94">
        <f t="shared" si="6"/>
        <v>38.159999999999997</v>
      </c>
      <c r="F25" s="109">
        <f>(180+F24)-FLOOR((180+F24)/360,1)*360</f>
        <v>314.29393458326354</v>
      </c>
      <c r="G25" s="99" t="str">
        <f t="shared" si="0"/>
        <v>Satabhisaj</v>
      </c>
      <c r="H25" s="5">
        <f t="shared" si="7"/>
        <v>3</v>
      </c>
      <c r="I25" s="100" t="str">
        <f>naksdeity(F25)</f>
        <v>Varuna</v>
      </c>
      <c r="J25" s="100" t="str">
        <f>nakslord(F25)</f>
        <v>Rahu</v>
      </c>
      <c r="K25" s="101">
        <f>rasinum(F25)</f>
        <v>11</v>
      </c>
      <c r="L25" s="101">
        <f>HouseNum(F25,$F$13)</f>
        <v>7</v>
      </c>
      <c r="M25" s="15"/>
      <c r="N25" s="18"/>
      <c r="O25" s="15"/>
      <c r="P25" s="15"/>
      <c r="Q25" s="19"/>
      <c r="R25" s="7"/>
      <c r="S25" s="16"/>
      <c r="T25" s="16"/>
      <c r="U25" s="17"/>
    </row>
    <row r="26" spans="1:21" x14ac:dyDescent="0.2">
      <c r="A26" s="92" t="s">
        <v>13</v>
      </c>
      <c r="B26" s="93">
        <f t="shared" si="3"/>
        <v>15</v>
      </c>
      <c r="C26" s="93" t="str">
        <f t="shared" si="4"/>
        <v>Ta</v>
      </c>
      <c r="D26" s="94">
        <f t="shared" si="5"/>
        <v>42</v>
      </c>
      <c r="E26" s="94">
        <f t="shared" si="6"/>
        <v>21.84</v>
      </c>
      <c r="F26" s="109">
        <f>360-F25</f>
        <v>45.706065416736465</v>
      </c>
      <c r="G26" s="99" t="str">
        <f t="shared" si="0"/>
        <v>Rohini</v>
      </c>
      <c r="H26" s="5">
        <f t="shared" si="7"/>
        <v>2</v>
      </c>
      <c r="I26" s="100" t="str">
        <f>naksdeity(F26)</f>
        <v>Brahma</v>
      </c>
      <c r="J26" s="100" t="str">
        <f>nakslord(F26)</f>
        <v>Moon</v>
      </c>
      <c r="K26" s="101">
        <f>rasinum(F26)</f>
        <v>2</v>
      </c>
      <c r="L26" s="101">
        <f>HouseNum(F26,$F$13)</f>
        <v>10</v>
      </c>
      <c r="M26" s="15"/>
      <c r="N26" s="18"/>
      <c r="O26" s="15"/>
      <c r="P26" s="15"/>
      <c r="Q26" s="19"/>
      <c r="R26" s="14"/>
      <c r="S26" s="16"/>
      <c r="T26" s="16"/>
      <c r="U26" s="17"/>
    </row>
    <row r="27" spans="1:21" x14ac:dyDescent="0.2">
      <c r="A27" s="92" t="s">
        <v>14</v>
      </c>
      <c r="B27" s="93">
        <f t="shared" si="3"/>
        <v>2</v>
      </c>
      <c r="C27" s="93" t="str">
        <f t="shared" si="4"/>
        <v>Ge</v>
      </c>
      <c r="D27" s="94">
        <f t="shared" si="5"/>
        <v>22</v>
      </c>
      <c r="E27" s="94">
        <f t="shared" si="6"/>
        <v>33.840000000000003</v>
      </c>
      <c r="F27" s="109">
        <f>(F26+16.67)-FLOOR((F26+16.67)/360,1)*360</f>
        <v>62.376065416736466</v>
      </c>
      <c r="G27" s="99" t="str">
        <f t="shared" si="0"/>
        <v>Mrigashira</v>
      </c>
      <c r="H27" s="5">
        <f t="shared" si="7"/>
        <v>3</v>
      </c>
      <c r="I27" s="100" t="str">
        <f>naksdeity(F27)</f>
        <v>Chandra</v>
      </c>
      <c r="J27" s="100" t="str">
        <f>nakslord(F27)</f>
        <v>Mars</v>
      </c>
      <c r="K27" s="101">
        <f>rasinum(F27)</f>
        <v>3</v>
      </c>
      <c r="L27" s="101">
        <f>HouseNum(F27,$F$13)</f>
        <v>11</v>
      </c>
      <c r="M27" s="15"/>
      <c r="N27" s="18"/>
      <c r="O27" s="15"/>
      <c r="P27" s="15"/>
      <c r="Q27" s="19"/>
      <c r="R27" s="7"/>
      <c r="S27" s="16"/>
      <c r="T27" s="16"/>
      <c r="U27" s="17"/>
    </row>
    <row r="28" spans="1:21" x14ac:dyDescent="0.2">
      <c r="A28" s="12" t="s">
        <v>64</v>
      </c>
      <c r="B28" s="93">
        <f t="shared" ref="B28" si="10">degree(F28)</f>
        <v>5</v>
      </c>
      <c r="C28" s="93" t="str">
        <f t="shared" ref="C28" si="11">Rasi(F28)</f>
        <v>Li</v>
      </c>
      <c r="D28" s="94">
        <f t="shared" ref="D28" si="12">Minutes(F28)</f>
        <v>49</v>
      </c>
      <c r="E28" s="94">
        <f t="shared" ref="E28" si="13">seconds(F28)</f>
        <v>19.8</v>
      </c>
      <c r="F28" s="117">
        <f>MOD((B2+B3-B8)*24*30+F14,360)</f>
        <v>185.82216606866325</v>
      </c>
    </row>
    <row r="29" spans="1:21" x14ac:dyDescent="0.2">
      <c r="A29" s="12" t="s">
        <v>65</v>
      </c>
      <c r="B29" s="93">
        <f t="shared" ref="B29:B30" si="14">degree(F29)</f>
        <v>25</v>
      </c>
      <c r="C29" s="93" t="str">
        <f t="shared" ref="C29:C30" si="15">Rasi(F29)</f>
        <v>Aq</v>
      </c>
      <c r="D29" s="94">
        <f t="shared" ref="D29:D30" si="16">Minutes(F29)</f>
        <v>59</v>
      </c>
      <c r="E29" s="94">
        <f t="shared" ref="E29:E30" si="17">seconds(F29)</f>
        <v>28.74</v>
      </c>
      <c r="F29" s="117">
        <f>MOD((B2+B3-B8)*60*30+F14,360)</f>
        <v>325.99131704655349</v>
      </c>
    </row>
    <row r="30" spans="1:21" x14ac:dyDescent="0.2">
      <c r="A30" s="12" t="s">
        <v>66</v>
      </c>
      <c r="B30" s="12">
        <f t="shared" si="14"/>
        <v>19</v>
      </c>
      <c r="C30" s="12" t="str">
        <f t="shared" si="15"/>
        <v>Le</v>
      </c>
      <c r="D30" s="13">
        <f t="shared" si="16"/>
        <v>5</v>
      </c>
      <c r="E30" s="13">
        <f t="shared" si="17"/>
        <v>56.82</v>
      </c>
      <c r="F30" s="117">
        <f>MOD((B2+B3-B8)*12*30+F14,360)</f>
        <v>139.09911574269984</v>
      </c>
    </row>
  </sheetData>
  <mergeCells count="2">
    <mergeCell ref="N2:P2"/>
    <mergeCell ref="L2:M2"/>
  </mergeCells>
  <phoneticPr fontId="0" type="noConversion"/>
  <pageMargins left="0.75" right="0.75" top="1" bottom="1" header="0.5" footer="0.5"/>
  <pageSetup scale="49" orientation="portrait" horizontalDpi="300" verticalDpi="0" copies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Values are selected from Charts " prompt="Enter your values in Charts tab">
          <x14:formula1>
            <xm:f>Charts!$A:$A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2"/>
  <sheetViews>
    <sheetView zoomScale="70" zoomScaleNormal="70" workbookViewId="0">
      <selection activeCell="I3" sqref="I3"/>
    </sheetView>
  </sheetViews>
  <sheetFormatPr defaultRowHeight="12.75" x14ac:dyDescent="0.2"/>
  <cols>
    <col min="1" max="1" width="9.140625" style="51"/>
    <col min="2" max="5" width="13.28515625" style="51" customWidth="1"/>
    <col min="6" max="6" width="9.140625" style="51"/>
    <col min="7" max="10" width="13.28515625" style="51" customWidth="1"/>
    <col min="11" max="16384" width="9.140625" style="51"/>
  </cols>
  <sheetData>
    <row r="2" spans="2:13" ht="13.5" thickBot="1" x14ac:dyDescent="0.25">
      <c r="C2" s="106">
        <v>1</v>
      </c>
      <c r="D2" s="106">
        <v>1</v>
      </c>
      <c r="H2" s="106">
        <v>9</v>
      </c>
      <c r="I2" s="106">
        <v>1</v>
      </c>
    </row>
    <row r="3" spans="2:13" ht="75" customHeight="1" x14ac:dyDescent="0.2">
      <c r="B3" s="74" t="str">
        <f>RasiContent(12,Basic!$B$7,C2,D2,Basic!$F$13)</f>
        <v/>
      </c>
      <c r="C3" s="75" t="str">
        <f>RasiContent(1,Basic!$B$7,C2,D2,Basic!$F$13)</f>
        <v/>
      </c>
      <c r="D3" s="75" t="str">
        <f>RasiContent(2,Basic!$B$7,C2,D2,Basic!$F$13)</f>
        <v xml:space="preserve"> Moon Saturn</v>
      </c>
      <c r="E3" s="76" t="str">
        <f>RasiContent(3,Basic!$B$7,C2,D2,Basic!$F$13)</f>
        <v xml:space="preserve"> Venus</v>
      </c>
      <c r="F3" s="52"/>
      <c r="G3" s="74" t="str">
        <f>RasiContent(12,Basic!$B$7,H2,I2,Basic!$F$13)</f>
        <v xml:space="preserve"> Merc Saturn</v>
      </c>
      <c r="H3" s="75" t="str">
        <f>RasiContent(1,Basic!$B$7,H2,I2,Basic!$F$13)</f>
        <v xml:space="preserve"> Venus</v>
      </c>
      <c r="I3" s="75" t="str">
        <f>RasiContent(2,Basic!$B$7,H2,I2,Basic!$F$13)</f>
        <v xml:space="preserve"> </v>
      </c>
      <c r="J3" s="76" t="str">
        <f>RasiContent(3,Basic!$B$7,H2,I2,Basic!$F$13)</f>
        <v/>
      </c>
    </row>
    <row r="4" spans="2:13" ht="75" customHeight="1" x14ac:dyDescent="0.2">
      <c r="B4" s="77" t="str">
        <f>RasiContent(11,Basic!$B$7,C2,D2,Basic!$F$13)</f>
        <v/>
      </c>
      <c r="C4" s="120" t="str">
        <f>divname(C2,D2)</f>
        <v>Rasi</v>
      </c>
      <c r="D4" s="120"/>
      <c r="E4" s="78" t="str">
        <f>RasiContent(4,Basic!$B$7,C2,D2,Basic!$F$13)</f>
        <v xml:space="preserve"> Sun Merc Ketu</v>
      </c>
      <c r="F4" s="52"/>
      <c r="G4" s="77" t="str">
        <f>RasiContent(11,Basic!$B$7,H2,I2,Basic!$F$13)</f>
        <v xml:space="preserve"> </v>
      </c>
      <c r="H4" s="120" t="str">
        <f>divname(H2,I2)</f>
        <v>Navamsa</v>
      </c>
      <c r="I4" s="120"/>
      <c r="J4" s="78" t="str">
        <f>RasiContent(4,Basic!$B$7,H2,I2,Basic!$F$13)</f>
        <v xml:space="preserve"> Sun Moon Jupiter Rahu</v>
      </c>
    </row>
    <row r="5" spans="2:13" ht="75" customHeight="1" x14ac:dyDescent="0.2">
      <c r="B5" s="77" t="str">
        <f>RasiContent(10,Basic!$B$7,C2,D2,Basic!$F$13)</f>
        <v xml:space="preserve"> Mars Rahu</v>
      </c>
      <c r="C5" s="120"/>
      <c r="D5" s="120"/>
      <c r="E5" s="78" t="str">
        <f>RasiContent(5,Basic!$B$7,C2,D2,Basic!$F$13)</f>
        <v xml:space="preserve"> Asdt</v>
      </c>
      <c r="F5" s="52"/>
      <c r="G5" s="77" t="str">
        <f>RasiContent(10,Basic!$B$7,H2,I2,Basic!$F$13)</f>
        <v xml:space="preserve"> Ketu</v>
      </c>
      <c r="H5" s="120"/>
      <c r="I5" s="120"/>
      <c r="J5" s="78" t="str">
        <f>RasiContent(5,Basic!$B$7,H2,I2,Basic!$F$13)</f>
        <v xml:space="preserve"> Asdt</v>
      </c>
    </row>
    <row r="6" spans="2:13" ht="75" customHeight="1" thickBot="1" x14ac:dyDescent="0.25">
      <c r="B6" s="79" t="str">
        <f>RasiContent(9,Basic!$B$7,C2,D2,Basic!$F$13)</f>
        <v/>
      </c>
      <c r="C6" s="80" t="str">
        <f>RasiContent(8,Basic!$B$7,C2,D2,Basic!$F$13)</f>
        <v xml:space="preserve"> Jupiter </v>
      </c>
      <c r="D6" s="80" t="str">
        <f>RasiContent(7,Basic!$B$7,C2,D2,Basic!$F$13)</f>
        <v/>
      </c>
      <c r="E6" s="81" t="str">
        <f>RasiContent(6,Basic!$B$7,C2,D2,Basic!$F$13)</f>
        <v xml:space="preserve">  </v>
      </c>
      <c r="F6" s="52"/>
      <c r="G6" s="79" t="str">
        <f>RasiContent(9,Basic!$B$7,H2,I2,Basic!$F$13)</f>
        <v/>
      </c>
      <c r="H6" s="80" t="str">
        <f>RasiContent(8,Basic!$B$7,H2,I2,Basic!$F$13)</f>
        <v/>
      </c>
      <c r="I6" s="80" t="str">
        <f>RasiContent(7,Basic!$B$7,H2,I2,Basic!$F$13)</f>
        <v/>
      </c>
      <c r="J6" s="81" t="str">
        <f>RasiContent(6,Basic!$B$7,H2,I2,Basic!$F$13)</f>
        <v xml:space="preserve"> Mars </v>
      </c>
    </row>
    <row r="9" spans="2:13" s="53" customFormat="1" x14ac:dyDescent="0.2"/>
    <row r="10" spans="2:13" s="53" customFormat="1" x14ac:dyDescent="0.2">
      <c r="B10" s="53" t="s">
        <v>10</v>
      </c>
      <c r="C10" s="53">
        <v>1</v>
      </c>
      <c r="D10" s="53">
        <v>2</v>
      </c>
      <c r="E10" s="53">
        <v>3</v>
      </c>
      <c r="F10" s="53">
        <v>4</v>
      </c>
      <c r="G10" s="53">
        <v>5</v>
      </c>
      <c r="H10" s="53">
        <v>6</v>
      </c>
      <c r="I10" s="53">
        <v>7</v>
      </c>
      <c r="J10" s="53">
        <v>8</v>
      </c>
      <c r="K10" s="53">
        <v>9</v>
      </c>
      <c r="L10" s="53">
        <v>10</v>
      </c>
    </row>
    <row r="11" spans="2:13" s="53" customFormat="1" x14ac:dyDescent="0.2">
      <c r="B11" s="53" t="s">
        <v>32</v>
      </c>
      <c r="C11" s="53" t="str">
        <f>IF(B11=Basic!$C$13,Basic!$A$13,"")</f>
        <v/>
      </c>
      <c r="D11" s="53" t="str">
        <f>IF(B11=Basic!$C$14,Basic!$A$14,"")</f>
        <v/>
      </c>
      <c r="E11" s="53" t="str">
        <f>IF(B11=Basic!$C$15,Basic!$A$15,"")</f>
        <v/>
      </c>
      <c r="F11" s="53" t="str">
        <f>IF(B11=Basic!$C$16,Basic!$A$16,"")</f>
        <v/>
      </c>
      <c r="G11" s="53" t="str">
        <f>IF(B11=Basic!$C$17,Basic!$A$17,"")</f>
        <v/>
      </c>
      <c r="H11" s="53" t="str">
        <f>IF(B11=Basic!$C$18,Basic!$A$18,"")</f>
        <v/>
      </c>
      <c r="I11" s="53" t="str">
        <f>IF(B11=Basic!$C$19,Basic!$A$19,"")</f>
        <v/>
      </c>
      <c r="J11" s="53" t="str">
        <f>IF(B11=Basic!$C$20,Basic!$A$20,"")</f>
        <v/>
      </c>
      <c r="K11" s="53" t="str">
        <f>IF(B11=Basic!$C$21,Basic!$A$21,"")</f>
        <v/>
      </c>
      <c r="L11" s="53" t="str">
        <f>IF(B11=Basic!$C$22,Basic!$A$22,"")</f>
        <v/>
      </c>
      <c r="M11" s="53" t="str">
        <f>IF(K11=Basic!$C$14,Basic!$A$14,"")</f>
        <v/>
      </c>
    </row>
    <row r="12" spans="2:13" s="53" customFormat="1" x14ac:dyDescent="0.2">
      <c r="B12" s="53" t="s">
        <v>33</v>
      </c>
      <c r="C12" s="53" t="str">
        <f>IF(B12=Basic!$C$13,Basic!$A$13,"")</f>
        <v/>
      </c>
      <c r="D12" s="53" t="str">
        <f>IF(B12=Basic!$C$14,Basic!$A$14,"")</f>
        <v/>
      </c>
      <c r="E12" s="53" t="str">
        <f>IF(B12=Basic!$C$15,Basic!$A$15,"")</f>
        <v xml:space="preserve">Moon </v>
      </c>
      <c r="F12" s="53" t="str">
        <f>IF(B12=Basic!$C$16,Basic!$A$16,"")</f>
        <v/>
      </c>
      <c r="G12" s="53" t="str">
        <f>IF(B12=Basic!$C$17,Basic!$A$17,"")</f>
        <v/>
      </c>
      <c r="H12" s="53" t="str">
        <f>IF(B12=Basic!$C$18,Basic!$A$18,"")</f>
        <v/>
      </c>
      <c r="I12" s="53" t="str">
        <f>IF(B12=Basic!$C$19,Basic!$A$19,"")</f>
        <v/>
      </c>
      <c r="J12" s="53" t="str">
        <f>IF(B12=Basic!$C$20,Basic!$A$20,"")</f>
        <v xml:space="preserve">Saturn </v>
      </c>
      <c r="K12" s="53" t="str">
        <f>IF(B12=Basic!$C$21,Basic!$A$21,"")</f>
        <v/>
      </c>
      <c r="L12" s="53" t="str">
        <f>IF(B12=Basic!$C$22,Basic!$A$22,"")</f>
        <v/>
      </c>
      <c r="M12" s="53" t="str">
        <f>CONCATENATE(C12,D12,E12,F12,G12,H12,I12,J12,K12,L12)</f>
        <v xml:space="preserve">Moon Saturn </v>
      </c>
    </row>
    <row r="13" spans="2:13" s="53" customFormat="1" x14ac:dyDescent="0.2">
      <c r="B13" s="53" t="s">
        <v>34</v>
      </c>
      <c r="C13" s="53" t="str">
        <f>IF(B13=Basic!$C$13,Basic!$A$13,"")</f>
        <v/>
      </c>
      <c r="D13" s="53" t="str">
        <f>IF(B13=Basic!$C$14,Basic!$A$14,"")</f>
        <v/>
      </c>
      <c r="E13" s="53" t="str">
        <f>IF(B13=Basic!$C$15,Basic!$A$15,"")</f>
        <v/>
      </c>
      <c r="F13" s="53" t="str">
        <f>IF(B13=Basic!$C$16,Basic!$A$16,"")</f>
        <v/>
      </c>
      <c r="G13" s="53" t="str">
        <f>IF(B13=Basic!$C$17,Basic!$A$17,"")</f>
        <v/>
      </c>
      <c r="H13" s="53" t="str">
        <f>IF(B13=Basic!$C$18,Basic!$A$18,"")</f>
        <v/>
      </c>
      <c r="I13" s="53" t="str">
        <f>IF(B13=Basic!$C$19,Basic!$A$19,"")</f>
        <v xml:space="preserve">Venus </v>
      </c>
      <c r="J13" s="53" t="str">
        <f>IF(B13=Basic!$C$20,Basic!$A$20,"")</f>
        <v/>
      </c>
      <c r="K13" s="53" t="str">
        <f>IF(B13=Basic!$C$21,Basic!$A$21,"")</f>
        <v/>
      </c>
      <c r="L13" s="53" t="str">
        <f>IF(B13=Basic!$C$22,Basic!$A$22,"")</f>
        <v/>
      </c>
      <c r="M13" s="53" t="str">
        <f t="shared" ref="M13:M22" si="0">CONCATENATE(C13,D13,E13,F13,G13,H13,I13,J13,K13,L13)</f>
        <v xml:space="preserve">Venus </v>
      </c>
    </row>
    <row r="14" spans="2:13" s="53" customFormat="1" x14ac:dyDescent="0.2">
      <c r="B14" s="53" t="s">
        <v>35</v>
      </c>
      <c r="C14" s="53" t="str">
        <f>IF(B14=Basic!$C$13,Basic!$A$13,"")</f>
        <v/>
      </c>
      <c r="D14" s="53" t="str">
        <f>IF(B14=Basic!$C$14,Basic!$A$14,"")</f>
        <v xml:space="preserve">Sun </v>
      </c>
      <c r="E14" s="53" t="str">
        <f>IF(B14=Basic!$C$15,Basic!$A$15,"")</f>
        <v/>
      </c>
      <c r="F14" s="53" t="str">
        <f>IF(B14=Basic!$C$16,Basic!$A$16,"")</f>
        <v/>
      </c>
      <c r="G14" s="53" t="str">
        <f>IF(B14=Basic!$C$17,Basic!$A$17,"")</f>
        <v xml:space="preserve">Mercury </v>
      </c>
      <c r="H14" s="53" t="str">
        <f>IF(B14=Basic!$C$18,Basic!$A$18,"")</f>
        <v/>
      </c>
      <c r="I14" s="53" t="str">
        <f>IF(B14=Basic!$C$19,Basic!$A$19,"")</f>
        <v/>
      </c>
      <c r="J14" s="53" t="str">
        <f>IF(B14=Basic!$C$20,Basic!$A$20,"")</f>
        <v/>
      </c>
      <c r="K14" s="53" t="str">
        <f>IF(B14=Basic!$C$21,Basic!$A$21,"")</f>
        <v/>
      </c>
      <c r="L14" s="53" t="str">
        <f>IF(B14=Basic!$C$22,Basic!$A$22,"")</f>
        <v xml:space="preserve">Ketu </v>
      </c>
      <c r="M14" s="53" t="str">
        <f t="shared" si="0"/>
        <v xml:space="preserve">Sun Mercury Ketu </v>
      </c>
    </row>
    <row r="15" spans="2:13" s="53" customFormat="1" x14ac:dyDescent="0.2">
      <c r="B15" s="53" t="s">
        <v>36</v>
      </c>
      <c r="C15" s="53" t="str">
        <f>IF(B15=Basic!$C$13,Basic!$A$13,"")</f>
        <v xml:space="preserve">Asdt </v>
      </c>
      <c r="D15" s="53" t="str">
        <f>IF(B15=Basic!$C$14,Basic!$A$14,"")</f>
        <v/>
      </c>
      <c r="E15" s="53" t="str">
        <f>IF(B15=Basic!$C$15,Basic!$A$15,"")</f>
        <v/>
      </c>
      <c r="F15" s="53" t="str">
        <f>IF(B15=Basic!$C$16,Basic!$A$16,"")</f>
        <v/>
      </c>
      <c r="G15" s="53" t="str">
        <f>IF(B15=Basic!$C$17,Basic!$A$17,"")</f>
        <v/>
      </c>
      <c r="H15" s="53" t="str">
        <f>IF(B15=Basic!$C$18,Basic!$A$18,"")</f>
        <v/>
      </c>
      <c r="I15" s="53" t="str">
        <f>IF(B15=Basic!$C$19,Basic!$A$19,"")</f>
        <v/>
      </c>
      <c r="J15" s="53" t="str">
        <f>IF(B15=Basic!$C$20,Basic!$A$20,"")</f>
        <v/>
      </c>
      <c r="K15" s="53" t="str">
        <f>IF(B15=Basic!$C$21,Basic!$A$21,"")</f>
        <v/>
      </c>
      <c r="L15" s="53" t="str">
        <f>IF(B15=Basic!$C$22,Basic!$A$22,"")</f>
        <v/>
      </c>
      <c r="M15" s="53" t="str">
        <f t="shared" si="0"/>
        <v xml:space="preserve">Asdt </v>
      </c>
    </row>
    <row r="16" spans="2:13" s="53" customFormat="1" x14ac:dyDescent="0.2">
      <c r="B16" s="53" t="s">
        <v>37</v>
      </c>
      <c r="C16" s="53" t="str">
        <f>IF(B16=Basic!$C$13,Basic!$A$13,"")</f>
        <v/>
      </c>
      <c r="D16" s="53" t="str">
        <f>IF(B16=Basic!$C$14,Basic!$A$14,"")</f>
        <v/>
      </c>
      <c r="E16" s="53" t="str">
        <f>IF(B16=Basic!$C$15,Basic!$A$15,"")</f>
        <v/>
      </c>
      <c r="F16" s="53" t="str">
        <f>IF(B16=Basic!$C$16,Basic!$A$16,"")</f>
        <v/>
      </c>
      <c r="G16" s="53" t="str">
        <f>IF(B16=Basic!$C$17,Basic!$A$17,"")</f>
        <v/>
      </c>
      <c r="H16" s="53" t="str">
        <f>IF(B16=Basic!$C$18,Basic!$A$18,"")</f>
        <v/>
      </c>
      <c r="I16" s="53" t="str">
        <f>IF(B16=Basic!$C$19,Basic!$A$19,"")</f>
        <v/>
      </c>
      <c r="J16" s="53" t="str">
        <f>IF(B16=Basic!$C$20,Basic!$A$20,"")</f>
        <v/>
      </c>
      <c r="K16" s="53" t="str">
        <f>IF(B16=Basic!$C$21,Basic!$A$21,"")</f>
        <v/>
      </c>
      <c r="L16" s="53" t="str">
        <f>IF(B16=Basic!$C$22,Basic!$A$22,"")</f>
        <v/>
      </c>
      <c r="M16" s="53" t="str">
        <f t="shared" si="0"/>
        <v/>
      </c>
    </row>
    <row r="17" spans="2:13" s="53" customFormat="1" x14ac:dyDescent="0.2">
      <c r="B17" s="53" t="s">
        <v>38</v>
      </c>
      <c r="C17" s="53" t="str">
        <f>IF(B17=Basic!$C$13,Basic!$A$13,"")</f>
        <v/>
      </c>
      <c r="D17" s="53" t="str">
        <f>IF(B17=Basic!$C$14,Basic!$A$14,"")</f>
        <v/>
      </c>
      <c r="E17" s="53" t="str">
        <f>IF(B17=Basic!$C$15,Basic!$A$15,"")</f>
        <v/>
      </c>
      <c r="F17" s="53" t="str">
        <f>IF(B17=Basic!$C$16,Basic!$A$16,"")</f>
        <v/>
      </c>
      <c r="G17" s="53" t="str">
        <f>IF(B17=Basic!$C$17,Basic!$A$17,"")</f>
        <v/>
      </c>
      <c r="H17" s="53" t="str">
        <f>IF(B17=Basic!$C$18,Basic!$A$18,"")</f>
        <v/>
      </c>
      <c r="I17" s="53" t="str">
        <f>IF(B17=Basic!$C$19,Basic!$A$19,"")</f>
        <v/>
      </c>
      <c r="J17" s="53" t="str">
        <f>IF(B17=Basic!$C$20,Basic!$A$20,"")</f>
        <v/>
      </c>
      <c r="K17" s="53" t="str">
        <f>IF(B17=Basic!$C$21,Basic!$A$21,"")</f>
        <v/>
      </c>
      <c r="L17" s="53" t="str">
        <f>IF(B17=Basic!$C$22,Basic!$A$22,"")</f>
        <v/>
      </c>
      <c r="M17" s="53" t="str">
        <f t="shared" si="0"/>
        <v/>
      </c>
    </row>
    <row r="18" spans="2:13" s="53" customFormat="1" x14ac:dyDescent="0.2">
      <c r="B18" s="53" t="s">
        <v>39</v>
      </c>
      <c r="C18" s="53" t="str">
        <f>IF(B18=Basic!$C$13,Basic!$A$13,"")</f>
        <v/>
      </c>
      <c r="D18" s="53" t="str">
        <f>IF(B18=Basic!$C$14,Basic!$A$14,"")</f>
        <v/>
      </c>
      <c r="E18" s="53" t="str">
        <f>IF(B18=Basic!$C$15,Basic!$A$15,"")</f>
        <v/>
      </c>
      <c r="F18" s="53" t="str">
        <f>IF(B18=Basic!$C$16,Basic!$A$16,"")</f>
        <v/>
      </c>
      <c r="G18" s="53" t="str">
        <f>IF(B18=Basic!$C$17,Basic!$A$17,"")</f>
        <v/>
      </c>
      <c r="H18" s="53" t="str">
        <f>IF(B18=Basic!$C$18,Basic!$A$18,"")</f>
        <v>Jupiter</v>
      </c>
      <c r="I18" s="53" t="str">
        <f>IF(B18=Basic!$C$19,Basic!$A$19,"")</f>
        <v/>
      </c>
      <c r="J18" s="53" t="str">
        <f>IF(B18=Basic!$C$20,Basic!$A$20,"")</f>
        <v/>
      </c>
      <c r="K18" s="53" t="str">
        <f>IF(B18=Basic!$C$21,Basic!$A$21,"")</f>
        <v/>
      </c>
      <c r="L18" s="53" t="str">
        <f>IF(B18=Basic!$C$22,Basic!$A$22,"")</f>
        <v/>
      </c>
      <c r="M18" s="53" t="str">
        <f>CONCATENATE(C18,D18,E18,F18,G18,H18,I18,J18,K18,L18)</f>
        <v>Jupiter</v>
      </c>
    </row>
    <row r="19" spans="2:13" s="53" customFormat="1" x14ac:dyDescent="0.2">
      <c r="B19" s="53" t="s">
        <v>40</v>
      </c>
      <c r="C19" s="53" t="str">
        <f>IF(B19=Basic!$C$13,Basic!$A$13,"")</f>
        <v/>
      </c>
      <c r="D19" s="53" t="str">
        <f>IF(B19=Basic!$C$14,Basic!$A$14,"")</f>
        <v/>
      </c>
      <c r="E19" s="53" t="str">
        <f>IF(B19=Basic!$C$15,Basic!$A$15,"")</f>
        <v/>
      </c>
      <c r="F19" s="53" t="str">
        <f>IF(B19=Basic!$C$16,Basic!$A$16,"")</f>
        <v/>
      </c>
      <c r="G19" s="53" t="str">
        <f>IF(B19=Basic!$C$17,Basic!$A$17,"")</f>
        <v/>
      </c>
      <c r="H19" s="53" t="str">
        <f>IF(B19=Basic!$C$18,Basic!$A$18,"")</f>
        <v/>
      </c>
      <c r="I19" s="53" t="str">
        <f>IF(B19=Basic!$C$19,Basic!$A$19,"")</f>
        <v/>
      </c>
      <c r="J19" s="53" t="str">
        <f>IF(B19=Basic!$C$20,Basic!$A$20,"")</f>
        <v/>
      </c>
      <c r="K19" s="53" t="str">
        <f>IF(B19=Basic!$C$21,Basic!$A$21,"")</f>
        <v/>
      </c>
      <c r="L19" s="53" t="str">
        <f>IF(B19=Basic!$C$22,Basic!$A$22,"")</f>
        <v/>
      </c>
      <c r="M19" s="53" t="str">
        <f t="shared" si="0"/>
        <v/>
      </c>
    </row>
    <row r="20" spans="2:13" s="53" customFormat="1" x14ac:dyDescent="0.2">
      <c r="B20" s="53" t="s">
        <v>41</v>
      </c>
      <c r="C20" s="53" t="str">
        <f>IF(B20=Basic!$C$13,Basic!$A$13,"")</f>
        <v/>
      </c>
      <c r="D20" s="53" t="str">
        <f>IF(B20=Basic!$C$14,Basic!$A$14,"")</f>
        <v/>
      </c>
      <c r="E20" s="53" t="str">
        <f>IF(B20=Basic!$C$15,Basic!$A$15,"")</f>
        <v/>
      </c>
      <c r="F20" s="53" t="str">
        <f>IF(B20=Basic!$C$16,Basic!$A$16,"")</f>
        <v xml:space="preserve">Mars </v>
      </c>
      <c r="G20" s="53" t="str">
        <f>IF(B20=Basic!$C$17,Basic!$A$17,"")</f>
        <v/>
      </c>
      <c r="H20" s="53" t="str">
        <f>IF(B20=Basic!$C$18,Basic!$A$18,"")</f>
        <v/>
      </c>
      <c r="I20" s="53" t="str">
        <f>IF(B20=Basic!$C$19,Basic!$A$19,"")</f>
        <v/>
      </c>
      <c r="J20" s="53" t="str">
        <f>IF(B20=Basic!$C$20,Basic!$A$20,"")</f>
        <v/>
      </c>
      <c r="K20" s="53" t="str">
        <f>IF(B20=Basic!$C$21,Basic!$A$21,"")</f>
        <v xml:space="preserve">Rahu </v>
      </c>
      <c r="L20" s="53" t="str">
        <f>IF(B20=Basic!$C$22,Basic!$A$22,"")</f>
        <v/>
      </c>
      <c r="M20" s="53" t="str">
        <f t="shared" si="0"/>
        <v xml:space="preserve">Mars Rahu </v>
      </c>
    </row>
    <row r="21" spans="2:13" s="53" customFormat="1" x14ac:dyDescent="0.2">
      <c r="B21" s="53" t="s">
        <v>42</v>
      </c>
      <c r="C21" s="53" t="str">
        <f>IF(B21=Basic!$C$13,Basic!$A$13,"")</f>
        <v/>
      </c>
      <c r="D21" s="53" t="str">
        <f>IF(B21=Basic!$C$14,Basic!$A$14,"")</f>
        <v/>
      </c>
      <c r="E21" s="53" t="str">
        <f>IF(B21=Basic!$C$15,Basic!$A$15,"")</f>
        <v/>
      </c>
      <c r="F21" s="53" t="str">
        <f>IF(B21=Basic!$C$16,Basic!$A$16,"")</f>
        <v/>
      </c>
      <c r="G21" s="53" t="str">
        <f>IF(B21=Basic!$C$17,Basic!$A$17,"")</f>
        <v/>
      </c>
      <c r="H21" s="53" t="str">
        <f>IF(B21=Basic!$C$18,Basic!$A$18,"")</f>
        <v/>
      </c>
      <c r="I21" s="53" t="str">
        <f>IF(B21=Basic!$C$19,Basic!$A$19,"")</f>
        <v/>
      </c>
      <c r="J21" s="53" t="str">
        <f>IF(B21=Basic!$C$20,Basic!$A$20,"")</f>
        <v/>
      </c>
      <c r="K21" s="53" t="str">
        <f>IF(B21=Basic!$C$21,Basic!$A$21,"")</f>
        <v/>
      </c>
      <c r="L21" s="53" t="str">
        <f>IF(B21=Basic!$C$22,Basic!$A$22,"")</f>
        <v/>
      </c>
      <c r="M21" s="53" t="str">
        <f t="shared" si="0"/>
        <v/>
      </c>
    </row>
    <row r="22" spans="2:13" s="53" customFormat="1" x14ac:dyDescent="0.2">
      <c r="B22" s="53" t="s">
        <v>43</v>
      </c>
      <c r="C22" s="53" t="str">
        <f>IF(B22=Basic!$C$13,Basic!$A$13,"")</f>
        <v/>
      </c>
      <c r="D22" s="53" t="str">
        <f>IF(B22=Basic!$C$14,Basic!$A$14,"")</f>
        <v/>
      </c>
      <c r="E22" s="53" t="str">
        <f>IF(B22=Basic!$C$15,Basic!$A$15,"")</f>
        <v/>
      </c>
      <c r="F22" s="53" t="str">
        <f>IF(B22=Basic!$C$16,Basic!$A$16,"")</f>
        <v/>
      </c>
      <c r="G22" s="53" t="str">
        <f>IF(B22=Basic!$C$17,Basic!$A$17,"")</f>
        <v/>
      </c>
      <c r="H22" s="53" t="str">
        <f>IF(B22=Basic!$C$18,Basic!$A$18,"")</f>
        <v/>
      </c>
      <c r="I22" s="53" t="str">
        <f>IF(B22=Basic!$C$19,Basic!$A$19,"")</f>
        <v/>
      </c>
      <c r="J22" s="53" t="str">
        <f>IF(B22=Basic!$C$20,Basic!$A$20,"")</f>
        <v/>
      </c>
      <c r="K22" s="53" t="str">
        <f>IF(B22=Basic!$C$21,Basic!$A$21,"")</f>
        <v/>
      </c>
      <c r="L22" s="53" t="str">
        <f>IF(B22=Basic!$C$22,Basic!$A$22,"")</f>
        <v/>
      </c>
      <c r="M22" s="53" t="str">
        <f t="shared" si="0"/>
        <v/>
      </c>
    </row>
    <row r="23" spans="2:13" s="53" customFormat="1" x14ac:dyDescent="0.2"/>
    <row r="24" spans="2:13" s="53" customFormat="1" x14ac:dyDescent="0.2">
      <c r="B24" s="53" t="s">
        <v>10</v>
      </c>
      <c r="C24" s="53">
        <v>1</v>
      </c>
      <c r="D24" s="53">
        <v>2</v>
      </c>
      <c r="E24" s="53">
        <v>3</v>
      </c>
      <c r="F24" s="53">
        <v>4</v>
      </c>
      <c r="G24" s="53">
        <v>5</v>
      </c>
      <c r="H24" s="53">
        <v>6</v>
      </c>
      <c r="I24" s="53">
        <v>7</v>
      </c>
      <c r="J24" s="53">
        <v>8</v>
      </c>
      <c r="K24" s="53">
        <v>9</v>
      </c>
      <c r="L24" s="53">
        <v>10</v>
      </c>
    </row>
    <row r="25" spans="2:13" s="53" customFormat="1" x14ac:dyDescent="0.2">
      <c r="B25" s="53" t="s">
        <v>32</v>
      </c>
      <c r="C25" s="53" t="str">
        <f>IF(B25=Division!$C$4,Division!$A$4,"")</f>
        <v/>
      </c>
      <c r="D25" s="53" t="str">
        <f>IF(B25=Division!$C$5,Division!$A$5,"")</f>
        <v/>
      </c>
      <c r="E25" s="53" t="str">
        <f>IF(B25=Division!$C$6,Division!$A$6,"")</f>
        <v/>
      </c>
      <c r="F25" s="53" t="str">
        <f>IF(B25=Division!$C$7,Division!$A$7,"")</f>
        <v/>
      </c>
      <c r="G25" s="53" t="str">
        <f>IF(B25=Division!$C$8,Division!$A$8,"")</f>
        <v/>
      </c>
      <c r="H25" s="53" t="str">
        <f>IF(B25=Division!$C$9,Division!$A$9,"")</f>
        <v xml:space="preserve">(Jupiter) </v>
      </c>
      <c r="I25" s="53" t="str">
        <f>IF(B25=Division!$C$10,Division!$A$10,"")</f>
        <v/>
      </c>
      <c r="J25" s="53" t="str">
        <f>IF(B25=Division!$C$11,Division!$A$11,"")</f>
        <v/>
      </c>
      <c r="K25" s="53" t="str">
        <f>IF(B25=Division!$C$12,Division!$A$12,"")</f>
        <v/>
      </c>
      <c r="L25" s="53" t="str">
        <f>IF(B25=Division!$C$13,Division!$A$13,"")</f>
        <v/>
      </c>
      <c r="M25" s="53" t="str">
        <f t="shared" ref="M25:M36" si="1">CONCATENATE(C25,D25,E25,F25,G25,H25,I25,J25,K25,L25)</f>
        <v xml:space="preserve">(Jupiter) </v>
      </c>
    </row>
    <row r="26" spans="2:13" s="53" customFormat="1" x14ac:dyDescent="0.2">
      <c r="B26" s="53" t="s">
        <v>33</v>
      </c>
      <c r="C26" s="53" t="str">
        <f>IF(B26=Division!$C$4,Division!$A$4,"")</f>
        <v xml:space="preserve">Asdt </v>
      </c>
      <c r="D26" s="53" t="str">
        <f>IF(B26=Division!$C$5,Division!$A$5,"")</f>
        <v/>
      </c>
      <c r="E26" s="53" t="str">
        <f>IF(B26=Division!$C$6,Division!$A$6,"")</f>
        <v/>
      </c>
      <c r="F26" s="53" t="str">
        <f>IF(B26=Division!$C$7,Division!$A$7,"")</f>
        <v/>
      </c>
      <c r="G26" s="53" t="str">
        <f>IF(B26=Division!$C$8,Division!$A$8,"")</f>
        <v/>
      </c>
      <c r="H26" s="53" t="str">
        <f>IF(B26=Division!$C$9,Division!$A$9,"")</f>
        <v/>
      </c>
      <c r="I26" s="53" t="str">
        <f>IF(B26=Division!$C$10,Division!$A$10,"")</f>
        <v/>
      </c>
      <c r="J26" s="53" t="str">
        <f>IF(B26=Division!$C$11,Division!$A$11,"")</f>
        <v xml:space="preserve">Saturn </v>
      </c>
      <c r="K26" s="53" t="str">
        <f>IF(B26=Division!$C$12,Division!$A$12,"")</f>
        <v/>
      </c>
      <c r="L26" s="53" t="str">
        <f>IF(B26=Division!$C$13,Division!$A$13,"")</f>
        <v/>
      </c>
      <c r="M26" s="53" t="str">
        <f t="shared" si="1"/>
        <v xml:space="preserve">Asdt Saturn </v>
      </c>
    </row>
    <row r="27" spans="2:13" s="53" customFormat="1" x14ac:dyDescent="0.2">
      <c r="B27" s="53" t="s">
        <v>34</v>
      </c>
      <c r="C27" s="53" t="str">
        <f>IF(B27=Division!$C$4,Division!$A$4,"")</f>
        <v/>
      </c>
      <c r="D27" s="53" t="str">
        <f>IF(B27=Division!$C$5,Division!$A$5,"")</f>
        <v/>
      </c>
      <c r="E27" s="53" t="str">
        <f>IF(B27=Division!$C$6,Division!$A$6,"")</f>
        <v/>
      </c>
      <c r="F27" s="53" t="str">
        <f>IF(B27=Division!$C$7,Division!$A$7,"")</f>
        <v/>
      </c>
      <c r="G27" s="53" t="str">
        <f>IF(B27=Division!$C$8,Division!$A$8,"")</f>
        <v/>
      </c>
      <c r="H27" s="53" t="str">
        <f>IF(B27=Division!$C$9,Division!$A$9,"")</f>
        <v/>
      </c>
      <c r="I27" s="53" t="str">
        <f>IF(B27=Division!$C$10,Division!$A$10,"")</f>
        <v xml:space="preserve">Venus </v>
      </c>
      <c r="J27" s="53" t="str">
        <f>IF(B27=Division!$C$11,Division!$A$11,"")</f>
        <v/>
      </c>
      <c r="K27" s="53" t="str">
        <f>IF(B27=Division!$C$12,Division!$A$12,"")</f>
        <v/>
      </c>
      <c r="L27" s="53" t="str">
        <f>IF(B27=Division!$C$13,Division!$A$13,"")</f>
        <v/>
      </c>
      <c r="M27" s="53" t="str">
        <f t="shared" si="1"/>
        <v xml:space="preserve">Venus </v>
      </c>
    </row>
    <row r="28" spans="2:13" s="53" customFormat="1" x14ac:dyDescent="0.2">
      <c r="B28" s="53" t="s">
        <v>35</v>
      </c>
      <c r="C28" s="53" t="str">
        <f>IF(B28=Division!$C$4,Division!$A$4,"")</f>
        <v/>
      </c>
      <c r="D28" s="53" t="str">
        <f>IF(B28=Division!$C$5,Division!$A$5,"")</f>
        <v xml:space="preserve">Sun </v>
      </c>
      <c r="E28" s="53" t="str">
        <f>IF(B28=Division!$C$6,Division!$A$6,"")</f>
        <v/>
      </c>
      <c r="F28" s="53" t="str">
        <f>IF(B28=Division!$C$7,Division!$A$7,"")</f>
        <v/>
      </c>
      <c r="G28" s="53" t="str">
        <f>IF(B28=Division!$C$8,Division!$A$8,"")</f>
        <v/>
      </c>
      <c r="H28" s="53" t="str">
        <f>IF(B28=Division!$C$9,Division!$A$9,"")</f>
        <v/>
      </c>
      <c r="I28" s="53" t="str">
        <f>IF(B28=Division!$C$10,Division!$A$10,"")</f>
        <v/>
      </c>
      <c r="J28" s="53" t="str">
        <f>IF(B28=Division!$C$11,Division!$A$11,"")</f>
        <v/>
      </c>
      <c r="K28" s="53" t="str">
        <f>IF(B28=Division!$C$12,Division!$A$12,"")</f>
        <v/>
      </c>
      <c r="L28" s="53" t="str">
        <f>IF(B28=Division!$C$13,Division!$A$13,"")</f>
        <v/>
      </c>
      <c r="M28" s="53" t="str">
        <f t="shared" si="1"/>
        <v xml:space="preserve">Sun </v>
      </c>
    </row>
    <row r="29" spans="2:13" s="53" customFormat="1" x14ac:dyDescent="0.2">
      <c r="B29" s="53" t="s">
        <v>36</v>
      </c>
      <c r="C29" s="53" t="str">
        <f>IF(B29=Division!$C$4,Division!$A$4,"")</f>
        <v/>
      </c>
      <c r="D29" s="53" t="str">
        <f>IF(B29=Division!$C$5,Division!$A$5,"")</f>
        <v/>
      </c>
      <c r="E29" s="53" t="str">
        <f>IF(B29=Division!$C$6,Division!$A$6,"")</f>
        <v/>
      </c>
      <c r="F29" s="53" t="str">
        <f>IF(B29=Division!$C$7,Division!$A$7,"")</f>
        <v/>
      </c>
      <c r="G29" s="53" t="str">
        <f>IF(B29=Division!$C$8,Division!$A$8,"")</f>
        <v xml:space="preserve">Mercury </v>
      </c>
      <c r="H29" s="53" t="str">
        <f>IF(B29=Division!$C$9,Division!$A$9,"")</f>
        <v/>
      </c>
      <c r="I29" s="53" t="str">
        <f>IF(B29=Division!$C$10,Division!$A$10,"")</f>
        <v/>
      </c>
      <c r="J29" s="53" t="str">
        <f>IF(B29=Division!$C$11,Division!$A$11,"")</f>
        <v/>
      </c>
      <c r="K29" s="53" t="str">
        <f>IF(B29=Division!$C$12,Division!$A$12,"")</f>
        <v/>
      </c>
      <c r="L29" s="53" t="str">
        <f>IF(B29=Division!$C$13,Division!$A$13,"")</f>
        <v xml:space="preserve">Ketu </v>
      </c>
      <c r="M29" s="53" t="str">
        <f t="shared" si="1"/>
        <v xml:space="preserve">Mercury Ketu </v>
      </c>
    </row>
    <row r="30" spans="2:13" s="53" customFormat="1" x14ac:dyDescent="0.2">
      <c r="B30" s="53" t="s">
        <v>37</v>
      </c>
      <c r="C30" s="53" t="str">
        <f>IF(B30=Division!$C$4,Division!$A$4,"")</f>
        <v/>
      </c>
      <c r="D30" s="53" t="str">
        <f>IF(B30=Division!$C$5,Division!$A$5,"")</f>
        <v/>
      </c>
      <c r="E30" s="53" t="str">
        <f>IF(B30=Division!$C$6,Division!$A$6,"")</f>
        <v/>
      </c>
      <c r="F30" s="53" t="str">
        <f>IF(B30=Division!$C$7,Division!$A$7,"")</f>
        <v/>
      </c>
      <c r="G30" s="53" t="str">
        <f>IF(B30=Division!$C$8,Division!$A$8,"")</f>
        <v/>
      </c>
      <c r="H30" s="53" t="str">
        <f>IF(B30=Division!$C$9,Division!$A$9,"")</f>
        <v/>
      </c>
      <c r="I30" s="53" t="str">
        <f>IF(B30=Division!$C$10,Division!$A$10,"")</f>
        <v/>
      </c>
      <c r="J30" s="53" t="str">
        <f>IF(B30=Division!$C$11,Division!$A$11,"")</f>
        <v/>
      </c>
      <c r="K30" s="53" t="str">
        <f>IF(B30=Division!$C$12,Division!$A$12,"")</f>
        <v/>
      </c>
      <c r="L30" s="53" t="str">
        <f>IF(B30=Division!$C$13,Division!$A$13,"")</f>
        <v/>
      </c>
      <c r="M30" s="53" t="str">
        <f t="shared" si="1"/>
        <v/>
      </c>
    </row>
    <row r="31" spans="2:13" s="53" customFormat="1" x14ac:dyDescent="0.2">
      <c r="B31" s="53" t="s">
        <v>38</v>
      </c>
      <c r="C31" s="53" t="str">
        <f>IF(B31=Division!$C$4,Division!$A$4,"")</f>
        <v/>
      </c>
      <c r="D31" s="53" t="str">
        <f>IF(B31=Division!$C$5,Division!$A$5,"")</f>
        <v/>
      </c>
      <c r="E31" s="53" t="str">
        <f>IF(B31=Division!$C$6,Division!$A$6,"")</f>
        <v xml:space="preserve">Moon </v>
      </c>
      <c r="F31" s="53" t="str">
        <f>IF(B31=Division!$C$7,Division!$A$7,"")</f>
        <v/>
      </c>
      <c r="G31" s="53" t="str">
        <f>IF(B31=Division!$C$8,Division!$A$8,"")</f>
        <v/>
      </c>
      <c r="H31" s="53" t="str">
        <f>IF(B31=Division!$C$9,Division!$A$9,"")</f>
        <v/>
      </c>
      <c r="I31" s="53" t="str">
        <f>IF(B31=Division!$C$10,Division!$A$10,"")</f>
        <v/>
      </c>
      <c r="J31" s="53" t="str">
        <f>IF(B31=Division!$C$11,Division!$A$11,"")</f>
        <v/>
      </c>
      <c r="K31" s="53" t="str">
        <f>IF(B31=Division!$C$12,Division!$A$12,"")</f>
        <v/>
      </c>
      <c r="L31" s="53" t="str">
        <f>IF(B31=Division!$C$13,Division!$A$13,"")</f>
        <v/>
      </c>
      <c r="M31" s="53" t="str">
        <f t="shared" si="1"/>
        <v xml:space="preserve">Moon </v>
      </c>
    </row>
    <row r="32" spans="2:13" s="53" customFormat="1" x14ac:dyDescent="0.2">
      <c r="B32" s="53" t="s">
        <v>39</v>
      </c>
      <c r="C32" s="53" t="str">
        <f>IF(B32=Division!$C$4,Division!$A$4,"")</f>
        <v/>
      </c>
      <c r="D32" s="53" t="str">
        <f>IF(B32=Division!$C$5,Division!$A$5,"")</f>
        <v/>
      </c>
      <c r="E32" s="53" t="str">
        <f>IF(B32=Division!$C$6,Division!$A$6,"")</f>
        <v/>
      </c>
      <c r="F32" s="53" t="str">
        <f>IF(B32=Division!$C$7,Division!$A$7,"")</f>
        <v/>
      </c>
      <c r="G32" s="53" t="str">
        <f>IF(B32=Division!$C$8,Division!$A$8,"")</f>
        <v/>
      </c>
      <c r="H32" s="53" t="str">
        <f>IF(B32=Division!$C$9,Division!$A$9,"")</f>
        <v/>
      </c>
      <c r="I32" s="53" t="str">
        <f>IF(B32=Division!$C$10,Division!$A$10,"")</f>
        <v/>
      </c>
      <c r="J32" s="53" t="str">
        <f>IF(B32=Division!$C$11,Division!$A$11,"")</f>
        <v/>
      </c>
      <c r="K32" s="53" t="str">
        <f>IF(B32=Division!$C$12,Division!$A$12,"")</f>
        <v/>
      </c>
      <c r="L32" s="53" t="str">
        <f>IF(B32=Division!$C$13,Division!$A$13,"")</f>
        <v/>
      </c>
      <c r="M32" s="53" t="str">
        <f t="shared" si="1"/>
        <v/>
      </c>
    </row>
    <row r="33" spans="2:13" s="53" customFormat="1" x14ac:dyDescent="0.2">
      <c r="B33" s="53" t="s">
        <v>40</v>
      </c>
      <c r="C33" s="53" t="str">
        <f>IF(B33=Division!$C$4,Division!$A$4,"")</f>
        <v/>
      </c>
      <c r="D33" s="53" t="str">
        <f>IF(B33=Division!$C$5,Division!$A$5,"")</f>
        <v/>
      </c>
      <c r="E33" s="53" t="str">
        <f>IF(B33=Division!$C$6,Division!$A$6,"")</f>
        <v/>
      </c>
      <c r="F33" s="53" t="str">
        <f>IF(B33=Division!$C$7,Division!$A$7,"")</f>
        <v/>
      </c>
      <c r="G33" s="53" t="str">
        <f>IF(B33=Division!$C$8,Division!$A$8,"")</f>
        <v/>
      </c>
      <c r="H33" s="53" t="str">
        <f>IF(B33=Division!$C$9,Division!$A$9,"")</f>
        <v/>
      </c>
      <c r="I33" s="53" t="str">
        <f>IF(B33=Division!$C$10,Division!$A$10,"")</f>
        <v/>
      </c>
      <c r="J33" s="53" t="str">
        <f>IF(B33=Division!$C$11,Division!$A$11,"")</f>
        <v/>
      </c>
      <c r="K33" s="53" t="str">
        <f>IF(B33=Division!$C$12,Division!$A$12,"")</f>
        <v/>
      </c>
      <c r="L33" s="53" t="str">
        <f>IF(B33=Division!$C$13,Division!$A$13,"")</f>
        <v/>
      </c>
      <c r="M33" s="53" t="str">
        <f t="shared" si="1"/>
        <v/>
      </c>
    </row>
    <row r="34" spans="2:13" s="53" customFormat="1" x14ac:dyDescent="0.2">
      <c r="B34" s="53" t="s">
        <v>41</v>
      </c>
      <c r="C34" s="53" t="str">
        <f>IF(B34=Division!$C$4,Division!$A$4,"")</f>
        <v/>
      </c>
      <c r="D34" s="53" t="str">
        <f>IF(B34=Division!$C$5,Division!$A$5,"")</f>
        <v/>
      </c>
      <c r="E34" s="53" t="str">
        <f>IF(B34=Division!$C$6,Division!$A$6,"")</f>
        <v/>
      </c>
      <c r="F34" s="53" t="str">
        <f>IF(B34=Division!$C$7,Division!$A$7,"")</f>
        <v/>
      </c>
      <c r="G34" s="53" t="str">
        <f>IF(B34=Division!$C$8,Division!$A$8,"")</f>
        <v/>
      </c>
      <c r="H34" s="53" t="str">
        <f>IF(B34=Division!$C$9,Division!$A$9,"")</f>
        <v/>
      </c>
      <c r="I34" s="53" t="str">
        <f>IF(B34=Division!$C$10,Division!$A$10,"")</f>
        <v/>
      </c>
      <c r="J34" s="53" t="str">
        <f>IF(B34=Division!$C$11,Division!$A$11,"")</f>
        <v/>
      </c>
      <c r="K34" s="53" t="str">
        <f>IF(B34=Division!$C$12,Division!$A$12,"")</f>
        <v/>
      </c>
      <c r="L34" s="53" t="str">
        <f>IF(B34=Division!$C$13,Division!$A$13,"")</f>
        <v/>
      </c>
      <c r="M34" s="53" t="str">
        <f t="shared" si="1"/>
        <v/>
      </c>
    </row>
    <row r="35" spans="2:13" s="53" customFormat="1" x14ac:dyDescent="0.2">
      <c r="B35" s="53" t="s">
        <v>42</v>
      </c>
      <c r="C35" s="53" t="str">
        <f>IF(B35=Division!$C$4,Division!$A$4,"")</f>
        <v/>
      </c>
      <c r="D35" s="53" t="str">
        <f>IF(B35=Division!$C$5,Division!$A$5,"")</f>
        <v/>
      </c>
      <c r="E35" s="53" t="str">
        <f>IF(B35=Division!$C$6,Division!$A$6,"")</f>
        <v/>
      </c>
      <c r="F35" s="53" t="str">
        <f>IF(B35=Division!$C$7,Division!$A$7,"")</f>
        <v xml:space="preserve">Mars </v>
      </c>
      <c r="G35" s="53" t="str">
        <f>IF(B35=Division!$C$8,Division!$A$8,"")</f>
        <v/>
      </c>
      <c r="H35" s="53" t="str">
        <f>IF(B35=Division!$C$9,Division!$A$9,"")</f>
        <v/>
      </c>
      <c r="I35" s="53" t="str">
        <f>IF(B35=Division!$C$10,Division!$A$10,"")</f>
        <v/>
      </c>
      <c r="J35" s="53" t="str">
        <f>IF(B35=Division!$C$11,Division!$A$11,"")</f>
        <v/>
      </c>
      <c r="K35" s="53" t="str">
        <f>IF(B35=Division!$C$12,Division!$A$12,"")</f>
        <v xml:space="preserve">Rahu </v>
      </c>
      <c r="L35" s="53" t="str">
        <f>IF(B35=Division!$C$13,Division!$A$13,"")</f>
        <v/>
      </c>
      <c r="M35" s="53" t="str">
        <f t="shared" si="1"/>
        <v xml:space="preserve">Mars Rahu </v>
      </c>
    </row>
    <row r="36" spans="2:13" s="53" customFormat="1" x14ac:dyDescent="0.2">
      <c r="B36" s="53" t="s">
        <v>43</v>
      </c>
      <c r="C36" s="53" t="str">
        <f>IF(B36=Division!$C$4,Division!$A$4,"")</f>
        <v/>
      </c>
      <c r="D36" s="53" t="str">
        <f>IF(B36=Division!$C$5,Division!$A$5,"")</f>
        <v/>
      </c>
      <c r="E36" s="53" t="str">
        <f>IF(B36=Division!$C$6,Division!$A$6,"")</f>
        <v/>
      </c>
      <c r="F36" s="53" t="str">
        <f>IF(B36=Division!$C$7,Division!$A$7,"")</f>
        <v/>
      </c>
      <c r="G36" s="53" t="str">
        <f>IF(B36=Division!$C$8,Division!$A$8,"")</f>
        <v/>
      </c>
      <c r="H36" s="53" t="str">
        <f>IF(B36=Division!$C$9,Division!$A$9,"")</f>
        <v/>
      </c>
      <c r="I36" s="53" t="str">
        <f>IF(B36=Division!$C$10,Division!$A$10,"")</f>
        <v/>
      </c>
      <c r="J36" s="53" t="str">
        <f>IF(B36=Division!$C$11,Division!$A$11,"")</f>
        <v/>
      </c>
      <c r="K36" s="53" t="str">
        <f>IF(B36=Division!$C$12,Division!$A$12,"")</f>
        <v/>
      </c>
      <c r="L36" s="53" t="str">
        <f>IF(B36=Division!$C$13,Division!$A$13,"")</f>
        <v/>
      </c>
      <c r="M36" s="53" t="str">
        <f t="shared" si="1"/>
        <v/>
      </c>
    </row>
    <row r="37" spans="2:13" s="53" customFormat="1" x14ac:dyDescent="0.2"/>
    <row r="38" spans="2:13" s="53" customFormat="1" x14ac:dyDescent="0.2"/>
    <row r="39" spans="2:13" s="53" customFormat="1" x14ac:dyDescent="0.2"/>
    <row r="40" spans="2:13" s="53" customFormat="1" x14ac:dyDescent="0.2"/>
    <row r="41" spans="2:13" s="53" customFormat="1" x14ac:dyDescent="0.2"/>
    <row r="42" spans="2:13" s="53" customFormat="1" x14ac:dyDescent="0.2"/>
  </sheetData>
  <mergeCells count="2">
    <mergeCell ref="C4:D5"/>
    <mergeCell ref="H4:I5"/>
  </mergeCells>
  <phoneticPr fontId="0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459"/>
  <sheetViews>
    <sheetView topLeftCell="A24" workbookViewId="0">
      <selection activeCell="H39" sqref="H39"/>
    </sheetView>
  </sheetViews>
  <sheetFormatPr defaultRowHeight="12.75" customHeight="1" x14ac:dyDescent="0.2"/>
  <cols>
    <col min="1" max="16384" width="9.140625" style="54"/>
  </cols>
  <sheetData>
    <row r="1" spans="2:15" ht="39" customHeight="1" x14ac:dyDescent="0.2"/>
    <row r="2" spans="2:15" s="55" customFormat="1" ht="9.9499999999999993" customHeight="1" x14ac:dyDescent="0.2">
      <c r="C2" s="56">
        <v>1</v>
      </c>
      <c r="D2" s="56">
        <v>1</v>
      </c>
      <c r="H2" s="56">
        <v>2</v>
      </c>
      <c r="I2" s="56">
        <v>1</v>
      </c>
      <c r="M2" s="56">
        <v>2</v>
      </c>
      <c r="N2" s="56">
        <v>2</v>
      </c>
    </row>
    <row r="3" spans="2:15" ht="50.1" customHeight="1" x14ac:dyDescent="0.2">
      <c r="B3" s="57" t="str">
        <f>RasiContent(12,Basic!$B$7,C2,D2,Basic!$F$13)</f>
        <v/>
      </c>
      <c r="C3" s="57" t="str">
        <f>RasiContent(1,Basic!$B$7,C2,D2,Basic!$F$13)</f>
        <v/>
      </c>
      <c r="D3" s="57" t="str">
        <f>RasiContent(2,Basic!$B$7,C2,D2,Basic!$F$13)</f>
        <v xml:space="preserve"> Moon Saturn</v>
      </c>
      <c r="E3" s="57" t="str">
        <f>RasiContent(3,Basic!$B$7,C2,D2,Basic!$F$13)</f>
        <v xml:space="preserve"> Venus</v>
      </c>
      <c r="G3" s="57" t="str">
        <f>RasiContent(12,Basic!$B$7,H2,I2,Basic!$F$13)</f>
        <v xml:space="preserve"> </v>
      </c>
      <c r="H3" s="57" t="str">
        <f>RasiContent(1,Basic!$B$7,H2,I2,Basic!$F$13)</f>
        <v/>
      </c>
      <c r="I3" s="57" t="str">
        <f>RasiContent(2,Basic!$B$7,H2,I2,Basic!$F$13)</f>
        <v xml:space="preserve"> Saturn</v>
      </c>
      <c r="J3" s="57" t="str">
        <f>RasiContent(3,Basic!$B$7,H2,I2,Basic!$F$13)</f>
        <v/>
      </c>
      <c r="L3" s="57" t="str">
        <f>RasiContent(12,Basic!$B$7,M2,N2,Basic!$F$13)</f>
        <v/>
      </c>
      <c r="M3" s="57" t="str">
        <f>RasiContent(1,Basic!$B$7,M2,N2,Basic!$F$13)</f>
        <v/>
      </c>
      <c r="N3" s="57" t="str">
        <f>RasiContent(2,Basic!$B$7,M2,N2,Basic!$F$13)</f>
        <v/>
      </c>
      <c r="O3" s="57" t="str">
        <f>RasiContent(3,Basic!$B$7,M2,N2,Basic!$F$13)</f>
        <v/>
      </c>
    </row>
    <row r="4" spans="2:15" ht="50.1" customHeight="1" x14ac:dyDescent="0.2">
      <c r="B4" s="57" t="str">
        <f>RasiContent(11,Basic!$B$7,C2,D2,Basic!$F$13)</f>
        <v/>
      </c>
      <c r="C4" s="121" t="str">
        <f>divname(C2,D2)</f>
        <v>Rasi</v>
      </c>
      <c r="D4" s="121"/>
      <c r="E4" s="57" t="str">
        <f>RasiContent(4,Basic!$B$7,C2,D2,Basic!$F$13)</f>
        <v xml:space="preserve"> Sun Merc Ketu</v>
      </c>
      <c r="G4" s="57" t="str">
        <f>RasiContent(11,Basic!$B$7,H2,I2,Basic!$F$13)</f>
        <v xml:space="preserve"> Asdt</v>
      </c>
      <c r="H4" s="121" t="str">
        <f>divname(H2,I2)</f>
        <v>Hora (1/7 House)</v>
      </c>
      <c r="I4" s="121"/>
      <c r="J4" s="57" t="str">
        <f>RasiContent(4,Basic!$B$7,H2,I2,Basic!$F$13)</f>
        <v xml:space="preserve"> Sun Mars Rahu</v>
      </c>
      <c r="L4" s="57" t="str">
        <f>RasiContent(11,Basic!$B$7,M2,N2,Basic!$F$13)</f>
        <v/>
      </c>
      <c r="M4" s="121" t="str">
        <f>divname(M2,N2)</f>
        <v>Parashara Hora</v>
      </c>
      <c r="N4" s="121"/>
      <c r="O4" s="57" t="str">
        <f>RasiContent(4,Basic!$B$7,M2,N2,Basic!$F$13)</f>
        <v xml:space="preserve"> Sun Venus Jupiter Saturn   Asdt</v>
      </c>
    </row>
    <row r="5" spans="2:15" ht="50.1" customHeight="1" x14ac:dyDescent="0.2">
      <c r="B5" s="57" t="str">
        <f>RasiContent(10,Basic!$B$7,C2,D2,Basic!$F$13)</f>
        <v xml:space="preserve"> Mars Rahu</v>
      </c>
      <c r="C5" s="121"/>
      <c r="D5" s="121"/>
      <c r="E5" s="57" t="str">
        <f>RasiContent(5,Basic!$B$7,C2,D2,Basic!$F$13)</f>
        <v xml:space="preserve"> Asdt</v>
      </c>
      <c r="G5" s="57" t="str">
        <f>RasiContent(10,Basic!$B$7,H2,I2,Basic!$F$13)</f>
        <v xml:space="preserve"> Merc Ketu</v>
      </c>
      <c r="H5" s="121"/>
      <c r="I5" s="121"/>
      <c r="J5" s="57" t="str">
        <f>RasiContent(5,Basic!$B$7,H2,I2,Basic!$F$13)</f>
        <v/>
      </c>
      <c r="L5" s="57" t="str">
        <f>RasiContent(10,Basic!$B$7,M2,N2,Basic!$F$13)</f>
        <v/>
      </c>
      <c r="M5" s="121"/>
      <c r="N5" s="121"/>
      <c r="O5" s="57" t="str">
        <f>RasiContent(5,Basic!$B$7,M2,N2,Basic!$F$13)</f>
        <v xml:space="preserve"> Moon Merc Mars  Rahu Ketu</v>
      </c>
    </row>
    <row r="6" spans="2:15" ht="50.1" customHeight="1" x14ac:dyDescent="0.2">
      <c r="B6" s="57" t="str">
        <f>RasiContent(9,Basic!$B$7,C2,D2,Basic!$F$13)</f>
        <v/>
      </c>
      <c r="C6" s="57" t="str">
        <f>RasiContent(8,Basic!$B$7,C2,D2,Basic!$F$13)</f>
        <v xml:space="preserve"> Jupiter </v>
      </c>
      <c r="D6" s="57" t="str">
        <f>RasiContent(7,Basic!$B$7,C2,D2,Basic!$F$13)</f>
        <v/>
      </c>
      <c r="E6" s="57" t="str">
        <f>RasiContent(6,Basic!$B$7,C2,D2,Basic!$F$13)</f>
        <v xml:space="preserve">  </v>
      </c>
      <c r="G6" s="57" t="str">
        <f>RasiContent(9,Basic!$B$7,H2,I2,Basic!$F$13)</f>
        <v xml:space="preserve"> Venus</v>
      </c>
      <c r="H6" s="57" t="str">
        <f>RasiContent(8,Basic!$B$7,H2,I2,Basic!$F$13)</f>
        <v xml:space="preserve"> Moon Jupiter </v>
      </c>
      <c r="I6" s="57" t="str">
        <f>RasiContent(7,Basic!$B$7,H2,I2,Basic!$F$13)</f>
        <v/>
      </c>
      <c r="J6" s="57" t="str">
        <f>RasiContent(6,Basic!$B$7,H2,I2,Basic!$F$13)</f>
        <v xml:space="preserve"> </v>
      </c>
      <c r="L6" s="57" t="str">
        <f>RasiContent(9,Basic!$B$7,M2,N2,Basic!$F$13)</f>
        <v/>
      </c>
      <c r="M6" s="57" t="str">
        <f>RasiContent(8,Basic!$B$7,M2,N2,Basic!$F$13)</f>
        <v/>
      </c>
      <c r="N6" s="57" t="str">
        <f>RasiContent(7,Basic!$B$7,M2,N2,Basic!$F$13)</f>
        <v/>
      </c>
      <c r="O6" s="57" t="str">
        <f>RasiContent(6,Basic!$B$7,M2,N2,Basic!$F$13)</f>
        <v/>
      </c>
    </row>
    <row r="7" spans="2:15" ht="50.1" customHeight="1" x14ac:dyDescent="0.2">
      <c r="B7" s="58"/>
      <c r="C7" s="58"/>
      <c r="D7" s="58"/>
      <c r="E7" s="58"/>
      <c r="G7" s="58"/>
      <c r="H7" s="58"/>
      <c r="I7" s="58"/>
      <c r="J7" s="58"/>
      <c r="L7" s="58"/>
      <c r="M7" s="58"/>
      <c r="N7" s="58"/>
      <c r="O7" s="58"/>
    </row>
    <row r="8" spans="2:15" s="55" customFormat="1" ht="9.9499999999999993" customHeight="1" x14ac:dyDescent="0.2">
      <c r="C8" s="56">
        <v>2</v>
      </c>
      <c r="D8" s="56">
        <v>3</v>
      </c>
      <c r="H8" s="56">
        <v>2</v>
      </c>
      <c r="I8" s="56">
        <v>4</v>
      </c>
      <c r="M8" s="56">
        <v>2</v>
      </c>
      <c r="N8" s="56">
        <v>5</v>
      </c>
    </row>
    <row r="9" spans="2:15" ht="50.1" customHeight="1" x14ac:dyDescent="0.2">
      <c r="B9" s="57" t="str">
        <f>RasiContent(12,Basic!$B$7,C8,D8,Basic!$F$13)</f>
        <v xml:space="preserve"> </v>
      </c>
      <c r="C9" s="57" t="str">
        <f>RasiContent(1,Basic!$B$7,C8,D8,Basic!$F$13)</f>
        <v/>
      </c>
      <c r="D9" s="57" t="str">
        <f>RasiContent(2,Basic!$B$7,C8,D8,Basic!$F$13)</f>
        <v/>
      </c>
      <c r="E9" s="57" t="str">
        <f>RasiContent(3,Basic!$B$7,C8,D8,Basic!$F$13)</f>
        <v xml:space="preserve"> Jupiter Saturn </v>
      </c>
      <c r="G9" s="57" t="str">
        <f>RasiContent(12,Basic!$B$7,H8,I8,Basic!$F$13)</f>
        <v xml:space="preserve"> </v>
      </c>
      <c r="H9" s="57" t="str">
        <f>RasiContent(1,Basic!$B$7,H8,I8,Basic!$F$13)</f>
        <v/>
      </c>
      <c r="I9" s="57" t="str">
        <f>RasiContent(2,Basic!$B$7,H8,I8,Basic!$F$13)</f>
        <v xml:space="preserve"> Jupiter Saturn </v>
      </c>
      <c r="J9" s="57" t="str">
        <f>RasiContent(3,Basic!$B$7,H8,I8,Basic!$F$13)</f>
        <v xml:space="preserve"> Venus</v>
      </c>
      <c r="L9" s="57" t="str">
        <f>RasiContent(12,Basic!$B$7,M8,N8,Basic!$F$13)</f>
        <v/>
      </c>
      <c r="M9" s="57" t="str">
        <f>RasiContent(1,Basic!$B$7,M8,N8,Basic!$F$13)</f>
        <v xml:space="preserve"> Jupiter </v>
      </c>
      <c r="N9" s="57" t="str">
        <f>RasiContent(2,Basic!$B$7,M8,N8,Basic!$F$13)</f>
        <v xml:space="preserve"> Saturn</v>
      </c>
      <c r="O9" s="57" t="str">
        <f>RasiContent(3,Basic!$B$7,M8,N8,Basic!$F$13)</f>
        <v xml:space="preserve"> Venus </v>
      </c>
    </row>
    <row r="10" spans="2:15" ht="50.1" customHeight="1" x14ac:dyDescent="0.2">
      <c r="B10" s="57" t="str">
        <f>RasiContent(11,Basic!$B$7,C8,D8,Basic!$F$13)</f>
        <v xml:space="preserve"> </v>
      </c>
      <c r="C10" s="121" t="str">
        <f>divname(C8,D8)</f>
        <v>Parivrittidvaya  Hora</v>
      </c>
      <c r="D10" s="121"/>
      <c r="E10" s="57" t="str">
        <f>RasiContent(4,Basic!$B$7,C8,D8,Basic!$F$13)</f>
        <v xml:space="preserve"> Moon</v>
      </c>
      <c r="G10" s="57" t="str">
        <f>RasiContent(11,Basic!$B$7,H8,I8,Basic!$F$13)</f>
        <v xml:space="preserve"> Asdt</v>
      </c>
      <c r="H10" s="121" t="str">
        <f>divname(H8,I8)</f>
        <v>Jagannath Hora</v>
      </c>
      <c r="I10" s="121"/>
      <c r="J10" s="57" t="str">
        <f>RasiContent(4,Basic!$B$7,H8,I8,Basic!$F$13)</f>
        <v xml:space="preserve"> Sun</v>
      </c>
      <c r="L10" s="57" t="str">
        <f>RasiContent(11,Basic!$B$7,M8,N8,Basic!$F$13)</f>
        <v xml:space="preserve"> Mars Rahu</v>
      </c>
      <c r="M10" s="121" t="str">
        <f>divname(M8,N8)</f>
        <v>Kashinath Hora</v>
      </c>
      <c r="N10" s="121"/>
      <c r="O10" s="57" t="str">
        <f>RasiContent(4,Basic!$B$7,M8,N8,Basic!$F$13)</f>
        <v xml:space="preserve"> Sun Asdt</v>
      </c>
    </row>
    <row r="11" spans="2:15" ht="50.1" customHeight="1" x14ac:dyDescent="0.2">
      <c r="B11" s="57" t="str">
        <f>RasiContent(10,Basic!$B$7,C8,D8,Basic!$F$13)</f>
        <v xml:space="preserve"> Asdt</v>
      </c>
      <c r="C11" s="121"/>
      <c r="D11" s="121"/>
      <c r="E11" s="57" t="str">
        <f>RasiContent(5,Basic!$B$7,C8,D8,Basic!$F$13)</f>
        <v/>
      </c>
      <c r="G11" s="57" t="str">
        <f>RasiContent(10,Basic!$B$7,H8,I8,Basic!$F$13)</f>
        <v xml:space="preserve"> Merc Mars Rahu Ketu</v>
      </c>
      <c r="H11" s="121"/>
      <c r="I11" s="121"/>
      <c r="J11" s="57" t="str">
        <f>RasiContent(5,Basic!$B$7,H8,I8,Basic!$F$13)</f>
        <v/>
      </c>
      <c r="L11" s="57" t="str">
        <f>RasiContent(10,Basic!$B$7,M8,N8,Basic!$F$13)</f>
        <v/>
      </c>
      <c r="M11" s="121"/>
      <c r="N11" s="121"/>
      <c r="O11" s="57" t="str">
        <f>RasiContent(5,Basic!$B$7,M8,N8,Basic!$F$13)</f>
        <v xml:space="preserve"> Merc Ketu</v>
      </c>
    </row>
    <row r="12" spans="2:15" ht="50.1" customHeight="1" x14ac:dyDescent="0.2">
      <c r="B12" s="57" t="str">
        <f>RasiContent(9,Basic!$B$7,C8,D8,Basic!$F$13)</f>
        <v/>
      </c>
      <c r="C12" s="57" t="str">
        <f>RasiContent(8,Basic!$B$7,C8,D8,Basic!$F$13)</f>
        <v xml:space="preserve"> Merc Mars Rahu Ketu</v>
      </c>
      <c r="D12" s="57" t="str">
        <f>RasiContent(7,Basic!$B$7,C8,D8,Basic!$F$13)</f>
        <v xml:space="preserve"> Sun</v>
      </c>
      <c r="E12" s="57" t="str">
        <f>RasiContent(6,Basic!$B$7,C8,D8,Basic!$F$13)</f>
        <v xml:space="preserve"> Venus</v>
      </c>
      <c r="G12" s="57" t="str">
        <f>RasiContent(9,Basic!$B$7,H8,I8,Basic!$F$13)</f>
        <v/>
      </c>
      <c r="H12" s="57" t="str">
        <f>RasiContent(8,Basic!$B$7,H8,I8,Basic!$F$13)</f>
        <v xml:space="preserve"> Moon</v>
      </c>
      <c r="I12" s="57" t="str">
        <f>RasiContent(7,Basic!$B$7,H8,I8,Basic!$F$13)</f>
        <v/>
      </c>
      <c r="J12" s="57" t="str">
        <f>RasiContent(6,Basic!$B$7,H8,I8,Basic!$F$13)</f>
        <v xml:space="preserve"> </v>
      </c>
      <c r="L12" s="57" t="str">
        <f>RasiContent(9,Basic!$B$7,M8,N8,Basic!$F$13)</f>
        <v/>
      </c>
      <c r="M12" s="57" t="str">
        <f>RasiContent(8,Basic!$B$7,M8,N8,Basic!$F$13)</f>
        <v/>
      </c>
      <c r="N12" s="57" t="str">
        <f>RasiContent(7,Basic!$B$7,M8,N8,Basic!$F$13)</f>
        <v xml:space="preserve"> Moon</v>
      </c>
      <c r="O12" s="57" t="str">
        <f>RasiContent(6,Basic!$B$7,M8,N8,Basic!$F$13)</f>
        <v xml:space="preserve"> </v>
      </c>
    </row>
    <row r="13" spans="2:15" ht="50.1" customHeight="1" x14ac:dyDescent="0.2">
      <c r="B13" s="58"/>
      <c r="C13" s="58"/>
      <c r="D13" s="58"/>
      <c r="E13" s="58"/>
      <c r="G13" s="58"/>
      <c r="H13" s="58"/>
      <c r="I13" s="58"/>
      <c r="J13" s="58"/>
      <c r="L13" s="58"/>
      <c r="M13" s="58"/>
      <c r="N13" s="58"/>
      <c r="O13" s="58"/>
    </row>
    <row r="14" spans="2:15" s="55" customFormat="1" ht="9.9499999999999993" customHeight="1" x14ac:dyDescent="0.2">
      <c r="C14" s="56">
        <v>3</v>
      </c>
      <c r="D14" s="56">
        <v>1</v>
      </c>
      <c r="H14" s="56">
        <v>3</v>
      </c>
      <c r="I14" s="56">
        <v>2</v>
      </c>
      <c r="M14" s="56">
        <v>3</v>
      </c>
      <c r="N14" s="56">
        <v>3</v>
      </c>
    </row>
    <row r="15" spans="2:15" ht="50.1" customHeight="1" x14ac:dyDescent="0.2">
      <c r="B15" s="57" t="str">
        <f>RasiContent(12,Basic!$B$7,C14,D14,Basic!$F$13)</f>
        <v/>
      </c>
      <c r="C15" s="57" t="str">
        <f>RasiContent(1,Basic!$B$7,C14,D14,Basic!$F$13)</f>
        <v/>
      </c>
      <c r="D15" s="57" t="str">
        <f>RasiContent(2,Basic!$B$7,C14,D14,Basic!$F$13)</f>
        <v xml:space="preserve"> Moon Saturn</v>
      </c>
      <c r="E15" s="57" t="str">
        <f>RasiContent(3,Basic!$B$7,C14,D14,Basic!$F$13)</f>
        <v xml:space="preserve"> Venus</v>
      </c>
      <c r="G15" s="57" t="str">
        <f>RasiContent(12,Basic!$B$7,H14,I14,Basic!$F$13)</f>
        <v xml:space="preserve"> Merc Ketu</v>
      </c>
      <c r="H15" s="57" t="str">
        <f>RasiContent(1,Basic!$B$7,H14,I14,Basic!$F$13)</f>
        <v/>
      </c>
      <c r="I15" s="57" t="str">
        <f>RasiContent(2,Basic!$B$7,H14,I14,Basic!$F$13)</f>
        <v xml:space="preserve"> </v>
      </c>
      <c r="J15" s="57" t="str">
        <f>RasiContent(3,Basic!$B$7,H14,I14,Basic!$F$13)</f>
        <v xml:space="preserve"> Venus</v>
      </c>
      <c r="L15" s="57" t="str">
        <f>RasiContent(12,Basic!$B$7,M14,N14,Basic!$F$13)</f>
        <v xml:space="preserve"> Merc Ketu</v>
      </c>
      <c r="M15" s="57" t="str">
        <f>RasiContent(1,Basic!$B$7,M14,N14,Basic!$F$13)</f>
        <v/>
      </c>
      <c r="N15" s="57" t="str">
        <f>RasiContent(2,Basic!$B$7,M14,N14,Basic!$F$13)</f>
        <v xml:space="preserve"> Asdt</v>
      </c>
      <c r="O15" s="57" t="str">
        <f>RasiContent(3,Basic!$B$7,M14,N14,Basic!$F$13)</f>
        <v/>
      </c>
    </row>
    <row r="16" spans="2:15" ht="50.1" customHeight="1" x14ac:dyDescent="0.2">
      <c r="B16" s="57" t="str">
        <f>RasiContent(11,Basic!$B$7,C14,D14,Basic!$F$13)</f>
        <v/>
      </c>
      <c r="C16" s="121" t="str">
        <f>divname(C14,D14)</f>
        <v>Parashara Drekkana</v>
      </c>
      <c r="D16" s="121"/>
      <c r="E16" s="57" t="str">
        <f>RasiContent(4,Basic!$B$7,C14,D14,Basic!$F$13)</f>
        <v xml:space="preserve"> Sun Merc Ketu</v>
      </c>
      <c r="G16" s="57" t="str">
        <f>RasiContent(11,Basic!$B$7,H14,I14,Basic!$F$13)</f>
        <v/>
      </c>
      <c r="H16" s="121" t="str">
        <f>divname(H14,I14)</f>
        <v>Jagannath Drekkana</v>
      </c>
      <c r="I16" s="121"/>
      <c r="J16" s="57" t="str">
        <f>RasiContent(4,Basic!$B$7,H14,I14,Basic!$F$13)</f>
        <v xml:space="preserve"> Sun Jupiter </v>
      </c>
      <c r="L16" s="57" t="str">
        <f>RasiContent(11,Basic!$B$7,M14,N14,Basic!$F$13)</f>
        <v/>
      </c>
      <c r="M16" s="121" t="str">
        <f>divname(M14,N14)</f>
        <v>Parivrittitraya  Drekkana</v>
      </c>
      <c r="N16" s="121"/>
      <c r="O16" s="57" t="str">
        <f>RasiContent(4,Basic!$B$7,M14,N14,Basic!$F$13)</f>
        <v xml:space="preserve"> Saturn </v>
      </c>
    </row>
    <row r="17" spans="2:15" ht="50.1" customHeight="1" x14ac:dyDescent="0.2">
      <c r="B17" s="57" t="str">
        <f>RasiContent(10,Basic!$B$7,C14,D14,Basic!$F$13)</f>
        <v xml:space="preserve"> Mars Rahu</v>
      </c>
      <c r="C17" s="121"/>
      <c r="D17" s="121"/>
      <c r="E17" s="57" t="str">
        <f>RasiContent(5,Basic!$B$7,C14,D14,Basic!$F$13)</f>
        <v xml:space="preserve"> Asdt</v>
      </c>
      <c r="G17" s="57" t="str">
        <f>RasiContent(10,Basic!$B$7,H14,I14,Basic!$F$13)</f>
        <v xml:space="preserve"> Saturn </v>
      </c>
      <c r="H17" s="121"/>
      <c r="I17" s="121"/>
      <c r="J17" s="57" t="str">
        <f>RasiContent(5,Basic!$B$7,H14,I14,Basic!$F$13)</f>
        <v xml:space="preserve"> Asdt</v>
      </c>
      <c r="L17" s="57" t="str">
        <f>RasiContent(10,Basic!$B$7,M14,N14,Basic!$F$13)</f>
        <v xml:space="preserve"> Sun Jupiter </v>
      </c>
      <c r="M17" s="121"/>
      <c r="N17" s="121"/>
      <c r="O17" s="57" t="str">
        <f>RasiContent(5,Basic!$B$7,M14,N14,Basic!$F$13)</f>
        <v xml:space="preserve"> </v>
      </c>
    </row>
    <row r="18" spans="2:15" ht="50.1" customHeight="1" x14ac:dyDescent="0.2">
      <c r="B18" s="57" t="str">
        <f>RasiContent(9,Basic!$B$7,C14,D14,Basic!$F$13)</f>
        <v/>
      </c>
      <c r="C18" s="57" t="str">
        <f>RasiContent(8,Basic!$B$7,C14,D14,Basic!$F$13)</f>
        <v xml:space="preserve"> Jupiter </v>
      </c>
      <c r="D18" s="57" t="str">
        <f>RasiContent(7,Basic!$B$7,C14,D14,Basic!$F$13)</f>
        <v/>
      </c>
      <c r="E18" s="57" t="str">
        <f>RasiContent(6,Basic!$B$7,C14,D14,Basic!$F$13)</f>
        <v xml:space="preserve">  </v>
      </c>
      <c r="G18" s="57" t="str">
        <f>RasiContent(9,Basic!$B$7,H14,I14,Basic!$F$13)</f>
        <v/>
      </c>
      <c r="H18" s="57" t="str">
        <f>RasiContent(8,Basic!$B$7,H14,I14,Basic!$F$13)</f>
        <v/>
      </c>
      <c r="I18" s="57" t="str">
        <f>RasiContent(7,Basic!$B$7,H14,I14,Basic!$F$13)</f>
        <v/>
      </c>
      <c r="J18" s="57" t="str">
        <f>RasiContent(6,Basic!$B$7,H14,I14,Basic!$F$13)</f>
        <v xml:space="preserve"> Moon Mars Rahu</v>
      </c>
      <c r="L18" s="57" t="str">
        <f>RasiContent(9,Basic!$B$7,M14,N14,Basic!$F$13)</f>
        <v xml:space="preserve"> Venus</v>
      </c>
      <c r="M18" s="57" t="str">
        <f>RasiContent(8,Basic!$B$7,M14,N14,Basic!$F$13)</f>
        <v/>
      </c>
      <c r="N18" s="57" t="str">
        <f>RasiContent(7,Basic!$B$7,M14,N14,Basic!$F$13)</f>
        <v/>
      </c>
      <c r="O18" s="57" t="str">
        <f>RasiContent(6,Basic!$B$7,M14,N14,Basic!$F$13)</f>
        <v xml:space="preserve"> Moon Mars Rahu</v>
      </c>
    </row>
    <row r="19" spans="2:15" ht="50.1" customHeight="1" x14ac:dyDescent="0.2">
      <c r="B19" s="58"/>
      <c r="C19" s="58"/>
      <c r="D19" s="58"/>
      <c r="E19" s="58"/>
      <c r="G19" s="58"/>
      <c r="H19" s="58"/>
      <c r="I19" s="58"/>
      <c r="J19" s="58"/>
      <c r="L19" s="58"/>
      <c r="M19" s="58"/>
      <c r="N19" s="58"/>
      <c r="O19" s="58"/>
    </row>
    <row r="20" spans="2:15" s="55" customFormat="1" ht="9.9499999999999993" customHeight="1" x14ac:dyDescent="0.2">
      <c r="C20" s="56">
        <v>3</v>
      </c>
      <c r="D20" s="56">
        <v>4</v>
      </c>
      <c r="H20" s="56">
        <v>4</v>
      </c>
      <c r="I20" s="56">
        <v>1</v>
      </c>
      <c r="M20" s="56">
        <v>4</v>
      </c>
      <c r="N20" s="56">
        <v>2</v>
      </c>
    </row>
    <row r="21" spans="2:15" ht="50.1" customHeight="1" x14ac:dyDescent="0.2">
      <c r="B21" s="57" t="str">
        <f>RasiContent(12,Basic!$B$7,C20,D20,Basic!$F$13)</f>
        <v xml:space="preserve"> Saturn</v>
      </c>
      <c r="C21" s="57" t="str">
        <f>RasiContent(1,Basic!$B$7,C20,D20,Basic!$F$13)</f>
        <v/>
      </c>
      <c r="D21" s="57" t="str">
        <f>RasiContent(2,Basic!$B$7,C20,D20,Basic!$F$13)</f>
        <v/>
      </c>
      <c r="E21" s="57" t="str">
        <f>RasiContent(3,Basic!$B$7,C20,D20,Basic!$F$13)</f>
        <v xml:space="preserve"> Jupiter </v>
      </c>
      <c r="G21" s="57" t="str">
        <f>RasiContent(12,Basic!$B$7,H20,I20,Basic!$F$13)</f>
        <v xml:space="preserve"> </v>
      </c>
      <c r="H21" s="57" t="str">
        <f>RasiContent(1,Basic!$B$7,H20,I20,Basic!$F$13)</f>
        <v xml:space="preserve"> Merc</v>
      </c>
      <c r="I21" s="57" t="str">
        <f>RasiContent(2,Basic!$B$7,H20,I20,Basic!$F$13)</f>
        <v/>
      </c>
      <c r="J21" s="57" t="str">
        <f>RasiContent(3,Basic!$B$7,H20,I20,Basic!$F$13)</f>
        <v/>
      </c>
      <c r="L21" s="57" t="str">
        <f>RasiContent(12,Basic!$B$7,M20,N20,Basic!$F$13)</f>
        <v/>
      </c>
      <c r="M21" s="57" t="str">
        <f>RasiContent(1,Basic!$B$7,M20,N20,Basic!$F$13)</f>
        <v xml:space="preserve"> Sun</v>
      </c>
      <c r="N21" s="57" t="str">
        <f>RasiContent(2,Basic!$B$7,M20,N20,Basic!$F$13)</f>
        <v/>
      </c>
      <c r="O21" s="57" t="str">
        <f>RasiContent(3,Basic!$B$7,M20,N20,Basic!$F$13)</f>
        <v xml:space="preserve"> Rahu Ketu</v>
      </c>
    </row>
    <row r="22" spans="2:15" ht="50.1" customHeight="1" x14ac:dyDescent="0.2">
      <c r="B22" s="57" t="str">
        <f>RasiContent(11,Basic!$B$7,C20,D20,Basic!$F$13)</f>
        <v/>
      </c>
      <c r="C22" s="121" t="str">
        <f>divname(C20,D20)</f>
        <v>Somnath Drekkana</v>
      </c>
      <c r="D22" s="121"/>
      <c r="E22" s="57" t="str">
        <f>RasiContent(4,Basic!$B$7,C20,D20,Basic!$F$13)</f>
        <v/>
      </c>
      <c r="G22" s="57" t="str">
        <f>RasiContent(11,Basic!$B$7,H20,I20,Basic!$F$13)</f>
        <v xml:space="preserve"> Moon Asdt</v>
      </c>
      <c r="H22" s="121" t="str">
        <f>divname(H20,I20)</f>
        <v>Parashara Chaturthamsa</v>
      </c>
      <c r="I22" s="121"/>
      <c r="J22" s="57" t="str">
        <f>RasiContent(4,Basic!$B$7,H20,I20,Basic!$F$13)</f>
        <v xml:space="preserve"> Sun Rahu</v>
      </c>
      <c r="L22" s="57" t="str">
        <f>RasiContent(11,Basic!$B$7,M20,N20,Basic!$F$13)</f>
        <v xml:space="preserve"> Venus </v>
      </c>
      <c r="M22" s="121" t="str">
        <f>divname(M20,N20)</f>
        <v>Cyclical Chaturthamsa</v>
      </c>
      <c r="N22" s="121"/>
      <c r="O22" s="57" t="str">
        <f>RasiContent(4,Basic!$B$7,M20,N20,Basic!$F$13)</f>
        <v xml:space="preserve"> Merc Mars</v>
      </c>
    </row>
    <row r="23" spans="2:15" ht="50.1" customHeight="1" x14ac:dyDescent="0.2">
      <c r="B23" s="57" t="str">
        <f>RasiContent(10,Basic!$B$7,C20,D20,Basic!$F$13)</f>
        <v xml:space="preserve"> Moon Mars Rahu</v>
      </c>
      <c r="C23" s="121"/>
      <c r="D23" s="121"/>
      <c r="E23" s="57" t="str">
        <f>RasiContent(5,Basic!$B$7,C20,D20,Basic!$F$13)</f>
        <v xml:space="preserve"> </v>
      </c>
      <c r="G23" s="57" t="str">
        <f>RasiContent(10,Basic!$B$7,H20,I20,Basic!$F$13)</f>
        <v xml:space="preserve"> Ketu</v>
      </c>
      <c r="H23" s="121"/>
      <c r="I23" s="121"/>
      <c r="J23" s="57" t="str">
        <f>RasiContent(5,Basic!$B$7,H20,I20,Basic!$F$13)</f>
        <v xml:space="preserve"> Saturn</v>
      </c>
      <c r="L23" s="57" t="str">
        <f>RasiContent(10,Basic!$B$7,M20,N20,Basic!$F$13)</f>
        <v/>
      </c>
      <c r="M23" s="121"/>
      <c r="N23" s="121"/>
      <c r="O23" s="57" t="str">
        <f>RasiContent(5,Basic!$B$7,M20,N20,Basic!$F$13)</f>
        <v xml:space="preserve"> Jupiter </v>
      </c>
    </row>
    <row r="24" spans="2:15" ht="50.1" customHeight="1" x14ac:dyDescent="0.2">
      <c r="B24" s="57" t="str">
        <f>RasiContent(9,Basic!$B$7,C20,D20,Basic!$F$13)</f>
        <v xml:space="preserve"> Sun</v>
      </c>
      <c r="C24" s="57" t="str">
        <f>RasiContent(8,Basic!$B$7,C20,D20,Basic!$F$13)</f>
        <v xml:space="preserve"> Asdt</v>
      </c>
      <c r="D24" s="57" t="str">
        <f>RasiContent(7,Basic!$B$7,C20,D20,Basic!$F$13)</f>
        <v xml:space="preserve"> Merc Ketu</v>
      </c>
      <c r="E24" s="57" t="str">
        <f>RasiContent(6,Basic!$B$7,C20,D20,Basic!$F$13)</f>
        <v xml:space="preserve"> Venus </v>
      </c>
      <c r="G24" s="57" t="str">
        <f>RasiContent(9,Basic!$B$7,H20,I20,Basic!$F$13)</f>
        <v xml:space="preserve"> Venus</v>
      </c>
      <c r="H24" s="57" t="str">
        <f>RasiContent(8,Basic!$B$7,H20,I20,Basic!$F$13)</f>
        <v xml:space="preserve"> Jupiter </v>
      </c>
      <c r="I24" s="57" t="str">
        <f>RasiContent(7,Basic!$B$7,H20,I20,Basic!$F$13)</f>
        <v xml:space="preserve"> Mars</v>
      </c>
      <c r="J24" s="57" t="str">
        <f>RasiContent(6,Basic!$B$7,H20,I20,Basic!$F$13)</f>
        <v xml:space="preserve"> </v>
      </c>
      <c r="L24" s="57" t="str">
        <f>RasiContent(9,Basic!$B$7,M20,N20,Basic!$F$13)</f>
        <v xml:space="preserve"> </v>
      </c>
      <c r="M24" s="57" t="str">
        <f>RasiContent(8,Basic!$B$7,M20,N20,Basic!$F$13)</f>
        <v xml:space="preserve"> Moon</v>
      </c>
      <c r="N24" s="57" t="str">
        <f>RasiContent(7,Basic!$B$7,M20,N20,Basic!$F$13)</f>
        <v xml:space="preserve"> Asdt</v>
      </c>
      <c r="O24" s="57" t="str">
        <f>RasiContent(6,Basic!$B$7,M20,N20,Basic!$F$13)</f>
        <v xml:space="preserve"> Saturn</v>
      </c>
    </row>
    <row r="25" spans="2:15" ht="50.1" customHeight="1" x14ac:dyDescent="0.2">
      <c r="B25" s="58"/>
      <c r="C25" s="58"/>
      <c r="D25" s="58"/>
      <c r="E25" s="58"/>
      <c r="G25" s="58"/>
      <c r="H25" s="58"/>
      <c r="I25" s="58"/>
      <c r="J25" s="58"/>
      <c r="L25" s="58"/>
      <c r="M25" s="58"/>
      <c r="N25" s="58"/>
      <c r="O25" s="58"/>
    </row>
    <row r="26" spans="2:15" s="55" customFormat="1" ht="9.9499999999999993" customHeight="1" x14ac:dyDescent="0.2">
      <c r="C26" s="56">
        <v>5</v>
      </c>
      <c r="D26" s="56">
        <v>1</v>
      </c>
      <c r="H26" s="56">
        <v>7</v>
      </c>
      <c r="I26" s="56">
        <v>1</v>
      </c>
      <c r="M26" s="56">
        <v>9</v>
      </c>
      <c r="N26" s="56">
        <v>1</v>
      </c>
    </row>
    <row r="27" spans="2:15" ht="50.1" customHeight="1" x14ac:dyDescent="0.2">
      <c r="B27" s="57" t="str">
        <f>RasiContent(12,Basic!$B$7,C26,D26,Basic!$F$13)</f>
        <v xml:space="preserve"> Jupiter</v>
      </c>
      <c r="C27" s="57" t="str">
        <f>RasiContent(1,Basic!$B$7,C26,D26,Basic!$F$13)</f>
        <v xml:space="preserve">  Rahu</v>
      </c>
      <c r="D27" s="57" t="str">
        <f>RasiContent(2,Basic!$B$7,C26,D26,Basic!$F$13)</f>
        <v xml:space="preserve"> Venus Mars </v>
      </c>
      <c r="E27" s="57" t="str">
        <f>RasiContent(3,Basic!$B$7,C26,D26,Basic!$F$13)</f>
        <v/>
      </c>
      <c r="G27" s="57" t="str">
        <f>RasiContent(12,Basic!$B$7,H26,I26,Basic!$F$13)</f>
        <v xml:space="preserve"> </v>
      </c>
      <c r="H27" s="57" t="str">
        <f>RasiContent(1,Basic!$B$7,H26,I26,Basic!$F$13)</f>
        <v xml:space="preserve"> Moon</v>
      </c>
      <c r="I27" s="57" t="str">
        <f>RasiContent(2,Basic!$B$7,H26,I26,Basic!$F$13)</f>
        <v xml:space="preserve"> Jupiter</v>
      </c>
      <c r="J27" s="57" t="str">
        <f>RasiContent(3,Basic!$B$7,H26,I26,Basic!$F$13)</f>
        <v xml:space="preserve">   Ketu</v>
      </c>
      <c r="L27" s="57" t="str">
        <f>RasiContent(12,Basic!$B$7,M26,N26,Basic!$F$13)</f>
        <v xml:space="preserve"> Merc Saturn</v>
      </c>
      <c r="M27" s="57" t="str">
        <f>RasiContent(1,Basic!$B$7,M26,N26,Basic!$F$13)</f>
        <v xml:space="preserve"> Venus</v>
      </c>
      <c r="N27" s="57" t="str">
        <f>RasiContent(2,Basic!$B$7,M26,N26,Basic!$F$13)</f>
        <v xml:space="preserve"> </v>
      </c>
      <c r="O27" s="57" t="str">
        <f>RasiContent(3,Basic!$B$7,M26,N26,Basic!$F$13)</f>
        <v/>
      </c>
    </row>
    <row r="28" spans="2:15" ht="50.1" customHeight="1" x14ac:dyDescent="0.2">
      <c r="B28" s="57" t="str">
        <f>RasiContent(11,Basic!$B$7,C26,D26,Basic!$F$13)</f>
        <v xml:space="preserve"> Asdt</v>
      </c>
      <c r="C28" s="121" t="str">
        <f>divname(C26,D26)</f>
        <v>Cyclical Panchamsa</v>
      </c>
      <c r="D28" s="121"/>
      <c r="E28" s="57" t="str">
        <f>RasiContent(4,Basic!$B$7,C26,D26,Basic!$F$13)</f>
        <v xml:space="preserve"> Sun </v>
      </c>
      <c r="G28" s="57" t="str">
        <f>RasiContent(11,Basic!$B$7,H26,I26,Basic!$F$13)</f>
        <v/>
      </c>
      <c r="H28" s="121" t="str">
        <f>divname(H26,I26)</f>
        <v>Saptamsa</v>
      </c>
      <c r="I28" s="121"/>
      <c r="J28" s="57" t="str">
        <f>RasiContent(4,Basic!$B$7,H26,I26,Basic!$F$13)</f>
        <v xml:space="preserve"> Merc</v>
      </c>
      <c r="L28" s="57" t="str">
        <f>RasiContent(11,Basic!$B$7,M26,N26,Basic!$F$13)</f>
        <v xml:space="preserve"> </v>
      </c>
      <c r="M28" s="121" t="str">
        <f>divname(M26,N26)</f>
        <v>Navamsa</v>
      </c>
      <c r="N28" s="121"/>
      <c r="O28" s="57" t="str">
        <f>RasiContent(4,Basic!$B$7,M26,N26,Basic!$F$13)</f>
        <v xml:space="preserve"> Sun Moon Jupiter Rahu</v>
      </c>
    </row>
    <row r="29" spans="2:15" ht="50.1" customHeight="1" x14ac:dyDescent="0.2">
      <c r="B29" s="57" t="str">
        <f>RasiContent(10,Basic!$B$7,C26,D26,Basic!$F$13)</f>
        <v/>
      </c>
      <c r="C29" s="121"/>
      <c r="D29" s="121"/>
      <c r="E29" s="57" t="str">
        <f>RasiContent(5,Basic!$B$7,C26,D26,Basic!$F$13)</f>
        <v/>
      </c>
      <c r="G29" s="57" t="str">
        <f>RasiContent(10,Basic!$B$7,H26,I26,Basic!$F$13)</f>
        <v xml:space="preserve"> Sun Mars Saturn</v>
      </c>
      <c r="H29" s="121"/>
      <c r="I29" s="121"/>
      <c r="J29" s="57" t="str">
        <f>RasiContent(5,Basic!$B$7,H26,I26,Basic!$F$13)</f>
        <v/>
      </c>
      <c r="L29" s="57" t="str">
        <f>RasiContent(10,Basic!$B$7,M26,N26,Basic!$F$13)</f>
        <v xml:space="preserve"> Ketu</v>
      </c>
      <c r="M29" s="121"/>
      <c r="N29" s="121"/>
      <c r="O29" s="57" t="str">
        <f>RasiContent(5,Basic!$B$7,M26,N26,Basic!$F$13)</f>
        <v xml:space="preserve"> Asdt</v>
      </c>
    </row>
    <row r="30" spans="2:15" ht="50.1" customHeight="1" x14ac:dyDescent="0.2">
      <c r="B30" s="57" t="str">
        <f>RasiContent(9,Basic!$B$7,C26,D26,Basic!$F$13)</f>
        <v xml:space="preserve"> Moon</v>
      </c>
      <c r="C30" s="57" t="str">
        <f>RasiContent(8,Basic!$B$7,C26,D26,Basic!$F$13)</f>
        <v xml:space="preserve"> Merc</v>
      </c>
      <c r="D30" s="57" t="str">
        <f>RasiContent(7,Basic!$B$7,C26,D26,Basic!$F$13)</f>
        <v xml:space="preserve"> Saturn Ketu</v>
      </c>
      <c r="E30" s="57" t="str">
        <f>RasiContent(6,Basic!$B$7,C26,D26,Basic!$F$13)</f>
        <v/>
      </c>
      <c r="G30" s="57" t="str">
        <f>RasiContent(9,Basic!$B$7,H26,I26,Basic!$F$13)</f>
        <v xml:space="preserve"> Rahu</v>
      </c>
      <c r="H30" s="57" t="str">
        <f>RasiContent(8,Basic!$B$7,H26,I26,Basic!$F$13)</f>
        <v xml:space="preserve"> Venus Asdt</v>
      </c>
      <c r="I30" s="57" t="str">
        <f>RasiContent(7,Basic!$B$7,H26,I26,Basic!$F$13)</f>
        <v/>
      </c>
      <c r="J30" s="57" t="str">
        <f>RasiContent(6,Basic!$B$7,H26,I26,Basic!$F$13)</f>
        <v/>
      </c>
      <c r="L30" s="57" t="str">
        <f>RasiContent(9,Basic!$B$7,M26,N26,Basic!$F$13)</f>
        <v/>
      </c>
      <c r="M30" s="57" t="str">
        <f>RasiContent(8,Basic!$B$7,M26,N26,Basic!$F$13)</f>
        <v/>
      </c>
      <c r="N30" s="57" t="str">
        <f>RasiContent(7,Basic!$B$7,M26,N26,Basic!$F$13)</f>
        <v/>
      </c>
      <c r="O30" s="57" t="str">
        <f>RasiContent(6,Basic!$B$7,M26,N26,Basic!$F$13)</f>
        <v xml:space="preserve"> Mars </v>
      </c>
    </row>
    <row r="31" spans="2:15" ht="50.1" customHeight="1" x14ac:dyDescent="0.2">
      <c r="B31" s="58"/>
      <c r="C31" s="58"/>
      <c r="D31" s="58"/>
      <c r="E31" s="58"/>
      <c r="G31" s="58"/>
      <c r="H31" s="58"/>
      <c r="I31" s="58"/>
      <c r="J31" s="58"/>
      <c r="L31" s="58"/>
      <c r="M31" s="58"/>
      <c r="N31" s="58"/>
      <c r="O31" s="58"/>
    </row>
    <row r="32" spans="2:15" s="55" customFormat="1" ht="9.9499999999999993" customHeight="1" x14ac:dyDescent="0.2">
      <c r="C32" s="56">
        <v>10</v>
      </c>
      <c r="D32" s="56">
        <v>1</v>
      </c>
      <c r="H32" s="56">
        <v>11</v>
      </c>
      <c r="I32" s="56">
        <v>1</v>
      </c>
      <c r="M32" s="56">
        <v>12</v>
      </c>
      <c r="N32" s="56">
        <v>1</v>
      </c>
    </row>
    <row r="33" spans="2:15" ht="50.1" customHeight="1" x14ac:dyDescent="0.2">
      <c r="B33" s="57" t="str">
        <f>RasiContent(12,Basic!$B$7,C32,D32,Basic!$F$13)</f>
        <v xml:space="preserve"> Sun</v>
      </c>
      <c r="C33" s="57" t="str">
        <f>RasiContent(1,Basic!$B$7,C32,D32,Basic!$F$13)</f>
        <v xml:space="preserve"> Saturn Rahu</v>
      </c>
      <c r="D33" s="57" t="str">
        <f>RasiContent(2,Basic!$B$7,C32,D32,Basic!$F$13)</f>
        <v/>
      </c>
      <c r="E33" s="57" t="str">
        <f>RasiContent(3,Basic!$B$7,C32,D32,Basic!$F$13)</f>
        <v xml:space="preserve"> Mars </v>
      </c>
      <c r="G33" s="57" t="str">
        <f>RasiContent(12,Basic!$B$7,H32,I32,Basic!$F$13)</f>
        <v xml:space="preserve"> Rahu</v>
      </c>
      <c r="H33" s="57" t="str">
        <f>RasiContent(1,Basic!$B$7,H32,I32,Basic!$F$13)</f>
        <v/>
      </c>
      <c r="I33" s="57" t="str">
        <f>RasiContent(2,Basic!$B$7,H32,I32,Basic!$F$13)</f>
        <v xml:space="preserve"> Mars  Asdt</v>
      </c>
      <c r="J33" s="57" t="str">
        <f>RasiContent(3,Basic!$B$7,H32,I32,Basic!$F$13)</f>
        <v xml:space="preserve"> Saturn</v>
      </c>
      <c r="L33" s="57" t="str">
        <f>RasiContent(12,Basic!$B$7,M32,N32,Basic!$F$13)</f>
        <v xml:space="preserve">  Ketu</v>
      </c>
      <c r="M33" s="57" t="str">
        <f>RasiContent(1,Basic!$B$7,M32,N32,Basic!$F$13)</f>
        <v/>
      </c>
      <c r="N33" s="57" t="str">
        <f>RasiContent(2,Basic!$B$7,M32,N32,Basic!$F$13)</f>
        <v xml:space="preserve"> Merc</v>
      </c>
      <c r="O33" s="57" t="str">
        <f>RasiContent(3,Basic!$B$7,M32,N32,Basic!$F$13)</f>
        <v/>
      </c>
    </row>
    <row r="34" spans="2:15" ht="50.1" customHeight="1" x14ac:dyDescent="0.2">
      <c r="B34" s="57" t="str">
        <f>RasiContent(11,Basic!$B$7,C32,D32,Basic!$F$13)</f>
        <v/>
      </c>
      <c r="C34" s="121" t="str">
        <f>divname(C32,D32)</f>
        <v>Dasamsa</v>
      </c>
      <c r="D34" s="121"/>
      <c r="E34" s="57" t="str">
        <f>RasiContent(4,Basic!$B$7,C32,D32,Basic!$F$13)</f>
        <v/>
      </c>
      <c r="G34" s="57" t="str">
        <f>RasiContent(11,Basic!$B$7,H32,I32,Basic!$F$13)</f>
        <v/>
      </c>
      <c r="H34" s="121" t="str">
        <f>divname(H32,I32)</f>
        <v>Rudramsa</v>
      </c>
      <c r="I34" s="121"/>
      <c r="J34" s="57" t="str">
        <f>RasiContent(4,Basic!$B$7,H32,I32,Basic!$F$13)</f>
        <v/>
      </c>
      <c r="L34" s="57" t="str">
        <f>RasiContent(11,Basic!$B$7,M32,N32,Basic!$F$13)</f>
        <v xml:space="preserve"> Moon Venus Asdt</v>
      </c>
      <c r="M34" s="121" t="str">
        <f>divname(M32,N32)</f>
        <v>Dwadasamsa</v>
      </c>
      <c r="N34" s="121"/>
      <c r="O34" s="57" t="str">
        <f>RasiContent(4,Basic!$B$7,M32,N32,Basic!$F$13)</f>
        <v xml:space="preserve"> Sun</v>
      </c>
    </row>
    <row r="35" spans="2:15" ht="50.1" customHeight="1" x14ac:dyDescent="0.2">
      <c r="B35" s="57" t="str">
        <f>RasiContent(10,Basic!$B$7,C32,D32,Basic!$F$13)</f>
        <v xml:space="preserve"> Venus Asdt</v>
      </c>
      <c r="C35" s="121"/>
      <c r="D35" s="121"/>
      <c r="E35" s="57" t="str">
        <f>RasiContent(5,Basic!$B$7,C32,D32,Basic!$F$13)</f>
        <v xml:space="preserve"> Moon Jupiter</v>
      </c>
      <c r="G35" s="57" t="str">
        <f>RasiContent(10,Basic!$B$7,H32,I32,Basic!$F$13)</f>
        <v xml:space="preserve"> Sun</v>
      </c>
      <c r="H35" s="121"/>
      <c r="I35" s="121"/>
      <c r="J35" s="57" t="str">
        <f>RasiContent(5,Basic!$B$7,H32,I32,Basic!$F$13)</f>
        <v/>
      </c>
      <c r="L35" s="57" t="str">
        <f>RasiContent(10,Basic!$B$7,M32,N32,Basic!$F$13)</f>
        <v xml:space="preserve"> </v>
      </c>
      <c r="M35" s="121"/>
      <c r="N35" s="121"/>
      <c r="O35" s="57" t="str">
        <f>RasiContent(5,Basic!$B$7,M32,N32,Basic!$F$13)</f>
        <v xml:space="preserve"> Saturn</v>
      </c>
    </row>
    <row r="36" spans="2:15" ht="50.1" customHeight="1" x14ac:dyDescent="0.2">
      <c r="B36" s="57" t="str">
        <f>RasiContent(9,Basic!$B$7,C32,D32,Basic!$F$13)</f>
        <v xml:space="preserve"> Merc</v>
      </c>
      <c r="C36" s="57" t="str">
        <f>RasiContent(8,Basic!$B$7,C32,D32,Basic!$F$13)</f>
        <v/>
      </c>
      <c r="D36" s="57" t="str">
        <f>RasiContent(7,Basic!$B$7,C32,D32,Basic!$F$13)</f>
        <v xml:space="preserve">  Ketu</v>
      </c>
      <c r="E36" s="57" t="str">
        <f>RasiContent(6,Basic!$B$7,C32,D32,Basic!$F$13)</f>
        <v xml:space="preserve"> </v>
      </c>
      <c r="G36" s="57" t="str">
        <f>RasiContent(9,Basic!$B$7,H32,I32,Basic!$F$13)</f>
        <v xml:space="preserve"> </v>
      </c>
      <c r="H36" s="57" t="str">
        <f>RasiContent(8,Basic!$B$7,H32,I32,Basic!$F$13)</f>
        <v xml:space="preserve"> Moon </v>
      </c>
      <c r="I36" s="57" t="str">
        <f>RasiContent(7,Basic!$B$7,H32,I32,Basic!$F$13)</f>
        <v xml:space="preserve"> Merc Jupiter</v>
      </c>
      <c r="J36" s="57" t="str">
        <f>RasiContent(6,Basic!$B$7,H32,I32,Basic!$F$13)</f>
        <v xml:space="preserve"> Venus Ketu</v>
      </c>
      <c r="L36" s="57" t="str">
        <f>RasiContent(9,Basic!$B$7,M32,N32,Basic!$F$13)</f>
        <v xml:space="preserve"> Mars Jupiter</v>
      </c>
      <c r="M36" s="57" t="str">
        <f>RasiContent(8,Basic!$B$7,M32,N32,Basic!$F$13)</f>
        <v/>
      </c>
      <c r="N36" s="57" t="str">
        <f>RasiContent(7,Basic!$B$7,M32,N32,Basic!$F$13)</f>
        <v xml:space="preserve"> </v>
      </c>
      <c r="O36" s="57" t="str">
        <f>RasiContent(6,Basic!$B$7,M32,N32,Basic!$F$13)</f>
        <v xml:space="preserve"> Rahu</v>
      </c>
    </row>
    <row r="37" spans="2:15" ht="50.1" customHeight="1" x14ac:dyDescent="0.2">
      <c r="B37" s="58"/>
      <c r="C37" s="58"/>
      <c r="D37" s="58"/>
      <c r="E37" s="58"/>
      <c r="G37" s="58"/>
      <c r="H37" s="58"/>
      <c r="I37" s="58"/>
      <c r="J37" s="58"/>
      <c r="L37" s="58"/>
      <c r="M37" s="58"/>
      <c r="N37" s="58"/>
      <c r="O37" s="58"/>
    </row>
    <row r="38" spans="2:15" s="55" customFormat="1" ht="9.9499999999999993" customHeight="1" x14ac:dyDescent="0.2">
      <c r="C38" s="56">
        <v>16</v>
      </c>
      <c r="D38" s="56">
        <v>1</v>
      </c>
      <c r="H38" s="56">
        <v>20</v>
      </c>
      <c r="I38" s="56">
        <v>1</v>
      </c>
      <c r="M38" s="56">
        <v>24</v>
      </c>
      <c r="N38" s="56">
        <v>1</v>
      </c>
    </row>
    <row r="39" spans="2:15" ht="50.1" customHeight="1" x14ac:dyDescent="0.2">
      <c r="B39" s="57" t="str">
        <f>RasiContent(12,Basic!$B$7,C38,D38,Basic!$F$13)</f>
        <v xml:space="preserve"> Rahu Ketu</v>
      </c>
      <c r="C39" s="57" t="str">
        <f>RasiContent(1,Basic!$B$7,C38,D38,Basic!$F$13)</f>
        <v xml:space="preserve"> Asdt</v>
      </c>
      <c r="D39" s="57" t="str">
        <f>RasiContent(2,Basic!$B$7,C38,D38,Basic!$F$13)</f>
        <v xml:space="preserve"> Sun</v>
      </c>
      <c r="E39" s="57" t="str">
        <f>RasiContent(3,Basic!$B$7,C38,D38,Basic!$F$13)</f>
        <v xml:space="preserve"> Merc Mars</v>
      </c>
      <c r="G39" s="57" t="str">
        <f>RasiContent(12,Basic!$B$7,H38,I38,Basic!$F$13)</f>
        <v xml:space="preserve"> Moon</v>
      </c>
      <c r="H39" s="57" t="str">
        <f>RasiContent(1,Basic!$B$7,H38,I38,Basic!$F$13)</f>
        <v xml:space="preserve"> </v>
      </c>
      <c r="I39" s="57" t="str">
        <f>RasiContent(2,Basic!$B$7,H38,I38,Basic!$F$13)</f>
        <v xml:space="preserve"> Sun</v>
      </c>
      <c r="J39" s="57" t="str">
        <f>RasiContent(3,Basic!$B$7,H38,I38,Basic!$F$13)</f>
        <v xml:space="preserve"> Saturn  Rahu Ketu</v>
      </c>
      <c r="L39" s="57" t="str">
        <f>RasiContent(12,Basic!$B$7,M38,N38,Basic!$F$13)</f>
        <v/>
      </c>
      <c r="M39" s="57" t="str">
        <f>RasiContent(1,Basic!$B$7,M38,N38,Basic!$F$13)</f>
        <v xml:space="preserve"> Merc</v>
      </c>
      <c r="N39" s="57" t="str">
        <f>RasiContent(2,Basic!$B$7,M38,N38,Basic!$F$13)</f>
        <v xml:space="preserve"> Mars</v>
      </c>
      <c r="O39" s="57" t="str">
        <f>RasiContent(3,Basic!$B$7,M38,N38,Basic!$F$13)</f>
        <v/>
      </c>
    </row>
    <row r="40" spans="2:15" ht="50.1" customHeight="1" x14ac:dyDescent="0.2">
      <c r="B40" s="57" t="str">
        <f>RasiContent(11,Basic!$B$7,C38,D38,Basic!$F$13)</f>
        <v xml:space="preserve"> </v>
      </c>
      <c r="C40" s="121" t="str">
        <f>divname(C38,D38)</f>
        <v>Shodasamsa</v>
      </c>
      <c r="D40" s="121"/>
      <c r="E40" s="57" t="str">
        <f>RasiContent(4,Basic!$B$7,C38,D38,Basic!$F$13)</f>
        <v/>
      </c>
      <c r="G40" s="57" t="str">
        <f>RasiContent(11,Basic!$B$7,H38,I38,Basic!$F$13)</f>
        <v xml:space="preserve"> Jupiter</v>
      </c>
      <c r="H40" s="121" t="str">
        <f>divname(H38,I38)</f>
        <v>Vimsamsa</v>
      </c>
      <c r="I40" s="121"/>
      <c r="J40" s="57" t="str">
        <f>RasiContent(4,Basic!$B$7,H38,I38,Basic!$F$13)</f>
        <v/>
      </c>
      <c r="L40" s="57" t="str">
        <f>RasiContent(11,Basic!$B$7,M38,N38,Basic!$F$13)</f>
        <v xml:space="preserve"> Saturn</v>
      </c>
      <c r="M40" s="121" t="str">
        <f>divname(M38,N38)</f>
        <v>Siddhamsa</v>
      </c>
      <c r="N40" s="121"/>
      <c r="O40" s="57" t="str">
        <f>RasiContent(4,Basic!$B$7,M38,N38,Basic!$F$13)</f>
        <v/>
      </c>
    </row>
    <row r="41" spans="2:15" ht="50.1" customHeight="1" x14ac:dyDescent="0.2">
      <c r="B41" s="57" t="str">
        <f>RasiContent(10,Basic!$B$7,C38,D38,Basic!$F$13)</f>
        <v xml:space="preserve"> Saturn</v>
      </c>
      <c r="C41" s="121"/>
      <c r="D41" s="121"/>
      <c r="E41" s="57" t="str">
        <f>RasiContent(5,Basic!$B$7,C38,D38,Basic!$F$13)</f>
        <v xml:space="preserve"> Moon </v>
      </c>
      <c r="G41" s="57" t="str">
        <f>RasiContent(10,Basic!$B$7,H38,I38,Basic!$F$13)</f>
        <v/>
      </c>
      <c r="H41" s="121"/>
      <c r="I41" s="121"/>
      <c r="J41" s="57" t="str">
        <f>RasiContent(5,Basic!$B$7,H38,I38,Basic!$F$13)</f>
        <v/>
      </c>
      <c r="L41" s="57" t="str">
        <f>RasiContent(10,Basic!$B$7,M38,N38,Basic!$F$13)</f>
        <v xml:space="preserve"> Moon Venus</v>
      </c>
      <c r="M41" s="121"/>
      <c r="N41" s="121"/>
      <c r="O41" s="57" t="str">
        <f>RasiContent(5,Basic!$B$7,M38,N38,Basic!$F$13)</f>
        <v xml:space="preserve"> Sun  Asdt</v>
      </c>
    </row>
    <row r="42" spans="2:15" ht="50.1" customHeight="1" x14ac:dyDescent="0.2">
      <c r="B42" s="57" t="str">
        <f>RasiContent(9,Basic!$B$7,C38,D38,Basic!$F$13)</f>
        <v/>
      </c>
      <c r="C42" s="57" t="str">
        <f>RasiContent(8,Basic!$B$7,C38,D38,Basic!$F$13)</f>
        <v xml:space="preserve"> Venus </v>
      </c>
      <c r="D42" s="57" t="str">
        <f>RasiContent(7,Basic!$B$7,C38,D38,Basic!$F$13)</f>
        <v/>
      </c>
      <c r="E42" s="57" t="str">
        <f>RasiContent(6,Basic!$B$7,C38,D38,Basic!$F$13)</f>
        <v xml:space="preserve"> Jupiter</v>
      </c>
      <c r="G42" s="57" t="str">
        <f>RasiContent(9,Basic!$B$7,H38,I38,Basic!$F$13)</f>
        <v/>
      </c>
      <c r="H42" s="57" t="str">
        <f>RasiContent(8,Basic!$B$7,H38,I38,Basic!$F$13)</f>
        <v/>
      </c>
      <c r="I42" s="57" t="str">
        <f>RasiContent(7,Basic!$B$7,H38,I38,Basic!$F$13)</f>
        <v xml:space="preserve"> Merc Venus Mars  Asdt</v>
      </c>
      <c r="J42" s="57" t="str">
        <f>RasiContent(6,Basic!$B$7,H38,I38,Basic!$F$13)</f>
        <v/>
      </c>
      <c r="L42" s="57" t="str">
        <f>RasiContent(9,Basic!$B$7,M38,N38,Basic!$F$13)</f>
        <v xml:space="preserve">  Rahu Ketu</v>
      </c>
      <c r="M42" s="57" t="str">
        <f>RasiContent(8,Basic!$B$7,M38,N38,Basic!$F$13)</f>
        <v/>
      </c>
      <c r="N42" s="57" t="str">
        <f>RasiContent(7,Basic!$B$7,M38,N38,Basic!$F$13)</f>
        <v xml:space="preserve"> </v>
      </c>
      <c r="O42" s="57" t="str">
        <f>RasiContent(6,Basic!$B$7,M38,N38,Basic!$F$13)</f>
        <v xml:space="preserve"> Jupiter</v>
      </c>
    </row>
    <row r="43" spans="2:15" ht="50.1" customHeight="1" x14ac:dyDescent="0.2">
      <c r="B43" s="58"/>
      <c r="C43" s="58"/>
      <c r="D43" s="58"/>
      <c r="E43" s="58"/>
      <c r="G43" s="58"/>
      <c r="H43" s="58"/>
      <c r="I43" s="58"/>
      <c r="J43" s="58"/>
      <c r="L43" s="58"/>
      <c r="M43" s="58"/>
      <c r="N43" s="58"/>
      <c r="O43" s="58"/>
    </row>
    <row r="44" spans="2:15" s="55" customFormat="1" ht="9.9499999999999993" customHeight="1" x14ac:dyDescent="0.2">
      <c r="C44" s="56">
        <v>27</v>
      </c>
      <c r="D44" s="56">
        <v>1</v>
      </c>
      <c r="H44" s="56">
        <v>30</v>
      </c>
      <c r="I44" s="56">
        <v>1</v>
      </c>
      <c r="M44" s="56">
        <v>30</v>
      </c>
      <c r="N44" s="56">
        <v>2</v>
      </c>
    </row>
    <row r="45" spans="2:15" ht="50.1" customHeight="1" x14ac:dyDescent="0.2">
      <c r="B45" s="57" t="str">
        <f>RasiContent(12,Basic!$B$7,C44,D44,Basic!$F$13)</f>
        <v xml:space="preserve"> Sun Moon Jupiter Saturn</v>
      </c>
      <c r="C45" s="57" t="str">
        <f>RasiContent(1,Basic!$B$7,C44,D44,Basic!$F$13)</f>
        <v/>
      </c>
      <c r="D45" s="57" t="str">
        <f>RasiContent(2,Basic!$B$7,C44,D44,Basic!$F$13)</f>
        <v xml:space="preserve"> Venus</v>
      </c>
      <c r="E45" s="57" t="str">
        <f>RasiContent(3,Basic!$B$7,C44,D44,Basic!$F$13)</f>
        <v xml:space="preserve"> Asdt</v>
      </c>
      <c r="G45" s="57" t="str">
        <f>RasiContent(12,Basic!$B$7,H44,I44,Basic!$F$13)</f>
        <v xml:space="preserve"> </v>
      </c>
      <c r="H45" s="57" t="str">
        <f>RasiContent(1,Basic!$B$7,H44,I44,Basic!$F$13)</f>
        <v xml:space="preserve"> Sun Jupiter </v>
      </c>
      <c r="I45" s="57" t="str">
        <f>RasiContent(2,Basic!$B$7,H44,I44,Basic!$F$13)</f>
        <v/>
      </c>
      <c r="J45" s="57" t="str">
        <f>RasiContent(3,Basic!$B$7,H44,I44,Basic!$F$13)</f>
        <v xml:space="preserve"> Venus</v>
      </c>
      <c r="L45" s="57" t="str">
        <f>RasiContent(12,Basic!$B$7,M44,N44,Basic!$F$13)</f>
        <v/>
      </c>
      <c r="M45" s="57" t="str">
        <f>RasiContent(1,Basic!$B$7,M44,N44,Basic!$F$13)</f>
        <v/>
      </c>
      <c r="N45" s="57" t="str">
        <f>RasiContent(2,Basic!$B$7,M44,N44,Basic!$F$13)</f>
        <v xml:space="preserve"> Asdt</v>
      </c>
      <c r="O45" s="57" t="str">
        <f>RasiContent(3,Basic!$B$7,M44,N44,Basic!$F$13)</f>
        <v xml:space="preserve"> Venus</v>
      </c>
    </row>
    <row r="46" spans="2:15" ht="50.1" customHeight="1" x14ac:dyDescent="0.2">
      <c r="B46" s="57" t="str">
        <f>RasiContent(11,Basic!$B$7,C44,D44,Basic!$F$13)</f>
        <v xml:space="preserve"> Rahu</v>
      </c>
      <c r="C46" s="121" t="str">
        <f>divname(C44,D44)</f>
        <v>Nakshatramsa</v>
      </c>
      <c r="D46" s="121"/>
      <c r="E46" s="57" t="str">
        <f>RasiContent(4,Basic!$B$7,C44,D44,Basic!$F$13)</f>
        <v xml:space="preserve"> </v>
      </c>
      <c r="G46" s="57" t="str">
        <f>RasiContent(11,Basic!$B$7,H44,I44,Basic!$F$13)</f>
        <v/>
      </c>
      <c r="H46" s="121" t="str">
        <f>divname(H44,I44)</f>
        <v>Standard Trimsamsa</v>
      </c>
      <c r="I46" s="121"/>
      <c r="J46" s="57" t="str">
        <f>RasiContent(4,Basic!$B$7,H44,I44,Basic!$F$13)</f>
        <v/>
      </c>
      <c r="L46" s="57" t="str">
        <f>RasiContent(11,Basic!$B$7,M44,N44,Basic!$F$13)</f>
        <v/>
      </c>
      <c r="M46" s="121" t="str">
        <f>divname(M44,N44)</f>
        <v>Parivritti Trimsa Trimsamsa</v>
      </c>
      <c r="N46" s="121"/>
      <c r="O46" s="57" t="str">
        <f>RasiContent(4,Basic!$B$7,M44,N44,Basic!$F$13)</f>
        <v/>
      </c>
    </row>
    <row r="47" spans="2:15" ht="50.1" customHeight="1" x14ac:dyDescent="0.2">
      <c r="B47" s="57" t="str">
        <f>RasiContent(10,Basic!$B$7,C44,D44,Basic!$F$13)</f>
        <v xml:space="preserve"> Merc</v>
      </c>
      <c r="C47" s="121"/>
      <c r="D47" s="121"/>
      <c r="E47" s="57" t="str">
        <f>RasiContent(5,Basic!$B$7,C44,D44,Basic!$F$13)</f>
        <v xml:space="preserve"> Mars Ketu</v>
      </c>
      <c r="G47" s="57" t="str">
        <f>RasiContent(10,Basic!$B$7,H44,I44,Basic!$F$13)</f>
        <v xml:space="preserve"> Moon Rahu Ketu</v>
      </c>
      <c r="H47" s="121"/>
      <c r="I47" s="121"/>
      <c r="J47" s="57" t="str">
        <f>RasiContent(5,Basic!$B$7,H44,I44,Basic!$F$13)</f>
        <v/>
      </c>
      <c r="L47" s="57" t="str">
        <f>RasiContent(10,Basic!$B$7,M44,N44,Basic!$F$13)</f>
        <v/>
      </c>
      <c r="M47" s="121"/>
      <c r="N47" s="121"/>
      <c r="O47" s="57" t="str">
        <f>RasiContent(5,Basic!$B$7,M44,N44,Basic!$F$13)</f>
        <v/>
      </c>
    </row>
    <row r="48" spans="2:15" ht="50.1" customHeight="1" x14ac:dyDescent="0.2">
      <c r="B48" s="57" t="str">
        <f>RasiContent(9,Basic!$B$7,C44,D44,Basic!$F$13)</f>
        <v/>
      </c>
      <c r="C48" s="57" t="str">
        <f>RasiContent(8,Basic!$B$7,C44,D44,Basic!$F$13)</f>
        <v/>
      </c>
      <c r="D48" s="57" t="str">
        <f>RasiContent(7,Basic!$B$7,C44,D44,Basic!$F$13)</f>
        <v xml:space="preserve"> </v>
      </c>
      <c r="E48" s="57" t="str">
        <f>RasiContent(6,Basic!$B$7,C44,D44,Basic!$F$13)</f>
        <v xml:space="preserve"> </v>
      </c>
      <c r="G48" s="57" t="str">
        <f>RasiContent(9,Basic!$B$7,H44,I44,Basic!$F$13)</f>
        <v xml:space="preserve"> Asdt</v>
      </c>
      <c r="H48" s="57" t="str">
        <f>RasiContent(8,Basic!$B$7,H44,I44,Basic!$F$13)</f>
        <v xml:space="preserve"> Merc Mars</v>
      </c>
      <c r="I48" s="57" t="str">
        <f>RasiContent(7,Basic!$B$7,H44,I44,Basic!$F$13)</f>
        <v/>
      </c>
      <c r="J48" s="57" t="str">
        <f>RasiContent(6,Basic!$B$7,H44,I44,Basic!$F$13)</f>
        <v xml:space="preserve"> Saturn </v>
      </c>
      <c r="L48" s="57" t="str">
        <f>RasiContent(9,Basic!$B$7,M44,N44,Basic!$F$13)</f>
        <v xml:space="preserve"> Moon Merc Mars Rahu Ketu</v>
      </c>
      <c r="M48" s="57" t="str">
        <f>RasiContent(8,Basic!$B$7,M44,N44,Basic!$F$13)</f>
        <v xml:space="preserve"> </v>
      </c>
      <c r="N48" s="57" t="str">
        <f>RasiContent(7,Basic!$B$7,M44,N44,Basic!$F$13)</f>
        <v xml:space="preserve"> Sun Jupiter Saturn  </v>
      </c>
      <c r="O48" s="57" t="str">
        <f>RasiContent(6,Basic!$B$7,M44,N44,Basic!$F$13)</f>
        <v/>
      </c>
    </row>
    <row r="49" spans="2:15" ht="50.1" customHeight="1" x14ac:dyDescent="0.2">
      <c r="B49" s="58"/>
      <c r="C49" s="58"/>
      <c r="D49" s="58"/>
      <c r="E49" s="58"/>
      <c r="G49" s="58"/>
      <c r="H49" s="58"/>
      <c r="I49" s="58"/>
      <c r="J49" s="58"/>
      <c r="L49" s="58"/>
      <c r="M49" s="58"/>
      <c r="N49" s="58"/>
      <c r="O49" s="58"/>
    </row>
    <row r="50" spans="2:15" s="55" customFormat="1" ht="9.9499999999999993" customHeight="1" x14ac:dyDescent="0.2">
      <c r="C50" s="56">
        <v>30</v>
      </c>
      <c r="D50" s="56">
        <v>3</v>
      </c>
      <c r="H50" s="56">
        <v>40</v>
      </c>
      <c r="I50" s="56">
        <v>1</v>
      </c>
      <c r="M50" s="56">
        <v>45</v>
      </c>
      <c r="N50" s="56">
        <v>1</v>
      </c>
    </row>
    <row r="51" spans="2:15" ht="50.1" customHeight="1" x14ac:dyDescent="0.2">
      <c r="B51" s="57" t="str">
        <f>RasiContent(12,Basic!$B$7,C50,D50,Basic!$F$13)</f>
        <v xml:space="preserve"> Moon Venus</v>
      </c>
      <c r="C51" s="57" t="str">
        <f>RasiContent(1,Basic!$B$7,C50,D50,Basic!$F$13)</f>
        <v xml:space="preserve"> Ketu</v>
      </c>
      <c r="D51" s="57" t="str">
        <f>RasiContent(2,Basic!$B$7,C50,D50,Basic!$F$13)</f>
        <v xml:space="preserve"> Mars </v>
      </c>
      <c r="E51" s="57" t="str">
        <f>RasiContent(3,Basic!$B$7,C50,D50,Basic!$F$13)</f>
        <v/>
      </c>
      <c r="G51" s="57" t="str">
        <f>RasiContent(12,Basic!$B$7,H50,I50,Basic!$F$13)</f>
        <v xml:space="preserve">  Rahu Ketu</v>
      </c>
      <c r="H51" s="57" t="str">
        <f>RasiContent(1,Basic!$B$7,H50,I50,Basic!$F$13)</f>
        <v xml:space="preserve"> Moon</v>
      </c>
      <c r="I51" s="57" t="str">
        <f>RasiContent(2,Basic!$B$7,H50,I50,Basic!$F$13)</f>
        <v/>
      </c>
      <c r="J51" s="57" t="str">
        <f>RasiContent(3,Basic!$B$7,H50,I50,Basic!$F$13)</f>
        <v/>
      </c>
      <c r="L51" s="57" t="str">
        <f>RasiContent(12,Basic!$B$7,M50,N50,Basic!$F$13)</f>
        <v/>
      </c>
      <c r="M51" s="57" t="str">
        <f>RasiContent(1,Basic!$B$7,M50,N50,Basic!$F$13)</f>
        <v/>
      </c>
      <c r="N51" s="57" t="str">
        <f>RasiContent(2,Basic!$B$7,M50,N50,Basic!$F$13)</f>
        <v xml:space="preserve"> </v>
      </c>
      <c r="O51" s="57" t="str">
        <f>RasiContent(3,Basic!$B$7,M50,N50,Basic!$F$13)</f>
        <v xml:space="preserve"> Moon </v>
      </c>
    </row>
    <row r="52" spans="2:15" ht="50.1" customHeight="1" x14ac:dyDescent="0.2">
      <c r="B52" s="57" t="str">
        <f>RasiContent(11,Basic!$B$7,C50,D50,Basic!$F$13)</f>
        <v xml:space="preserve"> Jupiter Saturn</v>
      </c>
      <c r="C52" s="121" t="str">
        <f>divname(C50,D50)</f>
        <v>Trimsamsa (Like Shastyamsa)</v>
      </c>
      <c r="D52" s="121"/>
      <c r="E52" s="57" t="str">
        <f>RasiContent(4,Basic!$B$7,C50,D50,Basic!$F$13)</f>
        <v/>
      </c>
      <c r="G52" s="57" t="str">
        <f>RasiContent(11,Basic!$B$7,H50,I50,Basic!$F$13)</f>
        <v xml:space="preserve"> Jupiter</v>
      </c>
      <c r="H52" s="121" t="str">
        <f>divname(H50,I50)</f>
        <v>Khavedamsa</v>
      </c>
      <c r="I52" s="121"/>
      <c r="J52" s="57" t="str">
        <f>RasiContent(4,Basic!$B$7,H50,I50,Basic!$F$13)</f>
        <v xml:space="preserve">  </v>
      </c>
      <c r="L52" s="57" t="str">
        <f>RasiContent(11,Basic!$B$7,M50,N50,Basic!$F$13)</f>
        <v/>
      </c>
      <c r="M52" s="121" t="str">
        <f>divname(M50,N50)</f>
        <v>Akshavedamsa</v>
      </c>
      <c r="N52" s="121"/>
      <c r="O52" s="57" t="str">
        <f>RasiContent(4,Basic!$B$7,M50,N50,Basic!$F$13)</f>
        <v xml:space="preserve"> Sun Asdt</v>
      </c>
    </row>
    <row r="53" spans="2:15" ht="50.1" customHeight="1" x14ac:dyDescent="0.2">
      <c r="B53" s="57" t="str">
        <f>RasiContent(10,Basic!$B$7,C50,D50,Basic!$F$13)</f>
        <v xml:space="preserve"> </v>
      </c>
      <c r="C53" s="121"/>
      <c r="D53" s="121"/>
      <c r="E53" s="57" t="str">
        <f>RasiContent(5,Basic!$B$7,C50,D50,Basic!$F$13)</f>
        <v/>
      </c>
      <c r="G53" s="57" t="str">
        <f>RasiContent(10,Basic!$B$7,H50,I50,Basic!$F$13)</f>
        <v xml:space="preserve"> Sun Asdt</v>
      </c>
      <c r="H53" s="121"/>
      <c r="I53" s="121"/>
      <c r="J53" s="57" t="str">
        <f>RasiContent(5,Basic!$B$7,H50,I50,Basic!$F$13)</f>
        <v xml:space="preserve"> Venus</v>
      </c>
      <c r="L53" s="57" t="str">
        <f>RasiContent(10,Basic!$B$7,M50,N50,Basic!$F$13)</f>
        <v/>
      </c>
      <c r="M53" s="121"/>
      <c r="N53" s="121"/>
      <c r="O53" s="57" t="str">
        <f>RasiContent(5,Basic!$B$7,M50,N50,Basic!$F$13)</f>
        <v xml:space="preserve"> Merc Venus</v>
      </c>
    </row>
    <row r="54" spans="2:15" ht="50.1" customHeight="1" x14ac:dyDescent="0.2">
      <c r="B54" s="57" t="str">
        <f>RasiContent(9,Basic!$B$7,C50,D50,Basic!$F$13)</f>
        <v xml:space="preserve"> </v>
      </c>
      <c r="C54" s="57" t="str">
        <f>RasiContent(8,Basic!$B$7,C50,D50,Basic!$F$13)</f>
        <v xml:space="preserve"> Asdt</v>
      </c>
      <c r="D54" s="57" t="str">
        <f>RasiContent(7,Basic!$B$7,C50,D50,Basic!$F$13)</f>
        <v xml:space="preserve"> Merc Rahu</v>
      </c>
      <c r="E54" s="57" t="str">
        <f>RasiContent(6,Basic!$B$7,C50,D50,Basic!$F$13)</f>
        <v xml:space="preserve"> Sun</v>
      </c>
      <c r="G54" s="57" t="str">
        <f>RasiContent(9,Basic!$B$7,H50,I50,Basic!$F$13)</f>
        <v/>
      </c>
      <c r="H54" s="57" t="str">
        <f>RasiContent(8,Basic!$B$7,H50,I50,Basic!$F$13)</f>
        <v xml:space="preserve"> Mars Saturn</v>
      </c>
      <c r="I54" s="57" t="str">
        <f>RasiContent(7,Basic!$B$7,H50,I50,Basic!$F$13)</f>
        <v xml:space="preserve"> Merc</v>
      </c>
      <c r="J54" s="57" t="str">
        <f>RasiContent(6,Basic!$B$7,H50,I50,Basic!$F$13)</f>
        <v/>
      </c>
      <c r="L54" s="57" t="str">
        <f>RasiContent(9,Basic!$B$7,M50,N50,Basic!$F$13)</f>
        <v xml:space="preserve"> Jupiter  Rahu Ketu</v>
      </c>
      <c r="M54" s="57" t="str">
        <f>RasiContent(8,Basic!$B$7,M50,N50,Basic!$F$13)</f>
        <v/>
      </c>
      <c r="N54" s="57" t="str">
        <f>RasiContent(7,Basic!$B$7,M50,N50,Basic!$F$13)</f>
        <v xml:space="preserve"> Mars Saturn</v>
      </c>
      <c r="O54" s="57" t="str">
        <f>RasiContent(6,Basic!$B$7,M50,N50,Basic!$F$13)</f>
        <v/>
      </c>
    </row>
    <row r="55" spans="2:15" ht="50.1" customHeight="1" x14ac:dyDescent="0.2"/>
    <row r="56" spans="2:15" s="55" customFormat="1" ht="9.9499999999999993" customHeight="1" x14ac:dyDescent="0.2">
      <c r="C56" s="56">
        <v>60</v>
      </c>
      <c r="D56" s="56">
        <v>1</v>
      </c>
      <c r="H56" s="56"/>
      <c r="I56" s="56"/>
      <c r="M56" s="56"/>
      <c r="N56" s="56"/>
    </row>
    <row r="57" spans="2:15" ht="50.1" customHeight="1" x14ac:dyDescent="0.2">
      <c r="B57" s="57" t="str">
        <f>RasiContent(12,Basic!$B$7,C56,D56,Basic!$F$13)</f>
        <v xml:space="preserve"> Asdt</v>
      </c>
      <c r="C57" s="57" t="str">
        <f>RasiContent(1,Basic!$B$7,C56,D56,Basic!$F$13)</f>
        <v xml:space="preserve"> </v>
      </c>
      <c r="D57" s="57" t="str">
        <f>RasiContent(2,Basic!$B$7,C56,D56,Basic!$F$13)</f>
        <v xml:space="preserve"> Jupiter </v>
      </c>
      <c r="E57" s="57" t="str">
        <f>RasiContent(3,Basic!$B$7,C56,D56,Basic!$F$13)</f>
        <v/>
      </c>
      <c r="G57" s="57" t="str">
        <f>RasiContent(12,Basic!$B$7,H56,I56,Basic!$F$13)</f>
        <v/>
      </c>
      <c r="H57" s="57" t="str">
        <f>RasiContent(1,Basic!$B$7,H56,I56,Basic!$F$13)</f>
        <v xml:space="preserve"> Sun Moon Merc Venus Mars Jupiter Saturn    Rahu Asdt Ketu</v>
      </c>
      <c r="I57" s="57" t="str">
        <f>RasiContent(2,Basic!$B$7,H56,I56,Basic!$F$13)</f>
        <v/>
      </c>
      <c r="J57" s="57" t="str">
        <f>RasiContent(3,Basic!$B$7,H56,I56,Basic!$F$13)</f>
        <v/>
      </c>
      <c r="L57" s="57" t="str">
        <f>RasiContent(12,Basic!$B$7,M56,N56,Basic!$F$13)</f>
        <v/>
      </c>
      <c r="M57" s="57" t="str">
        <f>RasiContent(1,Basic!$B$7,M56,N56,Basic!$F$13)</f>
        <v xml:space="preserve"> Sun Moon Merc Venus Mars Jupiter Saturn    Rahu Asdt Ketu</v>
      </c>
      <c r="N57" s="57" t="str">
        <f>RasiContent(2,Basic!$B$7,M56,N56,Basic!$F$13)</f>
        <v/>
      </c>
      <c r="O57" s="57" t="str">
        <f>RasiContent(3,Basic!$B$7,M56,N56,Basic!$F$13)</f>
        <v/>
      </c>
    </row>
    <row r="58" spans="2:15" ht="50.1" customHeight="1" x14ac:dyDescent="0.2">
      <c r="B58" s="57" t="str">
        <f>RasiContent(11,Basic!$B$7,C56,D56,Basic!$F$13)</f>
        <v xml:space="preserve"> Moon Ketu</v>
      </c>
      <c r="C58" s="121" t="str">
        <f>divname(C56,D56)</f>
        <v>Shastyamsa</v>
      </c>
      <c r="D58" s="121"/>
      <c r="E58" s="57" t="str">
        <f>RasiContent(4,Basic!$B$7,C56,D56,Basic!$F$13)</f>
        <v/>
      </c>
      <c r="G58" s="57" t="str">
        <f>RasiContent(11,Basic!$B$7,H56,I56,Basic!$F$13)</f>
        <v/>
      </c>
      <c r="H58" s="121" t="str">
        <f>divname(H56,I56)</f>
        <v/>
      </c>
      <c r="I58" s="121"/>
      <c r="J58" s="57" t="str">
        <f>RasiContent(4,Basic!$B$7,H56,I56,Basic!$F$13)</f>
        <v/>
      </c>
      <c r="L58" s="57" t="str">
        <f>RasiContent(11,Basic!$B$7,M56,N56,Basic!$F$13)</f>
        <v/>
      </c>
      <c r="M58" s="121" t="str">
        <f>divname(M56,N56)</f>
        <v/>
      </c>
      <c r="N58" s="121"/>
      <c r="O58" s="57" t="str">
        <f>RasiContent(4,Basic!$B$7,M56,N56,Basic!$F$13)</f>
        <v/>
      </c>
    </row>
    <row r="59" spans="2:15" ht="50.1" customHeight="1" x14ac:dyDescent="0.2">
      <c r="B59" s="57" t="str">
        <f>RasiContent(10,Basic!$B$7,C56,D56,Basic!$F$13)</f>
        <v xml:space="preserve"> Merc Venus</v>
      </c>
      <c r="C59" s="121"/>
      <c r="D59" s="121"/>
      <c r="E59" s="57" t="str">
        <f>RasiContent(5,Basic!$B$7,C56,D56,Basic!$F$13)</f>
        <v xml:space="preserve"> Rahu</v>
      </c>
      <c r="G59" s="57" t="str">
        <f>RasiContent(10,Basic!$B$7,H56,I56,Basic!$F$13)</f>
        <v/>
      </c>
      <c r="H59" s="121"/>
      <c r="I59" s="121"/>
      <c r="J59" s="57" t="str">
        <f>RasiContent(5,Basic!$B$7,H56,I56,Basic!$F$13)</f>
        <v/>
      </c>
      <c r="L59" s="57" t="str">
        <f>RasiContent(10,Basic!$B$7,M56,N56,Basic!$F$13)</f>
        <v/>
      </c>
      <c r="M59" s="121"/>
      <c r="N59" s="121"/>
      <c r="O59" s="57" t="str">
        <f>RasiContent(5,Basic!$B$7,M56,N56,Basic!$F$13)</f>
        <v/>
      </c>
    </row>
    <row r="60" spans="2:15" ht="50.1" customHeight="1" x14ac:dyDescent="0.2">
      <c r="B60" s="57" t="str">
        <f>RasiContent(9,Basic!$B$7,C56,D56,Basic!$F$13)</f>
        <v xml:space="preserve"> Saturn </v>
      </c>
      <c r="C60" s="57" t="str">
        <f>RasiContent(8,Basic!$B$7,C56,D56,Basic!$F$13)</f>
        <v xml:space="preserve"> Sun</v>
      </c>
      <c r="D60" s="57" t="str">
        <f>RasiContent(7,Basic!$B$7,C56,D56,Basic!$F$13)</f>
        <v/>
      </c>
      <c r="E60" s="57" t="str">
        <f>RasiContent(6,Basic!$B$7,C56,D56,Basic!$F$13)</f>
        <v xml:space="preserve"> Mars</v>
      </c>
      <c r="G60" s="57" t="str">
        <f>RasiContent(9,Basic!$B$7,H56,I56,Basic!$F$13)</f>
        <v/>
      </c>
      <c r="H60" s="57" t="str">
        <f>RasiContent(8,Basic!$B$7,H56,I56,Basic!$F$13)</f>
        <v/>
      </c>
      <c r="I60" s="57" t="str">
        <f>RasiContent(7,Basic!$B$7,H56,I56,Basic!$F$13)</f>
        <v/>
      </c>
      <c r="J60" s="57" t="str">
        <f>RasiContent(6,Basic!$B$7,H56,I56,Basic!$F$13)</f>
        <v/>
      </c>
      <c r="L60" s="57" t="str">
        <f>RasiContent(9,Basic!$B$7,M56,N56,Basic!$F$13)</f>
        <v/>
      </c>
      <c r="M60" s="57" t="str">
        <f>RasiContent(8,Basic!$B$7,M56,N56,Basic!$F$13)</f>
        <v/>
      </c>
      <c r="N60" s="57" t="str">
        <f>RasiContent(7,Basic!$B$7,M56,N56,Basic!$F$13)</f>
        <v/>
      </c>
      <c r="O60" s="57" t="str">
        <f>RasiContent(6,Basic!$B$7,M56,N56,Basic!$F$13)</f>
        <v/>
      </c>
    </row>
    <row r="61" spans="2:15" ht="50.1" customHeight="1" x14ac:dyDescent="0.2"/>
    <row r="62" spans="2:15" ht="50.1" customHeight="1" x14ac:dyDescent="0.2"/>
    <row r="63" spans="2:15" ht="50.1" customHeight="1" x14ac:dyDescent="0.2"/>
    <row r="64" spans="2:15" ht="50.1" customHeight="1" x14ac:dyDescent="0.2"/>
    <row r="65" ht="50.1" customHeight="1" x14ac:dyDescent="0.2"/>
    <row r="66" ht="50.1" customHeight="1" x14ac:dyDescent="0.2"/>
    <row r="67" ht="50.1" customHeight="1" x14ac:dyDescent="0.2"/>
    <row r="68" ht="50.1" customHeight="1" x14ac:dyDescent="0.2"/>
    <row r="69" ht="50.1" customHeight="1" x14ac:dyDescent="0.2"/>
    <row r="70" ht="50.1" customHeight="1" x14ac:dyDescent="0.2"/>
    <row r="71" ht="50.1" customHeight="1" x14ac:dyDescent="0.2"/>
    <row r="72" ht="50.1" customHeight="1" x14ac:dyDescent="0.2"/>
    <row r="73" ht="50.1" customHeight="1" x14ac:dyDescent="0.2"/>
    <row r="74" ht="50.1" customHeight="1" x14ac:dyDescent="0.2"/>
    <row r="75" ht="50.1" customHeight="1" x14ac:dyDescent="0.2"/>
    <row r="76" ht="50.1" customHeight="1" x14ac:dyDescent="0.2"/>
    <row r="77" ht="50.1" customHeight="1" x14ac:dyDescent="0.2"/>
    <row r="78" ht="50.1" customHeight="1" x14ac:dyDescent="0.2"/>
    <row r="79" ht="50.1" customHeight="1" x14ac:dyDescent="0.2"/>
    <row r="80" ht="50.1" customHeight="1" x14ac:dyDescent="0.2"/>
    <row r="81" ht="50.1" customHeight="1" x14ac:dyDescent="0.2"/>
    <row r="82" ht="50.1" customHeight="1" x14ac:dyDescent="0.2"/>
    <row r="83" ht="50.1" customHeight="1" x14ac:dyDescent="0.2"/>
    <row r="84" ht="50.1" customHeight="1" x14ac:dyDescent="0.2"/>
    <row r="85" ht="50.1" customHeight="1" x14ac:dyDescent="0.2"/>
    <row r="86" ht="50.1" customHeight="1" x14ac:dyDescent="0.2"/>
    <row r="87" ht="50.1" customHeight="1" x14ac:dyDescent="0.2"/>
    <row r="88" ht="50.1" customHeight="1" x14ac:dyDescent="0.2"/>
    <row r="89" ht="50.1" customHeight="1" x14ac:dyDescent="0.2"/>
    <row r="90" ht="50.1" customHeight="1" x14ac:dyDescent="0.2"/>
    <row r="91" ht="50.1" customHeight="1" x14ac:dyDescent="0.2"/>
    <row r="92" ht="50.1" customHeight="1" x14ac:dyDescent="0.2"/>
    <row r="93" ht="50.1" customHeight="1" x14ac:dyDescent="0.2"/>
    <row r="94" ht="50.1" customHeight="1" x14ac:dyDescent="0.2"/>
    <row r="95" ht="50.1" customHeight="1" x14ac:dyDescent="0.2"/>
    <row r="96" ht="50.1" customHeight="1" x14ac:dyDescent="0.2"/>
    <row r="97" ht="50.1" customHeight="1" x14ac:dyDescent="0.2"/>
    <row r="98" ht="50.1" customHeight="1" x14ac:dyDescent="0.2"/>
    <row r="99" ht="50.1" customHeight="1" x14ac:dyDescent="0.2"/>
    <row r="100" ht="50.1" customHeight="1" x14ac:dyDescent="0.2"/>
    <row r="101" ht="50.1" customHeight="1" x14ac:dyDescent="0.2"/>
    <row r="102" ht="50.1" customHeight="1" x14ac:dyDescent="0.2"/>
    <row r="103" ht="50.1" customHeight="1" x14ac:dyDescent="0.2"/>
    <row r="104" ht="50.1" customHeight="1" x14ac:dyDescent="0.2"/>
    <row r="105" ht="50.1" customHeight="1" x14ac:dyDescent="0.2"/>
    <row r="106" ht="50.1" customHeight="1" x14ac:dyDescent="0.2"/>
    <row r="107" ht="50.1" customHeight="1" x14ac:dyDescent="0.2"/>
    <row r="108" ht="50.1" customHeight="1" x14ac:dyDescent="0.2"/>
    <row r="109" ht="50.1" customHeight="1" x14ac:dyDescent="0.2"/>
    <row r="110" ht="50.1" customHeight="1" x14ac:dyDescent="0.2"/>
    <row r="111" ht="50.1" customHeight="1" x14ac:dyDescent="0.2"/>
    <row r="112" ht="50.1" customHeight="1" x14ac:dyDescent="0.2"/>
    <row r="113" ht="50.1" customHeight="1" x14ac:dyDescent="0.2"/>
    <row r="114" ht="50.1" customHeight="1" x14ac:dyDescent="0.2"/>
    <row r="115" ht="50.1" customHeight="1" x14ac:dyDescent="0.2"/>
    <row r="116" ht="50.1" customHeight="1" x14ac:dyDescent="0.2"/>
    <row r="117" ht="50.1" customHeight="1" x14ac:dyDescent="0.2"/>
    <row r="118" ht="50.1" customHeight="1" x14ac:dyDescent="0.2"/>
    <row r="119" ht="50.1" customHeight="1" x14ac:dyDescent="0.2"/>
    <row r="120" ht="50.1" customHeight="1" x14ac:dyDescent="0.2"/>
    <row r="121" ht="50.1" customHeight="1" x14ac:dyDescent="0.2"/>
    <row r="122" ht="50.1" customHeight="1" x14ac:dyDescent="0.2"/>
    <row r="123" ht="50.1" customHeight="1" x14ac:dyDescent="0.2"/>
    <row r="124" ht="50.1" customHeight="1" x14ac:dyDescent="0.2"/>
    <row r="125" ht="50.1" customHeight="1" x14ac:dyDescent="0.2"/>
    <row r="126" ht="50.1" customHeight="1" x14ac:dyDescent="0.2"/>
    <row r="127" ht="50.1" customHeight="1" x14ac:dyDescent="0.2"/>
    <row r="128" ht="50.1" customHeight="1" x14ac:dyDescent="0.2"/>
    <row r="129" ht="50.1" customHeight="1" x14ac:dyDescent="0.2"/>
    <row r="130" ht="50.1" customHeight="1" x14ac:dyDescent="0.2"/>
    <row r="131" ht="50.1" customHeight="1" x14ac:dyDescent="0.2"/>
    <row r="132" ht="50.1" customHeight="1" x14ac:dyDescent="0.2"/>
    <row r="133" ht="50.1" customHeight="1" x14ac:dyDescent="0.2"/>
    <row r="134" ht="50.1" customHeight="1" x14ac:dyDescent="0.2"/>
    <row r="135" ht="50.1" customHeight="1" x14ac:dyDescent="0.2"/>
    <row r="136" ht="50.1" customHeight="1" x14ac:dyDescent="0.2"/>
    <row r="137" ht="50.1" customHeight="1" x14ac:dyDescent="0.2"/>
    <row r="138" ht="50.1" customHeight="1" x14ac:dyDescent="0.2"/>
    <row r="139" ht="50.1" customHeight="1" x14ac:dyDescent="0.2"/>
    <row r="140" ht="50.1" customHeight="1" x14ac:dyDescent="0.2"/>
    <row r="141" ht="50.1" customHeight="1" x14ac:dyDescent="0.2"/>
    <row r="142" ht="50.1" customHeight="1" x14ac:dyDescent="0.2"/>
    <row r="143" ht="50.1" customHeight="1" x14ac:dyDescent="0.2"/>
    <row r="144" ht="50.1" customHeight="1" x14ac:dyDescent="0.2"/>
    <row r="145" ht="50.1" customHeight="1" x14ac:dyDescent="0.2"/>
    <row r="146" ht="50.1" customHeight="1" x14ac:dyDescent="0.2"/>
    <row r="147" ht="50.1" customHeight="1" x14ac:dyDescent="0.2"/>
    <row r="148" ht="50.1" customHeight="1" x14ac:dyDescent="0.2"/>
    <row r="149" ht="50.1" customHeight="1" x14ac:dyDescent="0.2"/>
    <row r="150" ht="50.1" customHeight="1" x14ac:dyDescent="0.2"/>
    <row r="151" ht="50.1" customHeight="1" x14ac:dyDescent="0.2"/>
    <row r="152" ht="50.1" customHeight="1" x14ac:dyDescent="0.2"/>
    <row r="153" ht="50.1" customHeight="1" x14ac:dyDescent="0.2"/>
    <row r="154" ht="50.1" customHeight="1" x14ac:dyDescent="0.2"/>
    <row r="155" ht="50.1" customHeight="1" x14ac:dyDescent="0.2"/>
    <row r="156" ht="50.1" customHeight="1" x14ac:dyDescent="0.2"/>
    <row r="157" ht="50.1" customHeight="1" x14ac:dyDescent="0.2"/>
    <row r="158" ht="50.1" customHeight="1" x14ac:dyDescent="0.2"/>
    <row r="159" ht="50.1" customHeight="1" x14ac:dyDescent="0.2"/>
    <row r="160" ht="50.1" customHeight="1" x14ac:dyDescent="0.2"/>
    <row r="161" ht="50.1" customHeight="1" x14ac:dyDescent="0.2"/>
    <row r="162" ht="50.1" customHeight="1" x14ac:dyDescent="0.2"/>
    <row r="163" ht="50.1" customHeight="1" x14ac:dyDescent="0.2"/>
    <row r="164" ht="50.1" customHeight="1" x14ac:dyDescent="0.2"/>
    <row r="165" ht="50.1" customHeight="1" x14ac:dyDescent="0.2"/>
    <row r="166" ht="50.1" customHeight="1" x14ac:dyDescent="0.2"/>
    <row r="167" ht="50.1" customHeight="1" x14ac:dyDescent="0.2"/>
    <row r="168" ht="50.1" customHeight="1" x14ac:dyDescent="0.2"/>
    <row r="169" ht="50.1" customHeight="1" x14ac:dyDescent="0.2"/>
    <row r="170" ht="50.1" customHeight="1" x14ac:dyDescent="0.2"/>
    <row r="171" ht="50.1" customHeight="1" x14ac:dyDescent="0.2"/>
    <row r="172" ht="50.1" customHeight="1" x14ac:dyDescent="0.2"/>
    <row r="173" ht="50.1" customHeight="1" x14ac:dyDescent="0.2"/>
    <row r="174" ht="50.1" customHeight="1" x14ac:dyDescent="0.2"/>
    <row r="175" ht="50.1" customHeight="1" x14ac:dyDescent="0.2"/>
    <row r="176" ht="50.1" customHeight="1" x14ac:dyDescent="0.2"/>
    <row r="177" ht="50.1" customHeight="1" x14ac:dyDescent="0.2"/>
    <row r="178" ht="50.1" customHeight="1" x14ac:dyDescent="0.2"/>
    <row r="179" ht="50.1" customHeight="1" x14ac:dyDescent="0.2"/>
    <row r="180" ht="50.1" customHeight="1" x14ac:dyDescent="0.2"/>
    <row r="181" ht="50.1" customHeight="1" x14ac:dyDescent="0.2"/>
    <row r="182" ht="50.1" customHeight="1" x14ac:dyDescent="0.2"/>
    <row r="183" ht="50.1" customHeight="1" x14ac:dyDescent="0.2"/>
    <row r="184" ht="50.1" customHeight="1" x14ac:dyDescent="0.2"/>
    <row r="185" ht="50.1" customHeight="1" x14ac:dyDescent="0.2"/>
    <row r="186" ht="50.1" customHeight="1" x14ac:dyDescent="0.2"/>
    <row r="187" ht="50.1" customHeight="1" x14ac:dyDescent="0.2"/>
    <row r="188" ht="50.1" customHeight="1" x14ac:dyDescent="0.2"/>
    <row r="189" ht="50.1" customHeight="1" x14ac:dyDescent="0.2"/>
    <row r="190" ht="50.1" customHeight="1" x14ac:dyDescent="0.2"/>
    <row r="191" ht="50.1" customHeight="1" x14ac:dyDescent="0.2"/>
    <row r="192" ht="50.1" customHeight="1" x14ac:dyDescent="0.2"/>
    <row r="193" ht="50.1" customHeight="1" x14ac:dyDescent="0.2"/>
    <row r="194" ht="50.1" customHeight="1" x14ac:dyDescent="0.2"/>
    <row r="195" ht="50.1" customHeight="1" x14ac:dyDescent="0.2"/>
    <row r="196" ht="50.1" customHeight="1" x14ac:dyDescent="0.2"/>
    <row r="197" ht="50.1" customHeight="1" x14ac:dyDescent="0.2"/>
    <row r="198" ht="50.1" customHeight="1" x14ac:dyDescent="0.2"/>
    <row r="199" ht="50.1" customHeight="1" x14ac:dyDescent="0.2"/>
    <row r="200" ht="50.1" customHeight="1" x14ac:dyDescent="0.2"/>
    <row r="201" ht="50.1" customHeight="1" x14ac:dyDescent="0.2"/>
    <row r="202" ht="50.1" customHeight="1" x14ac:dyDescent="0.2"/>
    <row r="203" ht="50.1" customHeight="1" x14ac:dyDescent="0.2"/>
    <row r="204" ht="50.1" customHeight="1" x14ac:dyDescent="0.2"/>
    <row r="205" ht="50.1" customHeight="1" x14ac:dyDescent="0.2"/>
    <row r="206" ht="50.1" customHeight="1" x14ac:dyDescent="0.2"/>
    <row r="207" ht="50.1" customHeight="1" x14ac:dyDescent="0.2"/>
    <row r="208" ht="50.1" customHeight="1" x14ac:dyDescent="0.2"/>
    <row r="209" ht="50.1" customHeight="1" x14ac:dyDescent="0.2"/>
    <row r="210" ht="50.1" customHeight="1" x14ac:dyDescent="0.2"/>
    <row r="211" ht="50.1" customHeight="1" x14ac:dyDescent="0.2"/>
    <row r="212" ht="50.1" customHeight="1" x14ac:dyDescent="0.2"/>
    <row r="213" ht="50.1" customHeight="1" x14ac:dyDescent="0.2"/>
    <row r="214" ht="50.1" customHeight="1" x14ac:dyDescent="0.2"/>
    <row r="215" ht="50.1" customHeight="1" x14ac:dyDescent="0.2"/>
    <row r="216" ht="50.1" customHeight="1" x14ac:dyDescent="0.2"/>
    <row r="217" ht="50.1" customHeight="1" x14ac:dyDescent="0.2"/>
    <row r="218" ht="50.1" customHeight="1" x14ac:dyDescent="0.2"/>
    <row r="219" ht="50.1" customHeight="1" x14ac:dyDescent="0.2"/>
    <row r="220" ht="50.1" customHeight="1" x14ac:dyDescent="0.2"/>
    <row r="221" ht="50.1" customHeight="1" x14ac:dyDescent="0.2"/>
    <row r="222" ht="50.1" customHeight="1" x14ac:dyDescent="0.2"/>
    <row r="223" ht="50.1" customHeight="1" x14ac:dyDescent="0.2"/>
    <row r="224" ht="50.1" customHeight="1" x14ac:dyDescent="0.2"/>
    <row r="225" ht="50.1" customHeight="1" x14ac:dyDescent="0.2"/>
    <row r="226" ht="50.1" customHeight="1" x14ac:dyDescent="0.2"/>
    <row r="227" ht="50.1" customHeight="1" x14ac:dyDescent="0.2"/>
    <row r="228" ht="50.1" customHeight="1" x14ac:dyDescent="0.2"/>
    <row r="229" ht="50.1" customHeight="1" x14ac:dyDescent="0.2"/>
    <row r="230" ht="50.1" customHeight="1" x14ac:dyDescent="0.2"/>
    <row r="231" ht="50.1" customHeight="1" x14ac:dyDescent="0.2"/>
    <row r="232" ht="50.1" customHeight="1" x14ac:dyDescent="0.2"/>
    <row r="233" ht="50.1" customHeight="1" x14ac:dyDescent="0.2"/>
    <row r="234" ht="50.1" customHeight="1" x14ac:dyDescent="0.2"/>
    <row r="235" ht="50.1" customHeight="1" x14ac:dyDescent="0.2"/>
    <row r="236" ht="50.1" customHeight="1" x14ac:dyDescent="0.2"/>
    <row r="237" ht="50.1" customHeight="1" x14ac:dyDescent="0.2"/>
    <row r="238" ht="50.1" customHeight="1" x14ac:dyDescent="0.2"/>
    <row r="239" ht="50.1" customHeight="1" x14ac:dyDescent="0.2"/>
    <row r="240" ht="50.1" customHeight="1" x14ac:dyDescent="0.2"/>
    <row r="241" ht="50.1" customHeight="1" x14ac:dyDescent="0.2"/>
    <row r="242" ht="50.1" customHeight="1" x14ac:dyDescent="0.2"/>
    <row r="243" ht="50.1" customHeight="1" x14ac:dyDescent="0.2"/>
    <row r="244" ht="50.1" customHeight="1" x14ac:dyDescent="0.2"/>
    <row r="245" ht="50.1" customHeight="1" x14ac:dyDescent="0.2"/>
    <row r="246" ht="50.1" customHeight="1" x14ac:dyDescent="0.2"/>
    <row r="247" ht="50.1" customHeight="1" x14ac:dyDescent="0.2"/>
    <row r="248" ht="50.1" customHeight="1" x14ac:dyDescent="0.2"/>
    <row r="249" ht="50.1" customHeight="1" x14ac:dyDescent="0.2"/>
    <row r="250" ht="50.1" customHeight="1" x14ac:dyDescent="0.2"/>
    <row r="251" ht="50.1" customHeight="1" x14ac:dyDescent="0.2"/>
    <row r="252" ht="50.1" customHeight="1" x14ac:dyDescent="0.2"/>
    <row r="253" ht="50.1" customHeight="1" x14ac:dyDescent="0.2"/>
    <row r="254" ht="50.1" customHeight="1" x14ac:dyDescent="0.2"/>
    <row r="255" ht="50.1" customHeight="1" x14ac:dyDescent="0.2"/>
    <row r="256" ht="50.1" customHeight="1" x14ac:dyDescent="0.2"/>
    <row r="257" ht="50.1" customHeight="1" x14ac:dyDescent="0.2"/>
    <row r="258" ht="50.1" customHeight="1" x14ac:dyDescent="0.2"/>
    <row r="259" ht="50.1" customHeight="1" x14ac:dyDescent="0.2"/>
    <row r="260" ht="50.1" customHeight="1" x14ac:dyDescent="0.2"/>
    <row r="261" ht="50.1" customHeight="1" x14ac:dyDescent="0.2"/>
    <row r="262" ht="50.1" customHeight="1" x14ac:dyDescent="0.2"/>
    <row r="263" ht="50.1" customHeight="1" x14ac:dyDescent="0.2"/>
    <row r="264" ht="50.1" customHeight="1" x14ac:dyDescent="0.2"/>
    <row r="265" ht="50.1" customHeight="1" x14ac:dyDescent="0.2"/>
    <row r="266" ht="50.1" customHeight="1" x14ac:dyDescent="0.2"/>
    <row r="267" ht="50.1" customHeight="1" x14ac:dyDescent="0.2"/>
    <row r="268" ht="50.1" customHeight="1" x14ac:dyDescent="0.2"/>
    <row r="269" ht="50.1" customHeight="1" x14ac:dyDescent="0.2"/>
    <row r="270" ht="50.1" customHeight="1" x14ac:dyDescent="0.2"/>
    <row r="271" ht="50.1" customHeight="1" x14ac:dyDescent="0.2"/>
    <row r="272" ht="50.1" customHeight="1" x14ac:dyDescent="0.2"/>
    <row r="273" ht="50.1" customHeight="1" x14ac:dyDescent="0.2"/>
    <row r="274" ht="50.1" customHeight="1" x14ac:dyDescent="0.2"/>
    <row r="275" ht="50.1" customHeight="1" x14ac:dyDescent="0.2"/>
    <row r="276" ht="50.1" customHeight="1" x14ac:dyDescent="0.2"/>
    <row r="277" ht="50.1" customHeight="1" x14ac:dyDescent="0.2"/>
    <row r="278" ht="50.1" customHeight="1" x14ac:dyDescent="0.2"/>
    <row r="279" ht="50.1" customHeight="1" x14ac:dyDescent="0.2"/>
    <row r="280" ht="50.1" customHeight="1" x14ac:dyDescent="0.2"/>
    <row r="281" ht="50.1" customHeight="1" x14ac:dyDescent="0.2"/>
    <row r="282" ht="50.1" customHeight="1" x14ac:dyDescent="0.2"/>
    <row r="283" ht="50.1" customHeight="1" x14ac:dyDescent="0.2"/>
    <row r="284" ht="50.1" customHeight="1" x14ac:dyDescent="0.2"/>
    <row r="285" ht="50.1" customHeight="1" x14ac:dyDescent="0.2"/>
    <row r="286" ht="50.1" customHeight="1" x14ac:dyDescent="0.2"/>
    <row r="287" ht="50.1" customHeight="1" x14ac:dyDescent="0.2"/>
    <row r="288" ht="50.1" customHeight="1" x14ac:dyDescent="0.2"/>
    <row r="289" ht="50.1" customHeight="1" x14ac:dyDescent="0.2"/>
    <row r="290" ht="50.1" customHeight="1" x14ac:dyDescent="0.2"/>
    <row r="291" ht="50.1" customHeight="1" x14ac:dyDescent="0.2"/>
    <row r="292" ht="50.1" customHeight="1" x14ac:dyDescent="0.2"/>
    <row r="293" ht="50.1" customHeight="1" x14ac:dyDescent="0.2"/>
    <row r="294" ht="50.1" customHeight="1" x14ac:dyDescent="0.2"/>
    <row r="295" ht="50.1" customHeight="1" x14ac:dyDescent="0.2"/>
    <row r="296" ht="50.1" customHeight="1" x14ac:dyDescent="0.2"/>
    <row r="297" ht="50.1" customHeight="1" x14ac:dyDescent="0.2"/>
    <row r="298" ht="50.1" customHeight="1" x14ac:dyDescent="0.2"/>
    <row r="299" ht="50.1" customHeight="1" x14ac:dyDescent="0.2"/>
    <row r="300" ht="50.1" customHeight="1" x14ac:dyDescent="0.2"/>
    <row r="301" ht="50.1" customHeight="1" x14ac:dyDescent="0.2"/>
    <row r="302" ht="50.1" customHeight="1" x14ac:dyDescent="0.2"/>
    <row r="303" ht="50.1" customHeight="1" x14ac:dyDescent="0.2"/>
    <row r="304" ht="50.1" customHeight="1" x14ac:dyDescent="0.2"/>
    <row r="305" ht="50.1" customHeight="1" x14ac:dyDescent="0.2"/>
    <row r="306" ht="50.1" customHeight="1" x14ac:dyDescent="0.2"/>
    <row r="307" ht="50.1" customHeight="1" x14ac:dyDescent="0.2"/>
    <row r="308" ht="50.1" customHeight="1" x14ac:dyDescent="0.2"/>
    <row r="309" ht="50.1" customHeight="1" x14ac:dyDescent="0.2"/>
    <row r="310" ht="50.1" customHeight="1" x14ac:dyDescent="0.2"/>
    <row r="311" ht="50.1" customHeight="1" x14ac:dyDescent="0.2"/>
    <row r="312" ht="50.1" customHeight="1" x14ac:dyDescent="0.2"/>
    <row r="313" ht="50.1" customHeight="1" x14ac:dyDescent="0.2"/>
    <row r="314" ht="50.1" customHeight="1" x14ac:dyDescent="0.2"/>
    <row r="315" ht="50.1" customHeight="1" x14ac:dyDescent="0.2"/>
    <row r="316" ht="50.1" customHeight="1" x14ac:dyDescent="0.2"/>
    <row r="317" ht="50.1" customHeight="1" x14ac:dyDescent="0.2"/>
    <row r="318" ht="50.1" customHeight="1" x14ac:dyDescent="0.2"/>
    <row r="319" ht="50.1" customHeight="1" x14ac:dyDescent="0.2"/>
    <row r="320" ht="50.1" customHeight="1" x14ac:dyDescent="0.2"/>
    <row r="321" ht="50.1" customHeight="1" x14ac:dyDescent="0.2"/>
    <row r="322" ht="50.1" customHeight="1" x14ac:dyDescent="0.2"/>
    <row r="323" ht="50.1" customHeight="1" x14ac:dyDescent="0.2"/>
    <row r="324" ht="50.1" customHeight="1" x14ac:dyDescent="0.2"/>
    <row r="325" ht="50.1" customHeight="1" x14ac:dyDescent="0.2"/>
    <row r="326" ht="50.1" customHeight="1" x14ac:dyDescent="0.2"/>
    <row r="327" ht="50.1" customHeight="1" x14ac:dyDescent="0.2"/>
    <row r="328" ht="50.1" customHeight="1" x14ac:dyDescent="0.2"/>
    <row r="329" ht="50.1" customHeight="1" x14ac:dyDescent="0.2"/>
    <row r="330" ht="50.1" customHeight="1" x14ac:dyDescent="0.2"/>
    <row r="331" ht="50.1" customHeight="1" x14ac:dyDescent="0.2"/>
    <row r="332" ht="50.1" customHeight="1" x14ac:dyDescent="0.2"/>
    <row r="333" ht="50.1" customHeight="1" x14ac:dyDescent="0.2"/>
    <row r="334" ht="50.1" customHeight="1" x14ac:dyDescent="0.2"/>
    <row r="335" ht="50.1" customHeight="1" x14ac:dyDescent="0.2"/>
    <row r="336" ht="50.1" customHeight="1" x14ac:dyDescent="0.2"/>
    <row r="337" ht="50.1" customHeight="1" x14ac:dyDescent="0.2"/>
    <row r="338" ht="50.1" customHeight="1" x14ac:dyDescent="0.2"/>
    <row r="339" ht="50.1" customHeight="1" x14ac:dyDescent="0.2"/>
    <row r="340" ht="50.1" customHeight="1" x14ac:dyDescent="0.2"/>
    <row r="341" ht="50.1" customHeight="1" x14ac:dyDescent="0.2"/>
    <row r="342" ht="50.1" customHeight="1" x14ac:dyDescent="0.2"/>
    <row r="343" ht="50.1" customHeight="1" x14ac:dyDescent="0.2"/>
    <row r="344" ht="50.1" customHeight="1" x14ac:dyDescent="0.2"/>
    <row r="345" ht="50.1" customHeight="1" x14ac:dyDescent="0.2"/>
    <row r="346" ht="50.1" customHeight="1" x14ac:dyDescent="0.2"/>
    <row r="347" ht="50.1" customHeight="1" x14ac:dyDescent="0.2"/>
    <row r="348" ht="50.1" customHeight="1" x14ac:dyDescent="0.2"/>
    <row r="349" ht="50.1" customHeight="1" x14ac:dyDescent="0.2"/>
    <row r="350" ht="50.1" customHeight="1" x14ac:dyDescent="0.2"/>
    <row r="351" ht="50.1" customHeight="1" x14ac:dyDescent="0.2"/>
    <row r="352" ht="50.1" customHeight="1" x14ac:dyDescent="0.2"/>
    <row r="353" ht="50.1" customHeight="1" x14ac:dyDescent="0.2"/>
    <row r="354" ht="50.1" customHeight="1" x14ac:dyDescent="0.2"/>
    <row r="355" ht="50.1" customHeight="1" x14ac:dyDescent="0.2"/>
    <row r="356" ht="50.1" customHeight="1" x14ac:dyDescent="0.2"/>
    <row r="357" ht="50.1" customHeight="1" x14ac:dyDescent="0.2"/>
    <row r="358" ht="50.1" customHeight="1" x14ac:dyDescent="0.2"/>
    <row r="359" ht="50.1" customHeight="1" x14ac:dyDescent="0.2"/>
    <row r="360" ht="50.1" customHeight="1" x14ac:dyDescent="0.2"/>
    <row r="361" ht="50.1" customHeight="1" x14ac:dyDescent="0.2"/>
    <row r="362" ht="50.1" customHeight="1" x14ac:dyDescent="0.2"/>
    <row r="363" ht="50.1" customHeight="1" x14ac:dyDescent="0.2"/>
    <row r="364" ht="50.1" customHeight="1" x14ac:dyDescent="0.2"/>
    <row r="365" ht="50.1" customHeight="1" x14ac:dyDescent="0.2"/>
    <row r="366" ht="50.1" customHeight="1" x14ac:dyDescent="0.2"/>
    <row r="367" ht="50.1" customHeight="1" x14ac:dyDescent="0.2"/>
    <row r="368" ht="50.1" customHeight="1" x14ac:dyDescent="0.2"/>
    <row r="369" ht="50.1" customHeight="1" x14ac:dyDescent="0.2"/>
    <row r="370" ht="50.1" customHeight="1" x14ac:dyDescent="0.2"/>
    <row r="371" ht="50.1" customHeight="1" x14ac:dyDescent="0.2"/>
    <row r="372" ht="50.1" customHeight="1" x14ac:dyDescent="0.2"/>
    <row r="373" ht="50.1" customHeight="1" x14ac:dyDescent="0.2"/>
    <row r="374" ht="50.1" customHeight="1" x14ac:dyDescent="0.2"/>
    <row r="375" ht="50.1" customHeight="1" x14ac:dyDescent="0.2"/>
    <row r="376" ht="50.1" customHeight="1" x14ac:dyDescent="0.2"/>
    <row r="377" ht="50.1" customHeight="1" x14ac:dyDescent="0.2"/>
    <row r="378" ht="50.1" customHeight="1" x14ac:dyDescent="0.2"/>
    <row r="379" ht="50.1" customHeight="1" x14ac:dyDescent="0.2"/>
    <row r="380" ht="50.1" customHeight="1" x14ac:dyDescent="0.2"/>
    <row r="381" ht="50.1" customHeight="1" x14ac:dyDescent="0.2"/>
    <row r="382" ht="50.1" customHeight="1" x14ac:dyDescent="0.2"/>
    <row r="383" ht="50.1" customHeight="1" x14ac:dyDescent="0.2"/>
    <row r="384" ht="50.1" customHeight="1" x14ac:dyDescent="0.2"/>
    <row r="385" ht="50.1" customHeight="1" x14ac:dyDescent="0.2"/>
    <row r="386" ht="50.1" customHeight="1" x14ac:dyDescent="0.2"/>
    <row r="387" ht="50.1" customHeight="1" x14ac:dyDescent="0.2"/>
    <row r="388" ht="50.1" customHeight="1" x14ac:dyDescent="0.2"/>
    <row r="389" ht="50.1" customHeight="1" x14ac:dyDescent="0.2"/>
    <row r="390" ht="50.1" customHeight="1" x14ac:dyDescent="0.2"/>
    <row r="391" ht="50.1" customHeight="1" x14ac:dyDescent="0.2"/>
    <row r="392" ht="50.1" customHeight="1" x14ac:dyDescent="0.2"/>
    <row r="393" ht="50.1" customHeight="1" x14ac:dyDescent="0.2"/>
    <row r="394" ht="50.1" customHeight="1" x14ac:dyDescent="0.2"/>
    <row r="395" ht="50.1" customHeight="1" x14ac:dyDescent="0.2"/>
    <row r="396" ht="50.1" customHeight="1" x14ac:dyDescent="0.2"/>
    <row r="397" ht="50.1" customHeight="1" x14ac:dyDescent="0.2"/>
    <row r="398" ht="50.1" customHeight="1" x14ac:dyDescent="0.2"/>
    <row r="399" ht="50.1" customHeight="1" x14ac:dyDescent="0.2"/>
    <row r="400" ht="50.1" customHeight="1" x14ac:dyDescent="0.2"/>
    <row r="401" ht="50.1" customHeight="1" x14ac:dyDescent="0.2"/>
    <row r="402" ht="50.1" customHeight="1" x14ac:dyDescent="0.2"/>
    <row r="403" ht="50.1" customHeight="1" x14ac:dyDescent="0.2"/>
    <row r="404" ht="50.1" customHeight="1" x14ac:dyDescent="0.2"/>
    <row r="405" ht="50.1" customHeight="1" x14ac:dyDescent="0.2"/>
    <row r="406" ht="50.1" customHeight="1" x14ac:dyDescent="0.2"/>
    <row r="407" ht="50.1" customHeight="1" x14ac:dyDescent="0.2"/>
    <row r="408" ht="50.1" customHeight="1" x14ac:dyDescent="0.2"/>
    <row r="409" ht="50.1" customHeight="1" x14ac:dyDescent="0.2"/>
    <row r="410" ht="50.1" customHeight="1" x14ac:dyDescent="0.2"/>
    <row r="411" ht="50.1" customHeight="1" x14ac:dyDescent="0.2"/>
    <row r="412" ht="50.1" customHeight="1" x14ac:dyDescent="0.2"/>
    <row r="413" ht="50.1" customHeight="1" x14ac:dyDescent="0.2"/>
    <row r="414" ht="50.1" customHeight="1" x14ac:dyDescent="0.2"/>
    <row r="415" ht="50.1" customHeight="1" x14ac:dyDescent="0.2"/>
    <row r="416" ht="50.1" customHeight="1" x14ac:dyDescent="0.2"/>
    <row r="417" ht="50.1" customHeight="1" x14ac:dyDescent="0.2"/>
    <row r="418" ht="50.1" customHeight="1" x14ac:dyDescent="0.2"/>
    <row r="419" ht="50.1" customHeight="1" x14ac:dyDescent="0.2"/>
    <row r="420" ht="50.1" customHeight="1" x14ac:dyDescent="0.2"/>
    <row r="421" ht="50.1" customHeight="1" x14ac:dyDescent="0.2"/>
    <row r="422" ht="50.1" customHeight="1" x14ac:dyDescent="0.2"/>
    <row r="423" ht="50.1" customHeight="1" x14ac:dyDescent="0.2"/>
    <row r="424" ht="50.1" customHeight="1" x14ac:dyDescent="0.2"/>
    <row r="425" ht="50.1" customHeight="1" x14ac:dyDescent="0.2"/>
    <row r="426" ht="50.1" customHeight="1" x14ac:dyDescent="0.2"/>
    <row r="427" ht="50.1" customHeight="1" x14ac:dyDescent="0.2"/>
    <row r="428" ht="50.1" customHeight="1" x14ac:dyDescent="0.2"/>
    <row r="429" ht="50.1" customHeight="1" x14ac:dyDescent="0.2"/>
    <row r="430" ht="50.1" customHeight="1" x14ac:dyDescent="0.2"/>
    <row r="431" ht="50.1" customHeight="1" x14ac:dyDescent="0.2"/>
    <row r="432" ht="50.1" customHeight="1" x14ac:dyDescent="0.2"/>
    <row r="433" ht="50.1" customHeight="1" x14ac:dyDescent="0.2"/>
    <row r="434" ht="50.1" customHeight="1" x14ac:dyDescent="0.2"/>
    <row r="435" ht="50.1" customHeight="1" x14ac:dyDescent="0.2"/>
    <row r="436" ht="50.1" customHeight="1" x14ac:dyDescent="0.2"/>
    <row r="437" ht="50.1" customHeight="1" x14ac:dyDescent="0.2"/>
    <row r="438" ht="50.1" customHeight="1" x14ac:dyDescent="0.2"/>
    <row r="439" ht="50.1" customHeight="1" x14ac:dyDescent="0.2"/>
    <row r="440" ht="50.1" customHeight="1" x14ac:dyDescent="0.2"/>
    <row r="441" ht="50.1" customHeight="1" x14ac:dyDescent="0.2"/>
    <row r="442" ht="50.1" customHeight="1" x14ac:dyDescent="0.2"/>
    <row r="443" ht="50.1" customHeight="1" x14ac:dyDescent="0.2"/>
    <row r="444" ht="50.1" customHeight="1" x14ac:dyDescent="0.2"/>
    <row r="445" ht="50.1" customHeight="1" x14ac:dyDescent="0.2"/>
    <row r="446" ht="50.1" customHeight="1" x14ac:dyDescent="0.2"/>
    <row r="447" ht="50.1" customHeight="1" x14ac:dyDescent="0.2"/>
    <row r="448" ht="50.1" customHeight="1" x14ac:dyDescent="0.2"/>
    <row r="449" ht="50.1" customHeight="1" x14ac:dyDescent="0.2"/>
    <row r="450" ht="50.1" customHeight="1" x14ac:dyDescent="0.2"/>
    <row r="451" ht="50.1" customHeight="1" x14ac:dyDescent="0.2"/>
    <row r="452" ht="50.1" customHeight="1" x14ac:dyDescent="0.2"/>
    <row r="453" ht="50.1" customHeight="1" x14ac:dyDescent="0.2"/>
    <row r="454" ht="50.1" customHeight="1" x14ac:dyDescent="0.2"/>
    <row r="455" ht="50.1" customHeight="1" x14ac:dyDescent="0.2"/>
    <row r="456" ht="50.1" customHeight="1" x14ac:dyDescent="0.2"/>
    <row r="457" ht="50.1" customHeight="1" x14ac:dyDescent="0.2"/>
    <row r="458" ht="50.1" customHeight="1" x14ac:dyDescent="0.2"/>
    <row r="459" ht="50.1" customHeight="1" x14ac:dyDescent="0.2"/>
  </sheetData>
  <mergeCells count="30">
    <mergeCell ref="C46:D47"/>
    <mergeCell ref="H46:I47"/>
    <mergeCell ref="M46:N47"/>
    <mergeCell ref="C4:D5"/>
    <mergeCell ref="H4:I5"/>
    <mergeCell ref="M4:N5"/>
    <mergeCell ref="C10:D11"/>
    <mergeCell ref="H10:I11"/>
    <mergeCell ref="M10:N11"/>
    <mergeCell ref="C16:D17"/>
    <mergeCell ref="H16:I17"/>
    <mergeCell ref="M16:N17"/>
    <mergeCell ref="H22:I23"/>
    <mergeCell ref="M22:N23"/>
    <mergeCell ref="C58:D59"/>
    <mergeCell ref="H58:I59"/>
    <mergeCell ref="M58:N59"/>
    <mergeCell ref="C22:D23"/>
    <mergeCell ref="C28:D29"/>
    <mergeCell ref="H28:I29"/>
    <mergeCell ref="M28:N29"/>
    <mergeCell ref="C34:D35"/>
    <mergeCell ref="H34:I35"/>
    <mergeCell ref="M34:N35"/>
    <mergeCell ref="C52:D53"/>
    <mergeCell ref="H52:I53"/>
    <mergeCell ref="M52:N53"/>
    <mergeCell ref="C40:D41"/>
    <mergeCell ref="H40:I41"/>
    <mergeCell ref="M40:N41"/>
  </mergeCells>
  <phoneticPr fontId="13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R18"/>
  <sheetViews>
    <sheetView workbookViewId="0">
      <selection activeCell="C25" sqref="C25"/>
    </sheetView>
  </sheetViews>
  <sheetFormatPr defaultRowHeight="12.75" x14ac:dyDescent="0.2"/>
  <cols>
    <col min="1" max="1" width="19" style="12" bestFit="1" customWidth="1"/>
    <col min="2" max="3" width="5.7109375" style="69" customWidth="1"/>
    <col min="4" max="4" width="5.7109375" style="70" customWidth="1"/>
    <col min="5" max="5" width="6.140625" style="71" bestFit="1" customWidth="1"/>
    <col min="6" max="6" width="12.5703125" style="60" bestFit="1" customWidth="1"/>
    <col min="7" max="7" width="12.5703125" style="73" bestFit="1" customWidth="1"/>
    <col min="8" max="8" width="7.140625" style="20" bestFit="1" customWidth="1"/>
    <col min="9" max="9" width="7.140625" style="12" bestFit="1" customWidth="1"/>
    <col min="10" max="10" width="10.7109375" style="12" customWidth="1"/>
    <col min="11" max="11" width="4.28515625" style="12" customWidth="1"/>
    <col min="12" max="12" width="23.28515625" style="13" bestFit="1" customWidth="1"/>
    <col min="13" max="13" width="10.7109375" style="13" customWidth="1"/>
    <col min="14" max="14" width="13.42578125" style="12" bestFit="1" customWidth="1"/>
    <col min="15" max="17" width="9.140625" style="12"/>
    <col min="18" max="18" width="30.7109375" style="21" bestFit="1" customWidth="1"/>
    <col min="19" max="16384" width="9.140625" style="12"/>
  </cols>
  <sheetData>
    <row r="1" spans="1:18" x14ac:dyDescent="0.2">
      <c r="B1" s="61" t="s">
        <v>51</v>
      </c>
    </row>
    <row r="2" spans="1:18" x14ac:dyDescent="0.2">
      <c r="A2" s="6" t="s">
        <v>30</v>
      </c>
      <c r="B2" s="62">
        <v>9</v>
      </c>
      <c r="C2" s="62">
        <v>1</v>
      </c>
      <c r="D2" s="62">
        <v>12</v>
      </c>
      <c r="E2" s="62">
        <v>1</v>
      </c>
      <c r="F2" s="103"/>
      <c r="H2" s="10"/>
      <c r="I2" s="7"/>
      <c r="J2" s="7"/>
      <c r="K2" s="7"/>
      <c r="L2" s="9"/>
      <c r="M2" s="9"/>
      <c r="N2" s="7"/>
      <c r="O2" s="7"/>
      <c r="P2" s="7"/>
      <c r="Q2" s="7"/>
      <c r="R2" s="11"/>
    </row>
    <row r="3" spans="1:18" ht="15" x14ac:dyDescent="0.25">
      <c r="A3" s="49" t="s">
        <v>27</v>
      </c>
      <c r="B3" s="63" t="s">
        <v>28</v>
      </c>
      <c r="C3" s="63" t="s">
        <v>10</v>
      </c>
      <c r="D3" s="64" t="s">
        <v>45</v>
      </c>
      <c r="E3" s="65" t="s">
        <v>46</v>
      </c>
      <c r="F3" s="59" t="s">
        <v>47</v>
      </c>
      <c r="G3" s="72" t="s">
        <v>48</v>
      </c>
      <c r="H3" s="50" t="s">
        <v>10</v>
      </c>
      <c r="I3" s="91" t="s">
        <v>31</v>
      </c>
      <c r="O3" s="7"/>
      <c r="P3" s="7"/>
      <c r="Q3" s="7"/>
      <c r="R3" s="11"/>
    </row>
    <row r="4" spans="1:18" x14ac:dyDescent="0.2">
      <c r="A4" s="1" t="s">
        <v>9</v>
      </c>
      <c r="B4" s="66">
        <f>degree(G4)</f>
        <v>7</v>
      </c>
      <c r="C4" s="66" t="str">
        <f>Rasi(G4)</f>
        <v>Ta</v>
      </c>
      <c r="D4" s="67">
        <f>Minutes(G4)</f>
        <v>31</v>
      </c>
      <c r="E4" s="68">
        <f>seconds(G4)</f>
        <v>9.59</v>
      </c>
      <c r="F4" s="104">
        <f>Basic!F13</f>
        <v>135.90295677492219</v>
      </c>
      <c r="G4" s="102">
        <f>divplanetlongitude(divplanetlongitude(F4,B2,C2),D2,E2)</f>
        <v>37.519331691596499</v>
      </c>
      <c r="H4" s="98">
        <f>rasinum(G4)</f>
        <v>2</v>
      </c>
      <c r="I4" s="98">
        <f>HouseNum(G4,$G$4)</f>
        <v>1</v>
      </c>
      <c r="O4" s="7"/>
      <c r="P4" s="16"/>
      <c r="Q4" s="16"/>
      <c r="R4" s="17"/>
    </row>
    <row r="5" spans="1:18" x14ac:dyDescent="0.2">
      <c r="A5" s="1" t="s">
        <v>2</v>
      </c>
      <c r="B5" s="66">
        <f>degree(G5)</f>
        <v>4</v>
      </c>
      <c r="C5" s="66" t="str">
        <f t="shared" ref="C5:C13" si="0">Rasi(G5)</f>
        <v>Cn</v>
      </c>
      <c r="D5" s="67">
        <f t="shared" ref="D5:D13" si="1">Minutes(G5)</f>
        <v>45</v>
      </c>
      <c r="E5" s="68">
        <f t="shared" ref="E5:E13" si="2">seconds(G5)</f>
        <v>7.67</v>
      </c>
      <c r="F5" s="104">
        <f>Basic!F14</f>
        <v>92.376065416736438</v>
      </c>
      <c r="G5" s="102">
        <f t="shared" ref="G5:G18" si="3">divplanetlongitude(F5,2,5)</f>
        <v>94.752130833472847</v>
      </c>
      <c r="H5" s="98">
        <f t="shared" ref="H5:H13" si="4">rasinum(G5)</f>
        <v>4</v>
      </c>
      <c r="I5" s="98">
        <f t="shared" ref="I5:I13" si="5">HouseNum(G5,$G$4)</f>
        <v>3</v>
      </c>
      <c r="O5" s="14"/>
      <c r="P5" s="16"/>
      <c r="Q5" s="16"/>
      <c r="R5" s="17"/>
    </row>
    <row r="6" spans="1:18" x14ac:dyDescent="0.2">
      <c r="A6" s="1" t="s">
        <v>3</v>
      </c>
      <c r="B6" s="66">
        <f t="shared" ref="B6:B13" si="6">degree(G6)</f>
        <v>15</v>
      </c>
      <c r="C6" s="66" t="str">
        <f t="shared" si="0"/>
        <v>Li</v>
      </c>
      <c r="D6" s="67">
        <f t="shared" si="1"/>
        <v>56</v>
      </c>
      <c r="E6" s="68">
        <f t="shared" si="2"/>
        <v>28.63</v>
      </c>
      <c r="F6" s="104">
        <f>Basic!F15</f>
        <v>52.970642490536576</v>
      </c>
      <c r="G6" s="102">
        <f t="shared" si="3"/>
        <v>195.94128498107312</v>
      </c>
      <c r="H6" s="98">
        <f t="shared" si="4"/>
        <v>7</v>
      </c>
      <c r="I6" s="98">
        <f t="shared" si="5"/>
        <v>6</v>
      </c>
      <c r="O6" s="14"/>
      <c r="P6" s="16"/>
      <c r="Q6" s="16"/>
      <c r="R6" s="17"/>
    </row>
    <row r="7" spans="1:18" x14ac:dyDescent="0.2">
      <c r="A7" s="1" t="s">
        <v>16</v>
      </c>
      <c r="B7" s="66">
        <f t="shared" si="6"/>
        <v>26</v>
      </c>
      <c r="C7" s="66" t="str">
        <f t="shared" si="0"/>
        <v>Aq</v>
      </c>
      <c r="D7" s="67">
        <f t="shared" si="1"/>
        <v>11</v>
      </c>
      <c r="E7" s="68">
        <f t="shared" si="2"/>
        <v>13.49</v>
      </c>
      <c r="F7" s="104">
        <f>Basic!F16</f>
        <v>298.09354096697024</v>
      </c>
      <c r="G7" s="102">
        <f t="shared" si="3"/>
        <v>326.18708193394053</v>
      </c>
      <c r="H7" s="98">
        <f t="shared" si="4"/>
        <v>11</v>
      </c>
      <c r="I7" s="98">
        <f t="shared" si="5"/>
        <v>10</v>
      </c>
      <c r="O7" s="14"/>
      <c r="P7" s="16"/>
      <c r="Q7" s="16"/>
      <c r="R7" s="17"/>
    </row>
    <row r="8" spans="1:18" x14ac:dyDescent="0.2">
      <c r="A8" s="1" t="s">
        <v>4</v>
      </c>
      <c r="B8" s="66">
        <f t="shared" si="6"/>
        <v>24</v>
      </c>
      <c r="C8" s="66" t="str">
        <f t="shared" si="0"/>
        <v>Le</v>
      </c>
      <c r="D8" s="67">
        <f t="shared" si="1"/>
        <v>12</v>
      </c>
      <c r="E8" s="68">
        <f t="shared" si="2"/>
        <v>21.69</v>
      </c>
      <c r="F8" s="104">
        <f>Basic!F17</f>
        <v>117.10301293553121</v>
      </c>
      <c r="G8" s="102">
        <f t="shared" si="3"/>
        <v>144.20602587106242</v>
      </c>
      <c r="H8" s="98">
        <f t="shared" si="4"/>
        <v>5</v>
      </c>
      <c r="I8" s="98">
        <f t="shared" si="5"/>
        <v>4</v>
      </c>
      <c r="O8" s="14"/>
      <c r="P8" s="16"/>
      <c r="Q8" s="16"/>
      <c r="R8" s="17"/>
    </row>
    <row r="9" spans="1:18" x14ac:dyDescent="0.2">
      <c r="A9" s="1" t="s">
        <v>17</v>
      </c>
      <c r="B9" s="66">
        <f t="shared" si="6"/>
        <v>6</v>
      </c>
      <c r="C9" s="66" t="str">
        <f t="shared" si="0"/>
        <v>Ar</v>
      </c>
      <c r="D9" s="67">
        <f t="shared" si="1"/>
        <v>21</v>
      </c>
      <c r="E9" s="68">
        <f t="shared" si="2"/>
        <v>52.32</v>
      </c>
      <c r="F9" s="104">
        <f>Basic!F18</f>
        <v>213.18226650156078</v>
      </c>
      <c r="G9" s="102">
        <f t="shared" si="3"/>
        <v>6.3645330031215508</v>
      </c>
      <c r="H9" s="98">
        <f t="shared" si="4"/>
        <v>1</v>
      </c>
      <c r="I9" s="98">
        <f t="shared" si="5"/>
        <v>12</v>
      </c>
      <c r="O9" s="14"/>
      <c r="P9" s="16"/>
      <c r="Q9" s="16"/>
      <c r="R9" s="17"/>
    </row>
    <row r="10" spans="1:18" x14ac:dyDescent="0.2">
      <c r="A10" s="1" t="s">
        <v>5</v>
      </c>
      <c r="B10" s="66">
        <f t="shared" si="6"/>
        <v>13</v>
      </c>
      <c r="C10" s="66" t="str">
        <f t="shared" si="0"/>
        <v>Ge</v>
      </c>
      <c r="D10" s="67">
        <f t="shared" si="1"/>
        <v>1</v>
      </c>
      <c r="E10" s="68">
        <f t="shared" si="2"/>
        <v>15.51</v>
      </c>
      <c r="F10" s="104">
        <f>Basic!F19</f>
        <v>81.51048702599681</v>
      </c>
      <c r="G10" s="102">
        <f t="shared" si="3"/>
        <v>73.020974051993633</v>
      </c>
      <c r="H10" s="98">
        <f t="shared" si="4"/>
        <v>3</v>
      </c>
      <c r="I10" s="98">
        <f t="shared" si="5"/>
        <v>2</v>
      </c>
      <c r="O10" s="14"/>
      <c r="P10" s="16"/>
      <c r="Q10" s="16"/>
      <c r="R10" s="17"/>
    </row>
    <row r="11" spans="1:18" x14ac:dyDescent="0.2">
      <c r="A11" s="1" t="s">
        <v>6</v>
      </c>
      <c r="B11" s="66">
        <f t="shared" si="6"/>
        <v>19</v>
      </c>
      <c r="C11" s="66" t="str">
        <f t="shared" si="0"/>
        <v>Ta</v>
      </c>
      <c r="D11" s="67">
        <f t="shared" si="1"/>
        <v>43</v>
      </c>
      <c r="E11" s="68">
        <f t="shared" si="2"/>
        <v>42.46</v>
      </c>
      <c r="F11" s="104">
        <f>Basic!F20</f>
        <v>39.864230165645864</v>
      </c>
      <c r="G11" s="102">
        <f t="shared" si="3"/>
        <v>49.728460331291721</v>
      </c>
      <c r="H11" s="98">
        <f t="shared" si="4"/>
        <v>2</v>
      </c>
      <c r="I11" s="98">
        <f t="shared" si="5"/>
        <v>1</v>
      </c>
      <c r="O11" s="14"/>
      <c r="P11" s="16"/>
      <c r="Q11" s="16"/>
      <c r="R11" s="17"/>
    </row>
    <row r="12" spans="1:18" x14ac:dyDescent="0.2">
      <c r="A12" s="1" t="s">
        <v>7</v>
      </c>
      <c r="B12" s="66">
        <f t="shared" si="6"/>
        <v>13</v>
      </c>
      <c r="C12" s="66" t="str">
        <f t="shared" si="0"/>
        <v>Aq</v>
      </c>
      <c r="D12" s="67">
        <f t="shared" si="1"/>
        <v>54</v>
      </c>
      <c r="E12" s="68">
        <f t="shared" si="2"/>
        <v>13.92</v>
      </c>
      <c r="F12" s="104">
        <f>Basic!F21</f>
        <v>291.95193400039489</v>
      </c>
      <c r="G12" s="102">
        <f t="shared" si="3"/>
        <v>313.90386800078977</v>
      </c>
      <c r="H12" s="98">
        <f t="shared" si="4"/>
        <v>11</v>
      </c>
      <c r="I12" s="98">
        <f t="shared" si="5"/>
        <v>10</v>
      </c>
      <c r="O12" s="14"/>
      <c r="P12" s="16"/>
      <c r="Q12" s="16"/>
      <c r="R12" s="17"/>
    </row>
    <row r="13" spans="1:18" x14ac:dyDescent="0.2">
      <c r="A13" s="1" t="s">
        <v>8</v>
      </c>
      <c r="B13" s="66">
        <f t="shared" si="6"/>
        <v>13</v>
      </c>
      <c r="C13" s="66" t="str">
        <f t="shared" si="0"/>
        <v>Le</v>
      </c>
      <c r="D13" s="67">
        <f t="shared" si="1"/>
        <v>54</v>
      </c>
      <c r="E13" s="68">
        <f t="shared" si="2"/>
        <v>13.92</v>
      </c>
      <c r="F13" s="104">
        <f>Basic!F22</f>
        <v>111.95193400039489</v>
      </c>
      <c r="G13" s="102">
        <f t="shared" si="3"/>
        <v>133.90386800078977</v>
      </c>
      <c r="H13" s="98">
        <f t="shared" si="4"/>
        <v>5</v>
      </c>
      <c r="I13" s="98">
        <f t="shared" si="5"/>
        <v>4</v>
      </c>
      <c r="O13" s="7"/>
      <c r="P13" s="16"/>
      <c r="Q13" s="16"/>
      <c r="R13" s="17"/>
    </row>
    <row r="14" spans="1:18" x14ac:dyDescent="0.2">
      <c r="A14" s="92" t="s">
        <v>11</v>
      </c>
      <c r="B14" s="95">
        <f>FLOOR(F14-FLOOR(F14/30,1)*30,1)</f>
        <v>15</v>
      </c>
      <c r="C14" s="95" t="str">
        <f>IF(FLOOR(F14/30,1)=0,"Ar","")&amp;IF(FLOOR(F14/30,1)=1,"Ta","")&amp;IF(FLOOR(F14/30,1)=2,"Ge","")&amp;IF(FLOOR(F14/30,1)=3,"Cn","")&amp;IF(FLOOR(F14/30,1)=4,"Le","")&amp;IF(FLOOR(F14/30,1)=5,"Vi","")&amp;IF(FLOOR(F14/30,1)=6,"Li","")&amp;IF(FLOOR(F14/30,1)=7,"Sc","")&amp;IF(FLOOR(F14/30,1)=8,"Sg","")&amp;IF(FLOOR(F14/30,1)=9,"Cp","")&amp;IF(FLOOR(F14/30,1)=10,"Aq","")&amp;IF(FLOOR(F14/30,1)=11,"Pi","")</f>
        <v>Sc</v>
      </c>
      <c r="D14" s="96">
        <f>Minutes(G14)</f>
        <v>24</v>
      </c>
      <c r="E14" s="97">
        <f>seconds(G14)</f>
        <v>43.67</v>
      </c>
      <c r="F14" s="105">
        <f>Basic!F23</f>
        <v>225.70606541673646</v>
      </c>
      <c r="G14" s="102">
        <f t="shared" si="3"/>
        <v>211.41213083347293</v>
      </c>
      <c r="H14" s="101">
        <f>rasinum(G14)</f>
        <v>8</v>
      </c>
      <c r="I14" s="101">
        <f>HouseNum(G14,$G$4)</f>
        <v>7</v>
      </c>
      <c r="J14" s="15"/>
      <c r="K14" s="18"/>
      <c r="L14" s="15"/>
      <c r="M14" s="15"/>
      <c r="N14" s="19"/>
      <c r="O14" s="7"/>
      <c r="P14" s="16"/>
      <c r="Q14" s="16"/>
      <c r="R14" s="17"/>
    </row>
    <row r="15" spans="1:18" x14ac:dyDescent="0.2">
      <c r="A15" s="92" t="s">
        <v>12</v>
      </c>
      <c r="B15" s="95">
        <f>FLOOR(F15-FLOOR(F15/30,1)*30,1)</f>
        <v>14</v>
      </c>
      <c r="C15" s="95" t="str">
        <f>IF(FLOOR(F15/30,1)=0,"Ar","")&amp;IF(FLOOR(F15/30,1)=1,"Ta","")&amp;IF(FLOOR(F15/30,1)=2,"Ge","")&amp;IF(FLOOR(F15/30,1)=3,"Cn","")&amp;IF(FLOOR(F15/30,1)=4,"Le","")&amp;IF(FLOOR(F15/30,1)=5,"Vi","")&amp;IF(FLOOR(F15/30,1)=6,"Li","")&amp;IF(FLOOR(F15/30,1)=7,"Sc","")&amp;IF(FLOOR(F15/30,1)=8,"Sg","")&amp;IF(FLOOR(F15/30,1)=9,"Cp","")&amp;IF(FLOOR(F15/30,1)=10,"Aq","")&amp;IF(FLOOR(F15/30,1)=11,"Pi","")</f>
        <v>Le</v>
      </c>
      <c r="D15" s="96">
        <f>Minutes(G15)</f>
        <v>35</v>
      </c>
      <c r="E15" s="97">
        <f>seconds(G15)</f>
        <v>16.329999999999998</v>
      </c>
      <c r="F15" s="105">
        <f>Basic!F24</f>
        <v>134.29393458326354</v>
      </c>
      <c r="G15" s="102">
        <f t="shared" si="3"/>
        <v>148.58786916652707</v>
      </c>
      <c r="H15" s="101">
        <f>rasinum(G15)</f>
        <v>5</v>
      </c>
      <c r="I15" s="101">
        <f>HouseNum(G15,$G$4)</f>
        <v>4</v>
      </c>
      <c r="J15" s="15"/>
      <c r="K15" s="18"/>
      <c r="L15" s="15"/>
      <c r="M15" s="15"/>
      <c r="N15" s="19"/>
      <c r="O15" s="14"/>
      <c r="P15" s="16"/>
      <c r="Q15" s="16"/>
      <c r="R15" s="17"/>
    </row>
    <row r="16" spans="1:18" x14ac:dyDescent="0.2">
      <c r="A16" s="92" t="s">
        <v>29</v>
      </c>
      <c r="B16" s="95">
        <f>FLOOR(F16-FLOOR(F16/30,1)*30,1)</f>
        <v>14</v>
      </c>
      <c r="C16" s="95" t="str">
        <f>IF(FLOOR(F16/30,1)=0,"Ar","")&amp;IF(FLOOR(F16/30,1)=1,"Ta","")&amp;IF(FLOOR(F16/30,1)=2,"Ge","")&amp;IF(FLOOR(F16/30,1)=3,"Cn","")&amp;IF(FLOOR(F16/30,1)=4,"Le","")&amp;IF(FLOOR(F16/30,1)=5,"Vi","")&amp;IF(FLOOR(F16/30,1)=6,"Li","")&amp;IF(FLOOR(F16/30,1)=7,"Sc","")&amp;IF(FLOOR(F16/30,1)=8,"Sg","")&amp;IF(FLOOR(F16/30,1)=9,"Cp","")&amp;IF(FLOOR(F16/30,1)=10,"Aq","")&amp;IF(FLOOR(F16/30,1)=11,"Pi","")</f>
        <v>Aq</v>
      </c>
      <c r="D16" s="96">
        <f>Minutes(G16)</f>
        <v>35</v>
      </c>
      <c r="E16" s="97">
        <f>seconds(G16)</f>
        <v>16.329999999999998</v>
      </c>
      <c r="F16" s="105">
        <f>Basic!F25</f>
        <v>314.29393458326354</v>
      </c>
      <c r="G16" s="102">
        <f t="shared" si="3"/>
        <v>328.58786916652713</v>
      </c>
      <c r="H16" s="101">
        <f>rasinum(G16)</f>
        <v>11</v>
      </c>
      <c r="I16" s="101">
        <f>HouseNum(G16,$G$4)</f>
        <v>10</v>
      </c>
      <c r="J16" s="15"/>
      <c r="K16" s="18"/>
      <c r="L16" s="15"/>
      <c r="M16" s="15"/>
      <c r="N16" s="19"/>
      <c r="O16" s="7"/>
      <c r="P16" s="16"/>
      <c r="Q16" s="16"/>
      <c r="R16" s="17"/>
    </row>
    <row r="17" spans="1:18" x14ac:dyDescent="0.2">
      <c r="A17" s="92" t="s">
        <v>13</v>
      </c>
      <c r="B17" s="95">
        <f>FLOOR(F17-FLOOR(F17/30,1)*30,1)</f>
        <v>15</v>
      </c>
      <c r="C17" s="95" t="str">
        <f>IF(FLOOR(F17/30,1)=0,"Ar","")&amp;IF(FLOOR(F17/30,1)=1,"Ta","")&amp;IF(FLOOR(F17/30,1)=2,"Ge","")&amp;IF(FLOOR(F17/30,1)=3,"Cn","")&amp;IF(FLOOR(F17/30,1)=4,"Le","")&amp;IF(FLOOR(F17/30,1)=5,"Vi","")&amp;IF(FLOOR(F17/30,1)=6,"Li","")&amp;IF(FLOOR(F17/30,1)=7,"Sc","")&amp;IF(FLOOR(F17/30,1)=8,"Sg","")&amp;IF(FLOOR(F17/30,1)=9,"Cp","")&amp;IF(FLOOR(F17/30,1)=10,"Aq","")&amp;IF(FLOOR(F17/30,1)=11,"Pi","")</f>
        <v>Ta</v>
      </c>
      <c r="D17" s="96">
        <f>Minutes(G17)</f>
        <v>24</v>
      </c>
      <c r="E17" s="97">
        <f>seconds(G17)</f>
        <v>43.67</v>
      </c>
      <c r="F17" s="105">
        <f>Basic!F26</f>
        <v>45.706065416736465</v>
      </c>
      <c r="G17" s="102">
        <f t="shared" si="3"/>
        <v>181.4121308334729</v>
      </c>
      <c r="H17" s="101">
        <f>rasinum(G17)</f>
        <v>7</v>
      </c>
      <c r="I17" s="101">
        <f>HouseNum(G17,$G$4)</f>
        <v>6</v>
      </c>
      <c r="J17" s="15"/>
      <c r="K17" s="18"/>
      <c r="L17" s="15"/>
      <c r="M17" s="15"/>
      <c r="N17" s="19"/>
      <c r="O17" s="14"/>
      <c r="P17" s="16"/>
      <c r="Q17" s="16"/>
      <c r="R17" s="17"/>
    </row>
    <row r="18" spans="1:18" x14ac:dyDescent="0.2">
      <c r="A18" s="92" t="s">
        <v>14</v>
      </c>
      <c r="B18" s="95">
        <f>FLOOR(F18-FLOOR(F18/30,1)*30,1)</f>
        <v>2</v>
      </c>
      <c r="C18" s="95" t="str">
        <f>IF(FLOOR(F18/30,1)=0,"Ar","")&amp;IF(FLOOR(F18/30,1)=1,"Ta","")&amp;IF(FLOOR(F18/30,1)=2,"Ge","")&amp;IF(FLOOR(F18/30,1)=3,"Cn","")&amp;IF(FLOOR(F18/30,1)=4,"Le","")&amp;IF(FLOOR(F18/30,1)=5,"Vi","")&amp;IF(FLOOR(F18/30,1)=6,"Li","")&amp;IF(FLOOR(F18/30,1)=7,"Sc","")&amp;IF(FLOOR(F18/30,1)=8,"Sg","")&amp;IF(FLOOR(F18/30,1)=9,"Cp","")&amp;IF(FLOOR(F18/30,1)=10,"Aq","")&amp;IF(FLOOR(F18/30,1)=11,"Pi","")</f>
        <v>Ge</v>
      </c>
      <c r="D18" s="96">
        <f>Minutes(G18)</f>
        <v>45</v>
      </c>
      <c r="E18" s="97">
        <f>seconds(G18)</f>
        <v>7.67</v>
      </c>
      <c r="F18" s="105">
        <f>Basic!F27</f>
        <v>62.376065416736466</v>
      </c>
      <c r="G18" s="102">
        <f t="shared" si="3"/>
        <v>154.75213083347293</v>
      </c>
      <c r="H18" s="101">
        <f>rasinum(G18)</f>
        <v>6</v>
      </c>
      <c r="I18" s="101">
        <f>HouseNum(G18,$G$4)</f>
        <v>5</v>
      </c>
      <c r="J18" s="15"/>
      <c r="K18" s="18"/>
      <c r="L18" s="15"/>
      <c r="M18" s="15"/>
      <c r="N18" s="19"/>
      <c r="O18" s="7"/>
      <c r="P18" s="16"/>
      <c r="Q18" s="16"/>
      <c r="R18" s="17"/>
    </row>
  </sheetData>
  <phoneticPr fontId="0" type="noConversion"/>
  <pageMargins left="0.75" right="0.75" top="1" bottom="1" header="0.5" footer="0.5"/>
  <pageSetup scale="49" orientation="portrait" horizontalDpi="300" verticalDpi="200" copies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Charts</vt:lpstr>
      <vt:lpstr>Basic</vt:lpstr>
      <vt:lpstr>Two Big Charts</vt:lpstr>
      <vt:lpstr>All Divisional Charts</vt:lpstr>
      <vt:lpstr>Division</vt:lpstr>
      <vt:lpstr>Basic!Print_Area</vt:lpstr>
      <vt:lpstr>Division!Print_Area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sarajit poddar</dc:creator>
  <cp:lastModifiedBy>Prabhakaran, Sanjay</cp:lastModifiedBy>
  <cp:lastPrinted>2018-01-08T12:10:24Z</cp:lastPrinted>
  <dcterms:created xsi:type="dcterms:W3CDTF">2001-11-19T16:23:41Z</dcterms:created>
  <dcterms:modified xsi:type="dcterms:W3CDTF">2018-04-02T17:34:41Z</dcterms:modified>
</cp:coreProperties>
</file>