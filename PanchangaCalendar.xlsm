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 defaultThemeVersion="124226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/>
  </bookViews>
  <sheets>
    <sheet name="Panchanga" sheetId="28" r:id="rId1"/>
    <sheet name="Calendar" sheetId="29" r:id="rId2"/>
  </sheets>
  <functionGroups builtInGroupCount="18"/>
  <externalReferences>
    <externalReference r:id="rId3"/>
  </externalReferences>
  <definedNames>
    <definedName name="CalLatitude">Calendar!$B$75</definedName>
    <definedName name="CalLongitude">Calendar!$D$75</definedName>
    <definedName name="CalMonth">Calendar!$A$1</definedName>
    <definedName name="CalTimeZone">Calendar!$F$75</definedName>
    <definedName name="Lat">Panchanga!$C$1</definedName>
    <definedName name="Long">Panchanga!$F$1</definedName>
    <definedName name="StarDeg">[1]DATA!$F$44</definedName>
    <definedName name="TimeZone">Panchanga!$H$1</definedName>
  </definedNames>
  <calcPr calcId="162913"/>
</workbook>
</file>

<file path=xl/calcChain.xml><?xml version="1.0" encoding="utf-8"?>
<calcChain xmlns="http://schemas.openxmlformats.org/spreadsheetml/2006/main">
  <c r="F922" i="29" l="1"/>
  <c r="D922" i="29"/>
  <c r="B922" i="29"/>
  <c r="F845" i="29"/>
  <c r="D845" i="29"/>
  <c r="B845" i="29"/>
  <c r="F768" i="29"/>
  <c r="D768" i="29"/>
  <c r="B768" i="29"/>
  <c r="F691" i="29"/>
  <c r="D691" i="29"/>
  <c r="B691" i="29"/>
  <c r="F614" i="29"/>
  <c r="D614" i="29"/>
  <c r="B614" i="29"/>
  <c r="F537" i="29"/>
  <c r="D537" i="29"/>
  <c r="B537" i="29"/>
  <c r="F460" i="29"/>
  <c r="D460" i="29"/>
  <c r="B460" i="29"/>
  <c r="F383" i="29"/>
  <c r="D383" i="29"/>
  <c r="B383" i="29"/>
  <c r="F306" i="29"/>
  <c r="D306" i="29"/>
  <c r="B306" i="29"/>
  <c r="F229" i="29"/>
  <c r="D229" i="29"/>
  <c r="B229" i="29"/>
  <c r="F152" i="29"/>
  <c r="D152" i="29"/>
  <c r="B152" i="29"/>
  <c r="F75" i="29"/>
  <c r="D75" i="29"/>
  <c r="B75" i="29"/>
  <c r="A9" i="28"/>
  <c r="A8" i="28"/>
  <c r="A1" i="29"/>
  <c r="A78" i="29"/>
  <c r="A10" i="28"/>
  <c r="A3" i="29"/>
  <c r="B3" i="29" s="1"/>
  <c r="C3" i="29" s="1"/>
  <c r="D3" i="29" s="1"/>
  <c r="E3" i="29" s="1"/>
  <c r="F3" i="29" s="1"/>
  <c r="G3" i="29" s="1"/>
  <c r="A15" i="29" s="1"/>
  <c r="B15" i="29" s="1"/>
  <c r="C15" i="29" s="1"/>
  <c r="D15" i="29" s="1"/>
  <c r="E15" i="29" s="1"/>
  <c r="F15" i="29" s="1"/>
  <c r="G15" i="29" s="1"/>
  <c r="A27" i="29" s="1"/>
  <c r="B27" i="29" s="1"/>
  <c r="C27" i="29" s="1"/>
  <c r="D27" i="29" s="1"/>
  <c r="E27" i="29" s="1"/>
  <c r="F27" i="29" s="1"/>
  <c r="G27" i="29" s="1"/>
  <c r="A39" i="29" s="1"/>
  <c r="B39" i="29" s="1"/>
  <c r="C39" i="29" s="1"/>
  <c r="D39" i="29" s="1"/>
  <c r="E39" i="29" s="1"/>
  <c r="F39" i="29" s="1"/>
  <c r="G39" i="29" s="1"/>
  <c r="A51" i="29" s="1"/>
  <c r="B51" i="29" s="1"/>
  <c r="C51" i="29" s="1"/>
  <c r="D51" i="29" s="1"/>
  <c r="E51" i="29" s="1"/>
  <c r="F51" i="29" s="1"/>
  <c r="G51" i="29" s="1"/>
  <c r="A63" i="29" s="1"/>
  <c r="B63" i="29" s="1"/>
  <c r="B9" i="28"/>
  <c r="D9" i="28"/>
  <c r="C9" i="28"/>
  <c r="E9" i="28" l="1"/>
  <c r="A7" i="28"/>
  <c r="B8" i="28"/>
  <c r="A11" i="28"/>
  <c r="B10" i="28"/>
  <c r="A155" i="29"/>
  <c r="A80" i="29"/>
  <c r="S9" i="28"/>
  <c r="U9" i="28"/>
  <c r="T9" i="28"/>
  <c r="V9" i="28"/>
  <c r="C8" i="28"/>
  <c r="D10" i="28"/>
  <c r="X9" i="28"/>
  <c r="G9" i="28"/>
  <c r="I9" i="28" s="1"/>
  <c r="F9" i="28"/>
  <c r="W9" i="28"/>
  <c r="D8" i="28"/>
  <c r="C10" i="28"/>
  <c r="E10" i="28" l="1"/>
  <c r="E8" i="28"/>
  <c r="Q9" i="28"/>
  <c r="N9" i="28" s="1"/>
  <c r="P9" i="28"/>
  <c r="L9" i="28" s="1"/>
  <c r="M9" i="28" s="1"/>
  <c r="H9" i="28"/>
  <c r="A157" i="29"/>
  <c r="A232" i="29"/>
  <c r="A12" i="28"/>
  <c r="B11" i="28"/>
  <c r="A6" i="28"/>
  <c r="B7" i="28"/>
  <c r="B80" i="29"/>
  <c r="O9" i="28"/>
  <c r="S10" i="28"/>
  <c r="V10" i="28"/>
  <c r="G10" i="28"/>
  <c r="U10" i="28"/>
  <c r="U8" i="28"/>
  <c r="F8" i="28"/>
  <c r="X8" i="28"/>
  <c r="G8" i="28"/>
  <c r="D11" i="28"/>
  <c r="D7" i="28"/>
  <c r="I8" i="28"/>
  <c r="W10" i="28"/>
  <c r="T10" i="28"/>
  <c r="X10" i="28"/>
  <c r="F10" i="28"/>
  <c r="W8" i="28"/>
  <c r="S8" i="28"/>
  <c r="T8" i="28"/>
  <c r="V8" i="28"/>
  <c r="C11" i="28"/>
  <c r="C7" i="28"/>
  <c r="I10" i="28"/>
  <c r="K9" i="28" l="1"/>
  <c r="E7" i="28"/>
  <c r="E11" i="28"/>
  <c r="P8" i="28"/>
  <c r="J8" i="28"/>
  <c r="Q8" i="28"/>
  <c r="N8" i="28" s="1"/>
  <c r="R8" i="28"/>
  <c r="Y8" i="28"/>
  <c r="Q10" i="28"/>
  <c r="N10" i="28" s="1"/>
  <c r="P10" i="28"/>
  <c r="J9" i="28"/>
  <c r="Y9" i="28"/>
  <c r="R9" i="28"/>
  <c r="H8" i="28"/>
  <c r="H10" i="28"/>
  <c r="A309" i="29"/>
  <c r="A234" i="29"/>
  <c r="C80" i="29"/>
  <c r="B6" i="28"/>
  <c r="A5" i="28"/>
  <c r="A13" i="28"/>
  <c r="B12" i="28"/>
  <c r="B157" i="29"/>
  <c r="U11" i="28"/>
  <c r="W11" i="28"/>
  <c r="G11" i="28"/>
  <c r="X11" i="28"/>
  <c r="W7" i="28"/>
  <c r="F7" i="28"/>
  <c r="T7" i="28"/>
  <c r="V7" i="28"/>
  <c r="D12" i="28"/>
  <c r="C6" i="28"/>
  <c r="F11" i="28"/>
  <c r="T11" i="28"/>
  <c r="V11" i="28"/>
  <c r="S11" i="28"/>
  <c r="X7" i="28"/>
  <c r="U7" i="28"/>
  <c r="G7" i="28"/>
  <c r="I7" i="28" s="1"/>
  <c r="C12" i="28"/>
  <c r="D6" i="28"/>
  <c r="I11" i="28"/>
  <c r="S7" i="28"/>
  <c r="E6" i="28" l="1"/>
  <c r="E12" i="28"/>
  <c r="P7" i="28"/>
  <c r="J7" i="28"/>
  <c r="Q7" i="28"/>
  <c r="N7" i="28" s="1"/>
  <c r="Y7" i="28"/>
  <c r="R7" i="28"/>
  <c r="R10" i="28"/>
  <c r="Y10" i="28"/>
  <c r="P11" i="28"/>
  <c r="J10" i="28"/>
  <c r="Q11" i="28"/>
  <c r="N11" i="28" s="1"/>
  <c r="K10" i="28"/>
  <c r="L10" i="28"/>
  <c r="M10" i="28" s="1"/>
  <c r="O10" i="28"/>
  <c r="K8" i="28"/>
  <c r="L8" i="28"/>
  <c r="M8" i="28" s="1"/>
  <c r="O8" i="28"/>
  <c r="H7" i="28"/>
  <c r="H11" i="28"/>
  <c r="C157" i="29"/>
  <c r="A14" i="28"/>
  <c r="B13" i="28"/>
  <c r="B234" i="29"/>
  <c r="B5" i="28"/>
  <c r="A4" i="28"/>
  <c r="D80" i="29"/>
  <c r="A311" i="29"/>
  <c r="A386" i="29"/>
  <c r="W6" i="28"/>
  <c r="T12" i="28"/>
  <c r="C5" i="28"/>
  <c r="V6" i="28"/>
  <c r="F6" i="28"/>
  <c r="S6" i="28"/>
  <c r="X6" i="28"/>
  <c r="G12" i="28"/>
  <c r="W12" i="28"/>
  <c r="X12" i="28"/>
  <c r="U12" i="28"/>
  <c r="D13" i="28"/>
  <c r="D5" i="28"/>
  <c r="T6" i="28"/>
  <c r="G6" i="28"/>
  <c r="I6" i="28" s="1"/>
  <c r="U6" i="28"/>
  <c r="V12" i="28"/>
  <c r="S12" i="28"/>
  <c r="F12" i="28"/>
  <c r="C13" i="28"/>
  <c r="I12" i="28"/>
  <c r="E5" i="28" l="1"/>
  <c r="E13" i="28"/>
  <c r="Q12" i="28"/>
  <c r="N12" i="28" s="1"/>
  <c r="R11" i="28"/>
  <c r="Y11" i="28"/>
  <c r="P12" i="28"/>
  <c r="J11" i="28"/>
  <c r="P6" i="28"/>
  <c r="J6" i="28"/>
  <c r="R6" i="28"/>
  <c r="Y6" i="28"/>
  <c r="Q6" i="28"/>
  <c r="N6" i="28" s="1"/>
  <c r="O7" i="28"/>
  <c r="K7" i="28"/>
  <c r="L7" i="28"/>
  <c r="M7" i="28" s="1"/>
  <c r="H12" i="28"/>
  <c r="H6" i="28"/>
  <c r="K11" i="28"/>
  <c r="O11" i="28"/>
  <c r="L11" i="28"/>
  <c r="M11" i="28" s="1"/>
  <c r="B311" i="29"/>
  <c r="A3" i="28"/>
  <c r="B3" i="28" s="1"/>
  <c r="B4" i="28"/>
  <c r="C234" i="29"/>
  <c r="A15" i="28"/>
  <c r="B14" i="28"/>
  <c r="A388" i="29"/>
  <c r="A463" i="29"/>
  <c r="E80" i="29"/>
  <c r="D157" i="29"/>
  <c r="T13" i="28"/>
  <c r="U13" i="28"/>
  <c r="X13" i="28"/>
  <c r="F13" i="28"/>
  <c r="T5" i="28"/>
  <c r="F5" i="28"/>
  <c r="D4" i="28"/>
  <c r="W13" i="28"/>
  <c r="G13" i="28"/>
  <c r="V13" i="28"/>
  <c r="S13" i="28"/>
  <c r="C3" i="28"/>
  <c r="V5" i="28"/>
  <c r="G5" i="28"/>
  <c r="U5" i="28"/>
  <c r="X5" i="28"/>
  <c r="C4" i="28"/>
  <c r="C14" i="28"/>
  <c r="I5" i="28"/>
  <c r="D3" i="28"/>
  <c r="W5" i="28"/>
  <c r="S5" i="28"/>
  <c r="D14" i="28"/>
  <c r="I13" i="28"/>
  <c r="E14" i="28" l="1"/>
  <c r="E4" i="28"/>
  <c r="R5" i="28"/>
  <c r="Y5" i="28"/>
  <c r="Q5" i="28"/>
  <c r="N5" i="28" s="1"/>
  <c r="P5" i="28"/>
  <c r="J5" i="28"/>
  <c r="E3" i="28"/>
  <c r="Y12" i="28"/>
  <c r="R12" i="28"/>
  <c r="Q13" i="28"/>
  <c r="N13" i="28" s="1"/>
  <c r="P13" i="28"/>
  <c r="J12" i="28"/>
  <c r="H5" i="28"/>
  <c r="O6" i="28"/>
  <c r="K6" i="28"/>
  <c r="L6" i="28"/>
  <c r="M6" i="28" s="1"/>
  <c r="L12" i="28"/>
  <c r="M12" i="28" s="1"/>
  <c r="K12" i="28"/>
  <c r="O12" i="28"/>
  <c r="H13" i="28"/>
  <c r="E157" i="29"/>
  <c r="A465" i="29"/>
  <c r="A540" i="29"/>
  <c r="D234" i="29"/>
  <c r="F80" i="29"/>
  <c r="B388" i="29"/>
  <c r="A16" i="28"/>
  <c r="B15" i="28"/>
  <c r="C311" i="29"/>
  <c r="F3" i="28"/>
  <c r="V3" i="28"/>
  <c r="G3" i="28"/>
  <c r="W3" i="28"/>
  <c r="S14" i="28"/>
  <c r="T14" i="28"/>
  <c r="W14" i="28"/>
  <c r="F14" i="28"/>
  <c r="T4" i="28"/>
  <c r="U4" i="28"/>
  <c r="X4" i="28"/>
  <c r="S4" i="28"/>
  <c r="D15" i="28"/>
  <c r="I3" i="28"/>
  <c r="S3" i="28"/>
  <c r="T3" i="28"/>
  <c r="U3" i="28"/>
  <c r="V14" i="28"/>
  <c r="X14" i="28"/>
  <c r="G14" i="28"/>
  <c r="U14" i="28"/>
  <c r="G4" i="28"/>
  <c r="I4" i="28" s="1"/>
  <c r="F4" i="28"/>
  <c r="V4" i="28"/>
  <c r="W4" i="28"/>
  <c r="I14" i="28"/>
  <c r="X3" i="28"/>
  <c r="C15" i="28"/>
  <c r="E15" i="28" l="1"/>
  <c r="Y3" i="28"/>
  <c r="R3" i="28"/>
  <c r="R4" i="28"/>
  <c r="Y4" i="28"/>
  <c r="Q4" i="28"/>
  <c r="N4" i="28" s="1"/>
  <c r="P4" i="28"/>
  <c r="J3" i="28"/>
  <c r="J4" i="28"/>
  <c r="Q14" i="28"/>
  <c r="N14" i="28" s="1"/>
  <c r="P14" i="28"/>
  <c r="J13" i="28"/>
  <c r="R13" i="28"/>
  <c r="Y13" i="28"/>
  <c r="P3" i="28"/>
  <c r="Q3" i="28"/>
  <c r="N3" i="28" s="1"/>
  <c r="H4" i="28"/>
  <c r="H14" i="28"/>
  <c r="K13" i="28"/>
  <c r="L13" i="28"/>
  <c r="M13" i="28" s="1"/>
  <c r="O13" i="28"/>
  <c r="H3" i="28"/>
  <c r="L5" i="28"/>
  <c r="M5" i="28" s="1"/>
  <c r="O5" i="28"/>
  <c r="K5" i="28"/>
  <c r="C388" i="29"/>
  <c r="E234" i="29"/>
  <c r="B465" i="29"/>
  <c r="D311" i="29"/>
  <c r="A17" i="28"/>
  <c r="B16" i="28"/>
  <c r="G80" i="29"/>
  <c r="A542" i="29"/>
  <c r="A617" i="29"/>
  <c r="F157" i="29"/>
  <c r="C16" i="28"/>
  <c r="S15" i="28"/>
  <c r="T15" i="28"/>
  <c r="W15" i="28"/>
  <c r="V15" i="28"/>
  <c r="G15" i="28"/>
  <c r="F15" i="28"/>
  <c r="U15" i="28"/>
  <c r="X15" i="28"/>
  <c r="D16" i="28"/>
  <c r="I15" i="28"/>
  <c r="Q15" i="28" l="1"/>
  <c r="N15" i="28" s="1"/>
  <c r="Y14" i="28"/>
  <c r="R14" i="28"/>
  <c r="P15" i="28"/>
  <c r="J14" i="28"/>
  <c r="E16" i="28"/>
  <c r="O3" i="28"/>
  <c r="L3" i="28"/>
  <c r="M3" i="28" s="1"/>
  <c r="K3" i="28"/>
  <c r="O14" i="28"/>
  <c r="L14" i="28"/>
  <c r="M14" i="28" s="1"/>
  <c r="K14" i="28"/>
  <c r="K4" i="28"/>
  <c r="O4" i="28"/>
  <c r="L4" i="28"/>
  <c r="M4" i="28" s="1"/>
  <c r="H15" i="28"/>
  <c r="G157" i="29"/>
  <c r="B542" i="29"/>
  <c r="E311" i="29"/>
  <c r="F234" i="29"/>
  <c r="A694" i="29"/>
  <c r="A619" i="29"/>
  <c r="A92" i="29"/>
  <c r="B17" i="28"/>
  <c r="A18" i="28"/>
  <c r="C465" i="29"/>
  <c r="D388" i="29"/>
  <c r="F16" i="28"/>
  <c r="V16" i="28"/>
  <c r="T16" i="28"/>
  <c r="S16" i="28"/>
  <c r="C17" i="28"/>
  <c r="U16" i="28"/>
  <c r="W16" i="28"/>
  <c r="G16" i="28"/>
  <c r="I16" i="28" s="1"/>
  <c r="X16" i="28"/>
  <c r="D17" i="28"/>
  <c r="E17" i="28" l="1"/>
  <c r="R15" i="28"/>
  <c r="Y15" i="28"/>
  <c r="P16" i="28"/>
  <c r="J15" i="28"/>
  <c r="Q16" i="28"/>
  <c r="N16" i="28" s="1"/>
  <c r="K15" i="28"/>
  <c r="O15" i="28"/>
  <c r="L15" i="28"/>
  <c r="M15" i="28" s="1"/>
  <c r="H16" i="28"/>
  <c r="D465" i="29"/>
  <c r="B619" i="29"/>
  <c r="G234" i="29"/>
  <c r="C542" i="29"/>
  <c r="E388" i="29"/>
  <c r="A19" i="28"/>
  <c r="B18" i="28"/>
  <c r="B92" i="29"/>
  <c r="A771" i="29"/>
  <c r="A696" i="29"/>
  <c r="F311" i="29"/>
  <c r="A169" i="29"/>
  <c r="U17" i="28"/>
  <c r="X17" i="28"/>
  <c r="G17" i="28"/>
  <c r="S17" i="28"/>
  <c r="C18" i="28"/>
  <c r="I17" i="28"/>
  <c r="W17" i="28"/>
  <c r="T17" i="28"/>
  <c r="V17" i="28"/>
  <c r="D18" i="28"/>
  <c r="F17" i="28"/>
  <c r="E18" i="28" l="1"/>
  <c r="R16" i="28"/>
  <c r="Y16" i="28"/>
  <c r="P17" i="28"/>
  <c r="J16" i="28"/>
  <c r="Q17" i="28"/>
  <c r="N17" i="28" s="1"/>
  <c r="H17" i="28"/>
  <c r="L16" i="28"/>
  <c r="M16" i="28" s="1"/>
  <c r="K16" i="28"/>
  <c r="O16" i="28"/>
  <c r="B169" i="29"/>
  <c r="B696" i="29"/>
  <c r="C92" i="29"/>
  <c r="A20" i="28"/>
  <c r="B19" i="28"/>
  <c r="D542" i="29"/>
  <c r="C619" i="29"/>
  <c r="G311" i="29"/>
  <c r="A773" i="29"/>
  <c r="A848" i="29"/>
  <c r="A850" i="29" s="1"/>
  <c r="F388" i="29"/>
  <c r="A246" i="29"/>
  <c r="E465" i="29"/>
  <c r="T18" i="28"/>
  <c r="V18" i="28"/>
  <c r="W18" i="28"/>
  <c r="F18" i="28"/>
  <c r="D19" i="28"/>
  <c r="G18" i="28"/>
  <c r="S18" i="28"/>
  <c r="U18" i="28"/>
  <c r="X18" i="28"/>
  <c r="C19" i="28"/>
  <c r="I18" i="28"/>
  <c r="E19" i="28" l="1"/>
  <c r="Q18" i="28"/>
  <c r="N18" i="28" s="1"/>
  <c r="Y17" i="28"/>
  <c r="R17" i="28"/>
  <c r="P18" i="28"/>
  <c r="J17" i="28"/>
  <c r="H18" i="28"/>
  <c r="O17" i="28"/>
  <c r="K17" i="28"/>
  <c r="L17" i="28"/>
  <c r="M17" i="28" s="1"/>
  <c r="B246" i="29"/>
  <c r="B850" i="29"/>
  <c r="A323" i="29"/>
  <c r="E542" i="29"/>
  <c r="A21" i="28"/>
  <c r="B20" i="28"/>
  <c r="C696" i="29"/>
  <c r="F465" i="29"/>
  <c r="G388" i="29"/>
  <c r="B773" i="29"/>
  <c r="D619" i="29"/>
  <c r="D92" i="29"/>
  <c r="C169" i="29"/>
  <c r="C20" i="28"/>
  <c r="X19" i="28"/>
  <c r="V19" i="28"/>
  <c r="F19" i="28"/>
  <c r="U19" i="28"/>
  <c r="T19" i="28"/>
  <c r="W19" i="28"/>
  <c r="S19" i="28"/>
  <c r="G19" i="28"/>
  <c r="I19" i="28"/>
  <c r="D20" i="28"/>
  <c r="P19" i="28" l="1"/>
  <c r="J18" i="28"/>
  <c r="Q19" i="28"/>
  <c r="N19" i="28" s="1"/>
  <c r="R18" i="28"/>
  <c r="Y18" i="28"/>
  <c r="E20" i="28"/>
  <c r="K18" i="28"/>
  <c r="O18" i="28"/>
  <c r="L18" i="28"/>
  <c r="M18" i="28" s="1"/>
  <c r="H19" i="28"/>
  <c r="E92" i="29"/>
  <c r="C773" i="29"/>
  <c r="G465" i="29"/>
  <c r="F542" i="29"/>
  <c r="C850" i="29"/>
  <c r="D169" i="29"/>
  <c r="E619" i="29"/>
  <c r="A400" i="29"/>
  <c r="D696" i="29"/>
  <c r="A22" i="28"/>
  <c r="B21" i="28"/>
  <c r="B323" i="29"/>
  <c r="C246" i="29"/>
  <c r="W20" i="28"/>
  <c r="S20" i="28"/>
  <c r="F20" i="28"/>
  <c r="U20" i="28"/>
  <c r="D21" i="28"/>
  <c r="X20" i="28"/>
  <c r="G20" i="28"/>
  <c r="T20" i="28"/>
  <c r="V20" i="28"/>
  <c r="C21" i="28"/>
  <c r="I20" i="28"/>
  <c r="E21" i="28" l="1"/>
  <c r="Q20" i="28"/>
  <c r="N20" i="28" s="1"/>
  <c r="R19" i="28"/>
  <c r="Y19" i="28"/>
  <c r="P20" i="28"/>
  <c r="J19" i="28"/>
  <c r="H20" i="28"/>
  <c r="O19" i="28"/>
  <c r="L19" i="28"/>
  <c r="M19" i="28" s="1"/>
  <c r="K19" i="28"/>
  <c r="C323" i="29"/>
  <c r="A23" i="28"/>
  <c r="B22" i="28"/>
  <c r="B400" i="29"/>
  <c r="E169" i="29"/>
  <c r="G542" i="29"/>
  <c r="D773" i="29"/>
  <c r="D246" i="29"/>
  <c r="E696" i="29"/>
  <c r="F619" i="29"/>
  <c r="D850" i="29"/>
  <c r="A477" i="29"/>
  <c r="F92" i="29"/>
  <c r="V21" i="28"/>
  <c r="G21" i="28"/>
  <c r="S21" i="28"/>
  <c r="W21" i="28"/>
  <c r="T21" i="28"/>
  <c r="D22" i="28"/>
  <c r="I21" i="28"/>
  <c r="F21" i="28"/>
  <c r="U21" i="28"/>
  <c r="X21" i="28"/>
  <c r="C22" i="28"/>
  <c r="E22" i="28" l="1"/>
  <c r="Q21" i="28"/>
  <c r="N21" i="28" s="1"/>
  <c r="Y20" i="28"/>
  <c r="R20" i="28"/>
  <c r="P21" i="28"/>
  <c r="J20" i="28"/>
  <c r="K20" i="28"/>
  <c r="O20" i="28"/>
  <c r="L20" i="28"/>
  <c r="M20" i="28" s="1"/>
  <c r="H21" i="28"/>
  <c r="B477" i="29"/>
  <c r="G619" i="29"/>
  <c r="E246" i="29"/>
  <c r="A554" i="29"/>
  <c r="C400" i="29"/>
  <c r="A24" i="28"/>
  <c r="B23" i="28"/>
  <c r="G92" i="29"/>
  <c r="E850" i="29"/>
  <c r="F696" i="29"/>
  <c r="E773" i="29"/>
  <c r="F169" i="29"/>
  <c r="D323" i="29"/>
  <c r="V22" i="28"/>
  <c r="U22" i="28"/>
  <c r="G22" i="28"/>
  <c r="W22" i="28"/>
  <c r="D23" i="28"/>
  <c r="I22" i="28"/>
  <c r="T22" i="28"/>
  <c r="S22" i="28"/>
  <c r="F22" i="28"/>
  <c r="X22" i="28"/>
  <c r="C23" i="28"/>
  <c r="E23" i="28" l="1"/>
  <c r="Q22" i="28"/>
  <c r="N22" i="28" s="1"/>
  <c r="P22" i="28"/>
  <c r="J21" i="28"/>
  <c r="R21" i="28"/>
  <c r="Y21" i="28"/>
  <c r="O21" i="28"/>
  <c r="K21" i="28"/>
  <c r="L21" i="28"/>
  <c r="M21" i="28" s="1"/>
  <c r="H22" i="28"/>
  <c r="G169" i="29"/>
  <c r="G696" i="29"/>
  <c r="A104" i="29"/>
  <c r="A25" i="28"/>
  <c r="B24" i="28"/>
  <c r="B554" i="29"/>
  <c r="A631" i="29"/>
  <c r="E323" i="29"/>
  <c r="F773" i="29"/>
  <c r="F850" i="29"/>
  <c r="D400" i="29"/>
  <c r="F246" i="29"/>
  <c r="C477" i="29"/>
  <c r="S23" i="28"/>
  <c r="W23" i="28"/>
  <c r="V23" i="28"/>
  <c r="F23" i="28"/>
  <c r="C24" i="28"/>
  <c r="X23" i="28"/>
  <c r="T23" i="28"/>
  <c r="U23" i="28"/>
  <c r="D24" i="28"/>
  <c r="G23" i="28"/>
  <c r="I23" i="28" s="1"/>
  <c r="E24" i="28" l="1"/>
  <c r="Q23" i="28"/>
  <c r="N23" i="28" s="1"/>
  <c r="P23" i="28"/>
  <c r="J22" i="28"/>
  <c r="Y22" i="28"/>
  <c r="R22" i="28"/>
  <c r="K22" i="28"/>
  <c r="L22" i="28"/>
  <c r="M22" i="28" s="1"/>
  <c r="O22" i="28"/>
  <c r="H23" i="28"/>
  <c r="G246" i="29"/>
  <c r="G850" i="29"/>
  <c r="F323" i="29"/>
  <c r="C554" i="29"/>
  <c r="B25" i="28"/>
  <c r="A26" i="28"/>
  <c r="A708" i="29"/>
  <c r="D477" i="29"/>
  <c r="E400" i="29"/>
  <c r="G773" i="29"/>
  <c r="B631" i="29"/>
  <c r="B104" i="29"/>
  <c r="A181" i="29"/>
  <c r="T24" i="28"/>
  <c r="F24" i="28"/>
  <c r="S24" i="28"/>
  <c r="D25" i="28"/>
  <c r="U24" i="28"/>
  <c r="V24" i="28"/>
  <c r="G24" i="28"/>
  <c r="W24" i="28"/>
  <c r="C25" i="28"/>
  <c r="I24" i="28"/>
  <c r="X24" i="28"/>
  <c r="E25" i="28" l="1"/>
  <c r="Y23" i="28"/>
  <c r="R23" i="28"/>
  <c r="P24" i="28"/>
  <c r="J23" i="28"/>
  <c r="Q24" i="28"/>
  <c r="N24" i="28" s="1"/>
  <c r="L23" i="28"/>
  <c r="M23" i="28" s="1"/>
  <c r="O23" i="28"/>
  <c r="K23" i="28"/>
  <c r="H24" i="28"/>
  <c r="C104" i="29"/>
  <c r="A785" i="29"/>
  <c r="E477" i="29"/>
  <c r="A27" i="28"/>
  <c r="B26" i="28"/>
  <c r="D554" i="29"/>
  <c r="A862" i="29"/>
  <c r="B181" i="29"/>
  <c r="C631" i="29"/>
  <c r="F400" i="29"/>
  <c r="B708" i="29"/>
  <c r="G323" i="29"/>
  <c r="A258" i="29"/>
  <c r="S25" i="28"/>
  <c r="W25" i="28"/>
  <c r="G25" i="28"/>
  <c r="T25" i="28"/>
  <c r="C26" i="28"/>
  <c r="U25" i="28"/>
  <c r="X25" i="28"/>
  <c r="F25" i="28"/>
  <c r="V25" i="28"/>
  <c r="D26" i="28"/>
  <c r="I25" i="28"/>
  <c r="E26" i="28" l="1"/>
  <c r="P25" i="28"/>
  <c r="J24" i="28"/>
  <c r="Q25" i="28"/>
  <c r="N25" i="28" s="1"/>
  <c r="Y24" i="28"/>
  <c r="R24" i="28"/>
  <c r="H25" i="28"/>
  <c r="L24" i="28"/>
  <c r="M24" i="28" s="1"/>
  <c r="O24" i="28"/>
  <c r="K24" i="28"/>
  <c r="A335" i="29"/>
  <c r="G400" i="29"/>
  <c r="C181" i="29"/>
  <c r="E554" i="29"/>
  <c r="A28" i="28"/>
  <c r="B27" i="28"/>
  <c r="B785" i="29"/>
  <c r="B258" i="29"/>
  <c r="C708" i="29"/>
  <c r="D631" i="29"/>
  <c r="B862" i="29"/>
  <c r="F477" i="29"/>
  <c r="D104" i="29"/>
  <c r="U26" i="28"/>
  <c r="X26" i="28"/>
  <c r="F26" i="28"/>
  <c r="V26" i="28"/>
  <c r="D27" i="28"/>
  <c r="T26" i="28"/>
  <c r="S26" i="28"/>
  <c r="G26" i="28"/>
  <c r="W26" i="28"/>
  <c r="C27" i="28"/>
  <c r="I26" i="28"/>
  <c r="E27" i="28" l="1"/>
  <c r="Q26" i="28"/>
  <c r="N26" i="28" s="1"/>
  <c r="P26" i="28"/>
  <c r="J25" i="28"/>
  <c r="Y25" i="28"/>
  <c r="R25" i="28"/>
  <c r="L25" i="28"/>
  <c r="M25" i="28" s="1"/>
  <c r="K25" i="28"/>
  <c r="O25" i="28"/>
  <c r="H26" i="28"/>
  <c r="G477" i="29"/>
  <c r="E631" i="29"/>
  <c r="C258" i="29"/>
  <c r="F554" i="29"/>
  <c r="A412" i="29"/>
  <c r="E104" i="29"/>
  <c r="C862" i="29"/>
  <c r="D708" i="29"/>
  <c r="C785" i="29"/>
  <c r="A29" i="28"/>
  <c r="B28" i="28"/>
  <c r="D181" i="29"/>
  <c r="B335" i="29"/>
  <c r="F27" i="28"/>
  <c r="G27" i="28"/>
  <c r="T27" i="28"/>
  <c r="V27" i="28"/>
  <c r="D28" i="28"/>
  <c r="X27" i="28"/>
  <c r="W27" i="28"/>
  <c r="U27" i="28"/>
  <c r="C28" i="28"/>
  <c r="I27" i="28"/>
  <c r="S27" i="28"/>
  <c r="E28" i="28" l="1"/>
  <c r="P27" i="28"/>
  <c r="J26" i="28"/>
  <c r="Q27" i="28"/>
  <c r="N27" i="28" s="1"/>
  <c r="R26" i="28"/>
  <c r="Y26" i="28"/>
  <c r="K26" i="28"/>
  <c r="O26" i="28"/>
  <c r="L26" i="28"/>
  <c r="M26" i="28" s="1"/>
  <c r="H27" i="28"/>
  <c r="E181" i="29"/>
  <c r="A30" i="28"/>
  <c r="B29" i="28"/>
  <c r="E708" i="29"/>
  <c r="F104" i="29"/>
  <c r="G554" i="29"/>
  <c r="F631" i="29"/>
  <c r="C335" i="29"/>
  <c r="D785" i="29"/>
  <c r="D862" i="29"/>
  <c r="B412" i="29"/>
  <c r="D258" i="29"/>
  <c r="A489" i="29"/>
  <c r="U28" i="28"/>
  <c r="W28" i="28"/>
  <c r="F28" i="28"/>
  <c r="S28" i="28"/>
  <c r="G28" i="28"/>
  <c r="C29" i="28"/>
  <c r="I28" i="28"/>
  <c r="V28" i="28"/>
  <c r="T28" i="28"/>
  <c r="X28" i="28"/>
  <c r="D29" i="28"/>
  <c r="E29" i="28" l="1"/>
  <c r="P28" i="28"/>
  <c r="J27" i="28"/>
  <c r="Y27" i="28"/>
  <c r="R27" i="28"/>
  <c r="Q28" i="28"/>
  <c r="N28" i="28" s="1"/>
  <c r="H28" i="28"/>
  <c r="O27" i="28"/>
  <c r="L27" i="28"/>
  <c r="M27" i="28" s="1"/>
  <c r="K27" i="28"/>
  <c r="E258" i="29"/>
  <c r="E862" i="29"/>
  <c r="D335" i="29"/>
  <c r="A566" i="29"/>
  <c r="F708" i="29"/>
  <c r="A31" i="28"/>
  <c r="B30" i="28"/>
  <c r="B489" i="29"/>
  <c r="C412" i="29"/>
  <c r="E785" i="29"/>
  <c r="G631" i="29"/>
  <c r="G104" i="29"/>
  <c r="F181" i="29"/>
  <c r="G29" i="28"/>
  <c r="T29" i="28"/>
  <c r="W29" i="28"/>
  <c r="X29" i="28"/>
  <c r="U29" i="28"/>
  <c r="D30" i="28"/>
  <c r="I29" i="28"/>
  <c r="V29" i="28"/>
  <c r="F29" i="28"/>
  <c r="S29" i="28"/>
  <c r="C30" i="28"/>
  <c r="E30" i="28" l="1"/>
  <c r="Y28" i="28"/>
  <c r="R28" i="28"/>
  <c r="Q29" i="28"/>
  <c r="N29" i="28" s="1"/>
  <c r="P29" i="28"/>
  <c r="J28" i="28"/>
  <c r="L28" i="28"/>
  <c r="M28" i="28" s="1"/>
  <c r="K28" i="28"/>
  <c r="O28" i="28"/>
  <c r="H29" i="28"/>
  <c r="A116" i="29"/>
  <c r="F785" i="29"/>
  <c r="C489" i="29"/>
  <c r="A32" i="28"/>
  <c r="B31" i="28"/>
  <c r="B566" i="29"/>
  <c r="F862" i="29"/>
  <c r="G181" i="29"/>
  <c r="A643" i="29"/>
  <c r="D412" i="29"/>
  <c r="G708" i="29"/>
  <c r="E335" i="29"/>
  <c r="F258" i="29"/>
  <c r="V30" i="28"/>
  <c r="T30" i="28"/>
  <c r="S30" i="28"/>
  <c r="G30" i="28"/>
  <c r="C31" i="28"/>
  <c r="F30" i="28"/>
  <c r="W30" i="28"/>
  <c r="U30" i="28"/>
  <c r="D31" i="28"/>
  <c r="X30" i="28"/>
  <c r="I30" i="28"/>
  <c r="E31" i="28" l="1"/>
  <c r="P30" i="28"/>
  <c r="J29" i="28"/>
  <c r="Y29" i="28"/>
  <c r="R29" i="28"/>
  <c r="Q30" i="28"/>
  <c r="N30" i="28" s="1"/>
  <c r="L29" i="28"/>
  <c r="M29" i="28" s="1"/>
  <c r="O29" i="28"/>
  <c r="K29" i="28"/>
  <c r="H30" i="28"/>
  <c r="F335" i="29"/>
  <c r="E412" i="29"/>
  <c r="A193" i="29"/>
  <c r="C566" i="29"/>
  <c r="A33" i="28"/>
  <c r="B32" i="28"/>
  <c r="G785" i="29"/>
  <c r="G258" i="29"/>
  <c r="A720" i="29"/>
  <c r="B643" i="29"/>
  <c r="G862" i="29"/>
  <c r="D489" i="29"/>
  <c r="B116" i="29"/>
  <c r="D32" i="28"/>
  <c r="S31" i="28"/>
  <c r="F31" i="28"/>
  <c r="X31" i="28"/>
  <c r="G31" i="28"/>
  <c r="U31" i="28"/>
  <c r="C32" i="28"/>
  <c r="V31" i="28"/>
  <c r="W31" i="28"/>
  <c r="T31" i="28"/>
  <c r="I31" i="28"/>
  <c r="P31" i="28" l="1"/>
  <c r="J30" i="28"/>
  <c r="Q31" i="28"/>
  <c r="N31" i="28" s="1"/>
  <c r="Y30" i="28"/>
  <c r="R30" i="28"/>
  <c r="E32" i="28"/>
  <c r="H31" i="28"/>
  <c r="K30" i="28"/>
  <c r="L30" i="28"/>
  <c r="M30" i="28" s="1"/>
  <c r="O30" i="28"/>
  <c r="E489" i="29"/>
  <c r="C643" i="29"/>
  <c r="A270" i="29"/>
  <c r="D566" i="29"/>
  <c r="F412" i="29"/>
  <c r="C116" i="29"/>
  <c r="A874" i="29"/>
  <c r="B720" i="29"/>
  <c r="A797" i="29"/>
  <c r="B33" i="28"/>
  <c r="A34" i="28"/>
  <c r="B193" i="29"/>
  <c r="G335" i="29"/>
  <c r="D33" i="28"/>
  <c r="V32" i="28"/>
  <c r="G32" i="28"/>
  <c r="X32" i="28"/>
  <c r="F32" i="28"/>
  <c r="C33" i="28"/>
  <c r="U32" i="28"/>
  <c r="W32" i="28"/>
  <c r="S32" i="28"/>
  <c r="I32" i="28"/>
  <c r="T32" i="28"/>
  <c r="Q32" i="28" l="1"/>
  <c r="N32" i="28" s="1"/>
  <c r="R31" i="28"/>
  <c r="Y31" i="28"/>
  <c r="P32" i="28"/>
  <c r="J31" i="28"/>
  <c r="E33" i="28"/>
  <c r="H32" i="28"/>
  <c r="O31" i="28"/>
  <c r="K31" i="28"/>
  <c r="L31" i="28"/>
  <c r="M31" i="28" s="1"/>
  <c r="C193" i="29"/>
  <c r="C720" i="29"/>
  <c r="D116" i="29"/>
  <c r="E566" i="29"/>
  <c r="D643" i="29"/>
  <c r="A347" i="29"/>
  <c r="A35" i="28"/>
  <c r="B34" i="28"/>
  <c r="B797" i="29"/>
  <c r="B874" i="29"/>
  <c r="G412" i="29"/>
  <c r="B270" i="29"/>
  <c r="F489" i="29"/>
  <c r="D34" i="28"/>
  <c r="S33" i="28"/>
  <c r="G33" i="28"/>
  <c r="F33" i="28"/>
  <c r="X33" i="28"/>
  <c r="C34" i="28"/>
  <c r="V33" i="28"/>
  <c r="W33" i="28"/>
  <c r="U33" i="28"/>
  <c r="T33" i="28"/>
  <c r="I33" i="28"/>
  <c r="Q33" i="28" l="1"/>
  <c r="N33" i="28" s="1"/>
  <c r="P33" i="28"/>
  <c r="J32" i="28"/>
  <c r="Y32" i="28"/>
  <c r="R32" i="28"/>
  <c r="E34" i="28"/>
  <c r="O32" i="28"/>
  <c r="L32" i="28"/>
  <c r="M32" i="28" s="1"/>
  <c r="K32" i="28"/>
  <c r="H33" i="28"/>
  <c r="C270" i="29"/>
  <c r="C874" i="29"/>
  <c r="B347" i="29"/>
  <c r="F566" i="29"/>
  <c r="D720" i="29"/>
  <c r="G489" i="29"/>
  <c r="A424" i="29"/>
  <c r="C797" i="29"/>
  <c r="B35" i="28"/>
  <c r="A36" i="28"/>
  <c r="E643" i="29"/>
  <c r="E116" i="29"/>
  <c r="D193" i="29"/>
  <c r="C35" i="28"/>
  <c r="V34" i="28"/>
  <c r="F34" i="28"/>
  <c r="D35" i="28"/>
  <c r="W34" i="28"/>
  <c r="X34" i="28"/>
  <c r="G34" i="28"/>
  <c r="T34" i="28"/>
  <c r="I34" i="28"/>
  <c r="U34" i="28"/>
  <c r="S34" i="28"/>
  <c r="R33" i="28" l="1"/>
  <c r="Y33" i="28"/>
  <c r="P34" i="28"/>
  <c r="J33" i="28"/>
  <c r="Q34" i="28"/>
  <c r="N34" i="28" s="1"/>
  <c r="E35" i="28"/>
  <c r="H34" i="28"/>
  <c r="L33" i="28"/>
  <c r="M33" i="28" s="1"/>
  <c r="O33" i="28"/>
  <c r="K33" i="28"/>
  <c r="F116" i="29"/>
  <c r="A37" i="28"/>
  <c r="B36" i="28"/>
  <c r="D797" i="29"/>
  <c r="A501" i="29"/>
  <c r="G566" i="29"/>
  <c r="D874" i="29"/>
  <c r="E193" i="29"/>
  <c r="F643" i="29"/>
  <c r="B424" i="29"/>
  <c r="E720" i="29"/>
  <c r="C347" i="29"/>
  <c r="D270" i="29"/>
  <c r="V35" i="28"/>
  <c r="T35" i="28"/>
  <c r="S35" i="28"/>
  <c r="G35" i="28"/>
  <c r="W35" i="28"/>
  <c r="C36" i="28"/>
  <c r="I35" i="28"/>
  <c r="F35" i="28"/>
  <c r="U35" i="28"/>
  <c r="X35" i="28"/>
  <c r="D36" i="28"/>
  <c r="E36" i="28" l="1"/>
  <c r="P35" i="28"/>
  <c r="J34" i="28"/>
  <c r="Q35" i="28"/>
  <c r="N35" i="28" s="1"/>
  <c r="R34" i="28"/>
  <c r="Y34" i="28"/>
  <c r="H35" i="28"/>
  <c r="L34" i="28"/>
  <c r="M34" i="28" s="1"/>
  <c r="O34" i="28"/>
  <c r="K34" i="28"/>
  <c r="D347" i="29"/>
  <c r="C424" i="29"/>
  <c r="F193" i="29"/>
  <c r="A578" i="29"/>
  <c r="E797" i="29"/>
  <c r="B37" i="28"/>
  <c r="A38" i="28"/>
  <c r="E270" i="29"/>
  <c r="F720" i="29"/>
  <c r="G643" i="29"/>
  <c r="E874" i="29"/>
  <c r="B501" i="29"/>
  <c r="G116" i="29"/>
  <c r="F36" i="28"/>
  <c r="T36" i="28"/>
  <c r="W36" i="28"/>
  <c r="V36" i="28"/>
  <c r="C37" i="28"/>
  <c r="G36" i="28"/>
  <c r="S36" i="28"/>
  <c r="U36" i="28"/>
  <c r="X36" i="28"/>
  <c r="D37" i="28"/>
  <c r="I36" i="28"/>
  <c r="E37" i="28" l="1"/>
  <c r="Y35" i="28"/>
  <c r="R35" i="28"/>
  <c r="Q36" i="28"/>
  <c r="N36" i="28" s="1"/>
  <c r="P36" i="28"/>
  <c r="J35" i="28"/>
  <c r="H36" i="28"/>
  <c r="L35" i="28"/>
  <c r="M35" i="28" s="1"/>
  <c r="K35" i="28"/>
  <c r="O35" i="28"/>
  <c r="C501" i="29"/>
  <c r="A655" i="29"/>
  <c r="F270" i="29"/>
  <c r="B578" i="29"/>
  <c r="D424" i="29"/>
  <c r="A128" i="29"/>
  <c r="F874" i="29"/>
  <c r="G720" i="29"/>
  <c r="A39" i="28"/>
  <c r="B38" i="28"/>
  <c r="F797" i="29"/>
  <c r="G193" i="29"/>
  <c r="E347" i="29"/>
  <c r="F37" i="28"/>
  <c r="U37" i="28"/>
  <c r="X37" i="28"/>
  <c r="G37" i="28"/>
  <c r="S37" i="28"/>
  <c r="C38" i="28"/>
  <c r="I37" i="28"/>
  <c r="T37" i="28"/>
  <c r="W37" i="28"/>
  <c r="V37" i="28"/>
  <c r="D38" i="28"/>
  <c r="E38" i="28" l="1"/>
  <c r="R36" i="28"/>
  <c r="Y36" i="28"/>
  <c r="P37" i="28"/>
  <c r="J36" i="28"/>
  <c r="Q37" i="28"/>
  <c r="N37" i="28" s="1"/>
  <c r="K36" i="28"/>
  <c r="O36" i="28"/>
  <c r="L36" i="28"/>
  <c r="M36" i="28" s="1"/>
  <c r="H37" i="28"/>
  <c r="A205" i="29"/>
  <c r="A732" i="29"/>
  <c r="B128" i="29"/>
  <c r="C578" i="29"/>
  <c r="B655" i="29"/>
  <c r="F347" i="29"/>
  <c r="G797" i="29"/>
  <c r="B39" i="28"/>
  <c r="A40" i="28"/>
  <c r="G874" i="29"/>
  <c r="E424" i="29"/>
  <c r="G270" i="29"/>
  <c r="D501" i="29"/>
  <c r="X38" i="28"/>
  <c r="V38" i="28"/>
  <c r="T38" i="28"/>
  <c r="S38" i="28"/>
  <c r="D39" i="28"/>
  <c r="W38" i="28"/>
  <c r="G38" i="28"/>
  <c r="U38" i="28"/>
  <c r="F38" i="28"/>
  <c r="C39" i="28"/>
  <c r="I38" i="28"/>
  <c r="E39" i="28" l="1"/>
  <c r="Y37" i="28"/>
  <c r="R37" i="28"/>
  <c r="Q38" i="28"/>
  <c r="N38" i="28" s="1"/>
  <c r="P38" i="28"/>
  <c r="J37" i="28"/>
  <c r="K37" i="28"/>
  <c r="O37" i="28"/>
  <c r="L37" i="28"/>
  <c r="M37" i="28" s="1"/>
  <c r="H38" i="28"/>
  <c r="A282" i="29"/>
  <c r="A886" i="29"/>
  <c r="G347" i="29"/>
  <c r="D578" i="29"/>
  <c r="B732" i="29"/>
  <c r="E501" i="29"/>
  <c r="F424" i="29"/>
  <c r="A41" i="28"/>
  <c r="B40" i="28"/>
  <c r="A809" i="29"/>
  <c r="C655" i="29"/>
  <c r="C128" i="29"/>
  <c r="B205" i="29"/>
  <c r="S39" i="28"/>
  <c r="W39" i="28"/>
  <c r="F39" i="28"/>
  <c r="X39" i="28"/>
  <c r="C40" i="28"/>
  <c r="T39" i="28"/>
  <c r="U39" i="28"/>
  <c r="V39" i="28"/>
  <c r="G39" i="28"/>
  <c r="D40" i="28"/>
  <c r="I39" i="28"/>
  <c r="E40" i="28" l="1"/>
  <c r="P39" i="28"/>
  <c r="J38" i="28"/>
  <c r="Q39" i="28"/>
  <c r="N39" i="28" s="1"/>
  <c r="R38" i="28"/>
  <c r="Y38" i="28"/>
  <c r="K38" i="28"/>
  <c r="L38" i="28"/>
  <c r="M38" i="28" s="1"/>
  <c r="O38" i="28"/>
  <c r="H39" i="28"/>
  <c r="D128" i="29"/>
  <c r="B809" i="29"/>
  <c r="B41" i="28"/>
  <c r="A42" i="28"/>
  <c r="F501" i="29"/>
  <c r="E578" i="29"/>
  <c r="B886" i="29"/>
  <c r="C205" i="29"/>
  <c r="D655" i="29"/>
  <c r="G424" i="29"/>
  <c r="C732" i="29"/>
  <c r="A359" i="29"/>
  <c r="B282" i="29"/>
  <c r="C41" i="28"/>
  <c r="G40" i="28"/>
  <c r="W40" i="28"/>
  <c r="U40" i="28"/>
  <c r="F40" i="28"/>
  <c r="D41" i="28"/>
  <c r="I40" i="28"/>
  <c r="T40" i="28"/>
  <c r="V40" i="28"/>
  <c r="X40" i="28"/>
  <c r="S40" i="28"/>
  <c r="E41" i="28" l="1"/>
  <c r="Y39" i="28"/>
  <c r="R39" i="28"/>
  <c r="Q40" i="28"/>
  <c r="N40" i="28" s="1"/>
  <c r="P40" i="28"/>
  <c r="J39" i="28"/>
  <c r="H40" i="28"/>
  <c r="L39" i="28"/>
  <c r="M39" i="28" s="1"/>
  <c r="O39" i="28"/>
  <c r="K39" i="28"/>
  <c r="B359" i="29"/>
  <c r="A436" i="29"/>
  <c r="D205" i="29"/>
  <c r="F578" i="29"/>
  <c r="A43" i="28"/>
  <c r="B42" i="28"/>
  <c r="C809" i="29"/>
  <c r="C282" i="29"/>
  <c r="D732" i="29"/>
  <c r="E655" i="29"/>
  <c r="C886" i="29"/>
  <c r="G501" i="29"/>
  <c r="E128" i="29"/>
  <c r="C42" i="28"/>
  <c r="F41" i="28"/>
  <c r="D42" i="28"/>
  <c r="V41" i="28"/>
  <c r="S41" i="28"/>
  <c r="U41" i="28"/>
  <c r="G41" i="28"/>
  <c r="I41" i="28"/>
  <c r="T41" i="28"/>
  <c r="X41" i="28"/>
  <c r="W41" i="28"/>
  <c r="Q41" i="28" l="1"/>
  <c r="N41" i="28" s="1"/>
  <c r="P41" i="28"/>
  <c r="J40" i="28"/>
  <c r="Y40" i="28"/>
  <c r="R40" i="28"/>
  <c r="E42" i="28"/>
  <c r="O40" i="28"/>
  <c r="K40" i="28"/>
  <c r="L40" i="28"/>
  <c r="M40" i="28" s="1"/>
  <c r="H41" i="28"/>
  <c r="A513" i="29"/>
  <c r="F655" i="29"/>
  <c r="D282" i="29"/>
  <c r="G578" i="29"/>
  <c r="B436" i="29"/>
  <c r="F128" i="29"/>
  <c r="D886" i="29"/>
  <c r="E732" i="29"/>
  <c r="D809" i="29"/>
  <c r="B43" i="28"/>
  <c r="A44" i="28"/>
  <c r="E205" i="29"/>
  <c r="C359" i="29"/>
  <c r="X42" i="28"/>
  <c r="U42" i="28"/>
  <c r="V42" i="28"/>
  <c r="F42" i="28"/>
  <c r="C43" i="28"/>
  <c r="G42" i="28"/>
  <c r="T42" i="28"/>
  <c r="W42" i="28"/>
  <c r="S42" i="28"/>
  <c r="D43" i="28"/>
  <c r="I42" i="28"/>
  <c r="E43" i="28" l="1"/>
  <c r="Q42" i="28"/>
  <c r="N42" i="28" s="1"/>
  <c r="R41" i="28"/>
  <c r="Y41" i="28"/>
  <c r="P42" i="28"/>
  <c r="J41" i="28"/>
  <c r="L41" i="28"/>
  <c r="M41" i="28" s="1"/>
  <c r="K41" i="28"/>
  <c r="O41" i="28"/>
  <c r="H42" i="28"/>
  <c r="F205" i="29"/>
  <c r="F732" i="29"/>
  <c r="G128" i="29"/>
  <c r="A590" i="29"/>
  <c r="G655" i="29"/>
  <c r="D359" i="29"/>
  <c r="A45" i="28"/>
  <c r="B44" i="28"/>
  <c r="E809" i="29"/>
  <c r="E886" i="29"/>
  <c r="C436" i="29"/>
  <c r="E282" i="29"/>
  <c r="B513" i="29"/>
  <c r="G43" i="28"/>
  <c r="C44" i="28"/>
  <c r="U43" i="28"/>
  <c r="S43" i="28"/>
  <c r="V43" i="28"/>
  <c r="W43" i="28"/>
  <c r="I43" i="28"/>
  <c r="D44" i="28"/>
  <c r="X43" i="28"/>
  <c r="T43" i="28"/>
  <c r="F43" i="28"/>
  <c r="Q43" i="28" l="1"/>
  <c r="N43" i="28" s="1"/>
  <c r="R42" i="28"/>
  <c r="Y42" i="28"/>
  <c r="P43" i="28"/>
  <c r="J42" i="28"/>
  <c r="E44" i="28"/>
  <c r="K42" i="28"/>
  <c r="O42" i="28"/>
  <c r="L42" i="28"/>
  <c r="M42" i="28" s="1"/>
  <c r="H43" i="28"/>
  <c r="F282" i="29"/>
  <c r="F886" i="29"/>
  <c r="E359" i="29"/>
  <c r="B590" i="29"/>
  <c r="G732" i="29"/>
  <c r="C513" i="29"/>
  <c r="D436" i="29"/>
  <c r="F809" i="29"/>
  <c r="B45" i="28"/>
  <c r="A46" i="28"/>
  <c r="A667" i="29"/>
  <c r="A140" i="29"/>
  <c r="G205" i="29"/>
  <c r="F44" i="28"/>
  <c r="U44" i="28"/>
  <c r="G44" i="28"/>
  <c r="V44" i="28"/>
  <c r="D45" i="28"/>
  <c r="I44" i="28"/>
  <c r="T44" i="28"/>
  <c r="W44" i="28"/>
  <c r="S44" i="28"/>
  <c r="X44" i="28"/>
  <c r="C45" i="28"/>
  <c r="E45" i="28" l="1"/>
  <c r="P44" i="28"/>
  <c r="J43" i="28"/>
  <c r="Y43" i="28"/>
  <c r="R43" i="28"/>
  <c r="Q44" i="28"/>
  <c r="N44" i="28" s="1"/>
  <c r="H44" i="28"/>
  <c r="K43" i="28"/>
  <c r="L43" i="28"/>
  <c r="M43" i="28" s="1"/>
  <c r="O43" i="28"/>
  <c r="B140" i="29"/>
  <c r="A47" i="28"/>
  <c r="B46" i="28"/>
  <c r="G809" i="29"/>
  <c r="D513" i="29"/>
  <c r="C590" i="29"/>
  <c r="G886" i="29"/>
  <c r="A217" i="29"/>
  <c r="B667" i="29"/>
  <c r="E436" i="29"/>
  <c r="A744" i="29"/>
  <c r="F359" i="29"/>
  <c r="G282" i="29"/>
  <c r="S45" i="28"/>
  <c r="V45" i="28"/>
  <c r="X45" i="28"/>
  <c r="T45" i="28"/>
  <c r="C46" i="28"/>
  <c r="F45" i="28"/>
  <c r="W45" i="28"/>
  <c r="G45" i="28"/>
  <c r="U45" i="28"/>
  <c r="D46" i="28"/>
  <c r="I45" i="28"/>
  <c r="E46" i="28" l="1"/>
  <c r="P45" i="28"/>
  <c r="J44" i="28"/>
  <c r="R44" i="28"/>
  <c r="Y44" i="28"/>
  <c r="Q45" i="28"/>
  <c r="N45" i="28" s="1"/>
  <c r="H45" i="28"/>
  <c r="L44" i="28"/>
  <c r="M44" i="28" s="1"/>
  <c r="K44" i="28"/>
  <c r="O44" i="28"/>
  <c r="G359" i="29"/>
  <c r="F436" i="29"/>
  <c r="B217" i="29"/>
  <c r="D590" i="29"/>
  <c r="A821" i="29"/>
  <c r="B47" i="28"/>
  <c r="A48" i="28"/>
  <c r="A294" i="29"/>
  <c r="B744" i="29"/>
  <c r="C667" i="29"/>
  <c r="A898" i="29"/>
  <c r="E513" i="29"/>
  <c r="C47" i="28"/>
  <c r="U46" i="28"/>
  <c r="V46" i="28"/>
  <c r="F46" i="28"/>
  <c r="S46" i="28"/>
  <c r="G46" i="28"/>
  <c r="I46" i="28" s="1"/>
  <c r="T46" i="28"/>
  <c r="X46" i="28"/>
  <c r="W46" i="28"/>
  <c r="D47" i="28"/>
  <c r="R45" i="28" l="1"/>
  <c r="Y45" i="28"/>
  <c r="Q46" i="28"/>
  <c r="N46" i="28" s="1"/>
  <c r="P46" i="28"/>
  <c r="J45" i="28"/>
  <c r="E47" i="28"/>
  <c r="H46" i="28"/>
  <c r="L45" i="28"/>
  <c r="M45" i="28" s="1"/>
  <c r="K45" i="28"/>
  <c r="O45" i="28"/>
  <c r="F513" i="29"/>
  <c r="D667" i="29"/>
  <c r="B294" i="29"/>
  <c r="E590" i="29"/>
  <c r="G436" i="29"/>
  <c r="B898" i="29"/>
  <c r="C744" i="29"/>
  <c r="A49" i="28"/>
  <c r="B48" i="28"/>
  <c r="B821" i="29"/>
  <c r="A371" i="29"/>
  <c r="S47" i="28"/>
  <c r="W47" i="28"/>
  <c r="G47" i="28"/>
  <c r="U47" i="28"/>
  <c r="V47" i="28"/>
  <c r="T47" i="28"/>
  <c r="D48" i="28"/>
  <c r="I47" i="28"/>
  <c r="F47" i="28"/>
  <c r="X47" i="28"/>
  <c r="C48" i="28"/>
  <c r="E48" i="28" l="1"/>
  <c r="Q47" i="28"/>
  <c r="N47" i="28" s="1"/>
  <c r="Y46" i="28"/>
  <c r="R46" i="28"/>
  <c r="P47" i="28"/>
  <c r="J46" i="28"/>
  <c r="K46" i="28"/>
  <c r="O46" i="28"/>
  <c r="L46" i="28"/>
  <c r="M46" i="28" s="1"/>
  <c r="H47" i="28"/>
  <c r="C821" i="29"/>
  <c r="B49" i="28"/>
  <c r="A50" i="28"/>
  <c r="C898" i="29"/>
  <c r="F590" i="29"/>
  <c r="E667" i="29"/>
  <c r="B371" i="29"/>
  <c r="D744" i="29"/>
  <c r="A448" i="29"/>
  <c r="G513" i="29"/>
  <c r="D49" i="28"/>
  <c r="U48" i="28"/>
  <c r="V48" i="28"/>
  <c r="F48" i="28"/>
  <c r="X48" i="28"/>
  <c r="C49" i="28"/>
  <c r="S48" i="28"/>
  <c r="T48" i="28"/>
  <c r="G48" i="28"/>
  <c r="I48" i="28" s="1"/>
  <c r="W48" i="28"/>
  <c r="P48" i="28" l="1"/>
  <c r="J47" i="28"/>
  <c r="Q48" i="28"/>
  <c r="N48" i="28" s="1"/>
  <c r="R47" i="28"/>
  <c r="Y47" i="28"/>
  <c r="E49" i="28"/>
  <c r="K47" i="28"/>
  <c r="L47" i="28"/>
  <c r="M47" i="28" s="1"/>
  <c r="O47" i="28"/>
  <c r="H48" i="28"/>
  <c r="A525" i="29"/>
  <c r="E744" i="29"/>
  <c r="F667" i="29"/>
  <c r="D898" i="29"/>
  <c r="B448" i="29"/>
  <c r="G590" i="29"/>
  <c r="A51" i="28"/>
  <c r="B50" i="28"/>
  <c r="D821" i="29"/>
  <c r="W49" i="28"/>
  <c r="X49" i="28"/>
  <c r="U49" i="28"/>
  <c r="S49" i="28"/>
  <c r="D50" i="28"/>
  <c r="V49" i="28"/>
  <c r="F49" i="28"/>
  <c r="G49" i="28"/>
  <c r="C50" i="28"/>
  <c r="T49" i="28"/>
  <c r="I49" i="28"/>
  <c r="E50" i="28" l="1"/>
  <c r="R48" i="28"/>
  <c r="Y48" i="28"/>
  <c r="P49" i="28"/>
  <c r="J48" i="28"/>
  <c r="Q49" i="28"/>
  <c r="N49" i="28" s="1"/>
  <c r="H49" i="28"/>
  <c r="O48" i="28"/>
  <c r="L48" i="28"/>
  <c r="M48" i="28" s="1"/>
  <c r="K48" i="28"/>
  <c r="A602" i="29"/>
  <c r="E898" i="29"/>
  <c r="F744" i="29"/>
  <c r="E821" i="29"/>
  <c r="B51" i="28"/>
  <c r="A52" i="28"/>
  <c r="G667" i="29"/>
  <c r="B525" i="29"/>
  <c r="W50" i="28"/>
  <c r="V50" i="28"/>
  <c r="X50" i="28"/>
  <c r="T50" i="28"/>
  <c r="C51" i="28"/>
  <c r="S50" i="28"/>
  <c r="U50" i="28"/>
  <c r="F50" i="28"/>
  <c r="D51" i="28"/>
  <c r="G50" i="28"/>
  <c r="I50" i="28" s="1"/>
  <c r="E51" i="28" l="1"/>
  <c r="Q50" i="28"/>
  <c r="N50" i="28" s="1"/>
  <c r="P50" i="28"/>
  <c r="J49" i="28"/>
  <c r="R49" i="28"/>
  <c r="Y49" i="28"/>
  <c r="H50" i="28"/>
  <c r="K49" i="28"/>
  <c r="O49" i="28"/>
  <c r="L49" i="28"/>
  <c r="M49" i="28" s="1"/>
  <c r="A53" i="28"/>
  <c r="B52" i="28"/>
  <c r="F821" i="29"/>
  <c r="F898" i="29"/>
  <c r="A679" i="29"/>
  <c r="G744" i="29"/>
  <c r="B602" i="29"/>
  <c r="D52" i="28"/>
  <c r="W51" i="28"/>
  <c r="U51" i="28"/>
  <c r="G51" i="28"/>
  <c r="C52" i="28"/>
  <c r="F51" i="28"/>
  <c r="S51" i="28"/>
  <c r="V51" i="28"/>
  <c r="X51" i="28"/>
  <c r="I51" i="28"/>
  <c r="T51" i="28"/>
  <c r="P51" i="28" l="1"/>
  <c r="J50" i="28"/>
  <c r="Y50" i="28"/>
  <c r="R50" i="28"/>
  <c r="Q51" i="28"/>
  <c r="N51" i="28" s="1"/>
  <c r="E52" i="28"/>
  <c r="K50" i="28"/>
  <c r="O50" i="28"/>
  <c r="L50" i="28"/>
  <c r="M50" i="28" s="1"/>
  <c r="H51" i="28"/>
  <c r="A756" i="29"/>
  <c r="G898" i="29"/>
  <c r="B679" i="29"/>
  <c r="G821" i="29"/>
  <c r="B53" i="28"/>
  <c r="A54" i="28"/>
  <c r="F52" i="28"/>
  <c r="X52" i="28"/>
  <c r="V52" i="28"/>
  <c r="G52" i="28"/>
  <c r="S52" i="28"/>
  <c r="D53" i="28"/>
  <c r="T52" i="28"/>
  <c r="U52" i="28"/>
  <c r="W52" i="28"/>
  <c r="C53" i="28"/>
  <c r="I52" i="28"/>
  <c r="E53" i="28" l="1"/>
  <c r="R51" i="28"/>
  <c r="Y51" i="28"/>
  <c r="P52" i="28"/>
  <c r="J51" i="28"/>
  <c r="Q52" i="28"/>
  <c r="N52" i="28" s="1"/>
  <c r="H52" i="28"/>
  <c r="O51" i="28"/>
  <c r="K51" i="28"/>
  <c r="L51" i="28"/>
  <c r="M51" i="28" s="1"/>
  <c r="A55" i="28"/>
  <c r="B54" i="28"/>
  <c r="A833" i="29"/>
  <c r="A910" i="29"/>
  <c r="B756" i="29"/>
  <c r="D54" i="28"/>
  <c r="V53" i="28"/>
  <c r="X53" i="28"/>
  <c r="F53" i="28"/>
  <c r="S53" i="28"/>
  <c r="C54" i="28"/>
  <c r="T53" i="28"/>
  <c r="W53" i="28"/>
  <c r="U53" i="28"/>
  <c r="G53" i="28"/>
  <c r="I53" i="28" s="1"/>
  <c r="Y52" i="28" l="1"/>
  <c r="R52" i="28"/>
  <c r="Q53" i="28"/>
  <c r="N53" i="28" s="1"/>
  <c r="P53" i="28"/>
  <c r="J52" i="28"/>
  <c r="E54" i="28"/>
  <c r="H53" i="28"/>
  <c r="L52" i="28"/>
  <c r="M52" i="28" s="1"/>
  <c r="O52" i="28"/>
  <c r="K52" i="28"/>
  <c r="B910" i="29"/>
  <c r="B833" i="29"/>
  <c r="B55" i="28"/>
  <c r="A56" i="28"/>
  <c r="V54" i="28"/>
  <c r="X54" i="28"/>
  <c r="W54" i="28"/>
  <c r="G54" i="28"/>
  <c r="C55" i="28"/>
  <c r="I54" i="28"/>
  <c r="T54" i="28"/>
  <c r="F54" i="28"/>
  <c r="S54" i="28"/>
  <c r="U54" i="28"/>
  <c r="D55" i="28"/>
  <c r="E55" i="28" l="1"/>
  <c r="P54" i="28"/>
  <c r="J53" i="28"/>
  <c r="R53" i="28"/>
  <c r="Y53" i="28"/>
  <c r="Q54" i="28"/>
  <c r="N54" i="28" s="1"/>
  <c r="H54" i="28"/>
  <c r="L53" i="28"/>
  <c r="M53" i="28" s="1"/>
  <c r="K53" i="28"/>
  <c r="O53" i="28"/>
  <c r="A57" i="28"/>
  <c r="B56" i="28"/>
  <c r="G55" i="28"/>
  <c r="W55" i="28"/>
  <c r="X55" i="28"/>
  <c r="S55" i="28"/>
  <c r="D56" i="28"/>
  <c r="I55" i="28"/>
  <c r="F55" i="28"/>
  <c r="U55" i="28"/>
  <c r="V55" i="28"/>
  <c r="C56" i="28"/>
  <c r="T55" i="28"/>
  <c r="E56" i="28" l="1"/>
  <c r="R54" i="28"/>
  <c r="Y54" i="28"/>
  <c r="Q55" i="28"/>
  <c r="N55" i="28" s="1"/>
  <c r="P55" i="28"/>
  <c r="J54" i="28"/>
  <c r="L54" i="28"/>
  <c r="M54" i="28" s="1"/>
  <c r="O54" i="28"/>
  <c r="K54" i="28"/>
  <c r="H55" i="28"/>
  <c r="B57" i="28"/>
  <c r="A58" i="28"/>
  <c r="D57" i="28"/>
  <c r="F56" i="28"/>
  <c r="G56" i="28"/>
  <c r="U56" i="28"/>
  <c r="W56" i="28"/>
  <c r="I56" i="28"/>
  <c r="C57" i="28"/>
  <c r="V56" i="28"/>
  <c r="T56" i="28"/>
  <c r="S56" i="28"/>
  <c r="X56" i="28"/>
  <c r="R55" i="28" l="1"/>
  <c r="Y55" i="28"/>
  <c r="P56" i="28"/>
  <c r="J55" i="28"/>
  <c r="Q56" i="28"/>
  <c r="N56" i="28" s="1"/>
  <c r="E57" i="28"/>
  <c r="H56" i="28"/>
  <c r="O55" i="28"/>
  <c r="L55" i="28"/>
  <c r="M55" i="28" s="1"/>
  <c r="K55" i="28"/>
  <c r="A59" i="28"/>
  <c r="B58" i="28"/>
  <c r="T57" i="28"/>
  <c r="X57" i="28"/>
  <c r="U57" i="28"/>
  <c r="V57" i="28"/>
  <c r="D58" i="28"/>
  <c r="S57" i="28"/>
  <c r="W57" i="28"/>
  <c r="G57" i="28"/>
  <c r="F57" i="28"/>
  <c r="C58" i="28"/>
  <c r="I57" i="28"/>
  <c r="E58" i="28" l="1"/>
  <c r="Q57" i="28"/>
  <c r="N57" i="28" s="1"/>
  <c r="P57" i="28"/>
  <c r="J56" i="28"/>
  <c r="Y56" i="28"/>
  <c r="R56" i="28"/>
  <c r="H57" i="28"/>
  <c r="O56" i="28"/>
  <c r="K56" i="28"/>
  <c r="L56" i="28"/>
  <c r="M56" i="28" s="1"/>
  <c r="B59" i="28"/>
  <c r="A60" i="28"/>
  <c r="G58" i="28"/>
  <c r="V58" i="28"/>
  <c r="T58" i="28"/>
  <c r="X58" i="28"/>
  <c r="C59" i="28"/>
  <c r="I58" i="28"/>
  <c r="W58" i="28"/>
  <c r="S58" i="28"/>
  <c r="U58" i="28"/>
  <c r="F58" i="28"/>
  <c r="D59" i="28"/>
  <c r="E59" i="28" l="1"/>
  <c r="Q58" i="28"/>
  <c r="N58" i="28" s="1"/>
  <c r="R57" i="28"/>
  <c r="Y57" i="28"/>
  <c r="P58" i="28"/>
  <c r="J57" i="28"/>
  <c r="L57" i="28"/>
  <c r="M57" i="28" s="1"/>
  <c r="K57" i="28"/>
  <c r="O57" i="28"/>
  <c r="H58" i="28"/>
  <c r="A61" i="28"/>
  <c r="B60" i="28"/>
  <c r="D60" i="28"/>
  <c r="G59" i="28"/>
  <c r="T59" i="28"/>
  <c r="U59" i="28"/>
  <c r="F59" i="28"/>
  <c r="I59" i="28"/>
  <c r="C60" i="28"/>
  <c r="X59" i="28"/>
  <c r="V59" i="28"/>
  <c r="W59" i="28"/>
  <c r="S59" i="28"/>
  <c r="Y58" i="28" l="1"/>
  <c r="R58" i="28"/>
  <c r="Q59" i="28"/>
  <c r="N59" i="28" s="1"/>
  <c r="P59" i="28"/>
  <c r="J58" i="28"/>
  <c r="E60" i="28"/>
  <c r="H59" i="28"/>
  <c r="K58" i="28"/>
  <c r="L58" i="28"/>
  <c r="M58" i="28" s="1"/>
  <c r="O58" i="28"/>
  <c r="B61" i="28"/>
  <c r="A62" i="28"/>
  <c r="F60" i="28"/>
  <c r="W60" i="28"/>
  <c r="G60" i="28"/>
  <c r="U60" i="28"/>
  <c r="C61" i="28"/>
  <c r="I60" i="28"/>
  <c r="S60" i="28"/>
  <c r="X60" i="28"/>
  <c r="V60" i="28"/>
  <c r="T60" i="28"/>
  <c r="D61" i="28"/>
  <c r="E61" i="28" l="1"/>
  <c r="P60" i="28"/>
  <c r="J59" i="28"/>
  <c r="Y59" i="28"/>
  <c r="R59" i="28"/>
  <c r="Q60" i="28"/>
  <c r="N60" i="28" s="1"/>
  <c r="K59" i="28"/>
  <c r="O59" i="28"/>
  <c r="L59" i="28"/>
  <c r="M59" i="28" s="1"/>
  <c r="H60" i="28"/>
  <c r="A63" i="28"/>
  <c r="B62" i="28"/>
  <c r="C62" i="28"/>
  <c r="V61" i="28"/>
  <c r="T61" i="28"/>
  <c r="X61" i="28"/>
  <c r="G61" i="28"/>
  <c r="I61" i="28"/>
  <c r="W61" i="28"/>
  <c r="S61" i="28"/>
  <c r="F61" i="28"/>
  <c r="D62" i="28"/>
  <c r="U61" i="28"/>
  <c r="P61" i="28" l="1"/>
  <c r="J60" i="28"/>
  <c r="Q61" i="28"/>
  <c r="N61" i="28" s="1"/>
  <c r="Y60" i="28"/>
  <c r="R60" i="28"/>
  <c r="E62" i="28"/>
  <c r="H61" i="28"/>
  <c r="L60" i="28"/>
  <c r="M60" i="28" s="1"/>
  <c r="O60" i="28"/>
  <c r="K60" i="28"/>
  <c r="B63" i="28"/>
  <c r="A64" i="28"/>
  <c r="V62" i="28"/>
  <c r="U62" i="28"/>
  <c r="G62" i="28"/>
  <c r="W62" i="28"/>
  <c r="D63" i="28"/>
  <c r="I62" i="28"/>
  <c r="X62" i="28"/>
  <c r="F62" i="28"/>
  <c r="T62" i="28"/>
  <c r="S62" i="28"/>
  <c r="C63" i="28"/>
  <c r="E63" i="28" l="1"/>
  <c r="Y61" i="28"/>
  <c r="R61" i="28"/>
  <c r="P62" i="28"/>
  <c r="J61" i="28"/>
  <c r="Q62" i="28"/>
  <c r="N62" i="28" s="1"/>
  <c r="H62" i="28"/>
  <c r="K61" i="28"/>
  <c r="O61" i="28"/>
  <c r="L61" i="28"/>
  <c r="M61" i="28" s="1"/>
  <c r="A65" i="28"/>
  <c r="B64" i="28"/>
  <c r="X63" i="28"/>
  <c r="G63" i="28"/>
  <c r="V63" i="28"/>
  <c r="S63" i="28"/>
  <c r="C64" i="28"/>
  <c r="I63" i="28"/>
  <c r="W63" i="28"/>
  <c r="F63" i="28"/>
  <c r="T63" i="28"/>
  <c r="U63" i="28"/>
  <c r="D64" i="28"/>
  <c r="E64" i="28" l="1"/>
  <c r="R62" i="28"/>
  <c r="Y62" i="28"/>
  <c r="Q63" i="28"/>
  <c r="N63" i="28" s="1"/>
  <c r="P63" i="28"/>
  <c r="J62" i="28"/>
  <c r="H63" i="28"/>
  <c r="K62" i="28"/>
  <c r="L62" i="28"/>
  <c r="M62" i="28" s="1"/>
  <c r="O62" i="28"/>
  <c r="B65" i="28"/>
  <c r="A66" i="28"/>
  <c r="G64" i="28"/>
  <c r="F64" i="28"/>
  <c r="V64" i="28"/>
  <c r="X64" i="28"/>
  <c r="D65" i="28"/>
  <c r="I64" i="28"/>
  <c r="T64" i="28"/>
  <c r="S64" i="28"/>
  <c r="U64" i="28"/>
  <c r="W64" i="28"/>
  <c r="C65" i="28"/>
  <c r="E65" i="28" l="1"/>
  <c r="R63" i="28"/>
  <c r="Y63" i="28"/>
  <c r="Q64" i="28"/>
  <c r="N64" i="28" s="1"/>
  <c r="P64" i="28"/>
  <c r="J63" i="28"/>
  <c r="O63" i="28"/>
  <c r="K63" i="28"/>
  <c r="L63" i="28"/>
  <c r="M63" i="28" s="1"/>
  <c r="H64" i="28"/>
  <c r="A67" i="28"/>
  <c r="B66" i="28"/>
  <c r="G65" i="28"/>
  <c r="T65" i="28"/>
  <c r="F65" i="28"/>
  <c r="X65" i="28"/>
  <c r="C66" i="28"/>
  <c r="I65" i="28"/>
  <c r="W65" i="28"/>
  <c r="S65" i="28"/>
  <c r="V65" i="28"/>
  <c r="U65" i="28"/>
  <c r="D66" i="28"/>
  <c r="E66" i="28" l="1"/>
  <c r="Q65" i="28"/>
  <c r="N65" i="28" s="1"/>
  <c r="R64" i="28"/>
  <c r="Y64" i="28"/>
  <c r="P65" i="28"/>
  <c r="J64" i="28"/>
  <c r="L64" i="28"/>
  <c r="M64" i="28" s="1"/>
  <c r="O64" i="28"/>
  <c r="K64" i="28"/>
  <c r="H65" i="28"/>
  <c r="B67" i="28"/>
  <c r="A68" i="28"/>
  <c r="W66" i="28"/>
  <c r="T66" i="28"/>
  <c r="U66" i="28"/>
  <c r="S66" i="28"/>
  <c r="D67" i="28"/>
  <c r="X66" i="28"/>
  <c r="F66" i="28"/>
  <c r="V66" i="28"/>
  <c r="G66" i="28"/>
  <c r="C67" i="28"/>
  <c r="I66" i="28"/>
  <c r="E67" i="28" l="1"/>
  <c r="P66" i="28"/>
  <c r="J65" i="28"/>
  <c r="R65" i="28"/>
  <c r="Y65" i="28"/>
  <c r="Q66" i="28"/>
  <c r="N66" i="28" s="1"/>
  <c r="O65" i="28"/>
  <c r="L65" i="28"/>
  <c r="M65" i="28" s="1"/>
  <c r="K65" i="28"/>
  <c r="H66" i="28"/>
  <c r="A69" i="28"/>
  <c r="B68" i="28"/>
  <c r="D68" i="28"/>
  <c r="W67" i="28"/>
  <c r="V67" i="28"/>
  <c r="X67" i="28"/>
  <c r="S67" i="28"/>
  <c r="C68" i="28"/>
  <c r="F67" i="28"/>
  <c r="U67" i="28"/>
  <c r="G67" i="28"/>
  <c r="I67" i="28" s="1"/>
  <c r="T67" i="28"/>
  <c r="R66" i="28" l="1"/>
  <c r="Y66" i="28"/>
  <c r="P67" i="28"/>
  <c r="J66" i="28"/>
  <c r="Q67" i="28"/>
  <c r="N67" i="28" s="1"/>
  <c r="E68" i="28"/>
  <c r="H67" i="28"/>
  <c r="O66" i="28"/>
  <c r="K66" i="28"/>
  <c r="L66" i="28"/>
  <c r="M66" i="28" s="1"/>
  <c r="B69" i="28"/>
  <c r="A70" i="28"/>
  <c r="G68" i="28"/>
  <c r="T68" i="28"/>
  <c r="X68" i="28"/>
  <c r="S68" i="28"/>
  <c r="C69" i="28"/>
  <c r="I68" i="28"/>
  <c r="D69" i="28"/>
  <c r="U68" i="28"/>
  <c r="F68" i="28"/>
  <c r="W68" i="28"/>
  <c r="V68" i="28"/>
  <c r="E69" i="28" l="1"/>
  <c r="Y67" i="28"/>
  <c r="R67" i="28"/>
  <c r="Q68" i="28"/>
  <c r="N68" i="28" s="1"/>
  <c r="P68" i="28"/>
  <c r="J67" i="28"/>
  <c r="H68" i="28"/>
  <c r="L67" i="28"/>
  <c r="M67" i="28" s="1"/>
  <c r="K67" i="28"/>
  <c r="O67" i="28"/>
  <c r="A71" i="28"/>
  <c r="B70" i="28"/>
  <c r="D70" i="28"/>
  <c r="V69" i="28"/>
  <c r="S69" i="28"/>
  <c r="T69" i="28"/>
  <c r="G69" i="28"/>
  <c r="I69" i="28"/>
  <c r="C70" i="28"/>
  <c r="F69" i="28"/>
  <c r="W69" i="28"/>
  <c r="U69" i="28"/>
  <c r="X69" i="28"/>
  <c r="P69" i="28" l="1"/>
  <c r="J68" i="28"/>
  <c r="R68" i="28"/>
  <c r="Y68" i="28"/>
  <c r="Q69" i="28"/>
  <c r="N69" i="28" s="1"/>
  <c r="E70" i="28"/>
  <c r="K68" i="28"/>
  <c r="L68" i="28"/>
  <c r="M68" i="28" s="1"/>
  <c r="O68" i="28"/>
  <c r="H69" i="28"/>
  <c r="A72" i="28"/>
  <c r="B71" i="28"/>
  <c r="C71" i="28"/>
  <c r="D71" i="28"/>
  <c r="G70" i="28"/>
  <c r="X70" i="28"/>
  <c r="S70" i="28"/>
  <c r="U70" i="28"/>
  <c r="T70" i="28"/>
  <c r="F70" i="28"/>
  <c r="V70" i="28"/>
  <c r="W70" i="28"/>
  <c r="I70" i="28"/>
  <c r="Y69" i="28" l="1"/>
  <c r="R69" i="28"/>
  <c r="Q70" i="28"/>
  <c r="N70" i="28" s="1"/>
  <c r="P70" i="28"/>
  <c r="J69" i="28"/>
  <c r="E71" i="28"/>
  <c r="H70" i="28"/>
  <c r="O69" i="28"/>
  <c r="K69" i="28"/>
  <c r="L69" i="28"/>
  <c r="M69" i="28" s="1"/>
  <c r="B72" i="28"/>
  <c r="A73" i="28"/>
  <c r="W71" i="28"/>
  <c r="T71" i="28"/>
  <c r="F71" i="28"/>
  <c r="V71" i="28"/>
  <c r="S71" i="28"/>
  <c r="C72" i="28"/>
  <c r="U71" i="28"/>
  <c r="G71" i="28"/>
  <c r="X71" i="28"/>
  <c r="D72" i="28"/>
  <c r="I71" i="28"/>
  <c r="E72" i="28" l="1"/>
  <c r="Y70" i="28"/>
  <c r="R70" i="28"/>
  <c r="P71" i="28"/>
  <c r="J70" i="28"/>
  <c r="Q71" i="28"/>
  <c r="N71" i="28" s="1"/>
  <c r="K70" i="28"/>
  <c r="L70" i="28"/>
  <c r="M70" i="28" s="1"/>
  <c r="O70" i="28"/>
  <c r="H71" i="28"/>
  <c r="A74" i="28"/>
  <c r="B73" i="28"/>
  <c r="U72" i="28"/>
  <c r="G72" i="28"/>
  <c r="W72" i="28"/>
  <c r="V72" i="28"/>
  <c r="C73" i="28"/>
  <c r="I72" i="28"/>
  <c r="X72" i="28"/>
  <c r="S72" i="28"/>
  <c r="F72" i="28"/>
  <c r="D73" i="28"/>
  <c r="T72" i="28"/>
  <c r="E73" i="28" l="1"/>
  <c r="Q72" i="28"/>
  <c r="N72" i="28" s="1"/>
  <c r="Y71" i="28"/>
  <c r="R71" i="28"/>
  <c r="P72" i="28"/>
  <c r="J71" i="28"/>
  <c r="K71" i="28"/>
  <c r="O71" i="28"/>
  <c r="L71" i="28"/>
  <c r="M71" i="28" s="1"/>
  <c r="H72" i="28"/>
  <c r="A75" i="28"/>
  <c r="B74" i="28"/>
  <c r="X73" i="28"/>
  <c r="V73" i="28"/>
  <c r="U73" i="28"/>
  <c r="F73" i="28"/>
  <c r="D74" i="28"/>
  <c r="S73" i="28"/>
  <c r="W73" i="28"/>
  <c r="G73" i="28"/>
  <c r="I73" i="28" s="1"/>
  <c r="C74" i="28"/>
  <c r="T73" i="28"/>
  <c r="E74" i="28" l="1"/>
  <c r="P73" i="28"/>
  <c r="J72" i="28"/>
  <c r="Q73" i="28"/>
  <c r="N73" i="28" s="1"/>
  <c r="Y72" i="28"/>
  <c r="R72" i="28"/>
  <c r="L72" i="28"/>
  <c r="M72" i="28" s="1"/>
  <c r="O72" i="28"/>
  <c r="K72" i="28"/>
  <c r="H73" i="28"/>
  <c r="A76" i="28"/>
  <c r="B75" i="28"/>
  <c r="C75" i="28"/>
  <c r="W74" i="28"/>
  <c r="G74" i="28"/>
  <c r="T74" i="28"/>
  <c r="S74" i="28"/>
  <c r="I74" i="28"/>
  <c r="D75" i="28"/>
  <c r="F74" i="28"/>
  <c r="V74" i="28"/>
  <c r="U74" i="28"/>
  <c r="X74" i="28"/>
  <c r="R73" i="28" l="1"/>
  <c r="Y73" i="28"/>
  <c r="P74" i="28"/>
  <c r="J73" i="28"/>
  <c r="Q74" i="28"/>
  <c r="N74" i="28" s="1"/>
  <c r="E75" i="28"/>
  <c r="H74" i="28"/>
  <c r="K73" i="28"/>
  <c r="O73" i="28"/>
  <c r="L73" i="28"/>
  <c r="M73" i="28" s="1"/>
  <c r="A77" i="28"/>
  <c r="B76" i="28"/>
  <c r="D76" i="28"/>
  <c r="T75" i="28"/>
  <c r="U75" i="28"/>
  <c r="X75" i="28"/>
  <c r="S75" i="28"/>
  <c r="C76" i="28"/>
  <c r="V75" i="28"/>
  <c r="W75" i="28"/>
  <c r="F75" i="28"/>
  <c r="G75" i="28"/>
  <c r="I75" i="28" s="1"/>
  <c r="P75" i="28" l="1"/>
  <c r="J74" i="28"/>
  <c r="Y74" i="28"/>
  <c r="R74" i="28"/>
  <c r="Q75" i="28"/>
  <c r="N75" i="28" s="1"/>
  <c r="E76" i="28"/>
  <c r="H75" i="28"/>
  <c r="L74" i="28"/>
  <c r="M74" i="28" s="1"/>
  <c r="K74" i="28"/>
  <c r="O74" i="28"/>
  <c r="A78" i="28"/>
  <c r="B77" i="28"/>
  <c r="V76" i="28"/>
  <c r="W76" i="28"/>
  <c r="G76" i="28"/>
  <c r="S76" i="28"/>
  <c r="C77" i="28"/>
  <c r="I76" i="28"/>
  <c r="X76" i="28"/>
  <c r="F76" i="28"/>
  <c r="U76" i="28"/>
  <c r="T76" i="28"/>
  <c r="D77" i="28"/>
  <c r="E77" i="28" l="1"/>
  <c r="Y75" i="28"/>
  <c r="R75" i="28"/>
  <c r="P76" i="28"/>
  <c r="J75" i="28"/>
  <c r="Q76" i="28"/>
  <c r="N76" i="28" s="1"/>
  <c r="H76" i="28"/>
  <c r="O75" i="28"/>
  <c r="L75" i="28"/>
  <c r="M75" i="28" s="1"/>
  <c r="K75" i="28"/>
  <c r="A79" i="28"/>
  <c r="B78" i="28"/>
  <c r="G77" i="28"/>
  <c r="V77" i="28"/>
  <c r="D78" i="28"/>
  <c r="U77" i="28"/>
  <c r="S77" i="28"/>
  <c r="T77" i="28"/>
  <c r="X77" i="28"/>
  <c r="C78" i="28"/>
  <c r="W77" i="28"/>
  <c r="F77" i="28"/>
  <c r="I77" i="28"/>
  <c r="E78" i="28" l="1"/>
  <c r="Q77" i="28"/>
  <c r="N77" i="28" s="1"/>
  <c r="R76" i="28"/>
  <c r="Y76" i="28"/>
  <c r="P77" i="28"/>
  <c r="J76" i="28"/>
  <c r="L76" i="28"/>
  <c r="M76" i="28" s="1"/>
  <c r="O76" i="28"/>
  <c r="K76" i="28"/>
  <c r="H77" i="28"/>
  <c r="B79" i="28"/>
  <c r="A80" i="28"/>
  <c r="F78" i="28"/>
  <c r="G78" i="28"/>
  <c r="T78" i="28"/>
  <c r="W78" i="28"/>
  <c r="D79" i="28"/>
  <c r="I78" i="28"/>
  <c r="S78" i="28"/>
  <c r="U78" i="28"/>
  <c r="X78" i="28"/>
  <c r="C79" i="28"/>
  <c r="V78" i="28"/>
  <c r="E79" i="28" l="1"/>
  <c r="P78" i="28"/>
  <c r="J77" i="28"/>
  <c r="Y77" i="28"/>
  <c r="R77" i="28"/>
  <c r="Q78" i="28"/>
  <c r="N78" i="28" s="1"/>
  <c r="O77" i="28"/>
  <c r="K77" i="28"/>
  <c r="L77" i="28"/>
  <c r="M77" i="28" s="1"/>
  <c r="H78" i="28"/>
  <c r="A81" i="28"/>
  <c r="B80" i="28"/>
  <c r="C80" i="28"/>
  <c r="F79" i="28"/>
  <c r="T79" i="28"/>
  <c r="V79" i="28"/>
  <c r="W79" i="28"/>
  <c r="D80" i="28"/>
  <c r="X79" i="28"/>
  <c r="U79" i="28"/>
  <c r="S79" i="28"/>
  <c r="G79" i="28"/>
  <c r="I79" i="28" s="1"/>
  <c r="P79" i="28" l="1"/>
  <c r="J78" i="28"/>
  <c r="R78" i="28"/>
  <c r="Y78" i="28"/>
  <c r="Q79" i="28"/>
  <c r="N79" i="28" s="1"/>
  <c r="E80" i="28"/>
  <c r="H79" i="28"/>
  <c r="O78" i="28"/>
  <c r="L78" i="28"/>
  <c r="M78" i="28" s="1"/>
  <c r="K78" i="28"/>
  <c r="B81" i="28"/>
  <c r="A82" i="28"/>
  <c r="G80" i="28"/>
  <c r="X80" i="28"/>
  <c r="T80" i="28"/>
  <c r="W80" i="28"/>
  <c r="C81" i="28"/>
  <c r="I80" i="28"/>
  <c r="U80" i="28"/>
  <c r="F80" i="28"/>
  <c r="V80" i="28"/>
  <c r="S80" i="28"/>
  <c r="D81" i="28"/>
  <c r="E81" i="28" l="1"/>
  <c r="Y79" i="28"/>
  <c r="R79" i="28"/>
  <c r="Q80" i="28"/>
  <c r="N80" i="28" s="1"/>
  <c r="P80" i="28"/>
  <c r="J79" i="28"/>
  <c r="H80" i="28"/>
  <c r="O79" i="28"/>
  <c r="K79" i="28"/>
  <c r="L79" i="28"/>
  <c r="M79" i="28" s="1"/>
  <c r="A83" i="28"/>
  <c r="B82" i="28"/>
  <c r="T81" i="28"/>
  <c r="G81" i="28"/>
  <c r="V81" i="28"/>
  <c r="W81" i="28"/>
  <c r="C82" i="28"/>
  <c r="I81" i="28"/>
  <c r="X81" i="28"/>
  <c r="F81" i="28"/>
  <c r="U81" i="28"/>
  <c r="S81" i="28"/>
  <c r="D82" i="28"/>
  <c r="E82" i="28" l="1"/>
  <c r="R80" i="28"/>
  <c r="Y80" i="28"/>
  <c r="Q81" i="28"/>
  <c r="N81" i="28" s="1"/>
  <c r="P81" i="28"/>
  <c r="J80" i="28"/>
  <c r="O80" i="28"/>
  <c r="K80" i="28"/>
  <c r="L80" i="28"/>
  <c r="M80" i="28" s="1"/>
  <c r="H81" i="28"/>
  <c r="B83" i="28"/>
  <c r="A84" i="28"/>
  <c r="S82" i="28"/>
  <c r="U82" i="28"/>
  <c r="T82" i="28"/>
  <c r="G82" i="28"/>
  <c r="D83" i="28"/>
  <c r="I82" i="28"/>
  <c r="W82" i="28"/>
  <c r="X82" i="28"/>
  <c r="V82" i="28"/>
  <c r="F82" i="28"/>
  <c r="C83" i="28"/>
  <c r="E83" i="28" l="1"/>
  <c r="Q82" i="28"/>
  <c r="N82" i="28" s="1"/>
  <c r="P82" i="28"/>
  <c r="J81" i="28"/>
  <c r="R81" i="28"/>
  <c r="Y81" i="28"/>
  <c r="L81" i="28"/>
  <c r="M81" i="28" s="1"/>
  <c r="O81" i="28"/>
  <c r="K81" i="28"/>
  <c r="H82" i="28"/>
  <c r="A85" i="28"/>
  <c r="B84" i="28"/>
  <c r="F83" i="28"/>
  <c r="W83" i="28"/>
  <c r="S83" i="28"/>
  <c r="C84" i="28"/>
  <c r="V83" i="28"/>
  <c r="U83" i="28"/>
  <c r="G83" i="28"/>
  <c r="X83" i="28"/>
  <c r="D84" i="28"/>
  <c r="T83" i="28"/>
  <c r="I83" i="28"/>
  <c r="E84" i="28" l="1"/>
  <c r="P83" i="28"/>
  <c r="J82" i="28"/>
  <c r="Y82" i="28"/>
  <c r="R82" i="28"/>
  <c r="Q83" i="28"/>
  <c r="N83" i="28" s="1"/>
  <c r="O82" i="28"/>
  <c r="K82" i="28"/>
  <c r="L82" i="28"/>
  <c r="M82" i="28" s="1"/>
  <c r="H83" i="28"/>
  <c r="B85" i="28"/>
  <c r="A86" i="28"/>
  <c r="G84" i="28"/>
  <c r="W84" i="28"/>
  <c r="X84" i="28"/>
  <c r="F84" i="28"/>
  <c r="D85" i="28"/>
  <c r="I84" i="28"/>
  <c r="U84" i="28"/>
  <c r="T84" i="28"/>
  <c r="V84" i="28"/>
  <c r="C85" i="28"/>
  <c r="S84" i="28"/>
  <c r="E85" i="28" l="1"/>
  <c r="Q84" i="28"/>
  <c r="N84" i="28" s="1"/>
  <c r="R83" i="28"/>
  <c r="Y83" i="28"/>
  <c r="P84" i="28"/>
  <c r="J83" i="28"/>
  <c r="H84" i="28"/>
  <c r="L83" i="28"/>
  <c r="M83" i="28" s="1"/>
  <c r="K83" i="28"/>
  <c r="O83" i="28"/>
  <c r="B86" i="28"/>
  <c r="A87" i="28"/>
  <c r="W85" i="28"/>
  <c r="T85" i="28"/>
  <c r="U85" i="28"/>
  <c r="V85" i="28"/>
  <c r="F85" i="28"/>
  <c r="X85" i="28"/>
  <c r="D86" i="28"/>
  <c r="G85" i="28"/>
  <c r="I85" i="28" s="1"/>
  <c r="S85" i="28"/>
  <c r="C86" i="28"/>
  <c r="E86" i="28" l="1"/>
  <c r="R84" i="28"/>
  <c r="Y84" i="28"/>
  <c r="Q85" i="28"/>
  <c r="N85" i="28" s="1"/>
  <c r="P85" i="28"/>
  <c r="J84" i="28"/>
  <c r="O84" i="28"/>
  <c r="L84" i="28"/>
  <c r="M84" i="28" s="1"/>
  <c r="K84" i="28"/>
  <c r="H85" i="28"/>
  <c r="A88" i="28"/>
  <c r="B87" i="28"/>
  <c r="D87" i="28"/>
  <c r="G86" i="28"/>
  <c r="S86" i="28"/>
  <c r="W86" i="28"/>
  <c r="X86" i="28"/>
  <c r="I86" i="28"/>
  <c r="T86" i="28"/>
  <c r="U86" i="28"/>
  <c r="F86" i="28"/>
  <c r="V86" i="28"/>
  <c r="C87" i="28"/>
  <c r="Q86" i="28" l="1"/>
  <c r="N86" i="28" s="1"/>
  <c r="R85" i="28"/>
  <c r="Y85" i="28"/>
  <c r="P86" i="28"/>
  <c r="J85" i="28"/>
  <c r="E87" i="28"/>
  <c r="L85" i="28"/>
  <c r="M85" i="28" s="1"/>
  <c r="K85" i="28"/>
  <c r="O85" i="28"/>
  <c r="H86" i="28"/>
  <c r="B88" i="28"/>
  <c r="A89" i="28"/>
  <c r="T87" i="28"/>
  <c r="X87" i="28"/>
  <c r="U87" i="28"/>
  <c r="S87" i="28"/>
  <c r="C88" i="28"/>
  <c r="W87" i="28"/>
  <c r="V87" i="28"/>
  <c r="F87" i="28"/>
  <c r="G87" i="28"/>
  <c r="I87" i="28" s="1"/>
  <c r="D88" i="28"/>
  <c r="E88" i="28" l="1"/>
  <c r="P87" i="28"/>
  <c r="J86" i="28"/>
  <c r="Y86" i="28"/>
  <c r="R86" i="28"/>
  <c r="Q87" i="28"/>
  <c r="N87" i="28" s="1"/>
  <c r="H87" i="28"/>
  <c r="L86" i="28"/>
  <c r="M86" i="28" s="1"/>
  <c r="O86" i="28"/>
  <c r="K86" i="28"/>
  <c r="B89" i="28"/>
  <c r="A90" i="28"/>
  <c r="W88" i="28"/>
  <c r="G88" i="28"/>
  <c r="S88" i="28"/>
  <c r="T88" i="28"/>
  <c r="C89" i="28"/>
  <c r="I88" i="28"/>
  <c r="U88" i="28"/>
  <c r="F88" i="28"/>
  <c r="V88" i="28"/>
  <c r="X88" i="28"/>
  <c r="D89" i="28"/>
  <c r="E89" i="28" l="1"/>
  <c r="R87" i="28"/>
  <c r="Y87" i="28"/>
  <c r="Q88" i="28"/>
  <c r="N88" i="28" s="1"/>
  <c r="P88" i="28"/>
  <c r="J87" i="28"/>
  <c r="O87" i="28"/>
  <c r="K87" i="28"/>
  <c r="L87" i="28"/>
  <c r="M87" i="28" s="1"/>
  <c r="H88" i="28"/>
  <c r="B90" i="28"/>
  <c r="A91" i="28"/>
  <c r="T89" i="28"/>
  <c r="G89" i="28"/>
  <c r="X89" i="28"/>
  <c r="W89" i="28"/>
  <c r="D90" i="28"/>
  <c r="I89" i="28"/>
  <c r="U89" i="28"/>
  <c r="F89" i="28"/>
  <c r="V89" i="28"/>
  <c r="S89" i="28"/>
  <c r="C90" i="28"/>
  <c r="E90" i="28" l="1"/>
  <c r="R88" i="28"/>
  <c r="Y88" i="28"/>
  <c r="Q89" i="28"/>
  <c r="N89" i="28" s="1"/>
  <c r="P89" i="28"/>
  <c r="J88" i="28"/>
  <c r="K88" i="28"/>
  <c r="O88" i="28"/>
  <c r="L88" i="28"/>
  <c r="M88" i="28" s="1"/>
  <c r="H89" i="28"/>
  <c r="A92" i="28"/>
  <c r="B91" i="28"/>
  <c r="U90" i="28"/>
  <c r="S90" i="28"/>
  <c r="X90" i="28"/>
  <c r="V90" i="28"/>
  <c r="C91" i="28"/>
  <c r="T90" i="28"/>
  <c r="F90" i="28"/>
  <c r="G90" i="28"/>
  <c r="W90" i="28"/>
  <c r="D91" i="28"/>
  <c r="I90" i="28"/>
  <c r="E91" i="28" l="1"/>
  <c r="P90" i="28"/>
  <c r="J89" i="28"/>
  <c r="Q90" i="28"/>
  <c r="N90" i="28" s="1"/>
  <c r="Y89" i="28"/>
  <c r="R89" i="28"/>
  <c r="L89" i="28"/>
  <c r="M89" i="28" s="1"/>
  <c r="K89" i="28"/>
  <c r="O89" i="28"/>
  <c r="H90" i="28"/>
  <c r="A93" i="28"/>
  <c r="B92" i="28"/>
  <c r="G91" i="28"/>
  <c r="T91" i="28"/>
  <c r="S91" i="28"/>
  <c r="I91" i="28"/>
  <c r="X91" i="28"/>
  <c r="W91" i="28"/>
  <c r="U91" i="28"/>
  <c r="F91" i="28"/>
  <c r="D92" i="28"/>
  <c r="V91" i="28"/>
  <c r="C92" i="28"/>
  <c r="E92" i="28" l="1"/>
  <c r="Q91" i="28"/>
  <c r="N91" i="28" s="1"/>
  <c r="R90" i="28"/>
  <c r="Y90" i="28"/>
  <c r="P91" i="28"/>
  <c r="J90" i="28"/>
  <c r="L90" i="28"/>
  <c r="M90" i="28" s="1"/>
  <c r="K90" i="28"/>
  <c r="O90" i="28"/>
  <c r="H91" i="28"/>
  <c r="A94" i="28"/>
  <c r="B93" i="28"/>
  <c r="C93" i="28"/>
  <c r="X92" i="28"/>
  <c r="S92" i="28"/>
  <c r="U92" i="28"/>
  <c r="V92" i="28"/>
  <c r="D93" i="28"/>
  <c r="T92" i="28"/>
  <c r="F92" i="28"/>
  <c r="W92" i="28"/>
  <c r="G92" i="28"/>
  <c r="I92" i="28" s="1"/>
  <c r="P92" i="28" l="1"/>
  <c r="J91" i="28"/>
  <c r="Q92" i="28"/>
  <c r="N92" i="28" s="1"/>
  <c r="Y91" i="28"/>
  <c r="R91" i="28"/>
  <c r="E93" i="28"/>
  <c r="L91" i="28"/>
  <c r="M91" i="28" s="1"/>
  <c r="K91" i="28"/>
  <c r="O91" i="28"/>
  <c r="H92" i="28"/>
  <c r="B94" i="28"/>
  <c r="A95" i="28"/>
  <c r="X93" i="28"/>
  <c r="V93" i="28"/>
  <c r="T93" i="28"/>
  <c r="U93" i="28"/>
  <c r="D94" i="28"/>
  <c r="F93" i="28"/>
  <c r="W93" i="28"/>
  <c r="S93" i="28"/>
  <c r="G93" i="28"/>
  <c r="I93" i="28" s="1"/>
  <c r="C94" i="28"/>
  <c r="E94" i="28" l="1"/>
  <c r="P93" i="28"/>
  <c r="J92" i="28"/>
  <c r="R92" i="28"/>
  <c r="Y92" i="28"/>
  <c r="Q93" i="28"/>
  <c r="N93" i="28" s="1"/>
  <c r="H93" i="28"/>
  <c r="K92" i="28"/>
  <c r="O92" i="28"/>
  <c r="L92" i="28"/>
  <c r="M92" i="28" s="1"/>
  <c r="A96" i="28"/>
  <c r="B95" i="28"/>
  <c r="D95" i="28"/>
  <c r="V94" i="28"/>
  <c r="G94" i="28"/>
  <c r="W94" i="28"/>
  <c r="F94" i="28"/>
  <c r="I94" i="28"/>
  <c r="S94" i="28"/>
  <c r="U94" i="28"/>
  <c r="X94" i="28"/>
  <c r="C95" i="28"/>
  <c r="T94" i="28"/>
  <c r="Q94" i="28" l="1"/>
  <c r="N94" i="28" s="1"/>
  <c r="P94" i="28"/>
  <c r="J93" i="28"/>
  <c r="Y93" i="28"/>
  <c r="R93" i="28"/>
  <c r="E95" i="28"/>
  <c r="H94" i="28"/>
  <c r="K93" i="28"/>
  <c r="L93" i="28"/>
  <c r="M93" i="28" s="1"/>
  <c r="O93" i="28"/>
  <c r="B96" i="28"/>
  <c r="A97" i="28"/>
  <c r="W95" i="28"/>
  <c r="U95" i="28"/>
  <c r="V95" i="28"/>
  <c r="T95" i="28"/>
  <c r="C96" i="28"/>
  <c r="F95" i="28"/>
  <c r="X95" i="28"/>
  <c r="S95" i="28"/>
  <c r="G95" i="28"/>
  <c r="I95" i="28" s="1"/>
  <c r="D96" i="28"/>
  <c r="E96" i="28" l="1"/>
  <c r="P95" i="28"/>
  <c r="J94" i="28"/>
  <c r="R94" i="28"/>
  <c r="Y94" i="28"/>
  <c r="Q95" i="28"/>
  <c r="N95" i="28" s="1"/>
  <c r="L94" i="28"/>
  <c r="M94" i="28" s="1"/>
  <c r="K94" i="28"/>
  <c r="O94" i="28"/>
  <c r="H95" i="28"/>
  <c r="A98" i="28"/>
  <c r="B97" i="28"/>
  <c r="T96" i="28"/>
  <c r="F96" i="28"/>
  <c r="U96" i="28"/>
  <c r="S96" i="28"/>
  <c r="C97" i="28"/>
  <c r="X96" i="28"/>
  <c r="W96" i="28"/>
  <c r="V96" i="28"/>
  <c r="G96" i="28"/>
  <c r="I96" i="28" s="1"/>
  <c r="D97" i="28"/>
  <c r="E97" i="28" l="1"/>
  <c r="P96" i="28"/>
  <c r="J95" i="28"/>
  <c r="R95" i="28"/>
  <c r="Y95" i="28"/>
  <c r="Q96" i="28"/>
  <c r="N96" i="28" s="1"/>
  <c r="O95" i="28"/>
  <c r="L95" i="28"/>
  <c r="M95" i="28" s="1"/>
  <c r="K95" i="28"/>
  <c r="H96" i="28"/>
  <c r="B98" i="28"/>
  <c r="A99" i="28"/>
  <c r="X97" i="28"/>
  <c r="U97" i="28"/>
  <c r="W97" i="28"/>
  <c r="V97" i="28"/>
  <c r="C98" i="28"/>
  <c r="T97" i="28"/>
  <c r="F97" i="28"/>
  <c r="G97" i="28"/>
  <c r="I97" i="28" s="1"/>
  <c r="S97" i="28"/>
  <c r="D98" i="28"/>
  <c r="E98" i="28" l="1"/>
  <c r="R96" i="28"/>
  <c r="Y96" i="28"/>
  <c r="P97" i="28"/>
  <c r="J96" i="28"/>
  <c r="Q97" i="28"/>
  <c r="N97" i="28" s="1"/>
  <c r="H97" i="28"/>
  <c r="K96" i="28"/>
  <c r="O96" i="28"/>
  <c r="L96" i="28"/>
  <c r="M96" i="28" s="1"/>
  <c r="B99" i="28"/>
  <c r="A100" i="28"/>
  <c r="V98" i="28"/>
  <c r="T98" i="28"/>
  <c r="G98" i="28"/>
  <c r="S98" i="28"/>
  <c r="F98" i="28"/>
  <c r="D99" i="28"/>
  <c r="U98" i="28"/>
  <c r="W98" i="28"/>
  <c r="X98" i="28"/>
  <c r="C99" i="28"/>
  <c r="I98" i="28"/>
  <c r="E99" i="28" l="1"/>
  <c r="Q98" i="28"/>
  <c r="N98" i="28" s="1"/>
  <c r="R97" i="28"/>
  <c r="Y97" i="28"/>
  <c r="P98" i="28"/>
  <c r="J97" i="28"/>
  <c r="L97" i="28"/>
  <c r="M97" i="28" s="1"/>
  <c r="K97" i="28"/>
  <c r="O97" i="28"/>
  <c r="H98" i="28"/>
  <c r="B100" i="28"/>
  <c r="A101" i="28"/>
  <c r="F99" i="28"/>
  <c r="G99" i="28"/>
  <c r="T99" i="28"/>
  <c r="X99" i="28"/>
  <c r="C100" i="28"/>
  <c r="U99" i="28"/>
  <c r="S99" i="28"/>
  <c r="W99" i="28"/>
  <c r="V99" i="28"/>
  <c r="D100" i="28"/>
  <c r="I99" i="28"/>
  <c r="E100" i="28" l="1"/>
  <c r="P99" i="28"/>
  <c r="J98" i="28"/>
  <c r="Y98" i="28"/>
  <c r="R98" i="28"/>
  <c r="Q99" i="28"/>
  <c r="N99" i="28" s="1"/>
  <c r="O98" i="28"/>
  <c r="K98" i="28"/>
  <c r="L98" i="28"/>
  <c r="M98" i="28" s="1"/>
  <c r="H99" i="28"/>
  <c r="B101" i="28"/>
  <c r="A102" i="28"/>
  <c r="G100" i="28"/>
  <c r="X100" i="28"/>
  <c r="T100" i="28"/>
  <c r="U100" i="28"/>
  <c r="D101" i="28"/>
  <c r="I100" i="28"/>
  <c r="V100" i="28"/>
  <c r="W100" i="28"/>
  <c r="S100" i="28"/>
  <c r="C101" i="28"/>
  <c r="F100" i="28"/>
  <c r="E101" i="28" l="1"/>
  <c r="Y99" i="28"/>
  <c r="R99" i="28"/>
  <c r="Q100" i="28"/>
  <c r="N100" i="28" s="1"/>
  <c r="P100" i="28"/>
  <c r="J99" i="28"/>
  <c r="H100" i="28"/>
  <c r="L99" i="28"/>
  <c r="M99" i="28" s="1"/>
  <c r="K99" i="28"/>
  <c r="O99" i="28"/>
  <c r="A103" i="28"/>
  <c r="B102" i="28"/>
  <c r="V101" i="28"/>
  <c r="G101" i="28"/>
  <c r="U101" i="28"/>
  <c r="X101" i="28"/>
  <c r="S101" i="28"/>
  <c r="D102" i="28"/>
  <c r="F101" i="28"/>
  <c r="W101" i="28"/>
  <c r="T101" i="28"/>
  <c r="C102" i="28"/>
  <c r="I101" i="28"/>
  <c r="E102" i="28" l="1"/>
  <c r="Y100" i="28"/>
  <c r="R100" i="28"/>
  <c r="P101" i="28"/>
  <c r="J100" i="28"/>
  <c r="Q101" i="28"/>
  <c r="N101" i="28" s="1"/>
  <c r="K100" i="28"/>
  <c r="O100" i="28"/>
  <c r="L100" i="28"/>
  <c r="M100" i="28" s="1"/>
  <c r="H101" i="28"/>
  <c r="B103" i="28"/>
  <c r="A104" i="28"/>
  <c r="X102" i="28"/>
  <c r="S102" i="28"/>
  <c r="U102" i="28"/>
  <c r="T102" i="28"/>
  <c r="D103" i="28"/>
  <c r="G102" i="28"/>
  <c r="I102" i="28" s="1"/>
  <c r="W102" i="28"/>
  <c r="F102" i="28"/>
  <c r="V102" i="28"/>
  <c r="C103" i="28"/>
  <c r="E103" i="28" l="1"/>
  <c r="Q102" i="28"/>
  <c r="N102" i="28" s="1"/>
  <c r="Y101" i="28"/>
  <c r="R101" i="28"/>
  <c r="P102" i="28"/>
  <c r="J101" i="28"/>
  <c r="H102" i="28"/>
  <c r="O101" i="28"/>
  <c r="L101" i="28"/>
  <c r="M101" i="28" s="1"/>
  <c r="K101" i="28"/>
  <c r="B104" i="28"/>
  <c r="A105" i="28"/>
  <c r="T103" i="28"/>
  <c r="F103" i="28"/>
  <c r="X103" i="28"/>
  <c r="V103" i="28"/>
  <c r="C104" i="28"/>
  <c r="W103" i="28"/>
  <c r="U103" i="28"/>
  <c r="D104" i="28"/>
  <c r="S103" i="28"/>
  <c r="G103" i="28"/>
  <c r="I103" i="28" s="1"/>
  <c r="E104" i="28" l="1"/>
  <c r="P103" i="28"/>
  <c r="J102" i="28"/>
  <c r="Q103" i="28"/>
  <c r="N103" i="28" s="1"/>
  <c r="R102" i="28"/>
  <c r="Y102" i="28"/>
  <c r="K102" i="28"/>
  <c r="L102" i="28"/>
  <c r="M102" i="28" s="1"/>
  <c r="O102" i="28"/>
  <c r="H103" i="28"/>
  <c r="A106" i="28"/>
  <c r="B105" i="28"/>
  <c r="C105" i="28"/>
  <c r="G104" i="28"/>
  <c r="W104" i="28"/>
  <c r="T104" i="28"/>
  <c r="S104" i="28"/>
  <c r="D105" i="28"/>
  <c r="V104" i="28"/>
  <c r="U104" i="28"/>
  <c r="F104" i="28"/>
  <c r="X104" i="28"/>
  <c r="I104" i="28"/>
  <c r="Y103" i="28" l="1"/>
  <c r="R103" i="28"/>
  <c r="Q104" i="28"/>
  <c r="N104" i="28" s="1"/>
  <c r="P104" i="28"/>
  <c r="J103" i="28"/>
  <c r="E105" i="28"/>
  <c r="H104" i="28"/>
  <c r="L103" i="28"/>
  <c r="M103" i="28" s="1"/>
  <c r="K103" i="28"/>
  <c r="O103" i="28"/>
  <c r="B106" i="28"/>
  <c r="A107" i="28"/>
  <c r="G105" i="28"/>
  <c r="T105" i="28"/>
  <c r="X105" i="28"/>
  <c r="W105" i="28"/>
  <c r="I105" i="28"/>
  <c r="S105" i="28"/>
  <c r="V105" i="28"/>
  <c r="F105" i="28"/>
  <c r="U105" i="28"/>
  <c r="C106" i="28"/>
  <c r="D106" i="28"/>
  <c r="E106" i="28" l="1"/>
  <c r="Q105" i="28"/>
  <c r="N105" i="28" s="1"/>
  <c r="R104" i="28"/>
  <c r="Y104" i="28"/>
  <c r="P105" i="28"/>
  <c r="J104" i="28"/>
  <c r="H105" i="28"/>
  <c r="K104" i="28"/>
  <c r="L104" i="28"/>
  <c r="M104" i="28" s="1"/>
  <c r="O104" i="28"/>
  <c r="B107" i="28"/>
  <c r="A108" i="28"/>
  <c r="U106" i="28"/>
  <c r="W106" i="28"/>
  <c r="F106" i="28"/>
  <c r="X106" i="28"/>
  <c r="D107" i="28"/>
  <c r="T106" i="28"/>
  <c r="V106" i="28"/>
  <c r="G106" i="28"/>
  <c r="I106" i="28" s="1"/>
  <c r="C107" i="28"/>
  <c r="S106" i="28"/>
  <c r="E107" i="28" l="1"/>
  <c r="P106" i="28"/>
  <c r="J105" i="28"/>
  <c r="Q106" i="28"/>
  <c r="N106" i="28" s="1"/>
  <c r="Y105" i="28"/>
  <c r="R105" i="28"/>
  <c r="O105" i="28"/>
  <c r="L105" i="28"/>
  <c r="M105" i="28" s="1"/>
  <c r="K105" i="28"/>
  <c r="H106" i="28"/>
  <c r="A109" i="28"/>
  <c r="B108" i="28"/>
  <c r="D108" i="28"/>
  <c r="X107" i="28"/>
  <c r="V107" i="28"/>
  <c r="T107" i="28"/>
  <c r="G107" i="28"/>
  <c r="I107" i="28"/>
  <c r="S107" i="28"/>
  <c r="F107" i="28"/>
  <c r="W107" i="28"/>
  <c r="U107" i="28"/>
  <c r="C108" i="28"/>
  <c r="P107" i="28" l="1"/>
  <c r="J106" i="28"/>
  <c r="Q107" i="28"/>
  <c r="N107" i="28" s="1"/>
  <c r="Y106" i="28"/>
  <c r="R106" i="28"/>
  <c r="E108" i="28"/>
  <c r="H107" i="28"/>
  <c r="L106" i="28"/>
  <c r="M106" i="28" s="1"/>
  <c r="K106" i="28"/>
  <c r="O106" i="28"/>
  <c r="A110" i="28"/>
  <c r="B109" i="28"/>
  <c r="C109" i="28"/>
  <c r="X108" i="28"/>
  <c r="S108" i="28"/>
  <c r="V108" i="28"/>
  <c r="T108" i="28"/>
  <c r="D109" i="28"/>
  <c r="G108" i="28"/>
  <c r="I108" i="28" s="1"/>
  <c r="F108" i="28"/>
  <c r="U108" i="28"/>
  <c r="W108" i="28"/>
  <c r="Q108" i="28" l="1"/>
  <c r="N108" i="28" s="1"/>
  <c r="R107" i="28"/>
  <c r="Y107" i="28"/>
  <c r="P108" i="28"/>
  <c r="J107" i="28"/>
  <c r="E109" i="28"/>
  <c r="H108" i="28"/>
  <c r="K107" i="28"/>
  <c r="O107" i="28"/>
  <c r="L107" i="28"/>
  <c r="M107" i="28" s="1"/>
  <c r="A111" i="28"/>
  <c r="B110" i="28"/>
  <c r="T109" i="28"/>
  <c r="X109" i="28"/>
  <c r="F109" i="28"/>
  <c r="U109" i="28"/>
  <c r="D110" i="28"/>
  <c r="G109" i="28"/>
  <c r="I109" i="28" s="1"/>
  <c r="V109" i="28"/>
  <c r="W109" i="28"/>
  <c r="C110" i="28"/>
  <c r="S109" i="28"/>
  <c r="E110" i="28" l="1"/>
  <c r="Q109" i="28"/>
  <c r="N109" i="28" s="1"/>
  <c r="R108" i="28"/>
  <c r="Y108" i="28"/>
  <c r="P109" i="28"/>
  <c r="J108" i="28"/>
  <c r="L108" i="28"/>
  <c r="M108" i="28" s="1"/>
  <c r="O108" i="28"/>
  <c r="K108" i="28"/>
  <c r="H109" i="28"/>
  <c r="B111" i="28"/>
  <c r="A112" i="28"/>
  <c r="U110" i="28"/>
  <c r="T110" i="28"/>
  <c r="G110" i="28"/>
  <c r="S110" i="28"/>
  <c r="C111" i="28"/>
  <c r="F110" i="28"/>
  <c r="W110" i="28"/>
  <c r="X110" i="28"/>
  <c r="V110" i="28"/>
  <c r="D111" i="28"/>
  <c r="I110" i="28"/>
  <c r="E111" i="28" l="1"/>
  <c r="Y109" i="28"/>
  <c r="R109" i="28"/>
  <c r="P110" i="28"/>
  <c r="J109" i="28"/>
  <c r="Q110" i="28"/>
  <c r="N110" i="28" s="1"/>
  <c r="K109" i="28"/>
  <c r="L109" i="28"/>
  <c r="M109" i="28" s="1"/>
  <c r="O109" i="28"/>
  <c r="H110" i="28"/>
  <c r="A113" i="28"/>
  <c r="B112" i="28"/>
  <c r="S111" i="28"/>
  <c r="G111" i="28"/>
  <c r="W111" i="28"/>
  <c r="V111" i="28"/>
  <c r="C112" i="28"/>
  <c r="I111" i="28"/>
  <c r="F111" i="28"/>
  <c r="X111" i="28"/>
  <c r="T111" i="28"/>
  <c r="D112" i="28"/>
  <c r="U111" i="28"/>
  <c r="E112" i="28" l="1"/>
  <c r="Q111" i="28"/>
  <c r="N111" i="28" s="1"/>
  <c r="P111" i="28"/>
  <c r="J110" i="28"/>
  <c r="Y110" i="28"/>
  <c r="R110" i="28"/>
  <c r="K110" i="28"/>
  <c r="O110" i="28"/>
  <c r="L110" i="28"/>
  <c r="M110" i="28" s="1"/>
  <c r="H111" i="28"/>
  <c r="B113" i="28"/>
  <c r="A114" i="28"/>
  <c r="F112" i="28"/>
  <c r="S112" i="28"/>
  <c r="G112" i="28"/>
  <c r="U112" i="28"/>
  <c r="D113" i="28"/>
  <c r="X112" i="28"/>
  <c r="W112" i="28"/>
  <c r="T112" i="28"/>
  <c r="V112" i="28"/>
  <c r="C113" i="28"/>
  <c r="I112" i="28"/>
  <c r="E113" i="28" l="1"/>
  <c r="P112" i="28"/>
  <c r="J111" i="28"/>
  <c r="R111" i="28"/>
  <c r="Y111" i="28"/>
  <c r="Q112" i="28"/>
  <c r="N112" i="28" s="1"/>
  <c r="L111" i="28"/>
  <c r="M111" i="28" s="1"/>
  <c r="K111" i="28"/>
  <c r="O111" i="28"/>
  <c r="H112" i="28"/>
  <c r="A115" i="28"/>
  <c r="B114" i="28"/>
  <c r="U113" i="28"/>
  <c r="V113" i="28"/>
  <c r="G113" i="28"/>
  <c r="S113" i="28"/>
  <c r="D114" i="28"/>
  <c r="I113" i="28"/>
  <c r="X113" i="28"/>
  <c r="F113" i="28"/>
  <c r="T113" i="28"/>
  <c r="C114" i="28"/>
  <c r="W113" i="28"/>
  <c r="E114" i="28" l="1"/>
  <c r="R112" i="28"/>
  <c r="Y112" i="28"/>
  <c r="Q113" i="28"/>
  <c r="N113" i="28" s="1"/>
  <c r="P113" i="28"/>
  <c r="J112" i="28"/>
  <c r="K112" i="28"/>
  <c r="O112" i="28"/>
  <c r="L112" i="28"/>
  <c r="M112" i="28" s="1"/>
  <c r="H113" i="28"/>
  <c r="B115" i="28"/>
  <c r="A116" i="28"/>
  <c r="V114" i="28"/>
  <c r="G114" i="28"/>
  <c r="I114" i="28"/>
  <c r="T114" i="28"/>
  <c r="U114" i="28"/>
  <c r="S114" i="28"/>
  <c r="W114" i="28"/>
  <c r="D115" i="28"/>
  <c r="F114" i="28"/>
  <c r="X114" i="28"/>
  <c r="C115" i="28"/>
  <c r="E115" i="28" l="1"/>
  <c r="P114" i="28"/>
  <c r="J113" i="28"/>
  <c r="Y113" i="28"/>
  <c r="R113" i="28"/>
  <c r="Q114" i="28"/>
  <c r="N114" i="28" s="1"/>
  <c r="O113" i="28"/>
  <c r="K113" i="28"/>
  <c r="L113" i="28"/>
  <c r="M113" i="28" s="1"/>
  <c r="H114" i="28"/>
  <c r="A117" i="28"/>
  <c r="B116" i="28"/>
  <c r="C116" i="28"/>
  <c r="U115" i="28"/>
  <c r="F115" i="28"/>
  <c r="W115" i="28"/>
  <c r="G115" i="28"/>
  <c r="I115" i="28"/>
  <c r="V115" i="28"/>
  <c r="D116" i="28"/>
  <c r="S115" i="28"/>
  <c r="X115" i="28"/>
  <c r="T115" i="28"/>
  <c r="P115" i="28" l="1"/>
  <c r="J114" i="28"/>
  <c r="Q115" i="28"/>
  <c r="N115" i="28" s="1"/>
  <c r="R114" i="28"/>
  <c r="Y114" i="28"/>
  <c r="E116" i="28"/>
  <c r="H115" i="28"/>
  <c r="O114" i="28"/>
  <c r="K114" i="28"/>
  <c r="L114" i="28"/>
  <c r="M114" i="28" s="1"/>
  <c r="B117" i="28"/>
  <c r="A118" i="28"/>
  <c r="U116" i="28"/>
  <c r="X116" i="28"/>
  <c r="W116" i="28"/>
  <c r="V116" i="28"/>
  <c r="C117" i="28"/>
  <c r="T116" i="28"/>
  <c r="F116" i="28"/>
  <c r="G116" i="28"/>
  <c r="I116" i="28" s="1"/>
  <c r="S116" i="28"/>
  <c r="D117" i="28"/>
  <c r="E117" i="28" l="1"/>
  <c r="P116" i="28"/>
  <c r="J115" i="28"/>
  <c r="Q116" i="28"/>
  <c r="N116" i="28" s="1"/>
  <c r="Y115" i="28"/>
  <c r="R115" i="28"/>
  <c r="H116" i="28"/>
  <c r="O115" i="28"/>
  <c r="K115" i="28"/>
  <c r="L115" i="28"/>
  <c r="M115" i="28" s="1"/>
  <c r="A119" i="28"/>
  <c r="B118" i="28"/>
  <c r="W117" i="28"/>
  <c r="V117" i="28"/>
  <c r="U117" i="28"/>
  <c r="T117" i="28"/>
  <c r="D118" i="28"/>
  <c r="X117" i="28"/>
  <c r="G117" i="28"/>
  <c r="I117" i="28" s="1"/>
  <c r="F117" i="28"/>
  <c r="S117" i="28"/>
  <c r="C118" i="28"/>
  <c r="E118" i="28" l="1"/>
  <c r="Y116" i="28"/>
  <c r="R116" i="28"/>
  <c r="Q117" i="28"/>
  <c r="N117" i="28" s="1"/>
  <c r="P117" i="28"/>
  <c r="J116" i="28"/>
  <c r="K116" i="28"/>
  <c r="O116" i="28"/>
  <c r="L116" i="28"/>
  <c r="M116" i="28" s="1"/>
  <c r="H117" i="28"/>
  <c r="B119" i="28"/>
  <c r="A120" i="28"/>
  <c r="S118" i="28"/>
  <c r="G118" i="28"/>
  <c r="X118" i="28"/>
  <c r="F118" i="28"/>
  <c r="D119" i="28"/>
  <c r="I118" i="28"/>
  <c r="U118" i="28"/>
  <c r="W118" i="28"/>
  <c r="V118" i="28"/>
  <c r="C119" i="28"/>
  <c r="T118" i="28"/>
  <c r="E119" i="28" l="1"/>
  <c r="Q118" i="28"/>
  <c r="N118" i="28" s="1"/>
  <c r="P118" i="28"/>
  <c r="J117" i="28"/>
  <c r="Y117" i="28"/>
  <c r="R117" i="28"/>
  <c r="K117" i="28"/>
  <c r="O117" i="28"/>
  <c r="L117" i="28"/>
  <c r="M117" i="28" s="1"/>
  <c r="H118" i="28"/>
  <c r="A121" i="28"/>
  <c r="B120" i="28"/>
  <c r="S119" i="28"/>
  <c r="X119" i="28"/>
  <c r="T119" i="28"/>
  <c r="G119" i="28"/>
  <c r="D120" i="28"/>
  <c r="I119" i="28"/>
  <c r="U119" i="28"/>
  <c r="V119" i="28"/>
  <c r="W119" i="28"/>
  <c r="C120" i="28"/>
  <c r="F119" i="28"/>
  <c r="E120" i="28" l="1"/>
  <c r="P119" i="28"/>
  <c r="J118" i="28"/>
  <c r="Q119" i="28"/>
  <c r="N119" i="28" s="1"/>
  <c r="R118" i="28"/>
  <c r="Y118" i="28"/>
  <c r="L118" i="28"/>
  <c r="M118" i="28" s="1"/>
  <c r="K118" i="28"/>
  <c r="O118" i="28"/>
  <c r="H119" i="28"/>
  <c r="B121" i="28"/>
  <c r="A122" i="28"/>
  <c r="T120" i="28"/>
  <c r="W120" i="28"/>
  <c r="S120" i="28"/>
  <c r="U120" i="28"/>
  <c r="C121" i="28"/>
  <c r="X120" i="28"/>
  <c r="G120" i="28"/>
  <c r="I120" i="28" s="1"/>
  <c r="F120" i="28"/>
  <c r="V120" i="28"/>
  <c r="D121" i="28"/>
  <c r="E121" i="28" l="1"/>
  <c r="Q120" i="28"/>
  <c r="N120" i="28" s="1"/>
  <c r="R119" i="28"/>
  <c r="Y119" i="28"/>
  <c r="P120" i="28"/>
  <c r="J119" i="28"/>
  <c r="H120" i="28"/>
  <c r="K119" i="28"/>
  <c r="L119" i="28"/>
  <c r="M119" i="28" s="1"/>
  <c r="O119" i="28"/>
  <c r="A123" i="28"/>
  <c r="B122" i="28"/>
  <c r="C122" i="28"/>
  <c r="F121" i="28"/>
  <c r="G121" i="28"/>
  <c r="S121" i="28"/>
  <c r="U121" i="28"/>
  <c r="D122" i="28"/>
  <c r="T121" i="28"/>
  <c r="V121" i="28"/>
  <c r="X121" i="28"/>
  <c r="W121" i="28"/>
  <c r="I121" i="28"/>
  <c r="R120" i="28" l="1"/>
  <c r="Y120" i="28"/>
  <c r="P121" i="28"/>
  <c r="J120" i="28"/>
  <c r="Q121" i="28"/>
  <c r="N121" i="28" s="1"/>
  <c r="E122" i="28"/>
  <c r="K120" i="28"/>
  <c r="O120" i="28"/>
  <c r="L120" i="28"/>
  <c r="M120" i="28" s="1"/>
  <c r="H121" i="28"/>
  <c r="B123" i="28"/>
  <c r="A124" i="28"/>
  <c r="X122" i="28"/>
  <c r="F122" i="28"/>
  <c r="U122" i="28"/>
  <c r="V122" i="28"/>
  <c r="S122" i="28"/>
  <c r="C123" i="28"/>
  <c r="T122" i="28"/>
  <c r="G122" i="28"/>
  <c r="I122" i="28" s="1"/>
  <c r="W122" i="28"/>
  <c r="D123" i="28"/>
  <c r="E123" i="28" l="1"/>
  <c r="Y121" i="28"/>
  <c r="R121" i="28"/>
  <c r="P122" i="28"/>
  <c r="J121" i="28"/>
  <c r="Q122" i="28"/>
  <c r="N122" i="28" s="1"/>
  <c r="H122" i="28"/>
  <c r="L121" i="28"/>
  <c r="M121" i="28" s="1"/>
  <c r="K121" i="28"/>
  <c r="O121" i="28"/>
  <c r="A125" i="28"/>
  <c r="B124" i="28"/>
  <c r="U123" i="28"/>
  <c r="V123" i="28"/>
  <c r="S123" i="28"/>
  <c r="F123" i="28"/>
  <c r="C124" i="28"/>
  <c r="W123" i="28"/>
  <c r="G123" i="28"/>
  <c r="X123" i="28"/>
  <c r="T123" i="28"/>
  <c r="D124" i="28"/>
  <c r="I123" i="28"/>
  <c r="E124" i="28" l="1"/>
  <c r="Q123" i="28"/>
  <c r="N123" i="28" s="1"/>
  <c r="R122" i="28"/>
  <c r="Y122" i="28"/>
  <c r="P123" i="28"/>
  <c r="J122" i="28"/>
  <c r="K122" i="28"/>
  <c r="O122" i="28"/>
  <c r="L122" i="28"/>
  <c r="M122" i="28" s="1"/>
  <c r="H123" i="28"/>
  <c r="B125" i="28"/>
  <c r="A126" i="28"/>
  <c r="F124" i="28"/>
  <c r="T124" i="28"/>
  <c r="G124" i="28"/>
  <c r="X124" i="28"/>
  <c r="C125" i="28"/>
  <c r="I124" i="28"/>
  <c r="U124" i="28"/>
  <c r="S124" i="28"/>
  <c r="W124" i="28"/>
  <c r="V124" i="28"/>
  <c r="D125" i="28"/>
  <c r="E125" i="28" l="1"/>
  <c r="P124" i="28"/>
  <c r="J123" i="28"/>
  <c r="R123" i="28"/>
  <c r="Y123" i="28"/>
  <c r="Q124" i="28"/>
  <c r="N124" i="28" s="1"/>
  <c r="O123" i="28"/>
  <c r="K123" i="28"/>
  <c r="L123" i="28"/>
  <c r="M123" i="28" s="1"/>
  <c r="H124" i="28"/>
  <c r="B126" i="28"/>
  <c r="A127" i="28"/>
  <c r="F125" i="28"/>
  <c r="W125" i="28"/>
  <c r="T125" i="28"/>
  <c r="U125" i="28"/>
  <c r="D126" i="28"/>
  <c r="X125" i="28"/>
  <c r="V125" i="28"/>
  <c r="S125" i="28"/>
  <c r="G125" i="28"/>
  <c r="I125" i="28" s="1"/>
  <c r="C126" i="28"/>
  <c r="E126" i="28" l="1"/>
  <c r="P125" i="28"/>
  <c r="J124" i="28"/>
  <c r="R124" i="28"/>
  <c r="Y124" i="28"/>
  <c r="Q125" i="28"/>
  <c r="N125" i="28" s="1"/>
  <c r="H125" i="28"/>
  <c r="O124" i="28"/>
  <c r="K124" i="28"/>
  <c r="L124" i="28"/>
  <c r="M124" i="28" s="1"/>
  <c r="B127" i="28"/>
  <c r="A128" i="28"/>
  <c r="T126" i="28"/>
  <c r="F126" i="28"/>
  <c r="U126" i="28"/>
  <c r="G126" i="28"/>
  <c r="D127" i="28"/>
  <c r="I126" i="28"/>
  <c r="S126" i="28"/>
  <c r="X126" i="28"/>
  <c r="W126" i="28"/>
  <c r="C127" i="28"/>
  <c r="V126" i="28"/>
  <c r="E127" i="28" l="1"/>
  <c r="P126" i="28"/>
  <c r="J125" i="28"/>
  <c r="Y125" i="28"/>
  <c r="R125" i="28"/>
  <c r="Q126" i="28"/>
  <c r="N126" i="28" s="1"/>
  <c r="H126" i="28"/>
  <c r="O125" i="28"/>
  <c r="L125" i="28"/>
  <c r="M125" i="28" s="1"/>
  <c r="K125" i="28"/>
  <c r="A129" i="28"/>
  <c r="B128" i="28"/>
  <c r="C128" i="28"/>
  <c r="D128" i="28"/>
  <c r="S127" i="28"/>
  <c r="W127" i="28"/>
  <c r="U127" i="28"/>
  <c r="G127" i="28"/>
  <c r="F127" i="28"/>
  <c r="T127" i="28"/>
  <c r="V127" i="28"/>
  <c r="X127" i="28"/>
  <c r="I127" i="28"/>
  <c r="P127" i="28" l="1"/>
  <c r="J126" i="28"/>
  <c r="Y126" i="28"/>
  <c r="R126" i="28"/>
  <c r="Q127" i="28"/>
  <c r="N127" i="28" s="1"/>
  <c r="E128" i="28"/>
  <c r="H127" i="28"/>
  <c r="K126" i="28"/>
  <c r="O126" i="28"/>
  <c r="L126" i="28"/>
  <c r="M126" i="28" s="1"/>
  <c r="B129" i="28"/>
  <c r="A130" i="28"/>
  <c r="U128" i="28"/>
  <c r="S128" i="28"/>
  <c r="F128" i="28"/>
  <c r="V128" i="28"/>
  <c r="D129" i="28"/>
  <c r="W128" i="28"/>
  <c r="G128" i="28"/>
  <c r="I128" i="28" s="1"/>
  <c r="X128" i="28"/>
  <c r="T128" i="28"/>
  <c r="C129" i="28"/>
  <c r="E129" i="28" l="1"/>
  <c r="P128" i="28"/>
  <c r="J127" i="28"/>
  <c r="Q128" i="28"/>
  <c r="N128" i="28" s="1"/>
  <c r="Y127" i="28"/>
  <c r="R127" i="28"/>
  <c r="H128" i="28"/>
  <c r="K127" i="28"/>
  <c r="O127" i="28"/>
  <c r="L127" i="28"/>
  <c r="M127" i="28" s="1"/>
  <c r="A131" i="28"/>
  <c r="B130" i="28"/>
  <c r="G129" i="28"/>
  <c r="S129" i="28"/>
  <c r="F129" i="28"/>
  <c r="X129" i="28"/>
  <c r="D130" i="28"/>
  <c r="I129" i="28"/>
  <c r="W129" i="28"/>
  <c r="T129" i="28"/>
  <c r="C130" i="28"/>
  <c r="V129" i="28"/>
  <c r="U129" i="28"/>
  <c r="E130" i="28" l="1"/>
  <c r="Q129" i="28"/>
  <c r="N129" i="28" s="1"/>
  <c r="Y128" i="28"/>
  <c r="R128" i="28"/>
  <c r="P129" i="28"/>
  <c r="J128" i="28"/>
  <c r="K128" i="28"/>
  <c r="L128" i="28"/>
  <c r="M128" i="28" s="1"/>
  <c r="O128" i="28"/>
  <c r="H129" i="28"/>
  <c r="B131" i="28"/>
  <c r="A132" i="28"/>
  <c r="T130" i="28"/>
  <c r="W130" i="28"/>
  <c r="V130" i="28"/>
  <c r="F130" i="28"/>
  <c r="C131" i="28"/>
  <c r="X130" i="28"/>
  <c r="U130" i="28"/>
  <c r="G130" i="28"/>
  <c r="I130" i="28" s="1"/>
  <c r="S130" i="28"/>
  <c r="D131" i="28"/>
  <c r="E131" i="28" l="1"/>
  <c r="Q130" i="28"/>
  <c r="N130" i="28" s="1"/>
  <c r="Y129" i="28"/>
  <c r="R129" i="28"/>
  <c r="P130" i="28"/>
  <c r="J129" i="28"/>
  <c r="K129" i="28"/>
  <c r="O129" i="28"/>
  <c r="L129" i="28"/>
  <c r="M129" i="28" s="1"/>
  <c r="H130" i="28"/>
  <c r="A133" i="28"/>
  <c r="B132" i="28"/>
  <c r="D132" i="28"/>
  <c r="U131" i="28"/>
  <c r="W131" i="28"/>
  <c r="V131" i="28"/>
  <c r="X131" i="28"/>
  <c r="C132" i="28"/>
  <c r="G131" i="28"/>
  <c r="S131" i="28"/>
  <c r="F131" i="28"/>
  <c r="T131" i="28"/>
  <c r="I131" i="28"/>
  <c r="Q131" i="28" l="1"/>
  <c r="N131" i="28" s="1"/>
  <c r="R130" i="28"/>
  <c r="Y130" i="28"/>
  <c r="P131" i="28"/>
  <c r="J130" i="28"/>
  <c r="E132" i="28"/>
  <c r="L130" i="28"/>
  <c r="M130" i="28" s="1"/>
  <c r="K130" i="28"/>
  <c r="O130" i="28"/>
  <c r="H131" i="28"/>
  <c r="B133" i="28"/>
  <c r="A134" i="28"/>
  <c r="X132" i="28"/>
  <c r="W132" i="28"/>
  <c r="F132" i="28"/>
  <c r="S132" i="28"/>
  <c r="C133" i="28"/>
  <c r="V132" i="28"/>
  <c r="G132" i="28"/>
  <c r="I132" i="28" s="1"/>
  <c r="T132" i="28"/>
  <c r="D133" i="28"/>
  <c r="U132" i="28"/>
  <c r="E133" i="28" l="1"/>
  <c r="R131" i="28"/>
  <c r="Y131" i="28"/>
  <c r="Q132" i="28"/>
  <c r="N132" i="28" s="1"/>
  <c r="P132" i="28"/>
  <c r="J131" i="28"/>
  <c r="H132" i="28"/>
  <c r="L131" i="28"/>
  <c r="M131" i="28" s="1"/>
  <c r="O131" i="28"/>
  <c r="K131" i="28"/>
  <c r="A135" i="28"/>
  <c r="B134" i="28"/>
  <c r="C134" i="28"/>
  <c r="S133" i="28"/>
  <c r="G133" i="28"/>
  <c r="T133" i="28"/>
  <c r="W133" i="28"/>
  <c r="I133" i="28"/>
  <c r="D134" i="28"/>
  <c r="U133" i="28"/>
  <c r="X133" i="28"/>
  <c r="F133" i="28"/>
  <c r="V133" i="28"/>
  <c r="Q133" i="28" l="1"/>
  <c r="N133" i="28" s="1"/>
  <c r="P133" i="28"/>
  <c r="J132" i="28"/>
  <c r="R132" i="28"/>
  <c r="Y132" i="28"/>
  <c r="E134" i="28"/>
  <c r="K132" i="28"/>
  <c r="O132" i="28"/>
  <c r="L132" i="28"/>
  <c r="M132" i="28" s="1"/>
  <c r="H133" i="28"/>
  <c r="B135" i="28"/>
  <c r="A136" i="28"/>
  <c r="S134" i="28"/>
  <c r="X134" i="28"/>
  <c r="F134" i="28"/>
  <c r="G134" i="28"/>
  <c r="D135" i="28"/>
  <c r="I134" i="28"/>
  <c r="W134" i="28"/>
  <c r="U134" i="28"/>
  <c r="T134" i="28"/>
  <c r="C135" i="28"/>
  <c r="V134" i="28"/>
  <c r="E135" i="28" l="1"/>
  <c r="P134" i="28"/>
  <c r="J133" i="28"/>
  <c r="Q134" i="28"/>
  <c r="N134" i="28" s="1"/>
  <c r="Y133" i="28"/>
  <c r="R133" i="28"/>
  <c r="K133" i="28"/>
  <c r="L133" i="28"/>
  <c r="M133" i="28" s="1"/>
  <c r="O133" i="28"/>
  <c r="H134" i="28"/>
  <c r="A137" i="28"/>
  <c r="B136" i="28"/>
  <c r="C136" i="28"/>
  <c r="T135" i="28"/>
  <c r="V135" i="28"/>
  <c r="F135" i="28"/>
  <c r="G135" i="28"/>
  <c r="I135" i="28"/>
  <c r="D136" i="28"/>
  <c r="X135" i="28"/>
  <c r="S135" i="28"/>
  <c r="W135" i="28"/>
  <c r="U135" i="28"/>
  <c r="P135" i="28" l="1"/>
  <c r="J134" i="28"/>
  <c r="Q135" i="28"/>
  <c r="N135" i="28" s="1"/>
  <c r="R134" i="28"/>
  <c r="Y134" i="28"/>
  <c r="E136" i="28"/>
  <c r="H135" i="28"/>
  <c r="L134" i="28"/>
  <c r="M134" i="28" s="1"/>
  <c r="K134" i="28"/>
  <c r="O134" i="28"/>
  <c r="A138" i="28"/>
  <c r="B137" i="28"/>
  <c r="G136" i="28"/>
  <c r="V136" i="28"/>
  <c r="T136" i="28"/>
  <c r="X136" i="28"/>
  <c r="C137" i="28"/>
  <c r="I136" i="28"/>
  <c r="S136" i="28"/>
  <c r="W136" i="28"/>
  <c r="F136" i="28"/>
  <c r="U136" i="28"/>
  <c r="D137" i="28"/>
  <c r="E137" i="28" l="1"/>
  <c r="Q136" i="28"/>
  <c r="N136" i="28" s="1"/>
  <c r="Y135" i="28"/>
  <c r="R135" i="28"/>
  <c r="P136" i="28"/>
  <c r="J135" i="28"/>
  <c r="H136" i="28"/>
  <c r="O135" i="28"/>
  <c r="K135" i="28"/>
  <c r="L135" i="28"/>
  <c r="M135" i="28" s="1"/>
  <c r="B138" i="28"/>
  <c r="A139" i="28"/>
  <c r="W137" i="28"/>
  <c r="T137" i="28"/>
  <c r="U137" i="28"/>
  <c r="G137" i="28"/>
  <c r="C138" i="28"/>
  <c r="I137" i="28"/>
  <c r="V137" i="28"/>
  <c r="S137" i="28"/>
  <c r="X137" i="28"/>
  <c r="F137" i="28"/>
  <c r="D138" i="28"/>
  <c r="E138" i="28" l="1"/>
  <c r="Q137" i="28"/>
  <c r="N137" i="28" s="1"/>
  <c r="P137" i="28"/>
  <c r="J136" i="28"/>
  <c r="R136" i="28"/>
  <c r="Y136" i="28"/>
  <c r="O136" i="28"/>
  <c r="K136" i="28"/>
  <c r="L136" i="28"/>
  <c r="M136" i="28" s="1"/>
  <c r="H137" i="28"/>
  <c r="A140" i="28"/>
  <c r="B139" i="28"/>
  <c r="X138" i="28"/>
  <c r="C139" i="28"/>
  <c r="W138" i="28"/>
  <c r="G138" i="28"/>
  <c r="T138" i="28"/>
  <c r="F138" i="28"/>
  <c r="D139" i="28"/>
  <c r="U138" i="28"/>
  <c r="V138" i="28"/>
  <c r="S138" i="28"/>
  <c r="I138" i="28"/>
  <c r="Q138" i="28" l="1"/>
  <c r="N138" i="28" s="1"/>
  <c r="Y137" i="28"/>
  <c r="R137" i="28"/>
  <c r="P138" i="28"/>
  <c r="J137" i="28"/>
  <c r="E139" i="28"/>
  <c r="O137" i="28"/>
  <c r="L137" i="28"/>
  <c r="M137" i="28" s="1"/>
  <c r="K137" i="28"/>
  <c r="H138" i="28"/>
  <c r="B140" i="28"/>
  <c r="A141" i="28"/>
  <c r="T139" i="28"/>
  <c r="G139" i="28"/>
  <c r="I139" i="28" s="1"/>
  <c r="F139" i="28"/>
  <c r="S139" i="28"/>
  <c r="V139" i="28"/>
  <c r="D140" i="28"/>
  <c r="X139" i="28"/>
  <c r="U139" i="28"/>
  <c r="W139" i="28"/>
  <c r="C140" i="28"/>
  <c r="E140" i="28" l="1"/>
  <c r="R138" i="28"/>
  <c r="Y138" i="28"/>
  <c r="Q139" i="28"/>
  <c r="N139" i="28" s="1"/>
  <c r="P139" i="28"/>
  <c r="J138" i="28"/>
  <c r="L138" i="28"/>
  <c r="M138" i="28" s="1"/>
  <c r="K138" i="28"/>
  <c r="O138" i="28"/>
  <c r="H139" i="28"/>
  <c r="A142" i="28"/>
  <c r="B141" i="28"/>
  <c r="C141" i="28"/>
  <c r="W140" i="28"/>
  <c r="F140" i="28"/>
  <c r="G140" i="28"/>
  <c r="U140" i="28"/>
  <c r="I140" i="28"/>
  <c r="T140" i="28"/>
  <c r="V140" i="28"/>
  <c r="S140" i="28"/>
  <c r="D141" i="28"/>
  <c r="X140" i="28"/>
  <c r="Y139" i="28" l="1"/>
  <c r="R139" i="28"/>
  <c r="P140" i="28"/>
  <c r="J139" i="28"/>
  <c r="Q140" i="28"/>
  <c r="N140" i="28" s="1"/>
  <c r="E141" i="28"/>
  <c r="O139" i="28"/>
  <c r="K139" i="28"/>
  <c r="L139" i="28"/>
  <c r="M139" i="28" s="1"/>
  <c r="H140" i="28"/>
  <c r="B142" i="28"/>
  <c r="A143" i="28"/>
  <c r="F141" i="28"/>
  <c r="V141" i="28"/>
  <c r="U141" i="28"/>
  <c r="X141" i="28"/>
  <c r="D142" i="28"/>
  <c r="G141" i="28"/>
  <c r="I141" i="28" s="1"/>
  <c r="S141" i="28"/>
  <c r="C142" i="28"/>
  <c r="W141" i="28"/>
  <c r="T141" i="28"/>
  <c r="E142" i="28" l="1"/>
  <c r="Y140" i="28"/>
  <c r="R140" i="28"/>
  <c r="P141" i="28"/>
  <c r="J140" i="28"/>
  <c r="Q141" i="28"/>
  <c r="N141" i="28" s="1"/>
  <c r="H141" i="28"/>
  <c r="K140" i="28"/>
  <c r="O140" i="28"/>
  <c r="L140" i="28"/>
  <c r="M140" i="28" s="1"/>
  <c r="A144" i="28"/>
  <c r="B143" i="28"/>
  <c r="X142" i="28"/>
  <c r="U142" i="28"/>
  <c r="F142" i="28"/>
  <c r="S142" i="28"/>
  <c r="T142" i="28"/>
  <c r="C143" i="28"/>
  <c r="V142" i="28"/>
  <c r="G142" i="28"/>
  <c r="I142" i="28" s="1"/>
  <c r="W142" i="28"/>
  <c r="D143" i="28"/>
  <c r="E143" i="28" l="1"/>
  <c r="R141" i="28"/>
  <c r="Y141" i="28"/>
  <c r="P142" i="28"/>
  <c r="J141" i="28"/>
  <c r="Q142" i="28"/>
  <c r="N142" i="28" s="1"/>
  <c r="O141" i="28"/>
  <c r="L141" i="28"/>
  <c r="M141" i="28" s="1"/>
  <c r="K141" i="28"/>
  <c r="H142" i="28"/>
  <c r="B144" i="28"/>
  <c r="A145" i="28"/>
  <c r="G143" i="28"/>
  <c r="V143" i="28"/>
  <c r="F143" i="28"/>
  <c r="X143" i="28"/>
  <c r="C144" i="28"/>
  <c r="I143" i="28"/>
  <c r="T143" i="28"/>
  <c r="S143" i="28"/>
  <c r="U143" i="28"/>
  <c r="W143" i="28"/>
  <c r="D144" i="28"/>
  <c r="E144" i="28" l="1"/>
  <c r="Q143" i="28"/>
  <c r="N143" i="28" s="1"/>
  <c r="R142" i="28"/>
  <c r="Y142" i="28"/>
  <c r="P143" i="28"/>
  <c r="J142" i="28"/>
  <c r="H143" i="28"/>
  <c r="O142" i="28"/>
  <c r="L142" i="28"/>
  <c r="M142" i="28" s="1"/>
  <c r="K142" i="28"/>
  <c r="A146" i="28"/>
  <c r="B145" i="28"/>
  <c r="F144" i="28"/>
  <c r="S144" i="28"/>
  <c r="T144" i="28"/>
  <c r="W144" i="28"/>
  <c r="C145" i="28"/>
  <c r="G144" i="28"/>
  <c r="U144" i="28"/>
  <c r="V144" i="28"/>
  <c r="X144" i="28"/>
  <c r="D145" i="28"/>
  <c r="I144" i="28"/>
  <c r="E145" i="28" l="1"/>
  <c r="R143" i="28"/>
  <c r="Y143" i="28"/>
  <c r="Q144" i="28"/>
  <c r="N144" i="28" s="1"/>
  <c r="P144" i="28"/>
  <c r="J143" i="28"/>
  <c r="K143" i="28"/>
  <c r="O143" i="28"/>
  <c r="L143" i="28"/>
  <c r="M143" i="28" s="1"/>
  <c r="H144" i="28"/>
  <c r="B146" i="28"/>
  <c r="A147" i="28"/>
  <c r="F145" i="28"/>
  <c r="G145" i="28"/>
  <c r="I145" i="28" s="1"/>
  <c r="V145" i="28"/>
  <c r="W145" i="28"/>
  <c r="T145" i="28"/>
  <c r="D146" i="28"/>
  <c r="U145" i="28"/>
  <c r="X145" i="28"/>
  <c r="S145" i="28"/>
  <c r="C146" i="28"/>
  <c r="E146" i="28" l="1"/>
  <c r="R144" i="28"/>
  <c r="Y144" i="28"/>
  <c r="P145" i="28"/>
  <c r="J144" i="28"/>
  <c r="Q145" i="28"/>
  <c r="N145" i="28" s="1"/>
  <c r="K144" i="28"/>
  <c r="O144" i="28"/>
  <c r="L144" i="28"/>
  <c r="M144" i="28" s="1"/>
  <c r="H145" i="28"/>
  <c r="A148" i="28"/>
  <c r="B147" i="28"/>
  <c r="W146" i="28"/>
  <c r="V146" i="28"/>
  <c r="G146" i="28"/>
  <c r="F146" i="28"/>
  <c r="C147" i="28"/>
  <c r="T146" i="28"/>
  <c r="X146" i="28"/>
  <c r="S146" i="28"/>
  <c r="U146" i="28"/>
  <c r="D147" i="28"/>
  <c r="I146" i="28"/>
  <c r="E147" i="28" l="1"/>
  <c r="Q146" i="28"/>
  <c r="N146" i="28" s="1"/>
  <c r="P146" i="28"/>
  <c r="J145" i="28"/>
  <c r="Y145" i="28"/>
  <c r="R145" i="28"/>
  <c r="O145" i="28"/>
  <c r="L145" i="28"/>
  <c r="M145" i="28" s="1"/>
  <c r="K145" i="28"/>
  <c r="H146" i="28"/>
  <c r="B148" i="28"/>
  <c r="A149" i="28"/>
  <c r="U147" i="28"/>
  <c r="T147" i="28"/>
  <c r="W147" i="28"/>
  <c r="X147" i="28"/>
  <c r="C148" i="28"/>
  <c r="V147" i="28"/>
  <c r="S147" i="28"/>
  <c r="G147" i="28"/>
  <c r="I147" i="28" s="1"/>
  <c r="D148" i="28"/>
  <c r="F147" i="28"/>
  <c r="E148" i="28" l="1"/>
  <c r="P147" i="28"/>
  <c r="J146" i="28"/>
  <c r="Y146" i="28"/>
  <c r="R146" i="28"/>
  <c r="Q147" i="28"/>
  <c r="N147" i="28" s="1"/>
  <c r="L146" i="28"/>
  <c r="M146" i="28" s="1"/>
  <c r="K146" i="28"/>
  <c r="O146" i="28"/>
  <c r="H147" i="28"/>
  <c r="A150" i="28"/>
  <c r="B149" i="28"/>
  <c r="D149" i="28"/>
  <c r="S148" i="28"/>
  <c r="U148" i="28"/>
  <c r="T148" i="28"/>
  <c r="G148" i="28"/>
  <c r="I148" i="28"/>
  <c r="C149" i="28"/>
  <c r="X148" i="28"/>
  <c r="V148" i="28"/>
  <c r="F148" i="28"/>
  <c r="W148" i="28"/>
  <c r="Q148" i="28" l="1"/>
  <c r="N148" i="28" s="1"/>
  <c r="P148" i="28"/>
  <c r="J147" i="28"/>
  <c r="Y147" i="28"/>
  <c r="R147" i="28"/>
  <c r="E149" i="28"/>
  <c r="H148" i="28"/>
  <c r="O147" i="28"/>
  <c r="K147" i="28"/>
  <c r="L147" i="28"/>
  <c r="M147" i="28" s="1"/>
  <c r="B150" i="28"/>
  <c r="A151" i="28"/>
  <c r="T149" i="28"/>
  <c r="U149" i="28"/>
  <c r="X149" i="28"/>
  <c r="G149" i="28"/>
  <c r="V149" i="28"/>
  <c r="C150" i="28"/>
  <c r="F149" i="28"/>
  <c r="S149" i="28"/>
  <c r="W149" i="28"/>
  <c r="D150" i="28"/>
  <c r="I149" i="28"/>
  <c r="E150" i="28" l="1"/>
  <c r="P149" i="28"/>
  <c r="J148" i="28"/>
  <c r="R148" i="28"/>
  <c r="Y148" i="28"/>
  <c r="Q149" i="28"/>
  <c r="N149" i="28" s="1"/>
  <c r="K148" i="28"/>
  <c r="L148" i="28"/>
  <c r="M148" i="28" s="1"/>
  <c r="O148" i="28"/>
  <c r="H149" i="28"/>
  <c r="A152" i="28"/>
  <c r="B151" i="28"/>
  <c r="X150" i="28"/>
  <c r="V150" i="28"/>
  <c r="T150" i="28"/>
  <c r="F150" i="28"/>
  <c r="D151" i="28"/>
  <c r="G150" i="28"/>
  <c r="I150" i="28" s="1"/>
  <c r="U150" i="28"/>
  <c r="W150" i="28"/>
  <c r="C151" i="28"/>
  <c r="S150" i="28"/>
  <c r="E151" i="28" l="1"/>
  <c r="Q150" i="28"/>
  <c r="N150" i="28" s="1"/>
  <c r="R149" i="28"/>
  <c r="Y149" i="28"/>
  <c r="P150" i="28"/>
  <c r="J149" i="28"/>
  <c r="O149" i="28"/>
  <c r="K149" i="28"/>
  <c r="L149" i="28"/>
  <c r="M149" i="28" s="1"/>
  <c r="H150" i="28"/>
  <c r="B152" i="28"/>
  <c r="A153" i="28"/>
  <c r="S151" i="28"/>
  <c r="G151" i="28"/>
  <c r="W151" i="28"/>
  <c r="U151" i="28"/>
  <c r="D152" i="28"/>
  <c r="I151" i="28"/>
  <c r="V151" i="28"/>
  <c r="X151" i="28"/>
  <c r="T151" i="28"/>
  <c r="C152" i="28"/>
  <c r="F151" i="28"/>
  <c r="E152" i="28" l="1"/>
  <c r="P151" i="28"/>
  <c r="J150" i="28"/>
  <c r="Q151" i="28"/>
  <c r="N151" i="28" s="1"/>
  <c r="R150" i="28"/>
  <c r="Y150" i="28"/>
  <c r="L150" i="28"/>
  <c r="M150" i="28" s="1"/>
  <c r="K150" i="28"/>
  <c r="O150" i="28"/>
  <c r="H151" i="28"/>
  <c r="A154" i="28"/>
  <c r="B153" i="28"/>
  <c r="C153" i="28"/>
  <c r="V152" i="28"/>
  <c r="S152" i="28"/>
  <c r="U152" i="28"/>
  <c r="T152" i="28"/>
  <c r="D153" i="28"/>
  <c r="W152" i="28"/>
  <c r="X152" i="28"/>
  <c r="F152" i="28"/>
  <c r="G152" i="28"/>
  <c r="I152" i="28" s="1"/>
  <c r="Q152" i="28" l="1"/>
  <c r="N152" i="28" s="1"/>
  <c r="Y151" i="28"/>
  <c r="R151" i="28"/>
  <c r="P152" i="28"/>
  <c r="J151" i="28"/>
  <c r="E153" i="28"/>
  <c r="H152" i="28"/>
  <c r="K151" i="28"/>
  <c r="O151" i="28"/>
  <c r="L151" i="28"/>
  <c r="M151" i="28" s="1"/>
  <c r="B154" i="28"/>
  <c r="A155" i="28"/>
  <c r="T153" i="28"/>
  <c r="V153" i="28"/>
  <c r="F153" i="28"/>
  <c r="U153" i="28"/>
  <c r="C154" i="28"/>
  <c r="S153" i="28"/>
  <c r="X153" i="28"/>
  <c r="W153" i="28"/>
  <c r="G153" i="28"/>
  <c r="D154" i="28"/>
  <c r="I153" i="28"/>
  <c r="E154" i="28" l="1"/>
  <c r="P153" i="28"/>
  <c r="J152" i="28"/>
  <c r="Q153" i="28"/>
  <c r="N153" i="28" s="1"/>
  <c r="R152" i="28"/>
  <c r="Y152" i="28"/>
  <c r="H153" i="28"/>
  <c r="K152" i="28"/>
  <c r="O152" i="28"/>
  <c r="L152" i="28"/>
  <c r="M152" i="28" s="1"/>
  <c r="A156" i="28"/>
  <c r="B155" i="28"/>
  <c r="F154" i="28"/>
  <c r="V154" i="28"/>
  <c r="X154" i="28"/>
  <c r="T154" i="28"/>
  <c r="C155" i="28"/>
  <c r="S154" i="28"/>
  <c r="U154" i="28"/>
  <c r="G154" i="28"/>
  <c r="I154" i="28" s="1"/>
  <c r="D155" i="28"/>
  <c r="W154" i="28"/>
  <c r="E155" i="28" l="1"/>
  <c r="P154" i="28"/>
  <c r="J153" i="28"/>
  <c r="Y153" i="28"/>
  <c r="R153" i="28"/>
  <c r="Q154" i="28"/>
  <c r="N154" i="28" s="1"/>
  <c r="H154" i="28"/>
  <c r="L153" i="28"/>
  <c r="M153" i="28" s="1"/>
  <c r="K153" i="28"/>
  <c r="O153" i="28"/>
  <c r="B156" i="28"/>
  <c r="A157" i="28"/>
  <c r="T155" i="28"/>
  <c r="F155" i="28"/>
  <c r="X155" i="28"/>
  <c r="S155" i="28"/>
  <c r="D156" i="28"/>
  <c r="U155" i="28"/>
  <c r="W155" i="28"/>
  <c r="G155" i="28"/>
  <c r="I155" i="28" s="1"/>
  <c r="C156" i="28"/>
  <c r="V155" i="28"/>
  <c r="E156" i="28" l="1"/>
  <c r="P155" i="28"/>
  <c r="J154" i="28"/>
  <c r="Y154" i="28"/>
  <c r="R154" i="28"/>
  <c r="Q155" i="28"/>
  <c r="N155" i="28" s="1"/>
  <c r="L154" i="28"/>
  <c r="M154" i="28" s="1"/>
  <c r="K154" i="28"/>
  <c r="O154" i="28"/>
  <c r="H155" i="28"/>
  <c r="A158" i="28"/>
  <c r="B157" i="28"/>
  <c r="D157" i="28"/>
  <c r="W156" i="28"/>
  <c r="X156" i="28"/>
  <c r="S156" i="28"/>
  <c r="T156" i="28"/>
  <c r="C157" i="28"/>
  <c r="U156" i="28"/>
  <c r="V156" i="28"/>
  <c r="G156" i="28"/>
  <c r="F156" i="28"/>
  <c r="I156" i="28"/>
  <c r="E157" i="28" l="1"/>
  <c r="Q156" i="28"/>
  <c r="N156" i="28" s="1"/>
  <c r="Y155" i="28"/>
  <c r="R155" i="28"/>
  <c r="P156" i="28"/>
  <c r="J155" i="28"/>
  <c r="O155" i="28"/>
  <c r="L155" i="28"/>
  <c r="M155" i="28" s="1"/>
  <c r="K155" i="28"/>
  <c r="H156" i="28"/>
  <c r="B158" i="28"/>
  <c r="A159" i="28"/>
  <c r="T157" i="28"/>
  <c r="U157" i="28"/>
  <c r="X157" i="28"/>
  <c r="G157" i="28"/>
  <c r="C158" i="28"/>
  <c r="I157" i="28"/>
  <c r="S157" i="28"/>
  <c r="F157" i="28"/>
  <c r="W157" i="28"/>
  <c r="V157" i="28"/>
  <c r="D158" i="28"/>
  <c r="E158" i="28" l="1"/>
  <c r="P157" i="28"/>
  <c r="J156" i="28"/>
  <c r="Y156" i="28"/>
  <c r="R156" i="28"/>
  <c r="Q157" i="28"/>
  <c r="N157" i="28" s="1"/>
  <c r="O156" i="28"/>
  <c r="L156" i="28"/>
  <c r="M156" i="28" s="1"/>
  <c r="K156" i="28"/>
  <c r="H157" i="28"/>
  <c r="A160" i="28"/>
  <c r="B159" i="28"/>
  <c r="D159" i="28"/>
  <c r="X158" i="28"/>
  <c r="V158" i="28"/>
  <c r="C159" i="28"/>
  <c r="F158" i="28"/>
  <c r="G158" i="28"/>
  <c r="U158" i="28"/>
  <c r="W158" i="28"/>
  <c r="S158" i="28"/>
  <c r="T158" i="28"/>
  <c r="I158" i="28"/>
  <c r="P158" i="28" l="1"/>
  <c r="J157" i="28"/>
  <c r="R157" i="28"/>
  <c r="Y157" i="28"/>
  <c r="Q158" i="28"/>
  <c r="N158" i="28" s="1"/>
  <c r="E159" i="28"/>
  <c r="H158" i="28"/>
  <c r="K157" i="28"/>
  <c r="O157" i="28"/>
  <c r="L157" i="28"/>
  <c r="M157" i="28" s="1"/>
  <c r="B160" i="28"/>
  <c r="A161" i="28"/>
  <c r="D160" i="28"/>
  <c r="S159" i="28"/>
  <c r="U159" i="28"/>
  <c r="G159" i="28"/>
  <c r="T159" i="28"/>
  <c r="C160" i="28"/>
  <c r="X159" i="28"/>
  <c r="V159" i="28"/>
  <c r="F159" i="28"/>
  <c r="W159" i="28"/>
  <c r="I159" i="28"/>
  <c r="Q159" i="28" l="1"/>
  <c r="N159" i="28" s="1"/>
  <c r="P159" i="28"/>
  <c r="J158" i="28"/>
  <c r="R158" i="28"/>
  <c r="Y158" i="28"/>
  <c r="E160" i="28"/>
  <c r="H159" i="28"/>
  <c r="O158" i="28"/>
  <c r="L158" i="28"/>
  <c r="M158" i="28" s="1"/>
  <c r="K158" i="28"/>
  <c r="A162" i="28"/>
  <c r="B161" i="28"/>
  <c r="X160" i="28"/>
  <c r="U160" i="28"/>
  <c r="G160" i="28"/>
  <c r="V160" i="28"/>
  <c r="D161" i="28"/>
  <c r="I160" i="28"/>
  <c r="F160" i="28"/>
  <c r="T160" i="28"/>
  <c r="S160" i="28"/>
  <c r="C161" i="28"/>
  <c r="W160" i="28"/>
  <c r="E161" i="28" l="1"/>
  <c r="R159" i="28"/>
  <c r="Y159" i="28"/>
  <c r="P160" i="28"/>
  <c r="J159" i="28"/>
  <c r="Q160" i="28"/>
  <c r="N160" i="28" s="1"/>
  <c r="H160" i="28"/>
  <c r="O159" i="28"/>
  <c r="L159" i="28"/>
  <c r="M159" i="28" s="1"/>
  <c r="K159" i="28"/>
  <c r="B162" i="28"/>
  <c r="A163" i="28"/>
  <c r="T161" i="28"/>
  <c r="V161" i="28"/>
  <c r="X161" i="28"/>
  <c r="W161" i="28"/>
  <c r="D162" i="28"/>
  <c r="G161" i="28"/>
  <c r="I161" i="28" s="1"/>
  <c r="S161" i="28"/>
  <c r="F161" i="28"/>
  <c r="C162" i="28"/>
  <c r="U161" i="28"/>
  <c r="E162" i="28" l="1"/>
  <c r="Q161" i="28"/>
  <c r="N161" i="28" s="1"/>
  <c r="R160" i="28"/>
  <c r="Y160" i="28"/>
  <c r="P161" i="28"/>
  <c r="J160" i="28"/>
  <c r="K160" i="28"/>
  <c r="O160" i="28"/>
  <c r="L160" i="28"/>
  <c r="M160" i="28" s="1"/>
  <c r="H161" i="28"/>
  <c r="A164" i="28"/>
  <c r="B163" i="28"/>
  <c r="C163" i="28"/>
  <c r="V162" i="28"/>
  <c r="X162" i="28"/>
  <c r="W162" i="28"/>
  <c r="G162" i="28"/>
  <c r="I162" i="28"/>
  <c r="D163" i="28"/>
  <c r="S162" i="28"/>
  <c r="T162" i="28"/>
  <c r="F162" i="28"/>
  <c r="U162" i="28"/>
  <c r="P162" i="28" l="1"/>
  <c r="J161" i="28"/>
  <c r="Q162" i="28"/>
  <c r="N162" i="28" s="1"/>
  <c r="R161" i="28"/>
  <c r="Y161" i="28"/>
  <c r="E163" i="28"/>
  <c r="L161" i="28"/>
  <c r="M161" i="28" s="1"/>
  <c r="K161" i="28"/>
  <c r="O161" i="28"/>
  <c r="H162" i="28"/>
  <c r="B164" i="28"/>
  <c r="A165" i="28"/>
  <c r="X163" i="28"/>
  <c r="G163" i="28"/>
  <c r="T163" i="28"/>
  <c r="U163" i="28"/>
  <c r="D164" i="28"/>
  <c r="I163" i="28"/>
  <c r="S163" i="28"/>
  <c r="F163" i="28"/>
  <c r="C164" i="28"/>
  <c r="W163" i="28"/>
  <c r="V163" i="28"/>
  <c r="E164" i="28" l="1"/>
  <c r="Q163" i="28"/>
  <c r="N163" i="28" s="1"/>
  <c r="Y162" i="28"/>
  <c r="R162" i="28"/>
  <c r="P163" i="28"/>
  <c r="J162" i="28"/>
  <c r="H163" i="28"/>
  <c r="L162" i="28"/>
  <c r="M162" i="28" s="1"/>
  <c r="K162" i="28"/>
  <c r="O162" i="28"/>
  <c r="A166" i="28"/>
  <c r="B165" i="28"/>
  <c r="C165" i="28"/>
  <c r="S164" i="28"/>
  <c r="U164" i="28"/>
  <c r="V164" i="28"/>
  <c r="X164" i="28"/>
  <c r="D165" i="28"/>
  <c r="F164" i="28"/>
  <c r="W164" i="28"/>
  <c r="T164" i="28"/>
  <c r="G164" i="28"/>
  <c r="I164" i="28" s="1"/>
  <c r="P164" i="28" l="1"/>
  <c r="J163" i="28"/>
  <c r="Q164" i="28"/>
  <c r="N164" i="28" s="1"/>
  <c r="R163" i="28"/>
  <c r="Y163" i="28"/>
  <c r="E165" i="28"/>
  <c r="O163" i="28"/>
  <c r="L163" i="28"/>
  <c r="M163" i="28" s="1"/>
  <c r="K163" i="28"/>
  <c r="H164" i="28"/>
  <c r="B166" i="28"/>
  <c r="A167" i="28"/>
  <c r="U165" i="28"/>
  <c r="W165" i="28"/>
  <c r="F165" i="28"/>
  <c r="X165" i="28"/>
  <c r="C166" i="28"/>
  <c r="T165" i="28"/>
  <c r="G165" i="28"/>
  <c r="I165" i="28" s="1"/>
  <c r="S165" i="28"/>
  <c r="V165" i="28"/>
  <c r="D166" i="28"/>
  <c r="E166" i="28" l="1"/>
  <c r="R164" i="28"/>
  <c r="Y164" i="28"/>
  <c r="Q165" i="28"/>
  <c r="N165" i="28" s="1"/>
  <c r="P165" i="28"/>
  <c r="J164" i="28"/>
  <c r="H165" i="28"/>
  <c r="O164" i="28"/>
  <c r="L164" i="28"/>
  <c r="M164" i="28" s="1"/>
  <c r="K164" i="28"/>
  <c r="A168" i="28"/>
  <c r="B167" i="28"/>
  <c r="G166" i="28"/>
  <c r="W166" i="28"/>
  <c r="X166" i="28"/>
  <c r="T166" i="28"/>
  <c r="C167" i="28"/>
  <c r="I166" i="28"/>
  <c r="S166" i="28"/>
  <c r="D167" i="28"/>
  <c r="V166" i="28"/>
  <c r="F166" i="28"/>
  <c r="U166" i="28"/>
  <c r="E167" i="28" l="1"/>
  <c r="Y165" i="28"/>
  <c r="R165" i="28"/>
  <c r="Q166" i="28"/>
  <c r="N166" i="28" s="1"/>
  <c r="P166" i="28"/>
  <c r="J165" i="28"/>
  <c r="O165" i="28"/>
  <c r="L165" i="28"/>
  <c r="M165" i="28" s="1"/>
  <c r="K165" i="28"/>
  <c r="H166" i="28"/>
  <c r="B168" i="28"/>
  <c r="A169" i="28"/>
  <c r="X167" i="28"/>
  <c r="F167" i="28"/>
  <c r="T167" i="28"/>
  <c r="V167" i="28"/>
  <c r="U167" i="28"/>
  <c r="W167" i="28"/>
  <c r="D168" i="28"/>
  <c r="S167" i="28"/>
  <c r="G167" i="28"/>
  <c r="I167" i="28" s="1"/>
  <c r="C168" i="28"/>
  <c r="E168" i="28" l="1"/>
  <c r="Q167" i="28"/>
  <c r="N167" i="28" s="1"/>
  <c r="P167" i="28"/>
  <c r="J166" i="28"/>
  <c r="Y166" i="28"/>
  <c r="R166" i="28"/>
  <c r="L166" i="28"/>
  <c r="M166" i="28" s="1"/>
  <c r="K166" i="28"/>
  <c r="O166" i="28"/>
  <c r="H167" i="28"/>
  <c r="A170" i="28"/>
  <c r="B169" i="28"/>
  <c r="U168" i="28"/>
  <c r="G168" i="28"/>
  <c r="X168" i="28"/>
  <c r="S168" i="28"/>
  <c r="D169" i="28"/>
  <c r="I168" i="28"/>
  <c r="W168" i="28"/>
  <c r="F168" i="28"/>
  <c r="T168" i="28"/>
  <c r="V168" i="28"/>
  <c r="C169" i="28"/>
  <c r="E169" i="28" l="1"/>
  <c r="Y167" i="28"/>
  <c r="R167" i="28"/>
  <c r="Q168" i="28"/>
  <c r="N168" i="28" s="1"/>
  <c r="P168" i="28"/>
  <c r="J167" i="28"/>
  <c r="O167" i="28"/>
  <c r="K167" i="28"/>
  <c r="L167" i="28"/>
  <c r="M167" i="28" s="1"/>
  <c r="H168" i="28"/>
  <c r="B170" i="28"/>
  <c r="A171" i="28"/>
  <c r="X169" i="28"/>
  <c r="W169" i="28"/>
  <c r="U169" i="28"/>
  <c r="T169" i="28"/>
  <c r="D170" i="28"/>
  <c r="S169" i="28"/>
  <c r="V169" i="28"/>
  <c r="G169" i="28"/>
  <c r="I169" i="28" s="1"/>
  <c r="C170" i="28"/>
  <c r="F169" i="28"/>
  <c r="E170" i="28" l="1"/>
  <c r="P169" i="28"/>
  <c r="J168" i="28"/>
  <c r="Y168" i="28"/>
  <c r="R168" i="28"/>
  <c r="Q169" i="28"/>
  <c r="N169" i="28" s="1"/>
  <c r="K168" i="28"/>
  <c r="O168" i="28"/>
  <c r="L168" i="28"/>
  <c r="M168" i="28" s="1"/>
  <c r="H169" i="28"/>
  <c r="A172" i="28"/>
  <c r="B171" i="28"/>
  <c r="W170" i="28"/>
  <c r="S170" i="28"/>
  <c r="V170" i="28"/>
  <c r="U170" i="28"/>
  <c r="C171" i="28"/>
  <c r="T170" i="28"/>
  <c r="X170" i="28"/>
  <c r="F170" i="28"/>
  <c r="G170" i="28"/>
  <c r="D171" i="28"/>
  <c r="I170" i="28"/>
  <c r="E171" i="28" l="1"/>
  <c r="P170" i="28"/>
  <c r="J169" i="28"/>
  <c r="Q170" i="28"/>
  <c r="N170" i="28" s="1"/>
  <c r="R169" i="28"/>
  <c r="Y169" i="28"/>
  <c r="O169" i="28"/>
  <c r="L169" i="28"/>
  <c r="M169" i="28" s="1"/>
  <c r="K169" i="28"/>
  <c r="H170" i="28"/>
  <c r="B172" i="28"/>
  <c r="A173" i="28"/>
  <c r="G171" i="28"/>
  <c r="F171" i="28"/>
  <c r="W171" i="28"/>
  <c r="U171" i="28"/>
  <c r="T171" i="28"/>
  <c r="C172" i="28"/>
  <c r="S171" i="28"/>
  <c r="V171" i="28"/>
  <c r="X171" i="28"/>
  <c r="D172" i="28"/>
  <c r="I171" i="28"/>
  <c r="E172" i="28" l="1"/>
  <c r="P171" i="28"/>
  <c r="J170" i="28"/>
  <c r="Q171" i="28"/>
  <c r="N171" i="28" s="1"/>
  <c r="R170" i="28"/>
  <c r="Y170" i="28"/>
  <c r="L170" i="28"/>
  <c r="M170" i="28" s="1"/>
  <c r="K170" i="28"/>
  <c r="O170" i="28"/>
  <c r="H171" i="28"/>
  <c r="A174" i="28"/>
  <c r="B173" i="28"/>
  <c r="D173" i="28"/>
  <c r="X172" i="28"/>
  <c r="U172" i="28"/>
  <c r="W172" i="28"/>
  <c r="S172" i="28"/>
  <c r="C173" i="28"/>
  <c r="F172" i="28"/>
  <c r="G172" i="28"/>
  <c r="I172" i="28" s="1"/>
  <c r="T172" i="28"/>
  <c r="V172" i="28"/>
  <c r="R171" i="28" l="1"/>
  <c r="Y171" i="28"/>
  <c r="P172" i="28"/>
  <c r="J171" i="28"/>
  <c r="Q172" i="28"/>
  <c r="N172" i="28" s="1"/>
  <c r="E173" i="28"/>
  <c r="H172" i="28"/>
  <c r="O171" i="28"/>
  <c r="K171" i="28"/>
  <c r="L171" i="28"/>
  <c r="M171" i="28" s="1"/>
  <c r="B174" i="28"/>
  <c r="A175" i="28"/>
  <c r="T173" i="28"/>
  <c r="F173" i="28"/>
  <c r="U173" i="28"/>
  <c r="V173" i="28"/>
  <c r="D174" i="28"/>
  <c r="W173" i="28"/>
  <c r="G173" i="28"/>
  <c r="I173" i="28" s="1"/>
  <c r="S173" i="28"/>
  <c r="X173" i="28"/>
  <c r="C174" i="28"/>
  <c r="E174" i="28" l="1"/>
  <c r="R172" i="28"/>
  <c r="Y172" i="28"/>
  <c r="P173" i="28"/>
  <c r="J172" i="28"/>
  <c r="Q173" i="28"/>
  <c r="N173" i="28" s="1"/>
  <c r="H173" i="28"/>
  <c r="K172" i="28"/>
  <c r="O172" i="28"/>
  <c r="L172" i="28"/>
  <c r="M172" i="28" s="1"/>
  <c r="A176" i="28"/>
  <c r="B175" i="28"/>
  <c r="C175" i="28"/>
  <c r="T174" i="28"/>
  <c r="G174" i="28"/>
  <c r="U174" i="28"/>
  <c r="W174" i="28"/>
  <c r="I174" i="28"/>
  <c r="D175" i="28"/>
  <c r="S174" i="28"/>
  <c r="V174" i="28"/>
  <c r="F174" i="28"/>
  <c r="X174" i="28"/>
  <c r="Q174" i="28" l="1"/>
  <c r="N174" i="28" s="1"/>
  <c r="P174" i="28"/>
  <c r="J173" i="28"/>
  <c r="Y173" i="28"/>
  <c r="R173" i="28"/>
  <c r="E175" i="28"/>
  <c r="H174" i="28"/>
  <c r="L173" i="28"/>
  <c r="M173" i="28" s="1"/>
  <c r="K173" i="28"/>
  <c r="O173" i="28"/>
  <c r="B176" i="28"/>
  <c r="A177" i="28"/>
  <c r="T175" i="28"/>
  <c r="V175" i="28"/>
  <c r="F175" i="28"/>
  <c r="W175" i="28"/>
  <c r="D176" i="28"/>
  <c r="S175" i="28"/>
  <c r="G175" i="28"/>
  <c r="X175" i="28"/>
  <c r="U175" i="28"/>
  <c r="C176" i="28"/>
  <c r="I175" i="28"/>
  <c r="E176" i="28" l="1"/>
  <c r="Q175" i="28"/>
  <c r="N175" i="28" s="1"/>
  <c r="P175" i="28"/>
  <c r="J174" i="28"/>
  <c r="Y174" i="28"/>
  <c r="R174" i="28"/>
  <c r="O174" i="28"/>
  <c r="L174" i="28"/>
  <c r="M174" i="28" s="1"/>
  <c r="K174" i="28"/>
  <c r="H175" i="28"/>
  <c r="A178" i="28"/>
  <c r="B177" i="28"/>
  <c r="G176" i="28"/>
  <c r="F176" i="28"/>
  <c r="S176" i="28"/>
  <c r="U176" i="28"/>
  <c r="C177" i="28"/>
  <c r="I176" i="28"/>
  <c r="V176" i="28"/>
  <c r="W176" i="28"/>
  <c r="T176" i="28"/>
  <c r="X176" i="28"/>
  <c r="D177" i="28"/>
  <c r="E177" i="28" l="1"/>
  <c r="Y175" i="28"/>
  <c r="R175" i="28"/>
  <c r="Q176" i="28"/>
  <c r="N176" i="28" s="1"/>
  <c r="P176" i="28"/>
  <c r="J175" i="28"/>
  <c r="L175" i="28"/>
  <c r="M175" i="28" s="1"/>
  <c r="K175" i="28"/>
  <c r="O175" i="28"/>
  <c r="H176" i="28"/>
  <c r="B178" i="28"/>
  <c r="A179" i="28"/>
  <c r="G177" i="28"/>
  <c r="V177" i="28"/>
  <c r="T177" i="28"/>
  <c r="S177" i="28"/>
  <c r="C178" i="28"/>
  <c r="I177" i="28"/>
  <c r="X177" i="28"/>
  <c r="D178" i="28"/>
  <c r="W177" i="28"/>
  <c r="U177" i="28"/>
  <c r="F177" i="28"/>
  <c r="E178" i="28" l="1"/>
  <c r="Q177" i="28"/>
  <c r="N177" i="28" s="1"/>
  <c r="Y176" i="28"/>
  <c r="R176" i="28"/>
  <c r="P177" i="28"/>
  <c r="J176" i="28"/>
  <c r="O176" i="28"/>
  <c r="L176" i="28"/>
  <c r="M176" i="28" s="1"/>
  <c r="K176" i="28"/>
  <c r="H177" i="28"/>
  <c r="A180" i="28"/>
  <c r="B179" i="28"/>
  <c r="F178" i="28"/>
  <c r="X178" i="28"/>
  <c r="V178" i="28"/>
  <c r="W178" i="28"/>
  <c r="C179" i="28"/>
  <c r="U178" i="28"/>
  <c r="G178" i="28"/>
  <c r="I178" i="28" s="1"/>
  <c r="T178" i="28"/>
  <c r="S178" i="28"/>
  <c r="D179" i="28"/>
  <c r="E179" i="28" l="1"/>
  <c r="R177" i="28"/>
  <c r="Y177" i="28"/>
  <c r="P178" i="28"/>
  <c r="J177" i="28"/>
  <c r="Q178" i="28"/>
  <c r="N178" i="28" s="1"/>
  <c r="L177" i="28"/>
  <c r="M177" i="28" s="1"/>
  <c r="O177" i="28"/>
  <c r="K177" i="28"/>
  <c r="H178" i="28"/>
  <c r="B180" i="28"/>
  <c r="A181" i="28"/>
  <c r="C180" i="28"/>
  <c r="W179" i="28"/>
  <c r="G179" i="28"/>
  <c r="S179" i="28"/>
  <c r="F179" i="28"/>
  <c r="D180" i="28"/>
  <c r="X179" i="28"/>
  <c r="U179" i="28"/>
  <c r="V179" i="28"/>
  <c r="T179" i="28"/>
  <c r="I179" i="28"/>
  <c r="Q179" i="28" l="1"/>
  <c r="N179" i="28" s="1"/>
  <c r="R178" i="28"/>
  <c r="Y178" i="28"/>
  <c r="P179" i="28"/>
  <c r="J178" i="28"/>
  <c r="E180" i="28"/>
  <c r="O178" i="28"/>
  <c r="L178" i="28"/>
  <c r="M178" i="28" s="1"/>
  <c r="K178" i="28"/>
  <c r="H179" i="28"/>
  <c r="A182" i="28"/>
  <c r="B181" i="28"/>
  <c r="T180" i="28"/>
  <c r="X180" i="28"/>
  <c r="U180" i="28"/>
  <c r="F180" i="28"/>
  <c r="C181" i="28"/>
  <c r="S180" i="28"/>
  <c r="V180" i="28"/>
  <c r="W180" i="28"/>
  <c r="G180" i="28"/>
  <c r="D181" i="28"/>
  <c r="I180" i="28"/>
  <c r="E181" i="28" l="1"/>
  <c r="P180" i="28"/>
  <c r="J179" i="28"/>
  <c r="Q180" i="28"/>
  <c r="N180" i="28" s="1"/>
  <c r="Y179" i="28"/>
  <c r="R179" i="28"/>
  <c r="O179" i="28"/>
  <c r="K179" i="28"/>
  <c r="L179" i="28"/>
  <c r="M179" i="28" s="1"/>
  <c r="H180" i="28"/>
  <c r="B182" i="28"/>
  <c r="A183" i="28"/>
  <c r="F181" i="28"/>
  <c r="T181" i="28"/>
  <c r="G181" i="28"/>
  <c r="V181" i="28"/>
  <c r="C182" i="28"/>
  <c r="I181" i="28"/>
  <c r="W181" i="28"/>
  <c r="S181" i="28"/>
  <c r="X181" i="28"/>
  <c r="U181" i="28"/>
  <c r="D182" i="28"/>
  <c r="E182" i="28" l="1"/>
  <c r="P181" i="28"/>
  <c r="J180" i="28"/>
  <c r="Y180" i="28"/>
  <c r="R180" i="28"/>
  <c r="Q181" i="28"/>
  <c r="N181" i="28" s="1"/>
  <c r="O180" i="28"/>
  <c r="K180" i="28"/>
  <c r="L180" i="28"/>
  <c r="M180" i="28" s="1"/>
  <c r="H181" i="28"/>
  <c r="A184" i="28"/>
  <c r="B183" i="28"/>
  <c r="V182" i="28"/>
  <c r="G182" i="28"/>
  <c r="F182" i="28"/>
  <c r="W182" i="28"/>
  <c r="C183" i="28"/>
  <c r="I182" i="28"/>
  <c r="X182" i="28"/>
  <c r="U182" i="28"/>
  <c r="S182" i="28"/>
  <c r="T182" i="28"/>
  <c r="D183" i="28"/>
  <c r="E183" i="28" l="1"/>
  <c r="R181" i="28"/>
  <c r="Y181" i="28"/>
  <c r="Q182" i="28"/>
  <c r="N182" i="28" s="1"/>
  <c r="P182" i="28"/>
  <c r="J181" i="28"/>
  <c r="O181" i="28"/>
  <c r="K181" i="28"/>
  <c r="L181" i="28"/>
  <c r="M181" i="28" s="1"/>
  <c r="H182" i="28"/>
  <c r="B184" i="28"/>
  <c r="A185" i="28"/>
  <c r="X183" i="28"/>
  <c r="U183" i="28"/>
  <c r="W183" i="28"/>
  <c r="F183" i="28"/>
  <c r="C184" i="28"/>
  <c r="S183" i="28"/>
  <c r="T183" i="28"/>
  <c r="V183" i="28"/>
  <c r="G183" i="28"/>
  <c r="I183" i="28" s="1"/>
  <c r="D184" i="28"/>
  <c r="E184" i="28" l="1"/>
  <c r="P183" i="28"/>
  <c r="J182" i="28"/>
  <c r="Q183" i="28"/>
  <c r="N183" i="28" s="1"/>
  <c r="Y182" i="28"/>
  <c r="R182" i="28"/>
  <c r="O182" i="28"/>
  <c r="L182" i="28"/>
  <c r="M182" i="28" s="1"/>
  <c r="K182" i="28"/>
  <c r="H183" i="28"/>
  <c r="A186" i="28"/>
  <c r="B185" i="28"/>
  <c r="G184" i="28"/>
  <c r="W184" i="28"/>
  <c r="T184" i="28"/>
  <c r="X184" i="28"/>
  <c r="D185" i="28"/>
  <c r="I184" i="28"/>
  <c r="V184" i="28"/>
  <c r="S184" i="28"/>
  <c r="F184" i="28"/>
  <c r="C185" i="28"/>
  <c r="U184" i="28"/>
  <c r="E185" i="28" l="1"/>
  <c r="Q184" i="28"/>
  <c r="N184" i="28" s="1"/>
  <c r="R183" i="28"/>
  <c r="Y183" i="28"/>
  <c r="P184" i="28"/>
  <c r="J183" i="28"/>
  <c r="L183" i="28"/>
  <c r="M183" i="28" s="1"/>
  <c r="K183" i="28"/>
  <c r="O183" i="28"/>
  <c r="H184" i="28"/>
  <c r="B186" i="28"/>
  <c r="A187" i="28"/>
  <c r="S185" i="28"/>
  <c r="T185" i="28"/>
  <c r="F185" i="28"/>
  <c r="G185" i="28"/>
  <c r="C186" i="28"/>
  <c r="I185" i="28"/>
  <c r="X185" i="28"/>
  <c r="U185" i="28"/>
  <c r="W185" i="28"/>
  <c r="V185" i="28"/>
  <c r="D186" i="28"/>
  <c r="E186" i="28" l="1"/>
  <c r="P185" i="28"/>
  <c r="J184" i="28"/>
  <c r="Q185" i="28"/>
  <c r="N185" i="28" s="1"/>
  <c r="Y184" i="28"/>
  <c r="R184" i="28"/>
  <c r="L184" i="28"/>
  <c r="M184" i="28" s="1"/>
  <c r="O184" i="28"/>
  <c r="K184" i="28"/>
  <c r="H185" i="28"/>
  <c r="A188" i="28"/>
  <c r="B187" i="28"/>
  <c r="D187" i="28"/>
  <c r="W186" i="28"/>
  <c r="U186" i="28"/>
  <c r="V186" i="28"/>
  <c r="G186" i="28"/>
  <c r="I186" i="28"/>
  <c r="C187" i="28"/>
  <c r="X186" i="28"/>
  <c r="S186" i="28"/>
  <c r="F186" i="28"/>
  <c r="T186" i="28"/>
  <c r="P186" i="28" l="1"/>
  <c r="J185" i="28"/>
  <c r="Q186" i="28"/>
  <c r="N186" i="28" s="1"/>
  <c r="R185" i="28"/>
  <c r="Y185" i="28"/>
  <c r="E187" i="28"/>
  <c r="H186" i="28"/>
  <c r="O185" i="28"/>
  <c r="K185" i="28"/>
  <c r="L185" i="28"/>
  <c r="M185" i="28" s="1"/>
  <c r="B188" i="28"/>
  <c r="A189" i="28"/>
  <c r="W187" i="28"/>
  <c r="F187" i="28"/>
  <c r="T187" i="28"/>
  <c r="G187" i="28"/>
  <c r="C188" i="28"/>
  <c r="I187" i="28"/>
  <c r="X187" i="28"/>
  <c r="U187" i="28"/>
  <c r="V187" i="28"/>
  <c r="S187" i="28"/>
  <c r="D188" i="28"/>
  <c r="E188" i="28" l="1"/>
  <c r="R186" i="28"/>
  <c r="Y186" i="28"/>
  <c r="P187" i="28"/>
  <c r="J186" i="28"/>
  <c r="Q187" i="28"/>
  <c r="N187" i="28" s="1"/>
  <c r="H187" i="28"/>
  <c r="L186" i="28"/>
  <c r="M186" i="28" s="1"/>
  <c r="K186" i="28"/>
  <c r="O186" i="28"/>
  <c r="A190" i="28"/>
  <c r="B189" i="28"/>
  <c r="C189" i="28"/>
  <c r="W188" i="28"/>
  <c r="T188" i="28"/>
  <c r="F188" i="28"/>
  <c r="V188" i="28"/>
  <c r="D189" i="28"/>
  <c r="X188" i="28"/>
  <c r="S188" i="28"/>
  <c r="U188" i="28"/>
  <c r="G188" i="28"/>
  <c r="I188" i="28" s="1"/>
  <c r="P188" i="28" l="1"/>
  <c r="J187" i="28"/>
  <c r="Q188" i="28"/>
  <c r="N188" i="28" s="1"/>
  <c r="Y187" i="28"/>
  <c r="R187" i="28"/>
  <c r="E189" i="28"/>
  <c r="H188" i="28"/>
  <c r="O187" i="28"/>
  <c r="L187" i="28"/>
  <c r="M187" i="28" s="1"/>
  <c r="K187" i="28"/>
  <c r="B190" i="28"/>
  <c r="A191" i="28"/>
  <c r="U189" i="28"/>
  <c r="S189" i="28"/>
  <c r="G189" i="28"/>
  <c r="T189" i="28"/>
  <c r="C190" i="28"/>
  <c r="I189" i="28"/>
  <c r="W189" i="28"/>
  <c r="F189" i="28"/>
  <c r="X189" i="28"/>
  <c r="V189" i="28"/>
  <c r="D190" i="28"/>
  <c r="E190" i="28" l="1"/>
  <c r="P189" i="28"/>
  <c r="J188" i="28"/>
  <c r="Q189" i="28"/>
  <c r="N189" i="28" s="1"/>
  <c r="R188" i="28"/>
  <c r="Y188" i="28"/>
  <c r="H189" i="28"/>
  <c r="O188" i="28"/>
  <c r="L188" i="28"/>
  <c r="M188" i="28" s="1"/>
  <c r="K188" i="28"/>
  <c r="A192" i="28"/>
  <c r="B191" i="28"/>
  <c r="W190" i="28"/>
  <c r="U190" i="28"/>
  <c r="X190" i="28"/>
  <c r="V190" i="28"/>
  <c r="D191" i="28"/>
  <c r="G190" i="28"/>
  <c r="I190" i="28" s="1"/>
  <c r="T190" i="28"/>
  <c r="F190" i="28"/>
  <c r="C191" i="28"/>
  <c r="S190" i="28"/>
  <c r="E191" i="28" l="1"/>
  <c r="Q190" i="28"/>
  <c r="N190" i="28" s="1"/>
  <c r="P190" i="28"/>
  <c r="J189" i="28"/>
  <c r="R189" i="28"/>
  <c r="Y189" i="28"/>
  <c r="H190" i="28"/>
  <c r="K189" i="28"/>
  <c r="O189" i="28"/>
  <c r="L189" i="28"/>
  <c r="M189" i="28" s="1"/>
  <c r="B192" i="28"/>
  <c r="A193" i="28"/>
  <c r="U191" i="28"/>
  <c r="S191" i="28"/>
  <c r="X191" i="28"/>
  <c r="T191" i="28"/>
  <c r="C192" i="28"/>
  <c r="G191" i="28"/>
  <c r="I191" i="28" s="1"/>
  <c r="F191" i="28"/>
  <c r="V191" i="28"/>
  <c r="W191" i="28"/>
  <c r="D192" i="28"/>
  <c r="E192" i="28" l="1"/>
  <c r="Q191" i="28"/>
  <c r="N191" i="28" s="1"/>
  <c r="R190" i="28"/>
  <c r="Y190" i="28"/>
  <c r="P191" i="28"/>
  <c r="J190" i="28"/>
  <c r="L190" i="28"/>
  <c r="M190" i="28" s="1"/>
  <c r="K190" i="28"/>
  <c r="O190" i="28"/>
  <c r="H191" i="28"/>
  <c r="A194" i="28"/>
  <c r="B193" i="28"/>
  <c r="X192" i="28"/>
  <c r="U192" i="28"/>
  <c r="G192" i="28"/>
  <c r="W192" i="28"/>
  <c r="C193" i="28"/>
  <c r="I192" i="28"/>
  <c r="V192" i="28"/>
  <c r="F192" i="28"/>
  <c r="S192" i="28"/>
  <c r="T192" i="28"/>
  <c r="D193" i="28"/>
  <c r="E193" i="28" l="1"/>
  <c r="Y191" i="28"/>
  <c r="R191" i="28"/>
  <c r="P192" i="28"/>
  <c r="J191" i="28"/>
  <c r="Q192" i="28"/>
  <c r="N192" i="28" s="1"/>
  <c r="O191" i="28"/>
  <c r="L191" i="28"/>
  <c r="M191" i="28" s="1"/>
  <c r="K191" i="28"/>
  <c r="H192" i="28"/>
  <c r="B194" i="28"/>
  <c r="A195" i="28"/>
  <c r="U193" i="28"/>
  <c r="T193" i="28"/>
  <c r="V193" i="28"/>
  <c r="S193" i="28"/>
  <c r="C194" i="28"/>
  <c r="F193" i="28"/>
  <c r="X193" i="28"/>
  <c r="W193" i="28"/>
  <c r="G193" i="28"/>
  <c r="I193" i="28" s="1"/>
  <c r="D194" i="28"/>
  <c r="E194" i="28" l="1"/>
  <c r="P193" i="28"/>
  <c r="J192" i="28"/>
  <c r="R192" i="28"/>
  <c r="Y192" i="28"/>
  <c r="Q193" i="28"/>
  <c r="N193" i="28" s="1"/>
  <c r="H193" i="28"/>
  <c r="L192" i="28"/>
  <c r="M192" i="28" s="1"/>
  <c r="K192" i="28"/>
  <c r="O192" i="28"/>
  <c r="B195" i="28"/>
  <c r="A196" i="28"/>
  <c r="S194" i="28"/>
  <c r="V194" i="28"/>
  <c r="T194" i="28"/>
  <c r="X194" i="28"/>
  <c r="D195" i="28"/>
  <c r="W194" i="28"/>
  <c r="U194" i="28"/>
  <c r="C195" i="28"/>
  <c r="F194" i="28"/>
  <c r="G194" i="28"/>
  <c r="I194" i="28" s="1"/>
  <c r="E195" i="28" l="1"/>
  <c r="P194" i="28"/>
  <c r="J193" i="28"/>
  <c r="Q194" i="28"/>
  <c r="N194" i="28" s="1"/>
  <c r="Y193" i="28"/>
  <c r="R193" i="28"/>
  <c r="H194" i="28"/>
  <c r="O193" i="28"/>
  <c r="L193" i="28"/>
  <c r="M193" i="28" s="1"/>
  <c r="K193" i="28"/>
  <c r="B196" i="28"/>
  <c r="A197" i="28"/>
  <c r="V195" i="28"/>
  <c r="W195" i="28"/>
  <c r="U195" i="28"/>
  <c r="G195" i="28"/>
  <c r="C196" i="28"/>
  <c r="I195" i="28"/>
  <c r="X195" i="28"/>
  <c r="T195" i="28"/>
  <c r="S195" i="28"/>
  <c r="F195" i="28"/>
  <c r="D196" i="28"/>
  <c r="E196" i="28" l="1"/>
  <c r="Q195" i="28"/>
  <c r="N195" i="28" s="1"/>
  <c r="P195" i="28"/>
  <c r="J194" i="28"/>
  <c r="Y194" i="28"/>
  <c r="R194" i="28"/>
  <c r="L194" i="28"/>
  <c r="M194" i="28" s="1"/>
  <c r="K194" i="28"/>
  <c r="O194" i="28"/>
  <c r="H195" i="28"/>
  <c r="A198" i="28"/>
  <c r="B197" i="28"/>
  <c r="C197" i="28"/>
  <c r="G196" i="28"/>
  <c r="F196" i="28"/>
  <c r="U196" i="28"/>
  <c r="S196" i="28"/>
  <c r="I196" i="28"/>
  <c r="D197" i="28"/>
  <c r="T196" i="28"/>
  <c r="W196" i="28"/>
  <c r="V196" i="28"/>
  <c r="X196" i="28"/>
  <c r="R195" i="28" l="1"/>
  <c r="Y195" i="28"/>
  <c r="Q196" i="28"/>
  <c r="N196" i="28" s="1"/>
  <c r="P196" i="28"/>
  <c r="J195" i="28"/>
  <c r="E197" i="28"/>
  <c r="O195" i="28"/>
  <c r="L195" i="28"/>
  <c r="M195" i="28" s="1"/>
  <c r="K195" i="28"/>
  <c r="H196" i="28"/>
  <c r="B198" i="28"/>
  <c r="A199" i="28"/>
  <c r="C198" i="28"/>
  <c r="X197" i="28"/>
  <c r="W197" i="28"/>
  <c r="S197" i="28"/>
  <c r="G197" i="28"/>
  <c r="I197" i="28"/>
  <c r="F197" i="28"/>
  <c r="T197" i="28"/>
  <c r="V197" i="28"/>
  <c r="U197" i="28"/>
  <c r="D198" i="28"/>
  <c r="P197" i="28" l="1"/>
  <c r="J196" i="28"/>
  <c r="R196" i="28"/>
  <c r="Y196" i="28"/>
  <c r="Q197" i="28"/>
  <c r="N197" i="28" s="1"/>
  <c r="E198" i="28"/>
  <c r="H197" i="28"/>
  <c r="O196" i="28"/>
  <c r="L196" i="28"/>
  <c r="M196" i="28" s="1"/>
  <c r="K196" i="28"/>
  <c r="A200" i="28"/>
  <c r="B199" i="28"/>
  <c r="D199" i="28"/>
  <c r="U198" i="28"/>
  <c r="V198" i="28"/>
  <c r="S198" i="28"/>
  <c r="W198" i="28"/>
  <c r="C199" i="28"/>
  <c r="X198" i="28"/>
  <c r="T198" i="28"/>
  <c r="G198" i="28"/>
  <c r="I198" i="28" s="1"/>
  <c r="F198" i="28"/>
  <c r="Q198" i="28" l="1"/>
  <c r="N198" i="28" s="1"/>
  <c r="P198" i="28"/>
  <c r="J197" i="28"/>
  <c r="R197" i="28"/>
  <c r="Y197" i="28"/>
  <c r="E199" i="28"/>
  <c r="H198" i="28"/>
  <c r="K197" i="28"/>
  <c r="O197" i="28"/>
  <c r="L197" i="28"/>
  <c r="M197" i="28" s="1"/>
  <c r="B200" i="28"/>
  <c r="A201" i="28"/>
  <c r="X199" i="28"/>
  <c r="W199" i="28"/>
  <c r="T199" i="28"/>
  <c r="U199" i="28"/>
  <c r="D200" i="28"/>
  <c r="G199" i="28"/>
  <c r="I199" i="28" s="1"/>
  <c r="V199" i="28"/>
  <c r="S199" i="28"/>
  <c r="F199" i="28"/>
  <c r="C200" i="28"/>
  <c r="E200" i="28" l="1"/>
  <c r="Q199" i="28"/>
  <c r="N199" i="28" s="1"/>
  <c r="R198" i="28"/>
  <c r="Y198" i="28"/>
  <c r="P199" i="28"/>
  <c r="J198" i="28"/>
  <c r="O198" i="28"/>
  <c r="L198" i="28"/>
  <c r="M198" i="28" s="1"/>
  <c r="K198" i="28"/>
  <c r="H199" i="28"/>
  <c r="A202" i="28"/>
  <c r="B201" i="28"/>
  <c r="G200" i="28"/>
  <c r="C201" i="28"/>
  <c r="W200" i="28"/>
  <c r="V200" i="28"/>
  <c r="X200" i="28"/>
  <c r="T200" i="28"/>
  <c r="D201" i="28"/>
  <c r="F200" i="28"/>
  <c r="S200" i="28"/>
  <c r="U200" i="28"/>
  <c r="I200" i="28"/>
  <c r="Y199" i="28" l="1"/>
  <c r="R199" i="28"/>
  <c r="P200" i="28"/>
  <c r="J199" i="28"/>
  <c r="Q200" i="28"/>
  <c r="N200" i="28" s="1"/>
  <c r="E201" i="28"/>
  <c r="K199" i="28"/>
  <c r="L199" i="28"/>
  <c r="M199" i="28" s="1"/>
  <c r="O199" i="28"/>
  <c r="H200" i="28"/>
  <c r="B202" i="28"/>
  <c r="A203" i="28"/>
  <c r="T201" i="28"/>
  <c r="W201" i="28"/>
  <c r="F201" i="28"/>
  <c r="U201" i="28"/>
  <c r="C202" i="28"/>
  <c r="S201" i="28"/>
  <c r="G201" i="28"/>
  <c r="X201" i="28"/>
  <c r="V201" i="28"/>
  <c r="D202" i="28"/>
  <c r="I201" i="28"/>
  <c r="E202" i="28" l="1"/>
  <c r="Q201" i="28"/>
  <c r="N201" i="28" s="1"/>
  <c r="P201" i="28"/>
  <c r="J200" i="28"/>
  <c r="R200" i="28"/>
  <c r="Y200" i="28"/>
  <c r="H201" i="28"/>
  <c r="O200" i="28"/>
  <c r="L200" i="28"/>
  <c r="M200" i="28" s="1"/>
  <c r="K200" i="28"/>
  <c r="A204" i="28"/>
  <c r="B203" i="28"/>
  <c r="D203" i="28"/>
  <c r="W202" i="28"/>
  <c r="V202" i="28"/>
  <c r="F202" i="28"/>
  <c r="G202" i="28"/>
  <c r="I202" i="28"/>
  <c r="S202" i="28"/>
  <c r="U202" i="28"/>
  <c r="X202" i="28"/>
  <c r="C203" i="28"/>
  <c r="T202" i="28"/>
  <c r="P202" i="28" l="1"/>
  <c r="J201" i="28"/>
  <c r="Q202" i="28"/>
  <c r="N202" i="28" s="1"/>
  <c r="Y201" i="28"/>
  <c r="R201" i="28"/>
  <c r="E203" i="28"/>
  <c r="L201" i="28"/>
  <c r="M201" i="28" s="1"/>
  <c r="K201" i="28"/>
  <c r="O201" i="28"/>
  <c r="H202" i="28"/>
  <c r="B204" i="28"/>
  <c r="A205" i="28"/>
  <c r="F203" i="28"/>
  <c r="U203" i="28"/>
  <c r="V203" i="28"/>
  <c r="W203" i="28"/>
  <c r="D204" i="28"/>
  <c r="S203" i="28"/>
  <c r="T203" i="28"/>
  <c r="G203" i="28"/>
  <c r="I203" i="28" s="1"/>
  <c r="X203" i="28"/>
  <c r="C204" i="28"/>
  <c r="E204" i="28" l="1"/>
  <c r="P203" i="28"/>
  <c r="J202" i="28"/>
  <c r="R202" i="28"/>
  <c r="Y202" i="28"/>
  <c r="Q203" i="28"/>
  <c r="N203" i="28" s="1"/>
  <c r="H203" i="28"/>
  <c r="O202" i="28"/>
  <c r="L202" i="28"/>
  <c r="M202" i="28" s="1"/>
  <c r="K202" i="28"/>
  <c r="A206" i="28"/>
  <c r="B205" i="28"/>
  <c r="C205" i="28"/>
  <c r="X204" i="28"/>
  <c r="U204" i="28"/>
  <c r="V204" i="28"/>
  <c r="G204" i="28"/>
  <c r="I204" i="28"/>
  <c r="D205" i="28"/>
  <c r="S204" i="28"/>
  <c r="F204" i="28"/>
  <c r="W204" i="28"/>
  <c r="T204" i="28"/>
  <c r="P204" i="28" l="1"/>
  <c r="J203" i="28"/>
  <c r="Q204" i="28"/>
  <c r="N204" i="28" s="1"/>
  <c r="R203" i="28"/>
  <c r="Y203" i="28"/>
  <c r="E205" i="28"/>
  <c r="H204" i="28"/>
  <c r="O203" i="28"/>
  <c r="K203" i="28"/>
  <c r="L203" i="28"/>
  <c r="M203" i="28" s="1"/>
  <c r="B206" i="28"/>
  <c r="A207" i="28"/>
  <c r="C206" i="28"/>
  <c r="S205" i="28"/>
  <c r="U205" i="28"/>
  <c r="V205" i="28"/>
  <c r="G205" i="28"/>
  <c r="I205" i="28"/>
  <c r="D206" i="28"/>
  <c r="W205" i="28"/>
  <c r="X205" i="28"/>
  <c r="T205" i="28"/>
  <c r="F205" i="28"/>
  <c r="P205" i="28" l="1"/>
  <c r="J204" i="28"/>
  <c r="Q205" i="28"/>
  <c r="N205" i="28" s="1"/>
  <c r="Y204" i="28"/>
  <c r="R204" i="28"/>
  <c r="E206" i="28"/>
  <c r="H205" i="28"/>
  <c r="K204" i="28"/>
  <c r="O204" i="28"/>
  <c r="L204" i="28"/>
  <c r="M204" i="28" s="1"/>
  <c r="A208" i="28"/>
  <c r="B207" i="28"/>
  <c r="X206" i="28"/>
  <c r="V206" i="28"/>
  <c r="S206" i="28"/>
  <c r="U206" i="28"/>
  <c r="W206" i="28"/>
  <c r="C207" i="28"/>
  <c r="G206" i="28"/>
  <c r="F206" i="28"/>
  <c r="T206" i="28"/>
  <c r="D207" i="28"/>
  <c r="I206" i="28"/>
  <c r="E207" i="28" l="1"/>
  <c r="Y205" i="28"/>
  <c r="R205" i="28"/>
  <c r="Q206" i="28"/>
  <c r="N206" i="28" s="1"/>
  <c r="P206" i="28"/>
  <c r="J205" i="28"/>
  <c r="H206" i="28"/>
  <c r="O205" i="28"/>
  <c r="L205" i="28"/>
  <c r="M205" i="28" s="1"/>
  <c r="K205" i="28"/>
  <c r="B208" i="28"/>
  <c r="A209" i="28"/>
  <c r="V207" i="28"/>
  <c r="U207" i="28"/>
  <c r="X207" i="28"/>
  <c r="F207" i="28"/>
  <c r="C208" i="28"/>
  <c r="G207" i="28"/>
  <c r="I207" i="28" s="1"/>
  <c r="W207" i="28"/>
  <c r="S207" i="28"/>
  <c r="T207" i="28"/>
  <c r="D208" i="28"/>
  <c r="E208" i="28" l="1"/>
  <c r="Q207" i="28"/>
  <c r="N207" i="28" s="1"/>
  <c r="R206" i="28"/>
  <c r="Y206" i="28"/>
  <c r="P207" i="28"/>
  <c r="J206" i="28"/>
  <c r="L206" i="28"/>
  <c r="M206" i="28" s="1"/>
  <c r="K206" i="28"/>
  <c r="O206" i="28"/>
  <c r="H207" i="28"/>
  <c r="A210" i="28"/>
  <c r="B209" i="28"/>
  <c r="F208" i="28"/>
  <c r="X208" i="28"/>
  <c r="T208" i="28"/>
  <c r="V208" i="28"/>
  <c r="D209" i="28"/>
  <c r="U208" i="28"/>
  <c r="S208" i="28"/>
  <c r="G208" i="28"/>
  <c r="I208" i="28" s="1"/>
  <c r="W208" i="28"/>
  <c r="C209" i="28"/>
  <c r="E209" i="28" l="1"/>
  <c r="P208" i="28"/>
  <c r="J207" i="28"/>
  <c r="R207" i="28"/>
  <c r="Y207" i="28"/>
  <c r="Q208" i="28"/>
  <c r="N208" i="28" s="1"/>
  <c r="K207" i="28"/>
  <c r="O207" i="28"/>
  <c r="L207" i="28"/>
  <c r="M207" i="28" s="1"/>
  <c r="H208" i="28"/>
  <c r="B210" i="28"/>
  <c r="A211" i="28"/>
  <c r="S209" i="28"/>
  <c r="W209" i="28"/>
  <c r="T209" i="28"/>
  <c r="G209" i="28"/>
  <c r="C210" i="28"/>
  <c r="I209" i="28"/>
  <c r="U209" i="28"/>
  <c r="V209" i="28"/>
  <c r="X209" i="28"/>
  <c r="F209" i="28"/>
  <c r="D210" i="28"/>
  <c r="E210" i="28" l="1"/>
  <c r="Q209" i="28"/>
  <c r="N209" i="28" s="1"/>
  <c r="P209" i="28"/>
  <c r="J208" i="28"/>
  <c r="R208" i="28"/>
  <c r="Y208" i="28"/>
  <c r="O208" i="28"/>
  <c r="L208" i="28"/>
  <c r="M208" i="28" s="1"/>
  <c r="K208" i="28"/>
  <c r="H209" i="28"/>
  <c r="A212" i="28"/>
  <c r="B211" i="28"/>
  <c r="V210" i="28"/>
  <c r="X210" i="28"/>
  <c r="G210" i="28"/>
  <c r="I210" i="28" s="1"/>
  <c r="U210" i="28"/>
  <c r="T210" i="28"/>
  <c r="C211" i="28"/>
  <c r="W210" i="28"/>
  <c r="F210" i="28"/>
  <c r="S210" i="28"/>
  <c r="D211" i="28"/>
  <c r="E211" i="28" l="1"/>
  <c r="R209" i="28"/>
  <c r="Y209" i="28"/>
  <c r="Q210" i="28"/>
  <c r="N210" i="28" s="1"/>
  <c r="P210" i="28"/>
  <c r="J209" i="28"/>
  <c r="O209" i="28"/>
  <c r="L209" i="28"/>
  <c r="M209" i="28" s="1"/>
  <c r="K209" i="28"/>
  <c r="H210" i="28"/>
  <c r="B212" i="28"/>
  <c r="A213" i="28"/>
  <c r="W211" i="28"/>
  <c r="U211" i="28"/>
  <c r="T211" i="28"/>
  <c r="V211" i="28"/>
  <c r="C212" i="28"/>
  <c r="G211" i="28"/>
  <c r="I211" i="28" s="1"/>
  <c r="X211" i="28"/>
  <c r="F211" i="28"/>
  <c r="S211" i="28"/>
  <c r="D212" i="28"/>
  <c r="E212" i="28" l="1"/>
  <c r="Y210" i="28"/>
  <c r="R210" i="28"/>
  <c r="Q211" i="28"/>
  <c r="N211" i="28" s="1"/>
  <c r="P211" i="28"/>
  <c r="J210" i="28"/>
  <c r="L210" i="28"/>
  <c r="M210" i="28" s="1"/>
  <c r="K210" i="28"/>
  <c r="O210" i="28"/>
  <c r="H211" i="28"/>
  <c r="A214" i="28"/>
  <c r="B213" i="28"/>
  <c r="F212" i="28"/>
  <c r="G212" i="28"/>
  <c r="X212" i="28"/>
  <c r="U212" i="28"/>
  <c r="C213" i="28"/>
  <c r="I212" i="28"/>
  <c r="T212" i="28"/>
  <c r="S212" i="28"/>
  <c r="W212" i="28"/>
  <c r="V212" i="28"/>
  <c r="D213" i="28"/>
  <c r="E213" i="28" l="1"/>
  <c r="Y211" i="28"/>
  <c r="R211" i="28"/>
  <c r="P212" i="28"/>
  <c r="J211" i="28"/>
  <c r="Q212" i="28"/>
  <c r="N212" i="28" s="1"/>
  <c r="L211" i="28"/>
  <c r="M211" i="28" s="1"/>
  <c r="O211" i="28"/>
  <c r="K211" i="28"/>
  <c r="H212" i="28"/>
  <c r="B214" i="28"/>
  <c r="A215" i="28"/>
  <c r="T213" i="28"/>
  <c r="D214" i="28"/>
  <c r="F213" i="28"/>
  <c r="U213" i="28"/>
  <c r="S213" i="28"/>
  <c r="G213" i="28"/>
  <c r="C214" i="28"/>
  <c r="W213" i="28"/>
  <c r="X213" i="28"/>
  <c r="V213" i="28"/>
  <c r="I213" i="28"/>
  <c r="E214" i="28" l="1"/>
  <c r="P213" i="28"/>
  <c r="J212" i="28"/>
  <c r="Y212" i="28"/>
  <c r="R212" i="28"/>
  <c r="Q213" i="28"/>
  <c r="N213" i="28" s="1"/>
  <c r="H213" i="28"/>
  <c r="K212" i="28"/>
  <c r="L212" i="28"/>
  <c r="M212" i="28" s="1"/>
  <c r="O212" i="28"/>
  <c r="A216" i="28"/>
  <c r="B215" i="28"/>
  <c r="C215" i="28"/>
  <c r="S214" i="28"/>
  <c r="F214" i="28"/>
  <c r="G214" i="28"/>
  <c r="U214" i="28"/>
  <c r="I214" i="28"/>
  <c r="T214" i="28"/>
  <c r="X214" i="28"/>
  <c r="W214" i="28"/>
  <c r="V214" i="28"/>
  <c r="D215" i="28"/>
  <c r="P214" i="28" l="1"/>
  <c r="J213" i="28"/>
  <c r="Q214" i="28"/>
  <c r="N214" i="28" s="1"/>
  <c r="Y213" i="28"/>
  <c r="R213" i="28"/>
  <c r="E215" i="28"/>
  <c r="H214" i="28"/>
  <c r="L213" i="28"/>
  <c r="M213" i="28" s="1"/>
  <c r="K213" i="28"/>
  <c r="O213" i="28"/>
  <c r="B216" i="28"/>
  <c r="A217" i="28"/>
  <c r="U215" i="28"/>
  <c r="X215" i="28"/>
  <c r="V215" i="28"/>
  <c r="W215" i="28"/>
  <c r="D216" i="28"/>
  <c r="F215" i="28"/>
  <c r="S215" i="28"/>
  <c r="G215" i="28"/>
  <c r="T215" i="28"/>
  <c r="C216" i="28"/>
  <c r="I215" i="28"/>
  <c r="E216" i="28" l="1"/>
  <c r="P215" i="28"/>
  <c r="J214" i="28"/>
  <c r="R214" i="28"/>
  <c r="Y214" i="28"/>
  <c r="Q215" i="28"/>
  <c r="N215" i="28" s="1"/>
  <c r="H215" i="28"/>
  <c r="L214" i="28"/>
  <c r="M214" i="28" s="1"/>
  <c r="O214" i="28"/>
  <c r="K214" i="28"/>
  <c r="A218" i="28"/>
  <c r="B217" i="28"/>
  <c r="F216" i="28"/>
  <c r="U216" i="28"/>
  <c r="X216" i="28"/>
  <c r="V216" i="28"/>
  <c r="D217" i="28"/>
  <c r="W216" i="28"/>
  <c r="S216" i="28"/>
  <c r="C217" i="28"/>
  <c r="G216" i="28"/>
  <c r="I216" i="28" s="1"/>
  <c r="T216" i="28"/>
  <c r="E217" i="28" l="1"/>
  <c r="R215" i="28"/>
  <c r="Y215" i="28"/>
  <c r="P216" i="28"/>
  <c r="J215" i="28"/>
  <c r="Q216" i="28"/>
  <c r="N216" i="28" s="1"/>
  <c r="O215" i="28"/>
  <c r="K215" i="28"/>
  <c r="L215" i="28"/>
  <c r="M215" i="28" s="1"/>
  <c r="H216" i="28"/>
  <c r="B218" i="28"/>
  <c r="A219" i="28"/>
  <c r="U217" i="28"/>
  <c r="W217" i="28"/>
  <c r="V217" i="28"/>
  <c r="X217" i="28"/>
  <c r="C218" i="28"/>
  <c r="S217" i="28"/>
  <c r="D218" i="28"/>
  <c r="G217" i="28"/>
  <c r="I217" i="28" s="1"/>
  <c r="F217" i="28"/>
  <c r="T217" i="28"/>
  <c r="E218" i="28" l="1"/>
  <c r="Y216" i="28"/>
  <c r="R216" i="28"/>
  <c r="Q217" i="28"/>
  <c r="N217" i="28" s="1"/>
  <c r="P217" i="28"/>
  <c r="J216" i="28"/>
  <c r="L216" i="28"/>
  <c r="M216" i="28" s="1"/>
  <c r="O216" i="28"/>
  <c r="K216" i="28"/>
  <c r="H217" i="28"/>
  <c r="A220" i="28"/>
  <c r="B219" i="28"/>
  <c r="T218" i="28"/>
  <c r="U218" i="28"/>
  <c r="W218" i="28"/>
  <c r="G218" i="28"/>
  <c r="I218" i="28" s="1"/>
  <c r="V218" i="28"/>
  <c r="C219" i="28"/>
  <c r="X218" i="28"/>
  <c r="S218" i="28"/>
  <c r="F218" i="28"/>
  <c r="D219" i="28"/>
  <c r="E219" i="28" l="1"/>
  <c r="Q218" i="28"/>
  <c r="N218" i="28" s="1"/>
  <c r="P218" i="28"/>
  <c r="J217" i="28"/>
  <c r="R217" i="28"/>
  <c r="Y217" i="28"/>
  <c r="L217" i="28"/>
  <c r="M217" i="28" s="1"/>
  <c r="K217" i="28"/>
  <c r="O217" i="28"/>
  <c r="H218" i="28"/>
  <c r="B220" i="28"/>
  <c r="A221" i="28"/>
  <c r="S219" i="28"/>
  <c r="C220" i="28"/>
  <c r="T219" i="28"/>
  <c r="U219" i="28"/>
  <c r="G219" i="28"/>
  <c r="V219" i="28"/>
  <c r="D220" i="28"/>
  <c r="W219" i="28"/>
  <c r="X219" i="28"/>
  <c r="F219" i="28"/>
  <c r="I219" i="28"/>
  <c r="E220" i="28" l="1"/>
  <c r="Q219" i="28"/>
  <c r="N219" i="28" s="1"/>
  <c r="P219" i="28"/>
  <c r="J218" i="28"/>
  <c r="Y218" i="28"/>
  <c r="R218" i="28"/>
  <c r="O218" i="28"/>
  <c r="K218" i="28"/>
  <c r="L218" i="28"/>
  <c r="M218" i="28" s="1"/>
  <c r="H219" i="28"/>
  <c r="A222" i="28"/>
  <c r="B221" i="28"/>
  <c r="F220" i="28"/>
  <c r="G220" i="28"/>
  <c r="W220" i="28"/>
  <c r="V220" i="28"/>
  <c r="C221" i="28"/>
  <c r="I220" i="28"/>
  <c r="S220" i="28"/>
  <c r="T220" i="28"/>
  <c r="D221" i="28"/>
  <c r="X220" i="28"/>
  <c r="U220" i="28"/>
  <c r="E221" i="28" l="1"/>
  <c r="R219" i="28"/>
  <c r="Y219" i="28"/>
  <c r="P220" i="28"/>
  <c r="J219" i="28"/>
  <c r="Q220" i="28"/>
  <c r="N220" i="28" s="1"/>
  <c r="L219" i="28"/>
  <c r="M219" i="28" s="1"/>
  <c r="K219" i="28"/>
  <c r="O219" i="28"/>
  <c r="H220" i="28"/>
  <c r="B222" i="28"/>
  <c r="A223" i="28"/>
  <c r="U221" i="28"/>
  <c r="V221" i="28"/>
  <c r="F221" i="28"/>
  <c r="W221" i="28"/>
  <c r="C222" i="28"/>
  <c r="G221" i="28"/>
  <c r="I221" i="28" s="1"/>
  <c r="S221" i="28"/>
  <c r="T221" i="28"/>
  <c r="X221" i="28"/>
  <c r="D222" i="28"/>
  <c r="E222" i="28" l="1"/>
  <c r="Y220" i="28"/>
  <c r="R220" i="28"/>
  <c r="Q221" i="28"/>
  <c r="N221" i="28" s="1"/>
  <c r="P221" i="28"/>
  <c r="J220" i="28"/>
  <c r="K220" i="28"/>
  <c r="L220" i="28"/>
  <c r="M220" i="28" s="1"/>
  <c r="O220" i="28"/>
  <c r="H221" i="28"/>
  <c r="A224" i="28"/>
  <c r="B223" i="28"/>
  <c r="T222" i="28"/>
  <c r="C223" i="28"/>
  <c r="W222" i="28"/>
  <c r="U222" i="28"/>
  <c r="F222" i="28"/>
  <c r="V222" i="28"/>
  <c r="D223" i="28"/>
  <c r="S222" i="28"/>
  <c r="G222" i="28"/>
  <c r="X222" i="28"/>
  <c r="I222" i="28"/>
  <c r="Q222" i="28" l="1"/>
  <c r="N222" i="28" s="1"/>
  <c r="P222" i="28"/>
  <c r="J221" i="28"/>
  <c r="Y221" i="28"/>
  <c r="R221" i="28"/>
  <c r="E223" i="28"/>
  <c r="K221" i="28"/>
  <c r="O221" i="28"/>
  <c r="L221" i="28"/>
  <c r="M221" i="28" s="1"/>
  <c r="H222" i="28"/>
  <c r="B224" i="28"/>
  <c r="A225" i="28"/>
  <c r="D224" i="28"/>
  <c r="X223" i="28"/>
  <c r="V223" i="28"/>
  <c r="F223" i="28"/>
  <c r="S223" i="28"/>
  <c r="C224" i="28"/>
  <c r="U223" i="28"/>
  <c r="W223" i="28"/>
  <c r="G223" i="28"/>
  <c r="T223" i="28"/>
  <c r="I223" i="28"/>
  <c r="E224" i="28" l="1"/>
  <c r="R222" i="28"/>
  <c r="Y222" i="28"/>
  <c r="Q223" i="28"/>
  <c r="N223" i="28" s="1"/>
  <c r="P223" i="28"/>
  <c r="J222" i="28"/>
  <c r="K222" i="28"/>
  <c r="L222" i="28"/>
  <c r="M222" i="28" s="1"/>
  <c r="O222" i="28"/>
  <c r="H223" i="28"/>
  <c r="A226" i="28"/>
  <c r="B225" i="28"/>
  <c r="X224" i="28"/>
  <c r="G224" i="28"/>
  <c r="U224" i="28"/>
  <c r="V224" i="28"/>
  <c r="D225" i="28"/>
  <c r="I224" i="28"/>
  <c r="T224" i="28"/>
  <c r="S224" i="28"/>
  <c r="F224" i="28"/>
  <c r="C225" i="28"/>
  <c r="W224" i="28"/>
  <c r="E225" i="28" l="1"/>
  <c r="Q224" i="28"/>
  <c r="N224" i="28" s="1"/>
  <c r="Y223" i="28"/>
  <c r="R223" i="28"/>
  <c r="P224" i="28"/>
  <c r="J223" i="28"/>
  <c r="O223" i="28"/>
  <c r="L223" i="28"/>
  <c r="M223" i="28" s="1"/>
  <c r="K223" i="28"/>
  <c r="H224" i="28"/>
  <c r="B226" i="28"/>
  <c r="A227" i="28"/>
  <c r="V225" i="28"/>
  <c r="T225" i="28"/>
  <c r="S225" i="28"/>
  <c r="U225" i="28"/>
  <c r="D226" i="28"/>
  <c r="G225" i="28"/>
  <c r="I225" i="28" s="1"/>
  <c r="F225" i="28"/>
  <c r="W225" i="28"/>
  <c r="X225" i="28"/>
  <c r="C226" i="28"/>
  <c r="E226" i="28" l="1"/>
  <c r="Y224" i="28"/>
  <c r="R224" i="28"/>
  <c r="Q225" i="28"/>
  <c r="N225" i="28" s="1"/>
  <c r="P225" i="28"/>
  <c r="J224" i="28"/>
  <c r="K224" i="28"/>
  <c r="L224" i="28"/>
  <c r="M224" i="28" s="1"/>
  <c r="O224" i="28"/>
  <c r="H225" i="28"/>
  <c r="A228" i="28"/>
  <c r="B227" i="28"/>
  <c r="D227" i="28"/>
  <c r="C227" i="28"/>
  <c r="T226" i="28"/>
  <c r="V226" i="28"/>
  <c r="X226" i="28"/>
  <c r="G226" i="28"/>
  <c r="W226" i="28"/>
  <c r="F226" i="28"/>
  <c r="U226" i="28"/>
  <c r="S226" i="28"/>
  <c r="I226" i="28"/>
  <c r="P226" i="28" l="1"/>
  <c r="J225" i="28"/>
  <c r="R225" i="28"/>
  <c r="Y225" i="28"/>
  <c r="Q226" i="28"/>
  <c r="N226" i="28" s="1"/>
  <c r="E227" i="28"/>
  <c r="L225" i="28"/>
  <c r="M225" i="28" s="1"/>
  <c r="K225" i="28"/>
  <c r="O225" i="28"/>
  <c r="H226" i="28"/>
  <c r="B228" i="28"/>
  <c r="A229" i="28"/>
  <c r="V227" i="28"/>
  <c r="W227" i="28"/>
  <c r="S227" i="28"/>
  <c r="U227" i="28"/>
  <c r="C228" i="28"/>
  <c r="X227" i="28"/>
  <c r="F227" i="28"/>
  <c r="T227" i="28"/>
  <c r="G227" i="28"/>
  <c r="I227" i="28" s="1"/>
  <c r="D228" i="28"/>
  <c r="E228" i="28" l="1"/>
  <c r="P227" i="28"/>
  <c r="J226" i="28"/>
  <c r="Y226" i="28"/>
  <c r="R226" i="28"/>
  <c r="Q227" i="28"/>
  <c r="N227" i="28" s="1"/>
  <c r="H227" i="28"/>
  <c r="O226" i="28"/>
  <c r="K226" i="28"/>
  <c r="L226" i="28"/>
  <c r="M226" i="28" s="1"/>
  <c r="A230" i="28"/>
  <c r="B229" i="28"/>
  <c r="C229" i="28"/>
  <c r="D229" i="28"/>
  <c r="U228" i="28"/>
  <c r="T228" i="28"/>
  <c r="G228" i="28"/>
  <c r="F228" i="28"/>
  <c r="W228" i="28"/>
  <c r="S228" i="28"/>
  <c r="X228" i="28"/>
  <c r="V228" i="28"/>
  <c r="I228" i="28"/>
  <c r="Q228" i="28" l="1"/>
  <c r="N228" i="28" s="1"/>
  <c r="P228" i="28"/>
  <c r="J227" i="28"/>
  <c r="R227" i="28"/>
  <c r="Y227" i="28"/>
  <c r="E229" i="28"/>
  <c r="H228" i="28"/>
  <c r="L227" i="28"/>
  <c r="M227" i="28" s="1"/>
  <c r="K227" i="28"/>
  <c r="O227" i="28"/>
  <c r="B230" i="28"/>
  <c r="A231" i="28"/>
  <c r="U229" i="28"/>
  <c r="W229" i="28"/>
  <c r="X229" i="28"/>
  <c r="F229" i="28"/>
  <c r="C230" i="28"/>
  <c r="G229" i="28"/>
  <c r="I229" i="28" s="1"/>
  <c r="V229" i="28"/>
  <c r="S229" i="28"/>
  <c r="T229" i="28"/>
  <c r="D230" i="28"/>
  <c r="E230" i="28" l="1"/>
  <c r="Q229" i="28"/>
  <c r="N229" i="28" s="1"/>
  <c r="Y228" i="28"/>
  <c r="R228" i="28"/>
  <c r="P229" i="28"/>
  <c r="J228" i="28"/>
  <c r="K228" i="28"/>
  <c r="L228" i="28"/>
  <c r="M228" i="28" s="1"/>
  <c r="O228" i="28"/>
  <c r="H229" i="28"/>
  <c r="A232" i="28"/>
  <c r="B231" i="28"/>
  <c r="F230" i="28"/>
  <c r="T230" i="28"/>
  <c r="V230" i="28"/>
  <c r="U230" i="28"/>
  <c r="D231" i="28"/>
  <c r="S230" i="28"/>
  <c r="C231" i="28"/>
  <c r="W230" i="28"/>
  <c r="X230" i="28"/>
  <c r="G230" i="28"/>
  <c r="I230" i="28" s="1"/>
  <c r="E231" i="28" l="1"/>
  <c r="P230" i="28"/>
  <c r="J229" i="28"/>
  <c r="R229" i="28"/>
  <c r="Y229" i="28"/>
  <c r="Q230" i="28"/>
  <c r="N230" i="28" s="1"/>
  <c r="O229" i="28"/>
  <c r="K229" i="28"/>
  <c r="L229" i="28"/>
  <c r="M229" i="28" s="1"/>
  <c r="H230" i="28"/>
  <c r="B232" i="28"/>
  <c r="A233" i="28"/>
  <c r="T231" i="28"/>
  <c r="V231" i="28"/>
  <c r="S231" i="28"/>
  <c r="G231" i="28"/>
  <c r="C232" i="28"/>
  <c r="I231" i="28"/>
  <c r="W231" i="28"/>
  <c r="X231" i="28"/>
  <c r="U231" i="28"/>
  <c r="F231" i="28"/>
  <c r="D232" i="28"/>
  <c r="E232" i="28" l="1"/>
  <c r="Q231" i="28"/>
  <c r="N231" i="28" s="1"/>
  <c r="P231" i="28"/>
  <c r="J230" i="28"/>
  <c r="Y230" i="28"/>
  <c r="R230" i="28"/>
  <c r="K230" i="28"/>
  <c r="O230" i="28"/>
  <c r="L230" i="28"/>
  <c r="M230" i="28" s="1"/>
  <c r="H231" i="28"/>
  <c r="D13" i="29"/>
  <c r="E13" i="29"/>
  <c r="B25" i="29"/>
  <c r="F25" i="29"/>
  <c r="B34" i="29"/>
  <c r="C34" i="29"/>
  <c r="F37" i="29"/>
  <c r="A49" i="29"/>
  <c r="C49" i="29"/>
  <c r="E49" i="29"/>
  <c r="G49" i="29"/>
  <c r="C61" i="29"/>
  <c r="G61" i="29"/>
  <c r="B233" i="28"/>
  <c r="A5" i="29"/>
  <c r="C7" i="29"/>
  <c r="C8" i="29" s="1"/>
  <c r="B7" i="29"/>
  <c r="B8" i="29" s="1"/>
  <c r="C11" i="29"/>
  <c r="A9" i="29"/>
  <c r="D7" i="29"/>
  <c r="D8" i="29" s="1"/>
  <c r="E11" i="29"/>
  <c r="E6" i="29"/>
  <c r="F6" i="29"/>
  <c r="G4" i="29"/>
  <c r="G5" i="29"/>
  <c r="A17" i="29"/>
  <c r="A21" i="29"/>
  <c r="B16" i="29"/>
  <c r="C19" i="29"/>
  <c r="C20" i="29" s="1"/>
  <c r="C17" i="29"/>
  <c r="D19" i="29"/>
  <c r="D20" i="29" s="1"/>
  <c r="D16" i="29"/>
  <c r="E21" i="29"/>
  <c r="E19" i="29"/>
  <c r="E20" i="29" s="1"/>
  <c r="F23" i="29"/>
  <c r="F18" i="29"/>
  <c r="G17" i="29"/>
  <c r="A31" i="29"/>
  <c r="A32" i="29" s="1"/>
  <c r="A33" i="29"/>
  <c r="B28" i="29"/>
  <c r="C30" i="29"/>
  <c r="C31" i="29"/>
  <c r="C32" i="29" s="1"/>
  <c r="B31" i="29"/>
  <c r="B32" i="29" s="1"/>
  <c r="D35" i="29"/>
  <c r="D31" i="29"/>
  <c r="D32" i="29" s="1"/>
  <c r="E30" i="29"/>
  <c r="B13" i="29"/>
  <c r="A12" i="29"/>
  <c r="C25" i="29"/>
  <c r="G25" i="29"/>
  <c r="B37" i="29"/>
  <c r="D34" i="29"/>
  <c r="F34" i="29"/>
  <c r="A46" i="29"/>
  <c r="C46" i="29"/>
  <c r="E46" i="29"/>
  <c r="G46" i="29"/>
  <c r="D61" i="29"/>
  <c r="A73" i="29"/>
  <c r="A4" i="29"/>
  <c r="B6" i="29"/>
  <c r="D5" i="29"/>
  <c r="E5" i="29"/>
  <c r="A6" i="29"/>
  <c r="F4" i="29"/>
  <c r="F9" i="29"/>
  <c r="G11" i="29"/>
  <c r="B21" i="29"/>
  <c r="D17" i="29"/>
  <c r="E23" i="29"/>
  <c r="F19" i="29"/>
  <c r="F20" i="29" s="1"/>
  <c r="G23" i="29"/>
  <c r="A30" i="29"/>
  <c r="C29" i="29"/>
  <c r="D33" i="29"/>
  <c r="E28" i="29"/>
  <c r="F33" i="29"/>
  <c r="F31" i="29"/>
  <c r="F32" i="29" s="1"/>
  <c r="G33" i="29"/>
  <c r="G35" i="29"/>
  <c r="A40" i="29"/>
  <c r="B47" i="29"/>
  <c r="B45" i="29"/>
  <c r="C45" i="29"/>
  <c r="D41" i="29"/>
  <c r="D40" i="29"/>
  <c r="E45" i="29"/>
  <c r="F41" i="29"/>
  <c r="G45" i="29"/>
  <c r="G42" i="29"/>
  <c r="A52" i="29"/>
  <c r="B53" i="29"/>
  <c r="C54" i="29"/>
  <c r="C52" i="29"/>
  <c r="D59" i="29"/>
  <c r="E52" i="29"/>
  <c r="E54" i="29"/>
  <c r="F53" i="29"/>
  <c r="G7" i="29"/>
  <c r="G8" i="29" s="1"/>
  <c r="G9" i="29"/>
  <c r="A23" i="29"/>
  <c r="C21" i="29"/>
  <c r="E17" i="29"/>
  <c r="F21" i="29"/>
  <c r="G19" i="29"/>
  <c r="G20" i="29" s="1"/>
  <c r="A28" i="29"/>
  <c r="C35" i="29"/>
  <c r="D28" i="29"/>
  <c r="E31" i="29"/>
  <c r="E32" i="29" s="1"/>
  <c r="E33" i="29"/>
  <c r="F29" i="29"/>
  <c r="G29" i="29"/>
  <c r="A41" i="29"/>
  <c r="B41" i="29"/>
  <c r="B43" i="29"/>
  <c r="B44" i="29" s="1"/>
  <c r="C41" i="29"/>
  <c r="C43" i="29"/>
  <c r="C44" i="29" s="1"/>
  <c r="D47" i="29"/>
  <c r="E41" i="29"/>
  <c r="E43" i="29"/>
  <c r="E44" i="29" s="1"/>
  <c r="F45" i="29"/>
  <c r="F40" i="29"/>
  <c r="G47" i="29"/>
  <c r="A54" i="29"/>
  <c r="B52" i="29"/>
  <c r="C53" i="29"/>
  <c r="D52" i="29"/>
  <c r="D55" i="29"/>
  <c r="D56" i="29" s="1"/>
  <c r="E53" i="29"/>
  <c r="F52" i="29"/>
  <c r="A64" i="29"/>
  <c r="A65" i="29"/>
  <c r="B10" i="29"/>
  <c r="B58" i="29"/>
  <c r="A58" i="29"/>
  <c r="A66" i="29"/>
  <c r="G55" i="29"/>
  <c r="G56" i="29" s="1"/>
  <c r="A22" i="29"/>
  <c r="D22" i="29"/>
  <c r="A67" i="29"/>
  <c r="A68" i="29" s="1"/>
  <c r="G59" i="29"/>
  <c r="F22" i="29"/>
  <c r="G57" i="29"/>
  <c r="B22" i="29"/>
  <c r="B67" i="29"/>
  <c r="B68" i="29" s="1"/>
  <c r="B12" i="29"/>
  <c r="D36" i="29"/>
  <c r="F60" i="29"/>
  <c r="D48" i="29"/>
  <c r="F48" i="29"/>
  <c r="B64" i="29"/>
  <c r="B36" i="29"/>
  <c r="D60" i="29"/>
  <c r="G36" i="29"/>
  <c r="C60" i="29"/>
  <c r="G52" i="29"/>
  <c r="C10" i="29"/>
  <c r="A69" i="29"/>
  <c r="E10" i="29"/>
  <c r="B65" i="29"/>
  <c r="F12" i="29"/>
  <c r="A48" i="29"/>
  <c r="C12" i="29"/>
  <c r="G60" i="29"/>
  <c r="B72" i="29"/>
  <c r="B70" i="29"/>
  <c r="F36" i="29"/>
  <c r="A72" i="29"/>
  <c r="A60" i="29"/>
  <c r="E60" i="29"/>
  <c r="D12" i="29"/>
  <c r="F13" i="29"/>
  <c r="G13" i="29"/>
  <c r="D25" i="29"/>
  <c r="A37" i="29"/>
  <c r="D37" i="29"/>
  <c r="E37" i="29"/>
  <c r="G37" i="29"/>
  <c r="B49" i="29"/>
  <c r="D49" i="29"/>
  <c r="F49" i="29"/>
  <c r="A61" i="29"/>
  <c r="E61" i="29"/>
  <c r="B73" i="29"/>
  <c r="B5" i="29"/>
  <c r="C5" i="29"/>
  <c r="D11" i="29"/>
  <c r="E4" i="29"/>
  <c r="C9" i="29"/>
  <c r="F5" i="29"/>
  <c r="B11" i="29"/>
  <c r="F11" i="29"/>
  <c r="G6" i="29"/>
  <c r="A19" i="29"/>
  <c r="A20" i="29" s="1"/>
  <c r="A16" i="29"/>
  <c r="B18" i="29"/>
  <c r="B23" i="29"/>
  <c r="C23" i="29"/>
  <c r="D21" i="29"/>
  <c r="E16" i="29"/>
  <c r="F17" i="29"/>
  <c r="G21" i="29"/>
  <c r="G18" i="29"/>
  <c r="A29" i="29"/>
  <c r="B30" i="29"/>
  <c r="B29" i="29"/>
  <c r="D29" i="29"/>
  <c r="C13" i="29"/>
  <c r="A13" i="29"/>
  <c r="A25" i="29"/>
  <c r="E25" i="29"/>
  <c r="A34" i="29"/>
  <c r="C37" i="29"/>
  <c r="E34" i="29"/>
  <c r="G34" i="29"/>
  <c r="B46" i="29"/>
  <c r="D46" i="29"/>
  <c r="F46" i="29"/>
  <c r="B61" i="29"/>
  <c r="F61" i="29"/>
  <c r="B4" i="29"/>
  <c r="C6" i="29"/>
  <c r="C4" i="29"/>
  <c r="D4" i="29"/>
  <c r="D6" i="29"/>
  <c r="B9" i="29"/>
  <c r="E7" i="29"/>
  <c r="E8" i="29" s="1"/>
  <c r="D9" i="29"/>
  <c r="A11" i="29"/>
  <c r="B17" i="29"/>
  <c r="C18" i="29"/>
  <c r="D23" i="29"/>
  <c r="F16" i="29"/>
  <c r="A35" i="29"/>
  <c r="B33" i="29"/>
  <c r="C33" i="29"/>
  <c r="E29" i="29"/>
  <c r="E35" i="29"/>
  <c r="F35" i="29"/>
  <c r="G28" i="29"/>
  <c r="A42" i="29"/>
  <c r="A45" i="29"/>
  <c r="B40" i="29"/>
  <c r="C47" i="29"/>
  <c r="C42" i="29"/>
  <c r="D42" i="29"/>
  <c r="E47" i="29"/>
  <c r="E42" i="29"/>
  <c r="F43" i="29"/>
  <c r="F44" i="29" s="1"/>
  <c r="F42" i="29"/>
  <c r="G40" i="29"/>
  <c r="A57" i="29"/>
  <c r="A55" i="29"/>
  <c r="A56" i="29" s="1"/>
  <c r="B54" i="29"/>
  <c r="B57" i="29"/>
  <c r="C57" i="29"/>
  <c r="D54" i="29"/>
  <c r="D53" i="29"/>
  <c r="E57" i="29"/>
  <c r="F54" i="29"/>
  <c r="A7" i="29"/>
  <c r="A8" i="29" s="1"/>
  <c r="F7" i="29"/>
  <c r="F8" i="29" s="1"/>
  <c r="E9" i="29"/>
  <c r="A18" i="29"/>
  <c r="B19" i="29"/>
  <c r="B20" i="29" s="1"/>
  <c r="C16" i="29"/>
  <c r="D18" i="29"/>
  <c r="E18" i="29"/>
  <c r="G16" i="29"/>
  <c r="C28" i="29"/>
  <c r="B35" i="29"/>
  <c r="D30" i="29"/>
  <c r="F28" i="29"/>
  <c r="F30" i="29"/>
  <c r="G31" i="29"/>
  <c r="G32" i="29" s="1"/>
  <c r="G30" i="29"/>
  <c r="A43" i="29"/>
  <c r="A44" i="29" s="1"/>
  <c r="A47" i="29"/>
  <c r="B42" i="29"/>
  <c r="C40" i="29"/>
  <c r="D43" i="29"/>
  <c r="D44" i="29" s="1"/>
  <c r="D45" i="29"/>
  <c r="E40" i="29"/>
  <c r="F47" i="29"/>
  <c r="G41" i="29"/>
  <c r="G43" i="29"/>
  <c r="G44" i="29" s="1"/>
  <c r="A53" i="29"/>
  <c r="A59" i="29"/>
  <c r="B55" i="29"/>
  <c r="B56" i="29" s="1"/>
  <c r="B59" i="29"/>
  <c r="C55" i="29"/>
  <c r="C56" i="29" s="1"/>
  <c r="C59" i="29"/>
  <c r="D57" i="29"/>
  <c r="E55" i="29"/>
  <c r="E56" i="29" s="1"/>
  <c r="E59" i="29"/>
  <c r="F55" i="29"/>
  <c r="F56" i="29" s="1"/>
  <c r="F59" i="29"/>
  <c r="A70" i="29"/>
  <c r="G54" i="29"/>
  <c r="C22" i="29"/>
  <c r="G10" i="29"/>
  <c r="E58" i="29"/>
  <c r="G53" i="29"/>
  <c r="A10" i="29"/>
  <c r="F57" i="29"/>
  <c r="G22" i="29"/>
  <c r="G58" i="29"/>
  <c r="E22" i="29"/>
  <c r="C58" i="29"/>
  <c r="C24" i="29"/>
  <c r="E48" i="29"/>
  <c r="D24" i="29"/>
  <c r="B24" i="29"/>
  <c r="B71" i="29"/>
  <c r="A24" i="29"/>
  <c r="C48" i="29"/>
  <c r="G12" i="29"/>
  <c r="E12" i="29"/>
  <c r="A71" i="29"/>
  <c r="F10" i="29"/>
  <c r="D58" i="29"/>
  <c r="D10" i="29"/>
  <c r="F58" i="29"/>
  <c r="B66" i="29"/>
  <c r="G24" i="29"/>
  <c r="B60" i="29"/>
  <c r="C36" i="29"/>
  <c r="E36" i="29"/>
  <c r="B69" i="29"/>
  <c r="E24" i="29"/>
  <c r="G48" i="29"/>
  <c r="F24" i="29"/>
  <c r="A36" i="29"/>
  <c r="B48" i="29"/>
  <c r="A234" i="28"/>
  <c r="A88" i="29"/>
  <c r="A81" i="29"/>
  <c r="A84" i="29"/>
  <c r="A85" i="29" s="1"/>
  <c r="A83" i="29"/>
  <c r="A89" i="29"/>
  <c r="A82" i="29"/>
  <c r="A87" i="29"/>
  <c r="A90" i="29"/>
  <c r="A86" i="29"/>
  <c r="B82" i="29"/>
  <c r="B86" i="29"/>
  <c r="B84" i="29"/>
  <c r="B85" i="29" s="1"/>
  <c r="B83" i="29"/>
  <c r="A167" i="29"/>
  <c r="A166" i="29"/>
  <c r="A160" i="29"/>
  <c r="A161" i="29"/>
  <c r="A162" i="29" s="1"/>
  <c r="B90" i="29"/>
  <c r="B88" i="29"/>
  <c r="B81" i="29"/>
  <c r="B87" i="29"/>
  <c r="B89" i="29"/>
  <c r="A159" i="29"/>
  <c r="A165" i="29"/>
  <c r="A163" i="29"/>
  <c r="A158" i="29"/>
  <c r="A164" i="29"/>
  <c r="B165" i="29"/>
  <c r="B160" i="29"/>
  <c r="B158" i="29"/>
  <c r="B164" i="29"/>
  <c r="B163" i="29"/>
  <c r="A244" i="29"/>
  <c r="A242" i="29"/>
  <c r="A235" i="29"/>
  <c r="A241" i="29"/>
  <c r="A243" i="29"/>
  <c r="C90" i="29"/>
  <c r="C87" i="29"/>
  <c r="C81" i="29"/>
  <c r="C88" i="29"/>
  <c r="B166" i="29"/>
  <c r="B159" i="29"/>
  <c r="B167" i="29"/>
  <c r="B161" i="29"/>
  <c r="B162" i="29" s="1"/>
  <c r="A236" i="29"/>
  <c r="A240" i="29"/>
  <c r="A238" i="29"/>
  <c r="A239" i="29" s="1"/>
  <c r="A237" i="29"/>
  <c r="C89" i="29"/>
  <c r="C84" i="29"/>
  <c r="C85" i="29" s="1"/>
  <c r="C86" i="29"/>
  <c r="C82" i="29"/>
  <c r="C83" i="29"/>
  <c r="A313" i="29"/>
  <c r="A319" i="29"/>
  <c r="A317" i="29"/>
  <c r="A312" i="29"/>
  <c r="A318" i="29"/>
  <c r="B243" i="29"/>
  <c r="B238" i="29"/>
  <c r="B239" i="29" s="1"/>
  <c r="B244" i="29"/>
  <c r="B240" i="29"/>
  <c r="B237" i="29"/>
  <c r="D82" i="29"/>
  <c r="D88" i="29"/>
  <c r="D86" i="29"/>
  <c r="D81" i="29"/>
  <c r="D87" i="29"/>
  <c r="C167" i="29"/>
  <c r="C165" i="29"/>
  <c r="C158" i="29"/>
  <c r="C164" i="29"/>
  <c r="C166" i="29"/>
  <c r="A321" i="29"/>
  <c r="A320" i="29"/>
  <c r="A314" i="29"/>
  <c r="A315" i="29"/>
  <c r="A316" i="29" s="1"/>
  <c r="B242" i="29"/>
  <c r="B241" i="29"/>
  <c r="B235" i="29"/>
  <c r="B236" i="29"/>
  <c r="D90" i="29"/>
  <c r="D89" i="29"/>
  <c r="D83" i="29"/>
  <c r="D84" i="29"/>
  <c r="D85" i="29" s="1"/>
  <c r="C159" i="29"/>
  <c r="C163" i="29"/>
  <c r="C161" i="29"/>
  <c r="C162" i="29" s="1"/>
  <c r="C160" i="29"/>
  <c r="D167" i="29"/>
  <c r="D164" i="29"/>
  <c r="D158" i="29"/>
  <c r="D165" i="29"/>
  <c r="C244" i="29"/>
  <c r="C235" i="29"/>
  <c r="C237" i="29"/>
  <c r="C241" i="29"/>
  <c r="E88" i="29"/>
  <c r="E83" i="29"/>
  <c r="E81" i="29"/>
  <c r="E87" i="29"/>
  <c r="E86" i="29"/>
  <c r="A397" i="29"/>
  <c r="A394" i="29"/>
  <c r="A392" i="29"/>
  <c r="A393" i="29" s="1"/>
  <c r="A398" i="29"/>
  <c r="B319" i="29"/>
  <c r="B314" i="29"/>
  <c r="B312" i="29"/>
  <c r="B318" i="29"/>
  <c r="B317" i="29"/>
  <c r="D166" i="29"/>
  <c r="D161" i="29"/>
  <c r="D162" i="29" s="1"/>
  <c r="D163" i="29"/>
  <c r="D159" i="29"/>
  <c r="D160" i="29"/>
  <c r="C236" i="29"/>
  <c r="C238" i="29"/>
  <c r="C239" i="29" s="1"/>
  <c r="C240" i="29"/>
  <c r="C242" i="29"/>
  <c r="C243" i="29"/>
  <c r="E89" i="29"/>
  <c r="E82" i="29"/>
  <c r="E90" i="29"/>
  <c r="E84" i="29"/>
  <c r="E85" i="29" s="1"/>
  <c r="A396" i="29"/>
  <c r="A391" i="29"/>
  <c r="A389" i="29"/>
  <c r="A395" i="29"/>
  <c r="A390" i="29"/>
  <c r="B320" i="29"/>
  <c r="B313" i="29"/>
  <c r="B321" i="29"/>
  <c r="B315" i="29"/>
  <c r="B316" i="29" s="1"/>
  <c r="B390" i="29"/>
  <c r="B392" i="29"/>
  <c r="B393" i="29" s="1"/>
  <c r="B394" i="29"/>
  <c r="B396" i="29"/>
  <c r="B389" i="29"/>
  <c r="D243" i="29"/>
  <c r="D236" i="29"/>
  <c r="D244" i="29"/>
  <c r="D238" i="29"/>
  <c r="D239" i="29" s="1"/>
  <c r="A468" i="29"/>
  <c r="A466" i="29"/>
  <c r="A472" i="29"/>
  <c r="A474" i="29"/>
  <c r="C321" i="29"/>
  <c r="C319" i="29"/>
  <c r="C312" i="29"/>
  <c r="C318" i="29"/>
  <c r="C320" i="29"/>
  <c r="F82" i="29"/>
  <c r="F86" i="29"/>
  <c r="F84" i="29"/>
  <c r="F85" i="29" s="1"/>
  <c r="F83" i="29"/>
  <c r="E167" i="29"/>
  <c r="E166" i="29"/>
  <c r="E160" i="29"/>
  <c r="E161" i="29"/>
  <c r="E162" i="29" s="1"/>
  <c r="B398" i="29"/>
  <c r="B391" i="29"/>
  <c r="B397" i="29"/>
  <c r="B395" i="29"/>
  <c r="D242" i="29"/>
  <c r="D237" i="29"/>
  <c r="D235" i="29"/>
  <c r="D241" i="29"/>
  <c r="D240" i="29"/>
  <c r="A473" i="29"/>
  <c r="A467" i="29"/>
  <c r="A469" i="29"/>
  <c r="A470" i="29" s="1"/>
  <c r="A471" i="29"/>
  <c r="A475" i="29"/>
  <c r="C313" i="29"/>
  <c r="C317" i="29"/>
  <c r="C315" i="29"/>
  <c r="C316" i="29" s="1"/>
  <c r="C314" i="29"/>
  <c r="F90" i="29"/>
  <c r="F88" i="29"/>
  <c r="F81" i="29"/>
  <c r="F87" i="29"/>
  <c r="F89" i="29"/>
  <c r="E159" i="29"/>
  <c r="E165" i="29"/>
  <c r="E163" i="29"/>
  <c r="E158" i="29"/>
  <c r="E164" i="29"/>
  <c r="F165" i="29"/>
  <c r="F160" i="29"/>
  <c r="F158" i="29"/>
  <c r="F164" i="29"/>
  <c r="F163" i="29"/>
  <c r="A552" i="29"/>
  <c r="A549" i="29"/>
  <c r="A543" i="29"/>
  <c r="A550" i="29"/>
  <c r="A548" i="29"/>
  <c r="D321" i="29"/>
  <c r="D318" i="29"/>
  <c r="D312" i="29"/>
  <c r="D319" i="29"/>
  <c r="E244" i="29"/>
  <c r="E242" i="29"/>
  <c r="E235" i="29"/>
  <c r="E241" i="29"/>
  <c r="E243" i="29"/>
  <c r="G87" i="29"/>
  <c r="G82" i="29"/>
  <c r="G84" i="29"/>
  <c r="G85" i="29" s="1"/>
  <c r="G88" i="29"/>
  <c r="B475" i="29"/>
  <c r="B467" i="29"/>
  <c r="B469" i="29"/>
  <c r="B470" i="29" s="1"/>
  <c r="B471" i="29"/>
  <c r="C398" i="29"/>
  <c r="C391" i="29"/>
  <c r="C389" i="29"/>
  <c r="C395" i="29"/>
  <c r="F166" i="29"/>
  <c r="F159" i="29"/>
  <c r="F167" i="29"/>
  <c r="F161" i="29"/>
  <c r="F162" i="29" s="1"/>
  <c r="A546" i="29"/>
  <c r="A547" i="29" s="1"/>
  <c r="A544" i="29"/>
  <c r="A545" i="29"/>
  <c r="A551" i="29"/>
  <c r="D320" i="29"/>
  <c r="D315" i="29"/>
  <c r="D316" i="29" s="1"/>
  <c r="D317" i="29"/>
  <c r="D313" i="29"/>
  <c r="D314" i="29"/>
  <c r="E236" i="29"/>
  <c r="E240" i="29"/>
  <c r="E238" i="29"/>
  <c r="E239" i="29" s="1"/>
  <c r="E237" i="29"/>
  <c r="G81" i="29"/>
  <c r="G90" i="29"/>
  <c r="G86" i="29"/>
  <c r="G83" i="29"/>
  <c r="G89" i="29"/>
  <c r="B473" i="29"/>
  <c r="B468" i="29"/>
  <c r="B474" i="29"/>
  <c r="B472" i="29"/>
  <c r="B466" i="29"/>
  <c r="C397" i="29"/>
  <c r="C390" i="29"/>
  <c r="C392" i="29"/>
  <c r="C393" i="29" s="1"/>
  <c r="C394" i="29"/>
  <c r="C396" i="29"/>
  <c r="C472" i="29"/>
  <c r="C466" i="29"/>
  <c r="C467" i="29"/>
  <c r="C468" i="29"/>
  <c r="C475" i="29"/>
  <c r="F244" i="29"/>
  <c r="F241" i="29"/>
  <c r="F235" i="29"/>
  <c r="F242" i="29"/>
  <c r="B548" i="29"/>
  <c r="B552" i="29"/>
  <c r="B549" i="29"/>
  <c r="B550" i="29"/>
  <c r="B545" i="29"/>
  <c r="D390" i="29"/>
  <c r="D392" i="29"/>
  <c r="D393" i="29" s="1"/>
  <c r="D394" i="29"/>
  <c r="D396" i="29"/>
  <c r="D389" i="29"/>
  <c r="A102" i="29"/>
  <c r="A96" i="29"/>
  <c r="A97" i="29" s="1"/>
  <c r="A95" i="29"/>
  <c r="A99" i="29"/>
  <c r="A93" i="29"/>
  <c r="E313" i="29"/>
  <c r="E319" i="29"/>
  <c r="E317" i="29"/>
  <c r="E312" i="29"/>
  <c r="E318" i="29"/>
  <c r="G167" i="29"/>
  <c r="G158" i="29"/>
  <c r="G166" i="29"/>
  <c r="G161" i="29"/>
  <c r="G162" i="29" s="1"/>
  <c r="C469" i="29"/>
  <c r="C470" i="29" s="1"/>
  <c r="C473" i="29"/>
  <c r="C471" i="29"/>
  <c r="C474" i="29"/>
  <c r="F243" i="29"/>
  <c r="F238" i="29"/>
  <c r="F239" i="29" s="1"/>
  <c r="F240" i="29"/>
  <c r="F236" i="29"/>
  <c r="F237" i="29"/>
  <c r="B543" i="29"/>
  <c r="B546" i="29"/>
  <c r="B547" i="29" s="1"/>
  <c r="B551" i="29"/>
  <c r="B544" i="29"/>
  <c r="D398" i="29"/>
  <c r="D391" i="29"/>
  <c r="D397" i="29"/>
  <c r="D395" i="29"/>
  <c r="A94" i="29"/>
  <c r="A101" i="29"/>
  <c r="A98" i="29"/>
  <c r="A100" i="29"/>
  <c r="E321" i="29"/>
  <c r="E320" i="29"/>
  <c r="E314" i="29"/>
  <c r="E315" i="29"/>
  <c r="E316" i="29" s="1"/>
  <c r="G159" i="29"/>
  <c r="G165" i="29"/>
  <c r="G163" i="29"/>
  <c r="G160" i="29"/>
  <c r="G164" i="29"/>
  <c r="A177" i="29"/>
  <c r="A172" i="29"/>
  <c r="A170" i="29"/>
  <c r="A176" i="29"/>
  <c r="A175" i="29"/>
  <c r="B102" i="29"/>
  <c r="B99" i="29"/>
  <c r="B93" i="29"/>
  <c r="B100" i="29"/>
  <c r="C550" i="29"/>
  <c r="C543" i="29"/>
  <c r="C549" i="29"/>
  <c r="C551" i="29"/>
  <c r="C552" i="29"/>
  <c r="F320" i="29"/>
  <c r="F313" i="29"/>
  <c r="F321" i="29"/>
  <c r="F315" i="29"/>
  <c r="F316" i="29" s="1"/>
  <c r="E391" i="29"/>
  <c r="E389" i="29"/>
  <c r="E395" i="29"/>
  <c r="E390" i="29"/>
  <c r="G244" i="29"/>
  <c r="G237" i="29"/>
  <c r="G243" i="29"/>
  <c r="G238" i="29"/>
  <c r="G239" i="29" s="1"/>
  <c r="D471" i="29"/>
  <c r="D473" i="29"/>
  <c r="D475" i="29"/>
  <c r="D466" i="29"/>
  <c r="D468" i="29"/>
  <c r="A178" i="29"/>
  <c r="A171" i="29"/>
  <c r="A179" i="29"/>
  <c r="A173" i="29"/>
  <c r="A174" i="29" s="1"/>
  <c r="B101" i="29"/>
  <c r="B96" i="29"/>
  <c r="B97" i="29" s="1"/>
  <c r="B98" i="29"/>
  <c r="B94" i="29"/>
  <c r="B95" i="29"/>
  <c r="C548" i="29"/>
  <c r="C546" i="29"/>
  <c r="C547" i="29" s="1"/>
  <c r="C545" i="29"/>
  <c r="C544" i="29"/>
  <c r="F319" i="29"/>
  <c r="F314" i="29"/>
  <c r="F312" i="29"/>
  <c r="F318" i="29"/>
  <c r="F317" i="29"/>
  <c r="E397" i="29"/>
  <c r="E394" i="29"/>
  <c r="E392" i="29"/>
  <c r="E393" i="29" s="1"/>
  <c r="E398" i="29"/>
  <c r="E396" i="29"/>
  <c r="G236" i="29"/>
  <c r="G242" i="29"/>
  <c r="G240" i="29"/>
  <c r="G235" i="29"/>
  <c r="G241" i="29"/>
  <c r="D474" i="29"/>
  <c r="D472" i="29"/>
  <c r="D467" i="29"/>
  <c r="D469" i="29"/>
  <c r="D470" i="29" s="1"/>
  <c r="A254" i="29"/>
  <c r="A249" i="29"/>
  <c r="A247" i="29"/>
  <c r="A253" i="29"/>
  <c r="A252" i="29"/>
  <c r="G313" i="29"/>
  <c r="G319" i="29"/>
  <c r="G317" i="29"/>
  <c r="G314" i="29"/>
  <c r="G318" i="29"/>
  <c r="D544" i="29"/>
  <c r="D548" i="29"/>
  <c r="D546" i="29"/>
  <c r="D547" i="29" s="1"/>
  <c r="D545" i="29"/>
  <c r="D552" i="29"/>
  <c r="E475" i="29"/>
  <c r="E467" i="29"/>
  <c r="E469" i="29"/>
  <c r="E470" i="29" s="1"/>
  <c r="E473" i="29"/>
  <c r="E468" i="29"/>
  <c r="F392" i="29"/>
  <c r="F393" i="29" s="1"/>
  <c r="F394" i="29"/>
  <c r="F396" i="29"/>
  <c r="F389" i="29"/>
  <c r="F391" i="29"/>
  <c r="C98" i="29"/>
  <c r="C93" i="29"/>
  <c r="C99" i="29"/>
  <c r="C101" i="29"/>
  <c r="C94" i="29"/>
  <c r="B171" i="29"/>
  <c r="B175" i="29"/>
  <c r="B173" i="29"/>
  <c r="B174" i="29" s="1"/>
  <c r="B172" i="29"/>
  <c r="A255" i="29"/>
  <c r="A248" i="29"/>
  <c r="A256" i="29"/>
  <c r="A250" i="29"/>
  <c r="A251" i="29" s="1"/>
  <c r="G321" i="29"/>
  <c r="G312" i="29"/>
  <c r="G320" i="29"/>
  <c r="G315" i="29"/>
  <c r="G316" i="29" s="1"/>
  <c r="D549" i="29"/>
  <c r="D543" i="29"/>
  <c r="D551" i="29"/>
  <c r="D550" i="29"/>
  <c r="E466" i="29"/>
  <c r="E472" i="29"/>
  <c r="E474" i="29"/>
  <c r="E471" i="29"/>
  <c r="F398" i="29"/>
  <c r="F397" i="29"/>
  <c r="F395" i="29"/>
  <c r="F390" i="29"/>
  <c r="C95" i="29"/>
  <c r="C96" i="29"/>
  <c r="C97" i="29" s="1"/>
  <c r="C102" i="29"/>
  <c r="C100" i="29"/>
  <c r="B179" i="29"/>
  <c r="B177" i="29"/>
  <c r="B170" i="29"/>
  <c r="B176" i="29"/>
  <c r="B178" i="29"/>
  <c r="D100" i="29"/>
  <c r="D95" i="29"/>
  <c r="D101" i="29"/>
  <c r="D99" i="29"/>
  <c r="D98" i="29"/>
  <c r="F471" i="29"/>
  <c r="F475" i="29"/>
  <c r="F468" i="29"/>
  <c r="F474" i="29"/>
  <c r="E544" i="29"/>
  <c r="E545" i="29"/>
  <c r="E546" i="29"/>
  <c r="E547" i="29" s="1"/>
  <c r="E548" i="29"/>
  <c r="C178" i="29"/>
  <c r="C173" i="29"/>
  <c r="C174" i="29" s="1"/>
  <c r="C175" i="29"/>
  <c r="C171" i="29"/>
  <c r="C172" i="29"/>
  <c r="G397" i="29"/>
  <c r="G394" i="29"/>
  <c r="G392" i="29"/>
  <c r="G393" i="29" s="1"/>
  <c r="G398" i="29"/>
  <c r="A332" i="29"/>
  <c r="A325" i="29"/>
  <c r="A333" i="29"/>
  <c r="A327" i="29"/>
  <c r="A328" i="29" s="1"/>
  <c r="B248" i="29"/>
  <c r="B252" i="29"/>
  <c r="B250" i="29"/>
  <c r="B251" i="29" s="1"/>
  <c r="B249" i="29"/>
  <c r="D93" i="29"/>
  <c r="D94" i="29"/>
  <c r="D102" i="29"/>
  <c r="D96" i="29"/>
  <c r="D97" i="29" s="1"/>
  <c r="F466" i="29"/>
  <c r="F472" i="29"/>
  <c r="F473" i="29"/>
  <c r="F467" i="29"/>
  <c r="F469" i="29"/>
  <c r="F470" i="29" s="1"/>
  <c r="E550" i="29"/>
  <c r="E552" i="29"/>
  <c r="E543" i="29"/>
  <c r="E549" i="29"/>
  <c r="E551" i="29"/>
  <c r="C179" i="29"/>
  <c r="C176" i="29"/>
  <c r="C170" i="29"/>
  <c r="C177" i="29"/>
  <c r="G396" i="29"/>
  <c r="G391" i="29"/>
  <c r="G389" i="29"/>
  <c r="G395" i="29"/>
  <c r="G390" i="29"/>
  <c r="A331" i="29"/>
  <c r="A326" i="29"/>
  <c r="A324" i="29"/>
  <c r="A330" i="29"/>
  <c r="A329" i="29"/>
  <c r="B256" i="29"/>
  <c r="B254" i="29"/>
  <c r="B247" i="29"/>
  <c r="B253" i="29"/>
  <c r="B255" i="29"/>
  <c r="B325" i="29"/>
  <c r="B329" i="29"/>
  <c r="B327" i="29"/>
  <c r="B328" i="29" s="1"/>
  <c r="B326" i="29"/>
  <c r="A410" i="29"/>
  <c r="A409" i="29"/>
  <c r="A407" i="29"/>
  <c r="A402" i="29"/>
  <c r="D171" i="29"/>
  <c r="D177" i="29"/>
  <c r="D175" i="29"/>
  <c r="D170" i="29"/>
  <c r="D176" i="29"/>
  <c r="F549" i="29"/>
  <c r="F548" i="29"/>
  <c r="F552" i="29"/>
  <c r="F550" i="29"/>
  <c r="C255" i="29"/>
  <c r="C250" i="29"/>
  <c r="C251" i="29" s="1"/>
  <c r="C252" i="29"/>
  <c r="C248" i="29"/>
  <c r="C249" i="29"/>
  <c r="G467" i="29"/>
  <c r="G469" i="29"/>
  <c r="G470" i="29" s="1"/>
  <c r="G471" i="29"/>
  <c r="G473" i="29"/>
  <c r="G472" i="29"/>
  <c r="E94" i="29"/>
  <c r="E98" i="29"/>
  <c r="E96" i="29"/>
  <c r="E97" i="29" s="1"/>
  <c r="E95" i="29"/>
  <c r="B333" i="29"/>
  <c r="B331" i="29"/>
  <c r="B324" i="29"/>
  <c r="B330" i="29"/>
  <c r="B332" i="29"/>
  <c r="A404" i="29"/>
  <c r="A405" i="29" s="1"/>
  <c r="A406" i="29"/>
  <c r="A408" i="29"/>
  <c r="A401" i="29"/>
  <c r="A403" i="29"/>
  <c r="D179" i="29"/>
  <c r="D178" i="29"/>
  <c r="D172" i="29"/>
  <c r="D173" i="29"/>
  <c r="D174" i="29" s="1"/>
  <c r="F546" i="29"/>
  <c r="F547" i="29" s="1"/>
  <c r="F543" i="29"/>
  <c r="F545" i="29"/>
  <c r="F551" i="29"/>
  <c r="F544" i="29"/>
  <c r="C256" i="29"/>
  <c r="C253" i="29"/>
  <c r="C247" i="29"/>
  <c r="C254" i="29"/>
  <c r="G466" i="29"/>
  <c r="G468" i="29"/>
  <c r="G474" i="29"/>
  <c r="G475" i="29"/>
  <c r="E102" i="29"/>
  <c r="E100" i="29"/>
  <c r="E93" i="29"/>
  <c r="E99" i="29"/>
  <c r="E101" i="29"/>
  <c r="A483" i="29"/>
  <c r="A485" i="29"/>
  <c r="A487" i="29"/>
  <c r="A480" i="29"/>
  <c r="A478" i="29"/>
  <c r="D248" i="29"/>
  <c r="D252" i="29"/>
  <c r="D250" i="29"/>
  <c r="D251" i="29" s="1"/>
  <c r="D247" i="29"/>
  <c r="G550" i="29"/>
  <c r="G552" i="29"/>
  <c r="G543" i="29"/>
  <c r="G549" i="29"/>
  <c r="G551" i="29"/>
  <c r="B410" i="29"/>
  <c r="B403" i="29"/>
  <c r="B401" i="29"/>
  <c r="B407" i="29"/>
  <c r="F101" i="29"/>
  <c r="F96" i="29"/>
  <c r="F97" i="29" s="1"/>
  <c r="F100" i="29"/>
  <c r="F94" i="29"/>
  <c r="F95" i="29"/>
  <c r="E178" i="29"/>
  <c r="E171" i="29"/>
  <c r="E179" i="29"/>
  <c r="E173" i="29"/>
  <c r="E174" i="29" s="1"/>
  <c r="C333" i="29"/>
  <c r="C330" i="29"/>
  <c r="C324" i="29"/>
  <c r="C331" i="29"/>
  <c r="A486" i="29"/>
  <c r="A484" i="29"/>
  <c r="A479" i="29"/>
  <c r="A481" i="29"/>
  <c r="A482" i="29" s="1"/>
  <c r="D256" i="29"/>
  <c r="D254" i="29"/>
  <c r="D255" i="29"/>
  <c r="D249" i="29"/>
  <c r="D253" i="29"/>
  <c r="G544" i="29"/>
  <c r="G546" i="29"/>
  <c r="G547" i="29" s="1"/>
  <c r="G548" i="29"/>
  <c r="G545" i="29"/>
  <c r="B409" i="29"/>
  <c r="B402" i="29"/>
  <c r="B404" i="29"/>
  <c r="B405" i="29" s="1"/>
  <c r="B406" i="29"/>
  <c r="B408" i="29"/>
  <c r="F102" i="29"/>
  <c r="F99" i="29"/>
  <c r="F93" i="29"/>
  <c r="F98" i="29"/>
  <c r="E177" i="29"/>
  <c r="E172" i="29"/>
  <c r="E170" i="29"/>
  <c r="E176" i="29"/>
  <c r="E175" i="29"/>
  <c r="C332" i="29"/>
  <c r="C327" i="29"/>
  <c r="C328" i="29" s="1"/>
  <c r="C329" i="29"/>
  <c r="C325" i="29"/>
  <c r="C326" i="29"/>
  <c r="F171" i="29"/>
  <c r="F175" i="29"/>
  <c r="F173" i="29"/>
  <c r="F174" i="29" s="1"/>
  <c r="F172" i="29"/>
  <c r="G94" i="29"/>
  <c r="G100" i="29"/>
  <c r="G98" i="29"/>
  <c r="G93" i="29"/>
  <c r="G99" i="29"/>
  <c r="A563" i="29"/>
  <c r="A556" i="29"/>
  <c r="A564" i="29"/>
  <c r="A558" i="29"/>
  <c r="A559" i="29" s="1"/>
  <c r="D333" i="29"/>
  <c r="D332" i="29"/>
  <c r="D326" i="29"/>
  <c r="D327" i="29"/>
  <c r="D328" i="29" s="1"/>
  <c r="C402" i="29"/>
  <c r="C404" i="29"/>
  <c r="C405" i="29" s="1"/>
  <c r="C406" i="29"/>
  <c r="C408" i="29"/>
  <c r="C401" i="29"/>
  <c r="E255" i="29"/>
  <c r="E248" i="29"/>
  <c r="E256" i="29"/>
  <c r="E250" i="29"/>
  <c r="E251" i="29" s="1"/>
  <c r="B485" i="29"/>
  <c r="B483" i="29"/>
  <c r="B481" i="29"/>
  <c r="B482" i="29" s="1"/>
  <c r="B479" i="29"/>
  <c r="F179" i="29"/>
  <c r="F177" i="29"/>
  <c r="F170" i="29"/>
  <c r="F176" i="29"/>
  <c r="F178" i="29"/>
  <c r="G102" i="29"/>
  <c r="G101" i="29"/>
  <c r="G95" i="29"/>
  <c r="G96" i="29"/>
  <c r="G97" i="29" s="1"/>
  <c r="A562" i="29"/>
  <c r="A557" i="29"/>
  <c r="A555" i="29"/>
  <c r="A561" i="29"/>
  <c r="A560" i="29"/>
  <c r="D325" i="29"/>
  <c r="D331" i="29"/>
  <c r="D329" i="29"/>
  <c r="D324" i="29"/>
  <c r="D330" i="29"/>
  <c r="C410" i="29"/>
  <c r="C403" i="29"/>
  <c r="C409" i="29"/>
  <c r="C407" i="29"/>
  <c r="E254" i="29"/>
  <c r="E249" i="29"/>
  <c r="E247" i="29"/>
  <c r="E253" i="29"/>
  <c r="E252" i="29"/>
  <c r="B486" i="29"/>
  <c r="B487" i="29"/>
  <c r="B480" i="29"/>
  <c r="B478" i="29"/>
  <c r="B484" i="29"/>
  <c r="F248" i="29"/>
  <c r="F252" i="29"/>
  <c r="F250" i="29"/>
  <c r="F251" i="29" s="1"/>
  <c r="F249" i="29"/>
  <c r="E331" i="29"/>
  <c r="E326" i="29"/>
  <c r="E324" i="29"/>
  <c r="E330" i="29"/>
  <c r="E329" i="29"/>
  <c r="B560" i="29"/>
  <c r="B562" i="29"/>
  <c r="B555" i="29"/>
  <c r="B556" i="29"/>
  <c r="B563" i="29"/>
  <c r="C485" i="29"/>
  <c r="C478" i="29"/>
  <c r="C484" i="29"/>
  <c r="C486" i="29"/>
  <c r="C479" i="29"/>
  <c r="D410" i="29"/>
  <c r="D403" i="29"/>
  <c r="D401" i="29"/>
  <c r="D407" i="29"/>
  <c r="A113" i="29"/>
  <c r="A108" i="29"/>
  <c r="A109" i="29" s="1"/>
  <c r="A110" i="29"/>
  <c r="A106" i="29"/>
  <c r="A107" i="29"/>
  <c r="G179" i="29"/>
  <c r="G178" i="29"/>
  <c r="G172" i="29"/>
  <c r="G177" i="29"/>
  <c r="F256" i="29"/>
  <c r="F254" i="29"/>
  <c r="F247" i="29"/>
  <c r="F253" i="29"/>
  <c r="F255" i="29"/>
  <c r="E332" i="29"/>
  <c r="E325" i="29"/>
  <c r="E333" i="29"/>
  <c r="E327" i="29"/>
  <c r="E328" i="29" s="1"/>
  <c r="B561" i="29"/>
  <c r="B564" i="29"/>
  <c r="B558" i="29"/>
  <c r="B559" i="29" s="1"/>
  <c r="B557" i="29"/>
  <c r="C483" i="29"/>
  <c r="C481" i="29"/>
  <c r="C482" i="29" s="1"/>
  <c r="C487" i="29"/>
  <c r="C480" i="29"/>
  <c r="D409" i="29"/>
  <c r="D402" i="29"/>
  <c r="D404" i="29"/>
  <c r="D405" i="29" s="1"/>
  <c r="D406" i="29"/>
  <c r="D408" i="29"/>
  <c r="A114" i="29"/>
  <c r="A111" i="29"/>
  <c r="A105" i="29"/>
  <c r="A112" i="29"/>
  <c r="G176" i="29"/>
  <c r="G173" i="29"/>
  <c r="G174" i="29" s="1"/>
  <c r="G175" i="29"/>
  <c r="G171" i="29"/>
  <c r="G170" i="29"/>
  <c r="B106" i="29"/>
  <c r="B112" i="29"/>
  <c r="B110" i="29"/>
  <c r="B105" i="29"/>
  <c r="B111" i="29"/>
  <c r="D480" i="29"/>
  <c r="D478" i="29"/>
  <c r="D484" i="29"/>
  <c r="D486" i="29"/>
  <c r="C555" i="29"/>
  <c r="C560" i="29"/>
  <c r="C564" i="29"/>
  <c r="C557" i="29"/>
  <c r="A191" i="29"/>
  <c r="A189" i="29"/>
  <c r="A182" i="29"/>
  <c r="A188" i="29"/>
  <c r="A190" i="29"/>
  <c r="E410" i="29"/>
  <c r="E403" i="29"/>
  <c r="E409" i="29"/>
  <c r="E407" i="29"/>
  <c r="F333" i="29"/>
  <c r="F331" i="29"/>
  <c r="F324" i="29"/>
  <c r="F330" i="29"/>
  <c r="F332" i="29"/>
  <c r="G256" i="29"/>
  <c r="G255" i="29"/>
  <c r="G249" i="29"/>
  <c r="G254" i="29"/>
  <c r="B114" i="29"/>
  <c r="B113" i="29"/>
  <c r="B107" i="29"/>
  <c r="B108" i="29"/>
  <c r="B109" i="29" s="1"/>
  <c r="D487" i="29"/>
  <c r="D479" i="29"/>
  <c r="D481" i="29"/>
  <c r="D482" i="29" s="1"/>
  <c r="D483" i="29"/>
  <c r="D485" i="29"/>
  <c r="C556" i="29"/>
  <c r="C561" i="29"/>
  <c r="C563" i="29"/>
  <c r="C558" i="29"/>
  <c r="C559" i="29" s="1"/>
  <c r="C562" i="29"/>
  <c r="A183" i="29"/>
  <c r="A187" i="29"/>
  <c r="A185" i="29"/>
  <c r="A186" i="29" s="1"/>
  <c r="A184" i="29"/>
  <c r="E402" i="29"/>
  <c r="E404" i="29"/>
  <c r="E405" i="29" s="1"/>
  <c r="E406" i="29"/>
  <c r="E408" i="29"/>
  <c r="E401" i="29"/>
  <c r="F325" i="29"/>
  <c r="F329" i="29"/>
  <c r="F327" i="29"/>
  <c r="F328" i="29" s="1"/>
  <c r="F326" i="29"/>
  <c r="G253" i="29"/>
  <c r="G250" i="29"/>
  <c r="G251" i="29" s="1"/>
  <c r="G252" i="29"/>
  <c r="G248" i="29"/>
  <c r="G247" i="29"/>
  <c r="G333" i="29"/>
  <c r="G332" i="29"/>
  <c r="G326" i="29"/>
  <c r="G331" i="29"/>
  <c r="F409" i="29"/>
  <c r="F402" i="29"/>
  <c r="F406" i="29"/>
  <c r="F404" i="29"/>
  <c r="F405" i="29" s="1"/>
  <c r="B191" i="29"/>
  <c r="B188" i="29"/>
  <c r="B182" i="29"/>
  <c r="B189" i="29"/>
  <c r="D564" i="29"/>
  <c r="D563" i="29"/>
  <c r="D561" i="29"/>
  <c r="D557" i="29"/>
  <c r="D562" i="29"/>
  <c r="A268" i="29"/>
  <c r="A266" i="29"/>
  <c r="A259" i="29"/>
  <c r="A265" i="29"/>
  <c r="A267" i="29"/>
  <c r="E485" i="29"/>
  <c r="E480" i="29"/>
  <c r="E479" i="29"/>
  <c r="E484" i="29"/>
  <c r="E486" i="29"/>
  <c r="C112" i="29"/>
  <c r="C108" i="29"/>
  <c r="C109" i="29" s="1"/>
  <c r="C105" i="29"/>
  <c r="C107" i="29"/>
  <c r="C111" i="29"/>
  <c r="G330" i="29"/>
  <c r="G327" i="29"/>
  <c r="G328" i="29" s="1"/>
  <c r="G329" i="29"/>
  <c r="G325" i="29"/>
  <c r="G324" i="29"/>
  <c r="F410" i="29"/>
  <c r="F403" i="29"/>
  <c r="F401" i="29"/>
  <c r="F407" i="29"/>
  <c r="F408" i="29"/>
  <c r="B190" i="29"/>
  <c r="B185" i="29"/>
  <c r="B186" i="29" s="1"/>
  <c r="B187" i="29"/>
  <c r="B183" i="29"/>
  <c r="B184" i="29"/>
  <c r="D556" i="29"/>
  <c r="D558" i="29"/>
  <c r="D559" i="29" s="1"/>
  <c r="D560" i="29"/>
  <c r="D555" i="29"/>
  <c r="A260" i="29"/>
  <c r="A264" i="29"/>
  <c r="A262" i="29"/>
  <c r="A263" i="29" s="1"/>
  <c r="A261" i="29"/>
  <c r="E483" i="29"/>
  <c r="E481" i="29"/>
  <c r="E482" i="29" s="1"/>
  <c r="E487" i="29"/>
  <c r="E478" i="29"/>
  <c r="C113" i="29"/>
  <c r="C106" i="29"/>
  <c r="C110" i="29"/>
  <c r="C114" i="29"/>
  <c r="F481" i="29"/>
  <c r="F482" i="29" s="1"/>
  <c r="F483" i="29"/>
  <c r="F485" i="29"/>
  <c r="F487" i="29"/>
  <c r="F479" i="29"/>
  <c r="B268" i="29"/>
  <c r="B265" i="29"/>
  <c r="B259" i="29"/>
  <c r="B266" i="29"/>
  <c r="E561" i="29"/>
  <c r="E560" i="29"/>
  <c r="E562" i="29"/>
  <c r="E557" i="29"/>
  <c r="E555" i="29"/>
  <c r="G404" i="29"/>
  <c r="G405" i="29" s="1"/>
  <c r="G406" i="29"/>
  <c r="G408" i="29"/>
  <c r="G401" i="29"/>
  <c r="G403" i="29"/>
  <c r="D114" i="29"/>
  <c r="D108" i="29"/>
  <c r="D109" i="29" s="1"/>
  <c r="D107" i="29"/>
  <c r="D111" i="29"/>
  <c r="D105" i="29"/>
  <c r="C191" i="29"/>
  <c r="C190" i="29"/>
  <c r="C184" i="29"/>
  <c r="C185" i="29"/>
  <c r="C186" i="29" s="1"/>
  <c r="A337" i="29"/>
  <c r="A341" i="29"/>
  <c r="A339" i="29"/>
  <c r="A340" i="29" s="1"/>
  <c r="A338" i="29"/>
  <c r="F478" i="29"/>
  <c r="F484" i="29"/>
  <c r="F486" i="29"/>
  <c r="F480" i="29"/>
  <c r="B267" i="29"/>
  <c r="B262" i="29"/>
  <c r="B263" i="29" s="1"/>
  <c r="B264" i="29"/>
  <c r="B260" i="29"/>
  <c r="B261" i="29"/>
  <c r="E558" i="29"/>
  <c r="E559" i="29" s="1"/>
  <c r="E563" i="29"/>
  <c r="E556" i="29"/>
  <c r="E564" i="29"/>
  <c r="G410" i="29"/>
  <c r="G409" i="29"/>
  <c r="G407" i="29"/>
  <c r="G402" i="29"/>
  <c r="D106" i="29"/>
  <c r="D113" i="29"/>
  <c r="D110" i="29"/>
  <c r="D112" i="29"/>
  <c r="C183" i="29"/>
  <c r="C189" i="29"/>
  <c r="C187" i="29"/>
  <c r="C182" i="29"/>
  <c r="C188" i="29"/>
  <c r="A345" i="29"/>
  <c r="A343" i="29"/>
  <c r="A336" i="29"/>
  <c r="A342" i="29"/>
  <c r="A344" i="29"/>
  <c r="D189" i="29"/>
  <c r="D184" i="29"/>
  <c r="D182" i="29"/>
  <c r="D188" i="29"/>
  <c r="D187" i="29"/>
  <c r="E114" i="29"/>
  <c r="E111" i="29"/>
  <c r="E105" i="29"/>
  <c r="E112" i="29"/>
  <c r="F556" i="29"/>
  <c r="F555" i="29"/>
  <c r="F557" i="29"/>
  <c r="F564" i="29"/>
  <c r="F560" i="29"/>
  <c r="B344" i="29"/>
  <c r="B339" i="29"/>
  <c r="B340" i="29" s="1"/>
  <c r="B341" i="29"/>
  <c r="B337" i="29"/>
  <c r="B338" i="29"/>
  <c r="A420" i="29"/>
  <c r="A415" i="29"/>
  <c r="A413" i="29"/>
  <c r="A419" i="29"/>
  <c r="A418" i="29"/>
  <c r="C268" i="29"/>
  <c r="C267" i="29"/>
  <c r="C261" i="29"/>
  <c r="C262" i="29"/>
  <c r="C263" i="29" s="1"/>
  <c r="G481" i="29"/>
  <c r="G482" i="29" s="1"/>
  <c r="G484" i="29"/>
  <c r="G485" i="29"/>
  <c r="G480" i="29"/>
  <c r="G487" i="29"/>
  <c r="D190" i="29"/>
  <c r="D183" i="29"/>
  <c r="D191" i="29"/>
  <c r="D185" i="29"/>
  <c r="D186" i="29" s="1"/>
  <c r="E113" i="29"/>
  <c r="E108" i="29"/>
  <c r="E109" i="29" s="1"/>
  <c r="E110" i="29"/>
  <c r="E106" i="29"/>
  <c r="E107" i="29"/>
  <c r="F558" i="29"/>
  <c r="F559" i="29" s="1"/>
  <c r="F563" i="29"/>
  <c r="F562" i="29"/>
  <c r="F561" i="29"/>
  <c r="B345" i="29"/>
  <c r="B342" i="29"/>
  <c r="B336" i="29"/>
  <c r="B343" i="29"/>
  <c r="A421" i="29"/>
  <c r="A414" i="29"/>
  <c r="A422" i="29"/>
  <c r="A416" i="29"/>
  <c r="A417" i="29" s="1"/>
  <c r="C260" i="29"/>
  <c r="C266" i="29"/>
  <c r="C264" i="29"/>
  <c r="C259" i="29"/>
  <c r="C265" i="29"/>
  <c r="G478" i="29"/>
  <c r="G486" i="29"/>
  <c r="G479" i="29"/>
  <c r="G483" i="29"/>
  <c r="D266" i="29"/>
  <c r="D261" i="29"/>
  <c r="D259" i="29"/>
  <c r="D265" i="29"/>
  <c r="D264" i="29"/>
  <c r="C337" i="29"/>
  <c r="C343" i="29"/>
  <c r="C341" i="29"/>
  <c r="C336" i="29"/>
  <c r="C342" i="29"/>
  <c r="G557" i="29"/>
  <c r="G555" i="29"/>
  <c r="G563" i="29"/>
  <c r="A495" i="29"/>
  <c r="A499" i="29"/>
  <c r="A492" i="29"/>
  <c r="A498" i="29"/>
  <c r="B414" i="29"/>
  <c r="B418" i="29"/>
  <c r="B416" i="29"/>
  <c r="B417" i="29" s="1"/>
  <c r="B415" i="29"/>
  <c r="F114" i="29"/>
  <c r="F113" i="29"/>
  <c r="F107" i="29"/>
  <c r="F108" i="29"/>
  <c r="F109" i="29" s="1"/>
  <c r="E183" i="29"/>
  <c r="E187" i="29"/>
  <c r="E185" i="29"/>
  <c r="E186" i="29" s="1"/>
  <c r="E184" i="29"/>
  <c r="D267" i="29"/>
  <c r="D260" i="29"/>
  <c r="D268" i="29"/>
  <c r="D262" i="29"/>
  <c r="D263" i="29" s="1"/>
  <c r="C345" i="29"/>
  <c r="C344" i="29"/>
  <c r="C338" i="29"/>
  <c r="C339" i="29"/>
  <c r="C340" i="29" s="1"/>
  <c r="G558" i="29"/>
  <c r="G559" i="29" s="1"/>
  <c r="G556" i="29"/>
  <c r="A496" i="29"/>
  <c r="A490" i="29"/>
  <c r="A491" i="29"/>
  <c r="A493" i="29"/>
  <c r="A494" i="29" s="1"/>
  <c r="A497" i="29"/>
  <c r="B422" i="29"/>
  <c r="B420" i="29"/>
  <c r="B413" i="29"/>
  <c r="B419" i="29"/>
  <c r="B421" i="29"/>
  <c r="F106" i="29"/>
  <c r="F112" i="29"/>
  <c r="F110" i="29"/>
  <c r="F105" i="29"/>
  <c r="F111" i="29"/>
  <c r="E191" i="29"/>
  <c r="E189" i="29"/>
  <c r="E182" i="29"/>
  <c r="E188" i="29"/>
  <c r="E190" i="29"/>
  <c r="G112" i="29"/>
  <c r="G105" i="29"/>
  <c r="G107" i="29"/>
  <c r="G113" i="29"/>
  <c r="G110" i="29"/>
  <c r="B499" i="29"/>
  <c r="B492" i="29"/>
  <c r="B490" i="29"/>
  <c r="B496" i="29"/>
  <c r="A567" i="29"/>
  <c r="F190" i="29"/>
  <c r="F185" i="29"/>
  <c r="F186" i="29" s="1"/>
  <c r="F187" i="29"/>
  <c r="F183" i="29"/>
  <c r="F184" i="29"/>
  <c r="C422" i="29"/>
  <c r="C416" i="29"/>
  <c r="C417" i="29" s="1"/>
  <c r="C418" i="29"/>
  <c r="C414" i="29"/>
  <c r="C413" i="29"/>
  <c r="D344" i="29"/>
  <c r="D337" i="29"/>
  <c r="D345" i="29"/>
  <c r="D339" i="29"/>
  <c r="D340" i="29" s="1"/>
  <c r="E260" i="29"/>
  <c r="E264" i="29"/>
  <c r="E262" i="29"/>
  <c r="E263" i="29" s="1"/>
  <c r="E261" i="29"/>
  <c r="G111" i="29"/>
  <c r="G106" i="29"/>
  <c r="G114" i="29"/>
  <c r="G108" i="29"/>
  <c r="G109" i="29" s="1"/>
  <c r="B498" i="29"/>
  <c r="B491" i="29"/>
  <c r="B493" i="29"/>
  <c r="B494" i="29" s="1"/>
  <c r="B495" i="29"/>
  <c r="B497" i="29"/>
  <c r="A568" i="29"/>
  <c r="F191" i="29"/>
  <c r="F188" i="29"/>
  <c r="F182" i="29"/>
  <c r="F189" i="29"/>
  <c r="C415" i="29"/>
  <c r="C421" i="29"/>
  <c r="C419" i="29"/>
  <c r="C420" i="29"/>
  <c r="D343" i="29"/>
  <c r="D338" i="29"/>
  <c r="D336" i="29"/>
  <c r="D342" i="29"/>
  <c r="D341" i="29"/>
  <c r="E268" i="29"/>
  <c r="E266" i="29"/>
  <c r="E259" i="29"/>
  <c r="E265" i="29"/>
  <c r="E267" i="29"/>
  <c r="E337" i="29"/>
  <c r="E341" i="29"/>
  <c r="E339" i="29"/>
  <c r="E340" i="29" s="1"/>
  <c r="E338" i="29"/>
  <c r="D422" i="29"/>
  <c r="D421" i="29"/>
  <c r="D415" i="29"/>
  <c r="D416" i="29"/>
  <c r="D417" i="29" s="1"/>
  <c r="G183" i="29"/>
  <c r="G189" i="29"/>
  <c r="G187" i="29"/>
  <c r="G182" i="29"/>
  <c r="G188" i="29"/>
  <c r="F267" i="29"/>
  <c r="F262" i="29"/>
  <c r="F263" i="29" s="1"/>
  <c r="F264" i="29"/>
  <c r="F260" i="29"/>
  <c r="F261" i="29"/>
  <c r="C499" i="29"/>
  <c r="C492" i="29"/>
  <c r="C498" i="29"/>
  <c r="C496" i="29"/>
  <c r="A122" i="29"/>
  <c r="A123" i="29"/>
  <c r="A117" i="29"/>
  <c r="A124" i="29"/>
  <c r="A118" i="29"/>
  <c r="E345" i="29"/>
  <c r="E343" i="29"/>
  <c r="E336" i="29"/>
  <c r="E342" i="29"/>
  <c r="E344" i="29"/>
  <c r="D414" i="29"/>
  <c r="D420" i="29"/>
  <c r="D418" i="29"/>
  <c r="D413" i="29"/>
  <c r="D419" i="29"/>
  <c r="G191" i="29"/>
  <c r="G190" i="29"/>
  <c r="G184" i="29"/>
  <c r="G185" i="29"/>
  <c r="G186" i="29" s="1"/>
  <c r="F268" i="29"/>
  <c r="F265" i="29"/>
  <c r="F259" i="29"/>
  <c r="F266" i="29"/>
  <c r="C491" i="29"/>
  <c r="C493" i="29"/>
  <c r="C494" i="29" s="1"/>
  <c r="C495" i="29"/>
  <c r="C497" i="29"/>
  <c r="C490" i="29"/>
  <c r="A125" i="29"/>
  <c r="A126" i="29"/>
  <c r="A120" i="29"/>
  <c r="A121" i="29" s="1"/>
  <c r="A119" i="29"/>
  <c r="D499" i="29"/>
  <c r="D492" i="29"/>
  <c r="D490" i="29"/>
  <c r="D496" i="29"/>
  <c r="G260" i="29"/>
  <c r="G266" i="29"/>
  <c r="G264" i="29"/>
  <c r="G259" i="29"/>
  <c r="G265" i="29"/>
  <c r="E415" i="29"/>
  <c r="E421" i="29"/>
  <c r="E419" i="29"/>
  <c r="E414" i="29"/>
  <c r="E418" i="29"/>
  <c r="B126" i="29"/>
  <c r="B117" i="29"/>
  <c r="B125" i="29"/>
  <c r="B119" i="29"/>
  <c r="B123" i="29"/>
  <c r="A203" i="29"/>
  <c r="A202" i="29"/>
  <c r="A200" i="29"/>
  <c r="A196" i="29"/>
  <c r="F345" i="29"/>
  <c r="F342" i="29"/>
  <c r="F336" i="29"/>
  <c r="F343" i="29"/>
  <c r="D498" i="29"/>
  <c r="D491" i="29"/>
  <c r="D493" i="29"/>
  <c r="D494" i="29" s="1"/>
  <c r="D495" i="29"/>
  <c r="D497" i="29"/>
  <c r="G268" i="29"/>
  <c r="G267" i="29"/>
  <c r="G261" i="29"/>
  <c r="G262" i="29"/>
  <c r="G263" i="29" s="1"/>
  <c r="E422" i="29"/>
  <c r="E420" i="29"/>
  <c r="E416" i="29"/>
  <c r="E417" i="29" s="1"/>
  <c r="E413" i="29"/>
  <c r="B118" i="29"/>
  <c r="B122" i="29"/>
  <c r="B120" i="29"/>
  <c r="B121" i="29" s="1"/>
  <c r="B124" i="29"/>
  <c r="A195" i="29"/>
  <c r="A197" i="29"/>
  <c r="A198" i="29" s="1"/>
  <c r="A199" i="29"/>
  <c r="A201" i="29"/>
  <c r="A194" i="29"/>
  <c r="F344" i="29"/>
  <c r="F339" i="29"/>
  <c r="F340" i="29" s="1"/>
  <c r="F341" i="29"/>
  <c r="F337" i="29"/>
  <c r="F338" i="29"/>
  <c r="B197" i="29"/>
  <c r="B198" i="29" s="1"/>
  <c r="B200" i="29"/>
  <c r="B194" i="29"/>
  <c r="B199" i="29"/>
  <c r="B203" i="29"/>
  <c r="C120" i="29"/>
  <c r="C121" i="29" s="1"/>
  <c r="C119" i="29"/>
  <c r="C117" i="29"/>
  <c r="C123" i="29"/>
  <c r="C124" i="29"/>
  <c r="G345" i="29"/>
  <c r="G344" i="29"/>
  <c r="G338" i="29"/>
  <c r="G339" i="29"/>
  <c r="G340" i="29" s="1"/>
  <c r="F414" i="29"/>
  <c r="F418" i="29"/>
  <c r="F416" i="29"/>
  <c r="F417" i="29" s="1"/>
  <c r="F415" i="29"/>
  <c r="A280" i="29"/>
  <c r="A279" i="29"/>
  <c r="A277" i="29"/>
  <c r="A273" i="29"/>
  <c r="E491" i="29"/>
  <c r="E493" i="29"/>
  <c r="E494" i="29" s="1"/>
  <c r="E495" i="29"/>
  <c r="E497" i="29"/>
  <c r="E490" i="29"/>
  <c r="B202" i="29"/>
  <c r="B195" i="29"/>
  <c r="B201" i="29"/>
  <c r="B196" i="29"/>
  <c r="C125" i="29"/>
  <c r="C126" i="29"/>
  <c r="C118" i="29"/>
  <c r="C122" i="29"/>
  <c r="G337" i="29"/>
  <c r="G343" i="29"/>
  <c r="G341" i="29"/>
  <c r="G336" i="29"/>
  <c r="G342" i="29"/>
  <c r="F422" i="29"/>
  <c r="F420" i="29"/>
  <c r="F413" i="29"/>
  <c r="F419" i="29"/>
  <c r="F421" i="29"/>
  <c r="A272" i="29"/>
  <c r="A274" i="29"/>
  <c r="A275" i="29" s="1"/>
  <c r="A276" i="29"/>
  <c r="A278" i="29"/>
  <c r="A271" i="29"/>
  <c r="E499" i="29"/>
  <c r="E492" i="29"/>
  <c r="E498" i="29"/>
  <c r="E496" i="29"/>
  <c r="B274" i="29"/>
  <c r="B275" i="29" s="1"/>
  <c r="B277" i="29"/>
  <c r="B271" i="29"/>
  <c r="B276" i="29"/>
  <c r="B280" i="29"/>
  <c r="A349" i="29"/>
  <c r="A351" i="29"/>
  <c r="A352" i="29" s="1"/>
  <c r="A353" i="29"/>
  <c r="A355" i="29"/>
  <c r="A348" i="29"/>
  <c r="F498" i="29"/>
  <c r="F491" i="29"/>
  <c r="F493" i="29"/>
  <c r="F494" i="29" s="1"/>
  <c r="F495" i="29"/>
  <c r="F497" i="29"/>
  <c r="G413" i="29"/>
  <c r="G419" i="29"/>
  <c r="G421" i="29"/>
  <c r="G420" i="29"/>
  <c r="D126" i="29"/>
  <c r="D124" i="29"/>
  <c r="D117" i="29"/>
  <c r="D119" i="29"/>
  <c r="D125" i="29"/>
  <c r="C195" i="29"/>
  <c r="C199" i="29"/>
  <c r="C197" i="29"/>
  <c r="C198" i="29" s="1"/>
  <c r="C196" i="29"/>
  <c r="B279" i="29"/>
  <c r="B272" i="29"/>
  <c r="B278" i="29"/>
  <c r="B273" i="29"/>
  <c r="A357" i="29"/>
  <c r="A356" i="29"/>
  <c r="A354" i="29"/>
  <c r="A350" i="29"/>
  <c r="F499" i="29"/>
  <c r="F492" i="29"/>
  <c r="F490" i="29"/>
  <c r="F496" i="29"/>
  <c r="G422" i="29"/>
  <c r="G416" i="29"/>
  <c r="G417" i="29" s="1"/>
  <c r="G418" i="29"/>
  <c r="G414" i="29"/>
  <c r="G415" i="29"/>
  <c r="D118" i="29"/>
  <c r="D122" i="29"/>
  <c r="D120" i="29"/>
  <c r="D121" i="29" s="1"/>
  <c r="D123" i="29"/>
  <c r="C203" i="29"/>
  <c r="C201" i="29"/>
  <c r="C194" i="29"/>
  <c r="C200" i="29"/>
  <c r="C202" i="29"/>
  <c r="E122" i="29"/>
  <c r="E119" i="29"/>
  <c r="E117" i="29"/>
  <c r="E123" i="29"/>
  <c r="G491" i="29"/>
  <c r="G493" i="29"/>
  <c r="G494" i="29" s="1"/>
  <c r="G495" i="29"/>
  <c r="G497" i="29"/>
  <c r="G492" i="29"/>
  <c r="D202" i="29"/>
  <c r="D195" i="29"/>
  <c r="D197" i="29"/>
  <c r="D198" i="29" s="1"/>
  <c r="D203" i="29"/>
  <c r="A434" i="29"/>
  <c r="A433" i="29"/>
  <c r="A427" i="29"/>
  <c r="A428" i="29"/>
  <c r="A429" i="29" s="1"/>
  <c r="B356" i="29"/>
  <c r="B349" i="29"/>
  <c r="B355" i="29"/>
  <c r="B350" i="29"/>
  <c r="C272" i="29"/>
  <c r="C276" i="29"/>
  <c r="C274" i="29"/>
  <c r="C275" i="29" s="1"/>
  <c r="C273" i="29"/>
  <c r="E125" i="29"/>
  <c r="E120" i="29"/>
  <c r="E121" i="29" s="1"/>
  <c r="E118" i="29"/>
  <c r="E124" i="29"/>
  <c r="E126" i="29"/>
  <c r="G499" i="29"/>
  <c r="G490" i="29"/>
  <c r="G496" i="29"/>
  <c r="G498" i="29"/>
  <c r="D199" i="29"/>
  <c r="D196" i="29"/>
  <c r="D194" i="29"/>
  <c r="D200" i="29"/>
  <c r="D201" i="29"/>
  <c r="A426" i="29"/>
  <c r="A432" i="29"/>
  <c r="A430" i="29"/>
  <c r="A425" i="29"/>
  <c r="A431" i="29"/>
  <c r="B351" i="29"/>
  <c r="B352" i="29" s="1"/>
  <c r="B354" i="29"/>
  <c r="B348" i="29"/>
  <c r="B353" i="29"/>
  <c r="B357" i="29"/>
  <c r="C280" i="29"/>
  <c r="C278" i="29"/>
  <c r="C271" i="29"/>
  <c r="C277" i="29"/>
  <c r="C279" i="29"/>
  <c r="C349" i="29"/>
  <c r="C353" i="29"/>
  <c r="C351" i="29"/>
  <c r="C352" i="29" s="1"/>
  <c r="C350" i="29"/>
  <c r="B433" i="29"/>
  <c r="B430" i="29"/>
  <c r="B426" i="29"/>
  <c r="B434" i="29"/>
  <c r="E195" i="29"/>
  <c r="E197" i="29"/>
  <c r="E198" i="29" s="1"/>
  <c r="E199" i="29"/>
  <c r="E201" i="29"/>
  <c r="E202" i="29"/>
  <c r="D279" i="29"/>
  <c r="D272" i="29"/>
  <c r="D274" i="29"/>
  <c r="D275" i="29" s="1"/>
  <c r="D280" i="29"/>
  <c r="A510" i="29"/>
  <c r="A503" i="29"/>
  <c r="A507" i="29"/>
  <c r="A505" i="29"/>
  <c r="A506" i="29" s="1"/>
  <c r="F118" i="29"/>
  <c r="F122" i="29"/>
  <c r="F120" i="29"/>
  <c r="F121" i="29" s="1"/>
  <c r="F124" i="29"/>
  <c r="C357" i="29"/>
  <c r="C355" i="29"/>
  <c r="C348" i="29"/>
  <c r="C354" i="29"/>
  <c r="C356" i="29"/>
  <c r="B428" i="29"/>
  <c r="B429" i="29" s="1"/>
  <c r="B432" i="29"/>
  <c r="B425" i="29"/>
  <c r="B427" i="29"/>
  <c r="B431" i="29"/>
  <c r="E203" i="29"/>
  <c r="E194" i="29"/>
  <c r="E200" i="29"/>
  <c r="E196" i="29"/>
  <c r="D276" i="29"/>
  <c r="D273" i="29"/>
  <c r="D271" i="29"/>
  <c r="D277" i="29"/>
  <c r="D278" i="29"/>
  <c r="A511" i="29"/>
  <c r="A504" i="29"/>
  <c r="A502" i="29"/>
  <c r="A508" i="29"/>
  <c r="A509" i="29"/>
  <c r="F126" i="29"/>
  <c r="F125" i="29"/>
  <c r="F117" i="29"/>
  <c r="F119" i="29"/>
  <c r="F123" i="29"/>
  <c r="B503" i="29"/>
  <c r="B505" i="29"/>
  <c r="B506" i="29" s="1"/>
  <c r="B507" i="29"/>
  <c r="B509" i="29"/>
  <c r="B502" i="29"/>
  <c r="E272" i="29"/>
  <c r="E274" i="29"/>
  <c r="E275" i="29" s="1"/>
  <c r="E276" i="29"/>
  <c r="E278" i="29"/>
  <c r="E279" i="29"/>
  <c r="C426" i="29"/>
  <c r="C430" i="29"/>
  <c r="C428" i="29"/>
  <c r="C429" i="29" s="1"/>
  <c r="C431" i="29"/>
  <c r="G123" i="29"/>
  <c r="G122" i="29"/>
  <c r="G126" i="29"/>
  <c r="G120" i="29"/>
  <c r="G121" i="29" s="1"/>
  <c r="F202" i="29"/>
  <c r="F195" i="29"/>
  <c r="F199" i="29"/>
  <c r="F197" i="29"/>
  <c r="F198" i="29" s="1"/>
  <c r="D353" i="29"/>
  <c r="D350" i="29"/>
  <c r="D348" i="29"/>
  <c r="D354" i="29"/>
  <c r="D355" i="29"/>
  <c r="B511" i="29"/>
  <c r="B504" i="29"/>
  <c r="B510" i="29"/>
  <c r="B508" i="29"/>
  <c r="E280" i="29"/>
  <c r="E271" i="29"/>
  <c r="E277" i="29"/>
  <c r="E273" i="29"/>
  <c r="C434" i="29"/>
  <c r="C432" i="29"/>
  <c r="C425" i="29"/>
  <c r="C427" i="29"/>
  <c r="C433" i="29"/>
  <c r="G124" i="29"/>
  <c r="G117" i="29"/>
  <c r="G119" i="29"/>
  <c r="G125" i="29"/>
  <c r="G118" i="29"/>
  <c r="F201" i="29"/>
  <c r="F196" i="29"/>
  <c r="F194" i="29"/>
  <c r="F200" i="29"/>
  <c r="F203" i="29"/>
  <c r="D356" i="29"/>
  <c r="D349" i="29"/>
  <c r="D351" i="29"/>
  <c r="D352" i="29" s="1"/>
  <c r="D357" i="29"/>
  <c r="G195" i="29"/>
  <c r="G201" i="29"/>
  <c r="G199" i="29"/>
  <c r="G196" i="29"/>
  <c r="G200" i="29"/>
  <c r="A130" i="29"/>
  <c r="A132" i="29"/>
  <c r="A133" i="29" s="1"/>
  <c r="A134" i="29"/>
  <c r="A136" i="29"/>
  <c r="A129" i="29"/>
  <c r="E357" i="29"/>
  <c r="E348" i="29"/>
  <c r="E354" i="29"/>
  <c r="E350" i="29"/>
  <c r="D430" i="29"/>
  <c r="D434" i="29"/>
  <c r="D425" i="29"/>
  <c r="D427" i="29"/>
  <c r="F279" i="29"/>
  <c r="F272" i="29"/>
  <c r="F276" i="29"/>
  <c r="F274" i="29"/>
  <c r="F275" i="29" s="1"/>
  <c r="C511" i="29"/>
  <c r="C504" i="29"/>
  <c r="C502" i="29"/>
  <c r="C508" i="29"/>
  <c r="G203" i="29"/>
  <c r="G194" i="29"/>
  <c r="G202" i="29"/>
  <c r="G197" i="29"/>
  <c r="G198" i="29" s="1"/>
  <c r="A138" i="29"/>
  <c r="A137" i="29"/>
  <c r="A135" i="29"/>
  <c r="A131" i="29"/>
  <c r="E349" i="29"/>
  <c r="E351" i="29"/>
  <c r="E352" i="29" s="1"/>
  <c r="E353" i="29"/>
  <c r="E355" i="29"/>
  <c r="E356" i="29"/>
  <c r="D433" i="29"/>
  <c r="D431" i="29"/>
  <c r="D428" i="29"/>
  <c r="D429" i="29" s="1"/>
  <c r="D432" i="29"/>
  <c r="D426" i="29"/>
  <c r="F278" i="29"/>
  <c r="F273" i="29"/>
  <c r="F271" i="29"/>
  <c r="F277" i="29"/>
  <c r="F280" i="29"/>
  <c r="C510" i="29"/>
  <c r="C503" i="29"/>
  <c r="C505" i="29"/>
  <c r="C506" i="29" s="1"/>
  <c r="C507" i="29"/>
  <c r="C509" i="29"/>
  <c r="G272" i="29"/>
  <c r="G278" i="29"/>
  <c r="G276" i="29"/>
  <c r="G273" i="29"/>
  <c r="G277" i="29"/>
  <c r="F355" i="29"/>
  <c r="F350" i="29"/>
  <c r="F348" i="29"/>
  <c r="F354" i="29"/>
  <c r="F357" i="29"/>
  <c r="D511" i="29"/>
  <c r="D504" i="29"/>
  <c r="D510" i="29"/>
  <c r="D508" i="29"/>
  <c r="E426" i="29"/>
  <c r="E432" i="29"/>
  <c r="E430" i="29"/>
  <c r="E425" i="29"/>
  <c r="E431" i="29"/>
  <c r="B137" i="29"/>
  <c r="B134" i="29"/>
  <c r="B138" i="29"/>
  <c r="B132" i="29"/>
  <c r="B133" i="29" s="1"/>
  <c r="A213" i="29"/>
  <c r="A208" i="29"/>
  <c r="A206" i="29"/>
  <c r="A212" i="29"/>
  <c r="A211" i="29"/>
  <c r="G280" i="29"/>
  <c r="G271" i="29"/>
  <c r="G279" i="29"/>
  <c r="G274" i="29"/>
  <c r="G275" i="29" s="1"/>
  <c r="F356" i="29"/>
  <c r="F349" i="29"/>
  <c r="F353" i="29"/>
  <c r="F351" i="29"/>
  <c r="F352" i="29" s="1"/>
  <c r="D503" i="29"/>
  <c r="D505" i="29"/>
  <c r="D506" i="29" s="1"/>
  <c r="D507" i="29"/>
  <c r="D509" i="29"/>
  <c r="D502" i="29"/>
  <c r="E434" i="29"/>
  <c r="E433" i="29"/>
  <c r="E427" i="29"/>
  <c r="E428" i="29"/>
  <c r="E429" i="29" s="1"/>
  <c r="B136" i="29"/>
  <c r="B131" i="29"/>
  <c r="B129" i="29"/>
  <c r="B135" i="29"/>
  <c r="B130" i="29"/>
  <c r="A214" i="29"/>
  <c r="A207" i="29"/>
  <c r="A215" i="29"/>
  <c r="A209" i="29"/>
  <c r="A210" i="29" s="1"/>
  <c r="C130" i="29"/>
  <c r="C137" i="29"/>
  <c r="C134" i="29"/>
  <c r="C136" i="29"/>
  <c r="E511" i="29"/>
  <c r="E504" i="29"/>
  <c r="E502" i="29"/>
  <c r="E508" i="29"/>
  <c r="B215" i="29"/>
  <c r="B208" i="29"/>
  <c r="B214" i="29"/>
  <c r="B212" i="29"/>
  <c r="F433" i="29"/>
  <c r="F426" i="29"/>
  <c r="F434" i="29"/>
  <c r="F428" i="29"/>
  <c r="F429" i="29" s="1"/>
  <c r="G357" i="29"/>
  <c r="G348" i="29"/>
  <c r="G356" i="29"/>
  <c r="G351" i="29"/>
  <c r="G352" i="29" s="1"/>
  <c r="A290" i="29"/>
  <c r="A285" i="29"/>
  <c r="A283" i="29"/>
  <c r="A289" i="29"/>
  <c r="A288" i="29"/>
  <c r="C138" i="29"/>
  <c r="C132" i="29"/>
  <c r="C133" i="29" s="1"/>
  <c r="C135" i="29"/>
  <c r="C131" i="29"/>
  <c r="C129" i="29"/>
  <c r="E510" i="29"/>
  <c r="E503" i="29"/>
  <c r="E505" i="29"/>
  <c r="E506" i="29" s="1"/>
  <c r="E507" i="29"/>
  <c r="E509" i="29"/>
  <c r="B207" i="29"/>
  <c r="B209" i="29"/>
  <c r="B210" i="29" s="1"/>
  <c r="B211" i="29"/>
  <c r="B213" i="29"/>
  <c r="B206" i="29"/>
  <c r="F432" i="29"/>
  <c r="F427" i="29"/>
  <c r="F425" i="29"/>
  <c r="F431" i="29"/>
  <c r="F430" i="29"/>
  <c r="G349" i="29"/>
  <c r="G355" i="29"/>
  <c r="G353" i="29"/>
  <c r="G350" i="29"/>
  <c r="G354" i="29"/>
  <c r="A291" i="29"/>
  <c r="A284" i="29"/>
  <c r="A292" i="29"/>
  <c r="A286" i="29"/>
  <c r="A287" i="29" s="1"/>
  <c r="A367" i="29"/>
  <c r="A362" i="29"/>
  <c r="A360" i="29"/>
  <c r="A366" i="29"/>
  <c r="A365" i="29"/>
  <c r="G434" i="29"/>
  <c r="G425" i="29"/>
  <c r="G433" i="29"/>
  <c r="G428" i="29"/>
  <c r="G429" i="29" s="1"/>
  <c r="C215" i="29"/>
  <c r="C212" i="29"/>
  <c r="C206" i="29"/>
  <c r="C213" i="29"/>
  <c r="B292" i="29"/>
  <c r="B285" i="29"/>
  <c r="B291" i="29"/>
  <c r="B289" i="29"/>
  <c r="F511" i="29"/>
  <c r="F504" i="29"/>
  <c r="F510" i="29"/>
  <c r="F508" i="29"/>
  <c r="D138" i="29"/>
  <c r="D131" i="29"/>
  <c r="D129" i="29"/>
  <c r="D135" i="29"/>
  <c r="A368" i="29"/>
  <c r="A361" i="29"/>
  <c r="A369" i="29"/>
  <c r="A363" i="29"/>
  <c r="A364" i="29" s="1"/>
  <c r="G426" i="29"/>
  <c r="G432" i="29"/>
  <c r="G430" i="29"/>
  <c r="G427" i="29"/>
  <c r="G431" i="29"/>
  <c r="C214" i="29"/>
  <c r="C209" i="29"/>
  <c r="C210" i="29" s="1"/>
  <c r="C211" i="29"/>
  <c r="C207" i="29"/>
  <c r="C208" i="29"/>
  <c r="B284" i="29"/>
  <c r="B286" i="29"/>
  <c r="B287" i="29" s="1"/>
  <c r="B288" i="29"/>
  <c r="B290" i="29"/>
  <c r="B283" i="29"/>
  <c r="F503" i="29"/>
  <c r="F505" i="29"/>
  <c r="F506" i="29" s="1"/>
  <c r="F507" i="29"/>
  <c r="F509" i="29"/>
  <c r="F502" i="29"/>
  <c r="D137" i="29"/>
  <c r="D136" i="29"/>
  <c r="D132" i="29"/>
  <c r="D133" i="29" s="1"/>
  <c r="D130" i="29"/>
  <c r="D134" i="29"/>
  <c r="G511" i="29"/>
  <c r="G505" i="29"/>
  <c r="G506" i="29" s="1"/>
  <c r="G504" i="29"/>
  <c r="G502" i="29"/>
  <c r="G509" i="29"/>
  <c r="C292" i="29"/>
  <c r="C289" i="29"/>
  <c r="C283" i="29"/>
  <c r="C290" i="29"/>
  <c r="A444" i="29"/>
  <c r="A439" i="29"/>
  <c r="A437" i="29"/>
  <c r="A443" i="29"/>
  <c r="A442" i="29"/>
  <c r="E138" i="29"/>
  <c r="E137" i="29"/>
  <c r="E131" i="29"/>
  <c r="E132" i="29"/>
  <c r="E133" i="29" s="1"/>
  <c r="D215" i="29"/>
  <c r="D214" i="29"/>
  <c r="D212" i="29"/>
  <c r="D208" i="29"/>
  <c r="B361" i="29"/>
  <c r="B363" i="29"/>
  <c r="B364" i="29" s="1"/>
  <c r="B365" i="29"/>
  <c r="B367" i="29"/>
  <c r="B360" i="29"/>
  <c r="G508" i="29"/>
  <c r="G503" i="29"/>
  <c r="G510" i="29"/>
  <c r="G507" i="29"/>
  <c r="C291" i="29"/>
  <c r="C286" i="29"/>
  <c r="C287" i="29" s="1"/>
  <c r="C288" i="29"/>
  <c r="C284" i="29"/>
  <c r="C285" i="29"/>
  <c r="A445" i="29"/>
  <c r="A438" i="29"/>
  <c r="A446" i="29"/>
  <c r="A440" i="29"/>
  <c r="A441" i="29" s="1"/>
  <c r="E130" i="29"/>
  <c r="E136" i="29"/>
  <c r="E134" i="29"/>
  <c r="E129" i="29"/>
  <c r="E135" i="29"/>
  <c r="D207" i="29"/>
  <c r="D209" i="29"/>
  <c r="D210" i="29" s="1"/>
  <c r="D211" i="29"/>
  <c r="D213" i="29"/>
  <c r="D206" i="29"/>
  <c r="B369" i="29"/>
  <c r="B362" i="29"/>
  <c r="B368" i="29"/>
  <c r="B366" i="29"/>
  <c r="E213" i="29"/>
  <c r="E208" i="29"/>
  <c r="E206" i="29"/>
  <c r="E212" i="29"/>
  <c r="E207" i="29"/>
  <c r="F136" i="29"/>
  <c r="F132" i="29"/>
  <c r="F133" i="29" s="1"/>
  <c r="F129" i="29"/>
  <c r="F135" i="29"/>
  <c r="F131" i="29"/>
  <c r="C368" i="29"/>
  <c r="C363" i="29"/>
  <c r="C364" i="29" s="1"/>
  <c r="C365" i="29"/>
  <c r="C361" i="29"/>
  <c r="C362" i="29"/>
  <c r="B438" i="29"/>
  <c r="B442" i="29"/>
  <c r="B440" i="29"/>
  <c r="B441" i="29" s="1"/>
  <c r="B439" i="29"/>
  <c r="D292" i="29"/>
  <c r="D291" i="29"/>
  <c r="D289" i="29"/>
  <c r="D285" i="29"/>
  <c r="A522" i="29"/>
  <c r="A515" i="29"/>
  <c r="A517" i="29"/>
  <c r="A518" i="29" s="1"/>
  <c r="A516" i="29"/>
  <c r="E214" i="29"/>
  <c r="E211" i="29"/>
  <c r="E215" i="29"/>
  <c r="E209" i="29"/>
  <c r="E210" i="29" s="1"/>
  <c r="F137" i="29"/>
  <c r="F130" i="29"/>
  <c r="F134" i="29"/>
  <c r="F138" i="29"/>
  <c r="C369" i="29"/>
  <c r="C366" i="29"/>
  <c r="C360" i="29"/>
  <c r="C367" i="29"/>
  <c r="B446" i="29"/>
  <c r="B444" i="29"/>
  <c r="B437" i="29"/>
  <c r="B443" i="29"/>
  <c r="B445" i="29"/>
  <c r="D284" i="29"/>
  <c r="D286" i="29"/>
  <c r="D287" i="29" s="1"/>
  <c r="D288" i="29"/>
  <c r="D290" i="29"/>
  <c r="D283" i="29"/>
  <c r="A519" i="29"/>
  <c r="A521" i="29"/>
  <c r="A520" i="29"/>
  <c r="A514" i="29"/>
  <c r="A523" i="29"/>
  <c r="E290" i="29"/>
  <c r="E285" i="29"/>
  <c r="E283" i="29"/>
  <c r="E289" i="29"/>
  <c r="E284" i="29"/>
  <c r="D361" i="29"/>
  <c r="D363" i="29"/>
  <c r="D364" i="29" s="1"/>
  <c r="D365" i="29"/>
  <c r="D367" i="29"/>
  <c r="D360" i="29"/>
  <c r="B522" i="29"/>
  <c r="B519" i="29"/>
  <c r="B517" i="29"/>
  <c r="B518" i="29" s="1"/>
  <c r="B516" i="29"/>
  <c r="C446" i="29"/>
  <c r="C443" i="29"/>
  <c r="C437" i="29"/>
  <c r="C444" i="29"/>
  <c r="G138" i="29"/>
  <c r="G129" i="29"/>
  <c r="G137" i="29"/>
  <c r="G132" i="29"/>
  <c r="G133" i="29" s="1"/>
  <c r="F207" i="29"/>
  <c r="F211" i="29"/>
  <c r="F209" i="29"/>
  <c r="F210" i="29" s="1"/>
  <c r="F212" i="29"/>
  <c r="E291" i="29"/>
  <c r="E288" i="29"/>
  <c r="E292" i="29"/>
  <c r="E286" i="29"/>
  <c r="E287" i="29" s="1"/>
  <c r="D369" i="29"/>
  <c r="D368" i="29"/>
  <c r="D366" i="29"/>
  <c r="D362" i="29"/>
  <c r="B521" i="29"/>
  <c r="B520" i="29"/>
  <c r="B514" i="29"/>
  <c r="B523" i="29"/>
  <c r="B515" i="29"/>
  <c r="C445" i="29"/>
  <c r="C440" i="29"/>
  <c r="C441" i="29" s="1"/>
  <c r="C442" i="29"/>
  <c r="C438" i="29"/>
  <c r="C439" i="29"/>
  <c r="G130" i="29"/>
  <c r="G136" i="29"/>
  <c r="G134" i="29"/>
  <c r="G131" i="29"/>
  <c r="G135" i="29"/>
  <c r="F215" i="29"/>
  <c r="F213" i="29"/>
  <c r="F206" i="29"/>
  <c r="F208" i="29"/>
  <c r="F214" i="29"/>
  <c r="A146" i="29"/>
  <c r="A144" i="29"/>
  <c r="A145" i="29" s="1"/>
  <c r="A150" i="29"/>
  <c r="A143" i="29"/>
  <c r="C519" i="29"/>
  <c r="C517" i="29"/>
  <c r="C518" i="29" s="1"/>
  <c r="C523" i="29"/>
  <c r="C516" i="29"/>
  <c r="G212" i="29"/>
  <c r="G213" i="29"/>
  <c r="G209" i="29"/>
  <c r="G210" i="29" s="1"/>
  <c r="G207" i="29"/>
  <c r="G211" i="29"/>
  <c r="D446" i="29"/>
  <c r="D445" i="29"/>
  <c r="D439" i="29"/>
  <c r="D440" i="29"/>
  <c r="D441" i="29" s="1"/>
  <c r="E368" i="29"/>
  <c r="E365" i="29"/>
  <c r="E369" i="29"/>
  <c r="E363" i="29"/>
  <c r="E364" i="29" s="1"/>
  <c r="F284" i="29"/>
  <c r="F288" i="29"/>
  <c r="F286" i="29"/>
  <c r="F287" i="29" s="1"/>
  <c r="F289" i="29"/>
  <c r="A148" i="29"/>
  <c r="A141" i="29"/>
  <c r="A147" i="29"/>
  <c r="A149" i="29"/>
  <c r="A142" i="29"/>
  <c r="C521" i="29"/>
  <c r="C514" i="29"/>
  <c r="C520" i="29"/>
  <c r="C522" i="29"/>
  <c r="C515" i="29"/>
  <c r="G215" i="29"/>
  <c r="G206" i="29"/>
  <c r="G208" i="29"/>
  <c r="G214" i="29"/>
  <c r="D438" i="29"/>
  <c r="D444" i="29"/>
  <c r="D442" i="29"/>
  <c r="D437" i="29"/>
  <c r="D443" i="29"/>
  <c r="E367" i="29"/>
  <c r="E362" i="29"/>
  <c r="E360" i="29"/>
  <c r="E366" i="29"/>
  <c r="E361" i="29"/>
  <c r="F292" i="29"/>
  <c r="F290" i="29"/>
  <c r="F283" i="29"/>
  <c r="F285" i="29"/>
  <c r="F291" i="29"/>
  <c r="F361" i="29"/>
  <c r="F365" i="29"/>
  <c r="F363" i="29"/>
  <c r="F364" i="29" s="1"/>
  <c r="F366" i="29"/>
  <c r="E445" i="29"/>
  <c r="E438" i="29"/>
  <c r="E446" i="29"/>
  <c r="E440" i="29"/>
  <c r="E441" i="29" s="1"/>
  <c r="A223" i="29"/>
  <c r="A226" i="29"/>
  <c r="A225" i="29"/>
  <c r="A219" i="29"/>
  <c r="A218" i="29"/>
  <c r="G289" i="29"/>
  <c r="G290" i="29"/>
  <c r="G286" i="29"/>
  <c r="G287" i="29" s="1"/>
  <c r="G284" i="29"/>
  <c r="G288" i="29"/>
  <c r="D523" i="29"/>
  <c r="D515" i="29"/>
  <c r="D519" i="29"/>
  <c r="D517" i="29"/>
  <c r="D518" i="29" s="1"/>
  <c r="B150" i="29"/>
  <c r="B143" i="29"/>
  <c r="B144" i="29"/>
  <c r="B145" i="29" s="1"/>
  <c r="B147" i="29"/>
  <c r="F369" i="29"/>
  <c r="F367" i="29"/>
  <c r="F360" i="29"/>
  <c r="F362" i="29"/>
  <c r="F368" i="29"/>
  <c r="E444" i="29"/>
  <c r="E439" i="29"/>
  <c r="E437" i="29"/>
  <c r="E443" i="29"/>
  <c r="E442" i="29"/>
  <c r="A227" i="29"/>
  <c r="A220" i="29"/>
  <c r="A221" i="29"/>
  <c r="A222" i="29" s="1"/>
  <c r="A224" i="29"/>
  <c r="G292" i="29"/>
  <c r="G283" i="29"/>
  <c r="G285" i="29"/>
  <c r="G291" i="29"/>
  <c r="D516" i="29"/>
  <c r="D521" i="29"/>
  <c r="D520" i="29"/>
  <c r="D514" i="29"/>
  <c r="D522" i="29"/>
  <c r="B146" i="29"/>
  <c r="B149" i="29"/>
  <c r="B148" i="29"/>
  <c r="B142" i="29"/>
  <c r="B141" i="29"/>
  <c r="E519" i="29"/>
  <c r="E517" i="29"/>
  <c r="E518" i="29" s="1"/>
  <c r="E516" i="29"/>
  <c r="E514" i="29"/>
  <c r="A300" i="29"/>
  <c r="A303" i="29"/>
  <c r="A302" i="29"/>
  <c r="A296" i="29"/>
  <c r="A295" i="29"/>
  <c r="F438" i="29"/>
  <c r="F442" i="29"/>
  <c r="F440" i="29"/>
  <c r="F441" i="29" s="1"/>
  <c r="F439" i="29"/>
  <c r="B226" i="29"/>
  <c r="B223" i="29"/>
  <c r="B221" i="29"/>
  <c r="B222" i="29" s="1"/>
  <c r="B227" i="29"/>
  <c r="G369" i="29"/>
  <c r="G360" i="29"/>
  <c r="G362" i="29"/>
  <c r="G368" i="29"/>
  <c r="E521" i="29"/>
  <c r="E520" i="29"/>
  <c r="E522" i="29"/>
  <c r="E523" i="29"/>
  <c r="E515" i="29"/>
  <c r="A304" i="29"/>
  <c r="A297" i="29"/>
  <c r="A298" i="29"/>
  <c r="A299" i="29" s="1"/>
  <c r="A301" i="29"/>
  <c r="F446" i="29"/>
  <c r="F444" i="29"/>
  <c r="F437" i="29"/>
  <c r="F443" i="29"/>
  <c r="F445" i="29"/>
  <c r="B225" i="29"/>
  <c r="B220" i="29"/>
  <c r="B218" i="29"/>
  <c r="B224" i="29"/>
  <c r="B219" i="29"/>
  <c r="G366" i="29"/>
  <c r="G367" i="29"/>
  <c r="G363" i="29"/>
  <c r="G364" i="29" s="1"/>
  <c r="G361" i="29"/>
  <c r="G365" i="29"/>
  <c r="A377" i="29"/>
  <c r="A380" i="29"/>
  <c r="A379" i="29"/>
  <c r="A373" i="29"/>
  <c r="A372" i="29"/>
  <c r="G446" i="29"/>
  <c r="G445" i="29"/>
  <c r="G439" i="29"/>
  <c r="G444" i="29"/>
  <c r="B302" i="29"/>
  <c r="B297" i="29"/>
  <c r="B295" i="29"/>
  <c r="B301" i="29"/>
  <c r="B296" i="29"/>
  <c r="F522" i="29"/>
  <c r="F519" i="29"/>
  <c r="F517" i="29"/>
  <c r="F518" i="29" s="1"/>
  <c r="F516" i="29"/>
  <c r="A381" i="29"/>
  <c r="A374" i="29"/>
  <c r="A375" i="29"/>
  <c r="A376" i="29" s="1"/>
  <c r="A378" i="29"/>
  <c r="G443" i="29"/>
  <c r="G440" i="29"/>
  <c r="G441" i="29" s="1"/>
  <c r="G442" i="29"/>
  <c r="G438" i="29"/>
  <c r="G437" i="29"/>
  <c r="B303" i="29"/>
  <c r="B300" i="29"/>
  <c r="B298" i="29"/>
  <c r="B299" i="29" s="1"/>
  <c r="B304" i="29"/>
  <c r="F521" i="29"/>
  <c r="F520" i="29"/>
  <c r="F514" i="29"/>
  <c r="F523" i="29"/>
  <c r="F515" i="29"/>
  <c r="G515" i="29"/>
  <c r="G517" i="29"/>
  <c r="G518" i="29" s="1"/>
  <c r="G519" i="29"/>
  <c r="G521" i="29"/>
  <c r="G516" i="29"/>
  <c r="A454" i="29"/>
  <c r="A457" i="29"/>
  <c r="A456" i="29"/>
  <c r="A450" i="29"/>
  <c r="A449" i="29"/>
  <c r="B379" i="29"/>
  <c r="B374" i="29"/>
  <c r="B372" i="29"/>
  <c r="B378" i="29"/>
  <c r="B373" i="29"/>
  <c r="G523" i="29"/>
  <c r="G522" i="29"/>
  <c r="G520" i="29"/>
  <c r="G514" i="29"/>
  <c r="A458" i="29"/>
  <c r="A451" i="29"/>
  <c r="A452" i="29"/>
  <c r="A453" i="29" s="1"/>
  <c r="A455" i="29"/>
  <c r="B380" i="29"/>
  <c r="B377" i="29"/>
  <c r="B375" i="29"/>
  <c r="B376" i="29" s="1"/>
  <c r="B381" i="29"/>
  <c r="B457" i="29"/>
  <c r="B454" i="29"/>
  <c r="B452" i="29"/>
  <c r="B453" i="29" s="1"/>
  <c r="B458" i="29"/>
  <c r="A534" i="29"/>
  <c r="A535" i="29"/>
  <c r="A526" i="29"/>
  <c r="A529" i="29"/>
  <c r="A530" i="29" s="1"/>
  <c r="B456" i="29"/>
  <c r="B451" i="29"/>
  <c r="B449" i="29"/>
  <c r="B455" i="29"/>
  <c r="B450" i="29"/>
  <c r="A528" i="29"/>
  <c r="A531" i="29"/>
  <c r="A532" i="29"/>
  <c r="A533" i="29"/>
  <c r="A527" i="29"/>
  <c r="B534" i="29"/>
  <c r="B531" i="29"/>
  <c r="B529" i="29"/>
  <c r="B530" i="29" s="1"/>
  <c r="B535" i="29"/>
  <c r="B533" i="29"/>
  <c r="B528" i="29"/>
  <c r="B526" i="29"/>
  <c r="B532" i="29"/>
  <c r="B527" i="29"/>
  <c r="C233" i="28"/>
  <c r="D233" i="28"/>
  <c r="T232" i="28"/>
  <c r="X232" i="28"/>
  <c r="U232" i="28"/>
  <c r="G232" i="28"/>
  <c r="I232" i="28"/>
  <c r="S232" i="28"/>
  <c r="W232" i="28"/>
  <c r="F232" i="28"/>
  <c r="V232" i="28"/>
  <c r="P232" i="28" l="1"/>
  <c r="J231" i="28"/>
  <c r="G560" i="29" s="1"/>
  <c r="A570" i="29"/>
  <c r="A571" i="29" s="1"/>
  <c r="Q232" i="28"/>
  <c r="N232" i="28" s="1"/>
  <c r="A575" i="29" s="1"/>
  <c r="A569" i="29"/>
  <c r="Y231" i="28"/>
  <c r="R231" i="28"/>
  <c r="G564" i="29" s="1"/>
  <c r="E233" i="28"/>
  <c r="B567" i="29"/>
  <c r="B568" i="29"/>
  <c r="L231" i="28"/>
  <c r="M231" i="28" s="1"/>
  <c r="G562" i="29" s="1"/>
  <c r="O231" i="28"/>
  <c r="K231" i="28"/>
  <c r="G561" i="29" s="1"/>
  <c r="H232" i="28"/>
  <c r="A235" i="28"/>
  <c r="B234" i="28"/>
  <c r="V233" i="28"/>
  <c r="U233" i="28"/>
  <c r="S233" i="28"/>
  <c r="G233" i="28"/>
  <c r="C234" i="28"/>
  <c r="F233" i="28"/>
  <c r="T233" i="28"/>
  <c r="W233" i="28"/>
  <c r="X233" i="28"/>
  <c r="D234" i="28"/>
  <c r="I233" i="28"/>
  <c r="E234" i="28" l="1"/>
  <c r="P233" i="28"/>
  <c r="B570" i="29"/>
  <c r="B571" i="29" s="1"/>
  <c r="J232" i="28"/>
  <c r="A572" i="29" s="1"/>
  <c r="R232" i="28"/>
  <c r="A576" i="29" s="1"/>
  <c r="Y232" i="28"/>
  <c r="Q233" i="28"/>
  <c r="N233" i="28" s="1"/>
  <c r="B575" i="29" s="1"/>
  <c r="B569" i="29"/>
  <c r="H233" i="28"/>
  <c r="O232" i="28"/>
  <c r="K232" i="28"/>
  <c r="A573" i="29" s="1"/>
  <c r="L232" i="28"/>
  <c r="M232" i="28" s="1"/>
  <c r="A574" i="29" s="1"/>
  <c r="B235" i="28"/>
  <c r="A236" i="28"/>
  <c r="D235" i="28"/>
  <c r="F234" i="28"/>
  <c r="T234" i="28"/>
  <c r="S234" i="28"/>
  <c r="V234" i="28"/>
  <c r="G234" i="28"/>
  <c r="I234" i="28" s="1"/>
  <c r="W234" i="28"/>
  <c r="U234" i="28"/>
  <c r="X234" i="28"/>
  <c r="C235" i="28"/>
  <c r="R233" i="28" l="1"/>
  <c r="B576" i="29" s="1"/>
  <c r="Y233" i="28"/>
  <c r="P234" i="28"/>
  <c r="J233" i="28"/>
  <c r="B572" i="29" s="1"/>
  <c r="Q234" i="28"/>
  <c r="N234" i="28" s="1"/>
  <c r="E235" i="28"/>
  <c r="H234" i="28"/>
  <c r="L233" i="28"/>
  <c r="M233" i="28" s="1"/>
  <c r="B574" i="29" s="1"/>
  <c r="O233" i="28"/>
  <c r="K233" i="28"/>
  <c r="B573" i="29" s="1"/>
  <c r="B236" i="28"/>
  <c r="A237" i="28"/>
  <c r="T235" i="28"/>
  <c r="V235" i="28"/>
  <c r="G235" i="28"/>
  <c r="S235" i="28"/>
  <c r="C236" i="28"/>
  <c r="I235" i="28"/>
  <c r="X235" i="28"/>
  <c r="F235" i="28"/>
  <c r="U235" i="28"/>
  <c r="W235" i="28"/>
  <c r="D236" i="28"/>
  <c r="E236" i="28" l="1"/>
  <c r="R234" i="28"/>
  <c r="Y234" i="28"/>
  <c r="P235" i="28"/>
  <c r="J234" i="28"/>
  <c r="Q235" i="28"/>
  <c r="N235" i="28" s="1"/>
  <c r="H235" i="28"/>
  <c r="K234" i="28"/>
  <c r="O234" i="28"/>
  <c r="L234" i="28"/>
  <c r="M234" i="28" s="1"/>
  <c r="B237" i="28"/>
  <c r="A238" i="28"/>
  <c r="F236" i="28"/>
  <c r="X236" i="28"/>
  <c r="U236" i="28"/>
  <c r="T236" i="28"/>
  <c r="D237" i="28"/>
  <c r="S236" i="28"/>
  <c r="G236" i="28"/>
  <c r="I236" i="28" s="1"/>
  <c r="W236" i="28"/>
  <c r="V236" i="28"/>
  <c r="C237" i="28"/>
  <c r="E237" i="28" l="1"/>
  <c r="P236" i="28"/>
  <c r="J235" i="28"/>
  <c r="Y235" i="28"/>
  <c r="R235" i="28"/>
  <c r="Q236" i="28"/>
  <c r="N236" i="28" s="1"/>
  <c r="O235" i="28"/>
  <c r="L235" i="28"/>
  <c r="M235" i="28" s="1"/>
  <c r="K235" i="28"/>
  <c r="H236" i="28"/>
  <c r="B238" i="28"/>
  <c r="A239" i="28"/>
  <c r="G237" i="28"/>
  <c r="V237" i="28"/>
  <c r="X237" i="28"/>
  <c r="T237" i="28"/>
  <c r="C238" i="28"/>
  <c r="I237" i="28"/>
  <c r="F237" i="28"/>
  <c r="D238" i="28"/>
  <c r="W237" i="28"/>
  <c r="U237" i="28"/>
  <c r="S237" i="28"/>
  <c r="E238" i="28" l="1"/>
  <c r="Y236" i="28"/>
  <c r="R236" i="28"/>
  <c r="Q237" i="28"/>
  <c r="N237" i="28" s="1"/>
  <c r="P237" i="28"/>
  <c r="J236" i="28"/>
  <c r="O236" i="28"/>
  <c r="L236" i="28"/>
  <c r="M236" i="28" s="1"/>
  <c r="K236" i="28"/>
  <c r="H237" i="28"/>
  <c r="A240" i="28"/>
  <c r="B239" i="28"/>
  <c r="S238" i="28"/>
  <c r="T238" i="28"/>
  <c r="X238" i="28"/>
  <c r="W238" i="28"/>
  <c r="C239" i="28"/>
  <c r="F238" i="28"/>
  <c r="V238" i="28"/>
  <c r="G238" i="28"/>
  <c r="I238" i="28" s="1"/>
  <c r="D239" i="28"/>
  <c r="U238" i="28"/>
  <c r="E239" i="28" l="1"/>
  <c r="P238" i="28"/>
  <c r="J237" i="28"/>
  <c r="Q238" i="28"/>
  <c r="N238" i="28" s="1"/>
  <c r="Y237" i="28"/>
  <c r="R237" i="28"/>
  <c r="O237" i="28"/>
  <c r="L237" i="28"/>
  <c r="M237" i="28" s="1"/>
  <c r="K237" i="28"/>
  <c r="H238" i="28"/>
  <c r="B240" i="28"/>
  <c r="A241" i="28"/>
  <c r="T239" i="28"/>
  <c r="D240" i="28"/>
  <c r="V239" i="28"/>
  <c r="F239" i="28"/>
  <c r="S239" i="28"/>
  <c r="W239" i="28"/>
  <c r="C240" i="28"/>
  <c r="U239" i="28"/>
  <c r="X239" i="28"/>
  <c r="G239" i="28"/>
  <c r="I239" i="28"/>
  <c r="E240" i="28" l="1"/>
  <c r="P239" i="28"/>
  <c r="J238" i="28"/>
  <c r="R238" i="28"/>
  <c r="Y238" i="28"/>
  <c r="Q239" i="28"/>
  <c r="N239" i="28" s="1"/>
  <c r="O238" i="28"/>
  <c r="L238" i="28"/>
  <c r="M238" i="28" s="1"/>
  <c r="K238" i="28"/>
  <c r="H239" i="28"/>
  <c r="A242" i="28"/>
  <c r="B241" i="28"/>
  <c r="D241" i="28"/>
  <c r="G240" i="28"/>
  <c r="S240" i="28"/>
  <c r="U240" i="28"/>
  <c r="W240" i="28"/>
  <c r="I240" i="28"/>
  <c r="C241" i="28"/>
  <c r="F240" i="28"/>
  <c r="T240" i="28"/>
  <c r="X240" i="28"/>
  <c r="V240" i="28"/>
  <c r="Y239" i="28" l="1"/>
  <c r="R239" i="28"/>
  <c r="Q240" i="28"/>
  <c r="N240" i="28" s="1"/>
  <c r="P240" i="28"/>
  <c r="J239" i="28"/>
  <c r="E241" i="28"/>
  <c r="H240" i="28"/>
  <c r="L239" i="28"/>
  <c r="M239" i="28" s="1"/>
  <c r="K239" i="28"/>
  <c r="O239" i="28"/>
  <c r="B242" i="28"/>
  <c r="A243" i="28"/>
  <c r="V241" i="28"/>
  <c r="F241" i="28"/>
  <c r="G241" i="28"/>
  <c r="W241" i="28"/>
  <c r="D242" i="28"/>
  <c r="I241" i="28"/>
  <c r="T241" i="28"/>
  <c r="S241" i="28"/>
  <c r="X241" i="28"/>
  <c r="C242" i="28"/>
  <c r="U241" i="28"/>
  <c r="E242" i="28" l="1"/>
  <c r="Y240" i="28"/>
  <c r="R240" i="28"/>
  <c r="P241" i="28"/>
  <c r="J240" i="28"/>
  <c r="Q241" i="28"/>
  <c r="N241" i="28" s="1"/>
  <c r="O240" i="28"/>
  <c r="L240" i="28"/>
  <c r="M240" i="28" s="1"/>
  <c r="K240" i="28"/>
  <c r="H241" i="28"/>
  <c r="A244" i="28"/>
  <c r="B243" i="28"/>
  <c r="C243" i="28"/>
  <c r="W242" i="28"/>
  <c r="U242" i="28"/>
  <c r="G242" i="28"/>
  <c r="X242" i="28"/>
  <c r="I242" i="28"/>
  <c r="D243" i="28"/>
  <c r="F242" i="28"/>
  <c r="T242" i="28"/>
  <c r="S242" i="28"/>
  <c r="V242" i="28"/>
  <c r="Y241" i="28" l="1"/>
  <c r="R241" i="28"/>
  <c r="P242" i="28"/>
  <c r="J241" i="28"/>
  <c r="Q242" i="28"/>
  <c r="N242" i="28" s="1"/>
  <c r="E243" i="28"/>
  <c r="H242" i="28"/>
  <c r="L241" i="28"/>
  <c r="M241" i="28" s="1"/>
  <c r="K241" i="28"/>
  <c r="O241" i="28"/>
  <c r="B244" i="28"/>
  <c r="A245" i="28"/>
  <c r="X243" i="28"/>
  <c r="S243" i="28"/>
  <c r="C244" i="28"/>
  <c r="G243" i="28"/>
  <c r="V243" i="28"/>
  <c r="W243" i="28"/>
  <c r="F243" i="28"/>
  <c r="D244" i="28"/>
  <c r="T243" i="28"/>
  <c r="U243" i="28"/>
  <c r="I243" i="28"/>
  <c r="E244" i="28" l="1"/>
  <c r="Q243" i="28"/>
  <c r="N243" i="28" s="1"/>
  <c r="R242" i="28"/>
  <c r="Y242" i="28"/>
  <c r="P243" i="28"/>
  <c r="J242" i="28"/>
  <c r="H243" i="28"/>
  <c r="K242" i="28"/>
  <c r="L242" i="28"/>
  <c r="M242" i="28" s="1"/>
  <c r="O242" i="28"/>
  <c r="A246" i="28"/>
  <c r="B245" i="28"/>
  <c r="F244" i="28"/>
  <c r="D245" i="28"/>
  <c r="T244" i="28"/>
  <c r="W244" i="28"/>
  <c r="U244" i="28"/>
  <c r="V244" i="28"/>
  <c r="C245" i="28"/>
  <c r="G244" i="28"/>
  <c r="X244" i="28"/>
  <c r="S244" i="28"/>
  <c r="I244" i="28"/>
  <c r="Y243" i="28" l="1"/>
  <c r="R243" i="28"/>
  <c r="P244" i="28"/>
  <c r="J243" i="28"/>
  <c r="Q244" i="28"/>
  <c r="N244" i="28" s="1"/>
  <c r="E245" i="28"/>
  <c r="L243" i="28"/>
  <c r="M243" i="28" s="1"/>
  <c r="O243" i="28"/>
  <c r="K243" i="28"/>
  <c r="H244" i="28"/>
  <c r="B246" i="28"/>
  <c r="A247" i="28"/>
  <c r="X245" i="28"/>
  <c r="U245" i="28"/>
  <c r="G245" i="28"/>
  <c r="T245" i="28"/>
  <c r="C246" i="28"/>
  <c r="W245" i="28"/>
  <c r="S245" i="28"/>
  <c r="F245" i="28"/>
  <c r="V245" i="28"/>
  <c r="D246" i="28"/>
  <c r="I245" i="28"/>
  <c r="E246" i="28" l="1"/>
  <c r="P245" i="28"/>
  <c r="J244" i="28"/>
  <c r="Q245" i="28"/>
  <c r="N245" i="28" s="1"/>
  <c r="R244" i="28"/>
  <c r="Y244" i="28"/>
  <c r="H245" i="28"/>
  <c r="L244" i="28"/>
  <c r="M244" i="28" s="1"/>
  <c r="O244" i="28"/>
  <c r="K244" i="28"/>
  <c r="A248" i="28"/>
  <c r="B247" i="28"/>
  <c r="X246" i="28"/>
  <c r="C247" i="28"/>
  <c r="U246" i="28"/>
  <c r="T246" i="28"/>
  <c r="G246" i="28"/>
  <c r="W246" i="28"/>
  <c r="D247" i="28"/>
  <c r="V246" i="28"/>
  <c r="F246" i="28"/>
  <c r="S246" i="28"/>
  <c r="I246" i="28"/>
  <c r="R245" i="28" l="1"/>
  <c r="Y245" i="28"/>
  <c r="P246" i="28"/>
  <c r="J245" i="28"/>
  <c r="Q246" i="28"/>
  <c r="N246" i="28" s="1"/>
  <c r="E247" i="28"/>
  <c r="H246" i="28"/>
  <c r="O245" i="28"/>
  <c r="L245" i="28"/>
  <c r="M245" i="28" s="1"/>
  <c r="K245" i="28"/>
  <c r="B248" i="28"/>
  <c r="A249" i="28"/>
  <c r="X247" i="28"/>
  <c r="W247" i="28"/>
  <c r="S247" i="28"/>
  <c r="C248" i="28"/>
  <c r="G247" i="28"/>
  <c r="V247" i="28"/>
  <c r="T247" i="28"/>
  <c r="U247" i="28"/>
  <c r="D248" i="28"/>
  <c r="F247" i="28"/>
  <c r="I247" i="28"/>
  <c r="E248" i="28" l="1"/>
  <c r="Q247" i="28"/>
  <c r="N247" i="28" s="1"/>
  <c r="Y246" i="28"/>
  <c r="R246" i="28"/>
  <c r="P247" i="28"/>
  <c r="J246" i="28"/>
  <c r="H247" i="28"/>
  <c r="K246" i="28"/>
  <c r="L246" i="28"/>
  <c r="M246" i="28" s="1"/>
  <c r="O246" i="28"/>
  <c r="A250" i="28"/>
  <c r="B249" i="28"/>
  <c r="C249" i="28"/>
  <c r="G248" i="28"/>
  <c r="S248" i="28"/>
  <c r="U248" i="28"/>
  <c r="T248" i="28"/>
  <c r="I248" i="28"/>
  <c r="D249" i="28"/>
  <c r="V248" i="28"/>
  <c r="W248" i="28"/>
  <c r="X248" i="28"/>
  <c r="F248" i="28"/>
  <c r="Q248" i="28" l="1"/>
  <c r="N248" i="28" s="1"/>
  <c r="R247" i="28"/>
  <c r="Y247" i="28"/>
  <c r="P248" i="28"/>
  <c r="J247" i="28"/>
  <c r="E249" i="28"/>
  <c r="K247" i="28"/>
  <c r="L247" i="28"/>
  <c r="M247" i="28" s="1"/>
  <c r="O247" i="28"/>
  <c r="H248" i="28"/>
  <c r="B250" i="28"/>
  <c r="A251" i="28"/>
  <c r="G249" i="28"/>
  <c r="F249" i="28"/>
  <c r="W249" i="28"/>
  <c r="U249" i="28"/>
  <c r="C250" i="28"/>
  <c r="I249" i="28"/>
  <c r="V249" i="28"/>
  <c r="S249" i="28"/>
  <c r="X249" i="28"/>
  <c r="D250" i="28"/>
  <c r="T249" i="28"/>
  <c r="E250" i="28" l="1"/>
  <c r="R248" i="28"/>
  <c r="Y248" i="28"/>
  <c r="Q249" i="28"/>
  <c r="N249" i="28" s="1"/>
  <c r="P249" i="28"/>
  <c r="J248" i="28"/>
  <c r="K248" i="28"/>
  <c r="O248" i="28"/>
  <c r="L248" i="28"/>
  <c r="M248" i="28" s="1"/>
  <c r="H249" i="28"/>
  <c r="B251" i="28"/>
  <c r="A252" i="28"/>
  <c r="T250" i="28"/>
  <c r="G250" i="28"/>
  <c r="W250" i="28"/>
  <c r="S250" i="28"/>
  <c r="C251" i="28"/>
  <c r="I250" i="28"/>
  <c r="V250" i="28"/>
  <c r="X250" i="28"/>
  <c r="F250" i="28"/>
  <c r="U250" i="28"/>
  <c r="D251" i="28"/>
  <c r="E251" i="28" l="1"/>
  <c r="Y249" i="28"/>
  <c r="R249" i="28"/>
  <c r="Q250" i="28"/>
  <c r="N250" i="28" s="1"/>
  <c r="P250" i="28"/>
  <c r="J249" i="28"/>
  <c r="O249" i="28"/>
  <c r="L249" i="28"/>
  <c r="M249" i="28" s="1"/>
  <c r="K249" i="28"/>
  <c r="H250" i="28"/>
  <c r="B252" i="28"/>
  <c r="A253" i="28"/>
  <c r="T251" i="28"/>
  <c r="S251" i="28"/>
  <c r="V251" i="28"/>
  <c r="W251" i="28"/>
  <c r="C252" i="28"/>
  <c r="F251" i="28"/>
  <c r="G251" i="28"/>
  <c r="I251" i="28" s="1"/>
  <c r="U251" i="28"/>
  <c r="X251" i="28"/>
  <c r="D252" i="28"/>
  <c r="E252" i="28" l="1"/>
  <c r="Y250" i="28"/>
  <c r="R250" i="28"/>
  <c r="P251" i="28"/>
  <c r="J250" i="28"/>
  <c r="Q251" i="28"/>
  <c r="N251" i="28" s="1"/>
  <c r="O250" i="28"/>
  <c r="L250" i="28"/>
  <c r="M250" i="28" s="1"/>
  <c r="K250" i="28"/>
  <c r="H251" i="28"/>
  <c r="A254" i="28"/>
  <c r="B253" i="28"/>
  <c r="S252" i="28"/>
  <c r="W252" i="28"/>
  <c r="G252" i="28"/>
  <c r="C253" i="28"/>
  <c r="F252" i="28"/>
  <c r="X252" i="28"/>
  <c r="T252" i="28"/>
  <c r="V252" i="28"/>
  <c r="D253" i="28"/>
  <c r="U252" i="28"/>
  <c r="I252" i="28"/>
  <c r="E253" i="28" l="1"/>
  <c r="P252" i="28"/>
  <c r="J251" i="28"/>
  <c r="Q252" i="28"/>
  <c r="N252" i="28" s="1"/>
  <c r="Y251" i="28"/>
  <c r="R251" i="28"/>
  <c r="L251" i="28"/>
  <c r="M251" i="28" s="1"/>
  <c r="K251" i="28"/>
  <c r="O251" i="28"/>
  <c r="H252" i="28"/>
  <c r="B254" i="28"/>
  <c r="A255" i="28"/>
  <c r="G253" i="28"/>
  <c r="F253" i="28"/>
  <c r="X253" i="28"/>
  <c r="W253" i="28"/>
  <c r="C254" i="28"/>
  <c r="I253" i="28"/>
  <c r="T253" i="28"/>
  <c r="S253" i="28"/>
  <c r="V253" i="28"/>
  <c r="U253" i="28"/>
  <c r="D254" i="28"/>
  <c r="E254" i="28" l="1"/>
  <c r="Y252" i="28"/>
  <c r="R252" i="28"/>
  <c r="Q253" i="28"/>
  <c r="N253" i="28" s="1"/>
  <c r="P253" i="28"/>
  <c r="J252" i="28"/>
  <c r="L252" i="28"/>
  <c r="M252" i="28" s="1"/>
  <c r="O252" i="28"/>
  <c r="K252" i="28"/>
  <c r="H253" i="28"/>
  <c r="B255" i="28"/>
  <c r="A256" i="28"/>
  <c r="V254" i="28"/>
  <c r="T254" i="28"/>
  <c r="U254" i="28"/>
  <c r="S254" i="28"/>
  <c r="C255" i="28"/>
  <c r="X254" i="28"/>
  <c r="F254" i="28"/>
  <c r="W254" i="28"/>
  <c r="D255" i="28"/>
  <c r="G254" i="28"/>
  <c r="I254" i="28" s="1"/>
  <c r="E255" i="28" l="1"/>
  <c r="R253" i="28"/>
  <c r="Y253" i="28"/>
  <c r="P254" i="28"/>
  <c r="J253" i="28"/>
  <c r="Q254" i="28"/>
  <c r="N254" i="28" s="1"/>
  <c r="L253" i="28"/>
  <c r="M253" i="28" s="1"/>
  <c r="K253" i="28"/>
  <c r="O253" i="28"/>
  <c r="H254" i="28"/>
  <c r="B256" i="28"/>
  <c r="A257" i="28"/>
  <c r="T255" i="28"/>
  <c r="W255" i="28"/>
  <c r="V255" i="28"/>
  <c r="F255" i="28"/>
  <c r="D256" i="28"/>
  <c r="G255" i="28"/>
  <c r="I255" i="28" s="1"/>
  <c r="S255" i="28"/>
  <c r="U255" i="28"/>
  <c r="X255" i="28"/>
  <c r="C256" i="28"/>
  <c r="E256" i="28" l="1"/>
  <c r="Y254" i="28"/>
  <c r="R254" i="28"/>
  <c r="Q255" i="28"/>
  <c r="N255" i="28" s="1"/>
  <c r="P255" i="28"/>
  <c r="J254" i="28"/>
  <c r="O254" i="28"/>
  <c r="K254" i="28"/>
  <c r="L254" i="28"/>
  <c r="M254" i="28" s="1"/>
  <c r="H255" i="28"/>
  <c r="A258" i="28"/>
  <c r="B257" i="28"/>
  <c r="D257" i="28"/>
  <c r="G256" i="28"/>
  <c r="S256" i="28"/>
  <c r="U256" i="28"/>
  <c r="W256" i="28"/>
  <c r="C257" i="28"/>
  <c r="X256" i="28"/>
  <c r="T256" i="28"/>
  <c r="V256" i="28"/>
  <c r="F256" i="28"/>
  <c r="I256" i="28"/>
  <c r="Q256" i="28" l="1"/>
  <c r="N256" i="28" s="1"/>
  <c r="Y255" i="28"/>
  <c r="R255" i="28"/>
  <c r="P256" i="28"/>
  <c r="J255" i="28"/>
  <c r="E257" i="28"/>
  <c r="K255" i="28"/>
  <c r="O255" i="28"/>
  <c r="L255" i="28"/>
  <c r="M255" i="28" s="1"/>
  <c r="H256" i="28"/>
  <c r="B258" i="28"/>
  <c r="A259" i="28"/>
  <c r="X257" i="28"/>
  <c r="V257" i="28"/>
  <c r="S257" i="28"/>
  <c r="W257" i="28"/>
  <c r="F257" i="28"/>
  <c r="C258" i="28"/>
  <c r="T257" i="28"/>
  <c r="G257" i="28"/>
  <c r="U257" i="28"/>
  <c r="D258" i="28"/>
  <c r="I257" i="28"/>
  <c r="E258" i="28" l="1"/>
  <c r="Q257" i="28"/>
  <c r="N257" i="28" s="1"/>
  <c r="Y256" i="28"/>
  <c r="R256" i="28"/>
  <c r="P257" i="28"/>
  <c r="J256" i="28"/>
  <c r="H257" i="28"/>
  <c r="O256" i="28"/>
  <c r="K256" i="28"/>
  <c r="L256" i="28"/>
  <c r="M256" i="28" s="1"/>
  <c r="A260" i="28"/>
  <c r="B259" i="28"/>
  <c r="F258" i="28"/>
  <c r="W258" i="28"/>
  <c r="S258" i="28"/>
  <c r="V258" i="28"/>
  <c r="D259" i="28"/>
  <c r="T258" i="28"/>
  <c r="X258" i="28"/>
  <c r="U258" i="28"/>
  <c r="G258" i="28"/>
  <c r="I258" i="28" s="1"/>
  <c r="C259" i="28"/>
  <c r="E259" i="28" l="1"/>
  <c r="P258" i="28"/>
  <c r="J257" i="28"/>
  <c r="Y257" i="28"/>
  <c r="R257" i="28"/>
  <c r="Q258" i="28"/>
  <c r="N258" i="28" s="1"/>
  <c r="O257" i="28"/>
  <c r="L257" i="28"/>
  <c r="M257" i="28" s="1"/>
  <c r="K257" i="28"/>
  <c r="H258" i="28"/>
  <c r="B260" i="28"/>
  <c r="A261" i="28"/>
  <c r="X259" i="28"/>
  <c r="T259" i="28"/>
  <c r="V259" i="28"/>
  <c r="F259" i="28"/>
  <c r="C260" i="28"/>
  <c r="G259" i="28"/>
  <c r="I259" i="28" s="1"/>
  <c r="W259" i="28"/>
  <c r="U259" i="28"/>
  <c r="S259" i="28"/>
  <c r="D260" i="28"/>
  <c r="E260" i="28" l="1"/>
  <c r="Y258" i="28"/>
  <c r="R258" i="28"/>
  <c r="Q259" i="28"/>
  <c r="N259" i="28" s="1"/>
  <c r="P259" i="28"/>
  <c r="J258" i="28"/>
  <c r="O258" i="28"/>
  <c r="K258" i="28"/>
  <c r="L258" i="28"/>
  <c r="M258" i="28" s="1"/>
  <c r="H259" i="28"/>
  <c r="A262" i="28"/>
  <c r="B261" i="28"/>
  <c r="S260" i="28"/>
  <c r="F260" i="28"/>
  <c r="U260" i="28"/>
  <c r="W260" i="28"/>
  <c r="D261" i="28"/>
  <c r="V260" i="28"/>
  <c r="G260" i="28"/>
  <c r="I260" i="28" s="1"/>
  <c r="X260" i="28"/>
  <c r="T260" i="28"/>
  <c r="C261" i="28"/>
  <c r="E261" i="28" l="1"/>
  <c r="P260" i="28"/>
  <c r="J259" i="28"/>
  <c r="Q260" i="28"/>
  <c r="N260" i="28" s="1"/>
  <c r="R259" i="28"/>
  <c r="Y259" i="28"/>
  <c r="L259" i="28"/>
  <c r="M259" i="28" s="1"/>
  <c r="K259" i="28"/>
  <c r="O259" i="28"/>
  <c r="H260" i="28"/>
  <c r="B262" i="28"/>
  <c r="A263" i="28"/>
  <c r="W261" i="28"/>
  <c r="S261" i="28"/>
  <c r="U261" i="28"/>
  <c r="T261" i="28"/>
  <c r="D262" i="28"/>
  <c r="G261" i="28"/>
  <c r="I261" i="28" s="1"/>
  <c r="X261" i="28"/>
  <c r="F261" i="28"/>
  <c r="V261" i="28"/>
  <c r="C262" i="28"/>
  <c r="E262" i="28" l="1"/>
  <c r="Q261" i="28"/>
  <c r="N261" i="28" s="1"/>
  <c r="Y260" i="28"/>
  <c r="R260" i="28"/>
  <c r="P261" i="28"/>
  <c r="J260" i="28"/>
  <c r="L260" i="28"/>
  <c r="M260" i="28" s="1"/>
  <c r="O260" i="28"/>
  <c r="K260" i="28"/>
  <c r="H261" i="28"/>
  <c r="A264" i="28"/>
  <c r="B263" i="28"/>
  <c r="W262" i="28"/>
  <c r="F262" i="28"/>
  <c r="V262" i="28"/>
  <c r="T262" i="28"/>
  <c r="C263" i="28"/>
  <c r="G262" i="28"/>
  <c r="S262" i="28"/>
  <c r="U262" i="28"/>
  <c r="X262" i="28"/>
  <c r="D263" i="28"/>
  <c r="I262" i="28"/>
  <c r="E263" i="28" l="1"/>
  <c r="Q262" i="28"/>
  <c r="N262" i="28" s="1"/>
  <c r="Y261" i="28"/>
  <c r="R261" i="28"/>
  <c r="P262" i="28"/>
  <c r="J261" i="28"/>
  <c r="L261" i="28"/>
  <c r="M261" i="28" s="1"/>
  <c r="K261" i="28"/>
  <c r="O261" i="28"/>
  <c r="H262" i="28"/>
  <c r="B264" i="28"/>
  <c r="A265" i="28"/>
  <c r="V263" i="28"/>
  <c r="W263" i="28"/>
  <c r="U263" i="28"/>
  <c r="F263" i="28"/>
  <c r="C264" i="28"/>
  <c r="G263" i="28"/>
  <c r="I263" i="28" s="1"/>
  <c r="S263" i="28"/>
  <c r="X263" i="28"/>
  <c r="D264" i="28"/>
  <c r="T263" i="28"/>
  <c r="E264" i="28" l="1"/>
  <c r="Q263" i="28"/>
  <c r="N263" i="28" s="1"/>
  <c r="Y262" i="28"/>
  <c r="R262" i="28"/>
  <c r="P263" i="28"/>
  <c r="J262" i="28"/>
  <c r="O262" i="28"/>
  <c r="L262" i="28"/>
  <c r="M262" i="28" s="1"/>
  <c r="K262" i="28"/>
  <c r="H263" i="28"/>
  <c r="A266" i="28"/>
  <c r="B265" i="28"/>
  <c r="S264" i="28"/>
  <c r="F264" i="28"/>
  <c r="T264" i="28"/>
  <c r="U264" i="28"/>
  <c r="G264" i="28"/>
  <c r="D265" i="28"/>
  <c r="X264" i="28"/>
  <c r="V264" i="28"/>
  <c r="W264" i="28"/>
  <c r="C265" i="28"/>
  <c r="I264" i="28"/>
  <c r="E265" i="28" l="1"/>
  <c r="P264" i="28"/>
  <c r="J263" i="28"/>
  <c r="Y263" i="28"/>
  <c r="R263" i="28"/>
  <c r="Q264" i="28"/>
  <c r="N264" i="28" s="1"/>
  <c r="K263" i="28"/>
  <c r="O263" i="28"/>
  <c r="L263" i="28"/>
  <c r="M263" i="28" s="1"/>
  <c r="H264" i="28"/>
  <c r="B266" i="28"/>
  <c r="A267" i="28"/>
  <c r="V265" i="28"/>
  <c r="S265" i="28"/>
  <c r="X265" i="28"/>
  <c r="T265" i="28"/>
  <c r="D266" i="28"/>
  <c r="G265" i="28"/>
  <c r="I265" i="28" s="1"/>
  <c r="F265" i="28"/>
  <c r="W265" i="28"/>
  <c r="U265" i="28"/>
  <c r="C266" i="28"/>
  <c r="E266" i="28" l="1"/>
  <c r="Q265" i="28"/>
  <c r="N265" i="28" s="1"/>
  <c r="R264" i="28"/>
  <c r="Y264" i="28"/>
  <c r="P265" i="28"/>
  <c r="J264" i="28"/>
  <c r="O264" i="28"/>
  <c r="K264" i="28"/>
  <c r="L264" i="28"/>
  <c r="M264" i="28" s="1"/>
  <c r="H265" i="28"/>
  <c r="A268" i="28"/>
  <c r="B267" i="28"/>
  <c r="X266" i="28"/>
  <c r="V266" i="28"/>
  <c r="F266" i="28"/>
  <c r="S266" i="28"/>
  <c r="W266" i="28"/>
  <c r="C267" i="28"/>
  <c r="G266" i="28"/>
  <c r="T266" i="28"/>
  <c r="U266" i="28"/>
  <c r="D267" i="28"/>
  <c r="I266" i="28"/>
  <c r="E267" i="28" l="1"/>
  <c r="Y265" i="28"/>
  <c r="R265" i="28"/>
  <c r="Q266" i="28"/>
  <c r="N266" i="28" s="1"/>
  <c r="P266" i="28"/>
  <c r="J265" i="28"/>
  <c r="K265" i="28"/>
  <c r="O265" i="28"/>
  <c r="L265" i="28"/>
  <c r="M265" i="28" s="1"/>
  <c r="H266" i="28"/>
  <c r="B268" i="28"/>
  <c r="A269" i="28"/>
  <c r="S267" i="28"/>
  <c r="W267" i="28"/>
  <c r="X267" i="28"/>
  <c r="V267" i="28"/>
  <c r="C268" i="28"/>
  <c r="U267" i="28"/>
  <c r="F267" i="28"/>
  <c r="G267" i="28"/>
  <c r="I267" i="28" s="1"/>
  <c r="T267" i="28"/>
  <c r="D268" i="28"/>
  <c r="E268" i="28" l="1"/>
  <c r="P267" i="28"/>
  <c r="J266" i="28"/>
  <c r="Q267" i="28"/>
  <c r="N267" i="28" s="1"/>
  <c r="R266" i="28"/>
  <c r="Y266" i="28"/>
  <c r="O266" i="28"/>
  <c r="L266" i="28"/>
  <c r="M266" i="28" s="1"/>
  <c r="K266" i="28"/>
  <c r="H267" i="28"/>
  <c r="A270" i="28"/>
  <c r="B269" i="28"/>
  <c r="D269" i="28"/>
  <c r="F268" i="28"/>
  <c r="C269" i="28"/>
  <c r="G268" i="28"/>
  <c r="I268" i="28" s="1"/>
  <c r="X268" i="28"/>
  <c r="U268" i="28"/>
  <c r="V268" i="28"/>
  <c r="S268" i="28"/>
  <c r="W268" i="28"/>
  <c r="T268" i="28"/>
  <c r="R267" i="28" l="1"/>
  <c r="Y267" i="28"/>
  <c r="P268" i="28"/>
  <c r="J267" i="28"/>
  <c r="Q268" i="28"/>
  <c r="N268" i="28" s="1"/>
  <c r="E269" i="28"/>
  <c r="H268" i="28"/>
  <c r="L267" i="28"/>
  <c r="M267" i="28" s="1"/>
  <c r="O267" i="28"/>
  <c r="K267" i="28"/>
  <c r="B270" i="28"/>
  <c r="A271" i="28"/>
  <c r="X269" i="28"/>
  <c r="U269" i="28"/>
  <c r="V269" i="28"/>
  <c r="W269" i="28"/>
  <c r="D270" i="28"/>
  <c r="F269" i="28"/>
  <c r="G269" i="28"/>
  <c r="I269" i="28" s="1"/>
  <c r="T269" i="28"/>
  <c r="S269" i="28"/>
  <c r="C270" i="28"/>
  <c r="E270" i="28" l="1"/>
  <c r="Y268" i="28"/>
  <c r="R268" i="28"/>
  <c r="P269" i="28"/>
  <c r="J268" i="28"/>
  <c r="Q269" i="28"/>
  <c r="N269" i="28" s="1"/>
  <c r="H269" i="28"/>
  <c r="O268" i="28"/>
  <c r="K268" i="28"/>
  <c r="L268" i="28"/>
  <c r="M268" i="28" s="1"/>
  <c r="A272" i="28"/>
  <c r="B271" i="28"/>
  <c r="T270" i="28"/>
  <c r="S270" i="28"/>
  <c r="G270" i="28"/>
  <c r="F270" i="28"/>
  <c r="D271" i="28"/>
  <c r="I270" i="28"/>
  <c r="W270" i="28"/>
  <c r="U270" i="28"/>
  <c r="X270" i="28"/>
  <c r="V270" i="28"/>
  <c r="C271" i="28"/>
  <c r="E271" i="28" l="1"/>
  <c r="Q270" i="28"/>
  <c r="N270" i="28" s="1"/>
  <c r="P270" i="28"/>
  <c r="J269" i="28"/>
  <c r="R269" i="28"/>
  <c r="Y269" i="28"/>
  <c r="L269" i="28"/>
  <c r="M269" i="28" s="1"/>
  <c r="K269" i="28"/>
  <c r="O269" i="28"/>
  <c r="H270" i="28"/>
  <c r="B272" i="28"/>
  <c r="A273" i="28"/>
  <c r="G271" i="28"/>
  <c r="T271" i="28"/>
  <c r="F271" i="28"/>
  <c r="W271" i="28"/>
  <c r="D272" i="28"/>
  <c r="I271" i="28"/>
  <c r="S271" i="28"/>
  <c r="V271" i="28"/>
  <c r="U271" i="28"/>
  <c r="X271" i="28"/>
  <c r="C272" i="28"/>
  <c r="E272" i="28" l="1"/>
  <c r="Q271" i="28"/>
  <c r="N271" i="28" s="1"/>
  <c r="R270" i="28"/>
  <c r="Y270" i="28"/>
  <c r="P271" i="28"/>
  <c r="J270" i="28"/>
  <c r="O270" i="28"/>
  <c r="K270" i="28"/>
  <c r="L270" i="28"/>
  <c r="M270" i="28" s="1"/>
  <c r="H271" i="28"/>
  <c r="A274" i="28"/>
  <c r="B273" i="28"/>
  <c r="T272" i="28"/>
  <c r="G272" i="28"/>
  <c r="I272" i="28" s="1"/>
  <c r="U272" i="28"/>
  <c r="W272" i="28"/>
  <c r="S272" i="28"/>
  <c r="D273" i="28"/>
  <c r="F272" i="28"/>
  <c r="V272" i="28"/>
  <c r="X272" i="28"/>
  <c r="C273" i="28"/>
  <c r="E273" i="28" l="1"/>
  <c r="R271" i="28"/>
  <c r="Y271" i="28"/>
  <c r="Q272" i="28"/>
  <c r="N272" i="28" s="1"/>
  <c r="P272" i="28"/>
  <c r="J271" i="28"/>
  <c r="K271" i="28"/>
  <c r="O271" i="28"/>
  <c r="L271" i="28"/>
  <c r="M271" i="28" s="1"/>
  <c r="H272" i="28"/>
  <c r="B274" i="28"/>
  <c r="A275" i="28"/>
  <c r="S273" i="28"/>
  <c r="U273" i="28"/>
  <c r="X273" i="28"/>
  <c r="V273" i="28"/>
  <c r="D274" i="28"/>
  <c r="T273" i="28"/>
  <c r="W273" i="28"/>
  <c r="F273" i="28"/>
  <c r="G273" i="28"/>
  <c r="I273" i="28" s="1"/>
  <c r="C274" i="28"/>
  <c r="E274" i="28" l="1"/>
  <c r="P273" i="28"/>
  <c r="J272" i="28"/>
  <c r="Q273" i="28"/>
  <c r="N273" i="28" s="1"/>
  <c r="Y272" i="28"/>
  <c r="R272" i="28"/>
  <c r="K272" i="28"/>
  <c r="O272" i="28"/>
  <c r="L272" i="28"/>
  <c r="M272" i="28" s="1"/>
  <c r="H273" i="28"/>
  <c r="A276" i="28"/>
  <c r="B275" i="28"/>
  <c r="U274" i="28"/>
  <c r="T274" i="28"/>
  <c r="F274" i="28"/>
  <c r="X274" i="28"/>
  <c r="D275" i="28"/>
  <c r="G274" i="28"/>
  <c r="I274" i="28" s="1"/>
  <c r="S274" i="28"/>
  <c r="V274" i="28"/>
  <c r="W274" i="28"/>
  <c r="C275" i="28"/>
  <c r="E275" i="28" l="1"/>
  <c r="Q274" i="28"/>
  <c r="N274" i="28" s="1"/>
  <c r="R273" i="28"/>
  <c r="Y273" i="28"/>
  <c r="P274" i="28"/>
  <c r="J273" i="28"/>
  <c r="H274" i="28"/>
  <c r="O273" i="28"/>
  <c r="L273" i="28"/>
  <c r="M273" i="28" s="1"/>
  <c r="K273" i="28"/>
  <c r="B276" i="28"/>
  <c r="A277" i="28"/>
  <c r="U275" i="28"/>
  <c r="S275" i="28"/>
  <c r="D276" i="28"/>
  <c r="V275" i="28"/>
  <c r="T275" i="28"/>
  <c r="X275" i="28"/>
  <c r="F275" i="28"/>
  <c r="C276" i="28"/>
  <c r="W275" i="28"/>
  <c r="G275" i="28"/>
  <c r="I275" i="28"/>
  <c r="E276" i="28" l="1"/>
  <c r="Q275" i="28"/>
  <c r="N275" i="28" s="1"/>
  <c r="P275" i="28"/>
  <c r="J274" i="28"/>
  <c r="R274" i="28"/>
  <c r="Y274" i="28"/>
  <c r="L274" i="28"/>
  <c r="M274" i="28" s="1"/>
  <c r="K274" i="28"/>
  <c r="O274" i="28"/>
  <c r="H275" i="28"/>
  <c r="A278" i="28"/>
  <c r="B277" i="28"/>
  <c r="C277" i="28"/>
  <c r="D277" i="28"/>
  <c r="X276" i="28"/>
  <c r="F276" i="28"/>
  <c r="V276" i="28"/>
  <c r="T276" i="28"/>
  <c r="U276" i="28"/>
  <c r="S276" i="28"/>
  <c r="G276" i="28"/>
  <c r="W276" i="28"/>
  <c r="I276" i="28"/>
  <c r="P276" i="28" l="1"/>
  <c r="J275" i="28"/>
  <c r="Q276" i="28"/>
  <c r="N276" i="28" s="1"/>
  <c r="R275" i="28"/>
  <c r="Y275" i="28"/>
  <c r="E277" i="28"/>
  <c r="O275" i="28"/>
  <c r="K275" i="28"/>
  <c r="L275" i="28"/>
  <c r="M275" i="28" s="1"/>
  <c r="H276" i="28"/>
  <c r="B278" i="28"/>
  <c r="A279" i="28"/>
  <c r="T277" i="28"/>
  <c r="W277" i="28"/>
  <c r="G277" i="28"/>
  <c r="I277" i="28" s="1"/>
  <c r="U277" i="28"/>
  <c r="V277" i="28"/>
  <c r="C278" i="28"/>
  <c r="S277" i="28"/>
  <c r="X277" i="28"/>
  <c r="F277" i="28"/>
  <c r="D278" i="28"/>
  <c r="E278" i="28" l="1"/>
  <c r="Q277" i="28"/>
  <c r="N277" i="28" s="1"/>
  <c r="P277" i="28"/>
  <c r="J276" i="28"/>
  <c r="Y276" i="28"/>
  <c r="R276" i="28"/>
  <c r="H277" i="28"/>
  <c r="O276" i="28"/>
  <c r="L276" i="28"/>
  <c r="M276" i="28" s="1"/>
  <c r="K276" i="28"/>
  <c r="A280" i="28"/>
  <c r="B279" i="28"/>
  <c r="F278" i="28"/>
  <c r="V278" i="28"/>
  <c r="T278" i="28"/>
  <c r="U278" i="28"/>
  <c r="D279" i="28"/>
  <c r="G278" i="28"/>
  <c r="I278" i="28" s="1"/>
  <c r="X278" i="28"/>
  <c r="S278" i="28"/>
  <c r="W278" i="28"/>
  <c r="C279" i="28"/>
  <c r="E279" i="28" l="1"/>
  <c r="R277" i="28"/>
  <c r="Y277" i="28"/>
  <c r="P278" i="28"/>
  <c r="J277" i="28"/>
  <c r="Q278" i="28"/>
  <c r="N278" i="28" s="1"/>
  <c r="O277" i="28"/>
  <c r="L277" i="28"/>
  <c r="M277" i="28" s="1"/>
  <c r="K277" i="28"/>
  <c r="H278" i="28"/>
  <c r="B280" i="28"/>
  <c r="A281" i="28"/>
  <c r="G279" i="28"/>
  <c r="S279" i="28"/>
  <c r="X279" i="28"/>
  <c r="T279" i="28"/>
  <c r="D280" i="28"/>
  <c r="I279" i="28"/>
  <c r="V279" i="28"/>
  <c r="W279" i="28"/>
  <c r="F279" i="28"/>
  <c r="U279" i="28"/>
  <c r="C280" i="28"/>
  <c r="E280" i="28" l="1"/>
  <c r="Q279" i="28"/>
  <c r="N279" i="28" s="1"/>
  <c r="Y278" i="28"/>
  <c r="R278" i="28"/>
  <c r="P279" i="28"/>
  <c r="J278" i="28"/>
  <c r="H279" i="28"/>
  <c r="O278" i="28"/>
  <c r="L278" i="28"/>
  <c r="M278" i="28" s="1"/>
  <c r="K278" i="28"/>
  <c r="A282" i="28"/>
  <c r="B281" i="28"/>
  <c r="D281" i="28"/>
  <c r="V280" i="28"/>
  <c r="T280" i="28"/>
  <c r="U280" i="28"/>
  <c r="F280" i="28"/>
  <c r="C281" i="28"/>
  <c r="S280" i="28"/>
  <c r="G280" i="28"/>
  <c r="I280" i="28" s="1"/>
  <c r="W280" i="28"/>
  <c r="X280" i="28"/>
  <c r="Q280" i="28" l="1"/>
  <c r="N280" i="28" s="1"/>
  <c r="P280" i="28"/>
  <c r="J279" i="28"/>
  <c r="R279" i="28"/>
  <c r="Y279" i="28"/>
  <c r="E281" i="28"/>
  <c r="K279" i="28"/>
  <c r="O279" i="28"/>
  <c r="L279" i="28"/>
  <c r="M279" i="28" s="1"/>
  <c r="H280" i="28"/>
  <c r="B282" i="28"/>
  <c r="A283" i="28"/>
  <c r="W281" i="28"/>
  <c r="G281" i="28"/>
  <c r="S281" i="28"/>
  <c r="F281" i="28"/>
  <c r="C282" i="28"/>
  <c r="I281" i="28"/>
  <c r="V281" i="28"/>
  <c r="X281" i="28"/>
  <c r="T281" i="28"/>
  <c r="U281" i="28"/>
  <c r="D282" i="28"/>
  <c r="E282" i="28" l="1"/>
  <c r="Q281" i="28"/>
  <c r="N281" i="28" s="1"/>
  <c r="R280" i="28"/>
  <c r="Y280" i="28"/>
  <c r="P281" i="28"/>
  <c r="J280" i="28"/>
  <c r="O280" i="28"/>
  <c r="L280" i="28"/>
  <c r="M280" i="28" s="1"/>
  <c r="K280" i="28"/>
  <c r="H281" i="28"/>
  <c r="A284" i="28"/>
  <c r="B283" i="28"/>
  <c r="C283" i="28"/>
  <c r="F282" i="28"/>
  <c r="T282" i="28"/>
  <c r="X282" i="28"/>
  <c r="W282" i="28"/>
  <c r="D283" i="28"/>
  <c r="G282" i="28"/>
  <c r="I282" i="28" s="1"/>
  <c r="U282" i="28"/>
  <c r="S282" i="28"/>
  <c r="V282" i="28"/>
  <c r="Y281" i="28" l="1"/>
  <c r="R281" i="28"/>
  <c r="P282" i="28"/>
  <c r="J281" i="28"/>
  <c r="Q282" i="28"/>
  <c r="N282" i="28" s="1"/>
  <c r="E283" i="28"/>
  <c r="O281" i="28"/>
  <c r="L281" i="28"/>
  <c r="M281" i="28" s="1"/>
  <c r="K281" i="28"/>
  <c r="H282" i="28"/>
  <c r="B284" i="28"/>
  <c r="A285" i="28"/>
  <c r="W283" i="28"/>
  <c r="F283" i="28"/>
  <c r="T283" i="28"/>
  <c r="S283" i="28"/>
  <c r="D284" i="28"/>
  <c r="X283" i="28"/>
  <c r="V283" i="28"/>
  <c r="G283" i="28"/>
  <c r="I283" i="28" s="1"/>
  <c r="U283" i="28"/>
  <c r="C284" i="28"/>
  <c r="E284" i="28" l="1"/>
  <c r="R282" i="28"/>
  <c r="Y282" i="28"/>
  <c r="P283" i="28"/>
  <c r="J282" i="28"/>
  <c r="Q283" i="28"/>
  <c r="N283" i="28" s="1"/>
  <c r="O282" i="28"/>
  <c r="L282" i="28"/>
  <c r="M282" i="28" s="1"/>
  <c r="K282" i="28"/>
  <c r="H283" i="28"/>
  <c r="A286" i="28"/>
  <c r="B285" i="28"/>
  <c r="C285" i="28"/>
  <c r="W284" i="28"/>
  <c r="X284" i="28"/>
  <c r="S284" i="28"/>
  <c r="U284" i="28"/>
  <c r="V284" i="28"/>
  <c r="D285" i="28"/>
  <c r="F284" i="28"/>
  <c r="T284" i="28"/>
  <c r="G284" i="28"/>
  <c r="I284" i="28" s="1"/>
  <c r="P284" i="28" l="1"/>
  <c r="J283" i="28"/>
  <c r="R283" i="28"/>
  <c r="Y283" i="28"/>
  <c r="Q284" i="28"/>
  <c r="N284" i="28" s="1"/>
  <c r="E285" i="28"/>
  <c r="H284" i="28"/>
  <c r="K283" i="28"/>
  <c r="O283" i="28"/>
  <c r="L283" i="28"/>
  <c r="M283" i="28" s="1"/>
  <c r="B286" i="28"/>
  <c r="A287" i="28"/>
  <c r="F285" i="28"/>
  <c r="U285" i="28"/>
  <c r="X285" i="28"/>
  <c r="G285" i="28"/>
  <c r="D286" i="28"/>
  <c r="I285" i="28"/>
  <c r="T285" i="28"/>
  <c r="S285" i="28"/>
  <c r="V285" i="28"/>
  <c r="W285" i="28"/>
  <c r="C286" i="28"/>
  <c r="E286" i="28" l="1"/>
  <c r="P285" i="28"/>
  <c r="J284" i="28"/>
  <c r="R284" i="28"/>
  <c r="Y284" i="28"/>
  <c r="Q285" i="28"/>
  <c r="N285" i="28" s="1"/>
  <c r="H285" i="28"/>
  <c r="O284" i="28"/>
  <c r="K284" i="28"/>
  <c r="L284" i="28"/>
  <c r="M284" i="28" s="1"/>
  <c r="A288" i="28"/>
  <c r="B287" i="28"/>
  <c r="D287" i="28"/>
  <c r="V286" i="28"/>
  <c r="T286" i="28"/>
  <c r="X286" i="28"/>
  <c r="S286" i="28"/>
  <c r="C287" i="28"/>
  <c r="W286" i="28"/>
  <c r="G286" i="28"/>
  <c r="I286" i="28" s="1"/>
  <c r="F286" i="28"/>
  <c r="U286" i="28"/>
  <c r="Q286" i="28" l="1"/>
  <c r="N286" i="28" s="1"/>
  <c r="Y285" i="28"/>
  <c r="R285" i="28"/>
  <c r="P286" i="28"/>
  <c r="J285" i="28"/>
  <c r="E287" i="28"/>
  <c r="H286" i="28"/>
  <c r="L285" i="28"/>
  <c r="M285" i="28" s="1"/>
  <c r="K285" i="28"/>
  <c r="O285" i="28"/>
  <c r="B288" i="28"/>
  <c r="A289" i="28"/>
  <c r="D288" i="28"/>
  <c r="X287" i="28"/>
  <c r="S287" i="28"/>
  <c r="T287" i="28"/>
  <c r="U287" i="28"/>
  <c r="C288" i="28"/>
  <c r="F287" i="28"/>
  <c r="V287" i="28"/>
  <c r="W287" i="28"/>
  <c r="G287" i="28"/>
  <c r="I287" i="28"/>
  <c r="P287" i="28" l="1"/>
  <c r="J286" i="28"/>
  <c r="Y286" i="28"/>
  <c r="R286" i="28"/>
  <c r="Q287" i="28"/>
  <c r="N287" i="28" s="1"/>
  <c r="E288" i="28"/>
  <c r="H287" i="28"/>
  <c r="K286" i="28"/>
  <c r="O286" i="28"/>
  <c r="L286" i="28"/>
  <c r="M286" i="28" s="1"/>
  <c r="A290" i="28"/>
  <c r="B289" i="28"/>
  <c r="T288" i="28"/>
  <c r="X288" i="28"/>
  <c r="G288" i="28"/>
  <c r="F288" i="28"/>
  <c r="D289" i="28"/>
  <c r="I288" i="28"/>
  <c r="S288" i="28"/>
  <c r="U288" i="28"/>
  <c r="V288" i="28"/>
  <c r="W288" i="28"/>
  <c r="C289" i="28"/>
  <c r="E289" i="28" l="1"/>
  <c r="Q288" i="28"/>
  <c r="N288" i="28" s="1"/>
  <c r="P288" i="28"/>
  <c r="J287" i="28"/>
  <c r="Y287" i="28"/>
  <c r="R287" i="28"/>
  <c r="H288" i="28"/>
  <c r="O287" i="28"/>
  <c r="L287" i="28"/>
  <c r="M287" i="28" s="1"/>
  <c r="K287" i="28"/>
  <c r="B290" i="28"/>
  <c r="A291" i="28"/>
  <c r="S289" i="28"/>
  <c r="W289" i="28"/>
  <c r="V289" i="28"/>
  <c r="U289" i="28"/>
  <c r="D290" i="28"/>
  <c r="F289" i="28"/>
  <c r="X289" i="28"/>
  <c r="T289" i="28"/>
  <c r="G289" i="28"/>
  <c r="I289" i="28" s="1"/>
  <c r="C290" i="28"/>
  <c r="E290" i="28" l="1"/>
  <c r="P289" i="28"/>
  <c r="J288" i="28"/>
  <c r="Q289" i="28"/>
  <c r="N289" i="28" s="1"/>
  <c r="R288" i="28"/>
  <c r="Y288" i="28"/>
  <c r="O288" i="28"/>
  <c r="K288" i="28"/>
  <c r="L288" i="28"/>
  <c r="M288" i="28" s="1"/>
  <c r="H289" i="28"/>
  <c r="A292" i="28"/>
  <c r="B291" i="28"/>
  <c r="C291" i="28"/>
  <c r="G290" i="28"/>
  <c r="X290" i="28"/>
  <c r="U290" i="28"/>
  <c r="F290" i="28"/>
  <c r="I290" i="28"/>
  <c r="W290" i="28"/>
  <c r="T290" i="28"/>
  <c r="V290" i="28"/>
  <c r="S290" i="28"/>
  <c r="D291" i="28"/>
  <c r="Y289" i="28" l="1"/>
  <c r="R289" i="28"/>
  <c r="Q290" i="28"/>
  <c r="N290" i="28" s="1"/>
  <c r="P290" i="28"/>
  <c r="J289" i="28"/>
  <c r="E291" i="28"/>
  <c r="H290" i="28"/>
  <c r="O289" i="28"/>
  <c r="L289" i="28"/>
  <c r="M289" i="28" s="1"/>
  <c r="K289" i="28"/>
  <c r="B292" i="28"/>
  <c r="A293" i="28"/>
  <c r="C292" i="28"/>
  <c r="G291" i="28"/>
  <c r="U291" i="28"/>
  <c r="T291" i="28"/>
  <c r="S291" i="28"/>
  <c r="I291" i="28"/>
  <c r="F291" i="28"/>
  <c r="W291" i="28"/>
  <c r="X291" i="28"/>
  <c r="V291" i="28"/>
  <c r="D292" i="28"/>
  <c r="R290" i="28" l="1"/>
  <c r="Y290" i="28"/>
  <c r="Q291" i="28"/>
  <c r="N291" i="28" s="1"/>
  <c r="P291" i="28"/>
  <c r="J290" i="28"/>
  <c r="E292" i="28"/>
  <c r="H291" i="28"/>
  <c r="O290" i="28"/>
  <c r="L290" i="28"/>
  <c r="M290" i="28" s="1"/>
  <c r="K290" i="28"/>
  <c r="B293" i="28"/>
  <c r="A294" i="28"/>
  <c r="W292" i="28"/>
  <c r="T292" i="28"/>
  <c r="V292" i="28"/>
  <c r="F292" i="28"/>
  <c r="D293" i="28"/>
  <c r="U292" i="28"/>
  <c r="S292" i="28"/>
  <c r="G292" i="28"/>
  <c r="I292" i="28" s="1"/>
  <c r="C293" i="28"/>
  <c r="X292" i="28"/>
  <c r="E293" i="28" l="1"/>
  <c r="P292" i="28"/>
  <c r="J291" i="28"/>
  <c r="Q292" i="28"/>
  <c r="N292" i="28" s="1"/>
  <c r="R291" i="28"/>
  <c r="Y291" i="28"/>
  <c r="K291" i="28"/>
  <c r="L291" i="28"/>
  <c r="M291" i="28" s="1"/>
  <c r="O291" i="28"/>
  <c r="H292" i="28"/>
  <c r="B294" i="28"/>
  <c r="A295" i="28"/>
  <c r="V293" i="28"/>
  <c r="U293" i="28"/>
  <c r="T293" i="28"/>
  <c r="C294" i="28"/>
  <c r="W293" i="28"/>
  <c r="X293" i="28"/>
  <c r="G293" i="28"/>
  <c r="F293" i="28"/>
  <c r="D294" i="28"/>
  <c r="S293" i="28"/>
  <c r="I293" i="28"/>
  <c r="E294" i="28" l="1"/>
  <c r="Q293" i="28"/>
  <c r="N293" i="28" s="1"/>
  <c r="R292" i="28"/>
  <c r="Y292" i="28"/>
  <c r="P293" i="28"/>
  <c r="J292" i="28"/>
  <c r="H293" i="28"/>
  <c r="O292" i="28"/>
  <c r="K292" i="28"/>
  <c r="L292" i="28"/>
  <c r="M292" i="28" s="1"/>
  <c r="A296" i="28"/>
  <c r="B295" i="28"/>
  <c r="D295" i="28"/>
  <c r="G294" i="28"/>
  <c r="T294" i="28"/>
  <c r="U294" i="28"/>
  <c r="X294" i="28"/>
  <c r="I294" i="28"/>
  <c r="C295" i="28"/>
  <c r="V294" i="28"/>
  <c r="S294" i="28"/>
  <c r="W294" i="28"/>
  <c r="F294" i="28"/>
  <c r="Q294" i="28" l="1"/>
  <c r="N294" i="28" s="1"/>
  <c r="R293" i="28"/>
  <c r="Y293" i="28"/>
  <c r="P294" i="28"/>
  <c r="J293" i="28"/>
  <c r="E295" i="28"/>
  <c r="H294" i="28"/>
  <c r="O293" i="28"/>
  <c r="L293" i="28"/>
  <c r="M293" i="28" s="1"/>
  <c r="K293" i="28"/>
  <c r="B296" i="28"/>
  <c r="A297" i="28"/>
  <c r="S295" i="28"/>
  <c r="T295" i="28"/>
  <c r="W295" i="28"/>
  <c r="V295" i="28"/>
  <c r="C296" i="28"/>
  <c r="U295" i="28"/>
  <c r="F295" i="28"/>
  <c r="D296" i="28"/>
  <c r="G295" i="28"/>
  <c r="I295" i="28" s="1"/>
  <c r="X295" i="28"/>
  <c r="E296" i="28" l="1"/>
  <c r="Q295" i="28"/>
  <c r="N295" i="28" s="1"/>
  <c r="P295" i="28"/>
  <c r="J294" i="28"/>
  <c r="R294" i="28"/>
  <c r="Y294" i="28"/>
  <c r="H295" i="28"/>
  <c r="K294" i="28"/>
  <c r="O294" i="28"/>
  <c r="L294" i="28"/>
  <c r="M294" i="28" s="1"/>
  <c r="A298" i="28"/>
  <c r="B297" i="28"/>
  <c r="D297" i="28"/>
  <c r="F296" i="28"/>
  <c r="U296" i="28"/>
  <c r="V296" i="28"/>
  <c r="X296" i="28"/>
  <c r="S296" i="28"/>
  <c r="C297" i="28"/>
  <c r="W296" i="28"/>
  <c r="G296" i="28"/>
  <c r="I296" i="28" s="1"/>
  <c r="T296" i="28"/>
  <c r="R295" i="28" l="1"/>
  <c r="Y295" i="28"/>
  <c r="P296" i="28"/>
  <c r="J295" i="28"/>
  <c r="Q296" i="28"/>
  <c r="N296" i="28" s="1"/>
  <c r="E297" i="28"/>
  <c r="O295" i="28"/>
  <c r="L295" i="28"/>
  <c r="M295" i="28" s="1"/>
  <c r="K295" i="28"/>
  <c r="H296" i="28"/>
  <c r="B298" i="28"/>
  <c r="A299" i="28"/>
  <c r="T297" i="28"/>
  <c r="F297" i="28"/>
  <c r="X297" i="28"/>
  <c r="V297" i="28"/>
  <c r="S297" i="28"/>
  <c r="D298" i="28"/>
  <c r="W297" i="28"/>
  <c r="U297" i="28"/>
  <c r="G297" i="28"/>
  <c r="C298" i="28"/>
  <c r="I297" i="28"/>
  <c r="E298" i="28" l="1"/>
  <c r="Y296" i="28"/>
  <c r="R296" i="28"/>
  <c r="P297" i="28"/>
  <c r="J296" i="28"/>
  <c r="Q297" i="28"/>
  <c r="N297" i="28" s="1"/>
  <c r="H297" i="28"/>
  <c r="L296" i="28"/>
  <c r="M296" i="28" s="1"/>
  <c r="O296" i="28"/>
  <c r="K296" i="28"/>
  <c r="A300" i="28"/>
  <c r="B299" i="28"/>
  <c r="W298" i="28"/>
  <c r="G298" i="28"/>
  <c r="V298" i="28"/>
  <c r="U298" i="28"/>
  <c r="D299" i="28"/>
  <c r="I298" i="28"/>
  <c r="X298" i="28"/>
  <c r="T298" i="28"/>
  <c r="S298" i="28"/>
  <c r="F298" i="28"/>
  <c r="C299" i="28"/>
  <c r="E299" i="28" l="1"/>
  <c r="Q298" i="28"/>
  <c r="N298" i="28" s="1"/>
  <c r="R297" i="28"/>
  <c r="Y297" i="28"/>
  <c r="P298" i="28"/>
  <c r="J297" i="28"/>
  <c r="O297" i="28"/>
  <c r="L297" i="28"/>
  <c r="M297" i="28" s="1"/>
  <c r="K297" i="28"/>
  <c r="H298" i="28"/>
  <c r="B300" i="28"/>
  <c r="A301" i="28"/>
  <c r="T299" i="28"/>
  <c r="S299" i="28"/>
  <c r="U299" i="28"/>
  <c r="F299" i="28"/>
  <c r="C300" i="28"/>
  <c r="X299" i="28"/>
  <c r="G299" i="28"/>
  <c r="I299" i="28" s="1"/>
  <c r="W299" i="28"/>
  <c r="V299" i="28"/>
  <c r="D300" i="28"/>
  <c r="E300" i="28" l="1"/>
  <c r="Q299" i="28"/>
  <c r="N299" i="28" s="1"/>
  <c r="P299" i="28"/>
  <c r="J298" i="28"/>
  <c r="R298" i="28"/>
  <c r="Y298" i="28"/>
  <c r="K298" i="28"/>
  <c r="O298" i="28"/>
  <c r="L298" i="28"/>
  <c r="M298" i="28" s="1"/>
  <c r="H299" i="28"/>
  <c r="A302" i="28"/>
  <c r="B301" i="28"/>
  <c r="C301" i="28"/>
  <c r="U300" i="28"/>
  <c r="V300" i="28"/>
  <c r="F300" i="28"/>
  <c r="D301" i="28"/>
  <c r="X300" i="28"/>
  <c r="S300" i="28"/>
  <c r="G300" i="28"/>
  <c r="W300" i="28"/>
  <c r="T300" i="28"/>
  <c r="I300" i="28"/>
  <c r="Q300" i="28" l="1"/>
  <c r="N300" i="28" s="1"/>
  <c r="P300" i="28"/>
  <c r="J299" i="28"/>
  <c r="Y299" i="28"/>
  <c r="R299" i="28"/>
  <c r="E301" i="28"/>
  <c r="O299" i="28"/>
  <c r="K299" i="28"/>
  <c r="L299" i="28"/>
  <c r="M299" i="28" s="1"/>
  <c r="H300" i="28"/>
  <c r="B302" i="28"/>
  <c r="A303" i="28"/>
  <c r="S301" i="28"/>
  <c r="F301" i="28"/>
  <c r="U301" i="28"/>
  <c r="C302" i="28"/>
  <c r="V301" i="28"/>
  <c r="G301" i="28"/>
  <c r="X301" i="28"/>
  <c r="W301" i="28"/>
  <c r="D302" i="28"/>
  <c r="T301" i="28"/>
  <c r="I301" i="28"/>
  <c r="E302" i="28" l="1"/>
  <c r="P301" i="28"/>
  <c r="J300" i="28"/>
  <c r="Q301" i="28"/>
  <c r="N301" i="28" s="1"/>
  <c r="R300" i="28"/>
  <c r="Y300" i="28"/>
  <c r="H301" i="28"/>
  <c r="L300" i="28"/>
  <c r="M300" i="28" s="1"/>
  <c r="O300" i="28"/>
  <c r="K300" i="28"/>
  <c r="A304" i="28"/>
  <c r="B303" i="28"/>
  <c r="C303" i="28"/>
  <c r="V302" i="28"/>
  <c r="U302" i="28"/>
  <c r="S302" i="28"/>
  <c r="X302" i="28"/>
  <c r="D303" i="28"/>
  <c r="W302" i="28"/>
  <c r="G302" i="28"/>
  <c r="I302" i="28" s="1"/>
  <c r="T302" i="28"/>
  <c r="F302" i="28"/>
  <c r="Q302" i="28" l="1"/>
  <c r="N302" i="28" s="1"/>
  <c r="Y301" i="28"/>
  <c r="R301" i="28"/>
  <c r="P302" i="28"/>
  <c r="J301" i="28"/>
  <c r="E303" i="28"/>
  <c r="H302" i="28"/>
  <c r="K301" i="28"/>
  <c r="O301" i="28"/>
  <c r="L301" i="28"/>
  <c r="M301" i="28" s="1"/>
  <c r="B304" i="28"/>
  <c r="A305" i="28"/>
  <c r="D304" i="28"/>
  <c r="S303" i="28"/>
  <c r="W303" i="28"/>
  <c r="X303" i="28"/>
  <c r="V303" i="28"/>
  <c r="C304" i="28"/>
  <c r="U303" i="28"/>
  <c r="F303" i="28"/>
  <c r="T303" i="28"/>
  <c r="G303" i="28"/>
  <c r="I303" i="28" s="1"/>
  <c r="Q303" i="28" l="1"/>
  <c r="N303" i="28" s="1"/>
  <c r="P303" i="28"/>
  <c r="J302" i="28"/>
  <c r="Y302" i="28"/>
  <c r="R302" i="28"/>
  <c r="E304" i="28"/>
  <c r="H303" i="28"/>
  <c r="L302" i="28"/>
  <c r="M302" i="28" s="1"/>
  <c r="K302" i="28"/>
  <c r="O302" i="28"/>
  <c r="A306" i="28"/>
  <c r="B305" i="28"/>
  <c r="U304" i="28"/>
  <c r="G304" i="28"/>
  <c r="I304" i="28" s="1"/>
  <c r="V304" i="28"/>
  <c r="T304" i="28"/>
  <c r="F304" i="28"/>
  <c r="D305" i="28"/>
  <c r="W304" i="28"/>
  <c r="S304" i="28"/>
  <c r="X304" i="28"/>
  <c r="C305" i="28"/>
  <c r="E305" i="28" l="1"/>
  <c r="Q304" i="28"/>
  <c r="N304" i="28" s="1"/>
  <c r="R303" i="28"/>
  <c r="Y303" i="28"/>
  <c r="P304" i="28"/>
  <c r="J303" i="28"/>
  <c r="H304" i="28"/>
  <c r="L303" i="28"/>
  <c r="M303" i="28" s="1"/>
  <c r="O303" i="28"/>
  <c r="K303" i="28"/>
  <c r="B306" i="28"/>
  <c r="A307" i="28"/>
  <c r="U305" i="28"/>
  <c r="T305" i="28"/>
  <c r="X305" i="28"/>
  <c r="V305" i="28"/>
  <c r="W305" i="28"/>
  <c r="S305" i="28"/>
  <c r="G305" i="28"/>
  <c r="I305" i="28" s="1"/>
  <c r="F305" i="28"/>
  <c r="C306" i="28"/>
  <c r="D306" i="28"/>
  <c r="E306" i="28" l="1"/>
  <c r="Q305" i="28"/>
  <c r="N305" i="28" s="1"/>
  <c r="P305" i="28"/>
  <c r="J304" i="28"/>
  <c r="R304" i="28"/>
  <c r="Y304" i="28"/>
  <c r="L304" i="28"/>
  <c r="M304" i="28" s="1"/>
  <c r="O304" i="28"/>
  <c r="K304" i="28"/>
  <c r="H305" i="28"/>
  <c r="A308" i="28"/>
  <c r="B307" i="28"/>
  <c r="S306" i="28"/>
  <c r="F306" i="28"/>
  <c r="D307" i="28"/>
  <c r="G306" i="28"/>
  <c r="X306" i="28"/>
  <c r="V306" i="28"/>
  <c r="U306" i="28"/>
  <c r="C307" i="28"/>
  <c r="T306" i="28"/>
  <c r="W306" i="28"/>
  <c r="I306" i="28"/>
  <c r="E307" i="28" l="1"/>
  <c r="Q306" i="28"/>
  <c r="N306" i="28" s="1"/>
  <c r="P306" i="28"/>
  <c r="J305" i="28"/>
  <c r="Y305" i="28"/>
  <c r="R305" i="28"/>
  <c r="O305" i="28"/>
  <c r="L305" i="28"/>
  <c r="M305" i="28" s="1"/>
  <c r="K305" i="28"/>
  <c r="H306" i="28"/>
  <c r="B308" i="28"/>
  <c r="A309" i="28"/>
  <c r="V307" i="28"/>
  <c r="X307" i="28"/>
  <c r="T307" i="28"/>
  <c r="F307" i="28"/>
  <c r="D308" i="28"/>
  <c r="S307" i="28"/>
  <c r="G307" i="28"/>
  <c r="I307" i="28" s="1"/>
  <c r="U307" i="28"/>
  <c r="W307" i="28"/>
  <c r="C308" i="28"/>
  <c r="E308" i="28" l="1"/>
  <c r="Q307" i="28"/>
  <c r="N307" i="28" s="1"/>
  <c r="P307" i="28"/>
  <c r="J306" i="28"/>
  <c r="Y306" i="28"/>
  <c r="R306" i="28"/>
  <c r="K306" i="28"/>
  <c r="O306" i="28"/>
  <c r="L306" i="28"/>
  <c r="M306" i="28" s="1"/>
  <c r="H307" i="28"/>
  <c r="A310" i="28"/>
  <c r="B309" i="28"/>
  <c r="U308" i="28"/>
  <c r="W308" i="28"/>
  <c r="S308" i="28"/>
  <c r="G308" i="28"/>
  <c r="C309" i="28"/>
  <c r="I308" i="28"/>
  <c r="X308" i="28"/>
  <c r="F308" i="28"/>
  <c r="V308" i="28"/>
  <c r="T308" i="28"/>
  <c r="D309" i="28"/>
  <c r="E309" i="28" l="1"/>
  <c r="P308" i="28"/>
  <c r="J307" i="28"/>
  <c r="R307" i="28"/>
  <c r="Y307" i="28"/>
  <c r="Q308" i="28"/>
  <c r="N308" i="28" s="1"/>
  <c r="O307" i="28"/>
  <c r="K307" i="28"/>
  <c r="L307" i="28"/>
  <c r="M307" i="28" s="1"/>
  <c r="H308" i="28"/>
  <c r="B310" i="28"/>
  <c r="A311" i="28"/>
  <c r="V309" i="28"/>
  <c r="S309" i="28"/>
  <c r="F309" i="28"/>
  <c r="X309" i="28"/>
  <c r="C310" i="28"/>
  <c r="G309" i="28"/>
  <c r="I309" i="28" s="1"/>
  <c r="W309" i="28"/>
  <c r="T309" i="28"/>
  <c r="U309" i="28"/>
  <c r="D310" i="28"/>
  <c r="E310" i="28" l="1"/>
  <c r="Q309" i="28"/>
  <c r="N309" i="28" s="1"/>
  <c r="Y308" i="28"/>
  <c r="R308" i="28"/>
  <c r="P309" i="28"/>
  <c r="J308" i="28"/>
  <c r="H309" i="28"/>
  <c r="O308" i="28"/>
  <c r="K308" i="28"/>
  <c r="L308" i="28"/>
  <c r="M308" i="28" s="1"/>
  <c r="A312" i="28"/>
  <c r="B311" i="28"/>
  <c r="F310" i="28"/>
  <c r="G310" i="28"/>
  <c r="T310" i="28"/>
  <c r="U310" i="28"/>
  <c r="D311" i="28"/>
  <c r="I310" i="28"/>
  <c r="X310" i="28"/>
  <c r="W310" i="28"/>
  <c r="S310" i="28"/>
  <c r="V310" i="28"/>
  <c r="C311" i="28"/>
  <c r="E311" i="28" l="1"/>
  <c r="R309" i="28"/>
  <c r="Y309" i="28"/>
  <c r="P310" i="28"/>
  <c r="J309" i="28"/>
  <c r="Q310" i="28"/>
  <c r="N310" i="28" s="1"/>
  <c r="L309" i="28"/>
  <c r="M309" i="28" s="1"/>
  <c r="O309" i="28"/>
  <c r="K309" i="28"/>
  <c r="H310" i="28"/>
  <c r="B312" i="28"/>
  <c r="A313" i="28"/>
  <c r="U311" i="28"/>
  <c r="D312" i="28"/>
  <c r="W311" i="28"/>
  <c r="T311" i="28"/>
  <c r="G311" i="28"/>
  <c r="V311" i="28"/>
  <c r="C312" i="28"/>
  <c r="S311" i="28"/>
  <c r="F311" i="28"/>
  <c r="X311" i="28"/>
  <c r="I311" i="28"/>
  <c r="P311" i="28" l="1"/>
  <c r="J310" i="28"/>
  <c r="Q311" i="28"/>
  <c r="N311" i="28" s="1"/>
  <c r="Y310" i="28"/>
  <c r="R310" i="28"/>
  <c r="E312" i="28"/>
  <c r="H311" i="28"/>
  <c r="L310" i="28"/>
  <c r="M310" i="28" s="1"/>
  <c r="K310" i="28"/>
  <c r="O310" i="28"/>
  <c r="A314" i="28"/>
  <c r="B313" i="28"/>
  <c r="X312" i="28"/>
  <c r="U312" i="28"/>
  <c r="T312" i="28"/>
  <c r="W312" i="28"/>
  <c r="S312" i="28"/>
  <c r="C313" i="28"/>
  <c r="F312" i="28"/>
  <c r="G312" i="28"/>
  <c r="V312" i="28"/>
  <c r="D313" i="28"/>
  <c r="I312" i="28"/>
  <c r="E313" i="28" l="1"/>
  <c r="Y311" i="28"/>
  <c r="R311" i="28"/>
  <c r="P312" i="28"/>
  <c r="J311" i="28"/>
  <c r="Q312" i="28"/>
  <c r="N312" i="28" s="1"/>
  <c r="H312" i="28"/>
  <c r="K311" i="28"/>
  <c r="O311" i="28"/>
  <c r="L311" i="28"/>
  <c r="M311" i="28" s="1"/>
  <c r="B314" i="28"/>
  <c r="A315" i="28"/>
  <c r="U313" i="28"/>
  <c r="X313" i="28"/>
  <c r="S313" i="28"/>
  <c r="V313" i="28"/>
  <c r="C314" i="28"/>
  <c r="G313" i="28"/>
  <c r="I313" i="28" s="1"/>
  <c r="W313" i="28"/>
  <c r="T313" i="28"/>
  <c r="F313" i="28"/>
  <c r="D314" i="28"/>
  <c r="E314" i="28" l="1"/>
  <c r="Q313" i="28"/>
  <c r="N313" i="28" s="1"/>
  <c r="R312" i="28"/>
  <c r="Y312" i="28"/>
  <c r="P313" i="28"/>
  <c r="J312" i="28"/>
  <c r="L312" i="28"/>
  <c r="M312" i="28" s="1"/>
  <c r="O312" i="28"/>
  <c r="K312" i="28"/>
  <c r="H313" i="28"/>
  <c r="A316" i="28"/>
  <c r="B315" i="28"/>
  <c r="C315" i="28"/>
  <c r="X314" i="28"/>
  <c r="D315" i="28"/>
  <c r="U314" i="28"/>
  <c r="W314" i="28"/>
  <c r="T314" i="28"/>
  <c r="S314" i="28"/>
  <c r="V314" i="28"/>
  <c r="F314" i="28"/>
  <c r="G314" i="28"/>
  <c r="I314" i="28" s="1"/>
  <c r="Y313" i="28" l="1"/>
  <c r="R313" i="28"/>
  <c r="P314" i="28"/>
  <c r="J313" i="28"/>
  <c r="Q314" i="28"/>
  <c r="N314" i="28" s="1"/>
  <c r="E315" i="28"/>
  <c r="L313" i="28"/>
  <c r="M313" i="28" s="1"/>
  <c r="K313" i="28"/>
  <c r="O313" i="28"/>
  <c r="H314" i="28"/>
  <c r="B316" i="28"/>
  <c r="A317" i="28"/>
  <c r="V315" i="28"/>
  <c r="G315" i="28"/>
  <c r="W315" i="28"/>
  <c r="S315" i="28"/>
  <c r="C316" i="28"/>
  <c r="I315" i="28"/>
  <c r="U315" i="28"/>
  <c r="T315" i="28"/>
  <c r="X315" i="28"/>
  <c r="D316" i="28"/>
  <c r="F315" i="28"/>
  <c r="E316" i="28" l="1"/>
  <c r="Q315" i="28"/>
  <c r="N315" i="28" s="1"/>
  <c r="R314" i="28"/>
  <c r="Y314" i="28"/>
  <c r="P315" i="28"/>
  <c r="J314" i="28"/>
  <c r="H315" i="28"/>
  <c r="K314" i="28"/>
  <c r="O314" i="28"/>
  <c r="L314" i="28"/>
  <c r="M314" i="28" s="1"/>
  <c r="A318" i="28"/>
  <c r="B317" i="28"/>
  <c r="D317" i="28"/>
  <c r="W316" i="28"/>
  <c r="U316" i="28"/>
  <c r="V316" i="28"/>
  <c r="T316" i="28"/>
  <c r="C317" i="28"/>
  <c r="X316" i="28"/>
  <c r="F316" i="28"/>
  <c r="G316" i="28"/>
  <c r="I316" i="28" s="1"/>
  <c r="S316" i="28"/>
  <c r="P316" i="28" l="1"/>
  <c r="J315" i="28"/>
  <c r="R315" i="28"/>
  <c r="Y315" i="28"/>
  <c r="Q316" i="28"/>
  <c r="N316" i="28" s="1"/>
  <c r="E317" i="28"/>
  <c r="O315" i="28"/>
  <c r="L315" i="28"/>
  <c r="M315" i="28" s="1"/>
  <c r="K315" i="28"/>
  <c r="H316" i="28"/>
  <c r="B318" i="28"/>
  <c r="A319" i="28"/>
  <c r="C318" i="28"/>
  <c r="S317" i="28"/>
  <c r="V317" i="28"/>
  <c r="F317" i="28"/>
  <c r="W317" i="28"/>
  <c r="G317" i="28"/>
  <c r="I317" i="28" s="1"/>
  <c r="T317" i="28"/>
  <c r="X317" i="28"/>
  <c r="U317" i="28"/>
  <c r="D318" i="28"/>
  <c r="Q317" i="28" l="1"/>
  <c r="N317" i="28" s="1"/>
  <c r="P317" i="28"/>
  <c r="J316" i="28"/>
  <c r="Y316" i="28"/>
  <c r="R316" i="28"/>
  <c r="E318" i="28"/>
  <c r="H317" i="28"/>
  <c r="L316" i="28"/>
  <c r="M316" i="28" s="1"/>
  <c r="O316" i="28"/>
  <c r="K316" i="28"/>
  <c r="A320" i="28"/>
  <c r="B319" i="28"/>
  <c r="T318" i="28"/>
  <c r="V318" i="28"/>
  <c r="S318" i="28"/>
  <c r="W318" i="28"/>
  <c r="D319" i="28"/>
  <c r="X318" i="28"/>
  <c r="C319" i="28"/>
  <c r="F318" i="28"/>
  <c r="U318" i="28"/>
  <c r="G318" i="28"/>
  <c r="I318" i="28" s="1"/>
  <c r="E319" i="28" l="1"/>
  <c r="P318" i="28"/>
  <c r="J317" i="28"/>
  <c r="R317" i="28"/>
  <c r="Y317" i="28"/>
  <c r="Q318" i="28"/>
  <c r="N318" i="28" s="1"/>
  <c r="H318" i="28"/>
  <c r="K317" i="28"/>
  <c r="O317" i="28"/>
  <c r="L317" i="28"/>
  <c r="M317" i="28" s="1"/>
  <c r="B320" i="28"/>
  <c r="A321" i="28"/>
  <c r="S319" i="28"/>
  <c r="U319" i="28"/>
  <c r="X319" i="28"/>
  <c r="W319" i="28"/>
  <c r="D320" i="28"/>
  <c r="T319" i="28"/>
  <c r="F319" i="28"/>
  <c r="V319" i="28"/>
  <c r="C320" i="28"/>
  <c r="G319" i="28"/>
  <c r="I319" i="28" s="1"/>
  <c r="E320" i="28" l="1"/>
  <c r="Q319" i="28"/>
  <c r="N319" i="28" s="1"/>
  <c r="P319" i="28"/>
  <c r="J318" i="28"/>
  <c r="Y318" i="28"/>
  <c r="R318" i="28"/>
  <c r="H319" i="28"/>
  <c r="K318" i="28"/>
  <c r="O318" i="28"/>
  <c r="L318" i="28"/>
  <c r="M318" i="28" s="1"/>
  <c r="A322" i="28"/>
  <c r="B321" i="28"/>
  <c r="D321" i="28"/>
  <c r="X320" i="28"/>
  <c r="G320" i="28"/>
  <c r="F320" i="28"/>
  <c r="V320" i="28"/>
  <c r="I320" i="28"/>
  <c r="C321" i="28"/>
  <c r="T320" i="28"/>
  <c r="W320" i="28"/>
  <c r="S320" i="28"/>
  <c r="U320" i="28"/>
  <c r="Y319" i="28" l="1"/>
  <c r="R319" i="28"/>
  <c r="Q320" i="28"/>
  <c r="N320" i="28" s="1"/>
  <c r="P320" i="28"/>
  <c r="J319" i="28"/>
  <c r="E321" i="28"/>
  <c r="O319" i="28"/>
  <c r="L319" i="28"/>
  <c r="M319" i="28" s="1"/>
  <c r="K319" i="28"/>
  <c r="H320" i="28"/>
  <c r="B322" i="28"/>
  <c r="A323" i="28"/>
  <c r="V321" i="28"/>
  <c r="F321" i="28"/>
  <c r="S321" i="28"/>
  <c r="T321" i="28"/>
  <c r="D322" i="28"/>
  <c r="G321" i="28"/>
  <c r="I321" i="28" s="1"/>
  <c r="W321" i="28"/>
  <c r="X321" i="28"/>
  <c r="U321" i="28"/>
  <c r="C322" i="28"/>
  <c r="E322" i="28" l="1"/>
  <c r="Y320" i="28"/>
  <c r="R320" i="28"/>
  <c r="Q321" i="28"/>
  <c r="N321" i="28" s="1"/>
  <c r="P321" i="28"/>
  <c r="J320" i="28"/>
  <c r="L320" i="28"/>
  <c r="M320" i="28" s="1"/>
  <c r="O320" i="28"/>
  <c r="K320" i="28"/>
  <c r="H321" i="28"/>
  <c r="B323" i="28"/>
  <c r="A324" i="28"/>
  <c r="V322" i="28"/>
  <c r="T322" i="28"/>
  <c r="G322" i="28"/>
  <c r="S322" i="28"/>
  <c r="C323" i="28"/>
  <c r="I322" i="28"/>
  <c r="W322" i="28"/>
  <c r="X322" i="28"/>
  <c r="U322" i="28"/>
  <c r="D323" i="28"/>
  <c r="F322" i="28"/>
  <c r="E323" i="28" l="1"/>
  <c r="R321" i="28"/>
  <c r="Y321" i="28"/>
  <c r="Q322" i="28"/>
  <c r="N322" i="28" s="1"/>
  <c r="P322" i="28"/>
  <c r="J321" i="28"/>
  <c r="O321" i="28"/>
  <c r="L321" i="28"/>
  <c r="M321" i="28" s="1"/>
  <c r="K321" i="28"/>
  <c r="H322" i="28"/>
  <c r="B324" i="28"/>
  <c r="A325" i="28"/>
  <c r="W323" i="28"/>
  <c r="V323" i="28"/>
  <c r="G323" i="28"/>
  <c r="S323" i="28"/>
  <c r="D324" i="28"/>
  <c r="I323" i="28"/>
  <c r="U323" i="28"/>
  <c r="F323" i="28"/>
  <c r="C324" i="28"/>
  <c r="T323" i="28"/>
  <c r="X323" i="28"/>
  <c r="E324" i="28" l="1"/>
  <c r="Y322" i="28"/>
  <c r="R322" i="28"/>
  <c r="Q323" i="28"/>
  <c r="N323" i="28" s="1"/>
  <c r="P323" i="28"/>
  <c r="J322" i="28"/>
  <c r="O322" i="28"/>
  <c r="L322" i="28"/>
  <c r="M322" i="28" s="1"/>
  <c r="K322" i="28"/>
  <c r="H323" i="28"/>
  <c r="A326" i="28"/>
  <c r="B325" i="28"/>
  <c r="C325" i="28"/>
  <c r="X324" i="28"/>
  <c r="T324" i="28"/>
  <c r="S324" i="28"/>
  <c r="F324" i="28"/>
  <c r="D325" i="28"/>
  <c r="G324" i="28"/>
  <c r="I324" i="28" s="1"/>
  <c r="W324" i="28"/>
  <c r="V324" i="28"/>
  <c r="U324" i="28"/>
  <c r="Q324" i="28" l="1"/>
  <c r="N324" i="28" s="1"/>
  <c r="Y323" i="28"/>
  <c r="R323" i="28"/>
  <c r="P324" i="28"/>
  <c r="J323" i="28"/>
  <c r="E325" i="28"/>
  <c r="O323" i="28"/>
  <c r="K323" i="28"/>
  <c r="L323" i="28"/>
  <c r="M323" i="28" s="1"/>
  <c r="H324" i="28"/>
  <c r="B326" i="28"/>
  <c r="A327" i="28"/>
  <c r="V325" i="28"/>
  <c r="X325" i="28"/>
  <c r="D326" i="28"/>
  <c r="T325" i="28"/>
  <c r="G325" i="28"/>
  <c r="F325" i="28"/>
  <c r="W325" i="28"/>
  <c r="C326" i="28"/>
  <c r="S325" i="28"/>
  <c r="U325" i="28"/>
  <c r="I325" i="28"/>
  <c r="E326" i="28" l="1"/>
  <c r="Q325" i="28"/>
  <c r="N325" i="28" s="1"/>
  <c r="P325" i="28"/>
  <c r="J324" i="28"/>
  <c r="R324" i="28"/>
  <c r="Y324" i="28"/>
  <c r="L324" i="28"/>
  <c r="M324" i="28" s="1"/>
  <c r="O324" i="28"/>
  <c r="K324" i="28"/>
  <c r="H325" i="28"/>
  <c r="A328" i="28"/>
  <c r="B327" i="28"/>
  <c r="C327" i="28"/>
  <c r="D327" i="28"/>
  <c r="F326" i="28"/>
  <c r="S326" i="28"/>
  <c r="U326" i="28"/>
  <c r="V326" i="28"/>
  <c r="X326" i="28"/>
  <c r="W326" i="28"/>
  <c r="G326" i="28"/>
  <c r="T326" i="28"/>
  <c r="I326" i="28"/>
  <c r="P326" i="28" l="1"/>
  <c r="J325" i="28"/>
  <c r="Y325" i="28"/>
  <c r="R325" i="28"/>
  <c r="Q326" i="28"/>
  <c r="N326" i="28" s="1"/>
  <c r="E327" i="28"/>
  <c r="L325" i="28"/>
  <c r="M325" i="28" s="1"/>
  <c r="K325" i="28"/>
  <c r="O325" i="28"/>
  <c r="H326" i="28"/>
  <c r="B328" i="28"/>
  <c r="A329" i="28"/>
  <c r="S327" i="28"/>
  <c r="U327" i="28"/>
  <c r="V327" i="28"/>
  <c r="T327" i="28"/>
  <c r="D328" i="28"/>
  <c r="X327" i="28"/>
  <c r="F327" i="28"/>
  <c r="G327" i="28"/>
  <c r="I327" i="28" s="1"/>
  <c r="W327" i="28"/>
  <c r="C328" i="28"/>
  <c r="E328" i="28" l="1"/>
  <c r="P327" i="28"/>
  <c r="J326" i="28"/>
  <c r="Q327" i="28"/>
  <c r="N327" i="28" s="1"/>
  <c r="Y326" i="28"/>
  <c r="R326" i="28"/>
  <c r="H327" i="28"/>
  <c r="L326" i="28"/>
  <c r="M326" i="28" s="1"/>
  <c r="K326" i="28"/>
  <c r="O326" i="28"/>
  <c r="A330" i="28"/>
  <c r="B329" i="28"/>
  <c r="U328" i="28"/>
  <c r="F328" i="28"/>
  <c r="V328" i="28"/>
  <c r="T328" i="28"/>
  <c r="D329" i="28"/>
  <c r="G328" i="28"/>
  <c r="I328" i="28" s="1"/>
  <c r="X328" i="28"/>
  <c r="S328" i="28"/>
  <c r="W328" i="28"/>
  <c r="C329" i="28"/>
  <c r="E329" i="28" l="1"/>
  <c r="Y327" i="28"/>
  <c r="R327" i="28"/>
  <c r="Q328" i="28"/>
  <c r="N328" i="28" s="1"/>
  <c r="P328" i="28"/>
  <c r="J327" i="28"/>
  <c r="L327" i="28"/>
  <c r="M327" i="28" s="1"/>
  <c r="K327" i="28"/>
  <c r="O327" i="28"/>
  <c r="H328" i="28"/>
  <c r="A331" i="28"/>
  <c r="B330" i="28"/>
  <c r="U329" i="28"/>
  <c r="X329" i="28"/>
  <c r="W329" i="28"/>
  <c r="F329" i="28"/>
  <c r="C330" i="28"/>
  <c r="V329" i="28"/>
  <c r="S329" i="28"/>
  <c r="T329" i="28"/>
  <c r="G329" i="28"/>
  <c r="I329" i="28" s="1"/>
  <c r="D330" i="28"/>
  <c r="E330" i="28" l="1"/>
  <c r="Q329" i="28"/>
  <c r="N329" i="28" s="1"/>
  <c r="P329" i="28"/>
  <c r="J328" i="28"/>
  <c r="Y328" i="28"/>
  <c r="R328" i="28"/>
  <c r="K328" i="28"/>
  <c r="O328" i="28"/>
  <c r="L328" i="28"/>
  <c r="M328" i="28" s="1"/>
  <c r="H329" i="28"/>
  <c r="A332" i="28"/>
  <c r="B331" i="28"/>
  <c r="G330" i="28"/>
  <c r="T330" i="28"/>
  <c r="D331" i="28"/>
  <c r="W330" i="28"/>
  <c r="X330" i="28"/>
  <c r="S330" i="28"/>
  <c r="U330" i="28"/>
  <c r="C331" i="28"/>
  <c r="F330" i="28"/>
  <c r="V330" i="28"/>
  <c r="I330" i="28"/>
  <c r="E331" i="28" l="1"/>
  <c r="R329" i="28"/>
  <c r="Y329" i="28"/>
  <c r="Q330" i="28"/>
  <c r="N330" i="28" s="1"/>
  <c r="P330" i="28"/>
  <c r="J329" i="28"/>
  <c r="O329" i="28"/>
  <c r="K329" i="28"/>
  <c r="L329" i="28"/>
  <c r="M329" i="28" s="1"/>
  <c r="H330" i="28"/>
  <c r="B332" i="28"/>
  <c r="A333" i="28"/>
  <c r="G331" i="28"/>
  <c r="V331" i="28"/>
  <c r="X331" i="28"/>
  <c r="I331" i="28"/>
  <c r="S331" i="28"/>
  <c r="T331" i="28"/>
  <c r="U331" i="28"/>
  <c r="F331" i="28"/>
  <c r="C332" i="28"/>
  <c r="W331" i="28"/>
  <c r="D332" i="28"/>
  <c r="E332" i="28" l="1"/>
  <c r="Q331" i="28"/>
  <c r="N331" i="28" s="1"/>
  <c r="R330" i="28"/>
  <c r="Y330" i="28"/>
  <c r="P331" i="28"/>
  <c r="J330" i="28"/>
  <c r="O330" i="28"/>
  <c r="K330" i="28"/>
  <c r="L330" i="28"/>
  <c r="M330" i="28" s="1"/>
  <c r="H331" i="28"/>
  <c r="A334" i="28"/>
  <c r="B333" i="28"/>
  <c r="G332" i="28"/>
  <c r="U332" i="28"/>
  <c r="X332" i="28"/>
  <c r="T332" i="28"/>
  <c r="V332" i="28"/>
  <c r="D333" i="28"/>
  <c r="F332" i="28"/>
  <c r="S332" i="28"/>
  <c r="W332" i="28"/>
  <c r="C333" i="28"/>
  <c r="I332" i="28"/>
  <c r="E333" i="28" l="1"/>
  <c r="R331" i="28"/>
  <c r="Y331" i="28"/>
  <c r="P332" i="28"/>
  <c r="J331" i="28"/>
  <c r="Q332" i="28"/>
  <c r="N332" i="28" s="1"/>
  <c r="L331" i="28"/>
  <c r="M331" i="28" s="1"/>
  <c r="K331" i="28"/>
  <c r="O331" i="28"/>
  <c r="H332" i="28"/>
  <c r="B334" i="28"/>
  <c r="A335" i="28"/>
  <c r="U333" i="28"/>
  <c r="D334" i="28"/>
  <c r="T333" i="28"/>
  <c r="G333" i="28"/>
  <c r="F333" i="28"/>
  <c r="V333" i="28"/>
  <c r="C334" i="28"/>
  <c r="S333" i="28"/>
  <c r="X333" i="28"/>
  <c r="W333" i="28"/>
  <c r="I333" i="28"/>
  <c r="Q333" i="28" l="1"/>
  <c r="N333" i="28" s="1"/>
  <c r="P333" i="28"/>
  <c r="J332" i="28"/>
  <c r="R332" i="28"/>
  <c r="Y332" i="28"/>
  <c r="E334" i="28"/>
  <c r="H333" i="28"/>
  <c r="O332" i="28"/>
  <c r="L332" i="28"/>
  <c r="M332" i="28" s="1"/>
  <c r="K332" i="28"/>
  <c r="A336" i="28"/>
  <c r="B335" i="28"/>
  <c r="X334" i="28"/>
  <c r="T334" i="28"/>
  <c r="U334" i="28"/>
  <c r="S334" i="28"/>
  <c r="C335" i="28"/>
  <c r="G334" i="28"/>
  <c r="I334" i="28" s="1"/>
  <c r="F334" i="28"/>
  <c r="W334" i="28"/>
  <c r="V334" i="28"/>
  <c r="D335" i="28"/>
  <c r="E335" i="28" l="1"/>
  <c r="Y333" i="28"/>
  <c r="R333" i="28"/>
  <c r="Q334" i="28"/>
  <c r="N334" i="28" s="1"/>
  <c r="P334" i="28"/>
  <c r="J333" i="28"/>
  <c r="L333" i="28"/>
  <c r="M333" i="28" s="1"/>
  <c r="K333" i="28"/>
  <c r="O333" i="28"/>
  <c r="H334" i="28"/>
  <c r="B336" i="28"/>
  <c r="A337" i="28"/>
  <c r="U335" i="28"/>
  <c r="V335" i="28"/>
  <c r="F335" i="28"/>
  <c r="W335" i="28"/>
  <c r="C336" i="28"/>
  <c r="X335" i="28"/>
  <c r="T335" i="28"/>
  <c r="S335" i="28"/>
  <c r="D336" i="28"/>
  <c r="G335" i="28"/>
  <c r="I335" i="28" s="1"/>
  <c r="E336" i="28" l="1"/>
  <c r="R334" i="28"/>
  <c r="Y334" i="28"/>
  <c r="P335" i="28"/>
  <c r="J334" i="28"/>
  <c r="Q335" i="28"/>
  <c r="N335" i="28" s="1"/>
  <c r="L334" i="28"/>
  <c r="M334" i="28" s="1"/>
  <c r="K334" i="28"/>
  <c r="O334" i="28"/>
  <c r="H335" i="28"/>
  <c r="A338" i="28"/>
  <c r="B337" i="28"/>
  <c r="D337" i="28"/>
  <c r="W336" i="28"/>
  <c r="T336" i="28"/>
  <c r="U336" i="28"/>
  <c r="S336" i="28"/>
  <c r="C337" i="28"/>
  <c r="X336" i="28"/>
  <c r="G336" i="28"/>
  <c r="I336" i="28" s="1"/>
  <c r="V336" i="28"/>
  <c r="F336" i="28"/>
  <c r="Y335" i="28" l="1"/>
  <c r="R335" i="28"/>
  <c r="Q336" i="28"/>
  <c r="N336" i="28" s="1"/>
  <c r="P336" i="28"/>
  <c r="J335" i="28"/>
  <c r="E337" i="28"/>
  <c r="H336" i="28"/>
  <c r="O335" i="28"/>
  <c r="L335" i="28"/>
  <c r="M335" i="28" s="1"/>
  <c r="K335" i="28"/>
  <c r="B338" i="28"/>
  <c r="A339" i="28"/>
  <c r="F337" i="28"/>
  <c r="W337" i="28"/>
  <c r="U337" i="28"/>
  <c r="X337" i="28"/>
  <c r="G337" i="28"/>
  <c r="D338" i="28"/>
  <c r="T337" i="28"/>
  <c r="V337" i="28"/>
  <c r="S337" i="28"/>
  <c r="C338" i="28"/>
  <c r="I337" i="28"/>
  <c r="E338" i="28" l="1"/>
  <c r="P337" i="28"/>
  <c r="J336" i="28"/>
  <c r="R336" i="28"/>
  <c r="Y336" i="28"/>
  <c r="Q337" i="28"/>
  <c r="N337" i="28" s="1"/>
  <c r="K336" i="28"/>
  <c r="O336" i="28"/>
  <c r="L336" i="28"/>
  <c r="M336" i="28" s="1"/>
  <c r="H337" i="28"/>
  <c r="A340" i="28"/>
  <c r="B339" i="28"/>
  <c r="V338" i="28"/>
  <c r="W338" i="28"/>
  <c r="X338" i="28"/>
  <c r="D339" i="28"/>
  <c r="G338" i="28"/>
  <c r="U338" i="28"/>
  <c r="S338" i="28"/>
  <c r="F338" i="28"/>
  <c r="C339" i="28"/>
  <c r="T338" i="28"/>
  <c r="I338" i="28"/>
  <c r="E339" i="28" l="1"/>
  <c r="Q338" i="28"/>
  <c r="N338" i="28" s="1"/>
  <c r="Y337" i="28"/>
  <c r="R337" i="28"/>
  <c r="P338" i="28"/>
  <c r="J337" i="28"/>
  <c r="L337" i="28"/>
  <c r="M337" i="28" s="1"/>
  <c r="K337" i="28"/>
  <c r="O337" i="28"/>
  <c r="H338" i="28"/>
  <c r="B340" i="28"/>
  <c r="A341" i="28"/>
  <c r="V339" i="28"/>
  <c r="S339" i="28"/>
  <c r="F339" i="28"/>
  <c r="T339" i="28"/>
  <c r="D340" i="28"/>
  <c r="G339" i="28"/>
  <c r="W339" i="28"/>
  <c r="U339" i="28"/>
  <c r="X339" i="28"/>
  <c r="C340" i="28"/>
  <c r="I339" i="28"/>
  <c r="E340" i="28" l="1"/>
  <c r="Q339" i="28"/>
  <c r="N339" i="28" s="1"/>
  <c r="Y338" i="28"/>
  <c r="R338" i="28"/>
  <c r="P339" i="28"/>
  <c r="J338" i="28"/>
  <c r="O338" i="28"/>
  <c r="K338" i="28"/>
  <c r="L338" i="28"/>
  <c r="M338" i="28" s="1"/>
  <c r="H339" i="28"/>
  <c r="A342" i="28"/>
  <c r="B341" i="28"/>
  <c r="D341" i="28"/>
  <c r="X340" i="28"/>
  <c r="S340" i="28"/>
  <c r="U340" i="28"/>
  <c r="W340" i="28"/>
  <c r="C341" i="28"/>
  <c r="T340" i="28"/>
  <c r="F340" i="28"/>
  <c r="G340" i="28"/>
  <c r="I340" i="28" s="1"/>
  <c r="V340" i="28"/>
  <c r="P340" i="28" l="1"/>
  <c r="J339" i="28"/>
  <c r="Q340" i="28"/>
  <c r="N340" i="28" s="1"/>
  <c r="R339" i="28"/>
  <c r="Y339" i="28"/>
  <c r="E341" i="28"/>
  <c r="L339" i="28"/>
  <c r="M339" i="28" s="1"/>
  <c r="O339" i="28"/>
  <c r="K339" i="28"/>
  <c r="H340" i="28"/>
  <c r="B342" i="28"/>
  <c r="A343" i="28"/>
  <c r="U341" i="28"/>
  <c r="W341" i="28"/>
  <c r="X341" i="28"/>
  <c r="G341" i="28"/>
  <c r="C342" i="28"/>
  <c r="I341" i="28"/>
  <c r="V341" i="28"/>
  <c r="T341" i="28"/>
  <c r="S341" i="28"/>
  <c r="F341" i="28"/>
  <c r="D342" i="28"/>
  <c r="E342" i="28" l="1"/>
  <c r="Q341" i="28"/>
  <c r="N341" i="28" s="1"/>
  <c r="P341" i="28"/>
  <c r="J340" i="28"/>
  <c r="Y340" i="28"/>
  <c r="R340" i="28"/>
  <c r="H341" i="28"/>
  <c r="O340" i="28"/>
  <c r="L340" i="28"/>
  <c r="M340" i="28" s="1"/>
  <c r="K340" i="28"/>
  <c r="A344" i="28"/>
  <c r="B343" i="28"/>
  <c r="W342" i="28"/>
  <c r="S342" i="28"/>
  <c r="F342" i="28"/>
  <c r="X342" i="28"/>
  <c r="U342" i="28"/>
  <c r="D343" i="28"/>
  <c r="V342" i="28"/>
  <c r="G342" i="28"/>
  <c r="T342" i="28"/>
  <c r="C343" i="28"/>
  <c r="I342" i="28"/>
  <c r="E343" i="28" l="1"/>
  <c r="Q342" i="28"/>
  <c r="N342" i="28" s="1"/>
  <c r="P342" i="28"/>
  <c r="J341" i="28"/>
  <c r="Y341" i="28"/>
  <c r="R341" i="28"/>
  <c r="O341" i="28"/>
  <c r="L341" i="28"/>
  <c r="M341" i="28" s="1"/>
  <c r="K341" i="28"/>
  <c r="H342" i="28"/>
  <c r="B344" i="28"/>
  <c r="A345" i="28"/>
  <c r="W343" i="28"/>
  <c r="F343" i="28"/>
  <c r="X343" i="28"/>
  <c r="D344" i="28"/>
  <c r="T343" i="28"/>
  <c r="U343" i="28"/>
  <c r="V343" i="28"/>
  <c r="G343" i="28"/>
  <c r="C344" i="28"/>
  <c r="S343" i="28"/>
  <c r="I343" i="28"/>
  <c r="E344" i="28" l="1"/>
  <c r="P343" i="28"/>
  <c r="J342" i="28"/>
  <c r="R342" i="28"/>
  <c r="Y342" i="28"/>
  <c r="Q343" i="28"/>
  <c r="N343" i="28" s="1"/>
  <c r="L342" i="28"/>
  <c r="M342" i="28" s="1"/>
  <c r="K342" i="28"/>
  <c r="O342" i="28"/>
  <c r="H343" i="28"/>
  <c r="A346" i="28"/>
  <c r="B345" i="28"/>
  <c r="C345" i="28"/>
  <c r="U344" i="28"/>
  <c r="S344" i="28"/>
  <c r="W344" i="28"/>
  <c r="X344" i="28"/>
  <c r="D345" i="28"/>
  <c r="T344" i="28"/>
  <c r="G344" i="28"/>
  <c r="I344" i="28" s="1"/>
  <c r="F344" i="28"/>
  <c r="V344" i="28"/>
  <c r="Q344" i="28" l="1"/>
  <c r="N344" i="28" s="1"/>
  <c r="P344" i="28"/>
  <c r="J343" i="28"/>
  <c r="R343" i="28"/>
  <c r="Y343" i="28"/>
  <c r="E345" i="28"/>
  <c r="H344" i="28"/>
  <c r="L343" i="28"/>
  <c r="M343" i="28" s="1"/>
  <c r="K343" i="28"/>
  <c r="O343" i="28"/>
  <c r="B346" i="28"/>
  <c r="A347" i="28"/>
  <c r="V345" i="28"/>
  <c r="G345" i="28"/>
  <c r="U345" i="28"/>
  <c r="T345" i="28"/>
  <c r="C346" i="28"/>
  <c r="I345" i="28"/>
  <c r="X345" i="28"/>
  <c r="W345" i="28"/>
  <c r="F345" i="28"/>
  <c r="D346" i="28"/>
  <c r="S345" i="28"/>
  <c r="E346" i="28" l="1"/>
  <c r="R344" i="28"/>
  <c r="Y344" i="28"/>
  <c r="Q345" i="28"/>
  <c r="N345" i="28" s="1"/>
  <c r="P345" i="28"/>
  <c r="J344" i="28"/>
  <c r="H345" i="28"/>
  <c r="L344" i="28"/>
  <c r="M344" i="28" s="1"/>
  <c r="O344" i="28"/>
  <c r="K344" i="28"/>
  <c r="A348" i="28"/>
  <c r="B347" i="28"/>
  <c r="C347" i="28"/>
  <c r="V346" i="28"/>
  <c r="F346" i="28"/>
  <c r="S346" i="28"/>
  <c r="W346" i="28"/>
  <c r="D347" i="28"/>
  <c r="X346" i="28"/>
  <c r="U346" i="28"/>
  <c r="T346" i="28"/>
  <c r="G346" i="28"/>
  <c r="I346" i="28" s="1"/>
  <c r="Y345" i="28" l="1"/>
  <c r="R345" i="28"/>
  <c r="B843" i="29" s="1"/>
  <c r="P346" i="28"/>
  <c r="J345" i="28"/>
  <c r="Q346" i="28"/>
  <c r="N346" i="28" s="1"/>
  <c r="E347" i="28"/>
  <c r="K345" i="28"/>
  <c r="O345" i="28"/>
  <c r="L345" i="28"/>
  <c r="M345" i="28" s="1"/>
  <c r="H346" i="28"/>
  <c r="A349" i="28"/>
  <c r="B348" i="28"/>
  <c r="A621" i="29"/>
  <c r="A620" i="29"/>
  <c r="A629" i="29"/>
  <c r="A623" i="29"/>
  <c r="A624" i="29" s="1"/>
  <c r="A625" i="29"/>
  <c r="A706" i="29"/>
  <c r="A697" i="29"/>
  <c r="A698" i="29"/>
  <c r="B621" i="29"/>
  <c r="B629" i="29"/>
  <c r="A703" i="29"/>
  <c r="A704" i="29"/>
  <c r="B628" i="29"/>
  <c r="B627" i="29"/>
  <c r="B620" i="29"/>
  <c r="A853" i="29"/>
  <c r="A857" i="29"/>
  <c r="B703" i="29"/>
  <c r="B702" i="29"/>
  <c r="A775" i="29"/>
  <c r="A783" i="29"/>
  <c r="A781" i="29"/>
  <c r="C629" i="29"/>
  <c r="C626" i="29"/>
  <c r="A854" i="29"/>
  <c r="A855" i="29" s="1"/>
  <c r="A856" i="29"/>
  <c r="B700" i="29"/>
  <c r="B701" i="29" s="1"/>
  <c r="B697" i="29"/>
  <c r="A777" i="29"/>
  <c r="A778" i="29" s="1"/>
  <c r="A779" i="29"/>
  <c r="C623" i="29"/>
  <c r="C624" i="29" s="1"/>
  <c r="C622" i="29"/>
  <c r="B775" i="29"/>
  <c r="B781" i="29"/>
  <c r="B857" i="29"/>
  <c r="B856" i="29"/>
  <c r="B853" i="29"/>
  <c r="D628" i="29"/>
  <c r="D627" i="29"/>
  <c r="D620" i="29"/>
  <c r="C704" i="29"/>
  <c r="C705" i="29"/>
  <c r="B777" i="29"/>
  <c r="B778" i="29" s="1"/>
  <c r="B776" i="29"/>
  <c r="B851" i="29"/>
  <c r="B860" i="29"/>
  <c r="D623" i="29"/>
  <c r="D624" i="29" s="1"/>
  <c r="D625" i="29"/>
  <c r="C702" i="29"/>
  <c r="C698" i="29"/>
  <c r="C777" i="29"/>
  <c r="C778" i="29" s="1"/>
  <c r="C779" i="29"/>
  <c r="D704" i="29"/>
  <c r="D697" i="29"/>
  <c r="E622" i="29"/>
  <c r="E620" i="29"/>
  <c r="C858" i="29"/>
  <c r="C851" i="29"/>
  <c r="C775" i="29"/>
  <c r="C780" i="29"/>
  <c r="D702" i="29"/>
  <c r="D699" i="29"/>
  <c r="E626" i="29"/>
  <c r="E628" i="29"/>
  <c r="E621" i="29"/>
  <c r="C857" i="29"/>
  <c r="C853" i="29"/>
  <c r="F622" i="29"/>
  <c r="F628" i="29"/>
  <c r="F627" i="29"/>
  <c r="D854" i="29"/>
  <c r="D855" i="29" s="1"/>
  <c r="D860" i="29"/>
  <c r="E706" i="29"/>
  <c r="E702" i="29"/>
  <c r="E698" i="29"/>
  <c r="D776" i="29"/>
  <c r="D783" i="29"/>
  <c r="F621" i="29"/>
  <c r="F629" i="29"/>
  <c r="D859" i="29"/>
  <c r="D856" i="29"/>
  <c r="E705" i="29"/>
  <c r="E703" i="29"/>
  <c r="D780" i="29"/>
  <c r="D781" i="29"/>
  <c r="F702" i="29"/>
  <c r="F704" i="29"/>
  <c r="G623" i="29"/>
  <c r="G624" i="29" s="1"/>
  <c r="G626" i="29"/>
  <c r="E776" i="29"/>
  <c r="E782" i="29"/>
  <c r="E857" i="29"/>
  <c r="E852" i="29"/>
  <c r="F697" i="29"/>
  <c r="F699" i="29"/>
  <c r="F703" i="29"/>
  <c r="G621" i="29"/>
  <c r="G622" i="29"/>
  <c r="G628" i="29"/>
  <c r="E775" i="29"/>
  <c r="E783" i="29"/>
  <c r="E780" i="29"/>
  <c r="E856" i="29"/>
  <c r="E854" i="29"/>
  <c r="E855" i="29" s="1"/>
  <c r="F858" i="29"/>
  <c r="F852" i="29"/>
  <c r="G699" i="29"/>
  <c r="G705" i="29"/>
  <c r="F777" i="29"/>
  <c r="F778" i="29" s="1"/>
  <c r="F783" i="29"/>
  <c r="A633" i="29"/>
  <c r="A641" i="29"/>
  <c r="F854" i="29"/>
  <c r="F855" i="29" s="1"/>
  <c r="F857" i="29"/>
  <c r="F856" i="29"/>
  <c r="G700" i="29"/>
  <c r="G701" i="29" s="1"/>
  <c r="G698" i="29"/>
  <c r="F782" i="29"/>
  <c r="F776" i="29"/>
  <c r="A640" i="29"/>
  <c r="A635" i="29"/>
  <c r="A636" i="29" s="1"/>
  <c r="A634" i="29"/>
  <c r="G774" i="29"/>
  <c r="G779" i="29"/>
  <c r="G851" i="29"/>
  <c r="G858" i="29"/>
  <c r="B632" i="29"/>
  <c r="B638" i="29"/>
  <c r="A711" i="29"/>
  <c r="A714" i="29"/>
  <c r="G783" i="29"/>
  <c r="G780" i="29"/>
  <c r="G857" i="29"/>
  <c r="G852" i="29"/>
  <c r="B640" i="29"/>
  <c r="B641" i="29"/>
  <c r="A712" i="29"/>
  <c r="A713" i="29" s="1"/>
  <c r="A709" i="29"/>
  <c r="A793" i="29"/>
  <c r="A786" i="29"/>
  <c r="A792" i="29"/>
  <c r="B710" i="29"/>
  <c r="B714" i="29"/>
  <c r="C638" i="29"/>
  <c r="C639" i="29"/>
  <c r="A866" i="29"/>
  <c r="A867" i="29" s="1"/>
  <c r="A869" i="29"/>
  <c r="A868" i="29"/>
  <c r="A787" i="29"/>
  <c r="A791" i="29"/>
  <c r="B718" i="29"/>
  <c r="B711" i="29"/>
  <c r="B716" i="29"/>
  <c r="C641" i="29"/>
  <c r="C634" i="29"/>
  <c r="A872" i="29"/>
  <c r="A863" i="29"/>
  <c r="D639" i="29"/>
  <c r="D633" i="29"/>
  <c r="B863" i="29"/>
  <c r="B869" i="29"/>
  <c r="C718" i="29"/>
  <c r="C710" i="29"/>
  <c r="C712" i="29"/>
  <c r="C713" i="29" s="1"/>
  <c r="B786" i="29"/>
  <c r="B793" i="29"/>
  <c r="D637" i="29"/>
  <c r="D640" i="29"/>
  <c r="B864" i="29"/>
  <c r="B870" i="29"/>
  <c r="C717" i="29"/>
  <c r="C715" i="29"/>
  <c r="B795" i="29"/>
  <c r="B791" i="29"/>
  <c r="B788" i="29"/>
  <c r="D711" i="29"/>
  <c r="D718" i="29"/>
  <c r="E633" i="29"/>
  <c r="E638" i="29"/>
  <c r="C787" i="29"/>
  <c r="C795" i="29"/>
  <c r="C789" i="29"/>
  <c r="C790" i="29" s="1"/>
  <c r="C866" i="29"/>
  <c r="C867" i="29" s="1"/>
  <c r="D709" i="29"/>
  <c r="D716" i="29"/>
  <c r="D712" i="29"/>
  <c r="D713" i="29" s="1"/>
  <c r="E641" i="29"/>
  <c r="E640" i="29"/>
  <c r="E635" i="29"/>
  <c r="E636" i="29" s="1"/>
  <c r="C793" i="29"/>
  <c r="C791" i="29"/>
  <c r="C865" i="29"/>
  <c r="E718" i="29"/>
  <c r="E711" i="29"/>
  <c r="D795" i="29"/>
  <c r="D793" i="29"/>
  <c r="F633" i="29"/>
  <c r="F634" i="29"/>
  <c r="D863" i="29"/>
  <c r="E715" i="29"/>
  <c r="E709" i="29"/>
  <c r="D786" i="29"/>
  <c r="D791" i="29"/>
  <c r="D792" i="29"/>
  <c r="F639" i="29"/>
  <c r="F635" i="29"/>
  <c r="F636" i="29" s="1"/>
  <c r="E792" i="29"/>
  <c r="E786" i="29"/>
  <c r="E789" i="29"/>
  <c r="E790" i="29" s="1"/>
  <c r="G640" i="29"/>
  <c r="G639" i="29"/>
  <c r="F718" i="29"/>
  <c r="F709" i="29"/>
  <c r="E795" i="29"/>
  <c r="E793" i="29"/>
  <c r="G638" i="29"/>
  <c r="G637" i="29"/>
  <c r="G634" i="29"/>
  <c r="F712" i="29"/>
  <c r="F713" i="29" s="1"/>
  <c r="F715" i="29"/>
  <c r="F787" i="29"/>
  <c r="F792" i="29"/>
  <c r="F788" i="29"/>
  <c r="G709" i="29"/>
  <c r="G715" i="29"/>
  <c r="A652" i="29"/>
  <c r="A650" i="29"/>
  <c r="F793" i="29"/>
  <c r="F791" i="29"/>
  <c r="G718" i="29"/>
  <c r="G711" i="29"/>
  <c r="G717" i="29"/>
  <c r="A644" i="29"/>
  <c r="A653" i="29"/>
  <c r="B650" i="29"/>
  <c r="B644" i="29"/>
  <c r="C575" i="29"/>
  <c r="C573" i="29"/>
  <c r="A729" i="29"/>
  <c r="A727" i="29"/>
  <c r="G789" i="29"/>
  <c r="G790" i="29" s="1"/>
  <c r="G794" i="29"/>
  <c r="G786" i="29"/>
  <c r="B645" i="29"/>
  <c r="B646" i="29"/>
  <c r="C570" i="29"/>
  <c r="C571" i="29" s="1"/>
  <c r="C576" i="29"/>
  <c r="A724" i="29"/>
  <c r="A725" i="29" s="1"/>
  <c r="A721" i="29"/>
  <c r="G788" i="29"/>
  <c r="G791" i="29"/>
  <c r="B724" i="29"/>
  <c r="B725" i="29" s="1"/>
  <c r="B723" i="29"/>
  <c r="D574" i="29"/>
  <c r="D570" i="29"/>
  <c r="D571" i="29" s="1"/>
  <c r="D575" i="29"/>
  <c r="C649" i="29"/>
  <c r="C647" i="29"/>
  <c r="C648" i="29" s="1"/>
  <c r="A807" i="29"/>
  <c r="A801" i="29"/>
  <c r="A802" i="29" s="1"/>
  <c r="B722" i="29"/>
  <c r="B728" i="29"/>
  <c r="B726" i="29"/>
  <c r="D573" i="29"/>
  <c r="D572" i="29"/>
  <c r="C644" i="29"/>
  <c r="C646" i="29"/>
  <c r="A804" i="29"/>
  <c r="A803" i="29"/>
  <c r="A806" i="29"/>
  <c r="E567" i="29"/>
  <c r="E569" i="29"/>
  <c r="C724" i="29"/>
  <c r="C725" i="29" s="1"/>
  <c r="C726" i="29"/>
  <c r="B805" i="29"/>
  <c r="B799" i="29"/>
  <c r="D650" i="29"/>
  <c r="D649" i="29"/>
  <c r="E575" i="29"/>
  <c r="E573" i="29"/>
  <c r="E568" i="29"/>
  <c r="C729" i="29"/>
  <c r="C722" i="29"/>
  <c r="B801" i="29"/>
  <c r="B802" i="29" s="1"/>
  <c r="B804" i="29"/>
  <c r="B800" i="29"/>
  <c r="D644" i="29"/>
  <c r="D653" i="29"/>
  <c r="C801" i="29"/>
  <c r="C802" i="29" s="1"/>
  <c r="C799" i="29"/>
  <c r="C807" i="29"/>
  <c r="F569" i="29"/>
  <c r="F575" i="29"/>
  <c r="E646" i="29"/>
  <c r="E647" i="29"/>
  <c r="E648" i="29" s="1"/>
  <c r="D727" i="29"/>
  <c r="D730" i="29"/>
  <c r="D724" i="29"/>
  <c r="D725" i="29" s="1"/>
  <c r="C798" i="29"/>
  <c r="C806" i="29"/>
  <c r="F572" i="29"/>
  <c r="F574" i="29"/>
  <c r="F570" i="29"/>
  <c r="F571" i="29" s="1"/>
  <c r="E650" i="29"/>
  <c r="E653" i="29"/>
  <c r="D726" i="29"/>
  <c r="D723" i="29"/>
  <c r="G573" i="29"/>
  <c r="G570" i="29"/>
  <c r="G571" i="29" s="1"/>
  <c r="G569" i="29"/>
  <c r="D801" i="29"/>
  <c r="D802" i="29" s="1"/>
  <c r="D807" i="29"/>
  <c r="E730" i="29"/>
  <c r="E728" i="29"/>
  <c r="E724" i="29"/>
  <c r="E725" i="29" s="1"/>
  <c r="F645" i="29"/>
  <c r="F649" i="29"/>
  <c r="G567" i="29"/>
  <c r="G572" i="29"/>
  <c r="D806" i="29"/>
  <c r="D800" i="29"/>
  <c r="E727" i="29"/>
  <c r="E729" i="29"/>
  <c r="F653" i="29"/>
  <c r="F651" i="29"/>
  <c r="F644" i="29"/>
  <c r="G649" i="29"/>
  <c r="G652" i="29"/>
  <c r="A585" i="29"/>
  <c r="A582" i="29"/>
  <c r="A583" i="29" s="1"/>
  <c r="F724" i="29"/>
  <c r="F725" i="29" s="1"/>
  <c r="F722" i="29"/>
  <c r="F723" i="29"/>
  <c r="E801" i="29"/>
  <c r="E802" i="29" s="1"/>
  <c r="E806" i="29"/>
  <c r="G647" i="29"/>
  <c r="G648" i="29" s="1"/>
  <c r="G653" i="29"/>
  <c r="A587" i="29"/>
  <c r="A579" i="29"/>
  <c r="F729" i="29"/>
  <c r="F730" i="29"/>
  <c r="E803" i="29"/>
  <c r="E807" i="29"/>
  <c r="G721" i="29"/>
  <c r="G723" i="29"/>
  <c r="G729" i="29"/>
  <c r="B579" i="29"/>
  <c r="B582" i="29"/>
  <c r="B583" i="29" s="1"/>
  <c r="A659" i="29"/>
  <c r="A660" i="29" s="1"/>
  <c r="A658" i="29"/>
  <c r="A663" i="29"/>
  <c r="F807" i="29"/>
  <c r="F798" i="29"/>
  <c r="G726" i="29"/>
  <c r="G722" i="29"/>
  <c r="B588" i="29"/>
  <c r="B587" i="29"/>
  <c r="A664" i="29"/>
  <c r="A656" i="29"/>
  <c r="F806" i="29"/>
  <c r="F801" i="29"/>
  <c r="F802" i="29" s="1"/>
  <c r="C586" i="29"/>
  <c r="C582" i="29"/>
  <c r="C583" i="29" s="1"/>
  <c r="A741" i="29"/>
  <c r="A733" i="29"/>
  <c r="G801" i="29"/>
  <c r="G802" i="29" s="1"/>
  <c r="G803" i="29"/>
  <c r="B665" i="29"/>
  <c r="B663" i="29"/>
  <c r="C580" i="29"/>
  <c r="C579" i="29"/>
  <c r="A742" i="29"/>
  <c r="A736" i="29"/>
  <c r="A737" i="29" s="1"/>
  <c r="A735" i="29"/>
  <c r="G806" i="29"/>
  <c r="G800" i="29"/>
  <c r="G799" i="29"/>
  <c r="B659" i="29"/>
  <c r="B660" i="29" s="1"/>
  <c r="B658" i="29"/>
  <c r="A813" i="29"/>
  <c r="A814" i="29" s="1"/>
  <c r="A816" i="29"/>
  <c r="D580" i="29"/>
  <c r="D588" i="29"/>
  <c r="C665" i="29"/>
  <c r="C663" i="29"/>
  <c r="B738" i="29"/>
  <c r="B736" i="29"/>
  <c r="B737" i="29" s="1"/>
  <c r="A811" i="29"/>
  <c r="A810" i="29"/>
  <c r="A815" i="29"/>
  <c r="D581" i="29"/>
  <c r="D586" i="29"/>
  <c r="D585" i="29"/>
  <c r="C659" i="29"/>
  <c r="C660" i="29" s="1"/>
  <c r="C657" i="29"/>
  <c r="B741" i="29"/>
  <c r="B742" i="29"/>
  <c r="B733" i="29"/>
  <c r="E580" i="29"/>
  <c r="E588" i="29"/>
  <c r="B819" i="29"/>
  <c r="B811" i="29"/>
  <c r="C740" i="29"/>
  <c r="C739" i="29"/>
  <c r="D663" i="29"/>
  <c r="D664" i="29"/>
  <c r="D656" i="29"/>
  <c r="E587" i="29"/>
  <c r="E581" i="29"/>
  <c r="B817" i="29"/>
  <c r="B816" i="29"/>
  <c r="B818" i="29"/>
  <c r="C735" i="29"/>
  <c r="C736" i="29"/>
  <c r="C737" i="29" s="1"/>
  <c r="C734" i="29"/>
  <c r="D661" i="29"/>
  <c r="D662" i="29"/>
  <c r="E664" i="29"/>
  <c r="E656" i="29"/>
  <c r="F585" i="29"/>
  <c r="F586" i="29"/>
  <c r="D742" i="29"/>
  <c r="D738" i="29"/>
  <c r="C811" i="29"/>
  <c r="C817" i="29"/>
  <c r="C815" i="29"/>
  <c r="E659" i="29"/>
  <c r="E660" i="29" s="1"/>
  <c r="E658" i="29"/>
  <c r="E657" i="29"/>
  <c r="F584" i="29"/>
  <c r="F579" i="29"/>
  <c r="F587" i="29"/>
  <c r="D739" i="29"/>
  <c r="D735" i="29"/>
  <c r="C813" i="29"/>
  <c r="C814" i="29" s="1"/>
  <c r="C816" i="29"/>
  <c r="E742" i="29"/>
  <c r="E738" i="29"/>
  <c r="G587" i="29"/>
  <c r="G582" i="29"/>
  <c r="G583" i="29" s="1"/>
  <c r="F663" i="29"/>
  <c r="F661" i="29"/>
  <c r="D819" i="29"/>
  <c r="D813" i="29"/>
  <c r="D814" i="29" s="1"/>
  <c r="E739" i="29"/>
  <c r="E741" i="29"/>
  <c r="G585" i="29"/>
  <c r="G581" i="29"/>
  <c r="F662" i="29"/>
  <c r="F658" i="29"/>
  <c r="F656" i="29"/>
  <c r="D810" i="29"/>
  <c r="D816" i="29"/>
  <c r="A599" i="29"/>
  <c r="A594" i="29"/>
  <c r="A595" i="29" s="1"/>
  <c r="A593" i="29"/>
  <c r="F739" i="29"/>
  <c r="F741" i="29"/>
  <c r="E813" i="29"/>
  <c r="E814" i="29" s="1"/>
  <c r="E811" i="29"/>
  <c r="E819" i="29"/>
  <c r="G659" i="29"/>
  <c r="G660" i="29" s="1"/>
  <c r="G665" i="29"/>
  <c r="A596" i="29"/>
  <c r="A591" i="29"/>
  <c r="F740" i="29"/>
  <c r="F734" i="29"/>
  <c r="E816" i="29"/>
  <c r="E818" i="29"/>
  <c r="G662" i="29"/>
  <c r="G657" i="29"/>
  <c r="F810" i="29"/>
  <c r="F816" i="29"/>
  <c r="F817" i="29"/>
  <c r="B596" i="29"/>
  <c r="B597" i="29"/>
  <c r="A669" i="29"/>
  <c r="A671" i="29"/>
  <c r="A672" i="29" s="1"/>
  <c r="A673" i="29"/>
  <c r="G741" i="29"/>
  <c r="G738" i="29"/>
  <c r="F815" i="29"/>
  <c r="F813" i="29"/>
  <c r="F814" i="29" s="1"/>
  <c r="B591" i="29"/>
  <c r="B600" i="29"/>
  <c r="B594" i="29"/>
  <c r="B595" i="29" s="1"/>
  <c r="A675" i="29"/>
  <c r="A670" i="29"/>
  <c r="G739" i="29"/>
  <c r="G735" i="29"/>
  <c r="C599" i="29"/>
  <c r="C591" i="29"/>
  <c r="C596" i="29"/>
  <c r="G811" i="29"/>
  <c r="G819" i="29"/>
  <c r="A752" i="29"/>
  <c r="A748" i="29"/>
  <c r="A749" i="29" s="1"/>
  <c r="B668" i="29"/>
  <c r="B671" i="29"/>
  <c r="B672" i="29" s="1"/>
  <c r="B673" i="29"/>
  <c r="C597" i="29"/>
  <c r="C593" i="29"/>
  <c r="G812" i="29"/>
  <c r="G810" i="29"/>
  <c r="A745" i="29"/>
  <c r="A751" i="29"/>
  <c r="B674" i="29"/>
  <c r="B670" i="29"/>
  <c r="C676" i="29"/>
  <c r="C677" i="29"/>
  <c r="D600" i="29"/>
  <c r="D596" i="29"/>
  <c r="B752" i="29"/>
  <c r="B751" i="29"/>
  <c r="A825" i="29"/>
  <c r="A826" i="29" s="1"/>
  <c r="A829" i="29"/>
  <c r="C670" i="29"/>
  <c r="C671" i="29"/>
  <c r="C672" i="29" s="1"/>
  <c r="D599" i="29"/>
  <c r="D591" i="29"/>
  <c r="B750" i="29"/>
  <c r="B753" i="29"/>
  <c r="A824" i="29"/>
  <c r="A831" i="29"/>
  <c r="B830" i="29"/>
  <c r="B823" i="29"/>
  <c r="E593" i="29"/>
  <c r="E599" i="29"/>
  <c r="E598" i="29"/>
  <c r="D670" i="29"/>
  <c r="D677" i="29"/>
  <c r="C754" i="29"/>
  <c r="C751" i="29"/>
  <c r="B831" i="29"/>
  <c r="B828" i="29"/>
  <c r="E597" i="29"/>
  <c r="E596" i="29"/>
  <c r="D674" i="29"/>
  <c r="D673" i="29"/>
  <c r="C745" i="29"/>
  <c r="C752" i="29"/>
  <c r="D753" i="29"/>
  <c r="D754" i="29"/>
  <c r="E670" i="29"/>
  <c r="E668" i="29"/>
  <c r="E669" i="29"/>
  <c r="F597" i="29"/>
  <c r="F598" i="29"/>
  <c r="C831" i="29"/>
  <c r="C830" i="29"/>
  <c r="C823" i="29"/>
  <c r="D750" i="29"/>
  <c r="D748" i="29"/>
  <c r="D749" i="29" s="1"/>
  <c r="E671" i="29"/>
  <c r="E672" i="29" s="1"/>
  <c r="E677" i="29"/>
  <c r="F599" i="29"/>
  <c r="F596" i="29"/>
  <c r="F591" i="29"/>
  <c r="C825" i="29"/>
  <c r="C826" i="29" s="1"/>
  <c r="C829" i="29"/>
  <c r="G598" i="29"/>
  <c r="G599" i="29"/>
  <c r="E746" i="29"/>
  <c r="E747" i="29"/>
  <c r="D831" i="29"/>
  <c r="D825" i="29"/>
  <c r="D826" i="29" s="1"/>
  <c r="F674" i="29"/>
  <c r="F671" i="29"/>
  <c r="F672" i="29" s="1"/>
  <c r="G600" i="29"/>
  <c r="G597" i="29"/>
  <c r="G593" i="29"/>
  <c r="E745" i="29"/>
  <c r="E750" i="29"/>
  <c r="E754" i="29"/>
  <c r="D830" i="29"/>
  <c r="D823" i="29"/>
  <c r="F676" i="29"/>
  <c r="F675" i="29"/>
  <c r="E824" i="29"/>
  <c r="E823" i="29"/>
  <c r="G669" i="29"/>
  <c r="G674" i="29"/>
  <c r="G676" i="29"/>
  <c r="F751" i="29"/>
  <c r="F747" i="29"/>
  <c r="A605" i="29"/>
  <c r="A612" i="29"/>
  <c r="E822" i="29"/>
  <c r="E831" i="29"/>
  <c r="G671" i="29"/>
  <c r="G672" i="29" s="1"/>
  <c r="G677" i="29"/>
  <c r="F746" i="29"/>
  <c r="F753" i="29"/>
  <c r="A608" i="29"/>
  <c r="A611" i="29"/>
  <c r="G753" i="29"/>
  <c r="G751" i="29"/>
  <c r="B605" i="29"/>
  <c r="B611" i="29"/>
  <c r="A685" i="29"/>
  <c r="A682" i="29"/>
  <c r="F828" i="29"/>
  <c r="F827" i="29"/>
  <c r="G750" i="29"/>
  <c r="G746" i="29"/>
  <c r="G748" i="29"/>
  <c r="G749" i="29" s="1"/>
  <c r="B610" i="29"/>
  <c r="B604" i="29"/>
  <c r="A686" i="29"/>
  <c r="A683" i="29"/>
  <c r="A684" i="29" s="1"/>
  <c r="A680" i="29"/>
  <c r="F830" i="29"/>
  <c r="F824" i="29"/>
  <c r="G831" i="29"/>
  <c r="G830" i="29"/>
  <c r="B689" i="29"/>
  <c r="B685" i="29"/>
  <c r="A765" i="29"/>
  <c r="A759" i="29"/>
  <c r="G827" i="29"/>
  <c r="G828" i="29"/>
  <c r="B681" i="29"/>
  <c r="B682" i="29"/>
  <c r="A757" i="29"/>
  <c r="A760" i="29"/>
  <c r="A761" i="29" s="1"/>
  <c r="A764" i="29"/>
  <c r="B766" i="29"/>
  <c r="B758" i="29"/>
  <c r="A843" i="29"/>
  <c r="A834" i="29"/>
  <c r="B757" i="29"/>
  <c r="B760" i="29"/>
  <c r="B761" i="29" s="1"/>
  <c r="A837" i="29"/>
  <c r="A838" i="29" s="1"/>
  <c r="A841" i="29"/>
  <c r="B837" i="29"/>
  <c r="B838" i="29" s="1"/>
  <c r="B841" i="29"/>
  <c r="B839" i="29"/>
  <c r="B840" i="29"/>
  <c r="A627" i="29"/>
  <c r="A628" i="29"/>
  <c r="A705" i="29"/>
  <c r="A700" i="29"/>
  <c r="A701" i="29" s="1"/>
  <c r="B623" i="29"/>
  <c r="B624" i="29" s="1"/>
  <c r="B622" i="29"/>
  <c r="A860" i="29"/>
  <c r="A774" i="29"/>
  <c r="C625" i="29"/>
  <c r="C628" i="29"/>
  <c r="A858" i="29"/>
  <c r="B699" i="29"/>
  <c r="B704" i="29"/>
  <c r="B706" i="29"/>
  <c r="A782" i="29"/>
  <c r="A780" i="29"/>
  <c r="C627" i="29"/>
  <c r="B782" i="29"/>
  <c r="B783" i="29"/>
  <c r="B859" i="29"/>
  <c r="B854" i="29"/>
  <c r="B855" i="29" s="1"/>
  <c r="D629" i="29"/>
  <c r="B779" i="29"/>
  <c r="B858" i="29"/>
  <c r="D621" i="29"/>
  <c r="C700" i="29"/>
  <c r="C701" i="29" s="1"/>
  <c r="C703" i="29"/>
  <c r="C781" i="29"/>
  <c r="C776" i="29"/>
  <c r="D703" i="29"/>
  <c r="E625" i="29"/>
  <c r="C856" i="29"/>
  <c r="C783" i="29"/>
  <c r="D706" i="29"/>
  <c r="D698" i="29"/>
  <c r="E629" i="29"/>
  <c r="C852" i="29"/>
  <c r="C854" i="29"/>
  <c r="C855" i="29" s="1"/>
  <c r="F620" i="29"/>
  <c r="D857" i="29"/>
  <c r="D852" i="29"/>
  <c r="E699" i="29"/>
  <c r="E700" i="29"/>
  <c r="E701" i="29" s="1"/>
  <c r="D777" i="29"/>
  <c r="D778" i="29" s="1"/>
  <c r="F626" i="29"/>
  <c r="D851" i="29"/>
  <c r="E697" i="29"/>
  <c r="D782" i="29"/>
  <c r="D779" i="29"/>
  <c r="F705" i="29"/>
  <c r="G627" i="29"/>
  <c r="E781" i="29"/>
  <c r="E774" i="29"/>
  <c r="E851" i="29"/>
  <c r="F698" i="29"/>
  <c r="G625" i="29"/>
  <c r="G620" i="29"/>
  <c r="E777" i="29"/>
  <c r="E778" i="29" s="1"/>
  <c r="E859" i="29"/>
  <c r="F860" i="29"/>
  <c r="F851" i="29"/>
  <c r="G704" i="29"/>
  <c r="G703" i="29"/>
  <c r="G706" i="29"/>
  <c r="F781" i="29"/>
  <c r="F774" i="29"/>
  <c r="A637" i="29"/>
  <c r="F853" i="29"/>
  <c r="F859" i="29"/>
  <c r="G702" i="29"/>
  <c r="G697" i="29"/>
  <c r="A639" i="29"/>
  <c r="G776" i="29"/>
  <c r="G782" i="29"/>
  <c r="G856" i="29"/>
  <c r="B637" i="29"/>
  <c r="B634" i="29"/>
  <c r="B633" i="29"/>
  <c r="A710" i="29"/>
  <c r="G781" i="29"/>
  <c r="G859" i="29"/>
  <c r="B639" i="29"/>
  <c r="A715" i="29"/>
  <c r="A716" i="29"/>
  <c r="A718" i="29"/>
  <c r="B715" i="29"/>
  <c r="C640" i="29"/>
  <c r="A871" i="29"/>
  <c r="B717" i="29"/>
  <c r="C637" i="29"/>
  <c r="C633" i="29"/>
  <c r="A864" i="29"/>
  <c r="D638" i="29"/>
  <c r="C714" i="29"/>
  <c r="B794" i="29"/>
  <c r="D634" i="29"/>
  <c r="B866" i="29"/>
  <c r="B867" i="29" s="1"/>
  <c r="C716" i="29"/>
  <c r="B789" i="29"/>
  <c r="B790" i="29" s="1"/>
  <c r="E639" i="29"/>
  <c r="E637" i="29"/>
  <c r="C794" i="29"/>
  <c r="C863" i="29"/>
  <c r="E632" i="29"/>
  <c r="E634" i="29"/>
  <c r="C786" i="29"/>
  <c r="C871" i="29"/>
  <c r="D864" i="29"/>
  <c r="E710" i="29"/>
  <c r="E717" i="29"/>
  <c r="D789" i="29"/>
  <c r="D790" i="29" s="1"/>
  <c r="D787" i="29"/>
  <c r="F640" i="29"/>
  <c r="F638" i="29"/>
  <c r="F632" i="29"/>
  <c r="E714" i="29"/>
  <c r="D794" i="29"/>
  <c r="F637" i="29"/>
  <c r="G633" i="29"/>
  <c r="G635" i="29"/>
  <c r="G636" i="29" s="1"/>
  <c r="F716" i="29"/>
  <c r="G632" i="29"/>
  <c r="F711" i="29"/>
  <c r="F714" i="29"/>
  <c r="F794" i="29"/>
  <c r="G716" i="29"/>
  <c r="A646" i="29"/>
  <c r="F789" i="29"/>
  <c r="F790" i="29" s="1"/>
  <c r="G712" i="29"/>
  <c r="G713" i="29" s="1"/>
  <c r="A645" i="29"/>
  <c r="A651" i="29"/>
  <c r="B651" i="29"/>
  <c r="B653" i="29"/>
  <c r="C574" i="29"/>
  <c r="A723" i="29"/>
  <c r="G795" i="29"/>
  <c r="B652" i="29"/>
  <c r="B649" i="29"/>
  <c r="C567" i="29"/>
  <c r="C569" i="29"/>
  <c r="A722" i="29"/>
  <c r="A728" i="29"/>
  <c r="G793" i="29"/>
  <c r="B727" i="29"/>
  <c r="D568" i="29"/>
  <c r="D567" i="29"/>
  <c r="C651" i="29"/>
  <c r="C650" i="29"/>
  <c r="A805" i="29"/>
  <c r="B721" i="29"/>
  <c r="B730" i="29"/>
  <c r="D576" i="29"/>
  <c r="C653" i="29"/>
  <c r="A799" i="29"/>
  <c r="E570" i="29"/>
  <c r="E571" i="29" s="1"/>
  <c r="C727" i="29"/>
  <c r="C728" i="29"/>
  <c r="B798" i="29"/>
  <c r="B803" i="29"/>
  <c r="D652" i="29"/>
  <c r="E572" i="29"/>
  <c r="C723" i="29"/>
  <c r="D651" i="29"/>
  <c r="C803" i="29"/>
  <c r="C804" i="29"/>
  <c r="F576" i="29"/>
  <c r="E649" i="29"/>
  <c r="C800" i="29"/>
  <c r="E651" i="29"/>
  <c r="E645" i="29"/>
  <c r="D722" i="29"/>
  <c r="D729" i="29"/>
  <c r="D798" i="29"/>
  <c r="E722" i="29"/>
  <c r="E726" i="29"/>
  <c r="F652" i="29"/>
  <c r="G574" i="29"/>
  <c r="G576" i="29"/>
  <c r="D803" i="29"/>
  <c r="F650" i="29"/>
  <c r="G645" i="29"/>
  <c r="G650" i="29"/>
  <c r="G646" i="29"/>
  <c r="A588" i="29"/>
  <c r="E805" i="29"/>
  <c r="A586" i="29"/>
  <c r="F721" i="29"/>
  <c r="E799" i="29"/>
  <c r="E798" i="29"/>
  <c r="G730" i="29"/>
  <c r="B585" i="29"/>
  <c r="B580" i="29"/>
  <c r="A657" i="29"/>
  <c r="F803" i="29"/>
  <c r="F805" i="29"/>
  <c r="G728" i="29"/>
  <c r="B581" i="29"/>
  <c r="B586" i="29"/>
  <c r="A662" i="29"/>
  <c r="C587" i="29"/>
  <c r="C588" i="29"/>
  <c r="A740" i="29"/>
  <c r="G805" i="29"/>
  <c r="B656" i="29"/>
  <c r="C581" i="29"/>
  <c r="A734" i="29"/>
  <c r="B657" i="29"/>
  <c r="A817" i="29"/>
  <c r="D584" i="29"/>
  <c r="C658" i="29"/>
  <c r="C664" i="29"/>
  <c r="B734" i="29"/>
  <c r="B735" i="29"/>
  <c r="D587" i="29"/>
  <c r="C656" i="29"/>
  <c r="B739" i="29"/>
  <c r="B740" i="29"/>
  <c r="E584" i="29"/>
  <c r="E582" i="29"/>
  <c r="E583" i="29" s="1"/>
  <c r="B812" i="29"/>
  <c r="C733" i="29"/>
  <c r="D659" i="29"/>
  <c r="D660" i="29" s="1"/>
  <c r="E579" i="29"/>
  <c r="B810" i="29"/>
  <c r="C742" i="29"/>
  <c r="C738" i="29"/>
  <c r="D658" i="29"/>
  <c r="E662" i="29"/>
  <c r="F580" i="29"/>
  <c r="D733" i="29"/>
  <c r="D740" i="29"/>
  <c r="C810" i="29"/>
  <c r="E665" i="29"/>
  <c r="F582" i="29"/>
  <c r="F583" i="29" s="1"/>
  <c r="D741" i="29"/>
  <c r="C818" i="29"/>
  <c r="E736" i="29"/>
  <c r="E737" i="29" s="1"/>
  <c r="E734" i="29"/>
  <c r="G580" i="29"/>
  <c r="G584" i="29"/>
  <c r="F665" i="29"/>
  <c r="G586" i="29"/>
  <c r="F664" i="29"/>
  <c r="D812" i="29"/>
  <c r="A597" i="29"/>
  <c r="A598" i="29"/>
  <c r="F733" i="29"/>
  <c r="E815" i="29"/>
  <c r="G656" i="29"/>
  <c r="F738" i="29"/>
  <c r="G663" i="29"/>
  <c r="G734" i="29"/>
  <c r="B598" i="29"/>
  <c r="A674" i="29"/>
  <c r="A676" i="29"/>
  <c r="G742" i="29"/>
  <c r="G816" i="29"/>
  <c r="G817" i="29"/>
  <c r="A754" i="29"/>
  <c r="A746" i="29"/>
  <c r="B677" i="29"/>
  <c r="A747" i="29"/>
  <c r="B675" i="29"/>
  <c r="C668" i="29"/>
  <c r="D594" i="29"/>
  <c r="D595" i="29" s="1"/>
  <c r="B747" i="29"/>
  <c r="A827" i="29"/>
  <c r="A823" i="29"/>
  <c r="C669" i="29"/>
  <c r="C673" i="29"/>
  <c r="D598" i="29"/>
  <c r="B748" i="29"/>
  <c r="B749" i="29" s="1"/>
  <c r="A830" i="29"/>
  <c r="A822" i="29"/>
  <c r="B829" i="29"/>
  <c r="B822" i="29"/>
  <c r="E591" i="29"/>
  <c r="E594" i="29"/>
  <c r="E595" i="29" s="1"/>
  <c r="D669" i="29"/>
  <c r="C746" i="29"/>
  <c r="C747" i="29"/>
  <c r="B827" i="29"/>
  <c r="B824" i="29"/>
  <c r="B825" i="29"/>
  <c r="B826" i="29" s="1"/>
  <c r="E600" i="29"/>
  <c r="D675" i="29"/>
  <c r="D671" i="29"/>
  <c r="D672" i="29" s="1"/>
  <c r="D747" i="29"/>
  <c r="E675" i="29"/>
  <c r="F594" i="29"/>
  <c r="F595" i="29" s="1"/>
  <c r="C824" i="29"/>
  <c r="D746" i="29"/>
  <c r="D751" i="29"/>
  <c r="E676" i="29"/>
  <c r="F593" i="29"/>
  <c r="F592" i="29"/>
  <c r="C828" i="29"/>
  <c r="G594" i="29"/>
  <c r="G595" i="29" s="1"/>
  <c r="E753" i="29"/>
  <c r="D824" i="29"/>
  <c r="F668" i="29"/>
  <c r="F669" i="29"/>
  <c r="F677" i="29"/>
  <c r="G596" i="29"/>
  <c r="G591" i="29"/>
  <c r="E752" i="29"/>
  <c r="D828" i="29"/>
  <c r="D827" i="29"/>
  <c r="F670" i="29"/>
  <c r="E827" i="29"/>
  <c r="G673" i="29"/>
  <c r="F750" i="29"/>
  <c r="F754" i="29"/>
  <c r="A603" i="29"/>
  <c r="E829" i="29"/>
  <c r="E828" i="29"/>
  <c r="G675" i="29"/>
  <c r="F752" i="29"/>
  <c r="A606" i="29"/>
  <c r="A607" i="29" s="1"/>
  <c r="A604" i="29"/>
  <c r="G745" i="29"/>
  <c r="B603" i="29"/>
  <c r="A681" i="29"/>
  <c r="F825" i="29"/>
  <c r="F826" i="29" s="1"/>
  <c r="F823" i="29"/>
  <c r="G754" i="29"/>
  <c r="B608" i="29"/>
  <c r="B606" i="29"/>
  <c r="B607" i="29" s="1"/>
  <c r="A688" i="29"/>
  <c r="F822" i="29"/>
  <c r="G824" i="29"/>
  <c r="G825" i="29"/>
  <c r="G826" i="29" s="1"/>
  <c r="B683" i="29"/>
  <c r="B684" i="29" s="1"/>
  <c r="A766" i="29"/>
  <c r="G829" i="29"/>
  <c r="B686" i="29"/>
  <c r="B687" i="29"/>
  <c r="A758" i="29"/>
  <c r="B764" i="29"/>
  <c r="B765" i="29"/>
  <c r="A836" i="29"/>
  <c r="B759" i="29"/>
  <c r="A835" i="29"/>
  <c r="A840" i="29"/>
  <c r="B835" i="29"/>
  <c r="B842" i="29"/>
  <c r="A622" i="29"/>
  <c r="A626" i="29"/>
  <c r="A702" i="29"/>
  <c r="B625" i="29"/>
  <c r="B626" i="29"/>
  <c r="A699" i="29"/>
  <c r="A852" i="29"/>
  <c r="A851" i="29"/>
  <c r="B698" i="29"/>
  <c r="B705" i="29"/>
  <c r="A776" i="29"/>
  <c r="C621" i="29"/>
  <c r="A859" i="29"/>
  <c r="C620" i="29"/>
  <c r="D626" i="29"/>
  <c r="C697" i="29"/>
  <c r="C706" i="29"/>
  <c r="B780" i="29"/>
  <c r="B774" i="29"/>
  <c r="B852" i="29"/>
  <c r="D622" i="29"/>
  <c r="C699" i="29"/>
  <c r="C774" i="29"/>
  <c r="D705" i="29"/>
  <c r="E627" i="29"/>
  <c r="C859" i="29"/>
  <c r="C782" i="29"/>
  <c r="D700" i="29"/>
  <c r="D701" i="29" s="1"/>
  <c r="E623" i="29"/>
  <c r="E624" i="29" s="1"/>
  <c r="C860" i="29"/>
  <c r="F623" i="29"/>
  <c r="F624" i="29" s="1"/>
  <c r="D858" i="29"/>
  <c r="D775" i="29"/>
  <c r="F625" i="29"/>
  <c r="D853" i="29"/>
  <c r="E704" i="29"/>
  <c r="D774" i="29"/>
  <c r="F700" i="29"/>
  <c r="F701" i="29" s="1"/>
  <c r="G629" i="29"/>
  <c r="E860" i="29"/>
  <c r="E853" i="29"/>
  <c r="F706" i="29"/>
  <c r="E779" i="29"/>
  <c r="E858" i="29"/>
  <c r="F779" i="29"/>
  <c r="A632" i="29"/>
  <c r="F780" i="29"/>
  <c r="F775" i="29"/>
  <c r="A638" i="29"/>
  <c r="G775" i="29"/>
  <c r="G854" i="29"/>
  <c r="G855" i="29" s="1"/>
  <c r="A717" i="29"/>
  <c r="G777" i="29"/>
  <c r="G778" i="29" s="1"/>
  <c r="G860" i="29"/>
  <c r="G853" i="29"/>
  <c r="B635" i="29"/>
  <c r="B636" i="29" s="1"/>
  <c r="A789" i="29"/>
  <c r="A790" i="29" s="1"/>
  <c r="A795" i="29"/>
  <c r="B709" i="29"/>
  <c r="C635" i="29"/>
  <c r="C636" i="29" s="1"/>
  <c r="A865" i="29"/>
  <c r="A794" i="29"/>
  <c r="A788" i="29"/>
  <c r="B712" i="29"/>
  <c r="B713" i="29" s="1"/>
  <c r="C632" i="29"/>
  <c r="A870" i="29"/>
  <c r="D641" i="29"/>
  <c r="D635" i="29"/>
  <c r="D636" i="29" s="1"/>
  <c r="B865" i="29"/>
  <c r="B871" i="29"/>
  <c r="B872" i="29"/>
  <c r="C711" i="29"/>
  <c r="B792" i="29"/>
  <c r="D632" i="29"/>
  <c r="B868" i="29"/>
  <c r="C709" i="29"/>
  <c r="B787" i="29"/>
  <c r="D715" i="29"/>
  <c r="D710" i="29"/>
  <c r="C792" i="29"/>
  <c r="C864" i="29"/>
  <c r="D717" i="29"/>
  <c r="D714" i="29"/>
  <c r="C788" i="29"/>
  <c r="E712" i="29"/>
  <c r="E713" i="29" s="1"/>
  <c r="E716" i="29"/>
  <c r="D788" i="29"/>
  <c r="F641" i="29"/>
  <c r="E788" i="29"/>
  <c r="E794" i="29"/>
  <c r="F710" i="29"/>
  <c r="E791" i="29"/>
  <c r="E787" i="29"/>
  <c r="G641" i="29"/>
  <c r="F717" i="29"/>
  <c r="F786" i="29"/>
  <c r="G714" i="29"/>
  <c r="A647" i="29"/>
  <c r="A648" i="29" s="1"/>
  <c r="F795" i="29"/>
  <c r="G710" i="29"/>
  <c r="A649" i="29"/>
  <c r="B647" i="29"/>
  <c r="B648" i="29" s="1"/>
  <c r="C568" i="29"/>
  <c r="C572" i="29"/>
  <c r="A726" i="29"/>
  <c r="G792" i="29"/>
  <c r="A730" i="29"/>
  <c r="G787" i="29"/>
  <c r="B729" i="29"/>
  <c r="C652" i="29"/>
  <c r="A800" i="29"/>
  <c r="D569" i="29"/>
  <c r="C645" i="29"/>
  <c r="A798" i="29"/>
  <c r="E576" i="29"/>
  <c r="C721" i="29"/>
  <c r="D646" i="29"/>
  <c r="D647" i="29"/>
  <c r="D648" i="29" s="1"/>
  <c r="E574" i="29"/>
  <c r="C730" i="29"/>
  <c r="B807" i="29"/>
  <c r="B806" i="29"/>
  <c r="D645" i="29"/>
  <c r="F573" i="29"/>
  <c r="E652" i="29"/>
  <c r="D721" i="29"/>
  <c r="D728" i="29"/>
  <c r="C805" i="29"/>
  <c r="F567" i="29"/>
  <c r="F568" i="29"/>
  <c r="E644" i="29"/>
  <c r="G568" i="29"/>
  <c r="G575" i="29"/>
  <c r="D805" i="29"/>
  <c r="D804" i="29"/>
  <c r="F646" i="29"/>
  <c r="D799" i="29"/>
  <c r="E723" i="29"/>
  <c r="E721" i="29"/>
  <c r="F647" i="29"/>
  <c r="F648" i="29" s="1"/>
  <c r="A580" i="29"/>
  <c r="A584" i="29"/>
  <c r="F726" i="29"/>
  <c r="F727" i="29"/>
  <c r="E804" i="29"/>
  <c r="G644" i="29"/>
  <c r="G651" i="29"/>
  <c r="A581" i="29"/>
  <c r="F728" i="29"/>
  <c r="E800" i="29"/>
  <c r="G724" i="29"/>
  <c r="G725" i="29" s="1"/>
  <c r="A661" i="29"/>
  <c r="G727" i="29"/>
  <c r="B584" i="29"/>
  <c r="A665" i="29"/>
  <c r="F804" i="29"/>
  <c r="F799" i="29"/>
  <c r="F800" i="29"/>
  <c r="A738" i="29"/>
  <c r="G798" i="29"/>
  <c r="B662" i="29"/>
  <c r="C585" i="29"/>
  <c r="C584" i="29"/>
  <c r="A739" i="29"/>
  <c r="G807" i="29"/>
  <c r="G804" i="29"/>
  <c r="B661" i="29"/>
  <c r="B664" i="29"/>
  <c r="A819" i="29"/>
  <c r="D579" i="29"/>
  <c r="C662" i="29"/>
  <c r="A812" i="29"/>
  <c r="A818" i="29"/>
  <c r="D582" i="29"/>
  <c r="D583" i="29" s="1"/>
  <c r="C661" i="29"/>
  <c r="E585" i="29"/>
  <c r="B813" i="29"/>
  <c r="B814" i="29" s="1"/>
  <c r="C741" i="29"/>
  <c r="D665" i="29"/>
  <c r="E586" i="29"/>
  <c r="B815" i="29"/>
  <c r="D657" i="29"/>
  <c r="E663" i="29"/>
  <c r="F588" i="29"/>
  <c r="D734" i="29"/>
  <c r="C819" i="29"/>
  <c r="E661" i="29"/>
  <c r="F581" i="29"/>
  <c r="D736" i="29"/>
  <c r="D737" i="29" s="1"/>
  <c r="C812" i="29"/>
  <c r="E735" i="29"/>
  <c r="G588" i="29"/>
  <c r="F659" i="29"/>
  <c r="F660" i="29" s="1"/>
  <c r="D815" i="29"/>
  <c r="D811" i="29"/>
  <c r="D817" i="29"/>
  <c r="E733" i="29"/>
  <c r="E740" i="29"/>
  <c r="G579" i="29"/>
  <c r="F657" i="29"/>
  <c r="D818" i="29"/>
  <c r="F735" i="29"/>
  <c r="F736" i="29"/>
  <c r="F737" i="29" s="1"/>
  <c r="E812" i="29"/>
  <c r="G661" i="29"/>
  <c r="A592" i="29"/>
  <c r="A600" i="29"/>
  <c r="F742" i="29"/>
  <c r="E810" i="29"/>
  <c r="E817" i="29"/>
  <c r="G658" i="29"/>
  <c r="G664" i="29"/>
  <c r="F818" i="29"/>
  <c r="F819" i="29"/>
  <c r="B592" i="29"/>
  <c r="B593" i="29"/>
  <c r="A668" i="29"/>
  <c r="A677" i="29"/>
  <c r="G733" i="29"/>
  <c r="G736" i="29"/>
  <c r="G737" i="29" s="1"/>
  <c r="F812" i="29"/>
  <c r="F811" i="29"/>
  <c r="B599" i="29"/>
  <c r="G740" i="29"/>
  <c r="C598" i="29"/>
  <c r="C600" i="29"/>
  <c r="G818" i="29"/>
  <c r="A750" i="29"/>
  <c r="B669" i="29"/>
  <c r="C592" i="29"/>
  <c r="C594" i="29"/>
  <c r="C595" i="29" s="1"/>
  <c r="G815" i="29"/>
  <c r="G813" i="29"/>
  <c r="G814" i="29" s="1"/>
  <c r="A753" i="29"/>
  <c r="B676" i="29"/>
  <c r="C675" i="29"/>
  <c r="D597" i="29"/>
  <c r="D592" i="29"/>
  <c r="B745" i="29"/>
  <c r="B746" i="29"/>
  <c r="C674" i="29"/>
  <c r="D593" i="29"/>
  <c r="B754" i="29"/>
  <c r="A828" i="29"/>
  <c r="D676" i="29"/>
  <c r="D668" i="29"/>
  <c r="C748" i="29"/>
  <c r="C749" i="29" s="1"/>
  <c r="E592" i="29"/>
  <c r="C750" i="29"/>
  <c r="C753" i="29"/>
  <c r="D752" i="29"/>
  <c r="E673" i="29"/>
  <c r="F600" i="29"/>
  <c r="C822" i="29"/>
  <c r="D745" i="29"/>
  <c r="E674" i="29"/>
  <c r="C827" i="29"/>
  <c r="G592" i="29"/>
  <c r="E751" i="29"/>
  <c r="D829" i="29"/>
  <c r="E748" i="29"/>
  <c r="E749" i="29" s="1"/>
  <c r="D822" i="29"/>
  <c r="F673" i="29"/>
  <c r="E825" i="29"/>
  <c r="E826" i="29" s="1"/>
  <c r="G668" i="29"/>
  <c r="F748" i="29"/>
  <c r="F749" i="29" s="1"/>
  <c r="A609" i="29"/>
  <c r="E830" i="29"/>
  <c r="G670" i="29"/>
  <c r="F745" i="29"/>
  <c r="A610" i="29"/>
  <c r="G747" i="29"/>
  <c r="B612" i="29"/>
  <c r="A689" i="29"/>
  <c r="F831" i="29"/>
  <c r="G752" i="29"/>
  <c r="B609" i="29"/>
  <c r="A687" i="29"/>
  <c r="F829" i="29"/>
  <c r="G822" i="29"/>
  <c r="B688" i="29"/>
  <c r="A763" i="29"/>
  <c r="G823" i="29"/>
  <c r="B680" i="29"/>
  <c r="A762" i="29"/>
  <c r="B762" i="29"/>
  <c r="A842" i="29"/>
  <c r="B763" i="29"/>
  <c r="A839" i="29"/>
  <c r="B836" i="29"/>
  <c r="B834" i="29"/>
  <c r="S347" i="28"/>
  <c r="T347" i="28"/>
  <c r="W347" i="28"/>
  <c r="G347" i="28"/>
  <c r="X347" i="28"/>
  <c r="C348" i="28"/>
  <c r="V347" i="28"/>
  <c r="F347" i="28"/>
  <c r="U347" i="28"/>
  <c r="D348" i="28"/>
  <c r="I347" i="28"/>
  <c r="E348" i="28" l="1"/>
  <c r="E863" i="29"/>
  <c r="E864" i="29"/>
  <c r="Y346" i="28"/>
  <c r="R346" i="28"/>
  <c r="C872" i="29" s="1"/>
  <c r="P347" i="28"/>
  <c r="D866" i="29"/>
  <c r="D867" i="29" s="1"/>
  <c r="J346" i="28"/>
  <c r="C868" i="29" s="1"/>
  <c r="Q347" i="28"/>
  <c r="N347" i="28" s="1"/>
  <c r="D871" i="29" s="1"/>
  <c r="D865" i="29"/>
  <c r="H347" i="28"/>
  <c r="K346" i="28"/>
  <c r="C869" i="29" s="1"/>
  <c r="O346" i="28"/>
  <c r="L346" i="28"/>
  <c r="M346" i="28" s="1"/>
  <c r="C870" i="29" s="1"/>
  <c r="B349" i="28"/>
  <c r="A350" i="28"/>
  <c r="X348" i="28"/>
  <c r="S348" i="28"/>
  <c r="T348" i="28"/>
  <c r="V348" i="28"/>
  <c r="U348" i="28"/>
  <c r="C349" i="28"/>
  <c r="F348" i="28"/>
  <c r="W348" i="28"/>
  <c r="G348" i="28"/>
  <c r="I348" i="28" s="1"/>
  <c r="D349" i="28"/>
  <c r="E349" i="28" l="1"/>
  <c r="P348" i="28"/>
  <c r="E866" i="29"/>
  <c r="E867" i="29" s="1"/>
  <c r="J347" i="28"/>
  <c r="D868" i="29" s="1"/>
  <c r="R347" i="28"/>
  <c r="D872" i="29" s="1"/>
  <c r="Y347" i="28"/>
  <c r="Q348" i="28"/>
  <c r="N348" i="28" s="1"/>
  <c r="E871" i="29" s="1"/>
  <c r="E865" i="29"/>
  <c r="O347" i="28"/>
  <c r="K347" i="28"/>
  <c r="D869" i="29" s="1"/>
  <c r="L347" i="28"/>
  <c r="M347" i="28" s="1"/>
  <c r="D870" i="29" s="1"/>
  <c r="H348" i="28"/>
  <c r="A351" i="28"/>
  <c r="B350" i="28"/>
  <c r="S349" i="28"/>
  <c r="T349" i="28"/>
  <c r="U349" i="28"/>
  <c r="V349" i="28"/>
  <c r="D350" i="28"/>
  <c r="F349" i="28"/>
  <c r="W349" i="28"/>
  <c r="G349" i="28"/>
  <c r="X349" i="28"/>
  <c r="C350" i="28"/>
  <c r="I349" i="28"/>
  <c r="E350" i="28" l="1"/>
  <c r="P349" i="28"/>
  <c r="J348" i="28"/>
  <c r="E868" i="29" s="1"/>
  <c r="Y348" i="28"/>
  <c r="R348" i="28"/>
  <c r="E872" i="29" s="1"/>
  <c r="Q349" i="28"/>
  <c r="N349" i="28" s="1"/>
  <c r="L348" i="28"/>
  <c r="M348" i="28" s="1"/>
  <c r="E870" i="29" s="1"/>
  <c r="O348" i="28"/>
  <c r="K348" i="28"/>
  <c r="E869" i="29" s="1"/>
  <c r="H349" i="28"/>
  <c r="A352" i="28"/>
  <c r="B351" i="28"/>
  <c r="D351" i="28"/>
  <c r="G350" i="28"/>
  <c r="U350" i="28"/>
  <c r="S350" i="28"/>
  <c r="X350" i="28"/>
  <c r="C351" i="28"/>
  <c r="V350" i="28"/>
  <c r="W350" i="28"/>
  <c r="T350" i="28"/>
  <c r="F350" i="28"/>
  <c r="I350" i="28"/>
  <c r="Q350" i="28" l="1"/>
  <c r="N350" i="28" s="1"/>
  <c r="R349" i="28"/>
  <c r="Y349" i="28"/>
  <c r="P350" i="28"/>
  <c r="J349" i="28"/>
  <c r="E351" i="28"/>
  <c r="H350" i="28"/>
  <c r="K349" i="28"/>
  <c r="O349" i="28"/>
  <c r="L349" i="28"/>
  <c r="M349" i="28" s="1"/>
  <c r="B352" i="28"/>
  <c r="A353" i="28"/>
  <c r="S351" i="28"/>
  <c r="V351" i="28"/>
  <c r="G351" i="28"/>
  <c r="X351" i="28"/>
  <c r="C352" i="28"/>
  <c r="I351" i="28"/>
  <c r="F351" i="28"/>
  <c r="T351" i="28"/>
  <c r="W351" i="28"/>
  <c r="U351" i="28"/>
  <c r="D352" i="28"/>
  <c r="E352" i="28" l="1"/>
  <c r="P351" i="28"/>
  <c r="J350" i="28"/>
  <c r="Q351" i="28"/>
  <c r="N351" i="28" s="1"/>
  <c r="R350" i="28"/>
  <c r="Y350" i="28"/>
  <c r="O350" i="28"/>
  <c r="L350" i="28"/>
  <c r="M350" i="28" s="1"/>
  <c r="K350" i="28"/>
  <c r="H351" i="28"/>
  <c r="A354" i="28"/>
  <c r="B353" i="28"/>
  <c r="U352" i="28"/>
  <c r="C353" i="28"/>
  <c r="W352" i="28"/>
  <c r="G352" i="28"/>
  <c r="V352" i="28"/>
  <c r="T352" i="28"/>
  <c r="D353" i="28"/>
  <c r="F352" i="28"/>
  <c r="X352" i="28"/>
  <c r="S352" i="28"/>
  <c r="I352" i="28"/>
  <c r="R351" i="28" l="1"/>
  <c r="Y351" i="28"/>
  <c r="P352" i="28"/>
  <c r="J351" i="28"/>
  <c r="Q352" i="28"/>
  <c r="N352" i="28" s="1"/>
  <c r="E353" i="28"/>
  <c r="H352" i="28"/>
  <c r="K351" i="28"/>
  <c r="O351" i="28"/>
  <c r="L351" i="28"/>
  <c r="M351" i="28" s="1"/>
  <c r="A355" i="28"/>
  <c r="B354" i="28"/>
  <c r="D354" i="28"/>
  <c r="X353" i="28"/>
  <c r="T353" i="28"/>
  <c r="F353" i="28"/>
  <c r="C354" i="28"/>
  <c r="W353" i="28"/>
  <c r="G353" i="28"/>
  <c r="I353" i="28" s="1"/>
  <c r="U353" i="28"/>
  <c r="V353" i="28"/>
  <c r="S353" i="28"/>
  <c r="R352" i="28" l="1"/>
  <c r="Y352" i="28"/>
  <c r="Q353" i="28"/>
  <c r="N353" i="28" s="1"/>
  <c r="P353" i="28"/>
  <c r="J352" i="28"/>
  <c r="E354" i="28"/>
  <c r="H353" i="28"/>
  <c r="K352" i="28"/>
  <c r="O352" i="28"/>
  <c r="L352" i="28"/>
  <c r="M352" i="28" s="1"/>
  <c r="A356" i="28"/>
  <c r="B355" i="28"/>
  <c r="C355" i="28"/>
  <c r="F354" i="28"/>
  <c r="U354" i="28"/>
  <c r="X354" i="28"/>
  <c r="S354" i="28"/>
  <c r="D355" i="28"/>
  <c r="V354" i="28"/>
  <c r="G354" i="28"/>
  <c r="I354" i="28" s="1"/>
  <c r="T354" i="28"/>
  <c r="W354" i="28"/>
  <c r="R353" i="28" l="1"/>
  <c r="Y353" i="28"/>
  <c r="P354" i="28"/>
  <c r="J353" i="28"/>
  <c r="Q354" i="28"/>
  <c r="N354" i="28" s="1"/>
  <c r="E355" i="28"/>
  <c r="O353" i="28"/>
  <c r="L353" i="28"/>
  <c r="M353" i="28" s="1"/>
  <c r="K353" i="28"/>
  <c r="H354" i="28"/>
  <c r="B356" i="28"/>
  <c r="A357" i="28"/>
  <c r="X355" i="28"/>
  <c r="G355" i="28"/>
  <c r="V355" i="28"/>
  <c r="U355" i="28"/>
  <c r="C356" i="28"/>
  <c r="I355" i="28"/>
  <c r="F355" i="28"/>
  <c r="W355" i="28"/>
  <c r="S355" i="28"/>
  <c r="D356" i="28"/>
  <c r="T355" i="28"/>
  <c r="E356" i="28" l="1"/>
  <c r="R354" i="28"/>
  <c r="Y354" i="28"/>
  <c r="Q355" i="28"/>
  <c r="N355" i="28" s="1"/>
  <c r="P355" i="28"/>
  <c r="J354" i="28"/>
  <c r="H355" i="28"/>
  <c r="O354" i="28"/>
  <c r="L354" i="28"/>
  <c r="M354" i="28" s="1"/>
  <c r="K354" i="28"/>
  <c r="A358" i="28"/>
  <c r="B357" i="28"/>
  <c r="F356" i="28"/>
  <c r="W356" i="28"/>
  <c r="G356" i="28"/>
  <c r="U356" i="28"/>
  <c r="D357" i="28"/>
  <c r="I356" i="28"/>
  <c r="V356" i="28"/>
  <c r="S356" i="28"/>
  <c r="T356" i="28"/>
  <c r="C357" i="28"/>
  <c r="X356" i="28"/>
  <c r="E357" i="28" l="1"/>
  <c r="Y355" i="28"/>
  <c r="R355" i="28"/>
  <c r="P356" i="28"/>
  <c r="J355" i="28"/>
  <c r="Q356" i="28"/>
  <c r="N356" i="28" s="1"/>
  <c r="O355" i="28"/>
  <c r="K355" i="28"/>
  <c r="L355" i="28"/>
  <c r="M355" i="28" s="1"/>
  <c r="H356" i="28"/>
  <c r="B358" i="28"/>
  <c r="A359" i="28"/>
  <c r="V357" i="28"/>
  <c r="S357" i="28"/>
  <c r="W357" i="28"/>
  <c r="F357" i="28"/>
  <c r="C358" i="28"/>
  <c r="T357" i="28"/>
  <c r="U357" i="28"/>
  <c r="G357" i="28"/>
  <c r="X357" i="28"/>
  <c r="D358" i="28"/>
  <c r="I357" i="28"/>
  <c r="E358" i="28" l="1"/>
  <c r="Q357" i="28"/>
  <c r="N357" i="28" s="1"/>
  <c r="P357" i="28"/>
  <c r="J356" i="28"/>
  <c r="R356" i="28"/>
  <c r="Y356" i="28"/>
  <c r="O356" i="28"/>
  <c r="L356" i="28"/>
  <c r="M356" i="28" s="1"/>
  <c r="K356" i="28"/>
  <c r="H357" i="28"/>
  <c r="A360" i="28"/>
  <c r="B359" i="28"/>
  <c r="C359" i="28"/>
  <c r="U358" i="28"/>
  <c r="X358" i="28"/>
  <c r="F358" i="28"/>
  <c r="D359" i="28"/>
  <c r="V358" i="28"/>
  <c r="W358" i="28"/>
  <c r="T358" i="28"/>
  <c r="G358" i="28"/>
  <c r="I358" i="28" s="1"/>
  <c r="S358" i="28"/>
  <c r="P358" i="28" l="1"/>
  <c r="J357" i="28"/>
  <c r="Y357" i="28"/>
  <c r="R357" i="28"/>
  <c r="Q358" i="28"/>
  <c r="N358" i="28" s="1"/>
  <c r="E359" i="28"/>
  <c r="L357" i="28"/>
  <c r="M357" i="28" s="1"/>
  <c r="K357" i="28"/>
  <c r="O357" i="28"/>
  <c r="H358" i="28"/>
  <c r="B360" i="28"/>
  <c r="A361" i="28"/>
  <c r="X359" i="28"/>
  <c r="V359" i="28"/>
  <c r="T359" i="28"/>
  <c r="W359" i="28"/>
  <c r="U359" i="28"/>
  <c r="C360" i="28"/>
  <c r="G359" i="28"/>
  <c r="F359" i="28"/>
  <c r="S359" i="28"/>
  <c r="D360" i="28"/>
  <c r="I359" i="28"/>
  <c r="E360" i="28" l="1"/>
  <c r="Y358" i="28"/>
  <c r="R358" i="28"/>
  <c r="Q359" i="28"/>
  <c r="N359" i="28" s="1"/>
  <c r="P359" i="28"/>
  <c r="J358" i="28"/>
  <c r="H359" i="28"/>
  <c r="L358" i="28"/>
  <c r="M358" i="28" s="1"/>
  <c r="O358" i="28"/>
  <c r="K358" i="28"/>
  <c r="B361" i="28"/>
  <c r="A362" i="28"/>
  <c r="U360" i="28"/>
  <c r="V360" i="28"/>
  <c r="T360" i="28"/>
  <c r="X360" i="28"/>
  <c r="C361" i="28"/>
  <c r="W360" i="28"/>
  <c r="F360" i="28"/>
  <c r="G360" i="28"/>
  <c r="S360" i="28"/>
  <c r="D361" i="28"/>
  <c r="I360" i="28"/>
  <c r="E361" i="28" l="1"/>
  <c r="Y359" i="28"/>
  <c r="R359" i="28"/>
  <c r="P360" i="28"/>
  <c r="J359" i="28"/>
  <c r="Q360" i="28"/>
  <c r="N360" i="28" s="1"/>
  <c r="K359" i="28"/>
  <c r="O359" i="28"/>
  <c r="L359" i="28"/>
  <c r="M359" i="28" s="1"/>
  <c r="H360" i="28"/>
  <c r="B362" i="28"/>
  <c r="A363" i="28"/>
  <c r="S361" i="28"/>
  <c r="X361" i="28"/>
  <c r="W361" i="28"/>
  <c r="T361" i="28"/>
  <c r="C362" i="28"/>
  <c r="G361" i="28"/>
  <c r="F361" i="28"/>
  <c r="U361" i="28"/>
  <c r="V361" i="28"/>
  <c r="D362" i="28"/>
  <c r="I361" i="28"/>
  <c r="E362" i="28" l="1"/>
  <c r="Q361" i="28"/>
  <c r="N361" i="28" s="1"/>
  <c r="P361" i="28"/>
  <c r="J360" i="28"/>
  <c r="Y360" i="28"/>
  <c r="R360" i="28"/>
  <c r="H361" i="28"/>
  <c r="O360" i="28"/>
  <c r="L360" i="28"/>
  <c r="M360" i="28" s="1"/>
  <c r="K360" i="28"/>
  <c r="A364" i="28"/>
  <c r="B363" i="28"/>
  <c r="V362" i="28"/>
  <c r="X362" i="28"/>
  <c r="S362" i="28"/>
  <c r="T362" i="28"/>
  <c r="D363" i="28"/>
  <c r="G362" i="28"/>
  <c r="I362" i="28" s="1"/>
  <c r="W362" i="28"/>
  <c r="F362" i="28"/>
  <c r="C363" i="28"/>
  <c r="U362" i="28"/>
  <c r="E363" i="28" l="1"/>
  <c r="Q362" i="28"/>
  <c r="N362" i="28" s="1"/>
  <c r="Y361" i="28"/>
  <c r="R361" i="28"/>
  <c r="P362" i="28"/>
  <c r="J361" i="28"/>
  <c r="L361" i="28"/>
  <c r="M361" i="28" s="1"/>
  <c r="K361" i="28"/>
  <c r="O361" i="28"/>
  <c r="H362" i="28"/>
  <c r="B364" i="28"/>
  <c r="A365" i="28"/>
  <c r="U363" i="28"/>
  <c r="W363" i="28"/>
  <c r="S363" i="28"/>
  <c r="T363" i="28"/>
  <c r="C364" i="28"/>
  <c r="G363" i="28"/>
  <c r="I363" i="28" s="1"/>
  <c r="X363" i="28"/>
  <c r="F363" i="28"/>
  <c r="V363" i="28"/>
  <c r="D364" i="28"/>
  <c r="E364" i="28" l="1"/>
  <c r="Q363" i="28"/>
  <c r="N363" i="28" s="1"/>
  <c r="Y362" i="28"/>
  <c r="R362" i="28"/>
  <c r="P363" i="28"/>
  <c r="J362" i="28"/>
  <c r="L362" i="28"/>
  <c r="M362" i="28" s="1"/>
  <c r="O362" i="28"/>
  <c r="K362" i="28"/>
  <c r="H363" i="28"/>
  <c r="B365" i="28"/>
  <c r="A366" i="28"/>
  <c r="W364" i="28"/>
  <c r="V364" i="28"/>
  <c r="X364" i="28"/>
  <c r="F364" i="28"/>
  <c r="U364" i="28"/>
  <c r="C365" i="28"/>
  <c r="G364" i="28"/>
  <c r="S364" i="28"/>
  <c r="T364" i="28"/>
  <c r="D365" i="28"/>
  <c r="I364" i="28"/>
  <c r="E365" i="28" l="1"/>
  <c r="Q364" i="28"/>
  <c r="N364" i="28" s="1"/>
  <c r="R363" i="28"/>
  <c r="Y363" i="28"/>
  <c r="P364" i="28"/>
  <c r="J363" i="28"/>
  <c r="L363" i="28"/>
  <c r="M363" i="28" s="1"/>
  <c r="K363" i="28"/>
  <c r="O363" i="28"/>
  <c r="H364" i="28"/>
  <c r="B366" i="28"/>
  <c r="A367" i="28"/>
  <c r="G365" i="28"/>
  <c r="W365" i="28"/>
  <c r="U365" i="28"/>
  <c r="X365" i="28"/>
  <c r="V365" i="28"/>
  <c r="D366" i="28"/>
  <c r="T365" i="28"/>
  <c r="F365" i="28"/>
  <c r="S365" i="28"/>
  <c r="C366" i="28"/>
  <c r="I365" i="28"/>
  <c r="E366" i="28" l="1"/>
  <c r="P365" i="28"/>
  <c r="J364" i="28"/>
  <c r="Y364" i="28"/>
  <c r="R364" i="28"/>
  <c r="Q365" i="28"/>
  <c r="N365" i="28" s="1"/>
  <c r="O364" i="28"/>
  <c r="L364" i="28"/>
  <c r="M364" i="28" s="1"/>
  <c r="K364" i="28"/>
  <c r="H365" i="28"/>
  <c r="A368" i="28"/>
  <c r="B367" i="28"/>
  <c r="C367" i="28"/>
  <c r="S366" i="28"/>
  <c r="F366" i="28"/>
  <c r="X366" i="28"/>
  <c r="T366" i="28"/>
  <c r="D367" i="28"/>
  <c r="U366" i="28"/>
  <c r="V366" i="28"/>
  <c r="W366" i="28"/>
  <c r="G366" i="28"/>
  <c r="I366" i="28" s="1"/>
  <c r="P366" i="28" l="1"/>
  <c r="J365" i="28"/>
  <c r="Q366" i="28"/>
  <c r="N366" i="28" s="1"/>
  <c r="Y365" i="28"/>
  <c r="R365" i="28"/>
  <c r="E367" i="28"/>
  <c r="H366" i="28"/>
  <c r="L365" i="28"/>
  <c r="M365" i="28" s="1"/>
  <c r="K365" i="28"/>
  <c r="O365" i="28"/>
  <c r="B368" i="28"/>
  <c r="A369" i="28"/>
  <c r="U367" i="28"/>
  <c r="S367" i="28"/>
  <c r="W367" i="28"/>
  <c r="F367" i="28"/>
  <c r="D368" i="28"/>
  <c r="V367" i="28"/>
  <c r="T367" i="28"/>
  <c r="X367" i="28"/>
  <c r="G367" i="28"/>
  <c r="I367" i="28" s="1"/>
  <c r="C368" i="28"/>
  <c r="E368" i="28" l="1"/>
  <c r="P367" i="28"/>
  <c r="J366" i="28"/>
  <c r="Q367" i="28"/>
  <c r="N367" i="28" s="1"/>
  <c r="R366" i="28"/>
  <c r="Y366" i="28"/>
  <c r="H367" i="28"/>
  <c r="K366" i="28"/>
  <c r="L366" i="28"/>
  <c r="M366" i="28" s="1"/>
  <c r="O366" i="28"/>
  <c r="A370" i="28"/>
  <c r="B369" i="28"/>
  <c r="C369" i="28"/>
  <c r="S368" i="28"/>
  <c r="U368" i="28"/>
  <c r="G368" i="28"/>
  <c r="F368" i="28"/>
  <c r="I368" i="28"/>
  <c r="D369" i="28"/>
  <c r="T368" i="28"/>
  <c r="W368" i="28"/>
  <c r="V368" i="28"/>
  <c r="X368" i="28"/>
  <c r="Q368" i="28" l="1"/>
  <c r="N368" i="28" s="1"/>
  <c r="P368" i="28"/>
  <c r="J367" i="28"/>
  <c r="R367" i="28"/>
  <c r="Y367" i="28"/>
  <c r="E369" i="28"/>
  <c r="H368" i="28"/>
  <c r="K367" i="28"/>
  <c r="O367" i="28"/>
  <c r="L367" i="28"/>
  <c r="M367" i="28" s="1"/>
  <c r="B370" i="28"/>
  <c r="A371" i="28"/>
  <c r="V369" i="28"/>
  <c r="X369" i="28"/>
  <c r="S369" i="28"/>
  <c r="T369" i="28"/>
  <c r="C370" i="28"/>
  <c r="U369" i="28"/>
  <c r="G369" i="28"/>
  <c r="I369" i="28" s="1"/>
  <c r="W369" i="28"/>
  <c r="F369" i="28"/>
  <c r="D370" i="28"/>
  <c r="E370" i="28" l="1"/>
  <c r="Q369" i="28"/>
  <c r="N369" i="28" s="1"/>
  <c r="R368" i="28"/>
  <c r="Y368" i="28"/>
  <c r="P369" i="28"/>
  <c r="J368" i="28"/>
  <c r="K368" i="28"/>
  <c r="O368" i="28"/>
  <c r="L368" i="28"/>
  <c r="M368" i="28" s="1"/>
  <c r="H369" i="28"/>
  <c r="A372" i="28"/>
  <c r="B371" i="28"/>
  <c r="D371" i="28"/>
  <c r="G370" i="28"/>
  <c r="F370" i="28"/>
  <c r="V370" i="28"/>
  <c r="T370" i="28"/>
  <c r="I370" i="28"/>
  <c r="C371" i="28"/>
  <c r="X370" i="28"/>
  <c r="W370" i="28"/>
  <c r="S370" i="28"/>
  <c r="U370" i="28"/>
  <c r="Y369" i="28" l="1"/>
  <c r="R369" i="28"/>
  <c r="Q370" i="28"/>
  <c r="N370" i="28" s="1"/>
  <c r="P370" i="28"/>
  <c r="J369" i="28"/>
  <c r="E371" i="28"/>
  <c r="L369" i="28"/>
  <c r="M369" i="28" s="1"/>
  <c r="K369" i="28"/>
  <c r="O369" i="28"/>
  <c r="H370" i="28"/>
  <c r="B372" i="28"/>
  <c r="A373" i="28"/>
  <c r="X371" i="28"/>
  <c r="U371" i="28"/>
  <c r="S371" i="28"/>
  <c r="V371" i="28"/>
  <c r="D372" i="28"/>
  <c r="G371" i="28"/>
  <c r="I371" i="28" s="1"/>
  <c r="F371" i="28"/>
  <c r="W371" i="28"/>
  <c r="C372" i="28"/>
  <c r="T371" i="28"/>
  <c r="E372" i="28" l="1"/>
  <c r="Q371" i="28"/>
  <c r="N371" i="28" s="1"/>
  <c r="R370" i="28"/>
  <c r="Y370" i="28"/>
  <c r="P371" i="28"/>
  <c r="J370" i="28"/>
  <c r="H371" i="28"/>
  <c r="O370" i="28"/>
  <c r="K370" i="28"/>
  <c r="L370" i="28"/>
  <c r="M370" i="28" s="1"/>
  <c r="A374" i="28"/>
  <c r="B373" i="28"/>
  <c r="F372" i="28"/>
  <c r="T372" i="28"/>
  <c r="X372" i="28"/>
  <c r="G372" i="28"/>
  <c r="D373" i="28"/>
  <c r="V372" i="28"/>
  <c r="S372" i="28"/>
  <c r="W372" i="28"/>
  <c r="U372" i="28"/>
  <c r="C373" i="28"/>
  <c r="I372" i="28"/>
  <c r="E373" i="28" l="1"/>
  <c r="P372" i="28"/>
  <c r="J371" i="28"/>
  <c r="R371" i="28"/>
  <c r="Y371" i="28"/>
  <c r="Q372" i="28"/>
  <c r="N372" i="28" s="1"/>
  <c r="K371" i="28"/>
  <c r="O371" i="28"/>
  <c r="L371" i="28"/>
  <c r="M371" i="28" s="1"/>
  <c r="H372" i="28"/>
  <c r="B374" i="28"/>
  <c r="A375" i="28"/>
  <c r="W373" i="28"/>
  <c r="S373" i="28"/>
  <c r="G373" i="28"/>
  <c r="U373" i="28"/>
  <c r="C374" i="28"/>
  <c r="I373" i="28"/>
  <c r="V373" i="28"/>
  <c r="X373" i="28"/>
  <c r="F373" i="28"/>
  <c r="D374" i="28"/>
  <c r="T373" i="28"/>
  <c r="E374" i="28" l="1"/>
  <c r="Q373" i="28"/>
  <c r="N373" i="28" s="1"/>
  <c r="P373" i="28"/>
  <c r="J372" i="28"/>
  <c r="Y372" i="28"/>
  <c r="R372" i="28"/>
  <c r="H373" i="28"/>
  <c r="K372" i="28"/>
  <c r="O372" i="28"/>
  <c r="L372" i="28"/>
  <c r="M372" i="28" s="1"/>
  <c r="A376" i="28"/>
  <c r="B375" i="28"/>
  <c r="G374" i="28"/>
  <c r="X374" i="28"/>
  <c r="W374" i="28"/>
  <c r="U374" i="28"/>
  <c r="D375" i="28"/>
  <c r="I374" i="28"/>
  <c r="V374" i="28"/>
  <c r="F374" i="28"/>
  <c r="T374" i="28"/>
  <c r="S374" i="28"/>
  <c r="C375" i="28"/>
  <c r="E375" i="28" l="1"/>
  <c r="R373" i="28"/>
  <c r="Y373" i="28"/>
  <c r="Q374" i="28"/>
  <c r="N374" i="28" s="1"/>
  <c r="P374" i="28"/>
  <c r="J373" i="28"/>
  <c r="O373" i="28"/>
  <c r="L373" i="28"/>
  <c r="M373" i="28" s="1"/>
  <c r="K373" i="28"/>
  <c r="H374" i="28"/>
  <c r="B376" i="28"/>
  <c r="A377" i="28"/>
  <c r="V375" i="28"/>
  <c r="G375" i="28"/>
  <c r="T375" i="28"/>
  <c r="S375" i="28"/>
  <c r="C376" i="28"/>
  <c r="I375" i="28"/>
  <c r="D376" i="28"/>
  <c r="U375" i="28"/>
  <c r="W375" i="28"/>
  <c r="F375" i="28"/>
  <c r="X375" i="28"/>
  <c r="E376" i="28" l="1"/>
  <c r="R374" i="28"/>
  <c r="Y374" i="28"/>
  <c r="Q375" i="28"/>
  <c r="N375" i="28" s="1"/>
  <c r="P375" i="28"/>
  <c r="J374" i="28"/>
  <c r="L374" i="28"/>
  <c r="M374" i="28" s="1"/>
  <c r="K374" i="28"/>
  <c r="O374" i="28"/>
  <c r="H375" i="28"/>
  <c r="A378" i="28"/>
  <c r="B377" i="28"/>
  <c r="C377" i="28"/>
  <c r="G376" i="28"/>
  <c r="U376" i="28"/>
  <c r="X376" i="28"/>
  <c r="F376" i="28"/>
  <c r="I376" i="28"/>
  <c r="D377" i="28"/>
  <c r="W376" i="28"/>
  <c r="V376" i="28"/>
  <c r="S376" i="28"/>
  <c r="T376" i="28"/>
  <c r="R375" i="28" l="1"/>
  <c r="Y375" i="28"/>
  <c r="Q376" i="28"/>
  <c r="N376" i="28" s="1"/>
  <c r="P376" i="28"/>
  <c r="J375" i="28"/>
  <c r="E377" i="28"/>
  <c r="K375" i="28"/>
  <c r="O375" i="28"/>
  <c r="L375" i="28"/>
  <c r="M375" i="28" s="1"/>
  <c r="H376" i="28"/>
  <c r="B378" i="28"/>
  <c r="A379" i="28"/>
  <c r="S377" i="28"/>
  <c r="V377" i="28"/>
  <c r="W377" i="28"/>
  <c r="X377" i="28"/>
  <c r="F377" i="28"/>
  <c r="C378" i="28"/>
  <c r="T377" i="28"/>
  <c r="U377" i="28"/>
  <c r="G377" i="28"/>
  <c r="D378" i="28"/>
  <c r="I377" i="28"/>
  <c r="E378" i="28" l="1"/>
  <c r="Q377" i="28"/>
  <c r="N377" i="28" s="1"/>
  <c r="P377" i="28"/>
  <c r="J376" i="28"/>
  <c r="Y376" i="28"/>
  <c r="R376" i="28"/>
  <c r="H377" i="28"/>
  <c r="L376" i="28"/>
  <c r="M376" i="28" s="1"/>
  <c r="K376" i="28"/>
  <c r="O376" i="28"/>
  <c r="A380" i="28"/>
  <c r="B379" i="28"/>
  <c r="G378" i="28"/>
  <c r="V378" i="28"/>
  <c r="S378" i="28"/>
  <c r="W378" i="28"/>
  <c r="C379" i="28"/>
  <c r="I378" i="28"/>
  <c r="X378" i="28"/>
  <c r="T378" i="28"/>
  <c r="F378" i="28"/>
  <c r="U378" i="28"/>
  <c r="D379" i="28"/>
  <c r="E379" i="28" l="1"/>
  <c r="Q378" i="28"/>
  <c r="N378" i="28" s="1"/>
  <c r="R377" i="28"/>
  <c r="Y377" i="28"/>
  <c r="P378" i="28"/>
  <c r="J377" i="28"/>
  <c r="L377" i="28"/>
  <c r="M377" i="28" s="1"/>
  <c r="K377" i="28"/>
  <c r="O377" i="28"/>
  <c r="H378" i="28"/>
  <c r="A381" i="28"/>
  <c r="B380" i="28"/>
  <c r="S379" i="28"/>
  <c r="F379" i="28"/>
  <c r="X379" i="28"/>
  <c r="W379" i="28"/>
  <c r="D380" i="28"/>
  <c r="G379" i="28"/>
  <c r="I379" i="28" s="1"/>
  <c r="U379" i="28"/>
  <c r="V379" i="28"/>
  <c r="T379" i="28"/>
  <c r="C380" i="28"/>
  <c r="E380" i="28" l="1"/>
  <c r="Q379" i="28"/>
  <c r="N379" i="28" s="1"/>
  <c r="P379" i="28"/>
  <c r="J378" i="28"/>
  <c r="Y378" i="28"/>
  <c r="R378" i="28"/>
  <c r="O378" i="28"/>
  <c r="L378" i="28"/>
  <c r="M378" i="28" s="1"/>
  <c r="K378" i="28"/>
  <c r="H379" i="28"/>
  <c r="A382" i="28"/>
  <c r="B381" i="28"/>
  <c r="U380" i="28"/>
  <c r="F380" i="28"/>
  <c r="T380" i="28"/>
  <c r="G380" i="28"/>
  <c r="D381" i="28"/>
  <c r="I380" i="28"/>
  <c r="X380" i="28"/>
  <c r="S380" i="28"/>
  <c r="W380" i="28"/>
  <c r="C381" i="28"/>
  <c r="V380" i="28"/>
  <c r="E381" i="28" l="1"/>
  <c r="P380" i="28"/>
  <c r="J379" i="28"/>
  <c r="Y379" i="28"/>
  <c r="R379" i="28"/>
  <c r="Q380" i="28"/>
  <c r="N380" i="28" s="1"/>
  <c r="L379" i="28"/>
  <c r="M379" i="28" s="1"/>
  <c r="K379" i="28"/>
  <c r="O379" i="28"/>
  <c r="H380" i="28"/>
  <c r="B382" i="28"/>
  <c r="A383" i="28"/>
  <c r="G381" i="28"/>
  <c r="F381" i="28"/>
  <c r="S381" i="28"/>
  <c r="V381" i="28"/>
  <c r="U381" i="28"/>
  <c r="D382" i="28"/>
  <c r="T381" i="28"/>
  <c r="X381" i="28"/>
  <c r="W381" i="28"/>
  <c r="C382" i="28"/>
  <c r="I381" i="28"/>
  <c r="E382" i="28" l="1"/>
  <c r="P381" i="28"/>
  <c r="J380" i="28"/>
  <c r="Y380" i="28"/>
  <c r="R380" i="28"/>
  <c r="Q381" i="28"/>
  <c r="N381" i="28" s="1"/>
  <c r="K380" i="28"/>
  <c r="O380" i="28"/>
  <c r="L380" i="28"/>
  <c r="M380" i="28" s="1"/>
  <c r="H381" i="28"/>
  <c r="A384" i="28"/>
  <c r="B383" i="28"/>
  <c r="C383" i="28"/>
  <c r="T382" i="28"/>
  <c r="U382" i="28"/>
  <c r="V382" i="28"/>
  <c r="S382" i="28"/>
  <c r="D383" i="28"/>
  <c r="G382" i="28"/>
  <c r="X382" i="28"/>
  <c r="W382" i="28"/>
  <c r="F382" i="28"/>
  <c r="I382" i="28"/>
  <c r="Y381" i="28" l="1"/>
  <c r="R381" i="28"/>
  <c r="Q382" i="28"/>
  <c r="N382" i="28" s="1"/>
  <c r="P382" i="28"/>
  <c r="J381" i="28"/>
  <c r="E383" i="28"/>
  <c r="H382" i="28"/>
  <c r="O381" i="28"/>
  <c r="L381" i="28"/>
  <c r="M381" i="28" s="1"/>
  <c r="K381" i="28"/>
  <c r="B384" i="28"/>
  <c r="A385" i="28"/>
  <c r="T383" i="28"/>
  <c r="X383" i="28"/>
  <c r="W383" i="28"/>
  <c r="V383" i="28"/>
  <c r="D384" i="28"/>
  <c r="U383" i="28"/>
  <c r="C384" i="28"/>
  <c r="G383" i="28"/>
  <c r="I383" i="28" s="1"/>
  <c r="F383" i="28"/>
  <c r="S383" i="28"/>
  <c r="E384" i="28" l="1"/>
  <c r="Y382" i="28"/>
  <c r="R382" i="28"/>
  <c r="Q383" i="28"/>
  <c r="N383" i="28" s="1"/>
  <c r="P383" i="28"/>
  <c r="J382" i="28"/>
  <c r="L382" i="28"/>
  <c r="M382" i="28" s="1"/>
  <c r="K382" i="28"/>
  <c r="O382" i="28"/>
  <c r="H383" i="28"/>
  <c r="A386" i="28"/>
  <c r="B385" i="28"/>
  <c r="W384" i="28"/>
  <c r="V384" i="28"/>
  <c r="U384" i="28"/>
  <c r="G384" i="28"/>
  <c r="C385" i="28"/>
  <c r="I384" i="28"/>
  <c r="T384" i="28"/>
  <c r="F384" i="28"/>
  <c r="S384" i="28"/>
  <c r="D385" i="28"/>
  <c r="X384" i="28"/>
  <c r="E385" i="28" l="1"/>
  <c r="R383" i="28"/>
  <c r="Y383" i="28"/>
  <c r="P384" i="28"/>
  <c r="J383" i="28"/>
  <c r="Q384" i="28"/>
  <c r="N384" i="28" s="1"/>
  <c r="K383" i="28"/>
  <c r="O383" i="28"/>
  <c r="L383" i="28"/>
  <c r="M383" i="28" s="1"/>
  <c r="H384" i="28"/>
  <c r="A387" i="28"/>
  <c r="B386" i="28"/>
  <c r="D386" i="28"/>
  <c r="U385" i="28"/>
  <c r="W385" i="28"/>
  <c r="T385" i="28"/>
  <c r="F385" i="28"/>
  <c r="C386" i="28"/>
  <c r="S385" i="28"/>
  <c r="V385" i="28"/>
  <c r="G385" i="28"/>
  <c r="I385" i="28" s="1"/>
  <c r="X385" i="28"/>
  <c r="P385" i="28" l="1"/>
  <c r="J384" i="28"/>
  <c r="Q385" i="28"/>
  <c r="N385" i="28" s="1"/>
  <c r="Y384" i="28"/>
  <c r="R384" i="28"/>
  <c r="E386" i="28"/>
  <c r="H385" i="28"/>
  <c r="L384" i="28"/>
  <c r="M384" i="28" s="1"/>
  <c r="K384" i="28"/>
  <c r="O384" i="28"/>
  <c r="B387" i="28"/>
  <c r="A388" i="28"/>
  <c r="F386" i="28"/>
  <c r="V386" i="28"/>
  <c r="X386" i="28"/>
  <c r="T386" i="28"/>
  <c r="C387" i="28"/>
  <c r="W386" i="28"/>
  <c r="S386" i="28"/>
  <c r="G386" i="28"/>
  <c r="I386" i="28" s="1"/>
  <c r="U386" i="28"/>
  <c r="D387" i="28"/>
  <c r="E387" i="28" l="1"/>
  <c r="P386" i="28"/>
  <c r="J385" i="28"/>
  <c r="Y385" i="28"/>
  <c r="R385" i="28"/>
  <c r="Q386" i="28"/>
  <c r="N386" i="28" s="1"/>
  <c r="H386" i="28"/>
  <c r="L385" i="28"/>
  <c r="M385" i="28" s="1"/>
  <c r="K385" i="28"/>
  <c r="O385" i="28"/>
  <c r="B388" i="28"/>
  <c r="A389" i="28"/>
  <c r="T387" i="28"/>
  <c r="X387" i="28"/>
  <c r="W387" i="28"/>
  <c r="V387" i="28"/>
  <c r="C388" i="28"/>
  <c r="F387" i="28"/>
  <c r="U387" i="28"/>
  <c r="G387" i="28"/>
  <c r="I387" i="28" s="1"/>
  <c r="S387" i="28"/>
  <c r="D388" i="28"/>
  <c r="E388" i="28" l="1"/>
  <c r="Y386" i="28"/>
  <c r="R386" i="28"/>
  <c r="P387" i="28"/>
  <c r="J386" i="28"/>
  <c r="Q387" i="28"/>
  <c r="N387" i="28" s="1"/>
  <c r="H387" i="28"/>
  <c r="O386" i="28"/>
  <c r="L386" i="28"/>
  <c r="M386" i="28" s="1"/>
  <c r="K386" i="28"/>
  <c r="A390" i="28"/>
  <c r="B389" i="28"/>
  <c r="D389" i="28"/>
  <c r="F388" i="28"/>
  <c r="U388" i="28"/>
  <c r="X388" i="28"/>
  <c r="T388" i="28"/>
  <c r="C389" i="28"/>
  <c r="G388" i="28"/>
  <c r="W388" i="28"/>
  <c r="S388" i="28"/>
  <c r="V388" i="28"/>
  <c r="I388" i="28"/>
  <c r="Y387" i="28" l="1"/>
  <c r="R387" i="28"/>
  <c r="Q388" i="28"/>
  <c r="N388" i="28" s="1"/>
  <c r="P388" i="28"/>
  <c r="J387" i="28"/>
  <c r="E389" i="28"/>
  <c r="H388" i="28"/>
  <c r="K387" i="28"/>
  <c r="O387" i="28"/>
  <c r="L387" i="28"/>
  <c r="M387" i="28" s="1"/>
  <c r="B390" i="28"/>
  <c r="A391" i="28"/>
  <c r="S389" i="28"/>
  <c r="W389" i="28"/>
  <c r="F389" i="28"/>
  <c r="U389" i="28"/>
  <c r="D390" i="28"/>
  <c r="T389" i="28"/>
  <c r="G389" i="28"/>
  <c r="I389" i="28" s="1"/>
  <c r="X389" i="28"/>
  <c r="V389" i="28"/>
  <c r="C390" i="28"/>
  <c r="E390" i="28" l="1"/>
  <c r="Q389" i="28"/>
  <c r="N389" i="28" s="1"/>
  <c r="P389" i="28"/>
  <c r="J388" i="28"/>
  <c r="R388" i="28"/>
  <c r="Y388" i="28"/>
  <c r="O388" i="28"/>
  <c r="L388" i="28"/>
  <c r="M388" i="28" s="1"/>
  <c r="K388" i="28"/>
  <c r="H389" i="28"/>
  <c r="A392" i="28"/>
  <c r="B391" i="28"/>
  <c r="C391" i="28"/>
  <c r="G390" i="28"/>
  <c r="X390" i="28"/>
  <c r="T390" i="28"/>
  <c r="F390" i="28"/>
  <c r="I390" i="28"/>
  <c r="D391" i="28"/>
  <c r="U390" i="28"/>
  <c r="V390" i="28"/>
  <c r="S390" i="28"/>
  <c r="W390" i="28"/>
  <c r="Y389" i="28" l="1"/>
  <c r="R389" i="28"/>
  <c r="Q390" i="28"/>
  <c r="N390" i="28" s="1"/>
  <c r="P390" i="28"/>
  <c r="J389" i="28"/>
  <c r="E391" i="28"/>
  <c r="O389" i="28"/>
  <c r="L389" i="28"/>
  <c r="M389" i="28" s="1"/>
  <c r="K389" i="28"/>
  <c r="H390" i="28"/>
  <c r="B392" i="28"/>
  <c r="A393" i="28"/>
  <c r="W391" i="28"/>
  <c r="T391" i="28"/>
  <c r="F391" i="28"/>
  <c r="X391" i="28"/>
  <c r="D392" i="28"/>
  <c r="U391" i="28"/>
  <c r="V391" i="28"/>
  <c r="G391" i="28"/>
  <c r="I391" i="28" s="1"/>
  <c r="S391" i="28"/>
  <c r="C392" i="28"/>
  <c r="E392" i="28" l="1"/>
  <c r="Y390" i="28"/>
  <c r="R390" i="28"/>
  <c r="P391" i="28"/>
  <c r="J390" i="28"/>
  <c r="Q391" i="28"/>
  <c r="N391" i="28" s="1"/>
  <c r="H391" i="28"/>
  <c r="O390" i="28"/>
  <c r="L390" i="28"/>
  <c r="M390" i="28" s="1"/>
  <c r="K390" i="28"/>
  <c r="A394" i="28"/>
  <c r="B393" i="28"/>
  <c r="G392" i="28"/>
  <c r="F392" i="28"/>
  <c r="X392" i="28"/>
  <c r="W392" i="28"/>
  <c r="D393" i="28"/>
  <c r="I392" i="28"/>
  <c r="V392" i="28"/>
  <c r="T392" i="28"/>
  <c r="S392" i="28"/>
  <c r="U392" i="28"/>
  <c r="C393" i="28"/>
  <c r="E393" i="28" l="1"/>
  <c r="Y391" i="28"/>
  <c r="R391" i="28"/>
  <c r="Q392" i="28"/>
  <c r="N392" i="28" s="1"/>
  <c r="P392" i="28"/>
  <c r="J391" i="28"/>
  <c r="O391" i="28"/>
  <c r="L391" i="28"/>
  <c r="M391" i="28" s="1"/>
  <c r="K391" i="28"/>
  <c r="H392" i="28"/>
  <c r="B394" i="28"/>
  <c r="A395" i="28"/>
  <c r="X393" i="28"/>
  <c r="S393" i="28"/>
  <c r="G393" i="28"/>
  <c r="V393" i="28"/>
  <c r="C394" i="28"/>
  <c r="I393" i="28"/>
  <c r="W393" i="28"/>
  <c r="T393" i="28"/>
  <c r="F393" i="28"/>
  <c r="U393" i="28"/>
  <c r="D394" i="28"/>
  <c r="E394" i="28" l="1"/>
  <c r="Q393" i="28"/>
  <c r="N393" i="28" s="1"/>
  <c r="P393" i="28"/>
  <c r="J392" i="28"/>
  <c r="R392" i="28"/>
  <c r="Y392" i="28"/>
  <c r="O392" i="28"/>
  <c r="K392" i="28"/>
  <c r="L392" i="28"/>
  <c r="M392" i="28" s="1"/>
  <c r="H393" i="28"/>
  <c r="A396" i="28"/>
  <c r="B395" i="28"/>
  <c r="G394" i="28"/>
  <c r="C395" i="28"/>
  <c r="S394" i="28"/>
  <c r="T394" i="28"/>
  <c r="X394" i="28"/>
  <c r="U394" i="28"/>
  <c r="D395" i="28"/>
  <c r="F394" i="28"/>
  <c r="V394" i="28"/>
  <c r="W394" i="28"/>
  <c r="I394" i="28"/>
  <c r="P394" i="28" l="1"/>
  <c r="J393" i="28"/>
  <c r="Y393" i="28"/>
  <c r="R393" i="28"/>
  <c r="Q394" i="28"/>
  <c r="N394" i="28" s="1"/>
  <c r="E395" i="28"/>
  <c r="O393" i="28"/>
  <c r="K393" i="28"/>
  <c r="L393" i="28"/>
  <c r="M393" i="28" s="1"/>
  <c r="H394" i="28"/>
  <c r="B396" i="28"/>
  <c r="A397" i="28"/>
  <c r="F395" i="28"/>
  <c r="U395" i="28"/>
  <c r="T395" i="28"/>
  <c r="G395" i="28"/>
  <c r="D396" i="28"/>
  <c r="I395" i="28"/>
  <c r="X395" i="28"/>
  <c r="W395" i="28"/>
  <c r="S395" i="28"/>
  <c r="V395" i="28"/>
  <c r="C396" i="28"/>
  <c r="E396" i="28" l="1"/>
  <c r="P395" i="28"/>
  <c r="J394" i="28"/>
  <c r="R394" i="28"/>
  <c r="Y394" i="28"/>
  <c r="Q395" i="28"/>
  <c r="N395" i="28" s="1"/>
  <c r="H395" i="28"/>
  <c r="L394" i="28"/>
  <c r="M394" i="28" s="1"/>
  <c r="K394" i="28"/>
  <c r="O394" i="28"/>
  <c r="A398" i="28"/>
  <c r="B397" i="28"/>
  <c r="F396" i="28"/>
  <c r="W396" i="28"/>
  <c r="X396" i="28"/>
  <c r="V396" i="28"/>
  <c r="D397" i="28"/>
  <c r="U396" i="28"/>
  <c r="S396" i="28"/>
  <c r="G396" i="28"/>
  <c r="I396" i="28" s="1"/>
  <c r="C397" i="28"/>
  <c r="T396" i="28"/>
  <c r="E397" i="28" l="1"/>
  <c r="P396" i="28"/>
  <c r="J395" i="28"/>
  <c r="R395" i="28"/>
  <c r="Y395" i="28"/>
  <c r="Q396" i="28"/>
  <c r="N396" i="28" s="1"/>
  <c r="O395" i="28"/>
  <c r="L395" i="28"/>
  <c r="M395" i="28" s="1"/>
  <c r="K395" i="28"/>
  <c r="H396" i="28"/>
  <c r="B398" i="28"/>
  <c r="A399" i="28"/>
  <c r="G397" i="28"/>
  <c r="T397" i="28"/>
  <c r="F397" i="28"/>
  <c r="V397" i="28"/>
  <c r="D398" i="28"/>
  <c r="I397" i="28"/>
  <c r="S397" i="28"/>
  <c r="W397" i="28"/>
  <c r="U397" i="28"/>
  <c r="C398" i="28"/>
  <c r="X397" i="28"/>
  <c r="E398" i="28" l="1"/>
  <c r="Q397" i="28"/>
  <c r="N397" i="28" s="1"/>
  <c r="Y396" i="28"/>
  <c r="R396" i="28"/>
  <c r="P397" i="28"/>
  <c r="J396" i="28"/>
  <c r="H397" i="28"/>
  <c r="K396" i="28"/>
  <c r="O396" i="28"/>
  <c r="L396" i="28"/>
  <c r="M396" i="28" s="1"/>
  <c r="A400" i="28"/>
  <c r="B399" i="28"/>
  <c r="F398" i="28"/>
  <c r="X398" i="28"/>
  <c r="G398" i="28"/>
  <c r="S398" i="28"/>
  <c r="D399" i="28"/>
  <c r="I398" i="28"/>
  <c r="C399" i="28"/>
  <c r="T398" i="28"/>
  <c r="U398" i="28"/>
  <c r="V398" i="28"/>
  <c r="W398" i="28"/>
  <c r="E399" i="28" l="1"/>
  <c r="Y397" i="28"/>
  <c r="R397" i="28"/>
  <c r="P398" i="28"/>
  <c r="J397" i="28"/>
  <c r="Q398" i="28"/>
  <c r="N398" i="28" s="1"/>
  <c r="L397" i="28"/>
  <c r="M397" i="28" s="1"/>
  <c r="K397" i="28"/>
  <c r="O397" i="28"/>
  <c r="H398" i="28"/>
  <c r="B400" i="28"/>
  <c r="A401" i="28"/>
  <c r="V399" i="28"/>
  <c r="W399" i="28"/>
  <c r="F399" i="28"/>
  <c r="T399" i="28"/>
  <c r="C400" i="28"/>
  <c r="G399" i="28"/>
  <c r="S399" i="28"/>
  <c r="U399" i="28"/>
  <c r="X399" i="28"/>
  <c r="D400" i="28"/>
  <c r="I399" i="28"/>
  <c r="E400" i="28" l="1"/>
  <c r="Q399" i="28"/>
  <c r="N399" i="28" s="1"/>
  <c r="Y398" i="28"/>
  <c r="R398" i="28"/>
  <c r="P399" i="28"/>
  <c r="J398" i="28"/>
  <c r="L398" i="28"/>
  <c r="M398" i="28" s="1"/>
  <c r="K398" i="28"/>
  <c r="O398" i="28"/>
  <c r="H399" i="28"/>
  <c r="A402" i="28"/>
  <c r="B401" i="28"/>
  <c r="D401" i="28"/>
  <c r="S400" i="28"/>
  <c r="V400" i="28"/>
  <c r="U400" i="28"/>
  <c r="F400" i="28"/>
  <c r="G400" i="28"/>
  <c r="I400" i="28" s="1"/>
  <c r="T400" i="28"/>
  <c r="W400" i="28"/>
  <c r="X400" i="28"/>
  <c r="C401" i="28"/>
  <c r="Q400" i="28" l="1"/>
  <c r="N400" i="28" s="1"/>
  <c r="P400" i="28"/>
  <c r="J399" i="28"/>
  <c r="R399" i="28"/>
  <c r="Y399" i="28"/>
  <c r="E401" i="28"/>
  <c r="L399" i="28"/>
  <c r="M399" i="28" s="1"/>
  <c r="K399" i="28"/>
  <c r="O399" i="28"/>
  <c r="H400" i="28"/>
  <c r="B402" i="28"/>
  <c r="A403" i="28"/>
  <c r="V401" i="28"/>
  <c r="G401" i="28"/>
  <c r="X401" i="28"/>
  <c r="T401" i="28"/>
  <c r="C402" i="28"/>
  <c r="I401" i="28"/>
  <c r="F401" i="28"/>
  <c r="W401" i="28"/>
  <c r="D402" i="28"/>
  <c r="S401" i="28"/>
  <c r="U401" i="28"/>
  <c r="E402" i="28" l="1"/>
  <c r="Q401" i="28"/>
  <c r="N401" i="28" s="1"/>
  <c r="P401" i="28"/>
  <c r="J400" i="28"/>
  <c r="Y400" i="28"/>
  <c r="R400" i="28"/>
  <c r="O400" i="28"/>
  <c r="L400" i="28"/>
  <c r="M400" i="28" s="1"/>
  <c r="K400" i="28"/>
  <c r="H401" i="28"/>
  <c r="A404" i="28"/>
  <c r="B403" i="28"/>
  <c r="F402" i="28"/>
  <c r="S402" i="28"/>
  <c r="X402" i="28"/>
  <c r="W402" i="28"/>
  <c r="C403" i="28"/>
  <c r="G402" i="28"/>
  <c r="I402" i="28" s="1"/>
  <c r="T402" i="28"/>
  <c r="V402" i="28"/>
  <c r="D403" i="28"/>
  <c r="U402" i="28"/>
  <c r="E403" i="28" l="1"/>
  <c r="R401" i="28"/>
  <c r="Y401" i="28"/>
  <c r="P402" i="28"/>
  <c r="J401" i="28"/>
  <c r="Q402" i="28"/>
  <c r="N402" i="28" s="1"/>
  <c r="L401" i="28"/>
  <c r="M401" i="28" s="1"/>
  <c r="K401" i="28"/>
  <c r="O401" i="28"/>
  <c r="H402" i="28"/>
  <c r="B404" i="28"/>
  <c r="A405" i="28"/>
  <c r="C404" i="28"/>
  <c r="F403" i="28"/>
  <c r="W403" i="28"/>
  <c r="S403" i="28"/>
  <c r="X403" i="28"/>
  <c r="D404" i="28"/>
  <c r="U403" i="28"/>
  <c r="V403" i="28"/>
  <c r="T403" i="28"/>
  <c r="G403" i="28"/>
  <c r="I403" i="28"/>
  <c r="E404" i="28" l="1"/>
  <c r="P403" i="28"/>
  <c r="J402" i="28"/>
  <c r="Y402" i="28"/>
  <c r="R402" i="28"/>
  <c r="Q403" i="28"/>
  <c r="N403" i="28" s="1"/>
  <c r="O402" i="28"/>
  <c r="L402" i="28"/>
  <c r="M402" i="28" s="1"/>
  <c r="K402" i="28"/>
  <c r="H403" i="28"/>
  <c r="B405" i="28"/>
  <c r="A406" i="28"/>
  <c r="W404" i="28"/>
  <c r="G404" i="28"/>
  <c r="V404" i="28"/>
  <c r="F404" i="28"/>
  <c r="D405" i="28"/>
  <c r="I404" i="28"/>
  <c r="U404" i="28"/>
  <c r="X404" i="28"/>
  <c r="S404" i="28"/>
  <c r="T404" i="28"/>
  <c r="C405" i="28"/>
  <c r="E405" i="28" l="1"/>
  <c r="Q404" i="28"/>
  <c r="N404" i="28" s="1"/>
  <c r="R403" i="28"/>
  <c r="Y403" i="28"/>
  <c r="P404" i="28"/>
  <c r="J403" i="28"/>
  <c r="O403" i="28"/>
  <c r="K403" i="28"/>
  <c r="L403" i="28"/>
  <c r="M403" i="28" s="1"/>
  <c r="H404" i="28"/>
  <c r="B406" i="28"/>
  <c r="A407" i="28"/>
  <c r="F872" i="29"/>
  <c r="F865" i="29"/>
  <c r="G868" i="29"/>
  <c r="G864" i="29"/>
  <c r="G871" i="29"/>
  <c r="A876" i="29"/>
  <c r="A880" i="29"/>
  <c r="A882" i="29"/>
  <c r="B884" i="29"/>
  <c r="B876" i="29"/>
  <c r="C881" i="29"/>
  <c r="C875" i="29"/>
  <c r="D877" i="29"/>
  <c r="D883" i="29"/>
  <c r="E875" i="29"/>
  <c r="E876" i="29"/>
  <c r="E880" i="29"/>
  <c r="F880" i="29"/>
  <c r="F881" i="29"/>
  <c r="G877" i="29"/>
  <c r="G881" i="29"/>
  <c r="G875" i="29"/>
  <c r="A896" i="29"/>
  <c r="A888" i="29"/>
  <c r="B894" i="29"/>
  <c r="B892" i="29"/>
  <c r="C894" i="29"/>
  <c r="C892" i="29"/>
  <c r="C893" i="29"/>
  <c r="D894" i="29"/>
  <c r="D895" i="29"/>
  <c r="E889" i="29"/>
  <c r="E892" i="29"/>
  <c r="E895" i="29"/>
  <c r="F890" i="29"/>
  <c r="F891" i="29" s="1"/>
  <c r="F888" i="29"/>
  <c r="G894" i="29"/>
  <c r="G895" i="29"/>
  <c r="A899" i="29"/>
  <c r="A902" i="29"/>
  <c r="A903" i="29" s="1"/>
  <c r="A906" i="29"/>
  <c r="B906" i="29"/>
  <c r="B899" i="29"/>
  <c r="B904" i="29"/>
  <c r="C899" i="29"/>
  <c r="C900" i="29"/>
  <c r="D908" i="29"/>
  <c r="D906" i="29"/>
  <c r="E899" i="29"/>
  <c r="E905" i="29"/>
  <c r="F908" i="29"/>
  <c r="F904" i="29"/>
  <c r="F900" i="29"/>
  <c r="G902" i="29"/>
  <c r="G903" i="29" s="1"/>
  <c r="G905" i="29"/>
  <c r="A918" i="29"/>
  <c r="A914" i="29"/>
  <c r="A915" i="29" s="1"/>
  <c r="B916" i="29"/>
  <c r="B914" i="29"/>
  <c r="B915" i="29" s="1"/>
  <c r="F863" i="29"/>
  <c r="B880" i="29"/>
  <c r="B881" i="29"/>
  <c r="C884" i="29"/>
  <c r="D876" i="29"/>
  <c r="D875" i="29"/>
  <c r="F877" i="29"/>
  <c r="G884" i="29"/>
  <c r="A895" i="29"/>
  <c r="B888" i="29"/>
  <c r="B895" i="29"/>
  <c r="C890" i="29"/>
  <c r="C891" i="29" s="1"/>
  <c r="D890" i="29"/>
  <c r="D891" i="29" s="1"/>
  <c r="D896" i="29"/>
  <c r="E893" i="29"/>
  <c r="F892" i="29"/>
  <c r="G888" i="29"/>
  <c r="G890" i="29"/>
  <c r="G891" i="29" s="1"/>
  <c r="A907" i="29"/>
  <c r="B902" i="29"/>
  <c r="B903" i="29" s="1"/>
  <c r="C907" i="29"/>
  <c r="C905" i="29"/>
  <c r="D900" i="29"/>
  <c r="E908" i="29"/>
  <c r="F899" i="29"/>
  <c r="F905" i="29"/>
  <c r="B913" i="29"/>
  <c r="B917" i="29"/>
  <c r="G869" i="29"/>
  <c r="A875" i="29"/>
  <c r="D884" i="29"/>
  <c r="E884" i="29"/>
  <c r="F884" i="29"/>
  <c r="A889" i="29"/>
  <c r="C896" i="29"/>
  <c r="E887" i="29"/>
  <c r="E896" i="29"/>
  <c r="F894" i="29"/>
  <c r="G887" i="29"/>
  <c r="B907" i="29"/>
  <c r="E900" i="29"/>
  <c r="G900" i="29"/>
  <c r="B912" i="29"/>
  <c r="F868" i="29"/>
  <c r="F869" i="29"/>
  <c r="F870" i="29"/>
  <c r="G866" i="29"/>
  <c r="G867" i="29" s="1"/>
  <c r="G863" i="29"/>
  <c r="A878" i="29"/>
  <c r="A879" i="29" s="1"/>
  <c r="A877" i="29"/>
  <c r="B875" i="29"/>
  <c r="B883" i="29"/>
  <c r="C880" i="29"/>
  <c r="C883" i="29"/>
  <c r="D882" i="29"/>
  <c r="D881" i="29"/>
  <c r="E881" i="29"/>
  <c r="E883" i="29"/>
  <c r="F876" i="29"/>
  <c r="F878" i="29"/>
  <c r="F879" i="29" s="1"/>
  <c r="F882" i="29"/>
  <c r="G883" i="29"/>
  <c r="G878" i="29"/>
  <c r="G879" i="29" s="1"/>
  <c r="A890" i="29"/>
  <c r="A891" i="29" s="1"/>
  <c r="A892" i="29"/>
  <c r="B896" i="29"/>
  <c r="B893" i="29"/>
  <c r="C888" i="29"/>
  <c r="C887" i="29"/>
  <c r="D893" i="29"/>
  <c r="D892" i="29"/>
  <c r="E888" i="29"/>
  <c r="E894" i="29"/>
  <c r="F896" i="29"/>
  <c r="F895" i="29"/>
  <c r="G893" i="29"/>
  <c r="G889" i="29"/>
  <c r="A901" i="29"/>
  <c r="A905" i="29"/>
  <c r="B908" i="29"/>
  <c r="B901" i="29"/>
  <c r="C901" i="29"/>
  <c r="C908" i="29"/>
  <c r="D907" i="29"/>
  <c r="D899" i="29"/>
  <c r="E901" i="29"/>
  <c r="E907" i="29"/>
  <c r="E906" i="29"/>
  <c r="F902" i="29"/>
  <c r="F903" i="29" s="1"/>
  <c r="F907" i="29"/>
  <c r="G907" i="29"/>
  <c r="G906" i="29"/>
  <c r="G899" i="29"/>
  <c r="A911" i="29"/>
  <c r="A917" i="29"/>
  <c r="A912" i="29"/>
  <c r="B911" i="29"/>
  <c r="B920" i="29"/>
  <c r="F864" i="29"/>
  <c r="F871" i="29"/>
  <c r="G872" i="29"/>
  <c r="A884" i="29"/>
  <c r="A883" i="29"/>
  <c r="B878" i="29"/>
  <c r="B879" i="29" s="1"/>
  <c r="C878" i="29"/>
  <c r="C879" i="29" s="1"/>
  <c r="C877" i="29"/>
  <c r="D878" i="29"/>
  <c r="D879" i="29" s="1"/>
  <c r="F883" i="29"/>
  <c r="A887" i="29"/>
  <c r="A893" i="29"/>
  <c r="B887" i="29"/>
  <c r="C895" i="29"/>
  <c r="C889" i="29"/>
  <c r="D887" i="29"/>
  <c r="F889" i="29"/>
  <c r="G892" i="29"/>
  <c r="A908" i="29"/>
  <c r="A900" i="29"/>
  <c r="B905" i="29"/>
  <c r="B900" i="29"/>
  <c r="C904" i="29"/>
  <c r="D902" i="29"/>
  <c r="D903" i="29" s="1"/>
  <c r="D904" i="29"/>
  <c r="D901" i="29"/>
  <c r="E904" i="29"/>
  <c r="G908" i="29"/>
  <c r="G904" i="29"/>
  <c r="A919" i="29"/>
  <c r="A916" i="29"/>
  <c r="B918" i="29"/>
  <c r="F866" i="29"/>
  <c r="F867" i="29" s="1"/>
  <c r="G870" i="29"/>
  <c r="B877" i="29"/>
  <c r="C882" i="29"/>
  <c r="D880" i="29"/>
  <c r="E878" i="29"/>
  <c r="E879" i="29" s="1"/>
  <c r="E882" i="29"/>
  <c r="F875" i="29"/>
  <c r="G876" i="29"/>
  <c r="G880" i="29"/>
  <c r="A894" i="29"/>
  <c r="B890" i="29"/>
  <c r="B891" i="29" s="1"/>
  <c r="B889" i="29"/>
  <c r="D889" i="29"/>
  <c r="D888" i="29"/>
  <c r="E890" i="29"/>
  <c r="E891" i="29" s="1"/>
  <c r="F887" i="29"/>
  <c r="G896" i="29"/>
  <c r="A904" i="29"/>
  <c r="C906" i="29"/>
  <c r="D905" i="29"/>
  <c r="E902" i="29"/>
  <c r="E903" i="29" s="1"/>
  <c r="F906" i="29"/>
  <c r="A913" i="29"/>
  <c r="G865" i="29"/>
  <c r="A881" i="29"/>
  <c r="B882" i="29"/>
  <c r="C876" i="29"/>
  <c r="E877" i="29"/>
  <c r="G882" i="29"/>
  <c r="F893" i="29"/>
  <c r="C902" i="29"/>
  <c r="C903" i="29" s="1"/>
  <c r="F901" i="29"/>
  <c r="G901" i="29"/>
  <c r="A920" i="29"/>
  <c r="B919" i="29"/>
  <c r="G405" i="28"/>
  <c r="T405" i="28"/>
  <c r="V405" i="28"/>
  <c r="U405" i="28"/>
  <c r="D406" i="28"/>
  <c r="W405" i="28"/>
  <c r="S405" i="28"/>
  <c r="F405" i="28"/>
  <c r="X405" i="28"/>
  <c r="C406" i="28"/>
  <c r="I405" i="28"/>
  <c r="E406" i="28" l="1"/>
  <c r="Q405" i="28"/>
  <c r="N405" i="28" s="1"/>
  <c r="R404" i="28"/>
  <c r="Y404" i="28"/>
  <c r="P405" i="28"/>
  <c r="J404" i="28"/>
  <c r="L404" i="28"/>
  <c r="M404" i="28" s="1"/>
  <c r="K404" i="28"/>
  <c r="O404" i="28"/>
  <c r="H405" i="28"/>
  <c r="A408" i="28"/>
  <c r="B407" i="28"/>
  <c r="V406" i="28"/>
  <c r="F406" i="28"/>
  <c r="T406" i="28"/>
  <c r="W406" i="28"/>
  <c r="C407" i="28"/>
  <c r="G406" i="28"/>
  <c r="I406" i="28" s="1"/>
  <c r="X406" i="28"/>
  <c r="S406" i="28"/>
  <c r="U406" i="28"/>
  <c r="D407" i="28"/>
  <c r="E407" i="28" l="1"/>
  <c r="R405" i="28"/>
  <c r="Y405" i="28"/>
  <c r="Q406" i="28"/>
  <c r="N406" i="28" s="1"/>
  <c r="P406" i="28"/>
  <c r="J405" i="28"/>
  <c r="O405" i="28"/>
  <c r="L405" i="28"/>
  <c r="M405" i="28" s="1"/>
  <c r="K405" i="28"/>
  <c r="H406" i="28"/>
  <c r="B408" i="28"/>
  <c r="A409" i="28"/>
  <c r="G407" i="28"/>
  <c r="U407" i="28"/>
  <c r="X407" i="28"/>
  <c r="W407" i="28"/>
  <c r="D408" i="28"/>
  <c r="I407" i="28"/>
  <c r="T407" i="28"/>
  <c r="F407" i="28"/>
  <c r="S407" i="28"/>
  <c r="V407" i="28"/>
  <c r="C408" i="28"/>
  <c r="E408" i="28" l="1"/>
  <c r="Y406" i="28"/>
  <c r="R406" i="28"/>
  <c r="Q407" i="28"/>
  <c r="N407" i="28" s="1"/>
  <c r="P407" i="28"/>
  <c r="J406" i="28"/>
  <c r="L406" i="28"/>
  <c r="M406" i="28" s="1"/>
  <c r="K406" i="28"/>
  <c r="O406" i="28"/>
  <c r="H407" i="28"/>
  <c r="A410" i="28"/>
  <c r="B409" i="28"/>
  <c r="F408" i="28"/>
  <c r="T408" i="28"/>
  <c r="V408" i="28"/>
  <c r="S408" i="28"/>
  <c r="D409" i="28"/>
  <c r="G408" i="28"/>
  <c r="I408" i="28" s="1"/>
  <c r="X408" i="28"/>
  <c r="U408" i="28"/>
  <c r="W408" i="28"/>
  <c r="C409" i="28"/>
  <c r="E409" i="28" l="1"/>
  <c r="R407" i="28"/>
  <c r="Y407" i="28"/>
  <c r="P408" i="28"/>
  <c r="J407" i="28"/>
  <c r="Q408" i="28"/>
  <c r="N408" i="28" s="1"/>
  <c r="L407" i="28"/>
  <c r="M407" i="28" s="1"/>
  <c r="K407" i="28"/>
  <c r="O407" i="28"/>
  <c r="H408" i="28"/>
  <c r="B410" i="28"/>
  <c r="A411" i="28"/>
  <c r="X409" i="28"/>
  <c r="G409" i="28"/>
  <c r="T409" i="28"/>
  <c r="F409" i="28"/>
  <c r="D410" i="28"/>
  <c r="I409" i="28"/>
  <c r="U409" i="28"/>
  <c r="S409" i="28"/>
  <c r="V409" i="28"/>
  <c r="C410" i="28"/>
  <c r="W409" i="28"/>
  <c r="E410" i="28" l="1"/>
  <c r="Q409" i="28"/>
  <c r="N409" i="28" s="1"/>
  <c r="R408" i="28"/>
  <c r="Y408" i="28"/>
  <c r="P409" i="28"/>
  <c r="J408" i="28"/>
  <c r="H409" i="28"/>
  <c r="O408" i="28"/>
  <c r="L408" i="28"/>
  <c r="M408" i="28" s="1"/>
  <c r="K408" i="28"/>
  <c r="A412" i="28"/>
  <c r="B411" i="28"/>
  <c r="D411" i="28"/>
  <c r="X410" i="28"/>
  <c r="W410" i="28"/>
  <c r="G410" i="28"/>
  <c r="T410" i="28"/>
  <c r="I410" i="28"/>
  <c r="C411" i="28"/>
  <c r="S410" i="28"/>
  <c r="F410" i="28"/>
  <c r="U410" i="28"/>
  <c r="V410" i="28"/>
  <c r="Q410" i="28" l="1"/>
  <c r="N410" i="28" s="1"/>
  <c r="P410" i="28"/>
  <c r="J409" i="28"/>
  <c r="R409" i="28"/>
  <c r="Y409" i="28"/>
  <c r="E411" i="28"/>
  <c r="L409" i="28"/>
  <c r="M409" i="28" s="1"/>
  <c r="O409" i="28"/>
  <c r="K409" i="28"/>
  <c r="H410" i="28"/>
  <c r="B412" i="28"/>
  <c r="A413" i="28"/>
  <c r="W411" i="28"/>
  <c r="U411" i="28"/>
  <c r="X411" i="28"/>
  <c r="F411" i="28"/>
  <c r="C412" i="28"/>
  <c r="S411" i="28"/>
  <c r="V411" i="28"/>
  <c r="T411" i="28"/>
  <c r="D412" i="28"/>
  <c r="G411" i="28"/>
  <c r="I411" i="28" s="1"/>
  <c r="E412" i="28" l="1"/>
  <c r="Q411" i="28"/>
  <c r="N411" i="28" s="1"/>
  <c r="P411" i="28"/>
  <c r="J410" i="28"/>
  <c r="R410" i="28"/>
  <c r="Y410" i="28"/>
  <c r="H411" i="28"/>
  <c r="O410" i="28"/>
  <c r="L410" i="28"/>
  <c r="M410" i="28" s="1"/>
  <c r="K410" i="28"/>
  <c r="A414" i="28"/>
  <c r="B413" i="28"/>
  <c r="C413" i="28"/>
  <c r="D413" i="28"/>
  <c r="F412" i="28"/>
  <c r="S412" i="28"/>
  <c r="X412" i="28"/>
  <c r="V412" i="28"/>
  <c r="U412" i="28"/>
  <c r="W412" i="28"/>
  <c r="G412" i="28"/>
  <c r="T412" i="28"/>
  <c r="I412" i="28"/>
  <c r="P412" i="28" l="1"/>
  <c r="J411" i="28"/>
  <c r="R411" i="28"/>
  <c r="Y411" i="28"/>
  <c r="Q412" i="28"/>
  <c r="N412" i="28" s="1"/>
  <c r="E413" i="28"/>
  <c r="K411" i="28"/>
  <c r="L411" i="28"/>
  <c r="M411" i="28" s="1"/>
  <c r="O411" i="28"/>
  <c r="H412" i="28"/>
  <c r="A415" i="28"/>
  <c r="B414" i="28"/>
  <c r="S413" i="28"/>
  <c r="U413" i="28"/>
  <c r="G413" i="28"/>
  <c r="F413" i="28"/>
  <c r="D414" i="28"/>
  <c r="I413" i="28"/>
  <c r="X413" i="28"/>
  <c r="W413" i="28"/>
  <c r="T413" i="28"/>
  <c r="V413" i="28"/>
  <c r="C414" i="28"/>
  <c r="E414" i="28" l="1"/>
  <c r="Q413" i="28"/>
  <c r="N413" i="28" s="1"/>
  <c r="P413" i="28"/>
  <c r="J412" i="28"/>
  <c r="Y412" i="28"/>
  <c r="R412" i="28"/>
  <c r="H413" i="28"/>
  <c r="O412" i="28"/>
  <c r="L412" i="28"/>
  <c r="M412" i="28" s="1"/>
  <c r="K412" i="28"/>
  <c r="A416" i="28"/>
  <c r="B415" i="28"/>
  <c r="X414" i="28"/>
  <c r="F414" i="28"/>
  <c r="T414" i="28"/>
  <c r="U414" i="28"/>
  <c r="C415" i="28"/>
  <c r="W414" i="28"/>
  <c r="V414" i="28"/>
  <c r="S414" i="28"/>
  <c r="G414" i="28"/>
  <c r="I414" i="28" s="1"/>
  <c r="D415" i="28"/>
  <c r="E415" i="28" l="1"/>
  <c r="P414" i="28"/>
  <c r="J413" i="28"/>
  <c r="R413" i="28"/>
  <c r="Y413" i="28"/>
  <c r="Q414" i="28"/>
  <c r="N414" i="28" s="1"/>
  <c r="L413" i="28"/>
  <c r="M413" i="28" s="1"/>
  <c r="K413" i="28"/>
  <c r="O413" i="28"/>
  <c r="H414" i="28"/>
  <c r="B416" i="28"/>
  <c r="A417" i="28"/>
  <c r="X415" i="28"/>
  <c r="S415" i="28"/>
  <c r="F415" i="28"/>
  <c r="U415" i="28"/>
  <c r="C416" i="28"/>
  <c r="T415" i="28"/>
  <c r="G415" i="28"/>
  <c r="I415" i="28" s="1"/>
  <c r="W415" i="28"/>
  <c r="D416" i="28"/>
  <c r="V415" i="28"/>
  <c r="E416" i="28" l="1"/>
  <c r="P415" i="28"/>
  <c r="J414" i="28"/>
  <c r="Q415" i="28"/>
  <c r="N415" i="28" s="1"/>
  <c r="Y414" i="28"/>
  <c r="R414" i="28"/>
  <c r="H415" i="28"/>
  <c r="O414" i="28"/>
  <c r="L414" i="28"/>
  <c r="M414" i="28" s="1"/>
  <c r="K414" i="28"/>
  <c r="A418" i="28"/>
  <c r="B417" i="28"/>
  <c r="V416" i="28"/>
  <c r="S416" i="28"/>
  <c r="F416" i="28"/>
  <c r="U416" i="28"/>
  <c r="D417" i="28"/>
  <c r="T416" i="28"/>
  <c r="W416" i="28"/>
  <c r="X416" i="28"/>
  <c r="C417" i="28"/>
  <c r="G416" i="28"/>
  <c r="I416" i="28" s="1"/>
  <c r="E417" i="28" l="1"/>
  <c r="P416" i="28"/>
  <c r="J415" i="28"/>
  <c r="Q416" i="28"/>
  <c r="N416" i="28" s="1"/>
  <c r="R415" i="28"/>
  <c r="Y415" i="28"/>
  <c r="O415" i="28"/>
  <c r="K415" i="28"/>
  <c r="L415" i="28"/>
  <c r="M415" i="28" s="1"/>
  <c r="H416" i="28"/>
  <c r="B418" i="28"/>
  <c r="A419" i="28"/>
  <c r="X417" i="28"/>
  <c r="C418" i="28"/>
  <c r="T417" i="28"/>
  <c r="V417" i="28"/>
  <c r="S417" i="28"/>
  <c r="U417" i="28"/>
  <c r="D418" i="28"/>
  <c r="W417" i="28"/>
  <c r="F417" i="28"/>
  <c r="G417" i="28"/>
  <c r="I417" i="28"/>
  <c r="E418" i="28" l="1"/>
  <c r="P417" i="28"/>
  <c r="J416" i="28"/>
  <c r="R416" i="28"/>
  <c r="Y416" i="28"/>
  <c r="Q417" i="28"/>
  <c r="N417" i="28" s="1"/>
  <c r="H417" i="28"/>
  <c r="L416" i="28"/>
  <c r="M416" i="28" s="1"/>
  <c r="O416" i="28"/>
  <c r="K416" i="28"/>
  <c r="B419" i="28"/>
  <c r="A420" i="28"/>
  <c r="T418" i="28"/>
  <c r="X418" i="28"/>
  <c r="G418" i="28"/>
  <c r="U418" i="28"/>
  <c r="D419" i="28"/>
  <c r="I418" i="28"/>
  <c r="S418" i="28"/>
  <c r="V418" i="28"/>
  <c r="F418" i="28"/>
  <c r="W418" i="28"/>
  <c r="C419" i="28"/>
  <c r="E419" i="28" l="1"/>
  <c r="Q418" i="28"/>
  <c r="N418" i="28" s="1"/>
  <c r="P418" i="28"/>
  <c r="J417" i="28"/>
  <c r="R417" i="28"/>
  <c r="Y417" i="28"/>
  <c r="L417" i="28"/>
  <c r="M417" i="28" s="1"/>
  <c r="K417" i="28"/>
  <c r="O417" i="28"/>
  <c r="H418" i="28"/>
  <c r="B420" i="28"/>
  <c r="A421" i="28"/>
  <c r="U419" i="28"/>
  <c r="W419" i="28"/>
  <c r="V419" i="28"/>
  <c r="C420" i="28"/>
  <c r="X419" i="28"/>
  <c r="G419" i="28"/>
  <c r="S419" i="28"/>
  <c r="T419" i="28"/>
  <c r="D420" i="28"/>
  <c r="F419" i="28"/>
  <c r="I419" i="28"/>
  <c r="E420" i="28" l="1"/>
  <c r="Q419" i="28"/>
  <c r="N419" i="28" s="1"/>
  <c r="Y418" i="28"/>
  <c r="R418" i="28"/>
  <c r="P419" i="28"/>
  <c r="J418" i="28"/>
  <c r="O418" i="28"/>
  <c r="L418" i="28"/>
  <c r="M418" i="28" s="1"/>
  <c r="K418" i="28"/>
  <c r="H419" i="28"/>
  <c r="A422" i="28"/>
  <c r="B421" i="28"/>
  <c r="G420" i="28"/>
  <c r="V420" i="28"/>
  <c r="U420" i="28"/>
  <c r="T420" i="28"/>
  <c r="C421" i="28"/>
  <c r="I420" i="28"/>
  <c r="S420" i="28"/>
  <c r="W420" i="28"/>
  <c r="F420" i="28"/>
  <c r="X420" i="28"/>
  <c r="D421" i="28"/>
  <c r="E421" i="28" l="1"/>
  <c r="Q420" i="28"/>
  <c r="N420" i="28" s="1"/>
  <c r="Y419" i="28"/>
  <c r="R419" i="28"/>
  <c r="P420" i="28"/>
  <c r="J419" i="28"/>
  <c r="O419" i="28"/>
  <c r="L419" i="28"/>
  <c r="M419" i="28" s="1"/>
  <c r="K419" i="28"/>
  <c r="H420" i="28"/>
  <c r="B422" i="28"/>
  <c r="A423" i="28"/>
  <c r="V421" i="28"/>
  <c r="X421" i="28"/>
  <c r="F421" i="28"/>
  <c r="U421" i="28"/>
  <c r="C422" i="28"/>
  <c r="S421" i="28"/>
  <c r="T421" i="28"/>
  <c r="G421" i="28"/>
  <c r="I421" i="28" s="1"/>
  <c r="W421" i="28"/>
  <c r="D422" i="28"/>
  <c r="E422" i="28" l="1"/>
  <c r="P421" i="28"/>
  <c r="J420" i="28"/>
  <c r="Q421" i="28"/>
  <c r="N421" i="28" s="1"/>
  <c r="Y420" i="28"/>
  <c r="R420" i="28"/>
  <c r="O420" i="28"/>
  <c r="L420" i="28"/>
  <c r="M420" i="28" s="1"/>
  <c r="K420" i="28"/>
  <c r="H421" i="28"/>
  <c r="A424" i="28"/>
  <c r="B423" i="28"/>
  <c r="X422" i="28"/>
  <c r="U422" i="28"/>
  <c r="G422" i="28"/>
  <c r="T422" i="28"/>
  <c r="C423" i="28"/>
  <c r="I422" i="28"/>
  <c r="W422" i="28"/>
  <c r="F422" i="28"/>
  <c r="V422" i="28"/>
  <c r="S422" i="28"/>
  <c r="D423" i="28"/>
  <c r="E423" i="28" l="1"/>
  <c r="Y421" i="28"/>
  <c r="R421" i="28"/>
  <c r="P422" i="28"/>
  <c r="J421" i="28"/>
  <c r="Q422" i="28"/>
  <c r="N422" i="28" s="1"/>
  <c r="L421" i="28"/>
  <c r="M421" i="28" s="1"/>
  <c r="K421" i="28"/>
  <c r="O421" i="28"/>
  <c r="H422" i="28"/>
  <c r="B424" i="28"/>
  <c r="A425" i="28"/>
  <c r="U423" i="28"/>
  <c r="F423" i="28"/>
  <c r="S423" i="28"/>
  <c r="G423" i="28"/>
  <c r="C424" i="28"/>
  <c r="I423" i="28"/>
  <c r="V423" i="28"/>
  <c r="W423" i="28"/>
  <c r="T423" i="28"/>
  <c r="X423" i="28"/>
  <c r="D424" i="28"/>
  <c r="E424" i="28" l="1"/>
  <c r="P423" i="28"/>
  <c r="J422" i="28"/>
  <c r="Y422" i="28"/>
  <c r="R422" i="28"/>
  <c r="Q423" i="28"/>
  <c r="N423" i="28" s="1"/>
  <c r="L422" i="28"/>
  <c r="M422" i="28" s="1"/>
  <c r="K422" i="28"/>
  <c r="O422" i="28"/>
  <c r="H423" i="28"/>
  <c r="A426" i="28"/>
  <c r="B425" i="28"/>
  <c r="C425" i="28"/>
  <c r="V424" i="28"/>
  <c r="W424" i="28"/>
  <c r="G424" i="28"/>
  <c r="U424" i="28"/>
  <c r="I424" i="28"/>
  <c r="D425" i="28"/>
  <c r="T424" i="28"/>
  <c r="X424" i="28"/>
  <c r="F424" i="28"/>
  <c r="S424" i="28"/>
  <c r="R423" i="28" l="1"/>
  <c r="Y423" i="28"/>
  <c r="Q424" i="28"/>
  <c r="N424" i="28" s="1"/>
  <c r="P424" i="28"/>
  <c r="J423" i="28"/>
  <c r="E425" i="28"/>
  <c r="H424" i="28"/>
  <c r="K423" i="28"/>
  <c r="L423" i="28"/>
  <c r="M423" i="28" s="1"/>
  <c r="O423" i="28"/>
  <c r="B426" i="28"/>
  <c r="A427" i="28"/>
  <c r="S425" i="28"/>
  <c r="F425" i="28"/>
  <c r="V425" i="28"/>
  <c r="X425" i="28"/>
  <c r="D426" i="28"/>
  <c r="G425" i="28"/>
  <c r="I425" i="28" s="1"/>
  <c r="U425" i="28"/>
  <c r="T425" i="28"/>
  <c r="W425" i="28"/>
  <c r="C426" i="28"/>
  <c r="E426" i="28" l="1"/>
  <c r="Q425" i="28"/>
  <c r="N425" i="28" s="1"/>
  <c r="Y424" i="28"/>
  <c r="R424" i="28"/>
  <c r="P425" i="28"/>
  <c r="J424" i="28"/>
  <c r="H425" i="28"/>
  <c r="O424" i="28"/>
  <c r="L424" i="28"/>
  <c r="M424" i="28" s="1"/>
  <c r="K424" i="28"/>
  <c r="A428" i="28"/>
  <c r="B427" i="28"/>
  <c r="C427" i="28"/>
  <c r="V426" i="28"/>
  <c r="X426" i="28"/>
  <c r="S426" i="28"/>
  <c r="U426" i="28"/>
  <c r="D427" i="28"/>
  <c r="T426" i="28"/>
  <c r="G426" i="28"/>
  <c r="F426" i="28"/>
  <c r="W426" i="28"/>
  <c r="I426" i="28"/>
  <c r="R425" i="28" l="1"/>
  <c r="Y425" i="28"/>
  <c r="Q426" i="28"/>
  <c r="N426" i="28" s="1"/>
  <c r="P426" i="28"/>
  <c r="J425" i="28"/>
  <c r="E427" i="28"/>
  <c r="L425" i="28"/>
  <c r="M425" i="28" s="1"/>
  <c r="O425" i="28"/>
  <c r="K425" i="28"/>
  <c r="H426" i="28"/>
  <c r="B428" i="28"/>
  <c r="A429" i="28"/>
  <c r="W427" i="28"/>
  <c r="F427" i="28"/>
  <c r="V427" i="28"/>
  <c r="G427" i="28"/>
  <c r="C428" i="28"/>
  <c r="S427" i="28"/>
  <c r="T427" i="28"/>
  <c r="U427" i="28"/>
  <c r="X427" i="28"/>
  <c r="D428" i="28"/>
  <c r="I427" i="28"/>
  <c r="E428" i="28" l="1"/>
  <c r="P427" i="28"/>
  <c r="J426" i="28"/>
  <c r="Q427" i="28"/>
  <c r="N427" i="28" s="1"/>
  <c r="R426" i="28"/>
  <c r="Y426" i="28"/>
  <c r="L426" i="28"/>
  <c r="M426" i="28" s="1"/>
  <c r="O426" i="28"/>
  <c r="K426" i="28"/>
  <c r="H427" i="28"/>
  <c r="A430" i="28"/>
  <c r="B429" i="28"/>
  <c r="G428" i="28"/>
  <c r="F428" i="28"/>
  <c r="V428" i="28"/>
  <c r="W428" i="28"/>
  <c r="D429" i="28"/>
  <c r="I428" i="28"/>
  <c r="U428" i="28"/>
  <c r="S428" i="28"/>
  <c r="T428" i="28"/>
  <c r="X428" i="28"/>
  <c r="C429" i="28"/>
  <c r="E429" i="28" l="1"/>
  <c r="R427" i="28"/>
  <c r="Y427" i="28"/>
  <c r="Q428" i="28"/>
  <c r="N428" i="28" s="1"/>
  <c r="P428" i="28"/>
  <c r="J427" i="28"/>
  <c r="O427" i="28"/>
  <c r="L427" i="28"/>
  <c r="M427" i="28" s="1"/>
  <c r="K427" i="28"/>
  <c r="H428" i="28"/>
  <c r="B430" i="28"/>
  <c r="A431" i="28"/>
  <c r="F429" i="28"/>
  <c r="S429" i="28"/>
  <c r="T429" i="28"/>
  <c r="W429" i="28"/>
  <c r="D430" i="28"/>
  <c r="V429" i="28"/>
  <c r="G429" i="28"/>
  <c r="I429" i="28" s="1"/>
  <c r="U429" i="28"/>
  <c r="X429" i="28"/>
  <c r="C430" i="28"/>
  <c r="E430" i="28" l="1"/>
  <c r="P429" i="28"/>
  <c r="J428" i="28"/>
  <c r="Y428" i="28"/>
  <c r="R428" i="28"/>
  <c r="Q429" i="28"/>
  <c r="N429" i="28" s="1"/>
  <c r="O428" i="28"/>
  <c r="L428" i="28"/>
  <c r="M428" i="28" s="1"/>
  <c r="K428" i="28"/>
  <c r="H429" i="28"/>
  <c r="A432" i="28"/>
  <c r="B431" i="28"/>
  <c r="S430" i="28"/>
  <c r="T430" i="28"/>
  <c r="V430" i="28"/>
  <c r="W430" i="28"/>
  <c r="D431" i="28"/>
  <c r="G430" i="28"/>
  <c r="I430" i="28" s="1"/>
  <c r="U430" i="28"/>
  <c r="X430" i="28"/>
  <c r="F430" i="28"/>
  <c r="C431" i="28"/>
  <c r="E431" i="28" l="1"/>
  <c r="Q430" i="28"/>
  <c r="N430" i="28" s="1"/>
  <c r="P430" i="28"/>
  <c r="J429" i="28"/>
  <c r="R429" i="28"/>
  <c r="Y429" i="28"/>
  <c r="K429" i="28"/>
  <c r="O429" i="28"/>
  <c r="L429" i="28"/>
  <c r="M429" i="28" s="1"/>
  <c r="H430" i="28"/>
  <c r="B432" i="28"/>
  <c r="A433" i="28"/>
  <c r="U431" i="28"/>
  <c r="S431" i="28"/>
  <c r="G431" i="28"/>
  <c r="I431" i="28" s="1"/>
  <c r="F431" i="28"/>
  <c r="X431" i="28"/>
  <c r="C432" i="28"/>
  <c r="V431" i="28"/>
  <c r="T431" i="28"/>
  <c r="W431" i="28"/>
  <c r="D432" i="28"/>
  <c r="E432" i="28" l="1"/>
  <c r="Q431" i="28"/>
  <c r="N431" i="28" s="1"/>
  <c r="P431" i="28"/>
  <c r="J430" i="28"/>
  <c r="Y430" i="28"/>
  <c r="R430" i="28"/>
  <c r="O430" i="28"/>
  <c r="L430" i="28"/>
  <c r="M430" i="28" s="1"/>
  <c r="K430" i="28"/>
  <c r="H431" i="28"/>
  <c r="A434" i="28"/>
  <c r="B433" i="28"/>
  <c r="F432" i="28"/>
  <c r="G432" i="28"/>
  <c r="X432" i="28"/>
  <c r="S432" i="28"/>
  <c r="C433" i="28"/>
  <c r="I432" i="28"/>
  <c r="V432" i="28"/>
  <c r="U432" i="28"/>
  <c r="T432" i="28"/>
  <c r="W432" i="28"/>
  <c r="D433" i="28"/>
  <c r="E433" i="28" l="1"/>
  <c r="Y431" i="28"/>
  <c r="R431" i="28"/>
  <c r="P432" i="28"/>
  <c r="J431" i="28"/>
  <c r="Q432" i="28"/>
  <c r="N432" i="28" s="1"/>
  <c r="L431" i="28"/>
  <c r="M431" i="28" s="1"/>
  <c r="K431" i="28"/>
  <c r="O431" i="28"/>
  <c r="H432" i="28"/>
  <c r="B434" i="28"/>
  <c r="A435" i="28"/>
  <c r="W433" i="28"/>
  <c r="U433" i="28"/>
  <c r="V433" i="28"/>
  <c r="G433" i="28"/>
  <c r="D434" i="28"/>
  <c r="I433" i="28"/>
  <c r="F433" i="28"/>
  <c r="X433" i="28"/>
  <c r="T433" i="28"/>
  <c r="S433" i="28"/>
  <c r="C434" i="28"/>
  <c r="E434" i="28" l="1"/>
  <c r="R432" i="28"/>
  <c r="Y432" i="28"/>
  <c r="P433" i="28"/>
  <c r="J432" i="28"/>
  <c r="Q433" i="28"/>
  <c r="N433" i="28" s="1"/>
  <c r="K432" i="28"/>
  <c r="O432" i="28"/>
  <c r="L432" i="28"/>
  <c r="M432" i="28" s="1"/>
  <c r="H433" i="28"/>
  <c r="A436" i="28"/>
  <c r="B435" i="28"/>
  <c r="S434" i="28"/>
  <c r="V434" i="28"/>
  <c r="X434" i="28"/>
  <c r="U434" i="28"/>
  <c r="D435" i="28"/>
  <c r="F434" i="28"/>
  <c r="G434" i="28"/>
  <c r="I434" i="28" s="1"/>
  <c r="T434" i="28"/>
  <c r="C435" i="28"/>
  <c r="W434" i="28"/>
  <c r="E435" i="28" l="1"/>
  <c r="P434" i="28"/>
  <c r="J433" i="28"/>
  <c r="Q434" i="28"/>
  <c r="N434" i="28" s="1"/>
  <c r="Y433" i="28"/>
  <c r="R433" i="28"/>
  <c r="L433" i="28"/>
  <c r="M433" i="28" s="1"/>
  <c r="O433" i="28"/>
  <c r="K433" i="28"/>
  <c r="H434" i="28"/>
  <c r="B436" i="28"/>
  <c r="A437" i="28"/>
  <c r="F435" i="28"/>
  <c r="T435" i="28"/>
  <c r="U435" i="28"/>
  <c r="S435" i="28"/>
  <c r="C436" i="28"/>
  <c r="G435" i="28"/>
  <c r="I435" i="28" s="1"/>
  <c r="W435" i="28"/>
  <c r="X435" i="28"/>
  <c r="V435" i="28"/>
  <c r="D436" i="28"/>
  <c r="E436" i="28" l="1"/>
  <c r="Y434" i="28"/>
  <c r="R434" i="28"/>
  <c r="P435" i="28"/>
  <c r="J434" i="28"/>
  <c r="Q435" i="28"/>
  <c r="N435" i="28" s="1"/>
  <c r="H435" i="28"/>
  <c r="L434" i="28"/>
  <c r="M434" i="28" s="1"/>
  <c r="K434" i="28"/>
  <c r="O434" i="28"/>
  <c r="A438" i="28"/>
  <c r="B437" i="28"/>
  <c r="D437" i="28"/>
  <c r="G436" i="28"/>
  <c r="V436" i="28"/>
  <c r="X436" i="28"/>
  <c r="F436" i="28"/>
  <c r="C437" i="28"/>
  <c r="S436" i="28"/>
  <c r="W436" i="28"/>
  <c r="T436" i="28"/>
  <c r="U436" i="28"/>
  <c r="I436" i="28"/>
  <c r="Q436" i="28" l="1"/>
  <c r="N436" i="28" s="1"/>
  <c r="P436" i="28"/>
  <c r="J435" i="28"/>
  <c r="R435" i="28"/>
  <c r="Y435" i="28"/>
  <c r="E437" i="28"/>
  <c r="H436" i="28"/>
  <c r="L435" i="28"/>
  <c r="M435" i="28" s="1"/>
  <c r="O435" i="28"/>
  <c r="K435" i="28"/>
  <c r="B438" i="28"/>
  <c r="A439" i="28"/>
  <c r="V437" i="28"/>
  <c r="F437" i="28"/>
  <c r="G437" i="28"/>
  <c r="S437" i="28"/>
  <c r="C438" i="28"/>
  <c r="I437" i="28"/>
  <c r="D438" i="28"/>
  <c r="X437" i="28"/>
  <c r="T437" i="28"/>
  <c r="W437" i="28"/>
  <c r="U437" i="28"/>
  <c r="E438" i="28" l="1"/>
  <c r="R436" i="28"/>
  <c r="Y436" i="28"/>
  <c r="P437" i="28"/>
  <c r="J436" i="28"/>
  <c r="Q437" i="28"/>
  <c r="N437" i="28" s="1"/>
  <c r="O436" i="28"/>
  <c r="L436" i="28"/>
  <c r="M436" i="28" s="1"/>
  <c r="K436" i="28"/>
  <c r="H437" i="28"/>
  <c r="A440" i="28"/>
  <c r="B439" i="28"/>
  <c r="C439" i="28"/>
  <c r="G438" i="28"/>
  <c r="U438" i="28"/>
  <c r="D439" i="28"/>
  <c r="V438" i="28"/>
  <c r="T438" i="28"/>
  <c r="S438" i="28"/>
  <c r="X438" i="28"/>
  <c r="W438" i="28"/>
  <c r="F438" i="28"/>
  <c r="I438" i="28"/>
  <c r="Q438" i="28" l="1"/>
  <c r="N438" i="28" s="1"/>
  <c r="Y437" i="28"/>
  <c r="R437" i="28"/>
  <c r="P438" i="28"/>
  <c r="J437" i="28"/>
  <c r="E439" i="28"/>
  <c r="H438" i="28"/>
  <c r="L437" i="28"/>
  <c r="M437" i="28" s="1"/>
  <c r="K437" i="28"/>
  <c r="O437" i="28"/>
  <c r="B440" i="28"/>
  <c r="A441" i="28"/>
  <c r="X439" i="28"/>
  <c r="W439" i="28"/>
  <c r="V439" i="28"/>
  <c r="S439" i="28"/>
  <c r="D440" i="28"/>
  <c r="T439" i="28"/>
  <c r="U439" i="28"/>
  <c r="F439" i="28"/>
  <c r="G439" i="28"/>
  <c r="I439" i="28" s="1"/>
  <c r="C440" i="28"/>
  <c r="E440" i="28" l="1"/>
  <c r="P439" i="28"/>
  <c r="J438" i="28"/>
  <c r="Y438" i="28"/>
  <c r="R438" i="28"/>
  <c r="Q439" i="28"/>
  <c r="N439" i="28" s="1"/>
  <c r="H439" i="28"/>
  <c r="L438" i="28"/>
  <c r="M438" i="28" s="1"/>
  <c r="K438" i="28"/>
  <c r="O438" i="28"/>
  <c r="A442" i="28"/>
  <c r="B441" i="28"/>
  <c r="F440" i="28"/>
  <c r="V440" i="28"/>
  <c r="U440" i="28"/>
  <c r="W440" i="28"/>
  <c r="C441" i="28"/>
  <c r="X440" i="28"/>
  <c r="T440" i="28"/>
  <c r="S440" i="28"/>
  <c r="G440" i="28"/>
  <c r="I440" i="28" s="1"/>
  <c r="D441" i="28"/>
  <c r="E441" i="28" l="1"/>
  <c r="P440" i="28"/>
  <c r="J439" i="28"/>
  <c r="R439" i="28"/>
  <c r="Y439" i="28"/>
  <c r="Q440" i="28"/>
  <c r="N440" i="28" s="1"/>
  <c r="L439" i="28"/>
  <c r="M439" i="28" s="1"/>
  <c r="K439" i="28"/>
  <c r="O439" i="28"/>
  <c r="H440" i="28"/>
  <c r="B442" i="28"/>
  <c r="A443" i="28"/>
  <c r="U441" i="28"/>
  <c r="V441" i="28"/>
  <c r="X441" i="28"/>
  <c r="G441" i="28"/>
  <c r="D442" i="28"/>
  <c r="I441" i="28"/>
  <c r="T441" i="28"/>
  <c r="W441" i="28"/>
  <c r="S441" i="28"/>
  <c r="F441" i="28"/>
  <c r="C442" i="28"/>
  <c r="E442" i="28" l="1"/>
  <c r="Q441" i="28"/>
  <c r="N441" i="28" s="1"/>
  <c r="P441" i="28"/>
  <c r="J440" i="28"/>
  <c r="Y440" i="28"/>
  <c r="R440" i="28"/>
  <c r="H441" i="28"/>
  <c r="O440" i="28"/>
  <c r="L440" i="28"/>
  <c r="M440" i="28" s="1"/>
  <c r="K440" i="28"/>
  <c r="A444" i="28"/>
  <c r="B443" i="28"/>
  <c r="W442" i="28"/>
  <c r="T442" i="28"/>
  <c r="V442" i="28"/>
  <c r="X442" i="28"/>
  <c r="C443" i="28"/>
  <c r="U442" i="28"/>
  <c r="S442" i="28"/>
  <c r="F442" i="28"/>
  <c r="G442" i="28"/>
  <c r="I442" i="28" s="1"/>
  <c r="D443" i="28"/>
  <c r="E443" i="28" l="1"/>
  <c r="P442" i="28"/>
  <c r="J441" i="28"/>
  <c r="Q442" i="28"/>
  <c r="N442" i="28" s="1"/>
  <c r="Y441" i="28"/>
  <c r="R441" i="28"/>
  <c r="L441" i="28"/>
  <c r="M441" i="28" s="1"/>
  <c r="O441" i="28"/>
  <c r="K441" i="28"/>
  <c r="H442" i="28"/>
  <c r="B444" i="28"/>
  <c r="A445" i="28"/>
  <c r="X443" i="28"/>
  <c r="S443" i="28"/>
  <c r="V443" i="28"/>
  <c r="G443" i="28"/>
  <c r="C444" i="28"/>
  <c r="I443" i="28"/>
  <c r="U443" i="28"/>
  <c r="F443" i="28"/>
  <c r="D444" i="28"/>
  <c r="T443" i="28"/>
  <c r="W443" i="28"/>
  <c r="E444" i="28" l="1"/>
  <c r="P443" i="28"/>
  <c r="J442" i="28"/>
  <c r="Q443" i="28"/>
  <c r="N443" i="28" s="1"/>
  <c r="R442" i="28"/>
  <c r="Y442" i="28"/>
  <c r="O442" i="28"/>
  <c r="L442" i="28"/>
  <c r="M442" i="28" s="1"/>
  <c r="K442" i="28"/>
  <c r="H443" i="28"/>
  <c r="A446" i="28"/>
  <c r="B445" i="28"/>
  <c r="C445" i="28"/>
  <c r="U444" i="28"/>
  <c r="S444" i="28"/>
  <c r="W444" i="28"/>
  <c r="V444" i="28"/>
  <c r="D445" i="28"/>
  <c r="G444" i="28"/>
  <c r="I444" i="28" s="1"/>
  <c r="F444" i="28"/>
  <c r="X444" i="28"/>
  <c r="T444" i="28"/>
  <c r="Q444" i="28" l="1"/>
  <c r="N444" i="28" s="1"/>
  <c r="Y443" i="28"/>
  <c r="R443" i="28"/>
  <c r="P444" i="28"/>
  <c r="J443" i="28"/>
  <c r="E445" i="28"/>
  <c r="H444" i="28"/>
  <c r="O443" i="28"/>
  <c r="K443" i="28"/>
  <c r="L443" i="28"/>
  <c r="M443" i="28" s="1"/>
  <c r="B446" i="28"/>
  <c r="A447" i="28"/>
  <c r="V445" i="28"/>
  <c r="T445" i="28"/>
  <c r="S445" i="28"/>
  <c r="W445" i="28"/>
  <c r="C446" i="28"/>
  <c r="U445" i="28"/>
  <c r="G445" i="28"/>
  <c r="I445" i="28" s="1"/>
  <c r="F445" i="28"/>
  <c r="D446" i="28"/>
  <c r="X445" i="28"/>
  <c r="E446" i="28" l="1"/>
  <c r="Q445" i="28"/>
  <c r="N445" i="28" s="1"/>
  <c r="P445" i="28"/>
  <c r="J444" i="28"/>
  <c r="Y444" i="28"/>
  <c r="R444" i="28"/>
  <c r="O444" i="28"/>
  <c r="L444" i="28"/>
  <c r="M444" i="28" s="1"/>
  <c r="K444" i="28"/>
  <c r="H445" i="28"/>
  <c r="A448" i="28"/>
  <c r="B447" i="28"/>
  <c r="T446" i="28"/>
  <c r="V446" i="28"/>
  <c r="W446" i="28"/>
  <c r="F446" i="28"/>
  <c r="C447" i="28"/>
  <c r="U446" i="28"/>
  <c r="G446" i="28"/>
  <c r="I446" i="28" s="1"/>
  <c r="S446" i="28"/>
  <c r="X446" i="28"/>
  <c r="D447" i="28"/>
  <c r="E447" i="28" l="1"/>
  <c r="Q446" i="28"/>
  <c r="N446" i="28" s="1"/>
  <c r="R445" i="28"/>
  <c r="Y445" i="28"/>
  <c r="P446" i="28"/>
  <c r="J445" i="28"/>
  <c r="L445" i="28"/>
  <c r="M445" i="28" s="1"/>
  <c r="O445" i="28"/>
  <c r="K445" i="28"/>
  <c r="H446" i="28"/>
  <c r="B448" i="28"/>
  <c r="A449" i="28"/>
  <c r="G447" i="28"/>
  <c r="T447" i="28"/>
  <c r="W447" i="28"/>
  <c r="V447" i="28"/>
  <c r="D448" i="28"/>
  <c r="I447" i="28"/>
  <c r="X447" i="28"/>
  <c r="S447" i="28"/>
  <c r="U447" i="28"/>
  <c r="F447" i="28"/>
  <c r="C448" i="28"/>
  <c r="E448" i="28" l="1"/>
  <c r="Q447" i="28"/>
  <c r="N447" i="28" s="1"/>
  <c r="R446" i="28"/>
  <c r="Y446" i="28"/>
  <c r="P447" i="28"/>
  <c r="J446" i="28"/>
  <c r="L446" i="28"/>
  <c r="M446" i="28" s="1"/>
  <c r="K446" i="28"/>
  <c r="O446" i="28"/>
  <c r="H447" i="28"/>
  <c r="A450" i="28"/>
  <c r="B449" i="28"/>
  <c r="C449" i="28"/>
  <c r="G448" i="28"/>
  <c r="V448" i="28"/>
  <c r="W448" i="28"/>
  <c r="X448" i="28"/>
  <c r="I448" i="28"/>
  <c r="D449" i="28"/>
  <c r="U448" i="28"/>
  <c r="F448" i="28"/>
  <c r="T448" i="28"/>
  <c r="S448" i="28"/>
  <c r="Y447" i="28" l="1"/>
  <c r="R447" i="28"/>
  <c r="Q448" i="28"/>
  <c r="N448" i="28" s="1"/>
  <c r="P448" i="28"/>
  <c r="J447" i="28"/>
  <c r="E449" i="28"/>
  <c r="K447" i="28"/>
  <c r="L447" i="28"/>
  <c r="M447" i="28" s="1"/>
  <c r="O447" i="28"/>
  <c r="H448" i="28"/>
  <c r="B450" i="28"/>
  <c r="A451" i="28"/>
  <c r="X449" i="28"/>
  <c r="F449" i="28"/>
  <c r="T449" i="28"/>
  <c r="S449" i="28"/>
  <c r="C450" i="28"/>
  <c r="V449" i="28"/>
  <c r="W449" i="28"/>
  <c r="U449" i="28"/>
  <c r="G449" i="28"/>
  <c r="D450" i="28"/>
  <c r="I449" i="28"/>
  <c r="E450" i="28" l="1"/>
  <c r="P449" i="28"/>
  <c r="J448" i="28"/>
  <c r="R448" i="28"/>
  <c r="Y448" i="28"/>
  <c r="Q449" i="28"/>
  <c r="N449" i="28" s="1"/>
  <c r="L448" i="28"/>
  <c r="M448" i="28" s="1"/>
  <c r="O448" i="28"/>
  <c r="K448" i="28"/>
  <c r="H449" i="28"/>
  <c r="A452" i="28"/>
  <c r="B451" i="28"/>
  <c r="G450" i="28"/>
  <c r="V450" i="28"/>
  <c r="U450" i="28"/>
  <c r="F450" i="28"/>
  <c r="C451" i="28"/>
  <c r="I450" i="28"/>
  <c r="W450" i="28"/>
  <c r="T450" i="28"/>
  <c r="S450" i="28"/>
  <c r="X450" i="28"/>
  <c r="D451" i="28"/>
  <c r="E451" i="28" l="1"/>
  <c r="Q450" i="28"/>
  <c r="N450" i="28" s="1"/>
  <c r="R449" i="28"/>
  <c r="Y449" i="28"/>
  <c r="P450" i="28"/>
  <c r="J449" i="28"/>
  <c r="K449" i="28"/>
  <c r="O449" i="28"/>
  <c r="L449" i="28"/>
  <c r="M449" i="28" s="1"/>
  <c r="H450" i="28"/>
  <c r="B452" i="28"/>
  <c r="A453" i="28"/>
  <c r="X451" i="28"/>
  <c r="S451" i="28"/>
  <c r="T451" i="28"/>
  <c r="W451" i="28"/>
  <c r="U451" i="28"/>
  <c r="C452" i="28"/>
  <c r="V451" i="28"/>
  <c r="F451" i="28"/>
  <c r="G451" i="28"/>
  <c r="D452" i="28"/>
  <c r="I451" i="28"/>
  <c r="E452" i="28" l="1"/>
  <c r="P451" i="28"/>
  <c r="J450" i="28"/>
  <c r="Q451" i="28"/>
  <c r="N451" i="28" s="1"/>
  <c r="Y450" i="28"/>
  <c r="R450" i="28"/>
  <c r="K450" i="28"/>
  <c r="L450" i="28"/>
  <c r="M450" i="28" s="1"/>
  <c r="O450" i="28"/>
  <c r="H451" i="28"/>
  <c r="A454" i="28"/>
  <c r="B453" i="28"/>
  <c r="W452" i="28"/>
  <c r="X452" i="28"/>
  <c r="T452" i="28"/>
  <c r="F452" i="28"/>
  <c r="C453" i="28"/>
  <c r="S452" i="28"/>
  <c r="V452" i="28"/>
  <c r="U452" i="28"/>
  <c r="G452" i="28"/>
  <c r="I452" i="28" s="1"/>
  <c r="D453" i="28"/>
  <c r="E453" i="28" l="1"/>
  <c r="P452" i="28"/>
  <c r="J451" i="28"/>
  <c r="Q452" i="28"/>
  <c r="N452" i="28" s="1"/>
  <c r="R451" i="28"/>
  <c r="Y451" i="28"/>
  <c r="L451" i="28"/>
  <c r="M451" i="28" s="1"/>
  <c r="O451" i="28"/>
  <c r="K451" i="28"/>
  <c r="H452" i="28"/>
  <c r="B454" i="28"/>
  <c r="A455" i="28"/>
  <c r="W453" i="28"/>
  <c r="V453" i="28"/>
  <c r="S453" i="28"/>
  <c r="D454" i="28"/>
  <c r="X453" i="28"/>
  <c r="G453" i="28"/>
  <c r="U453" i="28"/>
  <c r="T453" i="28"/>
  <c r="C454" i="28"/>
  <c r="F453" i="28"/>
  <c r="I453" i="28"/>
  <c r="E454" i="28" l="1"/>
  <c r="Q453" i="28"/>
  <c r="N453" i="28" s="1"/>
  <c r="Y452" i="28"/>
  <c r="R452" i="28"/>
  <c r="P453" i="28"/>
  <c r="J452" i="28"/>
  <c r="K452" i="28"/>
  <c r="L452" i="28"/>
  <c r="M452" i="28" s="1"/>
  <c r="O452" i="28"/>
  <c r="H453" i="28"/>
  <c r="A456" i="28"/>
  <c r="B455" i="28"/>
  <c r="C455" i="28"/>
  <c r="X454" i="28"/>
  <c r="G454" i="28"/>
  <c r="W454" i="28"/>
  <c r="U454" i="28"/>
  <c r="I454" i="28"/>
  <c r="D455" i="28"/>
  <c r="F454" i="28"/>
  <c r="T454" i="28"/>
  <c r="S454" i="28"/>
  <c r="V454" i="28"/>
  <c r="R453" i="28" l="1"/>
  <c r="Y453" i="28"/>
  <c r="P454" i="28"/>
  <c r="J453" i="28"/>
  <c r="Q454" i="28"/>
  <c r="N454" i="28" s="1"/>
  <c r="E455" i="28"/>
  <c r="L453" i="28"/>
  <c r="M453" i="28" s="1"/>
  <c r="K453" i="28"/>
  <c r="O453" i="28"/>
  <c r="H454" i="28"/>
  <c r="B456" i="28"/>
  <c r="A457" i="28"/>
  <c r="W455" i="28"/>
  <c r="U455" i="28"/>
  <c r="V455" i="28"/>
  <c r="T455" i="28"/>
  <c r="D456" i="28"/>
  <c r="X455" i="28"/>
  <c r="G455" i="28"/>
  <c r="I455" i="28" s="1"/>
  <c r="S455" i="28"/>
  <c r="F455" i="28"/>
  <c r="C456" i="28"/>
  <c r="E456" i="28" l="1"/>
  <c r="Q455" i="28"/>
  <c r="N455" i="28" s="1"/>
  <c r="R454" i="28"/>
  <c r="Y454" i="28"/>
  <c r="P455" i="28"/>
  <c r="J454" i="28"/>
  <c r="H455" i="28"/>
  <c r="L454" i="28"/>
  <c r="M454" i="28" s="1"/>
  <c r="K454" i="28"/>
  <c r="O454" i="28"/>
  <c r="A458" i="28"/>
  <c r="B457" i="28"/>
  <c r="W456" i="28"/>
  <c r="D457" i="28"/>
  <c r="G456" i="28"/>
  <c r="U456" i="28"/>
  <c r="S456" i="28"/>
  <c r="T456" i="28"/>
  <c r="C457" i="28"/>
  <c r="F456" i="28"/>
  <c r="V456" i="28"/>
  <c r="X456" i="28"/>
  <c r="I456" i="28"/>
  <c r="Y455" i="28" l="1"/>
  <c r="R455" i="28"/>
  <c r="Q456" i="28"/>
  <c r="N456" i="28" s="1"/>
  <c r="P456" i="28"/>
  <c r="J455" i="28"/>
  <c r="E457" i="28"/>
  <c r="O455" i="28"/>
  <c r="L455" i="28"/>
  <c r="M455" i="28" s="1"/>
  <c r="K455" i="28"/>
  <c r="H456" i="28"/>
  <c r="B458" i="28"/>
  <c r="A459" i="28"/>
  <c r="T457" i="28"/>
  <c r="U457" i="28"/>
  <c r="S457" i="28"/>
  <c r="W457" i="28"/>
  <c r="C458" i="28"/>
  <c r="F457" i="28"/>
  <c r="V457" i="28"/>
  <c r="G457" i="28"/>
  <c r="I457" i="28" s="1"/>
  <c r="X457" i="28"/>
  <c r="D458" i="28"/>
  <c r="E458" i="28" l="1"/>
  <c r="P457" i="28"/>
  <c r="J456" i="28"/>
  <c r="Y456" i="28"/>
  <c r="R456" i="28"/>
  <c r="Q457" i="28"/>
  <c r="N457" i="28" s="1"/>
  <c r="O456" i="28"/>
  <c r="L456" i="28"/>
  <c r="M456" i="28" s="1"/>
  <c r="K456" i="28"/>
  <c r="H457" i="28"/>
  <c r="A460" i="28"/>
  <c r="B459" i="28"/>
  <c r="C459" i="28"/>
  <c r="W458" i="28"/>
  <c r="S458" i="28"/>
  <c r="G458" i="28"/>
  <c r="X458" i="28"/>
  <c r="D459" i="28"/>
  <c r="U458" i="28"/>
  <c r="T458" i="28"/>
  <c r="V458" i="28"/>
  <c r="F458" i="28"/>
  <c r="I458" i="28"/>
  <c r="Q458" i="28" l="1"/>
  <c r="N458" i="28" s="1"/>
  <c r="P458" i="28"/>
  <c r="J457" i="28"/>
  <c r="R457" i="28"/>
  <c r="Y457" i="28"/>
  <c r="E459" i="28"/>
  <c r="H458" i="28"/>
  <c r="L457" i="28"/>
  <c r="M457" i="28" s="1"/>
  <c r="O457" i="28"/>
  <c r="K457" i="28"/>
  <c r="B460" i="28"/>
  <c r="A461" i="28"/>
  <c r="S459" i="28"/>
  <c r="F459" i="28"/>
  <c r="W459" i="28"/>
  <c r="T459" i="28"/>
  <c r="C460" i="28"/>
  <c r="X459" i="28"/>
  <c r="U459" i="28"/>
  <c r="V459" i="28"/>
  <c r="G459" i="28"/>
  <c r="I459" i="28" s="1"/>
  <c r="D460" i="28"/>
  <c r="E460" i="28" l="1"/>
  <c r="P459" i="28"/>
  <c r="J458" i="28"/>
  <c r="Q459" i="28"/>
  <c r="N459" i="28" s="1"/>
  <c r="Y458" i="28"/>
  <c r="R458" i="28"/>
  <c r="H459" i="28"/>
  <c r="L458" i="28"/>
  <c r="M458" i="28" s="1"/>
  <c r="K458" i="28"/>
  <c r="O458" i="28"/>
  <c r="A462" i="28"/>
  <c r="B461" i="28"/>
  <c r="F460" i="28"/>
  <c r="G460" i="28"/>
  <c r="S460" i="28"/>
  <c r="T460" i="28"/>
  <c r="D461" i="28"/>
  <c r="I460" i="28"/>
  <c r="V460" i="28"/>
  <c r="U460" i="28"/>
  <c r="W460" i="28"/>
  <c r="C461" i="28"/>
  <c r="X460" i="28"/>
  <c r="E461" i="28" l="1"/>
  <c r="R459" i="28"/>
  <c r="Y459" i="28"/>
  <c r="P460" i="28"/>
  <c r="J459" i="28"/>
  <c r="Q460" i="28"/>
  <c r="N460" i="28" s="1"/>
  <c r="O459" i="28"/>
  <c r="L459" i="28"/>
  <c r="M459" i="28" s="1"/>
  <c r="K459" i="28"/>
  <c r="H460" i="28"/>
  <c r="B462" i="28"/>
  <c r="A463" i="28"/>
  <c r="B463" i="28" s="1"/>
  <c r="F461" i="28"/>
  <c r="T461" i="28"/>
  <c r="X461" i="28"/>
  <c r="S461" i="28"/>
  <c r="U461" i="28"/>
  <c r="D463" i="28"/>
  <c r="C462" i="28"/>
  <c r="V461" i="28"/>
  <c r="W461" i="28"/>
  <c r="G461" i="28"/>
  <c r="C463" i="28"/>
  <c r="D462" i="28"/>
  <c r="I461" i="28"/>
  <c r="E462" i="28" l="1"/>
  <c r="E463" i="28"/>
  <c r="P461" i="28"/>
  <c r="J460" i="28"/>
  <c r="Y460" i="28"/>
  <c r="R460" i="28"/>
  <c r="Q461" i="28"/>
  <c r="N461" i="28" s="1"/>
  <c r="K460" i="28"/>
  <c r="O460" i="28"/>
  <c r="L460" i="28"/>
  <c r="M460" i="28" s="1"/>
  <c r="H461" i="28"/>
  <c r="T462" i="28"/>
  <c r="X462" i="28"/>
  <c r="G462" i="28"/>
  <c r="F462" i="28"/>
  <c r="V462" i="28"/>
  <c r="T463" i="28"/>
  <c r="F463" i="28"/>
  <c r="V463" i="28"/>
  <c r="W463" i="28"/>
  <c r="I462" i="28"/>
  <c r="U462" i="28"/>
  <c r="S462" i="28"/>
  <c r="W462" i="28"/>
  <c r="G463" i="28"/>
  <c r="U463" i="28"/>
  <c r="X463" i="28"/>
  <c r="S463" i="28"/>
  <c r="I463" i="28"/>
  <c r="R462" i="28" l="1"/>
  <c r="Y463" i="28"/>
  <c r="R463" i="28"/>
  <c r="Y462" i="28"/>
  <c r="Q463" i="28"/>
  <c r="N463" i="28" s="1"/>
  <c r="P463" i="28"/>
  <c r="J462" i="28"/>
  <c r="J463" i="28"/>
  <c r="Q462" i="28"/>
  <c r="N462" i="28" s="1"/>
  <c r="R461" i="28"/>
  <c r="Y461" i="28"/>
  <c r="P462" i="28"/>
  <c r="J461" i="28"/>
  <c r="K461" i="28"/>
  <c r="L461" i="28"/>
  <c r="M461" i="28" s="1"/>
  <c r="O461" i="28"/>
  <c r="H463" i="28"/>
  <c r="H462" i="28"/>
  <c r="K462" i="28" l="1"/>
  <c r="L462" i="28"/>
  <c r="M462" i="28" s="1"/>
  <c r="O462" i="28"/>
  <c r="O463" i="28"/>
  <c r="L463" i="28"/>
  <c r="M463" i="28" s="1"/>
  <c r="K463" i="28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sz val="24"/>
            <color indexed="81"/>
            <rFont val="Tahoma"/>
            <family val="2"/>
          </rPr>
          <t>Enter Start of month/year, Latitude, Longitude,Time Zone in the cell marked Yellow.</t>
        </r>
      </text>
    </comment>
  </commentList>
</comments>
</file>

<file path=xl/sharedStrings.xml><?xml version="1.0" encoding="utf-8"?>
<sst xmlns="http://schemas.openxmlformats.org/spreadsheetml/2006/main" count="172" uniqueCount="37">
  <si>
    <t>Nakshatra</t>
  </si>
  <si>
    <t>Longitude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</si>
  <si>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</si>
  <si>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</si>
  <si>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</si>
  <si>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</si>
  <si>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</si>
  <si>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</si>
  <si>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</si>
  <si>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</si>
  <si>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</si>
  <si>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</si>
  <si>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</si>
  <si>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</si>
  <si>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</si>
  <si>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</si>
  <si>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</si>
  <si>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</si>
  <si>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</si>
  <si>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TithiD</t>
  </si>
  <si>
    <t>Sun Rise</t>
  </si>
  <si>
    <t>Sun Sphuta</t>
  </si>
  <si>
    <t>Moon Sphuta</t>
  </si>
  <si>
    <t>Nakshatra(in Decimal)</t>
  </si>
  <si>
    <t>Nakshatra Ending Time</t>
  </si>
  <si>
    <t>Karana 2</t>
  </si>
  <si>
    <t xml:space="preserve">Calendar for Latitude </t>
  </si>
  <si>
    <t>YogaNumber</t>
  </si>
  <si>
    <r>
      <rPr>
        <b/>
        <sz val="15"/>
        <rFont val="Arial"/>
        <family val="2"/>
      </rPr>
      <t>S</t>
    </r>
    <r>
      <rPr>
        <sz val="15"/>
        <rFont val="Arial"/>
        <family val="2"/>
      </rPr>
      <t>hukla/</t>
    </r>
    <r>
      <rPr>
        <b/>
        <sz val="15"/>
        <rFont val="Arial"/>
        <family val="2"/>
      </rPr>
      <t>K</t>
    </r>
    <r>
      <rPr>
        <sz val="15"/>
        <rFont val="Arial"/>
        <family val="2"/>
      </rPr>
      <t xml:space="preserve">risha PakshaTithi </t>
    </r>
  </si>
  <si>
    <t>MARs</t>
  </si>
  <si>
    <t>Merc</t>
  </si>
  <si>
    <t>Jup</t>
  </si>
  <si>
    <t>Venu</t>
  </si>
  <si>
    <t>Sat</t>
  </si>
  <si>
    <t>Rah</t>
  </si>
  <si>
    <t>Graha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</si>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</sst>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809]dd\ mmmm\ yyyy;@"/>
    <numFmt numFmtId="165" formatCode="[$-F400]h:mm:ss\ AM/PM"/>
    <numFmt numFmtId="166" formatCode="0.000"/>
    <numFmt numFmtId="167" formatCode="ddd"/>
    <numFmt numFmtId="168" formatCode="dddd"/>
    <numFmt numFmtId="169" formatCode="hh:mm:ss;@"/>
    <numFmt numFmtId="170" formatCode="0.0"/>
    <numFmt numFmtId="171" formatCode="d"/>
    <numFmt numFmtId="172" formatCode="mmmm\ yyyy"/>
    <numFmt numFmtId="173" formatCode="dd/mm/yyyy\ hh:mm"/>
  </numFmts>
  <fonts count="26" x14ac:knownFonts="1">
    <font>
      <sz val="10"/>
      <name val="Arial"/>
    </font>
    <font>
      <sz val="1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22"/>
      <name val="Arial"/>
      <family val="2"/>
    </font>
    <font>
      <sz val="11"/>
      <name val="Arial"/>
      <family val="2"/>
    </font>
    <font>
      <b/>
      <sz val="28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30"/>
      <name val="Arial"/>
      <family val="2"/>
    </font>
    <font>
      <sz val="28"/>
      <name val="Arial"/>
      <family val="2"/>
    </font>
    <font>
      <sz val="24"/>
      <name val="Arial"/>
      <family val="2"/>
    </font>
    <font>
      <sz val="24"/>
      <color indexed="81"/>
      <name val="Tahoma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5"/>
      <color rgb="FFFF0000"/>
      <name val="Arial"/>
      <family val="2"/>
    </font>
    <font>
      <b/>
      <sz val="18"/>
      <color rgb="FFFF0000"/>
      <name val="Arial"/>
      <family val="2"/>
    </font>
    <font>
      <b/>
      <sz val="22"/>
      <color rgb="FFFF0000"/>
      <name val="Arial"/>
      <family val="2"/>
    </font>
    <font>
      <b/>
      <sz val="15"/>
      <color rgb="FF002060"/>
      <name val="Arial"/>
      <family val="2"/>
    </font>
    <font>
      <b/>
      <sz val="18"/>
      <color rgb="FF002060"/>
      <name val="Arial"/>
      <family val="2"/>
    </font>
    <font>
      <b/>
      <sz val="22"/>
      <color rgb="FF002060"/>
      <name val="Arial"/>
      <family val="2"/>
    </font>
    <font>
      <b/>
      <sz val="30"/>
      <color rgb="FFFF0000"/>
      <name val="Arial"/>
      <family val="2"/>
    </font>
    <font>
      <b/>
      <sz val="30"/>
      <color rgb="FF002060"/>
      <name val="Arial"/>
      <family val="2"/>
    </font>
    <font>
      <b/>
      <sz val="24"/>
      <color rgb="FFFF0000"/>
      <name val="Arial"/>
      <family val="2"/>
    </font>
    <font>
      <b/>
      <sz val="24"/>
      <color rgb="FF00206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67" fontId="0" fillId="0" borderId="0" xfId="0" applyNumberFormat="1" applyFill="1" applyBorder="1" applyAlignment="1" applyProtection="1">
      <alignment horizontal="center"/>
      <protection locked="0" hidden="1"/>
    </xf>
    <xf numFmtId="165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6" fontId="0" fillId="0" borderId="0" xfId="0" applyNumberFormat="1" applyFill="1" applyBorder="1" applyAlignment="1" applyProtection="1">
      <alignment horizontal="center"/>
      <protection locked="0" hidden="1"/>
    </xf>
    <xf numFmtId="164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2" fontId="1" fillId="0" borderId="0" xfId="0" applyNumberFormat="1" applyFont="1" applyFill="1" applyAlignment="1" applyProtection="1">
      <alignment horizontal="center"/>
      <protection locked="0" hidden="1"/>
    </xf>
    <xf numFmtId="167" fontId="1" fillId="0" borderId="0" xfId="0" applyNumberFormat="1" applyFont="1" applyFill="1" applyAlignment="1" applyProtection="1">
      <alignment horizontal="center"/>
      <protection locked="0" hidden="1"/>
    </xf>
    <xf numFmtId="0" fontId="2" fillId="0" borderId="0" xfId="0" applyFont="1"/>
    <xf numFmtId="0" fontId="2" fillId="2" borderId="0" xfId="0" applyFont="1" applyFill="1" applyBorder="1"/>
    <xf numFmtId="0" fontId="3" fillId="2" borderId="1" xfId="0" applyFont="1" applyFill="1" applyBorder="1"/>
    <xf numFmtId="0" fontId="4" fillId="0" borderId="0" xfId="0" applyFont="1"/>
    <xf numFmtId="171" fontId="4" fillId="3" borderId="2" xfId="0" applyNumberFormat="1" applyFont="1" applyFill="1" applyBorder="1"/>
    <xf numFmtId="0" fontId="3" fillId="0" borderId="0" xfId="0" applyFont="1"/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3" xfId="0" applyFont="1" applyBorder="1" applyAlignment="1">
      <alignment horizontal="right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left" vertical="top"/>
    </xf>
    <xf numFmtId="165" fontId="7" fillId="0" borderId="5" xfId="0" applyNumberFormat="1" applyFont="1" applyBorder="1"/>
    <xf numFmtId="165" fontId="8" fillId="0" borderId="5" xfId="0" applyNumberFormat="1" applyFont="1" applyBorder="1"/>
    <xf numFmtId="0" fontId="8" fillId="0" borderId="0" xfId="0" applyFont="1"/>
    <xf numFmtId="2" fontId="7" fillId="0" borderId="5" xfId="0" applyNumberFormat="1" applyFont="1" applyBorder="1"/>
    <xf numFmtId="2" fontId="8" fillId="0" borderId="5" xfId="0" applyNumberFormat="1" applyFont="1" applyBorder="1"/>
    <xf numFmtId="0" fontId="7" fillId="0" borderId="5" xfId="0" applyNumberFormat="1" applyFont="1" applyBorder="1"/>
    <xf numFmtId="0" fontId="8" fillId="0" borderId="5" xfId="0" applyNumberFormat="1" applyFont="1" applyBorder="1"/>
    <xf numFmtId="169" fontId="7" fillId="0" borderId="5" xfId="0" applyNumberFormat="1" applyFont="1" applyBorder="1"/>
    <xf numFmtId="169" fontId="8" fillId="0" borderId="5" xfId="0" applyNumberFormat="1" applyFont="1" applyBorder="1"/>
    <xf numFmtId="170" fontId="7" fillId="0" borderId="5" xfId="0" applyNumberFormat="1" applyFont="1" applyBorder="1"/>
    <xf numFmtId="170" fontId="8" fillId="0" borderId="5" xfId="0" applyNumberFormat="1" applyFont="1" applyBorder="1"/>
    <xf numFmtId="165" fontId="16" fillId="0" borderId="5" xfId="0" applyNumberFormat="1" applyFont="1" applyBorder="1"/>
    <xf numFmtId="2" fontId="16" fillId="0" borderId="5" xfId="0" applyNumberFormat="1" applyFont="1" applyBorder="1"/>
    <xf numFmtId="0" fontId="16" fillId="0" borderId="5" xfId="0" applyNumberFormat="1" applyFont="1" applyBorder="1"/>
    <xf numFmtId="169" fontId="16" fillId="0" borderId="5" xfId="0" applyNumberFormat="1" applyFont="1" applyBorder="1"/>
    <xf numFmtId="170" fontId="16" fillId="0" borderId="5" xfId="0" applyNumberFormat="1" applyFont="1" applyBorder="1"/>
    <xf numFmtId="0" fontId="17" fillId="2" borderId="6" xfId="0" applyFont="1" applyFill="1" applyBorder="1"/>
    <xf numFmtId="171" fontId="18" fillId="3" borderId="2" xfId="0" applyNumberFormat="1" applyFont="1" applyFill="1" applyBorder="1"/>
    <xf numFmtId="165" fontId="19" fillId="0" borderId="5" xfId="0" applyNumberFormat="1" applyFont="1" applyBorder="1"/>
    <xf numFmtId="2" fontId="19" fillId="0" borderId="5" xfId="0" applyNumberFormat="1" applyFont="1" applyBorder="1"/>
    <xf numFmtId="0" fontId="19" fillId="0" borderId="5" xfId="0" applyNumberFormat="1" applyFont="1" applyBorder="1"/>
    <xf numFmtId="169" fontId="19" fillId="0" borderId="5" xfId="0" applyNumberFormat="1" applyFont="1" applyBorder="1"/>
    <xf numFmtId="170" fontId="19" fillId="0" borderId="5" xfId="0" applyNumberFormat="1" applyFont="1" applyBorder="1"/>
    <xf numFmtId="0" fontId="20" fillId="2" borderId="1" xfId="0" applyFont="1" applyFill="1" applyBorder="1"/>
    <xf numFmtId="171" fontId="21" fillId="3" borderId="2" xfId="0" applyNumberFormat="1" applyFont="1" applyFill="1" applyBorder="1"/>
    <xf numFmtId="0" fontId="9" fillId="0" borderId="0" xfId="0" applyFont="1"/>
    <xf numFmtId="171" fontId="22" fillId="3" borderId="2" xfId="0" applyNumberFormat="1" applyFont="1" applyFill="1" applyBorder="1"/>
    <xf numFmtId="171" fontId="9" fillId="3" borderId="2" xfId="0" applyNumberFormat="1" applyFont="1" applyFill="1" applyBorder="1"/>
    <xf numFmtId="171" fontId="23" fillId="3" borderId="2" xfId="0" applyNumberFormat="1" applyFont="1" applyFill="1" applyBorder="1"/>
    <xf numFmtId="171" fontId="10" fillId="3" borderId="2" xfId="0" applyNumberFormat="1" applyFont="1" applyFill="1" applyBorder="1"/>
    <xf numFmtId="0" fontId="11" fillId="0" borderId="0" xfId="0" applyFont="1"/>
    <xf numFmtId="168" fontId="24" fillId="4" borderId="7" xfId="0" applyNumberFormat="1" applyFont="1" applyFill="1" applyBorder="1"/>
    <xf numFmtId="168" fontId="12" fillId="4" borderId="8" xfId="0" applyNumberFormat="1" applyFont="1" applyFill="1" applyBorder="1"/>
    <xf numFmtId="168" fontId="25" fillId="4" borderId="9" xfId="0" applyNumberFormat="1" applyFont="1" applyFill="1" applyBorder="1"/>
    <xf numFmtId="173" fontId="0" fillId="0" borderId="0" xfId="0" applyNumberFormat="1" applyAlignment="1">
      <alignment horizontal="center"/>
    </xf>
    <xf numFmtId="2" fontId="0" fillId="0" borderId="0" xfId="0" applyNumberFormat="1" applyFill="1" applyAlignment="1" applyProtection="1">
      <alignment horizontal="center"/>
      <protection locked="0" hidden="1"/>
    </xf>
    <xf numFmtId="167" fontId="0" fillId="0" borderId="0" xfId="0" applyNumberFormat="1" applyFill="1" applyAlignment="1" applyProtection="1">
      <alignment horizontal="center"/>
      <protection locked="0" hidden="1"/>
    </xf>
    <xf numFmtId="170" fontId="16" fillId="0" borderId="5" xfId="0" applyNumberFormat="1" applyFont="1" applyBorder="1" applyAlignment="1">
      <alignment shrinkToFit="1"/>
    </xf>
    <xf numFmtId="170" fontId="8" fillId="0" borderId="5" xfId="0" applyNumberFormat="1" applyFont="1" applyBorder="1" applyAlignment="1">
      <alignment shrinkToFit="1"/>
    </xf>
    <xf numFmtId="170" fontId="19" fillId="0" borderId="5" xfId="0" applyNumberFormat="1" applyFont="1" applyBorder="1" applyAlignment="1">
      <alignment shrinkToFit="1"/>
    </xf>
    <xf numFmtId="0" fontId="14" fillId="5" borderId="0" xfId="0" applyFont="1" applyFill="1" applyAlignment="1">
      <alignment horizontal="center"/>
    </xf>
    <xf numFmtId="164" fontId="15" fillId="5" borderId="0" xfId="0" applyNumberFormat="1" applyFont="1" applyFill="1" applyAlignment="1">
      <alignment horizontal="center"/>
    </xf>
    <xf numFmtId="172" fontId="6" fillId="4" borderId="10" xfId="0" applyNumberFormat="1" applyFont="1" applyFill="1" applyBorder="1" applyAlignment="1">
      <alignment horizontal="center"/>
    </xf>
    <xf numFmtId="172" fontId="6" fillId="4" borderId="11" xfId="0" applyNumberFormat="1" applyFont="1" applyFill="1" applyBorder="1" applyAlignment="1">
      <alignment horizontal="center"/>
    </xf>
  </cellXfs>
  <cellStyles count="1">
    <cellStyle name="Normal" xfId="0" builtinId="0"/>
  </cellStyles>
  <dxfs count="27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7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73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Y463" totalsRowShown="0" headerRowDxfId="26" dataDxfId="25">
  <tableColumns count="25">
    <tableColumn id="1" name="Date" dataDxfId="24"/>
    <tableColumn id="2" name="GMT" dataDxfId="23">
      <calculatedColumnFormula>A3+TimeZone/24</calculatedColumnFormula>
    </tableColumn>
    <tableColumn id="3" name="SunRise" dataDxfId="22">
      <calculatedColumnFormula>sunrise(Lat,Long,B3)+TimeZone/24+0.00103009259259259</calculatedColumnFormula>
    </tableColumn>
    <tableColumn id="4" name="Sun Set" dataDxfId="21">
      <calculatedColumnFormula>sunset(Lat,Long,B3)+TimeZone/24-0.000277777777777778</calculatedColumnFormula>
    </tableColumn>
    <tableColumn id="5" name="GMT Sun Rise" dataDxfId="20">
      <calculatedColumnFormula>Panchanga!$C3-TimeZone/24</calculatedColumnFormula>
    </tableColumn>
    <tableColumn id="6" name="Sun" dataDxfId="19">
      <calculatedColumnFormula>Planet(E3,0)</calculatedColumnFormula>
    </tableColumn>
    <tableColumn id="7" name="Moon" dataDxfId="18">
      <calculatedColumnFormula>Planet(E3,1)</calculatedColumnFormula>
    </tableColumn>
    <tableColumn id="8" name="Vaara" dataDxfId="17">
      <calculatedColumnFormula>E3</calculatedColumnFormula>
    </tableColumn>
    <tableColumn id="9" name="Nakshatra" dataDxfId="16">
      <calculatedColumnFormula>naks(Panchanga!$G3)</calculatedColumnFormula>
    </tableColumn>
    <tableColumn id="14" name="Nx Ending" dataDxfId="15">
      <calculatedColumnFormula>(C4-Panchanga!$C3)/(G4-Panchanga!$G3)*(13.3333333333333-MOD(Panchanga!$G3,13.333333333333))+Panchanga!$C3</calculatedColumnFormula>
    </tableColumn>
    <tableColumn id="10" name="TithiD" dataDxfId="14">
      <calculatedColumnFormula>IF(Panchanga!$P3&gt;15,"K","S")&amp;ROUNDUP(MOD(Panchanga!$P3,15),0)&amp;" ("&amp;ROUND(Panchanga!$P3,2)&amp;")"</calculatedColumnFormula>
    </tableColumn>
    <tableColumn id="11" name="Karana1" dataDxfId="13">
      <calculatedColumnFormula>IF(AND(Panchanga!$P3&lt;28.5,Panchanga!$P3&gt;0.49999),MOD((Panchanga!$P3-0.5)*2,7),MOD((Panchanga!$P3+30-28.5),30)*2+7)</calculatedColumnFormula>
    </tableColumn>
    <tableColumn id="12" name="Karana2" dataDxfId="12">
      <calculatedColumnFormula>CHOOSE(ROUNDUP(Panchanga!$L3,0),"Bhava","Baalava","Kaulava","Taitula","Garija","Vanija","Vishti","Shakuni","Chatushapda","Naaga","Kimstugna")</calculatedColumnFormula>
    </tableColumn>
    <tableColumn id="13" name="Yoga" dataDxfId="11">
      <calculatedColumnFormula>CHOOSE(ROUNDUP(Panchanga!$Q3,0),"Vishkambha-विष्कम्भ-Sa","Priti-प्रीति-Me","Ayushman-आयुष्मान-Ke","Saubhagya-सौभाग्य-Ve","Shobhana-शोभन-Su","Atiganda-अतिगण्ड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("&amp;Panchanga!$Q3&amp;")"</calculatedColumnFormula>
    </tableColumn>
    <tableColumn id="15" name="Column1" dataDxfId="10">
      <calculatedColumnFormula>IF(AND(Panchanga!$P3&lt;28.5,Panchanga!$P3&gt;0.49999),MOD((Panchanga!$P3-0.5)*2,7),MOD((Panchanga!$P3+30-28.5),30)*2+7)</calculatedColumnFormula>
    </tableColumn>
    <tableColumn id="16" name="Tithi" dataDxfId="9">
      <calculatedColumnFormula>ROUNDUP(MOD(360+Panchanga!$G3-Panchanga!$F3,360)/12,4)</calculatedColumnFormula>
    </tableColumn>
    <tableColumn id="17" name="YogaNumber" dataDxfId="8">
      <calculatedColumnFormula>ROUNDUP(MOD(F3+G3,360)/13.333333333,2)</calculatedColumnFormula>
    </tableColumn>
    <tableColumn id="18" name="Graha" dataDxfId="7">
      <calculatedColumnFormula>SIGN(S4-Panchanga!$S3)*INT(Panchanga!$S3/30+1)&amp;"Ma,"&amp;SIGN(T4-Panchanga!$T3)*INT(Panchanga!$T3/30+1)&amp;"Me,"&amp;SIGN(U4-Panchanga!$U3)*INT(Panchanga!$U3/30+1)&amp;"Ju,"&amp;SIGN(V4-Panchanga!$V3)*INT(Panchanga!$V3/30+1)&amp;"Ve,"&amp;SIGN(W4-Panchanga!$W3)*INT(Panchanga!$W3/30+1)&amp;"Sa,"&amp;INT(Panchanga!$X3/30+1)&amp;"Ra"</calculatedColumnFormula>
    </tableColumn>
    <tableColumn id="19" name="MARs" dataDxfId="6">
      <calculatedColumnFormula>Planet(Panchanga!$E3,4)</calculatedColumnFormula>
    </tableColumn>
    <tableColumn id="20" name="Merc" dataDxfId="5">
      <calculatedColumnFormula>Planet(Panchanga!$E3,2)</calculatedColumnFormula>
    </tableColumn>
    <tableColumn id="21" name="Jup" dataDxfId="4">
      <calculatedColumnFormula>Planet(Panchanga!$E3,5)</calculatedColumnFormula>
    </tableColumn>
    <tableColumn id="22" name="Venu" dataDxfId="3">
      <calculatedColumnFormula>Planet(Panchanga!$E3,3)</calculatedColumnFormula>
    </tableColumn>
    <tableColumn id="23" name="Sat" dataDxfId="2">
      <calculatedColumnFormula>Planet(Panchanga!$E3,6)</calculatedColumnFormula>
    </tableColumn>
    <tableColumn id="24" name="Rah" dataDxfId="1">
      <calculatedColumnFormula>Planet(Panchanga!$E3,10)</calculatedColumnFormula>
    </tableColumn>
    <tableColumn id="25" name="Column2" dataDxfId="0">
      <calculatedColumnFormula>SIGN(S4-Panchanga!$S3)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1"/>
  <dimension ref="A1:Y463"/>
  <sheetViews>
    <sheetView tabSelected="1" workbookViewId="0">
      <selection activeCell="D9" sqref="D9"/>
    </sheetView>
  </sheetViews>
  <sheetFormatPr defaultRowHeight="12.75" x14ac:dyDescent="0.2"/>
  <cols>
    <col min="1" max="1" width="17.42578125" style="3" bestFit="1" customWidth="1"/>
    <col min="2" max="2" width="17.425781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6.42578125" style="1" bestFit="1" customWidth="1"/>
    <col min="9" max="9" width="16.5703125" style="1" bestFit="1" customWidth="1"/>
    <col min="10" max="10" width="15.140625" style="1" customWidth="1"/>
    <col min="11" max="11" width="9.140625" style="1"/>
    <col min="12" max="13" width="10" style="1" customWidth="1"/>
    <col min="14" max="14" width="18.5703125" style="2" customWidth="1"/>
    <col min="15" max="15" width="9.140625" style="1"/>
    <col min="16" max="16" width="15.42578125" style="1" bestFit="1" customWidth="1"/>
    <col min="17" max="17" width="23.7109375" style="1" customWidth="1"/>
    <col min="18" max="18" width="22.28515625" style="1" bestFit="1" customWidth="1"/>
    <col min="19" max="16384" width="9.140625" style="1"/>
  </cols>
  <sheetData>
    <row r="1" spans="1:25" ht="15.75" x14ac:dyDescent="0.25">
      <c r="A1" s="1" t="s">
        <v>2</v>
      </c>
      <c r="C1" s="66">
        <v>13.5</v>
      </c>
      <c r="D1" s="1" t="s">
        <v>3</v>
      </c>
      <c r="F1" s="66">
        <v>80.23</v>
      </c>
      <c r="G1" s="1" t="s">
        <v>4</v>
      </c>
      <c r="H1" s="66">
        <v>5.5</v>
      </c>
      <c r="N1" s="1"/>
      <c r="P1" s="2"/>
    </row>
    <row r="2" spans="1:25" x14ac:dyDescent="0.2">
      <c r="A2" s="3" t="s">
        <v>5</v>
      </c>
      <c r="B2" s="4" t="s">
        <v>6</v>
      </c>
      <c r="C2" s="4" t="s">
        <v>7</v>
      </c>
      <c r="D2" s="4" t="s">
        <v>8</v>
      </c>
      <c r="E2" s="4" t="s">
        <v>11</v>
      </c>
      <c r="F2" s="4" t="s">
        <v>9</v>
      </c>
      <c r="G2" s="4" t="s">
        <v>10</v>
      </c>
      <c r="H2" s="4" t="s">
        <v>16</v>
      </c>
      <c r="I2" s="4" t="s">
        <v>0</v>
      </c>
      <c r="J2" s="4" t="s">
        <v>18</v>
      </c>
      <c r="K2" s="4" t="s">
        <v>19</v>
      </c>
      <c r="L2" s="4" t="s">
        <v>14</v>
      </c>
      <c r="M2" s="4" t="s">
        <v>15</v>
      </c>
      <c r="N2" s="2" t="s">
        <v>13</v>
      </c>
      <c r="O2" s="4" t="s">
        <v>17</v>
      </c>
      <c r="P2" s="4" t="s">
        <v>12</v>
      </c>
      <c r="Q2" s="24" t="s">
        <v>27</v>
      </c>
      <c r="R2" s="24" t="s">
        <v>35</v>
      </c>
      <c r="S2" s="4" t="s">
        <v>29</v>
      </c>
      <c r="T2" s="4" t="s">
        <v>30</v>
      </c>
      <c r="U2" s="4" t="s">
        <v>31</v>
      </c>
      <c r="V2" s="4" t="s">
        <v>32</v>
      </c>
      <c r="W2" s="4" t="s">
        <v>33</v>
      </c>
      <c r="X2" s="4" t="s">
        <v>34</v>
      </c>
      <c r="Y2" s="4" t="s">
        <v>36</v>
      </c>
    </row>
    <row r="3" spans="1:25" hidden="1" x14ac:dyDescent="0.2">
      <c r="A3" s="3">
        <f t="shared" ref="A3:A8" ca="1" si="0">A4-1</f>
        <v>43095</v>
      </c>
      <c r="B3" s="11">
        <f t="shared" ref="B3:B8" ca="1" si="1">A3+TimeZone/24</f>
        <v>43095.229166666664</v>
      </c>
      <c r="C3" s="8">
        <f t="shared" ref="C3:C34" ca="1" si="2">sunrise(Lat,Long,B3)+TimeZone/24+0.00103009259259259</f>
        <v>43095.271537668224</v>
      </c>
      <c r="D3" s="8">
        <f t="shared" ref="D3:D34" ca="1" si="3">sunset(Lat,Long,B3)+TimeZone/24-0.000277777777777778</f>
        <v>43094.74224931006</v>
      </c>
      <c r="E3" s="12">
        <f ca="1">Panchanga!$C3-TimeZone/24</f>
        <v>43095.04237100156</v>
      </c>
      <c r="F3" s="13">
        <f ca="1">Planet(E3,0)</f>
        <v>250.33320297708735</v>
      </c>
      <c r="G3" s="13">
        <f t="shared" ref="G3:G9" ca="1" si="4">Planet(E3,1)</f>
        <v>336.20342957735761</v>
      </c>
      <c r="H3" s="14">
        <f t="shared" ref="H3:H8" ca="1" si="5">E3</f>
        <v>43095.04237100156</v>
      </c>
      <c r="I3" s="9" t="str">
        <f ca="1">naks(Panchanga!$G3)</f>
        <v>Uttara Bhadrapada</v>
      </c>
      <c r="J3" s="8">
        <f ca="1">(C4-Panchanga!$C3)/(G4-Panchanga!$G3)*(13.3333333333333-MOD(Panchanga!$G3,13.333333333333))+Panchanga!$C3</f>
        <v>43096.071638437686</v>
      </c>
      <c r="K3" s="9" t="str">
        <f ca="1">IF(Panchanga!$P3&gt;15,"K","S")&amp;ROUNDUP(MOD(Panchanga!$P3,15),0)&amp;" ("&amp;ROUND(Panchanga!$P3,2)&amp;")"</f>
        <v>S8 (7.16)</v>
      </c>
      <c r="L3" s="9">
        <f ca="1">IF(AND(Panchanga!$P3&lt;28.5,Panchanga!$P3&gt;0.49999),MOD((Panchanga!$P3-0.5)*2,7),MOD((Panchanga!$P3+30-28.5),30)*2+7)</f>
        <v>6.3117999999999999</v>
      </c>
      <c r="M3" s="9" t="str">
        <f ca="1">CHOOSE(ROUNDUP(Panchanga!$L3,0),"Bhava","Baalava","Kaulava","Taitula","Garija","Vanija","Vishti","Shakuni","Chatushapda","Naaga","Kimstugna")</f>
        <v>Vishti</v>
      </c>
      <c r="N3" s="25" t="str">
        <f ca="1">CHOOSE(ROUNDUP(Panchanga!$Q3,0),"Vishkambha-विष्कम्भ-Sa","Priti-प्रीति-Me","Ayushman-आयुष्मान-Ke","Saubhagya-सौभाग्य-Ve","Shobhana-शोभन-Su","Atiganda-अतिगण्ड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("&amp;Panchanga!$Q3&amp;")"</f>
        <v>Vyatipata-व्यतिपात-Ra (17)</v>
      </c>
      <c r="O3" s="2">
        <f ca="1">IF(AND(Panchanga!$P3&lt;28.5,Panchanga!$P3&gt;0.49999),MOD((Panchanga!$P3-0.5)*2,7),MOD((Panchanga!$P3+30-28.5),30)*2+7)</f>
        <v>6.3117999999999999</v>
      </c>
      <c r="P3" s="9">
        <f ca="1">ROUNDUP(MOD(360+Panchanga!$G3-Panchanga!$F3,360)/12,4)</f>
        <v>7.1558999999999999</v>
      </c>
      <c r="Q3" s="2">
        <f t="shared" ref="Q3:Q34" ca="1" si="6">ROUNDUP(MOD(F3+G3,360)/13.333333333,2)</f>
        <v>17</v>
      </c>
      <c r="R3" s="2" t="str">
        <f ca="1">SIGN(S4-Panchanga!$S3)*INT(Panchanga!$S3/30+1)&amp;"Ma,"&amp;SIGN(T4-Panchanga!$T3)*INT(Panchanga!$T3/30+1)&amp;"Me,"&amp;SIGN(U4-Panchanga!$U3)*INT(Panchanga!$U3/30+1)&amp;"Ju,"&amp;SIGN(V4-Panchanga!$V3)*INT(Panchanga!$V3/30+1)&amp;"Ve,"&amp;SIGN(W4-Panchanga!$W3)*INT(Panchanga!$W3/30+1)&amp;"Sa,"&amp;INT(Panchanga!$X3/30+1)&amp;"Ra"</f>
        <v>7Ma,8Me,7Ju,9Ve,9Sa,4Ra</v>
      </c>
      <c r="S3" s="2">
        <f ca="1">Planet(Panchanga!$E3,4)</f>
        <v>196.3425910203751</v>
      </c>
      <c r="T3" s="2">
        <f ca="1">Planet(Panchanga!$E3,2)</f>
        <v>229.55213786141184</v>
      </c>
      <c r="U3" s="2">
        <f ca="1">Planet(Panchanga!$E3,5)</f>
        <v>201.79741593444353</v>
      </c>
      <c r="V3" s="2">
        <f ca="1">Planet(Panchanga!$E3,3)</f>
        <v>246.92216186935835</v>
      </c>
      <c r="W3" s="2">
        <f ca="1">Planet(Panchanga!$E3,6)</f>
        <v>246.58463206436321</v>
      </c>
      <c r="X3" s="2">
        <f ca="1">Planet(Panchanga!$E3,10)</f>
        <v>113.1071418380297</v>
      </c>
      <c r="Y3" s="2">
        <f ca="1">SIGN(S4-Panchanga!$S3)</f>
        <v>1</v>
      </c>
    </row>
    <row r="4" spans="1:25" hidden="1" x14ac:dyDescent="0.2">
      <c r="A4" s="3">
        <f t="shared" ca="1" si="0"/>
        <v>43096</v>
      </c>
      <c r="B4" s="11">
        <f t="shared" ca="1" si="1"/>
        <v>43096.229166666664</v>
      </c>
      <c r="C4" s="8">
        <f t="shared" ca="1" si="2"/>
        <v>43096.271850632191</v>
      </c>
      <c r="D4" s="8">
        <f t="shared" ca="1" si="3"/>
        <v>43095.742619018114</v>
      </c>
      <c r="E4" s="12">
        <f ca="1">Panchanga!$C4-TimeZone/24</f>
        <v>43096.042683965527</v>
      </c>
      <c r="F4" s="13">
        <f t="shared" ref="F4:F66" ca="1" si="7">Planet(E4,0)</f>
        <v>251.35233664852112</v>
      </c>
      <c r="G4" s="13">
        <f t="shared" ca="1" si="4"/>
        <v>349.28492144053808</v>
      </c>
      <c r="H4" s="14">
        <f t="shared" ca="1" si="5"/>
        <v>43096.042683965527</v>
      </c>
      <c r="I4" s="9" t="str">
        <f ca="1">naks(Panchanga!$G4)</f>
        <v>Revati</v>
      </c>
      <c r="J4" s="8">
        <f ca="1">(C5-Panchanga!$C4)/(G5-Panchanga!$G4)*(13.3333333333333-MOD(Panchanga!$G4,13.333333333333))+Panchanga!$C4</f>
        <v>43096.240914796559</v>
      </c>
      <c r="K4" s="9" t="str">
        <f ca="1">IF(Panchanga!$P4&gt;15,"K","S")&amp;ROUNDUP(MOD(Panchanga!$P4,15),0)&amp;" ("&amp;ROUND(Panchanga!$P4,2)&amp;")"</f>
        <v>S9 (8.16)</v>
      </c>
      <c r="L4" s="9">
        <f ca="1">IF(AND(Panchanga!$P4&lt;28.5,Panchanga!$P4&gt;0.49999),MOD((Panchanga!$P4-0.5)*2,7),MOD((Panchanga!$P4+30-28.5),30)*2+7)</f>
        <v>1.3221999999999987</v>
      </c>
      <c r="M4" s="9" t="str">
        <f ca="1">CHOOSE(ROUNDUP(Panchanga!$L4,0),"Bhava","Baalava","Kaulava","Taitula","Garija","Vanija","Vishti","Shakuni","Chatushapda","Naaga","Kimstugna")</f>
        <v>Baalava</v>
      </c>
      <c r="N4" s="25" t="str">
        <f ca="1">CHOOSE(ROUNDUP(Panchanga!$Q4,0),"Vishkambha-विष्कम्भ-Sa","Priti-प्रीति-Me","Ayushman-आयुष्मान-Ke","Saubhagya-सौभाग्य-Ve","Shobhana-शोभन-Su","Atiganda-अतिगण्ड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("&amp;Panchanga!$Q4&amp;")"</f>
        <v>Parigha-परिघ-Sa (18.05)</v>
      </c>
      <c r="O4" s="2">
        <f ca="1">IF(AND(Panchanga!$P4&lt;28.5,Panchanga!$P4&gt;0.49999),MOD((Panchanga!$P4-0.5)*2,7),MOD((Panchanga!$P4+30-28.5),30)*2+7)</f>
        <v>1.3221999999999987</v>
      </c>
      <c r="P4" s="9">
        <f ca="1">ROUNDUP(MOD(360+Panchanga!$G4-Panchanga!$F4,360)/12,4)</f>
        <v>8.1610999999999994</v>
      </c>
      <c r="Q4" s="2">
        <f t="shared" ca="1" si="6"/>
        <v>18.05</v>
      </c>
      <c r="R4" s="2" t="str">
        <f ca="1">SIGN(S5-Panchanga!$S4)*INT(Panchanga!$S4/30+1)&amp;"Ma,"&amp;SIGN(T5-Panchanga!$T4)*INT(Panchanga!$T4/30+1)&amp;"Me,"&amp;SIGN(U5-Panchanga!$U4)*INT(Panchanga!$U4/30+1)&amp;"Ju,"&amp;SIGN(V5-Panchanga!$V4)*INT(Panchanga!$V4/30+1)&amp;"Ve,"&amp;SIGN(W5-Panchanga!$W4)*INT(Panchanga!$W4/30+1)&amp;"Sa,"&amp;INT(Panchanga!$X4/30+1)&amp;"Ra"</f>
        <v>7Ma,8Me,7Ju,9Ve,9Sa,4Ra</v>
      </c>
      <c r="S4" s="2">
        <f ca="1">Planet(Panchanga!$E4,4)</f>
        <v>196.96767092006615</v>
      </c>
      <c r="T4" s="2">
        <f ca="1">Planet(Panchanga!$E4,2)</f>
        <v>230.03460716994138</v>
      </c>
      <c r="U4" s="2">
        <f ca="1">Planet(Panchanga!$E4,5)</f>
        <v>201.97450977451902</v>
      </c>
      <c r="V4" s="2">
        <f ca="1">Planet(Panchanga!$E4,3)</f>
        <v>248.18109300288464</v>
      </c>
      <c r="W4" s="2">
        <f ca="1">Planet(Panchanga!$E4,6)</f>
        <v>246.70252945485041</v>
      </c>
      <c r="X4" s="2">
        <f ca="1">Planet(Panchanga!$E4,10)</f>
        <v>113.05413325551928</v>
      </c>
      <c r="Y4" s="2">
        <f ca="1">SIGN(S5-Panchanga!$S4)</f>
        <v>1</v>
      </c>
    </row>
    <row r="5" spans="1:25" hidden="1" x14ac:dyDescent="0.2">
      <c r="A5" s="3">
        <f t="shared" ca="1" si="0"/>
        <v>43097</v>
      </c>
      <c r="B5" s="11">
        <f t="shared" ca="1" si="1"/>
        <v>43097.229166666664</v>
      </c>
      <c r="C5" s="8">
        <f t="shared" ca="1" si="2"/>
        <v>43097.272155649182</v>
      </c>
      <c r="D5" s="8">
        <f t="shared" ca="1" si="3"/>
        <v>43096.742993017237</v>
      </c>
      <c r="E5" s="12">
        <f ca="1">Panchanga!$C5-TimeZone/24</f>
        <v>43097.042988982517</v>
      </c>
      <c r="F5" s="13">
        <f t="shared" ca="1" si="7"/>
        <v>252.37145895375676</v>
      </c>
      <c r="G5" s="13">
        <f t="shared" ca="1" si="4"/>
        <v>2.8146670516394399</v>
      </c>
      <c r="H5" s="14">
        <f t="shared" ca="1" si="5"/>
        <v>43097.042988982517</v>
      </c>
      <c r="I5" s="9" t="str">
        <f ca="1">naks(Panchanga!$G5)</f>
        <v>Aswini</v>
      </c>
      <c r="J5" s="8">
        <f ca="1">(C6-Panchanga!$C5)/(G6-Panchanga!$G5)*(13.3333333333333-MOD(Panchanga!$G5,13.333333333333))+Panchanga!$C5</f>
        <v>43098.023163304082</v>
      </c>
      <c r="K5" s="9" t="str">
        <f ca="1">IF(Panchanga!$P5&gt;15,"K","S")&amp;ROUNDUP(MOD(Panchanga!$P5,15),0)&amp;" ("&amp;ROUND(Panchanga!$P5,2)&amp;")"</f>
        <v>S10 (9.2)</v>
      </c>
      <c r="L5" s="9">
        <f ca="1">IF(AND(Panchanga!$P5&lt;28.5,Panchanga!$P5&gt;0.49999),MOD((Panchanga!$P5-0.5)*2,7),MOD((Panchanga!$P5+30-28.5),30)*2+7)</f>
        <v>3.4073999999999991</v>
      </c>
      <c r="M5" s="9" t="str">
        <f ca="1">CHOOSE(ROUNDUP(Panchanga!$L5,0),"Bhava","Baalava","Kaulava","Taitula","Garija","Vanija","Vishti","Shakuni","Chatushapda","Naaga","Kimstugna")</f>
        <v>Taitula</v>
      </c>
      <c r="N5" s="25" t="str">
        <f ca="1">CHOOSE(ROUNDUP(Panchanga!$Q5,0),"Vishkambha-विष्कम्भ-Sa","Priti-प्रीति-Me","Ayushman-आयुष्मान-Ke","Saubhagya-सौभाग्य-Ve","Shobhana-शोभन-Su","Atiganda-अतिगण्ड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("&amp;Panchanga!$Q5&amp;")"</f>
        <v>Shiva-शिव-Me (19.14)</v>
      </c>
      <c r="O5" s="2">
        <f ca="1">IF(AND(Panchanga!$P5&lt;28.5,Panchanga!$P5&gt;0.49999),MOD((Panchanga!$P5-0.5)*2,7),MOD((Panchanga!$P5+30-28.5),30)*2+7)</f>
        <v>3.4073999999999991</v>
      </c>
      <c r="P5" s="9">
        <f ca="1">ROUNDUP(MOD(360+Panchanga!$G5-Panchanga!$F5,360)/12,4)</f>
        <v>9.2036999999999995</v>
      </c>
      <c r="Q5" s="2">
        <f t="shared" ca="1" si="6"/>
        <v>19.14</v>
      </c>
      <c r="R5" s="2" t="str">
        <f ca="1">SIGN(S6-Panchanga!$S5)*INT(Panchanga!$S5/30+1)&amp;"Ma,"&amp;SIGN(T6-Panchanga!$T5)*INT(Panchanga!$T5/30+1)&amp;"Me,"&amp;SIGN(U6-Panchanga!$U5)*INT(Panchanga!$U5/30+1)&amp;"Ju,"&amp;SIGN(V6-Panchanga!$V5)*INT(Panchanga!$V5/30+1)&amp;"Ve,"&amp;SIGN(W6-Panchanga!$W5)*INT(Panchanga!$W5/30+1)&amp;"Sa,"&amp;INT(Panchanga!$X5/30+1)&amp;"Ra"</f>
        <v>7Ma,8Me,7Ju,9Ve,9Sa,4Ra</v>
      </c>
      <c r="S5" s="2">
        <f ca="1">Planet(Panchanga!$E5,4)</f>
        <v>197.59250609201092</v>
      </c>
      <c r="T5" s="2">
        <f ca="1">Planet(Panchanga!$E5,2)</f>
        <v>230.62802614435972</v>
      </c>
      <c r="U5" s="2">
        <f ca="1">Planet(Panchanga!$E5,5)</f>
        <v>202.15012598940655</v>
      </c>
      <c r="V5" s="2">
        <f ca="1">Planet(Panchanga!$E5,3)</f>
        <v>249.43995313559864</v>
      </c>
      <c r="W5" s="2">
        <f ca="1">Planet(Panchanga!$E5,6)</f>
        <v>246.82031858118148</v>
      </c>
      <c r="X5" s="2">
        <f ca="1">Planet(Panchanga!$E5,10)</f>
        <v>113.00112509414075</v>
      </c>
      <c r="Y5" s="2">
        <f ca="1">SIGN(S6-Panchanga!$S5)</f>
        <v>1</v>
      </c>
    </row>
    <row r="6" spans="1:25" hidden="1" x14ac:dyDescent="0.2">
      <c r="A6" s="3">
        <f t="shared" ca="1" si="0"/>
        <v>43098</v>
      </c>
      <c r="B6" s="11">
        <f t="shared" ca="1" si="1"/>
        <v>43098.229166666664</v>
      </c>
      <c r="C6" s="8">
        <f t="shared" ca="1" si="2"/>
        <v>43098.272452241894</v>
      </c>
      <c r="D6" s="8">
        <f t="shared" ca="1" si="3"/>
        <v>43097.743370831056</v>
      </c>
      <c r="E6" s="12">
        <f ca="1">Panchanga!$C6-TimeZone/24</f>
        <v>43098.04328557523</v>
      </c>
      <c r="F6" s="13">
        <f t="shared" ca="1" si="7"/>
        <v>253.39056085405596</v>
      </c>
      <c r="G6" s="13">
        <f t="shared" ca="1" si="4"/>
        <v>16.824891811353137</v>
      </c>
      <c r="H6" s="14">
        <f t="shared" ca="1" si="5"/>
        <v>43098.04328557523</v>
      </c>
      <c r="I6" s="9" t="str">
        <f ca="1">naks(Panchanga!$G6)</f>
        <v>Bharani</v>
      </c>
      <c r="J6" s="8">
        <f ca="1">(C7-Panchanga!$C6)/(G7-Panchanga!$G6)*(13.3333333333333-MOD(Panchanga!$G6,13.333333333333))+Panchanga!$C6</f>
        <v>43098.952288841581</v>
      </c>
      <c r="K6" s="9" t="str">
        <f ca="1">IF(Panchanga!$P6&gt;15,"K","S")&amp;ROUNDUP(MOD(Panchanga!$P6,15),0)&amp;" ("&amp;ROUND(Panchanga!$P6,2)&amp;")"</f>
        <v>S11 (10.29)</v>
      </c>
      <c r="L6" s="9">
        <f ca="1">IF(AND(Panchanga!$P6&lt;28.5,Panchanga!$P6&gt;0.49999),MOD((Panchanga!$P6-0.5)*2,7),MOD((Panchanga!$P6+30-28.5),30)*2+7)</f>
        <v>5.5723999999999982</v>
      </c>
      <c r="M6" s="9" t="str">
        <f ca="1">CHOOSE(ROUNDUP(Panchanga!$L6,0),"Bhava","Baalava","Kaulava","Taitula","Garija","Vanija","Vishti","Shakuni","Chatushapda","Naaga","Kimstugna")</f>
        <v>Vanija</v>
      </c>
      <c r="N6" s="25" t="str">
        <f ca="1">CHOOSE(ROUNDUP(Panchanga!$Q6,0),"Vishkambha-विष्कम्भ-Sa","Priti-प्रीति-Me","Ayushman-आयुष्मान-Ke","Saubhagya-सौभाग्य-Ve","Shobhana-शोभन-Su","Atiganda-अतिगण्ड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("&amp;Panchanga!$Q6&amp;")"</f>
        <v>Siddha-सिद्ध-Ke (20.27)</v>
      </c>
      <c r="O6" s="2">
        <f ca="1">IF(AND(Panchanga!$P6&lt;28.5,Panchanga!$P6&gt;0.49999),MOD((Panchanga!$P6-0.5)*2,7),MOD((Panchanga!$P6+30-28.5),30)*2+7)</f>
        <v>5.5723999999999982</v>
      </c>
      <c r="P6" s="9">
        <f ca="1">ROUNDUP(MOD(360+Panchanga!$G6-Panchanga!$F6,360)/12,4)</f>
        <v>10.286199999999999</v>
      </c>
      <c r="Q6" s="2">
        <f t="shared" ca="1" si="6"/>
        <v>20.270000000000003</v>
      </c>
      <c r="R6" s="2" t="str">
        <f ca="1">SIGN(S7-Panchanga!$S6)*INT(Panchanga!$S6/30+1)&amp;"Ma,"&amp;SIGN(T7-Panchanga!$T6)*INT(Panchanga!$T6/30+1)&amp;"Me,"&amp;SIGN(U7-Panchanga!$U6)*INT(Panchanga!$U6/30+1)&amp;"Ju,"&amp;SIGN(V7-Panchanga!$V6)*INT(Panchanga!$V6/30+1)&amp;"Ve,"&amp;SIGN(W7-Panchanga!$W6)*INT(Panchanga!$W6/30+1)&amp;"Sa,"&amp;INT(Panchanga!$X6/30+1)&amp;"Ra"</f>
        <v>7Ma,8Me,7Ju,9Ve,9Sa,4Ra</v>
      </c>
      <c r="S6" s="2">
        <f ca="1">Planet(Panchanga!$E6,4)</f>
        <v>198.21709914771179</v>
      </c>
      <c r="T6" s="2">
        <f ca="1">Planet(Panchanga!$E6,2)</f>
        <v>231.32063758800066</v>
      </c>
      <c r="U6" s="2">
        <f ca="1">Planet(Panchanga!$E6,5)</f>
        <v>202.32423939380166</v>
      </c>
      <c r="V6" s="2">
        <f ca="1">Planet(Panchanga!$E6,3)</f>
        <v>250.69873880949115</v>
      </c>
      <c r="W6" s="2">
        <f ca="1">Planet(Panchanga!$E6,6)</f>
        <v>246.93798103180504</v>
      </c>
      <c r="X6" s="2">
        <f ca="1">Planet(Panchanga!$E6,10)</f>
        <v>112.94811737917789</v>
      </c>
      <c r="Y6" s="2">
        <f ca="1">SIGN(S7-Panchanga!$S6)</f>
        <v>1</v>
      </c>
    </row>
    <row r="7" spans="1:25" hidden="1" x14ac:dyDescent="0.2">
      <c r="A7" s="3">
        <f t="shared" ca="1" si="0"/>
        <v>43099</v>
      </c>
      <c r="B7" s="11">
        <f t="shared" ca="1" si="1"/>
        <v>43099.229166666664</v>
      </c>
      <c r="C7" s="8">
        <f t="shared" ca="1" si="2"/>
        <v>43099.272740251537</v>
      </c>
      <c r="D7" s="8">
        <f t="shared" ca="1" si="3"/>
        <v>43098.743752141992</v>
      </c>
      <c r="E7" s="12">
        <f ca="1">Panchanga!$C7-TimeZone/24</f>
        <v>43099.043573584873</v>
      </c>
      <c r="F7" s="13">
        <f t="shared" ca="1" si="7"/>
        <v>254.409638139245</v>
      </c>
      <c r="G7" s="13">
        <f t="shared" ca="1" si="4"/>
        <v>31.305738217606102</v>
      </c>
      <c r="H7" s="14">
        <f t="shared" ca="1" si="5"/>
        <v>43099.043573584873</v>
      </c>
      <c r="I7" s="9" t="str">
        <f ca="1">naks(Panchanga!$G7)</f>
        <v>Krittika</v>
      </c>
      <c r="J7" s="8">
        <f ca="1">(C8-Panchanga!$C7)/(G8-Panchanga!$G7)*(13.3333333333333-MOD(Panchanga!$G7,13.333333333333))+Panchanga!$C7</f>
        <v>43099.856875251186</v>
      </c>
      <c r="K7" s="9" t="str">
        <f ca="1">IF(Panchanga!$P7&gt;15,"K","S")&amp;ROUNDUP(MOD(Panchanga!$P7,15),0)&amp;" ("&amp;ROUND(Panchanga!$P7,2)&amp;")"</f>
        <v>S12 (11.41)</v>
      </c>
      <c r="L7" s="9">
        <f ca="1">IF(AND(Panchanga!$P7&lt;28.5,Panchanga!$P7&gt;0.49999),MOD((Panchanga!$P7-0.5)*2,7),MOD((Panchanga!$P7+30-28.5),30)*2+7)</f>
        <v>0.81619999999999848</v>
      </c>
      <c r="M7" s="9" t="str">
        <f ca="1">CHOOSE(ROUNDUP(Panchanga!$L7,0),"Bhava","Baalava","Kaulava","Taitula","Garija","Vanija","Vishti","Shakuni","Chatushapda","Naaga","Kimstugna")</f>
        <v>Bhava</v>
      </c>
      <c r="N7" s="25" t="str">
        <f ca="1">CHOOSE(ROUNDUP(Panchanga!$Q7,0),"Vishkambha-विष्कम्भ-Sa","Priti-प्रीति-Me","Ayushman-आयुष्मान-Ke","Saubhagya-सौभाग्य-Ve","Shobhana-शोभन-Su","Atiganda-अतिगण्ड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("&amp;Panchanga!$Q7&amp;")"</f>
        <v>Sadhya-साध्य-Ve (21.43)</v>
      </c>
      <c r="O7" s="2">
        <f ca="1">IF(AND(Panchanga!$P7&lt;28.5,Panchanga!$P7&gt;0.49999),MOD((Panchanga!$P7-0.5)*2,7),MOD((Panchanga!$P7+30-28.5),30)*2+7)</f>
        <v>0.81619999999999848</v>
      </c>
      <c r="P7" s="9">
        <f ca="1">ROUNDUP(MOD(360+Panchanga!$G7-Panchanga!$F7,360)/12,4)</f>
        <v>11.408099999999999</v>
      </c>
      <c r="Q7" s="2">
        <f t="shared" ca="1" si="6"/>
        <v>21.430000000000003</v>
      </c>
      <c r="R7" s="2" t="str">
        <f ca="1">SIGN(S8-Panchanga!$S7)*INT(Panchanga!$S7/30+1)&amp;"Ma,"&amp;SIGN(T8-Panchanga!$T7)*INT(Panchanga!$T7/30+1)&amp;"Me,"&amp;SIGN(U8-Panchanga!$U7)*INT(Panchanga!$U7/30+1)&amp;"Ju,"&amp;SIGN(V8-Panchanga!$V7)*INT(Panchanga!$V7/30+1)&amp;"Ve,"&amp;SIGN(W8-Panchanga!$W7)*INT(Panchanga!$W7/30+1)&amp;"Sa,"&amp;INT(Panchanga!$X7/30+1)&amp;"Ra"</f>
        <v>7Ma,8Me,7Ju,9Ve,9Sa,4Ra</v>
      </c>
      <c r="S7" s="2">
        <f ca="1">Planet(Panchanga!$E7,4)</f>
        <v>198.84145450747721</v>
      </c>
      <c r="T7" s="2">
        <f ca="1">Planet(Panchanga!$E7,2)</f>
        <v>232.10161027215113</v>
      </c>
      <c r="U7" s="2">
        <f ca="1">Planet(Panchanga!$E7,5)</f>
        <v>202.4968254030081</v>
      </c>
      <c r="V7" s="2">
        <f ca="1">Planet(Panchanga!$E7,3)</f>
        <v>251.95744940560522</v>
      </c>
      <c r="W7" s="2">
        <f ca="1">Planet(Panchanga!$E7,6)</f>
        <v>247.0554986930492</v>
      </c>
      <c r="X7" s="2">
        <f ca="1">Planet(Panchanga!$E7,10)</f>
        <v>112.89511011906436</v>
      </c>
      <c r="Y7" s="2">
        <f ca="1">SIGN(S8-Panchanga!$S7)</f>
        <v>1</v>
      </c>
    </row>
    <row r="8" spans="1:25" hidden="1" x14ac:dyDescent="0.2">
      <c r="A8" s="3">
        <f t="shared" ca="1" si="0"/>
        <v>43100</v>
      </c>
      <c r="B8" s="11">
        <f t="shared" ca="1" si="1"/>
        <v>43100.229166666664</v>
      </c>
      <c r="C8" s="8">
        <f t="shared" ca="1" si="2"/>
        <v>43100.273019360066</v>
      </c>
      <c r="D8" s="8">
        <f t="shared" ca="1" si="3"/>
        <v>43099.744136472742</v>
      </c>
      <c r="E8" s="12">
        <f ca="1">Panchanga!$C8-TimeZone/24</f>
        <v>43100.043852693401</v>
      </c>
      <c r="F8" s="13">
        <f t="shared" ca="1" si="7"/>
        <v>255.42869148507117</v>
      </c>
      <c r="G8" s="13">
        <f t="shared" ca="1" si="4"/>
        <v>46.193886385806643</v>
      </c>
      <c r="H8" s="14">
        <f t="shared" ca="1" si="5"/>
        <v>43100.043852693401</v>
      </c>
      <c r="I8" s="9" t="str">
        <f ca="1">naks(Panchanga!$G8)</f>
        <v>Rohini</v>
      </c>
      <c r="J8" s="8">
        <f ca="1">(C9-Panchanga!$C8)/(G9-Panchanga!$G8)*(13.3333333333333-MOD(Panchanga!$G8,13.333333333333))+Panchanga!$C8</f>
        <v>43100.743564940945</v>
      </c>
      <c r="K8" s="9" t="str">
        <f ca="1">IF(Panchanga!$P8&gt;15,"K","S")&amp;ROUNDUP(MOD(Panchanga!$P8,15),0)&amp;" ("&amp;ROUND(Panchanga!$P8,2)&amp;")"</f>
        <v>S13 (12.56)</v>
      </c>
      <c r="L8" s="9">
        <f ca="1">IF(AND(Panchanga!$P8&lt;28.5,Panchanga!$P8&gt;0.49999),MOD((Panchanga!$P8-0.5)*2,7),MOD((Panchanga!$P8+30-28.5),30)*2+7)</f>
        <v>3.127600000000001</v>
      </c>
      <c r="M8" s="9" t="str">
        <f ca="1">CHOOSE(ROUNDUP(Panchanga!$L8,0),"Bhava","Baalava","Kaulava","Taitula","Garija","Vanija","Vishti","Shakuni","Chatushapda","Naaga","Kimstugna")</f>
        <v>Taitula</v>
      </c>
      <c r="N8" s="25" t="str">
        <f ca="1">CHOOSE(ROUNDUP(Panchanga!$Q8,0),"Vishkambha-विष्कम्भ-Sa","Priti-प्रीति-Me","Ayushman-आयुष्मान-Ke","Saubhagya-सौभाग्य-Ve","Shobhana-शोभन-Su","Atiganda-अतिगण्ड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("&amp;Panchanga!$Q8&amp;")"</f>
        <v>Shubha-शुभ-Su (22.63)</v>
      </c>
      <c r="O8" s="2">
        <f ca="1">IF(AND(Panchanga!$P8&lt;28.5,Panchanga!$P8&gt;0.49999),MOD((Panchanga!$P8-0.5)*2,7),MOD((Panchanga!$P8+30-28.5),30)*2+7)</f>
        <v>3.127600000000001</v>
      </c>
      <c r="P8" s="9">
        <f ca="1">ROUNDUP(MOD(360+Panchanga!$G8-Panchanga!$F8,360)/12,4)</f>
        <v>12.563800000000001</v>
      </c>
      <c r="Q8" s="2">
        <f ca="1">ROUNDUP(MOD(F8+G8,360)/13.333333333,2)</f>
        <v>22.630000000000003</v>
      </c>
      <c r="R8" s="2" t="str">
        <f ca="1">SIGN(S9-Panchanga!$S8)*INT(Panchanga!$S8/30+1)&amp;"Ma,"&amp;SIGN(T9-Panchanga!$T8)*INT(Panchanga!$T8/30+1)&amp;"Me,"&amp;SIGN(U9-Panchanga!$U8)*INT(Panchanga!$U8/30+1)&amp;"Ju,"&amp;SIGN(V9-Panchanga!$V8)*INT(Panchanga!$V8/30+1)&amp;"Ve,"&amp;SIGN(W9-Panchanga!$W8)*INT(Panchanga!$W8/30+1)&amp;"Sa,"&amp;INT(Panchanga!$X8/30+1)&amp;"Ra"</f>
        <v>7Ma,8Me,7Ju,9Ve,9Sa,4Ra</v>
      </c>
      <c r="S8" s="2">
        <f ca="1">Planet(Panchanga!$E8,4)</f>
        <v>199.4655776420631</v>
      </c>
      <c r="T8" s="2">
        <f ca="1">Planet(Panchanga!$E8,2)</f>
        <v>232.96110866941569</v>
      </c>
      <c r="U8" s="2">
        <f ca="1">Planet(Panchanga!$E8,5)</f>
        <v>202.66785978458728</v>
      </c>
      <c r="V8" s="2">
        <f ca="1">Planet(Panchanga!$E8,3)</f>
        <v>253.21608681075813</v>
      </c>
      <c r="W8" s="2">
        <f ca="1">Planet(Panchanga!$E8,6)</f>
        <v>247.17285384474104</v>
      </c>
      <c r="X8" s="2">
        <f ca="1">Planet(Panchanga!$E8,10)</f>
        <v>112.84210333065072</v>
      </c>
      <c r="Y8" s="2">
        <f ca="1">SIGN(S9-Panchanga!$S8)</f>
        <v>1</v>
      </c>
    </row>
    <row r="9" spans="1:25" x14ac:dyDescent="0.2">
      <c r="A9" s="67">
        <f ca="1">DATE(YEAR(NOW()),1,1)</f>
        <v>43101</v>
      </c>
      <c r="B9" s="3">
        <f t="shared" ref="B9:B40" ca="1" si="8">A9+TimeZone/24</f>
        <v>43101.229166666664</v>
      </c>
      <c r="C9" s="8">
        <f t="shared" ca="1" si="2"/>
        <v>43101.273289091107</v>
      </c>
      <c r="D9" s="8">
        <f t="shared" ca="1" si="3"/>
        <v>43100.744523664514</v>
      </c>
      <c r="E9" s="12">
        <f ca="1">Panchanga!$C9-TimeZone/24</f>
        <v>43101.044122424442</v>
      </c>
      <c r="F9" s="13">
        <f t="shared" ca="1" si="7"/>
        <v>256.4477264873932</v>
      </c>
      <c r="G9" s="6">
        <f t="shared" ca="1" si="4"/>
        <v>61.370678960549256</v>
      </c>
      <c r="H9" s="7">
        <f ca="1">E9</f>
        <v>43101.044122424442</v>
      </c>
      <c r="I9" s="2" t="str">
        <f ca="1">naks(Panchanga!$G9)</f>
        <v>Mrigashira</v>
      </c>
      <c r="J9" s="5">
        <f ca="1">(C10-Panchanga!$C9)/(G10-Panchanga!$G9)*(13.3333333333333-MOD(Panchanga!$G9,13.333333333333))+Panchanga!$C9</f>
        <v>43101.619443137817</v>
      </c>
      <c r="K9" s="9" t="str">
        <f ca="1">IF(Panchanga!$P9&gt;15,"K","S")&amp;ROUNDUP(MOD(Panchanga!$P9,15),0)&amp;" ("&amp;ROUND(Panchanga!$P9,2)&amp;")"</f>
        <v>S14 (13.74)</v>
      </c>
      <c r="L9" s="2">
        <f ca="1">IF(AND(Panchanga!$P9&lt;28.5,Panchanga!$P9&gt;0.49999),MOD((Panchanga!$P9-0.5)*2,7),MOD((Panchanga!$P9+30-28.5),30)*2+7)</f>
        <v>5.4871999999999979</v>
      </c>
      <c r="M9" s="2" t="str">
        <f ca="1">CHOOSE(ROUNDUP(Panchanga!$L9,0),"Bhava","Baalava","Kaulava","Taitula","Garija","Vanija","Vishti","Shakuni","Chatushapda","Naaga","Kimstugna")</f>
        <v>Vanija</v>
      </c>
      <c r="N9" s="25" t="str">
        <f ca="1">CHOOSE(ROUNDUP(Panchanga!$Q9,0),"Vishkambha-विष्कम्भ-Sa","Priti-प्रीति-Me","Ayushman-आयुष्मान-Ke","Saubhagya-सौभाग्य-Ve","Shobhana-शोभन-Su","Atiganda-अतिगण्ड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("&amp;Panchanga!$Q9&amp;")"</f>
        <v>Shukla-शुक्ल-Mo (23.84)</v>
      </c>
      <c r="O9" s="2">
        <f ca="1">IF(AND(Panchanga!$P9&lt;28.5,Panchanga!$P9&gt;0.49999),MOD((Panchanga!$P9-0.5)*2,7),MOD((Panchanga!$P9+30-28.5),30)*2+7)</f>
        <v>5.4871999999999979</v>
      </c>
      <c r="P9" s="2">
        <f ca="1">ROUNDUP(MOD(360+Panchanga!$G9-Panchanga!$F9,360)/12,4)</f>
        <v>13.743599999999999</v>
      </c>
      <c r="Q9" s="2">
        <f t="shared" ca="1" si="6"/>
        <v>23.84</v>
      </c>
      <c r="R9" s="2" t="str">
        <f ca="1">SIGN(S10-Panchanga!$S9)*INT(Panchanga!$S9/30+1)&amp;"Ma,"&amp;SIGN(T10-Panchanga!$T9)*INT(Panchanga!$T9/30+1)&amp;"Me,"&amp;SIGN(U10-Panchanga!$U9)*INT(Panchanga!$U9/30+1)&amp;"Ju,"&amp;SIGN(V10-Panchanga!$V9)*INT(Panchanga!$V9/30+1)&amp;"Ve,"&amp;SIGN(W10-Panchanga!$W9)*INT(Panchanga!$W9/30+1)&amp;"Sa,"&amp;INT(Panchanga!$X9/30+1)&amp;"Ra"</f>
        <v>7Ma,8Me,7Ju,9Ve,9Sa,4Ra</v>
      </c>
      <c r="S9" s="2">
        <f ca="1">Planet(Panchanga!$E9,4)</f>
        <v>200.08947425693825</v>
      </c>
      <c r="T9" s="2">
        <f ca="1">Planet(Panchanga!$E9,2)</f>
        <v>233.8902979561033</v>
      </c>
      <c r="U9" s="2">
        <f ca="1">Planet(Panchanga!$E9,5)</f>
        <v>202.83731837015534</v>
      </c>
      <c r="V9" s="2">
        <f ca="1">Planet(Panchanga!$E9,3)</f>
        <v>254.47465540894356</v>
      </c>
      <c r="W9" s="2">
        <f ca="1">Planet(Panchanga!$E9,6)</f>
        <v>247.29002918859985</v>
      </c>
      <c r="X9" s="2">
        <f ca="1">Planet(Panchanga!$E9,10)</f>
        <v>112.78909703917105</v>
      </c>
      <c r="Y9" s="2">
        <f ca="1">SIGN(S10-Panchanga!$S9)</f>
        <v>1</v>
      </c>
    </row>
    <row r="10" spans="1:25" x14ac:dyDescent="0.2">
      <c r="A10" s="3">
        <f ca="1">A9+1</f>
        <v>43102</v>
      </c>
      <c r="B10" s="3">
        <f t="shared" ca="1" si="8"/>
        <v>43102.229166666664</v>
      </c>
      <c r="C10" s="8">
        <f t="shared" ca="1" si="2"/>
        <v>43102.273549444195</v>
      </c>
      <c r="D10" s="8">
        <f t="shared" ca="1" si="3"/>
        <v>43101.744913081682</v>
      </c>
      <c r="E10" s="12">
        <f ca="1">Panchanga!$C10-TimeZone/24</f>
        <v>43102.044382777531</v>
      </c>
      <c r="F10" s="13">
        <f t="shared" ca="1" si="7"/>
        <v>257.46675351209325</v>
      </c>
      <c r="G10" s="6">
        <f t="shared" ref="G10:G34" ca="1" si="9">Planet(E10,1)</f>
        <v>76.674173411256916</v>
      </c>
      <c r="H10" s="7">
        <f t="shared" ref="H10:H66" ca="1" si="10">E10</f>
        <v>43102.044382777531</v>
      </c>
      <c r="I10" s="2" t="str">
        <f ca="1">naks(Panchanga!$G10)</f>
        <v>Ardra</v>
      </c>
      <c r="J10" s="8">
        <f ca="1">(C11-Panchanga!$C10)/(G11-Panchanga!$G10)*(13.3333333333333-MOD(Panchanga!$G10,13.333333333333))+Panchanga!$C10</f>
        <v>43102.491693340788</v>
      </c>
      <c r="K10" s="2" t="str">
        <f ca="1">IF(Panchanga!$P10&gt;15,"K","S")&amp;ROUNDUP(MOD(Panchanga!$P10,15),0)&amp;" ("&amp;ROUND(Panchanga!$P10,2)&amp;")"</f>
        <v>S15 (14.93)</v>
      </c>
      <c r="L10" s="2">
        <f ca="1">IF(AND(Panchanga!$P10&lt;28.5,Panchanga!$P10&gt;0.49999),MOD((Panchanga!$P10-0.5)*2,7),MOD((Panchanga!$P10+30-28.5),30)*2+7)</f>
        <v>0.86799999999999855</v>
      </c>
      <c r="M10" s="2" t="str">
        <f ca="1">CHOOSE(ROUNDUP(Panchanga!$L10,0),"Bhava","Baalava","Kaulava","Taitula","Garija","Vanija","Vishti","Shakuni","Chatushapda","Naaga","Kimstugna")</f>
        <v>Bhava</v>
      </c>
      <c r="N10" s="25" t="str">
        <f ca="1">CHOOSE(ROUNDUP(Panchanga!$Q10,0),"Vishkambha-विष्कम्भ-Sa","Priti-प्रीति-Me","Ayushman-आयुष्मान-Ke","Saubhagya-सौभाग्य-Ve","Shobhana-शोभन-Su","Atiganda-अतिगण्ड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("&amp;Panchanga!$Q10&amp;")"</f>
        <v>Mahendra-महेन्द्र-Ra (25.07)</v>
      </c>
      <c r="O10" s="2">
        <f ca="1">IF(AND(Panchanga!$P10&lt;28.5,Panchanga!$P10&gt;0.49999),MOD((Panchanga!$P10-0.5)*2,7),MOD((Panchanga!$P10+30-28.5),30)*2+7)</f>
        <v>0.86799999999999855</v>
      </c>
      <c r="P10" s="2">
        <f ca="1">ROUNDUP(MOD(360+Panchanga!$G10-Panchanga!$F10,360)/12,4)</f>
        <v>14.933999999999999</v>
      </c>
      <c r="Q10" s="2">
        <f t="shared" ca="1" si="6"/>
        <v>25.07</v>
      </c>
      <c r="R10" s="2" t="str">
        <f ca="1">SIGN(S11-Panchanga!$S10)*INT(Panchanga!$S10/30+1)&amp;"Ma,"&amp;SIGN(T11-Panchanga!$T10)*INT(Panchanga!$T10/30+1)&amp;"Me,"&amp;SIGN(U11-Panchanga!$U10)*INT(Panchanga!$U10/30+1)&amp;"Ju,"&amp;SIGN(V11-Panchanga!$V10)*INT(Panchanga!$V10/30+1)&amp;"Ve,"&amp;SIGN(W11-Panchanga!$W10)*INT(Panchanga!$W10/30+1)&amp;"Sa,"&amp;INT(Panchanga!$X10/30+1)&amp;"Ra"</f>
        <v>7Ma,8Me,7Ju,9Ve,9Sa,4Ra</v>
      </c>
      <c r="S10" s="2">
        <f ca="1">Planet(Panchanga!$E10,4)</f>
        <v>200.71314953907466</v>
      </c>
      <c r="T10" s="2">
        <f ca="1">Planet(Panchanga!$E10,2)</f>
        <v>234.88130775892617</v>
      </c>
      <c r="U10" s="2">
        <f ca="1">Planet(Panchanga!$E10,5)</f>
        <v>203.00517674907167</v>
      </c>
      <c r="V10" s="2">
        <f ca="1">Planet(Panchanga!$E10,3)</f>
        <v>255.73316242728839</v>
      </c>
      <c r="W10" s="2">
        <f ca="1">Planet(Panchanga!$E10,6)</f>
        <v>247.40700783065768</v>
      </c>
      <c r="X10" s="2">
        <f ca="1">Planet(Panchanga!$E10,10)</f>
        <v>112.73609124464205</v>
      </c>
      <c r="Y10" s="2">
        <f ca="1">SIGN(S11-Panchanga!$S10)</f>
        <v>1</v>
      </c>
    </row>
    <row r="11" spans="1:25" x14ac:dyDescent="0.2">
      <c r="A11" s="3">
        <f t="shared" ref="A11:A74" ca="1" si="11">A10+1</f>
        <v>43103</v>
      </c>
      <c r="B11" s="3">
        <f t="shared" ca="1" si="8"/>
        <v>43103.229166666664</v>
      </c>
      <c r="C11" s="8">
        <f t="shared" ca="1" si="2"/>
        <v>43103.273800101284</v>
      </c>
      <c r="D11" s="8">
        <f t="shared" ca="1" si="3"/>
        <v>43102.745304564989</v>
      </c>
      <c r="E11" s="12">
        <f ca="1">Panchanga!$C11-TimeZone/24</f>
        <v>43103.04463343462</v>
      </c>
      <c r="F11" s="13">
        <f t="shared" ca="1" si="7"/>
        <v>258.48578514552247</v>
      </c>
      <c r="G11" s="6">
        <f t="shared" ca="1" si="9"/>
        <v>91.924016669568317</v>
      </c>
      <c r="H11" s="7">
        <f t="shared" ca="1" si="10"/>
        <v>43103.04463343462</v>
      </c>
      <c r="I11" s="2" t="str">
        <f ca="1">naks(Panchanga!$G11)</f>
        <v>Punarvasu</v>
      </c>
      <c r="J11" s="8">
        <f ca="1">(C12-Panchanga!$C11)/(G12-Panchanga!$G11)*(13.3333333333333-MOD(Panchanga!$G11,13.333333333333))+Panchanga!$C11</f>
        <v>43103.367603441926</v>
      </c>
      <c r="K11" s="2" t="str">
        <f ca="1">IF(Panchanga!$P11&gt;15,"K","S")&amp;ROUNDUP(MOD(Panchanga!$P11,15),0)&amp;" ("&amp;ROUND(Panchanga!$P11,2)&amp;")"</f>
        <v>K2 (16.12)</v>
      </c>
      <c r="L11" s="2">
        <f ca="1">IF(AND(Panchanga!$P11&lt;28.5,Panchanga!$P11&gt;0.49999),MOD((Panchanga!$P11-0.5)*2,7),MOD((Panchanga!$P11+30-28.5),30)*2+7)</f>
        <v>3.2398000000000025</v>
      </c>
      <c r="M11" s="2" t="str">
        <f ca="1">CHOOSE(ROUNDUP(Panchanga!$L11,0),"Bhava","Baalava","Kaulava","Taitula","Garija","Vanija","Vishti","Shakuni","Chatushapda","Naaga","Kimstugna")</f>
        <v>Taitula</v>
      </c>
      <c r="N11" s="25" t="str">
        <f ca="1">CHOOSE(ROUNDUP(Panchanga!$Q11,0),"Vishkambha-विष्कम्भ-Sa","Priti-प्रीति-Me","Ayushman-आयुष्मान-Ke","Saubhagya-सौभाग्य-Ve","Shobhana-शोभन-Su","Atiganda-अतिगण्ड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("&amp;Panchanga!$Q11&amp;")"</f>
        <v>Vaidhriti-वैधृति-Ke (26.29)</v>
      </c>
      <c r="O11" s="2">
        <f ca="1">IF(AND(Panchanga!$P11&lt;28.5,Panchanga!$P11&gt;0.49999),MOD((Panchanga!$P11-0.5)*2,7),MOD((Panchanga!$P11+30-28.5),30)*2+7)</f>
        <v>3.2398000000000025</v>
      </c>
      <c r="P11" s="2">
        <f ca="1">ROUNDUP(MOD(360+Panchanga!$G11-Panchanga!$F11,360)/12,4)</f>
        <v>16.119900000000001</v>
      </c>
      <c r="Q11" s="2">
        <f t="shared" ca="1" si="6"/>
        <v>26.290000000000003</v>
      </c>
      <c r="R11" s="2" t="str">
        <f ca="1">SIGN(S12-Panchanga!$S11)*INT(Panchanga!$S11/30+1)&amp;"Ma,"&amp;SIGN(T12-Panchanga!$T11)*INT(Panchanga!$T11/30+1)&amp;"Me,"&amp;SIGN(U12-Panchanga!$U11)*INT(Panchanga!$U11/30+1)&amp;"Ju,"&amp;SIGN(V12-Panchanga!$V11)*INT(Panchanga!$V11/30+1)&amp;"Ve,"&amp;SIGN(W12-Panchanga!$W11)*INT(Panchanga!$W11/30+1)&amp;"Sa,"&amp;INT(Panchanga!$X11/30+1)&amp;"Ra"</f>
        <v>7Ma,8Me,7Ju,9Ve,9Sa,4Ra</v>
      </c>
      <c r="S11" s="2">
        <f ca="1">Planet(Panchanga!$E11,4)</f>
        <v>201.33660637131635</v>
      </c>
      <c r="T11" s="2">
        <f ca="1">Planet(Panchanga!$E11,2)</f>
        <v>235.927169639265</v>
      </c>
      <c r="U11" s="2">
        <f ca="1">Planet(Panchanga!$E11,5)</f>
        <v>203.17140966871034</v>
      </c>
      <c r="V11" s="2">
        <f ca="1">Planet(Panchanga!$E11,3)</f>
        <v>256.99161599615462</v>
      </c>
      <c r="W11" s="2">
        <f ca="1">Planet(Panchanga!$E11,6)</f>
        <v>247.52377299081712</v>
      </c>
      <c r="X11" s="2">
        <f ca="1">Planet(Panchanga!$E11,10)</f>
        <v>112.68308596391408</v>
      </c>
      <c r="Y11" s="2">
        <f ca="1">SIGN(S12-Panchanga!$S11)</f>
        <v>1</v>
      </c>
    </row>
    <row r="12" spans="1:25" x14ac:dyDescent="0.2">
      <c r="A12" s="3">
        <f t="shared" ca="1" si="11"/>
        <v>43104</v>
      </c>
      <c r="B12" s="3">
        <f t="shared" ca="1" si="8"/>
        <v>43104.229166666664</v>
      </c>
      <c r="C12" s="8">
        <f t="shared" ca="1" si="2"/>
        <v>43104.274040745258</v>
      </c>
      <c r="D12" s="8">
        <f t="shared" ca="1" si="3"/>
        <v>43103.745697637598</v>
      </c>
      <c r="E12" s="12">
        <f ca="1">Panchanga!$C12-TimeZone/24</f>
        <v>43104.044874078594</v>
      </c>
      <c r="F12" s="13">
        <f t="shared" ca="1" si="7"/>
        <v>259.5048341033467</v>
      </c>
      <c r="G12" s="6">
        <f t="shared" ca="1" si="9"/>
        <v>106.9517949729706</v>
      </c>
      <c r="H12" s="7">
        <f t="shared" ca="1" si="10"/>
        <v>43104.044874078594</v>
      </c>
      <c r="I12" s="2" t="str">
        <f ca="1">naks(Panchanga!$G12)</f>
        <v>Aslesha</v>
      </c>
      <c r="J12" s="8">
        <f ca="1">(C13-Panchanga!$C12)/(G13-Panchanga!$G12)*(13.3333333333333-MOD(Panchanga!$G12,13.333333333333))+Panchanga!$C12</f>
        <v>43105.163397781595</v>
      </c>
      <c r="K12" s="2" t="str">
        <f ca="1">IF(Panchanga!$P12&gt;15,"K","S")&amp;ROUNDUP(MOD(Panchanga!$P12,15),0)&amp;" ("&amp;ROUND(Panchanga!$P12,2)&amp;")"</f>
        <v>K3 (17.29)</v>
      </c>
      <c r="L12" s="2">
        <f ca="1">IF(AND(Panchanga!$P12&lt;28.5,Panchanga!$P12&gt;0.49999),MOD((Panchanga!$P12-0.5)*2,7),MOD((Panchanga!$P12+30-28.5),30)*2+7)</f>
        <v>5.5745999999999967</v>
      </c>
      <c r="M12" s="2" t="str">
        <f ca="1">CHOOSE(ROUNDUP(Panchanga!$L12,0),"Bhava","Baalava","Kaulava","Taitula","Garija","Vanija","Vishti","Shakuni","Chatushapda","Naaga","Kimstugna")</f>
        <v>Vanija</v>
      </c>
      <c r="N12" s="25" t="str">
        <f ca="1">CHOOSE(ROUNDUP(Panchanga!$Q12,0),"Vishkambha-विष्कम्भ-Sa","Priti-प्रीति-Me","Ayushman-आयुष्मान-Ke","Saubhagya-सौभाग्य-Ve","Shobhana-शोभन-Su","Atiganda-अतिगण्ड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("&amp;Panchanga!$Q12&amp;")"</f>
        <v>Vishkambha-विष्कम्भ-Sa (0.49)</v>
      </c>
      <c r="O12" s="2">
        <f ca="1">IF(AND(Panchanga!$P12&lt;28.5,Panchanga!$P12&gt;0.49999),MOD((Panchanga!$P12-0.5)*2,7),MOD((Panchanga!$P12+30-28.5),30)*2+7)</f>
        <v>5.5745999999999967</v>
      </c>
      <c r="P12" s="2">
        <f ca="1">ROUNDUP(MOD(360+Panchanga!$G12-Panchanga!$F12,360)/12,4)</f>
        <v>17.287299999999998</v>
      </c>
      <c r="Q12" s="2">
        <f t="shared" ca="1" si="6"/>
        <v>0.49</v>
      </c>
      <c r="R12" s="2" t="str">
        <f ca="1">SIGN(S13-Panchanga!$S12)*INT(Panchanga!$S12/30+1)&amp;"Ma,"&amp;SIGN(T13-Panchanga!$T12)*INT(Panchanga!$T12/30+1)&amp;"Me,"&amp;SIGN(U13-Panchanga!$U12)*INT(Panchanga!$U12/30+1)&amp;"Ju,"&amp;SIGN(V13-Panchanga!$V12)*INT(Panchanga!$V12/30+1)&amp;"Ve,"&amp;SIGN(W13-Panchanga!$W12)*INT(Panchanga!$W12/30+1)&amp;"Sa,"&amp;INT(Panchanga!$X12/30+1)&amp;"Ra"</f>
        <v>7Ma,8Me,7Ju,9Ve,9Sa,4Ra</v>
      </c>
      <c r="S12" s="2">
        <f ca="1">Planet(Panchanga!$E12,4)</f>
        <v>201.9598444284353</v>
      </c>
      <c r="T12" s="2">
        <f ca="1">Planet(Panchanga!$E12,2)</f>
        <v>237.02174282497853</v>
      </c>
      <c r="U12" s="2">
        <f ca="1">Planet(Panchanga!$E12,5)</f>
        <v>203.33599068578883</v>
      </c>
      <c r="V12" s="2">
        <f ca="1">Planet(Panchanga!$E12,3)</f>
        <v>258.25002431691036</v>
      </c>
      <c r="W12" s="2">
        <f ca="1">Planet(Panchanga!$E12,6)</f>
        <v>247.64030777517908</v>
      </c>
      <c r="X12" s="2">
        <f ca="1">Planet(Panchanga!$E12,10)</f>
        <v>112.63008121380466</v>
      </c>
      <c r="Y12" s="2">
        <f ca="1">SIGN(S13-Panchanga!$S12)</f>
        <v>1</v>
      </c>
    </row>
    <row r="13" spans="1:25" x14ac:dyDescent="0.2">
      <c r="A13" s="3">
        <f t="shared" ca="1" si="11"/>
        <v>43105</v>
      </c>
      <c r="B13" s="3">
        <f t="shared" ca="1" si="8"/>
        <v>43105.229166666664</v>
      </c>
      <c r="C13" s="8">
        <f t="shared" ca="1" si="2"/>
        <v>43105.274271375652</v>
      </c>
      <c r="D13" s="8">
        <f t="shared" ca="1" si="3"/>
        <v>43104.746091981928</v>
      </c>
      <c r="E13" s="12">
        <f ca="1">Panchanga!$C13-TimeZone/24</f>
        <v>43105.045104708988</v>
      </c>
      <c r="F13" s="13">
        <f t="shared" ca="1" si="7"/>
        <v>260.52391105394878</v>
      </c>
      <c r="G13" s="6">
        <f t="shared" ca="1" si="9"/>
        <v>121.62668234262368</v>
      </c>
      <c r="H13" s="7">
        <f t="shared" ca="1" si="10"/>
        <v>43105.045104708988</v>
      </c>
      <c r="I13" s="2" t="str">
        <f ca="1">naks(Panchanga!$G13)</f>
        <v>Makha</v>
      </c>
      <c r="J13" s="8">
        <f ca="1">(C14-Panchanga!$C13)/(G14-Panchanga!$G13)*(13.3333333333333-MOD(Panchanga!$G13,13.333333333333))+Panchanga!$C13</f>
        <v>43106.096416056418</v>
      </c>
      <c r="K13" s="2" t="str">
        <f ca="1">IF(Panchanga!$P13&gt;15,"K","S")&amp;ROUNDUP(MOD(Panchanga!$P13,15),0)&amp;" ("&amp;ROUND(Panchanga!$P13,2)&amp;")"</f>
        <v>K4 (18.43)</v>
      </c>
      <c r="L13" s="2">
        <f ca="1">IF(AND(Panchanga!$P13&lt;28.5,Panchanga!$P13&gt;0.49999),MOD((Panchanga!$P13-0.5)*2,7),MOD((Panchanga!$P13+30-28.5),30)*2+7)</f>
        <v>0.85060000000000002</v>
      </c>
      <c r="M13" s="2" t="str">
        <f ca="1">CHOOSE(ROUNDUP(Panchanga!$L13,0),"Bhava","Baalava","Kaulava","Taitula","Garija","Vanija","Vishti","Shakuni","Chatushapda","Naaga","Kimstugna")</f>
        <v>Bhava</v>
      </c>
      <c r="N13" s="25" t="str">
        <f ca="1">CHOOSE(ROUNDUP(Panchanga!$Q13,0),"Vishkambha-विष्कम्भ-Sa","Priti-प्रीति-Me","Ayushman-आयुष्मान-Ke","Saubhagya-सौभाग्य-Ve","Shobhana-शोभन-Su","Atiganda-अतिगण्ड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("&amp;Panchanga!$Q13&amp;")"</f>
        <v>Priti-प्रीति-Me (1.67)</v>
      </c>
      <c r="O13" s="2">
        <f ca="1">IF(AND(Panchanga!$P13&lt;28.5,Panchanga!$P13&gt;0.49999),MOD((Panchanga!$P13-0.5)*2,7),MOD((Panchanga!$P13+30-28.5),30)*2+7)</f>
        <v>0.85060000000000002</v>
      </c>
      <c r="P13" s="2">
        <f ca="1">ROUNDUP(MOD(360+Panchanga!$G13-Panchanga!$F13,360)/12,4)</f>
        <v>18.4253</v>
      </c>
      <c r="Q13" s="2">
        <f t="shared" ca="1" si="6"/>
        <v>1.67</v>
      </c>
      <c r="R13" s="2" t="str">
        <f ca="1">SIGN(S14-Panchanga!$S13)*INT(Panchanga!$S13/30+1)&amp;"Ma,"&amp;SIGN(T14-Panchanga!$T13)*INT(Panchanga!$T13/30+1)&amp;"Me,"&amp;SIGN(U14-Panchanga!$U13)*INT(Panchanga!$U13/30+1)&amp;"Ju,"&amp;SIGN(V14-Panchanga!$V13)*INT(Panchanga!$V13/30+1)&amp;"Ve,"&amp;SIGN(W14-Panchanga!$W13)*INT(Panchanga!$W13/30+1)&amp;"Sa,"&amp;INT(Panchanga!$X13/30+1)&amp;"Ra"</f>
        <v>7Ma,8Me,7Ju,9Ve,9Sa,4Ra</v>
      </c>
      <c r="S13" s="2">
        <f ca="1">Planet(Panchanga!$E13,4)</f>
        <v>202.58285977698313</v>
      </c>
      <c r="T13" s="2">
        <f ca="1">Planet(Panchanga!$E13,2)</f>
        <v>238.15963576994952</v>
      </c>
      <c r="U13" s="2">
        <f ca="1">Planet(Panchanga!$E13,5)</f>
        <v>203.49889199479858</v>
      </c>
      <c r="V13" s="2">
        <f ca="1">Planet(Panchanga!$E13,3)</f>
        <v>259.50839494685039</v>
      </c>
      <c r="W13" s="2">
        <f ca="1">Planet(Panchanga!$E13,6)</f>
        <v>247.75659495751833</v>
      </c>
      <c r="X13" s="2">
        <f ca="1">Planet(Panchanga!$E13,10)</f>
        <v>112.5770769943467</v>
      </c>
      <c r="Y13" s="2">
        <f ca="1">SIGN(S14-Panchanga!$S13)</f>
        <v>1</v>
      </c>
    </row>
    <row r="14" spans="1:25" x14ac:dyDescent="0.2">
      <c r="A14" s="3">
        <f t="shared" ca="1" si="11"/>
        <v>43106</v>
      </c>
      <c r="B14" s="3">
        <f t="shared" ca="1" si="8"/>
        <v>43106.229166666664</v>
      </c>
      <c r="C14" s="8">
        <f t="shared" ca="1" si="2"/>
        <v>43106.274491356373</v>
      </c>
      <c r="D14" s="8">
        <f t="shared" ca="1" si="3"/>
        <v>43105.746487438722</v>
      </c>
      <c r="E14" s="12">
        <f ca="1">Panchanga!$C14-TimeZone/24</f>
        <v>43106.045324689709</v>
      </c>
      <c r="F14" s="13">
        <f t="shared" ca="1" si="7"/>
        <v>261.54302173867563</v>
      </c>
      <c r="G14" s="6">
        <f t="shared" ca="1" si="9"/>
        <v>135.86897631126891</v>
      </c>
      <c r="H14" s="7">
        <f t="shared" ca="1" si="10"/>
        <v>43106.045324689709</v>
      </c>
      <c r="I14" s="2" t="str">
        <f ca="1">naks(Panchanga!$G14)</f>
        <v>Purva Phalguni</v>
      </c>
      <c r="J14" s="8">
        <f ca="1">(C15-Panchanga!$C14)/(G15-Panchanga!$G14)*(13.3333333333333-MOD(Panchanga!$G14,13.333333333333))+Panchanga!$C14</f>
        <v>43107.058155235289</v>
      </c>
      <c r="K14" s="2" t="str">
        <f ca="1">IF(Panchanga!$P14&gt;15,"K","S")&amp;ROUNDUP(MOD(Panchanga!$P14,15),0)&amp;" ("&amp;ROUND(Panchanga!$P14,2)&amp;")"</f>
        <v>K5 (19.53)</v>
      </c>
      <c r="L14" s="2">
        <f ca="1">IF(AND(Panchanga!$P14&lt;28.5,Panchanga!$P14&gt;0.49999),MOD((Panchanga!$P14-0.5)*2,7),MOD((Panchanga!$P14+30-28.5),30)*2+7)</f>
        <v>3.0544000000000011</v>
      </c>
      <c r="M14" s="2" t="str">
        <f ca="1">CHOOSE(ROUNDUP(Panchanga!$L14,0),"Bhava","Baalava","Kaulava","Taitula","Garija","Vanija","Vishti","Shakuni","Chatushapda","Naaga","Kimstugna")</f>
        <v>Taitula</v>
      </c>
      <c r="N14" s="25" t="str">
        <f ca="1">CHOOSE(ROUNDUP(Panchanga!$Q14,0),"Vishkambha-विष्कम्भ-Sa","Priti-प्रीति-Me","Ayushman-आयुष्मान-Ke","Saubhagya-सौभाग्य-Ve","Shobhana-शोभन-Su","Atiganda-अतिगण्ड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("&amp;Panchanga!$Q14&amp;")"</f>
        <v>Ayushman-आयुष्मान-Ke (2.81)</v>
      </c>
      <c r="O14" s="2">
        <f ca="1">IF(AND(Panchanga!$P14&lt;28.5,Panchanga!$P14&gt;0.49999),MOD((Panchanga!$P14-0.5)*2,7),MOD((Panchanga!$P14+30-28.5),30)*2+7)</f>
        <v>3.0544000000000011</v>
      </c>
      <c r="P14" s="2">
        <f ca="1">ROUNDUP(MOD(360+Panchanga!$G14-Panchanga!$F14,360)/12,4)</f>
        <v>19.527200000000001</v>
      </c>
      <c r="Q14" s="2">
        <f t="shared" ca="1" si="6"/>
        <v>2.8099999999999996</v>
      </c>
      <c r="R14" s="2" t="str">
        <f ca="1">SIGN(S15-Panchanga!$S14)*INT(Panchanga!$S14/30+1)&amp;"Ma,"&amp;SIGN(T15-Panchanga!$T14)*INT(Panchanga!$T14/30+1)&amp;"Me,"&amp;SIGN(U15-Panchanga!$U14)*INT(Panchanga!$U14/30+1)&amp;"Ju,"&amp;SIGN(V15-Panchanga!$V14)*INT(Panchanga!$V14/30+1)&amp;"Ve,"&amp;SIGN(W15-Panchanga!$W14)*INT(Panchanga!$W14/30+1)&amp;"Sa,"&amp;INT(Panchanga!$X14/30+1)&amp;"Ra"</f>
        <v>7Ma,8Me,7Ju,9Ve,9Sa,4Ra</v>
      </c>
      <c r="S14" s="2">
        <f ca="1">Planet(Panchanga!$E14,4)</f>
        <v>203.20564433958438</v>
      </c>
      <c r="T14" s="2">
        <f ca="1">Planet(Panchanga!$E14,2)</f>
        <v>239.33612746374195</v>
      </c>
      <c r="U14" s="2">
        <f ca="1">Planet(Panchanga!$E14,5)</f>
        <v>203.6600842849785</v>
      </c>
      <c r="V14" s="2">
        <f ca="1">Planet(Panchanga!$E14,3)</f>
        <v>260.76673314087952</v>
      </c>
      <c r="W14" s="2">
        <f ca="1">Planet(Panchanga!$E14,6)</f>
        <v>247.87261668746052</v>
      </c>
      <c r="X14" s="2">
        <f ca="1">Planet(Panchanga!$E14,10)</f>
        <v>112.5240733392247</v>
      </c>
      <c r="Y14" s="2">
        <f ca="1">SIGN(S15-Panchanga!$S14)</f>
        <v>1</v>
      </c>
    </row>
    <row r="15" spans="1:25" x14ac:dyDescent="0.2">
      <c r="A15" s="3">
        <f t="shared" ca="1" si="11"/>
        <v>43107</v>
      </c>
      <c r="B15" s="3">
        <f t="shared" ca="1" si="8"/>
        <v>43107.229166666664</v>
      </c>
      <c r="C15" s="8">
        <f t="shared" ca="1" si="2"/>
        <v>43107.274701005932</v>
      </c>
      <c r="D15" s="8">
        <f t="shared" ca="1" si="3"/>
        <v>43106.74688353161</v>
      </c>
      <c r="E15" s="12">
        <f ca="1">Panchanga!$C15-TimeZone/24</f>
        <v>43107.045534339268</v>
      </c>
      <c r="F15" s="13">
        <f t="shared" ca="1" si="7"/>
        <v>262.56216769008677</v>
      </c>
      <c r="G15" s="6">
        <f t="shared" ca="1" si="9"/>
        <v>149.65033637776921</v>
      </c>
      <c r="H15" s="7">
        <f t="shared" ca="1" si="10"/>
        <v>43107.045534339268</v>
      </c>
      <c r="I15" s="2" t="str">
        <f ca="1">naks(Panchanga!$G15)</f>
        <v>Uttara Phalguni</v>
      </c>
      <c r="J15" s="8">
        <f ca="1">(C16-Panchanga!$C15)/(G16-Panchanga!$G15)*(13.3333333333333-MOD(Panchanga!$G15,13.333333333333))+Panchanga!$C15</f>
        <v>43108.051022845655</v>
      </c>
      <c r="K15" s="2" t="str">
        <f ca="1">IF(Panchanga!$P15&gt;15,"K","S")&amp;ROUNDUP(MOD(Panchanga!$P15,15),0)&amp;" ("&amp;ROUND(Panchanga!$P15,2)&amp;")"</f>
        <v>K6 (20.59)</v>
      </c>
      <c r="L15" s="2">
        <f ca="1">IF(AND(Panchanga!$P15&lt;28.5,Panchanga!$P15&gt;0.49999),MOD((Panchanga!$P15-0.5)*2,7),MOD((Panchanga!$P15+30-28.5),30)*2+7)</f>
        <v>5.1813999999999965</v>
      </c>
      <c r="M15" s="2" t="str">
        <f ca="1">CHOOSE(ROUNDUP(Panchanga!$L15,0),"Bhava","Baalava","Kaulava","Taitula","Garija","Vanija","Vishti","Shakuni","Chatushapda","Naaga","Kimstugna")</f>
        <v>Vanija</v>
      </c>
      <c r="N15" s="25" t="str">
        <f ca="1">CHOOSE(ROUNDUP(Panchanga!$Q15,0),"Vishkambha-विष्कम्भ-Sa","Priti-प्रीति-Me","Ayushman-आयुष्मान-Ke","Saubhagya-सौभाग्य-Ve","Shobhana-शोभन-Su","Atiganda-अतिगण्ड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("&amp;Panchanga!$Q15&amp;")"</f>
        <v>Saubhagya-सौभाग्य-Ve (3.92)</v>
      </c>
      <c r="O15" s="2">
        <f ca="1">IF(AND(Panchanga!$P15&lt;28.5,Panchanga!$P15&gt;0.49999),MOD((Panchanga!$P15-0.5)*2,7),MOD((Panchanga!$P15+30-28.5),30)*2+7)</f>
        <v>5.1813999999999965</v>
      </c>
      <c r="P15" s="2">
        <f ca="1">ROUNDUP(MOD(360+Panchanga!$G15-Panchanga!$F15,360)/12,4)</f>
        <v>20.590699999999998</v>
      </c>
      <c r="Q15" s="2">
        <f t="shared" ca="1" si="6"/>
        <v>3.92</v>
      </c>
      <c r="R15" s="2" t="str">
        <f ca="1">SIGN(S16-Panchanga!$S15)*INT(Panchanga!$S15/30+1)&amp;"Ma,"&amp;SIGN(T16-Panchanga!$T15)*INT(Panchanga!$T15/30+1)&amp;"Me,"&amp;SIGN(U16-Panchanga!$U15)*INT(Panchanga!$U15/30+1)&amp;"Ju,"&amp;SIGN(V16-Panchanga!$V15)*INT(Panchanga!$V15/30+1)&amp;"Ve,"&amp;SIGN(W16-Panchanga!$W15)*INT(Panchanga!$W15/30+1)&amp;"Sa,"&amp;INT(Panchanga!$X15/30+1)&amp;"Ra"</f>
        <v>7Ma,9Me,7Ju,9Ve,9Sa,4Ra</v>
      </c>
      <c r="S15" s="2">
        <f ca="1">Planet(Panchanga!$E15,4)</f>
        <v>203.82818749759306</v>
      </c>
      <c r="T15" s="2">
        <f ca="1">Planet(Panchanga!$E15,2)</f>
        <v>240.54709597674983</v>
      </c>
      <c r="U15" s="2">
        <f ca="1">Planet(Panchanga!$E15,5)</f>
        <v>203.81953721549988</v>
      </c>
      <c r="V15" s="2">
        <f ca="1">Planet(Panchanga!$E15,3)</f>
        <v>262.0250442774518</v>
      </c>
      <c r="W15" s="2">
        <f ca="1">Planet(Panchanga!$E15,6)</f>
        <v>247.98835460996023</v>
      </c>
      <c r="X15" s="2">
        <f ca="1">Planet(Panchanga!$E15,10)</f>
        <v>112.47107023158819</v>
      </c>
      <c r="Y15" s="2">
        <f ca="1">SIGN(S16-Panchanga!$S15)</f>
        <v>1</v>
      </c>
    </row>
    <row r="16" spans="1:25" x14ac:dyDescent="0.2">
      <c r="A16" s="3">
        <f t="shared" ca="1" si="11"/>
        <v>43108</v>
      </c>
      <c r="B16" s="3">
        <f t="shared" ca="1" si="8"/>
        <v>43108.229166666664</v>
      </c>
      <c r="C16" s="8">
        <f t="shared" ca="1" si="2"/>
        <v>43108.274899687771</v>
      </c>
      <c r="D16" s="8">
        <f t="shared" ca="1" si="3"/>
        <v>43107.747279783289</v>
      </c>
      <c r="E16" s="12">
        <f ca="1">Panchanga!$C16-TimeZone/24</f>
        <v>43108.045733021107</v>
      </c>
      <c r="F16" s="13">
        <f t="shared" ca="1" si="7"/>
        <v>263.58134437228824</v>
      </c>
      <c r="G16" s="6">
        <f t="shared" ca="1" si="9"/>
        <v>162.9846513264398</v>
      </c>
      <c r="H16" s="7">
        <f t="shared" ca="1" si="10"/>
        <v>43108.045733021107</v>
      </c>
      <c r="I16" s="2" t="str">
        <f ca="1">naks(Panchanga!$G16)</f>
        <v>Hasta</v>
      </c>
      <c r="J16" s="8">
        <f ca="1">(C17-Panchanga!$C16)/(G17-Panchanga!$G16)*(13.3333333333333-MOD(Panchanga!$G16,13.333333333333))+Panchanga!$C16</f>
        <v>43109.075373634972</v>
      </c>
      <c r="K16" s="2" t="str">
        <f ca="1">IF(Panchanga!$P16&gt;15,"K","S")&amp;ROUNDUP(MOD(Panchanga!$P16,15),0)&amp;" ("&amp;ROUND(Panchanga!$P16,2)&amp;")"</f>
        <v>K7 (21.62)</v>
      </c>
      <c r="L16" s="2">
        <f ca="1">IF(AND(Panchanga!$P16&lt;28.5,Panchanga!$P16&gt;0.49999),MOD((Panchanga!$P16-0.5)*2,7),MOD((Panchanga!$P16+30-28.5),30)*2+7)</f>
        <v>0.23400000000000176</v>
      </c>
      <c r="M16" s="2" t="str">
        <f ca="1">CHOOSE(ROUNDUP(Panchanga!$L16,0),"Bhava","Baalava","Kaulava","Taitula","Garija","Vanija","Vishti","Shakuni","Chatushapda","Naaga","Kimstugna")</f>
        <v>Bhava</v>
      </c>
      <c r="N16" s="25" t="str">
        <f ca="1">CHOOSE(ROUNDUP(Panchanga!$Q16,0),"Vishkambha-विष्कम्भ-Sa","Priti-प्रीति-Me","Ayushman-आयुष्मान-Ke","Saubhagya-सौभाग्य-Ve","Shobhana-शोभन-Su","Atiganda-अतिगण्ड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("&amp;Panchanga!$Q16&amp;")"</f>
        <v>Shobhana-शोभन-Su (5)</v>
      </c>
      <c r="O16" s="2">
        <f ca="1">IF(AND(Panchanga!$P16&lt;28.5,Panchanga!$P16&gt;0.49999),MOD((Panchanga!$P16-0.5)*2,7),MOD((Panchanga!$P16+30-28.5),30)*2+7)</f>
        <v>0.23400000000000176</v>
      </c>
      <c r="P16" s="2">
        <f ca="1">ROUNDUP(MOD(360+Panchanga!$G16-Panchanga!$F16,360)/12,4)</f>
        <v>21.617000000000001</v>
      </c>
      <c r="Q16" s="2">
        <f t="shared" ca="1" si="6"/>
        <v>5</v>
      </c>
      <c r="R16" s="2" t="str">
        <f ca="1">SIGN(S17-Panchanga!$S16)*INT(Panchanga!$S16/30+1)&amp;"Ma,"&amp;SIGN(T17-Panchanga!$T16)*INT(Panchanga!$T16/30+1)&amp;"Me,"&amp;SIGN(U17-Panchanga!$U16)*INT(Panchanga!$U16/30+1)&amp;"Ju,"&amp;SIGN(V17-Panchanga!$V16)*INT(Panchanga!$V16/30+1)&amp;"Ve,"&amp;SIGN(W17-Panchanga!$W16)*INT(Panchanga!$W16/30+1)&amp;"Sa,"&amp;INT(Panchanga!$X16/30+1)&amp;"Ra"</f>
        <v>7Ma,9Me,7Ju,9Ve,9Sa,4Ra</v>
      </c>
      <c r="S16" s="2">
        <f ca="1">Planet(Panchanga!$E16,4)</f>
        <v>204.45047578361167</v>
      </c>
      <c r="T16" s="2">
        <f ca="1">Planet(Panchanga!$E16,2)</f>
        <v>241.78894865485105</v>
      </c>
      <c r="U16" s="2">
        <f ca="1">Planet(Panchanga!$E16,5)</f>
        <v>203.97721942927416</v>
      </c>
      <c r="V16" s="2">
        <f ca="1">Planet(Panchanga!$E16,3)</f>
        <v>263.28333109167841</v>
      </c>
      <c r="W16" s="2">
        <f ca="1">Planet(Panchanga!$E16,6)</f>
        <v>248.10378968194959</v>
      </c>
      <c r="X16" s="2">
        <f ca="1">Planet(Panchanga!$E16,10)</f>
        <v>112.41806770517124</v>
      </c>
      <c r="Y16" s="2">
        <f ca="1">SIGN(S17-Panchanga!$S16)</f>
        <v>1</v>
      </c>
    </row>
    <row r="17" spans="1:25" x14ac:dyDescent="0.2">
      <c r="A17" s="3">
        <f t="shared" ca="1" si="11"/>
        <v>43109</v>
      </c>
      <c r="B17" s="3">
        <f t="shared" ca="1" si="8"/>
        <v>43109.229166666664</v>
      </c>
      <c r="C17" s="8">
        <f t="shared" ca="1" si="2"/>
        <v>43109.27508724403</v>
      </c>
      <c r="D17" s="8">
        <f t="shared" ca="1" si="3"/>
        <v>43108.747676034967</v>
      </c>
      <c r="E17" s="12">
        <f ca="1">Panchanga!$C17-TimeZone/24</f>
        <v>43109.045920577366</v>
      </c>
      <c r="F17" s="13">
        <f t="shared" ca="1" si="7"/>
        <v>264.60054335738772</v>
      </c>
      <c r="G17" s="6">
        <f t="shared" ca="1" si="9"/>
        <v>175.9152694972673</v>
      </c>
      <c r="H17" s="7">
        <f t="shared" ca="1" si="10"/>
        <v>43109.045920577366</v>
      </c>
      <c r="I17" s="2" t="str">
        <f ca="1">naks(Panchanga!$G17)</f>
        <v>Chitra</v>
      </c>
      <c r="J17" s="8">
        <f ca="1">(C18-Panchanga!$C17)/(G18-Panchanga!$G17)*(13.3333333333333-MOD(Panchanga!$G17,13.333333333333))+Panchanga!$C17</f>
        <v>43110.129378096557</v>
      </c>
      <c r="K17" s="2" t="str">
        <f ca="1">IF(Panchanga!$P17&gt;15,"K","S")&amp;ROUNDUP(MOD(Panchanga!$P17,15),0)&amp;" ("&amp;ROUND(Panchanga!$P17,2)&amp;")"</f>
        <v>K8 (22.61)</v>
      </c>
      <c r="L17" s="2">
        <f ca="1">IF(AND(Panchanga!$P17&lt;28.5,Panchanga!$P17&gt;0.49999),MOD((Panchanga!$P17-0.5)*2,7),MOD((Panchanga!$P17+30-28.5),30)*2+7)</f>
        <v>2.2192000000000007</v>
      </c>
      <c r="M17" s="2" t="str">
        <f ca="1">CHOOSE(ROUNDUP(Panchanga!$L17,0),"Bhava","Baalava","Kaulava","Taitula","Garija","Vanija","Vishti","Shakuni","Chatushapda","Naaga","Kimstugna")</f>
        <v>Kaulava</v>
      </c>
      <c r="N17" s="25" t="str">
        <f ca="1">CHOOSE(ROUNDUP(Panchanga!$Q17,0),"Vishkambha-विष्कम्भ-Sa","Priti-प्रीति-Me","Ayushman-आयुष्मान-Ke","Saubhagya-सौभाग्य-Ve","Shobhana-शोभन-Su","Atiganda-अतिगण्ड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("&amp;Panchanga!$Q17&amp;")"</f>
        <v>Sukarman-सुकर्मा -Ma (6.04)</v>
      </c>
      <c r="O17" s="2">
        <f ca="1">IF(AND(Panchanga!$P17&lt;28.5,Panchanga!$P17&gt;0.49999),MOD((Panchanga!$P17-0.5)*2,7),MOD((Panchanga!$P17+30-28.5),30)*2+7)</f>
        <v>2.2192000000000007</v>
      </c>
      <c r="P17" s="2">
        <f ca="1">ROUNDUP(MOD(360+Panchanga!$G17-Panchanga!$F17,360)/12,4)</f>
        <v>22.6096</v>
      </c>
      <c r="Q17" s="2">
        <f t="shared" ca="1" si="6"/>
        <v>6.04</v>
      </c>
      <c r="R17" s="2" t="str">
        <f ca="1">SIGN(S18-Panchanga!$S17)*INT(Panchanga!$S17/30+1)&amp;"Ma,"&amp;SIGN(T18-Panchanga!$T17)*INT(Panchanga!$T17/30+1)&amp;"Me,"&amp;SIGN(U18-Panchanga!$U17)*INT(Panchanga!$U17/30+1)&amp;"Ju,"&amp;SIGN(V18-Panchanga!$V17)*INT(Panchanga!$V17/30+1)&amp;"Ve,"&amp;SIGN(W18-Panchanga!$W17)*INT(Panchanga!$W17/30+1)&amp;"Sa,"&amp;INT(Panchanga!$X17/30+1)&amp;"Ra"</f>
        <v>7Ma,9Me,7Ju,9Ve,9Sa,4Ra</v>
      </c>
      <c r="S17" s="2">
        <f ca="1">Planet(Panchanga!$E17,4)</f>
        <v>205.07249462318245</v>
      </c>
      <c r="T17" s="2">
        <f ca="1">Planet(Panchanga!$E17,2)</f>
        <v>243.05856237027848</v>
      </c>
      <c r="U17" s="2">
        <f ca="1">Planet(Panchanga!$E17,5)</f>
        <v>204.13309910069651</v>
      </c>
      <c r="V17" s="2">
        <f ca="1">Planet(Panchanga!$E17,3)</f>
        <v>264.54158991721761</v>
      </c>
      <c r="W17" s="2">
        <f ca="1">Planet(Panchanga!$E17,6)</f>
        <v>248.21890243704976</v>
      </c>
      <c r="X17" s="2">
        <f ca="1">Planet(Panchanga!$E17,10)</f>
        <v>112.36506576832443</v>
      </c>
      <c r="Y17" s="2">
        <f ca="1">SIGN(S18-Panchanga!$S17)</f>
        <v>1</v>
      </c>
    </row>
    <row r="18" spans="1:25" x14ac:dyDescent="0.2">
      <c r="A18" s="3">
        <f t="shared" ca="1" si="11"/>
        <v>43110</v>
      </c>
      <c r="B18" s="3">
        <f t="shared" ca="1" si="8"/>
        <v>43110.229166666664</v>
      </c>
      <c r="C18" s="8">
        <f t="shared" ca="1" si="2"/>
        <v>43110.275263673779</v>
      </c>
      <c r="D18" s="8">
        <f t="shared" ca="1" si="3"/>
        <v>43109.748071651018</v>
      </c>
      <c r="E18" s="12">
        <f ca="1">Panchanga!$C18-TimeZone/24</f>
        <v>43110.046097007114</v>
      </c>
      <c r="F18" s="13">
        <f t="shared" ca="1" si="7"/>
        <v>265.61975288499832</v>
      </c>
      <c r="G18" s="6">
        <f t="shared" ca="1" si="9"/>
        <v>188.5026617230491</v>
      </c>
      <c r="H18" s="7">
        <f t="shared" ca="1" si="10"/>
        <v>43110.046097007114</v>
      </c>
      <c r="I18" s="2" t="str">
        <f ca="1">naks(Panchanga!$G18)</f>
        <v>Swati</v>
      </c>
      <c r="J18" s="8">
        <f ca="1">(C19-Panchanga!$C18)/(G19-Panchanga!$G18)*(13.3333333333333-MOD(Panchanga!$G18,13.333333333333))+Panchanga!$C18</f>
        <v>43111.209270765881</v>
      </c>
      <c r="K18" s="2" t="str">
        <f ca="1">IF(Panchanga!$P18&gt;15,"K","S")&amp;ROUNDUP(MOD(Panchanga!$P18,15),0)&amp;" ("&amp;ROUND(Panchanga!$P18,2)&amp;")"</f>
        <v>K9 (23.57)</v>
      </c>
      <c r="L18" s="2">
        <f ca="1">IF(AND(Panchanga!$P18&lt;28.5,Panchanga!$P18&gt;0.49999),MOD((Panchanga!$P18-0.5)*2,7),MOD((Panchanga!$P18+30-28.5),30)*2+7)</f>
        <v>4.147199999999998</v>
      </c>
      <c r="M18" s="2" t="str">
        <f ca="1">CHOOSE(ROUNDUP(Panchanga!$L18,0),"Bhava","Baalava","Kaulava","Taitula","Garija","Vanija","Vishti","Shakuni","Chatushapda","Naaga","Kimstugna")</f>
        <v>Garija</v>
      </c>
      <c r="N18" s="25" t="str">
        <f ca="1">CHOOSE(ROUNDUP(Panchanga!$Q18,0),"Vishkambha-विष्कम्भ-Sa","Priti-प्रीति-Me","Ayushman-आयुष्मान-Ke","Saubhagya-सौभाग्य-Ve","Shobhana-शोभन-Su","Atiganda-अतिगण्ड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("&amp;Panchanga!$Q18&amp;")"</f>
        <v>Dhriti-धृति -Ra (7.06)</v>
      </c>
      <c r="O18" s="2">
        <f ca="1">IF(AND(Panchanga!$P18&lt;28.5,Panchanga!$P18&gt;0.49999),MOD((Panchanga!$P18-0.5)*2,7),MOD((Panchanga!$P18+30-28.5),30)*2+7)</f>
        <v>4.147199999999998</v>
      </c>
      <c r="P18" s="2">
        <f ca="1">ROUNDUP(MOD(360+Panchanga!$G18-Panchanga!$F18,360)/12,4)</f>
        <v>23.573599999999999</v>
      </c>
      <c r="Q18" s="2">
        <f t="shared" ca="1" si="6"/>
        <v>7.06</v>
      </c>
      <c r="R18" s="2" t="str">
        <f ca="1">SIGN(S19-Panchanga!$S18)*INT(Panchanga!$S18/30+1)&amp;"Ma,"&amp;SIGN(T19-Panchanga!$T18)*INT(Panchanga!$T18/30+1)&amp;"Me,"&amp;SIGN(U19-Panchanga!$U18)*INT(Panchanga!$U18/30+1)&amp;"Ju,"&amp;SIGN(V19-Panchanga!$V18)*INT(Panchanga!$V18/30+1)&amp;"Ve,"&amp;SIGN(W19-Panchanga!$W18)*INT(Panchanga!$W18/30+1)&amp;"Sa,"&amp;INT(Panchanga!$X18/30+1)&amp;"Ra"</f>
        <v>7Ma,9Me,7Ju,9Ve,9Sa,4Ra</v>
      </c>
      <c r="S18" s="2">
        <f ca="1">Planet(Panchanga!$E18,4)</f>
        <v>205.69422876266037</v>
      </c>
      <c r="T18" s="2">
        <f ca="1">Planet(Panchanga!$E18,2)</f>
        <v>244.35322773245298</v>
      </c>
      <c r="U18" s="2">
        <f ca="1">Planet(Panchanga!$E18,5)</f>
        <v>204.28714412842916</v>
      </c>
      <c r="V18" s="2">
        <f ca="1">Planet(Panchanga!$E18,3)</f>
        <v>265.79980565946994</v>
      </c>
      <c r="W18" s="2">
        <f ca="1">Planet(Panchanga!$E18,6)</f>
        <v>248.333673057868</v>
      </c>
      <c r="X18" s="2">
        <f ca="1">Planet(Panchanga!$E18,10)</f>
        <v>112.31206442106449</v>
      </c>
      <c r="Y18" s="2">
        <f ca="1">SIGN(S19-Panchanga!$S18)</f>
        <v>1</v>
      </c>
    </row>
    <row r="19" spans="1:25" x14ac:dyDescent="0.2">
      <c r="A19" s="3">
        <f t="shared" ca="1" si="11"/>
        <v>43111</v>
      </c>
      <c r="B19" s="3">
        <f t="shared" ca="1" si="8"/>
        <v>43111.229166666664</v>
      </c>
      <c r="C19" s="8">
        <f t="shared" ca="1" si="2"/>
        <v>43111.275428500179</v>
      </c>
      <c r="D19" s="8">
        <f t="shared" ca="1" si="3"/>
        <v>43110.748466630976</v>
      </c>
      <c r="E19" s="12">
        <f ca="1">Panchanga!$C19-TimeZone/24</f>
        <v>43111.046261833515</v>
      </c>
      <c r="F19" s="13">
        <f t="shared" ca="1" si="7"/>
        <v>266.63895795207645</v>
      </c>
      <c r="G19" s="6">
        <f t="shared" ca="1" si="9"/>
        <v>200.81438123678893</v>
      </c>
      <c r="H19" s="7">
        <f t="shared" ca="1" si="10"/>
        <v>43111.046261833515</v>
      </c>
      <c r="I19" s="2" t="str">
        <f ca="1">naks(Panchanga!$G19)</f>
        <v>Visakha</v>
      </c>
      <c r="J19" s="8">
        <f ca="1">(C20-Panchanga!$C19)/(G20-Panchanga!$G19)*(13.3333333333333-MOD(Panchanga!$G19,13.333333333333))+Panchanga!$C19</f>
        <v>43112.309923846515</v>
      </c>
      <c r="K19" s="2" t="str">
        <f ca="1">IF(Panchanga!$P19&gt;15,"K","S")&amp;ROUNDUP(MOD(Panchanga!$P19,15),0)&amp;" ("&amp;ROUND(Panchanga!$P19,2)&amp;")"</f>
        <v>K10 (24.51)</v>
      </c>
      <c r="L19" s="2">
        <f ca="1">IF(AND(Panchanga!$P19&lt;28.5,Panchanga!$P19&gt;0.49999),MOD((Panchanga!$P19-0.5)*2,7),MOD((Panchanga!$P19+30-28.5),30)*2+7)</f>
        <v>6.0294000000000025</v>
      </c>
      <c r="M19" s="2" t="str">
        <f ca="1">CHOOSE(ROUNDUP(Panchanga!$L19,0),"Bhava","Baalava","Kaulava","Taitula","Garija","Vanija","Vishti","Shakuni","Chatushapda","Naaga","Kimstugna")</f>
        <v>Vishti</v>
      </c>
      <c r="N19" s="25" t="str">
        <f ca="1">CHOOSE(ROUNDUP(Panchanga!$Q19,0),"Vishkambha-विष्कम्भ-Sa","Priti-प्रीति-Me","Ayushman-आयुष्मान-Ke","Saubhagya-सौभाग्य-Ve","Shobhana-शोभन-Su","Atiganda-अतिगण्ड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("&amp;Panchanga!$Q19&amp;")"</f>
        <v>Shula-शूल -Ju (8.06)</v>
      </c>
      <c r="O19" s="2">
        <f ca="1">IF(AND(Panchanga!$P19&lt;28.5,Panchanga!$P19&gt;0.49999),MOD((Panchanga!$P19-0.5)*2,7),MOD((Panchanga!$P19+30-28.5),30)*2+7)</f>
        <v>6.0294000000000025</v>
      </c>
      <c r="P19" s="2">
        <f ca="1">ROUNDUP(MOD(360+Panchanga!$G19-Panchanga!$F19,360)/12,4)</f>
        <v>24.514700000000001</v>
      </c>
      <c r="Q19" s="2">
        <f t="shared" ca="1" si="6"/>
        <v>8.06</v>
      </c>
      <c r="R19" s="2" t="str">
        <f ca="1">SIGN(S20-Panchanga!$S19)*INT(Panchanga!$S19/30+1)&amp;"Ma,"&amp;SIGN(T20-Panchanga!$T19)*INT(Panchanga!$T19/30+1)&amp;"Me,"&amp;SIGN(U20-Panchanga!$U19)*INT(Panchanga!$U19/30+1)&amp;"Ju,"&amp;SIGN(V20-Panchanga!$V19)*INT(Panchanga!$V19/30+1)&amp;"Ve,"&amp;SIGN(W20-Panchanga!$W19)*INT(Panchanga!$W19/30+1)&amp;"Sa,"&amp;INT(Panchanga!$X19/30+1)&amp;"Ra"</f>
        <v>7Ma,9Me,7Ju,9Ve,9Sa,4Ra</v>
      </c>
      <c r="S19" s="2">
        <f ca="1">Planet(Panchanga!$E19,4)</f>
        <v>206.31566225615251</v>
      </c>
      <c r="T19" s="2">
        <f ca="1">Planet(Panchanga!$E19,2)</f>
        <v>245.67059856850111</v>
      </c>
      <c r="U19" s="2">
        <f ca="1">Planet(Panchanga!$E19,5)</f>
        <v>204.43932219645006</v>
      </c>
      <c r="V19" s="2">
        <f ca="1">Planet(Panchanga!$E19,3)</f>
        <v>267.05796264139536</v>
      </c>
      <c r="W19" s="2">
        <f ca="1">Planet(Panchanga!$E19,6)</f>
        <v>248.44808139471925</v>
      </c>
      <c r="X19" s="2">
        <f ca="1">Planet(Panchanga!$E19,10)</f>
        <v>112.25906368869182</v>
      </c>
      <c r="Y19" s="2">
        <f ca="1">SIGN(S20-Panchanga!$S19)</f>
        <v>1</v>
      </c>
    </row>
    <row r="20" spans="1:25" x14ac:dyDescent="0.2">
      <c r="A20" s="3">
        <f t="shared" ca="1" si="11"/>
        <v>43112</v>
      </c>
      <c r="B20" s="3">
        <f t="shared" ca="1" si="8"/>
        <v>43112.229166666664</v>
      </c>
      <c r="C20" s="8">
        <f t="shared" ca="1" si="2"/>
        <v>43112.275581724163</v>
      </c>
      <c r="D20" s="8">
        <f t="shared" ca="1" si="3"/>
        <v>43111.748860339678</v>
      </c>
      <c r="E20" s="12">
        <f ca="1">Panchanga!$C20-TimeZone/24</f>
        <v>43112.046415057499</v>
      </c>
      <c r="F20" s="13">
        <f t="shared" ca="1" si="7"/>
        <v>267.65814178643848</v>
      </c>
      <c r="G20" s="10">
        <f t="shared" ca="1" si="9"/>
        <v>212.9177419184908</v>
      </c>
      <c r="H20" s="7">
        <f t="shared" ca="1" si="10"/>
        <v>43112.046415057499</v>
      </c>
      <c r="I20" s="2" t="str">
        <f ca="1">naks(Panchanga!$G20)</f>
        <v>Visakha</v>
      </c>
      <c r="J20" s="8">
        <f ca="1">(C21-Panchanga!$C20)/(G21-Panchanga!$G20)*(13.3333333333333-MOD(Panchanga!$G20,13.333333333333))+Panchanga!$C20</f>
        <v>43112.310342827215</v>
      </c>
      <c r="K20" s="2" t="str">
        <f ca="1">IF(Panchanga!$P20&gt;15,"K","S")&amp;ROUNDUP(MOD(Panchanga!$P20,15),0)&amp;" ("&amp;ROUND(Panchanga!$P20,2)&amp;")"</f>
        <v>K11 (25.44)</v>
      </c>
      <c r="L20" s="2">
        <f ca="1">IF(AND(Panchanga!$P20&lt;28.5,Panchanga!$P20&gt;0.49999),MOD((Panchanga!$P20-0.5)*2,7),MOD((Panchanga!$P20+30-28.5),30)*2+7)</f>
        <v>0.87680000000000291</v>
      </c>
      <c r="M20" s="2" t="str">
        <f ca="1">CHOOSE(ROUNDUP(Panchanga!$L20,0),"Bhava","Baalava","Kaulava","Taitula","Garija","Vanija","Vishti","Shakuni","Chatushapda","Naaga","Kimstugna")</f>
        <v>Bhava</v>
      </c>
      <c r="N20" s="25" t="str">
        <f ca="1">CHOOSE(ROUNDUP(Panchanga!$Q20,0),"Vishkambha-विष्कम्भ-Sa","Priti-प्रीति-Me","Ayushman-आयुष्मान-Ke","Saubhagya-सौभाग्य-Ve","Shobhana-शोभन-Su","Atiganda-अतिगण्ड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("&amp;Panchanga!$Q20&amp;")"</f>
        <v>Ganda-गण्ड -Sa (9.05)</v>
      </c>
      <c r="O20" s="2">
        <f ca="1">IF(AND(Panchanga!$P20&lt;28.5,Panchanga!$P20&gt;0.49999),MOD((Panchanga!$P20-0.5)*2,7),MOD((Panchanga!$P20+30-28.5),30)*2+7)</f>
        <v>0.87680000000000291</v>
      </c>
      <c r="P20" s="2">
        <f ca="1">ROUNDUP(MOD(360+Panchanga!$G20-Panchanga!$F20,360)/12,4)</f>
        <v>25.438400000000001</v>
      </c>
      <c r="Q20" s="2">
        <f t="shared" ca="1" si="6"/>
        <v>9.0499999999999989</v>
      </c>
      <c r="R20" s="2" t="str">
        <f ca="1">SIGN(S21-Panchanga!$S20)*INT(Panchanga!$S20/30+1)&amp;"Ma,"&amp;SIGN(T21-Panchanga!$T20)*INT(Panchanga!$T20/30+1)&amp;"Me,"&amp;SIGN(U21-Panchanga!$U20)*INT(Panchanga!$U20/30+1)&amp;"Ju,"&amp;SIGN(V21-Panchanga!$V20)*INT(Panchanga!$V20/30+1)&amp;"Ve,"&amp;SIGN(W21-Panchanga!$W20)*INT(Panchanga!$W20/30+1)&amp;"Sa,"&amp;INT(Panchanga!$X20/30+1)&amp;"Ra"</f>
        <v>7Ma,9Me,7Ju,9Ve,9Sa,4Ra</v>
      </c>
      <c r="S20" s="2">
        <f ca="1">Planet(Panchanga!$E20,4)</f>
        <v>206.93677927651962</v>
      </c>
      <c r="T20" s="2">
        <f ca="1">Planet(Panchanga!$E20,2)</f>
        <v>247.00864893867015</v>
      </c>
      <c r="U20" s="2">
        <f ca="1">Planet(Panchanga!$E20,5)</f>
        <v>204.5896010270236</v>
      </c>
      <c r="V20" s="2">
        <f ca="1">Planet(Panchanga!$E20,3)</f>
        <v>268.31605371828908</v>
      </c>
      <c r="W20" s="2">
        <f ca="1">Planet(Panchanga!$E20,6)</f>
        <v>248.56210713886904</v>
      </c>
      <c r="X20" s="2">
        <f ca="1">Planet(Panchanga!$E20,10)</f>
        <v>112.20606357117343</v>
      </c>
      <c r="Y20" s="2">
        <f ca="1">SIGN(S21-Panchanga!$S20)</f>
        <v>1</v>
      </c>
    </row>
    <row r="21" spans="1:25" x14ac:dyDescent="0.2">
      <c r="A21" s="3">
        <f t="shared" ca="1" si="11"/>
        <v>43113</v>
      </c>
      <c r="B21" s="3">
        <f t="shared" ca="1" si="8"/>
        <v>43113.229166666664</v>
      </c>
      <c r="C21" s="8">
        <f t="shared" ca="1" si="2"/>
        <v>43113.275723185543</v>
      </c>
      <c r="D21" s="8">
        <f t="shared" ca="1" si="3"/>
        <v>43112.749252458612</v>
      </c>
      <c r="E21" s="12">
        <f ca="1">Panchanga!$C21-TimeZone/24</f>
        <v>43113.046556518879</v>
      </c>
      <c r="F21" s="13">
        <f t="shared" ca="1" si="7"/>
        <v>268.67728552734735</v>
      </c>
      <c r="G21" s="6">
        <f t="shared" ca="1" si="9"/>
        <v>224.87507838090886</v>
      </c>
      <c r="H21" s="7">
        <f t="shared" ca="1" si="10"/>
        <v>43113.046556518879</v>
      </c>
      <c r="I21" s="2" t="str">
        <f ca="1">naks(Panchanga!$G21)</f>
        <v>Anuradha</v>
      </c>
      <c r="J21" s="8">
        <f ca="1">(C22-Panchanga!$C21)/(G22-Panchanga!$G21)*(13.3333333333333-MOD(Panchanga!$G21,13.333333333333))+Panchanga!$C21</f>
        <v>43113.426724392972</v>
      </c>
      <c r="K21" s="2" t="str">
        <f ca="1">IF(Panchanga!$P21&gt;15,"K","S")&amp;ROUNDUP(MOD(Panchanga!$P21,15),0)&amp;" ("&amp;ROUND(Panchanga!$P21,2)&amp;")"</f>
        <v>K12 (26.35)</v>
      </c>
      <c r="L21" s="2">
        <f ca="1">IF(AND(Panchanga!$P21&lt;28.5,Panchanga!$P21&gt;0.49999),MOD((Panchanga!$P21-0.5)*2,7),MOD((Panchanga!$P21+30-28.5),30)*2+7)</f>
        <v>2.6997999999999962</v>
      </c>
      <c r="M21" s="2" t="str">
        <f ca="1">CHOOSE(ROUNDUP(Panchanga!$L21,0),"Bhava","Baalava","Kaulava","Taitula","Garija","Vanija","Vishti","Shakuni","Chatushapda","Naaga","Kimstugna")</f>
        <v>Kaulava</v>
      </c>
      <c r="N21" s="25" t="str">
        <f ca="1">CHOOSE(ROUNDUP(Panchanga!$Q21,0),"Vishkambha-विष्कम्भ-Sa","Priti-प्रीति-Me","Ayushman-आयुष्मान-Ke","Saubhagya-सौभाग्य-Ve","Shobhana-शोभन-Su","Atiganda-अतिगण्ड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("&amp;Panchanga!$Q21&amp;")"</f>
        <v>Vriddhi-वृद्धि -Me (10.02)</v>
      </c>
      <c r="O21" s="2">
        <f ca="1">IF(AND(Panchanga!$P21&lt;28.5,Panchanga!$P21&gt;0.49999),MOD((Panchanga!$P21-0.5)*2,7),MOD((Panchanga!$P21+30-28.5),30)*2+7)</f>
        <v>2.6997999999999962</v>
      </c>
      <c r="P21" s="2">
        <f ca="1">ROUNDUP(MOD(360+Panchanga!$G21-Panchanga!$F21,360)/12,4)</f>
        <v>26.349899999999998</v>
      </c>
      <c r="Q21" s="2">
        <f t="shared" ca="1" si="6"/>
        <v>10.02</v>
      </c>
      <c r="R21" s="2" t="str">
        <f ca="1">SIGN(S22-Panchanga!$S21)*INT(Panchanga!$S21/30+1)&amp;"Ma,"&amp;SIGN(T22-Panchanga!$T21)*INT(Panchanga!$T21/30+1)&amp;"Me,"&amp;SIGN(U22-Panchanga!$U21)*INT(Panchanga!$U21/30+1)&amp;"Ju,"&amp;SIGN(V22-Panchanga!$V21)*INT(Panchanga!$V21/30+1)&amp;"Ve,"&amp;SIGN(W22-Panchanga!$W21)*INT(Panchanga!$W21/30+1)&amp;"Sa,"&amp;INT(Panchanga!$X21/30+1)&amp;"Ra"</f>
        <v>7Ma,9Me,7Ju,9Ve,9Sa,4Ra</v>
      </c>
      <c r="S21" s="2">
        <f ca="1">Planet(Panchanga!$E21,4)</f>
        <v>207.55756386950409</v>
      </c>
      <c r="T21" s="2">
        <f ca="1">Planet(Panchanga!$E21,2)</f>
        <v>248.3656332417136</v>
      </c>
      <c r="U21" s="2">
        <f ca="1">Planet(Panchanga!$E21,5)</f>
        <v>204.7379483586725</v>
      </c>
      <c r="V21" s="2">
        <f ca="1">Planet(Panchanga!$E21,3)</f>
        <v>269.57407337287668</v>
      </c>
      <c r="W21" s="2">
        <f ca="1">Planet(Panchanga!$E21,6)</f>
        <v>248.67572979747834</v>
      </c>
      <c r="X21" s="2">
        <f ca="1">Planet(Panchanga!$E21,10)</f>
        <v>112.15306407697584</v>
      </c>
      <c r="Y21" s="2">
        <f ca="1">SIGN(S22-Panchanga!$S21)</f>
        <v>1</v>
      </c>
    </row>
    <row r="22" spans="1:25" x14ac:dyDescent="0.2">
      <c r="A22" s="3">
        <f t="shared" ca="1" si="11"/>
        <v>43114</v>
      </c>
      <c r="B22" s="3">
        <f t="shared" ca="1" si="8"/>
        <v>43114.229166666664</v>
      </c>
      <c r="C22" s="8">
        <f t="shared" ca="1" si="2"/>
        <v>43114.275852408413</v>
      </c>
      <c r="D22" s="8">
        <f t="shared" ca="1" si="3"/>
        <v>43113.749642511408</v>
      </c>
      <c r="E22" s="12">
        <f ca="1">Panchanga!$C22-TimeZone/24</f>
        <v>43114.046685741749</v>
      </c>
      <c r="F22" s="13">
        <f t="shared" ca="1" si="7"/>
        <v>269.69636834640039</v>
      </c>
      <c r="G22" s="6">
        <f t="shared" ca="1" si="9"/>
        <v>236.74133978677153</v>
      </c>
      <c r="H22" s="7">
        <f t="shared" ca="1" si="10"/>
        <v>43114.046685741749</v>
      </c>
      <c r="I22" s="2" t="str">
        <f ca="1">naks(Panchanga!$G22)</f>
        <v>Jyestha</v>
      </c>
      <c r="J22" s="8">
        <f ca="1">(C23-Panchanga!$C22)/(G23-Panchanga!$G22)*(13.3333333333333-MOD(Panchanga!$G22,13.333333333333))+Panchanga!$C22</f>
        <v>43114.551522999463</v>
      </c>
      <c r="K22" s="2" t="str">
        <f ca="1">IF(Panchanga!$P22&gt;15,"K","S")&amp;ROUNDUP(MOD(Panchanga!$P22,15),0)&amp;" ("&amp;ROUND(Panchanga!$P22,2)&amp;")"</f>
        <v>K13 (27.25)</v>
      </c>
      <c r="L22" s="2">
        <f ca="1">IF(AND(Panchanga!$P22&lt;28.5,Panchanga!$P22&gt;0.49999),MOD((Panchanga!$P22-0.5)*2,7),MOD((Panchanga!$P22+30-28.5),30)*2+7)</f>
        <v>4.5075999999999965</v>
      </c>
      <c r="M22" s="2" t="str">
        <f ca="1">CHOOSE(ROUNDUP(Panchanga!$L22,0),"Bhava","Baalava","Kaulava","Taitula","Garija","Vanija","Vishti","Shakuni","Chatushapda","Naaga","Kimstugna")</f>
        <v>Garija</v>
      </c>
      <c r="N22" s="25" t="str">
        <f ca="1">CHOOSE(ROUNDUP(Panchanga!$Q22,0),"Vishkambha-विष्कम्भ-Sa","Priti-प्रीति-Me","Ayushman-आयुष्मान-Ke","Saubhagya-सौभाग्य-Ve","Shobhana-शोभन-Su","Atiganda-अतिगण्ड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("&amp;Panchanga!$Q22&amp;")"</f>
        <v>Vriddhi-वृद्धि -Me (10.99)</v>
      </c>
      <c r="O22" s="2">
        <f ca="1">IF(AND(Panchanga!$P22&lt;28.5,Panchanga!$P22&gt;0.49999),MOD((Panchanga!$P22-0.5)*2,7),MOD((Panchanga!$P22+30-28.5),30)*2+7)</f>
        <v>4.5075999999999965</v>
      </c>
      <c r="P22" s="2">
        <f ca="1">ROUNDUP(MOD(360+Panchanga!$G22-Panchanga!$F22,360)/12,4)</f>
        <v>27.253799999999998</v>
      </c>
      <c r="Q22" s="2">
        <f t="shared" ca="1" si="6"/>
        <v>10.99</v>
      </c>
      <c r="R22" s="2" t="str">
        <f ca="1">SIGN(S23-Panchanga!$S22)*INT(Panchanga!$S22/30+1)&amp;"Ma,"&amp;SIGN(T23-Panchanga!$T22)*INT(Panchanga!$T22/30+1)&amp;"Me,"&amp;SIGN(U23-Panchanga!$U22)*INT(Panchanga!$U22/30+1)&amp;"Ju,"&amp;SIGN(V23-Panchanga!$V22)*INT(Panchanga!$V22/30+1)&amp;"Ve,"&amp;SIGN(W23-Panchanga!$W22)*INT(Panchanga!$W22/30+1)&amp;"Sa,"&amp;INT(Panchanga!$X22/30+1)&amp;"Ra"</f>
        <v>7Ma,9Me,7Ju,10Ve,9Sa,4Ra</v>
      </c>
      <c r="S22" s="2">
        <f ca="1">Planet(Panchanga!$E22,4)</f>
        <v>208.17800000791641</v>
      </c>
      <c r="T22" s="2">
        <f ca="1">Planet(Panchanga!$E22,2)</f>
        <v>249.74005168042046</v>
      </c>
      <c r="U22" s="2">
        <f ca="1">Planet(Panchanga!$E22,5)</f>
        <v>204.88433200350212</v>
      </c>
      <c r="V22" s="2">
        <f ca="1">Planet(Panchanga!$E22,3)</f>
        <v>270.83201352049485</v>
      </c>
      <c r="W22" s="2">
        <f ca="1">Planet(Panchanga!$E22,6)</f>
        <v>248.78892872401292</v>
      </c>
      <c r="X22" s="2">
        <f ca="1">Planet(Panchanga!$E22,10)</f>
        <v>112.10006523133336</v>
      </c>
      <c r="Y22" s="2">
        <f ca="1">SIGN(S23-Panchanga!$S22)</f>
        <v>1</v>
      </c>
    </row>
    <row r="23" spans="1:25" x14ac:dyDescent="0.2">
      <c r="A23" s="3">
        <f t="shared" ca="1" si="11"/>
        <v>43115</v>
      </c>
      <c r="B23" s="3">
        <f t="shared" ca="1" si="8"/>
        <v>43115.229166666664</v>
      </c>
      <c r="C23" s="8">
        <f t="shared" ca="1" si="2"/>
        <v>43115.275969551563</v>
      </c>
      <c r="D23" s="8">
        <f t="shared" ca="1" si="3"/>
        <v>43114.750030338808</v>
      </c>
      <c r="E23" s="12">
        <f ca="1">Panchanga!$C23-TimeZone/24</f>
        <v>43115.046802884899</v>
      </c>
      <c r="F23" s="13">
        <f t="shared" ca="1" si="7"/>
        <v>270.71536870650743</v>
      </c>
      <c r="G23" s="6">
        <f t="shared" ca="1" si="9"/>
        <v>248.56357272981663</v>
      </c>
      <c r="H23" s="7">
        <f t="shared" ca="1" si="10"/>
        <v>43115.046802884899</v>
      </c>
      <c r="I23" s="2" t="str">
        <f ca="1">naks(Panchanga!$G23)</f>
        <v>Moola</v>
      </c>
      <c r="J23" s="8">
        <f ca="1">(C24-Panchanga!$C23)/(G24-Panchanga!$G23)*(13.3333333333333-MOD(Panchanga!$G23,13.333333333333))+Panchanga!$C23</f>
        <v>43115.679607520426</v>
      </c>
      <c r="K23" s="2" t="str">
        <f ca="1">IF(Panchanga!$P23&gt;15,"K","S")&amp;ROUNDUP(MOD(Panchanga!$P23,15),0)&amp;" ("&amp;ROUND(Panchanga!$P23,2)&amp;")"</f>
        <v>K14 (28.15)</v>
      </c>
      <c r="L23" s="2">
        <f ca="1">IF(AND(Panchanga!$P23&lt;28.5,Panchanga!$P23&gt;0.49999),MOD((Panchanga!$P23-0.5)*2,7),MOD((Panchanga!$P23+30-28.5),30)*2+7)</f>
        <v>6.3081999999999994</v>
      </c>
      <c r="M23" s="2" t="str">
        <f ca="1">CHOOSE(ROUNDUP(Panchanga!$L23,0),"Bhava","Baalava","Kaulava","Taitula","Garija","Vanija","Vishti","Shakuni","Chatushapda","Naaga","Kimstugna")</f>
        <v>Vishti</v>
      </c>
      <c r="N23" s="25" t="str">
        <f ca="1">CHOOSE(ROUNDUP(Panchanga!$Q23,0),"Vishkambha-विष्कम्भ-Sa","Priti-प्रीति-Me","Ayushman-आयुष्मान-Ke","Saubhagya-सौभाग्य-Ve","Shobhana-शोभन-Su","Atiganda-अतिगण्ड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("&amp;Panchanga!$Q23&amp;")"</f>
        <v>Dhruva-ध्रुव -Ke (11.95)</v>
      </c>
      <c r="O23" s="2">
        <f ca="1">IF(AND(Panchanga!$P23&lt;28.5,Panchanga!$P23&gt;0.49999),MOD((Panchanga!$P23-0.5)*2,7),MOD((Panchanga!$P23+30-28.5),30)*2+7)</f>
        <v>6.3081999999999994</v>
      </c>
      <c r="P23" s="2">
        <f ca="1">ROUNDUP(MOD(360+Panchanga!$G23-Panchanga!$F23,360)/12,4)</f>
        <v>28.1541</v>
      </c>
      <c r="Q23" s="2">
        <f t="shared" ca="1" si="6"/>
        <v>11.95</v>
      </c>
      <c r="R23" s="2" t="str">
        <f ca="1">SIGN(S24-Panchanga!$S23)*INT(Panchanga!$S23/30+1)&amp;"Ma,"&amp;SIGN(T24-Panchanga!$T23)*INT(Panchanga!$T23/30+1)&amp;"Me,"&amp;SIGN(U24-Panchanga!$U23)*INT(Panchanga!$U23/30+1)&amp;"Ju,"&amp;SIGN(V24-Panchanga!$V23)*INT(Panchanga!$V23/30+1)&amp;"Ve,"&amp;SIGN(W24-Panchanga!$W23)*INT(Panchanga!$W23/30+1)&amp;"Sa,"&amp;INT(Panchanga!$X23/30+1)&amp;"Ra"</f>
        <v>7Ma,9Me,7Ju,10Ve,9Sa,4Ra</v>
      </c>
      <c r="S23" s="2">
        <f ca="1">Planet(Panchanga!$E23,4)</f>
        <v>208.79807234233812</v>
      </c>
      <c r="T23" s="2">
        <f ca="1">Planet(Panchanga!$E23,2)</f>
        <v>251.13062156912505</v>
      </c>
      <c r="U23" s="2">
        <f ca="1">Planet(Panchanga!$E23,5)</f>
        <v>205.02872006445011</v>
      </c>
      <c r="V23" s="2">
        <f ca="1">Planet(Panchanga!$E23,3)</f>
        <v>272.08986475336508</v>
      </c>
      <c r="W23" s="2">
        <f ca="1">Planet(Panchanga!$E23,6)</f>
        <v>248.90168326925667</v>
      </c>
      <c r="X23" s="2">
        <f ca="1">Planet(Panchanga!$E23,10)</f>
        <v>112.04706702582908</v>
      </c>
      <c r="Y23" s="2">
        <f ca="1">SIGN(S24-Panchanga!$S23)</f>
        <v>1</v>
      </c>
    </row>
    <row r="24" spans="1:25" x14ac:dyDescent="0.2">
      <c r="A24" s="3">
        <f t="shared" ca="1" si="11"/>
        <v>43116</v>
      </c>
      <c r="B24" s="3">
        <f t="shared" ca="1" si="8"/>
        <v>43116.229166666664</v>
      </c>
      <c r="C24" s="8">
        <f t="shared" ca="1" si="2"/>
        <v>43116.276074296948</v>
      </c>
      <c r="D24" s="8">
        <f t="shared" ca="1" si="3"/>
        <v>43115.750415464441</v>
      </c>
      <c r="E24" s="12">
        <f ca="1">Panchanga!$C24-TimeZone/24</f>
        <v>43116.046907630283</v>
      </c>
      <c r="F24" s="13">
        <f t="shared" ca="1" si="7"/>
        <v>271.73426353968762</v>
      </c>
      <c r="G24" s="6">
        <f t="shared" ca="1" si="9"/>
        <v>260.38173797168412</v>
      </c>
      <c r="H24" s="7">
        <f t="shared" ca="1" si="10"/>
        <v>43116.046907630283</v>
      </c>
      <c r="I24" s="2" t="str">
        <f ca="1">naks(Panchanga!$G24)</f>
        <v>Purva Asadha</v>
      </c>
      <c r="J24" s="8">
        <f ca="1">(C25-Panchanga!$C24)/(G25-Panchanga!$G24)*(13.3333333333333-MOD(Panchanga!$G24,13.333333333333))+Panchanga!$C24</f>
        <v>43116.806552479866</v>
      </c>
      <c r="K24" s="2" t="str">
        <f ca="1">IF(Panchanga!$P24&gt;15,"K","S")&amp;ROUNDUP(MOD(Panchanga!$P24,15),0)&amp;" ("&amp;ROUND(Panchanga!$P24,2)&amp;")"</f>
        <v>K15 (29.05)</v>
      </c>
      <c r="L24" s="2">
        <f ca="1">IF(AND(Panchanga!$P24&lt;28.5,Panchanga!$P24&gt;0.49999),MOD((Panchanga!$P24-0.5)*2,7),MOD((Panchanga!$P24+30-28.5),30)*2+7)</f>
        <v>8.1080000000000041</v>
      </c>
      <c r="M24" s="2" t="str">
        <f ca="1">CHOOSE(ROUNDUP(Panchanga!$L24,0),"Bhava","Baalava","Kaulava","Taitula","Garija","Vanija","Vishti","Shakuni","Chatushapda","Naaga","Kimstugna")</f>
        <v>Chatushapda</v>
      </c>
      <c r="N24" s="25" t="str">
        <f ca="1">CHOOSE(ROUNDUP(Panchanga!$Q24,0),"Vishkambha-विष्कम्भ-Sa","Priti-प्रीति-Me","Ayushman-आयुष्मान-Ke","Saubhagya-सौभाग्य-Ve","Shobhana-शोभन-Su","Atiganda-अतिगण्ड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("&amp;Panchanga!$Q24&amp;")"</f>
        <v>Vyaghata-व्याघात-ve (12.91)</v>
      </c>
      <c r="O24" s="2">
        <f ca="1">IF(AND(Panchanga!$P24&lt;28.5,Panchanga!$P24&gt;0.49999),MOD((Panchanga!$P24-0.5)*2,7),MOD((Panchanga!$P24+30-28.5),30)*2+7)</f>
        <v>8.1080000000000041</v>
      </c>
      <c r="P24" s="2">
        <f ca="1">ROUNDUP(MOD(360+Panchanga!$G24-Panchanga!$F24,360)/12,4)</f>
        <v>29.053999999999998</v>
      </c>
      <c r="Q24" s="2">
        <f t="shared" ca="1" si="6"/>
        <v>12.91</v>
      </c>
      <c r="R24" s="2" t="str">
        <f ca="1">SIGN(S25-Panchanga!$S24)*INT(Panchanga!$S24/30+1)&amp;"Ma,"&amp;SIGN(T25-Panchanga!$T24)*INT(Panchanga!$T24/30+1)&amp;"Me,"&amp;SIGN(U25-Panchanga!$U24)*INT(Panchanga!$U24/30+1)&amp;"Ju,"&amp;SIGN(V25-Panchanga!$V24)*INT(Panchanga!$V24/30+1)&amp;"Ve,"&amp;SIGN(W25-Panchanga!$W24)*INT(Panchanga!$W24/30+1)&amp;"Sa,"&amp;INT(Panchanga!$X24/30+1)&amp;"Ra"</f>
        <v>7Ma,9Me,7Ju,10Ve,9Sa,4Ra</v>
      </c>
      <c r="S24" s="2">
        <f ca="1">Planet(Panchanga!$E24,4)</f>
        <v>209.41776567399199</v>
      </c>
      <c r="T24" s="2">
        <f ca="1">Planet(Panchanga!$E24,2)</f>
        <v>252.53624963866514</v>
      </c>
      <c r="U24" s="2">
        <f ca="1">Planet(Panchanga!$E24,5)</f>
        <v>205.17108084791391</v>
      </c>
      <c r="V24" s="2">
        <f ca="1">Planet(Panchanga!$E24,3)</f>
        <v>273.3476157210527</v>
      </c>
      <c r="W24" s="2">
        <f ca="1">Planet(Panchanga!$E24,6)</f>
        <v>249.01397270565963</v>
      </c>
      <c r="X24" s="2">
        <f ca="1">Planet(Panchanga!$E24,10)</f>
        <v>111.99406947728038</v>
      </c>
      <c r="Y24" s="2">
        <f ca="1">SIGN(S25-Panchanga!$S24)</f>
        <v>1</v>
      </c>
    </row>
    <row r="25" spans="1:25" x14ac:dyDescent="0.2">
      <c r="A25" s="3">
        <f t="shared" ca="1" si="11"/>
        <v>43117</v>
      </c>
      <c r="B25" s="3">
        <f t="shared" ca="1" si="8"/>
        <v>43117.229166666664</v>
      </c>
      <c r="C25" s="8">
        <f t="shared" ca="1" si="2"/>
        <v>43117.27616648531</v>
      </c>
      <c r="D25" s="8">
        <f t="shared" ca="1" si="3"/>
        <v>43116.750797569795</v>
      </c>
      <c r="E25" s="12">
        <f ca="1">Panchanga!$C25-TimeZone/24</f>
        <v>43117.046999818645</v>
      </c>
      <c r="F25" s="13">
        <f t="shared" ca="1" si="7"/>
        <v>272.75302919998313</v>
      </c>
      <c r="G25" s="6">
        <f t="shared" ca="1" si="9"/>
        <v>272.23049687391011</v>
      </c>
      <c r="H25" s="7">
        <f t="shared" ca="1" si="10"/>
        <v>43117.046999818645</v>
      </c>
      <c r="I25" s="2" t="str">
        <f ca="1">naks(Panchanga!$G25)</f>
        <v>Uttara Asadha</v>
      </c>
      <c r="J25" s="8">
        <f ca="1">(C26-Panchanga!$C25)/(G26-Panchanga!$G25)*(13.3333333333333-MOD(Panchanga!$G25,13.333333333333))+Panchanga!$C25</f>
        <v>43117.928506698438</v>
      </c>
      <c r="K25" s="2" t="str">
        <f ca="1">IF(Panchanga!$P25&gt;15,"K","S")&amp;ROUNDUP(MOD(Panchanga!$P25,15),0)&amp;" ("&amp;ROUND(Panchanga!$P25,2)&amp;")"</f>
        <v>K15 (29.96)</v>
      </c>
      <c r="L25" s="2">
        <f ca="1">IF(AND(Panchanga!$P25&lt;28.5,Panchanga!$P25&gt;0.49999),MOD((Panchanga!$P25-0.5)*2,7),MOD((Panchanga!$P25+30-28.5),30)*2+7)</f>
        <v>9.9129999999999967</v>
      </c>
      <c r="M25" s="2" t="str">
        <f ca="1">CHOOSE(ROUNDUP(Panchanga!$L25,0),"Bhava","Baalava","Kaulava","Taitula","Garija","Vanija","Vishti","Shakuni","Chatushapda","Naaga","Kimstugna")</f>
        <v>Naaga</v>
      </c>
      <c r="N25" s="25" t="str">
        <f ca="1">CHOOSE(ROUNDUP(Panchanga!$Q25,0),"Vishkambha-विष्कम्भ-Sa","Priti-प्रीति-Me","Ayushman-आयुष्मान-Ke","Saubhagya-सौभाग्य-Ve","Shobhana-शोभन-Su","Atiganda-अतिगण्ड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("&amp;Panchanga!$Q25&amp;")"</f>
        <v>Harshana-हर्षण-su (13.88)</v>
      </c>
      <c r="O25" s="2">
        <f ca="1">IF(AND(Panchanga!$P25&lt;28.5,Panchanga!$P25&gt;0.49999),MOD((Panchanga!$P25-0.5)*2,7),MOD((Panchanga!$P25+30-28.5),30)*2+7)</f>
        <v>9.9129999999999967</v>
      </c>
      <c r="P25" s="2">
        <f ca="1">ROUNDUP(MOD(360+Panchanga!$G25-Panchanga!$F25,360)/12,4)</f>
        <v>29.956499999999998</v>
      </c>
      <c r="Q25" s="2">
        <f t="shared" ca="1" si="6"/>
        <v>13.879999999999999</v>
      </c>
      <c r="R25" s="2" t="str">
        <f ca="1">SIGN(S26-Panchanga!$S25)*INT(Panchanga!$S25/30+1)&amp;"Ma,"&amp;SIGN(T26-Panchanga!$T25)*INT(Panchanga!$T25/30+1)&amp;"Me,"&amp;SIGN(U26-Panchanga!$U25)*INT(Panchanga!$U25/30+1)&amp;"Ju,"&amp;SIGN(V26-Panchanga!$V25)*INT(Panchanga!$V25/30+1)&amp;"Ve,"&amp;SIGN(W26-Panchanga!$W25)*INT(Panchanga!$W25/30+1)&amp;"Sa,"&amp;INT(Panchanga!$X25/30+1)&amp;"Ra"</f>
        <v>8Ma,9Me,7Ju,10Ve,9Sa,4Ra</v>
      </c>
      <c r="S25" s="2">
        <f ca="1">Planet(Panchanga!$E25,4)</f>
        <v>210.03706550249194</v>
      </c>
      <c r="T25" s="2">
        <f ca="1">Planet(Panchanga!$E25,2)</f>
        <v>253.95601008311954</v>
      </c>
      <c r="U25" s="2">
        <f ca="1">Planet(Panchanga!$E25,5)</f>
        <v>205.31138302806079</v>
      </c>
      <c r="V25" s="2">
        <f ca="1">Planet(Panchanga!$E25,3)</f>
        <v>274.60525446848169</v>
      </c>
      <c r="W25" s="2">
        <f ca="1">Planet(Panchanga!$E25,6)</f>
        <v>249.12577634554918</v>
      </c>
      <c r="X25" s="2">
        <f ca="1">Planet(Panchanga!$E25,10)</f>
        <v>111.94107259415378</v>
      </c>
      <c r="Y25" s="2">
        <f ca="1">SIGN(S26-Panchanga!$S25)</f>
        <v>1</v>
      </c>
    </row>
    <row r="26" spans="1:25" x14ac:dyDescent="0.2">
      <c r="A26" s="3">
        <f t="shared" ca="1" si="11"/>
        <v>43118</v>
      </c>
      <c r="B26" s="3">
        <f t="shared" ca="1" si="8"/>
        <v>43118.229166666664</v>
      </c>
      <c r="C26" s="8">
        <f t="shared" ca="1" si="2"/>
        <v>43118.276245958325</v>
      </c>
      <c r="D26" s="8">
        <f t="shared" ca="1" si="3"/>
        <v>43117.751176337755</v>
      </c>
      <c r="E26" s="12">
        <f ca="1">Panchanga!$C26-TimeZone/24</f>
        <v>43118.04707929166</v>
      </c>
      <c r="F26" s="13">
        <f t="shared" ca="1" si="7"/>
        <v>273.77164158329265</v>
      </c>
      <c r="G26" s="6">
        <f t="shared" ca="1" si="9"/>
        <v>284.14164451674719</v>
      </c>
      <c r="H26" s="7">
        <f t="shared" ca="1" si="10"/>
        <v>43118.04707929166</v>
      </c>
      <c r="I26" s="2" t="str">
        <f ca="1">naks(Panchanga!$G26)</f>
        <v>Sravana</v>
      </c>
      <c r="J26" s="8">
        <f ca="1">(C27-Panchanga!$C26)/(G27-Panchanga!$G26)*(13.3333333333333-MOD(Panchanga!$G26,13.333333333333))+Panchanga!$C26</f>
        <v>43119.041937434165</v>
      </c>
      <c r="K26" s="2" t="str">
        <f ca="1">IF(Panchanga!$P26&gt;15,"K","S")&amp;ROUNDUP(MOD(Panchanga!$P26,15),0)&amp;" ("&amp;ROUND(Panchanga!$P26,2)&amp;")"</f>
        <v>S1 (0.86)</v>
      </c>
      <c r="L26" s="2">
        <f ca="1">IF(AND(Panchanga!$P26&lt;28.5,Panchanga!$P26&gt;0.49999),MOD((Panchanga!$P26-0.5)*2,7),MOD((Panchanga!$P26+30-28.5),30)*2+7)</f>
        <v>0.72839999999999994</v>
      </c>
      <c r="M26" s="2" t="str">
        <f ca="1">CHOOSE(ROUNDUP(Panchanga!$L26,0),"Bhava","Baalava","Kaulava","Taitula","Garija","Vanija","Vishti","Shakuni","Chatushapda","Naaga","Kimstugna")</f>
        <v>Bhava</v>
      </c>
      <c r="N26" s="25" t="str">
        <f ca="1">CHOOSE(ROUNDUP(Panchanga!$Q26,0),"Vishkambha-विष्कम्भ-Sa","Priti-प्रीति-Me","Ayushman-आयुष्मान-Ke","Saubhagya-सौभाग्य-Ve","Shobhana-शोभन-Su","Atiganda-अतिगण्ड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("&amp;Panchanga!$Q26&amp;")"</f>
        <v>Vajra-वज्र-Mo (14.85)</v>
      </c>
      <c r="O26" s="2">
        <f ca="1">IF(AND(Panchanga!$P26&lt;28.5,Panchanga!$P26&gt;0.49999),MOD((Panchanga!$P26-0.5)*2,7),MOD((Panchanga!$P26+30-28.5),30)*2+7)</f>
        <v>0.72839999999999994</v>
      </c>
      <c r="P26" s="2">
        <f ca="1">ROUNDUP(MOD(360+Panchanga!$G26-Panchanga!$F26,360)/12,4)</f>
        <v>0.86419999999999997</v>
      </c>
      <c r="Q26" s="2">
        <f t="shared" ca="1" si="6"/>
        <v>14.85</v>
      </c>
      <c r="R26" s="2" t="str">
        <f ca="1">SIGN(S27-Panchanga!$S26)*INT(Panchanga!$S26/30+1)&amp;"Ma,"&amp;SIGN(T27-Panchanga!$T26)*INT(Panchanga!$T26/30+1)&amp;"Me,"&amp;SIGN(U27-Panchanga!$U26)*INT(Panchanga!$U26/30+1)&amp;"Ju,"&amp;SIGN(V27-Panchanga!$V26)*INT(Panchanga!$V26/30+1)&amp;"Ve,"&amp;SIGN(W27-Panchanga!$W26)*INT(Panchanga!$W26/30+1)&amp;"Sa,"&amp;INT(Panchanga!$X26/30+1)&amp;"Ra"</f>
        <v>8Ma,9Me,7Ju,10Ve,9Sa,4Ra</v>
      </c>
      <c r="S26" s="2">
        <f ca="1">Planet(Panchanga!$E26,4)</f>
        <v>210.65595807645113</v>
      </c>
      <c r="T26" s="2">
        <f ca="1">Planet(Panchanga!$E26,2)</f>
        <v>255.3891244464111</v>
      </c>
      <c r="U26" s="2">
        <f ca="1">Planet(Panchanga!$E26,5)</f>
        <v>205.44959569047262</v>
      </c>
      <c r="V26" s="2">
        <f ca="1">Planet(Panchanga!$E26,3)</f>
        <v>275.86276854937267</v>
      </c>
      <c r="W26" s="2">
        <f ca="1">Planet(Panchanga!$E26,6)</f>
        <v>249.23707357018765</v>
      </c>
      <c r="X26" s="2">
        <f ca="1">Planet(Panchanga!$E26,10)</f>
        <v>111.88807638488296</v>
      </c>
      <c r="Y26" s="2">
        <f ca="1">SIGN(S27-Panchanga!$S26)</f>
        <v>1</v>
      </c>
    </row>
    <row r="27" spans="1:25" x14ac:dyDescent="0.2">
      <c r="A27" s="3">
        <f t="shared" ca="1" si="11"/>
        <v>43119</v>
      </c>
      <c r="B27" s="3">
        <f t="shared" ca="1" si="8"/>
        <v>43119.229166666664</v>
      </c>
      <c r="C27" s="8">
        <f t="shared" ca="1" si="2"/>
        <v>43119.276312556271</v>
      </c>
      <c r="D27" s="8">
        <f t="shared" ca="1" si="3"/>
        <v>43118.751551290552</v>
      </c>
      <c r="E27" s="12">
        <f ca="1">Panchanga!$C27-TimeZone/24</f>
        <v>43119.047145889606</v>
      </c>
      <c r="F27" s="13">
        <f t="shared" ca="1" si="7"/>
        <v>274.79007639284964</v>
      </c>
      <c r="G27" s="6">
        <f t="shared" ca="1" si="9"/>
        <v>296.14687280277377</v>
      </c>
      <c r="H27" s="7">
        <f t="shared" ca="1" si="10"/>
        <v>43119.047145889606</v>
      </c>
      <c r="I27" s="2" t="str">
        <f ca="1">naks(Panchanga!$G27)</f>
        <v>Dhanistha</v>
      </c>
      <c r="J27" s="8">
        <f ca="1">(C28-Panchanga!$C27)/(G28-Panchanga!$G27)*(13.3333333333333-MOD(Panchanga!$G27,13.333333333333))+Panchanga!$C27</f>
        <v>43120.143361735325</v>
      </c>
      <c r="K27" s="2" t="str">
        <f ca="1">IF(Panchanga!$P27&gt;15,"K","S")&amp;ROUNDUP(MOD(Panchanga!$P27,15),0)&amp;" ("&amp;ROUND(Panchanga!$P27,2)&amp;")"</f>
        <v>S2 (1.78)</v>
      </c>
      <c r="L27" s="2">
        <f ca="1">IF(AND(Panchanga!$P27&lt;28.5,Panchanga!$P27&gt;0.49999),MOD((Panchanga!$P27-0.5)*2,7),MOD((Panchanga!$P27+30-28.5),30)*2+7)</f>
        <v>2.5596000000000001</v>
      </c>
      <c r="M27" s="2" t="str">
        <f ca="1">CHOOSE(ROUNDUP(Panchanga!$L27,0),"Bhava","Baalava","Kaulava","Taitula","Garija","Vanija","Vishti","Shakuni","Chatushapda","Naaga","Kimstugna")</f>
        <v>Kaulava</v>
      </c>
      <c r="N27" s="25" t="str">
        <f ca="1">CHOOSE(ROUNDUP(Panchanga!$Q27,0),"Vishkambha-विष्कम्भ-Sa","Priti-प्रीति-Me","Ayushman-आयुष्मान-Ke","Saubhagya-सौभाग्य-Ve","Shobhana-शोभन-Su","Atiganda-अतिगण्ड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("&amp;Panchanga!$Q27&amp;")"</f>
        <v>Siddhi-सिद्धि-Ma (15.83)</v>
      </c>
      <c r="O27" s="2">
        <f ca="1">IF(AND(Panchanga!$P27&lt;28.5,Panchanga!$P27&gt;0.49999),MOD((Panchanga!$P27-0.5)*2,7),MOD((Panchanga!$P27+30-28.5),30)*2+7)</f>
        <v>2.5596000000000001</v>
      </c>
      <c r="P27" s="2">
        <f ca="1">ROUNDUP(MOD(360+Panchanga!$G27-Panchanga!$F27,360)/12,4)</f>
        <v>1.7798</v>
      </c>
      <c r="Q27" s="2">
        <f t="shared" ca="1" si="6"/>
        <v>15.83</v>
      </c>
      <c r="R27" s="2" t="str">
        <f ca="1">SIGN(S28-Panchanga!$S27)*INT(Panchanga!$S27/30+1)&amp;"Ma,"&amp;SIGN(T28-Panchanga!$T27)*INT(Panchanga!$T27/30+1)&amp;"Me,"&amp;SIGN(U28-Panchanga!$U27)*INT(Panchanga!$U27/30+1)&amp;"Ju,"&amp;SIGN(V28-Panchanga!$V27)*INT(Panchanga!$V27/30+1)&amp;"Ve,"&amp;SIGN(W28-Panchanga!$W27)*INT(Panchanga!$W27/30+1)&amp;"Sa,"&amp;INT(Panchanga!$X27/30+1)&amp;"Ra"</f>
        <v>8Ma,9Me,7Ju,10Ve,9Sa,4Ra</v>
      </c>
      <c r="S27" s="2">
        <f ca="1">Planet(Panchanga!$E27,4)</f>
        <v>211.27443055316601</v>
      </c>
      <c r="T27" s="2">
        <f ca="1">Planet(Panchanga!$E27,2)</f>
        <v>256.83494428696457</v>
      </c>
      <c r="U27" s="2">
        <f ca="1">Planet(Panchanga!$E27,5)</f>
        <v>205.5856883989313</v>
      </c>
      <c r="V27" s="2">
        <f ca="1">Planet(Panchanga!$E27,3)</f>
        <v>277.12014522512362</v>
      </c>
      <c r="W27" s="2">
        <f ca="1">Planet(Panchanga!$E27,6)</f>
        <v>249.34784387169307</v>
      </c>
      <c r="X27" s="2">
        <f ca="1">Planet(Panchanga!$E27,10)</f>
        <v>111.83508085786814</v>
      </c>
      <c r="Y27" s="2">
        <f ca="1">SIGN(S28-Panchanga!$S27)</f>
        <v>1</v>
      </c>
    </row>
    <row r="28" spans="1:25" x14ac:dyDescent="0.2">
      <c r="A28" s="3">
        <f t="shared" ca="1" si="11"/>
        <v>43120</v>
      </c>
      <c r="B28" s="3">
        <f t="shared" ca="1" si="8"/>
        <v>43120.229166666664</v>
      </c>
      <c r="C28" s="8">
        <f t="shared" ca="1" si="2"/>
        <v>43120.276366438869</v>
      </c>
      <c r="D28" s="8">
        <f t="shared" ca="1" si="3"/>
        <v>43119.751922269861</v>
      </c>
      <c r="E28" s="12">
        <f ca="1">Panchanga!$C28-TimeZone/24</f>
        <v>43120.047199772205</v>
      </c>
      <c r="F28" s="13">
        <f t="shared" ca="1" si="7"/>
        <v>275.80830974807805</v>
      </c>
      <c r="G28" s="6">
        <f t="shared" ca="1" si="9"/>
        <v>308.28039527398818</v>
      </c>
      <c r="H28" s="7">
        <f t="shared" ca="1" si="10"/>
        <v>43120.047199772205</v>
      </c>
      <c r="I28" s="2" t="str">
        <f ca="1">naks(Panchanga!$G28)</f>
        <v>Satabhisaj</v>
      </c>
      <c r="J28" s="8">
        <f ca="1">(C29-Panchanga!$C28)/(G29-Panchanga!$G28)*(13.3333333333333-MOD(Panchanga!$G28,13.333333333333))+Panchanga!$C28</f>
        <v>43121.229183851246</v>
      </c>
      <c r="K28" s="2" t="str">
        <f ca="1">IF(Panchanga!$P28&gt;15,"K","S")&amp;ROUNDUP(MOD(Panchanga!$P28,15),0)&amp;" ("&amp;ROUND(Panchanga!$P28,2)&amp;")"</f>
        <v>S3 (2.71)</v>
      </c>
      <c r="L28" s="2">
        <f ca="1">IF(AND(Panchanga!$P28&lt;28.5,Panchanga!$P28&gt;0.49999),MOD((Panchanga!$P28-0.5)*2,7),MOD((Panchanga!$P28+30-28.5),30)*2+7)</f>
        <v>4.4122000000000003</v>
      </c>
      <c r="M28" s="2" t="str">
        <f ca="1">CHOOSE(ROUNDUP(Panchanga!$L28,0),"Bhava","Baalava","Kaulava","Taitula","Garija","Vanija","Vishti","Shakuni","Chatushapda","Naaga","Kimstugna")</f>
        <v>Garija</v>
      </c>
      <c r="N28" s="25" t="str">
        <f ca="1">CHOOSE(ROUNDUP(Panchanga!$Q28,0),"Vishkambha-विष्कम्भ-Sa","Priti-प्रीति-Me","Ayushman-आयुष्मान-Ke","Saubhagya-सौभाग्य-Ve","Shobhana-शोभन-Su","Atiganda-अतिगण्ड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("&amp;Panchanga!$Q28&amp;")"</f>
        <v>Vyatipata-व्यतिपात-Ra (16.81)</v>
      </c>
      <c r="O28" s="2">
        <f ca="1">IF(AND(Panchanga!$P28&lt;28.5,Panchanga!$P28&gt;0.49999),MOD((Panchanga!$P28-0.5)*2,7),MOD((Panchanga!$P28+30-28.5),30)*2+7)</f>
        <v>4.4122000000000003</v>
      </c>
      <c r="P28" s="2">
        <f ca="1">ROUNDUP(MOD(360+Panchanga!$G28-Panchanga!$F28,360)/12,4)</f>
        <v>2.7061000000000002</v>
      </c>
      <c r="Q28" s="2">
        <f t="shared" ca="1" si="6"/>
        <v>16.810000000000002</v>
      </c>
      <c r="R28" s="2" t="str">
        <f ca="1">SIGN(S29-Panchanga!$S28)*INT(Panchanga!$S28/30+1)&amp;"Ma,"&amp;SIGN(T29-Panchanga!$T28)*INT(Panchanga!$T28/30+1)&amp;"Me,"&amp;SIGN(U29-Panchanga!$U28)*INT(Panchanga!$U28/30+1)&amp;"Ju,"&amp;SIGN(V29-Panchanga!$V28)*INT(Panchanga!$V28/30+1)&amp;"Ve,"&amp;SIGN(W29-Panchanga!$W28)*INT(Panchanga!$W28/30+1)&amp;"Sa,"&amp;INT(Panchanga!$X28/30+1)&amp;"Ra"</f>
        <v>8Ma,9Me,7Ju,10Ve,9Sa,4Ra</v>
      </c>
      <c r="S28" s="2">
        <f ca="1">Planet(Panchanga!$E28,4)</f>
        <v>211.89247138414905</v>
      </c>
      <c r="T28" s="2">
        <f ca="1">Planet(Panchanga!$E28,2)</f>
        <v>258.29293656845442</v>
      </c>
      <c r="U28" s="2">
        <f ca="1">Planet(Panchanga!$E28,5)</f>
        <v>205.71963131209355</v>
      </c>
      <c r="V28" s="2">
        <f ca="1">Planet(Panchanga!$E28,3)</f>
        <v>278.37737202502876</v>
      </c>
      <c r="W28" s="2">
        <f ca="1">Planet(Panchanga!$E28,6)</f>
        <v>249.45806694002223</v>
      </c>
      <c r="X28" s="2">
        <f ca="1">Planet(Panchanga!$E28,10)</f>
        <v>111.78208600467597</v>
      </c>
      <c r="Y28" s="2">
        <f ca="1">SIGN(S29-Panchanga!$S28)</f>
        <v>1</v>
      </c>
    </row>
    <row r="29" spans="1:25" x14ac:dyDescent="0.2">
      <c r="A29" s="3">
        <f t="shared" ca="1" si="11"/>
        <v>43121</v>
      </c>
      <c r="B29" s="3">
        <f t="shared" ca="1" si="8"/>
        <v>43121.229166666664</v>
      </c>
      <c r="C29" s="8">
        <f t="shared" ca="1" si="2"/>
        <v>43121.276407129284</v>
      </c>
      <c r="D29" s="8">
        <f t="shared" ca="1" si="3"/>
        <v>43120.752288957636</v>
      </c>
      <c r="E29" s="12">
        <f ca="1">Panchanga!$C29-TimeZone/24</f>
        <v>43121.04724046262</v>
      </c>
      <c r="F29" s="13">
        <f t="shared" ca="1" si="7"/>
        <v>276.82631756341959</v>
      </c>
      <c r="G29" s="6">
        <f t="shared" ca="1" si="9"/>
        <v>320.58084386923281</v>
      </c>
      <c r="H29" s="7">
        <f t="shared" ca="1" si="10"/>
        <v>43121.04724046262</v>
      </c>
      <c r="I29" s="2" t="str">
        <f ca="1">naks(Panchanga!$G29)</f>
        <v>Purva Bhadrapada</v>
      </c>
      <c r="J29" s="8">
        <f ca="1">(C30-Panchanga!$C29)/(G30-Panchanga!$G29)*(13.3333333333333-MOD(Panchanga!$G29,13.333333333333))+Panchanga!$C29</f>
        <v>43122.29573154376</v>
      </c>
      <c r="K29" s="2" t="str">
        <f ca="1">IF(Panchanga!$P29&gt;15,"K","S")&amp;ROUNDUP(MOD(Panchanga!$P29,15),0)&amp;" ("&amp;ROUND(Panchanga!$P29,2)&amp;")"</f>
        <v>S4 (3.65)</v>
      </c>
      <c r="L29" s="2">
        <f ca="1">IF(AND(Panchanga!$P29&lt;28.5,Panchanga!$P29&gt;0.49999),MOD((Panchanga!$P29-0.5)*2,7),MOD((Panchanga!$P29+30-28.5),30)*2+7)</f>
        <v>6.2926000000000002</v>
      </c>
      <c r="M29" s="2" t="str">
        <f ca="1">CHOOSE(ROUNDUP(Panchanga!$L29,0),"Bhava","Baalava","Kaulava","Taitula","Garija","Vanija","Vishti","Shakuni","Chatushapda","Naaga","Kimstugna")</f>
        <v>Vishti</v>
      </c>
      <c r="N29" s="25" t="str">
        <f ca="1">CHOOSE(ROUNDUP(Panchanga!$Q29,0),"Vishkambha-विष्कम्भ-Sa","Priti-प्रीति-Me","Ayushman-आयुष्मान-Ke","Saubhagya-सौभाग्य-Ve","Shobhana-शोभन-Su","Atiganda-अतिगण्ड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("&amp;Panchanga!$Q29&amp;")"</f>
        <v>Varigha-वरीयस्-Ju (17.81)</v>
      </c>
      <c r="O29" s="2">
        <f ca="1">IF(AND(Panchanga!$P29&lt;28.5,Panchanga!$P29&gt;0.49999),MOD((Panchanga!$P29-0.5)*2,7),MOD((Panchanga!$P29+30-28.5),30)*2+7)</f>
        <v>6.2926000000000002</v>
      </c>
      <c r="P29" s="2">
        <f ca="1">ROUNDUP(MOD(360+Panchanga!$G29-Panchanga!$F29,360)/12,4)</f>
        <v>3.6463000000000001</v>
      </c>
      <c r="Q29" s="2">
        <f t="shared" ca="1" si="6"/>
        <v>17.810000000000002</v>
      </c>
      <c r="R29" s="2" t="str">
        <f ca="1">SIGN(S30-Panchanga!$S29)*INT(Panchanga!$S29/30+1)&amp;"Ma,"&amp;SIGN(T30-Panchanga!$T29)*INT(Panchanga!$T29/30+1)&amp;"Me,"&amp;SIGN(U30-Panchanga!$U29)*INT(Panchanga!$U29/30+1)&amp;"Ju,"&amp;SIGN(V30-Panchanga!$V29)*INT(Panchanga!$V29/30+1)&amp;"Ve,"&amp;SIGN(W30-Panchanga!$W29)*INT(Panchanga!$W29/30+1)&amp;"Sa,"&amp;INT(Panchanga!$X29/30+1)&amp;"Ra"</f>
        <v>8Ma,9Me,7Ju,10Ve,9Sa,4Ra</v>
      </c>
      <c r="S29" s="2">
        <f ca="1">Planet(Panchanga!$E29,4)</f>
        <v>212.51006994810314</v>
      </c>
      <c r="T29" s="2">
        <f ca="1">Planet(Panchanga!$E29,2)</f>
        <v>259.76266919051653</v>
      </c>
      <c r="U29" s="2">
        <f ca="1">Planet(Panchanga!$E29,5)</f>
        <v>205.85139513513849</v>
      </c>
      <c r="V29" s="2">
        <f ca="1">Planet(Panchanga!$E29,3)</f>
        <v>279.63443572533731</v>
      </c>
      <c r="W29" s="2">
        <f ca="1">Planet(Panchanga!$E29,6)</f>
        <v>249.56772260889721</v>
      </c>
      <c r="X29" s="2">
        <f ca="1">Planet(Panchanga!$E29,10)</f>
        <v>111.72909185054053</v>
      </c>
      <c r="Y29" s="2">
        <f ca="1">SIGN(S30-Panchanga!$S29)</f>
        <v>1</v>
      </c>
    </row>
    <row r="30" spans="1:25" x14ac:dyDescent="0.2">
      <c r="A30" s="3">
        <f t="shared" ca="1" si="11"/>
        <v>43122</v>
      </c>
      <c r="B30" s="3">
        <f t="shared" ca="1" si="8"/>
        <v>43122.229166666664</v>
      </c>
      <c r="C30" s="8">
        <f t="shared" ca="1" si="2"/>
        <v>43122.27643494463</v>
      </c>
      <c r="D30" s="8">
        <f t="shared" ca="1" si="3"/>
        <v>43121.752651035829</v>
      </c>
      <c r="E30" s="12">
        <f ca="1">Panchanga!$C30-TimeZone/24</f>
        <v>43122.047268277965</v>
      </c>
      <c r="F30" s="13">
        <f t="shared" ca="1" si="7"/>
        <v>277.84407744765321</v>
      </c>
      <c r="G30" s="6">
        <f t="shared" ca="1" si="9"/>
        <v>333.09191884974416</v>
      </c>
      <c r="H30" s="7">
        <f t="shared" ca="1" si="10"/>
        <v>43122.047268277965</v>
      </c>
      <c r="I30" s="2" t="str">
        <f ca="1">naks(Panchanga!$G30)</f>
        <v>Purva Bhadrapada</v>
      </c>
      <c r="J30" s="8">
        <f ca="1">(C31-Panchanga!$C30)/(G31-Panchanga!$G30)*(13.3333333333333-MOD(Panchanga!$G30,13.333333333333))+Panchanga!$C30</f>
        <v>43122.295341051329</v>
      </c>
      <c r="K30" s="2" t="str">
        <f ca="1">IF(Panchanga!$P30&gt;15,"K","S")&amp;ROUNDUP(MOD(Panchanga!$P30,15),0)&amp;" ("&amp;ROUND(Panchanga!$P30,2)&amp;")"</f>
        <v>S5 (4.6)</v>
      </c>
      <c r="L30" s="2">
        <f ca="1">IF(AND(Panchanga!$P30&lt;28.5,Panchanga!$P30&gt;0.49999),MOD((Panchanga!$P30-0.5)*2,7),MOD((Panchanga!$P30+30-28.5),30)*2+7)</f>
        <v>1.2080000000000002</v>
      </c>
      <c r="M30" s="2" t="str">
        <f ca="1">CHOOSE(ROUNDUP(Panchanga!$L30,0),"Bhava","Baalava","Kaulava","Taitula","Garija","Vanija","Vishti","Shakuni","Chatushapda","Naaga","Kimstugna")</f>
        <v>Baalava</v>
      </c>
      <c r="N30" s="25" t="str">
        <f ca="1">CHOOSE(ROUNDUP(Panchanga!$Q30,0),"Vishkambha-विष्कम्भ-Sa","Priti-प्रीति-Me","Ayushman-आयुष्मान-Ke","Saubhagya-सौभाग्य-Ve","Shobhana-शोभन-Su","Atiganda-अतिगण्ड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("&amp;Panchanga!$Q30&amp;")"</f>
        <v>Parigha-परिघ-Sa (18.83)</v>
      </c>
      <c r="O30" s="2">
        <f ca="1">IF(AND(Panchanga!$P30&lt;28.5,Panchanga!$P30&gt;0.49999),MOD((Panchanga!$P30-0.5)*2,7),MOD((Panchanga!$P30+30-28.5),30)*2+7)</f>
        <v>1.2080000000000002</v>
      </c>
      <c r="P30" s="2">
        <f ca="1">ROUNDUP(MOD(360+Panchanga!$G30-Panchanga!$F30,360)/12,4)</f>
        <v>4.6040000000000001</v>
      </c>
      <c r="Q30" s="2">
        <f t="shared" ca="1" si="6"/>
        <v>18.830000000000002</v>
      </c>
      <c r="R30" s="2" t="str">
        <f ca="1">SIGN(S31-Panchanga!$S30)*INT(Panchanga!$S30/30+1)&amp;"Ma,"&amp;SIGN(T31-Panchanga!$T30)*INT(Panchanga!$T30/30+1)&amp;"Me,"&amp;SIGN(U31-Panchanga!$U30)*INT(Panchanga!$U30/30+1)&amp;"Ju,"&amp;SIGN(V31-Panchanga!$V30)*INT(Panchanga!$V30/30+1)&amp;"Ve,"&amp;SIGN(W31-Panchanga!$W30)*INT(Panchanga!$W30/30+1)&amp;"Sa,"&amp;INT(Panchanga!$X30/30+1)&amp;"Ra"</f>
        <v>8Ma,9Me,7Ju,10Ve,9Sa,4Ra</v>
      </c>
      <c r="S30" s="2">
        <f ca="1">Planet(Panchanga!$E30,4)</f>
        <v>213.1272176704602</v>
      </c>
      <c r="T30" s="2">
        <f ca="1">Planet(Panchanga!$E30,2)</f>
        <v>261.24380174688469</v>
      </c>
      <c r="U30" s="2">
        <f ca="1">Planet(Panchanga!$E30,5)</f>
        <v>205.98095138834134</v>
      </c>
      <c r="V30" s="2">
        <f ca="1">Planet(Panchanga!$E30,3)</f>
        <v>280.89132436693382</v>
      </c>
      <c r="W30" s="2">
        <f ca="1">Planet(Panchanga!$E30,6)</f>
        <v>249.67679107543464</v>
      </c>
      <c r="X30" s="2">
        <f ca="1">Planet(Panchanga!$E30,10)</f>
        <v>111.67609837871093</v>
      </c>
      <c r="Y30" s="2">
        <f ca="1">SIGN(S31-Panchanga!$S30)</f>
        <v>1</v>
      </c>
    </row>
    <row r="31" spans="1:25" x14ac:dyDescent="0.2">
      <c r="A31" s="3">
        <f t="shared" ca="1" si="11"/>
        <v>43123</v>
      </c>
      <c r="B31" s="3">
        <f t="shared" ca="1" si="8"/>
        <v>43123.229166666664</v>
      </c>
      <c r="C31" s="8">
        <f t="shared" ca="1" si="2"/>
        <v>43123.276449567791</v>
      </c>
      <c r="D31" s="8">
        <f t="shared" ca="1" si="3"/>
        <v>43122.753008186861</v>
      </c>
      <c r="E31" s="12">
        <f ca="1">Panchanga!$C31-TimeZone/24</f>
        <v>43123.047282901127</v>
      </c>
      <c r="F31" s="13">
        <f t="shared" ca="1" si="7"/>
        <v>278.86156777964504</v>
      </c>
      <c r="G31" s="6">
        <f t="shared" ca="1" si="9"/>
        <v>345.86123289770876</v>
      </c>
      <c r="H31" s="7">
        <f t="shared" ca="1" si="10"/>
        <v>43123.047282901127</v>
      </c>
      <c r="I31" s="2" t="str">
        <f ca="1">naks(Panchanga!$G31)</f>
        <v>Uttara Bhadrapada</v>
      </c>
      <c r="J31" s="8">
        <f ca="1">(C32-Panchanga!$C31)/(G32-Panchanga!$G31)*(13.3333333333333-MOD(Panchanga!$G31,13.333333333333))+Panchanga!$C31</f>
        <v>43123.338047131328</v>
      </c>
      <c r="K31" s="2" t="str">
        <f ca="1">IF(Panchanga!$P31&gt;15,"K","S")&amp;ROUNDUP(MOD(Panchanga!$P31,15),0)&amp;" ("&amp;ROUND(Panchanga!$P31,2)&amp;")"</f>
        <v>S6 (5.58)</v>
      </c>
      <c r="L31" s="2">
        <f ca="1">IF(AND(Panchanga!$P31&lt;28.5,Panchanga!$P31&gt;0.49999),MOD((Panchanga!$P31-0.5)*2,7),MOD((Panchanga!$P31+30-28.5),30)*2+7)</f>
        <v>3.1668000000000003</v>
      </c>
      <c r="M31" s="2" t="str">
        <f ca="1">CHOOSE(ROUNDUP(Panchanga!$L31,0),"Bhava","Baalava","Kaulava","Taitula","Garija","Vanija","Vishti","Shakuni","Chatushapda","Naaga","Kimstugna")</f>
        <v>Taitula</v>
      </c>
      <c r="N31" s="25" t="str">
        <f ca="1">CHOOSE(ROUNDUP(Panchanga!$Q31,0),"Vishkambha-विष्कम्भ-Sa","Priti-प्रीति-Me","Ayushman-आयुष्मान-Ke","Saubhagya-सौभाग्य-Ve","Shobhana-शोभन-Su","Atiganda-अतिगण्ड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("&amp;Panchanga!$Q31&amp;")"</f>
        <v>Shiva-शिव-Me (19.86)</v>
      </c>
      <c r="O31" s="2">
        <f ca="1">IF(AND(Panchanga!$P31&lt;28.5,Panchanga!$P31&gt;0.49999),MOD((Panchanga!$P31-0.5)*2,7),MOD((Panchanga!$P31+30-28.5),30)*2+7)</f>
        <v>3.1668000000000003</v>
      </c>
      <c r="P31" s="2">
        <f ca="1">ROUNDUP(MOD(360+Panchanga!$G31-Panchanga!$F31,360)/12,4)</f>
        <v>5.5834000000000001</v>
      </c>
      <c r="Q31" s="2">
        <f t="shared" ca="1" si="6"/>
        <v>19.860000000000003</v>
      </c>
      <c r="R31" s="2" t="str">
        <f ca="1">SIGN(S32-Panchanga!$S31)*INT(Panchanga!$S31/30+1)&amp;"Ma,"&amp;SIGN(T32-Panchanga!$T31)*INT(Panchanga!$T31/30+1)&amp;"Me,"&amp;SIGN(U32-Panchanga!$U31)*INT(Panchanga!$U31/30+1)&amp;"Ju,"&amp;SIGN(V32-Panchanga!$V31)*INT(Panchanga!$V31/30+1)&amp;"Ve,"&amp;SIGN(W32-Panchanga!$W31)*INT(Panchanga!$W31/30+1)&amp;"Sa,"&amp;INT(Panchanga!$X31/30+1)&amp;"Ra"</f>
        <v>8Ma,9Me,7Ju,10Ve,9Sa,4Ra</v>
      </c>
      <c r="S31" s="2">
        <f ca="1">Planet(Panchanga!$E31,4)</f>
        <v>213.74390735450521</v>
      </c>
      <c r="T31" s="2">
        <f ca="1">Planet(Panchanga!$E31,2)</f>
        <v>262.73607360517087</v>
      </c>
      <c r="U31" s="2">
        <f ca="1">Planet(Panchanga!$E31,5)</f>
        <v>206.10827228156239</v>
      </c>
      <c r="V31" s="2">
        <f ca="1">Planet(Panchanga!$E31,3)</f>
        <v>282.14802572908087</v>
      </c>
      <c r="W31" s="2">
        <f ca="1">Planet(Panchanga!$E31,6)</f>
        <v>249.78525280846208</v>
      </c>
      <c r="X31" s="2">
        <f ca="1">Planet(Panchanga!$E31,10)</f>
        <v>111.62310560593815</v>
      </c>
      <c r="Y31" s="2">
        <f ca="1">SIGN(S32-Panchanga!$S31)</f>
        <v>1</v>
      </c>
    </row>
    <row r="32" spans="1:25" x14ac:dyDescent="0.2">
      <c r="A32" s="3">
        <f t="shared" ca="1" si="11"/>
        <v>43124</v>
      </c>
      <c r="B32" s="3">
        <f t="shared" ca="1" si="8"/>
        <v>43124.229166666664</v>
      </c>
      <c r="C32" s="8">
        <f t="shared" ca="1" si="2"/>
        <v>43124.276450839046</v>
      </c>
      <c r="D32" s="8">
        <f t="shared" ca="1" si="3"/>
        <v>43123.75336025194</v>
      </c>
      <c r="E32" s="12">
        <f ca="1">Panchanga!$C32-TimeZone/24</f>
        <v>43124.047284172382</v>
      </c>
      <c r="F32" s="13">
        <f t="shared" ca="1" si="7"/>
        <v>279.87876909442519</v>
      </c>
      <c r="G32" s="6">
        <f t="shared" ca="1" si="9"/>
        <v>358.9369902263208</v>
      </c>
      <c r="H32" s="7">
        <f t="shared" ca="1" si="10"/>
        <v>43124.047284172382</v>
      </c>
      <c r="I32" s="2" t="str">
        <f ca="1">naks(Panchanga!$G32)</f>
        <v>Revati</v>
      </c>
      <c r="J32" s="8">
        <f ca="1">(C33-Panchanga!$C32)/(G33-Panchanga!$G32)*(13.3333333333333-MOD(Panchanga!$G32,13.333333333333))+Panchanga!$C32</f>
        <v>43124.27338368824</v>
      </c>
      <c r="K32" s="2" t="str">
        <f ca="1">IF(Panchanga!$P32&gt;15,"K","S")&amp;ROUNDUP(MOD(Panchanga!$P32,15),0)&amp;" ("&amp;ROUND(Panchanga!$P32,2)&amp;")"</f>
        <v>S7 (6.59)</v>
      </c>
      <c r="L32" s="2">
        <f ca="1">IF(AND(Panchanga!$P32&lt;28.5,Panchanga!$P32&gt;0.49999),MOD((Panchanga!$P32-0.5)*2,7),MOD((Panchanga!$P32+30-28.5),30)*2+7)</f>
        <v>5.1763999999999992</v>
      </c>
      <c r="M32" s="2" t="str">
        <f ca="1">CHOOSE(ROUNDUP(Panchanga!$L32,0),"Bhava","Baalava","Kaulava","Taitula","Garija","Vanija","Vishti","Shakuni","Chatushapda","Naaga","Kimstugna")</f>
        <v>Vanija</v>
      </c>
      <c r="N32" s="25" t="str">
        <f ca="1">CHOOSE(ROUNDUP(Panchanga!$Q32,0),"Vishkambha-विष्कम्भ-Sa","Priti-प्रीति-Me","Ayushman-आयुष्मान-Ke","Saubhagya-सौभाग्य-Ve","Shobhana-शोभन-Su","Atiganda-अतिगण्ड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("&amp;Panchanga!$Q32&amp;")"</f>
        <v>Siddha-सिद्ध-Ke (20.92)</v>
      </c>
      <c r="O32" s="2">
        <f ca="1">IF(AND(Panchanga!$P32&lt;28.5,Panchanga!$P32&gt;0.49999),MOD((Panchanga!$P32-0.5)*2,7),MOD((Panchanga!$P32+30-28.5),30)*2+7)</f>
        <v>5.1763999999999992</v>
      </c>
      <c r="P32" s="2">
        <f ca="1">ROUNDUP(MOD(360+Panchanga!$G32-Panchanga!$F32,360)/12,4)</f>
        <v>6.5881999999999996</v>
      </c>
      <c r="Q32" s="2">
        <f t="shared" ca="1" si="6"/>
        <v>20.92</v>
      </c>
      <c r="R32" s="2" t="str">
        <f ca="1">SIGN(S33-Panchanga!$S32)*INT(Panchanga!$S32/30+1)&amp;"Ma,"&amp;SIGN(T33-Panchanga!$T32)*INT(Panchanga!$T32/30+1)&amp;"Me,"&amp;SIGN(U33-Panchanga!$U32)*INT(Panchanga!$U32/30+1)&amp;"Ju,"&amp;SIGN(V33-Panchanga!$V32)*INT(Panchanga!$V32/30+1)&amp;"Ve,"&amp;SIGN(W33-Panchanga!$W32)*INT(Panchanga!$W32/30+1)&amp;"Sa,"&amp;INT(Panchanga!$X32/30+1)&amp;"Ra"</f>
        <v>8Ma,9Me,7Ju,10Ve,9Sa,4Ra</v>
      </c>
      <c r="S32" s="2">
        <f ca="1">Planet(Panchanga!$E32,4)</f>
        <v>214.36013382355688</v>
      </c>
      <c r="T32" s="2">
        <f ca="1">Planet(Panchanga!$E32,2)</f>
        <v>264.23929650299181</v>
      </c>
      <c r="U32" s="2">
        <f ca="1">Planet(Panchanga!$E32,5)</f>
        <v>206.23333085427143</v>
      </c>
      <c r="V32" s="2">
        <f ca="1">Planet(Panchanga!$E32,3)</f>
        <v>283.40452862489985</v>
      </c>
      <c r="W32" s="2">
        <f ca="1">Planet(Panchanga!$E32,6)</f>
        <v>249.89308869341872</v>
      </c>
      <c r="X32" s="2">
        <f ca="1">Planet(Panchanga!$E32,10)</f>
        <v>111.57011354072203</v>
      </c>
      <c r="Y32" s="2">
        <f ca="1">SIGN(S33-Panchanga!$S32)</f>
        <v>1</v>
      </c>
    </row>
    <row r="33" spans="1:25" x14ac:dyDescent="0.2">
      <c r="A33" s="3">
        <f t="shared" ca="1" si="11"/>
        <v>43125</v>
      </c>
      <c r="B33" s="3">
        <f t="shared" ca="1" si="8"/>
        <v>43125.229166666664</v>
      </c>
      <c r="C33" s="8">
        <f t="shared" ca="1" si="2"/>
        <v>43125.276439077374</v>
      </c>
      <c r="D33" s="8">
        <f t="shared" ca="1" si="3"/>
        <v>43124.753706912554</v>
      </c>
      <c r="E33" s="12">
        <f ca="1">Panchanga!$C33-TimeZone/24</f>
        <v>43125.047272410709</v>
      </c>
      <c r="F33" s="13">
        <f t="shared" ca="1" si="7"/>
        <v>280.89566502134176</v>
      </c>
      <c r="G33" s="6">
        <f t="shared" ca="1" si="9"/>
        <v>12.362160063617001</v>
      </c>
      <c r="H33" s="7">
        <f t="shared" ca="1" si="10"/>
        <v>43125.047272410709</v>
      </c>
      <c r="I33" s="2" t="str">
        <f ca="1">naks(Panchanga!$G33)</f>
        <v>Aswini</v>
      </c>
      <c r="J33" s="8">
        <f ca="1">(C34-Panchanga!$C33)/(G34-Panchanga!$G33)*(13.3333333333333-MOD(Panchanga!$G33,13.333333333333))+Panchanga!$C33</f>
        <v>43125.346791925607</v>
      </c>
      <c r="K33" s="2" t="str">
        <f ca="1">IF(Panchanga!$P33&gt;15,"K","S")&amp;ROUNDUP(MOD(Panchanga!$P33,15),0)&amp;" ("&amp;ROUND(Panchanga!$P33,2)&amp;")"</f>
        <v>S8 (7.62)</v>
      </c>
      <c r="L33" s="2">
        <f ca="1">IF(AND(Panchanga!$P33&lt;28.5,Panchanga!$P33&gt;0.49999),MOD((Panchanga!$P33-0.5)*2,7),MOD((Panchanga!$P33+30-28.5),30)*2+7)</f>
        <v>0.24460000000000015</v>
      </c>
      <c r="M33" s="2" t="str">
        <f ca="1">CHOOSE(ROUNDUP(Panchanga!$L33,0),"Bhava","Baalava","Kaulava","Taitula","Garija","Vanija","Vishti","Shakuni","Chatushapda","Naaga","Kimstugna")</f>
        <v>Bhava</v>
      </c>
      <c r="N33" s="25" t="str">
        <f ca="1">CHOOSE(ROUNDUP(Panchanga!$Q33,0),"Vishkambha-विष्कम्भ-Sa","Priti-प्रीति-Me","Ayushman-आयुष्मान-Ke","Saubhagya-सौभाग्य-Ve","Shobhana-शोभन-Su","Atiganda-अतिगण्ड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("&amp;Panchanga!$Q33&amp;")"</f>
        <v>Sadhya-साध्य-Ve (22)</v>
      </c>
      <c r="O33" s="2">
        <f ca="1">IF(AND(Panchanga!$P33&lt;28.5,Panchanga!$P33&gt;0.49999),MOD((Panchanga!$P33-0.5)*2,7),MOD((Panchanga!$P33+30-28.5),30)*2+7)</f>
        <v>0.24460000000000015</v>
      </c>
      <c r="P33" s="2">
        <f ca="1">ROUNDUP(MOD(360+Panchanga!$G33-Panchanga!$F33,360)/12,4)</f>
        <v>7.6223000000000001</v>
      </c>
      <c r="Q33" s="2">
        <f t="shared" ca="1" si="6"/>
        <v>22</v>
      </c>
      <c r="R33" s="2" t="str">
        <f ca="1">SIGN(S34-Panchanga!$S33)*INT(Panchanga!$S33/30+1)&amp;"Ma,"&amp;SIGN(T34-Panchanga!$T33)*INT(Panchanga!$T33/30+1)&amp;"Me,"&amp;SIGN(U34-Panchanga!$U33)*INT(Panchanga!$U33/30+1)&amp;"Ju,"&amp;SIGN(V34-Panchanga!$V33)*INT(Panchanga!$V33/30+1)&amp;"Ve,"&amp;SIGN(W34-Panchanga!$W33)*INT(Panchanga!$W33/30+1)&amp;"Sa,"&amp;INT(Panchanga!$X33/30+1)&amp;"Ra"</f>
        <v>8Ma,9Me,7Ju,10Ve,9Sa,4Ra</v>
      </c>
      <c r="S33" s="2">
        <f ca="1">Planet(Panchanga!$E33,4)</f>
        <v>214.97589419635736</v>
      </c>
      <c r="T33" s="2">
        <f ca="1">Planet(Panchanga!$E33,2)</f>
        <v>265.75334754307505</v>
      </c>
      <c r="U33" s="2">
        <f ca="1">Planet(Panchanga!$E33,5)</f>
        <v>206.35610101561684</v>
      </c>
      <c r="V33" s="2">
        <f ca="1">Planet(Panchanga!$E33,3)</f>
        <v>284.66082362801677</v>
      </c>
      <c r="W33" s="2">
        <f ca="1">Planet(Panchanga!$E33,6)</f>
        <v>250.00028012176926</v>
      </c>
      <c r="X33" s="2">
        <f ca="1">Planet(Panchanga!$E33,10)</f>
        <v>111.51712216616231</v>
      </c>
      <c r="Y33" s="2">
        <f ca="1">SIGN(S34-Panchanga!$S33)</f>
        <v>1</v>
      </c>
    </row>
    <row r="34" spans="1:25" x14ac:dyDescent="0.2">
      <c r="A34" s="3">
        <f t="shared" ca="1" si="11"/>
        <v>43126</v>
      </c>
      <c r="B34" s="3">
        <f t="shared" ca="1" si="8"/>
        <v>43126.229166666664</v>
      </c>
      <c r="C34" s="8">
        <f t="shared" ca="1" si="2"/>
        <v>43126.276414122585</v>
      </c>
      <c r="D34" s="8">
        <f t="shared" ca="1" si="3"/>
        <v>43125.754047851122</v>
      </c>
      <c r="E34" s="12">
        <f ca="1">Panchanga!$C34-TimeZone/24</f>
        <v>43126.047247455921</v>
      </c>
      <c r="F34" s="13">
        <f t="shared" ca="1" si="7"/>
        <v>281.91224197276131</v>
      </c>
      <c r="G34" s="6">
        <f t="shared" ca="1" si="9"/>
        <v>26.166136145464755</v>
      </c>
      <c r="H34" s="7">
        <f t="shared" ca="1" si="10"/>
        <v>43126.047247455921</v>
      </c>
      <c r="I34" s="2" t="str">
        <f ca="1">naks(Panchanga!$G34)</f>
        <v>Bharani</v>
      </c>
      <c r="J34" s="8">
        <f ca="1">(C35-Panchanga!$C34)/(G35-Panchanga!$G34)*(13.3333333333333-MOD(Panchanga!$G34,13.333333333333))+Panchanga!$C34</f>
        <v>43126.311689907248</v>
      </c>
      <c r="K34" s="2" t="str">
        <f ca="1">IF(Panchanga!$P34&gt;15,"K","S")&amp;ROUNDUP(MOD(Panchanga!$P34,15),0)&amp;" ("&amp;ROUND(Panchanga!$P34,2)&amp;")"</f>
        <v>S9 (8.69)</v>
      </c>
      <c r="L34" s="2">
        <f ca="1">IF(AND(Panchanga!$P34&lt;28.5,Panchanga!$P34&gt;0.49999),MOD((Panchanga!$P34-0.5)*2,7),MOD((Panchanga!$P34+30-28.5),30)*2+7)</f>
        <v>2.3757999999999981</v>
      </c>
      <c r="M34" s="2" t="str">
        <f ca="1">CHOOSE(ROUNDUP(Panchanga!$L34,0),"Bhava","Baalava","Kaulava","Taitula","Garija","Vanija","Vishti","Shakuni","Chatushapda","Naaga","Kimstugna")</f>
        <v>Kaulava</v>
      </c>
      <c r="N34" s="25" t="str">
        <f ca="1">CHOOSE(ROUNDUP(Panchanga!$Q34,0),"Vishkambha-विष्कम्भ-Sa","Priti-प्रीति-Me","Ayushman-आयुष्मान-Ke","Saubhagya-सौभाग्य-Ve","Shobhana-शोभन-Su","Atiganda-अतिगण्ड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("&amp;Panchanga!$Q34&amp;")"</f>
        <v>Shukla-शुक्ल-Mo (23.11)</v>
      </c>
      <c r="O34" s="2">
        <f ca="1">IF(AND(Panchanga!$P34&lt;28.5,Panchanga!$P34&gt;0.49999),MOD((Panchanga!$P34-0.5)*2,7),MOD((Panchanga!$P34+30-28.5),30)*2+7)</f>
        <v>2.3757999999999981</v>
      </c>
      <c r="P34" s="2">
        <f ca="1">ROUNDUP(MOD(360+Panchanga!$G34-Panchanga!$F34,360)/12,4)</f>
        <v>8.6878999999999991</v>
      </c>
      <c r="Q34" s="2">
        <f t="shared" ca="1" si="6"/>
        <v>23.110000000000003</v>
      </c>
      <c r="R34" s="2" t="str">
        <f ca="1">SIGN(S35-Panchanga!$S34)*INT(Panchanga!$S34/30+1)&amp;"Ma,"&amp;SIGN(T35-Panchanga!$T34)*INT(Panchanga!$T34/30+1)&amp;"Me,"&amp;SIGN(U35-Panchanga!$U34)*INT(Panchanga!$U34/30+1)&amp;"Ju,"&amp;SIGN(V35-Panchanga!$V34)*INT(Panchanga!$V34/30+1)&amp;"Ve,"&amp;SIGN(W35-Panchanga!$W34)*INT(Panchanga!$W34/30+1)&amp;"Sa,"&amp;INT(Panchanga!$X34/30+1)&amp;"Ra"</f>
        <v>8Ma,9Me,7Ju,10Ve,9Sa,4Ra</v>
      </c>
      <c r="S34" s="2">
        <f ca="1">Planet(Panchanga!$E34,4)</f>
        <v>215.59118729293857</v>
      </c>
      <c r="T34" s="2">
        <f ca="1">Planet(Panchanga!$E34,2)</f>
        <v>267.27816115959939</v>
      </c>
      <c r="U34" s="2">
        <f ca="1">Planet(Panchanga!$E34,5)</f>
        <v>206.47655739113219</v>
      </c>
      <c r="V34" s="2">
        <f ca="1">Planet(Panchanga!$E34,3)</f>
        <v>285.91690223444465</v>
      </c>
      <c r="W34" s="2">
        <f ca="1">Planet(Panchanga!$E34,6)</f>
        <v>250.10680892992639</v>
      </c>
      <c r="X34" s="2">
        <f ca="1">Planet(Panchanga!$E34,10)</f>
        <v>111.46413149072573</v>
      </c>
      <c r="Y34" s="2">
        <f ca="1">SIGN(S35-Panchanga!$S34)</f>
        <v>1</v>
      </c>
    </row>
    <row r="35" spans="1:25" x14ac:dyDescent="0.2">
      <c r="A35" s="3">
        <f t="shared" ca="1" si="11"/>
        <v>43127</v>
      </c>
      <c r="B35" s="3">
        <f t="shared" ca="1" si="8"/>
        <v>43127.229166666664</v>
      </c>
      <c r="C35" s="8">
        <f t="shared" ref="C35:C66" ca="1" si="12">sunrise(Lat,Long,B35)+TimeZone/24+0.00103009259259259</f>
        <v>43127.276376134869</v>
      </c>
      <c r="D35" s="8">
        <f t="shared" ref="D35:D66" ca="1" si="13">sunset(Lat,Long,B35)+TimeZone/24-0.000277777777777778</f>
        <v>43126.754383226435</v>
      </c>
      <c r="E35" s="12">
        <f ca="1">Panchanga!$C35-TimeZone/24</f>
        <v>43127.047209468205</v>
      </c>
      <c r="F35" s="13">
        <f t="shared" ca="1" si="7"/>
        <v>282.92849070039858</v>
      </c>
      <c r="G35" s="6">
        <f t="shared" ref="G35:G66" ca="1" si="14">Planet(E35,1)</f>
        <v>40.354665527863489</v>
      </c>
      <c r="H35" s="7">
        <f t="shared" ca="1" si="10"/>
        <v>43127.047209468205</v>
      </c>
      <c r="I35" s="2" t="str">
        <f ca="1">naks(Panchanga!$G35)</f>
        <v>Rohini</v>
      </c>
      <c r="J35" s="8">
        <f ca="1">(C36-Panchanga!$C35)/(G36-Panchanga!$G35)*(13.3333333333333-MOD(Panchanga!$G35,13.333333333333))+Panchanga!$C35</f>
        <v>43128.168622978919</v>
      </c>
      <c r="K35" s="2" t="str">
        <f ca="1">IF(Panchanga!$P35&gt;15,"K","S")&amp;ROUNDUP(MOD(Panchanga!$P35,15),0)&amp;" ("&amp;ROUND(Panchanga!$P35,2)&amp;")"</f>
        <v>S10 (9.79)</v>
      </c>
      <c r="L35" s="2">
        <f ca="1">IF(AND(Panchanga!$P35&lt;28.5,Panchanga!$P35&gt;0.49999),MOD((Panchanga!$P35-0.5)*2,7),MOD((Panchanga!$P35+30-28.5),30)*2+7)</f>
        <v>4.571200000000001</v>
      </c>
      <c r="M35" s="2" t="str">
        <f ca="1">CHOOSE(ROUNDUP(Panchanga!$L35,0),"Bhava","Baalava","Kaulava","Taitula","Garija","Vanija","Vishti","Shakuni","Chatushapda","Naaga","Kimstugna")</f>
        <v>Garija</v>
      </c>
      <c r="N35" s="25" t="str">
        <f ca="1">CHOOSE(ROUNDUP(Panchanga!$Q35,0),"Vishkambha-विष्कम्भ-Sa","Priti-प्रीति-Me","Ayushman-आयुष्मान-Ke","Saubhagya-सौभाग्य-Ve","Shobhana-शोभन-Su","Atiganda-अतिगण्ड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("&amp;Panchanga!$Q35&amp;")"</f>
        <v>Brahma-ब्रह्म-Ma (24.25)</v>
      </c>
      <c r="O35" s="2">
        <f ca="1">IF(AND(Panchanga!$P35&lt;28.5,Panchanga!$P35&gt;0.49999),MOD((Panchanga!$P35-0.5)*2,7),MOD((Panchanga!$P35+30-28.5),30)*2+7)</f>
        <v>4.571200000000001</v>
      </c>
      <c r="P35" s="2">
        <f ca="1">ROUNDUP(MOD(360+Panchanga!$G35-Panchanga!$F35,360)/12,4)</f>
        <v>9.7856000000000005</v>
      </c>
      <c r="Q35" s="2">
        <f t="shared" ref="Q35:Q66" ca="1" si="15">ROUNDUP(MOD(F35+G35,360)/13.333333333,2)</f>
        <v>24.25</v>
      </c>
      <c r="R35" s="2" t="str">
        <f ca="1">SIGN(S36-Panchanga!$S35)*INT(Panchanga!$S35/30+1)&amp;"Ma,"&amp;SIGN(T36-Panchanga!$T35)*INT(Panchanga!$T35/30+1)&amp;"Me,"&amp;SIGN(U36-Panchanga!$U35)*INT(Panchanga!$U35/30+1)&amp;"Ju,"&amp;SIGN(V36-Panchanga!$V35)*INT(Panchanga!$V35/30+1)&amp;"Ve,"&amp;SIGN(W36-Panchanga!$W35)*INT(Panchanga!$W35/30+1)&amp;"Sa,"&amp;INT(Panchanga!$X35/30+1)&amp;"Ra"</f>
        <v>8Ma,9Me,7Ju,10Ve,9Sa,4Ra</v>
      </c>
      <c r="S35" s="2">
        <f ca="1">Planet(Panchanga!$E35,4)</f>
        <v>216.20601400370617</v>
      </c>
      <c r="T35" s="2">
        <f ca="1">Planet(Panchanga!$E35,2)</f>
        <v>268.81372451056097</v>
      </c>
      <c r="U35" s="2">
        <f ca="1">Planet(Panchanga!$E35,5)</f>
        <v>206.59467533848323</v>
      </c>
      <c r="V35" s="2">
        <f ca="1">Planet(Panchanga!$E35,3)</f>
        <v>287.1727582903743</v>
      </c>
      <c r="W35" s="2">
        <f ca="1">Planet(Panchanga!$E35,6)</f>
        <v>250.21265752116463</v>
      </c>
      <c r="X35" s="2">
        <f ca="1">Planet(Panchanga!$E35,10)</f>
        <v>111.41114150596221</v>
      </c>
      <c r="Y35" s="2">
        <f ca="1">SIGN(S36-Panchanga!$S35)</f>
        <v>1</v>
      </c>
    </row>
    <row r="36" spans="1:25" x14ac:dyDescent="0.2">
      <c r="A36" s="3">
        <f t="shared" ca="1" si="11"/>
        <v>43128</v>
      </c>
      <c r="B36" s="3">
        <f t="shared" ca="1" si="8"/>
        <v>43128.229166666664</v>
      </c>
      <c r="C36" s="8">
        <f t="shared" ca="1" si="12"/>
        <v>43128.276324954037</v>
      </c>
      <c r="D36" s="8">
        <f t="shared" ca="1" si="13"/>
        <v>43127.75471256212</v>
      </c>
      <c r="E36" s="12">
        <f ca="1">Panchanga!$C36-TimeZone/24</f>
        <v>43128.047158287372</v>
      </c>
      <c r="F36" s="13">
        <f t="shared" ca="1" si="7"/>
        <v>283.94440641832659</v>
      </c>
      <c r="G36" s="6">
        <f t="shared" ca="1" si="14"/>
        <v>54.899971720854687</v>
      </c>
      <c r="H36" s="7">
        <f t="shared" ca="1" si="10"/>
        <v>43128.047158287372</v>
      </c>
      <c r="I36" s="2" t="str">
        <f ca="1">naks(Panchanga!$G36)</f>
        <v>Mrigashira</v>
      </c>
      <c r="J36" s="8">
        <f ca="1">(C37-Panchanga!$C36)/(G37-Panchanga!$G36)*(13.3333333333333-MOD(Panchanga!$G36,13.333333333333))+Panchanga!$C36</f>
        <v>43129.069478737052</v>
      </c>
      <c r="K36" s="2" t="str">
        <f ca="1">IF(Panchanga!$P36&gt;15,"K","S")&amp;ROUNDUP(MOD(Panchanga!$P36,15),0)&amp;" ("&amp;ROUND(Panchanga!$P36,2)&amp;")"</f>
        <v>S11 (10.91)</v>
      </c>
      <c r="L36" s="2">
        <f ca="1">IF(AND(Panchanga!$P36&lt;28.5,Panchanga!$P36&gt;0.49999),MOD((Panchanga!$P36-0.5)*2,7),MOD((Panchanga!$P36+30-28.5),30)*2+7)</f>
        <v>6.8260000000000005</v>
      </c>
      <c r="M36" s="2" t="str">
        <f ca="1">CHOOSE(ROUNDUP(Panchanga!$L36,0),"Bhava","Baalava","Kaulava","Taitula","Garija","Vanija","Vishti","Shakuni","Chatushapda","Naaga","Kimstugna")</f>
        <v>Vishti</v>
      </c>
      <c r="N36" s="25" t="str">
        <f ca="1">CHOOSE(ROUNDUP(Panchanga!$Q36,0),"Vishkambha-विष्कम्भ-Sa","Priti-प्रीति-Me","Ayushman-आयुष्मान-Ke","Saubhagya-सौभाग्य-Ve","Shobhana-शोभन-Su","Atiganda-अतिगण्ड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("&amp;Panchanga!$Q36&amp;")"</f>
        <v>Mahendra-महेन्द्र-Ra (25.42)</v>
      </c>
      <c r="O36" s="2">
        <f ca="1">IF(AND(Panchanga!$P36&lt;28.5,Panchanga!$P36&gt;0.49999),MOD((Panchanga!$P36-0.5)*2,7),MOD((Panchanga!$P36+30-28.5),30)*2+7)</f>
        <v>6.8260000000000005</v>
      </c>
      <c r="P36" s="2">
        <f ca="1">ROUNDUP(MOD(360+Panchanga!$G36-Panchanga!$F36,360)/12,4)</f>
        <v>10.913</v>
      </c>
      <c r="Q36" s="2">
        <f t="shared" ca="1" si="15"/>
        <v>25.42</v>
      </c>
      <c r="R36" s="2" t="str">
        <f ca="1">SIGN(S37-Panchanga!$S36)*INT(Panchanga!$S36/30+1)&amp;"Ma,"&amp;SIGN(T37-Panchanga!$T36)*INT(Panchanga!$T36/30+1)&amp;"Me,"&amp;SIGN(U37-Panchanga!$U36)*INT(Panchanga!$U36/30+1)&amp;"Ju,"&amp;SIGN(V37-Panchanga!$V36)*INT(Panchanga!$V36/30+1)&amp;"Ve,"&amp;SIGN(W37-Panchanga!$W36)*INT(Panchanga!$W36/30+1)&amp;"Sa,"&amp;INT(Panchanga!$X36/30+1)&amp;"Ra"</f>
        <v>8Ma,10Me,7Ju,10Ve,9Sa,4Ra</v>
      </c>
      <c r="S36" s="2">
        <f ca="1">Planet(Panchanga!$E36,4)</f>
        <v>216.82037655904011</v>
      </c>
      <c r="T36" s="2">
        <f ca="1">Planet(Panchanga!$E36,2)</f>
        <v>270.36007131573535</v>
      </c>
      <c r="U36" s="2">
        <f ca="1">Planet(Panchanga!$E36,5)</f>
        <v>206.71043070955176</v>
      </c>
      <c r="V36" s="2">
        <f ca="1">Planet(Panchanga!$E36,3)</f>
        <v>288.42838765787911</v>
      </c>
      <c r="W36" s="2">
        <f ca="1">Planet(Panchanga!$E36,6)</f>
        <v>250.31780880583693</v>
      </c>
      <c r="X36" s="2">
        <f ca="1">Planet(Panchanga!$E36,10)</f>
        <v>111.35815222028857</v>
      </c>
      <c r="Y36" s="2">
        <f ca="1">SIGN(S37-Panchanga!$S36)</f>
        <v>1</v>
      </c>
    </row>
    <row r="37" spans="1:25" x14ac:dyDescent="0.2">
      <c r="A37" s="3">
        <f t="shared" ca="1" si="11"/>
        <v>43129</v>
      </c>
      <c r="B37" s="3">
        <f t="shared" ca="1" si="8"/>
        <v>43129.229166666664</v>
      </c>
      <c r="C37" s="8">
        <f t="shared" ca="1" si="12"/>
        <v>43129.276260740276</v>
      </c>
      <c r="D37" s="8">
        <f t="shared" ca="1" si="13"/>
        <v>43128.755035698458</v>
      </c>
      <c r="E37" s="12">
        <f ca="1">Panchanga!$C37-TimeZone/24</f>
        <v>43129.047094073612</v>
      </c>
      <c r="F37" s="13">
        <f t="shared" ca="1" si="7"/>
        <v>284.95999003305133</v>
      </c>
      <c r="G37" s="6">
        <f t="shared" ca="1" si="14"/>
        <v>69.734345097224107</v>
      </c>
      <c r="H37" s="7">
        <f t="shared" ca="1" si="10"/>
        <v>43129.047094073612</v>
      </c>
      <c r="I37" s="2" t="str">
        <f ca="1">naks(Panchanga!$G37)</f>
        <v>Ardra</v>
      </c>
      <c r="J37" s="8">
        <f ca="1">(C38-Panchanga!$C37)/(G38-Panchanga!$G37)*(13.3333333333333-MOD(Panchanga!$G37,13.333333333333))+Panchanga!$C37</f>
        <v>43129.959837248454</v>
      </c>
      <c r="K37" s="2" t="str">
        <f ca="1">IF(Panchanga!$P37&gt;15,"K","S")&amp;ROUNDUP(MOD(Panchanga!$P37,15),0)&amp;" ("&amp;ROUND(Panchanga!$P37,2)&amp;")"</f>
        <v>S13 (12.06)</v>
      </c>
      <c r="L37" s="2">
        <f ca="1">IF(AND(Panchanga!$P37&lt;28.5,Panchanga!$P37&gt;0.49999),MOD((Panchanga!$P37-0.5)*2,7),MOD((Panchanga!$P37+30-28.5),30)*2+7)</f>
        <v>2.1292000000000009</v>
      </c>
      <c r="M37" s="2" t="str">
        <f ca="1">CHOOSE(ROUNDUP(Panchanga!$L37,0),"Bhava","Baalava","Kaulava","Taitula","Garija","Vanija","Vishti","Shakuni","Chatushapda","Naaga","Kimstugna")</f>
        <v>Kaulava</v>
      </c>
      <c r="N37" s="25" t="str">
        <f ca="1">CHOOSE(ROUNDUP(Panchanga!$Q37,0),"Vishkambha-विष्कम्भ-Sa","Priti-प्रीति-Me","Ayushman-आयुष्मान-Ke","Saubhagya-सौभाग्य-Ve","Shobhana-शोभन-Su","Atiganda-अतिगण्ड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("&amp;Panchanga!$Q37&amp;")"</f>
        <v>Vaidhriti-वैधृति-Ke (26.61)</v>
      </c>
      <c r="O37" s="2">
        <f ca="1">IF(AND(Panchanga!$P37&lt;28.5,Panchanga!$P37&gt;0.49999),MOD((Panchanga!$P37-0.5)*2,7),MOD((Panchanga!$P37+30-28.5),30)*2+7)</f>
        <v>2.1292000000000009</v>
      </c>
      <c r="P37" s="2">
        <f ca="1">ROUNDUP(MOD(360+Panchanga!$G37-Panchanga!$F37,360)/12,4)</f>
        <v>12.0646</v>
      </c>
      <c r="Q37" s="2">
        <f t="shared" ca="1" si="15"/>
        <v>26.610000000000003</v>
      </c>
      <c r="R37" s="2" t="str">
        <f ca="1">SIGN(S38-Panchanga!$S37)*INT(Panchanga!$S37/30+1)&amp;"Ma,"&amp;SIGN(T38-Panchanga!$T37)*INT(Panchanga!$T37/30+1)&amp;"Me,"&amp;SIGN(U38-Panchanga!$U37)*INT(Panchanga!$U37/30+1)&amp;"Ju,"&amp;SIGN(V38-Panchanga!$V37)*INT(Panchanga!$V37/30+1)&amp;"Ve,"&amp;SIGN(W38-Panchanga!$W37)*INT(Panchanga!$W37/30+1)&amp;"Sa,"&amp;INT(Panchanga!$X37/30+1)&amp;"Ra"</f>
        <v>8Ma,10Me,7Ju,10Ve,9Sa,4Ra</v>
      </c>
      <c r="S37" s="2">
        <f ca="1">Planet(Panchanga!$E37,4)</f>
        <v>217.4342782425243</v>
      </c>
      <c r="T37" s="2">
        <f ca="1">Planet(Panchanga!$E37,2)</f>
        <v>271.9172780349711</v>
      </c>
      <c r="U37" s="2">
        <f ca="1">Planet(Panchanga!$E37,5)</f>
        <v>206.82379965177492</v>
      </c>
      <c r="V37" s="2">
        <f ca="1">Planet(Panchanga!$E37,3)</f>
        <v>289.6837894137775</v>
      </c>
      <c r="W37" s="2">
        <f ca="1">Planet(Panchanga!$E37,6)</f>
        <v>250.42224622933389</v>
      </c>
      <c r="X37" s="2">
        <f ca="1">Planet(Panchanga!$E37,10)</f>
        <v>111.30516362527146</v>
      </c>
      <c r="Y37" s="2">
        <f ca="1">SIGN(S38-Panchanga!$S37)</f>
        <v>1</v>
      </c>
    </row>
    <row r="38" spans="1:25" x14ac:dyDescent="0.2">
      <c r="A38" s="3">
        <f t="shared" ca="1" si="11"/>
        <v>43130</v>
      </c>
      <c r="B38" s="3">
        <f t="shared" ca="1" si="8"/>
        <v>43130.229166666664</v>
      </c>
      <c r="C38" s="8">
        <f t="shared" ca="1" si="12"/>
        <v>43130.276183810238</v>
      </c>
      <c r="D38" s="8">
        <f t="shared" ca="1" si="13"/>
        <v>43129.755352795168</v>
      </c>
      <c r="E38" s="12">
        <f ca="1">Panchanga!$C38-TimeZone/24</f>
        <v>43130.047017143574</v>
      </c>
      <c r="F38" s="13">
        <f t="shared" ca="1" si="7"/>
        <v>285.97524800722948</v>
      </c>
      <c r="G38" s="6">
        <f t="shared" ca="1" si="14"/>
        <v>84.750755173813744</v>
      </c>
      <c r="H38" s="7">
        <f t="shared" ca="1" si="10"/>
        <v>43130.047017143574</v>
      </c>
      <c r="I38" s="2" t="str">
        <f ca="1">naks(Panchanga!$G38)</f>
        <v>Punarvasu</v>
      </c>
      <c r="J38" s="8">
        <f ca="1">(C39-Panchanga!$C38)/(G39-Panchanga!$G38)*(13.3333333333333-MOD(Panchanga!$G38,13.333333333333))+Panchanga!$C38</f>
        <v>43130.845954698809</v>
      </c>
      <c r="K38" s="2" t="str">
        <f ca="1">IF(Panchanga!$P38&gt;15,"K","S")&amp;ROUNDUP(MOD(Panchanga!$P38,15),0)&amp;" ("&amp;ROUND(Panchanga!$P38,2)&amp;")"</f>
        <v>S14 (13.23)</v>
      </c>
      <c r="L38" s="2">
        <f ca="1">IF(AND(Panchanga!$P38&lt;28.5,Panchanga!$P38&gt;0.49999),MOD((Panchanga!$P38-0.5)*2,7),MOD((Panchanga!$P38+30-28.5),30)*2+7)</f>
        <v>4.4625999999999983</v>
      </c>
      <c r="M38" s="2" t="str">
        <f ca="1">CHOOSE(ROUNDUP(Panchanga!$L38,0),"Bhava","Baalava","Kaulava","Taitula","Garija","Vanija","Vishti","Shakuni","Chatushapda","Naaga","Kimstugna")</f>
        <v>Garija</v>
      </c>
      <c r="N38" s="25" t="str">
        <f ca="1">CHOOSE(ROUNDUP(Panchanga!$Q38,0),"Vishkambha-विष्कम्भ-Sa","Priti-प्रीति-Me","Ayushman-आयुष्मान-Ke","Saubhagya-सौभाग्य-Ve","Shobhana-शोभन-Su","Atiganda-अतिगण्ड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("&amp;Panchanga!$Q38&amp;")"</f>
        <v>Vishkambha-विष्कम्भ-Sa (0.81)</v>
      </c>
      <c r="O38" s="2">
        <f ca="1">IF(AND(Panchanga!$P38&lt;28.5,Panchanga!$P38&gt;0.49999),MOD((Panchanga!$P38-0.5)*2,7),MOD((Panchanga!$P38+30-28.5),30)*2+7)</f>
        <v>4.4625999999999983</v>
      </c>
      <c r="P38" s="2">
        <f ca="1">ROUNDUP(MOD(360+Panchanga!$G38-Panchanga!$F38,360)/12,4)</f>
        <v>13.231299999999999</v>
      </c>
      <c r="Q38" s="2">
        <f t="shared" ca="1" si="15"/>
        <v>0.81</v>
      </c>
      <c r="R38" s="2" t="str">
        <f ca="1">SIGN(S39-Panchanga!$S38)*INT(Panchanga!$S38/30+1)&amp;"Ma,"&amp;SIGN(T39-Panchanga!$T38)*INT(Panchanga!$T38/30+1)&amp;"Me,"&amp;SIGN(U39-Panchanga!$U38)*INT(Panchanga!$U38/30+1)&amp;"Ju,"&amp;SIGN(V39-Panchanga!$V38)*INT(Panchanga!$V38/30+1)&amp;"Ve,"&amp;SIGN(W39-Panchanga!$W38)*INT(Panchanga!$W38/30+1)&amp;"Sa,"&amp;INT(Panchanga!$X38/30+1)&amp;"Ra"</f>
        <v>8Ma,10Me,7Ju,10Ve,9Sa,4Ra</v>
      </c>
      <c r="S38" s="2">
        <f ca="1">Planet(Panchanga!$E38,4)</f>
        <v>218.04772220390049</v>
      </c>
      <c r="T38" s="2">
        <f ca="1">Planet(Panchanga!$E38,2)</f>
        <v>273.48545891839592</v>
      </c>
      <c r="U38" s="2">
        <f ca="1">Planet(Panchanga!$E38,5)</f>
        <v>206.93475819759061</v>
      </c>
      <c r="V38" s="2">
        <f ca="1">Planet(Panchanga!$E38,3)</f>
        <v>290.93896576788973</v>
      </c>
      <c r="W38" s="2">
        <f ca="1">Planet(Panchanga!$E38,6)</f>
        <v>250.52595364005819</v>
      </c>
      <c r="X38" s="2">
        <f ca="1">Planet(Panchanga!$E38,10)</f>
        <v>111.25217570412666</v>
      </c>
      <c r="Y38" s="2">
        <f ca="1">SIGN(S39-Panchanga!$S38)</f>
        <v>1</v>
      </c>
    </row>
    <row r="39" spans="1:25" x14ac:dyDescent="0.2">
      <c r="A39" s="3">
        <f t="shared" ca="1" si="11"/>
        <v>43131</v>
      </c>
      <c r="B39" s="3">
        <f t="shared" ca="1" si="8"/>
        <v>43131.229166666664</v>
      </c>
      <c r="C39" s="8">
        <f t="shared" ca="1" si="12"/>
        <v>43131.276094006062</v>
      </c>
      <c r="D39" s="8">
        <f t="shared" ca="1" si="13"/>
        <v>43130.755663692995</v>
      </c>
      <c r="E39" s="12">
        <f ca="1">Panchanga!$C39-TimeZone/24</f>
        <v>43131.046927339397</v>
      </c>
      <c r="F39" s="13">
        <f t="shared" ca="1" si="7"/>
        <v>286.9901908737229</v>
      </c>
      <c r="G39" s="6">
        <f t="shared" ca="1" si="14"/>
        <v>99.812611755572661</v>
      </c>
      <c r="H39" s="7">
        <f t="shared" ca="1" si="10"/>
        <v>43131.046927339397</v>
      </c>
      <c r="I39" s="2" t="str">
        <f ca="1">naks(Panchanga!$G39)</f>
        <v>Pushya</v>
      </c>
      <c r="J39" s="8">
        <f ca="1">(C40-Panchanga!$C39)/(G40-Panchanga!$G39)*(13.3333333333333-MOD(Panchanga!$G39,13.333333333333))+Panchanga!$C39</f>
        <v>43131.734234841744</v>
      </c>
      <c r="K39" s="2" t="str">
        <f ca="1">IF(Panchanga!$P39&gt;15,"K","S")&amp;ROUNDUP(MOD(Panchanga!$P39,15),0)&amp;" ("&amp;ROUND(Panchanga!$P39,2)&amp;")"</f>
        <v>S15 (14.4)</v>
      </c>
      <c r="L39" s="2">
        <f ca="1">IF(AND(Panchanga!$P39&lt;28.5,Panchanga!$P39&gt;0.49999),MOD((Panchanga!$P39-0.5)*2,7),MOD((Panchanga!$P39+30-28.5),30)*2+7)</f>
        <v>6.803799999999999</v>
      </c>
      <c r="M39" s="2" t="str">
        <f ca="1">CHOOSE(ROUNDUP(Panchanga!$L39,0),"Bhava","Baalava","Kaulava","Taitula","Garija","Vanija","Vishti","Shakuni","Chatushapda","Naaga","Kimstugna")</f>
        <v>Vishti</v>
      </c>
      <c r="N39" s="25" t="str">
        <f ca="1">CHOOSE(ROUNDUP(Panchanga!$Q39,0),"Vishkambha-विष्कम्भ-Sa","Priti-प्रीति-Me","Ayushman-आयुष्मान-Ke","Saubhagya-सौभाग्य-Ve","Shobhana-शोभन-Su","Atiganda-अतिगण्ड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("&amp;Panchanga!$Q39&amp;")"</f>
        <v>Ayushman-आयुष्मान-Ke (2.02)</v>
      </c>
      <c r="O39" s="2">
        <f ca="1">IF(AND(Panchanga!$P39&lt;28.5,Panchanga!$P39&gt;0.49999),MOD((Panchanga!$P39-0.5)*2,7),MOD((Panchanga!$P39+30-28.5),30)*2+7)</f>
        <v>6.803799999999999</v>
      </c>
      <c r="P39" s="2">
        <f ca="1">ROUNDUP(MOD(360+Panchanga!$G39-Panchanga!$F39,360)/12,4)</f>
        <v>14.401899999999999</v>
      </c>
      <c r="Q39" s="2">
        <f t="shared" ca="1" si="15"/>
        <v>2.0199999999999996</v>
      </c>
      <c r="R39" s="2" t="str">
        <f ca="1">SIGN(S40-Panchanga!$S39)*INT(Panchanga!$S39/30+1)&amp;"Ma,"&amp;SIGN(T40-Panchanga!$T39)*INT(Panchanga!$T39/30+1)&amp;"Me,"&amp;SIGN(U40-Panchanga!$U39)*INT(Panchanga!$U39/30+1)&amp;"Ju,"&amp;SIGN(V40-Panchanga!$V39)*INT(Panchanga!$V39/30+1)&amp;"Ve,"&amp;SIGN(W40-Panchanga!$W39)*INT(Panchanga!$W39/30+1)&amp;"Sa,"&amp;INT(Panchanga!$X39/30+1)&amp;"Ra"</f>
        <v>8Ma,10Me,7Ju,10Ve,9Sa,4Ra</v>
      </c>
      <c r="S39" s="2">
        <f ca="1">Planet(Panchanga!$E39,4)</f>
        <v>218.66070968480162</v>
      </c>
      <c r="T39" s="2">
        <f ca="1">Planet(Panchanga!$E39,2)</f>
        <v>275.06476016028648</v>
      </c>
      <c r="U39" s="2">
        <f ca="1">Planet(Panchanga!$E39,5)</f>
        <v>207.04328174371315</v>
      </c>
      <c r="V39" s="2">
        <f ca="1">Planet(Panchanga!$E39,3)</f>
        <v>292.19392092530046</v>
      </c>
      <c r="W39" s="2">
        <f ca="1">Planet(Panchanga!$E39,6)</f>
        <v>250.62891501967817</v>
      </c>
      <c r="X39" s="2">
        <f ca="1">Planet(Panchanga!$E39,10)</f>
        <v>111.19918846518812</v>
      </c>
      <c r="Y39" s="2">
        <f ca="1">SIGN(S40-Panchanga!$S39)</f>
        <v>1</v>
      </c>
    </row>
    <row r="40" spans="1:25" x14ac:dyDescent="0.2">
      <c r="A40" s="3">
        <f t="shared" ca="1" si="11"/>
        <v>43132</v>
      </c>
      <c r="B40" s="3">
        <f t="shared" ca="1" si="8"/>
        <v>43132.229166666664</v>
      </c>
      <c r="C40" s="8">
        <f t="shared" ca="1" si="12"/>
        <v>43132.275991644863</v>
      </c>
      <c r="D40" s="8">
        <f t="shared" ca="1" si="13"/>
        <v>43131.755968074358</v>
      </c>
      <c r="E40" s="12">
        <f ca="1">Panchanga!$C40-TimeZone/24</f>
        <v>43132.046824978199</v>
      </c>
      <c r="F40" s="13">
        <f t="shared" ca="1" si="7"/>
        <v>288.00483242873219</v>
      </c>
      <c r="G40" s="6">
        <f t="shared" ca="1" si="14"/>
        <v>114.7716653653127</v>
      </c>
      <c r="H40" s="7">
        <f t="shared" ca="1" si="10"/>
        <v>43132.046824978199</v>
      </c>
      <c r="I40" s="2" t="str">
        <f ca="1">naks(Panchanga!$G40)</f>
        <v>Aslesha</v>
      </c>
      <c r="J40" s="8">
        <f ca="1">(C41-Panchanga!$C40)/(G41-Panchanga!$G40)*(13.3333333333333-MOD(Panchanga!$G40,13.333333333333))+Panchanga!$C40</f>
        <v>43132.63118789233</v>
      </c>
      <c r="K40" s="2" t="str">
        <f ca="1">IF(Panchanga!$P40&gt;15,"K","S")&amp;ROUNDUP(MOD(Panchanga!$P40,15),0)&amp;" ("&amp;ROUND(Panchanga!$P40,2)&amp;")"</f>
        <v>K1 (15.56)</v>
      </c>
      <c r="L40" s="2">
        <f ca="1">IF(AND(Panchanga!$P40&lt;28.5,Panchanga!$P40&gt;0.49999),MOD((Panchanga!$P40-0.5)*2,7),MOD((Panchanga!$P40+30-28.5),30)*2+7)</f>
        <v>2.1280000000000001</v>
      </c>
      <c r="M40" s="2" t="str">
        <f ca="1">CHOOSE(ROUNDUP(Panchanga!$L40,0),"Bhava","Baalava","Kaulava","Taitula","Garija","Vanija","Vishti","Shakuni","Chatushapda","Naaga","Kimstugna")</f>
        <v>Kaulava</v>
      </c>
      <c r="N40" s="25" t="str">
        <f ca="1">CHOOSE(ROUNDUP(Panchanga!$Q40,0),"Vishkambha-विष्कम्भ-Sa","Priti-प्रीति-Me","Ayushman-आयुष्मान-Ke","Saubhagya-सौभाग्य-Ve","Shobhana-शोभन-Su","Atiganda-अतिगण्ड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("&amp;Panchanga!$Q40&amp;")"</f>
        <v>Saubhagya-सौभाग्य-Ve (3.21)</v>
      </c>
      <c r="O40" s="2">
        <f ca="1">IF(AND(Panchanga!$P40&lt;28.5,Panchanga!$P40&gt;0.49999),MOD((Panchanga!$P40-0.5)*2,7),MOD((Panchanga!$P40+30-28.5),30)*2+7)</f>
        <v>2.1280000000000001</v>
      </c>
      <c r="P40" s="2">
        <f ca="1">ROUNDUP(MOD(360+Panchanga!$G40-Panchanga!$F40,360)/12,4)</f>
        <v>15.564</v>
      </c>
      <c r="Q40" s="2">
        <f t="shared" ca="1" si="15"/>
        <v>3.21</v>
      </c>
      <c r="R40" s="2" t="str">
        <f ca="1">SIGN(S41-Panchanga!$S40)*INT(Panchanga!$S40/30+1)&amp;"Ma,"&amp;SIGN(T41-Panchanga!$T40)*INT(Panchanga!$T40/30+1)&amp;"Me,"&amp;SIGN(U41-Panchanga!$U40)*INT(Panchanga!$U40/30+1)&amp;"Ju,"&amp;SIGN(V41-Panchanga!$V40)*INT(Panchanga!$V40/30+1)&amp;"Ve,"&amp;SIGN(W41-Panchanga!$W40)*INT(Panchanga!$W40/30+1)&amp;"Sa,"&amp;INT(Panchanga!$X40/30+1)&amp;"Ra"</f>
        <v>8Ma,10Me,7Ju,10Ve,9Sa,4Ra</v>
      </c>
      <c r="S40" s="2">
        <f ca="1">Planet(Panchanga!$E40,4)</f>
        <v>219.27323921384445</v>
      </c>
      <c r="T40" s="2">
        <f ca="1">Planet(Panchanga!$E40,2)</f>
        <v>276.65535632883496</v>
      </c>
      <c r="U40" s="2">
        <f ca="1">Planet(Panchanga!$E40,5)</f>
        <v>207.14934475644171</v>
      </c>
      <c r="V40" s="2">
        <f ca="1">Planet(Panchanga!$E40,3)</f>
        <v>293.4486614012452</v>
      </c>
      <c r="W40" s="2">
        <f ca="1">Planet(Panchanga!$E40,6)</f>
        <v>250.73111432332334</v>
      </c>
      <c r="X40" s="2">
        <f ca="1">Planet(Panchanga!$E40,10)</f>
        <v>111.14620189168836</v>
      </c>
      <c r="Y40" s="2">
        <f ca="1">SIGN(S41-Panchanga!$S40)</f>
        <v>1</v>
      </c>
    </row>
    <row r="41" spans="1:25" x14ac:dyDescent="0.2">
      <c r="A41" s="3">
        <f t="shared" ca="1" si="11"/>
        <v>43133</v>
      </c>
      <c r="B41" s="3">
        <f t="shared" ref="B41:B66" ca="1" si="16">A41+TimeZone/24</f>
        <v>43133.229166666664</v>
      </c>
      <c r="C41" s="8">
        <f t="shared" ca="1" si="12"/>
        <v>43133.275876727108</v>
      </c>
      <c r="D41" s="8">
        <f t="shared" ca="1" si="13"/>
        <v>43132.756266097582</v>
      </c>
      <c r="E41" s="12">
        <f ca="1">Panchanga!$C41-TimeZone/24</f>
        <v>43133.046710060444</v>
      </c>
      <c r="F41" s="13">
        <f t="shared" ca="1" si="7"/>
        <v>289.01918657794693</v>
      </c>
      <c r="G41" s="6">
        <f t="shared" ca="1" si="14"/>
        <v>129.48953990234671</v>
      </c>
      <c r="H41" s="7">
        <f t="shared" ca="1" si="10"/>
        <v>43133.046710060444</v>
      </c>
      <c r="I41" s="2" t="str">
        <f ca="1">naks(Panchanga!$G41)</f>
        <v>Makha</v>
      </c>
      <c r="J41" s="8">
        <f ca="1">(C42-Panchanga!$C41)/(G42-Panchanga!$G41)*(13.3333333333333-MOD(Panchanga!$G41,13.333333333333))+Panchanga!$C41</f>
        <v>43133.543380575873</v>
      </c>
      <c r="K41" s="2" t="str">
        <f ca="1">IF(Panchanga!$P41&gt;15,"K","S")&amp;ROUNDUP(MOD(Panchanga!$P41,15),0)&amp;" ("&amp;ROUND(Panchanga!$P41,2)&amp;")"</f>
        <v>K2 (16.71)</v>
      </c>
      <c r="L41" s="2">
        <f ca="1">IF(AND(Panchanga!$P41&lt;28.5,Panchanga!$P41&gt;0.49999),MOD((Panchanga!$P41-0.5)*2,7),MOD((Panchanga!$P41+30-28.5),30)*2+7)</f>
        <v>4.4117999999999995</v>
      </c>
      <c r="M41" s="2" t="str">
        <f ca="1">CHOOSE(ROUNDUP(Panchanga!$L41,0),"Bhava","Baalava","Kaulava","Taitula","Garija","Vanija","Vishti","Shakuni","Chatushapda","Naaga","Kimstugna")</f>
        <v>Garija</v>
      </c>
      <c r="N41" s="25" t="str">
        <f ca="1">CHOOSE(ROUNDUP(Panchanga!$Q41,0),"Vishkambha-विष्कम्भ-Sa","Priti-प्रीति-Me","Ayushman-आयुष्मान-Ke","Saubhagya-सौभाग्य-Ve","Shobhana-शोभन-Su","Atiganda-अतिगण्ड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("&amp;Panchanga!$Q41&amp;")"</f>
        <v>Shobhana-शोभन-Su (4.39)</v>
      </c>
      <c r="O41" s="2">
        <f ca="1">IF(AND(Panchanga!$P41&lt;28.5,Panchanga!$P41&gt;0.49999),MOD((Panchanga!$P41-0.5)*2,7),MOD((Panchanga!$P41+30-28.5),30)*2+7)</f>
        <v>4.4117999999999995</v>
      </c>
      <c r="P41" s="2">
        <f ca="1">ROUNDUP(MOD(360+Panchanga!$G41-Panchanga!$F41,360)/12,4)</f>
        <v>16.7059</v>
      </c>
      <c r="Q41" s="2">
        <f t="shared" ca="1" si="15"/>
        <v>4.3899999999999997</v>
      </c>
      <c r="R41" s="2" t="str">
        <f ca="1">SIGN(S42-Panchanga!$S41)*INT(Panchanga!$S41/30+1)&amp;"Ma,"&amp;SIGN(T42-Panchanga!$T41)*INT(Panchanga!$T41/30+1)&amp;"Me,"&amp;SIGN(U42-Panchanga!$U41)*INT(Panchanga!$U41/30+1)&amp;"Ju,"&amp;SIGN(V42-Panchanga!$V41)*INT(Panchanga!$V41/30+1)&amp;"Ve,"&amp;SIGN(W42-Panchanga!$W41)*INT(Panchanga!$W41/30+1)&amp;"Sa,"&amp;INT(Panchanga!$X41/30+1)&amp;"Ra"</f>
        <v>8Ma,10Me,7Ju,10Ve,9Sa,4Ra</v>
      </c>
      <c r="S41" s="2">
        <f ca="1">Planet(Panchanga!$E41,4)</f>
        <v>219.88530512068934</v>
      </c>
      <c r="T41" s="2">
        <f ca="1">Planet(Panchanga!$E41,2)</f>
        <v>278.25744402559513</v>
      </c>
      <c r="U41" s="2">
        <f ca="1">Planet(Panchanga!$E41,5)</f>
        <v>207.25292045903319</v>
      </c>
      <c r="V41" s="2">
        <f ca="1">Planet(Panchanga!$E41,3)</f>
        <v>294.70319378420334</v>
      </c>
      <c r="W41" s="2">
        <f ca="1">Planet(Panchanga!$E41,6)</f>
        <v>250.83253514618212</v>
      </c>
      <c r="X41" s="2">
        <f ca="1">Planet(Panchanga!$E41,10)</f>
        <v>111.09321598359425</v>
      </c>
      <c r="Y41" s="2">
        <f ca="1">SIGN(S42-Panchanga!$S41)</f>
        <v>1</v>
      </c>
    </row>
    <row r="42" spans="1:25" x14ac:dyDescent="0.2">
      <c r="A42" s="3">
        <f t="shared" ca="1" si="11"/>
        <v>43134</v>
      </c>
      <c r="B42" s="3">
        <f t="shared" ca="1" si="16"/>
        <v>43134.229166666664</v>
      </c>
      <c r="C42" s="8">
        <f t="shared" ca="1" si="12"/>
        <v>43134.275749570843</v>
      </c>
      <c r="D42" s="8">
        <f t="shared" ca="1" si="13"/>
        <v>43133.756557762666</v>
      </c>
      <c r="E42" s="12">
        <f ca="1">Panchanga!$C42-TimeZone/24</f>
        <v>43134.046582904179</v>
      </c>
      <c r="F42" s="13">
        <f t="shared" ca="1" si="7"/>
        <v>290.03326567046958</v>
      </c>
      <c r="G42" s="6">
        <f t="shared" ca="1" si="14"/>
        <v>143.85682727525051</v>
      </c>
      <c r="H42" s="7">
        <f t="shared" ca="1" si="10"/>
        <v>43134.046582904179</v>
      </c>
      <c r="I42" s="2" t="str">
        <f ca="1">naks(Panchanga!$G42)</f>
        <v>Purva Phalguni</v>
      </c>
      <c r="J42" s="8">
        <f ca="1">(C43-Panchanga!$C42)/(G43-Panchanga!$G42)*(13.3333333333333-MOD(Panchanga!$G42,13.333333333333))+Panchanga!$C42</f>
        <v>43134.477173466803</v>
      </c>
      <c r="K42" s="2" t="str">
        <f ca="1">IF(Panchanga!$P42&gt;15,"K","S")&amp;ROUNDUP(MOD(Panchanga!$P42,15),0)&amp;" ("&amp;ROUND(Panchanga!$P42,2)&amp;")"</f>
        <v>K3 (17.82)</v>
      </c>
      <c r="L42" s="2">
        <f ca="1">IF(AND(Panchanga!$P42&lt;28.5,Panchanga!$P42&gt;0.49999),MOD((Panchanga!$P42-0.5)*2,7),MOD((Panchanga!$P42+30-28.5),30)*2+7)</f>
        <v>6.6373999999999995</v>
      </c>
      <c r="M42" s="2" t="str">
        <f ca="1">CHOOSE(ROUNDUP(Panchanga!$L42,0),"Bhava","Baalava","Kaulava","Taitula","Garija","Vanija","Vishti","Shakuni","Chatushapda","Naaga","Kimstugna")</f>
        <v>Vishti</v>
      </c>
      <c r="N42" s="25" t="str">
        <f ca="1">CHOOSE(ROUNDUP(Panchanga!$Q42,0),"Vishkambha-विष्कम्भ-Sa","Priti-प्रीति-Me","Ayushman-आयुष्मान-Ke","Saubhagya-सौभाग्य-Ve","Shobhana-शोभन-Su","Atiganda-अतिगण्ड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("&amp;Panchanga!$Q42&amp;")"</f>
        <v>Atiganda-अतिगण्ड -Mo (5.55)</v>
      </c>
      <c r="O42" s="2">
        <f ca="1">IF(AND(Panchanga!$P42&lt;28.5,Panchanga!$P42&gt;0.49999),MOD((Panchanga!$P42-0.5)*2,7),MOD((Panchanga!$P42+30-28.5),30)*2+7)</f>
        <v>6.6373999999999995</v>
      </c>
      <c r="P42" s="2">
        <f ca="1">ROUNDUP(MOD(360+Panchanga!$G42-Panchanga!$F42,360)/12,4)</f>
        <v>17.8187</v>
      </c>
      <c r="Q42" s="2">
        <f t="shared" ca="1" si="15"/>
        <v>5.55</v>
      </c>
      <c r="R42" s="2" t="str">
        <f ca="1">SIGN(S43-Panchanga!$S42)*INT(Panchanga!$S42/30+1)&amp;"Ma,"&amp;SIGN(T43-Panchanga!$T42)*INT(Panchanga!$T42/30+1)&amp;"Me,"&amp;SIGN(U43-Panchanga!$U42)*INT(Panchanga!$U42/30+1)&amp;"Ju,"&amp;SIGN(V43-Panchanga!$V42)*INT(Panchanga!$V42/30+1)&amp;"Ve,"&amp;SIGN(W43-Panchanga!$W42)*INT(Panchanga!$W42/30+1)&amp;"Sa,"&amp;INT(Panchanga!$X42/30+1)&amp;"Ra"</f>
        <v>8Ma,10Me,7Ju,10Ve,9Sa,4Ra</v>
      </c>
      <c r="S42" s="2">
        <f ca="1">Planet(Panchanga!$E42,4)</f>
        <v>220.49689758658215</v>
      </c>
      <c r="T42" s="2">
        <f ca="1">Planet(Panchanga!$E42,2)</f>
        <v>279.8712380588575</v>
      </c>
      <c r="U42" s="2">
        <f ca="1">Planet(Panchanga!$E42,5)</f>
        <v>207.35398091627653</v>
      </c>
      <c r="V42" s="2">
        <f ca="1">Planet(Panchanga!$E42,3)</f>
        <v>295.95752424835223</v>
      </c>
      <c r="W42" s="2">
        <f ca="1">Planet(Panchanga!$E42,6)</f>
        <v>250.93316060519314</v>
      </c>
      <c r="X42" s="2">
        <f ca="1">Planet(Panchanga!$E42,10)</f>
        <v>111.04023072403866</v>
      </c>
      <c r="Y42" s="2">
        <f ca="1">SIGN(S43-Panchanga!$S42)</f>
        <v>1</v>
      </c>
    </row>
    <row r="43" spans="1:25" x14ac:dyDescent="0.2">
      <c r="A43" s="3">
        <f t="shared" ca="1" si="11"/>
        <v>43135</v>
      </c>
      <c r="B43" s="3">
        <f t="shared" ca="1" si="16"/>
        <v>43135.229166666664</v>
      </c>
      <c r="C43" s="8">
        <f t="shared" ca="1" si="12"/>
        <v>43135.275610334393</v>
      </c>
      <c r="D43" s="8">
        <f t="shared" ca="1" si="13"/>
        <v>43134.756843070543</v>
      </c>
      <c r="E43" s="12">
        <f ca="1">Panchanga!$C43-TimeZone/24</f>
        <v>43135.046443667728</v>
      </c>
      <c r="F43" s="13">
        <f t="shared" ca="1" si="7"/>
        <v>291.04707833857395</v>
      </c>
      <c r="G43" s="6">
        <f t="shared" ca="1" si="14"/>
        <v>157.80476600379288</v>
      </c>
      <c r="H43" s="7">
        <f t="shared" ca="1" si="10"/>
        <v>43135.046443667728</v>
      </c>
      <c r="I43" s="2" t="str">
        <f ca="1">naks(Panchanga!$G43)</f>
        <v>Uttara Phalguni</v>
      </c>
      <c r="J43" s="8">
        <f ca="1">(C44-Panchanga!$C43)/(G44-Panchanga!$G43)*(13.3333333333333-MOD(Panchanga!$G43,13.333333333333))+Panchanga!$C43</f>
        <v>43135.438158413897</v>
      </c>
      <c r="K43" s="2" t="str">
        <f ca="1">IF(Panchanga!$P43&gt;15,"K","S")&amp;ROUNDUP(MOD(Panchanga!$P43,15),0)&amp;" ("&amp;ROUND(Panchanga!$P43,2)&amp;")"</f>
        <v>K4 (18.9)</v>
      </c>
      <c r="L43" s="2">
        <f ca="1">IF(AND(Panchanga!$P43&lt;28.5,Panchanga!$P43&gt;0.49999),MOD((Panchanga!$P43-0.5)*2,7),MOD((Panchanga!$P43+30-28.5),30)*2+7)</f>
        <v>1.7929999999999993</v>
      </c>
      <c r="M43" s="2" t="str">
        <f ca="1">CHOOSE(ROUNDUP(Panchanga!$L43,0),"Bhava","Baalava","Kaulava","Taitula","Garija","Vanija","Vishti","Shakuni","Chatushapda","Naaga","Kimstugna")</f>
        <v>Baalava</v>
      </c>
      <c r="N43" s="25" t="str">
        <f ca="1">CHOOSE(ROUNDUP(Panchanga!$Q43,0),"Vishkambha-विष्कम्भ-Sa","Priti-प्रीति-Me","Ayushman-आयुष्मान-Ke","Saubhagya-सौभाग्य-Ve","Shobhana-शोभन-Su","Atiganda-अतिगण्ड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("&amp;Panchanga!$Q43&amp;")"</f>
        <v>Sukarman-सुकर्मा -Ma (6.67)</v>
      </c>
      <c r="O43" s="2">
        <f ca="1">IF(AND(Panchanga!$P43&lt;28.5,Panchanga!$P43&gt;0.49999),MOD((Panchanga!$P43-0.5)*2,7),MOD((Panchanga!$P43+30-28.5),30)*2+7)</f>
        <v>1.7929999999999993</v>
      </c>
      <c r="P43" s="2">
        <f ca="1">ROUNDUP(MOD(360+Panchanga!$G43-Panchanga!$F43,360)/12,4)</f>
        <v>18.8965</v>
      </c>
      <c r="Q43" s="2">
        <f t="shared" ca="1" si="15"/>
        <v>6.67</v>
      </c>
      <c r="R43" s="2" t="str">
        <f ca="1">SIGN(S44-Panchanga!$S43)*INT(Panchanga!$S43/30+1)&amp;"Ma,"&amp;SIGN(T44-Panchanga!$T43)*INT(Panchanga!$T43/30+1)&amp;"Me,"&amp;SIGN(U44-Panchanga!$U43)*INT(Panchanga!$U43/30+1)&amp;"Ju,"&amp;SIGN(V44-Panchanga!$V43)*INT(Panchanga!$V43/30+1)&amp;"Ve,"&amp;SIGN(W44-Panchanga!$W43)*INT(Panchanga!$W43/30+1)&amp;"Sa,"&amp;INT(Panchanga!$X43/30+1)&amp;"Ra"</f>
        <v>8Ma,10Me,7Ju,10Ve,9Sa,4Ra</v>
      </c>
      <c r="S43" s="2">
        <f ca="1">Planet(Panchanga!$E43,4)</f>
        <v>221.10800269765653</v>
      </c>
      <c r="T43" s="2">
        <f ca="1">Planet(Panchanga!$E43,2)</f>
        <v>281.49696633386719</v>
      </c>
      <c r="U43" s="2">
        <f ca="1">Planet(Panchanga!$E43,5)</f>
        <v>207.4524972229145</v>
      </c>
      <c r="V43" s="2">
        <f ca="1">Planet(Panchanga!$E43,3)</f>
        <v>297.21165696872589</v>
      </c>
      <c r="W43" s="2">
        <f ca="1">Planet(Panchanga!$E43,6)</f>
        <v>251.03297322583089</v>
      </c>
      <c r="X43" s="2">
        <f ca="1">Planet(Panchanga!$E43,10)</f>
        <v>110.98724610463778</v>
      </c>
      <c r="Y43" s="2">
        <f ca="1">SIGN(S44-Panchanga!$S43)</f>
        <v>1</v>
      </c>
    </row>
    <row r="44" spans="1:25" x14ac:dyDescent="0.2">
      <c r="A44" s="3">
        <f t="shared" ca="1" si="11"/>
        <v>43136</v>
      </c>
      <c r="B44" s="3">
        <f t="shared" ca="1" si="16"/>
        <v>43136.229166666664</v>
      </c>
      <c r="C44" s="8">
        <f t="shared" ca="1" si="12"/>
        <v>43136.275459177014</v>
      </c>
      <c r="D44" s="8">
        <f t="shared" ca="1" si="13"/>
        <v>43135.757121861025</v>
      </c>
      <c r="E44" s="12">
        <f ca="1">Panchanga!$C44-TimeZone/24</f>
        <v>43136.046292510349</v>
      </c>
      <c r="F44" s="13">
        <f t="shared" ca="1" si="7"/>
        <v>292.06062890204777</v>
      </c>
      <c r="G44" s="6">
        <f t="shared" ca="1" si="14"/>
        <v>171.30786106974699</v>
      </c>
      <c r="H44" s="7">
        <f t="shared" ca="1" si="10"/>
        <v>43136.046292510349</v>
      </c>
      <c r="I44" s="2" t="str">
        <f ca="1">naks(Panchanga!$G44)</f>
        <v>Hasta</v>
      </c>
      <c r="J44" s="8">
        <f ca="1">(C45-Panchanga!$C44)/(G45-Panchanga!$G44)*(13.3333333333333-MOD(Panchanga!$G44,13.333333333333))+Panchanga!$C44</f>
        <v>43136.430390227266</v>
      </c>
      <c r="K44" s="2" t="str">
        <f ca="1">IF(Panchanga!$P44&gt;15,"K","S")&amp;ROUNDUP(MOD(Panchanga!$P44,15),0)&amp;" ("&amp;ROUND(Panchanga!$P44,2)&amp;")"</f>
        <v>K5 (19.94)</v>
      </c>
      <c r="L44" s="2">
        <f ca="1">IF(AND(Panchanga!$P44&lt;28.5,Panchanga!$P44&gt;0.49999),MOD((Panchanga!$P44-0.5)*2,7),MOD((Panchanga!$P44+30-28.5),30)*2+7)</f>
        <v>3.8746000000000009</v>
      </c>
      <c r="M44" s="2" t="str">
        <f ca="1">CHOOSE(ROUNDUP(Panchanga!$L44,0),"Bhava","Baalava","Kaulava","Taitula","Garija","Vanija","Vishti","Shakuni","Chatushapda","Naaga","Kimstugna")</f>
        <v>Taitula</v>
      </c>
      <c r="N44" s="25" t="str">
        <f ca="1">CHOOSE(ROUNDUP(Panchanga!$Q44,0),"Vishkambha-विष्कम्भ-Sa","Priti-प्रीति-Me","Ayushman-आयुष्मान-Ke","Saubhagya-सौभाग्य-Ve","Shobhana-शोभन-Su","Atiganda-अतिगण्ड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("&amp;Panchanga!$Q44&amp;")"</f>
        <v>Dhriti-धृति -Ra (7.76)</v>
      </c>
      <c r="O44" s="2">
        <f ca="1">IF(AND(Panchanga!$P44&lt;28.5,Panchanga!$P44&gt;0.49999),MOD((Panchanga!$P44-0.5)*2,7),MOD((Panchanga!$P44+30-28.5),30)*2+7)</f>
        <v>3.8746000000000009</v>
      </c>
      <c r="P44" s="2">
        <f ca="1">ROUNDUP(MOD(360+Panchanga!$G44-Panchanga!$F44,360)/12,4)</f>
        <v>19.9373</v>
      </c>
      <c r="Q44" s="2">
        <f t="shared" ca="1" si="15"/>
        <v>7.76</v>
      </c>
      <c r="R44" s="2" t="str">
        <f ca="1">SIGN(S45-Panchanga!$S44)*INT(Panchanga!$S44/30+1)&amp;"Ma,"&amp;SIGN(T45-Panchanga!$T44)*INT(Panchanga!$T44/30+1)&amp;"Me,"&amp;SIGN(U45-Panchanga!$U44)*INT(Panchanga!$U44/30+1)&amp;"Ju,"&amp;SIGN(V45-Panchanga!$V44)*INT(Panchanga!$V44/30+1)&amp;"Ve,"&amp;SIGN(W45-Panchanga!$W44)*INT(Panchanga!$W44/30+1)&amp;"Sa,"&amp;INT(Panchanga!$X44/30+1)&amp;"Ra"</f>
        <v>8Ma,10Me,7Ju,10Ve,9Sa,4Ra</v>
      </c>
      <c r="S44" s="2">
        <f ca="1">Planet(Panchanga!$E44,4)</f>
        <v>221.71860334747899</v>
      </c>
      <c r="T44" s="2">
        <f ca="1">Planet(Panchanga!$E44,2)</f>
        <v>283.13486627225296</v>
      </c>
      <c r="U44" s="2">
        <f ca="1">Planet(Panchanga!$E44,5)</f>
        <v>207.54843988379344</v>
      </c>
      <c r="V44" s="2">
        <f ca="1">Planet(Panchanga!$E44,3)</f>
        <v>298.46559382229117</v>
      </c>
      <c r="W44" s="2">
        <f ca="1">Planet(Panchanga!$E44,6)</f>
        <v>251.13195499723554</v>
      </c>
      <c r="X44" s="2">
        <f ca="1">Planet(Panchanga!$E44,10)</f>
        <v>110.93426211699135</v>
      </c>
      <c r="Y44" s="2">
        <f ca="1">SIGN(S45-Panchanga!$S44)</f>
        <v>1</v>
      </c>
    </row>
    <row r="45" spans="1:25" x14ac:dyDescent="0.2">
      <c r="A45" s="3">
        <f t="shared" ca="1" si="11"/>
        <v>43137</v>
      </c>
      <c r="B45" s="3">
        <f t="shared" ca="1" si="16"/>
        <v>43137.229166666664</v>
      </c>
      <c r="C45" s="8">
        <f t="shared" ca="1" si="12"/>
        <v>43137.275296098705</v>
      </c>
      <c r="D45" s="8">
        <f t="shared" ca="1" si="13"/>
        <v>43136.757394294298</v>
      </c>
      <c r="E45" s="12">
        <f ca="1">Panchanga!$C45-TimeZone/24</f>
        <v>43137.046129432041</v>
      </c>
      <c r="F45" s="13">
        <f t="shared" ca="1" si="7"/>
        <v>293.07391725811112</v>
      </c>
      <c r="G45" s="6">
        <f t="shared" ca="1" si="14"/>
        <v>184.37910759966161</v>
      </c>
      <c r="H45" s="7">
        <f t="shared" ca="1" si="10"/>
        <v>43137.046129432041</v>
      </c>
      <c r="I45" s="2" t="str">
        <f ca="1">naks(Panchanga!$G45)</f>
        <v>Chitra</v>
      </c>
      <c r="J45" s="8">
        <f ca="1">(C46-Panchanga!$C45)/(G46-Panchanga!$G45)*(13.3333333333333-MOD(Panchanga!$G45,13.333333333333))+Panchanga!$C45</f>
        <v>43137.45564188432</v>
      </c>
      <c r="K45" s="2" t="str">
        <f ca="1">IF(Panchanga!$P45&gt;15,"K","S")&amp;ROUNDUP(MOD(Panchanga!$P45,15),0)&amp;" ("&amp;ROUND(Panchanga!$P45,2)&amp;")"</f>
        <v>K6 (20.94)</v>
      </c>
      <c r="L45" s="2">
        <f ca="1">IF(AND(Panchanga!$P45&lt;28.5,Panchanga!$P45&gt;0.49999),MOD((Panchanga!$P45-0.5)*2,7),MOD((Panchanga!$P45+30-28.5),30)*2+7)</f>
        <v>5.8841999999999999</v>
      </c>
      <c r="M45" s="2" t="str">
        <f ca="1">CHOOSE(ROUNDUP(Panchanga!$L45,0),"Bhava","Baalava","Kaulava","Taitula","Garija","Vanija","Vishti","Shakuni","Chatushapda","Naaga","Kimstugna")</f>
        <v>Vanija</v>
      </c>
      <c r="N45" s="25" t="str">
        <f ca="1">CHOOSE(ROUNDUP(Panchanga!$Q45,0),"Vishkambha-विष्कम्भ-Sa","Priti-प्रीति-Me","Ayushman-आयुष्मान-Ke","Saubhagya-सौभाग्य-Ve","Shobhana-शोभन-Su","Atiganda-अतिगण्ड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("&amp;Panchanga!$Q45&amp;")"</f>
        <v>Shula-शूल -Ju (8.81)</v>
      </c>
      <c r="O45" s="2">
        <f ca="1">IF(AND(Panchanga!$P45&lt;28.5,Panchanga!$P45&gt;0.49999),MOD((Panchanga!$P45-0.5)*2,7),MOD((Panchanga!$P45+30-28.5),30)*2+7)</f>
        <v>5.8841999999999999</v>
      </c>
      <c r="P45" s="2">
        <f ca="1">ROUNDUP(MOD(360+Panchanga!$G45-Panchanga!$F45,360)/12,4)</f>
        <v>20.9421</v>
      </c>
      <c r="Q45" s="2">
        <f t="shared" ca="1" si="15"/>
        <v>8.81</v>
      </c>
      <c r="R45" s="2" t="str">
        <f ca="1">SIGN(S46-Panchanga!$S45)*INT(Panchanga!$S45/30+1)&amp;"Ma,"&amp;SIGN(T46-Panchanga!$T45)*INT(Panchanga!$T45/30+1)&amp;"Me,"&amp;SIGN(U46-Panchanga!$U45)*INT(Panchanga!$U45/30+1)&amp;"Ju,"&amp;SIGN(V46-Panchanga!$V45)*INT(Panchanga!$V45/30+1)&amp;"Ve,"&amp;SIGN(W46-Panchanga!$W45)*INT(Panchanga!$W45/30+1)&amp;"Sa,"&amp;INT(Panchanga!$X45/30+1)&amp;"Ra"</f>
        <v>8Ma,10Me,7Ju,10Ve,9Sa,4Ra</v>
      </c>
      <c r="S45" s="2">
        <f ca="1">Planet(Panchanga!$E45,4)</f>
        <v>222.32868006868293</v>
      </c>
      <c r="T45" s="2">
        <f ca="1">Planet(Panchanga!$E45,2)</f>
        <v>284.78518101705242</v>
      </c>
      <c r="U45" s="2">
        <f ca="1">Planet(Panchanga!$E45,5)</f>
        <v>207.64177917208426</v>
      </c>
      <c r="V45" s="2">
        <f ca="1">Planet(Panchanga!$E45,3)</f>
        <v>299.71933413808</v>
      </c>
      <c r="W45" s="2">
        <f ca="1">Planet(Panchanga!$E45,6)</f>
        <v>251.23008746121968</v>
      </c>
      <c r="X45" s="2">
        <f ca="1">Planet(Panchanga!$E45,10)</f>
        <v>110.88127876099988</v>
      </c>
      <c r="Y45" s="2">
        <f ca="1">SIGN(S46-Panchanga!$S45)</f>
        <v>1</v>
      </c>
    </row>
    <row r="46" spans="1:25" x14ac:dyDescent="0.2">
      <c r="A46" s="3">
        <f t="shared" ca="1" si="11"/>
        <v>43138</v>
      </c>
      <c r="B46" s="3">
        <f t="shared" ca="1" si="16"/>
        <v>43138.229166666664</v>
      </c>
      <c r="C46" s="8">
        <f t="shared" ca="1" si="12"/>
        <v>43138.275121417049</v>
      </c>
      <c r="D46" s="8">
        <f t="shared" ca="1" si="13"/>
        <v>43137.757660210176</v>
      </c>
      <c r="E46" s="12">
        <f ca="1">Panchanga!$C46-TimeZone/24</f>
        <v>43138.045954750385</v>
      </c>
      <c r="F46" s="13">
        <f t="shared" ca="1" si="7"/>
        <v>294.08693987030318</v>
      </c>
      <c r="G46" s="6">
        <f t="shared" ca="1" si="14"/>
        <v>197.06118644405217</v>
      </c>
      <c r="H46" s="7">
        <f t="shared" ca="1" si="10"/>
        <v>43138.045954750385</v>
      </c>
      <c r="I46" s="2" t="str">
        <f ca="1">naks(Panchanga!$G46)</f>
        <v>Swati</v>
      </c>
      <c r="J46" s="8">
        <f ca="1">(C47-Panchanga!$C46)/(G47-Panchanga!$G46)*(13.3333333333333-MOD(Panchanga!$G46,13.333333333333))+Panchanga!$C46</f>
        <v>43138.512931792953</v>
      </c>
      <c r="K46" s="2" t="str">
        <f ca="1">IF(Panchanga!$P46&gt;15,"K","S")&amp;ROUNDUP(MOD(Panchanga!$P46,15),0)&amp;" ("&amp;ROUND(Panchanga!$P46,2)&amp;")"</f>
        <v>K7 (21.91)</v>
      </c>
      <c r="L46" s="2">
        <f ca="1">IF(AND(Panchanga!$P46&lt;28.5,Panchanga!$P46&gt;0.49999),MOD((Panchanga!$P46-0.5)*2,7),MOD((Panchanga!$P46+30-28.5),30)*2+7)</f>
        <v>0.82920000000000016</v>
      </c>
      <c r="M46" s="2" t="str">
        <f ca="1">CHOOSE(ROUNDUP(Panchanga!$L46,0),"Bhava","Baalava","Kaulava","Taitula","Garija","Vanija","Vishti","Shakuni","Chatushapda","Naaga","Kimstugna")</f>
        <v>Bhava</v>
      </c>
      <c r="N46" s="25" t="str">
        <f ca="1">CHOOSE(ROUNDUP(Panchanga!$Q46,0),"Vishkambha-विष्कम्भ-Sa","Priti-प्रीति-Me","Ayushman-आयुष्मान-Ke","Saubhagya-सौभाग्य-Ve","Shobhana-शोभन-Su","Atiganda-अतिगण्ड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("&amp;Panchanga!$Q46&amp;")"</f>
        <v>Ganda-गण्ड -Sa (9.84)</v>
      </c>
      <c r="O46" s="2">
        <f ca="1">IF(AND(Panchanga!$P46&lt;28.5,Panchanga!$P46&gt;0.49999),MOD((Panchanga!$P46-0.5)*2,7),MOD((Panchanga!$P46+30-28.5),30)*2+7)</f>
        <v>0.82920000000000016</v>
      </c>
      <c r="P46" s="2">
        <f ca="1">ROUNDUP(MOD(360+Panchanga!$G46-Panchanga!$F46,360)/12,4)</f>
        <v>21.9146</v>
      </c>
      <c r="Q46" s="2">
        <f t="shared" ca="1" si="15"/>
        <v>9.84</v>
      </c>
      <c r="R46" s="2" t="str">
        <f ca="1">SIGN(S47-Panchanga!$S46)*INT(Panchanga!$S46/30+1)&amp;"Ma,"&amp;SIGN(T47-Panchanga!$T46)*INT(Panchanga!$T46/30+1)&amp;"Me,"&amp;SIGN(U47-Panchanga!$U46)*INT(Panchanga!$U46/30+1)&amp;"Ju,"&amp;SIGN(V47-Panchanga!$V46)*INT(Panchanga!$V46/30+1)&amp;"Ve,"&amp;SIGN(W47-Panchanga!$W46)*INT(Panchanga!$W46/30+1)&amp;"Sa,"&amp;INT(Panchanga!$X46/30+1)&amp;"Ra"</f>
        <v>8Ma,10Me,7Ju,11Ve,9Sa,4Ra</v>
      </c>
      <c r="S46" s="2">
        <f ca="1">Planet(Panchanga!$E46,4)</f>
        <v>222.9382121143139</v>
      </c>
      <c r="T46" s="2">
        <f ca="1">Planet(Panchanga!$E46,2)</f>
        <v>286.44815664075821</v>
      </c>
      <c r="U46" s="2">
        <f ca="1">Planet(Panchanga!$E46,5)</f>
        <v>207.73248547686242</v>
      </c>
      <c r="V46" s="2">
        <f ca="1">Planet(Panchanga!$E46,3)</f>
        <v>300.9728755169823</v>
      </c>
      <c r="W46" s="2">
        <f ca="1">Planet(Panchanga!$E46,6)</f>
        <v>251.32735188148206</v>
      </c>
      <c r="X46" s="2">
        <f ca="1">Planet(Panchanga!$E46,10)</f>
        <v>110.82829601992886</v>
      </c>
      <c r="Y46" s="2">
        <f ca="1">SIGN(S47-Panchanga!$S46)</f>
        <v>1</v>
      </c>
    </row>
    <row r="47" spans="1:25" x14ac:dyDescent="0.2">
      <c r="A47" s="3">
        <f t="shared" ca="1" si="11"/>
        <v>43139</v>
      </c>
      <c r="B47" s="3">
        <f t="shared" ca="1" si="16"/>
        <v>43139.229166666664</v>
      </c>
      <c r="C47" s="8">
        <f t="shared" ca="1" si="12"/>
        <v>43139.274935291767</v>
      </c>
      <c r="D47" s="8">
        <f t="shared" ca="1" si="13"/>
        <v>43138.7579194508</v>
      </c>
      <c r="E47" s="12">
        <f ca="1">Panchanga!$C47-TimeZone/24</f>
        <v>43139.045768625103</v>
      </c>
      <c r="F47" s="13">
        <f t="shared" ca="1" si="7"/>
        <v>295.09968989557285</v>
      </c>
      <c r="G47" s="6">
        <f t="shared" ca="1" si="14"/>
        <v>209.41668841588407</v>
      </c>
      <c r="H47" s="7">
        <f t="shared" ca="1" si="10"/>
        <v>43139.045768625103</v>
      </c>
      <c r="I47" s="2" t="str">
        <f ca="1">naks(Panchanga!$G47)</f>
        <v>Visakha</v>
      </c>
      <c r="J47" s="8">
        <f ca="1">(C48-Panchanga!$C47)/(G48-Panchanga!$G47)*(13.3333333333333-MOD(Panchanga!$G47,13.333333333333))+Panchanga!$C47</f>
        <v>43139.598493391612</v>
      </c>
      <c r="K47" s="2" t="str">
        <f ca="1">IF(Panchanga!$P47&gt;15,"K","S")&amp;ROUNDUP(MOD(Panchanga!$P47,15),0)&amp;" ("&amp;ROUND(Panchanga!$P47,2)&amp;")"</f>
        <v>K8 (22.86)</v>
      </c>
      <c r="L47" s="2">
        <f ca="1">IF(AND(Panchanga!$P47&lt;28.5,Panchanga!$P47&gt;0.49999),MOD((Panchanga!$P47-0.5)*2,7),MOD((Panchanga!$P47+30-28.5),30)*2+7)</f>
        <v>2.7195999999999998</v>
      </c>
      <c r="M47" s="2" t="str">
        <f ca="1">CHOOSE(ROUNDUP(Panchanga!$L47,0),"Bhava","Baalava","Kaulava","Taitula","Garija","Vanija","Vishti","Shakuni","Chatushapda","Naaga","Kimstugna")</f>
        <v>Kaulava</v>
      </c>
      <c r="N47" s="25" t="str">
        <f ca="1">CHOOSE(ROUNDUP(Panchanga!$Q47,0),"Vishkambha-विष्कम्भ-Sa","Priti-प्रीति-Me","Ayushman-आयुष्मान-Ke","Saubhagya-सौभाग्य-Ve","Shobhana-शोभन-Su","Atiganda-अतिगण्ड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("&amp;Panchanga!$Q47&amp;")"</f>
        <v>Vriddhi-वृद्धि -Me (10.84)</v>
      </c>
      <c r="O47" s="2">
        <f ca="1">IF(AND(Panchanga!$P47&lt;28.5,Panchanga!$P47&gt;0.49999),MOD((Panchanga!$P47-0.5)*2,7),MOD((Panchanga!$P47+30-28.5),30)*2+7)</f>
        <v>2.7195999999999998</v>
      </c>
      <c r="P47" s="2">
        <f ca="1">ROUNDUP(MOD(360+Panchanga!$G47-Panchanga!$F47,360)/12,4)</f>
        <v>22.8598</v>
      </c>
      <c r="Q47" s="2">
        <f t="shared" ca="1" si="15"/>
        <v>10.84</v>
      </c>
      <c r="R47" s="2" t="str">
        <f ca="1">SIGN(S48-Panchanga!$S47)*INT(Panchanga!$S47/30+1)&amp;"Ma,"&amp;SIGN(T48-Panchanga!$T47)*INT(Panchanga!$T47/30+1)&amp;"Me,"&amp;SIGN(U48-Panchanga!$U47)*INT(Panchanga!$U47/30+1)&amp;"Ju,"&amp;SIGN(V48-Panchanga!$V47)*INT(Panchanga!$V47/30+1)&amp;"Ve,"&amp;SIGN(W48-Panchanga!$W47)*INT(Panchanga!$W47/30+1)&amp;"Sa,"&amp;INT(Panchanga!$X47/30+1)&amp;"Ra"</f>
        <v>8Ma,10Me,7Ju,11Ve,9Sa,4Ra</v>
      </c>
      <c r="S47" s="2">
        <f ca="1">Planet(Panchanga!$E47,4)</f>
        <v>223.54717771968322</v>
      </c>
      <c r="T47" s="2">
        <f ca="1">Planet(Panchanga!$E47,2)</f>
        <v>288.124037403648</v>
      </c>
      <c r="U47" s="2">
        <f ca="1">Planet(Panchanga!$E47,5)</f>
        <v>207.82052947196459</v>
      </c>
      <c r="V47" s="2">
        <f ca="1">Planet(Panchanga!$E47,3)</f>
        <v>302.22621353849627</v>
      </c>
      <c r="W47" s="2">
        <f ca="1">Planet(Panchanga!$E47,6)</f>
        <v>251.42372930288096</v>
      </c>
      <c r="X47" s="2">
        <f ca="1">Planet(Panchanga!$E47,10)</f>
        <v>110.77531388526199</v>
      </c>
      <c r="Y47" s="2">
        <f ca="1">SIGN(S48-Panchanga!$S47)</f>
        <v>1</v>
      </c>
    </row>
    <row r="48" spans="1:25" x14ac:dyDescent="0.2">
      <c r="A48" s="3">
        <f t="shared" ca="1" si="11"/>
        <v>43140</v>
      </c>
      <c r="B48" s="3">
        <f t="shared" ca="1" si="16"/>
        <v>43140.229166666664</v>
      </c>
      <c r="C48" s="8">
        <f t="shared" ca="1" si="12"/>
        <v>43140.274737722393</v>
      </c>
      <c r="D48" s="8">
        <f t="shared" ca="1" si="13"/>
        <v>43139.758172333284</v>
      </c>
      <c r="E48" s="12">
        <f ca="1">Panchanga!$C48-TimeZone/24</f>
        <v>43140.045571055729</v>
      </c>
      <c r="F48" s="13">
        <f t="shared" ca="1" si="7"/>
        <v>296.1121576837063</v>
      </c>
      <c r="G48" s="6">
        <f t="shared" ca="1" si="14"/>
        <v>221.51921686503334</v>
      </c>
      <c r="H48" s="7">
        <f t="shared" ca="1" si="10"/>
        <v>43140.045571055729</v>
      </c>
      <c r="I48" s="2" t="str">
        <f ca="1">naks(Panchanga!$G48)</f>
        <v>Anuradha</v>
      </c>
      <c r="J48" s="8">
        <f ca="1">(C49-Panchanga!$C48)/(G49-Panchanga!$G48)*(13.3333333333333-MOD(Panchanga!$G48,13.333333333333))+Panchanga!$C48</f>
        <v>43140.706231261574</v>
      </c>
      <c r="K48" s="2" t="str">
        <f ca="1">IF(Panchanga!$P48&gt;15,"K","S")&amp;ROUNDUP(MOD(Panchanga!$P48,15),0)&amp;" ("&amp;ROUND(Panchanga!$P48,2)&amp;")"</f>
        <v>K9 (23.78)</v>
      </c>
      <c r="L48" s="2">
        <f ca="1">IF(AND(Panchanga!$P48&lt;28.5,Panchanga!$P48&gt;0.49999),MOD((Panchanga!$P48-0.5)*2,7),MOD((Panchanga!$P48+30-28.5),30)*2+7)</f>
        <v>4.5679999999999978</v>
      </c>
      <c r="M48" s="2" t="str">
        <f ca="1">CHOOSE(ROUNDUP(Panchanga!$L48,0),"Bhava","Baalava","Kaulava","Taitula","Garija","Vanija","Vishti","Shakuni","Chatushapda","Naaga","Kimstugna")</f>
        <v>Garija</v>
      </c>
      <c r="N48" s="25" t="str">
        <f ca="1">CHOOSE(ROUNDUP(Panchanga!$Q48,0),"Vishkambha-विष्कम्भ-Sa","Priti-प्रीति-Me","Ayushman-आयुष्मान-Ke","Saubhagya-सौभाग्य-Ve","Shobhana-शोभन-Su","Atiganda-अतिगण्ड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("&amp;Panchanga!$Q48&amp;")"</f>
        <v>Dhruva-ध्रुव -Ke (11.83)</v>
      </c>
      <c r="O48" s="2">
        <f ca="1">IF(AND(Panchanga!$P48&lt;28.5,Panchanga!$P48&gt;0.49999),MOD((Panchanga!$P48-0.5)*2,7),MOD((Panchanga!$P48+30-28.5),30)*2+7)</f>
        <v>4.5679999999999978</v>
      </c>
      <c r="P48" s="2">
        <f ca="1">ROUNDUP(MOD(360+Panchanga!$G48-Panchanga!$F48,360)/12,4)</f>
        <v>23.783999999999999</v>
      </c>
      <c r="Q48" s="2">
        <f t="shared" ca="1" si="15"/>
        <v>11.83</v>
      </c>
      <c r="R48" s="2" t="str">
        <f ca="1">SIGN(S49-Panchanga!$S48)*INT(Panchanga!$S48/30+1)&amp;"Ma,"&amp;SIGN(T49-Panchanga!$T48)*INT(Panchanga!$T48/30+1)&amp;"Me,"&amp;SIGN(U49-Panchanga!$U48)*INT(Panchanga!$U48/30+1)&amp;"Ju,"&amp;SIGN(V49-Panchanga!$V48)*INT(Panchanga!$V48/30+1)&amp;"Ve,"&amp;SIGN(W49-Panchanga!$W48)*INT(Panchanga!$W48/30+1)&amp;"Sa,"&amp;INT(Panchanga!$X48/30+1)&amp;"Ra"</f>
        <v>8Ma,10Me,7Ju,11Ve,9Sa,4Ra</v>
      </c>
      <c r="S48" s="2">
        <f ca="1">Planet(Panchanga!$E48,4)</f>
        <v>224.15555444597192</v>
      </c>
      <c r="T48" s="2">
        <f ca="1">Planet(Panchanga!$E48,2)</f>
        <v>289.81306110318769</v>
      </c>
      <c r="U48" s="2">
        <f ca="1">Planet(Panchanga!$E48,5)</f>
        <v>207.90588226374646</v>
      </c>
      <c r="V48" s="2">
        <f ca="1">Planet(Panchanga!$E48,3)</f>
        <v>303.47934201394173</v>
      </c>
      <c r="W48" s="2">
        <f ca="1">Planet(Panchanga!$E48,6)</f>
        <v>251.51920062946442</v>
      </c>
      <c r="X48" s="2">
        <f ca="1">Planet(Panchanga!$E48,10)</f>
        <v>110.72233235706547</v>
      </c>
      <c r="Y48" s="2">
        <f ca="1">SIGN(S49-Panchanga!$S48)</f>
        <v>1</v>
      </c>
    </row>
    <row r="49" spans="1:25" x14ac:dyDescent="0.2">
      <c r="A49" s="3">
        <f t="shared" ca="1" si="11"/>
        <v>43141</v>
      </c>
      <c r="B49" s="3">
        <f t="shared" ca="1" si="16"/>
        <v>43141.229166666664</v>
      </c>
      <c r="C49" s="8">
        <f t="shared" ca="1" si="12"/>
        <v>43141.274529026508</v>
      </c>
      <c r="D49" s="8">
        <f t="shared" ca="1" si="13"/>
        <v>43140.758418540514</v>
      </c>
      <c r="E49" s="12">
        <f ca="1">Panchanga!$C49-TimeZone/24</f>
        <v>43141.045362359844</v>
      </c>
      <c r="F49" s="13">
        <f t="shared" ca="1" si="7"/>
        <v>297.12433162959081</v>
      </c>
      <c r="G49" s="6">
        <f t="shared" ca="1" si="14"/>
        <v>233.44610587428755</v>
      </c>
      <c r="H49" s="7">
        <f t="shared" ca="1" si="10"/>
        <v>43141.045362359844</v>
      </c>
      <c r="I49" s="2" t="str">
        <f ca="1">naks(Panchanga!$G49)</f>
        <v>Jyestha</v>
      </c>
      <c r="J49" s="8">
        <f ca="1">(C50-Panchanga!$C49)/(G50-Panchanga!$G49)*(13.3333333333333-MOD(Panchanga!$G49,13.333333333333))+Panchanga!$C49</f>
        <v>43141.828562801522</v>
      </c>
      <c r="K49" s="2" t="str">
        <f ca="1">IF(Panchanga!$P49&gt;15,"K","S")&amp;ROUNDUP(MOD(Panchanga!$P49,15),0)&amp;" ("&amp;ROUND(Panchanga!$P49,2)&amp;")"</f>
        <v>K10 (24.69)</v>
      </c>
      <c r="L49" s="2">
        <f ca="1">IF(AND(Panchanga!$P49&lt;28.5,Panchanga!$P49&gt;0.49999),MOD((Panchanga!$P49-0.5)*2,7),MOD((Panchanga!$P49+30-28.5),30)*2+7)</f>
        <v>6.3870000000000005</v>
      </c>
      <c r="M49" s="2" t="str">
        <f ca="1">CHOOSE(ROUNDUP(Panchanga!$L49,0),"Bhava","Baalava","Kaulava","Taitula","Garija","Vanija","Vishti","Shakuni","Chatushapda","Naaga","Kimstugna")</f>
        <v>Vishti</v>
      </c>
      <c r="N49" s="25" t="str">
        <f ca="1">CHOOSE(ROUNDUP(Panchanga!$Q49,0),"Vishkambha-विष्कम्भ-Sa","Priti-प्रीति-Me","Ayushman-आयुष्मान-Ke","Saubhagya-सौभाग्य-Ve","Shobhana-शोभन-Su","Atiganda-अतिगण्ड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("&amp;Panchanga!$Q49&amp;")"</f>
        <v>Vyaghata-व्याघात-ve (12.8)</v>
      </c>
      <c r="O49" s="2">
        <f ca="1">IF(AND(Panchanga!$P49&lt;28.5,Panchanga!$P49&gt;0.49999),MOD((Panchanga!$P49-0.5)*2,7),MOD((Panchanga!$P49+30-28.5),30)*2+7)</f>
        <v>6.3870000000000005</v>
      </c>
      <c r="P49" s="2">
        <f ca="1">ROUNDUP(MOD(360+Panchanga!$G49-Panchanga!$F49,360)/12,4)</f>
        <v>24.6935</v>
      </c>
      <c r="Q49" s="2">
        <f t="shared" ca="1" si="15"/>
        <v>12.799999999999999</v>
      </c>
      <c r="R49" s="2" t="str">
        <f ca="1">SIGN(S50-Panchanga!$S49)*INT(Panchanga!$S49/30+1)&amp;"Ma,"&amp;SIGN(T50-Panchanga!$T49)*INT(Panchanga!$T49/30+1)&amp;"Me,"&amp;SIGN(U50-Panchanga!$U49)*INT(Panchanga!$U49/30+1)&amp;"Ju,"&amp;SIGN(V50-Panchanga!$V49)*INT(Panchanga!$V49/30+1)&amp;"Ve,"&amp;SIGN(W50-Panchanga!$W49)*INT(Panchanga!$W49/30+1)&amp;"Sa,"&amp;INT(Panchanga!$X49/30+1)&amp;"Ra"</f>
        <v>8Ma,10Me,7Ju,11Ve,9Sa,4Ra</v>
      </c>
      <c r="S49" s="2">
        <f ca="1">Planet(Panchanga!$E49,4)</f>
        <v>224.76331969605013</v>
      </c>
      <c r="T49" s="2">
        <f ca="1">Planet(Panchanga!$E49,2)</f>
        <v>291.51545438439501</v>
      </c>
      <c r="U49" s="2">
        <f ca="1">Planet(Panchanga!$E49,5)</f>
        <v>207.98851554036108</v>
      </c>
      <c r="V49" s="2">
        <f ca="1">Planet(Panchanga!$E49,3)</f>
        <v>304.73225377114818</v>
      </c>
      <c r="W49" s="2">
        <f ca="1">Planet(Panchanga!$E49,6)</f>
        <v>251.6137467307135</v>
      </c>
      <c r="X49" s="2">
        <f ca="1">Planet(Panchanga!$E49,10)</f>
        <v>110.66935141848884</v>
      </c>
      <c r="Y49" s="2">
        <f ca="1">SIGN(S50-Panchanga!$S49)</f>
        <v>1</v>
      </c>
    </row>
    <row r="50" spans="1:25" x14ac:dyDescent="0.2">
      <c r="A50" s="3">
        <f t="shared" ca="1" si="11"/>
        <v>43142</v>
      </c>
      <c r="B50" s="3">
        <f t="shared" ca="1" si="16"/>
        <v>43142.229166666664</v>
      </c>
      <c r="C50" s="8">
        <f t="shared" ca="1" si="12"/>
        <v>43142.274309363369</v>
      </c>
      <c r="D50" s="8">
        <f t="shared" ca="1" si="13"/>
        <v>43141.758658230348</v>
      </c>
      <c r="E50" s="12">
        <f ca="1">Panchanga!$C50-TimeZone/24</f>
        <v>43142.045142696705</v>
      </c>
      <c r="F50" s="13">
        <f t="shared" ca="1" si="7"/>
        <v>298.1361979810942</v>
      </c>
      <c r="G50" s="6">
        <f t="shared" ca="1" si="14"/>
        <v>245.27292000055675</v>
      </c>
      <c r="H50" s="7">
        <f t="shared" ca="1" si="10"/>
        <v>43142.045142696705</v>
      </c>
      <c r="I50" s="2" t="str">
        <f ca="1">naks(Panchanga!$G50)</f>
        <v>Moola</v>
      </c>
      <c r="J50" s="8">
        <f ca="1">(C51-Panchanga!$C50)/(G51-Panchanga!$G50)*(13.3333333333333-MOD(Panchanga!$G50,13.333333333333))+Panchanga!$C50</f>
        <v>43142.95742608943</v>
      </c>
      <c r="K50" s="2" t="str">
        <f ca="1">IF(Panchanga!$P50&gt;15,"K","S")&amp;ROUNDUP(MOD(Panchanga!$P50,15),0)&amp;" ("&amp;ROUND(Panchanga!$P50,2)&amp;")"</f>
        <v>K11 (25.59)</v>
      </c>
      <c r="L50" s="2">
        <f ca="1">IF(AND(Panchanga!$P50&lt;28.5,Panchanga!$P50&gt;0.49999),MOD((Panchanga!$P50-0.5)*2,7),MOD((Panchanga!$P50+30-28.5),30)*2+7)</f>
        <v>1.1895999999999987</v>
      </c>
      <c r="M50" s="2" t="str">
        <f ca="1">CHOOSE(ROUNDUP(Panchanga!$L50,0),"Bhava","Baalava","Kaulava","Taitula","Garija","Vanija","Vishti","Shakuni","Chatushapda","Naaga","Kimstugna")</f>
        <v>Baalava</v>
      </c>
      <c r="N50" s="25" t="str">
        <f ca="1">CHOOSE(ROUNDUP(Panchanga!$Q50,0),"Vishkambha-विष्कम्भ-Sa","Priti-प्रीति-Me","Ayushman-आयुष्मान-Ke","Saubhagya-सौभाग्य-Ve","Shobhana-शोभन-Su","Atiganda-अतिगण्ड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("&amp;Panchanga!$Q50&amp;")"</f>
        <v>Harshana-हर्षण-su (13.76)</v>
      </c>
      <c r="O50" s="2">
        <f ca="1">IF(AND(Panchanga!$P50&lt;28.5,Panchanga!$P50&gt;0.49999),MOD((Panchanga!$P50-0.5)*2,7),MOD((Panchanga!$P50+30-28.5),30)*2+7)</f>
        <v>1.1895999999999987</v>
      </c>
      <c r="P50" s="2">
        <f ca="1">ROUNDUP(MOD(360+Panchanga!$G50-Panchanga!$F50,360)/12,4)</f>
        <v>25.594799999999999</v>
      </c>
      <c r="Q50" s="2">
        <f t="shared" ca="1" si="15"/>
        <v>13.76</v>
      </c>
      <c r="R50" s="2" t="str">
        <f ca="1">SIGN(S51-Panchanga!$S50)*INT(Panchanga!$S50/30+1)&amp;"Ma,"&amp;SIGN(T51-Panchanga!$T50)*INT(Panchanga!$T50/30+1)&amp;"Me,"&amp;SIGN(U51-Panchanga!$U50)*INT(Panchanga!$U50/30+1)&amp;"Ju,"&amp;SIGN(V51-Panchanga!$V50)*INT(Panchanga!$V50/30+1)&amp;"Ve,"&amp;SIGN(W51-Panchanga!$W50)*INT(Panchanga!$W50/30+1)&amp;"Sa,"&amp;INT(Panchanga!$X50/30+1)&amp;"Ra"</f>
        <v>8Ma,10Me,7Ju,11Ve,9Sa,4Ra</v>
      </c>
      <c r="S50" s="2">
        <f ca="1">Planet(Panchanga!$E50,4)</f>
        <v>225.37045059834253</v>
      </c>
      <c r="T50" s="2">
        <f ca="1">Planet(Panchanga!$E50,2)</f>
        <v>293.23142544629019</v>
      </c>
      <c r="U50" s="2">
        <f ca="1">Planet(Panchanga!$E50,5)</f>
        <v>208.06840162351361</v>
      </c>
      <c r="V50" s="2">
        <f ca="1">Planet(Panchanga!$E50,3)</f>
        <v>305.98494020370225</v>
      </c>
      <c r="W50" s="2">
        <f ca="1">Planet(Panchanga!$E50,6)</f>
        <v>251.70734844483758</v>
      </c>
      <c r="X50" s="2">
        <f ca="1">Planet(Panchanga!$E50,10)</f>
        <v>110.61637106106549</v>
      </c>
      <c r="Y50" s="2">
        <f ca="1">SIGN(S51-Panchanga!$S50)</f>
        <v>1</v>
      </c>
    </row>
    <row r="51" spans="1:25" x14ac:dyDescent="0.2">
      <c r="A51" s="3">
        <f t="shared" ca="1" si="11"/>
        <v>43143</v>
      </c>
      <c r="B51" s="3">
        <f t="shared" ca="1" si="16"/>
        <v>43143.229166666664</v>
      </c>
      <c r="C51" s="8">
        <f t="shared" ca="1" si="12"/>
        <v>43143.274078892231</v>
      </c>
      <c r="D51" s="8">
        <f t="shared" ca="1" si="13"/>
        <v>43142.758891403719</v>
      </c>
      <c r="E51" s="12">
        <f ca="1">Panchanga!$C51-TimeZone/24</f>
        <v>43143.044912225567</v>
      </c>
      <c r="F51" s="13">
        <f t="shared" ca="1" si="7"/>
        <v>299.14774125377852</v>
      </c>
      <c r="G51" s="6">
        <f t="shared" ca="1" si="14"/>
        <v>257.06966766126368</v>
      </c>
      <c r="H51" s="7">
        <f t="shared" ca="1" si="10"/>
        <v>43143.044912225567</v>
      </c>
      <c r="I51" s="2" t="str">
        <f ca="1">naks(Panchanga!$G51)</f>
        <v>Purva Asadha</v>
      </c>
      <c r="J51" s="8">
        <f ca="1">(C52-Panchanga!$C51)/(G52-Panchanga!$G51)*(13.3333333333333-MOD(Panchanga!$G51,13.333333333333))+Panchanga!$C51</f>
        <v>43144.085211857258</v>
      </c>
      <c r="K51" s="2" t="str">
        <f ca="1">IF(Panchanga!$P51&gt;15,"K","S")&amp;ROUNDUP(MOD(Panchanga!$P51,15),0)&amp;" ("&amp;ROUND(Panchanga!$P51,2)&amp;")"</f>
        <v>K12 (26.49)</v>
      </c>
      <c r="L51" s="2">
        <f ca="1">IF(AND(Panchanga!$P51&lt;28.5,Panchanga!$P51&gt;0.49999),MOD((Panchanga!$P51-0.5)*2,7),MOD((Panchanga!$P51+30-28.5),30)*2+7)</f>
        <v>2.9870000000000019</v>
      </c>
      <c r="M51" s="2" t="str">
        <f ca="1">CHOOSE(ROUNDUP(Panchanga!$L51,0),"Bhava","Baalava","Kaulava","Taitula","Garija","Vanija","Vishti","Shakuni","Chatushapda","Naaga","Kimstugna")</f>
        <v>Kaulava</v>
      </c>
      <c r="N51" s="25" t="str">
        <f ca="1">CHOOSE(ROUNDUP(Panchanga!$Q51,0),"Vishkambha-विष्कम्भ-Sa","Priti-प्रीति-Me","Ayushman-आयुष्मान-Ke","Saubhagya-सौभाग्य-Ve","Shobhana-शोभन-Su","Atiganda-अतिगण्ड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("&amp;Panchanga!$Q51&amp;")"</f>
        <v>Vajra-वज्र-Mo (14.72)</v>
      </c>
      <c r="O51" s="2">
        <f ca="1">IF(AND(Panchanga!$P51&lt;28.5,Panchanga!$P51&gt;0.49999),MOD((Panchanga!$P51-0.5)*2,7),MOD((Panchanga!$P51+30-28.5),30)*2+7)</f>
        <v>2.9870000000000019</v>
      </c>
      <c r="P51" s="2">
        <f ca="1">ROUNDUP(MOD(360+Panchanga!$G51-Panchanga!$F51,360)/12,4)</f>
        <v>26.493500000000001</v>
      </c>
      <c r="Q51" s="2">
        <f t="shared" ca="1" si="15"/>
        <v>14.72</v>
      </c>
      <c r="R51" s="2" t="str">
        <f ca="1">SIGN(S52-Panchanga!$S51)*INT(Panchanga!$S51/30+1)&amp;"Ma,"&amp;SIGN(T52-Panchanga!$T51)*INT(Panchanga!$T51/30+1)&amp;"Me,"&amp;SIGN(U52-Panchanga!$U51)*INT(Panchanga!$U51/30+1)&amp;"Ju,"&amp;SIGN(V52-Panchanga!$V51)*INT(Panchanga!$V51/30+1)&amp;"Ve,"&amp;SIGN(W52-Panchanga!$W51)*INT(Panchanga!$W51/30+1)&amp;"Sa,"&amp;INT(Panchanga!$X51/30+1)&amp;"Ra"</f>
        <v>8Ma,10Me,7Ju,11Ve,9Sa,4Ra</v>
      </c>
      <c r="S51" s="2">
        <f ca="1">Planet(Panchanga!$E51,4)</f>
        <v>225.97692424809625</v>
      </c>
      <c r="T51" s="2">
        <f ca="1">Planet(Panchanga!$E51,2)</f>
        <v>294.96115667257203</v>
      </c>
      <c r="U51" s="2">
        <f ca="1">Planet(Panchanga!$E51,5)</f>
        <v>208.1455135641848</v>
      </c>
      <c r="V51" s="2">
        <f ca="1">Planet(Panchanga!$E51,3)</f>
        <v>307.23739159252932</v>
      </c>
      <c r="W51" s="2">
        <f ca="1">Planet(Panchanga!$E51,6)</f>
        <v>251.79998663972233</v>
      </c>
      <c r="X51" s="2">
        <f ca="1">Planet(Panchanga!$E51,10)</f>
        <v>110.56339127639507</v>
      </c>
      <c r="Y51" s="2">
        <f ca="1">SIGN(S52-Panchanga!$S51)</f>
        <v>1</v>
      </c>
    </row>
    <row r="52" spans="1:25" x14ac:dyDescent="0.2">
      <c r="A52" s="3">
        <f t="shared" ca="1" si="11"/>
        <v>43144</v>
      </c>
      <c r="B52" s="3">
        <f t="shared" ca="1" si="16"/>
        <v>43144.229166666664</v>
      </c>
      <c r="C52" s="8">
        <f t="shared" ca="1" si="12"/>
        <v>43144.273837612629</v>
      </c>
      <c r="D52" s="8">
        <f t="shared" ca="1" si="13"/>
        <v>43143.759117901369</v>
      </c>
      <c r="E52" s="12">
        <f ca="1">Panchanga!$C52-TimeZone/24</f>
        <v>43144.044670945965</v>
      </c>
      <c r="F52" s="13">
        <f t="shared" ca="1" si="7"/>
        <v>300.15894428609494</v>
      </c>
      <c r="G52" s="6">
        <f t="shared" ca="1" si="14"/>
        <v>268.89841073911577</v>
      </c>
      <c r="H52" s="7">
        <f t="shared" ca="1" si="10"/>
        <v>43144.044670945965</v>
      </c>
      <c r="I52" s="2" t="str">
        <f ca="1">naks(Panchanga!$G52)</f>
        <v>Uttara Asadha</v>
      </c>
      <c r="J52" s="8">
        <f ca="1">(C53-Panchanga!$C52)/(G53-Panchanga!$G52)*(13.3333333333333-MOD(Panchanga!$G52,13.333333333333))+Panchanga!$C52</f>
        <v>43145.205453817325</v>
      </c>
      <c r="K52" s="2" t="str">
        <f ca="1">IF(Panchanga!$P52&gt;15,"K","S")&amp;ROUNDUP(MOD(Panchanga!$P52,15),0)&amp;" ("&amp;ROUND(Panchanga!$P52,2)&amp;")"</f>
        <v>K13 (27.4)</v>
      </c>
      <c r="L52" s="2">
        <f ca="1">IF(AND(Panchanga!$P52&lt;28.5,Panchanga!$P52&gt;0.49999),MOD((Panchanga!$P52-0.5)*2,7),MOD((Panchanga!$P52+30-28.5),30)*2+7)</f>
        <v>4.7899999999999991</v>
      </c>
      <c r="M52" s="2" t="str">
        <f ca="1">CHOOSE(ROUNDUP(Panchanga!$L52,0),"Bhava","Baalava","Kaulava","Taitula","Garija","Vanija","Vishti","Shakuni","Chatushapda","Naaga","Kimstugna")</f>
        <v>Garija</v>
      </c>
      <c r="N52" s="25" t="str">
        <f ca="1">CHOOSE(ROUNDUP(Panchanga!$Q52,0),"Vishkambha-विष्कम्भ-Sa","Priti-प्रीति-Me","Ayushman-आयुष्मान-Ke","Saubhagya-सौभाग्य-Ve","Shobhana-शोभन-Su","Atiganda-अतिगण्ड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("&amp;Panchanga!$Q52&amp;")"</f>
        <v>Siddhi-सिद्धि-Ma (15.68)</v>
      </c>
      <c r="O52" s="2">
        <f ca="1">IF(AND(Panchanga!$P52&lt;28.5,Panchanga!$P52&gt;0.49999),MOD((Panchanga!$P52-0.5)*2,7),MOD((Panchanga!$P52+30-28.5),30)*2+7)</f>
        <v>4.7899999999999991</v>
      </c>
      <c r="P52" s="2">
        <f ca="1">ROUNDUP(MOD(360+Panchanga!$G52-Panchanga!$F52,360)/12,4)</f>
        <v>27.395</v>
      </c>
      <c r="Q52" s="2">
        <f t="shared" ca="1" si="15"/>
        <v>15.68</v>
      </c>
      <c r="R52" s="2" t="str">
        <f ca="1">SIGN(S53-Panchanga!$S52)*INT(Panchanga!$S52/30+1)&amp;"Ma,"&amp;SIGN(T53-Panchanga!$T52)*INT(Panchanga!$T52/30+1)&amp;"Me,"&amp;SIGN(U53-Panchanga!$U52)*INT(Panchanga!$U52/30+1)&amp;"Ju,"&amp;SIGN(V53-Panchanga!$V52)*INT(Panchanga!$V52/30+1)&amp;"Ve,"&amp;SIGN(W53-Panchanga!$W52)*INT(Panchanga!$W52/30+1)&amp;"Sa,"&amp;INT(Panchanga!$X52/30+1)&amp;"Ra"</f>
        <v>8Ma,10Me,7Ju,11Ve,9Sa,4Ra</v>
      </c>
      <c r="S52" s="2">
        <f ca="1">Planet(Panchanga!$E52,4)</f>
        <v>226.58271773901384</v>
      </c>
      <c r="T52" s="2">
        <f ca="1">Planet(Panchanga!$E52,2)</f>
        <v>296.7047954352239</v>
      </c>
      <c r="U52" s="2">
        <f ca="1">Planet(Panchanga!$E52,5)</f>
        <v>208.21982520730884</v>
      </c>
      <c r="V52" s="2">
        <f ca="1">Planet(Panchanga!$E52,3)</f>
        <v>308.48959701151864</v>
      </c>
      <c r="W52" s="2">
        <f ca="1">Planet(Panchanga!$E52,6)</f>
        <v>251.89164223790686</v>
      </c>
      <c r="X52" s="2">
        <f ca="1">Planet(Panchanga!$E52,10)</f>
        <v>110.5104120644941</v>
      </c>
      <c r="Y52" s="2">
        <f ca="1">SIGN(S53-Panchanga!$S52)</f>
        <v>1</v>
      </c>
    </row>
    <row r="53" spans="1:25" x14ac:dyDescent="0.2">
      <c r="A53" s="3">
        <f t="shared" ca="1" si="11"/>
        <v>43145</v>
      </c>
      <c r="B53" s="3">
        <f t="shared" ca="1" si="16"/>
        <v>43145.229166666664</v>
      </c>
      <c r="C53" s="8">
        <f t="shared" ca="1" si="12"/>
        <v>43145.273585842609</v>
      </c>
      <c r="D53" s="8">
        <f t="shared" ca="1" si="13"/>
        <v>43144.759337723299</v>
      </c>
      <c r="E53" s="12">
        <f ca="1">Panchanga!$C53-TimeZone/24</f>
        <v>43145.044419175945</v>
      </c>
      <c r="F53" s="13">
        <f t="shared" ca="1" si="7"/>
        <v>301.16978887877974</v>
      </c>
      <c r="G53" s="6">
        <f t="shared" ca="1" si="14"/>
        <v>280.81189416461558</v>
      </c>
      <c r="H53" s="7">
        <f t="shared" ca="1" si="10"/>
        <v>43145.044419175945</v>
      </c>
      <c r="I53" s="2" t="str">
        <f ca="1">naks(Panchanga!$G53)</f>
        <v>Sravana</v>
      </c>
      <c r="J53" s="8">
        <f ca="1">(C54-Panchanga!$C53)/(G54-Panchanga!$G53)*(13.3333333333333-MOD(Panchanga!$G53,13.333333333333))+Panchanga!$C53</f>
        <v>43146.313208439104</v>
      </c>
      <c r="K53" s="2" t="str">
        <f ca="1">IF(Panchanga!$P53&gt;15,"K","S")&amp;ROUNDUP(MOD(Panchanga!$P53,15),0)&amp;" ("&amp;ROUND(Panchanga!$P53,2)&amp;")"</f>
        <v>K14 (28.3)</v>
      </c>
      <c r="L53" s="2">
        <f ca="1">IF(AND(Panchanga!$P53&lt;28.5,Panchanga!$P53&gt;0.49999),MOD((Panchanga!$P53-0.5)*2,7),MOD((Panchanga!$P53+30-28.5),30)*2+7)</f>
        <v>6.6071999999999989</v>
      </c>
      <c r="M53" s="2" t="str">
        <f ca="1">CHOOSE(ROUNDUP(Panchanga!$L53,0),"Bhava","Baalava","Kaulava","Taitula","Garija","Vanija","Vishti","Shakuni","Chatushapda","Naaga","Kimstugna")</f>
        <v>Vishti</v>
      </c>
      <c r="N53" s="25" t="str">
        <f ca="1">CHOOSE(ROUNDUP(Panchanga!$Q53,0),"Vishkambha-विष्कम्भ-Sa","Priti-प्रीति-Me","Ayushman-आयुष्मान-Ke","Saubhagya-सौभाग्य-Ve","Shobhana-शोभन-Su","Atiganda-अतिगण्ड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("&amp;Panchanga!$Q53&amp;")"</f>
        <v>Vyatipata-व्यतिपात-Ra (16.65)</v>
      </c>
      <c r="O53" s="2">
        <f ca="1">IF(AND(Panchanga!$P53&lt;28.5,Panchanga!$P53&gt;0.49999),MOD((Panchanga!$P53-0.5)*2,7),MOD((Panchanga!$P53+30-28.5),30)*2+7)</f>
        <v>6.6071999999999989</v>
      </c>
      <c r="P53" s="2">
        <f ca="1">ROUNDUP(MOD(360+Panchanga!$G53-Panchanga!$F53,360)/12,4)</f>
        <v>28.303599999999999</v>
      </c>
      <c r="Q53" s="2">
        <f t="shared" ca="1" si="15"/>
        <v>16.650000000000002</v>
      </c>
      <c r="R53" s="2" t="str">
        <f ca="1">SIGN(S54-Panchanga!$S53)*INT(Panchanga!$S53/30+1)&amp;"Ma,"&amp;SIGN(T54-Panchanga!$T53)*INT(Panchanga!$T53/30+1)&amp;"Me,"&amp;SIGN(U54-Panchanga!$U53)*INT(Panchanga!$U53/30+1)&amp;"Ju,"&amp;SIGN(V54-Panchanga!$V53)*INT(Panchanga!$V53/30+1)&amp;"Ve,"&amp;SIGN(W54-Panchanga!$W53)*INT(Panchanga!$W53/30+1)&amp;"Sa,"&amp;INT(Panchanga!$X53/30+1)&amp;"Ra"</f>
        <v>8Ma,10Me,7Ju,11Ve,9Sa,4Ra</v>
      </c>
      <c r="S53" s="2">
        <f ca="1">Planet(Panchanga!$E53,4)</f>
        <v>227.18780858364812</v>
      </c>
      <c r="T53" s="2">
        <f ca="1">Planet(Panchanga!$E53,2)</f>
        <v>298.46244454557745</v>
      </c>
      <c r="U53" s="2">
        <f ca="1">Planet(Panchanga!$E53,5)</f>
        <v>208.291311305134</v>
      </c>
      <c r="V53" s="2">
        <f ca="1">Planet(Panchanga!$E53,3)</f>
        <v>309.74154499098228</v>
      </c>
      <c r="W53" s="2">
        <f ca="1">Planet(Panchanga!$E53,6)</f>
        <v>251.98229629831727</v>
      </c>
      <c r="X53" s="2">
        <f ca="1">Planet(Panchanga!$E53,10)</f>
        <v>110.45743340847898</v>
      </c>
      <c r="Y53" s="2">
        <f ca="1">SIGN(S54-Panchanga!$S53)</f>
        <v>1</v>
      </c>
    </row>
    <row r="54" spans="1:25" x14ac:dyDescent="0.2">
      <c r="A54" s="3">
        <f t="shared" ca="1" si="11"/>
        <v>43146</v>
      </c>
      <c r="B54" s="3">
        <f t="shared" ca="1" si="16"/>
        <v>43146.229166666664</v>
      </c>
      <c r="C54" s="8">
        <f t="shared" ca="1" si="12"/>
        <v>43146.273323740963</v>
      </c>
      <c r="D54" s="8">
        <f t="shared" ca="1" si="13"/>
        <v>43145.759551028765</v>
      </c>
      <c r="E54" s="12">
        <f ca="1">Panchanga!$C54-TimeZone/24</f>
        <v>43146.044157074299</v>
      </c>
      <c r="F54" s="13">
        <f t="shared" ca="1" si="7"/>
        <v>302.1802554196226</v>
      </c>
      <c r="G54" s="6">
        <f t="shared" ca="1" si="14"/>
        <v>292.85295341156996</v>
      </c>
      <c r="H54" s="7">
        <f t="shared" ca="1" si="10"/>
        <v>43146.044157074299</v>
      </c>
      <c r="I54" s="2" t="str">
        <f ca="1">naks(Panchanga!$G54)</f>
        <v>Sravana</v>
      </c>
      <c r="J54" s="8">
        <f ca="1">(C55-Panchanga!$C54)/(G55-Panchanga!$G54)*(13.3333333333333-MOD(Panchanga!$G54,13.333333333333))+Panchanga!$C54</f>
        <v>43146.31268266921</v>
      </c>
      <c r="K54" s="2" t="str">
        <f ca="1">IF(Panchanga!$P54&gt;15,"K","S")&amp;ROUNDUP(MOD(Panchanga!$P54,15),0)&amp;" ("&amp;ROUND(Panchanga!$P54,2)&amp;")"</f>
        <v>K15 (29.22)</v>
      </c>
      <c r="L54" s="2">
        <f ca="1">IF(AND(Panchanga!$P54&lt;28.5,Panchanga!$P54&gt;0.49999),MOD((Panchanga!$P54-0.5)*2,7),MOD((Panchanga!$P54+30-28.5),30)*2+7)</f>
        <v>8.4455999999999989</v>
      </c>
      <c r="M54" s="2" t="str">
        <f ca="1">CHOOSE(ROUNDUP(Panchanga!$L54,0),"Bhava","Baalava","Kaulava","Taitula","Garija","Vanija","Vishti","Shakuni","Chatushapda","Naaga","Kimstugna")</f>
        <v>Chatushapda</v>
      </c>
      <c r="N54" s="25" t="str">
        <f ca="1">CHOOSE(ROUNDUP(Panchanga!$Q54,0),"Vishkambha-विष्कम्भ-Sa","Priti-प्रीति-Me","Ayushman-आयुष्मान-Ke","Saubhagya-सौभाग्य-Ve","Shobhana-शोभन-Su","Atiganda-अतिगण्ड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("&amp;Panchanga!$Q54&amp;")"</f>
        <v>Varigha-वरीयस्-Ju (17.63)</v>
      </c>
      <c r="O54" s="2">
        <f ca="1">IF(AND(Panchanga!$P54&lt;28.5,Panchanga!$P54&gt;0.49999),MOD((Panchanga!$P54-0.5)*2,7),MOD((Panchanga!$P54+30-28.5),30)*2+7)</f>
        <v>8.4455999999999989</v>
      </c>
      <c r="P54" s="2">
        <f ca="1">ROUNDUP(MOD(360+Panchanga!$G54-Panchanga!$F54,360)/12,4)</f>
        <v>29.222799999999999</v>
      </c>
      <c r="Q54" s="2">
        <f t="shared" ca="1" si="15"/>
        <v>17.630000000000003</v>
      </c>
      <c r="R54" s="2" t="str">
        <f ca="1">SIGN(S55-Panchanga!$S54)*INT(Panchanga!$S54/30+1)&amp;"Ma,"&amp;SIGN(T55-Panchanga!$T54)*INT(Panchanga!$T54/30+1)&amp;"Me,"&amp;SIGN(U55-Panchanga!$U54)*INT(Panchanga!$U54/30+1)&amp;"Ju,"&amp;SIGN(V55-Panchanga!$V54)*INT(Panchanga!$V54/30+1)&amp;"Ve,"&amp;SIGN(W55-Panchanga!$W54)*INT(Panchanga!$W54/30+1)&amp;"Sa,"&amp;INT(Panchanga!$X54/30+1)&amp;"Ra"</f>
        <v>8Ma,11Me,7Ju,11Ve,9Sa,4Ra</v>
      </c>
      <c r="S54" s="2">
        <f ca="1">Planet(Panchanga!$E54,4)</f>
        <v>227.79217460094239</v>
      </c>
      <c r="T54" s="2">
        <f ca="1">Planet(Panchanga!$E54,2)</f>
        <v>300.23414941883874</v>
      </c>
      <c r="U54" s="2">
        <f ca="1">Planet(Panchanga!$E54,5)</f>
        <v>208.35994757177167</v>
      </c>
      <c r="V54" s="2">
        <f ca="1">Planet(Panchanga!$E54,3)</f>
        <v>310.99322294869739</v>
      </c>
      <c r="W54" s="2">
        <f ca="1">Planet(Panchanga!$E54,6)</f>
        <v>252.07193001439148</v>
      </c>
      <c r="X54" s="2">
        <f ca="1">Planet(Panchanga!$E54,10)</f>
        <v>110.40445530001554</v>
      </c>
      <c r="Y54" s="2">
        <f ca="1">SIGN(S55-Panchanga!$S54)</f>
        <v>1</v>
      </c>
    </row>
    <row r="55" spans="1:25" x14ac:dyDescent="0.2">
      <c r="A55" s="3">
        <f t="shared" ca="1" si="11"/>
        <v>43147</v>
      </c>
      <c r="B55" s="3">
        <f t="shared" ca="1" si="16"/>
        <v>43147.229166666664</v>
      </c>
      <c r="C55" s="8">
        <f t="shared" ca="1" si="12"/>
        <v>43147.273051466946</v>
      </c>
      <c r="D55" s="8">
        <f t="shared" ca="1" si="13"/>
        <v>43146.759757816835</v>
      </c>
      <c r="E55" s="12">
        <f ca="1">Panchanga!$C55-TimeZone/24</f>
        <v>43147.043884800281</v>
      </c>
      <c r="F55" s="13">
        <f t="shared" ca="1" si="7"/>
        <v>303.19032316613198</v>
      </c>
      <c r="G55" s="6">
        <f t="shared" ca="1" si="14"/>
        <v>305.05473705150973</v>
      </c>
      <c r="H55" s="7">
        <f t="shared" ca="1" si="10"/>
        <v>43147.043884800281</v>
      </c>
      <c r="I55" s="2" t="str">
        <f ca="1">naks(Panchanga!$G55)</f>
        <v>Dhanistha</v>
      </c>
      <c r="J55" s="8">
        <f ca="1">(C56-Panchanga!$C55)/(G56-Panchanga!$G55)*(13.3333333333333-MOD(Panchanga!$G55,13.333333333333))+Panchanga!$C55</f>
        <v>43147.40314495514</v>
      </c>
      <c r="K55" s="2" t="str">
        <f ca="1">IF(Panchanga!$P55&gt;15,"K","S")&amp;ROUNDUP(MOD(Panchanga!$P55,15),0)&amp;" ("&amp;ROUND(Panchanga!$P55,2)&amp;")"</f>
        <v>S1 (0.16)</v>
      </c>
      <c r="L55" s="2">
        <f ca="1">IF(AND(Panchanga!$P55&lt;28.5,Panchanga!$P55&gt;0.49999),MOD((Panchanga!$P55-0.5)*2,7),MOD((Panchanga!$P55+30-28.5),30)*2+7)</f>
        <v>10.3108</v>
      </c>
      <c r="M55" s="2" t="str">
        <f ca="1">CHOOSE(ROUNDUP(Panchanga!$L55,0),"Bhava","Baalava","Kaulava","Taitula","Garija","Vanija","Vishti","Shakuni","Chatushapda","Naaga","Kimstugna")</f>
        <v>Kimstugna</v>
      </c>
      <c r="N55" s="25" t="str">
        <f ca="1">CHOOSE(ROUNDUP(Panchanga!$Q55,0),"Vishkambha-विष्कम्भ-Sa","Priti-प्रीति-Me","Ayushman-आयुष्मान-Ke","Saubhagya-सौभाग्य-Ve","Shobhana-शोभन-Su","Atiganda-अतिगण्ड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("&amp;Panchanga!$Q55&amp;")"</f>
        <v>Parigha-परिघ-Sa (18.62)</v>
      </c>
      <c r="O55" s="2">
        <f ca="1">IF(AND(Panchanga!$P55&lt;28.5,Panchanga!$P55&gt;0.49999),MOD((Panchanga!$P55-0.5)*2,7),MOD((Panchanga!$P55+30-28.5),30)*2+7)</f>
        <v>10.3108</v>
      </c>
      <c r="P55" s="2">
        <f ca="1">ROUNDUP(MOD(360+Panchanga!$G55-Panchanga!$F55,360)/12,4)</f>
        <v>0.15539999999999998</v>
      </c>
      <c r="Q55" s="2">
        <f t="shared" ca="1" si="15"/>
        <v>18.62</v>
      </c>
      <c r="R55" s="2" t="str">
        <f ca="1">SIGN(S56-Panchanga!$S55)*INT(Panchanga!$S55/30+1)&amp;"Ma,"&amp;SIGN(T56-Panchanga!$T55)*INT(Panchanga!$T55/30+1)&amp;"Me,"&amp;SIGN(U56-Panchanga!$U55)*INT(Panchanga!$U55/30+1)&amp;"Ju,"&amp;SIGN(V56-Panchanga!$V55)*INT(Panchanga!$V55/30+1)&amp;"Ve,"&amp;SIGN(W56-Panchanga!$W55)*INT(Panchanga!$W55/30+1)&amp;"Sa,"&amp;INT(Panchanga!$X55/30+1)&amp;"Ra"</f>
        <v>8Ma,11Me,7Ju,11Ve,9Sa,4Ra</v>
      </c>
      <c r="S55" s="2">
        <f ca="1">Planet(Panchanga!$E55,4)</f>
        <v>228.39579427366482</v>
      </c>
      <c r="T55" s="2">
        <f ca="1">Planet(Panchanga!$E55,2)</f>
        <v>302.01988452061903</v>
      </c>
      <c r="U55" s="2">
        <f ca="1">Planet(Panchanga!$E55,5)</f>
        <v>208.42571080947278</v>
      </c>
      <c r="V55" s="2">
        <f ca="1">Planet(Panchanga!$E55,3)</f>
        <v>312.24461741492848</v>
      </c>
      <c r="W55" s="2">
        <f ca="1">Planet(Panchanga!$E55,6)</f>
        <v>252.16052477646096</v>
      </c>
      <c r="X55" s="2">
        <f ca="1">Planet(Panchanga!$E55,10)</f>
        <v>110.35147773057092</v>
      </c>
      <c r="Y55" s="2">
        <f ca="1">SIGN(S56-Panchanga!$S55)</f>
        <v>1</v>
      </c>
    </row>
    <row r="56" spans="1:25" x14ac:dyDescent="0.2">
      <c r="A56" s="3">
        <f t="shared" ca="1" si="11"/>
        <v>43148</v>
      </c>
      <c r="B56" s="3">
        <f t="shared" ca="1" si="16"/>
        <v>43148.229166666664</v>
      </c>
      <c r="C56" s="8">
        <f t="shared" ca="1" si="12"/>
        <v>43148.272769179348</v>
      </c>
      <c r="D56" s="8">
        <f t="shared" ca="1" si="13"/>
        <v>43147.759958088442</v>
      </c>
      <c r="E56" s="12">
        <f ca="1">Panchanga!$C56-TimeZone/24</f>
        <v>43148.043602512684</v>
      </c>
      <c r="F56" s="13">
        <f t="shared" ca="1" si="7"/>
        <v>304.19997046046001</v>
      </c>
      <c r="G56" s="6">
        <f t="shared" ca="1" si="14"/>
        <v>317.44178739363736</v>
      </c>
      <c r="H56" s="7">
        <f t="shared" ca="1" si="10"/>
        <v>43148.043602512684</v>
      </c>
      <c r="I56" s="2" t="str">
        <f ca="1">naks(Panchanga!$G56)</f>
        <v>Satabhisaj</v>
      </c>
      <c r="J56" s="8">
        <f ca="1">(C57-Panchanga!$C56)/(G57-Panchanga!$G56)*(13.3333333333333-MOD(Panchanga!$G56,13.333333333333))+Panchanga!$C56</f>
        <v>43148.475903232851</v>
      </c>
      <c r="K56" s="2" t="str">
        <f ca="1">IF(Panchanga!$P56&gt;15,"K","S")&amp;ROUNDUP(MOD(Panchanga!$P56,15),0)&amp;" ("&amp;ROUND(Panchanga!$P56,2)&amp;")"</f>
        <v>S2 (1.1)</v>
      </c>
      <c r="L56" s="2">
        <f ca="1">IF(AND(Panchanga!$P56&lt;28.5,Panchanga!$P56&gt;0.49999),MOD((Panchanga!$P56-0.5)*2,7),MOD((Panchanga!$P56+30-28.5),30)*2+7)</f>
        <v>1.2069999999999999</v>
      </c>
      <c r="M56" s="2" t="str">
        <f ca="1">CHOOSE(ROUNDUP(Panchanga!$L56,0),"Bhava","Baalava","Kaulava","Taitula","Garija","Vanija","Vishti","Shakuni","Chatushapda","Naaga","Kimstugna")</f>
        <v>Baalava</v>
      </c>
      <c r="N56" s="25" t="str">
        <f ca="1">CHOOSE(ROUNDUP(Panchanga!$Q56,0),"Vishkambha-विष्कम्भ-Sa","Priti-प्रीति-Me","Ayushman-आयुष्मान-Ke","Saubhagya-सौभाग्य-Ve","Shobhana-शोभन-Su","Atiganda-अतिगण्ड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("&amp;Panchanga!$Q56&amp;")"</f>
        <v>Shiva-शिव-Me (19.63)</v>
      </c>
      <c r="O56" s="2">
        <f ca="1">IF(AND(Panchanga!$P56&lt;28.5,Panchanga!$P56&gt;0.49999),MOD((Panchanga!$P56-0.5)*2,7),MOD((Panchanga!$P56+30-28.5),30)*2+7)</f>
        <v>1.2069999999999999</v>
      </c>
      <c r="P56" s="2">
        <f ca="1">ROUNDUP(MOD(360+Panchanga!$G56-Panchanga!$F56,360)/12,4)</f>
        <v>1.1034999999999999</v>
      </c>
      <c r="Q56" s="2">
        <f t="shared" ca="1" si="15"/>
        <v>19.630000000000003</v>
      </c>
      <c r="R56" s="2" t="str">
        <f ca="1">SIGN(S57-Panchanga!$S56)*INT(Panchanga!$S56/30+1)&amp;"Ma,"&amp;SIGN(T57-Panchanga!$T56)*INT(Panchanga!$T56/30+1)&amp;"Me,"&amp;SIGN(U57-Panchanga!$U56)*INT(Panchanga!$U56/30+1)&amp;"Ju,"&amp;SIGN(V57-Panchanga!$V56)*INT(Panchanga!$V56/30+1)&amp;"Ve,"&amp;SIGN(W57-Panchanga!$W56)*INT(Panchanga!$W56/30+1)&amp;"Sa,"&amp;INT(Panchanga!$X56/30+1)&amp;"Ra"</f>
        <v>8Ma,11Me,7Ju,11Ve,9Sa,4Ra</v>
      </c>
      <c r="S56" s="2">
        <f ca="1">Planet(Panchanga!$E56,4)</f>
        <v>228.99864710061962</v>
      </c>
      <c r="T56" s="2">
        <f ca="1">Planet(Panchanga!$E56,2)</f>
        <v>303.81953673788405</v>
      </c>
      <c r="U56" s="2">
        <f ca="1">Planet(Panchanga!$E56,5)</f>
        <v>208.48857903842816</v>
      </c>
      <c r="V56" s="2">
        <f ca="1">Planet(Panchanga!$E56,3)</f>
        <v>313.49571409118403</v>
      </c>
      <c r="W56" s="2">
        <f ca="1">Planet(Panchanga!$E56,6)</f>
        <v>252.24806223895828</v>
      </c>
      <c r="X56" s="2">
        <f ca="1">Planet(Panchanga!$E56,10)</f>
        <v>110.29850069177785</v>
      </c>
      <c r="Y56" s="2">
        <f ca="1">SIGN(S57-Panchanga!$S56)</f>
        <v>1</v>
      </c>
    </row>
    <row r="57" spans="1:25" x14ac:dyDescent="0.2">
      <c r="A57" s="3">
        <f t="shared" ca="1" si="11"/>
        <v>43149</v>
      </c>
      <c r="B57" s="3">
        <f t="shared" ca="1" si="16"/>
        <v>43149.229166666664</v>
      </c>
      <c r="C57" s="8">
        <f t="shared" ca="1" si="12"/>
        <v>43149.272477196217</v>
      </c>
      <c r="D57" s="8">
        <f t="shared" ca="1" si="13"/>
        <v>43148.760151684328</v>
      </c>
      <c r="E57" s="12">
        <f ca="1">Panchanga!$C57-TimeZone/24</f>
        <v>43149.043310529552</v>
      </c>
      <c r="F57" s="13">
        <f t="shared" ca="1" si="7"/>
        <v>305.20917528213909</v>
      </c>
      <c r="G57" s="6">
        <f t="shared" ca="1" si="14"/>
        <v>330.03182637187399</v>
      </c>
      <c r="H57" s="7">
        <f t="shared" ca="1" si="10"/>
        <v>43149.043310529552</v>
      </c>
      <c r="I57" s="2" t="str">
        <f ca="1">naks(Panchanga!$G57)</f>
        <v>Purva Bhadrapada</v>
      </c>
      <c r="J57" s="8">
        <f ca="1">(C58-Panchanga!$C57)/(G58-Panchanga!$G57)*(13.3333333333333-MOD(Panchanga!$G57,13.333333333333))+Panchanga!$C57</f>
        <v>43149.530208263343</v>
      </c>
      <c r="K57" s="2" t="str">
        <f ca="1">IF(Panchanga!$P57&gt;15,"K","S")&amp;ROUNDUP(MOD(Panchanga!$P57,15),0)&amp;" ("&amp;ROUND(Panchanga!$P57,2)&amp;")"</f>
        <v>S3 (2.07)</v>
      </c>
      <c r="L57" s="2">
        <f ca="1">IF(AND(Panchanga!$P57&lt;28.5,Panchanga!$P57&gt;0.49999),MOD((Panchanga!$P57-0.5)*2,7),MOD((Panchanga!$P57+30-28.5),30)*2+7)</f>
        <v>3.1372</v>
      </c>
      <c r="M57" s="2" t="str">
        <f ca="1">CHOOSE(ROUNDUP(Panchanga!$L57,0),"Bhava","Baalava","Kaulava","Taitula","Garija","Vanija","Vishti","Shakuni","Chatushapda","Naaga","Kimstugna")</f>
        <v>Taitula</v>
      </c>
      <c r="N57" s="25" t="str">
        <f ca="1">CHOOSE(ROUNDUP(Panchanga!$Q57,0),"Vishkambha-विष्कम्भ-Sa","Priti-प्रीति-Me","Ayushman-आयुष्मान-Ke","Saubhagya-सौभाग्य-Ve","Shobhana-शोभन-Su","Atiganda-अतिगण्ड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("&amp;Panchanga!$Q57&amp;")"</f>
        <v>Siddha-सिद्ध-Ke (20.65)</v>
      </c>
      <c r="O57" s="2">
        <f ca="1">IF(AND(Panchanga!$P57&lt;28.5,Panchanga!$P57&gt;0.49999),MOD((Panchanga!$P57-0.5)*2,7),MOD((Panchanga!$P57+30-28.5),30)*2+7)</f>
        <v>3.1372</v>
      </c>
      <c r="P57" s="2">
        <f ca="1">ROUNDUP(MOD(360+Panchanga!$G57-Panchanga!$F57,360)/12,4)</f>
        <v>2.0686</v>
      </c>
      <c r="Q57" s="2">
        <f t="shared" ca="1" si="15"/>
        <v>20.650000000000002</v>
      </c>
      <c r="R57" s="2" t="str">
        <f ca="1">SIGN(S58-Panchanga!$S57)*INT(Panchanga!$S57/30+1)&amp;"Ma,"&amp;SIGN(T58-Panchanga!$T57)*INT(Panchanga!$T57/30+1)&amp;"Me,"&amp;SIGN(U58-Panchanga!$U57)*INT(Panchanga!$U57/30+1)&amp;"Ju,"&amp;SIGN(V58-Panchanga!$V57)*INT(Panchanga!$V57/30+1)&amp;"Ve,"&amp;SIGN(W58-Panchanga!$W57)*INT(Panchanga!$W57/30+1)&amp;"Sa,"&amp;INT(Panchanga!$X57/30+1)&amp;"Ra"</f>
        <v>8Ma,11Me,7Ju,11Ve,9Sa,4Ra</v>
      </c>
      <c r="S57" s="2">
        <f ca="1">Planet(Panchanga!$E57,4)</f>
        <v>229.60071410597939</v>
      </c>
      <c r="T57" s="2">
        <f ca="1">Planet(Panchanga!$E57,2)</f>
        <v>305.63288276656783</v>
      </c>
      <c r="U57" s="2">
        <f ca="1">Planet(Panchanga!$E57,5)</f>
        <v>208.54853163536521</v>
      </c>
      <c r="V57" s="2">
        <f ca="1">Planet(Panchanga!$E57,3)</f>
        <v>314.74649820805064</v>
      </c>
      <c r="W57" s="2">
        <f ca="1">Planet(Panchanga!$E57,6)</f>
        <v>252.33452441110452</v>
      </c>
      <c r="X57" s="2">
        <f ca="1">Planet(Panchanga!$E57,10)</f>
        <v>110.24552416676931</v>
      </c>
      <c r="Y57" s="2">
        <f ca="1">SIGN(S58-Panchanga!$S57)</f>
        <v>1</v>
      </c>
    </row>
    <row r="58" spans="1:25" x14ac:dyDescent="0.2">
      <c r="A58" s="3">
        <f t="shared" ca="1" si="11"/>
        <v>43150</v>
      </c>
      <c r="B58" s="3">
        <f t="shared" ca="1" si="16"/>
        <v>43150.229166666664</v>
      </c>
      <c r="C58" s="8">
        <f t="shared" ca="1" si="12"/>
        <v>43150.272175517086</v>
      </c>
      <c r="D58" s="8">
        <f t="shared" ca="1" si="13"/>
        <v>43149.76033876375</v>
      </c>
      <c r="E58" s="12">
        <f ca="1">Panchanga!$C58-TimeZone/24</f>
        <v>43150.043008850422</v>
      </c>
      <c r="F58" s="13">
        <f t="shared" ca="1" si="7"/>
        <v>306.21791533946083</v>
      </c>
      <c r="G58" s="6">
        <f t="shared" ca="1" si="14"/>
        <v>342.83785322195791</v>
      </c>
      <c r="H58" s="7">
        <f t="shared" ca="1" si="10"/>
        <v>43150.043008850422</v>
      </c>
      <c r="I58" s="2" t="str">
        <f ca="1">naks(Panchanga!$G58)</f>
        <v>Uttara Bhadrapada</v>
      </c>
      <c r="J58" s="8">
        <f ca="1">(C59-Panchanga!$C58)/(G59-Panchanga!$G58)*(13.3333333333333-MOD(Panchanga!$G58,13.333333333333))+Panchanga!$C58</f>
        <v>43150.56587941802</v>
      </c>
      <c r="K58" s="2" t="str">
        <f ca="1">IF(Panchanga!$P58&gt;15,"K","S")&amp;ROUNDUP(MOD(Panchanga!$P58,15),0)&amp;" ("&amp;ROUND(Panchanga!$P58,2)&amp;")"</f>
        <v>S4 (3.05)</v>
      </c>
      <c r="L58" s="2">
        <f ca="1">IF(AND(Panchanga!$P58&lt;28.5,Panchanga!$P58&gt;0.49999),MOD((Panchanga!$P58-0.5)*2,7),MOD((Panchanga!$P58+30-28.5),30)*2+7)</f>
        <v>5.1034000000000006</v>
      </c>
      <c r="M58" s="2" t="str">
        <f ca="1">CHOOSE(ROUNDUP(Panchanga!$L58,0),"Bhava","Baalava","Kaulava","Taitula","Garija","Vanija","Vishti","Shakuni","Chatushapda","Naaga","Kimstugna")</f>
        <v>Vanija</v>
      </c>
      <c r="N58" s="25" t="str">
        <f ca="1">CHOOSE(ROUNDUP(Panchanga!$Q58,0),"Vishkambha-विष्कम्भ-Sa","Priti-प्रीति-Me","Ayushman-आयुष्मान-Ke","Saubhagya-सौभाग्य-Ve","Shobhana-शोभन-Su","Atiganda-अतिगण्ड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("&amp;Panchanga!$Q58&amp;")"</f>
        <v>Sadhya-साध्य-Ve (21.68)</v>
      </c>
      <c r="O58" s="2">
        <f ca="1">IF(AND(Panchanga!$P58&lt;28.5,Panchanga!$P58&gt;0.49999),MOD((Panchanga!$P58-0.5)*2,7),MOD((Panchanga!$P58+30-28.5),30)*2+7)</f>
        <v>5.1034000000000006</v>
      </c>
      <c r="P58" s="2">
        <f ca="1">ROUNDUP(MOD(360+Panchanga!$G58-Panchanga!$F58,360)/12,4)</f>
        <v>3.0517000000000003</v>
      </c>
      <c r="Q58" s="2">
        <f t="shared" ca="1" si="15"/>
        <v>21.680000000000003</v>
      </c>
      <c r="R58" s="2" t="str">
        <f ca="1">SIGN(S59-Panchanga!$S58)*INT(Panchanga!$S58/30+1)&amp;"Ma,"&amp;SIGN(T59-Panchanga!$T58)*INT(Panchanga!$T58/30+1)&amp;"Me,"&amp;SIGN(U59-Panchanga!$U58)*INT(Panchanga!$U58/30+1)&amp;"Ju,"&amp;SIGN(V59-Panchanga!$V58)*INT(Panchanga!$V58/30+1)&amp;"Ve,"&amp;SIGN(W59-Panchanga!$W58)*INT(Panchanga!$W58/30+1)&amp;"Sa,"&amp;INT(Panchanga!$X58/30+1)&amp;"Ra"</f>
        <v>8Ma,11Me,7Ju,11Ve,9Sa,4Ra</v>
      </c>
      <c r="S58" s="2">
        <f ca="1">Planet(Panchanga!$E58,4)</f>
        <v>230.20197795046084</v>
      </c>
      <c r="T58" s="2">
        <f ca="1">Planet(Panchanga!$E58,2)</f>
        <v>307.45956323842728</v>
      </c>
      <c r="U58" s="2">
        <f ca="1">Planet(Panchanga!$E58,5)</f>
        <v>208.60554940786156</v>
      </c>
      <c r="V58" s="2">
        <f ca="1">Planet(Panchanga!$E58,3)</f>
        <v>315.99695418848279</v>
      </c>
      <c r="W58" s="2">
        <f ca="1">Planet(Panchanga!$E58,6)</f>
        <v>252.41989369946728</v>
      </c>
      <c r="X58" s="2">
        <f ca="1">Planet(Panchanga!$E58,10)</f>
        <v>110.19254815556192</v>
      </c>
      <c r="Y58" s="2">
        <f ca="1">SIGN(S59-Panchanga!$S58)</f>
        <v>1</v>
      </c>
    </row>
    <row r="59" spans="1:25" x14ac:dyDescent="0.2">
      <c r="A59" s="3">
        <f t="shared" ca="1" si="11"/>
        <v>43151</v>
      </c>
      <c r="B59" s="3">
        <f t="shared" ca="1" si="16"/>
        <v>43151.229166666664</v>
      </c>
      <c r="C59" s="8">
        <f t="shared" ca="1" si="12"/>
        <v>43151.271864301678</v>
      </c>
      <c r="D59" s="8">
        <f t="shared" ca="1" si="13"/>
        <v>43150.760519485033</v>
      </c>
      <c r="E59" s="12">
        <f ca="1">Panchanga!$C59-TimeZone/24</f>
        <v>43151.042697635014</v>
      </c>
      <c r="F59" s="13">
        <f t="shared" ca="1" si="7"/>
        <v>307.22616925897728</v>
      </c>
      <c r="G59" s="6">
        <f t="shared" ca="1" si="14"/>
        <v>355.87010048470245</v>
      </c>
      <c r="H59" s="7">
        <f t="shared" ca="1" si="10"/>
        <v>43151.042697635014</v>
      </c>
      <c r="I59" s="2" t="str">
        <f ca="1">naks(Panchanga!$G59)</f>
        <v>Revati</v>
      </c>
      <c r="J59" s="8">
        <f ca="1">(C60-Panchanga!$C59)/(G60-Panchanga!$G59)*(13.3333333333333-MOD(Panchanga!$G59,13.333333333333))+Panchanga!$C59</f>
        <v>43151.259957218252</v>
      </c>
      <c r="K59" s="2" t="str">
        <f ca="1">IF(Panchanga!$P59&gt;15,"K","S")&amp;ROUNDUP(MOD(Panchanga!$P59,15),0)&amp;" ("&amp;ROUND(Panchanga!$P59,2)&amp;")"</f>
        <v>S5 (4.05)</v>
      </c>
      <c r="L59" s="2">
        <f ca="1">IF(AND(Panchanga!$P59&lt;28.5,Panchanga!$P59&gt;0.49999),MOD((Panchanga!$P59-0.5)*2,7),MOD((Panchanga!$P59+30-28.5),30)*2+7)</f>
        <v>0.10740000000000016</v>
      </c>
      <c r="M59" s="2" t="str">
        <f ca="1">CHOOSE(ROUNDUP(Panchanga!$L59,0),"Bhava","Baalava","Kaulava","Taitula","Garija","Vanija","Vishti","Shakuni","Chatushapda","Naaga","Kimstugna")</f>
        <v>Bhava</v>
      </c>
      <c r="N59" s="25" t="str">
        <f ca="1">CHOOSE(ROUNDUP(Panchanga!$Q59,0),"Vishkambha-विष्कम्भ-Sa","Priti-प्रीति-Me","Ayushman-आयुष्मान-Ke","Saubhagya-सौभाग्य-Ve","Shobhana-शोभन-Su","Atiganda-अतिगण्ड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("&amp;Panchanga!$Q59&amp;")"</f>
        <v>Shubha-शुभ-Su (22.74)</v>
      </c>
      <c r="O59" s="2">
        <f ca="1">IF(AND(Panchanga!$P59&lt;28.5,Panchanga!$P59&gt;0.49999),MOD((Panchanga!$P59-0.5)*2,7),MOD((Panchanga!$P59+30-28.5),30)*2+7)</f>
        <v>0.10740000000000016</v>
      </c>
      <c r="P59" s="2">
        <f ca="1">ROUNDUP(MOD(360+Panchanga!$G59-Panchanga!$F59,360)/12,4)</f>
        <v>4.0537000000000001</v>
      </c>
      <c r="Q59" s="2">
        <f t="shared" ca="1" si="15"/>
        <v>22.740000000000002</v>
      </c>
      <c r="R59" s="2" t="str">
        <f ca="1">SIGN(S60-Panchanga!$S59)*INT(Panchanga!$S59/30+1)&amp;"Ma,"&amp;SIGN(T60-Panchanga!$T59)*INT(Panchanga!$T59/30+1)&amp;"Me,"&amp;SIGN(U60-Panchanga!$U59)*INT(Panchanga!$U59/30+1)&amp;"Ju,"&amp;SIGN(V60-Panchanga!$V59)*INT(Panchanga!$V59/30+1)&amp;"Ve,"&amp;SIGN(W60-Panchanga!$W59)*INT(Panchanga!$W59/30+1)&amp;"Sa,"&amp;INT(Panchanga!$X59/30+1)&amp;"Ra"</f>
        <v>8Ma,11Me,7Ju,11Ve,9Sa,4Ra</v>
      </c>
      <c r="S59" s="2">
        <f ca="1">Planet(Panchanga!$E59,4)</f>
        <v>230.80242353033532</v>
      </c>
      <c r="T59" s="2">
        <f ca="1">Planet(Panchanga!$E59,2)</f>
        <v>309.29906560874917</v>
      </c>
      <c r="U59" s="2">
        <f ca="1">Planet(Panchanga!$E59,5)</f>
        <v>208.65961467816538</v>
      </c>
      <c r="V59" s="2">
        <f ca="1">Planet(Panchanga!$E59,3)</f>
        <v>317.2470666010143</v>
      </c>
      <c r="W59" s="2">
        <f ca="1">Planet(Panchanga!$E59,6)</f>
        <v>252.50415302507304</v>
      </c>
      <c r="X59" s="2">
        <f ca="1">Planet(Panchanga!$E59,10)</f>
        <v>110.13957264970553</v>
      </c>
      <c r="Y59" s="2">
        <f ca="1">SIGN(S60-Panchanga!$S59)</f>
        <v>1</v>
      </c>
    </row>
    <row r="60" spans="1:25" x14ac:dyDescent="0.2">
      <c r="A60" s="3">
        <f t="shared" ca="1" si="11"/>
        <v>43152</v>
      </c>
      <c r="B60" s="3">
        <f t="shared" ca="1" si="16"/>
        <v>43152.229166666664</v>
      </c>
      <c r="C60" s="8">
        <f t="shared" ca="1" si="12"/>
        <v>43152.271543867108</v>
      </c>
      <c r="D60" s="8">
        <f t="shared" ca="1" si="13"/>
        <v>43151.760693848177</v>
      </c>
      <c r="E60" s="12">
        <f ca="1">Panchanga!$C60-TimeZone/24</f>
        <v>43152.042377200443</v>
      </c>
      <c r="F60" s="13">
        <f t="shared" ca="1" si="7"/>
        <v>308.23391732867157</v>
      </c>
      <c r="G60" s="6">
        <f t="shared" ca="1" si="14"/>
        <v>9.1373193087786593</v>
      </c>
      <c r="H60" s="7">
        <f t="shared" ca="1" si="10"/>
        <v>43152.042377200443</v>
      </c>
      <c r="I60" s="2" t="str">
        <f ca="1">naks(Panchanga!$G60)</f>
        <v>Aswini</v>
      </c>
      <c r="J60" s="8">
        <f ca="1">(C61-Panchanga!$C60)/(G61-Panchanga!$G60)*(13.3333333333333-MOD(Panchanga!$G60,13.333333333333))+Panchanga!$C60</f>
        <v>43152.582038915709</v>
      </c>
      <c r="K60" s="2" t="str">
        <f ca="1">IF(Panchanga!$P60&gt;15,"K","S")&amp;ROUNDUP(MOD(Panchanga!$P60,15),0)&amp;" ("&amp;ROUND(Panchanga!$P60,2)&amp;")"</f>
        <v>S6 (5.08)</v>
      </c>
      <c r="L60" s="2">
        <f ca="1">IF(AND(Panchanga!$P60&lt;28.5,Panchanga!$P60&gt;0.49999),MOD((Panchanga!$P60-0.5)*2,7),MOD((Panchanga!$P60+30-28.5),30)*2+7)</f>
        <v>2.150599999999999</v>
      </c>
      <c r="M60" s="2" t="str">
        <f ca="1">CHOOSE(ROUNDUP(Panchanga!$L60,0),"Bhava","Baalava","Kaulava","Taitula","Garija","Vanija","Vishti","Shakuni","Chatushapda","Naaga","Kimstugna")</f>
        <v>Kaulava</v>
      </c>
      <c r="N60" s="25" t="str">
        <f ca="1">CHOOSE(ROUNDUP(Panchanga!$Q60,0),"Vishkambha-विष्कम्भ-Sa","Priti-प्रीति-Me","Ayushman-आयुष्मान-Ke","Saubhagya-सौभाग्य-Ve","Shobhana-शोभन-Su","Atiganda-अतिगण्ड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("&amp;Panchanga!$Q60&amp;")"</f>
        <v>Shukla-शुक्ल-Mo (23.81)</v>
      </c>
      <c r="O60" s="2">
        <f ca="1">IF(AND(Panchanga!$P60&lt;28.5,Panchanga!$P60&gt;0.49999),MOD((Panchanga!$P60-0.5)*2,7),MOD((Panchanga!$P60+30-28.5),30)*2+7)</f>
        <v>2.150599999999999</v>
      </c>
      <c r="P60" s="2">
        <f ca="1">ROUNDUP(MOD(360+Panchanga!$G60-Panchanga!$F60,360)/12,4)</f>
        <v>5.0752999999999995</v>
      </c>
      <c r="Q60" s="2">
        <f t="shared" ca="1" si="15"/>
        <v>23.810000000000002</v>
      </c>
      <c r="R60" s="2" t="str">
        <f ca="1">SIGN(S61-Panchanga!$S60)*INT(Panchanga!$S60/30+1)&amp;"Ma,"&amp;SIGN(T61-Panchanga!$T60)*INT(Panchanga!$T60/30+1)&amp;"Me,"&amp;SIGN(U61-Panchanga!$U60)*INT(Panchanga!$U60/30+1)&amp;"Ju,"&amp;SIGN(V61-Panchanga!$V60)*INT(Panchanga!$V60/30+1)&amp;"Ve,"&amp;SIGN(W61-Panchanga!$W60)*INT(Panchanga!$W60/30+1)&amp;"Sa,"&amp;INT(Panchanga!$X60/30+1)&amp;"Ra"</f>
        <v>8Ma,11Me,7Ju,11Ve,9Sa,4Ra</v>
      </c>
      <c r="S60" s="2">
        <f ca="1">Planet(Panchanga!$E60,4)</f>
        <v>231.40203814639671</v>
      </c>
      <c r="T60" s="2">
        <f ca="1">Planet(Panchanga!$E60,2)</f>
        <v>311.15069350213651</v>
      </c>
      <c r="U60" s="2">
        <f ca="1">Planet(Panchanga!$E60,5)</f>
        <v>208.71071127897159</v>
      </c>
      <c r="V60" s="2">
        <f ca="1">Planet(Panchanga!$E60,3)</f>
        <v>318.49682055102437</v>
      </c>
      <c r="W60" s="2">
        <f ca="1">Planet(Panchanga!$E60,6)</f>
        <v>252.58728587812814</v>
      </c>
      <c r="X60" s="2">
        <f ca="1">Planet(Panchanga!$E60,10)</f>
        <v>110.08659763241589</v>
      </c>
      <c r="Y60" s="2">
        <f ca="1">SIGN(S61-Panchanga!$S60)</f>
        <v>1</v>
      </c>
    </row>
    <row r="61" spans="1:25" x14ac:dyDescent="0.2">
      <c r="A61" s="3">
        <f t="shared" ca="1" si="11"/>
        <v>43153</v>
      </c>
      <c r="B61" s="3">
        <f t="shared" ca="1" si="16"/>
        <v>43153.229166666664</v>
      </c>
      <c r="C61" s="8">
        <f t="shared" ca="1" si="12"/>
        <v>43153.271214531422</v>
      </c>
      <c r="D61" s="8">
        <f t="shared" ca="1" si="13"/>
        <v>43152.760861694856</v>
      </c>
      <c r="E61" s="12">
        <f ca="1">Panchanga!$C61-TimeZone/24</f>
        <v>43153.042047864757</v>
      </c>
      <c r="F61" s="13">
        <f t="shared" ca="1" si="7"/>
        <v>309.24114205844461</v>
      </c>
      <c r="G61" s="6">
        <f t="shared" ca="1" si="14"/>
        <v>22.646816952395778</v>
      </c>
      <c r="H61" s="7">
        <f t="shared" ca="1" si="10"/>
        <v>43153.042047864757</v>
      </c>
      <c r="I61" s="2" t="str">
        <f ca="1">naks(Panchanga!$G61)</f>
        <v>Bharani</v>
      </c>
      <c r="J61" s="8">
        <f ca="1">(C62-Panchanga!$C61)/(G62-Panchanga!$G61)*(13.3333333333333-MOD(Panchanga!$G61,13.333333333333))+Panchanga!$C61</f>
        <v>43153.563343140268</v>
      </c>
      <c r="K61" s="2" t="str">
        <f ca="1">IF(Panchanga!$P61&gt;15,"K","S")&amp;ROUNDUP(MOD(Panchanga!$P61,15),0)&amp;" ("&amp;ROUND(Panchanga!$P61,2)&amp;")"</f>
        <v>S7 (6.12)</v>
      </c>
      <c r="L61" s="2">
        <f ca="1">IF(AND(Panchanga!$P61&lt;28.5,Panchanga!$P61&gt;0.49999),MOD((Panchanga!$P61-0.5)*2,7),MOD((Panchanga!$P61+30-28.5),30)*2+7)</f>
        <v>4.2343999999999991</v>
      </c>
      <c r="M61" s="2" t="str">
        <f ca="1">CHOOSE(ROUNDUP(Panchanga!$L61,0),"Bhava","Baalava","Kaulava","Taitula","Garija","Vanija","Vishti","Shakuni","Chatushapda","Naaga","Kimstugna")</f>
        <v>Garija</v>
      </c>
      <c r="N61" s="25" t="str">
        <f ca="1">CHOOSE(ROUNDUP(Panchanga!$Q61,0),"Vishkambha-विष्कम्भ-Sa","Priti-प्रीति-Me","Ayushman-आयुष्मान-Ke","Saubhagya-सौभाग्य-Ve","Shobhana-शोभन-Su","Atiganda-अतिगण्ड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("&amp;Panchanga!$Q61&amp;")"</f>
        <v>Brahma-ब्रह्म-Ma (24.9)</v>
      </c>
      <c r="O61" s="2">
        <f ca="1">IF(AND(Panchanga!$P61&lt;28.5,Panchanga!$P61&gt;0.49999),MOD((Panchanga!$P61-0.5)*2,7),MOD((Panchanga!$P61+30-28.5),30)*2+7)</f>
        <v>4.2343999999999991</v>
      </c>
      <c r="P61" s="2">
        <f ca="1">ROUNDUP(MOD(360+Panchanga!$G61-Panchanga!$F61,360)/12,4)</f>
        <v>6.1171999999999995</v>
      </c>
      <c r="Q61" s="2">
        <f t="shared" ca="1" si="15"/>
        <v>24.900000000000002</v>
      </c>
      <c r="R61" s="2" t="str">
        <f ca="1">SIGN(S62-Panchanga!$S61)*INT(Panchanga!$S61/30+1)&amp;"Ma,"&amp;SIGN(T62-Panchanga!$T61)*INT(Panchanga!$T61/30+1)&amp;"Me,"&amp;SIGN(U62-Panchanga!$U61)*INT(Panchanga!$U61/30+1)&amp;"Ju,"&amp;SIGN(V62-Panchanga!$V61)*INT(Panchanga!$V61/30+1)&amp;"Ve,"&amp;SIGN(W62-Panchanga!$W61)*INT(Panchanga!$W61/30+1)&amp;"Sa,"&amp;INT(Panchanga!$X61/30+1)&amp;"Ra"</f>
        <v>8Ma,11Me,7Ju,11Ve,9Sa,4Ra</v>
      </c>
      <c r="S61" s="2">
        <f ca="1">Planet(Panchanga!$E61,4)</f>
        <v>232.00081144285994</v>
      </c>
      <c r="T61" s="2">
        <f ca="1">Planet(Panchanga!$E61,2)</f>
        <v>313.01352710646461</v>
      </c>
      <c r="U61" s="2">
        <f ca="1">Planet(Panchanga!$E61,5)</f>
        <v>208.75882449062337</v>
      </c>
      <c r="V61" s="2">
        <f ca="1">Planet(Panchanga!$E61,3)</f>
        <v>319.74620188686589</v>
      </c>
      <c r="W61" s="2">
        <f ca="1">Planet(Panchanga!$E61,6)</f>
        <v>252.66927634297474</v>
      </c>
      <c r="X61" s="2">
        <f ca="1">Planet(Panchanga!$E61,10)</f>
        <v>110.03362308679291</v>
      </c>
      <c r="Y61" s="2">
        <f ca="1">SIGN(S62-Panchanga!$S61)</f>
        <v>1</v>
      </c>
    </row>
    <row r="62" spans="1:25" x14ac:dyDescent="0.2">
      <c r="A62" s="3">
        <f t="shared" ca="1" si="11"/>
        <v>43154</v>
      </c>
      <c r="B62" s="3">
        <f t="shared" ca="1" si="16"/>
        <v>43154.229166666664</v>
      </c>
      <c r="C62" s="8">
        <f t="shared" ca="1" si="12"/>
        <v>43154.270876295086</v>
      </c>
      <c r="D62" s="8">
        <f t="shared" ca="1" si="13"/>
        <v>43153.761023342653</v>
      </c>
      <c r="E62" s="12">
        <f ca="1">Panchanga!$C62-TimeZone/24</f>
        <v>43154.041709628422</v>
      </c>
      <c r="F62" s="13">
        <f t="shared" ca="1" si="7"/>
        <v>310.24782854324201</v>
      </c>
      <c r="G62" s="6">
        <f t="shared" ca="1" si="14"/>
        <v>36.402710532605681</v>
      </c>
      <c r="H62" s="7">
        <f t="shared" ca="1" si="10"/>
        <v>43154.041709628422</v>
      </c>
      <c r="I62" s="2" t="str">
        <f ca="1">naks(Panchanga!$G62)</f>
        <v>Krittika</v>
      </c>
      <c r="J62" s="8">
        <f ca="1">(C63-Panchanga!$C62)/(G63-Panchanga!$G62)*(13.3333333333333-MOD(Panchanga!$G62,13.333333333333))+Panchanga!$C62</f>
        <v>43154.52774495248</v>
      </c>
      <c r="K62" s="2" t="str">
        <f ca="1">IF(Panchanga!$P62&gt;15,"K","S")&amp;ROUNDUP(MOD(Panchanga!$P62,15),0)&amp;" ("&amp;ROUND(Panchanga!$P62,2)&amp;")"</f>
        <v>S8 (7.18)</v>
      </c>
      <c r="L62" s="2">
        <f ca="1">IF(AND(Panchanga!$P62&lt;28.5,Panchanga!$P62&gt;0.49999),MOD((Panchanga!$P62-0.5)*2,7),MOD((Panchanga!$P62+30-28.5),30)*2+7)</f>
        <v>6.3591999999999995</v>
      </c>
      <c r="M62" s="2" t="str">
        <f ca="1">CHOOSE(ROUNDUP(Panchanga!$L62,0),"Bhava","Baalava","Kaulava","Taitula","Garija","Vanija","Vishti","Shakuni","Chatushapda","Naaga","Kimstugna")</f>
        <v>Vishti</v>
      </c>
      <c r="N62" s="25" t="str">
        <f ca="1">CHOOSE(ROUNDUP(Panchanga!$Q62,0),"Vishkambha-विष्कम्भ-Sa","Priti-प्रीति-Me","Ayushman-आयुष्मान-Ke","Saubhagya-सौभाग्य-Ve","Shobhana-शोभन-Su","Atiganda-अतिगण्ड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("&amp;Panchanga!$Q62&amp;")"</f>
        <v>Mahendra-महेन्द्र-Ra (26)</v>
      </c>
      <c r="O62" s="2">
        <f ca="1">IF(AND(Panchanga!$P62&lt;28.5,Panchanga!$P62&gt;0.49999),MOD((Panchanga!$P62-0.5)*2,7),MOD((Panchanga!$P62+30-28.5),30)*2+7)</f>
        <v>6.3591999999999995</v>
      </c>
      <c r="P62" s="2">
        <f ca="1">ROUNDUP(MOD(360+Panchanga!$G62-Panchanga!$F62,360)/12,4)</f>
        <v>7.1795999999999998</v>
      </c>
      <c r="Q62" s="2">
        <f t="shared" ca="1" si="15"/>
        <v>26</v>
      </c>
      <c r="R62" s="2" t="str">
        <f ca="1">SIGN(S63-Panchanga!$S62)*INT(Panchanga!$S62/30+1)&amp;"Ma,"&amp;SIGN(T63-Panchanga!$T62)*INT(Panchanga!$T62/30+1)&amp;"Me,"&amp;SIGN(U63-Panchanga!$U62)*INT(Panchanga!$U62/30+1)&amp;"Ju,"&amp;SIGN(V63-Panchanga!$V62)*INT(Panchanga!$V62/30+1)&amp;"Ve,"&amp;SIGN(W63-Panchanga!$W62)*INT(Panchanga!$W62/30+1)&amp;"Sa,"&amp;INT(Panchanga!$X62/30+1)&amp;"Ra"</f>
        <v>8Ma,11Me,7Ju,11Ve,9Sa,4Ra</v>
      </c>
      <c r="S62" s="2">
        <f ca="1">Planet(Panchanga!$E62,4)</f>
        <v>232.59873513762201</v>
      </c>
      <c r="T62" s="2">
        <f ca="1">Planet(Panchanga!$E62,2)</f>
        <v>314.88638313885542</v>
      </c>
      <c r="U62" s="2">
        <f ca="1">Planet(Panchanga!$E62,5)</f>
        <v>208.80394093517785</v>
      </c>
      <c r="V62" s="2">
        <f ca="1">Planet(Panchanga!$E62,3)</f>
        <v>320.99519720088625</v>
      </c>
      <c r="W62" s="2">
        <f ca="1">Planet(Panchanga!$E62,6)</f>
        <v>252.75010908488795</v>
      </c>
      <c r="X62" s="2">
        <f ca="1">Planet(Panchanga!$E62,10)</f>
        <v>109.98064901285312</v>
      </c>
      <c r="Y62" s="2">
        <f ca="1">SIGN(S63-Panchanga!$S62)</f>
        <v>1</v>
      </c>
    </row>
    <row r="63" spans="1:25" x14ac:dyDescent="0.2">
      <c r="A63" s="3">
        <f t="shared" ca="1" si="11"/>
        <v>43155</v>
      </c>
      <c r="B63" s="3">
        <f t="shared" ca="1" si="16"/>
        <v>43155.229166666664</v>
      </c>
      <c r="C63" s="8">
        <f t="shared" ca="1" si="12"/>
        <v>43155.270529634472</v>
      </c>
      <c r="D63" s="8">
        <f t="shared" ca="1" si="13"/>
        <v>43154.761178950823</v>
      </c>
      <c r="E63" s="12">
        <f ca="1">Panchanga!$C63-TimeZone/24</f>
        <v>43155.041362967808</v>
      </c>
      <c r="F63" s="13">
        <f t="shared" ca="1" si="7"/>
        <v>311.2539659628747</v>
      </c>
      <c r="G63" s="6">
        <f t="shared" ca="1" si="14"/>
        <v>50.402248137894418</v>
      </c>
      <c r="H63" s="7">
        <f t="shared" ca="1" si="10"/>
        <v>43155.041362967808</v>
      </c>
      <c r="I63" s="2" t="str">
        <f ca="1">naks(Panchanga!$G63)</f>
        <v>Rohini</v>
      </c>
      <c r="J63" s="8">
        <f ca="1">(C64-Panchanga!$C63)/(G64-Panchanga!$G63)*(13.3333333333333-MOD(Panchanga!$G63,13.333333333333))+Panchanga!$C63</f>
        <v>43155.476459069505</v>
      </c>
      <c r="K63" s="2" t="str">
        <f ca="1">IF(Panchanga!$P63&gt;15,"K","S")&amp;ROUNDUP(MOD(Panchanga!$P63,15),0)&amp;" ("&amp;ROUND(Panchanga!$P63,2)&amp;")"</f>
        <v>S9 (8.26)</v>
      </c>
      <c r="L63" s="2">
        <f ca="1">IF(AND(Panchanga!$P63&lt;28.5,Panchanga!$P63&gt;0.49999),MOD((Panchanga!$P63-0.5)*2,7),MOD((Panchanga!$P63+30-28.5),30)*2+7)</f>
        <v>1.524799999999999</v>
      </c>
      <c r="M63" s="2" t="str">
        <f ca="1">CHOOSE(ROUNDUP(Panchanga!$L63,0),"Bhava","Baalava","Kaulava","Taitula","Garija","Vanija","Vishti","Shakuni","Chatushapda","Naaga","Kimstugna")</f>
        <v>Baalava</v>
      </c>
      <c r="N63" s="25" t="str">
        <f ca="1">CHOOSE(ROUNDUP(Panchanga!$Q63,0),"Vishkambha-विष्कम्भ-Sa","Priti-प्रीति-Me","Ayushman-आयुष्मान-Ke","Saubhagya-सौभाग्य-Ve","Shobhana-शोभन-Su","Atiganda-अतिगण्ड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("&amp;Panchanga!$Q63&amp;")"</f>
        <v>Vishkambha-विष्कम्भ-Sa (0.13)</v>
      </c>
      <c r="O63" s="2">
        <f ca="1">IF(AND(Panchanga!$P63&lt;28.5,Panchanga!$P63&gt;0.49999),MOD((Panchanga!$P63-0.5)*2,7),MOD((Panchanga!$P63+30-28.5),30)*2+7)</f>
        <v>1.524799999999999</v>
      </c>
      <c r="P63" s="2">
        <f ca="1">ROUNDUP(MOD(360+Panchanga!$G63-Panchanga!$F63,360)/12,4)</f>
        <v>8.2623999999999995</v>
      </c>
      <c r="Q63" s="2">
        <f t="shared" ca="1" si="15"/>
        <v>0.13</v>
      </c>
      <c r="R63" s="2" t="str">
        <f ca="1">SIGN(S64-Panchanga!$S63)*INT(Panchanga!$S63/30+1)&amp;"Ma,"&amp;SIGN(T64-Panchanga!$T63)*INT(Panchanga!$T63/30+1)&amp;"Me,"&amp;SIGN(U64-Panchanga!$U63)*INT(Panchanga!$U63/30+1)&amp;"Ju,"&amp;SIGN(V64-Panchanga!$V63)*INT(Panchanga!$V63/30+1)&amp;"Ve,"&amp;SIGN(W64-Panchanga!$W63)*INT(Panchanga!$W63/30+1)&amp;"Sa,"&amp;INT(Panchanga!$X63/30+1)&amp;"Ra"</f>
        <v>8Ma,11Me,7Ju,11Ve,9Sa,4Ra</v>
      </c>
      <c r="S63" s="2">
        <f ca="1">Planet(Panchanga!$E63,4)</f>
        <v>233.19580330672417</v>
      </c>
      <c r="T63" s="2">
        <f ca="1">Planet(Panchanga!$E63,2)</f>
        <v>316.76777317131649</v>
      </c>
      <c r="U63" s="2">
        <f ca="1">Planet(Panchanga!$E63,5)</f>
        <v>208.84604847825321</v>
      </c>
      <c r="V63" s="2">
        <f ca="1">Planet(Panchanga!$E63,3)</f>
        <v>322.2437952503833</v>
      </c>
      <c r="W63" s="2">
        <f ca="1">Planet(Panchanga!$E63,6)</f>
        <v>252.82976941589232</v>
      </c>
      <c r="X63" s="2">
        <f ca="1">Planet(Panchanga!$E63,10)</f>
        <v>109.92767538531263</v>
      </c>
      <c r="Y63" s="2">
        <f ca="1">SIGN(S64-Panchanga!$S63)</f>
        <v>1</v>
      </c>
    </row>
    <row r="64" spans="1:25" x14ac:dyDescent="0.2">
      <c r="A64" s="3">
        <f t="shared" ca="1" si="11"/>
        <v>43156</v>
      </c>
      <c r="B64" s="3">
        <f t="shared" ca="1" si="16"/>
        <v>43156.229166666664</v>
      </c>
      <c r="C64" s="8">
        <f t="shared" ca="1" si="12"/>
        <v>43156.27017454958</v>
      </c>
      <c r="D64" s="8">
        <f t="shared" ca="1" si="13"/>
        <v>43155.761328359644</v>
      </c>
      <c r="E64" s="12">
        <f ca="1">Panchanga!$C64-TimeZone/24</f>
        <v>43156.041007882915</v>
      </c>
      <c r="F64" s="13">
        <f t="shared" ca="1" si="7"/>
        <v>312.25954736453838</v>
      </c>
      <c r="G64" s="6">
        <f t="shared" ca="1" si="14"/>
        <v>64.63063860998696</v>
      </c>
      <c r="H64" s="7">
        <f t="shared" ca="1" si="10"/>
        <v>43156.041007882915</v>
      </c>
      <c r="I64" s="2" t="str">
        <f ca="1">naks(Panchanga!$G64)</f>
        <v>Mrigashira</v>
      </c>
      <c r="J64" s="8">
        <f ca="1">(C65-Panchanga!$C64)/(G65-Panchanga!$G64)*(13.3333333333333-MOD(Panchanga!$G64,13.333333333333))+Panchanga!$C64</f>
        <v>43156.411269697099</v>
      </c>
      <c r="K64" s="2" t="str">
        <f ca="1">IF(Panchanga!$P64&gt;15,"K","S")&amp;ROUNDUP(MOD(Panchanga!$P64,15),0)&amp;" ("&amp;ROUND(Panchanga!$P64,2)&amp;")"</f>
        <v>S10 (9.36)</v>
      </c>
      <c r="L64" s="2">
        <f ca="1">IF(AND(Panchanga!$P64&lt;28.5,Panchanga!$P64&gt;0.49999),MOD((Panchanga!$P64-0.5)*2,7),MOD((Panchanga!$P64+30-28.5),30)*2+7)</f>
        <v>3.7286000000000001</v>
      </c>
      <c r="M64" s="2" t="str">
        <f ca="1">CHOOSE(ROUNDUP(Panchanga!$L64,0),"Bhava","Baalava","Kaulava","Taitula","Garija","Vanija","Vishti","Shakuni","Chatushapda","Naaga","Kimstugna")</f>
        <v>Taitula</v>
      </c>
      <c r="N64" s="25" t="str">
        <f ca="1">CHOOSE(ROUNDUP(Panchanga!$Q64,0),"Vishkambha-विष्कम्भ-Sa","Priti-प्रीति-Me","Ayushman-आयुष्मान-Ke","Saubhagya-सौभाग्य-Ve","Shobhana-शोभन-Su","Atiganda-अतिगण्ड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("&amp;Panchanga!$Q64&amp;")"</f>
        <v>Priti-प्रीति-Me (1.27)</v>
      </c>
      <c r="O64" s="2">
        <f ca="1">IF(AND(Panchanga!$P64&lt;28.5,Panchanga!$P64&gt;0.49999),MOD((Panchanga!$P64-0.5)*2,7),MOD((Panchanga!$P64+30-28.5),30)*2+7)</f>
        <v>3.7286000000000001</v>
      </c>
      <c r="P64" s="2">
        <f ca="1">ROUNDUP(MOD(360+Panchanga!$G64-Panchanga!$F64,360)/12,4)</f>
        <v>9.3643000000000001</v>
      </c>
      <c r="Q64" s="2">
        <f t="shared" ca="1" si="15"/>
        <v>1.27</v>
      </c>
      <c r="R64" s="2" t="str">
        <f ca="1">SIGN(S65-Panchanga!$S64)*INT(Panchanga!$S64/30+1)&amp;"Ma,"&amp;SIGN(T65-Panchanga!$T64)*INT(Panchanga!$T64/30+1)&amp;"Me,"&amp;SIGN(U65-Panchanga!$U64)*INT(Panchanga!$U64/30+1)&amp;"Ju,"&amp;SIGN(V65-Panchanga!$V64)*INT(Panchanga!$V64/30+1)&amp;"Ve,"&amp;SIGN(W65-Panchanga!$W64)*INT(Panchanga!$W64/30+1)&amp;"Sa,"&amp;INT(Panchanga!$X64/30+1)&amp;"Ra"</f>
        <v>8Ma,11Me,7Ju,11Ve,9Sa,4Ra</v>
      </c>
      <c r="S64" s="2">
        <f ca="1">Planet(Panchanga!$E64,4)</f>
        <v>233.79201144941413</v>
      </c>
      <c r="T64" s="2">
        <f ca="1">Planet(Panchanga!$E64,2)</f>
        <v>318.65585410420022</v>
      </c>
      <c r="U64" s="2">
        <f ca="1">Planet(Panchanga!$E64,5)</f>
        <v>208.88513599307538</v>
      </c>
      <c r="V64" s="2">
        <f ca="1">Planet(Panchanga!$E64,3)</f>
        <v>323.4919862541467</v>
      </c>
      <c r="W64" s="2">
        <f ca="1">Planet(Panchanga!$E64,6)</f>
        <v>252.90824318946991</v>
      </c>
      <c r="X64" s="2">
        <f ca="1">Planet(Panchanga!$E64,10)</f>
        <v>109.87470220423755</v>
      </c>
      <c r="Y64" s="2">
        <f ca="1">SIGN(S65-Panchanga!$S64)</f>
        <v>1</v>
      </c>
    </row>
    <row r="65" spans="1:25" x14ac:dyDescent="0.2">
      <c r="A65" s="3">
        <f t="shared" ca="1" si="11"/>
        <v>43157</v>
      </c>
      <c r="B65" s="3">
        <f t="shared" ca="1" si="16"/>
        <v>43157.229166666664</v>
      </c>
      <c r="C65" s="8">
        <f t="shared" ca="1" si="12"/>
        <v>43157.269811358456</v>
      </c>
      <c r="D65" s="8">
        <f t="shared" ca="1" si="13"/>
        <v>43156.761471887628</v>
      </c>
      <c r="E65" s="12">
        <f ca="1">Panchanga!$C65-TimeZone/24</f>
        <v>43157.040644691791</v>
      </c>
      <c r="F65" s="13">
        <f t="shared" ca="1" si="7"/>
        <v>313.26457115503769</v>
      </c>
      <c r="G65" s="6">
        <f t="shared" ca="1" si="14"/>
        <v>79.055575435818952</v>
      </c>
      <c r="H65" s="7">
        <f t="shared" ca="1" si="10"/>
        <v>43157.040644691791</v>
      </c>
      <c r="I65" s="2" t="str">
        <f ca="1">naks(Panchanga!$G65)</f>
        <v>Ardra</v>
      </c>
      <c r="J65" s="8">
        <f ca="1">(C66-Panchanga!$C65)/(G66-Panchanga!$G65)*(13.3333333333333-MOD(Panchanga!$G65,13.333333333333))+Panchanga!$C65</f>
        <v>43157.334618403758</v>
      </c>
      <c r="K65" s="2" t="str">
        <f ca="1">IF(Panchanga!$P65&gt;15,"K","S")&amp;ROUNDUP(MOD(Panchanga!$P65,15),0)&amp;" ("&amp;ROUND(Panchanga!$P65,2)&amp;")"</f>
        <v>S11 (10.48)</v>
      </c>
      <c r="L65" s="2">
        <f ca="1">IF(AND(Panchanga!$P65&lt;28.5,Panchanga!$P65&gt;0.49999),MOD((Panchanga!$P65-0.5)*2,7),MOD((Panchanga!$P65+30-28.5),30)*2+7)</f>
        <v>5.9651999999999994</v>
      </c>
      <c r="M65" s="2" t="str">
        <f ca="1">CHOOSE(ROUNDUP(Panchanga!$L65,0),"Bhava","Baalava","Kaulava","Taitula","Garija","Vanija","Vishti","Shakuni","Chatushapda","Naaga","Kimstugna")</f>
        <v>Vanija</v>
      </c>
      <c r="N65" s="25" t="str">
        <f ca="1">CHOOSE(ROUNDUP(Panchanga!$Q65,0),"Vishkambha-विष्कम्भ-Sa","Priti-प्रीति-Me","Ayushman-आयुष्मान-Ke","Saubhagya-सौभाग्य-Ve","Shobhana-शोभन-Su","Atiganda-अतिगण्ड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("&amp;Panchanga!$Q65&amp;")"</f>
        <v>Ayushman-आयुष्मान-Ke (2.43)</v>
      </c>
      <c r="O65" s="2">
        <f ca="1">IF(AND(Panchanga!$P65&lt;28.5,Panchanga!$P65&gt;0.49999),MOD((Panchanga!$P65-0.5)*2,7),MOD((Panchanga!$P65+30-28.5),30)*2+7)</f>
        <v>5.9651999999999994</v>
      </c>
      <c r="P65" s="2">
        <f ca="1">ROUNDUP(MOD(360+Panchanga!$G65-Panchanga!$F65,360)/12,4)</f>
        <v>10.4826</v>
      </c>
      <c r="Q65" s="2">
        <f t="shared" ca="1" si="15"/>
        <v>2.4299999999999997</v>
      </c>
      <c r="R65" s="2" t="str">
        <f ca="1">SIGN(S66-Panchanga!$S65)*INT(Panchanga!$S65/30+1)&amp;"Ma,"&amp;SIGN(T66-Panchanga!$T65)*INT(Panchanga!$T65/30+1)&amp;"Me,"&amp;SIGN(U66-Panchanga!$U65)*INT(Panchanga!$U65/30+1)&amp;"Ju,"&amp;SIGN(V66-Panchanga!$V65)*INT(Panchanga!$V65/30+1)&amp;"Ve,"&amp;SIGN(W66-Panchanga!$W65)*INT(Panchanga!$W65/30+1)&amp;"Sa,"&amp;INT(Panchanga!$X65/30+1)&amp;"Ra"</f>
        <v>8Ma,11Me,7Ju,11Ve,9Sa,4Ra</v>
      </c>
      <c r="S65" s="2">
        <f ca="1">Planet(Panchanga!$E65,4)</f>
        <v>234.38735630666517</v>
      </c>
      <c r="T65" s="2">
        <f ca="1">Planet(Panchanga!$E65,2)</f>
        <v>320.54837810377228</v>
      </c>
      <c r="U65" s="2">
        <f ca="1">Planet(Panchanga!$E65,5)</f>
        <v>208.92119311959038</v>
      </c>
      <c r="V65" s="2">
        <f ca="1">Planet(Panchanga!$E65,3)</f>
        <v>324.7397634002441</v>
      </c>
      <c r="W65" s="2">
        <f ca="1">Planet(Panchanga!$E65,6)</f>
        <v>252.98551680079092</v>
      </c>
      <c r="X65" s="2">
        <f ca="1">Planet(Panchanga!$E65,10)</f>
        <v>109.82172945271132</v>
      </c>
      <c r="Y65" s="2">
        <f ca="1">SIGN(S66-Panchanga!$S65)</f>
        <v>1</v>
      </c>
    </row>
    <row r="66" spans="1:25" x14ac:dyDescent="0.2">
      <c r="A66" s="3">
        <f t="shared" ca="1" si="11"/>
        <v>43158</v>
      </c>
      <c r="B66" s="3">
        <f t="shared" ca="1" si="16"/>
        <v>43158.229166666664</v>
      </c>
      <c r="C66" s="8">
        <f t="shared" ca="1" si="12"/>
        <v>43158.269440538403</v>
      </c>
      <c r="D66" s="8">
        <f t="shared" ca="1" si="13"/>
        <v>43157.761609693567</v>
      </c>
      <c r="E66" s="12">
        <f ca="1">Panchanga!$C66-TimeZone/24</f>
        <v>43158.040273871738</v>
      </c>
      <c r="F66" s="13">
        <f t="shared" ca="1" si="7"/>
        <v>314.26904133219182</v>
      </c>
      <c r="G66" s="6">
        <f t="shared" ca="1" si="14"/>
        <v>93.623040257812889</v>
      </c>
      <c r="H66" s="7">
        <f t="shared" ca="1" si="10"/>
        <v>43158.040273871738</v>
      </c>
      <c r="I66" s="2" t="str">
        <f ca="1">naks(Panchanga!$G66)</f>
        <v>Pushya</v>
      </c>
      <c r="J66" s="8">
        <f ca="1">(C67-Panchanga!$C66)/(G67-Panchanga!$G66)*(13.3333333333333-MOD(Panchanga!$G66,13.333333333333))+Panchanga!$C66</f>
        <v>43159.160473017313</v>
      </c>
      <c r="K66" s="2" t="str">
        <f ca="1">IF(Panchanga!$P66&gt;15,"K","S")&amp;ROUNDUP(MOD(Panchanga!$P66,15),0)&amp;" ("&amp;ROUND(Panchanga!$P66,2)&amp;")"</f>
        <v>S12 (11.61)</v>
      </c>
      <c r="L66" s="2">
        <f ca="1">IF(AND(Panchanga!$P66&lt;28.5,Panchanga!$P66&gt;0.49999),MOD((Panchanga!$P66-0.5)*2,7),MOD((Panchanga!$P66+30-28.5),30)*2+7)</f>
        <v>1.2257999999999996</v>
      </c>
      <c r="M66" s="2" t="str">
        <f ca="1">CHOOSE(ROUNDUP(Panchanga!$L66,0),"Bhava","Baalava","Kaulava","Taitula","Garija","Vanija","Vishti","Shakuni","Chatushapda","Naaga","Kimstugna")</f>
        <v>Baalava</v>
      </c>
      <c r="N66" s="25" t="str">
        <f ca="1">CHOOSE(ROUNDUP(Panchanga!$Q66,0),"Vishkambha-विष्कम्भ-Sa","Priti-प्रीति-Me","Ayushman-आयुष्मान-Ke","Saubhagya-सौभाग्य-Ve","Shobhana-शोभन-Su","Atiganda-अतिगण्ड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("&amp;Panchanga!$Q66&amp;")"</f>
        <v>Saubhagya-सौभाग्य-Ve (3.6)</v>
      </c>
      <c r="O66" s="2">
        <f ca="1">IF(AND(Panchanga!$P66&lt;28.5,Panchanga!$P66&gt;0.49999),MOD((Panchanga!$P66-0.5)*2,7),MOD((Panchanga!$P66+30-28.5),30)*2+7)</f>
        <v>1.2257999999999996</v>
      </c>
      <c r="P66" s="2">
        <f ca="1">ROUNDUP(MOD(360+Panchanga!$G66-Panchanga!$F66,360)/12,4)</f>
        <v>11.6129</v>
      </c>
      <c r="Q66" s="2">
        <f t="shared" ca="1" si="15"/>
        <v>3.5999999999999996</v>
      </c>
      <c r="R66" s="2" t="str">
        <f ca="1">SIGN(S67-Panchanga!$S66)*INT(Panchanga!$S66/30+1)&amp;"Ma,"&amp;SIGN(T67-Panchanga!$T66)*INT(Panchanga!$T66/30+1)&amp;"Me,"&amp;SIGN(U67-Panchanga!$U66)*INT(Panchanga!$U66/30+1)&amp;"Ju,"&amp;SIGN(V67-Panchanga!$V66)*INT(Panchanga!$V66/30+1)&amp;"Ve,"&amp;SIGN(W67-Panchanga!$W66)*INT(Panchanga!$W66/30+1)&amp;"Sa,"&amp;INT(Panchanga!$X66/30+1)&amp;"Ra"</f>
        <v>8Ma,11Me,7Ju,11Ve,9Sa,4Ra</v>
      </c>
      <c r="S66" s="2">
        <f ca="1">Planet(Panchanga!$E66,4)</f>
        <v>234.98183472426214</v>
      </c>
      <c r="T66" s="2">
        <f ca="1">Planet(Panchanga!$E66,2)</f>
        <v>322.44263817575251</v>
      </c>
      <c r="U66" s="2">
        <f ca="1">Planet(Panchanga!$E66,5)</f>
        <v>208.95420990063127</v>
      </c>
      <c r="V66" s="2">
        <f ca="1">Planet(Panchanga!$E66,3)</f>
        <v>325.98712305244169</v>
      </c>
      <c r="W66" s="2">
        <f ca="1">Planet(Panchanga!$E66,6)</f>
        <v>253.06157704216184</v>
      </c>
      <c r="X66" s="2">
        <f ca="1">Planet(Panchanga!$E66,10)</f>
        <v>109.76875710543315</v>
      </c>
      <c r="Y66" s="2">
        <f ca="1">SIGN(S67-Panchanga!$S66)</f>
        <v>1</v>
      </c>
    </row>
    <row r="67" spans="1:25" x14ac:dyDescent="0.2">
      <c r="A67" s="3">
        <f t="shared" ca="1" si="11"/>
        <v>43159</v>
      </c>
      <c r="B67" s="3">
        <f t="shared" ref="B67:B130" ca="1" si="17">A67+TimeZone/24</f>
        <v>43159.229166666664</v>
      </c>
      <c r="C67" s="5">
        <f t="shared" ref="C67:C130" ca="1" si="18">sunrise(Lat,Long,B67)+TimeZone/24+0.00103009259259259</f>
        <v>43159.26906224728</v>
      </c>
      <c r="D67" s="5">
        <f t="shared" ref="D67:D130" ca="1" si="19">sunset(Lat,Long,B67)+TimeZone/24-0.000277777777777778</f>
        <v>43158.76174177746</v>
      </c>
      <c r="E67" s="60">
        <f ca="1">Panchanga!$C67-TimeZone/24</f>
        <v>43159.039895580616</v>
      </c>
      <c r="F67" s="61">
        <f t="shared" ref="F67:F130" ca="1" si="20">Planet(E67,0)</f>
        <v>315.27296680598818</v>
      </c>
      <c r="G67" s="61">
        <f t="shared" ref="G67:G130" ca="1" si="21">Planet(E67,1)</f>
        <v>108.25628026806729</v>
      </c>
      <c r="H67" s="62">
        <f t="shared" ref="H67:H130" ca="1" si="22">E67</f>
        <v>43159.039895580616</v>
      </c>
      <c r="I67" s="2" t="str">
        <f ca="1">naks(Panchanga!$G67)</f>
        <v>Aslesha</v>
      </c>
      <c r="J67" s="5">
        <f ca="1">(C68-Panchanga!$C67)/(G68-Panchanga!$G67)*(13.3333333333333-MOD(Panchanga!$G67,13.333333333333))+Panchanga!$C67</f>
        <v>43160.072929716058</v>
      </c>
      <c r="K67" s="2" t="str">
        <f ca="1">IF(Panchanga!$P67&gt;15,"K","S")&amp;ROUNDUP(MOD(Panchanga!$P67,15),0)&amp;" ("&amp;ROUND(Panchanga!$P67,2)&amp;")"</f>
        <v>S13 (12.75)</v>
      </c>
      <c r="L67" s="2">
        <f ca="1">IF(AND(Panchanga!$P67&lt;28.5,Panchanga!$P67&gt;0.49999),MOD((Panchanga!$P67-0.5)*2,7),MOD((Panchanga!$P67+30-28.5),30)*2+7)</f>
        <v>3.497399999999999</v>
      </c>
      <c r="M67" s="2" t="str">
        <f ca="1">CHOOSE(ROUNDUP(Panchanga!$L67,0),"Bhava","Baalava","Kaulava","Taitula","Garija","Vanija","Vishti","Shakuni","Chatushapda","Naaga","Kimstugna")</f>
        <v>Taitula</v>
      </c>
      <c r="N67" s="25" t="str">
        <f ca="1">CHOOSE(ROUNDUP(Panchanga!$Q67,0),"Vishkambha-विष्कम्भ-Sa","Priti-प्रीति-Me","Ayushman-आयुष्मान-Ke","Saubhagya-सौभाग्य-Ve","Shobhana-शोभन-Su","Atiganda-अतिगण्ड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("&amp;Panchanga!$Q67&amp;")"</f>
        <v>Shobhana-शोभन-Su (4.77)</v>
      </c>
      <c r="O67" s="2">
        <f ca="1">IF(AND(Panchanga!$P67&lt;28.5,Panchanga!$P67&gt;0.49999),MOD((Panchanga!$P67-0.5)*2,7),MOD((Panchanga!$P67+30-28.5),30)*2+7)</f>
        <v>3.497399999999999</v>
      </c>
      <c r="P67" s="2">
        <f ca="1">ROUNDUP(MOD(360+Panchanga!$G67-Panchanga!$F67,360)/12,4)</f>
        <v>12.748699999999999</v>
      </c>
      <c r="Q67" s="2">
        <f t="shared" ref="Q67:Q130" ca="1" si="23">ROUNDUP(MOD(F67+G67,360)/13.333333333,2)</f>
        <v>4.7699999999999996</v>
      </c>
      <c r="R67" s="2" t="str">
        <f ca="1">SIGN(S68-Panchanga!$S67)*INT(Panchanga!$S67/30+1)&amp;"Ma,"&amp;SIGN(T68-Panchanga!$T67)*INT(Panchanga!$T67/30+1)&amp;"Me,"&amp;SIGN(U68-Panchanga!$U67)*INT(Panchanga!$U67/30+1)&amp;"Ju,"&amp;SIGN(V68-Panchanga!$V67)*INT(Panchanga!$V67/30+1)&amp;"Ve,"&amp;SIGN(W68-Panchanga!$W67)*INT(Panchanga!$W67/30+1)&amp;"Sa,"&amp;INT(Panchanga!$X67/30+1)&amp;"Ra"</f>
        <v>8Ma,11Me,7Ju,11Ve,9Sa,4Ra</v>
      </c>
      <c r="S67" s="2">
        <f ca="1">Planet(Panchanga!$E67,4)</f>
        <v>235.57544199739354</v>
      </c>
      <c r="T67" s="2">
        <f ca="1">Planet(Panchanga!$E67,2)</f>
        <v>324.3354124200356</v>
      </c>
      <c r="U67" s="2">
        <f ca="1">Planet(Panchanga!$E67,5)</f>
        <v>208.98417638228943</v>
      </c>
      <c r="V67" s="2">
        <f ca="1">Planet(Panchanga!$E67,3)</f>
        <v>327.23406427814479</v>
      </c>
      <c r="W67" s="2">
        <f ca="1">Planet(Panchanga!$E67,6)</f>
        <v>253.13641088075934</v>
      </c>
      <c r="X67" s="2">
        <f ca="1">Planet(Panchanga!$E67,10)</f>
        <v>109.71578515408576</v>
      </c>
      <c r="Y67" s="2">
        <f ca="1">SIGN(S68-Panchanga!$S67)</f>
        <v>1</v>
      </c>
    </row>
    <row r="68" spans="1:25" x14ac:dyDescent="0.2">
      <c r="A68" s="3">
        <f t="shared" ca="1" si="11"/>
        <v>43160</v>
      </c>
      <c r="B68" s="3">
        <f t="shared" ca="1" si="17"/>
        <v>43160.229166666664</v>
      </c>
      <c r="C68" s="5">
        <f t="shared" ca="1" si="18"/>
        <v>43160.268676804066</v>
      </c>
      <c r="D68" s="5">
        <f t="shared" ca="1" si="19"/>
        <v>43159.761868457354</v>
      </c>
      <c r="E68" s="60">
        <f ca="1">Panchanga!$C68-TimeZone/24</f>
        <v>43160.039510137402</v>
      </c>
      <c r="F68" s="61">
        <f t="shared" ca="1" si="20"/>
        <v>316.27636090696927</v>
      </c>
      <c r="G68" s="61">
        <f t="shared" ca="1" si="21"/>
        <v>122.8596740498068</v>
      </c>
      <c r="H68" s="62">
        <f t="shared" ca="1" si="22"/>
        <v>43160.039510137402</v>
      </c>
      <c r="I68" s="2" t="str">
        <f ca="1">naks(Panchanga!$G68)</f>
        <v>Makha</v>
      </c>
      <c r="J68" s="5">
        <f ca="1">(C69-Panchanga!$C68)/(G69-Panchanga!$G68)*(13.3333333333333-MOD(Panchanga!$G68,13.333333333333))+Panchanga!$C68</f>
        <v>43160.992291795774</v>
      </c>
      <c r="K68" s="2" t="str">
        <f ca="1">IF(Panchanga!$P68&gt;15,"K","S")&amp;ROUNDUP(MOD(Panchanga!$P68,15),0)&amp;" ("&amp;ROUND(Panchanga!$P68,2)&amp;")"</f>
        <v>S14 (13.88)</v>
      </c>
      <c r="L68" s="2">
        <f ca="1">IF(AND(Panchanga!$P68&lt;28.5,Panchanga!$P68&gt;0.49999),MOD((Panchanga!$P68-0.5)*2,7),MOD((Panchanga!$P68+30-28.5),30)*2+7)</f>
        <v>5.7639999999999993</v>
      </c>
      <c r="M68" s="2" t="str">
        <f ca="1">CHOOSE(ROUNDUP(Panchanga!$L68,0),"Bhava","Baalava","Kaulava","Taitula","Garija","Vanija","Vishti","Shakuni","Chatushapda","Naaga","Kimstugna")</f>
        <v>Vanija</v>
      </c>
      <c r="N68" s="25" t="str">
        <f ca="1">CHOOSE(ROUNDUP(Panchanga!$Q68,0),"Vishkambha-विष्कम्भ-Sa","Priti-प्रीति-Me","Ayushman-आयुष्मान-Ke","Saubhagya-सौभाग्य-Ve","Shobhana-शोभन-Su","Atiganda-अतिगण्ड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("&amp;Panchanga!$Q68&amp;")"</f>
        <v>Atiganda-अतिगण्ड -Mo (5.94)</v>
      </c>
      <c r="O68" s="2">
        <f ca="1">IF(AND(Panchanga!$P68&lt;28.5,Panchanga!$P68&gt;0.49999),MOD((Panchanga!$P68-0.5)*2,7),MOD((Panchanga!$P68+30-28.5),30)*2+7)</f>
        <v>5.7639999999999993</v>
      </c>
      <c r="P68" s="2">
        <f ca="1">ROUNDUP(MOD(360+Panchanga!$G68-Panchanga!$F68,360)/12,4)</f>
        <v>13.882</v>
      </c>
      <c r="Q68" s="2">
        <f t="shared" ca="1" si="23"/>
        <v>5.9399999999999995</v>
      </c>
      <c r="R68" s="2" t="str">
        <f ca="1">SIGN(S69-Panchanga!$S68)*INT(Panchanga!$S68/30+1)&amp;"Ma,"&amp;SIGN(T69-Panchanga!$T68)*INT(Panchanga!$T68/30+1)&amp;"Me,"&amp;SIGN(U69-Panchanga!$U68)*INT(Panchanga!$U68/30+1)&amp;"Ju,"&amp;SIGN(V69-Panchanga!$V68)*INT(Panchanga!$V68/30+1)&amp;"Ve,"&amp;SIGN(W69-Panchanga!$W68)*INT(Panchanga!$W68/30+1)&amp;"Sa,"&amp;INT(Panchanga!$X68/30+1)&amp;"Ra"</f>
        <v>8Ma,11Me,7Ju,11Ve,9Sa,4Ra</v>
      </c>
      <c r="S68" s="2">
        <f ca="1">Planet(Panchanga!$E68,4)</f>
        <v>236.16817068076142</v>
      </c>
      <c r="T68" s="2">
        <f ca="1">Planet(Panchanga!$E68,2)</f>
        <v>326.22291207723902</v>
      </c>
      <c r="U68" s="2">
        <f ca="1">Planet(Panchanga!$E68,5)</f>
        <v>209.01108231277158</v>
      </c>
      <c r="V68" s="2">
        <f ca="1">Planet(Panchanga!$E68,3)</f>
        <v>328.4805891375679</v>
      </c>
      <c r="W68" s="2">
        <f ca="1">Planet(Panchanga!$E68,6)</f>
        <v>253.21000526833143</v>
      </c>
      <c r="X68" s="2">
        <f ca="1">Planet(Panchanga!$E68,10)</f>
        <v>109.6628135817357</v>
      </c>
      <c r="Y68" s="2">
        <f ca="1">SIGN(S69-Panchanga!$S68)</f>
        <v>1</v>
      </c>
    </row>
    <row r="69" spans="1:25" x14ac:dyDescent="0.2">
      <c r="A69" s="3">
        <f t="shared" ca="1" si="11"/>
        <v>43161</v>
      </c>
      <c r="B69" s="3">
        <f t="shared" ca="1" si="17"/>
        <v>43161.229166666664</v>
      </c>
      <c r="C69" s="5">
        <f t="shared" ca="1" si="18"/>
        <v>43161.268284525875</v>
      </c>
      <c r="D69" s="5">
        <f t="shared" ca="1" si="19"/>
        <v>43160.761990050829</v>
      </c>
      <c r="E69" s="60">
        <f ca="1">Panchanga!$C69-TimeZone/24</f>
        <v>43161.039117859211</v>
      </c>
      <c r="F69" s="61">
        <f t="shared" ca="1" si="20"/>
        <v>317.27923956558698</v>
      </c>
      <c r="G69" s="61">
        <f t="shared" ca="1" si="21"/>
        <v>137.32807342707233</v>
      </c>
      <c r="H69" s="62">
        <f t="shared" ca="1" si="22"/>
        <v>43161.039117859211</v>
      </c>
      <c r="I69" s="2" t="str">
        <f ca="1">naks(Panchanga!$G69)</f>
        <v>Purva Phalguni</v>
      </c>
      <c r="J69" s="5">
        <f ca="1">(C70-Panchanga!$C69)/(G70-Panchanga!$G69)*(13.3333333333333-MOD(Panchanga!$G69,13.333333333333))+Panchanga!$C69</f>
        <v>43161.92418407595</v>
      </c>
      <c r="K69" s="2" t="str">
        <f ca="1">IF(Panchanga!$P69&gt;15,"K","S")&amp;ROUNDUP(MOD(Panchanga!$P69,15),0)&amp;" ("&amp;ROUND(Panchanga!$P69,2)&amp;")"</f>
        <v>K1 (15)</v>
      </c>
      <c r="L69" s="2">
        <f ca="1">IF(AND(Panchanga!$P69&lt;28.5,Panchanga!$P69&gt;0.49999),MOD((Panchanga!$P69-0.5)*2,7),MOD((Panchanga!$P69+30-28.5),30)*2+7)</f>
        <v>1.0081999999999987</v>
      </c>
      <c r="M69" s="2" t="str">
        <f ca="1">CHOOSE(ROUNDUP(Panchanga!$L69,0),"Bhava","Baalava","Kaulava","Taitula","Garija","Vanija","Vishti","Shakuni","Chatushapda","Naaga","Kimstugna")</f>
        <v>Baalava</v>
      </c>
      <c r="N69" s="25" t="str">
        <f ca="1">CHOOSE(ROUNDUP(Panchanga!$Q69,0),"Vishkambha-विष्कम्भ-Sa","Priti-प्रीति-Me","Ayushman-आयुष्मान-Ke","Saubhagya-सौभाग्य-Ve","Shobhana-शोभन-Su","Atiganda-अतिगण्ड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("&amp;Panchanga!$Q69&amp;")"</f>
        <v>Dhriti-धृति -Ra (7.1)</v>
      </c>
      <c r="O69" s="2">
        <f ca="1">IF(AND(Panchanga!$P69&lt;28.5,Panchanga!$P69&gt;0.49999),MOD((Panchanga!$P69-0.5)*2,7),MOD((Panchanga!$P69+30-28.5),30)*2+7)</f>
        <v>1.0081999999999987</v>
      </c>
      <c r="P69" s="2">
        <f ca="1">ROUNDUP(MOD(360+Panchanga!$G69-Panchanga!$F69,360)/12,4)</f>
        <v>15.004099999999999</v>
      </c>
      <c r="Q69" s="2">
        <f t="shared" ca="1" si="23"/>
        <v>7.1</v>
      </c>
      <c r="R69" s="2" t="str">
        <f ca="1">SIGN(S70-Panchanga!$S69)*INT(Panchanga!$S69/30+1)&amp;"Ma,"&amp;SIGN(T70-Panchanga!$T69)*INT(Panchanga!$T69/30+1)&amp;"Me,"&amp;SIGN(U70-Panchanga!$U69)*INT(Panchanga!$U69/30+1)&amp;"Ju,"&amp;SIGN(V70-Panchanga!$V69)*INT(Panchanga!$V69/30+1)&amp;"Ve,"&amp;SIGN(W70-Panchanga!$W69)*INT(Panchanga!$W69/30+1)&amp;"Sa,"&amp;INT(Panchanga!$X69/30+1)&amp;"Ra"</f>
        <v>8Ma,11Me,7Ju,11Ve,9Sa,4Ra</v>
      </c>
      <c r="S69" s="2">
        <f ca="1">Planet(Panchanga!$E69,4)</f>
        <v>236.76000925670908</v>
      </c>
      <c r="T69" s="2">
        <f ca="1">Planet(Panchanga!$E69,2)</f>
        <v>328.10073396449519</v>
      </c>
      <c r="U69" s="2">
        <f ca="1">Planet(Panchanga!$E69,5)</f>
        <v>209.03491698012999</v>
      </c>
      <c r="V69" s="2">
        <f ca="1">Planet(Panchanga!$E69,3)</f>
        <v>329.7267017317202</v>
      </c>
      <c r="W69" s="2">
        <f ca="1">Planet(Panchanga!$E69,6)</f>
        <v>253.28234691458573</v>
      </c>
      <c r="X69" s="2">
        <f ca="1">Planet(Panchanga!$E69,10)</f>
        <v>109.60984237159873</v>
      </c>
      <c r="Y69" s="2">
        <f ca="1">SIGN(S70-Panchanga!$S69)</f>
        <v>1</v>
      </c>
    </row>
    <row r="70" spans="1:25" x14ac:dyDescent="0.2">
      <c r="A70" s="3">
        <f t="shared" ca="1" si="11"/>
        <v>43162</v>
      </c>
      <c r="B70" s="3">
        <f t="shared" ca="1" si="17"/>
        <v>43162.229166666664</v>
      </c>
      <c r="C70" s="5">
        <f t="shared" ca="1" si="18"/>
        <v>43162.26788573122</v>
      </c>
      <c r="D70" s="5">
        <f t="shared" ca="1" si="19"/>
        <v>43161.762106557886</v>
      </c>
      <c r="E70" s="60">
        <f ca="1">Panchanga!$C70-TimeZone/24</f>
        <v>43162.038719064556</v>
      </c>
      <c r="F70" s="61">
        <f t="shared" ca="1" si="20"/>
        <v>318.28161933527434</v>
      </c>
      <c r="G70" s="61">
        <f t="shared" ca="1" si="21"/>
        <v>151.56023604622291</v>
      </c>
      <c r="H70" s="62">
        <f t="shared" ca="1" si="22"/>
        <v>43162.038719064556</v>
      </c>
      <c r="I70" s="2" t="str">
        <f ca="1">naks(Panchanga!$G70)</f>
        <v>Uttara Phalguni</v>
      </c>
      <c r="J70" s="5">
        <f ca="1">(C71-Panchanga!$C70)/(G71-Panchanga!$G70)*(13.3333333333333-MOD(Panchanga!$G70,13.333333333333))+Panchanga!$C70</f>
        <v>43162.874262005331</v>
      </c>
      <c r="K70" s="2" t="str">
        <f ca="1">IF(Panchanga!$P70&gt;15,"K","S")&amp;ROUNDUP(MOD(Panchanga!$P70,15),0)&amp;" ("&amp;ROUND(Panchanga!$P70,2)&amp;")"</f>
        <v>K2 (16.11)</v>
      </c>
      <c r="L70" s="2">
        <f ca="1">IF(AND(Panchanga!$P70&lt;28.5,Panchanga!$P70&gt;0.49999),MOD((Panchanga!$P70-0.5)*2,7),MOD((Panchanga!$P70+30-28.5),30)*2+7)</f>
        <v>3.2132000000000005</v>
      </c>
      <c r="M70" s="2" t="str">
        <f ca="1">CHOOSE(ROUNDUP(Panchanga!$L70,0),"Bhava","Baalava","Kaulava","Taitula","Garija","Vanija","Vishti","Shakuni","Chatushapda","Naaga","Kimstugna")</f>
        <v>Taitula</v>
      </c>
      <c r="N70" s="25" t="str">
        <f ca="1">CHOOSE(ROUNDUP(Panchanga!$Q70,0),"Vishkambha-विष्कम्भ-Sa","Priti-प्रीति-Me","Ayushman-आयुष्मान-Ke","Saubhagya-सौभाग्य-Ve","Shobhana-शोभन-Su","Atiganda-अतिगण्ड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("&amp;Panchanga!$Q70&amp;")"</f>
        <v>Shula-शूल -Ju (8.24)</v>
      </c>
      <c r="O70" s="2">
        <f ca="1">IF(AND(Panchanga!$P70&lt;28.5,Panchanga!$P70&gt;0.49999),MOD((Panchanga!$P70-0.5)*2,7),MOD((Panchanga!$P70+30-28.5),30)*2+7)</f>
        <v>3.2132000000000005</v>
      </c>
      <c r="P70" s="2">
        <f ca="1">ROUNDUP(MOD(360+Panchanga!$G70-Panchanga!$F70,360)/12,4)</f>
        <v>16.1066</v>
      </c>
      <c r="Q70" s="2">
        <f t="shared" ca="1" si="23"/>
        <v>8.24</v>
      </c>
      <c r="R70" s="2" t="str">
        <f ca="1">SIGN(S71-Panchanga!$S70)*INT(Panchanga!$S70/30+1)&amp;"Ma,"&amp;SIGN(T71-Panchanga!$T70)*INT(Panchanga!$T70/30+1)&amp;"Me,"&amp;SIGN(U71-Panchanga!$U70)*INT(Panchanga!$U70/30+1)&amp;"Ju,"&amp;SIGN(V71-Panchanga!$V70)*INT(Panchanga!$V70/30+1)&amp;"Ve,"&amp;SIGN(W71-Panchanga!$W70)*INT(Panchanga!$W70/30+1)&amp;"Sa,"&amp;INT(Panchanga!$X70/30+1)&amp;"Ra"</f>
        <v>8Ma,11Me,7Ju,12Ve,9Sa,4Ra</v>
      </c>
      <c r="S70" s="2">
        <f ca="1">Planet(Panchanga!$E70,4)</f>
        <v>237.35094144303852</v>
      </c>
      <c r="T70" s="2">
        <f ca="1">Planet(Panchanga!$E70,2)</f>
        <v>329.96382335681409</v>
      </c>
      <c r="U70" s="2">
        <f ca="1">Planet(Panchanga!$E70,5)</f>
        <v>209.05566927428774</v>
      </c>
      <c r="V70" s="2">
        <f ca="1">Planet(Panchanga!$E70,3)</f>
        <v>330.97240717542292</v>
      </c>
      <c r="W70" s="2">
        <f ca="1">Planet(Panchanga!$E70,6)</f>
        <v>253.35342213521298</v>
      </c>
      <c r="X70" s="2">
        <f ca="1">Planet(Panchanga!$E70,10)</f>
        <v>109.55687150677471</v>
      </c>
      <c r="Y70" s="2">
        <f ca="1">SIGN(S71-Panchanga!$S70)</f>
        <v>1</v>
      </c>
    </row>
    <row r="71" spans="1:25" x14ac:dyDescent="0.2">
      <c r="A71" s="3">
        <f t="shared" ca="1" si="11"/>
        <v>43163</v>
      </c>
      <c r="B71" s="3">
        <f t="shared" ca="1" si="17"/>
        <v>43163.229166666664</v>
      </c>
      <c r="C71" s="5">
        <f t="shared" ca="1" si="18"/>
        <v>43163.267480578426</v>
      </c>
      <c r="D71" s="5">
        <f t="shared" ca="1" si="19"/>
        <v>43162.762218455828</v>
      </c>
      <c r="E71" s="60">
        <f ca="1">Panchanga!$C71-TimeZone/24</f>
        <v>43163.038313911762</v>
      </c>
      <c r="F71" s="61">
        <f t="shared" ca="1" si="20"/>
        <v>319.28351539992991</v>
      </c>
      <c r="G71" s="61">
        <f t="shared" ca="1" si="21"/>
        <v>165.47295809696587</v>
      </c>
      <c r="H71" s="62">
        <f t="shared" ca="1" si="22"/>
        <v>43163.038313911762</v>
      </c>
      <c r="I71" s="2" t="str">
        <f ca="1">naks(Panchanga!$G71)</f>
        <v>Hasta</v>
      </c>
      <c r="J71" s="5">
        <f ca="1">(C72-Panchanga!$C71)/(G72-Panchanga!$G71)*(13.3333333333333-MOD(Panchanga!$G71,13.333333333333))+Panchanga!$C71</f>
        <v>43163.847814221779</v>
      </c>
      <c r="K71" s="2" t="str">
        <f ca="1">IF(Panchanga!$P71&gt;15,"K","S")&amp;ROUNDUP(MOD(Panchanga!$P71,15),0)&amp;" ("&amp;ROUND(Panchanga!$P71,2)&amp;")"</f>
        <v>K3 (17.18)</v>
      </c>
      <c r="L71" s="2">
        <f ca="1">IF(AND(Panchanga!$P71&lt;28.5,Panchanga!$P71&gt;0.49999),MOD((Panchanga!$P71-0.5)*2,7),MOD((Panchanga!$P71+30-28.5),30)*2+7)</f>
        <v>5.365000000000002</v>
      </c>
      <c r="M71" s="2" t="str">
        <f ca="1">CHOOSE(ROUNDUP(Panchanga!$L71,0),"Bhava","Baalava","Kaulava","Taitula","Garija","Vanija","Vishti","Shakuni","Chatushapda","Naaga","Kimstugna")</f>
        <v>Vanija</v>
      </c>
      <c r="N71" s="25" t="str">
        <f ca="1">CHOOSE(ROUNDUP(Panchanga!$Q71,0),"Vishkambha-विष्कम्भ-Sa","Priti-प्रीति-Me","Ayushman-आयुष्मान-Ke","Saubhagya-सौभाग्य-Ve","Shobhana-शोभन-Su","Atiganda-अतिगण्ड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("&amp;Panchanga!$Q71&amp;")"</f>
        <v>Ganda-गण्ड -Sa (9.36)</v>
      </c>
      <c r="O71" s="2">
        <f ca="1">IF(AND(Panchanga!$P71&lt;28.5,Panchanga!$P71&gt;0.49999),MOD((Panchanga!$P71-0.5)*2,7),MOD((Panchanga!$P71+30-28.5),30)*2+7)</f>
        <v>5.365000000000002</v>
      </c>
      <c r="P71" s="2">
        <f ca="1">ROUNDUP(MOD(360+Panchanga!$G71-Panchanga!$F71,360)/12,4)</f>
        <v>17.182500000000001</v>
      </c>
      <c r="Q71" s="2">
        <f t="shared" ca="1" si="23"/>
        <v>9.36</v>
      </c>
      <c r="R71" s="2" t="str">
        <f ca="1">SIGN(S72-Panchanga!$S71)*INT(Panchanga!$S71/30+1)&amp;"Ma,"&amp;SIGN(T72-Panchanga!$T71)*INT(Panchanga!$T71/30+1)&amp;"Me,"&amp;SIGN(U72-Panchanga!$U71)*INT(Panchanga!$U71/30+1)&amp;"Ju,"&amp;SIGN(V72-Panchanga!$V71)*INT(Panchanga!$V71/30+1)&amp;"Ve,"&amp;SIGN(W72-Panchanga!$W71)*INT(Panchanga!$W71/30+1)&amp;"Sa,"&amp;INT(Panchanga!$X71/30+1)&amp;"Ra"</f>
        <v>8Ma,12Me,7Ju,12Ve,9Sa,4Ra</v>
      </c>
      <c r="S71" s="2">
        <f ca="1">Planet(Panchanga!$E71,4)</f>
        <v>237.94094605877058</v>
      </c>
      <c r="T71" s="2">
        <f ca="1">Planet(Panchanga!$E71,2)</f>
        <v>331.80645187671496</v>
      </c>
      <c r="U71" s="2">
        <f ca="1">Planet(Panchanga!$E71,5)</f>
        <v>209.07332793956513</v>
      </c>
      <c r="V71" s="2">
        <f ca="1">Planet(Panchanga!$E71,3)</f>
        <v>332.21771034147793</v>
      </c>
      <c r="W71" s="2">
        <f ca="1">Planet(Panchanga!$E71,6)</f>
        <v>253.42321678504732</v>
      </c>
      <c r="X71" s="2">
        <f ca="1">Planet(Panchanga!$E71,10)</f>
        <v>109.50390097887995</v>
      </c>
      <c r="Y71" s="2">
        <f ca="1">SIGN(S72-Panchanga!$S71)</f>
        <v>1</v>
      </c>
    </row>
    <row r="72" spans="1:25" x14ac:dyDescent="0.2">
      <c r="A72" s="3">
        <f t="shared" ca="1" si="11"/>
        <v>43164</v>
      </c>
      <c r="B72" s="3">
        <f t="shared" ca="1" si="17"/>
        <v>43164.229166666664</v>
      </c>
      <c r="C72" s="5">
        <f t="shared" ca="1" si="18"/>
        <v>43164.267069704052</v>
      </c>
      <c r="D72" s="5">
        <f t="shared" ca="1" si="19"/>
        <v>43163.762325584932</v>
      </c>
      <c r="E72" s="60">
        <f ca="1">Panchanga!$C72-TimeZone/24</f>
        <v>43164.037903037388</v>
      </c>
      <c r="F72" s="61">
        <f t="shared" ca="1" si="20"/>
        <v>320.28494089978312</v>
      </c>
      <c r="G72" s="61">
        <f t="shared" ca="1" si="21"/>
        <v>179.01197259243909</v>
      </c>
      <c r="H72" s="62">
        <f t="shared" ca="1" si="22"/>
        <v>43164.037903037388</v>
      </c>
      <c r="I72" s="2" t="str">
        <f ca="1">naks(Panchanga!$G72)</f>
        <v>Chitra</v>
      </c>
      <c r="J72" s="5">
        <f ca="1">(C73-Panchanga!$C72)/(G73-Panchanga!$G72)*(13.3333333333333-MOD(Panchanga!$G72,13.333333333333))+Panchanga!$C72</f>
        <v>43164.849151166207</v>
      </c>
      <c r="K72" s="2" t="str">
        <f ca="1">IF(Panchanga!$P72&gt;15,"K","S")&amp;ROUNDUP(MOD(Panchanga!$P72,15),0)&amp;" ("&amp;ROUND(Panchanga!$P72,2)&amp;")"</f>
        <v>K4 (18.23)</v>
      </c>
      <c r="L72" s="2">
        <f ca="1">IF(AND(Panchanga!$P72&lt;28.5,Panchanga!$P72&gt;0.49999),MOD((Panchanga!$P72-0.5)*2,7),MOD((Panchanga!$P72+30-28.5),30)*2+7)</f>
        <v>0.45459999999999923</v>
      </c>
      <c r="M72" s="2" t="str">
        <f ca="1">CHOOSE(ROUNDUP(Panchanga!$L72,0),"Bhava","Baalava","Kaulava","Taitula","Garija","Vanija","Vishti","Shakuni","Chatushapda","Naaga","Kimstugna")</f>
        <v>Bhava</v>
      </c>
      <c r="N72" s="25" t="str">
        <f ca="1">CHOOSE(ROUNDUP(Panchanga!$Q72,0),"Vishkambha-विष्कम्भ-Sa","Priti-प्रीति-Me","Ayushman-आयुष्मान-Ke","Saubhagya-सौभाग्य-Ve","Shobhana-शोभन-Su","Atiganda-अतिगण्ड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("&amp;Panchanga!$Q72&amp;")"</f>
        <v>Vriddhi-वृद्धि -Me (10.45)</v>
      </c>
      <c r="O72" s="2">
        <f ca="1">IF(AND(Panchanga!$P72&lt;28.5,Panchanga!$P72&gt;0.49999),MOD((Panchanga!$P72-0.5)*2,7),MOD((Panchanga!$P72+30-28.5),30)*2+7)</f>
        <v>0.45459999999999923</v>
      </c>
      <c r="P72" s="2">
        <f ca="1">ROUNDUP(MOD(360+Panchanga!$G72-Panchanga!$F72,360)/12,4)</f>
        <v>18.2273</v>
      </c>
      <c r="Q72" s="2">
        <f t="shared" ca="1" si="23"/>
        <v>10.45</v>
      </c>
      <c r="R72" s="2" t="str">
        <f ca="1">SIGN(S73-Panchanga!$S72)*INT(Panchanga!$S72/30+1)&amp;"Ma,"&amp;SIGN(T73-Panchanga!$T72)*INT(Panchanga!$T72/30+1)&amp;"Me,"&amp;SIGN(U73-Panchanga!$U72)*INT(Panchanga!$U72/30+1)&amp;"Ju,"&amp;SIGN(V73-Panchanga!$V72)*INT(Panchanga!$V72/30+1)&amp;"Ve,"&amp;SIGN(W73-Panchanga!$W72)*INT(Panchanga!$W72/30+1)&amp;"Sa,"&amp;INT(Panchanga!$X72/30+1)&amp;"Ra"</f>
        <v>8Ma,12Me,7Ju,12Ve,9Sa,4Ra</v>
      </c>
      <c r="S72" s="2">
        <f ca="1">Planet(Panchanga!$E72,4)</f>
        <v>238.52999790697251</v>
      </c>
      <c r="T72" s="2">
        <f ca="1">Planet(Panchanga!$E72,2)</f>
        <v>333.62221754335314</v>
      </c>
      <c r="U72" s="2">
        <f ca="1">Planet(Panchanga!$E72,5)</f>
        <v>209.08788196066453</v>
      </c>
      <c r="V72" s="2">
        <f ca="1">Planet(Panchanga!$E72,3)</f>
        <v>333.46261580679635</v>
      </c>
      <c r="W72" s="2">
        <f ca="1">Planet(Panchanga!$E72,6)</f>
        <v>253.49171633709744</v>
      </c>
      <c r="X72" s="2">
        <f ca="1">Planet(Panchanga!$E72,10)</f>
        <v>109.4509307541969</v>
      </c>
      <c r="Y72" s="2">
        <f ca="1">SIGN(S73-Panchanga!$S72)</f>
        <v>1</v>
      </c>
    </row>
    <row r="73" spans="1:25" x14ac:dyDescent="0.2">
      <c r="A73" s="3">
        <f t="shared" ca="1" si="11"/>
        <v>43165</v>
      </c>
      <c r="B73" s="3">
        <f t="shared" ca="1" si="17"/>
        <v>43165.229166666664</v>
      </c>
      <c r="C73" s="5">
        <f t="shared" ca="1" si="18"/>
        <v>43165.266653265957</v>
      </c>
      <c r="D73" s="5">
        <f t="shared" ca="1" si="19"/>
        <v>43164.762428581758</v>
      </c>
      <c r="E73" s="60">
        <f ca="1">Panchanga!$C73-TimeZone/24</f>
        <v>43165.037486599293</v>
      </c>
      <c r="F73" s="61">
        <f t="shared" ca="1" si="20"/>
        <v>321.28590529950651</v>
      </c>
      <c r="G73" s="61">
        <f t="shared" ca="1" si="21"/>
        <v>192.15705084254111</v>
      </c>
      <c r="H73" s="62">
        <f t="shared" ca="1" si="22"/>
        <v>43165.037486599293</v>
      </c>
      <c r="I73" s="2" t="str">
        <f ca="1">naks(Panchanga!$G73)</f>
        <v>Swati</v>
      </c>
      <c r="J73" s="5">
        <f ca="1">(C74-Panchanga!$C73)/(G74-Panchanga!$G73)*(13.3333333333333-MOD(Panchanga!$G73,13.333333333333))+Panchanga!$C73</f>
        <v>43165.88084308181</v>
      </c>
      <c r="K73" s="2" t="str">
        <f ca="1">IF(Panchanga!$P73&gt;15,"K","S")&amp;ROUNDUP(MOD(Panchanga!$P73,15),0)&amp;" ("&amp;ROUND(Panchanga!$P73,2)&amp;")"</f>
        <v>K5 (19.24)</v>
      </c>
      <c r="L73" s="2">
        <f ca="1">IF(AND(Panchanga!$P73&lt;28.5,Panchanga!$P73&gt;0.49999),MOD((Panchanga!$P73-0.5)*2,7),MOD((Panchanga!$P73+30-28.5),30)*2+7)</f>
        <v>2.4786000000000001</v>
      </c>
      <c r="M73" s="2" t="str">
        <f ca="1">CHOOSE(ROUNDUP(Panchanga!$L73,0),"Bhava","Baalava","Kaulava","Taitula","Garija","Vanija","Vishti","Shakuni","Chatushapda","Naaga","Kimstugna")</f>
        <v>Kaulava</v>
      </c>
      <c r="N73" s="25" t="str">
        <f ca="1">CHOOSE(ROUNDUP(Panchanga!$Q73,0),"Vishkambha-विष्कम्भ-Sa","Priti-प्रीति-Me","Ayushman-आयुष्मान-Ke","Saubhagya-सौभाग्य-Ve","Shobhana-शोभन-Su","Atiganda-अतिगण्ड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("&amp;Panchanga!$Q73&amp;")"</f>
        <v>Dhruva-ध्रुव -Ke (11.51)</v>
      </c>
      <c r="O73" s="2">
        <f ca="1">IF(AND(Panchanga!$P73&lt;28.5,Panchanga!$P73&gt;0.49999),MOD((Panchanga!$P73-0.5)*2,7),MOD((Panchanga!$P73+30-28.5),30)*2+7)</f>
        <v>2.4786000000000001</v>
      </c>
      <c r="P73" s="2">
        <f ca="1">ROUNDUP(MOD(360+Panchanga!$G73-Panchanga!$F73,360)/12,4)</f>
        <v>19.2393</v>
      </c>
      <c r="Q73" s="2">
        <f t="shared" ca="1" si="23"/>
        <v>11.51</v>
      </c>
      <c r="R73" s="2" t="str">
        <f ca="1">SIGN(S74-Panchanga!$S73)*INT(Panchanga!$S73/30+1)&amp;"Ma,"&amp;SIGN(T74-Panchanga!$T73)*INT(Panchanga!$T73/30+1)&amp;"Me,"&amp;SIGN(U74-Panchanga!$U73)*INT(Panchanga!$U73/30+1)&amp;"Ju,"&amp;SIGN(V74-Panchanga!$V73)*INT(Panchanga!$V73/30+1)&amp;"Ve,"&amp;SIGN(W74-Panchanga!$W73)*INT(Panchanga!$W73/30+1)&amp;"Sa,"&amp;INT(Panchanga!$X73/30+1)&amp;"Ra"</f>
        <v>8Ma,12Me,7Ju,12Ve,9Sa,4Ra</v>
      </c>
      <c r="S73" s="2">
        <f ca="1">Planet(Panchanga!$E73,4)</f>
        <v>239.11806800982328</v>
      </c>
      <c r="T73" s="2">
        <f ca="1">Planet(Panchanga!$E73,2)</f>
        <v>335.40406753160357</v>
      </c>
      <c r="U73" s="2">
        <f ca="1">Planet(Panchanga!$E73,5)</f>
        <v>209.09932094363754</v>
      </c>
      <c r="V73" s="2">
        <f ca="1">Planet(Panchanga!$E73,3)</f>
        <v>334.70712613819722</v>
      </c>
      <c r="W73" s="2">
        <f ca="1">Planet(Panchanga!$E73,6)</f>
        <v>253.55890591202115</v>
      </c>
      <c r="X73" s="2">
        <f ca="1">Planet(Panchanga!$E73,10)</f>
        <v>109.39796082432504</v>
      </c>
      <c r="Y73" s="2">
        <f ca="1">SIGN(S74-Panchanga!$S73)</f>
        <v>1</v>
      </c>
    </row>
    <row r="74" spans="1:25" x14ac:dyDescent="0.2">
      <c r="A74" s="3">
        <f t="shared" ca="1" si="11"/>
        <v>43166</v>
      </c>
      <c r="B74" s="3">
        <f t="shared" ca="1" si="17"/>
        <v>43166.229166666664</v>
      </c>
      <c r="C74" s="5">
        <f t="shared" ca="1" si="18"/>
        <v>43166.266231424328</v>
      </c>
      <c r="D74" s="5">
        <f t="shared" ca="1" si="19"/>
        <v>43165.76252728705</v>
      </c>
      <c r="E74" s="60">
        <f ca="1">Panchanga!$C74-TimeZone/24</f>
        <v>43166.037064757664</v>
      </c>
      <c r="F74" s="61">
        <f t="shared" ca="1" si="20"/>
        <v>322.286414732514</v>
      </c>
      <c r="G74" s="61">
        <f t="shared" ca="1" si="21"/>
        <v>204.92124925913453</v>
      </c>
      <c r="H74" s="62">
        <f t="shared" ca="1" si="22"/>
        <v>43166.037064757664</v>
      </c>
      <c r="I74" s="2" t="str">
        <f ca="1">naks(Panchanga!$G74)</f>
        <v>Visakha</v>
      </c>
      <c r="J74" s="5">
        <f ca="1">(C75-Panchanga!$C74)/(G75-Panchanga!$G74)*(13.3333333333333-MOD(Panchanga!$G74,13.333333333333))+Panchanga!$C74</f>
        <v>43166.942985322363</v>
      </c>
      <c r="K74" s="2" t="str">
        <f ca="1">IF(Panchanga!$P74&gt;15,"K","S")&amp;ROUNDUP(MOD(Panchanga!$P74,15),0)&amp;" ("&amp;ROUND(Panchanga!$P74,2)&amp;")"</f>
        <v>K6 (20.22)</v>
      </c>
      <c r="L74" s="2">
        <f ca="1">IF(AND(Panchanga!$P74&lt;28.5,Panchanga!$P74&gt;0.49999),MOD((Panchanga!$P74-0.5)*2,7),MOD((Panchanga!$P74+30-28.5),30)*2+7)</f>
        <v>4.4391999999999996</v>
      </c>
      <c r="M74" s="2" t="str">
        <f ca="1">CHOOSE(ROUNDUP(Panchanga!$L74,0),"Bhava","Baalava","Kaulava","Taitula","Garija","Vanija","Vishti","Shakuni","Chatushapda","Naaga","Kimstugna")</f>
        <v>Garija</v>
      </c>
      <c r="N74" s="25" t="str">
        <f ca="1">CHOOSE(ROUNDUP(Panchanga!$Q74,0),"Vishkambha-विष्कम्भ-Sa","Priti-प्रीति-Me","Ayushman-आयुष्मान-Ke","Saubhagya-सौभाग्य-Ve","Shobhana-शोभन-Su","Atiganda-अतिगण्ड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("&amp;Panchanga!$Q74&amp;")"</f>
        <v>Vyaghata-व्याघात-ve (12.55)</v>
      </c>
      <c r="O74" s="2">
        <f ca="1">IF(AND(Panchanga!$P74&lt;28.5,Panchanga!$P74&gt;0.49999),MOD((Panchanga!$P74-0.5)*2,7),MOD((Panchanga!$P74+30-28.5),30)*2+7)</f>
        <v>4.4391999999999996</v>
      </c>
      <c r="P74" s="2">
        <f ca="1">ROUNDUP(MOD(360+Panchanga!$G74-Panchanga!$F74,360)/12,4)</f>
        <v>20.2196</v>
      </c>
      <c r="Q74" s="2">
        <f t="shared" ca="1" si="23"/>
        <v>12.549999999999999</v>
      </c>
      <c r="R74" s="2" t="str">
        <f ca="1">SIGN(S75-Panchanga!$S74)*INT(Panchanga!$S74/30+1)&amp;"Ma,"&amp;SIGN(T75-Panchanga!$T74)*INT(Panchanga!$T74/30+1)&amp;"Me,"&amp;SIGN(U75-Panchanga!$U74)*INT(Panchanga!$U74/30+1)&amp;"Ju,"&amp;SIGN(V75-Panchanga!$V74)*INT(Panchanga!$V74/30+1)&amp;"Ve,"&amp;SIGN(W75-Panchanga!$W74)*INT(Panchanga!$W74/30+1)&amp;"Sa,"&amp;INT(Panchanga!$X74/30+1)&amp;"Ra"</f>
        <v>8Ma,12Me,7Ju,12Ve,9Sa,4Ra</v>
      </c>
      <c r="S74" s="2">
        <f ca="1">Planet(Panchanga!$E74,4)</f>
        <v>239.70512472973462</v>
      </c>
      <c r="T74" s="2">
        <f ca="1">Planet(Panchanga!$E74,2)</f>
        <v>337.14435301129629</v>
      </c>
      <c r="U74" s="2">
        <f ca="1">Planet(Panchanga!$E74,5)</f>
        <v>209.10763547579148</v>
      </c>
      <c r="V74" s="2">
        <f ca="1">Planet(Panchanga!$E74,3)</f>
        <v>335.95124227372798</v>
      </c>
      <c r="W74" s="2">
        <f ca="1">Planet(Panchanga!$E74,6)</f>
        <v>253.62477043504552</v>
      </c>
      <c r="X74" s="2">
        <f ca="1">Planet(Panchanga!$E74,10)</f>
        <v>109.34499118083092</v>
      </c>
      <c r="Y74" s="2">
        <f ca="1">SIGN(S75-Panchanga!$S74)</f>
        <v>1</v>
      </c>
    </row>
    <row r="75" spans="1:25" x14ac:dyDescent="0.2">
      <c r="A75" s="3">
        <f t="shared" ref="A75:A138" ca="1" si="24">A74+1</f>
        <v>43167</v>
      </c>
      <c r="B75" s="3">
        <f t="shared" ca="1" si="17"/>
        <v>43167.229166666664</v>
      </c>
      <c r="C75" s="5">
        <f t="shared" ca="1" si="18"/>
        <v>43167.265804655071</v>
      </c>
      <c r="D75" s="5">
        <f t="shared" ca="1" si="19"/>
        <v>43166.762622177645</v>
      </c>
      <c r="E75" s="60">
        <f ca="1">Panchanga!$C75-TimeZone/24</f>
        <v>43167.036637988407</v>
      </c>
      <c r="F75" s="61">
        <f t="shared" ca="1" si="20"/>
        <v>323.28647249433487</v>
      </c>
      <c r="G75" s="61">
        <f t="shared" ca="1" si="21"/>
        <v>217.34599343825349</v>
      </c>
      <c r="H75" s="62">
        <f t="shared" ca="1" si="22"/>
        <v>43167.036637988407</v>
      </c>
      <c r="I75" s="2" t="str">
        <f ca="1">naks(Panchanga!$G75)</f>
        <v>Anuradha</v>
      </c>
      <c r="J75" s="5">
        <f ca="1">(C76-Panchanga!$C75)/(G76-Panchanga!$G75)*(13.3333333333333-MOD(Panchanga!$G75,13.333333333333))+Panchanga!$C75</f>
        <v>43168.032725957164</v>
      </c>
      <c r="K75" s="2" t="str">
        <f ca="1">IF(Panchanga!$P75&gt;15,"K","S")&amp;ROUNDUP(MOD(Panchanga!$P75,15),0)&amp;" ("&amp;ROUND(Panchanga!$P75,2)&amp;")"</f>
        <v>K7 (21.17)</v>
      </c>
      <c r="L75" s="2">
        <f ca="1">IF(AND(Panchanga!$P75&lt;28.5,Panchanga!$P75&gt;0.49999),MOD((Panchanga!$P75-0.5)*2,7),MOD((Panchanga!$P75+30-28.5),30)*2+7)</f>
        <v>6.3434000000000026</v>
      </c>
      <c r="M75" s="2" t="str">
        <f ca="1">CHOOSE(ROUNDUP(Panchanga!$L75,0),"Bhava","Baalava","Kaulava","Taitula","Garija","Vanija","Vishti","Shakuni","Chatushapda","Naaga","Kimstugna")</f>
        <v>Vishti</v>
      </c>
      <c r="N75" s="25" t="str">
        <f ca="1">CHOOSE(ROUNDUP(Panchanga!$Q75,0),"Vishkambha-विष्कम्भ-Sa","Priti-प्रीति-Me","Ayushman-आयुष्मान-Ke","Saubhagya-सौभाग्य-Ve","Shobhana-शोभन-Su","Atiganda-अतिगण्ड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("&amp;Panchanga!$Q75&amp;")"</f>
        <v>Harshana-हर्षण-su (13.55)</v>
      </c>
      <c r="O75" s="2">
        <f ca="1">IF(AND(Panchanga!$P75&lt;28.5,Panchanga!$P75&gt;0.49999),MOD((Panchanga!$P75-0.5)*2,7),MOD((Panchanga!$P75+30-28.5),30)*2+7)</f>
        <v>6.3434000000000026</v>
      </c>
      <c r="P75" s="2">
        <f ca="1">ROUNDUP(MOD(360+Panchanga!$G75-Panchanga!$F75,360)/12,4)</f>
        <v>21.171700000000001</v>
      </c>
      <c r="Q75" s="2">
        <f t="shared" ca="1" si="23"/>
        <v>13.549999999999999</v>
      </c>
      <c r="R75" s="2" t="str">
        <f ca="1">SIGN(S76-Panchanga!$S75)*INT(Panchanga!$S75/30+1)&amp;"Ma,"&amp;SIGN(T76-Panchanga!$T75)*INT(Panchanga!$T75/30+1)&amp;"Me,"&amp;SIGN(U76-Panchanga!$U75)*INT(Panchanga!$U75/30+1)&amp;"Ju,"&amp;SIGN(V76-Panchanga!$V75)*INT(Panchanga!$V75/30+1)&amp;"Ve,"&amp;SIGN(W76-Panchanga!$W75)*INT(Panchanga!$W75/30+1)&amp;"Sa,"&amp;INT(Panchanga!$X75/30+1)&amp;"Ra"</f>
        <v>9Ma,12Me,7Ju,12Ve,9Sa,4Ra</v>
      </c>
      <c r="S75" s="2">
        <f ca="1">Planet(Panchanga!$E75,4)</f>
        <v>240.29113466445764</v>
      </c>
      <c r="T75" s="2">
        <f ca="1">Planet(Panchanga!$E75,2)</f>
        <v>338.83491476498085</v>
      </c>
      <c r="U75" s="2">
        <f ca="1">Planet(Panchanga!$E75,5)</f>
        <v>209.11281740022156</v>
      </c>
      <c r="V75" s="2">
        <f ca="1">Planet(Panchanga!$E75,3)</f>
        <v>337.19496390084896</v>
      </c>
      <c r="W75" s="2">
        <f ca="1">Planet(Panchanga!$E75,6)</f>
        <v>253.68929477215019</v>
      </c>
      <c r="X75" s="2">
        <f ca="1">Planet(Panchanga!$E75,10)</f>
        <v>109.29202179848032</v>
      </c>
      <c r="Y75" s="2">
        <f ca="1">SIGN(S76-Panchanga!$S75)</f>
        <v>1</v>
      </c>
    </row>
    <row r="76" spans="1:25" x14ac:dyDescent="0.2">
      <c r="A76" s="3">
        <f t="shared" ca="1" si="24"/>
        <v>43168</v>
      </c>
      <c r="B76" s="3">
        <f t="shared" ca="1" si="17"/>
        <v>43168.229166666664</v>
      </c>
      <c r="C76" s="5">
        <f t="shared" ca="1" si="18"/>
        <v>43168.265373276234</v>
      </c>
      <c r="D76" s="5">
        <f t="shared" ca="1" si="19"/>
        <v>43167.762713253542</v>
      </c>
      <c r="E76" s="60">
        <f ca="1">Panchanga!$C76-TimeZone/24</f>
        <v>43168.036206609569</v>
      </c>
      <c r="F76" s="61">
        <f t="shared" ca="1" si="20"/>
        <v>324.28607887404218</v>
      </c>
      <c r="G76" s="61">
        <f t="shared" ca="1" si="21"/>
        <v>229.49411406265466</v>
      </c>
      <c r="H76" s="62">
        <f t="shared" ca="1" si="22"/>
        <v>43168.036206609569</v>
      </c>
      <c r="I76" s="2" t="str">
        <f ca="1">naks(Panchanga!$G76)</f>
        <v>Jyestha</v>
      </c>
      <c r="J76" s="5">
        <f ca="1">(C77-Panchanga!$C76)/(G77-Panchanga!$G76)*(13.3333333333333-MOD(Panchanga!$G76,13.333333333333))+Panchanga!$C76</f>
        <v>43169.144267009586</v>
      </c>
      <c r="K76" s="2" t="str">
        <f ca="1">IF(Panchanga!$P76&gt;15,"K","S")&amp;ROUNDUP(MOD(Panchanga!$P76,15),0)&amp;" ("&amp;ROUND(Panchanga!$P76,2)&amp;")"</f>
        <v>K8 (22.1)</v>
      </c>
      <c r="L76" s="2">
        <f ca="1">IF(AND(Panchanga!$P76&lt;28.5,Panchanga!$P76&gt;0.49999),MOD((Panchanga!$P76-0.5)*2,7),MOD((Panchanga!$P76+30-28.5),30)*2+7)</f>
        <v>1.2013999999999996</v>
      </c>
      <c r="M76" s="2" t="str">
        <f ca="1">CHOOSE(ROUNDUP(Panchanga!$L76,0),"Bhava","Baalava","Kaulava","Taitula","Garija","Vanija","Vishti","Shakuni","Chatushapda","Naaga","Kimstugna")</f>
        <v>Baalava</v>
      </c>
      <c r="N76" s="25" t="str">
        <f ca="1">CHOOSE(ROUNDUP(Panchanga!$Q76,0),"Vishkambha-विष्कम्भ-Sa","Priti-प्रीति-Me","Ayushman-आयुष्मान-Ke","Saubhagya-सौभाग्य-Ve","Shobhana-शोभन-Su","Atiganda-अतिगण्ड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("&amp;Panchanga!$Q76&amp;")"</f>
        <v>Vajra-वज्र-Mo (14.54)</v>
      </c>
      <c r="O76" s="2">
        <f ca="1">IF(AND(Panchanga!$P76&lt;28.5,Panchanga!$P76&gt;0.49999),MOD((Panchanga!$P76-0.5)*2,7),MOD((Panchanga!$P76+30-28.5),30)*2+7)</f>
        <v>1.2013999999999996</v>
      </c>
      <c r="P76" s="2">
        <f ca="1">ROUNDUP(MOD(360+Panchanga!$G76-Panchanga!$F76,360)/12,4)</f>
        <v>22.1007</v>
      </c>
      <c r="Q76" s="2">
        <f t="shared" ca="1" si="23"/>
        <v>14.54</v>
      </c>
      <c r="R76" s="2" t="str">
        <f ca="1">SIGN(S77-Panchanga!$S76)*INT(Panchanga!$S76/30+1)&amp;"Ma,"&amp;SIGN(T77-Panchanga!$T76)*INT(Panchanga!$T76/30+1)&amp;"Me,"&amp;SIGN(U77-Panchanga!$U76)*INT(Panchanga!$U76/30+1)&amp;"Ju,"&amp;SIGN(V77-Panchanga!$V76)*INT(Panchanga!$V76/30+1)&amp;"Ve,"&amp;SIGN(W77-Panchanga!$W76)*INT(Panchanga!$W76/30+1)&amp;"Sa,"&amp;INT(Panchanga!$X76/30+1)&amp;"Ra"</f>
        <v>9Ma,12Me,-7Ju,12Ve,9Sa,4Ra</v>
      </c>
      <c r="S76" s="2">
        <f ca="1">Planet(Panchanga!$E76,4)</f>
        <v>240.87606290723977</v>
      </c>
      <c r="T76" s="2">
        <f ca="1">Planet(Panchanga!$E76,2)</f>
        <v>340.4671976470828</v>
      </c>
      <c r="U76" s="2">
        <f ca="1">Planet(Panchanga!$E76,5)</f>
        <v>209.11486001541749</v>
      </c>
      <c r="V76" s="2">
        <f ca="1">Planet(Panchanga!$E76,3)</f>
        <v>338.4382889582655</v>
      </c>
      <c r="W76" s="2">
        <f ca="1">Planet(Panchanga!$E76,6)</f>
        <v>253.75246379623317</v>
      </c>
      <c r="X76" s="2">
        <f ca="1">Planet(Panchanga!$E76,10)</f>
        <v>109.23905266037305</v>
      </c>
      <c r="Y76" s="2">
        <f ca="1">SIGN(S77-Panchanga!$S76)</f>
        <v>1</v>
      </c>
    </row>
    <row r="77" spans="1:25" x14ac:dyDescent="0.2">
      <c r="A77" s="3">
        <f t="shared" ca="1" si="24"/>
        <v>43169</v>
      </c>
      <c r="B77" s="3">
        <f t="shared" ca="1" si="17"/>
        <v>43169.229166666664</v>
      </c>
      <c r="C77" s="5">
        <f t="shared" ca="1" si="18"/>
        <v>43169.264937288281</v>
      </c>
      <c r="D77" s="5">
        <f t="shared" ca="1" si="19"/>
        <v>43168.762800832788</v>
      </c>
      <c r="E77" s="60">
        <f ca="1">Panchanga!$C77-TimeZone/24</f>
        <v>43169.035770621616</v>
      </c>
      <c r="F77" s="61">
        <f t="shared" ca="1" si="20"/>
        <v>325.28523131077725</v>
      </c>
      <c r="G77" s="61">
        <f t="shared" ca="1" si="21"/>
        <v>241.44243625352661</v>
      </c>
      <c r="H77" s="62">
        <f t="shared" ca="1" si="22"/>
        <v>43169.035770621616</v>
      </c>
      <c r="I77" s="2" t="str">
        <f ca="1">naks(Panchanga!$G77)</f>
        <v>Moola</v>
      </c>
      <c r="J77" s="5">
        <f ca="1">(C78-Panchanga!$C77)/(G78-Panchanga!$G77)*(13.3333333333333-MOD(Panchanga!$G77,13.333333333333))+Panchanga!$C77</f>
        <v>43170.269434771588</v>
      </c>
      <c r="K77" s="2" t="str">
        <f ca="1">IF(Panchanga!$P77&gt;15,"K","S")&amp;ROUNDUP(MOD(Panchanga!$P77,15),0)&amp;" ("&amp;ROUND(Panchanga!$P77,2)&amp;")"</f>
        <v>K9 (23.01)</v>
      </c>
      <c r="L77" s="2">
        <f ca="1">IF(AND(Panchanga!$P77&lt;28.5,Panchanga!$P77&gt;0.49999),MOD((Panchanga!$P77-0.5)*2,7),MOD((Panchanga!$P77+30-28.5),30)*2+7)</f>
        <v>3.0264000000000024</v>
      </c>
      <c r="M77" s="2" t="str">
        <f ca="1">CHOOSE(ROUNDUP(Panchanga!$L77,0),"Bhava","Baalava","Kaulava","Taitula","Garija","Vanija","Vishti","Shakuni","Chatushapda","Naaga","Kimstugna")</f>
        <v>Taitula</v>
      </c>
      <c r="N77" s="25" t="str">
        <f ca="1">CHOOSE(ROUNDUP(Panchanga!$Q77,0),"Vishkambha-विष्कम्भ-Sa","Priti-प्रीति-Me","Ayushman-आयुष्मान-Ke","Saubhagya-सौभाग्य-Ve","Shobhana-शोभन-Su","Atiganda-अतिगण्ड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("&amp;Panchanga!$Q77&amp;")"</f>
        <v>Siddhi-सिद्धि-Ma (15.51)</v>
      </c>
      <c r="O77" s="2">
        <f ca="1">IF(AND(Panchanga!$P77&lt;28.5,Panchanga!$P77&gt;0.49999),MOD((Panchanga!$P77-0.5)*2,7),MOD((Panchanga!$P77+30-28.5),30)*2+7)</f>
        <v>3.0264000000000024</v>
      </c>
      <c r="P77" s="2">
        <f ca="1">ROUNDUP(MOD(360+Panchanga!$G77-Panchanga!$F77,360)/12,4)</f>
        <v>23.013200000000001</v>
      </c>
      <c r="Q77" s="2">
        <f t="shared" ca="1" si="23"/>
        <v>15.51</v>
      </c>
      <c r="R77" s="2" t="str">
        <f ca="1">SIGN(S78-Panchanga!$S77)*INT(Panchanga!$S77/30+1)&amp;"Ma,"&amp;SIGN(T78-Panchanga!$T77)*INT(Panchanga!$T77/30+1)&amp;"Me,"&amp;SIGN(U78-Panchanga!$U77)*INT(Panchanga!$U77/30+1)&amp;"Ju,"&amp;SIGN(V78-Panchanga!$V77)*INT(Panchanga!$V77/30+1)&amp;"Ve,"&amp;SIGN(W78-Panchanga!$W77)*INT(Panchanga!$W77/30+1)&amp;"Sa,"&amp;INT(Panchanga!$X77/30+1)&amp;"Ra"</f>
        <v>9Ma,12Me,-7Ju,12Ve,9Sa,4Ra</v>
      </c>
      <c r="S77" s="2">
        <f ca="1">Planet(Panchanga!$E77,4)</f>
        <v>241.45987333499315</v>
      </c>
      <c r="T77" s="2">
        <f ca="1">Planet(Panchanga!$E77,2)</f>
        <v>342.03239192574767</v>
      </c>
      <c r="U77" s="2">
        <f ca="1">Planet(Panchanga!$E77,5)</f>
        <v>209.1137582285094</v>
      </c>
      <c r="V77" s="2">
        <f ca="1">Planet(Panchanga!$E77,3)</f>
        <v>339.6812135567875</v>
      </c>
      <c r="W77" s="2">
        <f ca="1">Planet(Panchanga!$E77,6)</f>
        <v>253.81426245870458</v>
      </c>
      <c r="X77" s="2">
        <f ca="1">Planet(Panchanga!$E77,10)</f>
        <v>109.18608376650897</v>
      </c>
      <c r="Y77" s="2">
        <f ca="1">SIGN(S78-Panchanga!$S77)</f>
        <v>1</v>
      </c>
    </row>
    <row r="78" spans="1:25" x14ac:dyDescent="0.2">
      <c r="A78" s="3">
        <f t="shared" ca="1" si="24"/>
        <v>43170</v>
      </c>
      <c r="B78" s="3">
        <f t="shared" ca="1" si="17"/>
        <v>43170.229166666664</v>
      </c>
      <c r="C78" s="5">
        <f t="shared" ca="1" si="18"/>
        <v>43170.264497167584</v>
      </c>
      <c r="D78" s="5">
        <f t="shared" ca="1" si="19"/>
        <v>43169.762885074175</v>
      </c>
      <c r="E78" s="60">
        <f ca="1">Panchanga!$C78-TimeZone/24</f>
        <v>43170.035330500919</v>
      </c>
      <c r="F78" s="61">
        <f t="shared" ca="1" si="20"/>
        <v>326.28392548373745</v>
      </c>
      <c r="G78" s="61">
        <f t="shared" ca="1" si="21"/>
        <v>253.27488366866956</v>
      </c>
      <c r="H78" s="62">
        <f t="shared" ca="1" si="22"/>
        <v>43170.035330500919</v>
      </c>
      <c r="I78" s="2" t="str">
        <f ca="1">naks(Panchanga!$G78)</f>
        <v>Purva Asadha</v>
      </c>
      <c r="J78" s="5">
        <f ca="1">(C79-Panchanga!$C78)/(G79-Panchanga!$G78)*(13.3333333333333-MOD(Panchanga!$G78,13.333333333333))+Panchanga!$C78</f>
        <v>43170.269447620747</v>
      </c>
      <c r="K78" s="2" t="str">
        <f ca="1">IF(Panchanga!$P78&gt;15,"K","S")&amp;ROUNDUP(MOD(Panchanga!$P78,15),0)&amp;" ("&amp;ROUND(Panchanga!$P78,2)&amp;")"</f>
        <v>K9 (23.92)</v>
      </c>
      <c r="L78" s="2">
        <f ca="1">IF(AND(Panchanga!$P78&lt;28.5,Panchanga!$P78&gt;0.49999),MOD((Panchanga!$P78-0.5)*2,7),MOD((Panchanga!$P78+30-28.5),30)*2+7)</f>
        <v>4.8320000000000007</v>
      </c>
      <c r="M78" s="2" t="str">
        <f ca="1">CHOOSE(ROUNDUP(Panchanga!$L78,0),"Bhava","Baalava","Kaulava","Taitula","Garija","Vanija","Vishti","Shakuni","Chatushapda","Naaga","Kimstugna")</f>
        <v>Garija</v>
      </c>
      <c r="N78" s="25" t="str">
        <f ca="1">CHOOSE(ROUNDUP(Panchanga!$Q78,0),"Vishkambha-विष्कम्भ-Sa","Priti-प्रीति-Me","Ayushman-आयुष्मान-Ke","Saubhagya-सौभाग्य-Ve","Shobhana-शोभन-Su","Atiganda-अतिगण्ड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("&amp;Panchanga!$Q78&amp;")"</f>
        <v>Vyatipata-व्यतिपात-Ra (16.47)</v>
      </c>
      <c r="O78" s="2">
        <f ca="1">IF(AND(Panchanga!$P78&lt;28.5,Panchanga!$P78&gt;0.49999),MOD((Panchanga!$P78-0.5)*2,7),MOD((Panchanga!$P78+30-28.5),30)*2+7)</f>
        <v>4.8320000000000007</v>
      </c>
      <c r="P78" s="2">
        <f ca="1">ROUNDUP(MOD(360+Panchanga!$G78-Panchanga!$F78,360)/12,4)</f>
        <v>23.916</v>
      </c>
      <c r="Q78" s="2">
        <f t="shared" ca="1" si="23"/>
        <v>16.470000000000002</v>
      </c>
      <c r="R78" s="2" t="str">
        <f ca="1">SIGN(S79-Panchanga!$S78)*INT(Panchanga!$S78/30+1)&amp;"Ma,"&amp;SIGN(T79-Panchanga!$T78)*INT(Panchanga!$T78/30+1)&amp;"Me,"&amp;SIGN(U79-Panchanga!$U78)*INT(Panchanga!$U78/30+1)&amp;"Ju,"&amp;SIGN(V79-Panchanga!$V78)*INT(Panchanga!$V78/30+1)&amp;"Ve,"&amp;SIGN(W79-Panchanga!$W78)*INT(Panchanga!$W78/30+1)&amp;"Sa,"&amp;INT(Panchanga!$X78/30+1)&amp;"Ra"</f>
        <v>9Ma,12Me,-7Ju,12Ve,9Sa,4Ra</v>
      </c>
      <c r="S78" s="2">
        <f ca="1">Planet(Panchanga!$E78,4)</f>
        <v>242.04252933348388</v>
      </c>
      <c r="T78" s="2">
        <f ca="1">Planet(Panchanga!$E78,2)</f>
        <v>343.52159559632287</v>
      </c>
      <c r="U78" s="2">
        <f ca="1">Planet(Panchanga!$E78,5)</f>
        <v>209.10950866946425</v>
      </c>
      <c r="V78" s="2">
        <f ca="1">Planet(Panchanga!$E78,3)</f>
        <v>340.9237330966825</v>
      </c>
      <c r="W78" s="2">
        <f ca="1">Planet(Panchanga!$E78,6)</f>
        <v>253.87467589937694</v>
      </c>
      <c r="X78" s="2">
        <f ca="1">Planet(Panchanga!$E78,10)</f>
        <v>109.13311509167056</v>
      </c>
      <c r="Y78" s="2">
        <f ca="1">SIGN(S79-Panchanga!$S78)</f>
        <v>1</v>
      </c>
    </row>
    <row r="79" spans="1:25" x14ac:dyDescent="0.2">
      <c r="A79" s="3">
        <f t="shared" ca="1" si="24"/>
        <v>43171</v>
      </c>
      <c r="B79" s="3">
        <f t="shared" ca="1" si="17"/>
        <v>43171.229166666664</v>
      </c>
      <c r="C79" s="5">
        <f t="shared" ca="1" si="18"/>
        <v>43171.264053072933</v>
      </c>
      <c r="D79" s="5">
        <f t="shared" ca="1" si="19"/>
        <v>43170.762965977236</v>
      </c>
      <c r="E79" s="60">
        <f ca="1">Panchanga!$C79-TimeZone/24</f>
        <v>43171.034886406269</v>
      </c>
      <c r="F79" s="61">
        <f t="shared" ca="1" si="20"/>
        <v>327.28215477022184</v>
      </c>
      <c r="G79" s="61">
        <f t="shared" ca="1" si="21"/>
        <v>265.07657243284251</v>
      </c>
      <c r="H79" s="62">
        <f t="shared" ca="1" si="22"/>
        <v>43171.034886406269</v>
      </c>
      <c r="I79" s="2" t="str">
        <f ca="1">naks(Panchanga!$G79)</f>
        <v>Purva Asadha</v>
      </c>
      <c r="J79" s="5">
        <f ca="1">(C80-Panchanga!$C79)/(G80-Panchanga!$G79)*(13.3333333333333-MOD(Panchanga!$G79,13.333333333333))+Panchanga!$C79</f>
        <v>43171.398150788504</v>
      </c>
      <c r="K79" s="2" t="str">
        <f ca="1">IF(Panchanga!$P79&gt;15,"K","S")&amp;ROUNDUP(MOD(Panchanga!$P79,15),0)&amp;" ("&amp;ROUND(Panchanga!$P79,2)&amp;")"</f>
        <v>K10 (24.82)</v>
      </c>
      <c r="L79" s="2">
        <f ca="1">IF(AND(Panchanga!$P79&lt;28.5,Panchanga!$P79&gt;0.49999),MOD((Panchanga!$P79-0.5)*2,7),MOD((Panchanga!$P79+30-28.5),30)*2+7)</f>
        <v>6.6325999999999965</v>
      </c>
      <c r="M79" s="2" t="str">
        <f ca="1">CHOOSE(ROUNDUP(Panchanga!$L79,0),"Bhava","Baalava","Kaulava","Taitula","Garija","Vanija","Vishti","Shakuni","Chatushapda","Naaga","Kimstugna")</f>
        <v>Vishti</v>
      </c>
      <c r="N79" s="25" t="str">
        <f ca="1">CHOOSE(ROUNDUP(Panchanga!$Q79,0),"Vishkambha-विष्कम्भ-Sa","Priti-प्रीति-Me","Ayushman-आयुष्मान-Ke","Saubhagya-सौभाग्य-Ve","Shobhana-शोभन-Su","Atiganda-अतिगण्ड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("&amp;Panchanga!$Q79&amp;")"</f>
        <v>Varigha-वरीयस्-Ju (17.43)</v>
      </c>
      <c r="O79" s="2">
        <f ca="1">IF(AND(Panchanga!$P79&lt;28.5,Panchanga!$P79&gt;0.49999),MOD((Panchanga!$P79-0.5)*2,7),MOD((Panchanga!$P79+30-28.5),30)*2+7)</f>
        <v>6.6325999999999965</v>
      </c>
      <c r="P79" s="2">
        <f ca="1">ROUNDUP(MOD(360+Panchanga!$G79-Panchanga!$F79,360)/12,4)</f>
        <v>24.816299999999998</v>
      </c>
      <c r="Q79" s="2">
        <f t="shared" ca="1" si="23"/>
        <v>17.430000000000003</v>
      </c>
      <c r="R79" s="2" t="str">
        <f ca="1">SIGN(S80-Panchanga!$S79)*INT(Panchanga!$S79/30+1)&amp;"Ma,"&amp;SIGN(T80-Panchanga!$T79)*INT(Panchanga!$T79/30+1)&amp;"Me,"&amp;SIGN(U80-Panchanga!$U79)*INT(Panchanga!$U79/30+1)&amp;"Ju,"&amp;SIGN(V80-Panchanga!$V79)*INT(Panchanga!$V79/30+1)&amp;"Ve,"&amp;SIGN(W80-Panchanga!$W79)*INT(Panchanga!$W79/30+1)&amp;"Sa,"&amp;INT(Panchanga!$X79/30+1)&amp;"Ra"</f>
        <v>9Ma,12Me,-7Ju,12Ve,9Sa,4Ra</v>
      </c>
      <c r="S79" s="2">
        <f ca="1">Planet(Panchanga!$E79,4)</f>
        <v>242.62399349375985</v>
      </c>
      <c r="T79" s="2">
        <f ca="1">Planet(Panchanga!$E79,2)</f>
        <v>344.9259849197702</v>
      </c>
      <c r="U79" s="2">
        <f ca="1">Planet(Panchanga!$E79,5)</f>
        <v>209.10210977726169</v>
      </c>
      <c r="V79" s="2">
        <f ca="1">Planet(Panchanga!$E79,3)</f>
        <v>342.16584140004608</v>
      </c>
      <c r="W79" s="2">
        <f ca="1">Planet(Panchanga!$E79,6)</f>
        <v>253.93368944695561</v>
      </c>
      <c r="X79" s="2">
        <f ca="1">Planet(Panchanga!$E79,10)</f>
        <v>109.08014662740769</v>
      </c>
      <c r="Y79" s="2">
        <f ca="1">SIGN(S80-Panchanga!$S79)</f>
        <v>1</v>
      </c>
    </row>
    <row r="80" spans="1:25" x14ac:dyDescent="0.2">
      <c r="A80" s="3">
        <f t="shared" ca="1" si="24"/>
        <v>43172</v>
      </c>
      <c r="B80" s="3">
        <f t="shared" ca="1" si="17"/>
        <v>43172.229166666664</v>
      </c>
      <c r="C80" s="5">
        <f t="shared" ca="1" si="18"/>
        <v>43172.263605482098</v>
      </c>
      <c r="D80" s="5">
        <f t="shared" ca="1" si="19"/>
        <v>43171.763044019739</v>
      </c>
      <c r="E80" s="60">
        <f ca="1">Panchanga!$C80-TimeZone/24</f>
        <v>43172.034438815434</v>
      </c>
      <c r="F80" s="61">
        <f t="shared" ca="1" si="20"/>
        <v>328.27991105264874</v>
      </c>
      <c r="G80" s="61">
        <f t="shared" ca="1" si="21"/>
        <v>276.92899300121934</v>
      </c>
      <c r="H80" s="62">
        <f t="shared" ca="1" si="22"/>
        <v>43172.034438815434</v>
      </c>
      <c r="I80" s="2" t="str">
        <f ca="1">naks(Panchanga!$G80)</f>
        <v>Uttara Asadha</v>
      </c>
      <c r="J80" s="5">
        <f ca="1">(C81-Panchanga!$C80)/(G81-Panchanga!$G80)*(13.3333333333333-MOD(Panchanga!$G80,13.333333333333))+Panchanga!$C80</f>
        <v>43172.519900769432</v>
      </c>
      <c r="K80" s="2" t="str">
        <f ca="1">IF(Panchanga!$P80&gt;15,"K","S")&amp;ROUNDUP(MOD(Panchanga!$P80,15),0)&amp;" ("&amp;ROUND(Panchanga!$P80,2)&amp;")"</f>
        <v>K11 (25.72)</v>
      </c>
      <c r="L80" s="2">
        <f ca="1">IF(AND(Panchanga!$P80&lt;28.5,Panchanga!$P80&gt;0.49999),MOD((Panchanga!$P80-0.5)*2,7),MOD((Panchanga!$P80+30-28.5),30)*2+7)</f>
        <v>1.4416000000000011</v>
      </c>
      <c r="M80" s="2" t="str">
        <f ca="1">CHOOSE(ROUNDUP(Panchanga!$L80,0),"Bhava","Baalava","Kaulava","Taitula","Garija","Vanija","Vishti","Shakuni","Chatushapda","Naaga","Kimstugna")</f>
        <v>Baalava</v>
      </c>
      <c r="N80" s="25" t="str">
        <f ca="1">CHOOSE(ROUNDUP(Panchanga!$Q80,0),"Vishkambha-विष्कम्भ-Sa","Priti-प्रीति-Me","Ayushman-आयुष्मान-Ke","Saubhagya-सौभाग्य-Ve","Shobhana-शोभन-Su","Atiganda-अतिगण्ड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("&amp;Panchanga!$Q80&amp;")"</f>
        <v>Parigha-परिघ-Sa (18.4)</v>
      </c>
      <c r="O80" s="2">
        <f ca="1">IF(AND(Panchanga!$P80&lt;28.5,Panchanga!$P80&gt;0.49999),MOD((Panchanga!$P80-0.5)*2,7),MOD((Panchanga!$P80+30-28.5),30)*2+7)</f>
        <v>1.4416000000000011</v>
      </c>
      <c r="P80" s="2">
        <f ca="1">ROUNDUP(MOD(360+Panchanga!$G80-Panchanga!$F80,360)/12,4)</f>
        <v>25.720800000000001</v>
      </c>
      <c r="Q80" s="2">
        <f t="shared" ca="1" si="23"/>
        <v>18.400000000000002</v>
      </c>
      <c r="R80" s="2" t="str">
        <f ca="1">SIGN(S81-Panchanga!$S80)*INT(Panchanga!$S80/30+1)&amp;"Ma,"&amp;SIGN(T81-Panchanga!$T80)*INT(Panchanga!$T80/30+1)&amp;"Me,"&amp;SIGN(U81-Panchanga!$U80)*INT(Panchanga!$U80/30+1)&amp;"Ju,"&amp;SIGN(V81-Panchanga!$V80)*INT(Panchanga!$V80/30+1)&amp;"Ve,"&amp;SIGN(W81-Panchanga!$W80)*INT(Panchanga!$W80/30+1)&amp;"Sa,"&amp;INT(Panchanga!$X80/30+1)&amp;"Ra"</f>
        <v>9Ma,12Me,-7Ju,12Ve,9Sa,4Ra</v>
      </c>
      <c r="S80" s="2">
        <f ca="1">Planet(Panchanga!$E80,4)</f>
        <v>243.20422807352992</v>
      </c>
      <c r="T80" s="2">
        <f ca="1">Planet(Panchanga!$E80,2)</f>
        <v>346.23698862980302</v>
      </c>
      <c r="U80" s="2">
        <f ca="1">Planet(Panchanga!$E80,5)</f>
        <v>209.09156186837447</v>
      </c>
      <c r="V80" s="2">
        <f ca="1">Planet(Panchanga!$E80,3)</f>
        <v>343.40753158607828</v>
      </c>
      <c r="W80" s="2">
        <f ca="1">Planet(Panchanga!$E80,6)</f>
        <v>253.9912886916118</v>
      </c>
      <c r="X80" s="2">
        <f ca="1">Planet(Panchanga!$E80,10)</f>
        <v>109.02717834841974</v>
      </c>
      <c r="Y80" s="2">
        <f ca="1">SIGN(S81-Panchanga!$S80)</f>
        <v>1</v>
      </c>
    </row>
    <row r="81" spans="1:25" x14ac:dyDescent="0.2">
      <c r="A81" s="3">
        <f t="shared" ca="1" si="24"/>
        <v>43173</v>
      </c>
      <c r="B81" s="3">
        <f t="shared" ca="1" si="17"/>
        <v>43173.229166666664</v>
      </c>
      <c r="C81" s="5">
        <f t="shared" ca="1" si="18"/>
        <v>43173.263154394146</v>
      </c>
      <c r="D81" s="5">
        <f t="shared" ca="1" si="19"/>
        <v>43172.763119041963</v>
      </c>
      <c r="E81" s="60">
        <f ca="1">Panchanga!$C81-TimeZone/24</f>
        <v>43173.033987727482</v>
      </c>
      <c r="F81" s="61">
        <f t="shared" ca="1" si="20"/>
        <v>329.27718397210742</v>
      </c>
      <c r="G81" s="61">
        <f t="shared" ca="1" si="21"/>
        <v>288.9058878418341</v>
      </c>
      <c r="H81" s="62">
        <f t="shared" ca="1" si="22"/>
        <v>43173.033987727482</v>
      </c>
      <c r="I81" s="2" t="str">
        <f ca="1">naks(Panchanga!$G81)</f>
        <v>Sravana</v>
      </c>
      <c r="J81" s="5">
        <f ca="1">(C82-Panchanga!$C81)/(G82-Panchanga!$G81)*(13.3333333333333-MOD(Panchanga!$G81,13.333333333333))+Panchanga!$C81</f>
        <v>43173.626981999711</v>
      </c>
      <c r="K81" s="2" t="str">
        <f ca="1">IF(Panchanga!$P81&gt;15,"K","S")&amp;ROUNDUP(MOD(Panchanga!$P81,15),0)&amp;" ("&amp;ROUND(Panchanga!$P81,2)&amp;")"</f>
        <v>K12 (26.64)</v>
      </c>
      <c r="L81" s="2">
        <f ca="1">IF(AND(Panchanga!$P81&lt;28.5,Panchanga!$P81&gt;0.49999),MOD((Panchanga!$P81-0.5)*2,7),MOD((Panchanga!$P81+30-28.5),30)*2+7)</f>
        <v>3.2715999999999994</v>
      </c>
      <c r="M81" s="2" t="str">
        <f ca="1">CHOOSE(ROUNDUP(Panchanga!$L81,0),"Bhava","Baalava","Kaulava","Taitula","Garija","Vanija","Vishti","Shakuni","Chatushapda","Naaga","Kimstugna")</f>
        <v>Taitula</v>
      </c>
      <c r="N81" s="25" t="str">
        <f ca="1">CHOOSE(ROUNDUP(Panchanga!$Q81,0),"Vishkambha-विष्कम्भ-Sa","Priti-प्रीति-Me","Ayushman-आयुष्मान-Ke","Saubhagya-सौभाग्य-Ve","Shobhana-शोभन-Su","Atiganda-अतिगण्ड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("&amp;Panchanga!$Q81&amp;")"</f>
        <v>Shiva-शिव-Me (19.37)</v>
      </c>
      <c r="O81" s="2">
        <f ca="1">IF(AND(Panchanga!$P81&lt;28.5,Panchanga!$P81&gt;0.49999),MOD((Panchanga!$P81-0.5)*2,7),MOD((Panchanga!$P81+30-28.5),30)*2+7)</f>
        <v>3.2715999999999994</v>
      </c>
      <c r="P81" s="2">
        <f ca="1">ROUNDUP(MOD(360+Panchanga!$G81-Panchanga!$F81,360)/12,4)</f>
        <v>26.6358</v>
      </c>
      <c r="Q81" s="2">
        <f t="shared" ca="1" si="23"/>
        <v>19.37</v>
      </c>
      <c r="R81" s="2" t="str">
        <f ca="1">SIGN(S82-Panchanga!$S81)*INT(Panchanga!$S81/30+1)&amp;"Ma,"&amp;SIGN(T82-Panchanga!$T81)*INT(Panchanga!$T81/30+1)&amp;"Me,"&amp;SIGN(U82-Panchanga!$U81)*INT(Panchanga!$U81/30+1)&amp;"Ju,"&amp;SIGN(V82-Panchanga!$V81)*INT(Panchanga!$V81/30+1)&amp;"Ve,"&amp;SIGN(W82-Panchanga!$W81)*INT(Panchanga!$W81/30+1)&amp;"Sa,"&amp;INT(Panchanga!$X81/30+1)&amp;"Ra"</f>
        <v>9Ma,12Me,-7Ju,12Ve,9Sa,4Ra</v>
      </c>
      <c r="S81" s="2">
        <f ca="1">Planet(Panchanga!$E81,4)</f>
        <v>243.78319461084871</v>
      </c>
      <c r="T81" s="2">
        <f ca="1">Planet(Panchanga!$E81,2)</f>
        <v>347.44645323939858</v>
      </c>
      <c r="U81" s="2">
        <f ca="1">Planet(Panchanga!$E81,5)</f>
        <v>209.07786722269088</v>
      </c>
      <c r="V81" s="2">
        <f ca="1">Planet(Panchanga!$E81,3)</f>
        <v>344.64879509325351</v>
      </c>
      <c r="W81" s="2">
        <f ca="1">Planet(Panchanga!$E81,6)</f>
        <v>254.04745947154697</v>
      </c>
      <c r="X81" s="2">
        <f ca="1">Planet(Panchanga!$E81,10)</f>
        <v>108.97421025475639</v>
      </c>
      <c r="Y81" s="2">
        <f ca="1">SIGN(S82-Panchanga!$S81)</f>
        <v>1</v>
      </c>
    </row>
    <row r="82" spans="1:25" x14ac:dyDescent="0.2">
      <c r="A82" s="3">
        <f t="shared" ca="1" si="24"/>
        <v>43174</v>
      </c>
      <c r="B82" s="3">
        <f t="shared" ca="1" si="17"/>
        <v>43174.229166666664</v>
      </c>
      <c r="C82" s="5">
        <f t="shared" ca="1" si="18"/>
        <v>43174.262700285915</v>
      </c>
      <c r="D82" s="5">
        <f t="shared" ca="1" si="19"/>
        <v>43173.763191521211</v>
      </c>
      <c r="E82" s="60">
        <f ca="1">Panchanga!$C82-TimeZone/24</f>
        <v>43174.033533619251</v>
      </c>
      <c r="F82" s="61">
        <f t="shared" ca="1" si="20"/>
        <v>330.27396181311525</v>
      </c>
      <c r="G82" s="61">
        <f t="shared" ca="1" si="21"/>
        <v>301.06943696347849</v>
      </c>
      <c r="H82" s="62">
        <f t="shared" ca="1" si="22"/>
        <v>43174.033533619251</v>
      </c>
      <c r="I82" s="2" t="str">
        <f ca="1">naks(Panchanga!$G82)</f>
        <v>Dhanistha</v>
      </c>
      <c r="J82" s="5">
        <f ca="1">(C83-Panchanga!$C82)/(G83-Panchanga!$G82)*(13.3333333333333-MOD(Panchanga!$G82,13.333333333333))+Panchanga!$C82</f>
        <v>43174.713983749367</v>
      </c>
      <c r="K82" s="2" t="str">
        <f ca="1">IF(Panchanga!$P82&gt;15,"K","S")&amp;ROUNDUP(MOD(Panchanga!$P82,15),0)&amp;" ("&amp;ROUND(Panchanga!$P82,2)&amp;")"</f>
        <v>K13 (27.57)</v>
      </c>
      <c r="L82" s="2">
        <f ca="1">IF(AND(Panchanga!$P82&lt;28.5,Panchanga!$P82&gt;0.49999),MOD((Panchanga!$P82-0.5)*2,7),MOD((Panchanga!$P82+30-28.5),30)*2+7)</f>
        <v>5.1325999999999965</v>
      </c>
      <c r="M82" s="2" t="str">
        <f ca="1">CHOOSE(ROUNDUP(Panchanga!$L82,0),"Bhava","Baalava","Kaulava","Taitula","Garija","Vanija","Vishti","Shakuni","Chatushapda","Naaga","Kimstugna")</f>
        <v>Vanija</v>
      </c>
      <c r="N82" s="25" t="str">
        <f ca="1">CHOOSE(ROUNDUP(Panchanga!$Q82,0),"Vishkambha-विष्कम्भ-Sa","Priti-प्रीति-Me","Ayushman-आयुष्मान-Ke","Saubhagya-सौभाग्य-Ve","Shobhana-शोभन-Su","Atiganda-अतिगण्ड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("&amp;Panchanga!$Q82&amp;")"</f>
        <v>Siddha-सिद्ध-Ke (20.36)</v>
      </c>
      <c r="O82" s="2">
        <f ca="1">IF(AND(Panchanga!$P82&lt;28.5,Panchanga!$P82&gt;0.49999),MOD((Panchanga!$P82-0.5)*2,7),MOD((Panchanga!$P82+30-28.5),30)*2+7)</f>
        <v>5.1325999999999965</v>
      </c>
      <c r="P82" s="2">
        <f ca="1">ROUNDUP(MOD(360+Panchanga!$G82-Panchanga!$F82,360)/12,4)</f>
        <v>27.566299999999998</v>
      </c>
      <c r="Q82" s="2">
        <f t="shared" ca="1" si="23"/>
        <v>20.360000000000003</v>
      </c>
      <c r="R82" s="2" t="str">
        <f ca="1">SIGN(S83-Panchanga!$S82)*INT(Panchanga!$S82/30+1)&amp;"Ma,"&amp;SIGN(T83-Panchanga!$T82)*INT(Panchanga!$T82/30+1)&amp;"Me,"&amp;SIGN(U83-Panchanga!$U82)*INT(Panchanga!$U82/30+1)&amp;"Ju,"&amp;SIGN(V83-Panchanga!$V82)*INT(Panchanga!$V82/30+1)&amp;"Ve,"&amp;SIGN(W83-Panchanga!$W82)*INT(Panchanga!$W82/30+1)&amp;"Sa,"&amp;INT(Panchanga!$X82/30+1)&amp;"Ra"</f>
        <v>9Ma,12Me,-7Ju,12Ve,9Sa,4Ra</v>
      </c>
      <c r="S82" s="2">
        <f ca="1">Planet(Panchanga!$E82,4)</f>
        <v>244.36085463444823</v>
      </c>
      <c r="T82" s="2">
        <f ca="1">Planet(Panchanga!$E82,2)</f>
        <v>348.54679785072454</v>
      </c>
      <c r="U82" s="2">
        <f ca="1">Planet(Panchanga!$E82,5)</f>
        <v>209.06103017949229</v>
      </c>
      <c r="V82" s="2">
        <f ca="1">Planet(Panchanga!$E82,3)</f>
        <v>345.88962279200177</v>
      </c>
      <c r="W82" s="2">
        <f ca="1">Planet(Panchanga!$E82,6)</f>
        <v>254.10218796489755</v>
      </c>
      <c r="X82" s="2">
        <f ca="1">Planet(Panchanga!$E82,10)</f>
        <v>108.9212423211338</v>
      </c>
      <c r="Y82" s="2">
        <f ca="1">SIGN(S83-Panchanga!$S82)</f>
        <v>1</v>
      </c>
    </row>
    <row r="83" spans="1:25" x14ac:dyDescent="0.2">
      <c r="A83" s="3">
        <f t="shared" ca="1" si="24"/>
        <v>43175</v>
      </c>
      <c r="B83" s="3">
        <f t="shared" ca="1" si="17"/>
        <v>43175.229166666664</v>
      </c>
      <c r="C83" s="5">
        <f t="shared" ca="1" si="18"/>
        <v>43175.262243158337</v>
      </c>
      <c r="D83" s="5">
        <f t="shared" ca="1" si="19"/>
        <v>43174.763261457483</v>
      </c>
      <c r="E83" s="60">
        <f ca="1">Panchanga!$C83-TimeZone/24</f>
        <v>43175.033076491673</v>
      </c>
      <c r="F83" s="61">
        <f t="shared" ca="1" si="20"/>
        <v>331.27023043903586</v>
      </c>
      <c r="G83" s="61">
        <f t="shared" ca="1" si="21"/>
        <v>313.46668062130817</v>
      </c>
      <c r="H83" s="62">
        <f t="shared" ca="1" si="22"/>
        <v>43175.033076491673</v>
      </c>
      <c r="I83" s="2" t="str">
        <f ca="1">naks(Panchanga!$G83)</f>
        <v>Satabhisaj</v>
      </c>
      <c r="J83" s="5">
        <f ca="1">(C84-Panchanga!$C83)/(G84-Panchanga!$G83)*(13.3333333333333-MOD(Panchanga!$G83,13.333333333333))+Panchanga!$C83</f>
        <v>43175.778064796774</v>
      </c>
      <c r="K83" s="2" t="str">
        <f ca="1">IF(Panchanga!$P83&gt;15,"K","S")&amp;ROUNDUP(MOD(Panchanga!$P83,15),0)&amp;" ("&amp;ROUND(Panchanga!$P83,2)&amp;")"</f>
        <v>K14 (28.52)</v>
      </c>
      <c r="L83" s="2">
        <f ca="1">IF(AND(Panchanga!$P83&lt;28.5,Panchanga!$P83&gt;0.49999),MOD((Panchanga!$P83-0.5)*2,7),MOD((Panchanga!$P83+30-28.5),30)*2+7)</f>
        <v>7.0328000000000088</v>
      </c>
      <c r="M83" s="2" t="str">
        <f ca="1">CHOOSE(ROUNDUP(Panchanga!$L83,0),"Bhava","Baalava","Kaulava","Taitula","Garija","Vanija","Vishti","Shakuni","Chatushapda","Naaga","Kimstugna")</f>
        <v>Shakuni</v>
      </c>
      <c r="N83" s="25" t="str">
        <f ca="1">CHOOSE(ROUNDUP(Panchanga!$Q83,0),"Vishkambha-विष्कम्भ-Sa","Priti-प्रीति-Me","Ayushman-आयुष्मान-Ke","Saubhagya-सौभाग्य-Ve","Shobhana-शोभन-Su","Atiganda-अतिगण्ड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("&amp;Panchanga!$Q83&amp;")"</f>
        <v>Sadhya-साध्य-Ve (21.36)</v>
      </c>
      <c r="O83" s="2">
        <f ca="1">IF(AND(Panchanga!$P83&lt;28.5,Panchanga!$P83&gt;0.49999),MOD((Panchanga!$P83-0.5)*2,7),MOD((Panchanga!$P83+30-28.5),30)*2+7)</f>
        <v>7.0328000000000088</v>
      </c>
      <c r="P83" s="2">
        <f ca="1">ROUNDUP(MOD(360+Panchanga!$G83-Panchanga!$F83,360)/12,4)</f>
        <v>28.516400000000001</v>
      </c>
      <c r="Q83" s="2">
        <f t="shared" ca="1" si="23"/>
        <v>21.360000000000003</v>
      </c>
      <c r="R83" s="2" t="str">
        <f ca="1">SIGN(S84-Panchanga!$S83)*INT(Panchanga!$S83/30+1)&amp;"Ma,"&amp;SIGN(T84-Panchanga!$T83)*INT(Panchanga!$T83/30+1)&amp;"Me,"&amp;SIGN(U84-Panchanga!$U83)*INT(Panchanga!$U83/30+1)&amp;"Ju,"&amp;SIGN(V84-Panchanga!$V83)*INT(Panchanga!$V83/30+1)&amp;"Ve,"&amp;SIGN(W84-Panchanga!$W83)*INT(Panchanga!$W83/30+1)&amp;"Sa,"&amp;INT(Panchanga!$X83/30+1)&amp;"Ra"</f>
        <v>9Ma,12Me,-7Ju,12Ve,9Sa,4Ra</v>
      </c>
      <c r="S83" s="2">
        <f ca="1">Planet(Panchanga!$E83,4)</f>
        <v>244.93716943664174</v>
      </c>
      <c r="T83" s="2">
        <f ca="1">Planet(Panchanga!$E83,2)</f>
        <v>349.53115108472593</v>
      </c>
      <c r="U83" s="2">
        <f ca="1">Planet(Panchanga!$E83,5)</f>
        <v>209.04105729538426</v>
      </c>
      <c r="V83" s="2">
        <f ca="1">Planet(Panchanga!$E83,3)</f>
        <v>347.13000366267215</v>
      </c>
      <c r="W83" s="2">
        <f ca="1">Planet(Panchanga!$E83,6)</f>
        <v>254.15546069450031</v>
      </c>
      <c r="X83" s="2">
        <f ca="1">Planet(Panchanga!$E83,10)</f>
        <v>108.86827454751868</v>
      </c>
      <c r="Y83" s="2">
        <f ca="1">SIGN(S84-Panchanga!$S83)</f>
        <v>1</v>
      </c>
    </row>
    <row r="84" spans="1:25" x14ac:dyDescent="0.2">
      <c r="A84" s="3">
        <f t="shared" ca="1" si="24"/>
        <v>43176</v>
      </c>
      <c r="B84" s="3">
        <f t="shared" ca="1" si="17"/>
        <v>43176.229166666664</v>
      </c>
      <c r="C84" s="5">
        <f t="shared" ca="1" si="18"/>
        <v>43176.261783487316</v>
      </c>
      <c r="D84" s="5">
        <f t="shared" ca="1" si="19"/>
        <v>43175.763329009569</v>
      </c>
      <c r="E84" s="60">
        <f ca="1">Panchanga!$C84-TimeZone/24</f>
        <v>43176.032616820652</v>
      </c>
      <c r="F84" s="61">
        <f t="shared" ca="1" si="20"/>
        <v>332.2659742224223</v>
      </c>
      <c r="G84" s="61">
        <f t="shared" ca="1" si="21"/>
        <v>326.12670826365314</v>
      </c>
      <c r="H84" s="62">
        <f t="shared" ca="1" si="22"/>
        <v>43176.032616820652</v>
      </c>
      <c r="I84" s="2" t="str">
        <f ca="1">naks(Panchanga!$G84)</f>
        <v>Purva Bhadrapada</v>
      </c>
      <c r="J84" s="5">
        <f ca="1">(C85-Panchanga!$C84)/(G85-Panchanga!$G84)*(13.3333333333333-MOD(Panchanga!$G84,13.333333333333))+Panchanga!$C84</f>
        <v>43176.818772651619</v>
      </c>
      <c r="K84" s="2" t="str">
        <f ca="1">IF(Panchanga!$P84&gt;15,"K","S")&amp;ROUNDUP(MOD(Panchanga!$P84,15),0)&amp;" ("&amp;ROUND(Panchanga!$P84,2)&amp;")"</f>
        <v>K15 (29.49)</v>
      </c>
      <c r="L84" s="2">
        <f ca="1">IF(AND(Panchanga!$P84&lt;28.5,Panchanga!$P84&gt;0.49999),MOD((Panchanga!$P84-0.5)*2,7),MOD((Panchanga!$P84+30-28.5),30)*2+7)</f>
        <v>8.9767999999999972</v>
      </c>
      <c r="M84" s="2" t="str">
        <f ca="1">CHOOSE(ROUNDUP(Panchanga!$L84,0),"Bhava","Baalava","Kaulava","Taitula","Garija","Vanija","Vishti","Shakuni","Chatushapda","Naaga","Kimstugna")</f>
        <v>Chatushapda</v>
      </c>
      <c r="N84" s="25" t="str">
        <f ca="1">CHOOSE(ROUNDUP(Panchanga!$Q84,0),"Vishkambha-विष्कम्भ-Sa","Priti-प्रीति-Me","Ayushman-आयुष्मान-Ke","Saubhagya-सौभाग्य-Ve","Shobhana-शोभन-Su","Atiganda-अतिगण्ड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("&amp;Panchanga!$Q84&amp;")"</f>
        <v>Shubha-शुभ-Su (22.38)</v>
      </c>
      <c r="O84" s="2">
        <f ca="1">IF(AND(Panchanga!$P84&lt;28.5,Panchanga!$P84&gt;0.49999),MOD((Panchanga!$P84-0.5)*2,7),MOD((Panchanga!$P84+30-28.5),30)*2+7)</f>
        <v>8.9767999999999972</v>
      </c>
      <c r="P84" s="2">
        <f ca="1">ROUNDUP(MOD(360+Panchanga!$G84-Panchanga!$F84,360)/12,4)</f>
        <v>29.488399999999999</v>
      </c>
      <c r="Q84" s="2">
        <f t="shared" ca="1" si="23"/>
        <v>22.380000000000003</v>
      </c>
      <c r="R84" s="2" t="str">
        <f ca="1">SIGN(S85-Panchanga!$S84)*INT(Panchanga!$S84/30+1)&amp;"Ma,"&amp;SIGN(T85-Panchanga!$T84)*INT(Panchanga!$T84/30+1)&amp;"Me,"&amp;SIGN(U85-Panchanga!$U84)*INT(Panchanga!$U84/30+1)&amp;"Ju,"&amp;SIGN(V85-Panchanga!$V84)*INT(Panchanga!$V84/30+1)&amp;"Ve,"&amp;SIGN(W85-Panchanga!$W84)*INT(Panchanga!$W84/30+1)&amp;"Sa,"&amp;INT(Panchanga!$X84/30+1)&amp;"Ra"</f>
        <v>9Ma,12Me,-7Ju,12Ve,9Sa,4Ra</v>
      </c>
      <c r="S84" s="2">
        <f ca="1">Planet(Panchanga!$E84,4)</f>
        <v>245.51210115328161</v>
      </c>
      <c r="T84" s="2">
        <f ca="1">Planet(Panchanga!$E84,2)</f>
        <v>350.39347560901882</v>
      </c>
      <c r="U84" s="2">
        <f ca="1">Planet(Panchanga!$E84,5)</f>
        <v>209.01795750148182</v>
      </c>
      <c r="V84" s="2">
        <f ca="1">Planet(Panchanga!$E84,3)</f>
        <v>348.36992584804938</v>
      </c>
      <c r="W84" s="2">
        <f ca="1">Planet(Panchanga!$E84,6)</f>
        <v>254.20726466215234</v>
      </c>
      <c r="X84" s="2">
        <f ca="1">Planet(Panchanga!$E84,10)</f>
        <v>108.81530690871004</v>
      </c>
      <c r="Y84" s="2">
        <f ca="1">SIGN(S85-Panchanga!$S84)</f>
        <v>1</v>
      </c>
    </row>
    <row r="85" spans="1:25" x14ac:dyDescent="0.2">
      <c r="A85" s="3">
        <f t="shared" ca="1" si="24"/>
        <v>43177</v>
      </c>
      <c r="B85" s="3">
        <f t="shared" ca="1" si="17"/>
        <v>43177.229166666664</v>
      </c>
      <c r="C85" s="5">
        <f t="shared" ca="1" si="18"/>
        <v>43177.26132143211</v>
      </c>
      <c r="D85" s="5">
        <f t="shared" ca="1" si="19"/>
        <v>43176.76339433626</v>
      </c>
      <c r="E85" s="60">
        <f ca="1">Panchanga!$C85-TimeZone/24</f>
        <v>43177.032154765446</v>
      </c>
      <c r="F85" s="61">
        <f t="shared" ca="1" si="20"/>
        <v>333.26117547923019</v>
      </c>
      <c r="G85" s="61">
        <f t="shared" ca="1" si="21"/>
        <v>339.05926723011612</v>
      </c>
      <c r="H85" s="62">
        <f t="shared" ca="1" si="22"/>
        <v>43177.032154765446</v>
      </c>
      <c r="I85" s="2" t="str">
        <f ca="1">naks(Panchanga!$G85)</f>
        <v>Uttara Bhadrapada</v>
      </c>
      <c r="J85" s="5">
        <f ca="1">(C86-Panchanga!$C85)/(G86-Panchanga!$G85)*(13.3333333333333-MOD(Panchanga!$G85,13.333333333333))+Panchanga!$C85</f>
        <v>43177.837540095919</v>
      </c>
      <c r="K85" s="2" t="str">
        <f ca="1">IF(Panchanga!$P85&gt;15,"K","S")&amp;ROUNDUP(MOD(Panchanga!$P85,15),0)&amp;" ("&amp;ROUND(Panchanga!$P85,2)&amp;")"</f>
        <v>S1 (0.48)</v>
      </c>
      <c r="L85" s="2">
        <f ca="1">IF(AND(Panchanga!$P85&lt;28.5,Panchanga!$P85&gt;0.49999),MOD((Panchanga!$P85-0.5)*2,7),MOD((Panchanga!$P85+30-28.5),30)*2+7)</f>
        <v>10.9664</v>
      </c>
      <c r="M85" s="2" t="str">
        <f ca="1">CHOOSE(ROUNDUP(Panchanga!$L85,0),"Bhava","Baalava","Kaulava","Taitula","Garija","Vanija","Vishti","Shakuni","Chatushapda","Naaga","Kimstugna")</f>
        <v>Kimstugna</v>
      </c>
      <c r="N85" s="25" t="str">
        <f ca="1">CHOOSE(ROUNDUP(Panchanga!$Q85,0),"Vishkambha-विष्कम्भ-Sa","Priti-प्रीति-Me","Ayushman-आयुष्मान-Ke","Saubhagya-सौभाग्य-Ve","Shobhana-शोभन-Su","Atiganda-अतिगण्ड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("&amp;Panchanga!$Q85&amp;")"</f>
        <v>Shukla-शुक्ल-Mo (23.43)</v>
      </c>
      <c r="O85" s="2">
        <f ca="1">IF(AND(Panchanga!$P85&lt;28.5,Panchanga!$P85&gt;0.49999),MOD((Panchanga!$P85-0.5)*2,7),MOD((Panchanga!$P85+30-28.5),30)*2+7)</f>
        <v>10.9664</v>
      </c>
      <c r="P85" s="2">
        <f ca="1">ROUNDUP(MOD(360+Panchanga!$G85-Panchanga!$F85,360)/12,4)</f>
        <v>0.48319999999999996</v>
      </c>
      <c r="Q85" s="2">
        <f t="shared" ca="1" si="23"/>
        <v>23.430000000000003</v>
      </c>
      <c r="R85" s="2" t="str">
        <f ca="1">SIGN(S86-Panchanga!$S85)*INT(Panchanga!$S85/30+1)&amp;"Ma,"&amp;SIGN(T86-Panchanga!$T85)*INT(Panchanga!$T85/30+1)&amp;"Me,"&amp;SIGN(U86-Panchanga!$U85)*INT(Panchanga!$U85/30+1)&amp;"Ju,"&amp;SIGN(V86-Panchanga!$V85)*INT(Panchanga!$V85/30+1)&amp;"Ve,"&amp;SIGN(W86-Panchanga!$W85)*INT(Panchanga!$W85/30+1)&amp;"Sa,"&amp;INT(Panchanga!$X85/30+1)&amp;"Ra"</f>
        <v>9Ma,12Me,-7Ju,12Ve,9Sa,4Ra</v>
      </c>
      <c r="S85" s="2">
        <f ca="1">Planet(Panchanga!$E85,4)</f>
        <v>246.08561299397491</v>
      </c>
      <c r="T85" s="2">
        <f ca="1">Planet(Panchanga!$E85,2)</f>
        <v>351.1286801230583</v>
      </c>
      <c r="U85" s="2">
        <f ca="1">Planet(Panchanga!$E85,5)</f>
        <v>208.99174228015585</v>
      </c>
      <c r="V85" s="2">
        <f ca="1">Planet(Panchanga!$E85,3)</f>
        <v>349.60937564888178</v>
      </c>
      <c r="W85" s="2">
        <f ca="1">Planet(Panchanga!$E85,6)</f>
        <v>254.25758740924951</v>
      </c>
      <c r="X85" s="2">
        <f ca="1">Planet(Panchanga!$E85,10)</f>
        <v>108.76233939622449</v>
      </c>
      <c r="Y85" s="2">
        <f ca="1">SIGN(S86-Panchanga!$S85)</f>
        <v>1</v>
      </c>
    </row>
    <row r="86" spans="1:25" x14ac:dyDescent="0.2">
      <c r="A86" s="3">
        <f t="shared" ca="1" si="24"/>
        <v>43178</v>
      </c>
      <c r="B86" s="3">
        <f t="shared" ca="1" si="17"/>
        <v>43178.229166666664</v>
      </c>
      <c r="C86" s="5">
        <f t="shared" ca="1" si="18"/>
        <v>43178.260857151508</v>
      </c>
      <c r="D86" s="5">
        <f t="shared" ca="1" si="19"/>
        <v>43177.763457755602</v>
      </c>
      <c r="E86" s="60">
        <f ca="1">Panchanga!$C86-TimeZone/24</f>
        <v>43178.031690484844</v>
      </c>
      <c r="F86" s="61">
        <f t="shared" ca="1" si="20"/>
        <v>334.25581532355795</v>
      </c>
      <c r="G86" s="61">
        <f t="shared" ca="1" si="21"/>
        <v>352.25541644595501</v>
      </c>
      <c r="H86" s="62">
        <f t="shared" ca="1" si="22"/>
        <v>43178.031690484844</v>
      </c>
      <c r="I86" s="2" t="str">
        <f ca="1">naks(Panchanga!$G86)</f>
        <v>Revati</v>
      </c>
      <c r="J86" s="5">
        <f ca="1">(C87-Panchanga!$C86)/(G87-Panchanga!$G86)*(13.3333333333333-MOD(Panchanga!$G86,13.333333333333))+Panchanga!$C86</f>
        <v>43178.238520859319</v>
      </c>
      <c r="K86" s="2" t="str">
        <f ca="1">IF(Panchanga!$P86&gt;15,"K","S")&amp;ROUNDUP(MOD(Panchanga!$P86,15),0)&amp;" ("&amp;ROUND(Panchanga!$P86,2)&amp;")"</f>
        <v>S2 (1.5)</v>
      </c>
      <c r="L86" s="2">
        <f ca="1">IF(AND(Panchanga!$P86&lt;28.5,Panchanga!$P86&gt;0.49999),MOD((Panchanga!$P86-0.5)*2,7),MOD((Panchanga!$P86+30-28.5),30)*2+7)</f>
        <v>2</v>
      </c>
      <c r="M86" s="2" t="str">
        <f ca="1">CHOOSE(ROUNDUP(Panchanga!$L86,0),"Bhava","Baalava","Kaulava","Taitula","Garija","Vanija","Vishti","Shakuni","Chatushapda","Naaga","Kimstugna")</f>
        <v>Baalava</v>
      </c>
      <c r="N86" s="25" t="str">
        <f ca="1">CHOOSE(ROUNDUP(Panchanga!$Q86,0),"Vishkambha-विष्कम्भ-Sa","Priti-प्रीति-Me","Ayushman-आयुष्मान-Ke","Saubhagya-सौभाग्य-Ve","Shobhana-शोभन-Su","Atiganda-अतिगण्ड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("&amp;Panchanga!$Q86&amp;")"</f>
        <v>Brahma-ब्रह्म-Ma (24.49)</v>
      </c>
      <c r="O86" s="2">
        <f ca="1">IF(AND(Panchanga!$P86&lt;28.5,Panchanga!$P86&gt;0.49999),MOD((Panchanga!$P86-0.5)*2,7),MOD((Panchanga!$P86+30-28.5),30)*2+7)</f>
        <v>2</v>
      </c>
      <c r="P86" s="2">
        <f ca="1">ROUNDUP(MOD(360+Panchanga!$G86-Panchanga!$F86,360)/12,4)</f>
        <v>1.5</v>
      </c>
      <c r="Q86" s="2">
        <f t="shared" ca="1" si="23"/>
        <v>24.490000000000002</v>
      </c>
      <c r="R86" s="2" t="str">
        <f ca="1">SIGN(S87-Panchanga!$S86)*INT(Panchanga!$S86/30+1)&amp;"Ma,"&amp;SIGN(T87-Panchanga!$T86)*INT(Panchanga!$T86/30+1)&amp;"Me,"&amp;SIGN(U87-Panchanga!$U86)*INT(Panchanga!$U86/30+1)&amp;"Ju,"&amp;SIGN(V87-Panchanga!$V86)*INT(Panchanga!$V86/30+1)&amp;"Ve,"&amp;SIGN(W87-Panchanga!$W86)*INT(Panchanga!$W86/30+1)&amp;"Sa,"&amp;INT(Panchanga!$X86/30+1)&amp;"Ra"</f>
        <v>9Ma,12Me,-7Ju,12Ve,9Sa,4Ra</v>
      </c>
      <c r="S86" s="2">
        <f ca="1">Planet(Panchanga!$E86,4)</f>
        <v>246.65767013737303</v>
      </c>
      <c r="T86" s="2">
        <f ca="1">Planet(Panchanga!$E86,2)</f>
        <v>351.73272769182807</v>
      </c>
      <c r="U86" s="2">
        <f ca="1">Planet(Panchanga!$E86,5)</f>
        <v>208.96242576789206</v>
      </c>
      <c r="V86" s="2">
        <f ca="1">Planet(Panchanga!$E86,3)</f>
        <v>350.84833807062068</v>
      </c>
      <c r="W86" s="2">
        <f ca="1">Planet(Panchanga!$E86,6)</f>
        <v>254.30641714686348</v>
      </c>
      <c r="X86" s="2">
        <f ca="1">Planet(Panchanga!$E86,10)</f>
        <v>108.7093720016783</v>
      </c>
      <c r="Y86" s="2">
        <f ca="1">SIGN(S87-Panchanga!$S86)</f>
        <v>1</v>
      </c>
    </row>
    <row r="87" spans="1:25" x14ac:dyDescent="0.2">
      <c r="A87" s="3">
        <f t="shared" ca="1" si="24"/>
        <v>43179</v>
      </c>
      <c r="B87" s="3">
        <f t="shared" ca="1" si="17"/>
        <v>43179.229166666664</v>
      </c>
      <c r="C87" s="5">
        <f t="shared" ca="1" si="18"/>
        <v>43179.260391122814</v>
      </c>
      <c r="D87" s="5">
        <f t="shared" ca="1" si="19"/>
        <v>43178.763519108339</v>
      </c>
      <c r="E87" s="60">
        <f ca="1">Panchanga!$C87-TimeZone/24</f>
        <v>43179.03122445615</v>
      </c>
      <c r="F87" s="61">
        <f t="shared" ca="1" si="20"/>
        <v>335.24987480329935</v>
      </c>
      <c r="G87" s="61">
        <f t="shared" ca="1" si="21"/>
        <v>5.6905394698492762</v>
      </c>
      <c r="H87" s="62">
        <f t="shared" ca="1" si="22"/>
        <v>43179.03122445615</v>
      </c>
      <c r="I87" s="2" t="str">
        <f ca="1">naks(Panchanga!$G87)</f>
        <v>Aswini</v>
      </c>
      <c r="J87" s="5">
        <f ca="1">(C88-Panchanga!$C87)/(G88-Panchanga!$G87)*(13.3333333333333-MOD(Panchanga!$G87,13.333333333333))+Panchanga!$C87</f>
        <v>43179.820490983024</v>
      </c>
      <c r="K87" s="2" t="str">
        <f ca="1">IF(Panchanga!$P87&gt;15,"K","S")&amp;ROUNDUP(MOD(Panchanga!$P87,15),0)&amp;" ("&amp;ROUND(Panchanga!$P87,2)&amp;")"</f>
        <v>S3 (2.54)</v>
      </c>
      <c r="L87" s="2">
        <f ca="1">IF(AND(Panchanga!$P87&lt;28.5,Panchanga!$P87&gt;0.49999),MOD((Panchanga!$P87-0.5)*2,7),MOD((Panchanga!$P87+30-28.5),30)*2+7)</f>
        <v>4.0736000000000008</v>
      </c>
      <c r="M87" s="2" t="str">
        <f ca="1">CHOOSE(ROUNDUP(Panchanga!$L87,0),"Bhava","Baalava","Kaulava","Taitula","Garija","Vanija","Vishti","Shakuni","Chatushapda","Naaga","Kimstugna")</f>
        <v>Garija</v>
      </c>
      <c r="N87" s="25" t="str">
        <f ca="1">CHOOSE(ROUNDUP(Panchanga!$Q87,0),"Vishkambha-विष्कम्भ-Sa","Priti-प्रीति-Me","Ayushman-आयुष्मान-Ke","Saubhagya-सौभाग्य-Ve","Shobhana-शोभन-Su","Atiganda-अतिगण्ड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("&amp;Panchanga!$Q87&amp;")"</f>
        <v>Mahendra-महेन्द्र-Ra (25.58)</v>
      </c>
      <c r="O87" s="2">
        <f ca="1">IF(AND(Panchanga!$P87&lt;28.5,Panchanga!$P87&gt;0.49999),MOD((Panchanga!$P87-0.5)*2,7),MOD((Panchanga!$P87+30-28.5),30)*2+7)</f>
        <v>4.0736000000000008</v>
      </c>
      <c r="P87" s="2">
        <f ca="1">ROUNDUP(MOD(360+Panchanga!$G87-Panchanga!$F87,360)/12,4)</f>
        <v>2.5368000000000004</v>
      </c>
      <c r="Q87" s="2">
        <f t="shared" ca="1" si="23"/>
        <v>25.580000000000002</v>
      </c>
      <c r="R87" s="2" t="str">
        <f ca="1">SIGN(S88-Panchanga!$S87)*INT(Panchanga!$S87/30+1)&amp;"Ma,"&amp;SIGN(T88-Panchanga!$T87)*INT(Panchanga!$T87/30+1)&amp;"Me,"&amp;SIGN(U88-Panchanga!$U87)*INT(Panchanga!$U87/30+1)&amp;"Ju,"&amp;SIGN(V88-Panchanga!$V87)*INT(Panchanga!$V87/30+1)&amp;"Ve,"&amp;SIGN(W88-Panchanga!$W87)*INT(Panchanga!$W87/30+1)&amp;"Sa,"&amp;INT(Panchanga!$X87/30+1)&amp;"Ra"</f>
        <v>9Ma,12Me,-7Ju,12Ve,9Sa,4Ra</v>
      </c>
      <c r="S87" s="2">
        <f ca="1">Planet(Panchanga!$E87,4)</f>
        <v>247.22824049264108</v>
      </c>
      <c r="T87" s="2">
        <f ca="1">Planet(Panchanga!$E87,2)</f>
        <v>352.2027451858786</v>
      </c>
      <c r="U87" s="2">
        <f ca="1">Planet(Panchanga!$E87,5)</f>
        <v>208.93002476468322</v>
      </c>
      <c r="V87" s="2">
        <f ca="1">Planet(Panchanga!$E87,3)</f>
        <v>352.08679755927147</v>
      </c>
      <c r="W87" s="2">
        <f ca="1">Planet(Panchanga!$E87,6)</f>
        <v>254.35374285986302</v>
      </c>
      <c r="X87" s="2">
        <f ca="1">Planet(Panchanga!$E87,10)</f>
        <v>108.65640469978744</v>
      </c>
      <c r="Y87" s="2">
        <f ca="1">SIGN(S88-Panchanga!$S87)</f>
        <v>1</v>
      </c>
    </row>
    <row r="88" spans="1:25" x14ac:dyDescent="0.2">
      <c r="A88" s="3">
        <f t="shared" ca="1" si="24"/>
        <v>43180</v>
      </c>
      <c r="B88" s="3">
        <f t="shared" ca="1" si="17"/>
        <v>43180.229166666664</v>
      </c>
      <c r="C88" s="5">
        <f t="shared" ca="1" si="18"/>
        <v>43180.259923186306</v>
      </c>
      <c r="D88" s="5">
        <f t="shared" ca="1" si="19"/>
        <v>43179.763578712984</v>
      </c>
      <c r="E88" s="60">
        <f ca="1">Panchanga!$C88-TimeZone/24</f>
        <v>43180.030756519642</v>
      </c>
      <c r="F88" s="61">
        <f t="shared" ca="1" si="20"/>
        <v>336.24333492735354</v>
      </c>
      <c r="G88" s="61">
        <f t="shared" ca="1" si="21"/>
        <v>19.329567193140832</v>
      </c>
      <c r="H88" s="62">
        <f t="shared" ca="1" si="22"/>
        <v>43180.030756519642</v>
      </c>
      <c r="I88" s="2" t="str">
        <f ca="1">naks(Panchanga!$G88)</f>
        <v>Bharani</v>
      </c>
      <c r="J88" s="5">
        <f ca="1">(C89-Panchanga!$C88)/(G89-Panchanga!$G88)*(13.3333333333333-MOD(Panchanga!$G88,13.333333333333))+Panchanga!$C88</f>
        <v>43180.791194240133</v>
      </c>
      <c r="K88" s="2" t="str">
        <f ca="1">IF(Panchanga!$P88&gt;15,"K","S")&amp;ROUNDUP(MOD(Panchanga!$P88,15),0)&amp;" ("&amp;ROUND(Panchanga!$P88,2)&amp;")"</f>
        <v>S4 (3.59)</v>
      </c>
      <c r="L88" s="2">
        <f ca="1">IF(AND(Panchanga!$P88&lt;28.5,Panchanga!$P88&gt;0.49999),MOD((Panchanga!$P88-0.5)*2,7),MOD((Panchanga!$P88+30-28.5),30)*2+7)</f>
        <v>6.1812000000000005</v>
      </c>
      <c r="M88" s="2" t="str">
        <f ca="1">CHOOSE(ROUNDUP(Panchanga!$L88,0),"Bhava","Baalava","Kaulava","Taitula","Garija","Vanija","Vishti","Shakuni","Chatushapda","Naaga","Kimstugna")</f>
        <v>Vishti</v>
      </c>
      <c r="N88" s="25" t="str">
        <f ca="1">CHOOSE(ROUNDUP(Panchanga!$Q88,0),"Vishkambha-विष्कम्भ-Sa","Priti-प्रीति-Me","Ayushman-आयुष्मान-Ke","Saubhagya-सौभाग्य-Ve","Shobhana-शोभन-Su","Atiganda-अतिगण्ड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("&amp;Panchanga!$Q88&amp;")"</f>
        <v>Vaidhriti-वैधृति-Ke (26.67)</v>
      </c>
      <c r="O88" s="2">
        <f ca="1">IF(AND(Panchanga!$P88&lt;28.5,Panchanga!$P88&gt;0.49999),MOD((Panchanga!$P88-0.5)*2,7),MOD((Panchanga!$P88+30-28.5),30)*2+7)</f>
        <v>6.1812000000000005</v>
      </c>
      <c r="P88" s="2">
        <f ca="1">ROUNDUP(MOD(360+Panchanga!$G88-Panchanga!$F88,360)/12,4)</f>
        <v>3.5906000000000002</v>
      </c>
      <c r="Q88" s="2">
        <f t="shared" ca="1" si="23"/>
        <v>26.67</v>
      </c>
      <c r="R88" s="2" t="str">
        <f ca="1">SIGN(S89-Panchanga!$S88)*INT(Panchanga!$S88/30+1)&amp;"Ma,"&amp;SIGN(T89-Panchanga!$T88)*INT(Panchanga!$T88/30+1)&amp;"Me,"&amp;SIGN(U89-Panchanga!$U88)*INT(Panchanga!$U88/30+1)&amp;"Ju,"&amp;SIGN(V89-Panchanga!$V88)*INT(Panchanga!$V88/30+1)&amp;"Ve,"&amp;SIGN(W89-Panchanga!$W88)*INT(Panchanga!$W88/30+1)&amp;"Sa,"&amp;INT(Panchanga!$X88/30+1)&amp;"Ra"</f>
        <v>9Ma,12Me,-7Ju,12Ve,9Sa,4Ra</v>
      </c>
      <c r="S88" s="2">
        <f ca="1">Planet(Panchanga!$E88,4)</f>
        <v>247.79729448800575</v>
      </c>
      <c r="T88" s="2">
        <f ca="1">Planet(Panchanga!$E88,2)</f>
        <v>352.537138372713</v>
      </c>
      <c r="U88" s="2">
        <f ca="1">Planet(Panchanga!$E88,5)</f>
        <v>208.89455868450682</v>
      </c>
      <c r="V88" s="2">
        <f ca="1">Planet(Panchanga!$E88,3)</f>
        <v>353.32473730077368</v>
      </c>
      <c r="W88" s="2">
        <f ca="1">Planet(Panchanga!$E88,6)</f>
        <v>254.39955432225997</v>
      </c>
      <c r="X88" s="2">
        <f ca="1">Planet(Panchanga!$E88,10)</f>
        <v>108.60343749896894</v>
      </c>
      <c r="Y88" s="2">
        <f ca="1">SIGN(S89-Panchanga!$S88)</f>
        <v>1</v>
      </c>
    </row>
    <row r="89" spans="1:25" x14ac:dyDescent="0.2">
      <c r="A89" s="3">
        <f t="shared" ca="1" si="24"/>
        <v>43181</v>
      </c>
      <c r="B89" s="3">
        <f t="shared" ca="1" si="17"/>
        <v>43181.229166666664</v>
      </c>
      <c r="C89" s="5">
        <f t="shared" ca="1" si="18"/>
        <v>43181.259453978542</v>
      </c>
      <c r="D89" s="5">
        <f t="shared" ca="1" si="19"/>
        <v>43180.763636728327</v>
      </c>
      <c r="E89" s="60">
        <f ca="1">Panchanga!$C89-TimeZone/24</f>
        <v>43181.030287311878</v>
      </c>
      <c r="F89" s="61">
        <f t="shared" ca="1" si="20"/>
        <v>337.23617907781085</v>
      </c>
      <c r="G89" s="61">
        <f t="shared" ca="1" si="21"/>
        <v>33.133550671419286</v>
      </c>
      <c r="H89" s="62">
        <f t="shared" ca="1" si="22"/>
        <v>43181.030287311878</v>
      </c>
      <c r="I89" s="2" t="str">
        <f ca="1">naks(Panchanga!$G89)</f>
        <v>Krittika</v>
      </c>
      <c r="J89" s="5">
        <f ca="1">(C90-Panchanga!$C89)/(G90-Panchanga!$G89)*(13.3333333333333-MOD(Panchanga!$G89,13.333333333333))+Panchanga!$C89</f>
        <v>43181.752068106543</v>
      </c>
      <c r="K89" s="2" t="str">
        <f ca="1">IF(Panchanga!$P89&gt;15,"K","S")&amp;ROUNDUP(MOD(Panchanga!$P89,15),0)&amp;" ("&amp;ROUND(Panchanga!$P89,2)&amp;")"</f>
        <v>S5 (4.66)</v>
      </c>
      <c r="L89" s="2">
        <f ca="1">IF(AND(Panchanga!$P89&lt;28.5,Panchanga!$P89&gt;0.49999),MOD((Panchanga!$P89-0.5)*2,7),MOD((Panchanga!$P89+30-28.5),30)*2+7)</f>
        <v>1.3163999999999998</v>
      </c>
      <c r="M89" s="2" t="str">
        <f ca="1">CHOOSE(ROUNDUP(Panchanga!$L89,0),"Bhava","Baalava","Kaulava","Taitula","Garija","Vanija","Vishti","Shakuni","Chatushapda","Naaga","Kimstugna")</f>
        <v>Baalava</v>
      </c>
      <c r="N89" s="25" t="str">
        <f ca="1">CHOOSE(ROUNDUP(Panchanga!$Q89,0),"Vishkambha-विष्कम्भ-Sa","Priti-प्रीति-Me","Ayushman-आयुष्मान-Ke","Saubhagya-सौभाग्य-Ve","Shobhana-शोभन-Su","Atiganda-अतिगण्ड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("&amp;Panchanga!$Q89&amp;")"</f>
        <v>Vishkambha-विष्कम्भ-Sa (0.78)</v>
      </c>
      <c r="O89" s="2">
        <f ca="1">IF(AND(Panchanga!$P89&lt;28.5,Panchanga!$P89&gt;0.49999),MOD((Panchanga!$P89-0.5)*2,7),MOD((Panchanga!$P89+30-28.5),30)*2+7)</f>
        <v>1.3163999999999998</v>
      </c>
      <c r="P89" s="2">
        <f ca="1">ROUNDUP(MOD(360+Panchanga!$G89-Panchanga!$F89,360)/12,4)</f>
        <v>4.6581999999999999</v>
      </c>
      <c r="Q89" s="2">
        <f t="shared" ca="1" si="23"/>
        <v>0.78</v>
      </c>
      <c r="R89" s="2" t="str">
        <f ca="1">SIGN(S90-Panchanga!$S89)*INT(Panchanga!$S89/30+1)&amp;"Ma,"&amp;SIGN(T90-Panchanga!$T89)*INT(Panchanga!$T89/30+1)&amp;"Me,"&amp;SIGN(U90-Panchanga!$U89)*INT(Panchanga!$U89/30+1)&amp;"Ju,"&amp;SIGN(V90-Panchanga!$V89)*INT(Panchanga!$V89/30+1)&amp;"Ve,"&amp;SIGN(W90-Panchanga!$W89)*INT(Panchanga!$W89/30+1)&amp;"Sa,"&amp;INT(Panchanga!$X89/30+1)&amp;"Ra"</f>
        <v>9Ma,12Me,-7Ju,12Ve,9Sa,4Ra</v>
      </c>
      <c r="S89" s="2">
        <f ca="1">Planet(Panchanga!$E89,4)</f>
        <v>248.36480594349351</v>
      </c>
      <c r="T89" s="2">
        <f ca="1">Planet(Panchanga!$E89,2)</f>
        <v>352.73571645602044</v>
      </c>
      <c r="U89" s="2">
        <f ca="1">Planet(Panchanga!$E89,5)</f>
        <v>208.85604934935452</v>
      </c>
      <c r="V89" s="2">
        <f ca="1">Planet(Panchanga!$E89,3)</f>
        <v>354.56214153672914</v>
      </c>
      <c r="W89" s="2">
        <f ca="1">Planet(Panchanga!$E89,6)</f>
        <v>254.44384218531732</v>
      </c>
      <c r="X89" s="2">
        <f ca="1">Planet(Panchanga!$E89,10)</f>
        <v>108.55047036553837</v>
      </c>
      <c r="Y89" s="2">
        <f ca="1">SIGN(S90-Panchanga!$S89)</f>
        <v>1</v>
      </c>
    </row>
    <row r="90" spans="1:25" x14ac:dyDescent="0.2">
      <c r="A90" s="3">
        <f t="shared" ca="1" si="24"/>
        <v>43182</v>
      </c>
      <c r="B90" s="3">
        <f t="shared" ca="1" si="17"/>
        <v>43182.229166666664</v>
      </c>
      <c r="C90" s="5">
        <f t="shared" ca="1" si="18"/>
        <v>43182.258983499523</v>
      </c>
      <c r="D90" s="5">
        <f t="shared" ca="1" si="19"/>
        <v>43181.763693153902</v>
      </c>
      <c r="E90" s="60">
        <f ca="1">Panchanga!$C90-TimeZone/24</f>
        <v>43182.029816832859</v>
      </c>
      <c r="F90" s="61">
        <f t="shared" ca="1" si="20"/>
        <v>338.22839250971538</v>
      </c>
      <c r="G90" s="61">
        <f t="shared" ca="1" si="21"/>
        <v>47.065791786869148</v>
      </c>
      <c r="H90" s="62">
        <f t="shared" ca="1" si="22"/>
        <v>43182.029816832859</v>
      </c>
      <c r="I90" s="2" t="str">
        <f ca="1">naks(Panchanga!$G90)</f>
        <v>Rohini</v>
      </c>
      <c r="J90" s="5">
        <f ca="1">(C91-Panchanga!$C90)/(G91-Panchanga!$G90)*(13.3333333333333-MOD(Panchanga!$G90,13.333333333333))+Panchanga!$C90</f>
        <v>43182.705500595286</v>
      </c>
      <c r="K90" s="2" t="str">
        <f ca="1">IF(Panchanga!$P90&gt;15,"K","S")&amp;ROUNDUP(MOD(Panchanga!$P90,15),0)&amp;" ("&amp;ROUND(Panchanga!$P90,2)&amp;")"</f>
        <v>S6 (5.74)</v>
      </c>
      <c r="L90" s="2">
        <f ca="1">IF(AND(Panchanga!$P90&lt;28.5,Panchanga!$P90&gt;0.49999),MOD((Panchanga!$P90-0.5)*2,7),MOD((Panchanga!$P90+30-28.5),30)*2+7)</f>
        <v>3.472999999999999</v>
      </c>
      <c r="M90" s="2" t="str">
        <f ca="1">CHOOSE(ROUNDUP(Panchanga!$L90,0),"Bhava","Baalava","Kaulava","Taitula","Garija","Vanija","Vishti","Shakuni","Chatushapda","Naaga","Kimstugna")</f>
        <v>Taitula</v>
      </c>
      <c r="N90" s="25" t="str">
        <f ca="1">CHOOSE(ROUNDUP(Panchanga!$Q90,0),"Vishkambha-विष्कम्भ-Sa","Priti-प्रीति-Me","Ayushman-आयुष्मान-Ke","Saubhagya-सौभाग्य-Ve","Shobhana-शोभन-Su","Atiganda-अतिगण्ड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("&amp;Panchanga!$Q90&amp;")"</f>
        <v>Priti-प्रीति-Me (1.9)</v>
      </c>
      <c r="O90" s="2">
        <f ca="1">IF(AND(Panchanga!$P90&lt;28.5,Panchanga!$P90&gt;0.49999),MOD((Panchanga!$P90-0.5)*2,7),MOD((Panchanga!$P90+30-28.5),30)*2+7)</f>
        <v>3.472999999999999</v>
      </c>
      <c r="P90" s="2">
        <f ca="1">ROUNDUP(MOD(360+Panchanga!$G90-Panchanga!$F90,360)/12,4)</f>
        <v>5.7364999999999995</v>
      </c>
      <c r="Q90" s="2">
        <f t="shared" ca="1" si="23"/>
        <v>1.9</v>
      </c>
      <c r="R90" s="2" t="str">
        <f ca="1">SIGN(S91-Panchanga!$S90)*INT(Panchanga!$S90/30+1)&amp;"Ma,"&amp;SIGN(T91-Panchanga!$T90)*INT(Panchanga!$T90/30+1)&amp;"Me,"&amp;SIGN(U91-Panchanga!$U90)*INT(Panchanga!$U90/30+1)&amp;"Ju,"&amp;SIGN(V91-Panchanga!$V90)*INT(Panchanga!$V90/30+1)&amp;"Ve,"&amp;SIGN(W91-Panchanga!$W90)*INT(Panchanga!$W90/30+1)&amp;"Sa,"&amp;INT(Panchanga!$X90/30+1)&amp;"Ra"</f>
        <v>9Ma,-12Me,-7Ju,12Ve,9Sa,4Ra</v>
      </c>
      <c r="S90" s="2">
        <f ca="1">Planet(Panchanga!$E90,4)</f>
        <v>248.93075106959924</v>
      </c>
      <c r="T90" s="2">
        <f ca="1">Planet(Panchanga!$E90,2)</f>
        <v>352.79982200708389</v>
      </c>
      <c r="U90" s="2">
        <f ca="1">Planet(Panchanga!$E90,5)</f>
        <v>208.81452082062648</v>
      </c>
      <c r="V90" s="2">
        <f ca="1">Planet(Panchanga!$E90,3)</f>
        <v>355.79899434587747</v>
      </c>
      <c r="W90" s="2">
        <f ca="1">Planet(Panchanga!$E90,6)</f>
        <v>254.48659789066977</v>
      </c>
      <c r="X90" s="2">
        <f ca="1">Planet(Panchanga!$E90,10)</f>
        <v>108.49750329946266</v>
      </c>
      <c r="Y90" s="2">
        <f ca="1">SIGN(S91-Panchanga!$S90)</f>
        <v>1</v>
      </c>
    </row>
    <row r="91" spans="1:25" x14ac:dyDescent="0.2">
      <c r="A91" s="3">
        <f t="shared" ca="1" si="24"/>
        <v>43183</v>
      </c>
      <c r="B91" s="3">
        <f t="shared" ca="1" si="17"/>
        <v>43183.229166666664</v>
      </c>
      <c r="C91" s="5">
        <f t="shared" ca="1" si="18"/>
        <v>43183.258512066364</v>
      </c>
      <c r="D91" s="5">
        <f t="shared" ca="1" si="19"/>
        <v>43182.763748467012</v>
      </c>
      <c r="E91" s="60">
        <f ca="1">Panchanga!$C91-TimeZone/24</f>
        <v>43183.0293453997</v>
      </c>
      <c r="F91" s="61">
        <f t="shared" ca="1" si="20"/>
        <v>339.21996413887359</v>
      </c>
      <c r="G91" s="61">
        <f t="shared" ca="1" si="21"/>
        <v>61.095684211968134</v>
      </c>
      <c r="H91" s="62">
        <f t="shared" ca="1" si="22"/>
        <v>43183.0293453997</v>
      </c>
      <c r="I91" s="2" t="str">
        <f ca="1">naks(Panchanga!$G91)</f>
        <v>Mrigashira</v>
      </c>
      <c r="J91" s="5">
        <f ca="1">(C92-Panchanga!$C91)/(G92-Panchanga!$G91)*(13.3333333333333-MOD(Panchanga!$G91,13.333333333333))+Panchanga!$C91</f>
        <v>43183.65333669963</v>
      </c>
      <c r="K91" s="2" t="str">
        <f ca="1">IF(Panchanga!$P91&gt;15,"K","S")&amp;ROUNDUP(MOD(Panchanga!$P91,15),0)&amp;" ("&amp;ROUND(Panchanga!$P91,2)&amp;")"</f>
        <v>S7 (6.82)</v>
      </c>
      <c r="L91" s="2">
        <f ca="1">IF(AND(Panchanga!$P91&lt;28.5,Panchanga!$P91&gt;0.49999),MOD((Panchanga!$P91-0.5)*2,7),MOD((Panchanga!$P91+30-28.5),30)*2+7)</f>
        <v>5.645999999999999</v>
      </c>
      <c r="M91" s="2" t="str">
        <f ca="1">CHOOSE(ROUNDUP(Panchanga!$L91,0),"Bhava","Baalava","Kaulava","Taitula","Garija","Vanija","Vishti","Shakuni","Chatushapda","Naaga","Kimstugna")</f>
        <v>Vanija</v>
      </c>
      <c r="N91" s="25" t="str">
        <f ca="1">CHOOSE(ROUNDUP(Panchanga!$Q91,0),"Vishkambha-विष्कम्भ-Sa","Priti-प्रीति-Me","Ayushman-आयुष्मान-Ke","Saubhagya-सौभाग्य-Ve","Shobhana-शोभन-Su","Atiganda-अतिगण्ड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("&amp;Panchanga!$Q91&amp;")"</f>
        <v>Saubhagya-सौभाग्य-Ve (3.03)</v>
      </c>
      <c r="O91" s="2">
        <f ca="1">IF(AND(Panchanga!$P91&lt;28.5,Panchanga!$P91&gt;0.49999),MOD((Panchanga!$P91-0.5)*2,7),MOD((Panchanga!$P91+30-28.5),30)*2+7)</f>
        <v>5.645999999999999</v>
      </c>
      <c r="P91" s="2">
        <f ca="1">ROUNDUP(MOD(360+Panchanga!$G91-Panchanga!$F91,360)/12,4)</f>
        <v>6.8229999999999995</v>
      </c>
      <c r="Q91" s="2">
        <f t="shared" ca="1" si="23"/>
        <v>3.03</v>
      </c>
      <c r="R91" s="2" t="str">
        <f ca="1">SIGN(S92-Panchanga!$S91)*INT(Panchanga!$S91/30+1)&amp;"Ma,"&amp;SIGN(T92-Panchanga!$T91)*INT(Panchanga!$T91/30+1)&amp;"Me,"&amp;SIGN(U92-Panchanga!$U91)*INT(Panchanga!$U91/30+1)&amp;"Ju,"&amp;SIGN(V92-Panchanga!$V91)*INT(Panchanga!$V91/30+1)&amp;"Ve,"&amp;SIGN(W92-Panchanga!$W91)*INT(Panchanga!$W91/30+1)&amp;"Sa,"&amp;INT(Panchanga!$X91/30+1)&amp;"Ra"</f>
        <v>9Ma,-12Me,-7Ju,12Ve,9Sa,4Ra</v>
      </c>
      <c r="S91" s="2">
        <f ca="1">Planet(Panchanga!$E91,4)</f>
        <v>249.49510861544593</v>
      </c>
      <c r="T91" s="2">
        <f ca="1">Planet(Panchanga!$E91,2)</f>
        <v>352.73246185611629</v>
      </c>
      <c r="U91" s="2">
        <f ca="1">Planet(Panchanga!$E91,5)</f>
        <v>208.76999910946986</v>
      </c>
      <c r="V91" s="2">
        <f ca="1">Planet(Panchanga!$E91,3)</f>
        <v>357.03528137226323</v>
      </c>
      <c r="W91" s="2">
        <f ca="1">Planet(Panchanga!$E91,6)</f>
        <v>254.5278136685406</v>
      </c>
      <c r="X91" s="2">
        <f ca="1">Planet(Panchanga!$E91,10)</f>
        <v>108.44453628397403</v>
      </c>
      <c r="Y91" s="2">
        <f ca="1">SIGN(S92-Panchanga!$S91)</f>
        <v>1</v>
      </c>
    </row>
    <row r="92" spans="1:25" x14ac:dyDescent="0.2">
      <c r="A92" s="3">
        <f t="shared" ca="1" si="24"/>
        <v>43184</v>
      </c>
      <c r="B92" s="3">
        <f t="shared" ca="1" si="17"/>
        <v>43184.229166666664</v>
      </c>
      <c r="C92" s="5">
        <f t="shared" ca="1" si="18"/>
        <v>43184.258039997578</v>
      </c>
      <c r="D92" s="5">
        <f t="shared" ca="1" si="19"/>
        <v>43183.763802508867</v>
      </c>
      <c r="E92" s="60">
        <f ca="1">Panchanga!$C92-TimeZone/24</f>
        <v>43184.028873330913</v>
      </c>
      <c r="F92" s="61">
        <f t="shared" ca="1" si="20"/>
        <v>340.21088699765937</v>
      </c>
      <c r="G92" s="61">
        <f t="shared" ca="1" si="21"/>
        <v>75.199040736942365</v>
      </c>
      <c r="H92" s="62">
        <f t="shared" ca="1" si="22"/>
        <v>43184.028873330913</v>
      </c>
      <c r="I92" s="2" t="str">
        <f ca="1">naks(Panchanga!$G92)</f>
        <v>Ardra</v>
      </c>
      <c r="J92" s="5">
        <f ca="1">(C93-Panchanga!$C92)/(G93-Panchanga!$G92)*(13.3333333333333-MOD(Panchanga!$G92,13.333333333333))+Panchanga!$C92</f>
        <v>43184.597027136595</v>
      </c>
      <c r="K92" s="2" t="str">
        <f ca="1">IF(Panchanga!$P92&gt;15,"K","S")&amp;ROUNDUP(MOD(Panchanga!$P92,15),0)&amp;" ("&amp;ROUND(Panchanga!$P92,2)&amp;")"</f>
        <v>S8 (7.92)</v>
      </c>
      <c r="L92" s="2">
        <f ca="1">IF(AND(Panchanga!$P92&lt;28.5,Panchanga!$P92&gt;0.49999),MOD((Panchanga!$P92-0.5)*2,7),MOD((Panchanga!$P92+30-28.5),30)*2+7)</f>
        <v>0.83140000000000036</v>
      </c>
      <c r="M92" s="2" t="str">
        <f ca="1">CHOOSE(ROUNDUP(Panchanga!$L92,0),"Bhava","Baalava","Kaulava","Taitula","Garija","Vanija","Vishti","Shakuni","Chatushapda","Naaga","Kimstugna")</f>
        <v>Bhava</v>
      </c>
      <c r="N92" s="25" t="str">
        <f ca="1">CHOOSE(ROUNDUP(Panchanga!$Q92,0),"Vishkambha-विष्कम्भ-Sa","Priti-प्रीति-Me","Ayushman-आयुष्मान-Ke","Saubhagya-सौभाग्य-Ve","Shobhana-शोभन-Su","Atiganda-अतिगण्ड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("&amp;Panchanga!$Q92&amp;")"</f>
        <v>Shobhana-शोभन-Su (4.16)</v>
      </c>
      <c r="O92" s="2">
        <f ca="1">IF(AND(Panchanga!$P92&lt;28.5,Panchanga!$P92&gt;0.49999),MOD((Panchanga!$P92-0.5)*2,7),MOD((Panchanga!$P92+30-28.5),30)*2+7)</f>
        <v>0.83140000000000036</v>
      </c>
      <c r="P92" s="2">
        <f ca="1">ROUNDUP(MOD(360+Panchanga!$G92-Panchanga!$F92,360)/12,4)</f>
        <v>7.9157000000000002</v>
      </c>
      <c r="Q92" s="2">
        <f t="shared" ca="1" si="23"/>
        <v>4.16</v>
      </c>
      <c r="R92" s="2" t="str">
        <f ca="1">SIGN(S93-Panchanga!$S92)*INT(Panchanga!$S92/30+1)&amp;"Ma,"&amp;SIGN(T93-Panchanga!$T92)*INT(Panchanga!$T92/30+1)&amp;"Me,"&amp;SIGN(U93-Panchanga!$U92)*INT(Panchanga!$U92/30+1)&amp;"Ju,"&amp;SIGN(V93-Panchanga!$V92)*INT(Panchanga!$V92/30+1)&amp;"Ve,"&amp;SIGN(W93-Panchanga!$W92)*INT(Panchanga!$W92/30+1)&amp;"Sa,"&amp;INT(Panchanga!$X92/30+1)&amp;"Ra"</f>
        <v>9Ma,-12Me,-7Ju,12Ve,9Sa,4Ra</v>
      </c>
      <c r="S92" s="2">
        <f ca="1">Planet(Panchanga!$E92,4)</f>
        <v>250.05785907232035</v>
      </c>
      <c r="T92" s="2">
        <f ca="1">Planet(Panchanga!$E92,2)</f>
        <v>352.53842654458975</v>
      </c>
      <c r="U92" s="2">
        <f ca="1">Planet(Panchanga!$E92,5)</f>
        <v>208.72251189307656</v>
      </c>
      <c r="V92" s="2">
        <f ca="1">Planet(Panchanga!$E92,3)</f>
        <v>358.27098999001691</v>
      </c>
      <c r="W92" s="2">
        <f ca="1">Planet(Panchanga!$E92,6)</f>
        <v>254.56748244510044</v>
      </c>
      <c r="X92" s="2">
        <f ca="1">Planet(Panchanga!$E92,10)</f>
        <v>108.39156930213944</v>
      </c>
      <c r="Y92" s="2">
        <f ca="1">SIGN(S93-Panchanga!$S92)</f>
        <v>1</v>
      </c>
    </row>
    <row r="93" spans="1:25" x14ac:dyDescent="0.2">
      <c r="A93" s="3">
        <f t="shared" ca="1" si="24"/>
        <v>43185</v>
      </c>
      <c r="B93" s="3">
        <f t="shared" ca="1" si="17"/>
        <v>43185.229166666664</v>
      </c>
      <c r="C93" s="5">
        <f t="shared" ca="1" si="18"/>
        <v>43185.257567451954</v>
      </c>
      <c r="D93" s="5">
        <f t="shared" ca="1" si="19"/>
        <v>43184.763855596582</v>
      </c>
      <c r="E93" s="60">
        <f ca="1">Panchanga!$C93-TimeZone/24</f>
        <v>43185.02840078529</v>
      </c>
      <c r="F93" s="61">
        <f t="shared" ca="1" si="20"/>
        <v>341.20115872835748</v>
      </c>
      <c r="G93" s="61">
        <f t="shared" ca="1" si="21"/>
        <v>89.355007257336538</v>
      </c>
      <c r="H93" s="62">
        <f t="shared" ca="1" si="22"/>
        <v>43185.02840078529</v>
      </c>
      <c r="I93" s="2" t="str">
        <f ca="1">naks(Panchanga!$G93)</f>
        <v>Punarvasu</v>
      </c>
      <c r="J93" s="5">
        <f ca="1">(C94-Panchanga!$C93)/(G94-Panchanga!$G93)*(13.3333333333333-MOD(Panchanga!$G93,13.333333333333))+Panchanga!$C93</f>
        <v>43185.537881063094</v>
      </c>
      <c r="K93" s="2" t="str">
        <f ca="1">IF(Panchanga!$P93&gt;15,"K","S")&amp;ROUNDUP(MOD(Panchanga!$P93,15),0)&amp;" ("&amp;ROUND(Panchanga!$P93,2)&amp;")"</f>
        <v>S10 (9.01)</v>
      </c>
      <c r="L93" s="2">
        <f ca="1">IF(AND(Panchanga!$P93&lt;28.5,Panchanga!$P93&gt;0.49999),MOD((Panchanga!$P93-0.5)*2,7),MOD((Panchanga!$P93+30-28.5),30)*2+7)</f>
        <v>3.0258000000000003</v>
      </c>
      <c r="M93" s="2" t="str">
        <f ca="1">CHOOSE(ROUNDUP(Panchanga!$L93,0),"Bhava","Baalava","Kaulava","Taitula","Garija","Vanija","Vishti","Shakuni","Chatushapda","Naaga","Kimstugna")</f>
        <v>Taitula</v>
      </c>
      <c r="N93" s="25" t="str">
        <f ca="1">CHOOSE(ROUNDUP(Panchanga!$Q93,0),"Vishkambha-विष्कम्भ-Sa","Priti-प्रीति-Me","Ayushman-आयुष्मान-Ke","Saubhagya-सौभाग्य-Ve","Shobhana-शोभन-Su","Atiganda-अतिगण्ड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("&amp;Panchanga!$Q93&amp;")"</f>
        <v>Atiganda-अतिगण्ड -Mo (5.3)</v>
      </c>
      <c r="O93" s="2">
        <f ca="1">IF(AND(Panchanga!$P93&lt;28.5,Panchanga!$P93&gt;0.49999),MOD((Panchanga!$P93-0.5)*2,7),MOD((Panchanga!$P93+30-28.5),30)*2+7)</f>
        <v>3.0258000000000003</v>
      </c>
      <c r="P93" s="2">
        <f ca="1">ROUNDUP(MOD(360+Panchanga!$G93-Panchanga!$F93,360)/12,4)</f>
        <v>9.0129000000000001</v>
      </c>
      <c r="Q93" s="2">
        <f t="shared" ca="1" si="23"/>
        <v>5.3</v>
      </c>
      <c r="R93" s="2" t="str">
        <f ca="1">SIGN(S94-Panchanga!$S93)*INT(Panchanga!$S93/30+1)&amp;"Ma,"&amp;SIGN(T94-Panchanga!$T93)*INT(Panchanga!$T93/30+1)&amp;"Me,"&amp;SIGN(U94-Panchanga!$U93)*INT(Panchanga!$U93/30+1)&amp;"Ju,"&amp;SIGN(V94-Panchanga!$V93)*INT(Panchanga!$V93/30+1)&amp;"Ve,"&amp;SIGN(W94-Panchanga!$W93)*INT(Panchanga!$W93/30+1)&amp;"Sa,"&amp;INT(Panchanga!$X93/30+1)&amp;"Ra"</f>
        <v>9Ma,-12Me,-7Ju,-12Ve,9Sa,4Ra</v>
      </c>
      <c r="S93" s="2">
        <f ca="1">Planet(Panchanga!$E93,4)</f>
        <v>250.61898369150597</v>
      </c>
      <c r="T93" s="2">
        <f ca="1">Planet(Panchanga!$E93,2)</f>
        <v>352.22438354028856</v>
      </c>
      <c r="U93" s="2">
        <f ca="1">Planet(Panchanga!$E93,5)</f>
        <v>208.67208819727836</v>
      </c>
      <c r="V93" s="2">
        <f ca="1">Planet(Panchanga!$E93,3)</f>
        <v>359.5061096543389</v>
      </c>
      <c r="W93" s="2">
        <f ca="1">Planet(Panchanga!$E93,6)</f>
        <v>254.60559772061853</v>
      </c>
      <c r="X93" s="2">
        <f ca="1">Planet(Panchanga!$E93,10)</f>
        <v>108.33860234559131</v>
      </c>
      <c r="Y93" s="2">
        <f ca="1">SIGN(S94-Panchanga!$S93)</f>
        <v>1</v>
      </c>
    </row>
    <row r="94" spans="1:25" x14ac:dyDescent="0.2">
      <c r="A94" s="3">
        <f t="shared" ca="1" si="24"/>
        <v>43186</v>
      </c>
      <c r="B94" s="3">
        <f t="shared" ca="1" si="17"/>
        <v>43186.229166666664</v>
      </c>
      <c r="C94" s="5">
        <f t="shared" ca="1" si="18"/>
        <v>43186.25709490633</v>
      </c>
      <c r="D94" s="5">
        <f t="shared" ca="1" si="19"/>
        <v>43185.76390804867</v>
      </c>
      <c r="E94" s="60">
        <f ca="1">Panchanga!$C94-TimeZone/24</f>
        <v>43186.027928239666</v>
      </c>
      <c r="F94" s="61">
        <f t="shared" ca="1" si="20"/>
        <v>342.19078246015101</v>
      </c>
      <c r="G94" s="61">
        <f t="shared" ca="1" si="21"/>
        <v>103.54071204420755</v>
      </c>
      <c r="H94" s="62">
        <f t="shared" ca="1" si="22"/>
        <v>43186.027928239666</v>
      </c>
      <c r="I94" s="2" t="str">
        <f ca="1">naks(Panchanga!$G94)</f>
        <v>Pushya</v>
      </c>
      <c r="J94" s="5">
        <f ca="1">(C95-Panchanga!$C94)/(G95-Panchanga!$G94)*(13.3333333333333-MOD(Panchanga!$G94,13.333333333333))+Panchanga!$C94</f>
        <v>43186.477366268016</v>
      </c>
      <c r="K94" s="2" t="str">
        <f ca="1">IF(Panchanga!$P94&gt;15,"K","S")&amp;ROUNDUP(MOD(Panchanga!$P94,15),0)&amp;" ("&amp;ROUND(Panchanga!$P94,2)&amp;")"</f>
        <v>S11 (10.11)</v>
      </c>
      <c r="L94" s="2">
        <f ca="1">IF(AND(Panchanga!$P94&lt;28.5,Panchanga!$P94&gt;0.49999),MOD((Panchanga!$P94-0.5)*2,7),MOD((Panchanga!$P94+30-28.5),30)*2+7)</f>
        <v>5.2249999999999979</v>
      </c>
      <c r="M94" s="2" t="str">
        <f ca="1">CHOOSE(ROUNDUP(Panchanga!$L94,0),"Bhava","Baalava","Kaulava","Taitula","Garija","Vanija","Vishti","Shakuni","Chatushapda","Naaga","Kimstugna")</f>
        <v>Vanija</v>
      </c>
      <c r="N94" s="25" t="str">
        <f ca="1">CHOOSE(ROUNDUP(Panchanga!$Q94,0),"Vishkambha-विष्कम्भ-Sa","Priti-प्रीति-Me","Ayushman-आयुष्मान-Ke","Saubhagya-सौभाग्य-Ve","Shobhana-शोभन-Su","Atiganda-अतिगण्ड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("&amp;Panchanga!$Q94&amp;")"</f>
        <v>Sukarman-सुकर्मा -Ma (6.43)</v>
      </c>
      <c r="O94" s="2">
        <f ca="1">IF(AND(Panchanga!$P94&lt;28.5,Panchanga!$P94&gt;0.49999),MOD((Panchanga!$P94-0.5)*2,7),MOD((Panchanga!$P94+30-28.5),30)*2+7)</f>
        <v>5.2249999999999979</v>
      </c>
      <c r="P94" s="2">
        <f ca="1">ROUNDUP(MOD(360+Panchanga!$G94-Panchanga!$F94,360)/12,4)</f>
        <v>10.112499999999999</v>
      </c>
      <c r="Q94" s="2">
        <f t="shared" ca="1" si="23"/>
        <v>6.43</v>
      </c>
      <c r="R94" s="2" t="str">
        <f ca="1">SIGN(S95-Panchanga!$S94)*INT(Panchanga!$S94/30+1)&amp;"Ma,"&amp;SIGN(T95-Panchanga!$T94)*INT(Panchanga!$T94/30+1)&amp;"Me,"&amp;SIGN(U95-Panchanga!$U94)*INT(Panchanga!$U94/30+1)&amp;"Ju,"&amp;SIGN(V95-Panchanga!$V94)*INT(Panchanga!$V94/30+1)&amp;"Ve,"&amp;SIGN(W95-Panchanga!$W94)*INT(Panchanga!$W94/30+1)&amp;"Sa,"&amp;INT(Panchanga!$X94/30+1)&amp;"Ra"</f>
        <v>9Ma,-12Me,-7Ju,1Ve,9Sa,4Ra</v>
      </c>
      <c r="S94" s="2">
        <f ca="1">Planet(Panchanga!$E94,4)</f>
        <v>251.17846355399436</v>
      </c>
      <c r="T94" s="2">
        <f ca="1">Planet(Panchanga!$E94,2)</f>
        <v>351.79892537347195</v>
      </c>
      <c r="U94" s="2">
        <f ca="1">Planet(Panchanga!$E94,5)</f>
        <v>208.61875803621248</v>
      </c>
      <c r="V94" s="2">
        <f ca="1">Planet(Panchanga!$E94,3)</f>
        <v>0.7406329680425725</v>
      </c>
      <c r="W94" s="2">
        <f ca="1">Planet(Panchanga!$E94,6)</f>
        <v>254.64215343622192</v>
      </c>
      <c r="X94" s="2">
        <f ca="1">Planet(Panchanga!$E94,10)</f>
        <v>108.28563538904584</v>
      </c>
      <c r="Y94" s="2">
        <f ca="1">SIGN(S95-Panchanga!$S94)</f>
        <v>1</v>
      </c>
    </row>
    <row r="95" spans="1:25" x14ac:dyDescent="0.2">
      <c r="A95" s="3">
        <f t="shared" ca="1" si="24"/>
        <v>43187</v>
      </c>
      <c r="B95" s="3">
        <f t="shared" ca="1" si="17"/>
        <v>43187.229166666664</v>
      </c>
      <c r="C95" s="5">
        <f t="shared" ca="1" si="18"/>
        <v>43187.256622519497</v>
      </c>
      <c r="D95" s="5">
        <f t="shared" ca="1" si="19"/>
        <v>43186.763959865129</v>
      </c>
      <c r="E95" s="60">
        <f ca="1">Panchanga!$C95-TimeZone/24</f>
        <v>43187.027455852833</v>
      </c>
      <c r="F95" s="61">
        <f t="shared" ca="1" si="20"/>
        <v>343.17976616205493</v>
      </c>
      <c r="G95" s="61">
        <f t="shared" ca="1" si="21"/>
        <v>117.72538833956443</v>
      </c>
      <c r="H95" s="62">
        <f t="shared" ca="1" si="22"/>
        <v>43187.027455852833</v>
      </c>
      <c r="I95" s="2" t="str">
        <f ca="1">naks(Panchanga!$G95)</f>
        <v>Aslesha</v>
      </c>
      <c r="J95" s="5">
        <f ca="1">(C96-Panchanga!$C95)/(G96-Panchanga!$G95)*(13.3333333333333-MOD(Panchanga!$G95,13.333333333333))+Panchanga!$C95</f>
        <v>43187.417402024948</v>
      </c>
      <c r="K95" s="2" t="str">
        <f ca="1">IF(Panchanga!$P95&gt;15,"K","S")&amp;ROUNDUP(MOD(Panchanga!$P95,15),0)&amp;" ("&amp;ROUND(Panchanga!$P95,2)&amp;")"</f>
        <v>S12 (11.21)</v>
      </c>
      <c r="L95" s="2">
        <f ca="1">IF(AND(Panchanga!$P95&lt;28.5,Panchanga!$P95&gt;0.49999),MOD((Panchanga!$P95-0.5)*2,7),MOD((Panchanga!$P95+30-28.5),30)*2+7)</f>
        <v>0.42439999999999856</v>
      </c>
      <c r="M95" s="2" t="str">
        <f ca="1">CHOOSE(ROUNDUP(Panchanga!$L95,0),"Bhava","Baalava","Kaulava","Taitula","Garija","Vanija","Vishti","Shakuni","Chatushapda","Naaga","Kimstugna")</f>
        <v>Bhava</v>
      </c>
      <c r="N95" s="25" t="str">
        <f ca="1">CHOOSE(ROUNDUP(Panchanga!$Q95,0),"Vishkambha-विष्कम्भ-Sa","Priti-प्रीति-Me","Ayushman-आयुष्मान-Ke","Saubhagya-सौभाग्य-Ve","Shobhana-शोभन-Su","Atiganda-अतिगण्ड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("&amp;Panchanga!$Q95&amp;")"</f>
        <v>Dhriti-धृति -Ra (7.57)</v>
      </c>
      <c r="O95" s="2">
        <f ca="1">IF(AND(Panchanga!$P95&lt;28.5,Panchanga!$P95&gt;0.49999),MOD((Panchanga!$P95-0.5)*2,7),MOD((Panchanga!$P95+30-28.5),30)*2+7)</f>
        <v>0.42439999999999856</v>
      </c>
      <c r="P95" s="2">
        <f ca="1">ROUNDUP(MOD(360+Panchanga!$G95-Panchanga!$F95,360)/12,4)</f>
        <v>11.212199999999999</v>
      </c>
      <c r="Q95" s="2">
        <f t="shared" ca="1" si="23"/>
        <v>7.5699999999999994</v>
      </c>
      <c r="R95" s="2" t="str">
        <f ca="1">SIGN(S96-Panchanga!$S95)*INT(Panchanga!$S95/30+1)&amp;"Ma,"&amp;SIGN(T96-Panchanga!$T95)*INT(Panchanga!$T95/30+1)&amp;"Me,"&amp;SIGN(U96-Panchanga!$U95)*INT(Panchanga!$U95/30+1)&amp;"Ju,"&amp;SIGN(V96-Panchanga!$V95)*INT(Panchanga!$V95/30+1)&amp;"Ve,"&amp;SIGN(W96-Panchanga!$W95)*INT(Panchanga!$W95/30+1)&amp;"Sa,"&amp;INT(Panchanga!$X95/30+1)&amp;"Ra"</f>
        <v>9Ma,-12Me,-7Ju,1Ve,9Sa,4Ra</v>
      </c>
      <c r="S95" s="2">
        <f ca="1">Planet(Panchanga!$E95,4)</f>
        <v>251.73627778099637</v>
      </c>
      <c r="T95" s="2">
        <f ca="1">Planet(Panchanga!$E95,2)</f>
        <v>351.27255390095183</v>
      </c>
      <c r="U95" s="2">
        <f ca="1">Planet(Panchanga!$E95,5)</f>
        <v>208.56255214921688</v>
      </c>
      <c r="V95" s="2">
        <f ca="1">Planet(Panchanga!$E95,3)</f>
        <v>1.974555183992007</v>
      </c>
      <c r="W95" s="2">
        <f ca="1">Planet(Panchanga!$E95,6)</f>
        <v>254.67714376974138</v>
      </c>
      <c r="X95" s="2">
        <f ca="1">Planet(Panchanga!$E95,10)</f>
        <v>108.23266842408614</v>
      </c>
      <c r="Y95" s="2">
        <f ca="1">SIGN(S96-Panchanga!$S95)</f>
        <v>1</v>
      </c>
    </row>
    <row r="96" spans="1:25" x14ac:dyDescent="0.2">
      <c r="A96" s="3">
        <f t="shared" ca="1" si="24"/>
        <v>43188</v>
      </c>
      <c r="B96" s="3">
        <f t="shared" ca="1" si="17"/>
        <v>43188.229166666664</v>
      </c>
      <c r="C96" s="5">
        <f t="shared" ca="1" si="18"/>
        <v>43188.25615045071</v>
      </c>
      <c r="D96" s="5">
        <f t="shared" ca="1" si="19"/>
        <v>43187.764011363543</v>
      </c>
      <c r="E96" s="60">
        <f ca="1">Panchanga!$C96-TimeZone/24</f>
        <v>43188.026983784046</v>
      </c>
      <c r="F96" s="61">
        <f t="shared" ca="1" si="20"/>
        <v>344.16812241334162</v>
      </c>
      <c r="G96" s="61">
        <f t="shared" ca="1" si="21"/>
        <v>131.86610783567647</v>
      </c>
      <c r="H96" s="62">
        <f t="shared" ca="1" si="22"/>
        <v>43188.026983784046</v>
      </c>
      <c r="I96" s="2" t="str">
        <f ca="1">naks(Panchanga!$G96)</f>
        <v>Makha</v>
      </c>
      <c r="J96" s="5">
        <f ca="1">(C97-Panchanga!$C96)/(G97-Panchanga!$G96)*(13.3333333333333-MOD(Panchanga!$G96,13.333333333333))+Panchanga!$C96</f>
        <v>43188.360596363535</v>
      </c>
      <c r="K96" s="2" t="str">
        <f ca="1">IF(Panchanga!$P96&gt;15,"K","S")&amp;ROUNDUP(MOD(Panchanga!$P96,15),0)&amp;" ("&amp;ROUND(Panchanga!$P96,2)&amp;")"</f>
        <v>S13 (12.31)</v>
      </c>
      <c r="L96" s="2">
        <f ca="1">IF(AND(Panchanga!$P96&lt;28.5,Panchanga!$P96&gt;0.49999),MOD((Panchanga!$P96-0.5)*2,7),MOD((Panchanga!$P96+30-28.5),30)*2+7)</f>
        <v>2.6163999999999987</v>
      </c>
      <c r="M96" s="2" t="str">
        <f ca="1">CHOOSE(ROUNDUP(Panchanga!$L96,0),"Bhava","Baalava","Kaulava","Taitula","Garija","Vanija","Vishti","Shakuni","Chatushapda","Naaga","Kimstugna")</f>
        <v>Kaulava</v>
      </c>
      <c r="N96" s="25" t="str">
        <f ca="1">CHOOSE(ROUNDUP(Panchanga!$Q96,0),"Vishkambha-विष्कम्भ-Sa","Priti-प्रीति-Me","Ayushman-आयुष्मान-Ke","Saubhagya-सौभाग्य-Ve","Shobhana-शोभन-Su","Atiganda-अतिगण्ड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("&amp;Panchanga!$Q96&amp;")"</f>
        <v>Shula-शूल -Ju (8.71)</v>
      </c>
      <c r="O96" s="2">
        <f ca="1">IF(AND(Panchanga!$P96&lt;28.5,Panchanga!$P96&gt;0.49999),MOD((Panchanga!$P96-0.5)*2,7),MOD((Panchanga!$P96+30-28.5),30)*2+7)</f>
        <v>2.6163999999999987</v>
      </c>
      <c r="P96" s="2">
        <f ca="1">ROUNDUP(MOD(360+Panchanga!$G96-Panchanga!$F96,360)/12,4)</f>
        <v>12.308199999999999</v>
      </c>
      <c r="Q96" s="2">
        <f t="shared" ca="1" si="23"/>
        <v>8.7099999999999991</v>
      </c>
      <c r="R96" s="2" t="str">
        <f ca="1">SIGN(S97-Panchanga!$S96)*INT(Panchanga!$S96/30+1)&amp;"Ma,"&amp;SIGN(T97-Panchanga!$T96)*INT(Panchanga!$T96/30+1)&amp;"Me,"&amp;SIGN(U97-Panchanga!$U96)*INT(Panchanga!$U96/30+1)&amp;"Ju,"&amp;SIGN(V97-Panchanga!$V96)*INT(Panchanga!$V96/30+1)&amp;"Ve,"&amp;SIGN(W97-Panchanga!$W96)*INT(Panchanga!$W96/30+1)&amp;"Sa,"&amp;INT(Panchanga!$X96/30+1)&amp;"Ra"</f>
        <v>9Ma,-12Me,-7Ju,1Ve,9Sa,4Ra</v>
      </c>
      <c r="S96" s="2">
        <f ca="1">Planet(Panchanga!$E96,4)</f>
        <v>252.29240223852599</v>
      </c>
      <c r="T96" s="2">
        <f ca="1">Planet(Panchanga!$E96,2)</f>
        <v>350.65758291749853</v>
      </c>
      <c r="U96" s="2">
        <f ca="1">Planet(Panchanga!$E96,5)</f>
        <v>208.50350179454855</v>
      </c>
      <c r="V96" s="2">
        <f ca="1">Planet(Panchanga!$E96,3)</f>
        <v>3.2078745979188361</v>
      </c>
      <c r="W96" s="2">
        <f ca="1">Planet(Panchanga!$E96,6)</f>
        <v>254.71056296521161</v>
      </c>
      <c r="X96" s="2">
        <f ca="1">Planet(Panchanga!$E96,10)</f>
        <v>108.17970144226199</v>
      </c>
      <c r="Y96" s="2">
        <f ca="1">SIGN(S97-Panchanga!$S96)</f>
        <v>1</v>
      </c>
    </row>
    <row r="97" spans="1:25" x14ac:dyDescent="0.2">
      <c r="A97" s="3">
        <f t="shared" ca="1" si="24"/>
        <v>43189</v>
      </c>
      <c r="B97" s="3">
        <f t="shared" ca="1" si="17"/>
        <v>43189.229166666664</v>
      </c>
      <c r="C97" s="5">
        <f t="shared" ca="1" si="18"/>
        <v>43189.255679335598</v>
      </c>
      <c r="D97" s="5">
        <f t="shared" ca="1" si="19"/>
        <v>43188.764062702699</v>
      </c>
      <c r="E97" s="60">
        <f ca="1">Panchanga!$C97-TimeZone/24</f>
        <v>43189.026512668934</v>
      </c>
      <c r="F97" s="61">
        <f t="shared" ca="1" si="20"/>
        <v>345.15586782978465</v>
      </c>
      <c r="G97" s="61">
        <f t="shared" ca="1" si="21"/>
        <v>145.90719595416772</v>
      </c>
      <c r="H97" s="62">
        <f t="shared" ca="1" si="22"/>
        <v>43189.026512668934</v>
      </c>
      <c r="I97" s="2" t="str">
        <f ca="1">naks(Panchanga!$G97)</f>
        <v>Purva Phalguni</v>
      </c>
      <c r="J97" s="5">
        <f ca="1">(C98-Panchanga!$C97)/(G98-Panchanga!$G97)*(13.3333333333333-MOD(Panchanga!$G97,13.333333333333))+Panchanga!$C97</f>
        <v>43189.310381103838</v>
      </c>
      <c r="K97" s="2" t="str">
        <f ca="1">IF(Panchanga!$P97&gt;15,"K","S")&amp;ROUNDUP(MOD(Panchanga!$P97,15),0)&amp;" ("&amp;ROUND(Panchanga!$P97,2)&amp;")"</f>
        <v>S14 (13.4)</v>
      </c>
      <c r="L97" s="2">
        <f ca="1">IF(AND(Panchanga!$P97&lt;28.5,Panchanga!$P97&gt;0.49999),MOD((Panchanga!$P97-0.5)*2,7),MOD((Panchanga!$P97+30-28.5),30)*2+7)</f>
        <v>4.791999999999998</v>
      </c>
      <c r="M97" s="2" t="str">
        <f ca="1">CHOOSE(ROUNDUP(Panchanga!$L97,0),"Bhava","Baalava","Kaulava","Taitula","Garija","Vanija","Vishti","Shakuni","Chatushapda","Naaga","Kimstugna")</f>
        <v>Garija</v>
      </c>
      <c r="N97" s="25" t="str">
        <f ca="1">CHOOSE(ROUNDUP(Panchanga!$Q97,0),"Vishkambha-विष्कम्भ-Sa","Priti-प्रीति-Me","Ayushman-आयुष्मान-Ke","Saubhagya-सौभाग्य-Ve","Shobhana-शोभन-Su","Atiganda-अतिगण्ड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("&amp;Panchanga!$Q97&amp;")"</f>
        <v>Ganda-गण्ड -Sa (9.83)</v>
      </c>
      <c r="O97" s="2">
        <f ca="1">IF(AND(Panchanga!$P97&lt;28.5,Panchanga!$P97&gt;0.49999),MOD((Panchanga!$P97-0.5)*2,7),MOD((Panchanga!$P97+30-28.5),30)*2+7)</f>
        <v>4.791999999999998</v>
      </c>
      <c r="P97" s="2">
        <f ca="1">ROUNDUP(MOD(360+Panchanga!$G97-Panchanga!$F97,360)/12,4)</f>
        <v>13.395999999999999</v>
      </c>
      <c r="Q97" s="2">
        <f t="shared" ca="1" si="23"/>
        <v>9.83</v>
      </c>
      <c r="R97" s="2" t="str">
        <f ca="1">SIGN(S98-Panchanga!$S97)*INT(Panchanga!$S97/30+1)&amp;"Ma,"&amp;SIGN(T98-Panchanga!$T97)*INT(Panchanga!$T97/30+1)&amp;"Me,"&amp;SIGN(U98-Panchanga!$U97)*INT(Panchanga!$U97/30+1)&amp;"Ju,"&amp;SIGN(V98-Panchanga!$V97)*INT(Panchanga!$V97/30+1)&amp;"Ve,"&amp;SIGN(W98-Panchanga!$W97)*INT(Panchanga!$W97/30+1)&amp;"Sa,"&amp;INT(Panchanga!$X97/30+1)&amp;"Ra"</f>
        <v>9Ma,-12Me,-7Ju,1Ve,9Sa,4Ra</v>
      </c>
      <c r="S97" s="2">
        <f ca="1">Planet(Panchanga!$E97,4)</f>
        <v>252.84680853333077</v>
      </c>
      <c r="T97" s="2">
        <f ca="1">Planet(Panchanga!$E97,2)</f>
        <v>349.96794755395604</v>
      </c>
      <c r="U97" s="2">
        <f ca="1">Planet(Panchanga!$E97,5)</f>
        <v>208.44163867602174</v>
      </c>
      <c r="V97" s="2">
        <f ca="1">Planet(Panchanga!$E97,3)</f>
        <v>4.4405928054100814</v>
      </c>
      <c r="W97" s="2">
        <f ca="1">Planet(Panchanga!$E97,6)</f>
        <v>254.74240519473554</v>
      </c>
      <c r="X97" s="2">
        <f ca="1">Planet(Panchanga!$E97,10)</f>
        <v>108.12673440992226</v>
      </c>
      <c r="Y97" s="2">
        <f ca="1">SIGN(S98-Panchanga!$S97)</f>
        <v>1</v>
      </c>
    </row>
    <row r="98" spans="1:25" x14ac:dyDescent="0.2">
      <c r="A98" s="3">
        <f t="shared" ca="1" si="24"/>
        <v>43190</v>
      </c>
      <c r="B98" s="3">
        <f t="shared" ca="1" si="17"/>
        <v>43190.229166666664</v>
      </c>
      <c r="C98" s="5">
        <f t="shared" ca="1" si="18"/>
        <v>43190.255209333416</v>
      </c>
      <c r="D98" s="5">
        <f t="shared" ca="1" si="19"/>
        <v>43189.764114360369</v>
      </c>
      <c r="E98" s="60">
        <f ca="1">Panchanga!$C98-TimeZone/24</f>
        <v>43190.026042666752</v>
      </c>
      <c r="F98" s="61">
        <f t="shared" ca="1" si="20"/>
        <v>346.14302075677182</v>
      </c>
      <c r="G98" s="61">
        <f t="shared" ca="1" si="21"/>
        <v>159.78451261147052</v>
      </c>
      <c r="H98" s="62">
        <f t="shared" ca="1" si="22"/>
        <v>43190.026042666752</v>
      </c>
      <c r="I98" s="2" t="str">
        <f ca="1">naks(Panchanga!$G98)</f>
        <v>Uttara Phalguni</v>
      </c>
      <c r="J98" s="5">
        <f ca="1">(C99-Panchanga!$C98)/(G99-Panchanga!$G98)*(13.3333333333333-MOD(Panchanga!$G98,13.333333333333))+Panchanga!$C98</f>
        <v>43190.270989105971</v>
      </c>
      <c r="K98" s="2" t="str">
        <f ca="1">IF(Panchanga!$P98&gt;15,"K","S")&amp;ROUNDUP(MOD(Panchanga!$P98,15),0)&amp;" ("&amp;ROUND(Panchanga!$P98,2)&amp;")"</f>
        <v>S15 (14.47)</v>
      </c>
      <c r="L98" s="2">
        <f ca="1">IF(AND(Panchanga!$P98&lt;28.5,Panchanga!$P98&gt;0.49999),MOD((Panchanga!$P98-0.5)*2,7),MOD((Panchanga!$P98+30-28.5),30)*2+7)</f>
        <v>6.9404000000000003</v>
      </c>
      <c r="M98" s="2" t="str">
        <f ca="1">CHOOSE(ROUNDUP(Panchanga!$L98,0),"Bhava","Baalava","Kaulava","Taitula","Garija","Vanija","Vishti","Shakuni","Chatushapda","Naaga","Kimstugna")</f>
        <v>Vishti</v>
      </c>
      <c r="N98" s="25" t="str">
        <f ca="1">CHOOSE(ROUNDUP(Panchanga!$Q98,0),"Vishkambha-विष्कम्भ-Sa","Priti-प्रीति-Me","Ayushman-आयुष्मान-Ke","Saubhagya-सौभाग्य-Ve","Shobhana-शोभन-Su","Atiganda-अतिगण्ड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("&amp;Panchanga!$Q98&amp;")"</f>
        <v>Vriddhi-वृद्धि -Me (10.95)</v>
      </c>
      <c r="O98" s="2">
        <f ca="1">IF(AND(Panchanga!$P98&lt;28.5,Panchanga!$P98&gt;0.49999),MOD((Panchanga!$P98-0.5)*2,7),MOD((Panchanga!$P98+30-28.5),30)*2+7)</f>
        <v>6.9404000000000003</v>
      </c>
      <c r="P98" s="2">
        <f ca="1">ROUNDUP(MOD(360+Panchanga!$G98-Panchanga!$F98,360)/12,4)</f>
        <v>14.4702</v>
      </c>
      <c r="Q98" s="2">
        <f t="shared" ca="1" si="23"/>
        <v>10.95</v>
      </c>
      <c r="R98" s="2" t="str">
        <f ca="1">SIGN(S99-Panchanga!$S98)*INT(Panchanga!$S98/30+1)&amp;"Ma,"&amp;SIGN(T99-Panchanga!$T98)*INT(Panchanga!$T98/30+1)&amp;"Me,"&amp;SIGN(U99-Panchanga!$U98)*INT(Panchanga!$U98/30+1)&amp;"Ju,"&amp;SIGN(V99-Panchanga!$V98)*INT(Panchanga!$V98/30+1)&amp;"Ve,"&amp;SIGN(W99-Panchanga!$W98)*INT(Panchanga!$W98/30+1)&amp;"Sa,"&amp;INT(Panchanga!$X98/30+1)&amp;"Ra"</f>
        <v>9Ma,-12Me,-7Ju,1Ve,9Sa,4Ra</v>
      </c>
      <c r="S98" s="2">
        <f ca="1">Planet(Panchanga!$E98,4)</f>
        <v>253.39946263436019</v>
      </c>
      <c r="T98" s="2">
        <f ca="1">Planet(Panchanga!$E98,2)</f>
        <v>349.21891916574799</v>
      </c>
      <c r="U98" s="2">
        <f ca="1">Planet(Panchanga!$E98,5)</f>
        <v>208.37699512091467</v>
      </c>
      <c r="V98" s="2">
        <f ca="1">Planet(Panchanga!$E98,3)</f>
        <v>5.6727129237029059</v>
      </c>
      <c r="W98" s="2">
        <f ca="1">Planet(Panchanga!$E98,6)</f>
        <v>254.77266442840025</v>
      </c>
      <c r="X98" s="2">
        <f ca="1">Planet(Panchanga!$E98,10)</f>
        <v>108.07376731860026</v>
      </c>
      <c r="Y98" s="2">
        <f ca="1">SIGN(S99-Panchanga!$S98)</f>
        <v>1</v>
      </c>
    </row>
    <row r="99" spans="1:25" x14ac:dyDescent="0.2">
      <c r="A99" s="3">
        <f t="shared" ca="1" si="24"/>
        <v>43191</v>
      </c>
      <c r="B99" s="3">
        <f t="shared" ca="1" si="17"/>
        <v>43191.229166666664</v>
      </c>
      <c r="C99" s="5">
        <f t="shared" ca="1" si="18"/>
        <v>43191.254740920071</v>
      </c>
      <c r="D99" s="5">
        <f t="shared" ca="1" si="19"/>
        <v>43190.764166176363</v>
      </c>
      <c r="E99" s="60">
        <f ca="1">Panchanga!$C99-TimeZone/24</f>
        <v>43191.025574253406</v>
      </c>
      <c r="F99" s="61">
        <f t="shared" ca="1" si="20"/>
        <v>347.12960061867977</v>
      </c>
      <c r="G99" s="61">
        <f t="shared" ca="1" si="21"/>
        <v>173.43404086632233</v>
      </c>
      <c r="H99" s="62">
        <f t="shared" ca="1" si="22"/>
        <v>43191.025574253406</v>
      </c>
      <c r="I99" s="2" t="str">
        <f ca="1">naks(Panchanga!$G99)</f>
        <v>Chitra</v>
      </c>
      <c r="J99" s="5">
        <f ca="1">(C100-Panchanga!$C99)/(G100-Panchanga!$G99)*(13.3333333333333-MOD(Panchanga!$G99,13.333333333333))+Panchanga!$C99</f>
        <v>43192.244133951303</v>
      </c>
      <c r="K99" s="2" t="str">
        <f ca="1">IF(Panchanga!$P99&gt;15,"K","S")&amp;ROUNDUP(MOD(Panchanga!$P99,15),0)&amp;" ("&amp;ROUND(Panchanga!$P99,2)&amp;")"</f>
        <v>K1 (15.53)</v>
      </c>
      <c r="L99" s="2">
        <f ca="1">IF(AND(Panchanga!$P99&lt;28.5,Panchanga!$P99&gt;0.49999),MOD((Panchanga!$P99-0.5)*2,7),MOD((Panchanga!$P99+30-28.5),30)*2+7)</f>
        <v>2.0507999999999988</v>
      </c>
      <c r="M99" s="2" t="str">
        <f ca="1">CHOOSE(ROUNDUP(Panchanga!$L99,0),"Bhava","Baalava","Kaulava","Taitula","Garija","Vanija","Vishti","Shakuni","Chatushapda","Naaga","Kimstugna")</f>
        <v>Kaulava</v>
      </c>
      <c r="N99" s="25" t="str">
        <f ca="1">CHOOSE(ROUNDUP(Panchanga!$Q99,0),"Vishkambha-विष्कम्भ-Sa","Priti-प्रीति-Me","Ayushman-आयुष्मान-Ke","Saubhagya-सौभाग्य-Ve","Shobhana-शोभन-Su","Atiganda-अतिगण्ड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("&amp;Panchanga!$Q99&amp;")"</f>
        <v>Vyaghata-व्याघात-ve (12.05)</v>
      </c>
      <c r="O99" s="2">
        <f ca="1">IF(AND(Panchanga!$P99&lt;28.5,Panchanga!$P99&gt;0.49999),MOD((Panchanga!$P99-0.5)*2,7),MOD((Panchanga!$P99+30-28.5),30)*2+7)</f>
        <v>2.0507999999999988</v>
      </c>
      <c r="P99" s="2">
        <f ca="1">ROUNDUP(MOD(360+Panchanga!$G99-Panchanga!$F99,360)/12,4)</f>
        <v>15.525399999999999</v>
      </c>
      <c r="Q99" s="2">
        <f t="shared" ca="1" si="23"/>
        <v>12.049999999999999</v>
      </c>
      <c r="R99" s="2" t="str">
        <f ca="1">SIGN(S100-Panchanga!$S99)*INT(Panchanga!$S99/30+1)&amp;"Ma,"&amp;SIGN(T100-Panchanga!$T99)*INT(Panchanga!$T99/30+1)&amp;"Me,"&amp;SIGN(U100-Panchanga!$U99)*INT(Panchanga!$U99/30+1)&amp;"Ju,"&amp;SIGN(V100-Panchanga!$V99)*INT(Panchanga!$V99/30+1)&amp;"Ve,"&amp;SIGN(W100-Panchanga!$W99)*INT(Panchanga!$W99/30+1)&amp;"Sa,"&amp;INT(Panchanga!$X99/30+1)&amp;"Ra"</f>
        <v>9Ma,-12Me,-7Ju,1Ve,9Sa,4Ra</v>
      </c>
      <c r="S99" s="2">
        <f ca="1">Planet(Panchanga!$E99,4)</f>
        <v>253.95032497575912</v>
      </c>
      <c r="T99" s="2">
        <f ca="1">Planet(Panchanga!$E99,2)</f>
        <v>348.42673217587702</v>
      </c>
      <c r="U99" s="2">
        <f ca="1">Planet(Panchanga!$E99,5)</f>
        <v>208.30960427861851</v>
      </c>
      <c r="V99" s="2">
        <f ca="1">Planet(Panchanga!$E99,3)</f>
        <v>6.9042398182394331</v>
      </c>
      <c r="W99" s="2">
        <f ca="1">Planet(Panchanga!$E99,6)</f>
        <v>254.80133443287721</v>
      </c>
      <c r="X99" s="2">
        <f ca="1">Planet(Panchanga!$E99,10)</f>
        <v>108.02080014309477</v>
      </c>
      <c r="Y99" s="2">
        <f ca="1">SIGN(S100-Panchanga!$S99)</f>
        <v>1</v>
      </c>
    </row>
    <row r="100" spans="1:25" x14ac:dyDescent="0.2">
      <c r="A100" s="3">
        <f t="shared" ca="1" si="24"/>
        <v>43192</v>
      </c>
      <c r="B100" s="3">
        <f t="shared" ca="1" si="17"/>
        <v>43192.229166666664</v>
      </c>
      <c r="C100" s="5">
        <f t="shared" ca="1" si="18"/>
        <v>43192.254273937702</v>
      </c>
      <c r="D100" s="5">
        <f t="shared" ca="1" si="19"/>
        <v>43191.764218787706</v>
      </c>
      <c r="E100" s="60">
        <f ca="1">Panchanga!$C100-TimeZone/24</f>
        <v>43192.025107271038</v>
      </c>
      <c r="F100" s="61">
        <f t="shared" ca="1" si="20"/>
        <v>348.11562570018793</v>
      </c>
      <c r="G100" s="61">
        <f t="shared" ca="1" si="21"/>
        <v>186.80228379900387</v>
      </c>
      <c r="H100" s="62">
        <f t="shared" ca="1" si="22"/>
        <v>43192.025107271038</v>
      </c>
      <c r="I100" s="2" t="str">
        <f ca="1">naks(Panchanga!$G100)</f>
        <v>Swati</v>
      </c>
      <c r="J100" s="5">
        <f ca="1">(C101-Panchanga!$C100)/(G101-Panchanga!$G100)*(13.3333333333333-MOD(Panchanga!$G100,13.333333333333))+Panchanga!$C100</f>
        <v>43193.264880341485</v>
      </c>
      <c r="K100" s="2" t="str">
        <f ca="1">IF(Panchanga!$P100&gt;15,"K","S")&amp;ROUNDUP(MOD(Panchanga!$P100,15),0)&amp;" ("&amp;ROUND(Panchanga!$P100,2)&amp;")"</f>
        <v>K2 (16.56)</v>
      </c>
      <c r="L100" s="2">
        <f ca="1">IF(AND(Panchanga!$P100&lt;28.5,Panchanga!$P100&gt;0.49999),MOD((Panchanga!$P100-0.5)*2,7),MOD((Panchanga!$P100+30-28.5),30)*2+7)</f>
        <v>4.1146000000000029</v>
      </c>
      <c r="M100" s="2" t="str">
        <f ca="1">CHOOSE(ROUNDUP(Panchanga!$L100,0),"Bhava","Baalava","Kaulava","Taitula","Garija","Vanija","Vishti","Shakuni","Chatushapda","Naaga","Kimstugna")</f>
        <v>Garija</v>
      </c>
      <c r="N100" s="25" t="str">
        <f ca="1">CHOOSE(ROUNDUP(Panchanga!$Q100,0),"Vishkambha-विष्कम्भ-Sa","Priti-प्रीति-Me","Ayushman-आयुष्मान-Ke","Saubhagya-सौभाग्य-Ve","Shobhana-शोभन-Su","Atiganda-अतिगण्ड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("&amp;Panchanga!$Q100&amp;")"</f>
        <v>Harshana-हर्षण-su (13.12)</v>
      </c>
      <c r="O100" s="2">
        <f ca="1">IF(AND(Panchanga!$P100&lt;28.5,Panchanga!$P100&gt;0.49999),MOD((Panchanga!$P100-0.5)*2,7),MOD((Panchanga!$P100+30-28.5),30)*2+7)</f>
        <v>4.1146000000000029</v>
      </c>
      <c r="P100" s="2">
        <f ca="1">ROUNDUP(MOD(360+Panchanga!$G100-Panchanga!$F100,360)/12,4)</f>
        <v>16.557300000000001</v>
      </c>
      <c r="Q100" s="2">
        <f t="shared" ca="1" si="23"/>
        <v>13.12</v>
      </c>
      <c r="R100" s="2" t="str">
        <f ca="1">SIGN(S101-Panchanga!$S100)*INT(Panchanga!$S100/30+1)&amp;"Ma,"&amp;SIGN(T101-Panchanga!$T100)*INT(Panchanga!$T100/30+1)&amp;"Me,"&amp;SIGN(U101-Panchanga!$U100)*INT(Panchanga!$U100/30+1)&amp;"Ju,"&amp;SIGN(V101-Panchanga!$V100)*INT(Panchanga!$V100/30+1)&amp;"Ve,"&amp;SIGN(W101-Panchanga!$W100)*INT(Panchanga!$W100/30+1)&amp;"Sa,"&amp;INT(Panchanga!$X100/30+1)&amp;"Ra"</f>
        <v>9Ma,-12Me,-7Ju,1Ve,9Sa,4Ra</v>
      </c>
      <c r="S100" s="2">
        <f ca="1">Planet(Panchanga!$E100,4)</f>
        <v>254.49935006631557</v>
      </c>
      <c r="T100" s="2">
        <f ca="1">Planet(Panchanga!$E100,2)</f>
        <v>347.60814505145743</v>
      </c>
      <c r="U100" s="2">
        <f ca="1">Planet(Panchanga!$E100,5)</f>
        <v>208.23950051183675</v>
      </c>
      <c r="V100" s="2">
        <f ca="1">Planet(Panchanga!$E100,3)</f>
        <v>8.1351781660178126</v>
      </c>
      <c r="W100" s="2">
        <f ca="1">Planet(Panchanga!$E100,6)</f>
        <v>254.82840878205579</v>
      </c>
      <c r="X100" s="2">
        <f ca="1">Planet(Panchanga!$E100,10)</f>
        <v>107.96783289175653</v>
      </c>
      <c r="Y100" s="2">
        <f ca="1">SIGN(S101-Panchanga!$S100)</f>
        <v>1</v>
      </c>
    </row>
    <row r="101" spans="1:25" x14ac:dyDescent="0.2">
      <c r="A101" s="3">
        <f t="shared" ca="1" si="24"/>
        <v>43193</v>
      </c>
      <c r="B101" s="3">
        <f t="shared" ca="1" si="17"/>
        <v>43193.229166666664</v>
      </c>
      <c r="C101" s="5">
        <f t="shared" ca="1" si="18"/>
        <v>43193.253809180263</v>
      </c>
      <c r="D101" s="5">
        <f t="shared" ca="1" si="19"/>
        <v>43192.764272034212</v>
      </c>
      <c r="E101" s="60">
        <f ca="1">Panchanga!$C101-TimeZone/24</f>
        <v>43193.024642513599</v>
      </c>
      <c r="F101" s="61">
        <f t="shared" ca="1" si="20"/>
        <v>349.10111372557384</v>
      </c>
      <c r="G101" s="61">
        <f t="shared" ca="1" si="21"/>
        <v>199.8554194360419</v>
      </c>
      <c r="H101" s="62">
        <f t="shared" ca="1" si="22"/>
        <v>43193.024642513599</v>
      </c>
      <c r="I101" s="2" t="str">
        <f ca="1">naks(Panchanga!$G101)</f>
        <v>Swati</v>
      </c>
      <c r="J101" s="5">
        <f ca="1">(C102-Panchanga!$C101)/(G102-Panchanga!$G101)*(13.3333333333333-MOD(Panchanga!$G101,13.333333333333))+Panchanga!$C101</f>
        <v>43193.265161850613</v>
      </c>
      <c r="K101" s="2" t="str">
        <f ca="1">IF(Panchanga!$P101&gt;15,"K","S")&amp;ROUNDUP(MOD(Panchanga!$P101,15),0)&amp;" ("&amp;ROUND(Panchanga!$P101,2)&amp;")"</f>
        <v>K3 (17.56)</v>
      </c>
      <c r="L101" s="2">
        <f ca="1">IF(AND(Panchanga!$P101&lt;28.5,Panchanga!$P101&gt;0.49999),MOD((Panchanga!$P101-0.5)*2,7),MOD((Panchanga!$P101+30-28.5),30)*2+7)</f>
        <v>6.1257999999999981</v>
      </c>
      <c r="M101" s="2" t="str">
        <f ca="1">CHOOSE(ROUNDUP(Panchanga!$L101,0),"Bhava","Baalava","Kaulava","Taitula","Garija","Vanija","Vishti","Shakuni","Chatushapda","Naaga","Kimstugna")</f>
        <v>Vishti</v>
      </c>
      <c r="N101" s="25" t="str">
        <f ca="1">CHOOSE(ROUNDUP(Panchanga!$Q101,0),"Vishkambha-विष्कम्भ-Sa","Priti-प्रीति-Me","Ayushman-आयुष्मान-Ke","Saubhagya-सौभाग्य-Ve","Shobhana-शोभन-Su","Atiganda-अतिगण्ड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("&amp;Panchanga!$Q101&amp;")"</f>
        <v>Vajra-वज्र-Mo (14.18)</v>
      </c>
      <c r="O101" s="2">
        <f ca="1">IF(AND(Panchanga!$P101&lt;28.5,Panchanga!$P101&gt;0.49999),MOD((Panchanga!$P101-0.5)*2,7),MOD((Panchanga!$P101+30-28.5),30)*2+7)</f>
        <v>6.1257999999999981</v>
      </c>
      <c r="P101" s="2">
        <f ca="1">ROUNDUP(MOD(360+Panchanga!$G101-Panchanga!$F101,360)/12,4)</f>
        <v>17.562899999999999</v>
      </c>
      <c r="Q101" s="2">
        <f t="shared" ca="1" si="23"/>
        <v>14.18</v>
      </c>
      <c r="R101" s="2" t="str">
        <f ca="1">SIGN(S102-Panchanga!$S101)*INT(Panchanga!$S101/30+1)&amp;"Ma,"&amp;SIGN(T102-Panchanga!$T101)*INT(Panchanga!$T101/30+1)&amp;"Me,"&amp;SIGN(U102-Panchanga!$U101)*INT(Panchanga!$U101/30+1)&amp;"Ju,"&amp;SIGN(V102-Panchanga!$V101)*INT(Panchanga!$V101/30+1)&amp;"Ve,"&amp;SIGN(W102-Panchanga!$W101)*INT(Panchanga!$W101/30+1)&amp;"Sa,"&amp;INT(Panchanga!$X101/30+1)&amp;"Ra"</f>
        <v>9Ma,-12Me,-7Ju,1Ve,9Sa,4Ra</v>
      </c>
      <c r="S101" s="2">
        <f ca="1">Planet(Panchanga!$E101,4)</f>
        <v>255.04648784183604</v>
      </c>
      <c r="T101" s="2">
        <f ca="1">Planet(Panchanga!$E101,2)</f>
        <v>346.7799614297308</v>
      </c>
      <c r="U101" s="2">
        <f ca="1">Planet(Panchanga!$E101,5)</f>
        <v>208.16671962656972</v>
      </c>
      <c r="V101" s="2">
        <f ca="1">Planet(Panchanga!$E101,3)</f>
        <v>9.3655337380861603</v>
      </c>
      <c r="W101" s="2">
        <f ca="1">Planet(Panchanga!$E101,6)</f>
        <v>254.85388098263167</v>
      </c>
      <c r="X101" s="2">
        <f ca="1">Planet(Panchanga!$E101,10)</f>
        <v>107.91486552251742</v>
      </c>
      <c r="Y101" s="2">
        <f ca="1">SIGN(S102-Panchanga!$S101)</f>
        <v>1</v>
      </c>
    </row>
    <row r="102" spans="1:25" x14ac:dyDescent="0.2">
      <c r="A102" s="3">
        <f t="shared" ca="1" si="24"/>
        <v>43194</v>
      </c>
      <c r="B102" s="3">
        <f t="shared" ca="1" si="17"/>
        <v>43194.229166666664</v>
      </c>
      <c r="C102" s="5">
        <f t="shared" ca="1" si="18"/>
        <v>43194.253346807476</v>
      </c>
      <c r="D102" s="5">
        <f t="shared" ca="1" si="19"/>
        <v>43193.764326552904</v>
      </c>
      <c r="E102" s="60">
        <f ca="1">Panchanga!$C102-TimeZone/24</f>
        <v>43194.024180140812</v>
      </c>
      <c r="F102" s="61">
        <f t="shared" ca="1" si="20"/>
        <v>350.08607964122353</v>
      </c>
      <c r="G102" s="61">
        <f t="shared" ca="1" si="21"/>
        <v>212.58491033044882</v>
      </c>
      <c r="H102" s="62">
        <f t="shared" ca="1" si="22"/>
        <v>43194.024180140812</v>
      </c>
      <c r="I102" s="2" t="str">
        <f ca="1">naks(Panchanga!$G102)</f>
        <v>Visakha</v>
      </c>
      <c r="J102" s="5">
        <f ca="1">(C103-Panchanga!$C102)/(G103-Panchanga!$G102)*(13.3333333333333-MOD(Panchanga!$G102,13.333333333333))+Panchanga!$C102</f>
        <v>43194.313558734764</v>
      </c>
      <c r="K102" s="2" t="str">
        <f ca="1">IF(Panchanga!$P102&gt;15,"K","S")&amp;ROUNDUP(MOD(Panchanga!$P102,15),0)&amp;" ("&amp;ROUND(Panchanga!$P102,2)&amp;")"</f>
        <v>K4 (18.54)</v>
      </c>
      <c r="L102" s="2">
        <f ca="1">IF(AND(Panchanga!$P102&lt;28.5,Panchanga!$P102&gt;0.49999),MOD((Panchanga!$P102-0.5)*2,7),MOD((Panchanga!$P102+30-28.5),30)*2+7)</f>
        <v>1.0831999999999979</v>
      </c>
      <c r="M102" s="2" t="str">
        <f ca="1">CHOOSE(ROUNDUP(Panchanga!$L102,0),"Bhava","Baalava","Kaulava","Taitula","Garija","Vanija","Vishti","Shakuni","Chatushapda","Naaga","Kimstugna")</f>
        <v>Baalava</v>
      </c>
      <c r="N102" s="25" t="str">
        <f ca="1">CHOOSE(ROUNDUP(Panchanga!$Q102,0),"Vishkambha-विष्कम्भ-Sa","Priti-प्रीति-Me","Ayushman-आयुष्मान-Ke","Saubhagya-सौभाग्य-Ve","Shobhana-शोभन-Su","Atiganda-अतिगण्ड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("&amp;Panchanga!$Q102&amp;")"</f>
        <v>Siddhi-सिद्धि-Ma (15.21)</v>
      </c>
      <c r="O102" s="2">
        <f ca="1">IF(AND(Panchanga!$P102&lt;28.5,Panchanga!$P102&gt;0.49999),MOD((Panchanga!$P102-0.5)*2,7),MOD((Panchanga!$P102+30-28.5),30)*2+7)</f>
        <v>1.0831999999999979</v>
      </c>
      <c r="P102" s="2">
        <f ca="1">ROUNDUP(MOD(360+Panchanga!$G102-Panchanga!$F102,360)/12,4)</f>
        <v>18.541599999999999</v>
      </c>
      <c r="Q102" s="2">
        <f t="shared" ca="1" si="23"/>
        <v>15.209999999999999</v>
      </c>
      <c r="R102" s="2" t="str">
        <f ca="1">SIGN(S103-Panchanga!$S102)*INT(Panchanga!$S102/30+1)&amp;"Ma,"&amp;SIGN(T103-Panchanga!$T102)*INT(Panchanga!$T102/30+1)&amp;"Me,"&amp;SIGN(U103-Panchanga!$U102)*INT(Panchanga!$U102/30+1)&amp;"Ju,"&amp;SIGN(V103-Panchanga!$V102)*INT(Panchanga!$V102/30+1)&amp;"Ve,"&amp;SIGN(W103-Panchanga!$W102)*INT(Panchanga!$W102/30+1)&amp;"Sa,"&amp;INT(Panchanga!$X102/30+1)&amp;"Ra"</f>
        <v>9Ma,-12Me,-7Ju,1Ve,9Sa,4Ra</v>
      </c>
      <c r="S102" s="2">
        <f ca="1">Planet(Panchanga!$E102,4)</f>
        <v>255.59168346913145</v>
      </c>
      <c r="T102" s="2">
        <f ca="1">Planet(Panchanga!$E102,2)</f>
        <v>345.95855087672425</v>
      </c>
      <c r="U102" s="2">
        <f ca="1">Planet(Panchanga!$E102,5)</f>
        <v>208.09129929902767</v>
      </c>
      <c r="V102" s="2">
        <f ca="1">Planet(Panchanga!$E102,3)</f>
        <v>10.595310921788885</v>
      </c>
      <c r="W102" s="2">
        <f ca="1">Planet(Panchanga!$E102,6)</f>
        <v>254.87774453894593</v>
      </c>
      <c r="X102" s="2">
        <f ca="1">Planet(Panchanga!$E102,10)</f>
        <v>107.86189802691065</v>
      </c>
      <c r="Y102" s="2">
        <f ca="1">SIGN(S103-Panchanga!$S102)</f>
        <v>1</v>
      </c>
    </row>
    <row r="103" spans="1:25" x14ac:dyDescent="0.2">
      <c r="A103" s="3">
        <f t="shared" ca="1" si="24"/>
        <v>43195</v>
      </c>
      <c r="B103" s="3">
        <f t="shared" ca="1" si="17"/>
        <v>43195.229166666664</v>
      </c>
      <c r="C103" s="5">
        <f t="shared" ca="1" si="18"/>
        <v>43195.2528869772</v>
      </c>
      <c r="D103" s="5">
        <f t="shared" ca="1" si="19"/>
        <v>43194.764382183595</v>
      </c>
      <c r="E103" s="60">
        <f ca="1">Panchanga!$C103-TimeZone/24</f>
        <v>43195.023720310535</v>
      </c>
      <c r="F103" s="61">
        <f t="shared" ca="1" si="20"/>
        <v>351.07053589876705</v>
      </c>
      <c r="G103" s="61">
        <f t="shared" ca="1" si="21"/>
        <v>225.00900783122793</v>
      </c>
      <c r="H103" s="62">
        <f t="shared" ca="1" si="22"/>
        <v>43195.023720310535</v>
      </c>
      <c r="I103" s="2" t="str">
        <f ca="1">naks(Panchanga!$G103)</f>
        <v>Anuradha</v>
      </c>
      <c r="J103" s="5">
        <f ca="1">(C104-Panchanga!$C103)/(G104-Panchanga!$G103)*(13.3333333333333-MOD(Panchanga!$G103,13.333333333333))+Panchanga!$C103</f>
        <v>43195.389126117509</v>
      </c>
      <c r="K103" s="2" t="str">
        <f ca="1">IF(Panchanga!$P103&gt;15,"K","S")&amp;ROUNDUP(MOD(Panchanga!$P103,15),0)&amp;" ("&amp;ROUND(Panchanga!$P103,2)&amp;")"</f>
        <v>K5 (19.49)</v>
      </c>
      <c r="L103" s="2">
        <f ca="1">IF(AND(Panchanga!$P103&lt;28.5,Panchanga!$P103&gt;0.49999),MOD((Panchanga!$P103-0.5)*2,7),MOD((Panchanga!$P103+30-28.5),30)*2+7)</f>
        <v>2.9898000000000025</v>
      </c>
      <c r="M103" s="2" t="str">
        <f ca="1">CHOOSE(ROUNDUP(Panchanga!$L103,0),"Bhava","Baalava","Kaulava","Taitula","Garija","Vanija","Vishti","Shakuni","Chatushapda","Naaga","Kimstugna")</f>
        <v>Kaulava</v>
      </c>
      <c r="N103" s="25" t="str">
        <f ca="1">CHOOSE(ROUNDUP(Panchanga!$Q103,0),"Vishkambha-विष्कम्भ-Sa","Priti-प्रीति-Me","Ayushman-आयुष्मान-Ke","Saubhagya-सौभाग्य-Ve","Shobhana-शोभन-Su","Atiganda-अतिगण्ड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("&amp;Panchanga!$Q103&amp;")"</f>
        <v>Vyatipata-व्यतिपात-Ra (16.21)</v>
      </c>
      <c r="O103" s="2">
        <f ca="1">IF(AND(Panchanga!$P103&lt;28.5,Panchanga!$P103&gt;0.49999),MOD((Panchanga!$P103-0.5)*2,7),MOD((Panchanga!$P103+30-28.5),30)*2+7)</f>
        <v>2.9898000000000025</v>
      </c>
      <c r="P103" s="2">
        <f ca="1">ROUNDUP(MOD(360+Panchanga!$G103-Panchanga!$F103,360)/12,4)</f>
        <v>19.494900000000001</v>
      </c>
      <c r="Q103" s="2">
        <f t="shared" ca="1" si="23"/>
        <v>16.21</v>
      </c>
      <c r="R103" s="2" t="str">
        <f ca="1">SIGN(S104-Panchanga!$S103)*INT(Panchanga!$S103/30+1)&amp;"Ma,"&amp;SIGN(T104-Panchanga!$T103)*INT(Panchanga!$T103/30+1)&amp;"Me,"&amp;SIGN(U104-Panchanga!$U103)*INT(Panchanga!$U103/30+1)&amp;"Ju,"&amp;SIGN(V104-Panchanga!$V103)*INT(Panchanga!$V103/30+1)&amp;"Ve,"&amp;SIGN(W104-Panchanga!$W103)*INT(Panchanga!$W103/30+1)&amp;"Sa,"&amp;INT(Panchanga!$X103/30+1)&amp;"Ra"</f>
        <v>9Ma,-12Me,-7Ju,1Ve,9Sa,4Ra</v>
      </c>
      <c r="S103" s="2">
        <f ca="1">Planet(Panchanga!$E103,4)</f>
        <v>256.13487843592048</v>
      </c>
      <c r="T103" s="2">
        <f ca="1">Planet(Panchanga!$E103,2)</f>
        <v>345.15940053327938</v>
      </c>
      <c r="U103" s="2">
        <f ca="1">Planet(Panchanga!$E103,5)</f>
        <v>208.01327929580734</v>
      </c>
      <c r="V103" s="2">
        <f ca="1">Planet(Panchanga!$E103,3)</f>
        <v>11.824513139478809</v>
      </c>
      <c r="W103" s="2">
        <f ca="1">Planet(Panchanga!$E103,6)</f>
        <v>254.8999930933166</v>
      </c>
      <c r="X103" s="2">
        <f ca="1">Planet(Panchanga!$E103,10)</f>
        <v>107.80893039660224</v>
      </c>
      <c r="Y103" s="2">
        <f ca="1">SIGN(S104-Panchanga!$S103)</f>
        <v>1</v>
      </c>
    </row>
    <row r="104" spans="1:25" x14ac:dyDescent="0.2">
      <c r="A104" s="3">
        <f t="shared" ca="1" si="24"/>
        <v>43196</v>
      </c>
      <c r="B104" s="3">
        <f t="shared" ca="1" si="17"/>
        <v>43196.229166666664</v>
      </c>
      <c r="C104" s="5">
        <f t="shared" ca="1" si="18"/>
        <v>43196.252430008411</v>
      </c>
      <c r="D104" s="5">
        <f t="shared" ca="1" si="19"/>
        <v>43195.764439404054</v>
      </c>
      <c r="E104" s="60">
        <f ca="1">Panchanga!$C104-TimeZone/24</f>
        <v>43196.023263341747</v>
      </c>
      <c r="F104" s="61">
        <f t="shared" ca="1" si="20"/>
        <v>352.05449252909057</v>
      </c>
      <c r="G104" s="61">
        <f t="shared" ca="1" si="21"/>
        <v>237.17072092898212</v>
      </c>
      <c r="H104" s="62">
        <f t="shared" ca="1" si="22"/>
        <v>43196.023263341747</v>
      </c>
      <c r="I104" s="2" t="str">
        <f ca="1">naks(Panchanga!$G104)</f>
        <v>Jyestha</v>
      </c>
      <c r="J104" s="5">
        <f ca="1">(C105-Panchanga!$C104)/(G105-Panchanga!$G104)*(13.3333333333333-MOD(Panchanga!$G104,13.333333333333))+Panchanga!$C104</f>
        <v>43196.488831678034</v>
      </c>
      <c r="K104" s="2" t="str">
        <f ca="1">IF(Panchanga!$P104&gt;15,"K","S")&amp;ROUNDUP(MOD(Panchanga!$P104,15),0)&amp;" ("&amp;ROUND(Panchanga!$P104,2)&amp;")"</f>
        <v>K6 (20.43)</v>
      </c>
      <c r="L104" s="2">
        <f ca="1">IF(AND(Panchanga!$P104&lt;28.5,Panchanga!$P104&gt;0.49999),MOD((Panchanga!$P104-0.5)*2,7),MOD((Panchanga!$P104+30-28.5),30)*2+7)</f>
        <v>4.852800000000002</v>
      </c>
      <c r="M104" s="2" t="str">
        <f ca="1">CHOOSE(ROUNDUP(Panchanga!$L104,0),"Bhava","Baalava","Kaulava","Taitula","Garija","Vanija","Vishti","Shakuni","Chatushapda","Naaga","Kimstugna")</f>
        <v>Garija</v>
      </c>
      <c r="N104" s="25" t="str">
        <f ca="1">CHOOSE(ROUNDUP(Panchanga!$Q104,0),"Vishkambha-विष्कम्भ-Sa","Priti-प्रीति-Me","Ayushman-आयुष्मान-Ke","Saubhagya-सौभाग्य-Ve","Shobhana-शोभन-Su","Atiganda-अतिगण्ड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("&amp;Panchanga!$Q104&amp;")"</f>
        <v>Varigha-वरीयस्-Ju (17.2)</v>
      </c>
      <c r="O104" s="2">
        <f ca="1">IF(AND(Panchanga!$P104&lt;28.5,Panchanga!$P104&gt;0.49999),MOD((Panchanga!$P104-0.5)*2,7),MOD((Panchanga!$P104+30-28.5),30)*2+7)</f>
        <v>4.852800000000002</v>
      </c>
      <c r="P104" s="2">
        <f ca="1">ROUNDUP(MOD(360+Panchanga!$G104-Panchanga!$F104,360)/12,4)</f>
        <v>20.426400000000001</v>
      </c>
      <c r="Q104" s="2">
        <f t="shared" ca="1" si="23"/>
        <v>17.200000000000003</v>
      </c>
      <c r="R104" s="2" t="str">
        <f ca="1">SIGN(S105-Panchanga!$S104)*INT(Panchanga!$S104/30+1)&amp;"Ma,"&amp;SIGN(T105-Panchanga!$T104)*INT(Panchanga!$T104/30+1)&amp;"Me,"&amp;SIGN(U105-Panchanga!$U104)*INT(Panchanga!$U104/30+1)&amp;"Ju,"&amp;SIGN(V105-Panchanga!$V104)*INT(Panchanga!$V104/30+1)&amp;"Ve,"&amp;SIGN(W105-Panchanga!$W104)*INT(Panchanga!$W104/30+1)&amp;"Sa,"&amp;INT(Panchanga!$X104/30+1)&amp;"Ra"</f>
        <v>9Ma,-12Me,-7Ju,1Ve,9Sa,4Ra</v>
      </c>
      <c r="S104" s="2">
        <f ca="1">Planet(Panchanga!$E104,4)</f>
        <v>256.67601134186077</v>
      </c>
      <c r="T104" s="2">
        <f ca="1">Planet(Panchanga!$E104,2)</f>
        <v>344.39673114337307</v>
      </c>
      <c r="U104" s="2">
        <f ca="1">Planet(Panchanga!$E104,5)</f>
        <v>207.9327016582842</v>
      </c>
      <c r="V104" s="2">
        <f ca="1">Planet(Panchanga!$E104,3)</f>
        <v>13.053142842812433</v>
      </c>
      <c r="W104" s="2">
        <f ca="1">Planet(Panchanga!$E104,6)</f>
        <v>254.92062053910391</v>
      </c>
      <c r="X104" s="2">
        <f ca="1">Planet(Panchanga!$E104,10)</f>
        <v>107.75596261462572</v>
      </c>
      <c r="Y104" s="2">
        <f ca="1">SIGN(S105-Panchanga!$S104)</f>
        <v>1</v>
      </c>
    </row>
    <row r="105" spans="1:25" x14ac:dyDescent="0.2">
      <c r="A105" s="3">
        <f t="shared" ca="1" si="24"/>
        <v>43197</v>
      </c>
      <c r="B105" s="3">
        <f t="shared" ca="1" si="17"/>
        <v>43197.229166666664</v>
      </c>
      <c r="C105" s="5">
        <f t="shared" ca="1" si="18"/>
        <v>43197.251976377484</v>
      </c>
      <c r="D105" s="5">
        <f t="shared" ca="1" si="19"/>
        <v>43196.764498214281</v>
      </c>
      <c r="E105" s="60">
        <f ca="1">Panchanga!$C105-TimeZone/24</f>
        <v>43197.022809710819</v>
      </c>
      <c r="F105" s="61">
        <f t="shared" ca="1" si="20"/>
        <v>353.03795723176944</v>
      </c>
      <c r="G105" s="61">
        <f t="shared" ca="1" si="21"/>
        <v>249.13339288078063</v>
      </c>
      <c r="H105" s="62">
        <f t="shared" ca="1" si="22"/>
        <v>43197.022809710819</v>
      </c>
      <c r="I105" s="2" t="str">
        <f ca="1">naks(Panchanga!$G105)</f>
        <v>Moola</v>
      </c>
      <c r="J105" s="5">
        <f ca="1">(C106-Panchanga!$C105)/(G106-Panchanga!$G105)*(13.3333333333333-MOD(Panchanga!$G105,13.333333333333))+Panchanga!$C105</f>
        <v>43197.606490512379</v>
      </c>
      <c r="K105" s="2" t="str">
        <f ca="1">IF(Panchanga!$P105&gt;15,"K","S")&amp;ROUNDUP(MOD(Panchanga!$P105,15),0)&amp;" ("&amp;ROUND(Panchanga!$P105,2)&amp;")"</f>
        <v>K7 (21.34)</v>
      </c>
      <c r="L105" s="2">
        <f ca="1">IF(AND(Panchanga!$P105&lt;28.5,Panchanga!$P105&gt;0.49999),MOD((Panchanga!$P105-0.5)*2,7),MOD((Panchanga!$P105+30-28.5),30)*2+7)</f>
        <v>6.6826000000000008</v>
      </c>
      <c r="M105" s="2" t="str">
        <f ca="1">CHOOSE(ROUNDUP(Panchanga!$L105,0),"Bhava","Baalava","Kaulava","Taitula","Garija","Vanija","Vishti","Shakuni","Chatushapda","Naaga","Kimstugna")</f>
        <v>Vishti</v>
      </c>
      <c r="N105" s="25" t="str">
        <f ca="1">CHOOSE(ROUNDUP(Panchanga!$Q105,0),"Vishkambha-विष्कम्भ-Sa","Priti-प्रीति-Me","Ayushman-आयुष्मान-Ke","Saubhagya-सौभाग्य-Ve","Shobhana-शोभन-Su","Atiganda-अतिगण्ड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("&amp;Panchanga!$Q105&amp;")"</f>
        <v>Parigha-परिघ-Sa (18.17)</v>
      </c>
      <c r="O105" s="2">
        <f ca="1">IF(AND(Panchanga!$P105&lt;28.5,Panchanga!$P105&gt;0.49999),MOD((Panchanga!$P105-0.5)*2,7),MOD((Panchanga!$P105+30-28.5),30)*2+7)</f>
        <v>6.6826000000000008</v>
      </c>
      <c r="P105" s="2">
        <f ca="1">ROUNDUP(MOD(360+Panchanga!$G105-Panchanga!$F105,360)/12,4)</f>
        <v>21.3413</v>
      </c>
      <c r="Q105" s="2">
        <f t="shared" ca="1" si="23"/>
        <v>18.170000000000002</v>
      </c>
      <c r="R105" s="2" t="str">
        <f ca="1">SIGN(S106-Panchanga!$S105)*INT(Panchanga!$S105/30+1)&amp;"Ma,"&amp;SIGN(T106-Panchanga!$T105)*INT(Panchanga!$T105/30+1)&amp;"Me,"&amp;SIGN(U106-Panchanga!$U105)*INT(Panchanga!$U105/30+1)&amp;"Ju,"&amp;SIGN(V106-Panchanga!$V105)*INT(Panchanga!$V105/30+1)&amp;"Ve,"&amp;SIGN(W106-Panchanga!$W105)*INT(Panchanga!$W105/30+1)&amp;"Sa,"&amp;INT(Panchanga!$X105/30+1)&amp;"Ra"</f>
        <v>9Ma,-12Me,-7Ju,1Ve,9Sa,4Ra</v>
      </c>
      <c r="S105" s="2">
        <f ca="1">Planet(Panchanga!$E105,4)</f>
        <v>257.21501847630134</v>
      </c>
      <c r="T105" s="2">
        <f ca="1">Planet(Panchanga!$E105,2)</f>
        <v>343.68320027652669</v>
      </c>
      <c r="U105" s="2">
        <f ca="1">Planet(Panchanga!$E105,5)</f>
        <v>207.84961083198439</v>
      </c>
      <c r="V105" s="2">
        <f ca="1">Planet(Panchanga!$E105,3)</f>
        <v>14.281201426802872</v>
      </c>
      <c r="W105" s="2">
        <f ca="1">Planet(Panchanga!$E105,6)</f>
        <v>254.93962111916005</v>
      </c>
      <c r="X105" s="2">
        <f ca="1">Planet(Panchanga!$E105,10)</f>
        <v>107.70299465579636</v>
      </c>
      <c r="Y105" s="2">
        <f ca="1">SIGN(S106-Panchanga!$S105)</f>
        <v>1</v>
      </c>
    </row>
    <row r="106" spans="1:25" x14ac:dyDescent="0.2">
      <c r="A106" s="3">
        <f t="shared" ca="1" si="24"/>
        <v>43198</v>
      </c>
      <c r="B106" s="3">
        <f t="shared" ca="1" si="17"/>
        <v>43198.229166666664</v>
      </c>
      <c r="C106" s="5">
        <f t="shared" ca="1" si="18"/>
        <v>43198.25152608395</v>
      </c>
      <c r="D106" s="5">
        <f t="shared" ca="1" si="19"/>
        <v>43197.7645587726</v>
      </c>
      <c r="E106" s="60">
        <f ca="1">Panchanga!$C106-TimeZone/24</f>
        <v>43198.022359417286</v>
      </c>
      <c r="F106" s="61">
        <f t="shared" ca="1" si="20"/>
        <v>354.02093495246112</v>
      </c>
      <c r="G106" s="61">
        <f t="shared" ca="1" si="21"/>
        <v>260.97509066736444</v>
      </c>
      <c r="H106" s="62">
        <f t="shared" ca="1" si="22"/>
        <v>43198.022359417286</v>
      </c>
      <c r="I106" s="2" t="str">
        <f ca="1">naks(Panchanga!$G106)</f>
        <v>Purva Asadha</v>
      </c>
      <c r="J106" s="5">
        <f ca="1">(C107-Panchanga!$C106)/(G107-Panchanga!$G106)*(13.3333333333333-MOD(Panchanga!$G106,13.333333333333))+Panchanga!$C106</f>
        <v>43198.7333314262</v>
      </c>
      <c r="K106" s="2" t="str">
        <f ca="1">IF(Panchanga!$P106&gt;15,"K","S")&amp;ROUNDUP(MOD(Panchanga!$P106,15),0)&amp;" ("&amp;ROUND(Panchanga!$P106,2)&amp;")"</f>
        <v>K8 (22.25)</v>
      </c>
      <c r="L106" s="2">
        <f ca="1">IF(AND(Panchanga!$P106&lt;28.5,Panchanga!$P106&gt;0.49999),MOD((Panchanga!$P106-0.5)*2,7),MOD((Panchanga!$P106+30-28.5),30)*2+7)</f>
        <v>1.4923999999999964</v>
      </c>
      <c r="M106" s="2" t="str">
        <f ca="1">CHOOSE(ROUNDUP(Panchanga!$L106,0),"Bhava","Baalava","Kaulava","Taitula","Garija","Vanija","Vishti","Shakuni","Chatushapda","Naaga","Kimstugna")</f>
        <v>Baalava</v>
      </c>
      <c r="N106" s="25" t="str">
        <f ca="1">CHOOSE(ROUNDUP(Panchanga!$Q106,0),"Vishkambha-विष्कम्भ-Sa","Priti-प्रीति-Me","Ayushman-आयुष्मान-Ke","Saubhagya-सौभाग्य-Ve","Shobhana-शोभन-Su","Atiganda-अतिगण्ड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("&amp;Panchanga!$Q106&amp;")"</f>
        <v>Shiva-शिव-Me (19.13)</v>
      </c>
      <c r="O106" s="2">
        <f ca="1">IF(AND(Panchanga!$P106&lt;28.5,Panchanga!$P106&gt;0.49999),MOD((Panchanga!$P106-0.5)*2,7),MOD((Panchanga!$P106+30-28.5),30)*2+7)</f>
        <v>1.4923999999999964</v>
      </c>
      <c r="P106" s="2">
        <f ca="1">ROUNDUP(MOD(360+Panchanga!$G106-Panchanga!$F106,360)/12,4)</f>
        <v>22.246199999999998</v>
      </c>
      <c r="Q106" s="2">
        <f t="shared" ca="1" si="23"/>
        <v>19.130000000000003</v>
      </c>
      <c r="R106" s="2" t="str">
        <f ca="1">SIGN(S107-Panchanga!$S106)*INT(Panchanga!$S106/30+1)&amp;"Ma,"&amp;SIGN(T107-Panchanga!$T106)*INT(Panchanga!$T106/30+1)&amp;"Me,"&amp;SIGN(U107-Panchanga!$U106)*INT(Panchanga!$U106/30+1)&amp;"Ju,"&amp;SIGN(V107-Panchanga!$V106)*INT(Panchanga!$V106/30+1)&amp;"Ve,"&amp;SIGN(W107-Panchanga!$W106)*INT(Panchanga!$W106/30+1)&amp;"Sa,"&amp;INT(Panchanga!$X106/30+1)&amp;"Ra"</f>
        <v>9Ma,-12Me,-7Ju,1Ve,9Sa,4Ra</v>
      </c>
      <c r="S106" s="2">
        <f ca="1">Planet(Panchanga!$E106,4)</f>
        <v>257.75183388964899</v>
      </c>
      <c r="T106" s="2">
        <f ca="1">Planet(Panchanga!$E106,2)</f>
        <v>343.02970536006416</v>
      </c>
      <c r="U106" s="2">
        <f ca="1">Planet(Panchanga!$E106,5)</f>
        <v>207.76405378971893</v>
      </c>
      <c r="V106" s="2">
        <f ca="1">Planet(Panchanga!$E106,3)</f>
        <v>15.50868847315834</v>
      </c>
      <c r="W106" s="2">
        <f ca="1">Planet(Panchanga!$E106,6)</f>
        <v>254.95698948961322</v>
      </c>
      <c r="X106" s="2">
        <f ca="1">Planet(Panchanga!$E106,10)</f>
        <v>107.65002652009787</v>
      </c>
      <c r="Y106" s="2">
        <f ca="1">SIGN(S107-Panchanga!$S106)</f>
        <v>1</v>
      </c>
    </row>
    <row r="107" spans="1:25" x14ac:dyDescent="0.2">
      <c r="A107" s="3">
        <f t="shared" ca="1" si="24"/>
        <v>43199</v>
      </c>
      <c r="B107" s="3">
        <f t="shared" ca="1" si="17"/>
        <v>43199.229166666664</v>
      </c>
      <c r="C107" s="5">
        <f t="shared" ca="1" si="18"/>
        <v>43199.251079446789</v>
      </c>
      <c r="D107" s="5">
        <f t="shared" ca="1" si="19"/>
        <v>43198.764621397058</v>
      </c>
      <c r="E107" s="60">
        <f ca="1">Panchanga!$C107-TimeZone/24</f>
        <v>43199.021912780125</v>
      </c>
      <c r="F107" s="61">
        <f t="shared" ca="1" si="20"/>
        <v>355.00342888296206</v>
      </c>
      <c r="G107" s="61">
        <f t="shared" ca="1" si="21"/>
        <v>272.78283423326218</v>
      </c>
      <c r="H107" s="62">
        <f t="shared" ca="1" si="22"/>
        <v>43199.021912780125</v>
      </c>
      <c r="I107" s="2" t="str">
        <f ca="1">naks(Panchanga!$G107)</f>
        <v>Uttara Asadha</v>
      </c>
      <c r="J107" s="5">
        <f ca="1">(C108-Panchanga!$C107)/(G108-Panchanga!$G107)*(13.3333333333333-MOD(Panchanga!$G107,13.333333333333))+Panchanga!$C107</f>
        <v>43199.85912053768</v>
      </c>
      <c r="K107" s="2" t="str">
        <f ca="1">IF(Panchanga!$P107&gt;15,"K","S")&amp;ROUNDUP(MOD(Panchanga!$P107,15),0)&amp;" ("&amp;ROUND(Panchanga!$P107,2)&amp;")"</f>
        <v>K9 (23.15)</v>
      </c>
      <c r="L107" s="2">
        <f ca="1">IF(AND(Panchanga!$P107&lt;28.5,Panchanga!$P107&gt;0.49999),MOD((Panchanga!$P107-0.5)*2,7),MOD((Panchanga!$P107+30-28.5),30)*2+7)</f>
        <v>3.296599999999998</v>
      </c>
      <c r="M107" s="2" t="str">
        <f ca="1">CHOOSE(ROUNDUP(Panchanga!$L107,0),"Bhava","Baalava","Kaulava","Taitula","Garija","Vanija","Vishti","Shakuni","Chatushapda","Naaga","Kimstugna")</f>
        <v>Taitula</v>
      </c>
      <c r="N107" s="25" t="str">
        <f ca="1">CHOOSE(ROUNDUP(Panchanga!$Q107,0),"Vishkambha-विष्कम्भ-Sa","Priti-प्रीति-Me","Ayushman-आयुष्मान-Ke","Saubhagya-सौभाग्य-Ve","Shobhana-शोभन-Su","Atiganda-अतिगण्ड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("&amp;Panchanga!$Q107&amp;")"</f>
        <v>Siddha-सिद्ध-Ke (20.09)</v>
      </c>
      <c r="O107" s="2">
        <f ca="1">IF(AND(Panchanga!$P107&lt;28.5,Panchanga!$P107&gt;0.49999),MOD((Panchanga!$P107-0.5)*2,7),MOD((Panchanga!$P107+30-28.5),30)*2+7)</f>
        <v>3.296599999999998</v>
      </c>
      <c r="P107" s="2">
        <f ca="1">ROUNDUP(MOD(360+Panchanga!$G107-Panchanga!$F107,360)/12,4)</f>
        <v>23.148299999999999</v>
      </c>
      <c r="Q107" s="2">
        <f t="shared" ca="1" si="23"/>
        <v>20.09</v>
      </c>
      <c r="R107" s="2" t="str">
        <f ca="1">SIGN(S108-Panchanga!$S107)*INT(Panchanga!$S107/30+1)&amp;"Ma,"&amp;SIGN(T108-Panchanga!$T107)*INT(Panchanga!$T107/30+1)&amp;"Me,"&amp;SIGN(U108-Panchanga!$U107)*INT(Panchanga!$U107/30+1)&amp;"Ju,"&amp;SIGN(V108-Panchanga!$V107)*INT(Panchanga!$V107/30+1)&amp;"Ve,"&amp;SIGN(W108-Panchanga!$W107)*INT(Panchanga!$W107/30+1)&amp;"Sa,"&amp;INT(Panchanga!$X107/30+1)&amp;"Ra"</f>
        <v>9Ma,-12Me,-7Ju,1Ve,9Sa,4Ra</v>
      </c>
      <c r="S107" s="2">
        <f ca="1">Planet(Panchanga!$E107,4)</f>
        <v>258.28639004884309</v>
      </c>
      <c r="T107" s="2">
        <f ca="1">Planet(Panchanga!$E107,2)</f>
        <v>342.44528650846257</v>
      </c>
      <c r="U107" s="2">
        <f ca="1">Planet(Panchanga!$E107,5)</f>
        <v>207.67607999267796</v>
      </c>
      <c r="V107" s="2">
        <f ca="1">Planet(Panchanga!$E107,3)</f>
        <v>16.735602799505394</v>
      </c>
      <c r="W107" s="2">
        <f ca="1">Planet(Panchanga!$E107,6)</f>
        <v>254.97272078959915</v>
      </c>
      <c r="X107" s="2">
        <f ca="1">Planet(Panchanga!$E107,10)</f>
        <v>107.59705819064637</v>
      </c>
      <c r="Y107" s="2">
        <f ca="1">SIGN(S108-Panchanga!$S107)</f>
        <v>1</v>
      </c>
    </row>
    <row r="108" spans="1:25" x14ac:dyDescent="0.2">
      <c r="A108" s="3">
        <f t="shared" ca="1" si="24"/>
        <v>43200</v>
      </c>
      <c r="B108" s="3">
        <f t="shared" ca="1" si="17"/>
        <v>43200.229166666664</v>
      </c>
      <c r="C108" s="5">
        <f t="shared" ca="1" si="18"/>
        <v>43200.25063678265</v>
      </c>
      <c r="D108" s="5">
        <f t="shared" ca="1" si="19"/>
        <v>43199.764686088121</v>
      </c>
      <c r="E108" s="60">
        <f ca="1">Panchanga!$C108-TimeZone/24</f>
        <v>43200.021470115986</v>
      </c>
      <c r="F108" s="61">
        <f t="shared" ca="1" si="20"/>
        <v>355.98544028810306</v>
      </c>
      <c r="G108" s="61">
        <f t="shared" ca="1" si="21"/>
        <v>284.64711626017476</v>
      </c>
      <c r="H108" s="62">
        <f t="shared" ca="1" si="22"/>
        <v>43200.021470115986</v>
      </c>
      <c r="I108" s="2" t="str">
        <f ca="1">naks(Panchanga!$G108)</f>
        <v>Sravana</v>
      </c>
      <c r="J108" s="5">
        <f ca="1">(C109-Panchanga!$C108)/(G109-Panchanga!$G108)*(13.3333333333333-MOD(Panchanga!$G108,13.333333333333))+Panchanga!$C108</f>
        <v>43200.973603332743</v>
      </c>
      <c r="K108" s="2" t="str">
        <f ca="1">IF(Panchanga!$P108&gt;15,"K","S")&amp;ROUNDUP(MOD(Panchanga!$P108,15),0)&amp;" ("&amp;ROUND(Panchanga!$P108,2)&amp;")"</f>
        <v>K10 (24.06)</v>
      </c>
      <c r="L108" s="2">
        <f ca="1">IF(AND(Panchanga!$P108&lt;28.5,Panchanga!$P108&gt;0.49999),MOD((Panchanga!$P108-0.5)*2,7),MOD((Panchanga!$P108+30-28.5),30)*2+7)</f>
        <v>5.1103999999999985</v>
      </c>
      <c r="M108" s="2" t="str">
        <f ca="1">CHOOSE(ROUNDUP(Panchanga!$L108,0),"Bhava","Baalava","Kaulava","Taitula","Garija","Vanija","Vishti","Shakuni","Chatushapda","Naaga","Kimstugna")</f>
        <v>Vanija</v>
      </c>
      <c r="N108" s="25" t="str">
        <f ca="1">CHOOSE(ROUNDUP(Panchanga!$Q108,0),"Vishkambha-विष्कम्भ-Sa","Priti-प्रीति-Me","Ayushman-आयुष्मान-Ke","Saubhagya-सौभाग्य-Ve","Shobhana-शोभन-Su","Atiganda-अतिगण्ड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("&amp;Panchanga!$Q108&amp;")"</f>
        <v>Sadhya-साध्य-Ve (21.05)</v>
      </c>
      <c r="O108" s="2">
        <f ca="1">IF(AND(Panchanga!$P108&lt;28.5,Panchanga!$P108&gt;0.49999),MOD((Panchanga!$P108-0.5)*2,7),MOD((Panchanga!$P108+30-28.5),30)*2+7)</f>
        <v>5.1103999999999985</v>
      </c>
      <c r="P108" s="2">
        <f ca="1">ROUNDUP(MOD(360+Panchanga!$G108-Panchanga!$F108,360)/12,4)</f>
        <v>24.055199999999999</v>
      </c>
      <c r="Q108" s="2">
        <f t="shared" ca="1" si="23"/>
        <v>21.05</v>
      </c>
      <c r="R108" s="2" t="str">
        <f ca="1">SIGN(S109-Panchanga!$S108)*INT(Panchanga!$S108/30+1)&amp;"Ma,"&amp;SIGN(T109-Panchanga!$T108)*INT(Panchanga!$T108/30+1)&amp;"Me,"&amp;SIGN(U109-Panchanga!$U108)*INT(Panchanga!$U108/30+1)&amp;"Ju,"&amp;SIGN(V109-Panchanga!$V108)*INT(Panchanga!$V108/30+1)&amp;"Ve,"&amp;SIGN(W109-Panchanga!$W108)*INT(Panchanga!$W108/30+1)&amp;"Sa,"&amp;INT(Panchanga!$X108/30+1)&amp;"Ra"</f>
        <v>9Ma,-12Me,-7Ju,1Ve,9Sa,4Ra</v>
      </c>
      <c r="S108" s="2">
        <f ca="1">Planet(Panchanga!$E108,4)</f>
        <v>258.81861773649723</v>
      </c>
      <c r="T108" s="2">
        <f ca="1">Planet(Panchanga!$E108,2)</f>
        <v>341.93712301860666</v>
      </c>
      <c r="U108" s="2">
        <f ca="1">Planet(Panchanga!$E108,5)</f>
        <v>207.58574142240201</v>
      </c>
      <c r="V108" s="2">
        <f ca="1">Planet(Panchanga!$E108,3)</f>
        <v>17.961942129400907</v>
      </c>
      <c r="W108" s="2">
        <f ca="1">Planet(Panchanga!$E108,6)</f>
        <v>254.98681066883867</v>
      </c>
      <c r="X108" s="2">
        <f ca="1">Planet(Panchanga!$E108,10)</f>
        <v>107.54408965065784</v>
      </c>
      <c r="Y108" s="2">
        <f ca="1">SIGN(S109-Panchanga!$S108)</f>
        <v>1</v>
      </c>
    </row>
    <row r="109" spans="1:25" x14ac:dyDescent="0.2">
      <c r="A109" s="3">
        <f t="shared" ca="1" si="24"/>
        <v>43201</v>
      </c>
      <c r="B109" s="3">
        <f t="shared" ca="1" si="17"/>
        <v>43201.229166666664</v>
      </c>
      <c r="C109" s="5">
        <f t="shared" ca="1" si="18"/>
        <v>43201.250198410511</v>
      </c>
      <c r="D109" s="5">
        <f t="shared" ca="1" si="19"/>
        <v>43200.764753162905</v>
      </c>
      <c r="E109" s="60">
        <f ca="1">Panchanga!$C109-TimeZone/24</f>
        <v>43201.021031743847</v>
      </c>
      <c r="F109" s="61">
        <f t="shared" ca="1" si="20"/>
        <v>356.96696851063632</v>
      </c>
      <c r="G109" s="61">
        <f t="shared" ca="1" si="21"/>
        <v>296.65653671879664</v>
      </c>
      <c r="H109" s="62">
        <f t="shared" ca="1" si="22"/>
        <v>43201.021031743847</v>
      </c>
      <c r="I109" s="2" t="str">
        <f ca="1">naks(Panchanga!$G109)</f>
        <v>Dhanistha</v>
      </c>
      <c r="J109" s="5">
        <f ca="1">(C110-Panchanga!$C109)/(G110-Panchanga!$G109)*(13.3333333333333-MOD(Panchanga!$G109,13.333333333333))+Panchanga!$C109</f>
        <v>43202.067968254174</v>
      </c>
      <c r="K109" s="2" t="str">
        <f ca="1">IF(Panchanga!$P109&gt;15,"K","S")&amp;ROUNDUP(MOD(Panchanga!$P109,15),0)&amp;" ("&amp;ROUND(Panchanga!$P109,2)&amp;")"</f>
        <v>K10 (24.97)</v>
      </c>
      <c r="L109" s="2">
        <f ca="1">IF(AND(Panchanga!$P109&lt;28.5,Panchanga!$P109&gt;0.49999),MOD((Panchanga!$P109-0.5)*2,7),MOD((Panchanga!$P109+30-28.5),30)*2+7)</f>
        <v>6.9483999999999995</v>
      </c>
      <c r="M109" s="2" t="str">
        <f ca="1">CHOOSE(ROUNDUP(Panchanga!$L109,0),"Bhava","Baalava","Kaulava","Taitula","Garija","Vanija","Vishti","Shakuni","Chatushapda","Naaga","Kimstugna")</f>
        <v>Vishti</v>
      </c>
      <c r="N109" s="25" t="str">
        <f ca="1">CHOOSE(ROUNDUP(Panchanga!$Q109,0),"Vishkambha-विष्कम्भ-Sa","Priti-प्रीति-Me","Ayushman-आयुष्मान-Ke","Saubhagya-सौभाग्य-Ve","Shobhana-शोभन-Su","Atiganda-अतिगण्ड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("&amp;Panchanga!$Q109&amp;")"</f>
        <v>Shubha-शुभ-Su (22.03)</v>
      </c>
      <c r="O109" s="2">
        <f ca="1">IF(AND(Panchanga!$P109&lt;28.5,Panchanga!$P109&gt;0.49999),MOD((Panchanga!$P109-0.5)*2,7),MOD((Panchanga!$P109+30-28.5),30)*2+7)</f>
        <v>6.9483999999999995</v>
      </c>
      <c r="P109" s="2">
        <f ca="1">ROUNDUP(MOD(360+Panchanga!$G109-Panchanga!$F109,360)/12,4)</f>
        <v>24.9742</v>
      </c>
      <c r="Q109" s="2">
        <f t="shared" ca="1" si="23"/>
        <v>22.03</v>
      </c>
      <c r="R109" s="2" t="str">
        <f ca="1">SIGN(S110-Panchanga!$S109)*INT(Panchanga!$S109/30+1)&amp;"Ma,"&amp;SIGN(T110-Panchanga!$T109)*INT(Panchanga!$T109/30+1)&amp;"Me,"&amp;SIGN(U110-Panchanga!$U109)*INT(Panchanga!$U109/30+1)&amp;"Ju,"&amp;SIGN(V110-Panchanga!$V109)*INT(Panchanga!$V109/30+1)&amp;"Ve,"&amp;SIGN(W110-Panchanga!$W109)*INT(Panchanga!$W109/30+1)&amp;"Sa,"&amp;INT(Panchanga!$X109/30+1)&amp;"Ra"</f>
        <v>9Ma,-12Me,-7Ju,1Ve,9Sa,4Ra</v>
      </c>
      <c r="S109" s="2">
        <f ca="1">Planet(Panchanga!$E109,4)</f>
        <v>259.34844606884991</v>
      </c>
      <c r="T109" s="2">
        <f ca="1">Planet(Panchanga!$E109,2)</f>
        <v>341.51060760267188</v>
      </c>
      <c r="U109" s="2">
        <f ca="1">Planet(Panchanga!$E109,5)</f>
        <v>207.49309259651875</v>
      </c>
      <c r="V109" s="2">
        <f ca="1">Planet(Panchanga!$E109,3)</f>
        <v>19.187703095716305</v>
      </c>
      <c r="W109" s="2">
        <f ca="1">Planet(Panchanga!$E109,6)</f>
        <v>254.9992553172471</v>
      </c>
      <c r="X109" s="2">
        <f ca="1">Planet(Panchanga!$E109,10)</f>
        <v>107.49112088321552</v>
      </c>
      <c r="Y109" s="2">
        <f ca="1">SIGN(S110-Panchanga!$S109)</f>
        <v>1</v>
      </c>
    </row>
    <row r="110" spans="1:25" x14ac:dyDescent="0.2">
      <c r="A110" s="3">
        <f t="shared" ca="1" si="24"/>
        <v>43202</v>
      </c>
      <c r="B110" s="3">
        <f t="shared" ca="1" si="17"/>
        <v>43202.229166666664</v>
      </c>
      <c r="C110" s="5">
        <f t="shared" ca="1" si="18"/>
        <v>43202.249764329907</v>
      </c>
      <c r="D110" s="5">
        <f t="shared" ca="1" si="19"/>
        <v>43201.76482278113</v>
      </c>
      <c r="E110" s="60">
        <f ca="1">Panchanga!$C110-TimeZone/24</f>
        <v>43202.020597663242</v>
      </c>
      <c r="F110" s="61">
        <f t="shared" ca="1" si="20"/>
        <v>357.94801048167903</v>
      </c>
      <c r="G110" s="61">
        <f t="shared" ca="1" si="21"/>
        <v>308.89199003387887</v>
      </c>
      <c r="H110" s="62">
        <f t="shared" ca="1" si="22"/>
        <v>43202.020597663242</v>
      </c>
      <c r="I110" s="2" t="str">
        <f ca="1">naks(Panchanga!$G110)</f>
        <v>Satabhisaj</v>
      </c>
      <c r="J110" s="5">
        <f ca="1">(C111-Panchanga!$C110)/(G111-Panchanga!$G110)*(13.3333333333333-MOD(Panchanga!$G110,13.333333333333))+Panchanga!$C110</f>
        <v>43203.136029356298</v>
      </c>
      <c r="K110" s="2" t="str">
        <f ca="1">IF(Panchanga!$P110&gt;15,"K","S")&amp;ROUNDUP(MOD(Panchanga!$P110,15),0)&amp;" ("&amp;ROUND(Panchanga!$P110,2)&amp;")"</f>
        <v>K11 (25.91)</v>
      </c>
      <c r="L110" s="2">
        <f ca="1">IF(AND(Panchanga!$P110&lt;28.5,Panchanga!$P110&gt;0.49999),MOD((Panchanga!$P110-0.5)*2,7),MOD((Panchanga!$P110+30-28.5),30)*2+7)</f>
        <v>1.8239999999999981</v>
      </c>
      <c r="M110" s="2" t="str">
        <f ca="1">CHOOSE(ROUNDUP(Panchanga!$L110,0),"Bhava","Baalava","Kaulava","Taitula","Garija","Vanija","Vishti","Shakuni","Chatushapda","Naaga","Kimstugna")</f>
        <v>Baalava</v>
      </c>
      <c r="N110" s="25" t="str">
        <f ca="1">CHOOSE(ROUNDUP(Panchanga!$Q110,0),"Vishkambha-विष्कम्भ-Sa","Priti-प्रीति-Me","Ayushman-आयुष्मान-Ke","Saubhagya-सौभाग्य-Ve","Shobhana-शोभन-Su","Atiganda-अतिगण्ड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("&amp;Panchanga!$Q110&amp;")"</f>
        <v>Shukla-शुक्ल-Mo (23.02)</v>
      </c>
      <c r="O110" s="2">
        <f ca="1">IF(AND(Panchanga!$P110&lt;28.5,Panchanga!$P110&gt;0.49999),MOD((Panchanga!$P110-0.5)*2,7),MOD((Panchanga!$P110+30-28.5),30)*2+7)</f>
        <v>1.8239999999999981</v>
      </c>
      <c r="P110" s="2">
        <f ca="1">ROUNDUP(MOD(360+Panchanga!$G110-Panchanga!$F110,360)/12,4)</f>
        <v>25.911999999999999</v>
      </c>
      <c r="Q110" s="2">
        <f t="shared" ca="1" si="23"/>
        <v>23.020000000000003</v>
      </c>
      <c r="R110" s="2" t="str">
        <f ca="1">SIGN(S111-Panchanga!$S110)*INT(Panchanga!$S110/30+1)&amp;"Ma,"&amp;SIGN(T111-Panchanga!$T110)*INT(Panchanga!$T110/30+1)&amp;"Me,"&amp;SIGN(U111-Panchanga!$U110)*INT(Panchanga!$U110/30+1)&amp;"Ju,"&amp;SIGN(V111-Panchanga!$V110)*INT(Panchanga!$V110/30+1)&amp;"Ve,"&amp;SIGN(W111-Panchanga!$W110)*INT(Panchanga!$W110/30+1)&amp;"Sa,"&amp;INT(Panchanga!$X110/30+1)&amp;"Ra"</f>
        <v>9Ma,-12Me,-7Ju,1Ve,9Sa,4Ra</v>
      </c>
      <c r="S110" s="2">
        <f ca="1">Planet(Panchanga!$E110,4)</f>
        <v>259.87580242591685</v>
      </c>
      <c r="T110" s="2">
        <f ca="1">Planet(Panchanga!$E110,2)</f>
        <v>341.16948021239989</v>
      </c>
      <c r="U110" s="2">
        <f ca="1">Planet(Panchanga!$E110,5)</f>
        <v>207.39819064934125</v>
      </c>
      <c r="V110" s="2">
        <f ca="1">Planet(Panchanga!$E110,3)</f>
        <v>20.412880724534901</v>
      </c>
      <c r="W110" s="2">
        <f ca="1">Planet(Panchanga!$E110,6)</f>
        <v>255.0100514987067</v>
      </c>
      <c r="X110" s="2">
        <f ca="1">Planet(Panchanga!$E110,10)</f>
        <v>107.43815188838551</v>
      </c>
      <c r="Y110" s="2">
        <f ca="1">SIGN(S111-Panchanga!$S110)</f>
        <v>1</v>
      </c>
    </row>
    <row r="111" spans="1:25" x14ac:dyDescent="0.2">
      <c r="A111" s="3">
        <f t="shared" ca="1" si="24"/>
        <v>43203</v>
      </c>
      <c r="B111" s="3">
        <f t="shared" ca="1" si="17"/>
        <v>43203.229166666664</v>
      </c>
      <c r="C111" s="5">
        <f t="shared" ca="1" si="18"/>
        <v>43203.249335017208</v>
      </c>
      <c r="D111" s="5">
        <f t="shared" ca="1" si="19"/>
        <v>43202.764894783541</v>
      </c>
      <c r="E111" s="60">
        <f ca="1">Panchanga!$C111-TimeZone/24</f>
        <v>43203.020168350544</v>
      </c>
      <c r="F111" s="61">
        <f t="shared" ca="1" si="20"/>
        <v>358.92856120298637</v>
      </c>
      <c r="G111" s="61">
        <f t="shared" ca="1" si="21"/>
        <v>321.42011742888764</v>
      </c>
      <c r="H111" s="62">
        <f t="shared" ca="1" si="22"/>
        <v>43203.020168350544</v>
      </c>
      <c r="I111" s="2" t="str">
        <f ca="1">naks(Panchanga!$G111)</f>
        <v>Purva Bhadrapada</v>
      </c>
      <c r="J111" s="5">
        <f ca="1">(C112-Panchanga!$C111)/(G112-Panchanga!$G111)*(13.3333333333333-MOD(Panchanga!$G111,13.333333333333))+Panchanga!$C111</f>
        <v>43204.174871325151</v>
      </c>
      <c r="K111" s="2" t="str">
        <f ca="1">IF(Panchanga!$P111&gt;15,"K","S")&amp;ROUNDUP(MOD(Panchanga!$P111,15),0)&amp;" ("&amp;ROUND(Panchanga!$P111,2)&amp;")"</f>
        <v>K12 (26.87)</v>
      </c>
      <c r="L111" s="2">
        <f ca="1">IF(AND(Panchanga!$P111&lt;28.5,Panchanga!$P111&gt;0.49999),MOD((Panchanga!$P111-0.5)*2,7),MOD((Panchanga!$P111+30-28.5),30)*2+7)</f>
        <v>3.7485999999999962</v>
      </c>
      <c r="M111" s="2" t="str">
        <f ca="1">CHOOSE(ROUNDUP(Panchanga!$L111,0),"Bhava","Baalava","Kaulava","Taitula","Garija","Vanija","Vishti","Shakuni","Chatushapda","Naaga","Kimstugna")</f>
        <v>Taitula</v>
      </c>
      <c r="N111" s="25" t="str">
        <f ca="1">CHOOSE(ROUNDUP(Panchanga!$Q111,0),"Vishkambha-विष्कम्भ-Sa","Priti-प्रीति-Me","Ayushman-आयुष्मान-Ke","Saubhagya-सौभाग्य-Ve","Shobhana-शोभन-Su","Atiganda-अतिगण्ड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("&amp;Panchanga!$Q111&amp;")"</f>
        <v>Brahma-ब्रह्म-Ma (24.03)</v>
      </c>
      <c r="O111" s="2">
        <f ca="1">IF(AND(Panchanga!$P111&lt;28.5,Panchanga!$P111&gt;0.49999),MOD((Panchanga!$P111-0.5)*2,7),MOD((Panchanga!$P111+30-28.5),30)*2+7)</f>
        <v>3.7485999999999962</v>
      </c>
      <c r="P111" s="2">
        <f ca="1">ROUNDUP(MOD(360+Panchanga!$G111-Panchanga!$F111,360)/12,4)</f>
        <v>26.874299999999998</v>
      </c>
      <c r="Q111" s="2">
        <f t="shared" ca="1" si="23"/>
        <v>24.03</v>
      </c>
      <c r="R111" s="2" t="str">
        <f ca="1">SIGN(S112-Panchanga!$S111)*INT(Panchanga!$S111/30+1)&amp;"Ma,"&amp;SIGN(T112-Panchanga!$T111)*INT(Panchanga!$T111/30+1)&amp;"Me,"&amp;SIGN(U112-Panchanga!$U111)*INT(Panchanga!$U111/30+1)&amp;"Ju,"&amp;SIGN(V112-Panchanga!$V111)*INT(Panchanga!$V111/30+1)&amp;"Ve,"&amp;SIGN(W112-Panchanga!$W111)*INT(Panchanga!$W111/30+1)&amp;"Sa,"&amp;INT(Panchanga!$X111/30+1)&amp;"Ra"</f>
        <v>9Ma,-12Me,-7Ju,1Ve,9Sa,4Ra</v>
      </c>
      <c r="S111" s="2">
        <f ca="1">Planet(Panchanga!$E111,4)</f>
        <v>260.40061320606236</v>
      </c>
      <c r="T111" s="2">
        <f ca="1">Planet(Panchanga!$E111,2)</f>
        <v>340.91600169367399</v>
      </c>
      <c r="U111" s="2">
        <f ca="1">Planet(Panchanga!$E111,5)</f>
        <v>207.30109534910852</v>
      </c>
      <c r="V111" s="2">
        <f ca="1">Planet(Panchanga!$E111,3)</f>
        <v>21.637469161955835</v>
      </c>
      <c r="W111" s="2">
        <f ca="1">Planet(Panchanga!$E111,6)</f>
        <v>255.01919662096265</v>
      </c>
      <c r="X111" s="2">
        <f ca="1">Planet(Panchanga!$E111,10)</f>
        <v>107.38518264086755</v>
      </c>
      <c r="Y111" s="2">
        <f ca="1">SIGN(S112-Panchanga!$S111)</f>
        <v>1</v>
      </c>
    </row>
    <row r="112" spans="1:25" x14ac:dyDescent="0.2">
      <c r="A112" s="3">
        <f t="shared" ca="1" si="24"/>
        <v>43204</v>
      </c>
      <c r="B112" s="3">
        <f t="shared" ca="1" si="17"/>
        <v>43204.229166666664</v>
      </c>
      <c r="C112" s="5">
        <f t="shared" ca="1" si="18"/>
        <v>43204.248910632137</v>
      </c>
      <c r="D112" s="5">
        <f t="shared" ca="1" si="19"/>
        <v>43203.764969488184</v>
      </c>
      <c r="E112" s="60">
        <f ca="1">Panchanga!$C112-TimeZone/24</f>
        <v>43204.019743965473</v>
      </c>
      <c r="F112" s="61">
        <f t="shared" ca="1" si="20"/>
        <v>359.9086126680744</v>
      </c>
      <c r="G112" s="61">
        <f t="shared" ca="1" si="21"/>
        <v>334.28634429785814</v>
      </c>
      <c r="H112" s="62">
        <f t="shared" ca="1" si="22"/>
        <v>43204.019743965473</v>
      </c>
      <c r="I112" s="2" t="str">
        <f ca="1">naks(Panchanga!$G112)</f>
        <v>Uttara Bhadrapada</v>
      </c>
      <c r="J112" s="5">
        <f ca="1">(C113-Panchanga!$C112)/(G113-Panchanga!$G112)*(13.3333333333333-MOD(Panchanga!$G112,13.333333333333))+Panchanga!$C112</f>
        <v>43205.184843960196</v>
      </c>
      <c r="K112" s="2" t="str">
        <f ca="1">IF(Panchanga!$P112&gt;15,"K","S")&amp;ROUNDUP(MOD(Panchanga!$P112,15),0)&amp;" ("&amp;ROUND(Panchanga!$P112,2)&amp;")"</f>
        <v>K13 (27.86)</v>
      </c>
      <c r="L112" s="2">
        <f ca="1">IF(AND(Panchanga!$P112&lt;28.5,Panchanga!$P112&gt;0.49999),MOD((Panchanga!$P112-0.5)*2,7),MOD((Panchanga!$P112+30-28.5),30)*2+7)</f>
        <v>5.7297999999999973</v>
      </c>
      <c r="M112" s="2" t="str">
        <f ca="1">CHOOSE(ROUNDUP(Panchanga!$L112,0),"Bhava","Baalava","Kaulava","Taitula","Garija","Vanija","Vishti","Shakuni","Chatushapda","Naaga","Kimstugna")</f>
        <v>Vanija</v>
      </c>
      <c r="N112" s="25" t="str">
        <f ca="1">CHOOSE(ROUNDUP(Panchanga!$Q112,0),"Vishkambha-विष्कम्भ-Sa","Priti-प्रीति-Me","Ayushman-आयुष्मान-Ke","Saubhagya-सौभाग्य-Ve","Shobhana-शोभन-Su","Atiganda-अतिगण्ड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("&amp;Panchanga!$Q112&amp;")"</f>
        <v>Mahendra-महेन्द्र-Ra (25.07)</v>
      </c>
      <c r="O112" s="2">
        <f ca="1">IF(AND(Panchanga!$P112&lt;28.5,Panchanga!$P112&gt;0.49999),MOD((Panchanga!$P112-0.5)*2,7),MOD((Panchanga!$P112+30-28.5),30)*2+7)</f>
        <v>5.7297999999999973</v>
      </c>
      <c r="P112" s="2">
        <f ca="1">ROUNDUP(MOD(360+Panchanga!$G112-Panchanga!$F112,360)/12,4)</f>
        <v>27.864899999999999</v>
      </c>
      <c r="Q112" s="2">
        <f t="shared" ca="1" si="23"/>
        <v>25.07</v>
      </c>
      <c r="R112" s="2" t="str">
        <f ca="1">SIGN(S113-Panchanga!$S112)*INT(Panchanga!$S112/30+1)&amp;"Ma,"&amp;SIGN(T113-Panchanga!$T112)*INT(Panchanga!$T112/30+1)&amp;"Me,"&amp;SIGN(U113-Panchanga!$U112)*INT(Panchanga!$U112/30+1)&amp;"Ju,"&amp;SIGN(V113-Panchanga!$V112)*INT(Panchanga!$V112/30+1)&amp;"Ve,"&amp;SIGN(W113-Panchanga!$W112)*INT(Panchanga!$W112/30+1)&amp;"Sa,"&amp;INT(Panchanga!$X112/30+1)&amp;"Ra"</f>
        <v>9Ma,-12Me,-7Ju,1Ve,9Sa,4Ra</v>
      </c>
      <c r="S112" s="2">
        <f ca="1">Planet(Panchanga!$E112,4)</f>
        <v>260.92280407203543</v>
      </c>
      <c r="T112" s="2">
        <f ca="1">Planet(Panchanga!$E112,2)</f>
        <v>340.75115049116795</v>
      </c>
      <c r="U112" s="2">
        <f ca="1">Planet(Panchanga!$E112,5)</f>
        <v>207.20186928845774</v>
      </c>
      <c r="V112" s="2">
        <f ca="1">Planet(Panchanga!$E112,3)</f>
        <v>22.861460366889226</v>
      </c>
      <c r="W112" s="2">
        <f ca="1">Planet(Panchanga!$E112,6)</f>
        <v>255.02668882277794</v>
      </c>
      <c r="X112" s="2">
        <f ca="1">Planet(Panchanga!$E112,10)</f>
        <v>107.33221313224438</v>
      </c>
      <c r="Y112" s="2">
        <f ca="1">SIGN(S113-Panchanga!$S112)</f>
        <v>1</v>
      </c>
    </row>
    <row r="113" spans="1:25" x14ac:dyDescent="0.2">
      <c r="A113" s="3">
        <f t="shared" ca="1" si="24"/>
        <v>43205</v>
      </c>
      <c r="B113" s="3">
        <f t="shared" ca="1" si="17"/>
        <v>43205.229166666664</v>
      </c>
      <c r="C113" s="5">
        <f t="shared" ca="1" si="18"/>
        <v>43205.248491174694</v>
      </c>
      <c r="D113" s="5">
        <f t="shared" ca="1" si="19"/>
        <v>43204.765046894594</v>
      </c>
      <c r="E113" s="60">
        <f ca="1">Panchanga!$C113-TimeZone/24</f>
        <v>43205.01932450803</v>
      </c>
      <c r="F113" s="61">
        <f t="shared" ca="1" si="20"/>
        <v>0.88815389800888001</v>
      </c>
      <c r="G113" s="61">
        <f t="shared" ca="1" si="21"/>
        <v>347.50857816793354</v>
      </c>
      <c r="H113" s="62">
        <f t="shared" ca="1" si="22"/>
        <v>43205.01932450803</v>
      </c>
      <c r="I113" s="2" t="str">
        <f ca="1">naks(Panchanga!$G113)</f>
        <v>Revati</v>
      </c>
      <c r="J113" s="5">
        <f ca="1">(C114-Panchanga!$C113)/(G114-Panchanga!$G113)*(13.3333333333333-MOD(Panchanga!$G113,13.333333333333))+Panchanga!$C113</f>
        <v>43205.212449101826</v>
      </c>
      <c r="K113" s="2" t="str">
        <f ca="1">IF(Panchanga!$P113&gt;15,"K","S")&amp;ROUNDUP(MOD(Panchanga!$P113,15),0)&amp;" ("&amp;ROUND(Panchanga!$P113,2)&amp;")"</f>
        <v>K14 (28.89)</v>
      </c>
      <c r="L113" s="2">
        <f ca="1">IF(AND(Panchanga!$P113&lt;28.5,Panchanga!$P113&gt;0.49999),MOD((Panchanga!$P113-0.5)*2,7),MOD((Panchanga!$P113+30-28.5),30)*2+7)</f>
        <v>7.7702000000000027</v>
      </c>
      <c r="M113" s="2" t="str">
        <f ca="1">CHOOSE(ROUNDUP(Panchanga!$L113,0),"Bhava","Baalava","Kaulava","Taitula","Garija","Vanija","Vishti","Shakuni","Chatushapda","Naaga","Kimstugna")</f>
        <v>Shakuni</v>
      </c>
      <c r="N113" s="25" t="str">
        <f ca="1">CHOOSE(ROUNDUP(Panchanga!$Q113,0),"Vishkambha-विष्कम्भ-Sa","Priti-प्रीति-Me","Ayushman-आयुष्मान-Ke","Saubhagya-सौभाग्य-Ve","Shobhana-शोभन-Su","Atiganda-अतिगण्ड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("&amp;Panchanga!$Q113&amp;")"</f>
        <v>Vaidhriti-वैधृति-Ke (26.13)</v>
      </c>
      <c r="O113" s="2">
        <f ca="1">IF(AND(Panchanga!$P113&lt;28.5,Panchanga!$P113&gt;0.49999),MOD((Panchanga!$P113-0.5)*2,7),MOD((Panchanga!$P113+30-28.5),30)*2+7)</f>
        <v>7.7702000000000027</v>
      </c>
      <c r="P113" s="2">
        <f ca="1">ROUNDUP(MOD(360+Panchanga!$G113-Panchanga!$F113,360)/12,4)</f>
        <v>28.885100000000001</v>
      </c>
      <c r="Q113" s="2">
        <f t="shared" ca="1" si="23"/>
        <v>26.130000000000003</v>
      </c>
      <c r="R113" s="2" t="str">
        <f ca="1">SIGN(S114-Panchanga!$S113)*INT(Panchanga!$S113/30+1)&amp;"Ma,"&amp;SIGN(T114-Panchanga!$T113)*INT(Panchanga!$T113/30+1)&amp;"Me,"&amp;SIGN(U114-Panchanga!$U113)*INT(Panchanga!$U113/30+1)&amp;"Ju,"&amp;SIGN(V114-Panchanga!$V113)*INT(Panchanga!$V113/30+1)&amp;"Ve,"&amp;SIGN(W114-Panchanga!$W113)*INT(Panchanga!$W113/30+1)&amp;"Sa,"&amp;INT(Panchanga!$X113/30+1)&amp;"Ra"</f>
        <v>9Ma,12Me,-7Ju,1Ve,9Sa,4Ra</v>
      </c>
      <c r="S113" s="2">
        <f ca="1">Planet(Panchanga!$E113,4)</f>
        <v>261.44230102139761</v>
      </c>
      <c r="T113" s="2">
        <f ca="1">Planet(Panchanga!$E113,2)</f>
        <v>340.67482633571507</v>
      </c>
      <c r="U113" s="2">
        <f ca="1">Planet(Panchanga!$E113,5)</f>
        <v>207.10057796652887</v>
      </c>
      <c r="V113" s="2">
        <f ca="1">Planet(Panchanga!$E113,3)</f>
        <v>24.084843991283773</v>
      </c>
      <c r="W113" s="2">
        <f ca="1">Planet(Panchanga!$E113,6)</f>
        <v>255.03252709694286</v>
      </c>
      <c r="X113" s="2">
        <f ca="1">Planet(Panchanga!$E113,10)</f>
        <v>107.27924336249967</v>
      </c>
      <c r="Y113" s="2">
        <f ca="1">SIGN(S114-Panchanga!$S113)</f>
        <v>1</v>
      </c>
    </row>
    <row r="114" spans="1:25" x14ac:dyDescent="0.2">
      <c r="A114" s="3">
        <f t="shared" ca="1" si="24"/>
        <v>43206</v>
      </c>
      <c r="B114" s="3">
        <f t="shared" ca="1" si="17"/>
        <v>43206.229166666664</v>
      </c>
      <c r="C114" s="5">
        <f t="shared" ca="1" si="18"/>
        <v>43206.248077120785</v>
      </c>
      <c r="D114" s="5">
        <f t="shared" ca="1" si="19"/>
        <v>43205.765127321283</v>
      </c>
      <c r="E114" s="60">
        <f ca="1">Panchanga!$C114-TimeZone/24</f>
        <v>43206.01891045412</v>
      </c>
      <c r="F114" s="61">
        <f t="shared" ca="1" si="20"/>
        <v>1.8671717855600221</v>
      </c>
      <c r="G114" s="61">
        <f t="shared" ca="1" si="21"/>
        <v>1.0731843013854836</v>
      </c>
      <c r="H114" s="62">
        <f t="shared" ca="1" si="22"/>
        <v>43206.01891045412</v>
      </c>
      <c r="I114" s="2" t="str">
        <f ca="1">naks(Panchanga!$G114)</f>
        <v>Aswini</v>
      </c>
      <c r="J114" s="5">
        <f ca="1">(C115-Panchanga!$C114)/(G115-Panchanga!$G114)*(13.3333333333333-MOD(Panchanga!$G114,13.333333333333))+Panchanga!$C114</f>
        <v>43207.132160839537</v>
      </c>
      <c r="K114" s="2" t="str">
        <f ca="1">IF(Panchanga!$P114&gt;15,"K","S")&amp;ROUNDUP(MOD(Panchanga!$P114,15),0)&amp;" ("&amp;ROUND(Panchanga!$P114,2)&amp;")"</f>
        <v>K15 (29.93)</v>
      </c>
      <c r="L114" s="2">
        <f ca="1">IF(AND(Panchanga!$P114&lt;28.5,Panchanga!$P114&gt;0.49999),MOD((Panchanga!$P114-0.5)*2,7),MOD((Panchanga!$P114+30-28.5),30)*2+7)</f>
        <v>9.8678000000000026</v>
      </c>
      <c r="M114" s="2" t="str">
        <f ca="1">CHOOSE(ROUNDUP(Panchanga!$L114,0),"Bhava","Baalava","Kaulava","Taitula","Garija","Vanija","Vishti","Shakuni","Chatushapda","Naaga","Kimstugna")</f>
        <v>Naaga</v>
      </c>
      <c r="N114" s="25" t="str">
        <f ca="1">CHOOSE(ROUNDUP(Panchanga!$Q114,0),"Vishkambha-विष्कम्भ-Sa","Priti-प्रीति-Me","Ayushman-आयुष्मान-Ke","Saubhagya-सौभाग्य-Ve","Shobhana-शोभन-Su","Atiganda-अतिगण्ड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("&amp;Panchanga!$Q114&amp;")"</f>
        <v>Vishkambha-विष्कम्भ-Sa (0.23)</v>
      </c>
      <c r="O114" s="2">
        <f ca="1">IF(AND(Panchanga!$P114&lt;28.5,Panchanga!$P114&gt;0.49999),MOD((Panchanga!$P114-0.5)*2,7),MOD((Panchanga!$P114+30-28.5),30)*2+7)</f>
        <v>9.8678000000000026</v>
      </c>
      <c r="P114" s="2">
        <f ca="1">ROUNDUP(MOD(360+Panchanga!$G114-Panchanga!$F114,360)/12,4)</f>
        <v>29.933900000000001</v>
      </c>
      <c r="Q114" s="2">
        <f t="shared" ca="1" si="23"/>
        <v>0.23</v>
      </c>
      <c r="R114" s="2" t="str">
        <f ca="1">SIGN(S115-Panchanga!$S114)*INT(Panchanga!$S114/30+1)&amp;"Ma,"&amp;SIGN(T115-Panchanga!$T114)*INT(Panchanga!$T114/30+1)&amp;"Me,"&amp;SIGN(U115-Panchanga!$U114)*INT(Panchanga!$U114/30+1)&amp;"Ju,"&amp;SIGN(V115-Panchanga!$V114)*INT(Panchanga!$V114/30+1)&amp;"Ve,"&amp;SIGN(W115-Panchanga!$W114)*INT(Panchanga!$W114/30+1)&amp;"Sa,"&amp;INT(Panchanga!$X114/30+1)&amp;"Ra"</f>
        <v>9Ma,12Me,-7Ju,1Ve,9Sa,4Ra</v>
      </c>
      <c r="S114" s="2">
        <f ca="1">Planet(Panchanga!$E114,4)</f>
        <v>261.95903187541234</v>
      </c>
      <c r="T114" s="2">
        <f ca="1">Planet(Panchanga!$E114,2)</f>
        <v>340.68604976103586</v>
      </c>
      <c r="U114" s="2">
        <f ca="1">Planet(Panchanga!$E114,5)</f>
        <v>206.99728974461519</v>
      </c>
      <c r="V114" s="2">
        <f ca="1">Planet(Panchanga!$E114,3)</f>
        <v>25.307607985370584</v>
      </c>
      <c r="W114" s="2">
        <f ca="1">Planet(Panchanga!$E114,6)</f>
        <v>255.03671142226847</v>
      </c>
      <c r="X114" s="2">
        <f ca="1">Planet(Panchanga!$E114,10)</f>
        <v>107.22627330641565</v>
      </c>
      <c r="Y114" s="2">
        <f ca="1">SIGN(S115-Panchanga!$S114)</f>
        <v>1</v>
      </c>
    </row>
    <row r="115" spans="1:25" x14ac:dyDescent="0.2">
      <c r="A115" s="3">
        <f t="shared" ca="1" si="24"/>
        <v>43207</v>
      </c>
      <c r="B115" s="3">
        <f t="shared" ca="1" si="17"/>
        <v>43207.229166666664</v>
      </c>
      <c r="C115" s="5">
        <f t="shared" ca="1" si="18"/>
        <v>43207.24766847134</v>
      </c>
      <c r="D115" s="5">
        <f t="shared" ca="1" si="19"/>
        <v>43206.765210449739</v>
      </c>
      <c r="E115" s="60">
        <f ca="1">Panchanga!$C115-TimeZone/24</f>
        <v>43207.018501804676</v>
      </c>
      <c r="F115" s="61">
        <f t="shared" ca="1" si="20"/>
        <v>2.8456508013603936</v>
      </c>
      <c r="G115" s="61">
        <f t="shared" ca="1" si="21"/>
        <v>14.93515084248898</v>
      </c>
      <c r="H115" s="62">
        <f t="shared" ca="1" si="22"/>
        <v>43207.018501804676</v>
      </c>
      <c r="I115" s="2" t="str">
        <f ca="1">naks(Panchanga!$G115)</f>
        <v>Bharani</v>
      </c>
      <c r="J115" s="5">
        <f ca="1">(C116-Panchanga!$C115)/(G116-Panchanga!$G115)*(13.3333333333333-MOD(Panchanga!$G115,13.333333333333))+Panchanga!$C115</f>
        <v>43208.080015141088</v>
      </c>
      <c r="K115" s="2" t="str">
        <f ca="1">IF(Panchanga!$P115&gt;15,"K","S")&amp;ROUNDUP(MOD(Panchanga!$P115,15),0)&amp;" ("&amp;ROUND(Panchanga!$P115,2)&amp;")"</f>
        <v>S2 (1.01)</v>
      </c>
      <c r="L115" s="2">
        <f ca="1">IF(AND(Panchanga!$P115&lt;28.5,Panchanga!$P115&gt;0.49999),MOD((Panchanga!$P115-0.5)*2,7),MOD((Panchanga!$P115+30-28.5),30)*2+7)</f>
        <v>1.0150000000000001</v>
      </c>
      <c r="M115" s="2" t="str">
        <f ca="1">CHOOSE(ROUNDUP(Panchanga!$L115,0),"Bhava","Baalava","Kaulava","Taitula","Garija","Vanija","Vishti","Shakuni","Chatushapda","Naaga","Kimstugna")</f>
        <v>Baalava</v>
      </c>
      <c r="N115" s="25" t="str">
        <f ca="1">CHOOSE(ROUNDUP(Panchanga!$Q115,0),"Vishkambha-विष्कम्भ-Sa","Priti-प्रीति-Me","Ayushman-आयुष्मान-Ke","Saubhagya-सौभाग्य-Ve","Shobhana-शोभन-Su","Atiganda-अतिगण्ड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("&amp;Panchanga!$Q115&amp;")"</f>
        <v>Priti-प्रीति-Me (1.34)</v>
      </c>
      <c r="O115" s="2">
        <f ca="1">IF(AND(Panchanga!$P115&lt;28.5,Panchanga!$P115&gt;0.49999),MOD((Panchanga!$P115-0.5)*2,7),MOD((Panchanga!$P115+30-28.5),30)*2+7)</f>
        <v>1.0150000000000001</v>
      </c>
      <c r="P115" s="2">
        <f ca="1">ROUNDUP(MOD(360+Panchanga!$G115-Panchanga!$F115,360)/12,4)</f>
        <v>1.0075000000000001</v>
      </c>
      <c r="Q115" s="2">
        <f t="shared" ca="1" si="23"/>
        <v>1.34</v>
      </c>
      <c r="R115" s="2" t="str">
        <f ca="1">SIGN(S116-Panchanga!$S115)*INT(Panchanga!$S115/30+1)&amp;"Ma,"&amp;SIGN(T116-Panchanga!$T115)*INT(Panchanga!$T115/30+1)&amp;"Me,"&amp;SIGN(U116-Panchanga!$U115)*INT(Panchanga!$U115/30+1)&amp;"Ju,"&amp;SIGN(V116-Panchanga!$V115)*INT(Panchanga!$V115/30+1)&amp;"Ve,"&amp;SIGN(W116-Panchanga!$W115)*INT(Panchanga!$W115/30+1)&amp;"Sa,"&amp;INT(Panchanga!$X115/30+1)&amp;"Ra"</f>
        <v>9Ma,12Me,-7Ju,1Ve,9Sa,4Ra</v>
      </c>
      <c r="S115" s="2">
        <f ca="1">Planet(Panchanga!$E115,4)</f>
        <v>262.47292688369203</v>
      </c>
      <c r="T115" s="2">
        <f ca="1">Planet(Panchanga!$E115,2)</f>
        <v>340.78314899413635</v>
      </c>
      <c r="U115" s="2">
        <f ca="1">Planet(Panchanga!$E115,5)</f>
        <v>206.89207584008454</v>
      </c>
      <c r="V115" s="2">
        <f ca="1">Planet(Panchanga!$E115,3)</f>
        <v>26.52973749978214</v>
      </c>
      <c r="W115" s="2">
        <f ca="1">Planet(Panchanga!$E115,6)</f>
        <v>255.03924286815482</v>
      </c>
      <c r="X115" s="2">
        <f ca="1">Planet(Panchanga!$E115,10)</f>
        <v>107.17330296392601</v>
      </c>
      <c r="Y115" s="2">
        <f ca="1">SIGN(S116-Panchanga!$S115)</f>
        <v>1</v>
      </c>
    </row>
    <row r="116" spans="1:25" x14ac:dyDescent="0.2">
      <c r="A116" s="3">
        <f t="shared" ca="1" si="24"/>
        <v>43208</v>
      </c>
      <c r="B116" s="3">
        <f t="shared" ca="1" si="17"/>
        <v>43208.229166666664</v>
      </c>
      <c r="C116" s="5">
        <f t="shared" ca="1" si="18"/>
        <v>43208.247265543941</v>
      </c>
      <c r="D116" s="5">
        <f t="shared" ca="1" si="19"/>
        <v>43207.765296757265</v>
      </c>
      <c r="E116" s="60">
        <f ca="1">Panchanga!$C116-TimeZone/24</f>
        <v>43208.018098877277</v>
      </c>
      <c r="F116" s="61">
        <f t="shared" ca="1" si="20"/>
        <v>3.8235747800586601</v>
      </c>
      <c r="G116" s="61">
        <f t="shared" ca="1" si="21"/>
        <v>29.023978612476821</v>
      </c>
      <c r="H116" s="62">
        <f t="shared" ca="1" si="22"/>
        <v>43208.018098877277</v>
      </c>
      <c r="I116" s="2" t="str">
        <f ca="1">naks(Panchanga!$G116)</f>
        <v>Krittika</v>
      </c>
      <c r="J116" s="5">
        <f ca="1">(C117-Panchanga!$C116)/(G117-Panchanga!$G116)*(13.3333333333333-MOD(Panchanga!$G116,13.333333333333))+Panchanga!$C116</f>
        <v>43209.018230958565</v>
      </c>
      <c r="K116" s="2" t="str">
        <f ca="1">IF(Panchanga!$P116&gt;15,"K","S")&amp;ROUNDUP(MOD(Panchanga!$P116,15),0)&amp;" ("&amp;ROUND(Panchanga!$P116,2)&amp;")"</f>
        <v>S3 (2.1)</v>
      </c>
      <c r="L116" s="2">
        <f ca="1">IF(AND(Panchanga!$P116&lt;28.5,Panchanga!$P116&gt;0.49999),MOD((Panchanga!$P116-0.5)*2,7),MOD((Panchanga!$P116+30-28.5),30)*2+7)</f>
        <v>3.2002000000000006</v>
      </c>
      <c r="M116" s="2" t="str">
        <f ca="1">CHOOSE(ROUNDUP(Panchanga!$L116,0),"Bhava","Baalava","Kaulava","Taitula","Garija","Vanija","Vishti","Shakuni","Chatushapda","Naaga","Kimstugna")</f>
        <v>Taitula</v>
      </c>
      <c r="N116" s="25" t="str">
        <f ca="1">CHOOSE(ROUNDUP(Panchanga!$Q116,0),"Vishkambha-विष्कम्भ-Sa","Priti-प्रीति-Me","Ayushman-आयुष्मान-Ke","Saubhagya-सौभाग्य-Ve","Shobhana-शोभन-Su","Atiganda-अतिगण्ड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("&amp;Panchanga!$Q116&amp;")"</f>
        <v>Ayushman-आयुष्मान-Ke (2.47)</v>
      </c>
      <c r="O116" s="2">
        <f ca="1">IF(AND(Panchanga!$P116&lt;28.5,Panchanga!$P116&gt;0.49999),MOD((Panchanga!$P116-0.5)*2,7),MOD((Panchanga!$P116+30-28.5),30)*2+7)</f>
        <v>3.2002000000000006</v>
      </c>
      <c r="P116" s="2">
        <f ca="1">ROUNDUP(MOD(360+Panchanga!$G116-Panchanga!$F116,360)/12,4)</f>
        <v>2.1001000000000003</v>
      </c>
      <c r="Q116" s="2">
        <f t="shared" ca="1" si="23"/>
        <v>2.4699999999999998</v>
      </c>
      <c r="R116" s="2" t="str">
        <f ca="1">SIGN(S117-Panchanga!$S116)*INT(Panchanga!$S116/30+1)&amp;"Ma,"&amp;SIGN(T117-Panchanga!$T116)*INT(Panchanga!$T116/30+1)&amp;"Me,"&amp;SIGN(U117-Panchanga!$U116)*INT(Panchanga!$U116/30+1)&amp;"Ju,"&amp;SIGN(V117-Panchanga!$V116)*INT(Panchanga!$V116/30+1)&amp;"Ve,"&amp;SIGN(W117-Panchanga!$W116)*INT(Panchanga!$W116/30+1)&amp;"Sa,"&amp;INT(Panchanga!$X116/30+1)&amp;"Ra"</f>
        <v>9Ma,12Me,-7Ju,1Ve,-9Sa,4Ra</v>
      </c>
      <c r="S116" s="2">
        <f ca="1">Planet(Panchanga!$E116,4)</f>
        <v>262.98391993559989</v>
      </c>
      <c r="T116" s="2">
        <f ca="1">Planet(Panchanga!$E116,2)</f>
        <v>340.96392848505417</v>
      </c>
      <c r="U116" s="2">
        <f ca="1">Planet(Panchanga!$E116,5)</f>
        <v>206.78501000714002</v>
      </c>
      <c r="V116" s="2">
        <f ca="1">Planet(Panchanga!$E116,3)</f>
        <v>27.751216192170091</v>
      </c>
      <c r="W116" s="2">
        <f ca="1">Planet(Panchanga!$E116,6)</f>
        <v>255.04012366281032</v>
      </c>
      <c r="X116" s="2">
        <f ca="1">Planet(Panchanga!$E116,10)</f>
        <v>107.12033231824648</v>
      </c>
      <c r="Y116" s="2">
        <f ca="1">SIGN(S117-Panchanga!$S116)</f>
        <v>1</v>
      </c>
    </row>
    <row r="117" spans="1:25" x14ac:dyDescent="0.2">
      <c r="A117" s="3">
        <f t="shared" ca="1" si="24"/>
        <v>43209</v>
      </c>
      <c r="B117" s="3">
        <f t="shared" ca="1" si="17"/>
        <v>43209.229166666664</v>
      </c>
      <c r="C117" s="5">
        <f t="shared" ca="1" si="18"/>
        <v>43209.246868338589</v>
      </c>
      <c r="D117" s="5">
        <f t="shared" ca="1" si="19"/>
        <v>43208.765385925813</v>
      </c>
      <c r="E117" s="60">
        <f ca="1">Panchanga!$C117-TimeZone/24</f>
        <v>43209.017701671924</v>
      </c>
      <c r="F117" s="61">
        <f t="shared" ca="1" si="20"/>
        <v>4.8009275491935668</v>
      </c>
      <c r="G117" s="61">
        <f t="shared" ca="1" si="21"/>
        <v>43.255047146801971</v>
      </c>
      <c r="H117" s="62">
        <f t="shared" ca="1" si="22"/>
        <v>43209.017701671924</v>
      </c>
      <c r="I117" s="2" t="str">
        <f ca="1">naks(Panchanga!$G117)</f>
        <v>Rohini</v>
      </c>
      <c r="J117" s="5">
        <f ca="1">(C118-Panchanga!$C117)/(G118-Panchanga!$G117)*(13.3333333333333-MOD(Panchanga!$G117,13.333333333333))+Panchanga!$C117</f>
        <v>43209.951920833824</v>
      </c>
      <c r="K117" s="2" t="str">
        <f ca="1">IF(Panchanga!$P117&gt;15,"K","S")&amp;ROUNDUP(MOD(Panchanga!$P117,15),0)&amp;" ("&amp;ROUND(Panchanga!$P117,2)&amp;")"</f>
        <v>S4 (3.2)</v>
      </c>
      <c r="L117" s="2">
        <f ca="1">IF(AND(Panchanga!$P117&lt;28.5,Panchanga!$P117&gt;0.49999),MOD((Panchanga!$P117-0.5)*2,7),MOD((Panchanga!$P117+30-28.5),30)*2+7)</f>
        <v>5.4092000000000002</v>
      </c>
      <c r="M117" s="2" t="str">
        <f ca="1">CHOOSE(ROUNDUP(Panchanga!$L117,0),"Bhava","Baalava","Kaulava","Taitula","Garija","Vanija","Vishti","Shakuni","Chatushapda","Naaga","Kimstugna")</f>
        <v>Vanija</v>
      </c>
      <c r="N117" s="25" t="str">
        <f ca="1">CHOOSE(ROUNDUP(Panchanga!$Q117,0),"Vishkambha-विष्कम्भ-Sa","Priti-प्रीति-Me","Ayushman-आयुष्मान-Ke","Saubhagya-सौभाग्य-Ve","Shobhana-शोभन-Su","Atiganda-अतिगण्ड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("&amp;Panchanga!$Q117&amp;")"</f>
        <v>Saubhagya-सौभाग्य-Ve (3.61)</v>
      </c>
      <c r="O117" s="2">
        <f ca="1">IF(AND(Panchanga!$P117&lt;28.5,Panchanga!$P117&gt;0.49999),MOD((Panchanga!$P117-0.5)*2,7),MOD((Panchanga!$P117+30-28.5),30)*2+7)</f>
        <v>5.4092000000000002</v>
      </c>
      <c r="P117" s="2">
        <f ca="1">ROUNDUP(MOD(360+Panchanga!$G117-Panchanga!$F117,360)/12,4)</f>
        <v>3.2046000000000001</v>
      </c>
      <c r="Q117" s="2">
        <f t="shared" ca="1" si="23"/>
        <v>3.61</v>
      </c>
      <c r="R117" s="2" t="str">
        <f ca="1">SIGN(S118-Panchanga!$S117)*INT(Panchanga!$S117/30+1)&amp;"Ma,"&amp;SIGN(T118-Panchanga!$T117)*INT(Panchanga!$T117/30+1)&amp;"Me,"&amp;SIGN(U118-Panchanga!$U117)*INT(Panchanga!$U117/30+1)&amp;"Ju,"&amp;SIGN(V118-Panchanga!$V117)*INT(Panchanga!$V117/30+1)&amp;"Ve,"&amp;SIGN(W118-Panchanga!$W117)*INT(Panchanga!$W117/30+1)&amp;"Sa,"&amp;INT(Panchanga!$X117/30+1)&amp;"Ra"</f>
        <v>9Ma,12Me,-7Ju,1Ve,-9Sa,4Ra</v>
      </c>
      <c r="S117" s="2">
        <f ca="1">Planet(Panchanga!$E117,4)</f>
        <v>263.49194857415347</v>
      </c>
      <c r="T117" s="2">
        <f ca="1">Planet(Panchanga!$E117,2)</f>
        <v>341.22581615113597</v>
      </c>
      <c r="U117" s="2">
        <f ca="1">Planet(Panchanga!$E117,5)</f>
        <v>206.67616824225371</v>
      </c>
      <c r="V117" s="2">
        <f ca="1">Planet(Panchanga!$E117,3)</f>
        <v>28.972026026688965</v>
      </c>
      <c r="W117" s="2">
        <f ca="1">Planet(Panchanga!$E117,6)</f>
        <v>255.03935719558743</v>
      </c>
      <c r="X117" s="2">
        <f ca="1">Planet(Panchanga!$E117,10)</f>
        <v>107.06736136932747</v>
      </c>
      <c r="Y117" s="2">
        <f ca="1">SIGN(S118-Panchanga!$S117)</f>
        <v>1</v>
      </c>
    </row>
    <row r="118" spans="1:25" x14ac:dyDescent="0.2">
      <c r="A118" s="3">
        <f t="shared" ca="1" si="24"/>
        <v>43210</v>
      </c>
      <c r="B118" s="3">
        <f t="shared" ca="1" si="17"/>
        <v>43210.229166666664</v>
      </c>
      <c r="C118" s="5">
        <f t="shared" ca="1" si="18"/>
        <v>43210.246477173328</v>
      </c>
      <c r="D118" s="5">
        <f t="shared" ca="1" si="19"/>
        <v>43209.765478273432</v>
      </c>
      <c r="E118" s="60">
        <f ca="1">Panchanga!$C118-TimeZone/24</f>
        <v>43210.017310506664</v>
      </c>
      <c r="F118" s="61">
        <f t="shared" ca="1" si="20"/>
        <v>5.777694878489724</v>
      </c>
      <c r="G118" s="61">
        <f t="shared" ca="1" si="21"/>
        <v>57.543832704177717</v>
      </c>
      <c r="H118" s="62">
        <f t="shared" ca="1" si="22"/>
        <v>43210.017310506664</v>
      </c>
      <c r="I118" s="2" t="str">
        <f ca="1">naks(Panchanga!$G118)</f>
        <v>Mrigashira</v>
      </c>
      <c r="J118" s="5">
        <f ca="1">(C119-Panchanga!$C118)/(G119-Panchanga!$G118)*(13.3333333333333-MOD(Panchanga!$G118,13.333333333333))+Panchanga!$C118</f>
        <v>43210.885317850392</v>
      </c>
      <c r="K118" s="2" t="str">
        <f ca="1">IF(Panchanga!$P118&gt;15,"K","S")&amp;ROUNDUP(MOD(Panchanga!$P118,15),0)&amp;" ("&amp;ROUND(Panchanga!$P118,2)&amp;")"</f>
        <v>S5 (4.31)</v>
      </c>
      <c r="L118" s="2">
        <f ca="1">IF(AND(Panchanga!$P118&lt;28.5,Panchanga!$P118&gt;0.49999),MOD((Panchanga!$P118-0.5)*2,7),MOD((Panchanga!$P118+30-28.5),30)*2+7)</f>
        <v>0.6277999999999988</v>
      </c>
      <c r="M118" s="2" t="str">
        <f ca="1">CHOOSE(ROUNDUP(Panchanga!$L118,0),"Bhava","Baalava","Kaulava","Taitula","Garija","Vanija","Vishti","Shakuni","Chatushapda","Naaga","Kimstugna")</f>
        <v>Bhava</v>
      </c>
      <c r="N118" s="25" t="str">
        <f ca="1">CHOOSE(ROUNDUP(Panchanga!$Q118,0),"Vishkambha-विष्कम्भ-Sa","Priti-प्रीति-Me","Ayushman-आयुष्मान-Ke","Saubhagya-सौभाग्य-Ve","Shobhana-शोभन-Su","Atiganda-अतिगण्ड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("&amp;Panchanga!$Q118&amp;")"</f>
        <v>Shobhana-शोभन-Su (4.75)</v>
      </c>
      <c r="O118" s="2">
        <f ca="1">IF(AND(Panchanga!$P118&lt;28.5,Panchanga!$P118&gt;0.49999),MOD((Panchanga!$P118-0.5)*2,7),MOD((Panchanga!$P118+30-28.5),30)*2+7)</f>
        <v>0.6277999999999988</v>
      </c>
      <c r="P118" s="2">
        <f ca="1">ROUNDUP(MOD(360+Panchanga!$G118-Panchanga!$F118,360)/12,4)</f>
        <v>4.3138999999999994</v>
      </c>
      <c r="Q118" s="2">
        <f t="shared" ca="1" si="23"/>
        <v>4.75</v>
      </c>
      <c r="R118" s="2" t="str">
        <f ca="1">SIGN(S119-Panchanga!$S118)*INT(Panchanga!$S118/30+1)&amp;"Ma,"&amp;SIGN(T119-Panchanga!$T118)*INT(Panchanga!$T118/30+1)&amp;"Me,"&amp;SIGN(U119-Panchanga!$U118)*INT(Panchanga!$U118/30+1)&amp;"Ju,"&amp;SIGN(V119-Panchanga!$V118)*INT(Panchanga!$V118/30+1)&amp;"Ve,"&amp;SIGN(W119-Panchanga!$W118)*INT(Panchanga!$W118/30+1)&amp;"Sa,"&amp;INT(Panchanga!$X118/30+1)&amp;"Ra"</f>
        <v>9Ma,12Me,-7Ju,2Ve,-9Sa,4Ra</v>
      </c>
      <c r="S118" s="2">
        <f ca="1">Planet(Panchanga!$E118,4)</f>
        <v>263.99695413475825</v>
      </c>
      <c r="T118" s="2">
        <f ca="1">Planet(Panchanga!$E118,2)</f>
        <v>341.56598861951312</v>
      </c>
      <c r="U118" s="2">
        <f ca="1">Planet(Panchanga!$E118,5)</f>
        <v>206.56562827295031</v>
      </c>
      <c r="V118" s="2">
        <f ca="1">Planet(Panchanga!$E118,3)</f>
        <v>30.192148787041685</v>
      </c>
      <c r="W118" s="2">
        <f ca="1">Planet(Panchanga!$E118,6)</f>
        <v>255.03694796121903</v>
      </c>
      <c r="X118" s="2">
        <f ca="1">Planet(Panchanga!$E118,10)</f>
        <v>107.01439010031859</v>
      </c>
      <c r="Y118" s="2">
        <f ca="1">SIGN(S119-Panchanga!$S118)</f>
        <v>1</v>
      </c>
    </row>
    <row r="119" spans="1:25" x14ac:dyDescent="0.2">
      <c r="A119" s="3">
        <f t="shared" ca="1" si="24"/>
        <v>43211</v>
      </c>
      <c r="B119" s="3">
        <f t="shared" ca="1" si="17"/>
        <v>43211.229166666664</v>
      </c>
      <c r="C119" s="5">
        <f t="shared" ca="1" si="18"/>
        <v>43211.246092206951</v>
      </c>
      <c r="D119" s="5">
        <f t="shared" ca="1" si="19"/>
        <v>43210.765573799654</v>
      </c>
      <c r="E119" s="60">
        <f ca="1">Panchanga!$C119-TimeZone/24</f>
        <v>43211.016925540287</v>
      </c>
      <c r="F119" s="61">
        <f t="shared" ca="1" si="20"/>
        <v>6.7538652741253502</v>
      </c>
      <c r="G119" s="61">
        <f t="shared" ca="1" si="21"/>
        <v>71.81863126599437</v>
      </c>
      <c r="H119" s="62">
        <f t="shared" ca="1" si="22"/>
        <v>43211.016925540287</v>
      </c>
      <c r="I119" s="2" t="str">
        <f ca="1">naks(Panchanga!$G119)</f>
        <v>Ardra</v>
      </c>
      <c r="J119" s="5">
        <f ca="1">(C120-Panchanga!$C119)/(G120-Panchanga!$G119)*(13.3333333333333-MOD(Panchanga!$G119,13.333333333333))+Panchanga!$C119</f>
        <v>43211.821647900768</v>
      </c>
      <c r="K119" s="2" t="str">
        <f ca="1">IF(Panchanga!$P119&gt;15,"K","S")&amp;ROUNDUP(MOD(Panchanga!$P119,15),0)&amp;" ("&amp;ROUND(Panchanga!$P119,2)&amp;")"</f>
        <v>S6 (5.42)</v>
      </c>
      <c r="L119" s="2">
        <f ca="1">IF(AND(Panchanga!$P119&lt;28.5,Panchanga!$P119&gt;0.49999),MOD((Panchanga!$P119-0.5)*2,7),MOD((Panchanga!$P119+30-28.5),30)*2+7)</f>
        <v>2.844199999999999</v>
      </c>
      <c r="M119" s="2" t="str">
        <f ca="1">CHOOSE(ROUNDUP(Panchanga!$L119,0),"Bhava","Baalava","Kaulava","Taitula","Garija","Vanija","Vishti","Shakuni","Chatushapda","Naaga","Kimstugna")</f>
        <v>Kaulava</v>
      </c>
      <c r="N119" s="25" t="str">
        <f ca="1">CHOOSE(ROUNDUP(Panchanga!$Q119,0),"Vishkambha-विष्कम्भ-Sa","Priti-प्रीति-Me","Ayushman-आयुष्मान-Ke","Saubhagya-सौभाग्य-Ve","Shobhana-शोभन-Su","Atiganda-अतिगण्ड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("&amp;Panchanga!$Q119&amp;")"</f>
        <v>Atiganda-अतिगण्ड -Mo (5.9)</v>
      </c>
      <c r="O119" s="2">
        <f ca="1">IF(AND(Panchanga!$P119&lt;28.5,Panchanga!$P119&gt;0.49999),MOD((Panchanga!$P119-0.5)*2,7),MOD((Panchanga!$P119+30-28.5),30)*2+7)</f>
        <v>2.844199999999999</v>
      </c>
      <c r="P119" s="2">
        <f ca="1">ROUNDUP(MOD(360+Panchanga!$G119-Panchanga!$F119,360)/12,4)</f>
        <v>5.4220999999999995</v>
      </c>
      <c r="Q119" s="2">
        <f t="shared" ca="1" si="23"/>
        <v>5.8999999999999995</v>
      </c>
      <c r="R119" s="2" t="str">
        <f ca="1">SIGN(S120-Panchanga!$S119)*INT(Panchanga!$S119/30+1)&amp;"Ma,"&amp;SIGN(T120-Panchanga!$T119)*INT(Panchanga!$T119/30+1)&amp;"Me,"&amp;SIGN(U120-Panchanga!$U119)*INT(Panchanga!$U119/30+1)&amp;"Ju,"&amp;SIGN(V120-Panchanga!$V119)*INT(Panchanga!$V119/30+1)&amp;"Ve,"&amp;SIGN(W120-Panchanga!$W119)*INT(Panchanga!$W119/30+1)&amp;"Sa,"&amp;INT(Panchanga!$X119/30+1)&amp;"Ra"</f>
        <v>9Ma,12Me,-7Ju,2Ve,-9Sa,4Ra</v>
      </c>
      <c r="S119" s="2">
        <f ca="1">Planet(Panchanga!$E119,4)</f>
        <v>264.49888080130773</v>
      </c>
      <c r="T119" s="2">
        <f ca="1">Planet(Panchanga!$E119,2)</f>
        <v>341.98147471952882</v>
      </c>
      <c r="U119" s="2">
        <f ca="1">Planet(Panchanga!$E119,5)</f>
        <v>206.45346912557611</v>
      </c>
      <c r="V119" s="2">
        <f ca="1">Planet(Panchanga!$E119,3)</f>
        <v>31.411566314813914</v>
      </c>
      <c r="W119" s="2">
        <f ca="1">Planet(Panchanga!$E119,6)</f>
        <v>255.03290144851053</v>
      </c>
      <c r="X119" s="2">
        <f ca="1">Planet(Panchanga!$E119,10)</f>
        <v>106.96141850285242</v>
      </c>
      <c r="Y119" s="2">
        <f ca="1">SIGN(S120-Panchanga!$S119)</f>
        <v>1</v>
      </c>
    </row>
    <row r="120" spans="1:25" x14ac:dyDescent="0.2">
      <c r="A120" s="3">
        <f t="shared" ca="1" si="24"/>
        <v>43212</v>
      </c>
      <c r="B120" s="3">
        <f t="shared" ca="1" si="17"/>
        <v>43212.229166666664</v>
      </c>
      <c r="C120" s="5">
        <f t="shared" ca="1" si="18"/>
        <v>43212.245713598248</v>
      </c>
      <c r="D120" s="5">
        <f t="shared" ca="1" si="19"/>
        <v>43211.765672504946</v>
      </c>
      <c r="E120" s="60">
        <f ca="1">Panchanga!$C120-TimeZone/24</f>
        <v>43212.016546931583</v>
      </c>
      <c r="F120" s="61">
        <f t="shared" ca="1" si="20"/>
        <v>7.7294312107399072</v>
      </c>
      <c r="G120" s="61">
        <f t="shared" ca="1" si="21"/>
        <v>86.027979352492778</v>
      </c>
      <c r="H120" s="62">
        <f t="shared" ca="1" si="22"/>
        <v>43212.016546931583</v>
      </c>
      <c r="I120" s="2" t="str">
        <f ca="1">naks(Panchanga!$G120)</f>
        <v>Punarvasu</v>
      </c>
      <c r="J120" s="5">
        <f ca="1">(C121-Panchanga!$C120)/(G121-Panchanga!$G120)*(13.3333333333333-MOD(Panchanga!$G120,13.333333333333))+Panchanga!$C120</f>
        <v>43212.763142725176</v>
      </c>
      <c r="K120" s="2" t="str">
        <f ca="1">IF(Panchanga!$P120&gt;15,"K","S")&amp;ROUNDUP(MOD(Panchanga!$P120,15),0)&amp;" ("&amp;ROUND(Panchanga!$P120,2)&amp;")"</f>
        <v>S7 (6.52)</v>
      </c>
      <c r="L120" s="2">
        <f ca="1">IF(AND(Panchanga!$P120&lt;28.5,Panchanga!$P120&gt;0.49999),MOD((Panchanga!$P120-0.5)*2,7),MOD((Panchanga!$P120+30-28.5),30)*2+7)</f>
        <v>5.0497999999999994</v>
      </c>
      <c r="M120" s="2" t="str">
        <f ca="1">CHOOSE(ROUNDUP(Panchanga!$L120,0),"Bhava","Baalava","Kaulava","Taitula","Garija","Vanija","Vishti","Shakuni","Chatushapda","Naaga","Kimstugna")</f>
        <v>Vanija</v>
      </c>
      <c r="N120" s="25" t="str">
        <f ca="1">CHOOSE(ROUNDUP(Panchanga!$Q120,0),"Vishkambha-विष्कम्भ-Sa","Priti-प्रीति-Me","Ayushman-आयुष्मान-Ke","Saubhagya-सौभाग्य-Ve","Shobhana-शोभन-Su","Atiganda-अतिगण्ड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("&amp;Panchanga!$Q120&amp;")"</f>
        <v>Dhriti-धृति -Ra (7.04)</v>
      </c>
      <c r="O120" s="2">
        <f ca="1">IF(AND(Panchanga!$P120&lt;28.5,Panchanga!$P120&gt;0.49999),MOD((Panchanga!$P120-0.5)*2,7),MOD((Panchanga!$P120+30-28.5),30)*2+7)</f>
        <v>5.0497999999999994</v>
      </c>
      <c r="P120" s="2">
        <f ca="1">ROUNDUP(MOD(360+Panchanga!$G120-Panchanga!$F120,360)/12,4)</f>
        <v>6.5248999999999997</v>
      </c>
      <c r="Q120" s="2">
        <f t="shared" ca="1" si="23"/>
        <v>7.04</v>
      </c>
      <c r="R120" s="2" t="str">
        <f ca="1">SIGN(S121-Panchanga!$S120)*INT(Panchanga!$S120/30+1)&amp;"Ma,"&amp;SIGN(T121-Panchanga!$T120)*INT(Panchanga!$T120/30+1)&amp;"Me,"&amp;SIGN(U121-Panchanga!$U120)*INT(Panchanga!$U120/30+1)&amp;"Ju,"&amp;SIGN(V121-Panchanga!$V120)*INT(Panchanga!$V120/30+1)&amp;"Ve,"&amp;SIGN(W121-Panchanga!$W120)*INT(Panchanga!$W120/30+1)&amp;"Sa,"&amp;INT(Panchanga!$X120/30+1)&amp;"Ra"</f>
        <v>9Ma,12Me,-7Ju,2Ve,-9Sa,4Ra</v>
      </c>
      <c r="S120" s="2">
        <f ca="1">Planet(Panchanga!$E120,4)</f>
        <v>264.99767452493774</v>
      </c>
      <c r="T120" s="2">
        <f ca="1">Planet(Panchanga!$E120,2)</f>
        <v>342.46923919970453</v>
      </c>
      <c r="U120" s="2">
        <f ca="1">Planet(Panchanga!$E120,5)</f>
        <v>206.33977063033655</v>
      </c>
      <c r="V120" s="2">
        <f ca="1">Planet(Panchanga!$E120,3)</f>
        <v>32.630261532169158</v>
      </c>
      <c r="W120" s="2">
        <f ca="1">Planet(Panchanga!$E120,6)</f>
        <v>255.02722398467469</v>
      </c>
      <c r="X120" s="2">
        <f ca="1">Planet(Panchanga!$E120,10)</f>
        <v>106.90844656846227</v>
      </c>
      <c r="Y120" s="2">
        <f ca="1">SIGN(S121-Panchanga!$S120)</f>
        <v>1</v>
      </c>
    </row>
    <row r="121" spans="1:25" x14ac:dyDescent="0.2">
      <c r="A121" s="3">
        <f t="shared" ca="1" si="24"/>
        <v>43213</v>
      </c>
      <c r="B121" s="3">
        <f t="shared" ca="1" si="17"/>
        <v>43213.229166666664</v>
      </c>
      <c r="C121" s="5">
        <f t="shared" ca="1" si="18"/>
        <v>43213.245341506008</v>
      </c>
      <c r="D121" s="5">
        <f t="shared" ca="1" si="19"/>
        <v>43212.765774389307</v>
      </c>
      <c r="E121" s="60">
        <f ca="1">Panchanga!$C121-TimeZone/24</f>
        <v>43213.016174839344</v>
      </c>
      <c r="F121" s="61">
        <f t="shared" ca="1" si="20"/>
        <v>8.7043899103984153</v>
      </c>
      <c r="G121" s="61">
        <f t="shared" ca="1" si="21"/>
        <v>100.14128557214816</v>
      </c>
      <c r="H121" s="62">
        <f t="shared" ca="1" si="22"/>
        <v>43213.016174839344</v>
      </c>
      <c r="I121" s="2" t="str">
        <f ca="1">naks(Panchanga!$G121)</f>
        <v>Pushya</v>
      </c>
      <c r="J121" s="5">
        <f ca="1">(C122-Panchanga!$C121)/(G122-Panchanga!$G121)*(13.3333333333333-MOD(Panchanga!$G121,13.333333333333))+Panchanga!$C121</f>
        <v>43213.711185581225</v>
      </c>
      <c r="K121" s="2" t="str">
        <f ca="1">IF(Panchanga!$P121&gt;15,"K","S")&amp;ROUNDUP(MOD(Panchanga!$P121,15),0)&amp;" ("&amp;ROUND(Panchanga!$P121,2)&amp;")"</f>
        <v>S8 (7.62)</v>
      </c>
      <c r="L121" s="2">
        <f ca="1">IF(AND(Panchanga!$P121&lt;28.5,Panchanga!$P121&gt;0.49999),MOD((Panchanga!$P121-0.5)*2,7),MOD((Panchanga!$P121+30-28.5),30)*2+7)</f>
        <v>0.23959999999999937</v>
      </c>
      <c r="M121" s="2" t="str">
        <f ca="1">CHOOSE(ROUNDUP(Panchanga!$L121,0),"Bhava","Baalava","Kaulava","Taitula","Garija","Vanija","Vishti","Shakuni","Chatushapda","Naaga","Kimstugna")</f>
        <v>Bhava</v>
      </c>
      <c r="N121" s="25" t="str">
        <f ca="1">CHOOSE(ROUNDUP(Panchanga!$Q121,0),"Vishkambha-विष्कम्भ-Sa","Priti-प्रीति-Me","Ayushman-आयुष्मान-Ke","Saubhagya-सौभाग्य-Ve","Shobhana-शोभन-Su","Atiganda-अतिगण्ड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("&amp;Panchanga!$Q121&amp;")"</f>
        <v>Shula-शूल -Ju (8.17)</v>
      </c>
      <c r="O121" s="2">
        <f ca="1">IF(AND(Panchanga!$P121&lt;28.5,Panchanga!$P121&gt;0.49999),MOD((Panchanga!$P121-0.5)*2,7),MOD((Panchanga!$P121+30-28.5),30)*2+7)</f>
        <v>0.23959999999999937</v>
      </c>
      <c r="P121" s="2">
        <f ca="1">ROUNDUP(MOD(360+Panchanga!$G121-Panchanga!$F121,360)/12,4)</f>
        <v>7.6197999999999997</v>
      </c>
      <c r="Q121" s="2">
        <f t="shared" ca="1" si="23"/>
        <v>8.17</v>
      </c>
      <c r="R121" s="2" t="str">
        <f ca="1">SIGN(S122-Panchanga!$S121)*INT(Panchanga!$S121/30+1)&amp;"Ma,"&amp;SIGN(T122-Panchanga!$T121)*INT(Panchanga!$T121/30+1)&amp;"Me,"&amp;SIGN(U122-Panchanga!$U121)*INT(Panchanga!$U121/30+1)&amp;"Ju,"&amp;SIGN(V122-Panchanga!$V121)*INT(Panchanga!$V121/30+1)&amp;"Ve,"&amp;SIGN(W122-Panchanga!$W121)*INT(Panchanga!$W121/30+1)&amp;"Sa,"&amp;INT(Panchanga!$X121/30+1)&amp;"Ra"</f>
        <v>9Ma,12Me,-7Ju,2Ve,-9Sa,4Ra</v>
      </c>
      <c r="S121" s="2">
        <f ca="1">Planet(Panchanga!$E121,4)</f>
        <v>265.49328148632213</v>
      </c>
      <c r="T121" s="2">
        <f ca="1">Planet(Panchanga!$E121,2)</f>
        <v>343.02624872591167</v>
      </c>
      <c r="U121" s="2">
        <f ca="1">Planet(Panchanga!$E121,5)</f>
        <v>206.22461299369436</v>
      </c>
      <c r="V121" s="2">
        <f ca="1">Planet(Panchanga!$E121,3)</f>
        <v>33.848219198297542</v>
      </c>
      <c r="W121" s="2">
        <f ca="1">Planet(Panchanga!$E121,6)</f>
        <v>255.01992255289707</v>
      </c>
      <c r="X121" s="2">
        <f ca="1">Planet(Panchanga!$E121,10)</f>
        <v>106.85547428876448</v>
      </c>
      <c r="Y121" s="2">
        <f ca="1">SIGN(S122-Panchanga!$S121)</f>
        <v>1</v>
      </c>
    </row>
    <row r="122" spans="1:25" x14ac:dyDescent="0.2">
      <c r="A122" s="3">
        <f t="shared" ca="1" si="24"/>
        <v>43214</v>
      </c>
      <c r="B122" s="3">
        <f t="shared" ca="1" si="17"/>
        <v>43214.229166666664</v>
      </c>
      <c r="C122" s="5">
        <f t="shared" ca="1" si="18"/>
        <v>43214.244976248745</v>
      </c>
      <c r="D122" s="5">
        <f t="shared" ca="1" si="19"/>
        <v>43213.765879611528</v>
      </c>
      <c r="E122" s="60">
        <f ca="1">Panchanga!$C122-TimeZone/24</f>
        <v>43214.015809582081</v>
      </c>
      <c r="F122" s="61">
        <f t="shared" ca="1" si="20"/>
        <v>9.6787438800185139</v>
      </c>
      <c r="G122" s="61">
        <f t="shared" ca="1" si="21"/>
        <v>114.14381989360318</v>
      </c>
      <c r="H122" s="62">
        <f t="shared" ca="1" si="22"/>
        <v>43214.015809582081</v>
      </c>
      <c r="I122" s="2" t="str">
        <f ca="1">naks(Panchanga!$G122)</f>
        <v>Aslesha</v>
      </c>
      <c r="J122" s="5">
        <f ca="1">(C123-Panchanga!$C122)/(G123-Panchanga!$G122)*(13.3333333333333-MOD(Panchanga!$G122,13.333333333333))+Panchanga!$C122</f>
        <v>43214.66659241412</v>
      </c>
      <c r="K122" s="2" t="str">
        <f ca="1">IF(Panchanga!$P122&gt;15,"K","S")&amp;ROUNDUP(MOD(Panchanga!$P122,15),0)&amp;" ("&amp;ROUND(Panchanga!$P122,2)&amp;")"</f>
        <v>S9 (8.71)</v>
      </c>
      <c r="L122" s="2">
        <f ca="1">IF(AND(Panchanga!$P122&lt;28.5,Panchanga!$P122&gt;0.49999),MOD((Panchanga!$P122-0.5)*2,7),MOD((Panchanga!$P122+30-28.5),30)*2+7)</f>
        <v>2.4109999999999978</v>
      </c>
      <c r="M122" s="2" t="str">
        <f ca="1">CHOOSE(ROUNDUP(Panchanga!$L122,0),"Bhava","Baalava","Kaulava","Taitula","Garija","Vanija","Vishti","Shakuni","Chatushapda","Naaga","Kimstugna")</f>
        <v>Kaulava</v>
      </c>
      <c r="N122" s="25" t="str">
        <f ca="1">CHOOSE(ROUNDUP(Panchanga!$Q122,0),"Vishkambha-विष्कम्भ-Sa","Priti-प्रीति-Me","Ayushman-आयुष्मान-Ke","Saubhagya-सौभाग्य-Ve","Shobhana-शोभन-Su","Atiganda-अतिगण्ड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("&amp;Panchanga!$Q122&amp;")"</f>
        <v>Ganda-गण्ड -Sa (9.29)</v>
      </c>
      <c r="O122" s="2">
        <f ca="1">IF(AND(Panchanga!$P122&lt;28.5,Panchanga!$P122&gt;0.49999),MOD((Panchanga!$P122-0.5)*2,7),MOD((Panchanga!$P122+30-28.5),30)*2+7)</f>
        <v>2.4109999999999978</v>
      </c>
      <c r="P122" s="2">
        <f ca="1">ROUNDUP(MOD(360+Panchanga!$G122-Panchanga!$F122,360)/12,4)</f>
        <v>8.7054999999999989</v>
      </c>
      <c r="Q122" s="2">
        <f t="shared" ca="1" si="23"/>
        <v>9.2899999999999991</v>
      </c>
      <c r="R122" s="2" t="str">
        <f ca="1">SIGN(S123-Panchanga!$S122)*INT(Panchanga!$S122/30+1)&amp;"Ma,"&amp;SIGN(T123-Panchanga!$T122)*INT(Panchanga!$T122/30+1)&amp;"Me,"&amp;SIGN(U123-Panchanga!$U122)*INT(Panchanga!$U122/30+1)&amp;"Ju,"&amp;SIGN(V123-Panchanga!$V122)*INT(Panchanga!$V122/30+1)&amp;"Ve,"&amp;SIGN(W123-Panchanga!$W122)*INT(Panchanga!$W122/30+1)&amp;"Sa,"&amp;INT(Panchanga!$X122/30+1)&amp;"Ra"</f>
        <v>9Ma,12Me,-7Ju,2Ve,-9Sa,4Ra</v>
      </c>
      <c r="S122" s="2">
        <f ca="1">Planet(Panchanga!$E122,4)</f>
        <v>265.98564641190717</v>
      </c>
      <c r="T122" s="2">
        <f ca="1">Planet(Panchanga!$E122,2)</f>
        <v>343.64952268747669</v>
      </c>
      <c r="U122" s="2">
        <f ca="1">Planet(Panchanga!$E122,5)</f>
        <v>206.10807644390499</v>
      </c>
      <c r="V122" s="2">
        <f ca="1">Planet(Panchanga!$E122,3)</f>
        <v>35.065426700971251</v>
      </c>
      <c r="W122" s="2">
        <f ca="1">Planet(Panchanga!$E122,6)</f>
        <v>255.01100460052248</v>
      </c>
      <c r="X122" s="2">
        <f ca="1">Planet(Panchanga!$E122,10)</f>
        <v>106.80250164685891</v>
      </c>
      <c r="Y122" s="2">
        <f ca="1">SIGN(S123-Panchanga!$S122)</f>
        <v>1</v>
      </c>
    </row>
    <row r="123" spans="1:25" x14ac:dyDescent="0.2">
      <c r="A123" s="3">
        <f t="shared" ca="1" si="24"/>
        <v>43215</v>
      </c>
      <c r="B123" s="3">
        <f t="shared" ca="1" si="17"/>
        <v>43215.229166666664</v>
      </c>
      <c r="C123" s="5">
        <f t="shared" ca="1" si="18"/>
        <v>43215.244617985249</v>
      </c>
      <c r="D123" s="5">
        <f t="shared" ca="1" si="19"/>
        <v>43214.765988171144</v>
      </c>
      <c r="E123" s="60">
        <f ca="1">Panchanga!$C123-TimeZone/24</f>
        <v>43215.015451318584</v>
      </c>
      <c r="F123" s="61">
        <f t="shared" ca="1" si="20"/>
        <v>10.652500529045561</v>
      </c>
      <c r="G123" s="61">
        <f t="shared" ca="1" si="21"/>
        <v>128.0286813661651</v>
      </c>
      <c r="H123" s="62">
        <f t="shared" ca="1" si="22"/>
        <v>43215.015451318584</v>
      </c>
      <c r="I123" s="2" t="str">
        <f ca="1">naks(Panchanga!$G123)</f>
        <v>Makha</v>
      </c>
      <c r="J123" s="5">
        <f ca="1">(C124-Panchanga!$C123)/(G124-Panchanga!$G123)*(13.3333333333333-MOD(Panchanga!$G123,13.333333333333))+Panchanga!$C123</f>
        <v>43215.629997307668</v>
      </c>
      <c r="K123" s="2" t="str">
        <f ca="1">IF(Panchanga!$P123&gt;15,"K","S")&amp;ROUNDUP(MOD(Panchanga!$P123,15),0)&amp;" ("&amp;ROUND(Panchanga!$P123,2)&amp;")"</f>
        <v>S10 (9.78)</v>
      </c>
      <c r="L123" s="2">
        <f ca="1">IF(AND(Panchanga!$P123&lt;28.5,Panchanga!$P123&gt;0.49999),MOD((Panchanga!$P123-0.5)*2,7),MOD((Panchanga!$P123+30-28.5),30)*2+7)</f>
        <v>4.5627999999999993</v>
      </c>
      <c r="M123" s="2" t="str">
        <f ca="1">CHOOSE(ROUNDUP(Panchanga!$L123,0),"Bhava","Baalava","Kaulava","Taitula","Garija","Vanija","Vishti","Shakuni","Chatushapda","Naaga","Kimstugna")</f>
        <v>Garija</v>
      </c>
      <c r="N123" s="25" t="str">
        <f ca="1">CHOOSE(ROUNDUP(Panchanga!$Q123,0),"Vishkambha-विष्कम्भ-Sa","Priti-प्रीति-Me","Ayushman-आयुष्मान-Ke","Saubhagya-सौभाग्य-Ve","Shobhana-शोभन-Su","Atiganda-अतिगण्ड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("&amp;Panchanga!$Q123&amp;")"</f>
        <v>Vriddhi-वृद्धि -Me (10.41)</v>
      </c>
      <c r="O123" s="2">
        <f ca="1">IF(AND(Panchanga!$P123&lt;28.5,Panchanga!$P123&gt;0.49999),MOD((Panchanga!$P123-0.5)*2,7),MOD((Panchanga!$P123+30-28.5),30)*2+7)</f>
        <v>4.5627999999999993</v>
      </c>
      <c r="P123" s="2">
        <f ca="1">ROUNDUP(MOD(360+Panchanga!$G123-Panchanga!$F123,360)/12,4)</f>
        <v>9.7813999999999997</v>
      </c>
      <c r="Q123" s="2">
        <f t="shared" ca="1" si="23"/>
        <v>10.41</v>
      </c>
      <c r="R123" s="2" t="str">
        <f ca="1">SIGN(S124-Panchanga!$S123)*INT(Panchanga!$S123/30+1)&amp;"Ma,"&amp;SIGN(T124-Panchanga!$T123)*INT(Panchanga!$T123/30+1)&amp;"Me,"&amp;SIGN(U124-Panchanga!$U123)*INT(Panchanga!$U123/30+1)&amp;"Ju,"&amp;SIGN(V124-Panchanga!$V123)*INT(Panchanga!$V123/30+1)&amp;"Ve,"&amp;SIGN(W124-Panchanga!$W123)*INT(Panchanga!$W123/30+1)&amp;"Sa,"&amp;INT(Panchanga!$X123/30+1)&amp;"Ra"</f>
        <v>9Ma,12Me,-7Ju,2Ve,-9Sa,4Ra</v>
      </c>
      <c r="S123" s="2">
        <f ca="1">Planet(Panchanga!$E123,4)</f>
        <v>266.47471063493543</v>
      </c>
      <c r="T123" s="2">
        <f ca="1">Planet(Panchanga!$E123,2)</f>
        <v>344.33617084177843</v>
      </c>
      <c r="U123" s="2">
        <f ca="1">Planet(Panchanga!$E123,5)</f>
        <v>205.99024106368853</v>
      </c>
      <c r="V123" s="2">
        <f ca="1">Planet(Panchanga!$E123,3)</f>
        <v>36.28187402666471</v>
      </c>
      <c r="W123" s="2">
        <f ca="1">Planet(Panchanga!$E123,6)</f>
        <v>255.00047786480116</v>
      </c>
      <c r="X123" s="2">
        <f ca="1">Planet(Panchanga!$E123,10)</f>
        <v>106.74952863434498</v>
      </c>
      <c r="Y123" s="2">
        <f ca="1">SIGN(S124-Panchanga!$S123)</f>
        <v>1</v>
      </c>
    </row>
    <row r="124" spans="1:25" x14ac:dyDescent="0.2">
      <c r="A124" s="3">
        <f t="shared" ca="1" si="24"/>
        <v>43216</v>
      </c>
      <c r="B124" s="3">
        <f t="shared" ca="1" si="17"/>
        <v>43216.229166666664</v>
      </c>
      <c r="C124" s="5">
        <f t="shared" ca="1" si="18"/>
        <v>43216.2442670331</v>
      </c>
      <c r="D124" s="5">
        <f t="shared" ca="1" si="19"/>
        <v>43215.766100227876</v>
      </c>
      <c r="E124" s="60">
        <f ca="1">Panchanga!$C124-TimeZone/24</f>
        <v>43216.015100366436</v>
      </c>
      <c r="F124" s="61">
        <f t="shared" ca="1" si="20"/>
        <v>11.625671986259935</v>
      </c>
      <c r="G124" s="61">
        <f t="shared" ca="1" si="21"/>
        <v>141.78860562689306</v>
      </c>
      <c r="H124" s="62">
        <f t="shared" ca="1" si="22"/>
        <v>43216.015100366436</v>
      </c>
      <c r="I124" s="2" t="str">
        <f ca="1">naks(Panchanga!$G124)</f>
        <v>Purva Phalguni</v>
      </c>
      <c r="J124" s="5">
        <f ca="1">(C125-Panchanga!$C124)/(G125-Panchanga!$G124)*(13.3333333333333-MOD(Panchanga!$G124,13.333333333333))+Panchanga!$C124</f>
        <v>43216.602261840097</v>
      </c>
      <c r="K124" s="2" t="str">
        <f ca="1">IF(Panchanga!$P124&gt;15,"K","S")&amp;ROUNDUP(MOD(Panchanga!$P124,15),0)&amp;" ("&amp;ROUND(Panchanga!$P124,2)&amp;")"</f>
        <v>S11 (10.85)</v>
      </c>
      <c r="L124" s="2">
        <f ca="1">IF(AND(Panchanga!$P124&lt;28.5,Panchanga!$P124&gt;0.49999),MOD((Panchanga!$P124-0.5)*2,7),MOD((Panchanga!$P124+30-28.5),30)*2+7)</f>
        <v>6.6939999999999991</v>
      </c>
      <c r="M124" s="2" t="str">
        <f ca="1">CHOOSE(ROUNDUP(Panchanga!$L124,0),"Bhava","Baalava","Kaulava","Taitula","Garija","Vanija","Vishti","Shakuni","Chatushapda","Naaga","Kimstugna")</f>
        <v>Vishti</v>
      </c>
      <c r="N124" s="25" t="str">
        <f ca="1">CHOOSE(ROUNDUP(Panchanga!$Q124,0),"Vishkambha-विष्कम्भ-Sa","Priti-प्रीति-Me","Ayushman-आयुष्मान-Ke","Saubhagya-सौभाग्य-Ve","Shobhana-शोभन-Su","Atiganda-अतिगण्ड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("&amp;Panchanga!$Q124&amp;")"</f>
        <v>Dhruva-ध्रुव -Ke (11.51)</v>
      </c>
      <c r="O124" s="2">
        <f ca="1">IF(AND(Panchanga!$P124&lt;28.5,Panchanga!$P124&gt;0.49999),MOD((Panchanga!$P124-0.5)*2,7),MOD((Panchanga!$P124+30-28.5),30)*2+7)</f>
        <v>6.6939999999999991</v>
      </c>
      <c r="P124" s="2">
        <f ca="1">ROUNDUP(MOD(360+Panchanga!$G124-Panchanga!$F124,360)/12,4)</f>
        <v>10.847</v>
      </c>
      <c r="Q124" s="2">
        <f t="shared" ca="1" si="23"/>
        <v>11.51</v>
      </c>
      <c r="R124" s="2" t="str">
        <f ca="1">SIGN(S125-Panchanga!$S124)*INT(Panchanga!$S124/30+1)&amp;"Ma,"&amp;SIGN(T125-Panchanga!$T124)*INT(Panchanga!$T124/30+1)&amp;"Me,"&amp;SIGN(U125-Panchanga!$U124)*INT(Panchanga!$U124/30+1)&amp;"Ju,"&amp;SIGN(V125-Panchanga!$V124)*INT(Panchanga!$V124/30+1)&amp;"Ve,"&amp;SIGN(W125-Panchanga!$W124)*INT(Panchanga!$W124/30+1)&amp;"Sa,"&amp;INT(Panchanga!$X124/30+1)&amp;"Ra"</f>
        <v>9Ma,12Me,-7Ju,2Ve,-9Sa,4Ra</v>
      </c>
      <c r="S124" s="2">
        <f ca="1">Planet(Panchanga!$E124,4)</f>
        <v>266.96041067628187</v>
      </c>
      <c r="T124" s="2">
        <f ca="1">Planet(Panchanga!$E124,2)</f>
        <v>345.08342078274529</v>
      </c>
      <c r="U124" s="2">
        <f ca="1">Planet(Panchanga!$E124,5)</f>
        <v>205.87118668658925</v>
      </c>
      <c r="V124" s="2">
        <f ca="1">Planet(Panchanga!$E124,3)</f>
        <v>37.497554233556031</v>
      </c>
      <c r="W124" s="2">
        <f ca="1">Planet(Panchanga!$E124,6)</f>
        <v>254.98835023744607</v>
      </c>
      <c r="X124" s="2">
        <f ca="1">Planet(Panchanga!$E124,10)</f>
        <v>106.69655523442208</v>
      </c>
      <c r="Y124" s="2">
        <f ca="1">SIGN(S125-Panchanga!$S124)</f>
        <v>1</v>
      </c>
    </row>
    <row r="125" spans="1:25" x14ac:dyDescent="0.2">
      <c r="A125" s="3">
        <f t="shared" ca="1" si="24"/>
        <v>43217</v>
      </c>
      <c r="B125" s="3">
        <f t="shared" ca="1" si="17"/>
        <v>43217.229166666664</v>
      </c>
      <c r="C125" s="5">
        <f t="shared" ca="1" si="18"/>
        <v>43217.2439233923</v>
      </c>
      <c r="D125" s="5">
        <f t="shared" ca="1" si="19"/>
        <v>43216.766215781725</v>
      </c>
      <c r="E125" s="60">
        <f ca="1">Panchanga!$C125-TimeZone/24</f>
        <v>43217.014756725635</v>
      </c>
      <c r="F125" s="61">
        <f t="shared" ca="1" si="20"/>
        <v>12.598273835110245</v>
      </c>
      <c r="G125" s="61">
        <f t="shared" ca="1" si="21"/>
        <v>155.40998963492163</v>
      </c>
      <c r="H125" s="62">
        <f t="shared" ca="1" si="22"/>
        <v>43217.014756725635</v>
      </c>
      <c r="I125" s="2" t="str">
        <f ca="1">naks(Panchanga!$G125)</f>
        <v>Uttara Phalguni</v>
      </c>
      <c r="J125" s="5">
        <f ca="1">(C126-Panchanga!$C125)/(G126-Panchanga!$G125)*(13.3333333333333-MOD(Panchanga!$G125,13.333333333333))+Panchanga!$C125</f>
        <v>43217.584800026263</v>
      </c>
      <c r="K125" s="2" t="str">
        <f ca="1">IF(Panchanga!$P125&gt;15,"K","S")&amp;ROUNDUP(MOD(Panchanga!$P125,15),0)&amp;" ("&amp;ROUND(Panchanga!$P125,2)&amp;")"</f>
        <v>S12 (11.9)</v>
      </c>
      <c r="L125" s="2">
        <f ca="1">IF(AND(Panchanga!$P125&lt;28.5,Panchanga!$P125&gt;0.49999),MOD((Panchanga!$P125-0.5)*2,7),MOD((Panchanga!$P125+30-28.5),30)*2+7)</f>
        <v>1.8019999999999996</v>
      </c>
      <c r="M125" s="2" t="str">
        <f ca="1">CHOOSE(ROUNDUP(Panchanga!$L125,0),"Bhava","Baalava","Kaulava","Taitula","Garija","Vanija","Vishti","Shakuni","Chatushapda","Naaga","Kimstugna")</f>
        <v>Baalava</v>
      </c>
      <c r="N125" s="25" t="str">
        <f ca="1">CHOOSE(ROUNDUP(Panchanga!$Q125,0),"Vishkambha-विष्कम्भ-Sa","Priti-प्रीति-Me","Ayushman-आयुष्मान-Ke","Saubhagya-सौभाग्य-Ve","Shobhana-शोभन-Su","Atiganda-अतिगण्ड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("&amp;Panchanga!$Q125&amp;")"</f>
        <v>Vyaghata-व्याघात-ve (12.61)</v>
      </c>
      <c r="O125" s="2">
        <f ca="1">IF(AND(Panchanga!$P125&lt;28.5,Panchanga!$P125&gt;0.49999),MOD((Panchanga!$P125-0.5)*2,7),MOD((Panchanga!$P125+30-28.5),30)*2+7)</f>
        <v>1.8019999999999996</v>
      </c>
      <c r="P125" s="2">
        <f ca="1">ROUNDUP(MOD(360+Panchanga!$G125-Panchanga!$F125,360)/12,4)</f>
        <v>11.901</v>
      </c>
      <c r="Q125" s="2">
        <f t="shared" ca="1" si="23"/>
        <v>12.61</v>
      </c>
      <c r="R125" s="2" t="str">
        <f ca="1">SIGN(S126-Panchanga!$S125)*INT(Panchanga!$S125/30+1)&amp;"Ma,"&amp;SIGN(T126-Panchanga!$T125)*INT(Panchanga!$T125/30+1)&amp;"Me,"&amp;SIGN(U126-Panchanga!$U125)*INT(Panchanga!$U125/30+1)&amp;"Ju,"&amp;SIGN(V126-Panchanga!$V125)*INT(Panchanga!$V125/30+1)&amp;"Ve,"&amp;SIGN(W126-Panchanga!$W125)*INT(Panchanga!$W125/30+1)&amp;"Sa,"&amp;INT(Panchanga!$X125/30+1)&amp;"Ra"</f>
        <v>9Ma,12Me,-7Ju,2Ve,-9Sa,4Ra</v>
      </c>
      <c r="S125" s="2">
        <f ca="1">Planet(Panchanga!$E125,4)</f>
        <v>267.44267680043595</v>
      </c>
      <c r="T125" s="2">
        <f ca="1">Planet(Panchanga!$E125,2)</f>
        <v>345.88863645467177</v>
      </c>
      <c r="U125" s="2">
        <f ca="1">Planet(Panchanga!$E125,5)</f>
        <v>205.75099301304536</v>
      </c>
      <c r="V125" s="2">
        <f ca="1">Planet(Panchanga!$E125,3)</f>
        <v>38.71246270720485</v>
      </c>
      <c r="W125" s="2">
        <f ca="1">Planet(Panchanga!$E125,6)</f>
        <v>254.97462968277313</v>
      </c>
      <c r="X125" s="2">
        <f ca="1">Planet(Panchanga!$E125,10)</f>
        <v>106.64358144702389</v>
      </c>
      <c r="Y125" s="2">
        <f ca="1">SIGN(S126-Panchanga!$S125)</f>
        <v>1</v>
      </c>
    </row>
    <row r="126" spans="1:25" x14ac:dyDescent="0.2">
      <c r="A126" s="3">
        <f t="shared" ca="1" si="24"/>
        <v>43218</v>
      </c>
      <c r="B126" s="3">
        <f t="shared" ca="1" si="17"/>
        <v>43218.229166666664</v>
      </c>
      <c r="C126" s="5">
        <f t="shared" ca="1" si="18"/>
        <v>43218.24358754015</v>
      </c>
      <c r="D126" s="5">
        <f t="shared" ca="1" si="19"/>
        <v>43217.766334991014</v>
      </c>
      <c r="E126" s="60">
        <f ca="1">Panchanga!$C126-TimeZone/24</f>
        <v>43218.014420873486</v>
      </c>
      <c r="F126" s="61">
        <f t="shared" ca="1" si="20"/>
        <v>13.570324934761683</v>
      </c>
      <c r="G126" s="61">
        <f t="shared" ca="1" si="21"/>
        <v>168.87077967755656</v>
      </c>
      <c r="H126" s="62">
        <f t="shared" ca="1" si="22"/>
        <v>43218.014420873486</v>
      </c>
      <c r="I126" s="2" t="str">
        <f ca="1">naks(Panchanga!$G126)</f>
        <v>Hasta</v>
      </c>
      <c r="J126" s="5">
        <f ca="1">(C127-Panchanga!$C126)/(G127-Panchanga!$G126)*(13.3333333333333-MOD(Panchanga!$G126,13.333333333333))+Panchanga!$C126</f>
        <v>43218.579719314686</v>
      </c>
      <c r="K126" s="2" t="str">
        <f ca="1">IF(Panchanga!$P126&gt;15,"K","S")&amp;ROUNDUP(MOD(Panchanga!$P126,15),0)&amp;" ("&amp;ROUND(Panchanga!$P126,2)&amp;")"</f>
        <v>S13 (12.94)</v>
      </c>
      <c r="L126" s="2">
        <f ca="1">IF(AND(Panchanga!$P126&lt;28.5,Panchanga!$P126&gt;0.49999),MOD((Panchanga!$P126-0.5)*2,7),MOD((Panchanga!$P126+30-28.5),30)*2+7)</f>
        <v>3.8836000000000013</v>
      </c>
      <c r="M126" s="2" t="str">
        <f ca="1">CHOOSE(ROUNDUP(Panchanga!$L126,0),"Bhava","Baalava","Kaulava","Taitula","Garija","Vanija","Vishti","Shakuni","Chatushapda","Naaga","Kimstugna")</f>
        <v>Taitula</v>
      </c>
      <c r="N126" s="25" t="str">
        <f ca="1">CHOOSE(ROUNDUP(Panchanga!$Q126,0),"Vishkambha-विष्कम्भ-Sa","Priti-प्रीति-Me","Ayushman-आयुष्मान-Ke","Saubhagya-सौभाग्य-Ve","Shobhana-शोभन-Su","Atiganda-अतिगण्ड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("&amp;Panchanga!$Q126&amp;")"</f>
        <v>Harshana-हर्षण-su (13.69)</v>
      </c>
      <c r="O126" s="2">
        <f ca="1">IF(AND(Panchanga!$P126&lt;28.5,Panchanga!$P126&gt;0.49999),MOD((Panchanga!$P126-0.5)*2,7),MOD((Panchanga!$P126+30-28.5),30)*2+7)</f>
        <v>3.8836000000000013</v>
      </c>
      <c r="P126" s="2">
        <f ca="1">ROUNDUP(MOD(360+Panchanga!$G126-Panchanga!$F126,360)/12,4)</f>
        <v>12.941800000000001</v>
      </c>
      <c r="Q126" s="2">
        <f t="shared" ca="1" si="23"/>
        <v>13.69</v>
      </c>
      <c r="R126" s="2" t="str">
        <f ca="1">SIGN(S127-Panchanga!$S126)*INT(Panchanga!$S126/30+1)&amp;"Ma,"&amp;SIGN(T127-Panchanga!$T126)*INT(Panchanga!$T126/30+1)&amp;"Me,"&amp;SIGN(U127-Panchanga!$U126)*INT(Panchanga!$U126/30+1)&amp;"Ju,"&amp;SIGN(V127-Panchanga!$V126)*INT(Panchanga!$V126/30+1)&amp;"Ve,"&amp;SIGN(W127-Panchanga!$W126)*INT(Panchanga!$W126/30+1)&amp;"Sa,"&amp;INT(Panchanga!$X126/30+1)&amp;"Ra"</f>
        <v>9Ma,12Me,-7Ju,2Ve,-9Sa,4Ra</v>
      </c>
      <c r="S126" s="2">
        <f ca="1">Planet(Panchanga!$E126,4)</f>
        <v>267.92143260520425</v>
      </c>
      <c r="T126" s="2">
        <f ca="1">Planet(Panchanga!$E126,2)</f>
        <v>346.74933110316567</v>
      </c>
      <c r="U126" s="2">
        <f ca="1">Planet(Panchanga!$E126,5)</f>
        <v>205.62973965786463</v>
      </c>
      <c r="V126" s="2">
        <f ca="1">Planet(Panchanga!$E126,3)</f>
        <v>39.926597783914936</v>
      </c>
      <c r="W126" s="2">
        <f ca="1">Planet(Panchanga!$E126,6)</f>
        <v>254.95932420012019</v>
      </c>
      <c r="X126" s="2">
        <f ca="1">Planet(Panchanga!$E126,10)</f>
        <v>106.59060724689957</v>
      </c>
      <c r="Y126" s="2">
        <f ca="1">SIGN(S127-Panchanga!$S126)</f>
        <v>1</v>
      </c>
    </row>
    <row r="127" spans="1:25" x14ac:dyDescent="0.2">
      <c r="A127" s="3">
        <f t="shared" ca="1" si="24"/>
        <v>43219</v>
      </c>
      <c r="B127" s="3">
        <f t="shared" ca="1" si="17"/>
        <v>43219.229166666664</v>
      </c>
      <c r="C127" s="5">
        <f t="shared" ca="1" si="18"/>
        <v>43219.243259476185</v>
      </c>
      <c r="D127" s="5">
        <f t="shared" ca="1" si="19"/>
        <v>43218.766457855745</v>
      </c>
      <c r="E127" s="60">
        <f ca="1">Panchanga!$C127-TimeZone/24</f>
        <v>43219.014092809521</v>
      </c>
      <c r="F127" s="61">
        <f t="shared" ca="1" si="20"/>
        <v>14.541845516837826</v>
      </c>
      <c r="G127" s="61">
        <f t="shared" ca="1" si="21"/>
        <v>182.14262718114787</v>
      </c>
      <c r="H127" s="62">
        <f t="shared" ca="1" si="22"/>
        <v>43219.014092809521</v>
      </c>
      <c r="I127" s="2" t="str">
        <f ca="1">naks(Panchanga!$G127)</f>
        <v>Chitra</v>
      </c>
      <c r="J127" s="5">
        <f ca="1">(C128-Panchanga!$C127)/(G128-Panchanga!$G127)*(13.3333333333333-MOD(Panchanga!$G127,13.333333333333))+Panchanga!$C127</f>
        <v>43219.58971719299</v>
      </c>
      <c r="K127" s="2" t="str">
        <f ca="1">IF(Panchanga!$P127&gt;15,"K","S")&amp;ROUNDUP(MOD(Panchanga!$P127,15),0)&amp;" ("&amp;ROUND(Panchanga!$P127,2)&amp;")"</f>
        <v>S14 (13.97)</v>
      </c>
      <c r="L127" s="2">
        <f ca="1">IF(AND(Panchanga!$P127&lt;28.5,Panchanga!$P127&gt;0.49999),MOD((Panchanga!$P127-0.5)*2,7),MOD((Panchanga!$P127+30-28.5),30)*2+7)</f>
        <v>5.9335999999999984</v>
      </c>
      <c r="M127" s="2" t="str">
        <f ca="1">CHOOSE(ROUNDUP(Panchanga!$L127,0),"Bhava","Baalava","Kaulava","Taitula","Garija","Vanija","Vishti","Shakuni","Chatushapda","Naaga","Kimstugna")</f>
        <v>Vanija</v>
      </c>
      <c r="N127" s="25" t="str">
        <f ca="1">CHOOSE(ROUNDUP(Panchanga!$Q127,0),"Vishkambha-विष्कम्भ-Sa","Priti-प्रीति-Me","Ayushman-आयुष्मान-Ke","Saubhagya-सौभाग्य-Ve","Shobhana-शोभन-Su","Atiganda-अतिगण्ड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("&amp;Panchanga!$Q127&amp;")"</f>
        <v>Vajra-वज्र-Mo (14.76)</v>
      </c>
      <c r="O127" s="2">
        <f ca="1">IF(AND(Panchanga!$P127&lt;28.5,Panchanga!$P127&gt;0.49999),MOD((Panchanga!$P127-0.5)*2,7),MOD((Panchanga!$P127+30-28.5),30)*2+7)</f>
        <v>5.9335999999999984</v>
      </c>
      <c r="P127" s="2">
        <f ca="1">ROUNDUP(MOD(360+Panchanga!$G127-Panchanga!$F127,360)/12,4)</f>
        <v>13.966799999999999</v>
      </c>
      <c r="Q127" s="2">
        <f t="shared" ca="1" si="23"/>
        <v>14.76</v>
      </c>
      <c r="R127" s="2" t="str">
        <f ca="1">SIGN(S128-Panchanga!$S127)*INT(Panchanga!$S127/30+1)&amp;"Ma,"&amp;SIGN(T128-Panchanga!$T127)*INT(Panchanga!$T127/30+1)&amp;"Me,"&amp;SIGN(U128-Panchanga!$U127)*INT(Panchanga!$U127/30+1)&amp;"Ju,"&amp;SIGN(V128-Panchanga!$V127)*INT(Panchanga!$V127/30+1)&amp;"Ve,"&amp;SIGN(W128-Panchanga!$W127)*INT(Panchanga!$W127/30+1)&amp;"Sa,"&amp;INT(Panchanga!$X127/30+1)&amp;"Ra"</f>
        <v>9Ma,12Me,-7Ju,2Ve,-9Sa,4Ra</v>
      </c>
      <c r="S127" s="2">
        <f ca="1">Planet(Panchanga!$E127,4)</f>
        <v>268.39659413971464</v>
      </c>
      <c r="T127" s="2">
        <f ca="1">Planet(Panchanga!$E127,2)</f>
        <v>347.66317386495911</v>
      </c>
      <c r="U127" s="2">
        <f ca="1">Planet(Panchanga!$E127,5)</f>
        <v>205.50750645460357</v>
      </c>
      <c r="V127" s="2">
        <f ca="1">Planet(Panchanga!$E127,3)</f>
        <v>41.139959148475391</v>
      </c>
      <c r="W127" s="2">
        <f ca="1">Planet(Panchanga!$E127,6)</f>
        <v>254.94244184636966</v>
      </c>
      <c r="X127" s="2">
        <f ca="1">Planet(Panchanga!$E127,10)</f>
        <v>106.53763263406569</v>
      </c>
      <c r="Y127" s="2">
        <f ca="1">SIGN(S128-Panchanga!$S127)</f>
        <v>1</v>
      </c>
    </row>
    <row r="128" spans="1:25" x14ac:dyDescent="0.2">
      <c r="A128" s="3">
        <f t="shared" ca="1" si="24"/>
        <v>43220</v>
      </c>
      <c r="B128" s="3">
        <f t="shared" ca="1" si="17"/>
        <v>43220.229166666664</v>
      </c>
      <c r="C128" s="5">
        <f t="shared" ca="1" si="18"/>
        <v>43220.242939518452</v>
      </c>
      <c r="D128" s="5">
        <f t="shared" ca="1" si="19"/>
        <v>43219.766584535639</v>
      </c>
      <c r="E128" s="60">
        <f ca="1">Panchanga!$C128-TimeZone/24</f>
        <v>43220.013772851788</v>
      </c>
      <c r="F128" s="61">
        <f t="shared" ca="1" si="20"/>
        <v>15.512857034009345</v>
      </c>
      <c r="G128" s="61">
        <f t="shared" ca="1" si="21"/>
        <v>195.19643364803736</v>
      </c>
      <c r="H128" s="62">
        <f t="shared" ca="1" si="22"/>
        <v>43220.013772851788</v>
      </c>
      <c r="I128" s="2" t="str">
        <f ca="1">naks(Panchanga!$G128)</f>
        <v>Swati</v>
      </c>
      <c r="J128" s="5">
        <f ca="1">(C129-Panchanga!$C128)/(G129-Panchanga!$G128)*(13.3333333333333-MOD(Panchanga!$G128,13.333333333333))+Panchanga!$C128</f>
        <v>43220.617722353774</v>
      </c>
      <c r="K128" s="2" t="str">
        <f ca="1">IF(Panchanga!$P128&gt;15,"K","S")&amp;ROUNDUP(MOD(Panchanga!$P128,15),0)&amp;" ("&amp;ROUND(Panchanga!$P128,2)&amp;")"</f>
        <v>S15 (14.97)</v>
      </c>
      <c r="L128" s="2">
        <f ca="1">IF(AND(Panchanga!$P128&lt;28.5,Panchanga!$P128&gt;0.49999),MOD((Panchanga!$P128-0.5)*2,7),MOD((Panchanga!$P128+30-28.5),30)*2+7)</f>
        <v>0.94739999999999824</v>
      </c>
      <c r="M128" s="2" t="str">
        <f ca="1">CHOOSE(ROUNDUP(Panchanga!$L128,0),"Bhava","Baalava","Kaulava","Taitula","Garija","Vanija","Vishti","Shakuni","Chatushapda","Naaga","Kimstugna")</f>
        <v>Bhava</v>
      </c>
      <c r="N128" s="25" t="str">
        <f ca="1">CHOOSE(ROUNDUP(Panchanga!$Q128,0),"Vishkambha-विष्कम्भ-Sa","Priti-प्रीति-Me","Ayushman-आयुष्मान-Ke","Saubhagya-सौभाग्य-Ve","Shobhana-शोभन-Su","Atiganda-अतिगण्ड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("&amp;Panchanga!$Q128&amp;")"</f>
        <v>Siddhi-सिद्धि-Ma (15.81)</v>
      </c>
      <c r="O128" s="2">
        <f ca="1">IF(AND(Panchanga!$P128&lt;28.5,Panchanga!$P128&gt;0.49999),MOD((Panchanga!$P128-0.5)*2,7),MOD((Panchanga!$P128+30-28.5),30)*2+7)</f>
        <v>0.94739999999999824</v>
      </c>
      <c r="P128" s="2">
        <f ca="1">ROUNDUP(MOD(360+Panchanga!$G128-Panchanga!$F128,360)/12,4)</f>
        <v>14.973699999999999</v>
      </c>
      <c r="Q128" s="2">
        <f t="shared" ca="1" si="23"/>
        <v>15.81</v>
      </c>
      <c r="R128" s="2" t="str">
        <f ca="1">SIGN(S129-Panchanga!$S128)*INT(Panchanga!$S128/30+1)&amp;"Ma,"&amp;SIGN(T129-Panchanga!$T128)*INT(Panchanga!$T128/30+1)&amp;"Me,"&amp;SIGN(U129-Panchanga!$U128)*INT(Panchanga!$U128/30+1)&amp;"Ju,"&amp;SIGN(V129-Panchanga!$V128)*INT(Panchanga!$V128/30+1)&amp;"Ve,"&amp;SIGN(W129-Panchanga!$W128)*INT(Panchanga!$W128/30+1)&amp;"Sa,"&amp;INT(Panchanga!$X128/30+1)&amp;"Ra"</f>
        <v>9Ma,12Me,-7Ju,2Ve,-9Sa,4Ra</v>
      </c>
      <c r="S128" s="2">
        <f ca="1">Planet(Panchanga!$E128,4)</f>
        <v>268.86807016998711</v>
      </c>
      <c r="T128" s="2">
        <f ca="1">Planet(Panchanga!$E128,2)</f>
        <v>348.62799404782544</v>
      </c>
      <c r="U128" s="2">
        <f ca="1">Planet(Panchanga!$E128,5)</f>
        <v>205.38437356615802</v>
      </c>
      <c r="V128" s="2">
        <f ca="1">Planet(Panchanga!$E128,3)</f>
        <v>42.352548319060269</v>
      </c>
      <c r="W128" s="2">
        <f ca="1">Planet(Panchanga!$E128,6)</f>
        <v>254.92399076866957</v>
      </c>
      <c r="X128" s="2">
        <f ca="1">Planet(Panchanga!$E128,10)</f>
        <v>106.48465759167178</v>
      </c>
      <c r="Y128" s="2">
        <f ca="1">SIGN(S129-Panchanga!$S128)</f>
        <v>1</v>
      </c>
    </row>
    <row r="129" spans="1:25" x14ac:dyDescent="0.2">
      <c r="A129" s="3">
        <f t="shared" ca="1" si="24"/>
        <v>43221</v>
      </c>
      <c r="B129" s="3">
        <f t="shared" ca="1" si="17"/>
        <v>43221.229166666664</v>
      </c>
      <c r="C129" s="5">
        <f t="shared" ca="1" si="18"/>
        <v>43221.242627825741</v>
      </c>
      <c r="D129" s="5">
        <f t="shared" ca="1" si="19"/>
        <v>43220.76671503023</v>
      </c>
      <c r="E129" s="60">
        <f ca="1">Panchanga!$C129-TimeZone/24</f>
        <v>43221.013461159077</v>
      </c>
      <c r="F129" s="61">
        <f t="shared" ca="1" si="20"/>
        <v>16.483380838358112</v>
      </c>
      <c r="G129" s="61">
        <f t="shared" ca="1" si="21"/>
        <v>208.00937133563258</v>
      </c>
      <c r="H129" s="62">
        <f t="shared" ca="1" si="22"/>
        <v>43221.013461159077</v>
      </c>
      <c r="I129" s="2" t="str">
        <f ca="1">naks(Panchanga!$G129)</f>
        <v>Visakha</v>
      </c>
      <c r="J129" s="5">
        <f ca="1">(C130-Panchanga!$C129)/(G130-Panchanga!$G129)*(13.3333333333333-MOD(Panchanga!$G129,13.333333333333))+Panchanga!$C129</f>
        <v>43221.666311373992</v>
      </c>
      <c r="K129" s="2" t="str">
        <f ca="1">IF(Panchanga!$P129&gt;15,"K","S")&amp;ROUNDUP(MOD(Panchanga!$P129,15),0)&amp;" ("&amp;ROUND(Panchanga!$P129,2)&amp;")"</f>
        <v>K1 (15.96)</v>
      </c>
      <c r="L129" s="2">
        <f ca="1">IF(AND(Panchanga!$P129&lt;28.5,Panchanga!$P129&gt;0.49999),MOD((Panchanga!$P129-0.5)*2,7),MOD((Panchanga!$P129+30-28.5),30)*2+7)</f>
        <v>2.9209999999999994</v>
      </c>
      <c r="M129" s="2" t="str">
        <f ca="1">CHOOSE(ROUNDUP(Panchanga!$L129,0),"Bhava","Baalava","Kaulava","Taitula","Garija","Vanija","Vishti","Shakuni","Chatushapda","Naaga","Kimstugna")</f>
        <v>Kaulava</v>
      </c>
      <c r="N129" s="25" t="str">
        <f ca="1">CHOOSE(ROUNDUP(Panchanga!$Q129,0),"Vishkambha-विष्कम्भ-Sa","Priti-प्रीति-Me","Ayushman-आयुष्मान-Ke","Saubhagya-सौभाग्य-Ve","Shobhana-शोभन-Su","Atiganda-अतिगण्ड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("&amp;Panchanga!$Q129&amp;")"</f>
        <v>Vyatipata-व्यतिपात-Ra (16.84)</v>
      </c>
      <c r="O129" s="2">
        <f ca="1">IF(AND(Panchanga!$P129&lt;28.5,Panchanga!$P129&gt;0.49999),MOD((Panchanga!$P129-0.5)*2,7),MOD((Panchanga!$P129+30-28.5),30)*2+7)</f>
        <v>2.9209999999999994</v>
      </c>
      <c r="P129" s="2">
        <f ca="1">ROUNDUP(MOD(360+Panchanga!$G129-Panchanga!$F129,360)/12,4)</f>
        <v>15.9605</v>
      </c>
      <c r="Q129" s="2">
        <f t="shared" ca="1" si="23"/>
        <v>16.84</v>
      </c>
      <c r="R129" s="2" t="str">
        <f ca="1">SIGN(S130-Panchanga!$S129)*INT(Panchanga!$S129/30+1)&amp;"Ma,"&amp;SIGN(T130-Panchanga!$T129)*INT(Panchanga!$T129/30+1)&amp;"Me,"&amp;SIGN(U130-Panchanga!$U129)*INT(Panchanga!$U129/30+1)&amp;"Ju,"&amp;SIGN(V130-Panchanga!$V129)*INT(Panchanga!$V129/30+1)&amp;"Ve,"&amp;SIGN(W130-Panchanga!$W129)*INT(Panchanga!$W129/30+1)&amp;"Sa,"&amp;INT(Panchanga!$X129/30+1)&amp;"Ra"</f>
        <v>9Ma,12Me,-7Ju,2Ve,-9Sa,4Ra</v>
      </c>
      <c r="S129" s="2">
        <f ca="1">Planet(Panchanga!$E129,4)</f>
        <v>269.33576209292642</v>
      </c>
      <c r="T129" s="2">
        <f ca="1">Planet(Panchanga!$E129,2)</f>
        <v>349.64178155364101</v>
      </c>
      <c r="U129" s="2">
        <f ca="1">Planet(Panchanga!$E129,5)</f>
        <v>205.26042174788142</v>
      </c>
      <c r="V129" s="2">
        <f ca="1">Planet(Panchanga!$E129,3)</f>
        <v>43.564367561938951</v>
      </c>
      <c r="W129" s="2">
        <f ca="1">Planet(Panchanga!$E129,6)</f>
        <v>254.90397928594754</v>
      </c>
      <c r="X129" s="2">
        <f ca="1">Planet(Panchanga!$E129,10)</f>
        <v>106.43168211130089</v>
      </c>
      <c r="Y129" s="2">
        <f ca="1">SIGN(S130-Panchanga!$S129)</f>
        <v>1</v>
      </c>
    </row>
    <row r="130" spans="1:25" x14ac:dyDescent="0.2">
      <c r="A130" s="3">
        <f t="shared" ca="1" si="24"/>
        <v>43222</v>
      </c>
      <c r="B130" s="3">
        <f t="shared" ca="1" si="17"/>
        <v>43222.229166666664</v>
      </c>
      <c r="C130" s="5">
        <f t="shared" ca="1" si="18"/>
        <v>43222.242324716564</v>
      </c>
      <c r="D130" s="5">
        <f t="shared" ca="1" si="19"/>
        <v>43221.766849498308</v>
      </c>
      <c r="E130" s="60">
        <f ca="1">Panchanga!$C130-TimeZone/24</f>
        <v>43222.0131580499</v>
      </c>
      <c r="F130" s="61">
        <f t="shared" ca="1" si="20"/>
        <v>17.453437721807553</v>
      </c>
      <c r="G130" s="61">
        <f t="shared" ca="1" si="21"/>
        <v>220.57145517851973</v>
      </c>
      <c r="H130" s="62">
        <f t="shared" ca="1" si="22"/>
        <v>43222.0131580499</v>
      </c>
      <c r="I130" s="2" t="str">
        <f ca="1">naks(Panchanga!$G130)</f>
        <v>Anuradha</v>
      </c>
      <c r="J130" s="5">
        <f ca="1">(C131-Panchanga!$C130)/(G131-Panchanga!$G130)*(13.3333333333333-MOD(Panchanga!$G130,13.333333333333))+Panchanga!$C130</f>
        <v>43222.736968083329</v>
      </c>
      <c r="K130" s="2" t="str">
        <f ca="1">IF(Panchanga!$P130&gt;15,"K","S")&amp;ROUNDUP(MOD(Panchanga!$P130,15),0)&amp;" ("&amp;ROUND(Panchanga!$P130,2)&amp;")"</f>
        <v>K2 (16.93)</v>
      </c>
      <c r="L130" s="2">
        <f ca="1">IF(AND(Panchanga!$P130&lt;28.5,Panchanga!$P130&gt;0.49999),MOD((Panchanga!$P130-0.5)*2,7),MOD((Panchanga!$P130+30-28.5),30)*2+7)</f>
        <v>4.8532000000000011</v>
      </c>
      <c r="M130" s="2" t="str">
        <f ca="1">CHOOSE(ROUNDUP(Panchanga!$L130,0),"Bhava","Baalava","Kaulava","Taitula","Garija","Vanija","Vishti","Shakuni","Chatushapda","Naaga","Kimstugna")</f>
        <v>Garija</v>
      </c>
      <c r="N130" s="25" t="str">
        <f ca="1">CHOOSE(ROUNDUP(Panchanga!$Q130,0),"Vishkambha-विष्कम्भ-Sa","Priti-प्रीति-Me","Ayushman-आयुष्मान-Ke","Saubhagya-सौभाग्य-Ve","Shobhana-शोभन-Su","Atiganda-अतिगण्ड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("&amp;Panchanga!$Q130&amp;")"</f>
        <v>Varigha-वरीयस्-Ju (17.86)</v>
      </c>
      <c r="O130" s="2">
        <f ca="1">IF(AND(Panchanga!$P130&lt;28.5,Panchanga!$P130&gt;0.49999),MOD((Panchanga!$P130-0.5)*2,7),MOD((Panchanga!$P130+30-28.5),30)*2+7)</f>
        <v>4.8532000000000011</v>
      </c>
      <c r="P130" s="2">
        <f ca="1">ROUNDUP(MOD(360+Panchanga!$G130-Panchanga!$F130,360)/12,4)</f>
        <v>16.926600000000001</v>
      </c>
      <c r="Q130" s="2">
        <f t="shared" ca="1" si="23"/>
        <v>17.860000000000003</v>
      </c>
      <c r="R130" s="2" t="str">
        <f ca="1">SIGN(S131-Panchanga!$S130)*INT(Panchanga!$S130/30+1)&amp;"Ma,"&amp;SIGN(T131-Panchanga!$T130)*INT(Panchanga!$T130/30+1)&amp;"Me,"&amp;SIGN(U131-Panchanga!$U130)*INT(Panchanga!$U130/30+1)&amp;"Ju,"&amp;SIGN(V131-Panchanga!$V130)*INT(Panchanga!$V130/30+1)&amp;"Ve,"&amp;SIGN(W131-Panchanga!$W130)*INT(Panchanga!$W130/30+1)&amp;"Sa,"&amp;INT(Panchanga!$X130/30+1)&amp;"Ra"</f>
        <v>9Ma,12Me,-7Ju,2Ve,-9Sa,4Ra</v>
      </c>
      <c r="S130" s="2">
        <f ca="1">Planet(Panchanga!$E130,4)</f>
        <v>269.79956447917908</v>
      </c>
      <c r="T130" s="2">
        <f ca="1">Planet(Panchanga!$E130,2)</f>
        <v>350.70268599962372</v>
      </c>
      <c r="U130" s="2">
        <f ca="1">Planet(Panchanga!$E130,5)</f>
        <v>205.13573250423943</v>
      </c>
      <c r="V130" s="2">
        <f ca="1">Planet(Panchanga!$E130,3)</f>
        <v>44.77541976291954</v>
      </c>
      <c r="W130" s="2">
        <f ca="1">Planet(Panchanga!$E130,6)</f>
        <v>254.88241597147228</v>
      </c>
      <c r="X130" s="2">
        <f ca="1">Planet(Panchanga!$E130,10)</f>
        <v>106.37870617608594</v>
      </c>
      <c r="Y130" s="2">
        <f ca="1">SIGN(S131-Panchanga!$S130)</f>
        <v>1</v>
      </c>
    </row>
    <row r="131" spans="1:25" x14ac:dyDescent="0.2">
      <c r="A131" s="3">
        <f t="shared" ca="1" si="24"/>
        <v>43223</v>
      </c>
      <c r="B131" s="3">
        <f t="shared" ref="B131:B194" ca="1" si="25">A131+TimeZone/24</f>
        <v>43223.229166666664</v>
      </c>
      <c r="C131" s="5">
        <f t="shared" ref="C131:C194" ca="1" si="26">sunrise(Lat,Long,B131)+TimeZone/24+0.00103009259259259</f>
        <v>43223.242030348782</v>
      </c>
      <c r="D131" s="5">
        <f t="shared" ref="D131:D194" ca="1" si="27">sunset(Lat,Long,B131)+TimeZone/24-0.000277777777777778</f>
        <v>43222.766987939875</v>
      </c>
      <c r="E131" s="60">
        <f ca="1">Panchanga!$C131-TimeZone/24</f>
        <v>43223.012863682117</v>
      </c>
      <c r="F131" s="61">
        <f t="shared" ref="F131:F194" ca="1" si="28">Planet(E131,0)</f>
        <v>18.42304696850114</v>
      </c>
      <c r="G131" s="61">
        <f t="shared" ref="G131:G194" ca="1" si="29">Planet(E131,1)</f>
        <v>232.89026437253696</v>
      </c>
      <c r="H131" s="62">
        <f t="shared" ref="H131:H194" ca="1" si="30">E131</f>
        <v>43223.012863682117</v>
      </c>
      <c r="I131" s="2" t="str">
        <f ca="1">naks(Panchanga!$G131)</f>
        <v>Jyestha</v>
      </c>
      <c r="J131" s="5">
        <f ca="1">(C132-Panchanga!$C131)/(G132-Panchanga!$G131)*(13.3333333333333-MOD(Panchanga!$G131,13.333333333333))+Panchanga!$C131</f>
        <v>43223.829303780993</v>
      </c>
      <c r="K131" s="2" t="str">
        <f ca="1">IF(Panchanga!$P131&gt;15,"K","S")&amp;ROUNDUP(MOD(Panchanga!$P131,15),0)&amp;" ("&amp;ROUND(Panchanga!$P131,2)&amp;")"</f>
        <v>K3 (17.87)</v>
      </c>
      <c r="L131" s="2">
        <f ca="1">IF(AND(Panchanga!$P131&lt;28.5,Panchanga!$P131&gt;0.49999),MOD((Panchanga!$P131-0.5)*2,7),MOD((Panchanga!$P131+30-28.5),30)*2+7)</f>
        <v>6.7445999999999984</v>
      </c>
      <c r="M131" s="2" t="str">
        <f ca="1">CHOOSE(ROUNDUP(Panchanga!$L131,0),"Bhava","Baalava","Kaulava","Taitula","Garija","Vanija","Vishti","Shakuni","Chatushapda","Naaga","Kimstugna")</f>
        <v>Vishti</v>
      </c>
      <c r="N131" s="25" t="str">
        <f ca="1">CHOOSE(ROUNDUP(Panchanga!$Q131,0),"Vishkambha-विष्कम्भ-Sa","Priti-प्रीति-Me","Ayushman-आयुष्मान-Ke","Saubhagya-सौभाग्य-Ve","Shobhana-शोभन-Su","Atiganda-अतिगण्ड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("&amp;Panchanga!$Q131&amp;")"</f>
        <v>Parigha-परिघ-Sa (18.85)</v>
      </c>
      <c r="O131" s="2">
        <f ca="1">IF(AND(Panchanga!$P131&lt;28.5,Panchanga!$P131&gt;0.49999),MOD((Panchanga!$P131-0.5)*2,7),MOD((Panchanga!$P131+30-28.5),30)*2+7)</f>
        <v>6.7445999999999984</v>
      </c>
      <c r="P131" s="2">
        <f ca="1">ROUNDUP(MOD(360+Panchanga!$G131-Panchanga!$F131,360)/12,4)</f>
        <v>17.872299999999999</v>
      </c>
      <c r="Q131" s="2">
        <f t="shared" ref="Q131:Q194" ca="1" si="31">ROUNDUP(MOD(F131+G131,360)/13.333333333,2)</f>
        <v>18.850000000000001</v>
      </c>
      <c r="R131" s="2" t="str">
        <f ca="1">SIGN(S132-Panchanga!$S131)*INT(Panchanga!$S131/30+1)&amp;"Ma,"&amp;SIGN(T132-Panchanga!$T131)*INT(Panchanga!$T131/30+1)&amp;"Me,"&amp;SIGN(U132-Panchanga!$U131)*INT(Panchanga!$U131/30+1)&amp;"Ju,"&amp;SIGN(V132-Panchanga!$V131)*INT(Panchanga!$V131/30+1)&amp;"Ve,"&amp;SIGN(W132-Panchanga!$W131)*INT(Panchanga!$W131/30+1)&amp;"Sa,"&amp;INT(Panchanga!$X131/30+1)&amp;"Ra"</f>
        <v>10Ma,12Me,-7Ju,2Ve,-9Sa,4Ra</v>
      </c>
      <c r="S131" s="2">
        <f ca="1">Planet(Panchanga!$E131,4)</f>
        <v>270.25936554221983</v>
      </c>
      <c r="T131" s="2">
        <f ca="1">Planet(Panchanga!$E131,2)</f>
        <v>351.80901376815149</v>
      </c>
      <c r="U131" s="2">
        <f ca="1">Planet(Panchanga!$E131,5)</f>
        <v>205.01038829348312</v>
      </c>
      <c r="V131" s="2">
        <f ca="1">Planet(Panchanga!$E131,3)</f>
        <v>45.985707539271921</v>
      </c>
      <c r="W131" s="2">
        <f ca="1">Planet(Panchanga!$E131,6)</f>
        <v>254.85930976767958</v>
      </c>
      <c r="X131" s="2">
        <f ca="1">Planet(Panchanga!$E131,10)</f>
        <v>106.32572977762666</v>
      </c>
      <c r="Y131" s="2">
        <f ca="1">SIGN(S132-Panchanga!$S131)</f>
        <v>1</v>
      </c>
    </row>
    <row r="132" spans="1:25" x14ac:dyDescent="0.2">
      <c r="A132" s="3">
        <f t="shared" ca="1" si="24"/>
        <v>43224</v>
      </c>
      <c r="B132" s="3">
        <f t="shared" ca="1" si="25"/>
        <v>43224.229166666664</v>
      </c>
      <c r="C132" s="5">
        <f t="shared" ca="1" si="26"/>
        <v>43224.24174488258</v>
      </c>
      <c r="D132" s="5">
        <f t="shared" ca="1" si="27"/>
        <v>43223.767130355394</v>
      </c>
      <c r="E132" s="60">
        <f ca="1">Panchanga!$C132-TimeZone/24</f>
        <v>43224.012578215916</v>
      </c>
      <c r="F132" s="61">
        <f t="shared" ca="1" si="28"/>
        <v>19.392226074029058</v>
      </c>
      <c r="G132" s="61">
        <f t="shared" ca="1" si="29"/>
        <v>244.99315486338014</v>
      </c>
      <c r="H132" s="62">
        <f t="shared" ca="1" si="30"/>
        <v>43224.012578215916</v>
      </c>
      <c r="I132" s="2" t="str">
        <f ca="1">naks(Panchanga!$G132)</f>
        <v>Moola</v>
      </c>
      <c r="J132" s="5">
        <f ca="1">(C133-Panchanga!$C132)/(G133-Panchanga!$G132)*(13.3333333333333-MOD(Panchanga!$G132,13.333333333333))+Panchanga!$C132</f>
        <v>43224.940424622822</v>
      </c>
      <c r="K132" s="2" t="str">
        <f ca="1">IF(Panchanga!$P132&gt;15,"K","S")&amp;ROUNDUP(MOD(Panchanga!$P132,15),0)&amp;" ("&amp;ROUND(Panchanga!$P132,2)&amp;")"</f>
        <v>K4 (18.8)</v>
      </c>
      <c r="L132" s="2">
        <f ca="1">IF(AND(Panchanga!$P132&lt;28.5,Panchanga!$P132&gt;0.49999),MOD((Panchanga!$P132-0.5)*2,7),MOD((Panchanga!$P132+30-28.5),30)*2+7)</f>
        <v>1.600200000000001</v>
      </c>
      <c r="M132" s="2" t="str">
        <f ca="1">CHOOSE(ROUNDUP(Panchanga!$L132,0),"Bhava","Baalava","Kaulava","Taitula","Garija","Vanija","Vishti","Shakuni","Chatushapda","Naaga","Kimstugna")</f>
        <v>Baalava</v>
      </c>
      <c r="N132" s="25" t="str">
        <f ca="1">CHOOSE(ROUNDUP(Panchanga!$Q132,0),"Vishkambha-विष्कम्भ-Sa","Priti-प्रीति-Me","Ayushman-आयुष्मान-Ke","Saubhagya-सौभाग्य-Ve","Shobhana-शोभन-Su","Atiganda-अतिगण्ड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("&amp;Panchanga!$Q132&amp;")"</f>
        <v>Shiva-शिव-Me (19.83)</v>
      </c>
      <c r="O132" s="2">
        <f ca="1">IF(AND(Panchanga!$P132&lt;28.5,Panchanga!$P132&gt;0.49999),MOD((Panchanga!$P132-0.5)*2,7),MOD((Panchanga!$P132+30-28.5),30)*2+7)</f>
        <v>1.600200000000001</v>
      </c>
      <c r="P132" s="2">
        <f ca="1">ROUNDUP(MOD(360+Panchanga!$G132-Panchanga!$F132,360)/12,4)</f>
        <v>18.8001</v>
      </c>
      <c r="Q132" s="2">
        <f t="shared" ca="1" si="31"/>
        <v>19.830000000000002</v>
      </c>
      <c r="R132" s="2" t="str">
        <f ca="1">SIGN(S133-Panchanga!$S132)*INT(Panchanga!$S132/30+1)&amp;"Ma,"&amp;SIGN(T133-Panchanga!$T132)*INT(Panchanga!$T132/30+1)&amp;"Me,"&amp;SIGN(U133-Panchanga!$U132)*INT(Panchanga!$U132/30+1)&amp;"Ju,"&amp;SIGN(V133-Panchanga!$V132)*INT(Panchanga!$V132/30+1)&amp;"Ve,"&amp;SIGN(W133-Panchanga!$W132)*INT(Panchanga!$W132/30+1)&amp;"Sa,"&amp;INT(Panchanga!$X132/30+1)&amp;"Ra"</f>
        <v>10Ma,12Me,-7Ju,2Ve,-9Sa,4Ra</v>
      </c>
      <c r="S132" s="2">
        <f ca="1">Planet(Panchanga!$E132,4)</f>
        <v>270.71504798014956</v>
      </c>
      <c r="T132" s="2">
        <f ca="1">Planet(Panchanga!$E132,2)</f>
        <v>352.95922452959297</v>
      </c>
      <c r="U132" s="2">
        <f ca="1">Planet(Panchanga!$E132,5)</f>
        <v>204.88447261762769</v>
      </c>
      <c r="V132" s="2">
        <f ca="1">Planet(Panchanga!$E132,3)</f>
        <v>47.195233006761477</v>
      </c>
      <c r="W132" s="2">
        <f ca="1">Planet(Panchanga!$E132,6)</f>
        <v>254.83467009679754</v>
      </c>
      <c r="X132" s="2">
        <f ca="1">Planet(Panchanga!$E132,10)</f>
        <v>106.27275290745627</v>
      </c>
      <c r="Y132" s="2">
        <f ca="1">SIGN(S133-Panchanga!$S132)</f>
        <v>1</v>
      </c>
    </row>
    <row r="133" spans="1:25" x14ac:dyDescent="0.2">
      <c r="A133" s="3">
        <f t="shared" ca="1" si="24"/>
        <v>43225</v>
      </c>
      <c r="B133" s="3">
        <f t="shared" ca="1" si="25"/>
        <v>43225.229166666664</v>
      </c>
      <c r="C133" s="5">
        <f t="shared" ca="1" si="26"/>
        <v>43225.241468317028</v>
      </c>
      <c r="D133" s="5">
        <f t="shared" ca="1" si="27"/>
        <v>43224.767276903192</v>
      </c>
      <c r="E133" s="60">
        <f ca="1">Panchanga!$C133-TimeZone/24</f>
        <v>43225.012301650364</v>
      </c>
      <c r="F133" s="61">
        <f t="shared" ca="1" si="28"/>
        <v>20.360990378034618</v>
      </c>
      <c r="G133" s="61">
        <f t="shared" ca="1" si="29"/>
        <v>256.92690846124367</v>
      </c>
      <c r="H133" s="62">
        <f t="shared" ca="1" si="30"/>
        <v>43225.012301650364</v>
      </c>
      <c r="I133" s="2" t="str">
        <f ca="1">naks(Panchanga!$G133)</f>
        <v>Purva Asadha</v>
      </c>
      <c r="J133" s="5">
        <f ca="1">(C134-Panchanga!$C133)/(G134-Panchanga!$G133)*(13.3333333333333-MOD(Panchanga!$G133,13.333333333333))+Panchanga!$C133</f>
        <v>43226.064666626815</v>
      </c>
      <c r="K133" s="2" t="str">
        <f ca="1">IF(Panchanga!$P133&gt;15,"K","S")&amp;ROUNDUP(MOD(Panchanga!$P133,15),0)&amp;" ("&amp;ROUND(Panchanga!$P133,2)&amp;")"</f>
        <v>K5 (19.71)</v>
      </c>
      <c r="L133" s="2">
        <f ca="1">IF(AND(Panchanga!$P133&lt;28.5,Panchanga!$P133&gt;0.49999),MOD((Panchanga!$P133-0.5)*2,7),MOD((Panchanga!$P133+30-28.5),30)*2+7)</f>
        <v>3.4277999999999977</v>
      </c>
      <c r="M133" s="2" t="str">
        <f ca="1">CHOOSE(ROUNDUP(Panchanga!$L133,0),"Bhava","Baalava","Kaulava","Taitula","Garija","Vanija","Vishti","Shakuni","Chatushapda","Naaga","Kimstugna")</f>
        <v>Taitula</v>
      </c>
      <c r="N133" s="25" t="str">
        <f ca="1">CHOOSE(ROUNDUP(Panchanga!$Q133,0),"Vishkambha-विष्कम्भ-Sa","Priti-प्रीति-Me","Ayushman-आयुष्मान-Ke","Saubhagya-सौभाग्य-Ve","Shobhana-शोभन-Su","Atiganda-अतिगण्ड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("&amp;Panchanga!$Q133&amp;")"</f>
        <v>Siddha-सिद्ध-Ke (20.8)</v>
      </c>
      <c r="O133" s="2">
        <f ca="1">IF(AND(Panchanga!$P133&lt;28.5,Panchanga!$P133&gt;0.49999),MOD((Panchanga!$P133-0.5)*2,7),MOD((Panchanga!$P133+30-28.5),30)*2+7)</f>
        <v>3.4277999999999977</v>
      </c>
      <c r="P133" s="2">
        <f ca="1">ROUNDUP(MOD(360+Panchanga!$G133-Panchanga!$F133,360)/12,4)</f>
        <v>19.713899999999999</v>
      </c>
      <c r="Q133" s="2">
        <f t="shared" ca="1" si="31"/>
        <v>20.8</v>
      </c>
      <c r="R133" s="2" t="str">
        <f ca="1">SIGN(S134-Panchanga!$S133)*INT(Panchanga!$S133/30+1)&amp;"Ma,"&amp;SIGN(T134-Panchanga!$T133)*INT(Panchanga!$T133/30+1)&amp;"Me,"&amp;SIGN(U134-Panchanga!$U133)*INT(Panchanga!$U133/30+1)&amp;"Ju,"&amp;SIGN(V134-Panchanga!$V133)*INT(Panchanga!$V133/30+1)&amp;"Ve,"&amp;SIGN(W134-Panchanga!$W133)*INT(Panchanga!$W133/30+1)&amp;"Sa,"&amp;INT(Panchanga!$X133/30+1)&amp;"Ra"</f>
        <v>10Ma,12Me,-7Ju,2Ve,-9Sa,4Ra</v>
      </c>
      <c r="S133" s="2">
        <f ca="1">Planet(Panchanga!$E133,4)</f>
        <v>271.16648966538162</v>
      </c>
      <c r="T133" s="2">
        <f ca="1">Planet(Panchanga!$E133,2)</f>
        <v>354.15192668917842</v>
      </c>
      <c r="U133" s="2">
        <f ca="1">Planet(Panchanga!$E133,5)</f>
        <v>204.75807008420514</v>
      </c>
      <c r="V133" s="2">
        <f ca="1">Planet(Panchanga!$E133,3)</f>
        <v>48.403997273286741</v>
      </c>
      <c r="W133" s="2">
        <f ca="1">Planet(Panchanga!$E133,6)</f>
        <v>254.80850696328699</v>
      </c>
      <c r="X133" s="2">
        <f ca="1">Planet(Panchanga!$E133,10)</f>
        <v>106.21977556564111</v>
      </c>
      <c r="Y133" s="2">
        <f ca="1">SIGN(S134-Panchanga!$S133)</f>
        <v>1</v>
      </c>
    </row>
    <row r="134" spans="1:25" x14ac:dyDescent="0.2">
      <c r="A134" s="3">
        <f t="shared" ca="1" si="24"/>
        <v>43226</v>
      </c>
      <c r="B134" s="3">
        <f t="shared" ca="1" si="25"/>
        <v>43226.229166666664</v>
      </c>
      <c r="C134" s="5">
        <f t="shared" ca="1" si="26"/>
        <v>43226.241201128963</v>
      </c>
      <c r="D134" s="5">
        <f t="shared" ca="1" si="27"/>
        <v>43225.767427424944</v>
      </c>
      <c r="E134" s="60">
        <f ca="1">Panchanga!$C134-TimeZone/24</f>
        <v>43226.012034462299</v>
      </c>
      <c r="F134" s="61">
        <f t="shared" ca="1" si="28"/>
        <v>21.329353676467061</v>
      </c>
      <c r="G134" s="61">
        <f t="shared" ca="1" si="29"/>
        <v>268.75535337239484</v>
      </c>
      <c r="H134" s="62">
        <f t="shared" ca="1" si="30"/>
        <v>43226.012034462299</v>
      </c>
      <c r="I134" s="2" t="str">
        <f ca="1">naks(Panchanga!$G134)</f>
        <v>Uttara Asadha</v>
      </c>
      <c r="J134" s="5">
        <f ca="1">(C135-Panchanga!$C134)/(G135-Panchanga!$G134)*(13.3333333333333-MOD(Panchanga!$G134,13.333333333333))+Panchanga!$C134</f>
        <v>43227.193857476101</v>
      </c>
      <c r="K134" s="2" t="str">
        <f ca="1">IF(Panchanga!$P134&gt;15,"K","S")&amp;ROUNDUP(MOD(Panchanga!$P134,15),0)&amp;" ("&amp;ROUND(Panchanga!$P134,2)&amp;")"</f>
        <v>K6 (20.62)</v>
      </c>
      <c r="L134" s="2">
        <f ca="1">IF(AND(Panchanga!$P134&lt;28.5,Panchanga!$P134&gt;0.49999),MOD((Panchanga!$P134-0.5)*2,7),MOD((Panchanga!$P134+30-28.5),30)*2+7)</f>
        <v>5.2378</v>
      </c>
      <c r="M134" s="2" t="str">
        <f ca="1">CHOOSE(ROUNDUP(Panchanga!$L134,0),"Bhava","Baalava","Kaulava","Taitula","Garija","Vanija","Vishti","Shakuni","Chatushapda","Naaga","Kimstugna")</f>
        <v>Vanija</v>
      </c>
      <c r="N134" s="25" t="str">
        <f ca="1">CHOOSE(ROUNDUP(Panchanga!$Q134,0),"Vishkambha-विष्कम्भ-Sa","Priti-प्रीति-Me","Ayushman-आयुष्मान-Ke","Saubhagya-सौभाग्य-Ve","Shobhana-शोभन-Su","Atiganda-अतिगण्ड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("&amp;Panchanga!$Q134&amp;")"</f>
        <v>Sadhya-साध्य-Ve (21.76)</v>
      </c>
      <c r="O134" s="2">
        <f ca="1">IF(AND(Panchanga!$P134&lt;28.5,Panchanga!$P134&gt;0.49999),MOD((Panchanga!$P134-0.5)*2,7),MOD((Panchanga!$P134+30-28.5),30)*2+7)</f>
        <v>5.2378</v>
      </c>
      <c r="P134" s="2">
        <f ca="1">ROUNDUP(MOD(360+Panchanga!$G134-Panchanga!$F134,360)/12,4)</f>
        <v>20.6189</v>
      </c>
      <c r="Q134" s="2">
        <f t="shared" ca="1" si="31"/>
        <v>21.76</v>
      </c>
      <c r="R134" s="2" t="str">
        <f ca="1">SIGN(S135-Panchanga!$S134)*INT(Panchanga!$S134/30+1)&amp;"Ma,"&amp;SIGN(T135-Panchanga!$T134)*INT(Panchanga!$T134/30+1)&amp;"Me,"&amp;SIGN(U135-Panchanga!$U134)*INT(Panchanga!$U134/30+1)&amp;"Ju,"&amp;SIGN(V135-Panchanga!$V134)*INT(Panchanga!$V134/30+1)&amp;"Ve,"&amp;SIGN(W135-Panchanga!$W134)*INT(Panchanga!$W134/30+1)&amp;"Sa,"&amp;INT(Panchanga!$X134/30+1)&amp;"Ra"</f>
        <v>10Ma,12Me,-7Ju,2Ve,-9Sa,4Ra</v>
      </c>
      <c r="S134" s="2">
        <f ca="1">Planet(Panchanga!$E134,4)</f>
        <v>271.61356453976276</v>
      </c>
      <c r="T134" s="2">
        <f ca="1">Planet(Panchanga!$E134,2)</f>
        <v>355.38587324274863</v>
      </c>
      <c r="U134" s="2">
        <f ca="1">Planet(Panchanga!$E134,5)</f>
        <v>204.63126629957554</v>
      </c>
      <c r="V134" s="2">
        <f ca="1">Planet(Panchanga!$E134,3)</f>
        <v>49.612001049575873</v>
      </c>
      <c r="W134" s="2">
        <f ca="1">Planet(Panchanga!$E134,6)</f>
        <v>254.78083101891696</v>
      </c>
      <c r="X134" s="2">
        <f ca="1">Planet(Panchanga!$E134,10)</f>
        <v>106.16679772689716</v>
      </c>
      <c r="Y134" s="2">
        <f ca="1">SIGN(S135-Panchanga!$S134)</f>
        <v>1</v>
      </c>
    </row>
    <row r="135" spans="1:25" x14ac:dyDescent="0.2">
      <c r="A135" s="3">
        <f t="shared" ca="1" si="24"/>
        <v>43227</v>
      </c>
      <c r="B135" s="3">
        <f t="shared" ca="1" si="25"/>
        <v>43227.229166666664</v>
      </c>
      <c r="C135" s="5">
        <f t="shared" ca="1" si="26"/>
        <v>43227.240943160061</v>
      </c>
      <c r="D135" s="5">
        <f t="shared" ca="1" si="27"/>
        <v>43226.767581920183</v>
      </c>
      <c r="E135" s="60">
        <f ca="1">Panchanga!$C135-TimeZone/24</f>
        <v>43227.011776493397</v>
      </c>
      <c r="F135" s="61">
        <f t="shared" ca="1" si="28"/>
        <v>22.297327243597117</v>
      </c>
      <c r="G135" s="61">
        <f t="shared" ca="1" si="29"/>
        <v>280.55577426103793</v>
      </c>
      <c r="H135" s="62">
        <f t="shared" ca="1" si="30"/>
        <v>43227.011776493397</v>
      </c>
      <c r="I135" s="2" t="str">
        <f ca="1">naks(Panchanga!$G135)</f>
        <v>Sravana</v>
      </c>
      <c r="J135" s="5">
        <f ca="1">(C136-Panchanga!$C135)/(G136-Panchanga!$G135)*(13.3333333333333-MOD(Panchanga!$G135,13.333333333333))+Panchanga!$C135</f>
        <v>43228.318130098574</v>
      </c>
      <c r="K135" s="2" t="str">
        <f ca="1">IF(Panchanga!$P135&gt;15,"K","S")&amp;ROUNDUP(MOD(Panchanga!$P135,15),0)&amp;" ("&amp;ROUND(Panchanga!$P135,2)&amp;")"</f>
        <v>K7 (21.52)</v>
      </c>
      <c r="L135" s="2">
        <f ca="1">IF(AND(Panchanga!$P135&lt;28.5,Panchanga!$P135&gt;0.49999),MOD((Panchanga!$P135-0.5)*2,7),MOD((Panchanga!$P135+30-28.5),30)*2+7)</f>
        <v>4.3199999999998795E-2</v>
      </c>
      <c r="M135" s="2" t="str">
        <f ca="1">CHOOSE(ROUNDUP(Panchanga!$L135,0),"Bhava","Baalava","Kaulava","Taitula","Garija","Vanija","Vishti","Shakuni","Chatushapda","Naaga","Kimstugna")</f>
        <v>Bhava</v>
      </c>
      <c r="N135" s="25" t="str">
        <f ca="1">CHOOSE(ROUNDUP(Panchanga!$Q135,0),"Vishkambha-विष्कम्भ-Sa","Priti-प्रीति-Me","Ayushman-आयुष्मान-Ke","Saubhagya-सौभाग्य-Ve","Shobhana-शोभन-Su","Atiganda-अतिगण्ड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("&amp;Panchanga!$Q135&amp;")"</f>
        <v>Shubha-शुभ-Su (22.72)</v>
      </c>
      <c r="O135" s="2">
        <f ca="1">IF(AND(Panchanga!$P135&lt;28.5,Panchanga!$P135&gt;0.49999),MOD((Panchanga!$P135-0.5)*2,7),MOD((Panchanga!$P135+30-28.5),30)*2+7)</f>
        <v>4.3199999999998795E-2</v>
      </c>
      <c r="P135" s="2">
        <f ca="1">ROUNDUP(MOD(360+Panchanga!$G135-Panchanga!$F135,360)/12,4)</f>
        <v>21.521599999999999</v>
      </c>
      <c r="Q135" s="2">
        <f t="shared" ca="1" si="31"/>
        <v>22.720000000000002</v>
      </c>
      <c r="R135" s="2" t="str">
        <f ca="1">SIGN(S136-Panchanga!$S135)*INT(Panchanga!$S135/30+1)&amp;"Ma,"&amp;SIGN(T136-Panchanga!$T135)*INT(Panchanga!$T135/30+1)&amp;"Me,"&amp;SIGN(U136-Panchanga!$U135)*INT(Panchanga!$U135/30+1)&amp;"Ju,"&amp;SIGN(V136-Panchanga!$V135)*INT(Panchanga!$V135/30+1)&amp;"Ve,"&amp;SIGN(W136-Panchanga!$W135)*INT(Panchanga!$W135/30+1)&amp;"Sa,"&amp;INT(Panchanga!$X135/30+1)&amp;"Ra"</f>
        <v>10Ma,12Me,-7Ju,2Ve,-9Sa,4Ra</v>
      </c>
      <c r="S135" s="2">
        <f ca="1">Planet(Panchanga!$E135,4)</f>
        <v>272.05614247396727</v>
      </c>
      <c r="T135" s="2">
        <f ca="1">Planet(Panchanga!$E135,2)</f>
        <v>356.65995505022767</v>
      </c>
      <c r="U135" s="2">
        <f ca="1">Planet(Panchanga!$E135,5)</f>
        <v>204.50414793844317</v>
      </c>
      <c r="V135" s="2">
        <f ca="1">Planet(Panchanga!$E135,3)</f>
        <v>50.819243264361589</v>
      </c>
      <c r="W135" s="2">
        <f ca="1">Planet(Panchanga!$E135,6)</f>
        <v>254.75165364146429</v>
      </c>
      <c r="X135" s="2">
        <f ca="1">Planet(Panchanga!$E135,10)</f>
        <v>106.11381939960826</v>
      </c>
      <c r="Y135" s="2">
        <f ca="1">SIGN(S136-Panchanga!$S135)</f>
        <v>1</v>
      </c>
    </row>
    <row r="136" spans="1:25" x14ac:dyDescent="0.2">
      <c r="A136" s="3">
        <f t="shared" ca="1" si="24"/>
        <v>43228</v>
      </c>
      <c r="B136" s="3">
        <f t="shared" ca="1" si="25"/>
        <v>43228.229166666664</v>
      </c>
      <c r="C136" s="5">
        <f t="shared" ca="1" si="26"/>
        <v>43228.240694727901</v>
      </c>
      <c r="D136" s="5">
        <f t="shared" ca="1" si="27"/>
        <v>43227.767740547701</v>
      </c>
      <c r="E136" s="60">
        <f ca="1">Panchanga!$C136-TimeZone/24</f>
        <v>43228.011528061237</v>
      </c>
      <c r="F136" s="61">
        <f t="shared" ca="1" si="28"/>
        <v>23.26492099350094</v>
      </c>
      <c r="G136" s="61">
        <f t="shared" ca="1" si="29"/>
        <v>292.41479729498246</v>
      </c>
      <c r="H136" s="62">
        <f t="shared" ca="1" si="30"/>
        <v>43228.011528061237</v>
      </c>
      <c r="I136" s="2" t="str">
        <f ca="1">naks(Panchanga!$G136)</f>
        <v>Sravana</v>
      </c>
      <c r="J136" s="5">
        <f ca="1">(C137-Panchanga!$C136)/(G137-Panchanga!$G136)*(13.3333333333333-MOD(Panchanga!$G136,13.333333333333))+Panchanga!$C136</f>
        <v>43228.31716445549</v>
      </c>
      <c r="K136" s="2" t="str">
        <f ca="1">IF(Panchanga!$P136&gt;15,"K","S")&amp;ROUNDUP(MOD(Panchanga!$P136,15),0)&amp;" ("&amp;ROUND(Panchanga!$P136,2)&amp;")"</f>
        <v>K8 (22.43)</v>
      </c>
      <c r="L136" s="2">
        <f ca="1">IF(AND(Panchanga!$P136&lt;28.5,Panchanga!$P136&gt;0.49999),MOD((Panchanga!$P136-0.5)*2,7),MOD((Panchanga!$P136+30-28.5),30)*2+7)</f>
        <v>1.8583999999999961</v>
      </c>
      <c r="M136" s="2" t="str">
        <f ca="1">CHOOSE(ROUNDUP(Panchanga!$L136,0),"Bhava","Baalava","Kaulava","Taitula","Garija","Vanija","Vishti","Shakuni","Chatushapda","Naaga","Kimstugna")</f>
        <v>Baalava</v>
      </c>
      <c r="N136" s="25" t="str">
        <f ca="1">CHOOSE(ROUNDUP(Panchanga!$Q136,0),"Vishkambha-विष्कम्भ-Sa","Priti-प्रीति-Me","Ayushman-आयुष्मान-Ke","Saubhagya-सौभाग्य-Ve","Shobhana-शोभन-Su","Atiganda-अतिगण्ड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("&amp;Panchanga!$Q136&amp;")"</f>
        <v>Shukla-शुक्ल-Mo (23.68)</v>
      </c>
      <c r="O136" s="2">
        <f ca="1">IF(AND(Panchanga!$P136&lt;28.5,Panchanga!$P136&gt;0.49999),MOD((Panchanga!$P136-0.5)*2,7),MOD((Panchanga!$P136+30-28.5),30)*2+7)</f>
        <v>1.8583999999999961</v>
      </c>
      <c r="P136" s="2">
        <f ca="1">ROUNDUP(MOD(360+Panchanga!$G136-Panchanga!$F136,360)/12,4)</f>
        <v>22.429199999999998</v>
      </c>
      <c r="Q136" s="2">
        <f t="shared" ca="1" si="31"/>
        <v>23.680000000000003</v>
      </c>
      <c r="R136" s="2" t="str">
        <f ca="1">SIGN(S137-Panchanga!$S136)*INT(Panchanga!$S136/30+1)&amp;"Ma,"&amp;SIGN(T137-Panchanga!$T136)*INT(Panchanga!$T136/30+1)&amp;"Me,"&amp;SIGN(U137-Panchanga!$U136)*INT(Panchanga!$U136/30+1)&amp;"Ju,"&amp;SIGN(V137-Panchanga!$V136)*INT(Panchanga!$V136/30+1)&amp;"Ve,"&amp;SIGN(W137-Panchanga!$W136)*INT(Panchanga!$W136/30+1)&amp;"Sa,"&amp;INT(Panchanga!$X136/30+1)&amp;"Ra"</f>
        <v>10Ma,12Me,-7Ju,2Ve,-9Sa,4Ra</v>
      </c>
      <c r="S136" s="2">
        <f ca="1">Planet(Panchanga!$E136,4)</f>
        <v>272.49408989642757</v>
      </c>
      <c r="T136" s="2">
        <f ca="1">Planet(Panchanga!$E136,2)</f>
        <v>357.97319639026381</v>
      </c>
      <c r="U136" s="2">
        <f ca="1">Planet(Panchanga!$E136,5)</f>
        <v>204.37680252057507</v>
      </c>
      <c r="V136" s="2">
        <f ca="1">Planet(Panchanga!$E136,3)</f>
        <v>52.025722425187944</v>
      </c>
      <c r="W136" s="2">
        <f ca="1">Planet(Panchanga!$E136,6)</f>
        <v>254.72098693733128</v>
      </c>
      <c r="X136" s="2">
        <f ca="1">Planet(Panchanga!$E136,10)</f>
        <v>106.06084056695711</v>
      </c>
      <c r="Y136" s="2">
        <f ca="1">SIGN(S137-Panchanga!$S136)</f>
        <v>1</v>
      </c>
    </row>
    <row r="137" spans="1:25" x14ac:dyDescent="0.2">
      <c r="A137" s="3">
        <f t="shared" ca="1" si="24"/>
        <v>43229</v>
      </c>
      <c r="B137" s="3">
        <f t="shared" ca="1" si="25"/>
        <v>43229.229166666664</v>
      </c>
      <c r="C137" s="5">
        <f t="shared" ca="1" si="26"/>
        <v>43229.240455991741</v>
      </c>
      <c r="D137" s="5">
        <f t="shared" ca="1" si="27"/>
        <v>43228.767902990381</v>
      </c>
      <c r="E137" s="60">
        <f ca="1">Panchanga!$C137-TimeZone/24</f>
        <v>43229.011289325077</v>
      </c>
      <c r="F137" s="61">
        <f t="shared" ca="1" si="28"/>
        <v>24.232142831422419</v>
      </c>
      <c r="G137" s="61">
        <f t="shared" ca="1" si="29"/>
        <v>304.423689958404</v>
      </c>
      <c r="H137" s="62">
        <f t="shared" ca="1" si="30"/>
        <v>43229.011289325077</v>
      </c>
      <c r="I137" s="2" t="str">
        <f ca="1">naks(Panchanga!$G137)</f>
        <v>Dhanistha</v>
      </c>
      <c r="J137" s="5">
        <f ca="1">(C138-Panchanga!$C137)/(G138-Panchanga!$G137)*(13.3333333333333-MOD(Panchanga!$G137,13.333333333333))+Panchanga!$C137</f>
        <v>43229.423530925553</v>
      </c>
      <c r="K137" s="2" t="str">
        <f ca="1">IF(Panchanga!$P137&gt;15,"K","S")&amp;ROUNDUP(MOD(Panchanga!$P137,15),0)&amp;" ("&amp;ROUND(Panchanga!$P137,2)&amp;")"</f>
        <v>K9 (23.35)</v>
      </c>
      <c r="L137" s="2">
        <f ca="1">IF(AND(Panchanga!$P137&lt;28.5,Panchanga!$P137&gt;0.49999),MOD((Panchanga!$P137-0.5)*2,7),MOD((Panchanga!$P137+30-28.5),30)*2+7)</f>
        <v>3.698599999999999</v>
      </c>
      <c r="M137" s="2" t="str">
        <f ca="1">CHOOSE(ROUNDUP(Panchanga!$L137,0),"Bhava","Baalava","Kaulava","Taitula","Garija","Vanija","Vishti","Shakuni","Chatushapda","Naaga","Kimstugna")</f>
        <v>Taitula</v>
      </c>
      <c r="N137" s="25" t="str">
        <f ca="1">CHOOSE(ROUNDUP(Panchanga!$Q137,0),"Vishkambha-विष्कम्भ-Sa","Priti-प्रीति-Me","Ayushman-आयुष्मान-Ke","Saubhagya-सौभाग्य-Ve","Shobhana-शोभन-Su","Atiganda-अतिगण्ड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("&amp;Panchanga!$Q137&amp;")"</f>
        <v>Brahma-ब्रह्म-Ma (24.65)</v>
      </c>
      <c r="O137" s="2">
        <f ca="1">IF(AND(Panchanga!$P137&lt;28.5,Panchanga!$P137&gt;0.49999),MOD((Panchanga!$P137-0.5)*2,7),MOD((Panchanga!$P137+30-28.5),30)*2+7)</f>
        <v>3.698599999999999</v>
      </c>
      <c r="P137" s="2">
        <f ca="1">ROUNDUP(MOD(360+Panchanga!$G137-Panchanga!$F137,360)/12,4)</f>
        <v>23.349299999999999</v>
      </c>
      <c r="Q137" s="2">
        <f t="shared" ca="1" si="31"/>
        <v>24.650000000000002</v>
      </c>
      <c r="R137" s="2" t="str">
        <f ca="1">SIGN(S138-Panchanga!$S137)*INT(Panchanga!$S137/30+1)&amp;"Ma,"&amp;SIGN(T138-Panchanga!$T137)*INT(Panchanga!$T137/30+1)&amp;"Me,"&amp;SIGN(U138-Panchanga!$U137)*INT(Panchanga!$U137/30+1)&amp;"Ju,"&amp;SIGN(V138-Panchanga!$V137)*INT(Panchanga!$V137/30+1)&amp;"Ve,"&amp;SIGN(W138-Panchanga!$W137)*INT(Panchanga!$W137/30+1)&amp;"Sa,"&amp;INT(Panchanga!$X137/30+1)&amp;"Ra"</f>
        <v>10Ma,-12Me,-7Ju,2Ve,-9Sa,4Ra</v>
      </c>
      <c r="S137" s="2">
        <f ca="1">Planet(Panchanga!$E137,4)</f>
        <v>272.92726953282931</v>
      </c>
      <c r="T137" s="2">
        <f ca="1">Planet(Panchanga!$E137,2)</f>
        <v>359.32474799918879</v>
      </c>
      <c r="U137" s="2">
        <f ca="1">Planet(Panchanga!$E137,5)</f>
        <v>204.24931842934021</v>
      </c>
      <c r="V137" s="2">
        <f ca="1">Planet(Panchanga!$E137,3)</f>
        <v>53.231435842717396</v>
      </c>
      <c r="W137" s="2">
        <f ca="1">Planet(Panchanga!$E137,6)</f>
        <v>254.68884378250152</v>
      </c>
      <c r="X137" s="2">
        <f ca="1">Planet(Panchanga!$E137,10)</f>
        <v>106.00786122047698</v>
      </c>
      <c r="Y137" s="2">
        <f ca="1">SIGN(S138-Panchanga!$S137)</f>
        <v>1</v>
      </c>
    </row>
    <row r="138" spans="1:25" x14ac:dyDescent="0.2">
      <c r="A138" s="3">
        <f t="shared" ca="1" si="24"/>
        <v>43230</v>
      </c>
      <c r="B138" s="3">
        <f t="shared" ca="1" si="25"/>
        <v>43230.229166666664</v>
      </c>
      <c r="C138" s="5">
        <f t="shared" ca="1" si="26"/>
        <v>43230.240226950649</v>
      </c>
      <c r="D138" s="5">
        <f t="shared" ca="1" si="27"/>
        <v>43229.76806956534</v>
      </c>
      <c r="E138" s="60">
        <f ca="1">Panchanga!$C138-TimeZone/24</f>
        <v>43230.011060283985</v>
      </c>
      <c r="F138" s="61">
        <f t="shared" ca="1" si="28"/>
        <v>25.198998445732471</v>
      </c>
      <c r="G138" s="61">
        <f t="shared" ca="1" si="29"/>
        <v>316.67257039064339</v>
      </c>
      <c r="H138" s="62">
        <f t="shared" ca="1" si="30"/>
        <v>43230.011060283985</v>
      </c>
      <c r="I138" s="2" t="str">
        <f ca="1">naks(Panchanga!$G138)</f>
        <v>Satabhisaj</v>
      </c>
      <c r="J138" s="5">
        <f ca="1">(C139-Panchanga!$C138)/(G139-Panchanga!$G138)*(13.3333333333333-MOD(Panchanga!$G138,13.333333333333))+Panchanga!$C138</f>
        <v>43230.504871323647</v>
      </c>
      <c r="K138" s="2" t="str">
        <f ca="1">IF(Panchanga!$P138&gt;15,"K","S")&amp;ROUNDUP(MOD(Panchanga!$P138,15),0)&amp;" ("&amp;ROUND(Panchanga!$P138,2)&amp;")"</f>
        <v>K10 (24.29)</v>
      </c>
      <c r="L138" s="2">
        <f ca="1">IF(AND(Panchanga!$P138&lt;28.5,Panchanga!$P138&gt;0.49999),MOD((Panchanga!$P138-0.5)*2,7),MOD((Panchanga!$P138+30-28.5),30)*2+7)</f>
        <v>5.5790000000000006</v>
      </c>
      <c r="M138" s="2" t="str">
        <f ca="1">CHOOSE(ROUNDUP(Panchanga!$L138,0),"Bhava","Baalava","Kaulava","Taitula","Garija","Vanija","Vishti","Shakuni","Chatushapda","Naaga","Kimstugna")</f>
        <v>Vanija</v>
      </c>
      <c r="N138" s="25" t="str">
        <f ca="1">CHOOSE(ROUNDUP(Panchanga!$Q138,0),"Vishkambha-विष्कम्भ-Sa","Priti-प्रीति-Me","Ayushman-आयुष्मान-Ke","Saubhagya-सौभाग्य-Ve","Shobhana-शोभन-Su","Atiganda-अतिगण्ड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("&amp;Panchanga!$Q138&amp;")"</f>
        <v>Mahendra-महेन्द्र-Ra (25.65)</v>
      </c>
      <c r="O138" s="2">
        <f ca="1">IF(AND(Panchanga!$P138&lt;28.5,Panchanga!$P138&gt;0.49999),MOD((Panchanga!$P138-0.5)*2,7),MOD((Panchanga!$P138+30-28.5),30)*2+7)</f>
        <v>5.5790000000000006</v>
      </c>
      <c r="P138" s="2">
        <f ca="1">ROUNDUP(MOD(360+Panchanga!$G138-Panchanga!$F138,360)/12,4)</f>
        <v>24.2895</v>
      </c>
      <c r="Q138" s="2">
        <f t="shared" ca="1" si="31"/>
        <v>25.650000000000002</v>
      </c>
      <c r="R138" s="2" t="str">
        <f ca="1">SIGN(S139-Panchanga!$S138)*INT(Panchanga!$S138/30+1)&amp;"Ma,"&amp;SIGN(T139-Panchanga!$T138)*INT(Panchanga!$T138/30+1)&amp;"Me,"&amp;SIGN(U139-Panchanga!$U138)*INT(Panchanga!$U138/30+1)&amp;"Ju,"&amp;SIGN(V139-Panchanga!$V138)*INT(Panchanga!$V138/30+1)&amp;"Ve,"&amp;SIGN(W139-Panchanga!$W138)*INT(Panchanga!$W138/30+1)&amp;"Sa,"&amp;INT(Panchanga!$X138/30+1)&amp;"Ra"</f>
        <v>10Ma,1Me,-7Ju,2Ve,-9Sa,4Ra</v>
      </c>
      <c r="S138" s="2">
        <f ca="1">Planet(Panchanga!$E138,4)</f>
        <v>273.35554051327483</v>
      </c>
      <c r="T138" s="2">
        <f ca="1">Planet(Panchanga!$E138,2)</f>
        <v>0.71388048718691854</v>
      </c>
      <c r="U138" s="2">
        <f ca="1">Planet(Panchanga!$E138,5)</f>
        <v>204.12178488635814</v>
      </c>
      <c r="V138" s="2">
        <f ca="1">Planet(Panchanga!$E138,3)</f>
        <v>54.436379516668765</v>
      </c>
      <c r="W138" s="2">
        <f ca="1">Planet(Panchanga!$E138,6)</f>
        <v>254.65523785910301</v>
      </c>
      <c r="X138" s="2">
        <f ca="1">Planet(Panchanga!$E138,10)</f>
        <v>105.95488136026734</v>
      </c>
      <c r="Y138" s="2">
        <f ca="1">SIGN(S139-Panchanga!$S138)</f>
        <v>1</v>
      </c>
    </row>
    <row r="139" spans="1:25" x14ac:dyDescent="0.2">
      <c r="A139" s="3">
        <f t="shared" ref="A139:A202" ca="1" si="32">A138+1</f>
        <v>43231</v>
      </c>
      <c r="B139" s="3">
        <f t="shared" ca="1" si="25"/>
        <v>43231.229166666664</v>
      </c>
      <c r="C139" s="5">
        <f t="shared" ca="1" si="26"/>
        <v>43231.240007605556</v>
      </c>
      <c r="D139" s="5">
        <f t="shared" ca="1" si="27"/>
        <v>43230.768239796205</v>
      </c>
      <c r="E139" s="60">
        <f ca="1">Panchanga!$C139-TimeZone/24</f>
        <v>43231.010840938892</v>
      </c>
      <c r="F139" s="61">
        <f t="shared" ca="1" si="28"/>
        <v>26.165491096248669</v>
      </c>
      <c r="G139" s="61">
        <f t="shared" ca="1" si="29"/>
        <v>329.24302377407753</v>
      </c>
      <c r="H139" s="62">
        <f t="shared" ca="1" si="30"/>
        <v>43231.010840938892</v>
      </c>
      <c r="I139" s="2" t="str">
        <f ca="1">naks(Panchanga!$G139)</f>
        <v>Purva Bhadrapada</v>
      </c>
      <c r="J139" s="5">
        <f ca="1">(C140-Panchanga!$C139)/(G140-Panchanga!$G139)*(13.3333333333333-MOD(Panchanga!$G139,13.333333333333))+Panchanga!$C139</f>
        <v>43231.55564746559</v>
      </c>
      <c r="K139" s="2" t="str">
        <f ca="1">IF(Panchanga!$P139&gt;15,"K","S")&amp;ROUNDUP(MOD(Panchanga!$P139,15),0)&amp;" ("&amp;ROUND(Panchanga!$P139,2)&amp;")"</f>
        <v>K11 (25.26)</v>
      </c>
      <c r="L139" s="2">
        <f ca="1">IF(AND(Panchanga!$P139&lt;28.5,Panchanga!$P139&gt;0.49999),MOD((Panchanga!$P139-0.5)*2,7),MOD((Panchanga!$P139+30-28.5),30)*2+7)</f>
        <v>0.51299999999999812</v>
      </c>
      <c r="M139" s="2" t="str">
        <f ca="1">CHOOSE(ROUNDUP(Panchanga!$L139,0),"Bhava","Baalava","Kaulava","Taitula","Garija","Vanija","Vishti","Shakuni","Chatushapda","Naaga","Kimstugna")</f>
        <v>Bhava</v>
      </c>
      <c r="N139" s="25" t="str">
        <f ca="1">CHOOSE(ROUNDUP(Panchanga!$Q139,0),"Vishkambha-विष्कम्भ-Sa","Priti-प्रीति-Me","Ayushman-आयुष्मान-Ke","Saubhagya-सौभाग्य-Ve","Shobhana-शोभन-Su","Atiganda-अतिगण्ड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("&amp;Panchanga!$Q139&amp;")"</f>
        <v>Vaidhriti-वैधृति-Ke (26.66)</v>
      </c>
      <c r="O139" s="2">
        <f ca="1">IF(AND(Panchanga!$P139&lt;28.5,Panchanga!$P139&gt;0.49999),MOD((Panchanga!$P139-0.5)*2,7),MOD((Panchanga!$P139+30-28.5),30)*2+7)</f>
        <v>0.51299999999999812</v>
      </c>
      <c r="P139" s="2">
        <f ca="1">ROUNDUP(MOD(360+Panchanga!$G139-Panchanga!$F139,360)/12,4)</f>
        <v>25.256499999999999</v>
      </c>
      <c r="Q139" s="2">
        <f t="shared" ca="1" si="31"/>
        <v>26.66</v>
      </c>
      <c r="R139" s="2" t="str">
        <f ca="1">SIGN(S140-Panchanga!$S139)*INT(Panchanga!$S139/30+1)&amp;"Ma,"&amp;SIGN(T140-Panchanga!$T139)*INT(Panchanga!$T139/30+1)&amp;"Me,"&amp;SIGN(U140-Panchanga!$U139)*INT(Panchanga!$U139/30+1)&amp;"Ju,"&amp;SIGN(V140-Panchanga!$V139)*INT(Panchanga!$V139/30+1)&amp;"Ve,"&amp;SIGN(W140-Panchanga!$W139)*INT(Panchanga!$W139/30+1)&amp;"Sa,"&amp;INT(Panchanga!$X139/30+1)&amp;"Ra"</f>
        <v>10Ma,1Me,-7Ju,2Ve,-9Sa,4Ra</v>
      </c>
      <c r="S139" s="2">
        <f ca="1">Planet(Panchanga!$E139,4)</f>
        <v>273.77875882310423</v>
      </c>
      <c r="T139" s="2">
        <f ca="1">Planet(Panchanga!$E139,2)</f>
        <v>2.1399776332682228</v>
      </c>
      <c r="U139" s="2">
        <f ca="1">Planet(Panchanga!$E139,5)</f>
        <v>203.99429193930277</v>
      </c>
      <c r="V139" s="2">
        <f ca="1">Planet(Panchanga!$E139,3)</f>
        <v>55.640548071558676</v>
      </c>
      <c r="W139" s="2">
        <f ca="1">Planet(Panchanga!$E139,6)</f>
        <v>254.62018370882811</v>
      </c>
      <c r="X139" s="2">
        <f ca="1">Planet(Panchanga!$E139,10)</f>
        <v>105.90190098624527</v>
      </c>
      <c r="Y139" s="2">
        <f ca="1">SIGN(S140-Panchanga!$S139)</f>
        <v>1</v>
      </c>
    </row>
    <row r="140" spans="1:25" x14ac:dyDescent="0.2">
      <c r="A140" s="3">
        <f t="shared" ca="1" si="32"/>
        <v>43232</v>
      </c>
      <c r="B140" s="3">
        <f t="shared" ca="1" si="25"/>
        <v>43232.229166666664</v>
      </c>
      <c r="C140" s="5">
        <f t="shared" ca="1" si="26"/>
        <v>43232.239798274044</v>
      </c>
      <c r="D140" s="5">
        <f t="shared" ca="1" si="27"/>
        <v>43231.768413841768</v>
      </c>
      <c r="E140" s="60">
        <f ca="1">Panchanga!$C140-TimeZone/24</f>
        <v>43232.01063160738</v>
      </c>
      <c r="F140" s="61">
        <f t="shared" ca="1" si="28"/>
        <v>27.131621456542184</v>
      </c>
      <c r="G140" s="61">
        <f t="shared" ca="1" si="29"/>
        <v>342.19909759854022</v>
      </c>
      <c r="H140" s="62">
        <f t="shared" ca="1" si="30"/>
        <v>43232.01063160738</v>
      </c>
      <c r="I140" s="2" t="str">
        <f ca="1">naks(Panchanga!$G140)</f>
        <v>Uttara Bhadrapada</v>
      </c>
      <c r="J140" s="5">
        <f ca="1">(C141-Panchanga!$C140)/(G141-Panchanga!$G140)*(13.3333333333333-MOD(Panchanga!$G140,13.333333333333))+Panchanga!$C140</f>
        <v>43232.573675677035</v>
      </c>
      <c r="K140" s="2" t="str">
        <f ca="1">IF(Panchanga!$P140&gt;15,"K","S")&amp;ROUNDUP(MOD(Panchanga!$P140,15),0)&amp;" ("&amp;ROUND(Panchanga!$P140,2)&amp;")"</f>
        <v>K12 (26.26)</v>
      </c>
      <c r="L140" s="2">
        <f ca="1">IF(AND(Panchanga!$P140&lt;28.5,Panchanga!$P140&gt;0.49999),MOD((Panchanga!$P140-0.5)*2,7),MOD((Panchanga!$P140+30-28.5),30)*2+7)</f>
        <v>2.5114000000000019</v>
      </c>
      <c r="M140" s="2" t="str">
        <f ca="1">CHOOSE(ROUNDUP(Panchanga!$L140,0),"Bhava","Baalava","Kaulava","Taitula","Garija","Vanija","Vishti","Shakuni","Chatushapda","Naaga","Kimstugna")</f>
        <v>Kaulava</v>
      </c>
      <c r="N140" s="25" t="str">
        <f ca="1">CHOOSE(ROUNDUP(Panchanga!$Q140,0),"Vishkambha-विष्कम्भ-Sa","Priti-प्रीति-Me","Ayushman-आयुष्मान-Ke","Saubhagya-सौभाग्य-Ve","Shobhana-शोभन-Su","Atiganda-अतिगण्ड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("&amp;Panchanga!$Q140&amp;")"</f>
        <v>Vishkambha-विष्कम्भ-Sa (0.7)</v>
      </c>
      <c r="O140" s="2">
        <f ca="1">IF(AND(Panchanga!$P140&lt;28.5,Panchanga!$P140&gt;0.49999),MOD((Panchanga!$P140-0.5)*2,7),MOD((Panchanga!$P140+30-28.5),30)*2+7)</f>
        <v>2.5114000000000019</v>
      </c>
      <c r="P140" s="2">
        <f ca="1">ROUNDUP(MOD(360+Panchanga!$G140-Panchanga!$F140,360)/12,4)</f>
        <v>26.255700000000001</v>
      </c>
      <c r="Q140" s="2">
        <f t="shared" ca="1" si="31"/>
        <v>0.7</v>
      </c>
      <c r="R140" s="2" t="str">
        <f ca="1">SIGN(S141-Panchanga!$S140)*INT(Panchanga!$S140/30+1)&amp;"Ma,"&amp;SIGN(T141-Panchanga!$T140)*INT(Panchanga!$T140/30+1)&amp;"Me,"&amp;SIGN(U141-Panchanga!$U140)*INT(Panchanga!$U140/30+1)&amp;"Ju,"&amp;SIGN(V141-Panchanga!$V140)*INT(Panchanga!$V140/30+1)&amp;"Ve,"&amp;SIGN(W141-Panchanga!$W140)*INT(Panchanga!$W140/30+1)&amp;"Sa,"&amp;INT(Panchanga!$X140/30+1)&amp;"Ra"</f>
        <v>10Ma,1Me,-7Ju,2Ve,-9Sa,4Ra</v>
      </c>
      <c r="S140" s="2">
        <f ca="1">Planet(Panchanga!$E140,4)</f>
        <v>274.19677823985432</v>
      </c>
      <c r="T140" s="2">
        <f ca="1">Planet(Panchanga!$E140,2)</f>
        <v>3.6025295801259261</v>
      </c>
      <c r="U140" s="2">
        <f ca="1">Planet(Panchanga!$E140,5)</f>
        <v>203.86693044078484</v>
      </c>
      <c r="V140" s="2">
        <f ca="1">Planet(Panchanga!$E140,3)</f>
        <v>56.843934717610061</v>
      </c>
      <c r="W140" s="2">
        <f ca="1">Planet(Panchanga!$E140,6)</f>
        <v>254.5836968080271</v>
      </c>
      <c r="X140" s="2">
        <f ca="1">Planet(Panchanga!$E140,10)</f>
        <v>105.84892008156041</v>
      </c>
      <c r="Y140" s="2">
        <f ca="1">SIGN(S141-Panchanga!$S140)</f>
        <v>1</v>
      </c>
    </row>
    <row r="141" spans="1:25" x14ac:dyDescent="0.2">
      <c r="A141" s="3">
        <f t="shared" ca="1" si="32"/>
        <v>43233</v>
      </c>
      <c r="B141" s="3">
        <f t="shared" ca="1" si="25"/>
        <v>43233.229166666664</v>
      </c>
      <c r="C141" s="5">
        <f t="shared" ca="1" si="26"/>
        <v>43233.239598956112</v>
      </c>
      <c r="D141" s="5">
        <f t="shared" ca="1" si="27"/>
        <v>43232.768591543238</v>
      </c>
      <c r="E141" s="60">
        <f ca="1">Panchanga!$C141-TimeZone/24</f>
        <v>43233.010432289448</v>
      </c>
      <c r="F141" s="61">
        <f t="shared" ca="1" si="28"/>
        <v>28.097386570169736</v>
      </c>
      <c r="G141" s="61">
        <f t="shared" ca="1" si="29"/>
        <v>355.5772973851403</v>
      </c>
      <c r="H141" s="62">
        <f t="shared" ca="1" si="30"/>
        <v>43233.010432289448</v>
      </c>
      <c r="I141" s="2" t="str">
        <f ca="1">naks(Panchanga!$G141)</f>
        <v>Revati</v>
      </c>
      <c r="J141" s="5">
        <f ca="1">(C142-Panchanga!$C141)/(G142-Panchanga!$G141)*(13.3333333333333-MOD(Panchanga!$G141,13.333333333333))+Panchanga!$C141</f>
        <v>43233.226826383667</v>
      </c>
      <c r="K141" s="2" t="str">
        <f ca="1">IF(Panchanga!$P141&gt;15,"K","S")&amp;ROUNDUP(MOD(Panchanga!$P141,15),0)&amp;" ("&amp;ROUND(Panchanga!$P141,2)&amp;")"</f>
        <v>K13 (27.29)</v>
      </c>
      <c r="L141" s="2">
        <f ca="1">IF(AND(Panchanga!$P141&lt;28.5,Panchanga!$P141&gt;0.49999),MOD((Panchanga!$P141-0.5)*2,7),MOD((Panchanga!$P141+30-28.5),30)*2+7)</f>
        <v>4.5799999999999983</v>
      </c>
      <c r="M141" s="2" t="str">
        <f ca="1">CHOOSE(ROUNDUP(Panchanga!$L141,0),"Bhava","Baalava","Kaulava","Taitula","Garija","Vanija","Vishti","Shakuni","Chatushapda","Naaga","Kimstugna")</f>
        <v>Garija</v>
      </c>
      <c r="N141" s="25" t="str">
        <f ca="1">CHOOSE(ROUNDUP(Panchanga!$Q141,0),"Vishkambha-विष्कम्भ-Sa","Priti-प्रीति-Me","Ayushman-आयुष्मान-Ke","Saubhagya-सौभाग्य-Ve","Shobhana-शोभन-Su","Atiganda-अतिगण्ड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("&amp;Panchanga!$Q141&amp;")"</f>
        <v>Priti-प्रीति-Me (1.78)</v>
      </c>
      <c r="O141" s="2">
        <f ca="1">IF(AND(Panchanga!$P141&lt;28.5,Panchanga!$P141&gt;0.49999),MOD((Panchanga!$P141-0.5)*2,7),MOD((Panchanga!$P141+30-28.5),30)*2+7)</f>
        <v>4.5799999999999983</v>
      </c>
      <c r="P141" s="2">
        <f ca="1">ROUNDUP(MOD(360+Panchanga!$G141-Panchanga!$F141,360)/12,4)</f>
        <v>27.29</v>
      </c>
      <c r="Q141" s="2">
        <f t="shared" ca="1" si="31"/>
        <v>1.78</v>
      </c>
      <c r="R141" s="2" t="str">
        <f ca="1">SIGN(S142-Panchanga!$S141)*INT(Panchanga!$S141/30+1)&amp;"Ma,"&amp;SIGN(T142-Panchanga!$T141)*INT(Panchanga!$T141/30+1)&amp;"Me,"&amp;SIGN(U142-Panchanga!$U141)*INT(Panchanga!$U141/30+1)&amp;"Ju,"&amp;SIGN(V142-Panchanga!$V141)*INT(Panchanga!$V141/30+1)&amp;"Ve,"&amp;SIGN(W142-Panchanga!$W141)*INT(Panchanga!$W141/30+1)&amp;"Sa,"&amp;INT(Panchanga!$X141/30+1)&amp;"Ra"</f>
        <v>10Ma,1Me,-7Ju,2Ve,-9Sa,4Ra</v>
      </c>
      <c r="S141" s="2">
        <f ca="1">Planet(Panchanga!$E141,4)</f>
        <v>274.60945135292138</v>
      </c>
      <c r="T141" s="2">
        <f ca="1">Planet(Panchanga!$E141,2)</f>
        <v>5.1011242817646805</v>
      </c>
      <c r="U141" s="2">
        <f ca="1">Planet(Panchanga!$E141,5)</f>
        <v>203.73979212448123</v>
      </c>
      <c r="V141" s="2">
        <f ca="1">Planet(Panchanga!$E141,3)</f>
        <v>58.046529954552454</v>
      </c>
      <c r="W141" s="2">
        <f ca="1">Planet(Panchanga!$E141,6)</f>
        <v>254.54579370411335</v>
      </c>
      <c r="X141" s="2">
        <f ca="1">Planet(Panchanga!$E141,10)</f>
        <v>105.79593864627891</v>
      </c>
      <c r="Y141" s="2">
        <f ca="1">SIGN(S142-Panchanga!$S141)</f>
        <v>1</v>
      </c>
    </row>
    <row r="142" spans="1:25" x14ac:dyDescent="0.2">
      <c r="A142" s="3">
        <f t="shared" ca="1" si="32"/>
        <v>43234</v>
      </c>
      <c r="B142" s="3">
        <f t="shared" ca="1" si="25"/>
        <v>43234.229166666664</v>
      </c>
      <c r="C142" s="5">
        <f t="shared" ca="1" si="26"/>
        <v>43234.23940965176</v>
      </c>
      <c r="D142" s="5">
        <f t="shared" ca="1" si="27"/>
        <v>43233.768772741358</v>
      </c>
      <c r="E142" s="60">
        <f ca="1">Panchanga!$C142-TimeZone/24</f>
        <v>43234.010242985096</v>
      </c>
      <c r="F142" s="61">
        <f t="shared" ca="1" si="28"/>
        <v>29.062779922600313</v>
      </c>
      <c r="G142" s="61">
        <f t="shared" ca="1" si="29"/>
        <v>9.3772348973649002</v>
      </c>
      <c r="H142" s="62">
        <f t="shared" ca="1" si="30"/>
        <v>43234.010242985096</v>
      </c>
      <c r="I142" s="2" t="str">
        <f ca="1">naks(Panchanga!$G142)</f>
        <v>Aswini</v>
      </c>
      <c r="J142" s="5">
        <f ca="1">(C143-Panchanga!$C142)/(G143-Panchanga!$G142)*(13.3333333333333-MOD(Panchanga!$G142,13.333333333333))+Panchanga!$C142</f>
        <v>43234.518377982262</v>
      </c>
      <c r="K142" s="2" t="str">
        <f ca="1">IF(Panchanga!$P142&gt;15,"K","S")&amp;ROUNDUP(MOD(Panchanga!$P142,15),0)&amp;" ("&amp;ROUND(Panchanga!$P142,2)&amp;")"</f>
        <v>K14 (28.36)</v>
      </c>
      <c r="L142" s="2">
        <f ca="1">IF(AND(Panchanga!$P142&lt;28.5,Panchanga!$P142&gt;0.49999),MOD((Panchanga!$P142-0.5)*2,7),MOD((Panchanga!$P142+30-28.5),30)*2+7)</f>
        <v>6.7192000000000007</v>
      </c>
      <c r="M142" s="2" t="str">
        <f ca="1">CHOOSE(ROUNDUP(Panchanga!$L142,0),"Bhava","Baalava","Kaulava","Taitula","Garija","Vanija","Vishti","Shakuni","Chatushapda","Naaga","Kimstugna")</f>
        <v>Vishti</v>
      </c>
      <c r="N142" s="25" t="str">
        <f ca="1">CHOOSE(ROUNDUP(Panchanga!$Q142,0),"Vishkambha-विष्कम्भ-Sa","Priti-प्रीति-Me","Ayushman-आयुष्मान-Ke","Saubhagya-सौभाग्य-Ve","Shobhana-शोभन-Su","Atiganda-अतिगण्ड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("&amp;Panchanga!$Q142&amp;")"</f>
        <v>Ayushman-आयुष्मान-Ke (2.89)</v>
      </c>
      <c r="O142" s="2">
        <f ca="1">IF(AND(Panchanga!$P142&lt;28.5,Panchanga!$P142&gt;0.49999),MOD((Panchanga!$P142-0.5)*2,7),MOD((Panchanga!$P142+30-28.5),30)*2+7)</f>
        <v>6.7192000000000007</v>
      </c>
      <c r="P142" s="2">
        <f ca="1">ROUNDUP(MOD(360+Panchanga!$G142-Panchanga!$F142,360)/12,4)</f>
        <v>28.3596</v>
      </c>
      <c r="Q142" s="2">
        <f t="shared" ca="1" si="31"/>
        <v>2.8899999999999997</v>
      </c>
      <c r="R142" s="2" t="str">
        <f ca="1">SIGN(S143-Panchanga!$S142)*INT(Panchanga!$S142/30+1)&amp;"Ma,"&amp;SIGN(T143-Panchanga!$T142)*INT(Panchanga!$T142/30+1)&amp;"Me,"&amp;SIGN(U143-Panchanga!$U142)*INT(Panchanga!$U142/30+1)&amp;"Ju,"&amp;SIGN(V143-Panchanga!$V142)*INT(Panchanga!$V142/30+1)&amp;"Ve,"&amp;SIGN(W143-Panchanga!$W142)*INT(Panchanga!$W142/30+1)&amp;"Sa,"&amp;INT(Panchanga!$X142/30+1)&amp;"Ra"</f>
        <v>10Ma,1Me,-7Ju,2Ve,-9Sa,4Ra</v>
      </c>
      <c r="S142" s="2">
        <f ca="1">Planet(Panchanga!$E142,4)</f>
        <v>275.01663139880225</v>
      </c>
      <c r="T142" s="2">
        <f ca="1">Planet(Panchanga!$E142,2)</f>
        <v>6.63543987290935</v>
      </c>
      <c r="U142" s="2">
        <f ca="1">Planet(Panchanga!$E142,5)</f>
        <v>203.61296948317565</v>
      </c>
      <c r="V142" s="2">
        <f ca="1">Planet(Panchanga!$E142,3)</f>
        <v>59.248321402371317</v>
      </c>
      <c r="W142" s="2">
        <f ca="1">Planet(Panchanga!$E142,6)</f>
        <v>254.50649212535714</v>
      </c>
      <c r="X142" s="2">
        <f ca="1">Planet(Panchanga!$E142,10)</f>
        <v>105.7429566803346</v>
      </c>
      <c r="Y142" s="2">
        <f ca="1">SIGN(S143-Panchanga!$S142)</f>
        <v>1</v>
      </c>
    </row>
    <row r="143" spans="1:25" x14ac:dyDescent="0.2">
      <c r="A143" s="3">
        <f t="shared" ca="1" si="32"/>
        <v>43235</v>
      </c>
      <c r="B143" s="3">
        <f t="shared" ca="1" si="25"/>
        <v>43235.229166666664</v>
      </c>
      <c r="C143" s="5">
        <f t="shared" ca="1" si="26"/>
        <v>43235.239230360989</v>
      </c>
      <c r="D143" s="5">
        <f t="shared" ca="1" si="27"/>
        <v>43234.768957436128</v>
      </c>
      <c r="E143" s="60">
        <f ca="1">Panchanga!$C143-TimeZone/24</f>
        <v>43235.010063694324</v>
      </c>
      <c r="F143" s="61">
        <f t="shared" ca="1" si="28"/>
        <v>30.027791567666256</v>
      </c>
      <c r="G143" s="61">
        <f t="shared" ca="1" si="29"/>
        <v>23.555866345974273</v>
      </c>
      <c r="H143" s="62">
        <f t="shared" ca="1" si="30"/>
        <v>43235.010063694324</v>
      </c>
      <c r="I143" s="2" t="str">
        <f ca="1">naks(Panchanga!$G143)</f>
        <v>Bharani</v>
      </c>
      <c r="J143" s="5">
        <f ca="1">(C144-Panchanga!$C143)/(G144-Panchanga!$G143)*(13.3333333333333-MOD(Panchanga!$G143,13.333333333333))+Panchanga!$C143</f>
        <v>43235.454130728744</v>
      </c>
      <c r="K143" s="2" t="str">
        <f ca="1">IF(Panchanga!$P143&gt;15,"K","S")&amp;ROUNDUP(MOD(Panchanga!$P143,15),0)&amp;" ("&amp;ROUND(Panchanga!$P143,2)&amp;")"</f>
        <v>K15 (29.46)</v>
      </c>
      <c r="L143" s="2">
        <f ca="1">IF(AND(Panchanga!$P143&lt;28.5,Panchanga!$P143&gt;0.49999),MOD((Panchanga!$P143-0.5)*2,7),MOD((Panchanga!$P143+30-28.5),30)*2+7)</f>
        <v>8.9214000000000055</v>
      </c>
      <c r="M143" s="2" t="str">
        <f ca="1">CHOOSE(ROUNDUP(Panchanga!$L143,0),"Bhava","Baalava","Kaulava","Taitula","Garija","Vanija","Vishti","Shakuni","Chatushapda","Naaga","Kimstugna")</f>
        <v>Chatushapda</v>
      </c>
      <c r="N143" s="25" t="str">
        <f ca="1">CHOOSE(ROUNDUP(Panchanga!$Q143,0),"Vishkambha-विष्कम्भ-Sa","Priti-प्रीति-Me","Ayushman-आयुष्मान-Ke","Saubhagya-सौभाग्य-Ve","Shobhana-शोभन-Su","Atiganda-अतिगण्ड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("&amp;Panchanga!$Q143&amp;")"</f>
        <v>Shobhana-शोभन-Su (4.02)</v>
      </c>
      <c r="O143" s="2">
        <f ca="1">IF(AND(Panchanga!$P143&lt;28.5,Panchanga!$P143&gt;0.49999),MOD((Panchanga!$P143-0.5)*2,7),MOD((Panchanga!$P143+30-28.5),30)*2+7)</f>
        <v>8.9214000000000055</v>
      </c>
      <c r="P143" s="2">
        <f ca="1">ROUNDUP(MOD(360+Panchanga!$G143-Panchanga!$F143,360)/12,4)</f>
        <v>29.460699999999999</v>
      </c>
      <c r="Q143" s="2">
        <f t="shared" ca="1" si="31"/>
        <v>4.0199999999999996</v>
      </c>
      <c r="R143" s="2" t="str">
        <f ca="1">SIGN(S144-Panchanga!$S143)*INT(Panchanga!$S143/30+1)&amp;"Ma,"&amp;SIGN(T144-Panchanga!$T143)*INT(Panchanga!$T143/30+1)&amp;"Me,"&amp;SIGN(U144-Panchanga!$U143)*INT(Panchanga!$U143/30+1)&amp;"Ju,"&amp;SIGN(V144-Panchanga!$V143)*INT(Panchanga!$V143/30+1)&amp;"Ve,"&amp;SIGN(W144-Panchanga!$W143)*INT(Panchanga!$W143/30+1)&amp;"Sa,"&amp;INT(Panchanga!$X143/30+1)&amp;"Ra"</f>
        <v>10Ma,1Me,-7Ju,3Ve,-9Sa,4Ra</v>
      </c>
      <c r="S143" s="2">
        <f ca="1">Planet(Panchanga!$E143,4)</f>
        <v>275.41817414670851</v>
      </c>
      <c r="T143" s="2">
        <f ca="1">Planet(Panchanga!$E143,2)</f>
        <v>8.2052360478435578</v>
      </c>
      <c r="U143" s="2">
        <f ca="1">Planet(Panchanga!$E143,5)</f>
        <v>203.48655556937788</v>
      </c>
      <c r="V143" s="2">
        <f ca="1">Planet(Panchanga!$E143,3)</f>
        <v>60.449293361138793</v>
      </c>
      <c r="W143" s="2">
        <f ca="1">Planet(Panchanga!$E143,6)</f>
        <v>254.46581108971893</v>
      </c>
      <c r="X143" s="2">
        <f ca="1">Planet(Panchanga!$E143,10)</f>
        <v>105.68997418376061</v>
      </c>
      <c r="Y143" s="2">
        <f ca="1">SIGN(S144-Panchanga!$S143)</f>
        <v>1</v>
      </c>
    </row>
    <row r="144" spans="1:25" x14ac:dyDescent="0.2">
      <c r="A144" s="3">
        <f t="shared" ca="1" si="32"/>
        <v>43236</v>
      </c>
      <c r="B144" s="3">
        <f t="shared" ca="1" si="25"/>
        <v>43236.229166666664</v>
      </c>
      <c r="C144" s="5">
        <f t="shared" ca="1" si="26"/>
        <v>43236.239061083797</v>
      </c>
      <c r="D144" s="5">
        <f t="shared" ca="1" si="27"/>
        <v>43235.769145309969</v>
      </c>
      <c r="E144" s="60">
        <f ca="1">Panchanga!$C144-TimeZone/24</f>
        <v>43236.009894417133</v>
      </c>
      <c r="F144" s="61">
        <f t="shared" ca="1" si="28"/>
        <v>30.992408746942179</v>
      </c>
      <c r="G144" s="61">
        <f t="shared" ca="1" si="29"/>
        <v>38.028962719156766</v>
      </c>
      <c r="H144" s="62">
        <f t="shared" ca="1" si="30"/>
        <v>43236.009894417133</v>
      </c>
      <c r="I144" s="2" t="str">
        <f ca="1">naks(Panchanga!$G144)</f>
        <v>Krittika</v>
      </c>
      <c r="J144" s="5">
        <f ca="1">(C145-Panchanga!$C144)/(G145-Panchanga!$G144)*(13.3333333333333-MOD(Panchanga!$G144,13.333333333333))+Panchanga!$C144</f>
        <v>43236.3735536241</v>
      </c>
      <c r="K144" s="2" t="str">
        <f ca="1">IF(Panchanga!$P144&gt;15,"K","S")&amp;ROUNDUP(MOD(Panchanga!$P144,15),0)&amp;" ("&amp;ROUND(Panchanga!$P144,2)&amp;")"</f>
        <v>S1 (0.59)</v>
      </c>
      <c r="L144" s="2">
        <f ca="1">IF(AND(Panchanga!$P144&lt;28.5,Panchanga!$P144&gt;0.49999),MOD((Panchanga!$P144-0.5)*2,7),MOD((Panchanga!$P144+30-28.5),30)*2+7)</f>
        <v>0.17280000000000006</v>
      </c>
      <c r="M144" s="2" t="str">
        <f ca="1">CHOOSE(ROUNDUP(Panchanga!$L144,0),"Bhava","Baalava","Kaulava","Taitula","Garija","Vanija","Vishti","Shakuni","Chatushapda","Naaga","Kimstugna")</f>
        <v>Bhava</v>
      </c>
      <c r="N144" s="25" t="str">
        <f ca="1">CHOOSE(ROUNDUP(Panchanga!$Q144,0),"Vishkambha-विष्कम्भ-Sa","Priti-प्रीति-Me","Ayushman-आयुष्मान-Ke","Saubhagya-सौभाग्य-Ve","Shobhana-शोभन-Su","Atiganda-अतिगण्ड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("&amp;Panchanga!$Q144&amp;")"</f>
        <v>Atiganda-अतिगण्ड -Mo (5.18)</v>
      </c>
      <c r="O144" s="2">
        <f ca="1">IF(AND(Panchanga!$P144&lt;28.5,Panchanga!$P144&gt;0.49999),MOD((Panchanga!$P144-0.5)*2,7),MOD((Panchanga!$P144+30-28.5),30)*2+7)</f>
        <v>0.17280000000000006</v>
      </c>
      <c r="P144" s="2">
        <f ca="1">ROUNDUP(MOD(360+Panchanga!$G144-Panchanga!$F144,360)/12,4)</f>
        <v>0.58640000000000003</v>
      </c>
      <c r="Q144" s="2">
        <f t="shared" ca="1" si="31"/>
        <v>5.18</v>
      </c>
      <c r="R144" s="2" t="str">
        <f ca="1">SIGN(S145-Panchanga!$S144)*INT(Panchanga!$S144/30+1)&amp;"Ma,"&amp;SIGN(T145-Panchanga!$T144)*INT(Panchanga!$T144/30+1)&amp;"Me,"&amp;SIGN(U145-Panchanga!$U144)*INT(Panchanga!$U144/30+1)&amp;"Ju,"&amp;SIGN(V145-Panchanga!$V144)*INT(Panchanga!$V144/30+1)&amp;"Ve,"&amp;SIGN(W145-Panchanga!$W144)*INT(Panchanga!$W144/30+1)&amp;"Sa,"&amp;INT(Panchanga!$X144/30+1)&amp;"Ra"</f>
        <v>10Ma,1Me,-7Ju,3Ve,-9Sa,4Ra</v>
      </c>
      <c r="S144" s="2">
        <f ca="1">Planet(Panchanga!$E144,4)</f>
        <v>275.81393962329162</v>
      </c>
      <c r="T144" s="2">
        <f ca="1">Planet(Panchanga!$E144,2)</f>
        <v>9.8103446181399203</v>
      </c>
      <c r="U144" s="2">
        <f ca="1">Planet(Panchanga!$E144,5)</f>
        <v>203.36064364448305</v>
      </c>
      <c r="V144" s="2">
        <f ca="1">Planet(Panchanga!$E144,3)</f>
        <v>61.649426634671094</v>
      </c>
      <c r="W144" s="2">
        <f ca="1">Planet(Panchanga!$E144,6)</f>
        <v>254.4237709614797</v>
      </c>
      <c r="X144" s="2">
        <f ca="1">Planet(Panchanga!$E144,10)</f>
        <v>105.63699115654036</v>
      </c>
      <c r="Y144" s="2">
        <f ca="1">SIGN(S145-Panchanga!$S144)</f>
        <v>1</v>
      </c>
    </row>
    <row r="145" spans="1:25" x14ac:dyDescent="0.2">
      <c r="A145" s="3">
        <f t="shared" ca="1" si="32"/>
        <v>43237</v>
      </c>
      <c r="B145" s="3">
        <f t="shared" ca="1" si="25"/>
        <v>43237.229166666664</v>
      </c>
      <c r="C145" s="5">
        <f t="shared" ca="1" si="26"/>
        <v>43237.238901820187</v>
      </c>
      <c r="D145" s="5">
        <f t="shared" ca="1" si="27"/>
        <v>43236.769336204088</v>
      </c>
      <c r="E145" s="60">
        <f ca="1">Panchanga!$C145-TimeZone/24</f>
        <v>43237.009735153522</v>
      </c>
      <c r="F145" s="61">
        <f t="shared" ca="1" si="28"/>
        <v>31.956617034139654</v>
      </c>
      <c r="G145" s="61">
        <f t="shared" ca="1" si="29"/>
        <v>52.681993748855518</v>
      </c>
      <c r="H145" s="62">
        <f t="shared" ca="1" si="30"/>
        <v>43237.009735153522</v>
      </c>
      <c r="I145" s="2" t="str">
        <f ca="1">naks(Panchanga!$G145)</f>
        <v>Rohini</v>
      </c>
      <c r="J145" s="5">
        <f ca="1">(C146-Panchanga!$C145)/(G146-Panchanga!$G145)*(13.3333333333333-MOD(Panchanga!$G145,13.333333333333))+Panchanga!$C145</f>
        <v>43237.283183485648</v>
      </c>
      <c r="K145" s="2" t="str">
        <f ca="1">IF(Panchanga!$P145&gt;15,"K","S")&amp;ROUNDUP(MOD(Panchanga!$P145,15),0)&amp;" ("&amp;ROUND(Panchanga!$P145,2)&amp;")"</f>
        <v>S2 (1.73)</v>
      </c>
      <c r="L145" s="2">
        <f ca="1">IF(AND(Panchanga!$P145&lt;28.5,Panchanga!$P145&gt;0.49999),MOD((Panchanga!$P145-0.5)*2,7),MOD((Panchanga!$P145+30-28.5),30)*2+7)</f>
        <v>2.4544000000000001</v>
      </c>
      <c r="M145" s="2" t="str">
        <f ca="1">CHOOSE(ROUNDUP(Panchanga!$L145,0),"Bhava","Baalava","Kaulava","Taitula","Garija","Vanija","Vishti","Shakuni","Chatushapda","Naaga","Kimstugna")</f>
        <v>Kaulava</v>
      </c>
      <c r="N145" s="25" t="str">
        <f ca="1">CHOOSE(ROUNDUP(Panchanga!$Q145,0),"Vishkambha-विष्कम्भ-Sa","Priti-प्रीति-Me","Ayushman-आयुष्मान-Ke","Saubhagya-सौभाग्य-Ve","Shobhana-शोभन-Su","Atiganda-अतिगण्ड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("&amp;Panchanga!$Q145&amp;")"</f>
        <v>Sukarman-सुकर्मा -Ma (6.35)</v>
      </c>
      <c r="O145" s="2">
        <f ca="1">IF(AND(Panchanga!$P145&lt;28.5,Panchanga!$P145&gt;0.49999),MOD((Panchanga!$P145-0.5)*2,7),MOD((Panchanga!$P145+30-28.5),30)*2+7)</f>
        <v>2.4544000000000001</v>
      </c>
      <c r="P145" s="2">
        <f ca="1">ROUNDUP(MOD(360+Panchanga!$G145-Panchanga!$F145,360)/12,4)</f>
        <v>1.7272000000000001</v>
      </c>
      <c r="Q145" s="2">
        <f t="shared" ca="1" si="31"/>
        <v>6.35</v>
      </c>
      <c r="R145" s="2" t="str">
        <f ca="1">SIGN(S146-Panchanga!$S145)*INT(Panchanga!$S145/30+1)&amp;"Ma,"&amp;SIGN(T146-Panchanga!$T145)*INT(Panchanga!$T145/30+1)&amp;"Me,"&amp;SIGN(U146-Panchanga!$U145)*INT(Panchanga!$U145/30+1)&amp;"Ju,"&amp;SIGN(V146-Panchanga!$V145)*INT(Panchanga!$V145/30+1)&amp;"Ve,"&amp;SIGN(W146-Panchanga!$W145)*INT(Panchanga!$W145/30+1)&amp;"Sa,"&amp;INT(Panchanga!$X145/30+1)&amp;"Ra"</f>
        <v>10Ma,1Me,-7Ju,3Ve,-9Sa,4Ra</v>
      </c>
      <c r="S145" s="2">
        <f ca="1">Planet(Panchanga!$E145,4)</f>
        <v>276.20379327252908</v>
      </c>
      <c r="T145" s="2">
        <f ca="1">Planet(Panchanga!$E145,2)</f>
        <v>11.450658813835732</v>
      </c>
      <c r="U145" s="2">
        <f ca="1">Planet(Panchanga!$E145,5)</f>
        <v>203.23532668083999</v>
      </c>
      <c r="V145" s="2">
        <f ca="1">Planet(Panchanga!$E145,3)</f>
        <v>62.848698733176668</v>
      </c>
      <c r="W145" s="2">
        <f ca="1">Planet(Panchanga!$E145,6)</f>
        <v>254.38039343812767</v>
      </c>
      <c r="X145" s="2">
        <f ca="1">Planet(Panchanga!$E145,10)</f>
        <v>105.58400759867381</v>
      </c>
      <c r="Y145" s="2">
        <f ca="1">SIGN(S146-Panchanga!$S145)</f>
        <v>1</v>
      </c>
    </row>
    <row r="146" spans="1:25" x14ac:dyDescent="0.2">
      <c r="A146" s="3">
        <f t="shared" ca="1" si="32"/>
        <v>43238</v>
      </c>
      <c r="B146" s="3">
        <f t="shared" ca="1" si="25"/>
        <v>43238.229166666664</v>
      </c>
      <c r="C146" s="5">
        <f t="shared" ca="1" si="26"/>
        <v>43238.238752729412</v>
      </c>
      <c r="D146" s="5">
        <f t="shared" ca="1" si="27"/>
        <v>43237.769529958765</v>
      </c>
      <c r="E146" s="60">
        <f ca="1">Panchanga!$C146-TimeZone/24</f>
        <v>43238.009586062748</v>
      </c>
      <c r="F146" s="61">
        <f t="shared" ca="1" si="28"/>
        <v>32.92040206994141</v>
      </c>
      <c r="G146" s="61">
        <f t="shared" ca="1" si="29"/>
        <v>67.388813578629524</v>
      </c>
      <c r="H146" s="62">
        <f t="shared" ca="1" si="30"/>
        <v>43238.009586062748</v>
      </c>
      <c r="I146" s="2" t="str">
        <f ca="1">naks(Panchanga!$G146)</f>
        <v>Ardra</v>
      </c>
      <c r="J146" s="5">
        <f ca="1">(C147-Panchanga!$C146)/(G147-Panchanga!$G146)*(13.3333333333333-MOD(Panchanga!$G146,13.333333333333))+Panchanga!$C146</f>
        <v>43239.099834076143</v>
      </c>
      <c r="K146" s="2" t="str">
        <f ca="1">IF(Panchanga!$P146&gt;15,"K","S")&amp;ROUNDUP(MOD(Panchanga!$P146,15),0)&amp;" ("&amp;ROUND(Panchanga!$P146,2)&amp;")"</f>
        <v>S3 (2.87)</v>
      </c>
      <c r="L146" s="2">
        <f ca="1">IF(AND(Panchanga!$P146&lt;28.5,Panchanga!$P146&gt;0.49999),MOD((Panchanga!$P146-0.5)*2,7),MOD((Panchanga!$P146+30-28.5),30)*2+7)</f>
        <v>4.7448000000000006</v>
      </c>
      <c r="M146" s="2" t="str">
        <f ca="1">CHOOSE(ROUNDUP(Panchanga!$L146,0),"Bhava","Baalava","Kaulava","Taitula","Garija","Vanija","Vishti","Shakuni","Chatushapda","Naaga","Kimstugna")</f>
        <v>Garija</v>
      </c>
      <c r="N146" s="25" t="str">
        <f ca="1">CHOOSE(ROUNDUP(Panchanga!$Q146,0),"Vishkambha-विष्कम्भ-Sa","Priti-प्रीति-Me","Ayushman-आयुष्मान-Ke","Saubhagya-सौभाग्य-Ve","Shobhana-शोभन-Su","Atiganda-अतिगण्ड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("&amp;Panchanga!$Q146&amp;")"</f>
        <v>Dhriti-धृति -Ra (7.53)</v>
      </c>
      <c r="O146" s="2">
        <f ca="1">IF(AND(Panchanga!$P146&lt;28.5,Panchanga!$P146&gt;0.49999),MOD((Panchanga!$P146-0.5)*2,7),MOD((Panchanga!$P146+30-28.5),30)*2+7)</f>
        <v>4.7448000000000006</v>
      </c>
      <c r="P146" s="2">
        <f ca="1">ROUNDUP(MOD(360+Panchanga!$G146-Panchanga!$F146,360)/12,4)</f>
        <v>2.8724000000000003</v>
      </c>
      <c r="Q146" s="2">
        <f t="shared" ca="1" si="31"/>
        <v>7.5299999999999994</v>
      </c>
      <c r="R146" s="2" t="str">
        <f ca="1">SIGN(S147-Panchanga!$S146)*INT(Panchanga!$S146/30+1)&amp;"Ma,"&amp;SIGN(T147-Panchanga!$T146)*INT(Panchanga!$T146/30+1)&amp;"Me,"&amp;SIGN(U147-Panchanga!$U146)*INT(Panchanga!$U146/30+1)&amp;"Ju,"&amp;SIGN(V147-Panchanga!$V146)*INT(Panchanga!$V146/30+1)&amp;"Ve,"&amp;SIGN(W147-Panchanga!$W146)*INT(Panchanga!$W146/30+1)&amp;"Sa,"&amp;INT(Panchanga!$X146/30+1)&amp;"Ra"</f>
        <v>10Ma,1Me,-7Ju,3Ve,-9Sa,4Ra</v>
      </c>
      <c r="S146" s="2">
        <f ca="1">Planet(Panchanga!$E146,4)</f>
        <v>276.58760624683612</v>
      </c>
      <c r="T146" s="2">
        <f ca="1">Planet(Panchanga!$E146,2)</f>
        <v>13.126121029694177</v>
      </c>
      <c r="U146" s="2">
        <f ca="1">Planet(Panchanga!$E146,5)</f>
        <v>203.11069673894056</v>
      </c>
      <c r="V146" s="2">
        <f ca="1">Planet(Panchanga!$E146,3)</f>
        <v>64.047084701084401</v>
      </c>
      <c r="W146" s="2">
        <f ca="1">Planet(Panchanga!$E146,6)</f>
        <v>254.33570143664735</v>
      </c>
      <c r="X146" s="2">
        <f ca="1">Planet(Panchanga!$E146,10)</f>
        <v>105.53102350176064</v>
      </c>
      <c r="Y146" s="2">
        <f ca="1">SIGN(S147-Panchanga!$S146)</f>
        <v>1</v>
      </c>
    </row>
    <row r="147" spans="1:25" x14ac:dyDescent="0.2">
      <c r="A147" s="3">
        <f t="shared" ca="1" si="32"/>
        <v>43239</v>
      </c>
      <c r="B147" s="3">
        <f t="shared" ca="1" si="25"/>
        <v>43239.229166666664</v>
      </c>
      <c r="C147" s="5">
        <f t="shared" ca="1" si="26"/>
        <v>43239.238613492962</v>
      </c>
      <c r="D147" s="5">
        <f t="shared" ca="1" si="27"/>
        <v>43238.769726415674</v>
      </c>
      <c r="E147" s="60">
        <f ca="1">Panchanga!$C147-TimeZone/24</f>
        <v>43239.009446826298</v>
      </c>
      <c r="F147" s="61">
        <f t="shared" ca="1" si="28"/>
        <v>33.883750743127919</v>
      </c>
      <c r="G147" s="61">
        <f t="shared" ca="1" si="29"/>
        <v>82.03252933493215</v>
      </c>
      <c r="H147" s="62">
        <f t="shared" ca="1" si="30"/>
        <v>43239.009446826298</v>
      </c>
      <c r="I147" s="2" t="str">
        <f ca="1">naks(Panchanga!$G147)</f>
        <v>Punarvasu</v>
      </c>
      <c r="J147" s="5">
        <f ca="1">(C148-Panchanga!$C147)/(G148-Panchanga!$G147)*(13.3333333333333-MOD(Panchanga!$G147,13.333333333333))+Panchanga!$C147</f>
        <v>43240.018458228464</v>
      </c>
      <c r="K147" s="2" t="str">
        <f ca="1">IF(Panchanga!$P147&gt;15,"K","S")&amp;ROUNDUP(MOD(Panchanga!$P147,15),0)&amp;" ("&amp;ROUND(Panchanga!$P147,2)&amp;")"</f>
        <v>S5 (4.01)</v>
      </c>
      <c r="L147" s="2">
        <f ca="1">IF(AND(Panchanga!$P147&lt;28.5,Panchanga!$P147&gt;0.49999),MOD((Panchanga!$P147-0.5)*2,7),MOD((Panchanga!$P147+30-28.5),30)*2+7)</f>
        <v>2.4799999999999045E-2</v>
      </c>
      <c r="M147" s="2" t="str">
        <f ca="1">CHOOSE(ROUNDUP(Panchanga!$L147,0),"Bhava","Baalava","Kaulava","Taitula","Garija","Vanija","Vishti","Shakuni","Chatushapda","Naaga","Kimstugna")</f>
        <v>Bhava</v>
      </c>
      <c r="N147" s="25" t="str">
        <f ca="1">CHOOSE(ROUNDUP(Panchanga!$Q147,0),"Vishkambha-विष्कम्भ-Sa","Priti-प्रीति-Me","Ayushman-आयुष्मान-Ke","Saubhagya-सौभाग्य-Ve","Shobhana-शोभन-Su","Atiganda-अतिगण्ड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("&amp;Panchanga!$Q147&amp;")"</f>
        <v>Shula-शूल -Ju (8.7)</v>
      </c>
      <c r="O147" s="2">
        <f ca="1">IF(AND(Panchanga!$P147&lt;28.5,Panchanga!$P147&gt;0.49999),MOD((Panchanga!$P147-0.5)*2,7),MOD((Panchanga!$P147+30-28.5),30)*2+7)</f>
        <v>2.4799999999999045E-2</v>
      </c>
      <c r="P147" s="2">
        <f ca="1">ROUNDUP(MOD(360+Panchanga!$G147-Panchanga!$F147,360)/12,4)</f>
        <v>4.0123999999999995</v>
      </c>
      <c r="Q147" s="2">
        <f t="shared" ca="1" si="31"/>
        <v>8.6999999999999993</v>
      </c>
      <c r="R147" s="2" t="str">
        <f ca="1">SIGN(S148-Panchanga!$S147)*INT(Panchanga!$S147/30+1)&amp;"Ma,"&amp;SIGN(T148-Panchanga!$T147)*INT(Panchanga!$T147/30+1)&amp;"Me,"&amp;SIGN(U148-Panchanga!$U147)*INT(Panchanga!$U147/30+1)&amp;"Ju,"&amp;SIGN(V148-Panchanga!$V147)*INT(Panchanga!$V147/30+1)&amp;"Ve,"&amp;SIGN(W148-Panchanga!$W147)*INT(Panchanga!$W147/30+1)&amp;"Sa,"&amp;INT(Panchanga!$X147/30+1)&amp;"Ra"</f>
        <v>10Ma,1Me,-7Ju,3Ve,-9Sa,4Ra</v>
      </c>
      <c r="S147" s="2">
        <f ca="1">Planet(Panchanga!$E147,4)</f>
        <v>276.96525426001972</v>
      </c>
      <c r="T147" s="2">
        <f ca="1">Planet(Panchanga!$E147,2)</f>
        <v>14.836706755163426</v>
      </c>
      <c r="U147" s="2">
        <f ca="1">Planet(Panchanga!$E147,5)</f>
        <v>202.98684441313426</v>
      </c>
      <c r="V147" s="2">
        <f ca="1">Planet(Panchanga!$E147,3)</f>
        <v>65.244557377617838</v>
      </c>
      <c r="W147" s="2">
        <f ca="1">Planet(Panchanga!$E147,6)</f>
        <v>254.2897189283614</v>
      </c>
      <c r="X147" s="2">
        <f ca="1">Planet(Panchanga!$E147,10)</f>
        <v>105.47803888263465</v>
      </c>
      <c r="Y147" s="2">
        <f ca="1">SIGN(S148-Panchanga!$S147)</f>
        <v>1</v>
      </c>
    </row>
    <row r="148" spans="1:25" x14ac:dyDescent="0.2">
      <c r="A148" s="3">
        <f t="shared" ca="1" si="32"/>
        <v>43240</v>
      </c>
      <c r="B148" s="3">
        <f t="shared" ca="1" si="25"/>
        <v>43240.229166666664</v>
      </c>
      <c r="C148" s="5">
        <f t="shared" ca="1" si="26"/>
        <v>43240.238484270092</v>
      </c>
      <c r="D148" s="5">
        <f t="shared" ca="1" si="27"/>
        <v>43239.769925256769</v>
      </c>
      <c r="E148" s="60">
        <f ca="1">Panchanga!$C148-TimeZone/24</f>
        <v>43240.009317603428</v>
      </c>
      <c r="F148" s="61">
        <f t="shared" ca="1" si="28"/>
        <v>34.846653801421809</v>
      </c>
      <c r="G148" s="61">
        <f t="shared" ca="1" si="29"/>
        <v>96.521751563054437</v>
      </c>
      <c r="H148" s="62">
        <f t="shared" ca="1" si="30"/>
        <v>43240.009317603428</v>
      </c>
      <c r="I148" s="2" t="str">
        <f ca="1">naks(Panchanga!$G148)</f>
        <v>Pushya</v>
      </c>
      <c r="J148" s="5">
        <f ca="1">(C149-Panchanga!$C148)/(G149-Panchanga!$G148)*(13.3333333333333-MOD(Panchanga!$G148,13.333333333333))+Panchanga!$C148</f>
        <v>43240.949022259119</v>
      </c>
      <c r="K148" s="2" t="str">
        <f ca="1">IF(Panchanga!$P148&gt;15,"K","S")&amp;ROUNDUP(MOD(Panchanga!$P148,15),0)&amp;" ("&amp;ROUND(Panchanga!$P148,2)&amp;")"</f>
        <v>S6 (5.14)</v>
      </c>
      <c r="L148" s="2">
        <f ca="1">IF(AND(Panchanga!$P148&lt;28.5,Panchanga!$P148&gt;0.49999),MOD((Panchanga!$P148-0.5)*2,7),MOD((Panchanga!$P148+30-28.5),30)*2+7)</f>
        <v>2.2791999999999994</v>
      </c>
      <c r="M148" s="2" t="str">
        <f ca="1">CHOOSE(ROUNDUP(Panchanga!$L148,0),"Bhava","Baalava","Kaulava","Taitula","Garija","Vanija","Vishti","Shakuni","Chatushapda","Naaga","Kimstugna")</f>
        <v>Kaulava</v>
      </c>
      <c r="N148" s="25" t="str">
        <f ca="1">CHOOSE(ROUNDUP(Panchanga!$Q148,0),"Vishkambha-विष्कम्भ-Sa","Priti-प्रीति-Me","Ayushman-आयुष्मान-Ke","Saubhagya-सौभाग्य-Ve","Shobhana-शोभन-Su","Atiganda-अतिगण्ड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("&amp;Panchanga!$Q148&amp;")"</f>
        <v>Ganda-गण्ड -Sa (9.86)</v>
      </c>
      <c r="O148" s="2">
        <f ca="1">IF(AND(Panchanga!$P148&lt;28.5,Panchanga!$P148&gt;0.49999),MOD((Panchanga!$P148-0.5)*2,7),MOD((Panchanga!$P148+30-28.5),30)*2+7)</f>
        <v>2.2791999999999994</v>
      </c>
      <c r="P148" s="2">
        <f ca="1">ROUNDUP(MOD(360+Panchanga!$G148-Panchanga!$F148,360)/12,4)</f>
        <v>5.1395999999999997</v>
      </c>
      <c r="Q148" s="2">
        <f t="shared" ca="1" si="31"/>
        <v>9.86</v>
      </c>
      <c r="R148" s="2" t="str">
        <f ca="1">SIGN(S149-Panchanga!$S148)*INT(Panchanga!$S148/30+1)&amp;"Ma,"&amp;SIGN(T149-Panchanga!$T148)*INT(Panchanga!$T148/30+1)&amp;"Me,"&amp;SIGN(U149-Panchanga!$U148)*INT(Panchanga!$U148/30+1)&amp;"Ju,"&amp;SIGN(V149-Panchanga!$V148)*INT(Panchanga!$V148/30+1)&amp;"Ve,"&amp;SIGN(W149-Panchanga!$W148)*INT(Panchanga!$W148/30+1)&amp;"Sa,"&amp;INT(Panchanga!$X148/30+1)&amp;"Ra"</f>
        <v>10Ma,1Me,-7Ju,3Ve,-9Sa,4Ra</v>
      </c>
      <c r="S148" s="2">
        <f ca="1">Planet(Panchanga!$E148,4)</f>
        <v>277.33661597170385</v>
      </c>
      <c r="T148" s="2">
        <f ca="1">Planet(Panchanga!$E148,2)</f>
        <v>16.582408059822928</v>
      </c>
      <c r="U148" s="2">
        <f ca="1">Planet(Panchanga!$E148,5)</f>
        <v>202.86385815345295</v>
      </c>
      <c r="V148" s="2">
        <f ca="1">Planet(Panchanga!$E148,3)</f>
        <v>66.441089792769475</v>
      </c>
      <c r="W148" s="2">
        <f ca="1">Planet(Panchanga!$E148,6)</f>
        <v>254.24247064495736</v>
      </c>
      <c r="X148" s="2">
        <f ca="1">Planet(Panchanga!$E148,10)</f>
        <v>105.42505373286245</v>
      </c>
      <c r="Y148" s="2">
        <f ca="1">SIGN(S149-Panchanga!$S148)</f>
        <v>1</v>
      </c>
    </row>
    <row r="149" spans="1:25" x14ac:dyDescent="0.2">
      <c r="A149" s="3">
        <f t="shared" ca="1" si="32"/>
        <v>43241</v>
      </c>
      <c r="B149" s="3">
        <f t="shared" ca="1" si="25"/>
        <v>43241.229166666664</v>
      </c>
      <c r="C149" s="5">
        <f t="shared" ca="1" si="26"/>
        <v>43241.238364901546</v>
      </c>
      <c r="D149" s="5">
        <f t="shared" ca="1" si="27"/>
        <v>43240.770126164003</v>
      </c>
      <c r="E149" s="60">
        <f ca="1">Panchanga!$C149-TimeZone/24</f>
        <v>43241.009198234882</v>
      </c>
      <c r="F149" s="61">
        <f t="shared" ca="1" si="28"/>
        <v>35.809106349317481</v>
      </c>
      <c r="G149" s="61">
        <f t="shared" ca="1" si="29"/>
        <v>110.79784133799114</v>
      </c>
      <c r="H149" s="62">
        <f t="shared" ca="1" si="30"/>
        <v>43241.009198234882</v>
      </c>
      <c r="I149" s="2" t="str">
        <f ca="1">naks(Panchanga!$G149)</f>
        <v>Aslesha</v>
      </c>
      <c r="J149" s="5">
        <f ca="1">(C150-Panchanga!$C149)/(G150-Panchanga!$G149)*(13.3333333333333-MOD(Panchanga!$G149,13.333333333333))+Panchanga!$C149</f>
        <v>43241.893936943285</v>
      </c>
      <c r="K149" s="2" t="str">
        <f ca="1">IF(Panchanga!$P149&gt;15,"K","S")&amp;ROUNDUP(MOD(Panchanga!$P149,15),0)&amp;" ("&amp;ROUND(Panchanga!$P149,2)&amp;")"</f>
        <v>S7 (6.25)</v>
      </c>
      <c r="L149" s="2">
        <f ca="1">IF(AND(Panchanga!$P149&lt;28.5,Panchanga!$P149&gt;0.49999),MOD((Panchanga!$P149-0.5)*2,7),MOD((Panchanga!$P149+30-28.5),30)*2+7)</f>
        <v>4.4981999999999989</v>
      </c>
      <c r="M149" s="2" t="str">
        <f ca="1">CHOOSE(ROUNDUP(Panchanga!$L149,0),"Bhava","Baalava","Kaulava","Taitula","Garija","Vanija","Vishti","Shakuni","Chatushapda","Naaga","Kimstugna")</f>
        <v>Garija</v>
      </c>
      <c r="N149" s="25" t="str">
        <f ca="1">CHOOSE(ROUNDUP(Panchanga!$Q149,0),"Vishkambha-विष्कम्भ-Sa","Priti-प्रीति-Me","Ayushman-आयुष्मान-Ke","Saubhagya-सौभाग्य-Ve","Shobhana-शोभन-Su","Atiganda-अतिगण्ड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("&amp;Panchanga!$Q149&amp;")"</f>
        <v>Vriddhi-वृद्धि -Me (11)</v>
      </c>
      <c r="O149" s="2">
        <f ca="1">IF(AND(Panchanga!$P149&lt;28.5,Panchanga!$P149&gt;0.49999),MOD((Panchanga!$P149-0.5)*2,7),MOD((Panchanga!$P149+30-28.5),30)*2+7)</f>
        <v>4.4981999999999989</v>
      </c>
      <c r="P149" s="2">
        <f ca="1">ROUNDUP(MOD(360+Panchanga!$G149-Panchanga!$F149,360)/12,4)</f>
        <v>6.2490999999999994</v>
      </c>
      <c r="Q149" s="2">
        <f t="shared" ca="1" si="31"/>
        <v>11</v>
      </c>
      <c r="R149" s="2" t="str">
        <f ca="1">SIGN(S150-Panchanga!$S149)*INT(Panchanga!$S149/30+1)&amp;"Ma,"&amp;SIGN(T150-Panchanga!$T149)*INT(Panchanga!$T149/30+1)&amp;"Me,"&amp;SIGN(U150-Panchanga!$U149)*INT(Panchanga!$U149/30+1)&amp;"Ju,"&amp;SIGN(V150-Panchanga!$V149)*INT(Panchanga!$V149/30+1)&amp;"Ve,"&amp;SIGN(W150-Panchanga!$W149)*INT(Panchanga!$W149/30+1)&amp;"Sa,"&amp;INT(Panchanga!$X149/30+1)&amp;"Ra"</f>
        <v>10Ma,1Me,-7Ju,3Ve,-9Sa,4Ra</v>
      </c>
      <c r="S149" s="2">
        <f ca="1">Planet(Panchanga!$E149,4)</f>
        <v>277.70156996309765</v>
      </c>
      <c r="T149" s="2">
        <f ca="1">Planet(Panchanga!$E149,2)</f>
        <v>18.363210455264856</v>
      </c>
      <c r="U149" s="2">
        <f ca="1">Planet(Panchanga!$E149,5)</f>
        <v>202.74182396374744</v>
      </c>
      <c r="V149" s="2">
        <f ca="1">Planet(Panchanga!$E149,3)</f>
        <v>67.63665546336594</v>
      </c>
      <c r="W149" s="2">
        <f ca="1">Planet(Panchanga!$E149,6)</f>
        <v>254.19398184330811</v>
      </c>
      <c r="X149" s="2">
        <f ca="1">Planet(Panchanga!$E149,10)</f>
        <v>105.37206806089401</v>
      </c>
      <c r="Y149" s="2">
        <f ca="1">SIGN(S150-Panchanga!$S149)</f>
        <v>1</v>
      </c>
    </row>
    <row r="150" spans="1:25" x14ac:dyDescent="0.2">
      <c r="A150" s="3">
        <f t="shared" ca="1" si="32"/>
        <v>43242</v>
      </c>
      <c r="B150" s="3">
        <f t="shared" ca="1" si="25"/>
        <v>43242.229166666664</v>
      </c>
      <c r="C150" s="5">
        <f t="shared" ca="1" si="26"/>
        <v>43242.238255547047</v>
      </c>
      <c r="D150" s="5">
        <f t="shared" ca="1" si="27"/>
        <v>43241.770329296633</v>
      </c>
      <c r="E150" s="60">
        <f ca="1">Panchanga!$C150-TimeZone/24</f>
        <v>43242.009088880382</v>
      </c>
      <c r="F150" s="61">
        <f t="shared" ca="1" si="28"/>
        <v>36.771109083589316</v>
      </c>
      <c r="G150" s="61">
        <f t="shared" ca="1" si="29"/>
        <v>124.8331445217206</v>
      </c>
      <c r="H150" s="62">
        <f t="shared" ca="1" si="30"/>
        <v>43242.009088880382</v>
      </c>
      <c r="I150" s="2" t="str">
        <f ca="1">naks(Panchanga!$G150)</f>
        <v>Makha</v>
      </c>
      <c r="J150" s="5">
        <f ca="1">(C151-Panchanga!$C150)/(G151-Panchanga!$G150)*(13.3333333333333-MOD(Panchanga!$G150,13.333333333333))+Panchanga!$C150</f>
        <v>43242.854590976123</v>
      </c>
      <c r="K150" s="2" t="str">
        <f ca="1">IF(Panchanga!$P150&gt;15,"K","S")&amp;ROUNDUP(MOD(Panchanga!$P150,15),0)&amp;" ("&amp;ROUND(Panchanga!$P150,2)&amp;")"</f>
        <v>S8 (7.34)</v>
      </c>
      <c r="L150" s="2">
        <f ca="1">IF(AND(Panchanga!$P150&lt;28.5,Panchanga!$P150&gt;0.49999),MOD((Panchanga!$P150-0.5)*2,7),MOD((Panchanga!$P150+30-28.5),30)*2+7)</f>
        <v>6.6771999999999991</v>
      </c>
      <c r="M150" s="2" t="str">
        <f ca="1">CHOOSE(ROUNDUP(Panchanga!$L150,0),"Bhava","Baalava","Kaulava","Taitula","Garija","Vanija","Vishti","Shakuni","Chatushapda","Naaga","Kimstugna")</f>
        <v>Vishti</v>
      </c>
      <c r="N150" s="25" t="str">
        <f ca="1">CHOOSE(ROUNDUP(Panchanga!$Q150,0),"Vishkambha-विष्कम्भ-Sa","Priti-प्रीति-Me","Ayushman-आयुष्मान-Ke","Saubhagya-सौभाग्य-Ve","Shobhana-शोभन-Su","Atiganda-अतिगण्ड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("&amp;Panchanga!$Q150&amp;")"</f>
        <v>Vyaghata-व्याघात-ve (12.13)</v>
      </c>
      <c r="O150" s="2">
        <f ca="1">IF(AND(Panchanga!$P150&lt;28.5,Panchanga!$P150&gt;0.49999),MOD((Panchanga!$P150-0.5)*2,7),MOD((Panchanga!$P150+30-28.5),30)*2+7)</f>
        <v>6.6771999999999991</v>
      </c>
      <c r="P150" s="2">
        <f ca="1">ROUNDUP(MOD(360+Panchanga!$G150-Panchanga!$F150,360)/12,4)</f>
        <v>7.3385999999999996</v>
      </c>
      <c r="Q150" s="2">
        <f t="shared" ca="1" si="31"/>
        <v>12.129999999999999</v>
      </c>
      <c r="R150" s="2" t="str">
        <f ca="1">SIGN(S151-Panchanga!$S150)*INT(Panchanga!$S150/30+1)&amp;"Ma,"&amp;SIGN(T151-Panchanga!$T150)*INT(Panchanga!$T150/30+1)&amp;"Me,"&amp;SIGN(U151-Panchanga!$U150)*INT(Panchanga!$U150/30+1)&amp;"Ju,"&amp;SIGN(V151-Panchanga!$V150)*INT(Panchanga!$V150/30+1)&amp;"Ve,"&amp;SIGN(W151-Panchanga!$W150)*INT(Panchanga!$W150/30+1)&amp;"Sa,"&amp;INT(Panchanga!$X150/30+1)&amp;"Ra"</f>
        <v>10Ma,1Me,-7Ju,3Ve,-9Sa,4Ra</v>
      </c>
      <c r="S150" s="2">
        <f ca="1">Planet(Panchanga!$E150,4)</f>
        <v>278.0599920552599</v>
      </c>
      <c r="T150" s="2">
        <f ca="1">Planet(Panchanga!$E150,2)</f>
        <v>20.179068128606083</v>
      </c>
      <c r="U150" s="2">
        <f ca="1">Planet(Panchanga!$E150,5)</f>
        <v>202.62082513891491</v>
      </c>
      <c r="V150" s="2">
        <f ca="1">Planet(Panchanga!$E150,3)</f>
        <v>68.831230164531505</v>
      </c>
      <c r="W150" s="2">
        <f ca="1">Planet(Panchanga!$E150,6)</f>
        <v>254.14427803876652</v>
      </c>
      <c r="X150" s="2">
        <f ca="1">Planet(Panchanga!$E150,10)</f>
        <v>105.31908185829587</v>
      </c>
      <c r="Y150" s="2">
        <f ca="1">SIGN(S151-Panchanga!$S150)</f>
        <v>1</v>
      </c>
    </row>
    <row r="151" spans="1:25" x14ac:dyDescent="0.2">
      <c r="A151" s="3">
        <f t="shared" ca="1" si="32"/>
        <v>43243</v>
      </c>
      <c r="B151" s="3">
        <f t="shared" ca="1" si="25"/>
        <v>43243.229166666664</v>
      </c>
      <c r="C151" s="5">
        <f t="shared" ca="1" si="26"/>
        <v>43243.238156206127</v>
      </c>
      <c r="D151" s="5">
        <f t="shared" ca="1" si="27"/>
        <v>43242.77053417782</v>
      </c>
      <c r="E151" s="60">
        <f ca="1">Panchanga!$C151-TimeZone/24</f>
        <v>43243.008989539463</v>
      </c>
      <c r="F151" s="61">
        <f t="shared" ca="1" si="28"/>
        <v>37.732667782357495</v>
      </c>
      <c r="G151" s="61">
        <f t="shared" ca="1" si="29"/>
        <v>138.62327241970402</v>
      </c>
      <c r="H151" s="62">
        <f t="shared" ca="1" si="30"/>
        <v>43243.008989539463</v>
      </c>
      <c r="I151" s="2" t="str">
        <f ca="1">naks(Panchanga!$G151)</f>
        <v>Purva Phalguni</v>
      </c>
      <c r="J151" s="5">
        <f ca="1">(C152-Panchanga!$C151)/(G152-Panchanga!$G151)*(13.3333333333333-MOD(Panchanga!$G151,13.333333333333))+Panchanga!$C151</f>
        <v>43243.831535531768</v>
      </c>
      <c r="K151" s="2" t="str">
        <f ca="1">IF(Panchanga!$P151&gt;15,"K","S")&amp;ROUNDUP(MOD(Panchanga!$P151,15),0)&amp;" ("&amp;ROUND(Panchanga!$P151,2)&amp;")"</f>
        <v>S9 (8.41)</v>
      </c>
      <c r="L151" s="2">
        <f ca="1">IF(AND(Panchanga!$P151&lt;28.5,Panchanga!$P151&gt;0.49999),MOD((Panchanga!$P151-0.5)*2,7),MOD((Panchanga!$P151+30-28.5),30)*2+7)</f>
        <v>1.8152000000000008</v>
      </c>
      <c r="M151" s="2" t="str">
        <f ca="1">CHOOSE(ROUNDUP(Panchanga!$L151,0),"Bhava","Baalava","Kaulava","Taitula","Garija","Vanija","Vishti","Shakuni","Chatushapda","Naaga","Kimstugna")</f>
        <v>Baalava</v>
      </c>
      <c r="N151" s="25" t="str">
        <f ca="1">CHOOSE(ROUNDUP(Panchanga!$Q151,0),"Vishkambha-विष्कम्भ-Sa","Priti-प्रीति-Me","Ayushman-आयुष्मान-Ke","Saubhagya-सौभाग्य-Ve","Shobhana-शोभन-Su","Atiganda-अतिगण्ड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("&amp;Panchanga!$Q151&amp;")"</f>
        <v>Harshana-हर्षण-su (13.23)</v>
      </c>
      <c r="O151" s="2">
        <f ca="1">IF(AND(Panchanga!$P151&lt;28.5,Panchanga!$P151&gt;0.49999),MOD((Panchanga!$P151-0.5)*2,7),MOD((Panchanga!$P151+30-28.5),30)*2+7)</f>
        <v>1.8152000000000008</v>
      </c>
      <c r="P151" s="2">
        <f ca="1">ROUNDUP(MOD(360+Panchanga!$G151-Panchanga!$F151,360)/12,4)</f>
        <v>8.4076000000000004</v>
      </c>
      <c r="Q151" s="2">
        <f t="shared" ca="1" si="31"/>
        <v>13.23</v>
      </c>
      <c r="R151" s="2" t="str">
        <f ca="1">SIGN(S152-Panchanga!$S151)*INT(Panchanga!$S151/30+1)&amp;"Ma,"&amp;SIGN(T152-Panchanga!$T151)*INT(Panchanga!$T151/30+1)&amp;"Me,"&amp;SIGN(U152-Panchanga!$U151)*INT(Panchanga!$U151/30+1)&amp;"Ju,"&amp;SIGN(V152-Panchanga!$V151)*INT(Panchanga!$V151/30+1)&amp;"Ve,"&amp;SIGN(W152-Panchanga!$W151)*INT(Panchanga!$W151/30+1)&amp;"Sa,"&amp;INT(Panchanga!$X151/30+1)&amp;"Ra"</f>
        <v>10Ma,1Me,-7Ju,3Ve,-9Sa,4Ra</v>
      </c>
      <c r="S151" s="2">
        <f ca="1">Planet(Panchanga!$E151,4)</f>
        <v>278.41175256640184</v>
      </c>
      <c r="T151" s="2">
        <f ca="1">Planet(Panchanga!$E151,2)</f>
        <v>22.029872891625807</v>
      </c>
      <c r="U151" s="2">
        <f ca="1">Planet(Panchanga!$E151,5)</f>
        <v>202.50094234249593</v>
      </c>
      <c r="V151" s="2">
        <f ca="1">Planet(Panchanga!$E151,3)</f>
        <v>70.024791970612895</v>
      </c>
      <c r="W151" s="2">
        <f ca="1">Planet(Panchanga!$E151,6)</f>
        <v>254.09338486100975</v>
      </c>
      <c r="X151" s="2">
        <f ca="1">Planet(Panchanga!$E151,10)</f>
        <v>105.26609512503489</v>
      </c>
      <c r="Y151" s="2">
        <f ca="1">SIGN(S152-Panchanga!$S151)</f>
        <v>1</v>
      </c>
    </row>
    <row r="152" spans="1:25" x14ac:dyDescent="0.2">
      <c r="A152" s="3">
        <f t="shared" ca="1" si="32"/>
        <v>43244</v>
      </c>
      <c r="B152" s="3">
        <f t="shared" ca="1" si="25"/>
        <v>43244.229166666664</v>
      </c>
      <c r="C152" s="5">
        <f t="shared" ca="1" si="26"/>
        <v>43244.238066719532</v>
      </c>
      <c r="D152" s="5">
        <f t="shared" ca="1" si="27"/>
        <v>43243.7707408071</v>
      </c>
      <c r="E152" s="60">
        <f ca="1">Panchanga!$C152-TimeZone/24</f>
        <v>43244.008900052868</v>
      </c>
      <c r="F152" s="61">
        <f t="shared" ca="1" si="28"/>
        <v>38.69379274400363</v>
      </c>
      <c r="G152" s="61">
        <f t="shared" ca="1" si="29"/>
        <v>152.17729111139496</v>
      </c>
      <c r="H152" s="62">
        <f t="shared" ca="1" si="30"/>
        <v>43244.008900052868</v>
      </c>
      <c r="I152" s="2" t="str">
        <f ca="1">naks(Panchanga!$G152)</f>
        <v>Uttara Phalguni</v>
      </c>
      <c r="J152" s="5">
        <f ca="1">(C153-Panchanga!$C152)/(G153-Panchanga!$G152)*(13.3333333333333-MOD(Panchanga!$G152,13.333333333333))+Panchanga!$C152</f>
        <v>43244.824803876516</v>
      </c>
      <c r="K152" s="2" t="str">
        <f ca="1">IF(Panchanga!$P152&gt;15,"K","S")&amp;ROUNDUP(MOD(Panchanga!$P152,15),0)&amp;" ("&amp;ROUND(Panchanga!$P152,2)&amp;")"</f>
        <v>S10 (9.46)</v>
      </c>
      <c r="L152" s="2">
        <f ca="1">IF(AND(Panchanga!$P152&lt;28.5,Panchanga!$P152&gt;0.49999),MOD((Panchanga!$P152-0.5)*2,7),MOD((Panchanga!$P152+30-28.5),30)*2+7)</f>
        <v>3.9139999999999979</v>
      </c>
      <c r="M152" s="2" t="str">
        <f ca="1">CHOOSE(ROUNDUP(Panchanga!$L152,0),"Bhava","Baalava","Kaulava","Taitula","Garija","Vanija","Vishti","Shakuni","Chatushapda","Naaga","Kimstugna")</f>
        <v>Taitula</v>
      </c>
      <c r="N152" s="25" t="str">
        <f ca="1">CHOOSE(ROUNDUP(Panchanga!$Q152,0),"Vishkambha-विष्कम्भ-Sa","Priti-प्रीति-Me","Ayushman-आयुष्मान-Ke","Saubhagya-सौभाग्य-Ve","Shobhana-शोभन-Su","Atiganda-अतिगण्ड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("&amp;Panchanga!$Q152&amp;")"</f>
        <v>Vajra-वज्र-Mo (14.32)</v>
      </c>
      <c r="O152" s="2">
        <f ca="1">IF(AND(Panchanga!$P152&lt;28.5,Panchanga!$P152&gt;0.49999),MOD((Panchanga!$P152-0.5)*2,7),MOD((Panchanga!$P152+30-28.5),30)*2+7)</f>
        <v>3.9139999999999979</v>
      </c>
      <c r="P152" s="2">
        <f ca="1">ROUNDUP(MOD(360+Panchanga!$G152-Panchanga!$F152,360)/12,4)</f>
        <v>9.456999999999999</v>
      </c>
      <c r="Q152" s="2">
        <f t="shared" ca="1" si="31"/>
        <v>14.32</v>
      </c>
      <c r="R152" s="2" t="str">
        <f ca="1">SIGN(S153-Panchanga!$S152)*INT(Panchanga!$S152/30+1)&amp;"Ma,"&amp;SIGN(T153-Panchanga!$T152)*INT(Panchanga!$T152/30+1)&amp;"Me,"&amp;SIGN(U153-Panchanga!$U152)*INT(Panchanga!$U152/30+1)&amp;"Ju,"&amp;SIGN(V153-Panchanga!$V152)*INT(Panchanga!$V152/30+1)&amp;"Ve,"&amp;SIGN(W153-Panchanga!$W152)*INT(Panchanga!$W152/30+1)&amp;"Sa,"&amp;INT(Panchanga!$X152/30+1)&amp;"Ra"</f>
        <v>10Ma,1Me,-7Ju,3Ve,-9Sa,4Ra</v>
      </c>
      <c r="S152" s="2">
        <f ca="1">Planet(Panchanga!$E152,4)</f>
        <v>278.75671446271383</v>
      </c>
      <c r="T152" s="2">
        <f ca="1">Planet(Panchanga!$E152,2)</f>
        <v>23.915419551510652</v>
      </c>
      <c r="U152" s="2">
        <f ca="1">Planet(Panchanga!$E152,5)</f>
        <v>202.38225377211478</v>
      </c>
      <c r="V152" s="2">
        <f ca="1">Planet(Panchanga!$E152,3)</f>
        <v>71.217321457354998</v>
      </c>
      <c r="W152" s="2">
        <f ca="1">Planet(Panchanga!$E152,6)</f>
        <v>254.04132796816896</v>
      </c>
      <c r="X152" s="2">
        <f ca="1">Planet(Panchanga!$E152,10)</f>
        <v>105.21310786957775</v>
      </c>
      <c r="Y152" s="2">
        <f ca="1">SIGN(S153-Panchanga!$S152)</f>
        <v>1</v>
      </c>
    </row>
    <row r="153" spans="1:25" x14ac:dyDescent="0.2">
      <c r="A153" s="3">
        <f t="shared" ca="1" si="32"/>
        <v>43245</v>
      </c>
      <c r="B153" s="3">
        <f t="shared" ca="1" si="25"/>
        <v>43245.229166666664</v>
      </c>
      <c r="C153" s="5">
        <f t="shared" ca="1" si="26"/>
        <v>43245.237987246517</v>
      </c>
      <c r="D153" s="5">
        <f t="shared" ca="1" si="27"/>
        <v>43244.770948867357</v>
      </c>
      <c r="E153" s="60">
        <f ca="1">Panchanga!$C153-TimeZone/24</f>
        <v>43245.008820579853</v>
      </c>
      <c r="F153" s="61">
        <f t="shared" ca="1" si="28"/>
        <v>39.654498426839893</v>
      </c>
      <c r="G153" s="61">
        <f t="shared" ca="1" si="29"/>
        <v>165.50879245106515</v>
      </c>
      <c r="H153" s="62">
        <f t="shared" ca="1" si="30"/>
        <v>43245.008820579853</v>
      </c>
      <c r="I153" s="2" t="str">
        <f ca="1">naks(Panchanga!$G153)</f>
        <v>Hasta</v>
      </c>
      <c r="J153" s="5">
        <f ca="1">(C154-Panchanga!$C153)/(G154-Panchanga!$G153)*(13.3333333333333-MOD(Panchanga!$G153,13.333333333333))+Panchanga!$C153</f>
        <v>43245.834290434366</v>
      </c>
      <c r="K153" s="2" t="str">
        <f ca="1">IF(Panchanga!$P153&gt;15,"K","S")&amp;ROUNDUP(MOD(Panchanga!$P153,15),0)&amp;" ("&amp;ROUND(Panchanga!$P153,2)&amp;")"</f>
        <v>S11 (10.49)</v>
      </c>
      <c r="L153" s="2">
        <f ca="1">IF(AND(Panchanga!$P153&lt;28.5,Panchanga!$P153&gt;0.49999),MOD((Panchanga!$P153-0.5)*2,7),MOD((Panchanga!$P153+30-28.5),30)*2+7)</f>
        <v>5.9757999999999996</v>
      </c>
      <c r="M153" s="2" t="str">
        <f ca="1">CHOOSE(ROUNDUP(Panchanga!$L153,0),"Bhava","Baalava","Kaulava","Taitula","Garija","Vanija","Vishti","Shakuni","Chatushapda","Naaga","Kimstugna")</f>
        <v>Vanija</v>
      </c>
      <c r="N153" s="25" t="str">
        <f ca="1">CHOOSE(ROUNDUP(Panchanga!$Q153,0),"Vishkambha-विष्कम्भ-Sa","Priti-प्रीति-Me","Ayushman-आयुष्मान-Ke","Saubhagya-सौभाग्य-Ve","Shobhana-शोभन-Su","Atiganda-अतिगण्ड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("&amp;Panchanga!$Q153&amp;")"</f>
        <v>Siddhi-सिद्धि-Ma (15.39)</v>
      </c>
      <c r="O153" s="2">
        <f ca="1">IF(AND(Panchanga!$P153&lt;28.5,Panchanga!$P153&gt;0.49999),MOD((Panchanga!$P153-0.5)*2,7),MOD((Panchanga!$P153+30-28.5),30)*2+7)</f>
        <v>5.9757999999999996</v>
      </c>
      <c r="P153" s="2">
        <f ca="1">ROUNDUP(MOD(360+Panchanga!$G153-Panchanga!$F153,360)/12,4)</f>
        <v>10.4879</v>
      </c>
      <c r="Q153" s="2">
        <f t="shared" ca="1" si="31"/>
        <v>15.39</v>
      </c>
      <c r="R153" s="2" t="str">
        <f ca="1">SIGN(S154-Panchanga!$S153)*INT(Panchanga!$S153/30+1)&amp;"Ma,"&amp;SIGN(T154-Panchanga!$T153)*INT(Panchanga!$T153/30+1)&amp;"Me,"&amp;SIGN(U154-Panchanga!$U153)*INT(Panchanga!$U153/30+1)&amp;"Ju,"&amp;SIGN(V154-Panchanga!$V153)*INT(Panchanga!$V153/30+1)&amp;"Ve,"&amp;SIGN(W154-Panchanga!$W153)*INT(Panchanga!$W153/30+1)&amp;"Sa,"&amp;INT(Panchanga!$X153/30+1)&amp;"Ra"</f>
        <v>10Ma,1Me,-7Ju,3Ve,-9Sa,4Ra</v>
      </c>
      <c r="S153" s="2">
        <f ca="1">Planet(Panchanga!$E153,4)</f>
        <v>279.09473244444939</v>
      </c>
      <c r="T153" s="2">
        <f ca="1">Planet(Panchanga!$E153,2)</f>
        <v>25.835367950315771</v>
      </c>
      <c r="U153" s="2">
        <f ca="1">Planet(Panchanga!$E153,5)</f>
        <v>202.26483533450892</v>
      </c>
      <c r="V153" s="2">
        <f ca="1">Planet(Panchanga!$E153,3)</f>
        <v>72.408802154991662</v>
      </c>
      <c r="W153" s="2">
        <f ca="1">Planet(Panchanga!$E153,6)</f>
        <v>253.98813300788839</v>
      </c>
      <c r="X153" s="2">
        <f ca="1">Planet(Panchanga!$E153,10)</f>
        <v>105.16012008347434</v>
      </c>
      <c r="Y153" s="2">
        <f ca="1">SIGN(S154-Panchanga!$S153)</f>
        <v>1</v>
      </c>
    </row>
    <row r="154" spans="1:25" x14ac:dyDescent="0.2">
      <c r="A154" s="3">
        <f t="shared" ca="1" si="32"/>
        <v>43246</v>
      </c>
      <c r="B154" s="3">
        <f t="shared" ca="1" si="25"/>
        <v>43246.229166666664</v>
      </c>
      <c r="C154" s="5">
        <f t="shared" ca="1" si="26"/>
        <v>43246.237917628292</v>
      </c>
      <c r="D154" s="5">
        <f t="shared" ca="1" si="27"/>
        <v>43245.77115819887</v>
      </c>
      <c r="E154" s="60">
        <f ca="1">Panchanga!$C154-TimeZone/24</f>
        <v>43246.008750961628</v>
      </c>
      <c r="F154" s="61">
        <f t="shared" ca="1" si="28"/>
        <v>40.614801998273627</v>
      </c>
      <c r="G154" s="61">
        <f t="shared" ca="1" si="29"/>
        <v>178.62962814505539</v>
      </c>
      <c r="H154" s="62">
        <f t="shared" ca="1" si="30"/>
        <v>43246.008750961628</v>
      </c>
      <c r="I154" s="2" t="str">
        <f ca="1">naks(Panchanga!$G154)</f>
        <v>Chitra</v>
      </c>
      <c r="J154" s="5">
        <f ca="1">(C155-Panchanga!$C154)/(G155-Panchanga!$G154)*(13.3333333333333-MOD(Panchanga!$G154,13.333333333333))+Panchanga!$C154</f>
        <v>43246.860062185842</v>
      </c>
      <c r="K154" s="2" t="str">
        <f ca="1">IF(Panchanga!$P154&gt;15,"K","S")&amp;ROUNDUP(MOD(Panchanga!$P154,15),0)&amp;" ("&amp;ROUND(Panchanga!$P154,2)&amp;")"</f>
        <v>S12 (11.5)</v>
      </c>
      <c r="L154" s="2">
        <f ca="1">IF(AND(Panchanga!$P154&lt;28.5,Panchanga!$P154&gt;0.49999),MOD((Panchanga!$P154-0.5)*2,7),MOD((Panchanga!$P154+30-28.5),30)*2+7)</f>
        <v>1.002600000000001</v>
      </c>
      <c r="M154" s="2" t="str">
        <f ca="1">CHOOSE(ROUNDUP(Panchanga!$L154,0),"Bhava","Baalava","Kaulava","Taitula","Garija","Vanija","Vishti","Shakuni","Chatushapda","Naaga","Kimstugna")</f>
        <v>Baalava</v>
      </c>
      <c r="N154" s="25" t="str">
        <f ca="1">CHOOSE(ROUNDUP(Panchanga!$Q154,0),"Vishkambha-विष्कम्भ-Sa","Priti-प्रीति-Me","Ayushman-आयुष्मान-Ke","Saubhagya-सौभाग्य-Ve","Shobhana-शोभन-Su","Atiganda-अतिगण्ड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("&amp;Panchanga!$Q154&amp;")"</f>
        <v>Vyatipata-व्यतिपात-Ra (16.45)</v>
      </c>
      <c r="O154" s="2">
        <f ca="1">IF(AND(Panchanga!$P154&lt;28.5,Panchanga!$P154&gt;0.49999),MOD((Panchanga!$P154-0.5)*2,7),MOD((Panchanga!$P154+30-28.5),30)*2+7)</f>
        <v>1.002600000000001</v>
      </c>
      <c r="P154" s="2">
        <f ca="1">ROUNDUP(MOD(360+Panchanga!$G154-Panchanga!$F154,360)/12,4)</f>
        <v>11.501300000000001</v>
      </c>
      <c r="Q154" s="2">
        <f t="shared" ca="1" si="31"/>
        <v>16.450000000000003</v>
      </c>
      <c r="R154" s="2" t="str">
        <f ca="1">SIGN(S155-Panchanga!$S154)*INT(Panchanga!$S154/30+1)&amp;"Ma,"&amp;SIGN(T155-Panchanga!$T154)*INT(Panchanga!$T154/30+1)&amp;"Me,"&amp;SIGN(U155-Panchanga!$U154)*INT(Panchanga!$U154/30+1)&amp;"Ju,"&amp;SIGN(V155-Panchanga!$V154)*INT(Panchanga!$V154/30+1)&amp;"Ve,"&amp;SIGN(W155-Panchanga!$W154)*INT(Panchanga!$W154/30+1)&amp;"Sa,"&amp;INT(Panchanga!$X154/30+1)&amp;"Ra"</f>
        <v>10Ma,1Me,-7Ju,3Ve,-9Sa,4Ra</v>
      </c>
      <c r="S154" s="2">
        <f ca="1">Planet(Panchanga!$E154,4)</f>
        <v>279.42565224507928</v>
      </c>
      <c r="T154" s="2">
        <f ca="1">Planet(Panchanga!$E154,2)</f>
        <v>27.78919908255644</v>
      </c>
      <c r="U154" s="2">
        <f ca="1">Planet(Panchanga!$E154,5)</f>
        <v>202.14876095345636</v>
      </c>
      <c r="V154" s="2">
        <f ca="1">Planet(Panchanga!$E154,3)</f>
        <v>73.599219514620088</v>
      </c>
      <c r="W154" s="2">
        <f ca="1">Planet(Panchanga!$E154,6)</f>
        <v>253.93382567418826</v>
      </c>
      <c r="X154" s="2">
        <f ca="1">Planet(Panchanga!$E154,10)</f>
        <v>105.10713177515815</v>
      </c>
      <c r="Y154" s="2">
        <f ca="1">SIGN(S155-Panchanga!$S154)</f>
        <v>1</v>
      </c>
    </row>
    <row r="155" spans="1:25" x14ac:dyDescent="0.2">
      <c r="A155" s="3">
        <f t="shared" ca="1" si="32"/>
        <v>43247</v>
      </c>
      <c r="B155" s="3">
        <f t="shared" ca="1" si="25"/>
        <v>43247.229166666664</v>
      </c>
      <c r="C155" s="5">
        <f t="shared" ca="1" si="26"/>
        <v>43247.237857864857</v>
      </c>
      <c r="D155" s="5">
        <f t="shared" ca="1" si="27"/>
        <v>43246.771368642847</v>
      </c>
      <c r="E155" s="60">
        <f ca="1">Panchanga!$C155-TimeZone/24</f>
        <v>43247.008691198193</v>
      </c>
      <c r="F155" s="61">
        <f t="shared" ca="1" si="28"/>
        <v>41.574723056359097</v>
      </c>
      <c r="G155" s="61">
        <f t="shared" ca="1" si="29"/>
        <v>191.54713759366032</v>
      </c>
      <c r="H155" s="62">
        <f t="shared" ca="1" si="30"/>
        <v>43247.008691198193</v>
      </c>
      <c r="I155" s="2" t="str">
        <f ca="1">naks(Panchanga!$G155)</f>
        <v>Swati</v>
      </c>
      <c r="J155" s="5">
        <f ca="1">(C156-Panchanga!$C155)/(G156-Panchanga!$G155)*(13.3333333333333-MOD(Panchanga!$G155,13.333333333333))+Panchanga!$C155</f>
        <v>43247.902485444436</v>
      </c>
      <c r="K155" s="2" t="str">
        <f ca="1">IF(Panchanga!$P155&gt;15,"K","S")&amp;ROUNDUP(MOD(Panchanga!$P155,15),0)&amp;" ("&amp;ROUND(Panchanga!$P155,2)&amp;")"</f>
        <v>S13 (12.5)</v>
      </c>
      <c r="L155" s="2">
        <f ca="1">IF(AND(Panchanga!$P155&lt;28.5,Panchanga!$P155&gt;0.49999),MOD((Panchanga!$P155-0.5)*2,7),MOD((Panchanga!$P155+30-28.5),30)*2+7)</f>
        <v>2.9955999999999996</v>
      </c>
      <c r="M155" s="2" t="str">
        <f ca="1">CHOOSE(ROUNDUP(Panchanga!$L155,0),"Bhava","Baalava","Kaulava","Taitula","Garija","Vanija","Vishti","Shakuni","Chatushapda","Naaga","Kimstugna")</f>
        <v>Kaulava</v>
      </c>
      <c r="N155" s="25" t="str">
        <f ca="1">CHOOSE(ROUNDUP(Panchanga!$Q155,0),"Vishkambha-विष्कम्भ-Sa","Priti-प्रीति-Me","Ayushman-आयुष्मान-Ke","Saubhagya-सौभाग्य-Ve","Shobhana-शोभन-Su","Atiganda-अतिगण्ड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("&amp;Panchanga!$Q155&amp;")"</f>
        <v>Varigha-वरीयस्-Ju (17.49)</v>
      </c>
      <c r="O155" s="2">
        <f ca="1">IF(AND(Panchanga!$P155&lt;28.5,Panchanga!$P155&gt;0.49999),MOD((Panchanga!$P155-0.5)*2,7),MOD((Panchanga!$P155+30-28.5),30)*2+7)</f>
        <v>2.9955999999999996</v>
      </c>
      <c r="P155" s="2">
        <f ca="1">ROUNDUP(MOD(360+Panchanga!$G155-Panchanga!$F155,360)/12,4)</f>
        <v>12.4978</v>
      </c>
      <c r="Q155" s="2">
        <f t="shared" ca="1" si="31"/>
        <v>17.490000000000002</v>
      </c>
      <c r="R155" s="2" t="str">
        <f ca="1">SIGN(S156-Panchanga!$S155)*INT(Panchanga!$S155/30+1)&amp;"Ma,"&amp;SIGN(T156-Panchanga!$T155)*INT(Panchanga!$T155/30+1)&amp;"Me,"&amp;SIGN(U156-Panchanga!$U155)*INT(Panchanga!$U155/30+1)&amp;"Ju,"&amp;SIGN(V156-Panchanga!$V155)*INT(Panchanga!$V155/30+1)&amp;"Ve,"&amp;SIGN(W156-Panchanga!$W155)*INT(Panchanga!$W155/30+1)&amp;"Sa,"&amp;INT(Panchanga!$X155/30+1)&amp;"Ra"</f>
        <v>10Ma,1Me,-7Ju,3Ve,-9Sa,4Ra</v>
      </c>
      <c r="S155" s="2">
        <f ca="1">Planet(Panchanga!$E155,4)</f>
        <v>279.74931065192368</v>
      </c>
      <c r="T155" s="2">
        <f ca="1">Planet(Panchanga!$E155,2)</f>
        <v>29.77617031712327</v>
      </c>
      <c r="U155" s="2">
        <f ca="1">Planet(Panchanga!$E155,5)</f>
        <v>202.03410271641087</v>
      </c>
      <c r="V155" s="2">
        <f ca="1">Planet(Panchanga!$E155,3)</f>
        <v>74.788561170420039</v>
      </c>
      <c r="W155" s="2">
        <f ca="1">Planet(Panchanga!$E155,6)</f>
        <v>253.87843172894856</v>
      </c>
      <c r="X155" s="2">
        <f ca="1">Planet(Panchanga!$E155,10)</f>
        <v>105.05414294461266</v>
      </c>
      <c r="Y155" s="2">
        <f ca="1">SIGN(S156-Panchanga!$S155)</f>
        <v>1</v>
      </c>
    </row>
    <row r="156" spans="1:25" x14ac:dyDescent="0.2">
      <c r="A156" s="3">
        <f t="shared" ca="1" si="32"/>
        <v>43248</v>
      </c>
      <c r="B156" s="3">
        <f t="shared" ca="1" si="25"/>
        <v>43248.229166666664</v>
      </c>
      <c r="C156" s="5">
        <f t="shared" ca="1" si="26"/>
        <v>43248.237807955746</v>
      </c>
      <c r="D156" s="5">
        <f t="shared" ca="1" si="27"/>
        <v>43247.771580040499</v>
      </c>
      <c r="E156" s="60">
        <f ca="1">Panchanga!$C156-TimeZone/24</f>
        <v>43248.008641289081</v>
      </c>
      <c r="F156" s="61">
        <f t="shared" ca="1" si="28"/>
        <v>42.534282844039673</v>
      </c>
      <c r="G156" s="61">
        <f t="shared" ca="1" si="29"/>
        <v>204.26469670674726</v>
      </c>
      <c r="H156" s="62">
        <f t="shared" ca="1" si="30"/>
        <v>43248.008641289081</v>
      </c>
      <c r="I156" s="2" t="str">
        <f ca="1">naks(Panchanga!$G156)</f>
        <v>Visakha</v>
      </c>
      <c r="J156" s="5">
        <f ca="1">(C157-Panchanga!$C156)/(G157-Panchanga!$G156)*(13.3333333333333-MOD(Panchanga!$G156,13.333333333333))+Panchanga!$C156</f>
        <v>43248.962113441863</v>
      </c>
      <c r="K156" s="2" t="str">
        <f ca="1">IF(Panchanga!$P156&gt;15,"K","S")&amp;ROUNDUP(MOD(Panchanga!$P156,15),0)&amp;" ("&amp;ROUND(Panchanga!$P156,2)&amp;")"</f>
        <v>S14 (13.48)</v>
      </c>
      <c r="L156" s="2">
        <f ca="1">IF(AND(Panchanga!$P156&lt;28.5,Panchanga!$P156&gt;0.49999),MOD((Panchanga!$P156-0.5)*2,7),MOD((Panchanga!$P156+30-28.5),30)*2+7)</f>
        <v>4.9551999999999978</v>
      </c>
      <c r="M156" s="2" t="str">
        <f ca="1">CHOOSE(ROUNDUP(Panchanga!$L156,0),"Bhava","Baalava","Kaulava","Taitula","Garija","Vanija","Vishti","Shakuni","Chatushapda","Naaga","Kimstugna")</f>
        <v>Garija</v>
      </c>
      <c r="N156" s="25" t="str">
        <f ca="1">CHOOSE(ROUNDUP(Panchanga!$Q156,0),"Vishkambha-विष्कम्भ-Sa","Priti-प्रीति-Me","Ayushman-आयुष्मान-Ke","Saubhagya-सौभाग्य-Ve","Shobhana-शोभन-Su","Atiganda-अतिगण्ड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("&amp;Panchanga!$Q156&amp;")"</f>
        <v>Parigha-परिघ-Sa (18.51)</v>
      </c>
      <c r="O156" s="2">
        <f ca="1">IF(AND(Panchanga!$P156&lt;28.5,Panchanga!$P156&gt;0.49999),MOD((Panchanga!$P156-0.5)*2,7),MOD((Panchanga!$P156+30-28.5),30)*2+7)</f>
        <v>4.9551999999999978</v>
      </c>
      <c r="P156" s="2">
        <f ca="1">ROUNDUP(MOD(360+Panchanga!$G156-Panchanga!$F156,360)/12,4)</f>
        <v>13.477599999999999</v>
      </c>
      <c r="Q156" s="2">
        <f t="shared" ca="1" si="31"/>
        <v>18.510000000000002</v>
      </c>
      <c r="R156" s="2" t="str">
        <f ca="1">SIGN(S157-Panchanga!$S156)*INT(Panchanga!$S156/30+1)&amp;"Ma,"&amp;SIGN(T157-Panchanga!$T156)*INT(Panchanga!$T156/30+1)&amp;"Me,"&amp;SIGN(U157-Panchanga!$U156)*INT(Panchanga!$U156/30+1)&amp;"Ju,"&amp;SIGN(V157-Panchanga!$V156)*INT(Panchanga!$V156/30+1)&amp;"Ve,"&amp;SIGN(W157-Panchanga!$W156)*INT(Panchanga!$W156/30+1)&amp;"Sa,"&amp;INT(Panchanga!$X156/30+1)&amp;"Ra"</f>
        <v>10Ma,2Me,-7Ju,3Ve,-9Sa,4Ra</v>
      </c>
      <c r="S156" s="2">
        <f ca="1">Planet(Panchanga!$E156,4)</f>
        <v>280.06553546675332</v>
      </c>
      <c r="T156" s="2">
        <f ca="1">Planet(Panchanga!$E156,2)</f>
        <v>31.795267824497838</v>
      </c>
      <c r="U156" s="2">
        <f ca="1">Planet(Panchanga!$E156,5)</f>
        <v>201.92093106852167</v>
      </c>
      <c r="V156" s="2">
        <f ca="1">Planet(Panchanga!$E156,3)</f>
        <v>75.976816466528277</v>
      </c>
      <c r="W156" s="2">
        <f ca="1">Planet(Panchanga!$E156,6)</f>
        <v>253.8219770619078</v>
      </c>
      <c r="X156" s="2">
        <f ca="1">Planet(Panchanga!$E156,10)</f>
        <v>105.00115359188749</v>
      </c>
      <c r="Y156" s="2">
        <f ca="1">SIGN(S157-Panchanga!$S156)</f>
        <v>1</v>
      </c>
    </row>
    <row r="157" spans="1:25" x14ac:dyDescent="0.2">
      <c r="A157" s="3">
        <f t="shared" ca="1" si="32"/>
        <v>43249</v>
      </c>
      <c r="B157" s="3">
        <f t="shared" ca="1" si="25"/>
        <v>43249.229166666664</v>
      </c>
      <c r="C157" s="5">
        <f t="shared" ca="1" si="26"/>
        <v>43249.237767901424</v>
      </c>
      <c r="D157" s="5">
        <f t="shared" ca="1" si="27"/>
        <v>43248.771792233034</v>
      </c>
      <c r="E157" s="60">
        <f ca="1">Panchanga!$C157-TimeZone/24</f>
        <v>43249.00860123476</v>
      </c>
      <c r="F157" s="61">
        <f t="shared" ca="1" si="28"/>
        <v>43.49350365088096</v>
      </c>
      <c r="G157" s="61">
        <f t="shared" ca="1" si="29"/>
        <v>216.78465349615357</v>
      </c>
      <c r="H157" s="62">
        <f t="shared" ca="1" si="30"/>
        <v>43249.00860123476</v>
      </c>
      <c r="I157" s="2" t="str">
        <f ca="1">naks(Panchanga!$G157)</f>
        <v>Anuradha</v>
      </c>
      <c r="J157" s="5">
        <f ca="1">(C158-Panchanga!$C157)/(G158-Panchanga!$G157)*(13.3333333333333-MOD(Panchanga!$G157,13.333333333333))+Panchanga!$C157</f>
        <v>43250.039351483683</v>
      </c>
      <c r="K157" s="2" t="str">
        <f ca="1">IF(Panchanga!$P157&gt;15,"K","S")&amp;ROUNDUP(MOD(Panchanga!$P157,15),0)&amp;" ("&amp;ROUND(Panchanga!$P157,2)&amp;")"</f>
        <v>S15 (14.44)</v>
      </c>
      <c r="L157" s="2">
        <f ca="1">IF(AND(Panchanga!$P157&lt;28.5,Panchanga!$P157&gt;0.49999),MOD((Panchanga!$P157-0.5)*2,7),MOD((Panchanga!$P157+30-28.5),30)*2+7)</f>
        <v>6.8819999999999979</v>
      </c>
      <c r="M157" s="2" t="str">
        <f ca="1">CHOOSE(ROUNDUP(Panchanga!$L157,0),"Bhava","Baalava","Kaulava","Taitula","Garija","Vanija","Vishti","Shakuni","Chatushapda","Naaga","Kimstugna")</f>
        <v>Vishti</v>
      </c>
      <c r="N157" s="25" t="str">
        <f ca="1">CHOOSE(ROUNDUP(Panchanga!$Q157,0),"Vishkambha-विष्कम्भ-Sa","Priti-प्रीति-Me","Ayushman-आयुष्मान-Ke","Saubhagya-सौभाग्य-Ve","Shobhana-शोभन-Su","Atiganda-अतिगण्ड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("&amp;Panchanga!$Q157&amp;")"</f>
        <v>Shiva-शिव-Me (19.53)</v>
      </c>
      <c r="O157" s="2">
        <f ca="1">IF(AND(Panchanga!$P157&lt;28.5,Panchanga!$P157&gt;0.49999),MOD((Panchanga!$P157-0.5)*2,7),MOD((Panchanga!$P157+30-28.5),30)*2+7)</f>
        <v>6.8819999999999979</v>
      </c>
      <c r="P157" s="2">
        <f ca="1">ROUNDUP(MOD(360+Panchanga!$G157-Panchanga!$F157,360)/12,4)</f>
        <v>14.440999999999999</v>
      </c>
      <c r="Q157" s="2">
        <f t="shared" ca="1" si="31"/>
        <v>19.53</v>
      </c>
      <c r="R157" s="2" t="str">
        <f ca="1">SIGN(S158-Panchanga!$S157)*INT(Panchanga!$S157/30+1)&amp;"Ma,"&amp;SIGN(T158-Panchanga!$T157)*INT(Panchanga!$T157/30+1)&amp;"Me,"&amp;SIGN(U158-Panchanga!$U157)*INT(Panchanga!$U157/30+1)&amp;"Ju,"&amp;SIGN(V158-Panchanga!$V157)*INT(Panchanga!$V157/30+1)&amp;"Ve,"&amp;SIGN(W158-Panchanga!$W157)*INT(Panchanga!$W157/30+1)&amp;"Sa,"&amp;INT(Panchanga!$X157/30+1)&amp;"Ra"</f>
        <v>10Ma,2Me,-7Ju,3Ve,-9Sa,4Ra</v>
      </c>
      <c r="S157" s="2">
        <f ca="1">Planet(Panchanga!$E157,4)</f>
        <v>280.37414565982817</v>
      </c>
      <c r="T157" s="2">
        <f ca="1">Planet(Panchanga!$E157,2)</f>
        <v>33.845159784233871</v>
      </c>
      <c r="U157" s="2">
        <f ca="1">Planet(Panchanga!$E157,5)</f>
        <v>201.80931497766716</v>
      </c>
      <c r="V157" s="2">
        <f ca="1">Planet(Panchanga!$E157,3)</f>
        <v>77.163976173129853</v>
      </c>
      <c r="W157" s="2">
        <f ca="1">Planet(Panchanga!$E157,6)</f>
        <v>253.76448774658164</v>
      </c>
      <c r="X157" s="2">
        <f ca="1">Planet(Panchanga!$E157,10)</f>
        <v>104.94816371693307</v>
      </c>
      <c r="Y157" s="2">
        <f ca="1">SIGN(S158-Panchanga!$S157)</f>
        <v>1</v>
      </c>
    </row>
    <row r="158" spans="1:25" x14ac:dyDescent="0.2">
      <c r="A158" s="3">
        <f t="shared" ca="1" si="32"/>
        <v>43250</v>
      </c>
      <c r="B158" s="3">
        <f t="shared" ca="1" si="25"/>
        <v>43250.229166666664</v>
      </c>
      <c r="C158" s="5">
        <f t="shared" ca="1" si="26"/>
        <v>43250.237737701893</v>
      </c>
      <c r="D158" s="5">
        <f t="shared" ca="1" si="27"/>
        <v>43249.772004902406</v>
      </c>
      <c r="E158" s="60">
        <f ca="1">Panchanga!$C158-TimeZone/24</f>
        <v>43250.008571035229</v>
      </c>
      <c r="F158" s="61">
        <f t="shared" ca="1" si="28"/>
        <v>44.452408190699813</v>
      </c>
      <c r="G158" s="61">
        <f t="shared" ca="1" si="29"/>
        <v>229.11239442923207</v>
      </c>
      <c r="H158" s="62">
        <f t="shared" ca="1" si="30"/>
        <v>43250.008571035229</v>
      </c>
      <c r="I158" s="2" t="str">
        <f ca="1">naks(Panchanga!$G158)</f>
        <v>Jyestha</v>
      </c>
      <c r="J158" s="5">
        <f ca="1">(C159-Panchanga!$C158)/(G159-Panchanga!$G158)*(13.3333333333333-MOD(Panchanga!$G158,13.333333333333))+Panchanga!$C158</f>
        <v>43251.133960289568</v>
      </c>
      <c r="K158" s="2" t="str">
        <f ca="1">IF(Panchanga!$P158&gt;15,"K","S")&amp;ROUNDUP(MOD(Panchanga!$P158,15),0)&amp;" ("&amp;ROUND(Panchanga!$P158,2)&amp;")"</f>
        <v>K1 (15.39)</v>
      </c>
      <c r="L158" s="2">
        <f ca="1">IF(AND(Panchanga!$P158&lt;28.5,Panchanga!$P158&gt;0.49999),MOD((Panchanga!$P158-0.5)*2,7),MOD((Panchanga!$P158+30-28.5),30)*2+7)</f>
        <v>1.7767999999999979</v>
      </c>
      <c r="M158" s="2" t="str">
        <f ca="1">CHOOSE(ROUNDUP(Panchanga!$L158,0),"Bhava","Baalava","Kaulava","Taitula","Garija","Vanija","Vishti","Shakuni","Chatushapda","Naaga","Kimstugna")</f>
        <v>Baalava</v>
      </c>
      <c r="N158" s="25" t="str">
        <f ca="1">CHOOSE(ROUNDUP(Panchanga!$Q158,0),"Vishkambha-विष्कम्भ-Sa","Priti-प्रीति-Me","Ayushman-आयुष्मान-Ke","Saubhagya-सौभाग्य-Ve","Shobhana-शोभन-Su","Atiganda-अतिगण्ड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("&amp;Panchanga!$Q158&amp;")"</f>
        <v>Siddha-सिद्ध-Ke (20.52)</v>
      </c>
      <c r="O158" s="2">
        <f ca="1">IF(AND(Panchanga!$P158&lt;28.5,Panchanga!$P158&gt;0.49999),MOD((Panchanga!$P158-0.5)*2,7),MOD((Panchanga!$P158+30-28.5),30)*2+7)</f>
        <v>1.7767999999999979</v>
      </c>
      <c r="P158" s="2">
        <f ca="1">ROUNDUP(MOD(360+Panchanga!$G158-Panchanga!$F158,360)/12,4)</f>
        <v>15.388399999999999</v>
      </c>
      <c r="Q158" s="2">
        <f t="shared" ca="1" si="31"/>
        <v>20.520000000000003</v>
      </c>
      <c r="R158" s="2" t="str">
        <f ca="1">SIGN(S159-Panchanga!$S158)*INT(Panchanga!$S158/30+1)&amp;"Ma,"&amp;SIGN(T159-Panchanga!$T158)*INT(Panchanga!$T158/30+1)&amp;"Me,"&amp;SIGN(U159-Panchanga!$U158)*INT(Panchanga!$U158/30+1)&amp;"Ju,"&amp;SIGN(V159-Panchanga!$V158)*INT(Panchanga!$V158/30+1)&amp;"Ve,"&amp;SIGN(W159-Panchanga!$W158)*INT(Panchanga!$W158/30+1)&amp;"Sa,"&amp;INT(Panchanga!$X158/30+1)&amp;"Ra"</f>
        <v>10Ma,2Me,-7Ju,3Ve,-9Sa,4Ra</v>
      </c>
      <c r="S158" s="2">
        <f ca="1">Planet(Panchanga!$E158,4)</f>
        <v>280.6749517546138</v>
      </c>
      <c r="T158" s="2">
        <f ca="1">Planet(Panchanga!$E158,2)</f>
        <v>35.924152914336801</v>
      </c>
      <c r="U158" s="2">
        <f ca="1">Planet(Panchanga!$E158,5)</f>
        <v>201.69932209427523</v>
      </c>
      <c r="V158" s="2">
        <f ca="1">Planet(Panchanga!$E158,3)</f>
        <v>78.350032149656357</v>
      </c>
      <c r="W158" s="2">
        <f ca="1">Planet(Panchanga!$E158,6)</f>
        <v>253.70599011293695</v>
      </c>
      <c r="X158" s="2">
        <f ca="1">Planet(Panchanga!$E158,10)</f>
        <v>104.89517331971619</v>
      </c>
      <c r="Y158" s="2">
        <f ca="1">SIGN(S159-Panchanga!$S158)</f>
        <v>1</v>
      </c>
    </row>
    <row r="159" spans="1:25" x14ac:dyDescent="0.2">
      <c r="A159" s="3">
        <f t="shared" ca="1" si="32"/>
        <v>43251</v>
      </c>
      <c r="B159" s="3">
        <f t="shared" ca="1" si="25"/>
        <v>43251.229166666664</v>
      </c>
      <c r="C159" s="5">
        <f t="shared" ca="1" si="26"/>
        <v>43251.237717197895</v>
      </c>
      <c r="D159" s="5">
        <f t="shared" ca="1" si="27"/>
        <v>43250.772218048616</v>
      </c>
      <c r="E159" s="60">
        <f ca="1">Panchanga!$C159-TimeZone/24</f>
        <v>43251.008550531231</v>
      </c>
      <c r="F159" s="61">
        <f t="shared" ca="1" si="28"/>
        <v>45.41101881721935</v>
      </c>
      <c r="G159" s="61">
        <f t="shared" ca="1" si="29"/>
        <v>241.26047291001566</v>
      </c>
      <c r="H159" s="62">
        <f t="shared" ca="1" si="30"/>
        <v>43251.008550531231</v>
      </c>
      <c r="I159" s="2" t="str">
        <f ca="1">naks(Panchanga!$G159)</f>
        <v>Moola</v>
      </c>
      <c r="J159" s="5">
        <f ca="1">(C160-Panchanga!$C159)/(G160-Panchanga!$G159)*(13.3333333333333-MOD(Panchanga!$G159,13.333333333333))+Panchanga!$C159</f>
        <v>43252.244484384115</v>
      </c>
      <c r="K159" s="2" t="str">
        <f ca="1">IF(Panchanga!$P159&gt;15,"K","S")&amp;ROUNDUP(MOD(Panchanga!$P159,15),0)&amp;" ("&amp;ROUND(Panchanga!$P159,2)&amp;")"</f>
        <v>K2 (16.32)</v>
      </c>
      <c r="L159" s="2">
        <f ca="1">IF(AND(Panchanga!$P159&lt;28.5,Panchanga!$P159&gt;0.49999),MOD((Panchanga!$P159-0.5)*2,7),MOD((Panchanga!$P159+30-28.5),30)*2+7)</f>
        <v>3.6415999999999968</v>
      </c>
      <c r="M159" s="2" t="str">
        <f ca="1">CHOOSE(ROUNDUP(Panchanga!$L159,0),"Bhava","Baalava","Kaulava","Taitula","Garija","Vanija","Vishti","Shakuni","Chatushapda","Naaga","Kimstugna")</f>
        <v>Taitula</v>
      </c>
      <c r="N159" s="25" t="str">
        <f ca="1">CHOOSE(ROUNDUP(Panchanga!$Q159,0),"Vishkambha-विष्कम्भ-Sa","Priti-प्रीति-Me","Ayushman-आयुष्मान-Ke","Saubhagya-सौभाग्य-Ve","Shobhana-शोभन-Su","Atiganda-अतिगण्ड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("&amp;Panchanga!$Q159&amp;")"</f>
        <v>Sadhya-साध्य-Ve (21.51)</v>
      </c>
      <c r="O159" s="2">
        <f ca="1">IF(AND(Panchanga!$P159&lt;28.5,Panchanga!$P159&gt;0.49999),MOD((Panchanga!$P159-0.5)*2,7),MOD((Panchanga!$P159+30-28.5),30)*2+7)</f>
        <v>3.6415999999999968</v>
      </c>
      <c r="P159" s="2">
        <f ca="1">ROUNDUP(MOD(360+Panchanga!$G159-Panchanga!$F159,360)/12,4)</f>
        <v>16.320799999999998</v>
      </c>
      <c r="Q159" s="2">
        <f t="shared" ca="1" si="31"/>
        <v>21.51</v>
      </c>
      <c r="R159" s="2" t="str">
        <f ca="1">SIGN(S160-Panchanga!$S159)*INT(Panchanga!$S159/30+1)&amp;"Ma,"&amp;SIGN(T160-Panchanga!$T159)*INT(Panchanga!$T159/30+1)&amp;"Me,"&amp;SIGN(U160-Panchanga!$U159)*INT(Panchanga!$U159/30+1)&amp;"Ju,"&amp;SIGN(V160-Panchanga!$V159)*INT(Panchanga!$V159/30+1)&amp;"Ve,"&amp;SIGN(W160-Panchanga!$W159)*INT(Panchanga!$W159/30+1)&amp;"Sa,"&amp;INT(Panchanga!$X159/30+1)&amp;"Ra"</f>
        <v>10Ma,2Me,-7Ju,3Ve,-9Sa,4Ra</v>
      </c>
      <c r="S159" s="2">
        <f ca="1">Planet(Panchanga!$E159,4)</f>
        <v>280.96775648791635</v>
      </c>
      <c r="T159" s="2">
        <f ca="1">Planet(Panchanga!$E159,2)</f>
        <v>38.030155554050857</v>
      </c>
      <c r="U159" s="2">
        <f ca="1">Planet(Panchanga!$E159,5)</f>
        <v>201.59101891326756</v>
      </c>
      <c r="V159" s="2">
        <f ca="1">Planet(Panchanga!$E159,3)</f>
        <v>79.53497674571102</v>
      </c>
      <c r="W159" s="2">
        <f ca="1">Planet(Panchanga!$E159,6)</f>
        <v>253.64651083931088</v>
      </c>
      <c r="X159" s="2">
        <f ca="1">Planet(Panchanga!$E159,10)</f>
        <v>104.84218240875309</v>
      </c>
      <c r="Y159" s="2">
        <f ca="1">SIGN(S160-Panchanga!$S159)</f>
        <v>1</v>
      </c>
    </row>
    <row r="160" spans="1:25" x14ac:dyDescent="0.2">
      <c r="A160" s="3">
        <f t="shared" ca="1" si="32"/>
        <v>43252</v>
      </c>
      <c r="B160" s="3">
        <f t="shared" ca="1" si="25"/>
        <v>43252.229166666664</v>
      </c>
      <c r="C160" s="5">
        <f t="shared" ca="1" si="26"/>
        <v>43252.237706389431</v>
      </c>
      <c r="D160" s="5">
        <f t="shared" ca="1" si="27"/>
        <v>43251.772431512873</v>
      </c>
      <c r="E160" s="60">
        <f ca="1">Panchanga!$C160-TimeZone/24</f>
        <v>43252.008539722767</v>
      </c>
      <c r="F160" s="61">
        <f t="shared" ca="1" si="28"/>
        <v>46.36935726678994</v>
      </c>
      <c r="G160" s="61">
        <f t="shared" ca="1" si="29"/>
        <v>253.25205358471732</v>
      </c>
      <c r="H160" s="62">
        <f t="shared" ca="1" si="30"/>
        <v>43252.008539722767</v>
      </c>
      <c r="I160" s="2" t="str">
        <f ca="1">naks(Panchanga!$G160)</f>
        <v>Moola</v>
      </c>
      <c r="J160" s="5">
        <f ca="1">(C161-Panchanga!$C160)/(G161-Panchanga!$G160)*(13.3333333333333-MOD(Panchanga!$G160,13.333333333333))+Panchanga!$C160</f>
        <v>43252.244553255892</v>
      </c>
      <c r="K160" s="2" t="str">
        <f ca="1">IF(Panchanga!$P160&gt;15,"K","S")&amp;ROUNDUP(MOD(Panchanga!$P160,15),0)&amp;" ("&amp;ROUND(Panchanga!$P160,2)&amp;")"</f>
        <v>K3 (17.24)</v>
      </c>
      <c r="L160" s="2">
        <f ca="1">IF(AND(Panchanga!$P160&lt;28.5,Panchanga!$P160&gt;0.49999),MOD((Panchanga!$P160-0.5)*2,7),MOD((Panchanga!$P160+30-28.5),30)*2+7)</f>
        <v>5.4806000000000026</v>
      </c>
      <c r="M160" s="2" t="str">
        <f ca="1">CHOOSE(ROUNDUP(Panchanga!$L160,0),"Bhava","Baalava","Kaulava","Taitula","Garija","Vanija","Vishti","Shakuni","Chatushapda","Naaga","Kimstugna")</f>
        <v>Vanija</v>
      </c>
      <c r="N160" s="25" t="str">
        <f ca="1">CHOOSE(ROUNDUP(Panchanga!$Q160,0),"Vishkambha-विष्कम्भ-Sa","Priti-प्रीति-Me","Ayushman-आयुष्मान-Ke","Saubhagya-सौभाग्य-Ve","Shobhana-शोभन-Su","Atiganda-अतिगण्ड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("&amp;Panchanga!$Q160&amp;")"</f>
        <v>Shubha-शुभ-Su (22.48)</v>
      </c>
      <c r="O160" s="2">
        <f ca="1">IF(AND(Panchanga!$P160&lt;28.5,Panchanga!$P160&gt;0.49999),MOD((Panchanga!$P160-0.5)*2,7),MOD((Panchanga!$P160+30-28.5),30)*2+7)</f>
        <v>5.4806000000000026</v>
      </c>
      <c r="P160" s="2">
        <f ca="1">ROUNDUP(MOD(360+Panchanga!$G160-Panchanga!$F160,360)/12,4)</f>
        <v>17.240300000000001</v>
      </c>
      <c r="Q160" s="2">
        <f t="shared" ca="1" si="31"/>
        <v>22.48</v>
      </c>
      <c r="R160" s="2" t="str">
        <f ca="1">SIGN(S161-Panchanga!$S160)*INT(Panchanga!$S160/30+1)&amp;"Ma,"&amp;SIGN(T161-Panchanga!$T160)*INT(Panchanga!$T160/30+1)&amp;"Me,"&amp;SIGN(U161-Panchanga!$U160)*INT(Panchanga!$U160/30+1)&amp;"Ju,"&amp;SIGN(V161-Panchanga!$V160)*INT(Panchanga!$V160/30+1)&amp;"Ve,"&amp;SIGN(W161-Panchanga!$W160)*INT(Panchanga!$W160/30+1)&amp;"Sa,"&amp;INT(Panchanga!$X160/30+1)&amp;"Ra"</f>
        <v>10Ma,2Me,-7Ju,3Ve,-9Sa,4Ra</v>
      </c>
      <c r="S160" s="2">
        <f ca="1">Planet(Panchanga!$E160,4)</f>
        <v>281.25235591392544</v>
      </c>
      <c r="T160" s="2">
        <f ca="1">Planet(Panchanga!$E160,2)</f>
        <v>40.160652770342104</v>
      </c>
      <c r="U160" s="2">
        <f ca="1">Planet(Panchanga!$E160,5)</f>
        <v>201.48447084437728</v>
      </c>
      <c r="V160" s="2">
        <f ca="1">Planet(Panchanga!$E160,3)</f>
        <v>80.718802730058513</v>
      </c>
      <c r="W160" s="2">
        <f ca="1">Planet(Panchanga!$E160,6)</f>
        <v>253.58607702405683</v>
      </c>
      <c r="X160" s="2">
        <f ca="1">Planet(Panchanga!$E160,10)</f>
        <v>104.78919098401089</v>
      </c>
      <c r="Y160" s="2">
        <f ca="1">SIGN(S161-Panchanga!$S160)</f>
        <v>1</v>
      </c>
    </row>
    <row r="161" spans="1:25" x14ac:dyDescent="0.2">
      <c r="A161" s="3">
        <f t="shared" ca="1" si="32"/>
        <v>43253</v>
      </c>
      <c r="B161" s="3">
        <f t="shared" ca="1" si="25"/>
        <v>43253.229166666664</v>
      </c>
      <c r="C161" s="5">
        <f t="shared" ca="1" si="26"/>
        <v>43253.237705118176</v>
      </c>
      <c r="D161" s="5">
        <f t="shared" ca="1" si="27"/>
        <v>43252.772644817873</v>
      </c>
      <c r="E161" s="60">
        <f ca="1">Panchanga!$C161-TimeZone/24</f>
        <v>43253.008538451511</v>
      </c>
      <c r="F161" s="61">
        <f t="shared" ca="1" si="28"/>
        <v>47.327443943077455</v>
      </c>
      <c r="G161" s="61">
        <f t="shared" ca="1" si="29"/>
        <v>265.1231256658628</v>
      </c>
      <c r="H161" s="62">
        <f t="shared" ca="1" si="30"/>
        <v>43253.008538451511</v>
      </c>
      <c r="I161" s="2" t="str">
        <f ca="1">naks(Panchanga!$G161)</f>
        <v>Purva Asadha</v>
      </c>
      <c r="J161" s="5">
        <f ca="1">(C162-Panchanga!$C161)/(G162-Panchanga!$G161)*(13.3333333333333-MOD(Panchanga!$G161,13.333333333333))+Panchanga!$C161</f>
        <v>43253.368513546426</v>
      </c>
      <c r="K161" s="2" t="str">
        <f ca="1">IF(Panchanga!$P161&gt;15,"K","S")&amp;ROUNDUP(MOD(Panchanga!$P161,15),0)&amp;" ("&amp;ROUND(Panchanga!$P161,2)&amp;")"</f>
        <v>K4 (18.15)</v>
      </c>
      <c r="L161" s="2">
        <f ca="1">IF(AND(Panchanga!$P161&lt;28.5,Panchanga!$P161&gt;0.49999),MOD((Panchanga!$P161-0.5)*2,7),MOD((Panchanga!$P161+30-28.5),30)*2+7)</f>
        <v>0.29939999999999856</v>
      </c>
      <c r="M161" s="2" t="str">
        <f ca="1">CHOOSE(ROUNDUP(Panchanga!$L161,0),"Bhava","Baalava","Kaulava","Taitula","Garija","Vanija","Vishti","Shakuni","Chatushapda","Naaga","Kimstugna")</f>
        <v>Bhava</v>
      </c>
      <c r="N161" s="25" t="str">
        <f ca="1">CHOOSE(ROUNDUP(Panchanga!$Q161,0),"Vishkambha-विष्कम्भ-Sa","Priti-प्रीति-Me","Ayushman-आयुष्मान-Ke","Saubhagya-सौभाग्य-Ve","Shobhana-शोभन-Su","Atiganda-अतिगण्ड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("&amp;Panchanga!$Q161&amp;")"</f>
        <v>Shukla-शुक्ल-Mo (23.44)</v>
      </c>
      <c r="O161" s="2">
        <f ca="1">IF(AND(Panchanga!$P161&lt;28.5,Panchanga!$P161&gt;0.49999),MOD((Panchanga!$P161-0.5)*2,7),MOD((Panchanga!$P161+30-28.5),30)*2+7)</f>
        <v>0.29939999999999856</v>
      </c>
      <c r="P161" s="2">
        <f ca="1">ROUNDUP(MOD(360+Panchanga!$G161-Panchanga!$F161,360)/12,4)</f>
        <v>18.149699999999999</v>
      </c>
      <c r="Q161" s="2">
        <f t="shared" ca="1" si="31"/>
        <v>23.44</v>
      </c>
      <c r="R161" s="2" t="str">
        <f ca="1">SIGN(S162-Panchanga!$S161)*INT(Panchanga!$S161/30+1)&amp;"Ma,"&amp;SIGN(T162-Panchanga!$T161)*INT(Panchanga!$T161/30+1)&amp;"Me,"&amp;SIGN(U162-Panchanga!$U161)*INT(Panchanga!$U161/30+1)&amp;"Ju,"&amp;SIGN(V162-Panchanga!$V161)*INT(Panchanga!$V161/30+1)&amp;"Ve,"&amp;SIGN(W162-Panchanga!$W161)*INT(Panchanga!$W161/30+1)&amp;"Sa,"&amp;INT(Panchanga!$X161/30+1)&amp;"Ra"</f>
        <v>10Ma,2Me,-7Ju,3Ve,-9Sa,4Ra</v>
      </c>
      <c r="S161" s="2">
        <f ca="1">Planet(Panchanga!$E161,4)</f>
        <v>281.52854046377951</v>
      </c>
      <c r="T161" s="2">
        <f ca="1">Planet(Panchanga!$E161,2)</f>
        <v>42.312695474395454</v>
      </c>
      <c r="U161" s="2">
        <f ca="1">Planet(Panchanga!$E161,5)</f>
        <v>201.37974229538918</v>
      </c>
      <c r="V161" s="2">
        <f ca="1">Planet(Panchanga!$E161,3)</f>
        <v>81.901502496689801</v>
      </c>
      <c r="W161" s="2">
        <f ca="1">Planet(Panchanga!$E161,6)</f>
        <v>253.52471628645475</v>
      </c>
      <c r="X161" s="2">
        <f ca="1">Planet(Panchanga!$E161,10)</f>
        <v>104.73619905387325</v>
      </c>
      <c r="Y161" s="2">
        <f ca="1">SIGN(S162-Panchanga!$S161)</f>
        <v>1</v>
      </c>
    </row>
    <row r="162" spans="1:25" x14ac:dyDescent="0.2">
      <c r="A162" s="3">
        <f t="shared" ca="1" si="32"/>
        <v>43254</v>
      </c>
      <c r="B162" s="3">
        <f t="shared" ca="1" si="25"/>
        <v>43254.229166666664</v>
      </c>
      <c r="C162" s="5">
        <f t="shared" ca="1" si="26"/>
        <v>43254.237713383198</v>
      </c>
      <c r="D162" s="5">
        <f t="shared" ca="1" si="27"/>
        <v>43253.772857805292</v>
      </c>
      <c r="E162" s="60">
        <f ca="1">Panchanga!$C162-TimeZone/24</f>
        <v>43254.008546716534</v>
      </c>
      <c r="F162" s="61">
        <f t="shared" ca="1" si="28"/>
        <v>48.285298001795084</v>
      </c>
      <c r="G162" s="61">
        <f t="shared" ca="1" si="29"/>
        <v>276.92323502340633</v>
      </c>
      <c r="H162" s="62">
        <f t="shared" ca="1" si="30"/>
        <v>43254.008546716534</v>
      </c>
      <c r="I162" s="2" t="str">
        <f ca="1">naks(Panchanga!$G162)</f>
        <v>Uttara Asadha</v>
      </c>
      <c r="J162" s="5">
        <f ca="1">(C163-Panchanga!$C162)/(G163-Panchanga!$G162)*(13.3333333333333-MOD(Panchanga!$G162,13.333333333333))+Panchanga!$C162</f>
        <v>43254.498646728149</v>
      </c>
      <c r="K162" s="2" t="str">
        <f ca="1">IF(Panchanga!$P162&gt;15,"K","S")&amp;ROUNDUP(MOD(Panchanga!$P162,15),0)&amp;" ("&amp;ROUND(Panchanga!$P162,2)&amp;")"</f>
        <v>K5 (19.05)</v>
      </c>
      <c r="L162" s="2">
        <f ca="1">IF(AND(Panchanga!$P162&lt;28.5,Panchanga!$P162&gt;0.49999),MOD((Panchanga!$P162-0.5)*2,7),MOD((Panchanga!$P162+30-28.5),30)*2+7)</f>
        <v>2.1064000000000007</v>
      </c>
      <c r="M162" s="2" t="str">
        <f ca="1">CHOOSE(ROUNDUP(Panchanga!$L162,0),"Bhava","Baalava","Kaulava","Taitula","Garija","Vanija","Vishti","Shakuni","Chatushapda","Naaga","Kimstugna")</f>
        <v>Kaulava</v>
      </c>
      <c r="N162" s="25" t="str">
        <f ca="1">CHOOSE(ROUNDUP(Panchanga!$Q162,0),"Vishkambha-विष्कम्भ-Sa","Priti-प्रीति-Me","Ayushman-आयुष्मान-Ke","Saubhagya-सौभाग्य-Ve","Shobhana-शोभन-Su","Atiganda-अतिगण्ड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("&amp;Panchanga!$Q162&amp;")"</f>
        <v>Brahma-ब्रह्म-Ma (24.4)</v>
      </c>
      <c r="O162" s="2">
        <f ca="1">IF(AND(Panchanga!$P162&lt;28.5,Panchanga!$P162&gt;0.49999),MOD((Panchanga!$P162-0.5)*2,7),MOD((Panchanga!$P162+30-28.5),30)*2+7)</f>
        <v>2.1064000000000007</v>
      </c>
      <c r="P162" s="2">
        <f ca="1">ROUNDUP(MOD(360+Panchanga!$G162-Panchanga!$F162,360)/12,4)</f>
        <v>19.0532</v>
      </c>
      <c r="Q162" s="2">
        <f t="shared" ca="1" si="31"/>
        <v>24.400000000000002</v>
      </c>
      <c r="R162" s="2" t="str">
        <f ca="1">SIGN(S163-Panchanga!$S162)*INT(Panchanga!$S162/30+1)&amp;"Ma,"&amp;SIGN(T163-Panchanga!$T162)*INT(Panchanga!$T162/30+1)&amp;"Me,"&amp;SIGN(U163-Panchanga!$U162)*INT(Panchanga!$U162/30+1)&amp;"Ju,"&amp;SIGN(V163-Panchanga!$V162)*INT(Panchanga!$V162/30+1)&amp;"Ve,"&amp;SIGN(W163-Panchanga!$W162)*INT(Panchanga!$W162/30+1)&amp;"Sa,"&amp;INT(Panchanga!$X162/30+1)&amp;"Ra"</f>
        <v>10Ma,2Me,-7Ju,3Ve,-9Sa,4Ra</v>
      </c>
      <c r="S162" s="2">
        <f ca="1">Planet(Panchanga!$E162,4)</f>
        <v>281.79609612206519</v>
      </c>
      <c r="T162" s="2">
        <f ca="1">Planet(Panchanga!$E162,2)</f>
        <v>44.482910191197384</v>
      </c>
      <c r="U162" s="2">
        <f ca="1">Planet(Panchanga!$E162,5)</f>
        <v>201.27689663272403</v>
      </c>
      <c r="V162" s="2">
        <f ca="1">Planet(Panchanga!$E162,3)</f>
        <v>83.083068132113596</v>
      </c>
      <c r="W162" s="2">
        <f ca="1">Planet(Panchanga!$E162,6)</f>
        <v>253.46245680775175</v>
      </c>
      <c r="X162" s="2">
        <f ca="1">Planet(Panchanga!$E162,10)</f>
        <v>104.68320661838985</v>
      </c>
      <c r="Y162" s="2">
        <f ca="1">SIGN(S163-Panchanga!$S162)</f>
        <v>1</v>
      </c>
    </row>
    <row r="163" spans="1:25" x14ac:dyDescent="0.2">
      <c r="A163" s="3">
        <f t="shared" ca="1" si="32"/>
        <v>43255</v>
      </c>
      <c r="B163" s="3">
        <f t="shared" ca="1" si="25"/>
        <v>43255.229166666664</v>
      </c>
      <c r="C163" s="5">
        <f t="shared" ca="1" si="26"/>
        <v>43255.237731026173</v>
      </c>
      <c r="D163" s="5">
        <f t="shared" ca="1" si="27"/>
        <v>43254.773070315874</v>
      </c>
      <c r="E163" s="60">
        <f ca="1">Panchanga!$C163-TimeZone/24</f>
        <v>43255.008564359508</v>
      </c>
      <c r="F163" s="61">
        <f t="shared" ca="1" si="28"/>
        <v>49.24293697701723</v>
      </c>
      <c r="G163" s="61">
        <f t="shared" ca="1" si="29"/>
        <v>288.71482593889823</v>
      </c>
      <c r="H163" s="62">
        <f t="shared" ca="1" si="30"/>
        <v>43255.008564359508</v>
      </c>
      <c r="I163" s="2" t="str">
        <f ca="1">naks(Panchanga!$G163)</f>
        <v>Sravana</v>
      </c>
      <c r="J163" s="5">
        <f ca="1">(C164-Panchanga!$C163)/(G164-Panchanga!$G163)*(13.3333333333333-MOD(Panchanga!$G163,13.333333333333))+Panchanga!$C163</f>
        <v>43255.627269732962</v>
      </c>
      <c r="K163" s="2" t="str">
        <f ca="1">IF(Panchanga!$P163&gt;15,"K","S")&amp;ROUNDUP(MOD(Panchanga!$P163,15),0)&amp;" ("&amp;ROUND(Panchanga!$P163,2)&amp;")"</f>
        <v>K5 (19.96)</v>
      </c>
      <c r="L163" s="2">
        <f ca="1">IF(AND(Panchanga!$P163&lt;28.5,Panchanga!$P163&gt;0.49999),MOD((Panchanga!$P163-0.5)*2,7),MOD((Panchanga!$P163+30-28.5),30)*2+7)</f>
        <v>3.911999999999999</v>
      </c>
      <c r="M163" s="2" t="str">
        <f ca="1">CHOOSE(ROUNDUP(Panchanga!$L163,0),"Bhava","Baalava","Kaulava","Taitula","Garija","Vanija","Vishti","Shakuni","Chatushapda","Naaga","Kimstugna")</f>
        <v>Taitula</v>
      </c>
      <c r="N163" s="25" t="str">
        <f ca="1">CHOOSE(ROUNDUP(Panchanga!$Q163,0),"Vishkambha-विष्कम्भ-Sa","Priti-प्रीति-Me","Ayushman-आयुष्मान-Ke","Saubhagya-सौभाग्य-Ve","Shobhana-शोभन-Su","Atiganda-अतिगण्ड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("&amp;Panchanga!$Q163&amp;")"</f>
        <v>Mahendra-महेन्द्र-Ra (25.35)</v>
      </c>
      <c r="O163" s="2">
        <f ca="1">IF(AND(Panchanga!$P163&lt;28.5,Panchanga!$P163&gt;0.49999),MOD((Panchanga!$P163-0.5)*2,7),MOD((Panchanga!$P163+30-28.5),30)*2+7)</f>
        <v>3.911999999999999</v>
      </c>
      <c r="P163" s="2">
        <f ca="1">ROUNDUP(MOD(360+Panchanga!$G163-Panchanga!$F163,360)/12,4)</f>
        <v>19.956</v>
      </c>
      <c r="Q163" s="2">
        <f t="shared" ca="1" si="31"/>
        <v>25.35</v>
      </c>
      <c r="R163" s="2" t="str">
        <f ca="1">SIGN(S164-Panchanga!$S163)*INT(Panchanga!$S163/30+1)&amp;"Ma,"&amp;SIGN(T164-Panchanga!$T163)*INT(Panchanga!$T163/30+1)&amp;"Me,"&amp;SIGN(U164-Panchanga!$U163)*INT(Panchanga!$U163/30+1)&amp;"Ju,"&amp;SIGN(V164-Panchanga!$V163)*INT(Panchanga!$V163/30+1)&amp;"Ve,"&amp;SIGN(W164-Panchanga!$W163)*INT(Panchanga!$W163/30+1)&amp;"Sa,"&amp;INT(Panchanga!$X163/30+1)&amp;"Ra"</f>
        <v>10Ma,2Me,-7Ju,3Ve,-9Sa,4Ra</v>
      </c>
      <c r="S163" s="2">
        <f ca="1">Planet(Panchanga!$E163,4)</f>
        <v>282.05480520941796</v>
      </c>
      <c r="T163" s="2">
        <f ca="1">Planet(Panchanga!$E163,2)</f>
        <v>46.667529553380056</v>
      </c>
      <c r="U163" s="2">
        <f ca="1">Planet(Panchanga!$E163,5)</f>
        <v>201.1759961786764</v>
      </c>
      <c r="V163" s="2">
        <f ca="1">Planet(Panchanga!$E163,3)</f>
        <v>84.263490873767012</v>
      </c>
      <c r="W163" s="2">
        <f ca="1">Planet(Panchanga!$E163,6)</f>
        <v>253.39932738668506</v>
      </c>
      <c r="X163" s="2">
        <f ca="1">Planet(Panchanga!$E163,10)</f>
        <v>104.6302136859611</v>
      </c>
      <c r="Y163" s="2">
        <f ca="1">SIGN(S164-Panchanga!$S163)</f>
        <v>1</v>
      </c>
    </row>
    <row r="164" spans="1:25" x14ac:dyDescent="0.2">
      <c r="A164" s="3">
        <f t="shared" ca="1" si="32"/>
        <v>43256</v>
      </c>
      <c r="B164" s="3">
        <f t="shared" ca="1" si="25"/>
        <v>43256.229166666664</v>
      </c>
      <c r="C164" s="5">
        <f t="shared" ca="1" si="26"/>
        <v>43256.2377580471</v>
      </c>
      <c r="D164" s="5">
        <f t="shared" ca="1" si="27"/>
        <v>43255.773282190363</v>
      </c>
      <c r="E164" s="60">
        <f ca="1">Panchanga!$C164-TimeZone/24</f>
        <v>43256.008591380436</v>
      </c>
      <c r="F164" s="61">
        <f t="shared" ca="1" si="28"/>
        <v>50.20037705278618</v>
      </c>
      <c r="G164" s="61">
        <f t="shared" ca="1" si="29"/>
        <v>300.5714966888246</v>
      </c>
      <c r="H164" s="62">
        <f t="shared" ca="1" si="30"/>
        <v>43256.008591380436</v>
      </c>
      <c r="I164" s="2" t="str">
        <f ca="1">naks(Panchanga!$G164)</f>
        <v>Dhanistha</v>
      </c>
      <c r="J164" s="5">
        <f ca="1">(C165-Panchanga!$C164)/(G165-Panchanga!$G164)*(13.3333333333333-MOD(Panchanga!$G164,13.333333333333))+Panchanga!$C164</f>
        <v>43256.745550465035</v>
      </c>
      <c r="K164" s="2" t="str">
        <f ca="1">IF(Panchanga!$P164&gt;15,"K","S")&amp;ROUNDUP(MOD(Panchanga!$P164,15),0)&amp;" ("&amp;ROUND(Panchanga!$P164,2)&amp;")"</f>
        <v>K6 (20.86)</v>
      </c>
      <c r="L164" s="2">
        <f ca="1">IF(AND(Panchanga!$P164&lt;28.5,Panchanga!$P164&gt;0.49999),MOD((Panchanga!$P164-0.5)*2,7),MOD((Panchanga!$P164+30-28.5),30)*2+7)</f>
        <v>5.7286000000000001</v>
      </c>
      <c r="M164" s="2" t="str">
        <f ca="1">CHOOSE(ROUNDUP(Panchanga!$L164,0),"Bhava","Baalava","Kaulava","Taitula","Garija","Vanija","Vishti","Shakuni","Chatushapda","Naaga","Kimstugna")</f>
        <v>Vanija</v>
      </c>
      <c r="N164" s="25" t="str">
        <f ca="1">CHOOSE(ROUNDUP(Panchanga!$Q164,0),"Vishkambha-विष्कम्भ-Sa","Priti-प्रीति-Me","Ayushman-आयुष्मान-Ke","Saubhagya-सौभाग्य-Ve","Shobhana-शोभन-Su","Atiganda-अतिगण्ड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("&amp;Panchanga!$Q164&amp;")"</f>
        <v>Vaidhriti-वैधृति-Ke (26.31)</v>
      </c>
      <c r="O164" s="2">
        <f ca="1">IF(AND(Panchanga!$P164&lt;28.5,Panchanga!$P164&gt;0.49999),MOD((Panchanga!$P164-0.5)*2,7),MOD((Panchanga!$P164+30-28.5),30)*2+7)</f>
        <v>5.7286000000000001</v>
      </c>
      <c r="P164" s="2">
        <f ca="1">ROUNDUP(MOD(360+Panchanga!$G164-Panchanga!$F164,360)/12,4)</f>
        <v>20.8643</v>
      </c>
      <c r="Q164" s="2">
        <f t="shared" ca="1" si="31"/>
        <v>26.310000000000002</v>
      </c>
      <c r="R164" s="2" t="str">
        <f ca="1">SIGN(S165-Panchanga!$S164)*INT(Panchanga!$S164/30+1)&amp;"Ma,"&amp;SIGN(T165-Panchanga!$T164)*INT(Panchanga!$T164/30+1)&amp;"Me,"&amp;SIGN(U165-Panchanga!$U164)*INT(Panchanga!$U164/30+1)&amp;"Ju,"&amp;SIGN(V165-Panchanga!$V164)*INT(Panchanga!$V164/30+1)&amp;"Ve,"&amp;SIGN(W165-Panchanga!$W164)*INT(Panchanga!$W164/30+1)&amp;"Sa,"&amp;INT(Panchanga!$X164/30+1)&amp;"Ra"</f>
        <v>10Ma,2Me,-7Ju,3Ve,-9Sa,4Ra</v>
      </c>
      <c r="S164" s="2">
        <f ca="1">Planet(Panchanga!$E164,4)</f>
        <v>282.30444712037394</v>
      </c>
      <c r="T164" s="2">
        <f ca="1">Planet(Panchanga!$E164,2)</f>
        <v>48.86244692936458</v>
      </c>
      <c r="U164" s="2">
        <f ca="1">Planet(Panchanga!$E164,5)</f>
        <v>201.07710214793184</v>
      </c>
      <c r="V164" s="2">
        <f ca="1">Planet(Panchanga!$E164,3)</f>
        <v>85.442761415039854</v>
      </c>
      <c r="W164" s="2">
        <f ca="1">Planet(Panchanga!$E164,6)</f>
        <v>253.33535744128883</v>
      </c>
      <c r="X164" s="2">
        <f ca="1">Planet(Panchanga!$E164,10)</f>
        <v>104.57722025657047</v>
      </c>
      <c r="Y164" s="2">
        <f ca="1">SIGN(S165-Panchanga!$S164)</f>
        <v>1</v>
      </c>
    </row>
    <row r="165" spans="1:25" x14ac:dyDescent="0.2">
      <c r="A165" s="3">
        <f t="shared" ca="1" si="32"/>
        <v>43257</v>
      </c>
      <c r="B165" s="3">
        <f t="shared" ca="1" si="25"/>
        <v>43257.229166666664</v>
      </c>
      <c r="C165" s="5">
        <f t="shared" ca="1" si="26"/>
        <v>43257.237794127468</v>
      </c>
      <c r="D165" s="5">
        <f t="shared" ca="1" si="27"/>
        <v>43256.773493111177</v>
      </c>
      <c r="E165" s="60">
        <f ca="1">Panchanga!$C165-TimeZone/24</f>
        <v>43257.008627460804</v>
      </c>
      <c r="F165" s="61">
        <f t="shared" ca="1" si="28"/>
        <v>51.15763250827888</v>
      </c>
      <c r="G165" s="61">
        <f t="shared" ca="1" si="29"/>
        <v>312.57520071933908</v>
      </c>
      <c r="H165" s="62">
        <f t="shared" ca="1" si="30"/>
        <v>43257.008627460804</v>
      </c>
      <c r="I165" s="2" t="str">
        <f ca="1">naks(Panchanga!$G165)</f>
        <v>Satabhisaj</v>
      </c>
      <c r="J165" s="5">
        <f ca="1">(C166-Panchanga!$C165)/(G166-Panchanga!$G165)*(13.3333333333333-MOD(Panchanga!$G165,13.333333333333))+Panchanga!$C165</f>
        <v>43257.844578734352</v>
      </c>
      <c r="K165" s="2" t="str">
        <f ca="1">IF(Panchanga!$P165&gt;15,"K","S")&amp;ROUNDUP(MOD(Panchanga!$P165,15),0)&amp;" ("&amp;ROUND(Panchanga!$P165,2)&amp;")"</f>
        <v>K7 (21.78)</v>
      </c>
      <c r="L165" s="2">
        <f ca="1">IF(AND(Panchanga!$P165&lt;28.5,Panchanga!$P165&gt;0.49999),MOD((Panchanga!$P165-0.5)*2,7),MOD((Panchanga!$P165+30-28.5),30)*2+7)</f>
        <v>0.56960000000000122</v>
      </c>
      <c r="M165" s="2" t="str">
        <f ca="1">CHOOSE(ROUNDUP(Panchanga!$L165,0),"Bhava","Baalava","Kaulava","Taitula","Garija","Vanija","Vishti","Shakuni","Chatushapda","Naaga","Kimstugna")</f>
        <v>Bhava</v>
      </c>
      <c r="N165" s="25" t="str">
        <f ca="1">CHOOSE(ROUNDUP(Panchanga!$Q165,0),"Vishkambha-विष्कम्भ-Sa","Priti-प्रीति-Me","Ayushman-आयुष्मान-Ke","Saubhagya-सौभाग्य-Ve","Shobhana-शोभन-Su","Atiganda-अतिगण्ड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("&amp;Panchanga!$Q165&amp;")"</f>
        <v>Vishkambha-विष्कम्भ-Sa (0.28)</v>
      </c>
      <c r="O165" s="2">
        <f ca="1">IF(AND(Panchanga!$P165&lt;28.5,Panchanga!$P165&gt;0.49999),MOD((Panchanga!$P165-0.5)*2,7),MOD((Panchanga!$P165+30-28.5),30)*2+7)</f>
        <v>0.56960000000000122</v>
      </c>
      <c r="P165" s="2">
        <f ca="1">ROUNDUP(MOD(360+Panchanga!$G165-Panchanga!$F165,360)/12,4)</f>
        <v>21.784800000000001</v>
      </c>
      <c r="Q165" s="2">
        <f t="shared" ca="1" si="31"/>
        <v>0.28000000000000003</v>
      </c>
      <c r="R165" s="2" t="str">
        <f ca="1">SIGN(S166-Panchanga!$S165)*INT(Panchanga!$S165/30+1)&amp;"Ma,"&amp;SIGN(T166-Panchanga!$T165)*INT(Panchanga!$T165/30+1)&amp;"Me,"&amp;SIGN(U166-Panchanga!$U165)*INT(Panchanga!$U165/30+1)&amp;"Ju,"&amp;SIGN(V166-Panchanga!$V165)*INT(Panchanga!$V165/30+1)&amp;"Ve,"&amp;SIGN(W166-Panchanga!$W165)*INT(Panchanga!$W165/30+1)&amp;"Sa,"&amp;INT(Panchanga!$X165/30+1)&amp;"Ra"</f>
        <v>10Ma,2Me,-7Ju,3Ve,-9Sa,4Ra</v>
      </c>
      <c r="S165" s="2">
        <f ca="1">Planet(Panchanga!$E165,4)</f>
        <v>282.54479878633856</v>
      </c>
      <c r="T165" s="2">
        <f ca="1">Planet(Panchanga!$E165,2)</f>
        <v>51.063321949365836</v>
      </c>
      <c r="U165" s="2">
        <f ca="1">Planet(Panchanga!$E165,5)</f>
        <v>200.98027468831577</v>
      </c>
      <c r="V165" s="2">
        <f ca="1">Planet(Panchanga!$E165,3)</f>
        <v>86.620869299374718</v>
      </c>
      <c r="W165" s="2">
        <f ca="1">Planet(Panchanga!$E165,6)</f>
        <v>253.27057705532937</v>
      </c>
      <c r="X165" s="2">
        <f ca="1">Planet(Panchanga!$E165,10)</f>
        <v>104.52422634708502</v>
      </c>
      <c r="Y165" s="2">
        <f ca="1">SIGN(S166-Panchanga!$S165)</f>
        <v>1</v>
      </c>
    </row>
    <row r="166" spans="1:25" x14ac:dyDescent="0.2">
      <c r="A166" s="3">
        <f t="shared" ca="1" si="32"/>
        <v>43258</v>
      </c>
      <c r="B166" s="3">
        <f t="shared" ca="1" si="25"/>
        <v>43258.229166666664</v>
      </c>
      <c r="C166" s="5">
        <f t="shared" ca="1" si="26"/>
        <v>43258.237839268208</v>
      </c>
      <c r="D166" s="5">
        <f t="shared" ca="1" si="27"/>
        <v>43257.773702601946</v>
      </c>
      <c r="E166" s="60">
        <f ca="1">Panchanga!$C166-TimeZone/24</f>
        <v>43258.008672601543</v>
      </c>
      <c r="F166" s="61">
        <f t="shared" ca="1" si="28"/>
        <v>52.11471610022798</v>
      </c>
      <c r="G166" s="61">
        <f t="shared" ca="1" si="29"/>
        <v>324.8120543859369</v>
      </c>
      <c r="H166" s="62">
        <f t="shared" ca="1" si="30"/>
        <v>43258.008672601543</v>
      </c>
      <c r="I166" s="2" t="str">
        <f ca="1">naks(Panchanga!$G166)</f>
        <v>Purva Bhadrapada</v>
      </c>
      <c r="J166" s="5">
        <f ca="1">(C167-Panchanga!$C166)/(G167-Panchanga!$G166)*(13.3333333333333-MOD(Panchanga!$G166,13.333333333333))+Panchanga!$C166</f>
        <v>43258.916636882605</v>
      </c>
      <c r="K166" s="2" t="str">
        <f ca="1">IF(Panchanga!$P166&gt;15,"K","S")&amp;ROUNDUP(MOD(Panchanga!$P166,15),0)&amp;" ("&amp;ROUND(Panchanga!$P166,2)&amp;")"</f>
        <v>K8 (22.72)</v>
      </c>
      <c r="L166" s="2">
        <f ca="1">IF(AND(Panchanga!$P166&lt;28.5,Panchanga!$P166&gt;0.49999),MOD((Panchanga!$P166-0.5)*2,7),MOD((Panchanga!$P166+30-28.5),30)*2+7)</f>
        <v>2.4495999999999967</v>
      </c>
      <c r="M166" s="2" t="str">
        <f ca="1">CHOOSE(ROUNDUP(Panchanga!$L166,0),"Bhava","Baalava","Kaulava","Taitula","Garija","Vanija","Vishti","Shakuni","Chatushapda","Naaga","Kimstugna")</f>
        <v>Kaulava</v>
      </c>
      <c r="N166" s="25" t="str">
        <f ca="1">CHOOSE(ROUNDUP(Panchanga!$Q166,0),"Vishkambha-विष्कम्भ-Sa","Priti-प्रीति-Me","Ayushman-आयुष्मान-Ke","Saubhagya-सौभाग्य-Ve","Shobhana-शोभन-Su","Atiganda-अतिगण्ड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("&amp;Panchanga!$Q166&amp;")"</f>
        <v>Priti-प्रीति-Me (1.27)</v>
      </c>
      <c r="O166" s="2">
        <f ca="1">IF(AND(Panchanga!$P166&lt;28.5,Panchanga!$P166&gt;0.49999),MOD((Panchanga!$P166-0.5)*2,7),MOD((Panchanga!$P166+30-28.5),30)*2+7)</f>
        <v>2.4495999999999967</v>
      </c>
      <c r="P166" s="2">
        <f ca="1">ROUNDUP(MOD(360+Panchanga!$G166-Panchanga!$F166,360)/12,4)</f>
        <v>22.724799999999998</v>
      </c>
      <c r="Q166" s="2">
        <f t="shared" ca="1" si="31"/>
        <v>1.27</v>
      </c>
      <c r="R166" s="2" t="str">
        <f ca="1">SIGN(S167-Panchanga!$S166)*INT(Panchanga!$S166/30+1)&amp;"Ma,"&amp;SIGN(T167-Panchanga!$T166)*INT(Panchanga!$T166/30+1)&amp;"Me,"&amp;SIGN(U167-Panchanga!$U166)*INT(Panchanga!$U166/30+1)&amp;"Ju,"&amp;SIGN(V167-Panchanga!$V166)*INT(Panchanga!$V166/30+1)&amp;"Ve,"&amp;SIGN(W167-Panchanga!$W166)*INT(Panchanga!$W166/30+1)&amp;"Sa,"&amp;INT(Panchanga!$X166/30+1)&amp;"Ra"</f>
        <v>10Ma,2Me,-7Ju,3Ve,-9Sa,4Ra</v>
      </c>
      <c r="S166" s="2">
        <f ca="1">Planet(Panchanga!$E166,4)</f>
        <v>282.77563556756382</v>
      </c>
      <c r="T166" s="2">
        <f ca="1">Planet(Panchanga!$E166,2)</f>
        <v>53.265610466829649</v>
      </c>
      <c r="U166" s="2">
        <f ca="1">Planet(Panchanga!$E166,5)</f>
        <v>200.88557284391521</v>
      </c>
      <c r="V166" s="2">
        <f ca="1">Planet(Panchanga!$E166,3)</f>
        <v>87.797803568033572</v>
      </c>
      <c r="W166" s="2">
        <f ca="1">Planet(Panchanga!$E166,6)</f>
        <v>253.20501696714959</v>
      </c>
      <c r="X166" s="2">
        <f ca="1">Planet(Panchanga!$E166,10)</f>
        <v>104.47123195750461</v>
      </c>
      <c r="Y166" s="2">
        <f ca="1">SIGN(S167-Panchanga!$S166)</f>
        <v>1</v>
      </c>
    </row>
    <row r="167" spans="1:25" x14ac:dyDescent="0.2">
      <c r="A167" s="3">
        <f t="shared" ca="1" si="32"/>
        <v>43259</v>
      </c>
      <c r="B167" s="3">
        <f t="shared" ca="1" si="25"/>
        <v>43259.229166666664</v>
      </c>
      <c r="C167" s="5">
        <f t="shared" ca="1" si="26"/>
        <v>43259.237893150806</v>
      </c>
      <c r="D167" s="5">
        <f t="shared" ca="1" si="27"/>
        <v>43258.773910820528</v>
      </c>
      <c r="E167" s="60">
        <f ca="1">Panchanga!$C167-TimeZone/24</f>
        <v>43259.008726484142</v>
      </c>
      <c r="F167" s="61">
        <f t="shared" ca="1" si="28"/>
        <v>53.071638086837702</v>
      </c>
      <c r="G167" s="61">
        <f t="shared" ca="1" si="29"/>
        <v>337.36622062823858</v>
      </c>
      <c r="H167" s="62">
        <f t="shared" ca="1" si="30"/>
        <v>43259.008726484142</v>
      </c>
      <c r="I167" s="2" t="str">
        <f ca="1">naks(Panchanga!$G167)</f>
        <v>Uttara Bhadrapada</v>
      </c>
      <c r="J167" s="5">
        <f ca="1">(C168-Panchanga!$C167)/(G168-Panchanga!$G167)*(13.3333333333333-MOD(Panchanga!$G167,13.333333333333))+Panchanga!$C167</f>
        <v>43259.956376007714</v>
      </c>
      <c r="K167" s="2" t="str">
        <f ca="1">IF(Panchanga!$P167&gt;15,"K","S")&amp;ROUNDUP(MOD(Panchanga!$P167,15),0)&amp;" ("&amp;ROUND(Panchanga!$P167,2)&amp;")"</f>
        <v>K9 (23.69)</v>
      </c>
      <c r="L167" s="2">
        <f ca="1">IF(AND(Panchanga!$P167&lt;28.5,Panchanga!$P167&gt;0.49999),MOD((Panchanga!$P167-0.5)*2,7),MOD((Panchanga!$P167+30-28.5),30)*2+7)</f>
        <v>4.3825999999999965</v>
      </c>
      <c r="M167" s="2" t="str">
        <f ca="1">CHOOSE(ROUNDUP(Panchanga!$L167,0),"Bhava","Baalava","Kaulava","Taitula","Garija","Vanija","Vishti","Shakuni","Chatushapda","Naaga","Kimstugna")</f>
        <v>Garija</v>
      </c>
      <c r="N167" s="25" t="str">
        <f ca="1">CHOOSE(ROUNDUP(Panchanga!$Q167,0),"Vishkambha-विष्कम्भ-Sa","Priti-प्रीति-Me","Ayushman-आयुष्मान-Ke","Saubhagya-सौभाग्य-Ve","Shobhana-शोभन-Su","Atiganda-अतिगण्ड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("&amp;Panchanga!$Q167&amp;")"</f>
        <v>Ayushman-आयुष्मान-Ke (2.29)</v>
      </c>
      <c r="O167" s="2">
        <f ca="1">IF(AND(Panchanga!$P167&lt;28.5,Panchanga!$P167&gt;0.49999),MOD((Panchanga!$P167-0.5)*2,7),MOD((Panchanga!$P167+30-28.5),30)*2+7)</f>
        <v>4.3825999999999965</v>
      </c>
      <c r="P167" s="2">
        <f ca="1">ROUNDUP(MOD(360+Panchanga!$G167-Panchanga!$F167,360)/12,4)</f>
        <v>23.691299999999998</v>
      </c>
      <c r="Q167" s="2">
        <f t="shared" ca="1" si="31"/>
        <v>2.2899999999999996</v>
      </c>
      <c r="R167" s="2" t="str">
        <f ca="1">SIGN(S168-Panchanga!$S167)*INT(Panchanga!$S167/30+1)&amp;"Ma,"&amp;SIGN(T168-Panchanga!$T167)*INT(Panchanga!$T167/30+1)&amp;"Me,"&amp;SIGN(U168-Panchanga!$U167)*INT(Panchanga!$U167/30+1)&amp;"Ju,"&amp;SIGN(V168-Panchanga!$V167)*INT(Panchanga!$V167/30+1)&amp;"Ve,"&amp;SIGN(W168-Panchanga!$W167)*INT(Panchanga!$W167/30+1)&amp;"Sa,"&amp;INT(Panchanga!$X167/30+1)&amp;"Ra"</f>
        <v>10Ma,2Me,-7Ju,3Ve,-9Sa,4Ra</v>
      </c>
      <c r="S167" s="2">
        <f ca="1">Planet(Panchanga!$E167,4)</f>
        <v>282.99673218408509</v>
      </c>
      <c r="T167" s="2">
        <f ca="1">Planet(Panchanga!$E167,2)</f>
        <v>55.464687302602258</v>
      </c>
      <c r="U167" s="2">
        <f ca="1">Planet(Panchanga!$E167,5)</f>
        <v>200.79305465898096</v>
      </c>
      <c r="V167" s="2">
        <f ca="1">Planet(Panchanga!$E167,3)</f>
        <v>88.973551781495857</v>
      </c>
      <c r="W167" s="2">
        <f ca="1">Planet(Panchanga!$E167,6)</f>
        <v>253.13870865494721</v>
      </c>
      <c r="X167" s="2">
        <f ca="1">Planet(Panchanga!$E167,10)</f>
        <v>104.41823710466329</v>
      </c>
      <c r="Y167" s="2">
        <f ca="1">SIGN(S168-Panchanga!$S167)</f>
        <v>1</v>
      </c>
    </row>
    <row r="168" spans="1:25" x14ac:dyDescent="0.2">
      <c r="A168" s="3">
        <f t="shared" ca="1" si="32"/>
        <v>43260</v>
      </c>
      <c r="B168" s="3">
        <f t="shared" ca="1" si="25"/>
        <v>43260.229166666664</v>
      </c>
      <c r="C168" s="5">
        <f t="shared" ca="1" si="26"/>
        <v>43260.237955775265</v>
      </c>
      <c r="D168" s="5">
        <f t="shared" ca="1" si="27"/>
        <v>43259.774117132227</v>
      </c>
      <c r="E168" s="60">
        <f ca="1">Panchanga!$C168-TimeZone/24</f>
        <v>43260.0087891086</v>
      </c>
      <c r="F168" s="61">
        <f t="shared" ca="1" si="28"/>
        <v>54.028406364813499</v>
      </c>
      <c r="G168" s="61">
        <f t="shared" ca="1" si="29"/>
        <v>350.31159348489297</v>
      </c>
      <c r="H168" s="62">
        <f t="shared" ca="1" si="30"/>
        <v>43260.0087891086</v>
      </c>
      <c r="I168" s="2" t="str">
        <f ca="1">naks(Panchanga!$G168)</f>
        <v>Revati</v>
      </c>
      <c r="J168" s="5">
        <f ca="1">(C169-Panchanga!$C168)/(G169-Panchanga!$G168)*(13.3333333333333-MOD(Panchanga!$G168,13.333333333333))+Panchanga!$C168</f>
        <v>43260.210001911262</v>
      </c>
      <c r="K168" s="2" t="str">
        <f ca="1">IF(Panchanga!$P168&gt;15,"K","S")&amp;ROUNDUP(MOD(Panchanga!$P168,15),0)&amp;" ("&amp;ROUND(Panchanga!$P168,2)&amp;")"</f>
        <v>K10 (24.69)</v>
      </c>
      <c r="L168" s="2">
        <f ca="1">IF(AND(Panchanga!$P168&lt;28.5,Panchanga!$P168&gt;0.49999),MOD((Panchanga!$P168-0.5)*2,7),MOD((Panchanga!$P168+30-28.5),30)*2+7)</f>
        <v>6.3806000000000012</v>
      </c>
      <c r="M168" s="2" t="str">
        <f ca="1">CHOOSE(ROUNDUP(Panchanga!$L168,0),"Bhava","Baalava","Kaulava","Taitula","Garija","Vanija","Vishti","Shakuni","Chatushapda","Naaga","Kimstugna")</f>
        <v>Vishti</v>
      </c>
      <c r="N168" s="25" t="str">
        <f ca="1">CHOOSE(ROUNDUP(Panchanga!$Q168,0),"Vishkambha-विष्कम्भ-Sa","Priti-प्रीति-Me","Ayushman-आयुष्मान-Ke","Saubhagya-सौभाग्य-Ve","Shobhana-शोभन-Su","Atiganda-अतिगण्ड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("&amp;Panchanga!$Q168&amp;")"</f>
        <v>Saubhagya-सौभाग्य-Ve (3.33)</v>
      </c>
      <c r="O168" s="2">
        <f ca="1">IF(AND(Panchanga!$P168&lt;28.5,Panchanga!$P168&gt;0.49999),MOD((Panchanga!$P168-0.5)*2,7),MOD((Panchanga!$P168+30-28.5),30)*2+7)</f>
        <v>6.3806000000000012</v>
      </c>
      <c r="P168" s="2">
        <f ca="1">ROUNDUP(MOD(360+Panchanga!$G168-Panchanga!$F168,360)/12,4)</f>
        <v>24.690300000000001</v>
      </c>
      <c r="Q168" s="2">
        <f t="shared" ca="1" si="31"/>
        <v>3.3299999999999996</v>
      </c>
      <c r="R168" s="2" t="str">
        <f ca="1">SIGN(S169-Panchanga!$S168)*INT(Panchanga!$S168/30+1)&amp;"Ma,"&amp;SIGN(T169-Panchanga!$T168)*INT(Panchanga!$T168/30+1)&amp;"Me,"&amp;SIGN(U169-Panchanga!$U168)*INT(Panchanga!$U168/30+1)&amp;"Ju,"&amp;SIGN(V169-Panchanga!$V168)*INT(Panchanga!$V168/30+1)&amp;"Ve,"&amp;SIGN(W169-Panchanga!$W168)*INT(Panchanga!$W168/30+1)&amp;"Sa,"&amp;INT(Panchanga!$X168/30+1)&amp;"Ra"</f>
        <v>10Ma,2Me,-7Ju,4Ve,-9Sa,4Ra</v>
      </c>
      <c r="S168" s="2">
        <f ca="1">Planet(Panchanga!$E168,4)</f>
        <v>283.20786444482326</v>
      </c>
      <c r="T168" s="2">
        <f ca="1">Planet(Panchanga!$E168,2)</f>
        <v>57.656045140327961</v>
      </c>
      <c r="U168" s="2">
        <f ca="1">Planet(Panchanga!$E168,5)</f>
        <v>200.70277715469496</v>
      </c>
      <c r="V168" s="2">
        <f ca="1">Planet(Panchanga!$E168,3)</f>
        <v>90.148100385927478</v>
      </c>
      <c r="W168" s="2">
        <f ca="1">Planet(Panchanga!$E168,6)</f>
        <v>253.07168435910853</v>
      </c>
      <c r="X168" s="2">
        <f ca="1">Planet(Panchanga!$E168,10)</f>
        <v>104.36524178859408</v>
      </c>
      <c r="Y168" s="2">
        <f ca="1">SIGN(S169-Panchanga!$S168)</f>
        <v>1</v>
      </c>
    </row>
    <row r="169" spans="1:25" x14ac:dyDescent="0.2">
      <c r="A169" s="3">
        <f t="shared" ca="1" si="32"/>
        <v>43261</v>
      </c>
      <c r="B169" s="3">
        <f t="shared" ca="1" si="25"/>
        <v>43261.229166666664</v>
      </c>
      <c r="C169" s="5">
        <f t="shared" ca="1" si="26"/>
        <v>43261.238026983257</v>
      </c>
      <c r="D169" s="5">
        <f t="shared" ca="1" si="27"/>
        <v>43260.774321377321</v>
      </c>
      <c r="E169" s="60">
        <f ca="1">Panchanga!$C169-TimeZone/24</f>
        <v>43261.008860316593</v>
      </c>
      <c r="F169" s="61">
        <f t="shared" ca="1" si="28"/>
        <v>54.985025469573671</v>
      </c>
      <c r="G169" s="61">
        <f t="shared" ca="1" si="29"/>
        <v>3.7013214222232991</v>
      </c>
      <c r="H169" s="62">
        <f t="shared" ca="1" si="30"/>
        <v>43261.008860316593</v>
      </c>
      <c r="I169" s="2" t="str">
        <f ca="1">naks(Panchanga!$G169)</f>
        <v>Aswini</v>
      </c>
      <c r="J169" s="5">
        <f ca="1">(C170-Panchanga!$C169)/(G170-Panchanga!$G169)*(13.3333333333333-MOD(Panchanga!$G169,13.333333333333))+Panchanga!$C169</f>
        <v>43261.933298404256</v>
      </c>
      <c r="K169" s="2" t="str">
        <f ca="1">IF(Panchanga!$P169&gt;15,"K","S")&amp;ROUNDUP(MOD(Panchanga!$P169,15),0)&amp;" ("&amp;ROUND(Panchanga!$P169,2)&amp;")"</f>
        <v>K11 (25.73)</v>
      </c>
      <c r="L169" s="2">
        <f ca="1">IF(AND(Panchanga!$P169&lt;28.5,Panchanga!$P169&gt;0.49999),MOD((Panchanga!$P169-0.5)*2,7),MOD((Panchanga!$P169+30-28.5),30)*2+7)</f>
        <v>1.4527999999999963</v>
      </c>
      <c r="M169" s="2" t="str">
        <f ca="1">CHOOSE(ROUNDUP(Panchanga!$L169,0),"Bhava","Baalava","Kaulava","Taitula","Garija","Vanija","Vishti","Shakuni","Chatushapda","Naaga","Kimstugna")</f>
        <v>Baalava</v>
      </c>
      <c r="N169" s="25" t="str">
        <f ca="1">CHOOSE(ROUNDUP(Panchanga!$Q169,0),"Vishkambha-विष्कम्भ-Sa","Priti-प्रीति-Me","Ayushman-आयुष्मान-Ke","Saubhagya-सौभाग्य-Ve","Shobhana-शोभन-Su","Atiganda-अतिगण्ड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("&amp;Panchanga!$Q169&amp;")"</f>
        <v>Shobhana-शोभन-Su (4.41)</v>
      </c>
      <c r="O169" s="2">
        <f ca="1">IF(AND(Panchanga!$P169&lt;28.5,Panchanga!$P169&gt;0.49999),MOD((Panchanga!$P169-0.5)*2,7),MOD((Panchanga!$P169+30-28.5),30)*2+7)</f>
        <v>1.4527999999999963</v>
      </c>
      <c r="P169" s="2">
        <f ca="1">ROUNDUP(MOD(360+Panchanga!$G169-Panchanga!$F169,360)/12,4)</f>
        <v>25.726399999999998</v>
      </c>
      <c r="Q169" s="2">
        <f t="shared" ca="1" si="31"/>
        <v>4.41</v>
      </c>
      <c r="R169" s="2" t="str">
        <f ca="1">SIGN(S170-Panchanga!$S169)*INT(Panchanga!$S169/30+1)&amp;"Ma,"&amp;SIGN(T170-Panchanga!$T169)*INT(Panchanga!$T169/30+1)&amp;"Me,"&amp;SIGN(U170-Panchanga!$U169)*INT(Panchanga!$U169/30+1)&amp;"Ju,"&amp;SIGN(V170-Panchanga!$V169)*INT(Panchanga!$V169/30+1)&amp;"Ve,"&amp;SIGN(W170-Panchanga!$W169)*INT(Panchanga!$W169/30+1)&amp;"Sa,"&amp;INT(Panchanga!$X169/30+1)&amp;"Ra"</f>
        <v>10Ma,2Me,-7Ju,4Ve,-9Sa,4Ra</v>
      </c>
      <c r="S169" s="2">
        <f ca="1">Planet(Panchanga!$E169,4)</f>
        <v>283.40881131657096</v>
      </c>
      <c r="T169" s="2">
        <f ca="1">Planet(Panchanga!$E169,2)</f>
        <v>59.835303005235346</v>
      </c>
      <c r="U169" s="2">
        <f ca="1">Planet(Panchanga!$E169,5)</f>
        <v>200.6147963837212</v>
      </c>
      <c r="V169" s="2">
        <f ca="1">Planet(Panchanga!$E169,3)</f>
        <v>91.321433586601685</v>
      </c>
      <c r="W169" s="2">
        <f ca="1">Planet(Panchanga!$E169,6)</f>
        <v>253.00397719220578</v>
      </c>
      <c r="X169" s="2">
        <f ca="1">Planet(Panchanga!$E169,10)</f>
        <v>104.31224601764779</v>
      </c>
      <c r="Y169" s="2">
        <f ca="1">SIGN(S170-Panchanga!$S169)</f>
        <v>1</v>
      </c>
    </row>
    <row r="170" spans="1:25" x14ac:dyDescent="0.2">
      <c r="A170" s="3">
        <f t="shared" ca="1" si="32"/>
        <v>43262</v>
      </c>
      <c r="B170" s="3">
        <f t="shared" ca="1" si="25"/>
        <v>43262.229166666664</v>
      </c>
      <c r="C170" s="5">
        <f t="shared" ca="1" si="26"/>
        <v>43262.238106297016</v>
      </c>
      <c r="D170" s="5">
        <f t="shared" ca="1" si="27"/>
        <v>43261.774523238695</v>
      </c>
      <c r="E170" s="60">
        <f ca="1">Panchanga!$C170-TimeZone/24</f>
        <v>43262.008939630352</v>
      </c>
      <c r="F170" s="61">
        <f t="shared" ca="1" si="28"/>
        <v>55.941495875055658</v>
      </c>
      <c r="G170" s="61">
        <f t="shared" ca="1" si="29"/>
        <v>17.556019848202737</v>
      </c>
      <c r="H170" s="62">
        <f t="shared" ca="1" si="30"/>
        <v>43262.008939630352</v>
      </c>
      <c r="I170" s="2" t="str">
        <f ca="1">naks(Panchanga!$G170)</f>
        <v>Bharani</v>
      </c>
      <c r="J170" s="5">
        <f ca="1">(C171-Panchanga!$C170)/(G171-Panchanga!$G170)*(13.3333333333333-MOD(Panchanga!$G170,13.333333333333))+Panchanga!$C170</f>
        <v>43262.875401359925</v>
      </c>
      <c r="K170" s="2" t="str">
        <f ca="1">IF(Panchanga!$P170&gt;15,"K","S")&amp;ROUNDUP(MOD(Panchanga!$P170,15),0)&amp;" ("&amp;ROUND(Panchanga!$P170,2)&amp;")"</f>
        <v>K12 (26.8)</v>
      </c>
      <c r="L170" s="2">
        <f ca="1">IF(AND(Panchanga!$P170&lt;28.5,Panchanga!$P170&gt;0.49999),MOD((Panchanga!$P170-0.5)*2,7),MOD((Panchanga!$P170+30-28.5),30)*2+7)</f>
        <v>3.6026000000000025</v>
      </c>
      <c r="M170" s="2" t="str">
        <f ca="1">CHOOSE(ROUNDUP(Panchanga!$L170,0),"Bhava","Baalava","Kaulava","Taitula","Garija","Vanija","Vishti","Shakuni","Chatushapda","Naaga","Kimstugna")</f>
        <v>Taitula</v>
      </c>
      <c r="N170" s="25" t="str">
        <f ca="1">CHOOSE(ROUNDUP(Panchanga!$Q170,0),"Vishkambha-विष्कम्भ-Sa","Priti-प्रीति-Me","Ayushman-आयुष्मान-Ke","Saubhagya-सौभाग्य-Ve","Shobhana-शोभन-Su","Atiganda-अतिगण्ड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("&amp;Panchanga!$Q170&amp;")"</f>
        <v>Atiganda-अतिगण्ड -Mo (5.52)</v>
      </c>
      <c r="O170" s="2">
        <f ca="1">IF(AND(Panchanga!$P170&lt;28.5,Panchanga!$P170&gt;0.49999),MOD((Panchanga!$P170-0.5)*2,7),MOD((Panchanga!$P170+30-28.5),30)*2+7)</f>
        <v>3.6026000000000025</v>
      </c>
      <c r="P170" s="2">
        <f ca="1">ROUNDUP(MOD(360+Panchanga!$G170-Panchanga!$F170,360)/12,4)</f>
        <v>26.801300000000001</v>
      </c>
      <c r="Q170" s="2">
        <f t="shared" ca="1" si="31"/>
        <v>5.52</v>
      </c>
      <c r="R170" s="2" t="str">
        <f ca="1">SIGN(S171-Panchanga!$S170)*INT(Panchanga!$S170/30+1)&amp;"Ma,"&amp;SIGN(T171-Panchanga!$T170)*INT(Panchanga!$T170/30+1)&amp;"Me,"&amp;SIGN(U171-Panchanga!$U170)*INT(Panchanga!$U170/30+1)&amp;"Ju,"&amp;SIGN(V171-Panchanga!$V170)*INT(Panchanga!$V170/30+1)&amp;"Ve,"&amp;SIGN(W171-Panchanga!$W170)*INT(Panchanga!$W170/30+1)&amp;"Sa,"&amp;INT(Panchanga!$X170/30+1)&amp;"Ra"</f>
        <v>10Ma,3Me,-7Ju,4Ve,-9Sa,4Ra</v>
      </c>
      <c r="S170" s="2">
        <f ca="1">Planet(Panchanga!$E170,4)</f>
        <v>283.59935771577011</v>
      </c>
      <c r="T170" s="2">
        <f ca="1">Planet(Panchanga!$E170,2)</f>
        <v>61.998331596664237</v>
      </c>
      <c r="U170" s="2">
        <f ca="1">Planet(Panchanga!$E170,5)</f>
        <v>200.52916739319764</v>
      </c>
      <c r="V170" s="2">
        <f ca="1">Planet(Panchanga!$E170,3)</f>
        <v>92.493532410491653</v>
      </c>
      <c r="W170" s="2">
        <f ca="1">Planet(Panchanga!$E170,6)</f>
        <v>252.93562123481075</v>
      </c>
      <c r="X170" s="2">
        <f ca="1">Planet(Panchanga!$E170,10)</f>
        <v>104.25924981717462</v>
      </c>
      <c r="Y170" s="2">
        <f ca="1">SIGN(S171-Panchanga!$S170)</f>
        <v>1</v>
      </c>
    </row>
    <row r="171" spans="1:25" x14ac:dyDescent="0.2">
      <c r="A171" s="3">
        <f t="shared" ca="1" si="32"/>
        <v>43263</v>
      </c>
      <c r="B171" s="3">
        <f t="shared" ca="1" si="25"/>
        <v>43263.229166666664</v>
      </c>
      <c r="C171" s="5">
        <f t="shared" ca="1" si="26"/>
        <v>43263.238193558216</v>
      </c>
      <c r="D171" s="5">
        <f t="shared" ca="1" si="27"/>
        <v>43262.774722397371</v>
      </c>
      <c r="E171" s="60">
        <f ca="1">Panchanga!$C171-TimeZone/24</f>
        <v>43263.009026891552</v>
      </c>
      <c r="F171" s="61">
        <f t="shared" ca="1" si="28"/>
        <v>56.897814186292763</v>
      </c>
      <c r="G171" s="61">
        <f t="shared" ca="1" si="29"/>
        <v>31.853073685093012</v>
      </c>
      <c r="H171" s="62">
        <f t="shared" ca="1" si="30"/>
        <v>43263.009026891552</v>
      </c>
      <c r="I171" s="2" t="str">
        <f ca="1">naks(Panchanga!$G171)</f>
        <v>Krittika</v>
      </c>
      <c r="J171" s="5">
        <f ca="1">(C172-Panchanga!$C171)/(G172-Panchanga!$G171)*(13.3333333333333-MOD(Panchanga!$G171,13.333333333333))+Panchanga!$C171</f>
        <v>43263.79366290263</v>
      </c>
      <c r="K171" s="2" t="str">
        <f ca="1">IF(Panchanga!$P171&gt;15,"K","S")&amp;ROUNDUP(MOD(Panchanga!$P171,15),0)&amp;" ("&amp;ROUND(Panchanga!$P171,2)&amp;")"</f>
        <v>K13 (27.91)</v>
      </c>
      <c r="L171" s="2">
        <f ca="1">IF(AND(Panchanga!$P171&lt;28.5,Panchanga!$P171&gt;0.49999),MOD((Panchanga!$P171-0.5)*2,7),MOD((Panchanga!$P171+30-28.5),30)*2+7)</f>
        <v>5.8260000000000005</v>
      </c>
      <c r="M171" s="2" t="str">
        <f ca="1">CHOOSE(ROUNDUP(Panchanga!$L171,0),"Bhava","Baalava","Kaulava","Taitula","Garija","Vanija","Vishti","Shakuni","Chatushapda","Naaga","Kimstugna")</f>
        <v>Vanija</v>
      </c>
      <c r="N171" s="25" t="str">
        <f ca="1">CHOOSE(ROUNDUP(Panchanga!$Q171,0),"Vishkambha-विष्कम्भ-Sa","Priti-प्रीति-Me","Ayushman-आयुष्मान-Ke","Saubhagya-सौभाग्य-Ve","Shobhana-शोभन-Su","Atiganda-अतिगण्ड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("&amp;Panchanga!$Q171&amp;")"</f>
        <v>Sukarman-सुकर्मा -Ma (6.66)</v>
      </c>
      <c r="O171" s="2">
        <f ca="1">IF(AND(Panchanga!$P171&lt;28.5,Panchanga!$P171&gt;0.49999),MOD((Panchanga!$P171-0.5)*2,7),MOD((Panchanga!$P171+30-28.5),30)*2+7)</f>
        <v>5.8260000000000005</v>
      </c>
      <c r="P171" s="2">
        <f ca="1">ROUNDUP(MOD(360+Panchanga!$G171-Panchanga!$F171,360)/12,4)</f>
        <v>27.913</v>
      </c>
      <c r="Q171" s="2">
        <f t="shared" ca="1" si="31"/>
        <v>6.66</v>
      </c>
      <c r="R171" s="2" t="str">
        <f ca="1">SIGN(S172-Panchanga!$S171)*INT(Panchanga!$S171/30+1)&amp;"Ma,"&amp;SIGN(T172-Panchanga!$T171)*INT(Panchanga!$T171/30+1)&amp;"Me,"&amp;SIGN(U172-Panchanga!$U171)*INT(Panchanga!$U171/30+1)&amp;"Ju,"&amp;SIGN(V172-Panchanga!$V171)*INT(Panchanga!$V171/30+1)&amp;"Ve,"&amp;SIGN(W172-Panchanga!$W171)*INT(Panchanga!$W171/30+1)&amp;"Sa,"&amp;INT(Panchanga!$X171/30+1)&amp;"Ra"</f>
        <v>10Ma,3Me,-7Ju,4Ve,-9Sa,4Ra</v>
      </c>
      <c r="S171" s="2">
        <f ca="1">Planet(Panchanga!$E171,4)</f>
        <v>283.77929799796914</v>
      </c>
      <c r="T171" s="2">
        <f ca="1">Planet(Panchanga!$E171,2)</f>
        <v>64.141329693484352</v>
      </c>
      <c r="U171" s="2">
        <f ca="1">Planet(Panchanga!$E171,5)</f>
        <v>200.44594402452239</v>
      </c>
      <c r="V171" s="2">
        <f ca="1">Planet(Panchanga!$E171,3)</f>
        <v>93.664374568041254</v>
      </c>
      <c r="W171" s="2">
        <f ca="1">Planet(Panchanga!$E171,6)</f>
        <v>252.86665156815997</v>
      </c>
      <c r="X171" s="2">
        <f ca="1">Planet(Panchanga!$E171,10)</f>
        <v>104.20625319554171</v>
      </c>
      <c r="Y171" s="2">
        <f ca="1">SIGN(S172-Panchanga!$S171)</f>
        <v>1</v>
      </c>
    </row>
    <row r="172" spans="1:25" x14ac:dyDescent="0.2">
      <c r="A172" s="3">
        <f t="shared" ca="1" si="32"/>
        <v>43264</v>
      </c>
      <c r="B172" s="3">
        <f t="shared" ca="1" si="25"/>
        <v>43264.229166666664</v>
      </c>
      <c r="C172" s="5">
        <f t="shared" ca="1" si="26"/>
        <v>43264.238288607601</v>
      </c>
      <c r="D172" s="5">
        <f t="shared" ca="1" si="27"/>
        <v>43263.774918536699</v>
      </c>
      <c r="E172" s="60">
        <f ca="1">Panchanga!$C172-TimeZone/24</f>
        <v>43264.009121940937</v>
      </c>
      <c r="F172" s="61">
        <f t="shared" ca="1" si="28"/>
        <v>57.853972764209558</v>
      </c>
      <c r="G172" s="61">
        <f t="shared" ca="1" si="29"/>
        <v>46.521211102878766</v>
      </c>
      <c r="H172" s="62">
        <f t="shared" ca="1" si="30"/>
        <v>43264.009121940937</v>
      </c>
      <c r="I172" s="2" t="str">
        <f ca="1">naks(Panchanga!$G172)</f>
        <v>Rohini</v>
      </c>
      <c r="J172" s="5">
        <f ca="1">(C173-Panchanga!$C172)/(G173-Panchanga!$G172)*(13.3333333333333-MOD(Panchanga!$G172,13.333333333333))+Panchanga!$C172</f>
        <v>43264.694802683669</v>
      </c>
      <c r="K172" s="2" t="str">
        <f ca="1">IF(Panchanga!$P172&gt;15,"K","S")&amp;ROUNDUP(MOD(Panchanga!$P172,15),0)&amp;" ("&amp;ROUND(Panchanga!$P172,2)&amp;")"</f>
        <v>K15 (29.06)</v>
      </c>
      <c r="L172" s="2">
        <f ca="1">IF(AND(Panchanga!$P172&lt;28.5,Panchanga!$P172&gt;0.49999),MOD((Panchanga!$P172-0.5)*2,7),MOD((Panchanga!$P172+30-28.5),30)*2+7)</f>
        <v>8.1114000000000033</v>
      </c>
      <c r="M172" s="2" t="str">
        <f ca="1">CHOOSE(ROUNDUP(Panchanga!$L172,0),"Bhava","Baalava","Kaulava","Taitula","Garija","Vanija","Vishti","Shakuni","Chatushapda","Naaga","Kimstugna")</f>
        <v>Chatushapda</v>
      </c>
      <c r="N172" s="25" t="str">
        <f ca="1">CHOOSE(ROUNDUP(Panchanga!$Q172,0),"Vishkambha-विष्कम्भ-Sa","Priti-प्रीति-Me","Ayushman-आयुष्मान-Ke","Saubhagya-सौभाग्य-Ve","Shobhana-शोभन-Su","Atiganda-अतिगण्ड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("&amp;Panchanga!$Q172&amp;")"</f>
        <v>Dhriti-धृति -Ra (7.83)</v>
      </c>
      <c r="O172" s="2">
        <f ca="1">IF(AND(Panchanga!$P172&lt;28.5,Panchanga!$P172&gt;0.49999),MOD((Panchanga!$P172-0.5)*2,7),MOD((Panchanga!$P172+30-28.5),30)*2+7)</f>
        <v>8.1114000000000033</v>
      </c>
      <c r="P172" s="2">
        <f ca="1">ROUNDUP(MOD(360+Panchanga!$G172-Panchanga!$F172,360)/12,4)</f>
        <v>29.055699999999998</v>
      </c>
      <c r="Q172" s="2">
        <f t="shared" ca="1" si="31"/>
        <v>7.83</v>
      </c>
      <c r="R172" s="2" t="str">
        <f ca="1">SIGN(S173-Panchanga!$S172)*INT(Panchanga!$S172/30+1)&amp;"Ma,"&amp;SIGN(T173-Panchanga!$T172)*INT(Panchanga!$T172/30+1)&amp;"Me,"&amp;SIGN(U173-Panchanga!$U172)*INT(Panchanga!$U172/30+1)&amp;"Ju,"&amp;SIGN(V173-Panchanga!$V172)*INT(Panchanga!$V172/30+1)&amp;"Ve,"&amp;SIGN(W173-Panchanga!$W172)*INT(Panchanga!$W172/30+1)&amp;"Sa,"&amp;INT(Panchanga!$X172/30+1)&amp;"Ra"</f>
        <v>10Ma,3Me,-7Ju,4Ve,-9Sa,4Ra</v>
      </c>
      <c r="S172" s="2">
        <f ca="1">Planet(Panchanga!$E172,4)</f>
        <v>283.94843943877021</v>
      </c>
      <c r="T172" s="2">
        <f ca="1">Planet(Panchanga!$E172,2)</f>
        <v>66.260876603310777</v>
      </c>
      <c r="U172" s="2">
        <f ca="1">Planet(Panchanga!$E172,5)</f>
        <v>200.36517866350442</v>
      </c>
      <c r="V172" s="2">
        <f ca="1">Planet(Panchanga!$E172,3)</f>
        <v>94.833933197893273</v>
      </c>
      <c r="W172" s="2">
        <f ca="1">Planet(Panchanga!$E172,6)</f>
        <v>252.79710433209922</v>
      </c>
      <c r="X172" s="2">
        <f ca="1">Planet(Panchanga!$E172,10)</f>
        <v>104.15325616119931</v>
      </c>
      <c r="Y172" s="2">
        <f ca="1">SIGN(S173-Panchanga!$S172)</f>
        <v>1</v>
      </c>
    </row>
    <row r="173" spans="1:25" x14ac:dyDescent="0.2">
      <c r="A173" s="3">
        <f t="shared" ca="1" si="32"/>
        <v>43265</v>
      </c>
      <c r="B173" s="3">
        <f t="shared" ca="1" si="25"/>
        <v>43265.229166666664</v>
      </c>
      <c r="C173" s="5">
        <f t="shared" ca="1" si="26"/>
        <v>43265.23839112759</v>
      </c>
      <c r="D173" s="5">
        <f t="shared" ca="1" si="27"/>
        <v>43264.775111337702</v>
      </c>
      <c r="E173" s="60">
        <f ca="1">Panchanga!$C173-TimeZone/24</f>
        <v>43265.009224460926</v>
      </c>
      <c r="F173" s="61">
        <f t="shared" ca="1" si="28"/>
        <v>58.8099601099875</v>
      </c>
      <c r="G173" s="61">
        <f t="shared" ca="1" si="29"/>
        <v>61.444782940543405</v>
      </c>
      <c r="H173" s="62">
        <f t="shared" ca="1" si="30"/>
        <v>43265.009224460926</v>
      </c>
      <c r="I173" s="2" t="str">
        <f ca="1">naks(Panchanga!$G173)</f>
        <v>Mrigashira</v>
      </c>
      <c r="J173" s="5">
        <f ca="1">(C174-Panchanga!$C173)/(G174-Panchanga!$G173)*(13.3333333333333-MOD(Panchanga!$G173,13.333333333333))+Panchanga!$C173</f>
        <v>43265.58575637795</v>
      </c>
      <c r="K173" s="2" t="str">
        <f ca="1">IF(Panchanga!$P173&gt;15,"K","S")&amp;ROUNDUP(MOD(Panchanga!$P173,15),0)&amp;" ("&amp;ROUND(Panchanga!$P173,2)&amp;")"</f>
        <v>S1 (0.22)</v>
      </c>
      <c r="L173" s="2">
        <f ca="1">IF(AND(Panchanga!$P173&lt;28.5,Panchanga!$P173&gt;0.49999),MOD((Panchanga!$P173-0.5)*2,7),MOD((Panchanga!$P173+30-28.5),30)*2+7)</f>
        <v>10.4392</v>
      </c>
      <c r="M173" s="2" t="str">
        <f ca="1">CHOOSE(ROUNDUP(Panchanga!$L173,0),"Bhava","Baalava","Kaulava","Taitula","Garija","Vanija","Vishti","Shakuni","Chatushapda","Naaga","Kimstugna")</f>
        <v>Kimstugna</v>
      </c>
      <c r="N173" s="25" t="str">
        <f ca="1">CHOOSE(ROUNDUP(Panchanga!$Q173,0),"Vishkambha-विष्कम्भ-Sa","Priti-प्रीति-Me","Ayushman-आयुष्मान-Ke","Saubhagya-सौभाग्य-Ve","Shobhana-शोभन-Su","Atiganda-अतिगण्ड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("&amp;Panchanga!$Q173&amp;")"</f>
        <v>Ganda-गण्ड -Sa (9.02)</v>
      </c>
      <c r="O173" s="2">
        <f ca="1">IF(AND(Panchanga!$P173&lt;28.5,Panchanga!$P173&gt;0.49999),MOD((Panchanga!$P173-0.5)*2,7),MOD((Panchanga!$P173+30-28.5),30)*2+7)</f>
        <v>10.4392</v>
      </c>
      <c r="P173" s="2">
        <f ca="1">ROUNDUP(MOD(360+Panchanga!$G173-Panchanga!$F173,360)/12,4)</f>
        <v>0.21959999999999999</v>
      </c>
      <c r="Q173" s="2">
        <f t="shared" ca="1" si="31"/>
        <v>9.02</v>
      </c>
      <c r="R173" s="2" t="str">
        <f ca="1">SIGN(S174-Panchanga!$S173)*INT(Panchanga!$S173/30+1)&amp;"Ma,"&amp;SIGN(T174-Panchanga!$T173)*INT(Panchanga!$T173/30+1)&amp;"Me,"&amp;SIGN(U174-Panchanga!$U173)*INT(Panchanga!$U173/30+1)&amp;"Ju,"&amp;SIGN(V174-Panchanga!$V173)*INT(Panchanga!$V173/30+1)&amp;"Ve,"&amp;SIGN(W174-Panchanga!$W173)*INT(Panchanga!$W173/30+1)&amp;"Sa,"&amp;INT(Panchanga!$X173/30+1)&amp;"Ra"</f>
        <v>10Ma,3Me,-7Ju,4Ve,-9Sa,4Ra</v>
      </c>
      <c r="S173" s="2">
        <f ca="1">Planet(Panchanga!$E173,4)</f>
        <v>284.10660526590533</v>
      </c>
      <c r="T173" s="2">
        <f ca="1">Planet(Panchanga!$E173,2)</f>
        <v>68.353962355196884</v>
      </c>
      <c r="U173" s="2">
        <f ca="1">Planet(Panchanga!$E173,5)</f>
        <v>200.2869218154637</v>
      </c>
      <c r="V173" s="2">
        <f ca="1">Planet(Panchanga!$E173,3)</f>
        <v>96.002176063053284</v>
      </c>
      <c r="W173" s="2">
        <f ca="1">Planet(Panchanga!$E173,6)</f>
        <v>252.72701669302506</v>
      </c>
      <c r="X173" s="2">
        <f ca="1">Planet(Panchanga!$E173,10)</f>
        <v>104.10025873098115</v>
      </c>
      <c r="Y173" s="2">
        <f ca="1">SIGN(S174-Panchanga!$S173)</f>
        <v>1</v>
      </c>
    </row>
    <row r="174" spans="1:25" x14ac:dyDescent="0.2">
      <c r="A174" s="3">
        <f t="shared" ca="1" si="32"/>
        <v>43266</v>
      </c>
      <c r="B174" s="3">
        <f t="shared" ca="1" si="25"/>
        <v>43266.229166666664</v>
      </c>
      <c r="C174" s="5">
        <f t="shared" ca="1" si="26"/>
        <v>43266.238500959393</v>
      </c>
      <c r="D174" s="5">
        <f t="shared" ca="1" si="27"/>
        <v>43265.775300483263</v>
      </c>
      <c r="E174" s="60">
        <f ca="1">Panchanga!$C174-TimeZone/24</f>
        <v>43266.009334292728</v>
      </c>
      <c r="F174" s="61">
        <f t="shared" ca="1" si="28"/>
        <v>59.765762473601676</v>
      </c>
      <c r="G174" s="61">
        <f t="shared" ca="1" si="29"/>
        <v>76.479266814844763</v>
      </c>
      <c r="H174" s="62">
        <f t="shared" ca="1" si="30"/>
        <v>43266.009334292728</v>
      </c>
      <c r="I174" s="2" t="str">
        <f ca="1">naks(Panchanga!$G174)</f>
        <v>Ardra</v>
      </c>
      <c r="J174" s="5">
        <f ca="1">(C175-Panchanga!$C174)/(G175-Panchanga!$G174)*(13.3333333333333-MOD(Panchanga!$G174,13.333333333333))+Panchanga!$C174</f>
        <v>43266.473319734476</v>
      </c>
      <c r="K174" s="2" t="str">
        <f ca="1">IF(Panchanga!$P174&gt;15,"K","S")&amp;ROUNDUP(MOD(Panchanga!$P174,15),0)&amp;" ("&amp;ROUND(Panchanga!$P174,2)&amp;")"</f>
        <v>S2 (1.39)</v>
      </c>
      <c r="L174" s="2">
        <f ca="1">IF(AND(Panchanga!$P174&lt;28.5,Panchanga!$P174&gt;0.49999),MOD((Panchanga!$P174-0.5)*2,7),MOD((Panchanga!$P174+30-28.5),30)*2+7)</f>
        <v>1.7856000000000001</v>
      </c>
      <c r="M174" s="2" t="str">
        <f ca="1">CHOOSE(ROUNDUP(Panchanga!$L174,0),"Bhava","Baalava","Kaulava","Taitula","Garija","Vanija","Vishti","Shakuni","Chatushapda","Naaga","Kimstugna")</f>
        <v>Baalava</v>
      </c>
      <c r="N174" s="25" t="str">
        <f ca="1">CHOOSE(ROUNDUP(Panchanga!$Q174,0),"Vishkambha-विष्कम्भ-Sa","Priti-प्रीति-Me","Ayushman-आयुष्मान-Ke","Saubhagya-सौभाग्य-Ve","Shobhana-शोभन-Su","Atiganda-अतिगण्ड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("&amp;Panchanga!$Q174&amp;")"</f>
        <v>Vriddhi-वृद्धि -Me (10.22)</v>
      </c>
      <c r="O174" s="2">
        <f ca="1">IF(AND(Panchanga!$P174&lt;28.5,Panchanga!$P174&gt;0.49999),MOD((Panchanga!$P174-0.5)*2,7),MOD((Panchanga!$P174+30-28.5),30)*2+7)</f>
        <v>1.7856000000000001</v>
      </c>
      <c r="P174" s="2">
        <f ca="1">ROUNDUP(MOD(360+Panchanga!$G174-Panchanga!$F174,360)/12,4)</f>
        <v>1.3928</v>
      </c>
      <c r="Q174" s="2">
        <f t="shared" ca="1" si="31"/>
        <v>10.220000000000001</v>
      </c>
      <c r="R174" s="2" t="str">
        <f ca="1">SIGN(S175-Panchanga!$S174)*INT(Panchanga!$S174/30+1)&amp;"Ma,"&amp;SIGN(T175-Panchanga!$T174)*INT(Panchanga!$T174/30+1)&amp;"Me,"&amp;SIGN(U175-Panchanga!$U174)*INT(Panchanga!$U174/30+1)&amp;"Ju,"&amp;SIGN(V175-Panchanga!$V174)*INT(Panchanga!$V174/30+1)&amp;"Ve,"&amp;SIGN(W175-Panchanga!$W174)*INT(Panchanga!$W174/30+1)&amp;"Sa,"&amp;INT(Panchanga!$X174/30+1)&amp;"Ra"</f>
        <v>10Ma,3Me,-7Ju,4Ve,-9Sa,4Ra</v>
      </c>
      <c r="S174" s="2">
        <f ca="1">Planet(Panchanga!$E174,4)</f>
        <v>284.25363639839571</v>
      </c>
      <c r="T174" s="2">
        <f ca="1">Planet(Panchanga!$E174,2)</f>
        <v>70.417997464888415</v>
      </c>
      <c r="U174" s="2">
        <f ca="1">Planet(Panchanga!$E174,5)</f>
        <v>200.2112215178482</v>
      </c>
      <c r="V174" s="2">
        <f ca="1">Planet(Panchanga!$E174,3)</f>
        <v>97.16906586626574</v>
      </c>
      <c r="W174" s="2">
        <f ca="1">Planet(Panchanga!$E174,6)</f>
        <v>252.65642666675421</v>
      </c>
      <c r="X174" s="2">
        <f ca="1">Planet(Panchanga!$E174,10)</f>
        <v>104.04726091330437</v>
      </c>
      <c r="Y174" s="2">
        <f ca="1">SIGN(S175-Panchanga!$S174)</f>
        <v>1</v>
      </c>
    </row>
    <row r="175" spans="1:25" x14ac:dyDescent="0.2">
      <c r="A175" s="3">
        <f t="shared" ca="1" si="32"/>
        <v>43267</v>
      </c>
      <c r="B175" s="3">
        <f t="shared" ca="1" si="25"/>
        <v>43267.229166666664</v>
      </c>
      <c r="C175" s="5">
        <f t="shared" ca="1" si="26"/>
        <v>43267.23861746645</v>
      </c>
      <c r="D175" s="5">
        <f t="shared" ca="1" si="27"/>
        <v>43266.77548549608</v>
      </c>
      <c r="E175" s="60">
        <f ca="1">Panchanga!$C175-TimeZone/24</f>
        <v>43267.009450799786</v>
      </c>
      <c r="F175" s="61">
        <f t="shared" ca="1" si="28"/>
        <v>60.721365225941462</v>
      </c>
      <c r="G175" s="61">
        <f t="shared" ca="1" si="29"/>
        <v>91.474419456363236</v>
      </c>
      <c r="H175" s="62">
        <f t="shared" ca="1" si="30"/>
        <v>43267.009450799786</v>
      </c>
      <c r="I175" s="2" t="str">
        <f ca="1">naks(Panchanga!$G175)</f>
        <v>Punarvasu</v>
      </c>
      <c r="J175" s="5">
        <f ca="1">(C176-Panchanga!$C175)/(G176-Panchanga!$G175)*(13.3333333333333-MOD(Panchanga!$G175,13.333333333333))+Panchanga!$C175</f>
        <v>43267.364038163054</v>
      </c>
      <c r="K175" s="2" t="str">
        <f ca="1">IF(Panchanga!$P175&gt;15,"K","S")&amp;ROUNDUP(MOD(Panchanga!$P175,15),0)&amp;" ("&amp;ROUND(Panchanga!$P175,2)&amp;")"</f>
        <v>S3 (2.56)</v>
      </c>
      <c r="L175" s="2">
        <f ca="1">IF(AND(Panchanga!$P175&lt;28.5,Panchanga!$P175&gt;0.49999),MOD((Panchanga!$P175-0.5)*2,7),MOD((Panchanga!$P175+30-28.5),30)*2+7)</f>
        <v>4.1256000000000004</v>
      </c>
      <c r="M175" s="2" t="str">
        <f ca="1">CHOOSE(ROUNDUP(Panchanga!$L175,0),"Bhava","Baalava","Kaulava","Taitula","Garija","Vanija","Vishti","Shakuni","Chatushapda","Naaga","Kimstugna")</f>
        <v>Garija</v>
      </c>
      <c r="N175" s="25" t="str">
        <f ca="1">CHOOSE(ROUNDUP(Panchanga!$Q175,0),"Vishkambha-विष्कम्भ-Sa","Priti-प्रीति-Me","Ayushman-आयुष्मान-Ke","Saubhagya-सौभाग्य-Ve","Shobhana-शोभन-Su","Atiganda-अतिगण्ड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("&amp;Panchanga!$Q175&amp;")"</f>
        <v>Dhruva-ध्रुव -Ke (11.42)</v>
      </c>
      <c r="O175" s="2">
        <f ca="1">IF(AND(Panchanga!$P175&lt;28.5,Panchanga!$P175&gt;0.49999),MOD((Panchanga!$P175-0.5)*2,7),MOD((Panchanga!$P175+30-28.5),30)*2+7)</f>
        <v>4.1256000000000004</v>
      </c>
      <c r="P175" s="2">
        <f ca="1">ROUNDUP(MOD(360+Panchanga!$G175-Panchanga!$F175,360)/12,4)</f>
        <v>2.5628000000000002</v>
      </c>
      <c r="Q175" s="2">
        <f t="shared" ca="1" si="31"/>
        <v>11.42</v>
      </c>
      <c r="R175" s="2" t="str">
        <f ca="1">SIGN(S176-Panchanga!$S175)*INT(Panchanga!$S175/30+1)&amp;"Ma,"&amp;SIGN(T176-Panchanga!$T175)*INT(Panchanga!$T175/30+1)&amp;"Me,"&amp;SIGN(U176-Panchanga!$U175)*INT(Panchanga!$U175/30+1)&amp;"Ju,"&amp;SIGN(V176-Panchanga!$V175)*INT(Panchanga!$V175/30+1)&amp;"Ve,"&amp;SIGN(W176-Panchanga!$W175)*INT(Panchanga!$W175/30+1)&amp;"Sa,"&amp;INT(Panchanga!$X175/30+1)&amp;"Ra"</f>
        <v>10Ma,3Me,-7Ju,4Ve,-9Sa,4Ra</v>
      </c>
      <c r="S175" s="2">
        <f ca="1">Planet(Panchanga!$E175,4)</f>
        <v>284.38939096086477</v>
      </c>
      <c r="T175" s="2">
        <f ca="1">Planet(Panchanga!$E175,2)</f>
        <v>72.450802165967886</v>
      </c>
      <c r="U175" s="2">
        <f ca="1">Planet(Panchanga!$E175,5)</f>
        <v>200.13812280206093</v>
      </c>
      <c r="V175" s="2">
        <f ca="1">Planet(Panchanga!$E175,3)</f>
        <v>98.334560200885861</v>
      </c>
      <c r="W175" s="2">
        <f ca="1">Planet(Panchanga!$E175,6)</f>
        <v>252.58537289556784</v>
      </c>
      <c r="X175" s="2">
        <f ca="1">Planet(Panchanga!$E175,10)</f>
        <v>103.99426274190292</v>
      </c>
      <c r="Y175" s="2">
        <f ca="1">SIGN(S176-Panchanga!$S175)</f>
        <v>1</v>
      </c>
    </row>
    <row r="176" spans="1:25" x14ac:dyDescent="0.2">
      <c r="A176" s="3">
        <f t="shared" ca="1" si="32"/>
        <v>43268</v>
      </c>
      <c r="B176" s="3">
        <f t="shared" ca="1" si="25"/>
        <v>43268.229166666664</v>
      </c>
      <c r="C176" s="5">
        <f t="shared" ca="1" si="26"/>
        <v>43268.238740490437</v>
      </c>
      <c r="D176" s="5">
        <f t="shared" ca="1" si="27"/>
        <v>43267.775665899317</v>
      </c>
      <c r="E176" s="60">
        <f ca="1">Panchanga!$C176-TimeZone/24</f>
        <v>43268.009573823772</v>
      </c>
      <c r="F176" s="61">
        <f t="shared" ca="1" si="28"/>
        <v>61.676756053289019</v>
      </c>
      <c r="G176" s="61">
        <f t="shared" ca="1" si="29"/>
        <v>106.29767126668551</v>
      </c>
      <c r="H176" s="62">
        <f t="shared" ca="1" si="30"/>
        <v>43268.009573823772</v>
      </c>
      <c r="I176" s="2" t="str">
        <f ca="1">naks(Panchanga!$G176)</f>
        <v>Pushya</v>
      </c>
      <c r="J176" s="5">
        <f ca="1">(C177-Panchanga!$C176)/(G177-Panchanga!$G176)*(13.3333333333333-MOD(Panchanga!$G176,13.333333333333))+Panchanga!$C176</f>
        <v>43268.264099458574</v>
      </c>
      <c r="K176" s="2" t="str">
        <f ca="1">IF(Panchanga!$P176&gt;15,"K","S")&amp;ROUNDUP(MOD(Panchanga!$P176,15),0)&amp;" ("&amp;ROUND(Panchanga!$P176,2)&amp;")"</f>
        <v>S4 (3.72)</v>
      </c>
      <c r="L176" s="2">
        <f ca="1">IF(AND(Panchanga!$P176&lt;28.5,Panchanga!$P176&gt;0.49999),MOD((Panchanga!$P176-0.5)*2,7),MOD((Panchanga!$P176+30-28.5),30)*2+7)</f>
        <v>6.4370000000000003</v>
      </c>
      <c r="M176" s="2" t="str">
        <f ca="1">CHOOSE(ROUNDUP(Panchanga!$L176,0),"Bhava","Baalava","Kaulava","Taitula","Garija","Vanija","Vishti","Shakuni","Chatushapda","Naaga","Kimstugna")</f>
        <v>Vishti</v>
      </c>
      <c r="N176" s="25" t="str">
        <f ca="1">CHOOSE(ROUNDUP(Panchanga!$Q176,0),"Vishkambha-विष्कम्भ-Sa","Priti-प्रीति-Me","Ayushman-आयुष्मान-Ke","Saubhagya-सौभाग्य-Ve","Shobhana-शोभन-Su","Atiganda-अतिगण्ड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("&amp;Panchanga!$Q176&amp;")"</f>
        <v>Vyaghata-व्याघात-ve (12.6)</v>
      </c>
      <c r="O176" s="2">
        <f ca="1">IF(AND(Panchanga!$P176&lt;28.5,Panchanga!$P176&gt;0.49999),MOD((Panchanga!$P176-0.5)*2,7),MOD((Panchanga!$P176+30-28.5),30)*2+7)</f>
        <v>6.4370000000000003</v>
      </c>
      <c r="P176" s="2">
        <f ca="1">ROUNDUP(MOD(360+Panchanga!$G176-Panchanga!$F176,360)/12,4)</f>
        <v>3.7185000000000001</v>
      </c>
      <c r="Q176" s="2">
        <f t="shared" ca="1" si="31"/>
        <v>12.6</v>
      </c>
      <c r="R176" s="2" t="str">
        <f ca="1">SIGN(S177-Panchanga!$S176)*INT(Panchanga!$S176/30+1)&amp;"Ma,"&amp;SIGN(T177-Panchanga!$T176)*INT(Panchanga!$T176/30+1)&amp;"Me,"&amp;SIGN(U177-Panchanga!$U176)*INT(Panchanga!$U176/30+1)&amp;"Ju,"&amp;SIGN(V177-Panchanga!$V176)*INT(Panchanga!$V176/30+1)&amp;"Ve,"&amp;SIGN(W177-Panchanga!$W176)*INT(Panchanga!$W176/30+1)&amp;"Sa,"&amp;INT(Panchanga!$X176/30+1)&amp;"Ra"</f>
        <v>10Ma,3Me,-7Ju,4Ve,-9Sa,4Ra</v>
      </c>
      <c r="S176" s="2">
        <f ca="1">Planet(Panchanga!$E176,4)</f>
        <v>284.5137418497934</v>
      </c>
      <c r="T176" s="2">
        <f ca="1">Planet(Panchanga!$E176,2)</f>
        <v>74.450584198697001</v>
      </c>
      <c r="U176" s="2">
        <f ca="1">Planet(Panchanga!$E176,5)</f>
        <v>200.06766715458443</v>
      </c>
      <c r="V176" s="2">
        <f ca="1">Planet(Panchanga!$E176,3)</f>
        <v>99.498614077228936</v>
      </c>
      <c r="W176" s="2">
        <f ca="1">Planet(Panchanga!$E176,6)</f>
        <v>252.51389423572363</v>
      </c>
      <c r="X176" s="2">
        <f ca="1">Planet(Panchanga!$E176,10)</f>
        <v>103.94126422512757</v>
      </c>
      <c r="Y176" s="2">
        <f ca="1">SIGN(S177-Panchanga!$S176)</f>
        <v>1</v>
      </c>
    </row>
    <row r="177" spans="1:25" x14ac:dyDescent="0.2">
      <c r="A177" s="3">
        <f t="shared" ca="1" si="32"/>
        <v>43269</v>
      </c>
      <c r="B177" s="3">
        <f t="shared" ca="1" si="25"/>
        <v>43269.229166666664</v>
      </c>
      <c r="C177" s="5">
        <f t="shared" ca="1" si="26"/>
        <v>43269.238869872097</v>
      </c>
      <c r="D177" s="5">
        <f t="shared" ca="1" si="27"/>
        <v>43268.775841534181</v>
      </c>
      <c r="E177" s="60">
        <f ca="1">Panchanga!$C177-TimeZone/24</f>
        <v>43269.009703205433</v>
      </c>
      <c r="F177" s="61">
        <f t="shared" ca="1" si="28"/>
        <v>62.631926516289397</v>
      </c>
      <c r="G177" s="61">
        <f t="shared" ca="1" si="29"/>
        <v>120.85043773780168</v>
      </c>
      <c r="H177" s="62">
        <f t="shared" ca="1" si="30"/>
        <v>43269.009703205433</v>
      </c>
      <c r="I177" s="2" t="str">
        <f ca="1">naks(Panchanga!$G177)</f>
        <v>Makha</v>
      </c>
      <c r="J177" s="5">
        <f ca="1">(C178-Panchanga!$C177)/(G178-Panchanga!$G177)*(13.3333333333333-MOD(Panchanga!$G177,13.333333333333))+Panchanga!$C177</f>
        <v>43270.116608103897</v>
      </c>
      <c r="K177" s="2" t="str">
        <f ca="1">IF(Panchanga!$P177&gt;15,"K","S")&amp;ROUNDUP(MOD(Panchanga!$P177,15),0)&amp;" ("&amp;ROUND(Panchanga!$P177,2)&amp;")"</f>
        <v>S5 (4.85)</v>
      </c>
      <c r="L177" s="2">
        <f ca="1">IF(AND(Panchanga!$P177&lt;28.5,Panchanga!$P177&gt;0.49999),MOD((Panchanga!$P177-0.5)*2,7),MOD((Panchanga!$P177+30-28.5),30)*2+7)</f>
        <v>1.7031999999999989</v>
      </c>
      <c r="M177" s="2" t="str">
        <f ca="1">CHOOSE(ROUNDUP(Panchanga!$L177,0),"Bhava","Baalava","Kaulava","Taitula","Garija","Vanija","Vishti","Shakuni","Chatushapda","Naaga","Kimstugna")</f>
        <v>Baalava</v>
      </c>
      <c r="N177" s="25" t="str">
        <f ca="1">CHOOSE(ROUNDUP(Panchanga!$Q177,0),"Vishkambha-विष्कम्भ-Sa","Priti-प्रीति-Me","Ayushman-आयुष्मान-Ke","Saubhagya-सौभाग्य-Ve","Shobhana-शोभन-Su","Atiganda-अतिगण्ड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("&amp;Panchanga!$Q177&amp;")"</f>
        <v>Harshana-हर्षण-su (13.77)</v>
      </c>
      <c r="O177" s="2">
        <f ca="1">IF(AND(Panchanga!$P177&lt;28.5,Panchanga!$P177&gt;0.49999),MOD((Panchanga!$P177-0.5)*2,7),MOD((Panchanga!$P177+30-28.5),30)*2+7)</f>
        <v>1.7031999999999989</v>
      </c>
      <c r="P177" s="2">
        <f ca="1">ROUNDUP(MOD(360+Panchanga!$G177-Panchanga!$F177,360)/12,4)</f>
        <v>4.8515999999999995</v>
      </c>
      <c r="Q177" s="2">
        <f t="shared" ca="1" si="31"/>
        <v>13.77</v>
      </c>
      <c r="R177" s="2" t="str">
        <f ca="1">SIGN(S178-Panchanga!$S177)*INT(Panchanga!$S177/30+1)&amp;"Ma,"&amp;SIGN(T178-Panchanga!$T177)*INT(Panchanga!$T177/30+1)&amp;"Me,"&amp;SIGN(U178-Panchanga!$U177)*INT(Panchanga!$U177/30+1)&amp;"Ju,"&amp;SIGN(V178-Panchanga!$V177)*INT(Panchanga!$V177/30+1)&amp;"Ve,"&amp;SIGN(W178-Panchanga!$W177)*INT(Panchanga!$W177/30+1)&amp;"Sa,"&amp;INT(Panchanga!$X177/30+1)&amp;"Ra"</f>
        <v>10Ma,3Me,-7Ju,4Ve,-9Sa,4Ra</v>
      </c>
      <c r="S177" s="2">
        <f ca="1">Planet(Panchanga!$E177,4)</f>
        <v>284.62657259455216</v>
      </c>
      <c r="T177" s="2">
        <f ca="1">Planet(Panchanga!$E177,2)</f>
        <v>76.41590293867047</v>
      </c>
      <c r="U177" s="2">
        <f ca="1">Planet(Panchanga!$E177,5)</f>
        <v>199.99989233399214</v>
      </c>
      <c r="V177" s="2">
        <f ca="1">Planet(Panchanga!$E177,3)</f>
        <v>100.66118117186339</v>
      </c>
      <c r="W177" s="2">
        <f ca="1">Planet(Panchanga!$E177,6)</f>
        <v>252.4420294490771</v>
      </c>
      <c r="X177" s="2">
        <f ca="1">Planet(Panchanga!$E177,10)</f>
        <v>103.88826537147797</v>
      </c>
      <c r="Y177" s="2">
        <f ca="1">SIGN(S178-Panchanga!$S177)</f>
        <v>1</v>
      </c>
    </row>
    <row r="178" spans="1:25" x14ac:dyDescent="0.2">
      <c r="A178" s="3">
        <f t="shared" ca="1" si="32"/>
        <v>43270</v>
      </c>
      <c r="B178" s="3">
        <f t="shared" ca="1" si="25"/>
        <v>43270.229166666664</v>
      </c>
      <c r="C178" s="5">
        <f t="shared" ca="1" si="26"/>
        <v>43270.239005135059</v>
      </c>
      <c r="D178" s="5">
        <f t="shared" ca="1" si="27"/>
        <v>43269.776012083094</v>
      </c>
      <c r="E178" s="60">
        <f ca="1">Panchanga!$C178-TimeZone/24</f>
        <v>43270.009838468395</v>
      </c>
      <c r="F178" s="61">
        <f t="shared" ca="1" si="28"/>
        <v>63.586873014199135</v>
      </c>
      <c r="G178" s="61">
        <f t="shared" ca="1" si="29"/>
        <v>135.07402242014612</v>
      </c>
      <c r="H178" s="62">
        <f t="shared" ca="1" si="30"/>
        <v>43270.009838468395</v>
      </c>
      <c r="I178" s="2" t="str">
        <f ca="1">naks(Panchanga!$G178)</f>
        <v>Purva Phalguni</v>
      </c>
      <c r="J178" s="5">
        <f ca="1">(C179-Panchanga!$C178)/(G179-Panchanga!$G178)*(13.3333333333333-MOD(Panchanga!$G178,13.333333333333))+Panchanga!$C178</f>
        <v>43271.074785416902</v>
      </c>
      <c r="K178" s="2" t="str">
        <f ca="1">IF(Panchanga!$P178&gt;15,"K","S")&amp;ROUNDUP(MOD(Panchanga!$P178,15),0)&amp;" ("&amp;ROUND(Panchanga!$P178,2)&amp;")"</f>
        <v>S6 (5.96)</v>
      </c>
      <c r="L178" s="2">
        <f ca="1">IF(AND(Panchanga!$P178&lt;28.5,Panchanga!$P178&gt;0.49999),MOD((Panchanga!$P178-0.5)*2,7),MOD((Panchanga!$P178+30-28.5),30)*2+7)</f>
        <v>3.9146000000000001</v>
      </c>
      <c r="M178" s="2" t="str">
        <f ca="1">CHOOSE(ROUNDUP(Panchanga!$L178,0),"Bhava","Baalava","Kaulava","Taitula","Garija","Vanija","Vishti","Shakuni","Chatushapda","Naaga","Kimstugna")</f>
        <v>Taitula</v>
      </c>
      <c r="N178" s="25" t="str">
        <f ca="1">CHOOSE(ROUNDUP(Panchanga!$Q178,0),"Vishkambha-विष्कम्भ-Sa","Priti-प्रीति-Me","Ayushman-आयुष्मान-Ke","Saubhagya-सौभाग्य-Ve","Shobhana-शोभन-Su","Atiganda-अतिगण्ड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("&amp;Panchanga!$Q178&amp;")"</f>
        <v>Vajra-वज्र-Mo (14.9)</v>
      </c>
      <c r="O178" s="2">
        <f ca="1">IF(AND(Panchanga!$P178&lt;28.5,Panchanga!$P178&gt;0.49999),MOD((Panchanga!$P178-0.5)*2,7),MOD((Panchanga!$P178+30-28.5),30)*2+7)</f>
        <v>3.9146000000000001</v>
      </c>
      <c r="P178" s="2">
        <f ca="1">ROUNDUP(MOD(360+Panchanga!$G178-Panchanga!$F178,360)/12,4)</f>
        <v>5.9573</v>
      </c>
      <c r="Q178" s="2">
        <f t="shared" ca="1" si="31"/>
        <v>14.9</v>
      </c>
      <c r="R178" s="2" t="str">
        <f ca="1">SIGN(S179-Panchanga!$S178)*INT(Panchanga!$S178/30+1)&amp;"Ma,"&amp;SIGN(T179-Panchanga!$T178)*INT(Panchanga!$T178/30+1)&amp;"Me,"&amp;SIGN(U179-Panchanga!$U178)*INT(Panchanga!$U178/30+1)&amp;"Ju,"&amp;SIGN(V179-Panchanga!$V178)*INT(Panchanga!$V178/30+1)&amp;"Ve,"&amp;SIGN(W179-Panchanga!$W178)*INT(Panchanga!$W178/30+1)&amp;"Sa,"&amp;INT(Panchanga!$X178/30+1)&amp;"Ra"</f>
        <v>10Ma,3Me,-7Ju,4Ve,-9Sa,4Ra</v>
      </c>
      <c r="S178" s="2">
        <f ca="1">Planet(Panchanga!$E178,4)</f>
        <v>284.72777303286063</v>
      </c>
      <c r="T178" s="2">
        <f ca="1">Planet(Panchanga!$E178,2)</f>
        <v>78.345627091763646</v>
      </c>
      <c r="U178" s="2">
        <f ca="1">Planet(Panchanga!$E178,5)</f>
        <v>199.93483246321924</v>
      </c>
      <c r="V178" s="2">
        <f ca="1">Planet(Panchanga!$E178,3)</f>
        <v>101.82221519736092</v>
      </c>
      <c r="W178" s="2">
        <f ca="1">Planet(Panchanga!$E178,6)</f>
        <v>252.36981695694413</v>
      </c>
      <c r="X178" s="2">
        <f ca="1">Planet(Panchanga!$E178,10)</f>
        <v>103.83526620615538</v>
      </c>
      <c r="Y178" s="2">
        <f ca="1">SIGN(S179-Panchanga!$S178)</f>
        <v>1</v>
      </c>
    </row>
    <row r="179" spans="1:25" x14ac:dyDescent="0.2">
      <c r="A179" s="3">
        <f t="shared" ca="1" si="32"/>
        <v>43271</v>
      </c>
      <c r="B179" s="3">
        <f t="shared" ca="1" si="25"/>
        <v>43271.229166666664</v>
      </c>
      <c r="C179" s="5">
        <f t="shared" ca="1" si="26"/>
        <v>43271.239145960812</v>
      </c>
      <c r="D179" s="5">
        <f t="shared" ca="1" si="27"/>
        <v>43270.776177227541</v>
      </c>
      <c r="E179" s="60">
        <f ca="1">Panchanga!$C179-TimeZone/24</f>
        <v>43271.009979294147</v>
      </c>
      <c r="F179" s="61">
        <f t="shared" ca="1" si="28"/>
        <v>64.541597563241794</v>
      </c>
      <c r="G179" s="61">
        <f t="shared" ca="1" si="29"/>
        <v>148.9464205147232</v>
      </c>
      <c r="H179" s="62">
        <f t="shared" ca="1" si="30"/>
        <v>43271.009979294147</v>
      </c>
      <c r="I179" s="2" t="str">
        <f ca="1">naks(Panchanga!$G179)</f>
        <v>Uttara Phalguni</v>
      </c>
      <c r="J179" s="5">
        <f ca="1">(C180-Panchanga!$C179)/(G180-Panchanga!$G179)*(13.3333333333333-MOD(Panchanga!$G179,13.333333333333))+Panchanga!$C179</f>
        <v>43272.05639055268</v>
      </c>
      <c r="K179" s="2" t="str">
        <f ca="1">IF(Panchanga!$P179&gt;15,"K","S")&amp;ROUNDUP(MOD(Panchanga!$P179,15),0)&amp;" ("&amp;ROUND(Panchanga!$P179,2)&amp;")"</f>
        <v>S8 (7.03)</v>
      </c>
      <c r="L179" s="2">
        <f ca="1">IF(AND(Panchanga!$P179&lt;28.5,Panchanga!$P179&gt;0.49999),MOD((Panchanga!$P179-0.5)*2,7),MOD((Panchanga!$P179+30-28.5),30)*2+7)</f>
        <v>6.0675999999999988</v>
      </c>
      <c r="M179" s="2" t="str">
        <f ca="1">CHOOSE(ROUNDUP(Panchanga!$L179,0),"Bhava","Baalava","Kaulava","Taitula","Garija","Vanija","Vishti","Shakuni","Chatushapda","Naaga","Kimstugna")</f>
        <v>Vishti</v>
      </c>
      <c r="N179" s="25" t="str">
        <f ca="1">CHOOSE(ROUNDUP(Panchanga!$Q179,0),"Vishkambha-विष्कम्भ-Sa","Priti-प्रीति-Me","Ayushman-आयुष्मान-Ke","Saubhagya-सौभाग्य-Ve","Shobhana-शोभन-Su","Atiganda-अतिगण्ड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("&amp;Panchanga!$Q179&amp;")"</f>
        <v>Vyatipata-व्यतिपात-Ra (16.02)</v>
      </c>
      <c r="O179" s="2">
        <f ca="1">IF(AND(Panchanga!$P179&lt;28.5,Panchanga!$P179&gt;0.49999),MOD((Panchanga!$P179-0.5)*2,7),MOD((Panchanga!$P179+30-28.5),30)*2+7)</f>
        <v>6.0675999999999988</v>
      </c>
      <c r="P179" s="2">
        <f ca="1">ROUNDUP(MOD(360+Panchanga!$G179-Panchanga!$F179,360)/12,4)</f>
        <v>7.0337999999999994</v>
      </c>
      <c r="Q179" s="2">
        <f t="shared" ca="1" si="31"/>
        <v>16.020000000000003</v>
      </c>
      <c r="R179" s="2" t="str">
        <f ca="1">SIGN(S180-Panchanga!$S179)*INT(Panchanga!$S179/30+1)&amp;"Ma,"&amp;SIGN(T180-Panchanga!$T179)*INT(Panchanga!$T179/30+1)&amp;"Me,"&amp;SIGN(U180-Panchanga!$U179)*INT(Panchanga!$U179/30+1)&amp;"Ju,"&amp;SIGN(V180-Panchanga!$V179)*INT(Panchanga!$V179/30+1)&amp;"Ve,"&amp;SIGN(W180-Panchanga!$W179)*INT(Panchanga!$W179/30+1)&amp;"Sa,"&amp;INT(Panchanga!$X179/30+1)&amp;"Ra"</f>
        <v>10Ma,3Me,-7Ju,4Ve,-9Sa,4Ra</v>
      </c>
      <c r="S179" s="2">
        <f ca="1">Planet(Panchanga!$E179,4)</f>
        <v>284.81723606953045</v>
      </c>
      <c r="T179" s="2">
        <f ca="1">Planet(Panchanga!$E179,2)</f>
        <v>80.238890469037699</v>
      </c>
      <c r="U179" s="2">
        <f ca="1">Planet(Panchanga!$E179,5)</f>
        <v>199.87251830652752</v>
      </c>
      <c r="V179" s="2">
        <f ca="1">Planet(Panchanga!$E179,3)</f>
        <v>102.98167171503043</v>
      </c>
      <c r="W179" s="2">
        <f ca="1">Planet(Panchanga!$E179,6)</f>
        <v>252.2972946623828</v>
      </c>
      <c r="X179" s="2">
        <f ca="1">Planet(Panchanga!$E179,10)</f>
        <v>103.78226674605989</v>
      </c>
      <c r="Y179" s="2">
        <f ca="1">SIGN(S180-Panchanga!$S179)</f>
        <v>1</v>
      </c>
    </row>
    <row r="180" spans="1:25" x14ac:dyDescent="0.2">
      <c r="A180" s="3">
        <f t="shared" ca="1" si="32"/>
        <v>43272</v>
      </c>
      <c r="B180" s="3">
        <f t="shared" ca="1" si="25"/>
        <v>43272.229166666664</v>
      </c>
      <c r="C180" s="5">
        <f t="shared" ca="1" si="26"/>
        <v>43272.239292349819</v>
      </c>
      <c r="D180" s="5">
        <f t="shared" ca="1" si="27"/>
        <v>43271.776336491152</v>
      </c>
      <c r="E180" s="60">
        <f ca="1">Panchanga!$C180-TimeZone/24</f>
        <v>43272.010125683155</v>
      </c>
      <c r="F180" s="61">
        <f t="shared" ca="1" si="28"/>
        <v>65.496107496392966</v>
      </c>
      <c r="G180" s="61">
        <f t="shared" ca="1" si="29"/>
        <v>162.47382432727929</v>
      </c>
      <c r="H180" s="62">
        <f t="shared" ca="1" si="30"/>
        <v>43272.010125683155</v>
      </c>
      <c r="I180" s="2" t="str">
        <f ca="1">naks(Panchanga!$G180)</f>
        <v>Hasta</v>
      </c>
      <c r="J180" s="5">
        <f ca="1">(C181-Panchanga!$C180)/(G181-Panchanga!$G180)*(13.3333333333333-MOD(Panchanga!$G180,13.333333333333))+Panchanga!$C180</f>
        <v>43273.06168652005</v>
      </c>
      <c r="K180" s="2" t="str">
        <f ca="1">IF(Panchanga!$P180&gt;15,"K","S")&amp;ROUNDUP(MOD(Panchanga!$P180,15),0)&amp;" ("&amp;ROUND(Panchanga!$P180,2)&amp;")"</f>
        <v>S9 (8.08)</v>
      </c>
      <c r="L180" s="2">
        <f ca="1">IF(AND(Panchanga!$P180&lt;28.5,Panchanga!$P180&gt;0.49999),MOD((Panchanga!$P180-0.5)*2,7),MOD((Panchanga!$P180+30-28.5),30)*2+7)</f>
        <v>1.1630000000000003</v>
      </c>
      <c r="M180" s="2" t="str">
        <f ca="1">CHOOSE(ROUNDUP(Panchanga!$L180,0),"Bhava","Baalava","Kaulava","Taitula","Garija","Vanija","Vishti","Shakuni","Chatushapda","Naaga","Kimstugna")</f>
        <v>Baalava</v>
      </c>
      <c r="N180" s="25" t="str">
        <f ca="1">CHOOSE(ROUNDUP(Panchanga!$Q180,0),"Vishkambha-विष्कम्भ-Sa","Priti-प्रीति-Me","Ayushman-आयुष्मान-Ke","Saubhagya-सौभाग्य-Ve","Shobhana-शोभन-Su","Atiganda-अतिगण्ड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("&amp;Panchanga!$Q180&amp;")"</f>
        <v>Varigha-वरीयस्-Ju (17.1)</v>
      </c>
      <c r="O180" s="2">
        <f ca="1">IF(AND(Panchanga!$P180&lt;28.5,Panchanga!$P180&gt;0.49999),MOD((Panchanga!$P180-0.5)*2,7),MOD((Panchanga!$P180+30-28.5),30)*2+7)</f>
        <v>1.1630000000000003</v>
      </c>
      <c r="P180" s="2">
        <f ca="1">ROUNDUP(MOD(360+Panchanga!$G180-Panchanga!$F180,360)/12,4)</f>
        <v>8.0815000000000001</v>
      </c>
      <c r="Q180" s="2">
        <f t="shared" ca="1" si="31"/>
        <v>17.100000000000001</v>
      </c>
      <c r="R180" s="2" t="str">
        <f ca="1">SIGN(S181-Panchanga!$S180)*INT(Panchanga!$S180/30+1)&amp;"Ma,"&amp;SIGN(T181-Panchanga!$T180)*INT(Panchanga!$T180/30+1)&amp;"Me,"&amp;SIGN(U181-Panchanga!$U180)*INT(Panchanga!$U180/30+1)&amp;"Ju,"&amp;SIGN(V181-Panchanga!$V180)*INT(Panchanga!$V180/30+1)&amp;"Ve,"&amp;SIGN(W181-Panchanga!$W180)*INT(Panchanga!$W180/30+1)&amp;"Sa,"&amp;INT(Panchanga!$X180/30+1)&amp;"Ra"</f>
        <v>10Ma,3Me,-7Ju,4Ve,-9Sa,4Ra</v>
      </c>
      <c r="S180" s="2">
        <f ca="1">Planet(Panchanga!$E180,4)</f>
        <v>284.89485603913755</v>
      </c>
      <c r="T180" s="2">
        <f ca="1">Planet(Panchanga!$E180,2)</f>
        <v>82.095046383585697</v>
      </c>
      <c r="U180" s="2">
        <f ca="1">Planet(Panchanga!$E180,5)</f>
        <v>199.81297768920035</v>
      </c>
      <c r="V180" s="2">
        <f ca="1">Planet(Panchanga!$E180,3)</f>
        <v>104.13950893249284</v>
      </c>
      <c r="W180" s="2">
        <f ca="1">Planet(Panchanga!$E180,6)</f>
        <v>252.2244999109962</v>
      </c>
      <c r="X180" s="2">
        <f ca="1">Planet(Panchanga!$E180,10)</f>
        <v>103.72926699115844</v>
      </c>
      <c r="Y180" s="2">
        <f ca="1">SIGN(S181-Panchanga!$S180)</f>
        <v>1</v>
      </c>
    </row>
    <row r="181" spans="1:25" x14ac:dyDescent="0.2">
      <c r="A181" s="3">
        <f t="shared" ca="1" si="32"/>
        <v>43273</v>
      </c>
      <c r="B181" s="3">
        <f t="shared" ca="1" si="25"/>
        <v>43273.229166666664</v>
      </c>
      <c r="C181" s="5">
        <f t="shared" ca="1" si="26"/>
        <v>43273.239443825245</v>
      </c>
      <c r="D181" s="5">
        <f t="shared" ca="1" si="27"/>
        <v>43272.776489873926</v>
      </c>
      <c r="E181" s="60">
        <f ca="1">Panchanga!$C181-TimeZone/24</f>
        <v>43273.010277158581</v>
      </c>
      <c r="F181" s="61">
        <f t="shared" ca="1" si="28"/>
        <v>66.450413850383143</v>
      </c>
      <c r="G181" s="61">
        <f t="shared" ca="1" si="29"/>
        <v>175.6805740197602</v>
      </c>
      <c r="H181" s="62">
        <f t="shared" ca="1" si="30"/>
        <v>43273.010277158581</v>
      </c>
      <c r="I181" s="2" t="str">
        <f ca="1">naks(Panchanga!$G181)</f>
        <v>Chitra</v>
      </c>
      <c r="J181" s="5">
        <f ca="1">(C182-Panchanga!$C181)/(G182-Panchanga!$G181)*(13.3333333333333-MOD(Panchanga!$G181,13.333333333333))+Panchanga!$C181</f>
        <v>43274.089925348089</v>
      </c>
      <c r="K181" s="2" t="str">
        <f ca="1">IF(Panchanga!$P181&gt;15,"K","S")&amp;ROUNDUP(MOD(Panchanga!$P181,15),0)&amp;" ("&amp;ROUND(Panchanga!$P181,2)&amp;")"</f>
        <v>S10 (9.1)</v>
      </c>
      <c r="L181" s="2">
        <f ca="1">IF(AND(Panchanga!$P181&lt;28.5,Panchanga!$P181&gt;0.49999),MOD((Panchanga!$P181-0.5)*2,7),MOD((Panchanga!$P181+30-28.5),30)*2+7)</f>
        <v>3.2051999999999978</v>
      </c>
      <c r="M181" s="2" t="str">
        <f ca="1">CHOOSE(ROUNDUP(Panchanga!$L181,0),"Bhava","Baalava","Kaulava","Taitula","Garija","Vanija","Vishti","Shakuni","Chatushapda","Naaga","Kimstugna")</f>
        <v>Taitula</v>
      </c>
      <c r="N181" s="25" t="str">
        <f ca="1">CHOOSE(ROUNDUP(Panchanga!$Q181,0),"Vishkambha-विष्कम्भ-Sa","Priti-प्रीति-Me","Ayushman-आयुष्मान-Ke","Saubhagya-सौभाग्य-Ve","Shobhana-शोभन-Su","Atiganda-अतिगण्ड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("&amp;Panchanga!$Q181&amp;")"</f>
        <v>Parigha-परिघ-Sa (18.16)</v>
      </c>
      <c r="O181" s="2">
        <f ca="1">IF(AND(Panchanga!$P181&lt;28.5,Panchanga!$P181&gt;0.49999),MOD((Panchanga!$P181-0.5)*2,7),MOD((Panchanga!$P181+30-28.5),30)*2+7)</f>
        <v>3.2051999999999978</v>
      </c>
      <c r="P181" s="2">
        <f ca="1">ROUNDUP(MOD(360+Panchanga!$G181-Panchanga!$F181,360)/12,4)</f>
        <v>9.1025999999999989</v>
      </c>
      <c r="Q181" s="2">
        <f t="shared" ca="1" si="31"/>
        <v>18.16</v>
      </c>
      <c r="R181" s="2" t="str">
        <f ca="1">SIGN(S182-Panchanga!$S181)*INT(Panchanga!$S181/30+1)&amp;"Ma,"&amp;SIGN(T182-Panchanga!$T181)*INT(Panchanga!$T181/30+1)&amp;"Me,"&amp;SIGN(U182-Panchanga!$U181)*INT(Panchanga!$U181/30+1)&amp;"Ju,"&amp;SIGN(V182-Panchanga!$V181)*INT(Panchanga!$V181/30+1)&amp;"Ve,"&amp;SIGN(W182-Panchanga!$W181)*INT(Panchanga!$W181/30+1)&amp;"Sa,"&amp;INT(Panchanga!$X181/30+1)&amp;"Ra"</f>
        <v>10Ma,3Me,-7Ju,4Ve,-9Sa,4Ra</v>
      </c>
      <c r="S181" s="2">
        <f ca="1">Planet(Panchanga!$E181,4)</f>
        <v>284.96052858242842</v>
      </c>
      <c r="T181" s="2">
        <f ca="1">Planet(Panchanga!$E181,2)</f>
        <v>83.913621743311182</v>
      </c>
      <c r="U181" s="2">
        <f ca="1">Planet(Panchanga!$E181,5)</f>
        <v>199.75623596585714</v>
      </c>
      <c r="V181" s="2">
        <f ca="1">Planet(Panchanga!$E181,3)</f>
        <v>105.29568684774077</v>
      </c>
      <c r="W181" s="2">
        <f ca="1">Planet(Panchanga!$E181,6)</f>
        <v>252.15146959838378</v>
      </c>
      <c r="X181" s="2">
        <f ca="1">Planet(Panchanga!$E181,10)</f>
        <v>103.67626696673499</v>
      </c>
      <c r="Y181" s="2">
        <f ca="1">SIGN(S182-Panchanga!$S181)</f>
        <v>1</v>
      </c>
    </row>
    <row r="182" spans="1:25" x14ac:dyDescent="0.2">
      <c r="A182" s="3">
        <f t="shared" ca="1" si="32"/>
        <v>43274</v>
      </c>
      <c r="B182" s="3">
        <f t="shared" ca="1" si="25"/>
        <v>43274.229166666664</v>
      </c>
      <c r="C182" s="5">
        <f t="shared" ca="1" si="26"/>
        <v>43274.239600227833</v>
      </c>
      <c r="D182" s="5">
        <f t="shared" ca="1" si="27"/>
        <v>43273.776636898561</v>
      </c>
      <c r="E182" s="60">
        <f ca="1">Panchanga!$C182-TimeZone/24</f>
        <v>43274.010433561169</v>
      </c>
      <c r="F182" s="61">
        <f t="shared" ca="1" si="28"/>
        <v>67.404531241205916</v>
      </c>
      <c r="G182" s="61">
        <f t="shared" ca="1" si="29"/>
        <v>188.60009149908944</v>
      </c>
      <c r="H182" s="62">
        <f t="shared" ca="1" si="30"/>
        <v>43274.010433561169</v>
      </c>
      <c r="I182" s="2" t="str">
        <f ca="1">naks(Panchanga!$G182)</f>
        <v>Swati</v>
      </c>
      <c r="J182" s="5">
        <f ca="1">(C183-Panchanga!$C182)/(G183-Panchanga!$G182)*(13.3333333333333-MOD(Panchanga!$G182,13.333333333333))+Panchanga!$C182</f>
        <v>43275.139641601352</v>
      </c>
      <c r="K182" s="2" t="str">
        <f ca="1">IF(Panchanga!$P182&gt;15,"K","S")&amp;ROUNDUP(MOD(Panchanga!$P182,15),0)&amp;" ("&amp;ROUND(Panchanga!$P182,2)&amp;")"</f>
        <v>S11 (10.1)</v>
      </c>
      <c r="L182" s="2">
        <f ca="1">IF(AND(Panchanga!$P182&lt;28.5,Panchanga!$P182&gt;0.49999),MOD((Panchanga!$P182-0.5)*2,7),MOD((Panchanga!$P182+30-28.5),30)*2+7)</f>
        <v>5.1994000000000007</v>
      </c>
      <c r="M182" s="2" t="str">
        <f ca="1">CHOOSE(ROUNDUP(Panchanga!$L182,0),"Bhava","Baalava","Kaulava","Taitula","Garija","Vanija","Vishti","Shakuni","Chatushapda","Naaga","Kimstugna")</f>
        <v>Vanija</v>
      </c>
      <c r="N182" s="25" t="str">
        <f ca="1">CHOOSE(ROUNDUP(Panchanga!$Q182,0),"Vishkambha-विष्कम्भ-Sa","Priti-प्रीति-Me","Ayushman-आयुष्मान-Ke","Saubhagya-सौभाग्य-Ve","Shobhana-शोभन-Su","Atiganda-अतिगण्ड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("&amp;Panchanga!$Q182&amp;")"</f>
        <v>Shiva-शिव-Me (19.21)</v>
      </c>
      <c r="O182" s="2">
        <f ca="1">IF(AND(Panchanga!$P182&lt;28.5,Panchanga!$P182&gt;0.49999),MOD((Panchanga!$P182-0.5)*2,7),MOD((Panchanga!$P182+30-28.5),30)*2+7)</f>
        <v>5.1994000000000007</v>
      </c>
      <c r="P182" s="2">
        <f ca="1">ROUNDUP(MOD(360+Panchanga!$G182-Panchanga!$F182,360)/12,4)</f>
        <v>10.0997</v>
      </c>
      <c r="Q182" s="2">
        <f t="shared" ca="1" si="31"/>
        <v>19.21</v>
      </c>
      <c r="R182" s="2" t="str">
        <f ca="1">SIGN(S183-Panchanga!$S182)*INT(Panchanga!$S182/30+1)&amp;"Ma,"&amp;SIGN(T183-Panchanga!$T182)*INT(Panchanga!$T182/30+1)&amp;"Me,"&amp;SIGN(U183-Panchanga!$U182)*INT(Panchanga!$U182/30+1)&amp;"Ju,"&amp;SIGN(V183-Panchanga!$V182)*INT(Panchanga!$V182/30+1)&amp;"Ve,"&amp;SIGN(W183-Panchanga!$W182)*INT(Panchanga!$W182/30+1)&amp;"Sa,"&amp;INT(Panchanga!$X182/30+1)&amp;"Ra"</f>
        <v>10Ma,3Me,-7Ju,4Ve,-9Sa,4Ra</v>
      </c>
      <c r="S182" s="2">
        <f ca="1">Planet(Panchanga!$E182,4)</f>
        <v>285.01415168075368</v>
      </c>
      <c r="T182" s="2">
        <f ca="1">Planet(Panchanga!$E182,2)</f>
        <v>85.694277082713356</v>
      </c>
      <c r="U182" s="2">
        <f ca="1">Planet(Panchanga!$E182,5)</f>
        <v>199.70231631561978</v>
      </c>
      <c r="V182" s="2">
        <f ca="1">Planet(Panchanga!$E182,3)</f>
        <v>106.45016793863523</v>
      </c>
      <c r="W182" s="2">
        <f ca="1">Planet(Panchanga!$E182,6)</f>
        <v>252.07824019178318</v>
      </c>
      <c r="X182" s="2">
        <f ca="1">Planet(Panchanga!$E182,10)</f>
        <v>103.6232666811899</v>
      </c>
      <c r="Y182" s="2">
        <f ca="1">SIGN(S183-Panchanga!$S182)</f>
        <v>1</v>
      </c>
    </row>
    <row r="183" spans="1:25" x14ac:dyDescent="0.2">
      <c r="A183" s="3">
        <f t="shared" ca="1" si="32"/>
        <v>43275</v>
      </c>
      <c r="B183" s="3">
        <f t="shared" ca="1" si="25"/>
        <v>43275.229166666664</v>
      </c>
      <c r="C183" s="5">
        <f t="shared" ca="1" si="26"/>
        <v>43275.239761240002</v>
      </c>
      <c r="D183" s="5">
        <f t="shared" ca="1" si="27"/>
        <v>43274.776777406732</v>
      </c>
      <c r="E183" s="60">
        <f ca="1">Panchanga!$C183-TimeZone/24</f>
        <v>43275.010594573338</v>
      </c>
      <c r="F183" s="61">
        <f t="shared" ca="1" si="28"/>
        <v>68.3584766995682</v>
      </c>
      <c r="G183" s="61">
        <f t="shared" ca="1" si="29"/>
        <v>201.26811361489891</v>
      </c>
      <c r="H183" s="62">
        <f t="shared" ca="1" si="30"/>
        <v>43275.010594573338</v>
      </c>
      <c r="I183" s="2" t="str">
        <f ca="1">naks(Panchanga!$G183)</f>
        <v>Visakha</v>
      </c>
      <c r="J183" s="5">
        <f ca="1">(C184-Panchanga!$C183)/(G184-Panchanga!$G183)*(13.3333333333333-MOD(Panchanga!$G183,13.333333333333))+Panchanga!$C183</f>
        <v>43276.208964063655</v>
      </c>
      <c r="K183" s="2" t="str">
        <f ca="1">IF(Panchanga!$P183&gt;15,"K","S")&amp;ROUNDUP(MOD(Panchanga!$P183,15),0)&amp;" ("&amp;ROUND(Panchanga!$P183,2)&amp;")"</f>
        <v>S12 (11.08)</v>
      </c>
      <c r="L183" s="2">
        <f ca="1">IF(AND(Panchanga!$P183&lt;28.5,Panchanga!$P183&gt;0.49999),MOD((Panchanga!$P183-0.5)*2,7),MOD((Panchanga!$P183+30-28.5),30)*2+7)</f>
        <v>0.15179999999999794</v>
      </c>
      <c r="M183" s="2" t="str">
        <f ca="1">CHOOSE(ROUNDUP(Panchanga!$L183,0),"Bhava","Baalava","Kaulava","Taitula","Garija","Vanija","Vishti","Shakuni","Chatushapda","Naaga","Kimstugna")</f>
        <v>Bhava</v>
      </c>
      <c r="N183" s="25" t="str">
        <f ca="1">CHOOSE(ROUNDUP(Panchanga!$Q183,0),"Vishkambha-विष्कम्भ-Sa","Priti-प्रीति-Me","Ayushman-आयुष्मान-Ke","Saubhagya-सौभाग्य-Ve","Shobhana-शोभन-Su","Atiganda-अतिगण्ड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("&amp;Panchanga!$Q183&amp;")"</f>
        <v>Siddha-सिद्ध-Ke (20.23)</v>
      </c>
      <c r="O183" s="2">
        <f ca="1">IF(AND(Panchanga!$P183&lt;28.5,Panchanga!$P183&gt;0.49999),MOD((Panchanga!$P183-0.5)*2,7),MOD((Panchanga!$P183+30-28.5),30)*2+7)</f>
        <v>0.15179999999999794</v>
      </c>
      <c r="P183" s="2">
        <f ca="1">ROUNDUP(MOD(360+Panchanga!$G183-Panchanga!$F183,360)/12,4)</f>
        <v>11.075899999999999</v>
      </c>
      <c r="Q183" s="2">
        <f t="shared" ca="1" si="31"/>
        <v>20.23</v>
      </c>
      <c r="R183" s="2" t="str">
        <f ca="1">SIGN(S184-Panchanga!$S183)*INT(Panchanga!$S183/30+1)&amp;"Ma,"&amp;SIGN(T184-Panchanga!$T183)*INT(Panchanga!$T183/30+1)&amp;"Me,"&amp;SIGN(U184-Panchanga!$U183)*INT(Panchanga!$U183/30+1)&amp;"Ju,"&amp;SIGN(V184-Panchanga!$V183)*INT(Panchanga!$V183/30+1)&amp;"Ve,"&amp;SIGN(W184-Panchanga!$W183)*INT(Panchanga!$W183/30+1)&amp;"Sa,"&amp;INT(Panchanga!$X183/30+1)&amp;"Ra"</f>
        <v>10Ma,3Me,-7Ju,4Ve,-9Sa,4Ra</v>
      </c>
      <c r="S183" s="2">
        <f ca="1">Planet(Panchanga!$E183,4)</f>
        <v>285.0556270048944</v>
      </c>
      <c r="T183" s="2">
        <f ca="1">Planet(Panchanga!$E183,2)</f>
        <v>87.436768076153456</v>
      </c>
      <c r="U183" s="2">
        <f ca="1">Planet(Panchanga!$E183,5)</f>
        <v>199.65124002438134</v>
      </c>
      <c r="V183" s="2">
        <f ca="1">Planet(Panchanga!$E183,3)</f>
        <v>107.60291632036078</v>
      </c>
      <c r="W183" s="2">
        <f ca="1">Planet(Panchanga!$E183,6)</f>
        <v>252.00484783879696</v>
      </c>
      <c r="X183" s="2">
        <f ca="1">Planet(Panchanga!$E183,10)</f>
        <v>103.57026615135709</v>
      </c>
      <c r="Y183" s="2">
        <f ca="1">SIGN(S184-Panchanga!$S183)</f>
        <v>1</v>
      </c>
    </row>
    <row r="184" spans="1:25" x14ac:dyDescent="0.2">
      <c r="A184" s="3">
        <f t="shared" ca="1" si="32"/>
        <v>43276</v>
      </c>
      <c r="B184" s="3">
        <f t="shared" ca="1" si="25"/>
        <v>43276.229166666664</v>
      </c>
      <c r="C184" s="5">
        <f t="shared" ca="1" si="26"/>
        <v>43276.23992654324</v>
      </c>
      <c r="D184" s="5">
        <f t="shared" ca="1" si="27"/>
        <v>43275.776911079927</v>
      </c>
      <c r="E184" s="60">
        <f ca="1">Panchanga!$C184-TimeZone/24</f>
        <v>43276.010759876575</v>
      </c>
      <c r="F184" s="61">
        <f t="shared" ca="1" si="28"/>
        <v>69.312269290429469</v>
      </c>
      <c r="G184" s="61">
        <f t="shared" ca="1" si="29"/>
        <v>213.71877290293838</v>
      </c>
      <c r="H184" s="62">
        <f t="shared" ca="1" si="30"/>
        <v>43276.010759876575</v>
      </c>
      <c r="I184" s="2" t="str">
        <f ca="1">naks(Panchanga!$G184)</f>
        <v>Anuradha</v>
      </c>
      <c r="J184" s="5">
        <f ca="1">(C185-Panchanga!$C184)/(G185-Panchanga!$G184)*(13.3333333333333-MOD(Panchanga!$G184,13.333333333333))+Panchanga!$C184</f>
        <v>43277.295823863176</v>
      </c>
      <c r="K184" s="2" t="str">
        <f ca="1">IF(Panchanga!$P184&gt;15,"K","S")&amp;ROUNDUP(MOD(Panchanga!$P184,15),0)&amp;" ("&amp;ROUND(Panchanga!$P184,2)&amp;")"</f>
        <v>S13 (12.03)</v>
      </c>
      <c r="L184" s="2">
        <f ca="1">IF(AND(Panchanga!$P184&lt;28.5,Panchanga!$P184&gt;0.49999),MOD((Panchanga!$P184-0.5)*2,7),MOD((Panchanga!$P184+30-28.5),30)*2+7)</f>
        <v>2.0677999999999983</v>
      </c>
      <c r="M184" s="2" t="str">
        <f ca="1">CHOOSE(ROUNDUP(Panchanga!$L184,0),"Bhava","Baalava","Kaulava","Taitula","Garija","Vanija","Vishti","Shakuni","Chatushapda","Naaga","Kimstugna")</f>
        <v>Kaulava</v>
      </c>
      <c r="N184" s="25" t="str">
        <f ca="1">CHOOSE(ROUNDUP(Panchanga!$Q184,0),"Vishkambha-विष्कम्भ-Sa","Priti-प्रीति-Me","Ayushman-आयुष्मान-Ke","Saubhagya-सौभाग्य-Ve","Shobhana-शोभन-Su","Atiganda-अतिगण्ड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("&amp;Panchanga!$Q184&amp;")"</f>
        <v>Sadhya-साध्य-Ve (21.23)</v>
      </c>
      <c r="O184" s="2">
        <f ca="1">IF(AND(Panchanga!$P184&lt;28.5,Panchanga!$P184&gt;0.49999),MOD((Panchanga!$P184-0.5)*2,7),MOD((Panchanga!$P184+30-28.5),30)*2+7)</f>
        <v>2.0677999999999983</v>
      </c>
      <c r="P184" s="2">
        <f ca="1">ROUNDUP(MOD(360+Panchanga!$G184-Panchanga!$F184,360)/12,4)</f>
        <v>12.033899999999999</v>
      </c>
      <c r="Q184" s="2">
        <f t="shared" ca="1" si="31"/>
        <v>21.23</v>
      </c>
      <c r="R184" s="2" t="str">
        <f ca="1">SIGN(S185-Panchanga!$S184)*INT(Panchanga!$S184/30+1)&amp;"Ma,"&amp;SIGN(T185-Panchanga!$T184)*INT(Panchanga!$T184/30+1)&amp;"Me,"&amp;SIGN(U185-Panchanga!$U184)*INT(Panchanga!$U184/30+1)&amp;"Ju,"&amp;SIGN(V185-Panchanga!$V184)*INT(Panchanga!$V184/30+1)&amp;"Ve,"&amp;SIGN(W185-Panchanga!$W184)*INT(Panchanga!$W184/30+1)&amp;"Sa,"&amp;INT(Panchanga!$X184/30+1)&amp;"Ra"</f>
        <v>10Ma,3Me,-7Ju,4Ve,-9Sa,4Ra</v>
      </c>
      <c r="S184" s="2">
        <f ca="1">Planet(Panchanga!$E184,4)</f>
        <v>285.08486139634698</v>
      </c>
      <c r="T184" s="2">
        <f ca="1">Planet(Panchanga!$E184,2)</f>
        <v>89.140912430096307</v>
      </c>
      <c r="U184" s="2">
        <f ca="1">Planet(Panchanga!$E184,5)</f>
        <v>199.60302667399563</v>
      </c>
      <c r="V184" s="2">
        <f ca="1">Planet(Panchanga!$E184,3)</f>
        <v>108.75389769065362</v>
      </c>
      <c r="W184" s="2">
        <f ca="1">Planet(Panchanga!$E184,6)</f>
        <v>251.93132841167255</v>
      </c>
      <c r="X184" s="2">
        <f ca="1">Planet(Panchanga!$E184,10)</f>
        <v>103.51726539416994</v>
      </c>
      <c r="Y184" s="2">
        <f ca="1">SIGN(S185-Panchanga!$S184)</f>
        <v>1</v>
      </c>
    </row>
    <row r="185" spans="1:25" x14ac:dyDescent="0.2">
      <c r="A185" s="3">
        <f t="shared" ca="1" si="32"/>
        <v>43277</v>
      </c>
      <c r="B185" s="3">
        <f t="shared" ca="1" si="25"/>
        <v>43277.229166666664</v>
      </c>
      <c r="C185" s="5">
        <f t="shared" ca="1" si="26"/>
        <v>43277.240095979687</v>
      </c>
      <c r="D185" s="5">
        <f t="shared" ca="1" si="27"/>
        <v>43276.777037759821</v>
      </c>
      <c r="E185" s="60">
        <f ca="1">Panchanga!$C185-TimeZone/24</f>
        <v>43277.010929313023</v>
      </c>
      <c r="F185" s="61">
        <f t="shared" ca="1" si="28"/>
        <v>70.265929824834856</v>
      </c>
      <c r="G185" s="61">
        <f t="shared" ca="1" si="29"/>
        <v>225.98330598233534</v>
      </c>
      <c r="H185" s="62">
        <f t="shared" ca="1" si="30"/>
        <v>43277.010929313023</v>
      </c>
      <c r="I185" s="2" t="str">
        <f ca="1">naks(Panchanga!$G185)</f>
        <v>Anuradha</v>
      </c>
      <c r="J185" s="5">
        <f ca="1">(C186-Panchanga!$C185)/(G186-Panchanga!$G185)*(13.3333333333333-MOD(Panchanga!$G185,13.333333333333))+Panchanga!$C185</f>
        <v>43277.2965476104</v>
      </c>
      <c r="K185" s="2" t="str">
        <f ca="1">IF(Panchanga!$P185&gt;15,"K","S")&amp;ROUNDUP(MOD(Panchanga!$P185,15),0)&amp;" ("&amp;ROUND(Panchanga!$P185,2)&amp;")"</f>
        <v>S13 (12.98)</v>
      </c>
      <c r="L185" s="2">
        <f ca="1">IF(AND(Panchanga!$P185&lt;28.5,Panchanga!$P185&gt;0.49999),MOD((Panchanga!$P185-0.5)*2,7),MOD((Panchanga!$P185+30-28.5),30)*2+7)</f>
        <v>3.9529999999999994</v>
      </c>
      <c r="M185" s="2" t="str">
        <f ca="1">CHOOSE(ROUNDUP(Panchanga!$L185,0),"Bhava","Baalava","Kaulava","Taitula","Garija","Vanija","Vishti","Shakuni","Chatushapda","Naaga","Kimstugna")</f>
        <v>Taitula</v>
      </c>
      <c r="N185" s="25" t="str">
        <f ca="1">CHOOSE(ROUNDUP(Panchanga!$Q185,0),"Vishkambha-विष्कम्भ-Sa","Priti-प्रीति-Me","Ayushman-आयुष्मान-Ke","Saubhagya-सौभाग्य-Ve","Shobhana-शोभन-Su","Atiganda-अतिगण्ड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("&amp;Panchanga!$Q185&amp;")"</f>
        <v>Shubha-शुभ-Su (22.22)</v>
      </c>
      <c r="O185" s="2">
        <f ca="1">IF(AND(Panchanga!$P185&lt;28.5,Panchanga!$P185&gt;0.49999),MOD((Panchanga!$P185-0.5)*2,7),MOD((Panchanga!$P185+30-28.5),30)*2+7)</f>
        <v>3.9529999999999994</v>
      </c>
      <c r="P185" s="2">
        <f ca="1">ROUNDUP(MOD(360+Panchanga!$G185-Panchanga!$F185,360)/12,4)</f>
        <v>12.9765</v>
      </c>
      <c r="Q185" s="2">
        <f t="shared" ca="1" si="31"/>
        <v>22.220000000000002</v>
      </c>
      <c r="R185" s="2" t="str">
        <f ca="1">SIGN(S186-Panchanga!$S185)*INT(Panchanga!$S185/30+1)&amp;"Ma,"&amp;SIGN(T186-Panchanga!$T185)*INT(Panchanga!$T185/30+1)&amp;"Me,"&amp;SIGN(U186-Panchanga!$U185)*INT(Panchanga!$U185/30+1)&amp;"Ju,"&amp;SIGN(V186-Panchanga!$V185)*INT(Panchanga!$V185/30+1)&amp;"Ve,"&amp;SIGN(W186-Panchanga!$W185)*INT(Panchanga!$W185/30+1)&amp;"Sa,"&amp;INT(Panchanga!$X185/30+1)&amp;"Ra"</f>
        <v>10Ma,4Me,-7Ju,4Ve,-9Sa,4Ra</v>
      </c>
      <c r="S185" s="2">
        <f ca="1">Planet(Panchanga!$E185,4)</f>
        <v>285.10176840897731</v>
      </c>
      <c r="T185" s="2">
        <f ca="1">Planet(Panchanga!$E185,2)</f>
        <v>90.806560926321637</v>
      </c>
      <c r="U185" s="2">
        <f ca="1">Planet(Panchanga!$E185,5)</f>
        <v>199.55769431031405</v>
      </c>
      <c r="V185" s="2">
        <f ca="1">Planet(Panchanga!$E185,3)</f>
        <v>109.90307933123529</v>
      </c>
      <c r="W185" s="2">
        <f ca="1">Planet(Panchanga!$E185,6)</f>
        <v>251.85771755164626</v>
      </c>
      <c r="X185" s="2">
        <f ca="1">Planet(Panchanga!$E185,10)</f>
        <v>103.4642644179458</v>
      </c>
      <c r="Y185" s="2">
        <f ca="1">SIGN(S186-Panchanga!$S185)</f>
        <v>1</v>
      </c>
    </row>
    <row r="186" spans="1:25" x14ac:dyDescent="0.2">
      <c r="A186" s="3">
        <f t="shared" ca="1" si="32"/>
        <v>43278</v>
      </c>
      <c r="B186" s="3">
        <f t="shared" ca="1" si="25"/>
        <v>43278.229166666664</v>
      </c>
      <c r="C186" s="5">
        <f t="shared" ca="1" si="26"/>
        <v>43278.240269389156</v>
      </c>
      <c r="D186" s="5">
        <f t="shared" ca="1" si="27"/>
        <v>43277.777157287157</v>
      </c>
      <c r="E186" s="60">
        <f ca="1">Panchanga!$C186-TimeZone/24</f>
        <v>43278.011102722492</v>
      </c>
      <c r="F186" s="61">
        <f t="shared" ca="1" si="28"/>
        <v>71.219480246349917</v>
      </c>
      <c r="G186" s="61">
        <f t="shared" ca="1" si="29"/>
        <v>238.09064773568801</v>
      </c>
      <c r="H186" s="62">
        <f t="shared" ca="1" si="30"/>
        <v>43278.011102722492</v>
      </c>
      <c r="I186" s="2" t="str">
        <f ca="1">naks(Panchanga!$G186)</f>
        <v>Jyestha</v>
      </c>
      <c r="J186" s="5">
        <f ca="1">(C187-Panchanga!$C186)/(G187-Panchanga!$G186)*(13.3333333333333-MOD(Panchanga!$G186,13.333333333333))+Panchanga!$C186</f>
        <v>43278.399696383691</v>
      </c>
      <c r="K186" s="2" t="str">
        <f ca="1">IF(Panchanga!$P186&gt;15,"K","S")&amp;ROUNDUP(MOD(Panchanga!$P186,15),0)&amp;" ("&amp;ROUND(Panchanga!$P186,2)&amp;")"</f>
        <v>S14 (13.91)</v>
      </c>
      <c r="L186" s="2">
        <f ca="1">IF(AND(Panchanga!$P186&lt;28.5,Panchanga!$P186&gt;0.49999),MOD((Panchanga!$P186-0.5)*2,7),MOD((Panchanga!$P186+30-28.5),30)*2+7)</f>
        <v>5.8120000000000012</v>
      </c>
      <c r="M186" s="2" t="str">
        <f ca="1">CHOOSE(ROUNDUP(Panchanga!$L186,0),"Bhava","Baalava","Kaulava","Taitula","Garija","Vanija","Vishti","Shakuni","Chatushapda","Naaga","Kimstugna")</f>
        <v>Vanija</v>
      </c>
      <c r="N186" s="25" t="str">
        <f ca="1">CHOOSE(ROUNDUP(Panchanga!$Q186,0),"Vishkambha-विष्कम्भ-Sa","Priti-प्रीति-Me","Ayushman-आयुष्मान-Ke","Saubhagya-सौभाग्य-Ve","Shobhana-शोभन-Su","Atiganda-अतिगण्ड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("&amp;Panchanga!$Q186&amp;")"</f>
        <v>Shukla-शुक्ल-Mo (23.2)</v>
      </c>
      <c r="O186" s="2">
        <f ca="1">IF(AND(Panchanga!$P186&lt;28.5,Panchanga!$P186&gt;0.49999),MOD((Panchanga!$P186-0.5)*2,7),MOD((Panchanga!$P186+30-28.5),30)*2+7)</f>
        <v>5.8120000000000012</v>
      </c>
      <c r="P186" s="2">
        <f ca="1">ROUNDUP(MOD(360+Panchanga!$G186-Panchanga!$F186,360)/12,4)</f>
        <v>13.906000000000001</v>
      </c>
      <c r="Q186" s="2">
        <f t="shared" ca="1" si="31"/>
        <v>23.200000000000003</v>
      </c>
      <c r="R186" s="2" t="str">
        <f ca="1">SIGN(S187-Panchanga!$S186)*INT(Panchanga!$S186/30+1)&amp;"Ma,"&amp;SIGN(T187-Panchanga!$T186)*INT(Panchanga!$T186/30+1)&amp;"Me,"&amp;SIGN(U187-Panchanga!$U186)*INT(Panchanga!$U186/30+1)&amp;"Ju,"&amp;SIGN(V187-Panchanga!$V186)*INT(Panchanga!$V186/30+1)&amp;"Ve,"&amp;SIGN(W187-Panchanga!$W186)*INT(Panchanga!$W186/30+1)&amp;"Sa,"&amp;INT(Panchanga!$X186/30+1)&amp;"Ra"</f>
        <v>-10Ma,4Me,-7Ju,4Ve,-9Sa,4Ra</v>
      </c>
      <c r="S186" s="2">
        <f ca="1">Planet(Panchanga!$E186,4)</f>
        <v>285.10627006910443</v>
      </c>
      <c r="T186" s="2">
        <f ca="1">Planet(Panchanga!$E186,2)</f>
        <v>92.433571781312494</v>
      </c>
      <c r="U186" s="2">
        <f ca="1">Planet(Panchanga!$E186,5)</f>
        <v>199.51525961655574</v>
      </c>
      <c r="V186" s="2">
        <f ca="1">Planet(Panchanga!$E186,3)</f>
        <v>111.05042971274401</v>
      </c>
      <c r="W186" s="2">
        <f ca="1">Planet(Panchanga!$E186,6)</f>
        <v>251.78405073497933</v>
      </c>
      <c r="X186" s="2">
        <f ca="1">Planet(Panchanga!$E186,10)</f>
        <v>103.4112632312012</v>
      </c>
      <c r="Y186" s="2">
        <f ca="1">SIGN(S187-Panchanga!$S186)</f>
        <v>-1</v>
      </c>
    </row>
    <row r="187" spans="1:25" x14ac:dyDescent="0.2">
      <c r="A187" s="3">
        <f t="shared" ca="1" si="32"/>
        <v>43279</v>
      </c>
      <c r="B187" s="3">
        <f t="shared" ca="1" si="25"/>
        <v>43279.229166666664</v>
      </c>
      <c r="C187" s="5">
        <f t="shared" ca="1" si="26"/>
        <v>43279.240446295742</v>
      </c>
      <c r="D187" s="5">
        <f t="shared" ca="1" si="27"/>
        <v>43278.77726950268</v>
      </c>
      <c r="E187" s="60">
        <f ca="1">Panchanga!$C187-TimeZone/24</f>
        <v>43279.011279629078</v>
      </c>
      <c r="F187" s="61">
        <f t="shared" ca="1" si="28"/>
        <v>72.17294283936242</v>
      </c>
      <c r="G187" s="61">
        <f t="shared" ca="1" si="29"/>
        <v>250.06910876629516</v>
      </c>
      <c r="H187" s="62">
        <f t="shared" ca="1" si="30"/>
        <v>43279.011279629078</v>
      </c>
      <c r="I187" s="2" t="str">
        <f ca="1">naks(Panchanga!$G187)</f>
        <v>Moola</v>
      </c>
      <c r="J187" s="5">
        <f ca="1">(C188-Panchanga!$C187)/(G188-Panchanga!$G187)*(13.3333333333333-MOD(Panchanga!$G187,13.333333333333))+Panchanga!$C187</f>
        <v>43279.515273687131</v>
      </c>
      <c r="K187" s="2" t="str">
        <f ca="1">IF(Panchanga!$P187&gt;15,"K","S")&amp;ROUNDUP(MOD(Panchanga!$P187,15),0)&amp;" ("&amp;ROUND(Panchanga!$P187,2)&amp;")"</f>
        <v>S15 (14.82)</v>
      </c>
      <c r="L187" s="2">
        <f ca="1">IF(AND(Panchanga!$P187&lt;28.5,Panchanga!$P187&gt;0.49999),MOD((Panchanga!$P187-0.5)*2,7),MOD((Panchanga!$P187+30-28.5),30)*2+7)</f>
        <v>0.64939999999999998</v>
      </c>
      <c r="M187" s="2" t="str">
        <f ca="1">CHOOSE(ROUNDUP(Panchanga!$L187,0),"Bhava","Baalava","Kaulava","Taitula","Garija","Vanija","Vishti","Shakuni","Chatushapda","Naaga","Kimstugna")</f>
        <v>Bhava</v>
      </c>
      <c r="N187" s="25" t="str">
        <f ca="1">CHOOSE(ROUNDUP(Panchanga!$Q187,0),"Vishkambha-विष्कम्भ-Sa","Priti-प्रीति-Me","Ayushman-आयुष्मान-Ke","Saubhagya-सौभाग्य-Ve","Shobhana-शोभन-Su","Atiganda-अतिगण्ड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("&amp;Panchanga!$Q187&amp;")"</f>
        <v>Brahma-ब्रह्म-Ma (24.17)</v>
      </c>
      <c r="O187" s="2">
        <f ca="1">IF(AND(Panchanga!$P187&lt;28.5,Panchanga!$P187&gt;0.49999),MOD((Panchanga!$P187-0.5)*2,7),MOD((Panchanga!$P187+30-28.5),30)*2+7)</f>
        <v>0.64939999999999998</v>
      </c>
      <c r="P187" s="2">
        <f ca="1">ROUNDUP(MOD(360+Panchanga!$G187-Panchanga!$F187,360)/12,4)</f>
        <v>14.8247</v>
      </c>
      <c r="Q187" s="2">
        <f t="shared" ca="1" si="31"/>
        <v>24.17</v>
      </c>
      <c r="R187" s="2" t="str">
        <f ca="1">SIGN(S188-Panchanga!$S187)*INT(Panchanga!$S187/30+1)&amp;"Ma,"&amp;SIGN(T188-Panchanga!$T187)*INT(Panchanga!$T187/30+1)&amp;"Me,"&amp;SIGN(U188-Panchanga!$U187)*INT(Panchanga!$U187/30+1)&amp;"Ju,"&amp;SIGN(V188-Panchanga!$V187)*INT(Panchanga!$V187/30+1)&amp;"Ve,"&amp;SIGN(W188-Panchanga!$W187)*INT(Panchanga!$W187/30+1)&amp;"Sa,"&amp;INT(Panchanga!$X187/30+1)&amp;"Ra"</f>
        <v>-10Ma,4Me,-7Ju,4Ve,-9Sa,4Ra</v>
      </c>
      <c r="S187" s="2">
        <f ca="1">Planet(Panchanga!$E187,4)</f>
        <v>285.09829899955406</v>
      </c>
      <c r="T187" s="2">
        <f ca="1">Planet(Panchanga!$E187,2)</f>
        <v>94.021788287565727</v>
      </c>
      <c r="U187" s="2">
        <f ca="1">Planet(Panchanga!$E187,5)</f>
        <v>199.47573807447489</v>
      </c>
      <c r="V187" s="2">
        <f ca="1">Planet(Panchanga!$E187,3)</f>
        <v>112.19591786049189</v>
      </c>
      <c r="W187" s="2">
        <f ca="1">Planet(Panchanga!$E187,6)</f>
        <v>251.71036335958863</v>
      </c>
      <c r="X187" s="2">
        <f ca="1">Planet(Panchanga!$E187,10)</f>
        <v>103.35826185913719</v>
      </c>
      <c r="Y187" s="2">
        <f ca="1">SIGN(S188-Panchanga!$S187)</f>
        <v>-1</v>
      </c>
    </row>
    <row r="188" spans="1:25" x14ac:dyDescent="0.2">
      <c r="A188" s="3">
        <f t="shared" ca="1" si="32"/>
        <v>43280</v>
      </c>
      <c r="B188" s="3">
        <f t="shared" ca="1" si="25"/>
        <v>43280.229166666664</v>
      </c>
      <c r="C188" s="5">
        <f t="shared" ca="1" si="26"/>
        <v>43280.240626540188</v>
      </c>
      <c r="D188" s="5">
        <f t="shared" ca="1" si="27"/>
        <v>43279.777373930017</v>
      </c>
      <c r="E188" s="60">
        <f ca="1">Panchanga!$C188-TimeZone/24</f>
        <v>43280.011459873524</v>
      </c>
      <c r="F188" s="61">
        <f t="shared" ca="1" si="28"/>
        <v>73.126340337723335</v>
      </c>
      <c r="G188" s="61">
        <f t="shared" ca="1" si="29"/>
        <v>261.94861214793792</v>
      </c>
      <c r="H188" s="62">
        <f t="shared" ca="1" si="30"/>
        <v>43280.011459873524</v>
      </c>
      <c r="I188" s="2" t="str">
        <f ca="1">naks(Panchanga!$G188)</f>
        <v>Purva Asadha</v>
      </c>
      <c r="J188" s="5">
        <f ca="1">(C189-Panchanga!$C188)/(G189-Panchanga!$G188)*(13.3333333333333-MOD(Panchanga!$G188,13.333333333333))+Panchanga!$C188</f>
        <v>43280.640043838015</v>
      </c>
      <c r="K188" s="2" t="str">
        <f ca="1">IF(Panchanga!$P188&gt;15,"K","S")&amp;ROUNDUP(MOD(Panchanga!$P188,15),0)&amp;" ("&amp;ROUND(Panchanga!$P188,2)&amp;")"</f>
        <v>K1 (15.74)</v>
      </c>
      <c r="L188" s="2">
        <f ca="1">IF(AND(Panchanga!$P188&lt;28.5,Panchanga!$P188&gt;0.49999),MOD((Panchanga!$P188-0.5)*2,7),MOD((Panchanga!$P188+30-28.5),30)*2+7)</f>
        <v>2.4703999999999979</v>
      </c>
      <c r="M188" s="2" t="str">
        <f ca="1">CHOOSE(ROUNDUP(Panchanga!$L188,0),"Bhava","Baalava","Kaulava","Taitula","Garija","Vanija","Vishti","Shakuni","Chatushapda","Naaga","Kimstugna")</f>
        <v>Kaulava</v>
      </c>
      <c r="N188" s="25" t="str">
        <f ca="1">CHOOSE(ROUNDUP(Panchanga!$Q188,0),"Vishkambha-विष्कम्भ-Sa","Priti-प्रीति-Me","Ayushman-आयुष्मान-Ke","Saubhagya-सौभाग्य-Ve","Shobhana-शोभन-Su","Atiganda-अतिगण्ड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("&amp;Panchanga!$Q188&amp;")"</f>
        <v>Mahendra-महेन्द्र-Ra (25.14)</v>
      </c>
      <c r="O188" s="2">
        <f ca="1">IF(AND(Panchanga!$P188&lt;28.5,Panchanga!$P188&gt;0.49999),MOD((Panchanga!$P188-0.5)*2,7),MOD((Panchanga!$P188+30-28.5),30)*2+7)</f>
        <v>2.4703999999999979</v>
      </c>
      <c r="P188" s="2">
        <f ca="1">ROUNDUP(MOD(360+Panchanga!$G188-Panchanga!$F188,360)/12,4)</f>
        <v>15.735199999999999</v>
      </c>
      <c r="Q188" s="2">
        <f t="shared" ca="1" si="31"/>
        <v>25.14</v>
      </c>
      <c r="R188" s="2" t="str">
        <f ca="1">SIGN(S189-Panchanga!$S188)*INT(Panchanga!$S188/30+1)&amp;"Ma,"&amp;SIGN(T189-Panchanga!$T188)*INT(Panchanga!$T188/30+1)&amp;"Me,"&amp;SIGN(U189-Panchanga!$U188)*INT(Panchanga!$U188/30+1)&amp;"Ju,"&amp;SIGN(V189-Panchanga!$V188)*INT(Panchanga!$V188/30+1)&amp;"Ve,"&amp;SIGN(W189-Panchanga!$W188)*INT(Panchanga!$W188/30+1)&amp;"Sa,"&amp;INT(Panchanga!$X188/30+1)&amp;"Ra"</f>
        <v>-10Ma,4Me,-7Ju,4Ve,-9Sa,4Ra</v>
      </c>
      <c r="S188" s="2">
        <f ca="1">Planet(Panchanga!$E188,4)</f>
        <v>285.07780087294998</v>
      </c>
      <c r="T188" s="2">
        <f ca="1">Planet(Panchanga!$E188,2)</f>
        <v>95.571021008950865</v>
      </c>
      <c r="U188" s="2">
        <f ca="1">Planet(Panchanga!$E188,5)</f>
        <v>199.439144055691</v>
      </c>
      <c r="V188" s="2">
        <f ca="1">Planet(Panchanga!$E188,3)</f>
        <v>113.33951372964816</v>
      </c>
      <c r="W188" s="2">
        <f ca="1">Planet(Panchanga!$E188,6)</f>
        <v>251.63669076288363</v>
      </c>
      <c r="X188" s="2">
        <f ca="1">Planet(Panchanga!$E188,10)</f>
        <v>103.30526031017085</v>
      </c>
      <c r="Y188" s="2">
        <f ca="1">SIGN(S189-Panchanga!$S188)</f>
        <v>-1</v>
      </c>
    </row>
    <row r="189" spans="1:25" x14ac:dyDescent="0.2">
      <c r="A189" s="3">
        <f t="shared" ca="1" si="32"/>
        <v>43281</v>
      </c>
      <c r="B189" s="3">
        <f t="shared" ca="1" si="25"/>
        <v>43281.229166666664</v>
      </c>
      <c r="C189" s="5">
        <f t="shared" ca="1" si="26"/>
        <v>43281.240809963703</v>
      </c>
      <c r="D189" s="5">
        <f t="shared" ca="1" si="27"/>
        <v>43280.77747072796</v>
      </c>
      <c r="E189" s="60">
        <f ca="1">Panchanga!$C189-TimeZone/24</f>
        <v>43281.011643297039</v>
      </c>
      <c r="F189" s="61">
        <f t="shared" ca="1" si="28"/>
        <v>74.079695197616047</v>
      </c>
      <c r="G189" s="61">
        <f t="shared" ca="1" si="29"/>
        <v>273.76312280276471</v>
      </c>
      <c r="H189" s="62">
        <f t="shared" ca="1" si="30"/>
        <v>43281.011643297039</v>
      </c>
      <c r="I189" s="2" t="str">
        <f ca="1">naks(Panchanga!$G189)</f>
        <v>Uttara Asadha</v>
      </c>
      <c r="J189" s="5">
        <f ca="1">(C190-Panchanga!$C189)/(G190-Panchanga!$G189)*(13.3333333333333-MOD(Panchanga!$G189,13.333333333333))+Panchanga!$C189</f>
        <v>43281.769915946374</v>
      </c>
      <c r="K189" s="2" t="str">
        <f ca="1">IF(Panchanga!$P189&gt;15,"K","S")&amp;ROUNDUP(MOD(Panchanga!$P189,15),0)&amp;" ("&amp;ROUND(Panchanga!$P189,2)&amp;")"</f>
        <v>K2 (16.64)</v>
      </c>
      <c r="L189" s="2">
        <f ca="1">IF(AND(Panchanga!$P189&lt;28.5,Panchanga!$P189&gt;0.49999),MOD((Panchanga!$P189-0.5)*2,7),MOD((Panchanga!$P189+30-28.5),30)*2+7)</f>
        <v>4.2805999999999997</v>
      </c>
      <c r="M189" s="2" t="str">
        <f ca="1">CHOOSE(ROUNDUP(Panchanga!$L189,0),"Bhava","Baalava","Kaulava","Taitula","Garija","Vanija","Vishti","Shakuni","Chatushapda","Naaga","Kimstugna")</f>
        <v>Garija</v>
      </c>
      <c r="N189" s="25" t="str">
        <f ca="1">CHOOSE(ROUNDUP(Panchanga!$Q189,0),"Vishkambha-विष्कम्भ-Sa","Priti-प्रीति-Me","Ayushman-आयुष्मान-Ke","Saubhagya-सौभाग्य-Ve","Shobhana-शोभन-Su","Atiganda-अतिगण्ड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("&amp;Panchanga!$Q189&amp;")"</f>
        <v>Vaidhriti-वैधृति-Ke (26.09)</v>
      </c>
      <c r="O189" s="2">
        <f ca="1">IF(AND(Panchanga!$P189&lt;28.5,Panchanga!$P189&gt;0.49999),MOD((Panchanga!$P189-0.5)*2,7),MOD((Panchanga!$P189+30-28.5),30)*2+7)</f>
        <v>4.2805999999999997</v>
      </c>
      <c r="P189" s="2">
        <f ca="1">ROUNDUP(MOD(360+Panchanga!$G189-Panchanga!$F189,360)/12,4)</f>
        <v>16.6403</v>
      </c>
      <c r="Q189" s="2">
        <f t="shared" ca="1" si="31"/>
        <v>26.09</v>
      </c>
      <c r="R189" s="2" t="str">
        <f ca="1">SIGN(S190-Panchanga!$S189)*INT(Panchanga!$S189/30+1)&amp;"Ma,"&amp;SIGN(T190-Panchanga!$T189)*INT(Panchanga!$T189/30+1)&amp;"Me,"&amp;SIGN(U190-Panchanga!$U189)*INT(Panchanga!$U189/30+1)&amp;"Ju,"&amp;SIGN(V190-Panchanga!$V189)*INT(Panchanga!$V189/30+1)&amp;"Ve,"&amp;SIGN(W190-Panchanga!$W189)*INT(Panchanga!$W189/30+1)&amp;"Sa,"&amp;INT(Panchanga!$X189/30+1)&amp;"Ra"</f>
        <v>-10Ma,4Me,-7Ju,4Ve,-9Sa,4Ra</v>
      </c>
      <c r="S189" s="2">
        <f ca="1">Planet(Panchanga!$E189,4)</f>
        <v>285.04473701986882</v>
      </c>
      <c r="T189" s="2">
        <f ca="1">Planet(Panchanga!$E189,2)</f>
        <v>97.081031036508961</v>
      </c>
      <c r="U189" s="2">
        <f ca="1">Planet(Panchanga!$E189,5)</f>
        <v>199.405490917533</v>
      </c>
      <c r="V189" s="2">
        <f ca="1">Planet(Panchanga!$E189,3)</f>
        <v>114.48118746990932</v>
      </c>
      <c r="W189" s="2">
        <f ca="1">Planet(Panchanga!$E189,6)</f>
        <v>251.56306829990345</v>
      </c>
      <c r="X189" s="2">
        <f ca="1">Planet(Panchanga!$E189,10)</f>
        <v>103.2522585927687</v>
      </c>
      <c r="Y189" s="2">
        <f ca="1">SIGN(S190-Panchanga!$S189)</f>
        <v>-1</v>
      </c>
    </row>
    <row r="190" spans="1:25" x14ac:dyDescent="0.2">
      <c r="A190" s="3">
        <f t="shared" ca="1" si="32"/>
        <v>43282</v>
      </c>
      <c r="B190" s="3">
        <f t="shared" ca="1" si="25"/>
        <v>43282.229166666664</v>
      </c>
      <c r="C190" s="5">
        <f t="shared" ca="1" si="26"/>
        <v>43282.240996248242</v>
      </c>
      <c r="D190" s="5">
        <f t="shared" ca="1" si="27"/>
        <v>43281.777559419672</v>
      </c>
      <c r="E190" s="60">
        <f ca="1">Panchanga!$C190-TimeZone/24</f>
        <v>43282.011829581577</v>
      </c>
      <c r="F190" s="61">
        <f t="shared" ca="1" si="28"/>
        <v>75.03302913077934</v>
      </c>
      <c r="G190" s="61">
        <f t="shared" ca="1" si="29"/>
        <v>285.55289505134175</v>
      </c>
      <c r="H190" s="62">
        <f t="shared" ca="1" si="30"/>
        <v>43282.011829581577</v>
      </c>
      <c r="I190" s="2" t="str">
        <f ca="1">naks(Panchanga!$G190)</f>
        <v>Sravana</v>
      </c>
      <c r="J190" s="5">
        <f ca="1">(C191-Panchanga!$C190)/(G191-Panchanga!$G190)*(13.3333333333333-MOD(Panchanga!$G190,13.333333333333))+Panchanga!$C190</f>
        <v>43282.899743447451</v>
      </c>
      <c r="K190" s="2" t="str">
        <f ca="1">IF(Panchanga!$P190&gt;15,"K","S")&amp;ROUNDUP(MOD(Panchanga!$P190,15),0)&amp;" ("&amp;ROUND(Panchanga!$P190,2)&amp;")"</f>
        <v>K3 (17.54)</v>
      </c>
      <c r="L190" s="2">
        <f ca="1">IF(AND(Panchanga!$P190&lt;28.5,Panchanga!$P190&gt;0.49999),MOD((Panchanga!$P190-0.5)*2,7),MOD((Panchanga!$P190+30-28.5),30)*2+7)</f>
        <v>6.0867999999999967</v>
      </c>
      <c r="M190" s="2" t="str">
        <f ca="1">CHOOSE(ROUNDUP(Panchanga!$L190,0),"Bhava","Baalava","Kaulava","Taitula","Garija","Vanija","Vishti","Shakuni","Chatushapda","Naaga","Kimstugna")</f>
        <v>Vishti</v>
      </c>
      <c r="N190" s="25" t="str">
        <f ca="1">CHOOSE(ROUNDUP(Panchanga!$Q190,0),"Vishkambha-विष्कम्भ-Sa","Priti-प्रीति-Me","Ayushman-आयुष्मान-Ke","Saubhagya-सौभाग्य-Ve","Shobhana-शोभन-Su","Atiganda-अतिगण्ड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("&amp;Panchanga!$Q190&amp;")"</f>
        <v>Vishkambha-विष्कम्भ-Sa (0.05)</v>
      </c>
      <c r="O190" s="2">
        <f ca="1">IF(AND(Panchanga!$P190&lt;28.5,Panchanga!$P190&gt;0.49999),MOD((Panchanga!$P190-0.5)*2,7),MOD((Panchanga!$P190+30-28.5),30)*2+7)</f>
        <v>6.0867999999999967</v>
      </c>
      <c r="P190" s="2">
        <f ca="1">ROUNDUP(MOD(360+Panchanga!$G190-Panchanga!$F190,360)/12,4)</f>
        <v>17.543399999999998</v>
      </c>
      <c r="Q190" s="2">
        <f t="shared" ca="1" si="31"/>
        <v>0.05</v>
      </c>
      <c r="R190" s="2" t="str">
        <f ca="1">SIGN(S191-Panchanga!$S190)*INT(Panchanga!$S190/30+1)&amp;"Ma,"&amp;SIGN(T191-Panchanga!$T190)*INT(Panchanga!$T190/30+1)&amp;"Me,"&amp;SIGN(U191-Panchanga!$U190)*INT(Panchanga!$U190/30+1)&amp;"Ju,"&amp;SIGN(V191-Panchanga!$V190)*INT(Panchanga!$V190/30+1)&amp;"Ve,"&amp;SIGN(W191-Panchanga!$W190)*INT(Panchanga!$W190/30+1)&amp;"Sa,"&amp;INT(Panchanga!$X190/30+1)&amp;"Ra"</f>
        <v>-10Ma,4Me,-7Ju,4Ve,-9Sa,4Ra</v>
      </c>
      <c r="S190" s="2">
        <f ca="1">Planet(Panchanga!$E190,4)</f>
        <v>284.99908702415172</v>
      </c>
      <c r="T190" s="2">
        <f ca="1">Planet(Panchanga!$E190,2)</f>
        <v>98.551515789669679</v>
      </c>
      <c r="U190" s="2">
        <f ca="1">Planet(Panchanga!$E190,5)</f>
        <v>199.37479105427644</v>
      </c>
      <c r="V190" s="2">
        <f ca="1">Planet(Panchanga!$E190,3)</f>
        <v>115.62090891575248</v>
      </c>
      <c r="W190" s="2">
        <f ca="1">Planet(Panchanga!$E190,6)</f>
        <v>251.48953139528467</v>
      </c>
      <c r="X190" s="2">
        <f ca="1">Planet(Panchanga!$E190,10)</f>
        <v>103.19925672374812</v>
      </c>
      <c r="Y190" s="2">
        <f ca="1">SIGN(S191-Panchanga!$S190)</f>
        <v>-1</v>
      </c>
    </row>
    <row r="191" spans="1:25" x14ac:dyDescent="0.2">
      <c r="A191" s="3">
        <f t="shared" ca="1" si="32"/>
        <v>43283</v>
      </c>
      <c r="B191" s="3">
        <f t="shared" ca="1" si="25"/>
        <v>43283.229166666664</v>
      </c>
      <c r="C191" s="5">
        <f t="shared" ca="1" si="26"/>
        <v>43283.241185234547</v>
      </c>
      <c r="D191" s="5">
        <f t="shared" ca="1" si="27"/>
        <v>43282.777640163942</v>
      </c>
      <c r="E191" s="60">
        <f ca="1">Panchanga!$C191-TimeZone/24</f>
        <v>43283.012018567882</v>
      </c>
      <c r="F191" s="61">
        <f t="shared" ca="1" si="28"/>
        <v>75.986363192286291</v>
      </c>
      <c r="G191" s="61">
        <f t="shared" ca="1" si="29"/>
        <v>297.3660893808447</v>
      </c>
      <c r="H191" s="62">
        <f t="shared" ca="1" si="30"/>
        <v>43283.012018567882</v>
      </c>
      <c r="I191" s="2" t="str">
        <f ca="1">naks(Panchanga!$G191)</f>
        <v>Dhanistha</v>
      </c>
      <c r="J191" s="5">
        <f ca="1">(C192-Panchanga!$C191)/(G192-Panchanga!$G191)*(13.3333333333333-MOD(Panchanga!$G191,13.333333333333))+Panchanga!$C191</f>
        <v>43284.023336029633</v>
      </c>
      <c r="K191" s="2" t="str">
        <f ca="1">IF(Panchanga!$P191&gt;15,"K","S")&amp;ROUNDUP(MOD(Panchanga!$P191,15),0)&amp;" ("&amp;ROUND(Panchanga!$P191,2)&amp;")"</f>
        <v>K4 (18.45)</v>
      </c>
      <c r="L191" s="2">
        <f ca="1">IF(AND(Panchanga!$P191&lt;28.5,Panchanga!$P191&gt;0.49999),MOD((Panchanga!$P191-0.5)*2,7),MOD((Panchanga!$P191+30-28.5),30)*2+7)</f>
        <v>0.89679999999999893</v>
      </c>
      <c r="M191" s="2" t="str">
        <f ca="1">CHOOSE(ROUNDUP(Panchanga!$L191,0),"Bhava","Baalava","Kaulava","Taitula","Garija","Vanija","Vishti","Shakuni","Chatushapda","Naaga","Kimstugna")</f>
        <v>Bhava</v>
      </c>
      <c r="N191" s="25" t="str">
        <f ca="1">CHOOSE(ROUNDUP(Panchanga!$Q191,0),"Vishkambha-विष्कम्भ-Sa","Priti-प्रीति-Me","Ayushman-आयुष्मान-Ke","Saubhagya-सौभाग्य-Ve","Shobhana-शोभन-Su","Atiganda-अतिगण्ड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("&amp;Panchanga!$Q191&amp;")"</f>
        <v>Priti-प्रीति-Me (1.01)</v>
      </c>
      <c r="O191" s="2">
        <f ca="1">IF(AND(Panchanga!$P191&lt;28.5,Panchanga!$P191&gt;0.49999),MOD((Panchanga!$P191-0.5)*2,7),MOD((Panchanga!$P191+30-28.5),30)*2+7)</f>
        <v>0.89679999999999893</v>
      </c>
      <c r="P191" s="2">
        <f ca="1">ROUNDUP(MOD(360+Panchanga!$G191-Panchanga!$F191,360)/12,4)</f>
        <v>18.448399999999999</v>
      </c>
      <c r="Q191" s="2">
        <f t="shared" ca="1" si="31"/>
        <v>1.01</v>
      </c>
      <c r="R191" s="2" t="str">
        <f ca="1">SIGN(S192-Panchanga!$S191)*INT(Panchanga!$S191/30+1)&amp;"Ma,"&amp;SIGN(T192-Panchanga!$T191)*INT(Panchanga!$T191/30+1)&amp;"Me,"&amp;SIGN(U192-Panchanga!$U191)*INT(Panchanga!$U191/30+1)&amp;"Ju,"&amp;SIGN(V192-Panchanga!$V191)*INT(Panchanga!$V191/30+1)&amp;"Ve,"&amp;SIGN(W192-Panchanga!$W191)*INT(Panchanga!$W191/30+1)&amp;"Sa,"&amp;INT(Panchanga!$X191/30+1)&amp;"Ra"</f>
        <v>-10Ma,4Me,-7Ju,4Ve,-9Sa,4Ra</v>
      </c>
      <c r="S191" s="2">
        <f ca="1">Planet(Panchanga!$E191,4)</f>
        <v>284.94085114900315</v>
      </c>
      <c r="T191" s="2">
        <f ca="1">Planet(Panchanga!$E191,2)</f>
        <v>99.982097421690185</v>
      </c>
      <c r="U191" s="2">
        <f ca="1">Planet(Panchanga!$E191,5)</f>
        <v>199.34705592083682</v>
      </c>
      <c r="V191" s="2">
        <f ca="1">Planet(Panchanga!$E191,3)</f>
        <v>116.75864770954405</v>
      </c>
      <c r="W191" s="2">
        <f ca="1">Planet(Panchanga!$E191,6)</f>
        <v>251.41611554539298</v>
      </c>
      <c r="X191" s="2">
        <f ca="1">Planet(Panchanga!$E191,10)</f>
        <v>103.14625471155918</v>
      </c>
      <c r="Y191" s="2">
        <f ca="1">SIGN(S192-Panchanga!$S191)</f>
        <v>-1</v>
      </c>
    </row>
    <row r="192" spans="1:25" x14ac:dyDescent="0.2">
      <c r="A192" s="3">
        <f t="shared" ca="1" si="32"/>
        <v>43284</v>
      </c>
      <c r="B192" s="3">
        <f t="shared" ca="1" si="25"/>
        <v>43284.229166666664</v>
      </c>
      <c r="C192" s="5">
        <f t="shared" ca="1" si="26"/>
        <v>43284.241376446247</v>
      </c>
      <c r="D192" s="5">
        <f t="shared" ca="1" si="27"/>
        <v>43283.777712325609</v>
      </c>
      <c r="E192" s="60">
        <f ca="1">Panchanga!$C192-TimeZone/24</f>
        <v>43284.012209779583</v>
      </c>
      <c r="F192" s="61">
        <f t="shared" ca="1" si="28"/>
        <v>76.939717153478952</v>
      </c>
      <c r="G192" s="61">
        <f t="shared" ca="1" si="29"/>
        <v>309.25939144411291</v>
      </c>
      <c r="H192" s="62">
        <f t="shared" ca="1" si="30"/>
        <v>43284.012209779583</v>
      </c>
      <c r="I192" s="2" t="str">
        <f ca="1">naks(Panchanga!$G192)</f>
        <v>Satabhisaj</v>
      </c>
      <c r="J192" s="5">
        <f ca="1">(C193-Panchanga!$C192)/(G193-Panchanga!$G192)*(13.3333333333333-MOD(Panchanga!$G192,13.333333333333))+Panchanga!$C192</f>
        <v>43285.133769809763</v>
      </c>
      <c r="K192" s="2" t="str">
        <f ca="1">IF(Panchanga!$P192&gt;15,"K","S")&amp;ROUNDUP(MOD(Panchanga!$P192,15),0)&amp;" ("&amp;ROUND(Panchanga!$P192,2)&amp;")"</f>
        <v>K5 (19.36)</v>
      </c>
      <c r="L192" s="2">
        <f ca="1">IF(AND(Panchanga!$P192&lt;28.5,Panchanga!$P192&gt;0.49999),MOD((Panchanga!$P192-0.5)*2,7),MOD((Panchanga!$P192+30-28.5),30)*2+7)</f>
        <v>2.7199999999999989</v>
      </c>
      <c r="M192" s="2" t="str">
        <f ca="1">CHOOSE(ROUNDUP(Panchanga!$L192,0),"Bhava","Baalava","Kaulava","Taitula","Garija","Vanija","Vishti","Shakuni","Chatushapda","Naaga","Kimstugna")</f>
        <v>Kaulava</v>
      </c>
      <c r="N192" s="25" t="str">
        <f ca="1">CHOOSE(ROUNDUP(Panchanga!$Q192,0),"Vishkambha-विष्कम्भ-Sa","Priti-प्रीति-Me","Ayushman-आयुष्मान-Ke","Saubhagya-सौभाग्य-Ve","Shobhana-शोभन-Su","Atiganda-अतिगण्ड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("&amp;Panchanga!$Q192&amp;")"</f>
        <v>Priti-प्रीति-Me (1.97)</v>
      </c>
      <c r="O192" s="2">
        <f ca="1">IF(AND(Panchanga!$P192&lt;28.5,Panchanga!$P192&gt;0.49999),MOD((Panchanga!$P192-0.5)*2,7),MOD((Panchanga!$P192+30-28.5),30)*2+7)</f>
        <v>2.7199999999999989</v>
      </c>
      <c r="P192" s="2">
        <f ca="1">ROUNDUP(MOD(360+Panchanga!$G192-Panchanga!$F192,360)/12,4)</f>
        <v>19.36</v>
      </c>
      <c r="Q192" s="2">
        <f t="shared" ca="1" si="31"/>
        <v>1.97</v>
      </c>
      <c r="R192" s="2" t="str">
        <f ca="1">SIGN(S193-Panchanga!$S192)*INT(Panchanga!$S192/30+1)&amp;"Ma,"&amp;SIGN(T193-Panchanga!$T192)*INT(Panchanga!$T192/30+1)&amp;"Me,"&amp;SIGN(U193-Panchanga!$U192)*INT(Panchanga!$U192/30+1)&amp;"Ju,"&amp;SIGN(V193-Panchanga!$V192)*INT(Panchanga!$V192/30+1)&amp;"Ve,"&amp;SIGN(W193-Panchanga!$W192)*INT(Panchanga!$W192/30+1)&amp;"Sa,"&amp;INT(Panchanga!$X192/30+1)&amp;"Ra"</f>
        <v>-10Ma,4Me,-7Ju,4Ve,-9Sa,4Ra</v>
      </c>
      <c r="S192" s="2">
        <f ca="1">Planet(Panchanga!$E192,4)</f>
        <v>284.87005268183708</v>
      </c>
      <c r="T192" s="2">
        <f ca="1">Planet(Panchanga!$E192,2)</f>
        <v>101.37231160982167</v>
      </c>
      <c r="U192" s="2">
        <f ca="1">Planet(Panchanga!$E192,5)</f>
        <v>199.32229608396469</v>
      </c>
      <c r="V192" s="2">
        <f ca="1">Planet(Panchanga!$E192,3)</f>
        <v>117.89437260517722</v>
      </c>
      <c r="W192" s="2">
        <f ca="1">Planet(Panchanga!$E192,6)</f>
        <v>251.34285637358852</v>
      </c>
      <c r="X192" s="2">
        <f ca="1">Planet(Panchanga!$E192,10)</f>
        <v>103.09325258141953</v>
      </c>
      <c r="Y192" s="2">
        <f ca="1">SIGN(S193-Panchanga!$S192)</f>
        <v>-1</v>
      </c>
    </row>
    <row r="193" spans="1:25" x14ac:dyDescent="0.2">
      <c r="A193" s="3">
        <f t="shared" ca="1" si="32"/>
        <v>43285</v>
      </c>
      <c r="B193" s="3">
        <f t="shared" ca="1" si="25"/>
        <v>43285.229166666664</v>
      </c>
      <c r="C193" s="5">
        <f t="shared" ca="1" si="26"/>
        <v>43285.241569724087</v>
      </c>
      <c r="D193" s="5">
        <f t="shared" ca="1" si="27"/>
        <v>43284.777776221788</v>
      </c>
      <c r="E193" s="60">
        <f ca="1">Panchanga!$C193-TimeZone/24</f>
        <v>43285.012403057422</v>
      </c>
      <c r="F193" s="61">
        <f t="shared" ca="1" si="28"/>
        <v>77.893109894112072</v>
      </c>
      <c r="G193" s="61">
        <f t="shared" ca="1" si="29"/>
        <v>321.29745102263155</v>
      </c>
      <c r="H193" s="62">
        <f t="shared" ca="1" si="30"/>
        <v>43285.012403057422</v>
      </c>
      <c r="I193" s="2" t="str">
        <f ca="1">naks(Panchanga!$G193)</f>
        <v>Purva Bhadrapada</v>
      </c>
      <c r="J193" s="5">
        <f ca="1">(C194-Panchanga!$C193)/(G194-Panchanga!$G193)*(13.3333333333333-MOD(Panchanga!$G193,13.333333333333))+Panchanga!$C193</f>
        <v>43286.224004792159</v>
      </c>
      <c r="K193" s="2" t="str">
        <f ca="1">IF(Panchanga!$P193&gt;15,"K","S")&amp;ROUNDUP(MOD(Panchanga!$P193,15),0)&amp;" ("&amp;ROUND(Panchanga!$P193,2)&amp;")"</f>
        <v>K6 (20.28)</v>
      </c>
      <c r="L193" s="2">
        <f ca="1">IF(AND(Panchanga!$P193&lt;28.5,Panchanga!$P193&gt;0.49999),MOD((Panchanga!$P193-0.5)*2,7),MOD((Panchanga!$P193+30-28.5),30)*2+7)</f>
        <v>4.5673999999999992</v>
      </c>
      <c r="M193" s="2" t="str">
        <f ca="1">CHOOSE(ROUNDUP(Panchanga!$L193,0),"Bhava","Baalava","Kaulava","Taitula","Garija","Vanija","Vishti","Shakuni","Chatushapda","Naaga","Kimstugna")</f>
        <v>Garija</v>
      </c>
      <c r="N193" s="25" t="str">
        <f ca="1">CHOOSE(ROUNDUP(Panchanga!$Q193,0),"Vishkambha-विष्कम्भ-Sa","Priti-प्रीति-Me","Ayushman-आयुष्मान-Ke","Saubhagya-सौभाग्य-Ve","Shobhana-शोभन-Su","Atiganda-अतिगण्ड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("&amp;Panchanga!$Q193&amp;")"</f>
        <v>Ayushman-आयुष्मान-Ke (2.94)</v>
      </c>
      <c r="O193" s="2">
        <f ca="1">IF(AND(Panchanga!$P193&lt;28.5,Panchanga!$P193&gt;0.49999),MOD((Panchanga!$P193-0.5)*2,7),MOD((Panchanga!$P193+30-28.5),30)*2+7)</f>
        <v>4.5673999999999992</v>
      </c>
      <c r="P193" s="2">
        <f ca="1">ROUNDUP(MOD(360+Panchanga!$G193-Panchanga!$F193,360)/12,4)</f>
        <v>20.2837</v>
      </c>
      <c r="Q193" s="2">
        <f t="shared" ca="1" si="31"/>
        <v>2.94</v>
      </c>
      <c r="R193" s="2" t="str">
        <f ca="1">SIGN(S194-Panchanga!$S193)*INT(Panchanga!$S193/30+1)&amp;"Ma,"&amp;SIGN(T194-Panchanga!$T193)*INT(Panchanga!$T193/30+1)&amp;"Me,"&amp;SIGN(U194-Panchanga!$U193)*INT(Panchanga!$U193/30+1)&amp;"Ju,"&amp;SIGN(V194-Panchanga!$V193)*INT(Panchanga!$V193/30+1)&amp;"Ve,"&amp;SIGN(W194-Panchanga!$W193)*INT(Panchanga!$W193/30+1)&amp;"Sa,"&amp;INT(Panchanga!$X193/30+1)&amp;"Ra"</f>
        <v>-10Ma,4Me,-7Ju,4Ve,-9Sa,4Ra</v>
      </c>
      <c r="S193" s="2">
        <f ca="1">Planet(Panchanga!$E193,4)</f>
        <v>284.78674024680123</v>
      </c>
      <c r="T193" s="2">
        <f ca="1">Planet(Panchanga!$E193,2)</f>
        <v>102.72159913942419</v>
      </c>
      <c r="U193" s="2">
        <f ca="1">Planet(Panchanga!$E193,5)</f>
        <v>199.30052125982903</v>
      </c>
      <c r="V193" s="2">
        <f ca="1">Planet(Panchanga!$E193,3)</f>
        <v>119.02805206065996</v>
      </c>
      <c r="W193" s="2">
        <f ca="1">Planet(Panchanga!$E193,6)</f>
        <v>251.26978960603327</v>
      </c>
      <c r="X193" s="2">
        <f ca="1">Planet(Panchanga!$E193,10)</f>
        <v>103.04025034182924</v>
      </c>
      <c r="Y193" s="2">
        <f ca="1">SIGN(S194-Panchanga!$S193)</f>
        <v>-1</v>
      </c>
    </row>
    <row r="194" spans="1:25" x14ac:dyDescent="0.2">
      <c r="A194" s="3">
        <f t="shared" ca="1" si="32"/>
        <v>43286</v>
      </c>
      <c r="B194" s="3">
        <f t="shared" ca="1" si="25"/>
        <v>43286.229166666664</v>
      </c>
      <c r="C194" s="5">
        <f t="shared" ca="1" si="26"/>
        <v>43286.241764909741</v>
      </c>
      <c r="D194" s="5">
        <f t="shared" ca="1" si="27"/>
        <v>43285.777831375643</v>
      </c>
      <c r="E194" s="60">
        <f ca="1">Panchanga!$C194-TimeZone/24</f>
        <v>43286.012598243076</v>
      </c>
      <c r="F194" s="61">
        <f t="shared" ca="1" si="28"/>
        <v>78.846558812732468</v>
      </c>
      <c r="G194" s="61">
        <f t="shared" ca="1" si="29"/>
        <v>333.55091380451466</v>
      </c>
      <c r="H194" s="62">
        <f t="shared" ca="1" si="30"/>
        <v>43286.012598243076</v>
      </c>
      <c r="I194" s="2" t="str">
        <f ca="1">naks(Panchanga!$G194)</f>
        <v>Uttara Bhadrapada</v>
      </c>
      <c r="J194" s="5">
        <f ca="1">(C195-Panchanga!$C194)/(G195-Panchanga!$G194)*(13.3333333333333-MOD(Panchanga!$G194,13.333333333333))+Panchanga!$C194</f>
        <v>43287.287731988923</v>
      </c>
      <c r="K194" s="2" t="str">
        <f ca="1">IF(Panchanga!$P194&gt;15,"K","S")&amp;ROUNDUP(MOD(Panchanga!$P194,15),0)&amp;" ("&amp;ROUND(Panchanga!$P194,2)&amp;")"</f>
        <v>K7 (21.23)</v>
      </c>
      <c r="L194" s="2">
        <f ca="1">IF(AND(Panchanga!$P194&lt;28.5,Panchanga!$P194&gt;0.49999),MOD((Panchanga!$P194-0.5)*2,7),MOD((Panchanga!$P194+30-28.5),30)*2+7)</f>
        <v>6.450800000000001</v>
      </c>
      <c r="M194" s="2" t="str">
        <f ca="1">CHOOSE(ROUNDUP(Panchanga!$L194,0),"Bhava","Baalava","Kaulava","Taitula","Garija","Vanija","Vishti","Shakuni","Chatushapda","Naaga","Kimstugna")</f>
        <v>Vishti</v>
      </c>
      <c r="N194" s="25" t="str">
        <f ca="1">CHOOSE(ROUNDUP(Panchanga!$Q194,0),"Vishkambha-विष्कम्भ-Sa","Priti-प्रीति-Me","Ayushman-आयुष्मान-Ke","Saubhagya-सौभाग्य-Ve","Shobhana-शोभन-Su","Atiganda-अतिगण्ड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("&amp;Panchanga!$Q194&amp;")"</f>
        <v>Saubhagya-सौभाग्य-Ve (3.93)</v>
      </c>
      <c r="O194" s="2">
        <f ca="1">IF(AND(Panchanga!$P194&lt;28.5,Panchanga!$P194&gt;0.49999),MOD((Panchanga!$P194-0.5)*2,7),MOD((Panchanga!$P194+30-28.5),30)*2+7)</f>
        <v>6.450800000000001</v>
      </c>
      <c r="P194" s="2">
        <f ca="1">ROUNDUP(MOD(360+Panchanga!$G194-Panchanga!$F194,360)/12,4)</f>
        <v>21.2254</v>
      </c>
      <c r="Q194" s="2">
        <f t="shared" ca="1" si="31"/>
        <v>3.9299999999999997</v>
      </c>
      <c r="R194" s="2" t="str">
        <f ca="1">SIGN(S195-Panchanga!$S194)*INT(Panchanga!$S194/30+1)&amp;"Ma,"&amp;SIGN(T195-Panchanga!$T194)*INT(Panchanga!$T194/30+1)&amp;"Me,"&amp;SIGN(U195-Panchanga!$U194)*INT(Panchanga!$U194/30+1)&amp;"Ju,"&amp;SIGN(V195-Panchanga!$V194)*INT(Panchanga!$V194/30+1)&amp;"Ve,"&amp;SIGN(W195-Panchanga!$W194)*INT(Panchanga!$W194/30+1)&amp;"Sa,"&amp;INT(Panchanga!$X194/30+1)&amp;"Ra"</f>
        <v>-10Ma,4Me,-7Ju,5Ve,-9Sa,4Ra</v>
      </c>
      <c r="S194" s="2">
        <f ca="1">Planet(Panchanga!$E194,4)</f>
        <v>284.69099036800094</v>
      </c>
      <c r="T194" s="2">
        <f ca="1">Planet(Panchanga!$E194,2)</f>
        <v>104.02929701706772</v>
      </c>
      <c r="U194" s="2">
        <f ca="1">Planet(Panchanga!$E194,5)</f>
        <v>199.28174038784923</v>
      </c>
      <c r="V194" s="2">
        <f ca="1">Planet(Panchanga!$E194,3)</f>
        <v>120.1596537163739</v>
      </c>
      <c r="W194" s="2">
        <f ca="1">Planet(Panchanga!$E194,6)</f>
        <v>251.19695112383516</v>
      </c>
      <c r="X194" s="2">
        <f ca="1">Planet(Panchanga!$E194,10)</f>
        <v>102.9872480011221</v>
      </c>
      <c r="Y194" s="2">
        <f ca="1">SIGN(S195-Panchanga!$S194)</f>
        <v>-1</v>
      </c>
    </row>
    <row r="195" spans="1:25" x14ac:dyDescent="0.2">
      <c r="A195" s="3">
        <f t="shared" ca="1" si="32"/>
        <v>43287</v>
      </c>
      <c r="B195" s="3">
        <f t="shared" ref="B195:B258" ca="1" si="33">A195+TimeZone/24</f>
        <v>43287.229166666664</v>
      </c>
      <c r="C195" s="5">
        <f t="shared" ref="C195:C258" ca="1" si="34">sunrise(Lat,Long,B195)+TimeZone/24+0.00103009259259259</f>
        <v>43287.241961684231</v>
      </c>
      <c r="D195" s="5">
        <f t="shared" ref="D195:D258" ca="1" si="35">sunset(Lat,Long,B195)+TimeZone/24-0.000277777777777778</f>
        <v>43286.777877628847</v>
      </c>
      <c r="E195" s="60">
        <f ca="1">Panchanga!$C195-TimeZone/24</f>
        <v>43287.012795017567</v>
      </c>
      <c r="F195" s="61">
        <f t="shared" ref="F195:F258" ca="1" si="36">Planet(E195,0)</f>
        <v>79.800079297763176</v>
      </c>
      <c r="G195" s="61">
        <f t="shared" ref="G195:G258" ca="1" si="37">Planet(E195,1)</f>
        <v>346.09273655284255</v>
      </c>
      <c r="H195" s="62">
        <f t="shared" ref="H195:H258" ca="1" si="38">E195</f>
        <v>43287.012795017567</v>
      </c>
      <c r="I195" s="2" t="str">
        <f ca="1">naks(Panchanga!$G195)</f>
        <v>Uttara Bhadrapada</v>
      </c>
      <c r="J195" s="5">
        <f ca="1">(C196-Panchanga!$C195)/(G196-Panchanga!$G195)*(13.3333333333333-MOD(Panchanga!$G195,13.333333333333))+Panchanga!$C195</f>
        <v>43287.286462394906</v>
      </c>
      <c r="K195" s="2" t="str">
        <f ca="1">IF(Panchanga!$P195&gt;15,"K","S")&amp;ROUNDUP(MOD(Panchanga!$P195,15),0)&amp;" ("&amp;ROUND(Panchanga!$P195,2)&amp;")"</f>
        <v>K8 (22.19)</v>
      </c>
      <c r="L195" s="2">
        <f ca="1">IF(AND(Panchanga!$P195&lt;28.5,Panchanga!$P195&gt;0.49999),MOD((Panchanga!$P195-0.5)*2,7),MOD((Panchanga!$P195+30-28.5),30)*2+7)</f>
        <v>1.3821999999999974</v>
      </c>
      <c r="M195" s="2" t="str">
        <f ca="1">CHOOSE(ROUNDUP(Panchanga!$L195,0),"Bhava","Baalava","Kaulava","Taitula","Garija","Vanija","Vishti","Shakuni","Chatushapda","Naaga","Kimstugna")</f>
        <v>Baalava</v>
      </c>
      <c r="N195" s="25" t="str">
        <f ca="1">CHOOSE(ROUNDUP(Panchanga!$Q195,0),"Vishkambha-विष्कम्भ-Sa","Priti-प्रीति-Me","Ayushman-आयुष्मान-Ke","Saubhagya-सौभाग्य-Ve","Shobhana-शोभन-Su","Atiganda-अतिगण्ड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("&amp;Panchanga!$Q195&amp;")"</f>
        <v>Shobhana-शोभन-Su (4.95)</v>
      </c>
      <c r="O195" s="2">
        <f ca="1">IF(AND(Panchanga!$P195&lt;28.5,Panchanga!$P195&gt;0.49999),MOD((Panchanga!$P195-0.5)*2,7),MOD((Panchanga!$P195+30-28.5),30)*2+7)</f>
        <v>1.3821999999999974</v>
      </c>
      <c r="P195" s="2">
        <f ca="1">ROUNDUP(MOD(360+Panchanga!$G195-Panchanga!$F195,360)/12,4)</f>
        <v>22.191099999999999</v>
      </c>
      <c r="Q195" s="2">
        <f t="shared" ref="Q195:Q258" ca="1" si="39">ROUNDUP(MOD(F195+G195,360)/13.333333333,2)</f>
        <v>4.95</v>
      </c>
      <c r="R195" s="2" t="str">
        <f ca="1">SIGN(S196-Panchanga!$S195)*INT(Panchanga!$S195/30+1)&amp;"Ma,"&amp;SIGN(T196-Panchanga!$T195)*INT(Panchanga!$T195/30+1)&amp;"Me,"&amp;SIGN(U196-Panchanga!$U195)*INT(Panchanga!$U195/30+1)&amp;"Ju,"&amp;SIGN(V196-Panchanga!$V195)*INT(Panchanga!$V195/30+1)&amp;"Ve,"&amp;SIGN(W196-Panchanga!$W195)*INT(Panchanga!$W195/30+1)&amp;"Sa,"&amp;INT(Panchanga!$X195/30+1)&amp;"Ra"</f>
        <v>-10Ma,4Me,-7Ju,5Ve,-9Sa,4Ra</v>
      </c>
      <c r="S195" s="2">
        <f ca="1">Planet(Panchanga!$E195,4)</f>
        <v>284.58291033016377</v>
      </c>
      <c r="T195" s="2">
        <f ca="1">Planet(Panchanga!$E195,2)</f>
        <v>105.2946305079475</v>
      </c>
      <c r="U195" s="2">
        <f ca="1">Planet(Panchanga!$E195,5)</f>
        <v>199.26596169343486</v>
      </c>
      <c r="V195" s="2">
        <f ca="1">Planet(Panchanga!$E195,3)</f>
        <v>121.28914395536955</v>
      </c>
      <c r="W195" s="2">
        <f ca="1">Planet(Panchanga!$E195,6)</f>
        <v>251.12437701610514</v>
      </c>
      <c r="X195" s="2">
        <f ca="1">Planet(Panchanga!$E195,10)</f>
        <v>102.93424557624807</v>
      </c>
      <c r="Y195" s="2">
        <f ca="1">SIGN(S196-Panchanga!$S195)</f>
        <v>-1</v>
      </c>
    </row>
    <row r="196" spans="1:25" x14ac:dyDescent="0.2">
      <c r="A196" s="3">
        <f t="shared" ca="1" si="32"/>
        <v>43288</v>
      </c>
      <c r="B196" s="3">
        <f t="shared" ca="1" si="33"/>
        <v>43288.229166666664</v>
      </c>
      <c r="C196" s="5">
        <f t="shared" ca="1" si="34"/>
        <v>43288.242159730908</v>
      </c>
      <c r="D196" s="5">
        <f t="shared" ca="1" si="35"/>
        <v>43287.777914981401</v>
      </c>
      <c r="E196" s="60">
        <f ca="1">Panchanga!$C196-TimeZone/24</f>
        <v>43288.012993064243</v>
      </c>
      <c r="F196" s="61">
        <f t="shared" ca="1" si="36"/>
        <v>80.753684447338358</v>
      </c>
      <c r="G196" s="61">
        <f t="shared" ca="1" si="37"/>
        <v>358.99239073975423</v>
      </c>
      <c r="H196" s="62">
        <f t="shared" ca="1" si="38"/>
        <v>43288.012993064243</v>
      </c>
      <c r="I196" s="2" t="str">
        <f ca="1">naks(Panchanga!$G196)</f>
        <v>Revati</v>
      </c>
      <c r="J196" s="5">
        <f ca="1">(C197-Panchanga!$C196)/(G197-Panchanga!$G196)*(13.3333333333333-MOD(Panchanga!$G196,13.333333333333))+Panchanga!$C196</f>
        <v>43288.239252738917</v>
      </c>
      <c r="K196" s="2" t="str">
        <f ca="1">IF(Panchanga!$P196&gt;15,"K","S")&amp;ROUNDUP(MOD(Panchanga!$P196,15),0)&amp;" ("&amp;ROUND(Panchanga!$P196,2)&amp;")"</f>
        <v>K9 (23.19)</v>
      </c>
      <c r="L196" s="2">
        <f ca="1">IF(AND(Panchanga!$P196&lt;28.5,Panchanga!$P196&gt;0.49999),MOD((Panchanga!$P196-0.5)*2,7),MOD((Panchanga!$P196+30-28.5),30)*2+7)</f>
        <v>3.3731999999999971</v>
      </c>
      <c r="M196" s="2" t="str">
        <f ca="1">CHOOSE(ROUNDUP(Panchanga!$L196,0),"Bhava","Baalava","Kaulava","Taitula","Garija","Vanija","Vishti","Shakuni","Chatushapda","Naaga","Kimstugna")</f>
        <v>Taitula</v>
      </c>
      <c r="N196" s="25" t="str">
        <f ca="1">CHOOSE(ROUNDUP(Panchanga!$Q196,0),"Vishkambha-विष्कम्भ-Sa","Priti-प्रीति-Me","Ayushman-आयुष्मान-Ke","Saubhagya-सौभाग्य-Ve","Shobhana-शोभन-Su","Atiganda-अतिगण्ड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("&amp;Panchanga!$Q196&amp;")"</f>
        <v>Atiganda-अतिगण्ड -Mo (5.99)</v>
      </c>
      <c r="O196" s="2">
        <f ca="1">IF(AND(Panchanga!$P196&lt;28.5,Panchanga!$P196&gt;0.49999),MOD((Panchanga!$P196-0.5)*2,7),MOD((Panchanga!$P196+30-28.5),30)*2+7)</f>
        <v>3.3731999999999971</v>
      </c>
      <c r="P196" s="2">
        <f ca="1">ROUNDUP(MOD(360+Panchanga!$G196-Panchanga!$F196,360)/12,4)</f>
        <v>23.186599999999999</v>
      </c>
      <c r="Q196" s="2">
        <f t="shared" ca="1" si="39"/>
        <v>5.99</v>
      </c>
      <c r="R196" s="2" t="str">
        <f ca="1">SIGN(S197-Panchanga!$S196)*INT(Panchanga!$S196/30+1)&amp;"Ma,"&amp;SIGN(T197-Panchanga!$T196)*INT(Panchanga!$T196/30+1)&amp;"Me,"&amp;SIGN(U197-Panchanga!$U196)*INT(Panchanga!$U196/30+1)&amp;"Ju,"&amp;SIGN(V197-Panchanga!$V196)*INT(Panchanga!$V196/30+1)&amp;"Ve,"&amp;SIGN(W197-Panchanga!$W196)*INT(Panchanga!$W196/30+1)&amp;"Sa,"&amp;INT(Panchanga!$X196/30+1)&amp;"Ra"</f>
        <v>-10Ma,4Me,-7Ju,5Ve,-9Sa,4Ra</v>
      </c>
      <c r="S196" s="2">
        <f ca="1">Planet(Panchanga!$E196,4)</f>
        <v>284.46264129996814</v>
      </c>
      <c r="T196" s="2">
        <f ca="1">Planet(Panchanga!$E196,2)</f>
        <v>106.51670610701531</v>
      </c>
      <c r="U196" s="2">
        <f ca="1">Planet(Panchanga!$E196,5)</f>
        <v>199.25319272221532</v>
      </c>
      <c r="V196" s="2">
        <f ca="1">Planet(Panchanga!$E196,3)</f>
        <v>122.41648771630199</v>
      </c>
      <c r="W196" s="2">
        <f ca="1">Planet(Panchanga!$E196,6)</f>
        <v>251.05210361031482</v>
      </c>
      <c r="X196" s="2">
        <f ca="1">Planet(Panchanga!$E196,10)</f>
        <v>102.88124308394171</v>
      </c>
      <c r="Y196" s="2">
        <f ca="1">SIGN(S197-Panchanga!$S196)</f>
        <v>-1</v>
      </c>
    </row>
    <row r="197" spans="1:25" x14ac:dyDescent="0.2">
      <c r="A197" s="3">
        <f t="shared" ca="1" si="32"/>
        <v>43289</v>
      </c>
      <c r="B197" s="3">
        <f t="shared" ca="1" si="33"/>
        <v>43289.229166666664</v>
      </c>
      <c r="C197" s="5">
        <f t="shared" ca="1" si="34"/>
        <v>43289.242358730793</v>
      </c>
      <c r="D197" s="5">
        <f t="shared" ca="1" si="35"/>
        <v>43288.777943114794</v>
      </c>
      <c r="E197" s="60">
        <f ca="1">Panchanga!$C197-TimeZone/24</f>
        <v>43289.013192064129</v>
      </c>
      <c r="F197" s="61">
        <f t="shared" ca="1" si="36"/>
        <v>81.707384562032772</v>
      </c>
      <c r="G197" s="61">
        <f t="shared" ca="1" si="37"/>
        <v>12.307646275357866</v>
      </c>
      <c r="H197" s="62">
        <f t="shared" ca="1" si="38"/>
        <v>43289.013192064129</v>
      </c>
      <c r="I197" s="2" t="str">
        <f ca="1">naks(Panchanga!$G197)</f>
        <v>Aswini</v>
      </c>
      <c r="J197" s="5">
        <f ca="1">(C198-Panchanga!$C197)/(G198-Panchanga!$G197)*(13.3333333333333-MOD(Panchanga!$G197,13.333333333333))+Panchanga!$C197</f>
        <v>43289.316880009341</v>
      </c>
      <c r="K197" s="2" t="str">
        <f ca="1">IF(Panchanga!$P197&gt;15,"K","S")&amp;ROUNDUP(MOD(Panchanga!$P197,15),0)&amp;" ("&amp;ROUND(Panchanga!$P197,2)&amp;")"</f>
        <v>K10 (24.22)</v>
      </c>
      <c r="L197" s="2">
        <f ca="1">IF(AND(Panchanga!$P197&lt;28.5,Panchanga!$P197&gt;0.49999),MOD((Panchanga!$P197-0.5)*2,7),MOD((Panchanga!$P197+30-28.5),30)*2+7)</f>
        <v>5.4333999999999989</v>
      </c>
      <c r="M197" s="2" t="str">
        <f ca="1">CHOOSE(ROUNDUP(Panchanga!$L197,0),"Bhava","Baalava","Kaulava","Taitula","Garija","Vanija","Vishti","Shakuni","Chatushapda","Naaga","Kimstugna")</f>
        <v>Vanija</v>
      </c>
      <c r="N197" s="25" t="str">
        <f ca="1">CHOOSE(ROUNDUP(Panchanga!$Q197,0),"Vishkambha-विष्कम्भ-Sa","Priti-प्रीति-Me","Ayushman-आयुष्मान-Ke","Saubhagya-सौभाग्य-Ve","Shobhana-शोभन-Su","Atiganda-अतिगण्ड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("&amp;Panchanga!$Q197&amp;")"</f>
        <v>Dhriti-धृति -Ra (7.06)</v>
      </c>
      <c r="O197" s="2">
        <f ca="1">IF(AND(Panchanga!$P197&lt;28.5,Panchanga!$P197&gt;0.49999),MOD((Panchanga!$P197-0.5)*2,7),MOD((Panchanga!$P197+30-28.5),30)*2+7)</f>
        <v>5.4333999999999989</v>
      </c>
      <c r="P197" s="2">
        <f ca="1">ROUNDUP(MOD(360+Panchanga!$G197-Panchanga!$F197,360)/12,4)</f>
        <v>24.216699999999999</v>
      </c>
      <c r="Q197" s="2">
        <f t="shared" ca="1" si="39"/>
        <v>7.06</v>
      </c>
      <c r="R197" s="2" t="str">
        <f ca="1">SIGN(S198-Panchanga!$S197)*INT(Panchanga!$S197/30+1)&amp;"Ma,"&amp;SIGN(T198-Panchanga!$T197)*INT(Panchanga!$T197/30+1)&amp;"Me,"&amp;SIGN(U198-Panchanga!$U197)*INT(Panchanga!$U197/30+1)&amp;"Ju,"&amp;SIGN(V198-Panchanga!$V197)*INT(Panchanga!$V197/30+1)&amp;"Ve,"&amp;SIGN(W198-Panchanga!$W197)*INT(Panchanga!$W197/30+1)&amp;"Sa,"&amp;INT(Panchanga!$X197/30+1)&amp;"Ra"</f>
        <v>-10Ma,4Me,-7Ju,5Ve,-9Sa,4Ra</v>
      </c>
      <c r="S197" s="2">
        <f ca="1">Planet(Panchanga!$E197,4)</f>
        <v>284.33036176152206</v>
      </c>
      <c r="T197" s="2">
        <f ca="1">Planet(Panchanga!$E197,2)</f>
        <v>107.69450465915577</v>
      </c>
      <c r="U197" s="2">
        <f ca="1">Planet(Panchanga!$E197,5)</f>
        <v>199.24344035151017</v>
      </c>
      <c r="V197" s="2">
        <f ca="1">Planet(Panchanga!$E197,3)</f>
        <v>123.54164796294303</v>
      </c>
      <c r="W197" s="2">
        <f ca="1">Planet(Panchanga!$E197,6)</f>
        <v>250.98016751430185</v>
      </c>
      <c r="X197" s="2">
        <f ca="1">Planet(Panchanga!$E197,10)</f>
        <v>102.82824054113632</v>
      </c>
      <c r="Y197" s="2">
        <f ca="1">SIGN(S198-Panchanga!$S197)</f>
        <v>-1</v>
      </c>
    </row>
    <row r="198" spans="1:25" x14ac:dyDescent="0.2">
      <c r="A198" s="3">
        <f t="shared" ca="1" si="32"/>
        <v>43290</v>
      </c>
      <c r="B198" s="3">
        <f t="shared" ca="1" si="33"/>
        <v>43290.229166666664</v>
      </c>
      <c r="C198" s="5">
        <f t="shared" ca="1" si="34"/>
        <v>43290.242558684353</v>
      </c>
      <c r="D198" s="5">
        <f t="shared" ca="1" si="35"/>
        <v>43289.777962029024</v>
      </c>
      <c r="E198" s="60">
        <f ca="1">Panchanga!$C198-TimeZone/24</f>
        <v>43290.013392017689</v>
      </c>
      <c r="F198" s="61">
        <f t="shared" ca="1" si="36"/>
        <v>82.661186849625409</v>
      </c>
      <c r="G198" s="61">
        <f t="shared" ca="1" si="37"/>
        <v>26.074078733090381</v>
      </c>
      <c r="H198" s="62">
        <f t="shared" ca="1" si="38"/>
        <v>43290.013392017689</v>
      </c>
      <c r="I198" s="2" t="str">
        <f ca="1">naks(Panchanga!$G198)</f>
        <v>Bharani</v>
      </c>
      <c r="J198" s="5">
        <f ca="1">(C199-Panchanga!$C198)/(G199-Panchanga!$G198)*(13.3333333333333-MOD(Panchanga!$G198,13.333333333333))+Panchanga!$C198</f>
        <v>43290.284241603542</v>
      </c>
      <c r="K198" s="2" t="str">
        <f ca="1">IF(Panchanga!$P198&gt;15,"K","S")&amp;ROUNDUP(MOD(Panchanga!$P198,15),0)&amp;" ("&amp;ROUND(Panchanga!$P198,2)&amp;")"</f>
        <v>K11 (25.28)</v>
      </c>
      <c r="L198" s="2">
        <f ca="1">IF(AND(Panchanga!$P198&lt;28.5,Panchanga!$P198&gt;0.49999),MOD((Panchanga!$P198-0.5)*2,7),MOD((Panchanga!$P198+30-28.5),30)*2+7)</f>
        <v>0.56900000000000261</v>
      </c>
      <c r="M198" s="2" t="str">
        <f ca="1">CHOOSE(ROUNDUP(Panchanga!$L198,0),"Bhava","Baalava","Kaulava","Taitula","Garija","Vanija","Vishti","Shakuni","Chatushapda","Naaga","Kimstugna")</f>
        <v>Bhava</v>
      </c>
      <c r="N198" s="25" t="str">
        <f ca="1">CHOOSE(ROUNDUP(Panchanga!$Q198,0),"Vishkambha-विष्कम्भ-Sa","Priti-प्रीति-Me","Ayushman-आयुष्मान-Ke","Saubhagya-सौभाग्य-Ve","Shobhana-शोभन-Su","Atiganda-अतिगण्ड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("&amp;Panchanga!$Q198&amp;")"</f>
        <v>Shula-शूल -Ju (8.16)</v>
      </c>
      <c r="O198" s="2">
        <f ca="1">IF(AND(Panchanga!$P198&lt;28.5,Panchanga!$P198&gt;0.49999),MOD((Panchanga!$P198-0.5)*2,7),MOD((Panchanga!$P198+30-28.5),30)*2+7)</f>
        <v>0.56900000000000261</v>
      </c>
      <c r="P198" s="2">
        <f ca="1">ROUNDUP(MOD(360+Panchanga!$G198-Panchanga!$F198,360)/12,4)</f>
        <v>25.284500000000001</v>
      </c>
      <c r="Q198" s="2">
        <f t="shared" ca="1" si="39"/>
        <v>8.16</v>
      </c>
      <c r="R198" s="2" t="str">
        <f ca="1">SIGN(S199-Panchanga!$S198)*INT(Panchanga!$S198/30+1)&amp;"Ma,"&amp;SIGN(T199-Panchanga!$T198)*INT(Panchanga!$T198/30+1)&amp;"Me,"&amp;SIGN(U199-Panchanga!$U198)*INT(Panchanga!$U198/30+1)&amp;"Ju,"&amp;SIGN(V199-Panchanga!$V198)*INT(Panchanga!$V198/30+1)&amp;"Ve,"&amp;SIGN(W199-Panchanga!$W198)*INT(Panchanga!$W198/30+1)&amp;"Sa,"&amp;INT(Panchanga!$X198/30+1)&amp;"Ra"</f>
        <v>-10Ma,4Me,-7Ju,5Ve,-9Sa,4Ra</v>
      </c>
      <c r="S198" s="2">
        <f ca="1">Planet(Panchanga!$E198,4)</f>
        <v>284.18629127822311</v>
      </c>
      <c r="T198" s="2">
        <f ca="1">Planet(Panchanga!$E198,2)</f>
        <v>108.82687513370169</v>
      </c>
      <c r="U198" s="2">
        <f ca="1">Planet(Panchanga!$E198,5)</f>
        <v>199.23671075988648</v>
      </c>
      <c r="V198" s="2">
        <f ca="1">Planet(Panchanga!$E198,3)</f>
        <v>124.66458529255456</v>
      </c>
      <c r="W198" s="2">
        <f ca="1">Planet(Panchanga!$E198,6)</f>
        <v>250.90860564163145</v>
      </c>
      <c r="X198" s="2">
        <f ca="1">Planet(Panchanga!$E198,10)</f>
        <v>102.7752379477822</v>
      </c>
      <c r="Y198" s="2">
        <f ca="1">SIGN(S199-Panchanga!$S198)</f>
        <v>-1</v>
      </c>
    </row>
    <row r="199" spans="1:25" x14ac:dyDescent="0.2">
      <c r="A199" s="3">
        <f t="shared" ca="1" si="32"/>
        <v>43291</v>
      </c>
      <c r="B199" s="3">
        <f t="shared" ca="1" si="33"/>
        <v>43291.229166666664</v>
      </c>
      <c r="C199" s="5">
        <f t="shared" ca="1" si="34"/>
        <v>43291.242758955959</v>
      </c>
      <c r="D199" s="5">
        <f t="shared" ca="1" si="35"/>
        <v>43290.777971406977</v>
      </c>
      <c r="E199" s="60">
        <f ca="1">Panchanga!$C199-TimeZone/24</f>
        <v>43291.013592289295</v>
      </c>
      <c r="F199" s="61">
        <f t="shared" ca="1" si="36"/>
        <v>83.615093821126209</v>
      </c>
      <c r="G199" s="61">
        <f t="shared" ca="1" si="37"/>
        <v>40.293490992469408</v>
      </c>
      <c r="H199" s="62">
        <f t="shared" ca="1" si="38"/>
        <v>43291.013592289295</v>
      </c>
      <c r="I199" s="2" t="str">
        <f ca="1">naks(Panchanga!$G199)</f>
        <v>Rohini</v>
      </c>
      <c r="J199" s="5">
        <f ca="1">(C200-Panchanga!$C199)/(G200-Panchanga!$G199)*(13.3333333333333-MOD(Panchanga!$G199,13.333333333333))+Panchanga!$C199</f>
        <v>43292.134203565634</v>
      </c>
      <c r="K199" s="2" t="str">
        <f ca="1">IF(Panchanga!$P199&gt;15,"K","S")&amp;ROUNDUP(MOD(Panchanga!$P199,15),0)&amp;" ("&amp;ROUND(Panchanga!$P199,2)&amp;")"</f>
        <v>K12 (26.39)</v>
      </c>
      <c r="L199" s="2">
        <f ca="1">IF(AND(Panchanga!$P199&lt;28.5,Panchanga!$P199&gt;0.49999),MOD((Panchanga!$P199-0.5)*2,7),MOD((Panchanga!$P199+30-28.5),30)*2+7)</f>
        <v>2.7798000000000016</v>
      </c>
      <c r="M199" s="2" t="str">
        <f ca="1">CHOOSE(ROUNDUP(Panchanga!$L199,0),"Bhava","Baalava","Kaulava","Taitula","Garija","Vanija","Vishti","Shakuni","Chatushapda","Naaga","Kimstugna")</f>
        <v>Kaulava</v>
      </c>
      <c r="N199" s="25" t="str">
        <f ca="1">CHOOSE(ROUNDUP(Panchanga!$Q199,0),"Vishkambha-विष्कम्भ-Sa","Priti-प्रीति-Me","Ayushman-आयुष्मान-Ke","Saubhagya-सौभाग्य-Ve","Shobhana-शोभन-Su","Atiganda-अतिगण्ड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("&amp;Panchanga!$Q199&amp;")"</f>
        <v>Ganda-गण्ड -Sa (9.3)</v>
      </c>
      <c r="O199" s="2">
        <f ca="1">IF(AND(Panchanga!$P199&lt;28.5,Panchanga!$P199&gt;0.49999),MOD((Panchanga!$P199-0.5)*2,7),MOD((Panchanga!$P199+30-28.5),30)*2+7)</f>
        <v>2.7798000000000016</v>
      </c>
      <c r="P199" s="2">
        <f ca="1">ROUNDUP(MOD(360+Panchanga!$G199-Panchanga!$F199,360)/12,4)</f>
        <v>26.389900000000001</v>
      </c>
      <c r="Q199" s="2">
        <f t="shared" ca="1" si="39"/>
        <v>9.2999999999999989</v>
      </c>
      <c r="R199" s="2" t="str">
        <f ca="1">SIGN(S200-Panchanga!$S199)*INT(Panchanga!$S199/30+1)&amp;"Ma,"&amp;SIGN(T200-Panchanga!$T199)*INT(Panchanga!$T199/30+1)&amp;"Me,"&amp;SIGN(U200-Panchanga!$U199)*INT(Panchanga!$U199/30+1)&amp;"Ju,"&amp;SIGN(V200-Panchanga!$V199)*INT(Panchanga!$V199/30+1)&amp;"Ve,"&amp;SIGN(W200-Panchanga!$W199)*INT(Panchanga!$W199/30+1)&amp;"Sa,"&amp;INT(Panchanga!$X199/30+1)&amp;"Ra"</f>
        <v>-10Ma,4Me,-7Ju,5Ve,-9Sa,4Ra</v>
      </c>
      <c r="S199" s="2">
        <f ca="1">Planet(Panchanga!$E199,4)</f>
        <v>284.03069483114103</v>
      </c>
      <c r="T199" s="2">
        <f ca="1">Planet(Panchanga!$E199,2)</f>
        <v>109.91252720827299</v>
      </c>
      <c r="U199" s="2">
        <f ca="1">Planet(Panchanga!$E199,5)</f>
        <v>199.23300933868202</v>
      </c>
      <c r="V199" s="2">
        <f ca="1">Planet(Panchanga!$E199,3)</f>
        <v>125.78525578615394</v>
      </c>
      <c r="W199" s="2">
        <f ca="1">Planet(Panchanga!$E199,6)</f>
        <v>250.83745531825124</v>
      </c>
      <c r="X199" s="2">
        <f ca="1">Planet(Panchanga!$E199,10)</f>
        <v>102.7222353375802</v>
      </c>
      <c r="Y199" s="2">
        <f ca="1">SIGN(S200-Panchanga!$S199)</f>
        <v>-1</v>
      </c>
    </row>
    <row r="200" spans="1:25" x14ac:dyDescent="0.2">
      <c r="A200" s="3">
        <f t="shared" ca="1" si="32"/>
        <v>43292</v>
      </c>
      <c r="B200" s="3">
        <f t="shared" ca="1" si="33"/>
        <v>43292.229166666664</v>
      </c>
      <c r="C200" s="5">
        <f t="shared" ca="1" si="34"/>
        <v>43292.242959545612</v>
      </c>
      <c r="D200" s="5">
        <f t="shared" ca="1" si="35"/>
        <v>43291.777971406977</v>
      </c>
      <c r="E200" s="60">
        <f ca="1">Panchanga!$C200-TimeZone/24</f>
        <v>43292.013792878948</v>
      </c>
      <c r="F200" s="61">
        <f t="shared" ca="1" si="36"/>
        <v>84.569103874152859</v>
      </c>
      <c r="G200" s="61">
        <f t="shared" ca="1" si="37"/>
        <v>54.92419026053097</v>
      </c>
      <c r="H200" s="62">
        <f t="shared" ca="1" si="38"/>
        <v>43292.013792878948</v>
      </c>
      <c r="I200" s="2" t="str">
        <f ca="1">naks(Panchanga!$G200)</f>
        <v>Mrigashira</v>
      </c>
      <c r="J200" s="5">
        <f ca="1">(C201-Panchanga!$C200)/(G201-Panchanga!$G200)*(13.3333333333333-MOD(Panchanga!$G200,13.333333333333))+Panchanga!$C200</f>
        <v>43293.028404118675</v>
      </c>
      <c r="K200" s="2" t="str">
        <f ca="1">IF(Panchanga!$P200&gt;15,"K","S")&amp;ROUNDUP(MOD(Panchanga!$P200,15),0)&amp;" ("&amp;ROUND(Panchanga!$P200,2)&amp;")"</f>
        <v>K13 (27.53)</v>
      </c>
      <c r="L200" s="2">
        <f ca="1">IF(AND(Panchanga!$P200&lt;28.5,Panchanga!$P200&gt;0.49999),MOD((Panchanga!$P200-0.5)*2,7),MOD((Panchanga!$P200+30-28.5),30)*2+7)</f>
        <v>5.059199999999997</v>
      </c>
      <c r="M200" s="2" t="str">
        <f ca="1">CHOOSE(ROUNDUP(Panchanga!$L200,0),"Bhava","Baalava","Kaulava","Taitula","Garija","Vanija","Vishti","Shakuni","Chatushapda","Naaga","Kimstugna")</f>
        <v>Vanija</v>
      </c>
      <c r="N200" s="25" t="str">
        <f ca="1">CHOOSE(ROUNDUP(Panchanga!$Q200,0),"Vishkambha-विष्कम्भ-Sa","Priti-प्रीति-Me","Ayushman-आयुष्मान-Ke","Saubhagya-सौभाग्य-Ve","Shobhana-शोभन-Su","Atiganda-अतिगण्ड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("&amp;Panchanga!$Q200&amp;")"</f>
        <v>Vriddhi-वृद्धि -Me (10.47)</v>
      </c>
      <c r="O200" s="2">
        <f ca="1">IF(AND(Panchanga!$P200&lt;28.5,Panchanga!$P200&gt;0.49999),MOD((Panchanga!$P200-0.5)*2,7),MOD((Panchanga!$P200+30-28.5),30)*2+7)</f>
        <v>5.059199999999997</v>
      </c>
      <c r="P200" s="2">
        <f ca="1">ROUNDUP(MOD(360+Panchanga!$G200-Panchanga!$F200,360)/12,4)</f>
        <v>27.529599999999999</v>
      </c>
      <c r="Q200" s="2">
        <f t="shared" ca="1" si="39"/>
        <v>10.47</v>
      </c>
      <c r="R200" s="2" t="str">
        <f ca="1">SIGN(S201-Panchanga!$S200)*INT(Panchanga!$S200/30+1)&amp;"Ma,"&amp;SIGN(T201-Panchanga!$T200)*INT(Panchanga!$T200/30+1)&amp;"Me,"&amp;SIGN(U201-Panchanga!$U200)*INT(Panchanga!$U200/30+1)&amp;"Ju,"&amp;SIGN(V201-Panchanga!$V200)*INT(Panchanga!$V200/30+1)&amp;"Ve,"&amp;SIGN(W201-Panchanga!$W200)*INT(Panchanga!$W200/30+1)&amp;"Sa,"&amp;INT(Panchanga!$X200/30+1)&amp;"Ra"</f>
        <v>-10Ma,4Me,7Ju,5Ve,-9Sa,4Ra</v>
      </c>
      <c r="S200" s="2">
        <f ca="1">Planet(Panchanga!$E200,4)</f>
        <v>283.86388686683551</v>
      </c>
      <c r="T200" s="2">
        <f ca="1">Planet(Panchanga!$E200,2)</f>
        <v>110.95002679220796</v>
      </c>
      <c r="U200" s="2">
        <f ca="1">Planet(Panchanga!$E200,5)</f>
        <v>199.23234047766664</v>
      </c>
      <c r="V200" s="2">
        <f ca="1">Planet(Panchanga!$E200,3)</f>
        <v>126.90361102833656</v>
      </c>
      <c r="W200" s="2">
        <f ca="1">Planet(Panchanga!$E200,6)</f>
        <v>250.76675420138349</v>
      </c>
      <c r="X200" s="2">
        <f ca="1">Planet(Panchanga!$E200,10)</f>
        <v>102.6692327104973</v>
      </c>
      <c r="Y200" s="2">
        <f ca="1">SIGN(S201-Panchanga!$S200)</f>
        <v>-1</v>
      </c>
    </row>
    <row r="201" spans="1:25" x14ac:dyDescent="0.2">
      <c r="A201" s="3">
        <f t="shared" ca="1" si="32"/>
        <v>43293</v>
      </c>
      <c r="B201" s="3">
        <f t="shared" ca="1" si="33"/>
        <v>43293.229166666664</v>
      </c>
      <c r="C201" s="5">
        <f t="shared" ca="1" si="34"/>
        <v>43293.243159817219</v>
      </c>
      <c r="D201" s="5">
        <f t="shared" ca="1" si="35"/>
        <v>43292.777961393396</v>
      </c>
      <c r="E201" s="60">
        <f ca="1">Panchanga!$C201-TimeZone/24</f>
        <v>43293.013993150555</v>
      </c>
      <c r="F201" s="61">
        <f t="shared" ca="1" si="36"/>
        <v>85.523209840321854</v>
      </c>
      <c r="G201" s="61">
        <f t="shared" ca="1" si="37"/>
        <v>69.877286244092232</v>
      </c>
      <c r="H201" s="62">
        <f t="shared" ca="1" si="38"/>
        <v>43293.013993150555</v>
      </c>
      <c r="I201" s="2" t="str">
        <f ca="1">naks(Panchanga!$G201)</f>
        <v>Ardra</v>
      </c>
      <c r="J201" s="5">
        <f ca="1">(C202-Panchanga!$C201)/(G202-Panchanga!$G201)*(13.3333333333333-MOD(Panchanga!$G201,13.333333333333))+Panchanga!$C201</f>
        <v>43293.911658304671</v>
      </c>
      <c r="K201" s="2" t="str">
        <f ca="1">IF(Panchanga!$P201&gt;15,"K","S")&amp;ROUNDUP(MOD(Panchanga!$P201,15),0)&amp;" ("&amp;ROUND(Panchanga!$P201,2)&amp;")"</f>
        <v>K14 (28.7)</v>
      </c>
      <c r="L201" s="2">
        <f ca="1">IF(AND(Panchanga!$P201&lt;28.5,Panchanga!$P201&gt;0.49999),MOD((Panchanga!$P201-0.5)*2,7),MOD((Panchanga!$P201+30-28.5),30)*2+7)</f>
        <v>7.3924000000000092</v>
      </c>
      <c r="M201" s="2" t="str">
        <f ca="1">CHOOSE(ROUNDUP(Panchanga!$L201,0),"Bhava","Baalava","Kaulava","Taitula","Garija","Vanija","Vishti","Shakuni","Chatushapda","Naaga","Kimstugna")</f>
        <v>Shakuni</v>
      </c>
      <c r="N201" s="25" t="str">
        <f ca="1">CHOOSE(ROUNDUP(Panchanga!$Q201,0),"Vishkambha-विष्कम्भ-Sa","Priti-प्रीति-Me","Ayushman-आयुष्मान-Ke","Saubhagya-सौभाग्य-Ve","Shobhana-शोभन-Su","Atiganda-अतिगण्ड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("&amp;Panchanga!$Q201&amp;")"</f>
        <v>Dhruva-ध्रुव -Ke (11.66)</v>
      </c>
      <c r="O201" s="2">
        <f ca="1">IF(AND(Panchanga!$P201&lt;28.5,Panchanga!$P201&gt;0.49999),MOD((Panchanga!$P201-0.5)*2,7),MOD((Panchanga!$P201+30-28.5),30)*2+7)</f>
        <v>7.3924000000000092</v>
      </c>
      <c r="P201" s="2">
        <f ca="1">ROUNDUP(MOD(360+Panchanga!$G201-Panchanga!$F201,360)/12,4)</f>
        <v>28.696200000000001</v>
      </c>
      <c r="Q201" s="2">
        <f t="shared" ca="1" si="39"/>
        <v>11.66</v>
      </c>
      <c r="R201" s="2" t="str">
        <f ca="1">SIGN(S202-Panchanga!$S201)*INT(Panchanga!$S201/30+1)&amp;"Ma,"&amp;SIGN(T202-Panchanga!$T201)*INT(Panchanga!$T201/30+1)&amp;"Me,"&amp;SIGN(U202-Panchanga!$U201)*INT(Panchanga!$U201/30+1)&amp;"Ju,"&amp;SIGN(V202-Panchanga!$V201)*INT(Panchanga!$V201/30+1)&amp;"Ve,"&amp;SIGN(W202-Panchanga!$W201)*INT(Panchanga!$W201/30+1)&amp;"Sa,"&amp;INT(Panchanga!$X201/30+1)&amp;"Ra"</f>
        <v>-10Ma,4Me,7Ju,5Ve,-9Sa,4Ra</v>
      </c>
      <c r="S201" s="2">
        <f ca="1">Planet(Panchanga!$E201,4)</f>
        <v>283.68623478305267</v>
      </c>
      <c r="T201" s="2">
        <f ca="1">Planet(Panchanga!$E201,2)</f>
        <v>111.93778962017703</v>
      </c>
      <c r="U201" s="2">
        <f ca="1">Planet(Panchanga!$E201,5)</f>
        <v>199.23470721370094</v>
      </c>
      <c r="V201" s="2">
        <f ca="1">Planet(Panchanga!$E201,3)</f>
        <v>128.01959513856883</v>
      </c>
      <c r="W201" s="2">
        <f ca="1">Planet(Panchanga!$E201,6)</f>
        <v>250.69654030679783</v>
      </c>
      <c r="X201" s="2">
        <f ca="1">Planet(Panchanga!$E201,10)</f>
        <v>102.61623010031717</v>
      </c>
      <c r="Y201" s="2">
        <f ca="1">SIGN(S202-Panchanga!$S201)</f>
        <v>-1</v>
      </c>
    </row>
    <row r="202" spans="1:25" x14ac:dyDescent="0.2">
      <c r="A202" s="3">
        <f t="shared" ca="1" si="32"/>
        <v>43294</v>
      </c>
      <c r="B202" s="3">
        <f t="shared" ca="1" si="33"/>
        <v>43294.229166666664</v>
      </c>
      <c r="C202" s="5">
        <f t="shared" ca="1" si="34"/>
        <v>43294.243359770779</v>
      </c>
      <c r="D202" s="5">
        <f t="shared" ca="1" si="35"/>
        <v>43293.777941684282</v>
      </c>
      <c r="E202" s="60">
        <f ca="1">Panchanga!$C202-TimeZone/24</f>
        <v>43294.014193104114</v>
      </c>
      <c r="F202" s="61">
        <f t="shared" ca="1" si="36"/>
        <v>86.477400741320352</v>
      </c>
      <c r="G202" s="61">
        <f t="shared" ca="1" si="37"/>
        <v>85.022777249082409</v>
      </c>
      <c r="H202" s="62">
        <f t="shared" ca="1" si="38"/>
        <v>43294.014193104114</v>
      </c>
      <c r="I202" s="2" t="str">
        <f ca="1">naks(Panchanga!$G202)</f>
        <v>Punarvasu</v>
      </c>
      <c r="J202" s="5">
        <f ca="1">(C203-Panchanga!$C202)/(G203-Panchanga!$G202)*(13.3333333333333-MOD(Panchanga!$G202,13.333333333333))+Panchanga!$C202</f>
        <v>43294.790822385803</v>
      </c>
      <c r="K202" s="2" t="str">
        <f ca="1">IF(Panchanga!$P202&gt;15,"K","S")&amp;ROUNDUP(MOD(Panchanga!$P202,15),0)&amp;" ("&amp;ROUND(Panchanga!$P202,2)&amp;")"</f>
        <v>K15 (29.88)</v>
      </c>
      <c r="L202" s="2">
        <f ca="1">IF(AND(Panchanga!$P202&lt;28.5,Panchanga!$P202&gt;0.49999),MOD((Panchanga!$P202-0.5)*2,7),MOD((Panchanga!$P202+30-28.5),30)*2+7)</f>
        <v>9.7575999999999965</v>
      </c>
      <c r="M202" s="2" t="str">
        <f ca="1">CHOOSE(ROUNDUP(Panchanga!$L202,0),"Bhava","Baalava","Kaulava","Taitula","Garija","Vanija","Vishti","Shakuni","Chatushapda","Naaga","Kimstugna")</f>
        <v>Naaga</v>
      </c>
      <c r="N202" s="25" t="str">
        <f ca="1">CHOOSE(ROUNDUP(Panchanga!$Q202,0),"Vishkambha-विष्कम्भ-Sa","Priti-प्रीति-Me","Ayushman-आयुष्मान-Ke","Saubhagya-सौभाग्य-Ve","Shobhana-शोभन-Su","Atiganda-अतिगण्ड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("&amp;Panchanga!$Q202&amp;")"</f>
        <v>Vyaghata-व्याघात-ve (12.87)</v>
      </c>
      <c r="O202" s="2">
        <f ca="1">IF(AND(Panchanga!$P202&lt;28.5,Panchanga!$P202&gt;0.49999),MOD((Panchanga!$P202-0.5)*2,7),MOD((Panchanga!$P202+30-28.5),30)*2+7)</f>
        <v>9.7575999999999965</v>
      </c>
      <c r="P202" s="2">
        <f ca="1">ROUNDUP(MOD(360+Panchanga!$G202-Panchanga!$F202,360)/12,4)</f>
        <v>29.878799999999998</v>
      </c>
      <c r="Q202" s="2">
        <f t="shared" ca="1" si="39"/>
        <v>12.87</v>
      </c>
      <c r="R202" s="2" t="str">
        <f ca="1">SIGN(S203-Panchanga!$S202)*INT(Panchanga!$S202/30+1)&amp;"Ma,"&amp;SIGN(T203-Panchanga!$T202)*INT(Panchanga!$T202/30+1)&amp;"Me,"&amp;SIGN(U203-Panchanga!$U202)*INT(Panchanga!$U202/30+1)&amp;"Ju,"&amp;SIGN(V203-Panchanga!$V202)*INT(Panchanga!$V202/30+1)&amp;"Ve,"&amp;SIGN(W203-Panchanga!$W202)*INT(Panchanga!$W202/30+1)&amp;"Sa,"&amp;INT(Panchanga!$X202/30+1)&amp;"Ra"</f>
        <v>-10Ma,4Me,7Ju,5Ve,-9Sa,4Ra</v>
      </c>
      <c r="S202" s="2">
        <f ca="1">Planet(Panchanga!$E202,4)</f>
        <v>283.498159641641</v>
      </c>
      <c r="T202" s="2">
        <f ca="1">Planet(Panchanga!$E202,2)</f>
        <v>112.87407927076865</v>
      </c>
      <c r="U202" s="2">
        <f ca="1">Planet(Panchanga!$E202,5)</f>
        <v>199.24011074859578</v>
      </c>
      <c r="V202" s="2">
        <f ca="1">Planet(Panchanga!$E202,3)</f>
        <v>129.13314496105494</v>
      </c>
      <c r="W202" s="2">
        <f ca="1">Planet(Panchanga!$E202,6)</f>
        <v>250.62685174224256</v>
      </c>
      <c r="X202" s="2">
        <f ca="1">Planet(Panchanga!$E202,10)</f>
        <v>102.56322750699015</v>
      </c>
      <c r="Y202" s="2">
        <f ca="1">SIGN(S203-Panchanga!$S202)</f>
        <v>-1</v>
      </c>
    </row>
    <row r="203" spans="1:25" x14ac:dyDescent="0.2">
      <c r="A203" s="3">
        <f t="shared" ref="A203:A266" ca="1" si="40">A202+1</f>
        <v>43295</v>
      </c>
      <c r="B203" s="3">
        <f t="shared" ca="1" si="33"/>
        <v>43295.229166666664</v>
      </c>
      <c r="C203" s="5">
        <f t="shared" ca="1" si="34"/>
        <v>43295.243559088711</v>
      </c>
      <c r="D203" s="5">
        <f t="shared" ca="1" si="35"/>
        <v>43294.777911643541</v>
      </c>
      <c r="E203" s="60">
        <f ca="1">Panchanga!$C203-TimeZone/24</f>
        <v>43295.014392422047</v>
      </c>
      <c r="F203" s="61">
        <f t="shared" ca="1" si="36"/>
        <v>87.431662402117325</v>
      </c>
      <c r="G203" s="61">
        <f t="shared" ca="1" si="37"/>
        <v>100.20593733895718</v>
      </c>
      <c r="H203" s="62">
        <f t="shared" ca="1" si="38"/>
        <v>43295.014392422047</v>
      </c>
      <c r="I203" s="2" t="str">
        <f ca="1">naks(Panchanga!$G203)</f>
        <v>Pushya</v>
      </c>
      <c r="J203" s="5">
        <f ca="1">(C204-Panchanga!$C203)/(G204-Panchanga!$G203)*(13.3333333333333-MOD(Panchanga!$G203,13.333333333333))+Panchanga!$C203</f>
        <v>43295.672520435473</v>
      </c>
      <c r="K203" s="2" t="str">
        <f ca="1">IF(Panchanga!$P203&gt;15,"K","S")&amp;ROUNDUP(MOD(Panchanga!$P203,15),0)&amp;" ("&amp;ROUND(Panchanga!$P203,2)&amp;")"</f>
        <v>S2 (1.06)</v>
      </c>
      <c r="L203" s="2">
        <f ca="1">IF(AND(Panchanga!$P203&lt;28.5,Panchanga!$P203&gt;0.49999),MOD((Panchanga!$P203-0.5)*2,7),MOD((Panchanga!$P203+30-28.5),30)*2+7)</f>
        <v>1.1292</v>
      </c>
      <c r="M203" s="2" t="str">
        <f ca="1">CHOOSE(ROUNDUP(Panchanga!$L203,0),"Bhava","Baalava","Kaulava","Taitula","Garija","Vanija","Vishti","Shakuni","Chatushapda","Naaga","Kimstugna")</f>
        <v>Baalava</v>
      </c>
      <c r="N203" s="25" t="str">
        <f ca="1">CHOOSE(ROUNDUP(Panchanga!$Q203,0),"Vishkambha-विष्कम्भ-Sa","Priti-प्रीति-Me","Ayushman-आयुष्मान-Ke","Saubhagya-सौभाग्य-Ve","Shobhana-शोभन-Su","Atiganda-अतिगण्ड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("&amp;Panchanga!$Q203&amp;")"</f>
        <v>Vajra-वज्र-Mo (14.08)</v>
      </c>
      <c r="O203" s="2">
        <f ca="1">IF(AND(Panchanga!$P203&lt;28.5,Panchanga!$P203&gt;0.49999),MOD((Panchanga!$P203-0.5)*2,7),MOD((Panchanga!$P203+30-28.5),30)*2+7)</f>
        <v>1.1292</v>
      </c>
      <c r="P203" s="2">
        <f ca="1">ROUNDUP(MOD(360+Panchanga!$G203-Panchanga!$F203,360)/12,4)</f>
        <v>1.0646</v>
      </c>
      <c r="Q203" s="2">
        <f t="shared" ca="1" si="39"/>
        <v>14.08</v>
      </c>
      <c r="R203" s="2" t="str">
        <f ca="1">SIGN(S204-Panchanga!$S203)*INT(Panchanga!$S203/30+1)&amp;"Ma,"&amp;SIGN(T204-Panchanga!$T203)*INT(Panchanga!$T203/30+1)&amp;"Me,"&amp;SIGN(U204-Panchanga!$U203)*INT(Panchanga!$U203/30+1)&amp;"Ju,"&amp;SIGN(V204-Panchanga!$V203)*INT(Panchanga!$V203/30+1)&amp;"Ve,"&amp;SIGN(W204-Panchanga!$W203)*INT(Panchanga!$W203/30+1)&amp;"Sa,"&amp;INT(Panchanga!$X203/30+1)&amp;"Ra"</f>
        <v>-10Ma,4Me,7Ju,5Ve,-9Sa,4Ra</v>
      </c>
      <c r="S203" s="2">
        <f ca="1">Planet(Panchanga!$E203,4)</f>
        <v>283.300133702084</v>
      </c>
      <c r="T203" s="2">
        <f ca="1">Planet(Panchanga!$E203,2)</f>
        <v>113.75700560179379</v>
      </c>
      <c r="U203" s="2">
        <f ca="1">Planet(Panchanga!$E203,5)</f>
        <v>199.24854993640133</v>
      </c>
      <c r="V203" s="2">
        <f ca="1">Planet(Panchanga!$E203,3)</f>
        <v>130.24418859564932</v>
      </c>
      <c r="W203" s="2">
        <f ca="1">Planet(Panchanga!$E203,6)</f>
        <v>250.55772647600793</v>
      </c>
      <c r="X203" s="2">
        <f ca="1">Planet(Panchanga!$E203,10)</f>
        <v>102.51022494733363</v>
      </c>
      <c r="Y203" s="2">
        <f ca="1">SIGN(S204-Panchanga!$S203)</f>
        <v>-1</v>
      </c>
    </row>
    <row r="204" spans="1:25" x14ac:dyDescent="0.2">
      <c r="A204" s="3">
        <f t="shared" ca="1" si="40"/>
        <v>43296</v>
      </c>
      <c r="B204" s="3">
        <f t="shared" ca="1" si="33"/>
        <v>43296.229166666664</v>
      </c>
      <c r="C204" s="5">
        <f t="shared" ca="1" si="34"/>
        <v>43296.243757135388</v>
      </c>
      <c r="D204" s="5">
        <f t="shared" ca="1" si="35"/>
        <v>43295.77787158922</v>
      </c>
      <c r="E204" s="60">
        <f ca="1">Panchanga!$C204-TimeZone/24</f>
        <v>43296.014590468723</v>
      </c>
      <c r="F204" s="61">
        <f t="shared" ca="1" si="36"/>
        <v>88.385979772667639</v>
      </c>
      <c r="G204" s="61">
        <f t="shared" ca="1" si="37"/>
        <v>115.27025234640347</v>
      </c>
      <c r="H204" s="62">
        <f t="shared" ca="1" si="38"/>
        <v>43296.014590468723</v>
      </c>
      <c r="I204" s="2" t="str">
        <f ca="1">naks(Panchanga!$G204)</f>
        <v>Aslesha</v>
      </c>
      <c r="J204" s="5">
        <f ca="1">(C205-Panchanga!$C204)/(G205-Panchanga!$G204)*(13.3333333333333-MOD(Panchanga!$G204,13.333333333333))+Panchanga!$C204</f>
        <v>43296.563184209132</v>
      </c>
      <c r="K204" s="2" t="str">
        <f ca="1">IF(Panchanga!$P204&gt;15,"K","S")&amp;ROUNDUP(MOD(Panchanga!$P204,15),0)&amp;" ("&amp;ROUND(Panchanga!$P204,2)&amp;")"</f>
        <v>S3 (2.24)</v>
      </c>
      <c r="L204" s="2">
        <f ca="1">IF(AND(Panchanga!$P204&lt;28.5,Panchanga!$P204&gt;0.49999),MOD((Panchanga!$P204-0.5)*2,7),MOD((Panchanga!$P204+30-28.5),30)*2+7)</f>
        <v>3.4808000000000003</v>
      </c>
      <c r="M204" s="2" t="str">
        <f ca="1">CHOOSE(ROUNDUP(Panchanga!$L204,0),"Bhava","Baalava","Kaulava","Taitula","Garija","Vanija","Vishti","Shakuni","Chatushapda","Naaga","Kimstugna")</f>
        <v>Taitula</v>
      </c>
      <c r="N204" s="25" t="str">
        <f ca="1">CHOOSE(ROUNDUP(Panchanga!$Q204,0),"Vishkambha-विष्कम्भ-Sa","Priti-प्रीति-Me","Ayushman-आयुष्मान-Ke","Saubhagya-सौभाग्य-Ve","Shobhana-शोभन-Su","Atiganda-अतिगण्ड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("&amp;Panchanga!$Q204&amp;")"</f>
        <v>Siddhi-सिद्धि-Ma (15.28)</v>
      </c>
      <c r="O204" s="2">
        <f ca="1">IF(AND(Panchanga!$P204&lt;28.5,Panchanga!$P204&gt;0.49999),MOD((Panchanga!$P204-0.5)*2,7),MOD((Panchanga!$P204+30-28.5),30)*2+7)</f>
        <v>3.4808000000000003</v>
      </c>
      <c r="P204" s="2">
        <f ca="1">ROUNDUP(MOD(360+Panchanga!$G204-Panchanga!$F204,360)/12,4)</f>
        <v>2.2404000000000002</v>
      </c>
      <c r="Q204" s="2">
        <f t="shared" ca="1" si="39"/>
        <v>15.28</v>
      </c>
      <c r="R204" s="2" t="str">
        <f ca="1">SIGN(S205-Panchanga!$S204)*INT(Panchanga!$S204/30+1)&amp;"Ma,"&amp;SIGN(T205-Panchanga!$T204)*INT(Panchanga!$T204/30+1)&amp;"Me,"&amp;SIGN(U205-Panchanga!$U204)*INT(Panchanga!$U204/30+1)&amp;"Ju,"&amp;SIGN(V205-Panchanga!$V204)*INT(Panchanga!$V204/30+1)&amp;"Ve,"&amp;SIGN(W205-Panchanga!$W204)*INT(Panchanga!$W204/30+1)&amp;"Sa,"&amp;INT(Panchanga!$X204/30+1)&amp;"Ra"</f>
        <v>-10Ma,4Me,7Ju,5Ve,-9Sa,4Ra</v>
      </c>
      <c r="S204" s="2">
        <f ca="1">Planet(Panchanga!$E204,4)</f>
        <v>283.09267413318059</v>
      </c>
      <c r="T204" s="2">
        <f ca="1">Planet(Panchanga!$E204,2)</f>
        <v>114.58452781534606</v>
      </c>
      <c r="U204" s="2">
        <f ca="1">Planet(Panchanga!$E204,5)</f>
        <v>199.26002089185229</v>
      </c>
      <c r="V204" s="2">
        <f ca="1">Planet(Panchanga!$E204,3)</f>
        <v>131.35264616514837</v>
      </c>
      <c r="W204" s="2">
        <f ca="1">Planet(Panchanga!$E204,6)</f>
        <v>250.48920196251137</v>
      </c>
      <c r="X204" s="2">
        <f ca="1">Planet(Panchanga!$E204,10)</f>
        <v>102.4572224550484</v>
      </c>
      <c r="Y204" s="2">
        <f ca="1">SIGN(S205-Panchanga!$S204)</f>
        <v>-1</v>
      </c>
    </row>
    <row r="205" spans="1:25" x14ac:dyDescent="0.2">
      <c r="A205" s="3">
        <f t="shared" ca="1" si="40"/>
        <v>43297</v>
      </c>
      <c r="B205" s="3">
        <f t="shared" ca="1" si="33"/>
        <v>43297.229166666664</v>
      </c>
      <c r="C205" s="5">
        <f t="shared" ca="1" si="34"/>
        <v>43297.243953909878</v>
      </c>
      <c r="D205" s="5">
        <f t="shared" ca="1" si="35"/>
        <v>43296.777820885225</v>
      </c>
      <c r="E205" s="60">
        <f ca="1">Panchanga!$C205-TimeZone/24</f>
        <v>43297.014787243214</v>
      </c>
      <c r="F205" s="61">
        <f t="shared" ca="1" si="36"/>
        <v>89.340340381352604</v>
      </c>
      <c r="G205" s="61">
        <f t="shared" ca="1" si="37"/>
        <v>130.08013771977801</v>
      </c>
      <c r="H205" s="62">
        <f t="shared" ca="1" si="38"/>
        <v>43297.014787243214</v>
      </c>
      <c r="I205" s="2" t="str">
        <f ca="1">naks(Panchanga!$G205)</f>
        <v>Makha</v>
      </c>
      <c r="J205" s="5">
        <f ca="1">(C206-Panchanga!$C205)/(G206-Panchanga!$G205)*(13.3333333333333-MOD(Panchanga!$G205,13.333333333333))+Panchanga!$C205</f>
        <v>43297.469025632534</v>
      </c>
      <c r="K205" s="2" t="str">
        <f ca="1">IF(Panchanga!$P205&gt;15,"K","S")&amp;ROUNDUP(MOD(Panchanga!$P205,15),0)&amp;" ("&amp;ROUND(Panchanga!$P205,2)&amp;")"</f>
        <v>S4 (3.4)</v>
      </c>
      <c r="L205" s="2">
        <f ca="1">IF(AND(Panchanga!$P205&lt;28.5,Panchanga!$P205&gt;0.49999),MOD((Panchanga!$P205-0.5)*2,7),MOD((Panchanga!$P205+30-28.5),30)*2+7)</f>
        <v>5.79</v>
      </c>
      <c r="M205" s="2" t="str">
        <f ca="1">CHOOSE(ROUNDUP(Panchanga!$L205,0),"Bhava","Baalava","Kaulava","Taitula","Garija","Vanija","Vishti","Shakuni","Chatushapda","Naaga","Kimstugna")</f>
        <v>Vanija</v>
      </c>
      <c r="N205" s="25" t="str">
        <f ca="1">CHOOSE(ROUNDUP(Panchanga!$Q205,0),"Vishkambha-विष्कम्भ-Sa","Priti-प्रीति-Me","Ayushman-आयुष्मान-Ke","Saubhagya-सौभाग्य-Ve","Shobhana-शोभन-Su","Atiganda-अतिगण्ड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("&amp;Panchanga!$Q205&amp;")"</f>
        <v>Vyatipata-व्यतिपात-Ra (16.46)</v>
      </c>
      <c r="O205" s="2">
        <f ca="1">IF(AND(Panchanga!$P205&lt;28.5,Panchanga!$P205&gt;0.49999),MOD((Panchanga!$P205-0.5)*2,7),MOD((Panchanga!$P205+30-28.5),30)*2+7)</f>
        <v>5.79</v>
      </c>
      <c r="P205" s="2">
        <f ca="1">ROUNDUP(MOD(360+Panchanga!$G205-Panchanga!$F205,360)/12,4)</f>
        <v>3.395</v>
      </c>
      <c r="Q205" s="2">
        <f t="shared" ca="1" si="39"/>
        <v>16.46</v>
      </c>
      <c r="R205" s="2" t="str">
        <f ca="1">SIGN(S206-Panchanga!$S205)*INT(Panchanga!$S205/30+1)&amp;"Ma,"&amp;SIGN(T206-Panchanga!$T205)*INT(Panchanga!$T205/30+1)&amp;"Me,"&amp;SIGN(U206-Panchanga!$U205)*INT(Panchanga!$U205/30+1)&amp;"Ju,"&amp;SIGN(V206-Panchanga!$V205)*INT(Panchanga!$V205/30+1)&amp;"Ve,"&amp;SIGN(W206-Panchanga!$W205)*INT(Panchanga!$W205/30+1)&amp;"Sa,"&amp;INT(Panchanga!$X205/30+1)&amp;"Ra"</f>
        <v>-10Ma,4Me,7Ju,5Ve,-9Sa,4Ra</v>
      </c>
      <c r="S205" s="2">
        <f ca="1">Planet(Panchanga!$E205,4)</f>
        <v>282.87633413109182</v>
      </c>
      <c r="T205" s="2">
        <f ca="1">Planet(Panchanga!$E205,2)</f>
        <v>115.35446223422638</v>
      </c>
      <c r="U205" s="2">
        <f ca="1">Planet(Panchanga!$E205,5)</f>
        <v>199.27451688007255</v>
      </c>
      <c r="V205" s="2">
        <f ca="1">Planet(Panchanga!$E205,3)</f>
        <v>132.45843269537633</v>
      </c>
      <c r="W205" s="2">
        <f ca="1">Planet(Panchanga!$E205,6)</f>
        <v>250.4213147201184</v>
      </c>
      <c r="X205" s="2">
        <f ca="1">Planet(Panchanga!$E205,10)</f>
        <v>102.40422003020086</v>
      </c>
      <c r="Y205" s="2">
        <f ca="1">SIGN(S206-Panchanga!$S205)</f>
        <v>-1</v>
      </c>
    </row>
    <row r="206" spans="1:25" x14ac:dyDescent="0.2">
      <c r="A206" s="3">
        <f t="shared" ca="1" si="40"/>
        <v>43298</v>
      </c>
      <c r="B206" s="3">
        <f t="shared" ca="1" si="33"/>
        <v>43298.229166666664</v>
      </c>
      <c r="C206" s="5">
        <f t="shared" ca="1" si="34"/>
        <v>43298.244148936275</v>
      </c>
      <c r="D206" s="5">
        <f t="shared" ca="1" si="35"/>
        <v>43297.777759850069</v>
      </c>
      <c r="E206" s="60">
        <f ca="1">Panchanga!$C206-TimeZone/24</f>
        <v>43298.014982269611</v>
      </c>
      <c r="F206" s="61">
        <f t="shared" ca="1" si="36"/>
        <v>90.294735334223645</v>
      </c>
      <c r="G206" s="61">
        <f t="shared" ca="1" si="37"/>
        <v>144.5369963341621</v>
      </c>
      <c r="H206" s="62">
        <f t="shared" ca="1" si="38"/>
        <v>43298.014982269611</v>
      </c>
      <c r="I206" s="2" t="str">
        <f ca="1">naks(Panchanga!$G206)</f>
        <v>Purva Phalguni</v>
      </c>
      <c r="J206" s="5">
        <f ca="1">(C207-Panchanga!$C206)/(G207-Panchanga!$G206)*(13.3333333333333-MOD(Panchanga!$G206,13.333333333333))+Panchanga!$C206</f>
        <v>43298.395771563017</v>
      </c>
      <c r="K206" s="2" t="str">
        <f ca="1">IF(Panchanga!$P206&gt;15,"K","S")&amp;ROUNDUP(MOD(Panchanga!$P206,15),0)&amp;" ("&amp;ROUND(Panchanga!$P206,2)&amp;")"</f>
        <v>S5 (4.52)</v>
      </c>
      <c r="L206" s="2">
        <f ca="1">IF(AND(Panchanga!$P206&lt;28.5,Panchanga!$P206&gt;0.49999),MOD((Panchanga!$P206-0.5)*2,7),MOD((Panchanga!$P206+30-28.5),30)*2+7)</f>
        <v>1.0404</v>
      </c>
      <c r="M206" s="2" t="str">
        <f ca="1">CHOOSE(ROUNDUP(Panchanga!$L206,0),"Bhava","Baalava","Kaulava","Taitula","Garija","Vanija","Vishti","Shakuni","Chatushapda","Naaga","Kimstugna")</f>
        <v>Baalava</v>
      </c>
      <c r="N206" s="25" t="str">
        <f ca="1">CHOOSE(ROUNDUP(Panchanga!$Q206,0),"Vishkambha-विष्कम्भ-Sa","Priti-प्रीति-Me","Ayushman-आयुष्मान-Ke","Saubhagya-सौभाग्य-Ve","Shobhana-शोभन-Su","Atiganda-अतिगण्ड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("&amp;Panchanga!$Q206&amp;")"</f>
        <v>Varigha-वरीयस्-Ju (17.62)</v>
      </c>
      <c r="O206" s="2">
        <f ca="1">IF(AND(Panchanga!$P206&lt;28.5,Panchanga!$P206&gt;0.49999),MOD((Panchanga!$P206-0.5)*2,7),MOD((Panchanga!$P206+30-28.5),30)*2+7)</f>
        <v>1.0404</v>
      </c>
      <c r="P206" s="2">
        <f ca="1">ROUNDUP(MOD(360+Panchanga!$G206-Panchanga!$F206,360)/12,4)</f>
        <v>4.5202</v>
      </c>
      <c r="Q206" s="2">
        <f t="shared" ca="1" si="39"/>
        <v>17.62</v>
      </c>
      <c r="R206" s="2" t="str">
        <f ca="1">SIGN(S207-Panchanga!$S206)*INT(Panchanga!$S206/30+1)&amp;"Ma,"&amp;SIGN(T207-Panchanga!$T206)*INT(Panchanga!$T206/30+1)&amp;"Me,"&amp;SIGN(U207-Panchanga!$U206)*INT(Panchanga!$U206/30+1)&amp;"Ju,"&amp;SIGN(V207-Panchanga!$V206)*INT(Panchanga!$V206/30+1)&amp;"Ve,"&amp;SIGN(W207-Panchanga!$W206)*INT(Panchanga!$W206/30+1)&amp;"Sa,"&amp;INT(Panchanga!$X206/30+1)&amp;"Ra"</f>
        <v>-10Ma,4Me,7Ju,5Ve,-9Sa,4Ra</v>
      </c>
      <c r="S206" s="2">
        <f ca="1">Planet(Panchanga!$E206,4)</f>
        <v>282.65169430590583</v>
      </c>
      <c r="T206" s="2">
        <f ca="1">Planet(Panchanga!$E206,2)</f>
        <v>116.06449241676458</v>
      </c>
      <c r="U206" s="2">
        <f ca="1">Planet(Panchanga!$E206,5)</f>
        <v>199.29202849113912</v>
      </c>
      <c r="V206" s="2">
        <f ca="1">Planet(Panchanga!$E206,3)</f>
        <v>133.56145922695538</v>
      </c>
      <c r="W206" s="2">
        <f ca="1">Planet(Panchanga!$E206,6)</f>
        <v>250.35410015521944</v>
      </c>
      <c r="X206" s="2">
        <f ca="1">Planet(Panchanga!$E206,10)</f>
        <v>102.35121769797558</v>
      </c>
      <c r="Y206" s="2">
        <f ca="1">SIGN(S207-Panchanga!$S206)</f>
        <v>-1</v>
      </c>
    </row>
    <row r="207" spans="1:25" x14ac:dyDescent="0.2">
      <c r="A207" s="3">
        <f t="shared" ca="1" si="40"/>
        <v>43299</v>
      </c>
      <c r="B207" s="3">
        <f t="shared" ca="1" si="33"/>
        <v>43299.229166666664</v>
      </c>
      <c r="C207" s="5">
        <f t="shared" ca="1" si="34"/>
        <v>43299.244342055325</v>
      </c>
      <c r="D207" s="5">
        <f t="shared" ca="1" si="35"/>
        <v>43298.777688006914</v>
      </c>
      <c r="E207" s="60">
        <f ca="1">Panchanga!$C207-TimeZone/24</f>
        <v>43299.01517538866</v>
      </c>
      <c r="F207" s="61">
        <f t="shared" ca="1" si="36"/>
        <v>91.24916115810008</v>
      </c>
      <c r="G207" s="61">
        <f t="shared" ca="1" si="37"/>
        <v>158.58556981028556</v>
      </c>
      <c r="H207" s="62">
        <f t="shared" ca="1" si="38"/>
        <v>43299.01517538866</v>
      </c>
      <c r="I207" s="2" t="str">
        <f ca="1">naks(Panchanga!$G207)</f>
        <v>Uttara Phalguni</v>
      </c>
      <c r="J207" s="5">
        <f ca="1">(C208-Panchanga!$C207)/(G208-Panchanga!$G207)*(13.3333333333333-MOD(Panchanga!$G207,13.333333333333))+Panchanga!$C207</f>
        <v>43299.348167213051</v>
      </c>
      <c r="K207" s="2" t="str">
        <f ca="1">IF(Panchanga!$P207&gt;15,"K","S")&amp;ROUNDUP(MOD(Panchanga!$P207,15),0)&amp;" ("&amp;ROUND(Panchanga!$P207,2)&amp;")"</f>
        <v>S6 (5.61)</v>
      </c>
      <c r="L207" s="2">
        <f ca="1">IF(AND(Panchanga!$P207&lt;28.5,Panchanga!$P207&gt;0.49999),MOD((Panchanga!$P207-0.5)*2,7),MOD((Panchanga!$P207+30-28.5),30)*2+7)</f>
        <v>3.2227999999999994</v>
      </c>
      <c r="M207" s="2" t="str">
        <f ca="1">CHOOSE(ROUNDUP(Panchanga!$L207,0),"Bhava","Baalava","Kaulava","Taitula","Garija","Vanija","Vishti","Shakuni","Chatushapda","Naaga","Kimstugna")</f>
        <v>Taitula</v>
      </c>
      <c r="N207" s="25" t="str">
        <f ca="1">CHOOSE(ROUNDUP(Panchanga!$Q207,0),"Vishkambha-विष्कम्भ-Sa","Priti-प्रीति-Me","Ayushman-आयुष्मान-Ke","Saubhagya-सौभाग्य-Ve","Shobhana-शोभन-Su","Atiganda-अतिगण्ड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("&amp;Panchanga!$Q207&amp;")"</f>
        <v>Parigha-परिघ-Sa (18.74)</v>
      </c>
      <c r="O207" s="2">
        <f ca="1">IF(AND(Panchanga!$P207&lt;28.5,Panchanga!$P207&gt;0.49999),MOD((Panchanga!$P207-0.5)*2,7),MOD((Panchanga!$P207+30-28.5),30)*2+7)</f>
        <v>3.2227999999999994</v>
      </c>
      <c r="P207" s="2">
        <f ca="1">ROUNDUP(MOD(360+Panchanga!$G207-Panchanga!$F207,360)/12,4)</f>
        <v>5.6113999999999997</v>
      </c>
      <c r="Q207" s="2">
        <f t="shared" ca="1" si="39"/>
        <v>18.740000000000002</v>
      </c>
      <c r="R207" s="2" t="str">
        <f ca="1">SIGN(S208-Panchanga!$S207)*INT(Panchanga!$S207/30+1)&amp;"Ma,"&amp;SIGN(T208-Panchanga!$T207)*INT(Panchanga!$T207/30+1)&amp;"Me,"&amp;SIGN(U208-Panchanga!$U207)*INT(Panchanga!$U207/30+1)&amp;"Ju,"&amp;SIGN(V208-Panchanga!$V207)*INT(Panchanga!$V207/30+1)&amp;"Ve,"&amp;SIGN(W208-Panchanga!$W207)*INT(Panchanga!$W207/30+1)&amp;"Sa,"&amp;INT(Panchanga!$X207/30+1)&amp;"Ra"</f>
        <v>-10Ma,4Me,7Ju,5Ve,-9Sa,4Ra</v>
      </c>
      <c r="S207" s="2">
        <f ca="1">Planet(Panchanga!$E207,4)</f>
        <v>282.41935555839837</v>
      </c>
      <c r="T207" s="2">
        <f ca="1">Planet(Panchanga!$E207,2)</f>
        <v>116.71218501557796</v>
      </c>
      <c r="U207" s="2">
        <f ca="1">Planet(Panchanga!$E207,5)</f>
        <v>199.31254407462913</v>
      </c>
      <c r="V207" s="2">
        <f ca="1">Planet(Panchanga!$E207,3)</f>
        <v>134.66163584694132</v>
      </c>
      <c r="W207" s="2">
        <f ca="1">Planet(Panchanga!$E207,6)</f>
        <v>250.28759241186947</v>
      </c>
      <c r="X207" s="2">
        <f ca="1">Planet(Panchanga!$E207,10)</f>
        <v>102.29821546678944</v>
      </c>
      <c r="Y207" s="2">
        <f ca="1">SIGN(S208-Panchanga!$S207)</f>
        <v>-1</v>
      </c>
    </row>
    <row r="208" spans="1:25" x14ac:dyDescent="0.2">
      <c r="A208" s="3">
        <f t="shared" ca="1" si="40"/>
        <v>43300</v>
      </c>
      <c r="B208" s="3">
        <f t="shared" ca="1" si="33"/>
        <v>43300.229166666664</v>
      </c>
      <c r="C208" s="5">
        <f t="shared" ca="1" si="34"/>
        <v>43300.244533108234</v>
      </c>
      <c r="D208" s="5">
        <f t="shared" ca="1" si="35"/>
        <v>43299.777605514086</v>
      </c>
      <c r="E208" s="60">
        <f ca="1">Panchanga!$C208-TimeZone/24</f>
        <v>43300.01536644157</v>
      </c>
      <c r="F208" s="61">
        <f t="shared" ca="1" si="36"/>
        <v>92.203619568282747</v>
      </c>
      <c r="G208" s="61">
        <f t="shared" ca="1" si="37"/>
        <v>172.21136582787861</v>
      </c>
      <c r="H208" s="62">
        <f t="shared" ca="1" si="38"/>
        <v>43300.01536644157</v>
      </c>
      <c r="I208" s="2" t="str">
        <f ca="1">naks(Panchanga!$G208)</f>
        <v>Hasta</v>
      </c>
      <c r="J208" s="5">
        <f ca="1">(C209-Panchanga!$C208)/(G209-Panchanga!$G208)*(13.3333333333333-MOD(Panchanga!$G208,13.333333333333))+Panchanga!$C208</f>
        <v>43300.329411214581</v>
      </c>
      <c r="K208" s="2" t="str">
        <f ca="1">IF(Panchanga!$P208&gt;15,"K","S")&amp;ROUNDUP(MOD(Panchanga!$P208,15),0)&amp;" ("&amp;ROUND(Panchanga!$P208,2)&amp;")"</f>
        <v>S7 (6.67)</v>
      </c>
      <c r="L208" s="2">
        <f ca="1">IF(AND(Panchanga!$P208&lt;28.5,Panchanga!$P208&gt;0.49999),MOD((Panchanga!$P208-0.5)*2,7),MOD((Panchanga!$P208+30-28.5),30)*2+7)</f>
        <v>5.3347999999999995</v>
      </c>
      <c r="M208" s="2" t="str">
        <f ca="1">CHOOSE(ROUNDUP(Panchanga!$L208,0),"Bhava","Baalava","Kaulava","Taitula","Garija","Vanija","Vishti","Shakuni","Chatushapda","Naaga","Kimstugna")</f>
        <v>Vanija</v>
      </c>
      <c r="N208" s="25" t="str">
        <f ca="1">CHOOSE(ROUNDUP(Panchanga!$Q208,0),"Vishkambha-विष्कम्भ-Sa","Priti-प्रीति-Me","Ayushman-आयुष्मान-Ke","Saubhagya-सौभाग्य-Ve","Shobhana-शोभन-Su","Atiganda-अतिगण्ड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("&amp;Panchanga!$Q208&amp;")"</f>
        <v>Shiva-शिव-Me (19.84)</v>
      </c>
      <c r="O208" s="2">
        <f ca="1">IF(AND(Panchanga!$P208&lt;28.5,Panchanga!$P208&gt;0.49999),MOD((Panchanga!$P208-0.5)*2,7),MOD((Panchanga!$P208+30-28.5),30)*2+7)</f>
        <v>5.3347999999999995</v>
      </c>
      <c r="P208" s="2">
        <f ca="1">ROUNDUP(MOD(360+Panchanga!$G208-Panchanga!$F208,360)/12,4)</f>
        <v>6.6673999999999998</v>
      </c>
      <c r="Q208" s="2">
        <f t="shared" ca="1" si="39"/>
        <v>19.84</v>
      </c>
      <c r="R208" s="2" t="str">
        <f ca="1">SIGN(S209-Panchanga!$S208)*INT(Panchanga!$S208/30+1)&amp;"Ma,"&amp;SIGN(T209-Panchanga!$T208)*INT(Panchanga!$T208/30+1)&amp;"Me,"&amp;SIGN(U209-Panchanga!$U208)*INT(Panchanga!$U208/30+1)&amp;"Ju,"&amp;SIGN(V209-Panchanga!$V208)*INT(Panchanga!$V208/30+1)&amp;"Ve,"&amp;SIGN(W209-Panchanga!$W208)*INT(Panchanga!$W208/30+1)&amp;"Sa,"&amp;INT(Panchanga!$X208/30+1)&amp;"Ra"</f>
        <v>-10Ma,4Me,7Ju,5Ve,-9Sa,4Ra</v>
      </c>
      <c r="S208" s="2">
        <f ca="1">Planet(Panchanga!$E208,4)</f>
        <v>282.1799349773496</v>
      </c>
      <c r="T208" s="2">
        <f ca="1">Planet(Panchanga!$E208,2)</f>
        <v>117.29500945852591</v>
      </c>
      <c r="U208" s="2">
        <f ca="1">Planet(Panchanga!$E208,5)</f>
        <v>199.33605025107425</v>
      </c>
      <c r="V208" s="2">
        <f ca="1">Planet(Panchanga!$E208,3)</f>
        <v>135.75887278704991</v>
      </c>
      <c r="W208" s="2">
        <f ca="1">Planet(Panchanga!$E208,6)</f>
        <v>250.22182443577569</v>
      </c>
      <c r="X208" s="2">
        <f ca="1">Planet(Panchanga!$E208,10)</f>
        <v>102.24521334514229</v>
      </c>
      <c r="Y208" s="2">
        <f ca="1">SIGN(S209-Panchanga!$S208)</f>
        <v>-1</v>
      </c>
    </row>
    <row r="209" spans="1:25" x14ac:dyDescent="0.2">
      <c r="A209" s="3">
        <f t="shared" ca="1" si="40"/>
        <v>43301</v>
      </c>
      <c r="B209" s="3">
        <f t="shared" ca="1" si="33"/>
        <v>43301.229166666664</v>
      </c>
      <c r="C209" s="5">
        <f t="shared" ca="1" si="34"/>
        <v>43301.244721935749</v>
      </c>
      <c r="D209" s="5">
        <f t="shared" ca="1" si="35"/>
        <v>43300.777512212793</v>
      </c>
      <c r="E209" s="60">
        <f ca="1">Panchanga!$C209-TimeZone/24</f>
        <v>43301.015555269085</v>
      </c>
      <c r="F209" s="61">
        <f t="shared" ca="1" si="36"/>
        <v>93.158116855026591</v>
      </c>
      <c r="G209" s="61">
        <f t="shared" ca="1" si="37"/>
        <v>185.43243557219824</v>
      </c>
      <c r="H209" s="62">
        <f t="shared" ca="1" si="38"/>
        <v>43301.015555269085</v>
      </c>
      <c r="I209" s="2" t="str">
        <f ca="1">naks(Panchanga!$G209)</f>
        <v>Chitra</v>
      </c>
      <c r="J209" s="5">
        <f ca="1">(C210-Panchanga!$C209)/(G210-Panchanga!$G209)*(13.3333333333333-MOD(Panchanga!$G209,13.333333333333))+Panchanga!$C209</f>
        <v>43301.340739257721</v>
      </c>
      <c r="K209" s="2" t="str">
        <f ca="1">IF(Panchanga!$P209&gt;15,"K","S")&amp;ROUNDUP(MOD(Panchanga!$P209,15),0)&amp;" ("&amp;ROUND(Panchanga!$P209,2)&amp;")"</f>
        <v>S8 (7.69)</v>
      </c>
      <c r="L209" s="2">
        <f ca="1">IF(AND(Panchanga!$P209&lt;28.5,Panchanga!$P209&gt;0.49999),MOD((Panchanga!$P209-0.5)*2,7),MOD((Panchanga!$P209+30-28.5),30)*2+7)</f>
        <v>0.37919999999999909</v>
      </c>
      <c r="M209" s="2" t="str">
        <f ca="1">CHOOSE(ROUNDUP(Panchanga!$L209,0),"Bhava","Baalava","Kaulava","Taitula","Garija","Vanija","Vishti","Shakuni","Chatushapda","Naaga","Kimstugna")</f>
        <v>Bhava</v>
      </c>
      <c r="N209" s="25" t="str">
        <f ca="1">CHOOSE(ROUNDUP(Panchanga!$Q209,0),"Vishkambha-विष्कम्भ-Sa","Priti-प्रीति-Me","Ayushman-आयुष्मान-Ke","Saubhagya-सौभाग्य-Ve","Shobhana-शोभन-Su","Atiganda-अतिगण्ड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("&amp;Panchanga!$Q209&amp;")"</f>
        <v>Siddha-सिद्ध-Ke (20.9)</v>
      </c>
      <c r="O209" s="2">
        <f ca="1">IF(AND(Panchanga!$P209&lt;28.5,Panchanga!$P209&gt;0.49999),MOD((Panchanga!$P209-0.5)*2,7),MOD((Panchanga!$P209+30-28.5),30)*2+7)</f>
        <v>0.37919999999999909</v>
      </c>
      <c r="P209" s="2">
        <f ca="1">ROUNDUP(MOD(360+Panchanga!$G209-Panchanga!$F209,360)/12,4)</f>
        <v>7.6895999999999995</v>
      </c>
      <c r="Q209" s="2">
        <f t="shared" ca="1" si="39"/>
        <v>20.900000000000002</v>
      </c>
      <c r="R209" s="2" t="str">
        <f ca="1">SIGN(S210-Panchanga!$S209)*INT(Panchanga!$S209/30+1)&amp;"Ma,"&amp;SIGN(T210-Panchanga!$T209)*INT(Panchanga!$T209/30+1)&amp;"Me,"&amp;SIGN(U210-Panchanga!$U209)*INT(Panchanga!$U209/30+1)&amp;"Ju,"&amp;SIGN(V210-Panchanga!$V209)*INT(Panchanga!$V209/30+1)&amp;"Ve,"&amp;SIGN(W210-Panchanga!$W209)*INT(Panchanga!$W209/30+1)&amp;"Sa,"&amp;INT(Panchanga!$X209/30+1)&amp;"Ra"</f>
        <v>-10Ma,4Me,7Ju,5Ve,-9Sa,4Ra</v>
      </c>
      <c r="S209" s="2">
        <f ca="1">Planet(Panchanga!$E209,4)</f>
        <v>281.93406404278841</v>
      </c>
      <c r="T209" s="2">
        <f ca="1">Planet(Panchanga!$E209,2)</f>
        <v>117.81036387762663</v>
      </c>
      <c r="U209" s="2">
        <f ca="1">Planet(Panchanga!$E209,5)</f>
        <v>199.36253237938305</v>
      </c>
      <c r="V209" s="2">
        <f ca="1">Planet(Panchanga!$E209,3)</f>
        <v>136.85308105278907</v>
      </c>
      <c r="W209" s="2">
        <f ca="1">Planet(Panchanga!$E209,6)</f>
        <v>250.15682809276547</v>
      </c>
      <c r="X209" s="2">
        <f ca="1">Planet(Panchanga!$E209,10)</f>
        <v>102.19221134140139</v>
      </c>
      <c r="Y209" s="2">
        <f ca="1">SIGN(S210-Panchanga!$S209)</f>
        <v>-1</v>
      </c>
    </row>
    <row r="210" spans="1:25" x14ac:dyDescent="0.2">
      <c r="A210" s="3">
        <f t="shared" ca="1" si="40"/>
        <v>43302</v>
      </c>
      <c r="B210" s="3">
        <f t="shared" ca="1" si="33"/>
        <v>43302.229166666664</v>
      </c>
      <c r="C210" s="5">
        <f t="shared" ca="1" si="34"/>
        <v>43302.244908061031</v>
      </c>
      <c r="D210" s="5">
        <f t="shared" ca="1" si="35"/>
        <v>43301.777408103502</v>
      </c>
      <c r="E210" s="60">
        <f ca="1">Panchanga!$C210-TimeZone/24</f>
        <v>43302.015741394367</v>
      </c>
      <c r="F210" s="61">
        <f t="shared" ca="1" si="36"/>
        <v>94.112662730196305</v>
      </c>
      <c r="G210" s="61">
        <f t="shared" ca="1" si="37"/>
        <v>198.28908258851084</v>
      </c>
      <c r="H210" s="62">
        <f t="shared" ca="1" si="38"/>
        <v>43302.015741394367</v>
      </c>
      <c r="I210" s="2" t="str">
        <f ca="1">naks(Panchanga!$G210)</f>
        <v>Swati</v>
      </c>
      <c r="J210" s="5">
        <f ca="1">(C211-Panchanga!$C210)/(G211-Panchanga!$G210)*(13.3333333333333-MOD(Panchanga!$G210,13.333333333333))+Panchanga!$C210</f>
        <v>43302.381314631246</v>
      </c>
      <c r="K210" s="2" t="str">
        <f ca="1">IF(Panchanga!$P210&gt;15,"K","S")&amp;ROUNDUP(MOD(Panchanga!$P210,15),0)&amp;" ("&amp;ROUND(Panchanga!$P210,2)&amp;")"</f>
        <v>S9 (8.68)</v>
      </c>
      <c r="L210" s="2">
        <f ca="1">IF(AND(Panchanga!$P210&lt;28.5,Panchanga!$P210&gt;0.49999),MOD((Panchanga!$P210-0.5)*2,7),MOD((Panchanga!$P210+30-28.5),30)*2+7)</f>
        <v>2.3628</v>
      </c>
      <c r="M210" s="2" t="str">
        <f ca="1">CHOOSE(ROUNDUP(Panchanga!$L210,0),"Bhava","Baalava","Kaulava","Taitula","Garija","Vanija","Vishti","Shakuni","Chatushapda","Naaga","Kimstugna")</f>
        <v>Kaulava</v>
      </c>
      <c r="N210" s="25" t="str">
        <f ca="1">CHOOSE(ROUNDUP(Panchanga!$Q210,0),"Vishkambha-विष्कम्भ-Sa","Priti-प्रीति-Me","Ayushman-आयुष्मान-Ke","Saubhagya-सौभाग्य-Ve","Shobhana-शोभन-Su","Atiganda-अतिगण्ड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("&amp;Panchanga!$Q210&amp;")"</f>
        <v>Sadhya-साध्य-Ve (21.94)</v>
      </c>
      <c r="O210" s="2">
        <f ca="1">IF(AND(Panchanga!$P210&lt;28.5,Panchanga!$P210&gt;0.49999),MOD((Panchanga!$P210-0.5)*2,7),MOD((Panchanga!$P210+30-28.5),30)*2+7)</f>
        <v>2.3628</v>
      </c>
      <c r="P210" s="2">
        <f ca="1">ROUNDUP(MOD(360+Panchanga!$G210-Panchanga!$F210,360)/12,4)</f>
        <v>8.6814</v>
      </c>
      <c r="Q210" s="2">
        <f t="shared" ca="1" si="39"/>
        <v>21.94</v>
      </c>
      <c r="R210" s="2" t="str">
        <f ca="1">SIGN(S211-Panchanga!$S210)*INT(Panchanga!$S210/30+1)&amp;"Ma,"&amp;SIGN(T211-Panchanga!$T210)*INT(Panchanga!$T210/30+1)&amp;"Me,"&amp;SIGN(U211-Panchanga!$U210)*INT(Panchanga!$U210/30+1)&amp;"Ju,"&amp;SIGN(V211-Panchanga!$V210)*INT(Panchanga!$V210/30+1)&amp;"Ve,"&amp;SIGN(W211-Panchanga!$W210)*INT(Panchanga!$W210/30+1)&amp;"Sa,"&amp;INT(Panchanga!$X210/30+1)&amp;"Ra"</f>
        <v>-10Ma,4Me,7Ju,5Ve,-9Sa,4Ra</v>
      </c>
      <c r="S210" s="2">
        <f ca="1">Planet(Panchanga!$E210,4)</f>
        <v>281.68238814074942</v>
      </c>
      <c r="T210" s="2">
        <f ca="1">Planet(Panchanga!$E210,2)</f>
        <v>118.25560870527329</v>
      </c>
      <c r="U210" s="2">
        <f ca="1">Planet(Panchanga!$E210,5)</f>
        <v>199.39197489987512</v>
      </c>
      <c r="V210" s="2">
        <f ca="1">Planet(Panchanga!$E210,3)</f>
        <v>137.94417209886501</v>
      </c>
      <c r="W210" s="2">
        <f ca="1">Planet(Panchanga!$E210,6)</f>
        <v>250.09263432758331</v>
      </c>
      <c r="X210" s="2">
        <f ca="1">Planet(Panchanga!$E210,10)</f>
        <v>102.13920948088374</v>
      </c>
      <c r="Y210" s="2">
        <f ca="1">SIGN(S211-Panchanga!$S210)</f>
        <v>-1</v>
      </c>
    </row>
    <row r="211" spans="1:25" x14ac:dyDescent="0.2">
      <c r="A211" s="3">
        <f t="shared" ca="1" si="40"/>
        <v>43303</v>
      </c>
      <c r="B211" s="3">
        <f t="shared" ca="1" si="33"/>
        <v>43303.229166666664</v>
      </c>
      <c r="C211" s="5">
        <f t="shared" ca="1" si="34"/>
        <v>43303.245091484547</v>
      </c>
      <c r="D211" s="5">
        <f t="shared" ca="1" si="35"/>
        <v>43302.777293185747</v>
      </c>
      <c r="E211" s="60">
        <f ca="1">Panchanga!$C211-TimeZone/24</f>
        <v>43303.015924817882</v>
      </c>
      <c r="F211" s="61">
        <f t="shared" ca="1" si="36"/>
        <v>95.067270330691144</v>
      </c>
      <c r="G211" s="61">
        <f t="shared" ca="1" si="37"/>
        <v>210.8341618414164</v>
      </c>
      <c r="H211" s="62">
        <f t="shared" ca="1" si="38"/>
        <v>43303.015924817882</v>
      </c>
      <c r="I211" s="2" t="str">
        <f ca="1">naks(Panchanga!$G211)</f>
        <v>Visakha</v>
      </c>
      <c r="J211" s="5">
        <f ca="1">(C212-Panchanga!$C211)/(G212-Panchanga!$G211)*(13.3333333333333-MOD(Panchanga!$G211,13.333333333333))+Panchanga!$C211</f>
        <v>43303.448458339393</v>
      </c>
      <c r="K211" s="2" t="str">
        <f ca="1">IF(Panchanga!$P211&gt;15,"K","S")&amp;ROUNDUP(MOD(Panchanga!$P211,15),0)&amp;" ("&amp;ROUND(Panchanga!$P211,2)&amp;")"</f>
        <v>S10 (9.65)</v>
      </c>
      <c r="L211" s="2">
        <f ca="1">IF(AND(Panchanga!$P211&lt;28.5,Panchanga!$P211&gt;0.49999),MOD((Panchanga!$P211-0.5)*2,7),MOD((Panchanga!$P211+30-28.5),30)*2+7)</f>
        <v>4.2945999999999991</v>
      </c>
      <c r="M211" s="2" t="str">
        <f ca="1">CHOOSE(ROUNDUP(Panchanga!$L211,0),"Bhava","Baalava","Kaulava","Taitula","Garija","Vanija","Vishti","Shakuni","Chatushapda","Naaga","Kimstugna")</f>
        <v>Garija</v>
      </c>
      <c r="N211" s="25" t="str">
        <f ca="1">CHOOSE(ROUNDUP(Panchanga!$Q211,0),"Vishkambha-विष्कम्भ-Sa","Priti-प्रीति-Me","Ayushman-आयुष्मान-Ke","Saubhagya-सौभाग्य-Ve","Shobhana-शोभन-Su","Atiganda-अतिगण्ड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("&amp;Panchanga!$Q211&amp;")"</f>
        <v>Shubha-शुभ-Su (22.95)</v>
      </c>
      <c r="O211" s="2">
        <f ca="1">IF(AND(Panchanga!$P211&lt;28.5,Panchanga!$P211&gt;0.49999),MOD((Panchanga!$P211-0.5)*2,7),MOD((Panchanga!$P211+30-28.5),30)*2+7)</f>
        <v>4.2945999999999991</v>
      </c>
      <c r="P211" s="2">
        <f ca="1">ROUNDUP(MOD(360+Panchanga!$G211-Panchanga!$F211,360)/12,4)</f>
        <v>9.6472999999999995</v>
      </c>
      <c r="Q211" s="2">
        <f t="shared" ca="1" si="39"/>
        <v>22.950000000000003</v>
      </c>
      <c r="R211" s="2" t="str">
        <f ca="1">SIGN(S212-Panchanga!$S211)*INT(Panchanga!$S211/30+1)&amp;"Ma,"&amp;SIGN(T212-Panchanga!$T211)*INT(Panchanga!$T211/30+1)&amp;"Me,"&amp;SIGN(U212-Panchanga!$U211)*INT(Panchanga!$U211/30+1)&amp;"Ju,"&amp;SIGN(V212-Panchanga!$V211)*INT(Panchanga!$V211/30+1)&amp;"Ve,"&amp;SIGN(W212-Panchanga!$W211)*INT(Panchanga!$W211/30+1)&amp;"Sa,"&amp;INT(Panchanga!$X211/30+1)&amp;"Ra"</f>
        <v>-10Ma,4Me,7Ju,5Ve,-9Sa,4Ra</v>
      </c>
      <c r="S211" s="2">
        <f ca="1">Planet(Panchanga!$E211,4)</f>
        <v>281.42556597279645</v>
      </c>
      <c r="T211" s="2">
        <f ca="1">Planet(Panchanga!$E211,2)</f>
        <v>118.62811066177677</v>
      </c>
      <c r="U211" s="2">
        <f ca="1">Planet(Panchanga!$E211,5)</f>
        <v>199.4243615937385</v>
      </c>
      <c r="V211" s="2">
        <f ca="1">Planet(Panchanga!$E211,3)</f>
        <v>139.03205845252646</v>
      </c>
      <c r="W211" s="2">
        <f ca="1">Planet(Panchanga!$E211,6)</f>
        <v>250.02927322399526</v>
      </c>
      <c r="X211" s="2">
        <f ca="1">Planet(Panchanga!$E211,10)</f>
        <v>102.08620776352323</v>
      </c>
      <c r="Y211" s="2">
        <f ca="1">SIGN(S212-Panchanga!$S211)</f>
        <v>-1</v>
      </c>
    </row>
    <row r="212" spans="1:25" x14ac:dyDescent="0.2">
      <c r="A212" s="3">
        <f t="shared" ca="1" si="40"/>
        <v>43304</v>
      </c>
      <c r="B212" s="3">
        <f t="shared" ca="1" si="33"/>
        <v>43304.229166666664</v>
      </c>
      <c r="C212" s="5">
        <f t="shared" ca="1" si="34"/>
        <v>43304.245272047039</v>
      </c>
      <c r="D212" s="5">
        <f t="shared" ca="1" si="35"/>
        <v>43303.777167459528</v>
      </c>
      <c r="E212" s="60">
        <f ca="1">Panchanga!$C212-TimeZone/24</f>
        <v>43304.016105380375</v>
      </c>
      <c r="F212" s="61">
        <f t="shared" ca="1" si="36"/>
        <v>96.021955047325775</v>
      </c>
      <c r="G212" s="61">
        <f t="shared" ca="1" si="37"/>
        <v>223.12536214746217</v>
      </c>
      <c r="H212" s="62">
        <f t="shared" ca="1" si="38"/>
        <v>43304.016105380375</v>
      </c>
      <c r="I212" s="2" t="str">
        <f ca="1">naks(Panchanga!$G212)</f>
        <v>Anuradha</v>
      </c>
      <c r="J212" s="5">
        <f ca="1">(C213-Panchanga!$C212)/(G213-Panchanga!$G212)*(13.3333333333333-MOD(Panchanga!$G212,13.333333333333))+Panchanga!$C212</f>
        <v>43304.538124825311</v>
      </c>
      <c r="K212" s="2" t="str">
        <f ca="1">IF(Panchanga!$P212&gt;15,"K","S")&amp;ROUNDUP(MOD(Panchanga!$P212,15),0)&amp;" ("&amp;ROUND(Panchanga!$P212,2)&amp;")"</f>
        <v>S11 (10.59)</v>
      </c>
      <c r="L212" s="2">
        <f ca="1">IF(AND(Panchanga!$P212&lt;28.5,Panchanga!$P212&gt;0.49999),MOD((Panchanga!$P212-0.5)*2,7),MOD((Panchanga!$P212+30-28.5),30)*2+7)</f>
        <v>6.1840000000000011</v>
      </c>
      <c r="M212" s="2" t="str">
        <f ca="1">CHOOSE(ROUNDUP(Panchanga!$L212,0),"Bhava","Baalava","Kaulava","Taitula","Garija","Vanija","Vishti","Shakuni","Chatushapda","Naaga","Kimstugna")</f>
        <v>Vishti</v>
      </c>
      <c r="N212" s="25" t="str">
        <f ca="1">CHOOSE(ROUNDUP(Panchanga!$Q212,0),"Vishkambha-विष्कम्भ-Sa","Priti-प्रीति-Me","Ayushman-आयुष्मान-Ke","Saubhagya-सौभाग्य-Ve","Shobhana-शोभन-Su","Atiganda-अतिगण्ड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("&amp;Panchanga!$Q212&amp;")"</f>
        <v>Shukla-शुक्ल-Mo (23.94)</v>
      </c>
      <c r="O212" s="2">
        <f ca="1">IF(AND(Panchanga!$P212&lt;28.5,Panchanga!$P212&gt;0.49999),MOD((Panchanga!$P212-0.5)*2,7),MOD((Panchanga!$P212+30-28.5),30)*2+7)</f>
        <v>6.1840000000000011</v>
      </c>
      <c r="P212" s="2">
        <f ca="1">ROUNDUP(MOD(360+Panchanga!$G212-Panchanga!$F212,360)/12,4)</f>
        <v>10.592000000000001</v>
      </c>
      <c r="Q212" s="2">
        <f t="shared" ca="1" si="39"/>
        <v>23.94</v>
      </c>
      <c r="R212" s="2" t="str">
        <f ca="1">SIGN(S213-Panchanga!$S212)*INT(Panchanga!$S212/30+1)&amp;"Ma,"&amp;SIGN(T213-Panchanga!$T212)*INT(Panchanga!$T212/30+1)&amp;"Me,"&amp;SIGN(U213-Panchanga!$U212)*INT(Panchanga!$U212/30+1)&amp;"Ju,"&amp;SIGN(V213-Panchanga!$V212)*INT(Panchanga!$V212/30+1)&amp;"Ve,"&amp;SIGN(W213-Panchanga!$W212)*INT(Panchanga!$W212/30+1)&amp;"Sa,"&amp;INT(Panchanga!$X212/30+1)&amp;"Ra"</f>
        <v>-10Ma,4Me,7Ju,5Ve,-9Sa,4Ra</v>
      </c>
      <c r="S212" s="2">
        <f ca="1">Planet(Panchanga!$E212,4)</f>
        <v>281.16426899569382</v>
      </c>
      <c r="T212" s="2">
        <f ca="1">Planet(Panchanga!$E212,2)</f>
        <v>118.92529790132089</v>
      </c>
      <c r="U212" s="2">
        <f ca="1">Planet(Panchanga!$E212,5)</f>
        <v>199.45967572974774</v>
      </c>
      <c r="V212" s="2">
        <f ca="1">Planet(Panchanga!$E212,3)</f>
        <v>140.11665273882539</v>
      </c>
      <c r="W212" s="2">
        <f ca="1">Planet(Panchanga!$E212,6)</f>
        <v>249.96677413242486</v>
      </c>
      <c r="X212" s="2">
        <f ca="1">Planet(Panchanga!$E212,10)</f>
        <v>102.03320619778644</v>
      </c>
      <c r="Y212" s="2">
        <f ca="1">SIGN(S213-Panchanga!$S212)</f>
        <v>-1</v>
      </c>
    </row>
    <row r="213" spans="1:25" x14ac:dyDescent="0.2">
      <c r="A213" s="3">
        <f t="shared" ca="1" si="40"/>
        <v>43305</v>
      </c>
      <c r="B213" s="3">
        <f t="shared" ca="1" si="33"/>
        <v>43305.229166666664</v>
      </c>
      <c r="C213" s="5">
        <f t="shared" ca="1" si="34"/>
        <v>43305.245449748043</v>
      </c>
      <c r="D213" s="5">
        <f t="shared" ca="1" si="35"/>
        <v>43304.77703092531</v>
      </c>
      <c r="E213" s="60">
        <f ca="1">Panchanga!$C213-TimeZone/24</f>
        <v>43305.016283081379</v>
      </c>
      <c r="F213" s="61">
        <f t="shared" ca="1" si="36"/>
        <v>96.976734399681405</v>
      </c>
      <c r="G213" s="61">
        <f t="shared" ca="1" si="37"/>
        <v>235.21995053916504</v>
      </c>
      <c r="H213" s="62">
        <f t="shared" ca="1" si="38"/>
        <v>43305.016283081379</v>
      </c>
      <c r="I213" s="2" t="str">
        <f ca="1">naks(Panchanga!$G213)</f>
        <v>Jyestha</v>
      </c>
      <c r="J213" s="5">
        <f ca="1">(C214-Panchanga!$C213)/(G214-Panchanga!$G213)*(13.3333333333333-MOD(Panchanga!$G213,13.333333333333))+Panchanga!$C213</f>
        <v>43305.64546365659</v>
      </c>
      <c r="K213" s="2" t="str">
        <f ca="1">IF(Panchanga!$P213&gt;15,"K","S")&amp;ROUNDUP(MOD(Panchanga!$P213,15),0)&amp;" ("&amp;ROUND(Panchanga!$P213,2)&amp;")"</f>
        <v>S12 (11.52)</v>
      </c>
      <c r="L213" s="2">
        <f ca="1">IF(AND(Panchanga!$P213&lt;28.5,Panchanga!$P213&gt;0.49999),MOD((Panchanga!$P213-0.5)*2,7),MOD((Panchanga!$P213+30-28.5),30)*2+7)</f>
        <v>1.0406000000000013</v>
      </c>
      <c r="M213" s="2" t="str">
        <f ca="1">CHOOSE(ROUNDUP(Panchanga!$L213,0),"Bhava","Baalava","Kaulava","Taitula","Garija","Vanija","Vishti","Shakuni","Chatushapda","Naaga","Kimstugna")</f>
        <v>Baalava</v>
      </c>
      <c r="N213" s="25" t="str">
        <f ca="1">CHOOSE(ROUNDUP(Panchanga!$Q213,0),"Vishkambha-विष्कम्भ-Sa","Priti-प्रीति-Me","Ayushman-आयुष्मान-Ke","Saubhagya-सौभाग्य-Ve","Shobhana-शोभन-Su","Atiganda-अतिगण्ड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("&amp;Panchanga!$Q213&amp;")"</f>
        <v>Brahma-ब्रह्म-Ma (24.92)</v>
      </c>
      <c r="O213" s="2">
        <f ca="1">IF(AND(Panchanga!$P213&lt;28.5,Panchanga!$P213&gt;0.49999),MOD((Panchanga!$P213-0.5)*2,7),MOD((Panchanga!$P213+30-28.5),30)*2+7)</f>
        <v>1.0406000000000013</v>
      </c>
      <c r="P213" s="2">
        <f ca="1">ROUNDUP(MOD(360+Panchanga!$G213-Panchanga!$F213,360)/12,4)</f>
        <v>11.520300000000001</v>
      </c>
      <c r="Q213" s="2">
        <f t="shared" ca="1" si="39"/>
        <v>24.92</v>
      </c>
      <c r="R213" s="2" t="str">
        <f ca="1">SIGN(S214-Panchanga!$S213)*INT(Panchanga!$S213/30+1)&amp;"Ma,"&amp;SIGN(T214-Panchanga!$T213)*INT(Panchanga!$T213/30+1)&amp;"Me,"&amp;SIGN(U214-Panchanga!$U213)*INT(Panchanga!$U213/30+1)&amp;"Ju,"&amp;SIGN(V214-Panchanga!$V213)*INT(Panchanga!$V213/30+1)&amp;"Ve,"&amp;SIGN(W214-Panchanga!$W213)*INT(Panchanga!$W213/30+1)&amp;"Sa,"&amp;INT(Panchanga!$X213/30+1)&amp;"Ra"</f>
        <v>-10Ma,4Me,7Ju,5Ve,-9Sa,4Ra</v>
      </c>
      <c r="S213" s="2">
        <f ca="1">Planet(Panchanga!$E213,4)</f>
        <v>280.89918031814494</v>
      </c>
      <c r="T213" s="2">
        <f ca="1">Planet(Panchanga!$E213,2)</f>
        <v>119.14472926488206</v>
      </c>
      <c r="U213" s="2">
        <f ca="1">Planet(Panchanga!$E213,5)</f>
        <v>199.49790020141708</v>
      </c>
      <c r="V213" s="2">
        <f ca="1">Planet(Panchanga!$E213,3)</f>
        <v>141.19786778712813</v>
      </c>
      <c r="W213" s="2">
        <f ca="1">Planet(Panchanga!$E213,6)</f>
        <v>249.90516571779122</v>
      </c>
      <c r="X213" s="2">
        <f ca="1">Planet(Panchanga!$E213,10)</f>
        <v>101.98020478368994</v>
      </c>
      <c r="Y213" s="2">
        <f ca="1">SIGN(S214-Panchanga!$S213)</f>
        <v>-1</v>
      </c>
    </row>
    <row r="214" spans="1:25" x14ac:dyDescent="0.2">
      <c r="A214" s="3">
        <f t="shared" ca="1" si="40"/>
        <v>43306</v>
      </c>
      <c r="B214" s="3">
        <f t="shared" ca="1" si="33"/>
        <v>43306.229166666664</v>
      </c>
      <c r="C214" s="5">
        <f t="shared" ca="1" si="34"/>
        <v>43306.245624270443</v>
      </c>
      <c r="D214" s="5">
        <f t="shared" ca="1" si="35"/>
        <v>43305.776883741419</v>
      </c>
      <c r="E214" s="60">
        <f ca="1">Panchanga!$C214-TimeZone/24</f>
        <v>43306.016457603779</v>
      </c>
      <c r="F214" s="61">
        <f t="shared" ca="1" si="36"/>
        <v>97.931627196119592</v>
      </c>
      <c r="G214" s="61">
        <f t="shared" ca="1" si="37"/>
        <v>247.1717441753037</v>
      </c>
      <c r="H214" s="62">
        <f t="shared" ca="1" si="38"/>
        <v>43306.016457603779</v>
      </c>
      <c r="I214" s="2" t="str">
        <f ca="1">naks(Panchanga!$G214)</f>
        <v>Moola</v>
      </c>
      <c r="J214" s="5">
        <f ca="1">(C215-Panchanga!$C214)/(G215-Panchanga!$G214)*(13.3333333333333-MOD(Panchanga!$G214,13.333333333333))+Panchanga!$C214</f>
        <v>43306.76532480889</v>
      </c>
      <c r="K214" s="2" t="str">
        <f ca="1">IF(Panchanga!$P214&gt;15,"K","S")&amp;ROUNDUP(MOD(Panchanga!$P214,15),0)&amp;" ("&amp;ROUND(Panchanga!$P214,2)&amp;")"</f>
        <v>S13 (12.44)</v>
      </c>
      <c r="L214" s="2">
        <f ca="1">IF(AND(Panchanga!$P214&lt;28.5,Panchanga!$P214&gt;0.49999),MOD((Panchanga!$P214-0.5)*2,7),MOD((Panchanga!$P214+30-28.5),30)*2+7)</f>
        <v>2.8734000000000002</v>
      </c>
      <c r="M214" s="2" t="str">
        <f ca="1">CHOOSE(ROUNDUP(Panchanga!$L214,0),"Bhava","Baalava","Kaulava","Taitula","Garija","Vanija","Vishti","Shakuni","Chatushapda","Naaga","Kimstugna")</f>
        <v>Kaulava</v>
      </c>
      <c r="N214" s="25" t="str">
        <f ca="1">CHOOSE(ROUNDUP(Panchanga!$Q214,0),"Vishkambha-विष्कम्भ-Sa","Priti-प्रीति-Me","Ayushman-आयुष्मान-Ke","Saubhagya-सौभाग्य-Ve","Shobhana-शोभन-Su","Atiganda-अतिगण्ड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("&amp;Panchanga!$Q214&amp;")"</f>
        <v>Mahendra-महेन्द्र-Ra (25.89)</v>
      </c>
      <c r="O214" s="2">
        <f ca="1">IF(AND(Panchanga!$P214&lt;28.5,Panchanga!$P214&gt;0.49999),MOD((Panchanga!$P214-0.5)*2,7),MOD((Panchanga!$P214+30-28.5),30)*2+7)</f>
        <v>2.8734000000000002</v>
      </c>
      <c r="P214" s="2">
        <f ca="1">ROUNDUP(MOD(360+Panchanga!$G214-Panchanga!$F214,360)/12,4)</f>
        <v>12.4367</v>
      </c>
      <c r="Q214" s="2">
        <f t="shared" ca="1" si="39"/>
        <v>25.89</v>
      </c>
      <c r="R214" s="2" t="str">
        <f ca="1">SIGN(S215-Panchanga!$S214)*INT(Panchanga!$S214/30+1)&amp;"Ma,"&amp;SIGN(T215-Panchanga!$T214)*INT(Panchanga!$T214/30+1)&amp;"Me,"&amp;SIGN(U215-Panchanga!$U214)*INT(Panchanga!$U214/30+1)&amp;"Ju,"&amp;SIGN(V215-Panchanga!$V214)*INT(Panchanga!$V214/30+1)&amp;"Ve,"&amp;SIGN(W215-Panchanga!$W214)*INT(Panchanga!$W214/30+1)&amp;"Sa,"&amp;INT(Panchanga!$X214/30+1)&amp;"Ra"</f>
        <v>-10Ma,4Me,7Ju,5Ve,-9Sa,4Ra</v>
      </c>
      <c r="S214" s="2">
        <f ca="1">Planet(Panchanga!$E214,4)</f>
        <v>280.63099368838203</v>
      </c>
      <c r="T214" s="2">
        <f ca="1">Planet(Panchanga!$E214,2)</f>
        <v>119.2841784471555</v>
      </c>
      <c r="U214" s="2">
        <f ca="1">Planet(Panchanga!$E214,5)</f>
        <v>199.53901761384154</v>
      </c>
      <c r="V214" s="2">
        <f ca="1">Planet(Panchanga!$E214,3)</f>
        <v>142.27561587628088</v>
      </c>
      <c r="W214" s="2">
        <f ca="1">Planet(Panchanga!$E214,6)</f>
        <v>249.84447604867086</v>
      </c>
      <c r="X214" s="2">
        <f ca="1">Planet(Panchanga!$E214,10)</f>
        <v>101.92720353801796</v>
      </c>
      <c r="Y214" s="2">
        <f ca="1">SIGN(S215-Panchanga!$S214)</f>
        <v>-1</v>
      </c>
    </row>
    <row r="215" spans="1:25" x14ac:dyDescent="0.2">
      <c r="A215" s="3">
        <f t="shared" ca="1" si="40"/>
        <v>43307</v>
      </c>
      <c r="B215" s="3">
        <f t="shared" ca="1" si="33"/>
        <v>43307.229166666664</v>
      </c>
      <c r="C215" s="5">
        <f t="shared" ca="1" si="34"/>
        <v>43307.245795454983</v>
      </c>
      <c r="D215" s="5">
        <f t="shared" ca="1" si="35"/>
        <v>43306.776725908319</v>
      </c>
      <c r="E215" s="60">
        <f ca="1">Panchanga!$C215-TimeZone/24</f>
        <v>43307.016628788318</v>
      </c>
      <c r="F215" s="61">
        <f t="shared" ca="1" si="36"/>
        <v>98.886653599553128</v>
      </c>
      <c r="G215" s="61">
        <f t="shared" ca="1" si="37"/>
        <v>259.02981141004028</v>
      </c>
      <c r="H215" s="62">
        <f t="shared" ca="1" si="38"/>
        <v>43307.016628788318</v>
      </c>
      <c r="I215" s="2" t="str">
        <f ca="1">naks(Panchanga!$G215)</f>
        <v>Purva Asadha</v>
      </c>
      <c r="J215" s="5">
        <f ca="1">(C216-Panchanga!$C215)/(G216-Panchanga!$G215)*(13.3333333333333-MOD(Panchanga!$G215,13.333333333333))+Panchanga!$C215</f>
        <v>43307.892623708511</v>
      </c>
      <c r="K215" s="2" t="str">
        <f ca="1">IF(Panchanga!$P215&gt;15,"K","S")&amp;ROUNDUP(MOD(Panchanga!$P215,15),0)&amp;" ("&amp;ROUND(Panchanga!$P215,2)&amp;")"</f>
        <v>S14 (13.35)</v>
      </c>
      <c r="L215" s="2">
        <f ca="1">IF(AND(Panchanga!$P215&lt;28.5,Panchanga!$P215&gt;0.49999),MOD((Panchanga!$P215-0.5)*2,7),MOD((Panchanga!$P215+30-28.5),30)*2+7)</f>
        <v>4.6905999999999999</v>
      </c>
      <c r="M215" s="2" t="str">
        <f ca="1">CHOOSE(ROUNDUP(Panchanga!$L215,0),"Bhava","Baalava","Kaulava","Taitula","Garija","Vanija","Vishti","Shakuni","Chatushapda","Naaga","Kimstugna")</f>
        <v>Garija</v>
      </c>
      <c r="N215" s="25" t="str">
        <f ca="1">CHOOSE(ROUNDUP(Panchanga!$Q215,0),"Vishkambha-विष्कम्भ-Sa","Priti-प्रीति-Me","Ayushman-आयुष्मान-Ke","Saubhagya-सौभाग्य-Ve","Shobhana-शोभन-Su","Atiganda-अतिगण्ड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("&amp;Panchanga!$Q215&amp;")"</f>
        <v>Vaidhriti-वैधृति-Ke (26.85)</v>
      </c>
      <c r="O215" s="2">
        <f ca="1">IF(AND(Panchanga!$P215&lt;28.5,Panchanga!$P215&gt;0.49999),MOD((Panchanga!$P215-0.5)*2,7),MOD((Panchanga!$P215+30-28.5),30)*2+7)</f>
        <v>4.6905999999999999</v>
      </c>
      <c r="P215" s="2">
        <f ca="1">ROUNDUP(MOD(360+Panchanga!$G215-Panchanga!$F215,360)/12,4)</f>
        <v>13.3453</v>
      </c>
      <c r="Q215" s="2">
        <f t="shared" ca="1" si="39"/>
        <v>26.85</v>
      </c>
      <c r="R215" s="2" t="str">
        <f ca="1">SIGN(S216-Panchanga!$S215)*INT(Panchanga!$S215/30+1)&amp;"Ma,"&amp;SIGN(T216-Panchanga!$T215)*INT(Panchanga!$T215/30+1)&amp;"Me,"&amp;SIGN(U216-Panchanga!$U215)*INT(Panchanga!$U215/30+1)&amp;"Ju,"&amp;SIGN(V216-Panchanga!$V215)*INT(Panchanga!$V215/30+1)&amp;"Ve,"&amp;SIGN(W216-Panchanga!$W215)*INT(Panchanga!$W215/30+1)&amp;"Sa,"&amp;INT(Panchanga!$X215/30+1)&amp;"Ra"</f>
        <v>-10Ma,-4Me,7Ju,5Ve,-9Sa,4Ra</v>
      </c>
      <c r="S215" s="2">
        <f ca="1">Planet(Panchanga!$E215,4)</f>
        <v>280.36041220667954</v>
      </c>
      <c r="T215" s="2">
        <f ca="1">Planet(Panchanga!$E215,2)</f>
        <v>119.34173471392191</v>
      </c>
      <c r="U215" s="2">
        <f ca="1">Planet(Panchanga!$E215,5)</f>
        <v>199.58301038622784</v>
      </c>
      <c r="V215" s="2">
        <f ca="1">Planet(Panchanga!$E215,3)</f>
        <v>143.34980895933782</v>
      </c>
      <c r="W215" s="2">
        <f ca="1">Planet(Panchanga!$E215,6)</f>
        <v>249.78473262486858</v>
      </c>
      <c r="X215" s="2">
        <f ca="1">Planet(Panchanga!$E215,10)</f>
        <v>101.87420246925366</v>
      </c>
      <c r="Y215" s="2">
        <f ca="1">SIGN(S216-Panchanga!$S215)</f>
        <v>-1</v>
      </c>
    </row>
    <row r="216" spans="1:25" x14ac:dyDescent="0.2">
      <c r="A216" s="3">
        <f t="shared" ca="1" si="40"/>
        <v>43308</v>
      </c>
      <c r="B216" s="3">
        <f t="shared" ca="1" si="33"/>
        <v>43308.229166666664</v>
      </c>
      <c r="C216" s="5">
        <f t="shared" ca="1" si="34"/>
        <v>43308.245963301662</v>
      </c>
      <c r="D216" s="5">
        <f t="shared" ca="1" si="35"/>
        <v>43307.776557266756</v>
      </c>
      <c r="E216" s="60">
        <f ca="1">Panchanga!$C216-TimeZone/24</f>
        <v>43308.016796634998</v>
      </c>
      <c r="F216" s="61">
        <f t="shared" ca="1" si="36"/>
        <v>99.84183476663236</v>
      </c>
      <c r="G216" s="61">
        <f t="shared" ca="1" si="37"/>
        <v>270.83841289850182</v>
      </c>
      <c r="H216" s="62">
        <f t="shared" ca="1" si="38"/>
        <v>43308.016796634998</v>
      </c>
      <c r="I216" s="2" t="str">
        <f ca="1">naks(Panchanga!$G216)</f>
        <v>Uttara Asadha</v>
      </c>
      <c r="J216" s="5">
        <f ca="1">(C217-Panchanga!$C216)/(G217-Panchanga!$G216)*(13.3333333333333-MOD(Panchanga!$G216,13.333333333333))+Panchanga!$C216</f>
        <v>43309.022528686437</v>
      </c>
      <c r="K216" s="2" t="str">
        <f ca="1">IF(Panchanga!$P216&gt;15,"K","S")&amp;ROUNDUP(MOD(Panchanga!$P216,15),0)&amp;" ("&amp;ROUND(Panchanga!$P216,2)&amp;")"</f>
        <v>S15 (14.25)</v>
      </c>
      <c r="L216" s="2">
        <f ca="1">IF(AND(Panchanga!$P216&lt;28.5,Panchanga!$P216&gt;0.49999),MOD((Panchanga!$P216-0.5)*2,7),MOD((Panchanga!$P216+30-28.5),30)*2+7)</f>
        <v>6.4996000000000009</v>
      </c>
      <c r="M216" s="2" t="str">
        <f ca="1">CHOOSE(ROUNDUP(Panchanga!$L216,0),"Bhava","Baalava","Kaulava","Taitula","Garija","Vanija","Vishti","Shakuni","Chatushapda","Naaga","Kimstugna")</f>
        <v>Vishti</v>
      </c>
      <c r="N216" s="25" t="str">
        <f ca="1">CHOOSE(ROUNDUP(Panchanga!$Q216,0),"Vishkambha-विष्कम्भ-Sa","Priti-प्रीति-Me","Ayushman-आयुष्मान-Ke","Saubhagya-सौभाग्य-Ve","Shobhana-शोभन-Su","Atiganda-अतिगण्ड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("&amp;Panchanga!$Q216&amp;")"</f>
        <v>Vishkambha-विष्कम्भ-Sa (0.81)</v>
      </c>
      <c r="O216" s="2">
        <f ca="1">IF(AND(Panchanga!$P216&lt;28.5,Panchanga!$P216&gt;0.49999),MOD((Panchanga!$P216-0.5)*2,7),MOD((Panchanga!$P216+30-28.5),30)*2+7)</f>
        <v>6.4996000000000009</v>
      </c>
      <c r="P216" s="2">
        <f ca="1">ROUNDUP(MOD(360+Panchanga!$G216-Panchanga!$F216,360)/12,4)</f>
        <v>14.2498</v>
      </c>
      <c r="Q216" s="2">
        <f t="shared" ca="1" si="39"/>
        <v>0.81</v>
      </c>
      <c r="R216" s="2" t="str">
        <f ca="1">SIGN(S217-Panchanga!$S216)*INT(Panchanga!$S216/30+1)&amp;"Ma,"&amp;SIGN(T217-Panchanga!$T216)*INT(Panchanga!$T216/30+1)&amp;"Me,"&amp;SIGN(U217-Panchanga!$U216)*INT(Panchanga!$U216/30+1)&amp;"Ju,"&amp;SIGN(V217-Panchanga!$V216)*INT(Panchanga!$V216/30+1)&amp;"Ve,"&amp;SIGN(W217-Panchanga!$W216)*INT(Panchanga!$W216/30+1)&amp;"Sa,"&amp;INT(Panchanga!$X216/30+1)&amp;"Ra"</f>
        <v>-10Ma,-4Me,7Ju,5Ve,-9Sa,4Ra</v>
      </c>
      <c r="S216" s="2">
        <f ca="1">Planet(Panchanga!$E216,4)</f>
        <v>280.08814707010913</v>
      </c>
      <c r="T216" s="2">
        <f ca="1">Planet(Panchanga!$E216,2)</f>
        <v>119.31592037037136</v>
      </c>
      <c r="U216" s="2">
        <f ca="1">Planet(Panchanga!$E216,5)</f>
        <v>199.62986081718512</v>
      </c>
      <c r="V216" s="2">
        <f ca="1">Planet(Panchanga!$E216,3)</f>
        <v>144.42035834044967</v>
      </c>
      <c r="W216" s="2">
        <f ca="1">Planet(Panchanga!$E216,6)</f>
        <v>249.72596243260338</v>
      </c>
      <c r="X216" s="2">
        <f ca="1">Planet(Panchanga!$E216,10)</f>
        <v>101.82120157734727</v>
      </c>
      <c r="Y216" s="2">
        <f ca="1">SIGN(S217-Panchanga!$S216)</f>
        <v>-1</v>
      </c>
    </row>
    <row r="217" spans="1:25" x14ac:dyDescent="0.2">
      <c r="A217" s="3">
        <f t="shared" ca="1" si="40"/>
        <v>43309</v>
      </c>
      <c r="B217" s="3">
        <f t="shared" ca="1" si="33"/>
        <v>43309.229166666664</v>
      </c>
      <c r="C217" s="5">
        <f t="shared" ca="1" si="34"/>
        <v>43309.246127810482</v>
      </c>
      <c r="D217" s="5">
        <f t="shared" ca="1" si="35"/>
        <v>43308.776378294031</v>
      </c>
      <c r="E217" s="60">
        <f ca="1">Panchanga!$C217-TimeZone/24</f>
        <v>43309.016961143818</v>
      </c>
      <c r="F217" s="61">
        <f t="shared" ca="1" si="36"/>
        <v>100.79719237568762</v>
      </c>
      <c r="G217" s="61">
        <f t="shared" ca="1" si="37"/>
        <v>282.63792707079102</v>
      </c>
      <c r="H217" s="62">
        <f t="shared" ca="1" si="38"/>
        <v>43309.016961143818</v>
      </c>
      <c r="I217" s="2" t="str">
        <f ca="1">naks(Panchanga!$G217)</f>
        <v>Sravana</v>
      </c>
      <c r="J217" s="5">
        <f ca="1">(C218-Panchanga!$C217)/(G218-Panchanga!$G217)*(13.3333333333333-MOD(Panchanga!$G217,13.333333333333))+Panchanga!$C217</f>
        <v>43310.150468764805</v>
      </c>
      <c r="K217" s="2" t="str">
        <f ca="1">IF(Panchanga!$P217&gt;15,"K","S")&amp;ROUNDUP(MOD(Panchanga!$P217,15),0)&amp;" ("&amp;ROUND(Panchanga!$P217,2)&amp;")"</f>
        <v>K1 (15.15)</v>
      </c>
      <c r="L217" s="2">
        <f ca="1">IF(AND(Panchanga!$P217&lt;28.5,Panchanga!$P217&gt;0.49999),MOD((Panchanga!$P217-0.5)*2,7),MOD((Panchanga!$P217+30-28.5),30)*2+7)</f>
        <v>1.3067999999999991</v>
      </c>
      <c r="M217" s="2" t="str">
        <f ca="1">CHOOSE(ROUNDUP(Panchanga!$L217,0),"Bhava","Baalava","Kaulava","Taitula","Garija","Vanija","Vishti","Shakuni","Chatushapda","Naaga","Kimstugna")</f>
        <v>Baalava</v>
      </c>
      <c r="N217" s="25" t="str">
        <f ca="1">CHOOSE(ROUNDUP(Panchanga!$Q217,0),"Vishkambha-विष्कम्भ-Sa","Priti-प्रीति-Me","Ayushman-आयुष्मान-Ke","Saubhagya-सौभाग्य-Ve","Shobhana-शोभन-Su","Atiganda-अतिगण्ड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("&amp;Panchanga!$Q217&amp;")"</f>
        <v>Priti-प्रीति-Me (1.76)</v>
      </c>
      <c r="O217" s="2">
        <f ca="1">IF(AND(Panchanga!$P217&lt;28.5,Panchanga!$P217&gt;0.49999),MOD((Panchanga!$P217-0.5)*2,7),MOD((Panchanga!$P217+30-28.5),30)*2+7)</f>
        <v>1.3067999999999991</v>
      </c>
      <c r="P217" s="2">
        <f ca="1">ROUNDUP(MOD(360+Panchanga!$G217-Panchanga!$F217,360)/12,4)</f>
        <v>15.1534</v>
      </c>
      <c r="Q217" s="2">
        <f t="shared" ca="1" si="39"/>
        <v>1.76</v>
      </c>
      <c r="R217" s="2" t="str">
        <f ca="1">SIGN(S218-Panchanga!$S217)*INT(Panchanga!$S217/30+1)&amp;"Ma,"&amp;SIGN(T218-Panchanga!$T217)*INT(Panchanga!$T217/30+1)&amp;"Me,"&amp;SIGN(U218-Panchanga!$U217)*INT(Panchanga!$U217/30+1)&amp;"Ju,"&amp;SIGN(V218-Panchanga!$V217)*INT(Panchanga!$V217/30+1)&amp;"Ve,"&amp;SIGN(W218-Panchanga!$W217)*INT(Panchanga!$W217/30+1)&amp;"Sa,"&amp;INT(Panchanga!$X217/30+1)&amp;"Ra"</f>
        <v>-10Ma,-4Me,7Ju,5Ve,-9Sa,4Ra</v>
      </c>
      <c r="S217" s="2">
        <f ca="1">Planet(Panchanga!$E217,4)</f>
        <v>279.81491618300475</v>
      </c>
      <c r="T217" s="2">
        <f ca="1">Planet(Panchanga!$E217,2)</f>
        <v>119.20582495580497</v>
      </c>
      <c r="U217" s="2">
        <f ca="1">Planet(Panchanga!$E217,5)</f>
        <v>199.67955112736115</v>
      </c>
      <c r="V217" s="2">
        <f ca="1">Planet(Panchanga!$E217,3)</f>
        <v>145.48717418052399</v>
      </c>
      <c r="W217" s="2">
        <f ca="1">Planet(Panchanga!$E217,6)</f>
        <v>249.66819199403554</v>
      </c>
      <c r="X217" s="2">
        <f ca="1">Planet(Panchanga!$E217,10)</f>
        <v>101.76820086233207</v>
      </c>
      <c r="Y217" s="2">
        <f ca="1">SIGN(S218-Panchanga!$S217)</f>
        <v>-1</v>
      </c>
    </row>
    <row r="218" spans="1:25" x14ac:dyDescent="0.2">
      <c r="A218" s="3">
        <f t="shared" ca="1" si="40"/>
        <v>43310</v>
      </c>
      <c r="B218" s="3">
        <f t="shared" ca="1" si="33"/>
        <v>43310.229166666664</v>
      </c>
      <c r="C218" s="5">
        <f t="shared" ca="1" si="34"/>
        <v>43310.24628866386</v>
      </c>
      <c r="D218" s="5">
        <f t="shared" ca="1" si="35"/>
        <v>43309.776188671633</v>
      </c>
      <c r="E218" s="60">
        <f ca="1">Panchanga!$C218-TimeZone/24</f>
        <v>43310.017121997196</v>
      </c>
      <c r="F218" s="61">
        <f t="shared" ca="1" si="36"/>
        <v>101.75274805692081</v>
      </c>
      <c r="G218" s="61">
        <f t="shared" ca="1" si="37"/>
        <v>294.46657046418898</v>
      </c>
      <c r="H218" s="62">
        <f t="shared" ca="1" si="38"/>
        <v>43310.017121997196</v>
      </c>
      <c r="I218" s="2" t="str">
        <f ca="1">naks(Panchanga!$G218)</f>
        <v>Dhanistha</v>
      </c>
      <c r="J218" s="5">
        <f ca="1">(C219-Panchanga!$C218)/(G219-Panchanga!$G218)*(13.3333333333333-MOD(Panchanga!$G218,13.333333333333))+Panchanga!$C218</f>
        <v>43311.272013486385</v>
      </c>
      <c r="K218" s="2" t="str">
        <f ca="1">IF(Panchanga!$P218&gt;15,"K","S")&amp;ROUNDUP(MOD(Panchanga!$P218,15),0)&amp;" ("&amp;ROUND(Panchanga!$P218,2)&amp;")"</f>
        <v>K2 (16.06)</v>
      </c>
      <c r="L218" s="2">
        <f ca="1">IF(AND(Panchanga!$P218&lt;28.5,Panchanga!$P218&gt;0.49999),MOD((Panchanga!$P218-0.5)*2,7),MOD((Panchanga!$P218+30-28.5),30)*2+7)</f>
        <v>3.1189999999999998</v>
      </c>
      <c r="M218" s="2" t="str">
        <f ca="1">CHOOSE(ROUNDUP(Panchanga!$L218,0),"Bhava","Baalava","Kaulava","Taitula","Garija","Vanija","Vishti","Shakuni","Chatushapda","Naaga","Kimstugna")</f>
        <v>Taitula</v>
      </c>
      <c r="N218" s="25" t="str">
        <f ca="1">CHOOSE(ROUNDUP(Panchanga!$Q218,0),"Vishkambha-विष्कम्भ-Sa","Priti-प्रीति-Me","Ayushman-आयुष्मान-Ke","Saubhagya-सौभाग्य-Ve","Shobhana-शोभन-Su","Atiganda-अतिगण्ड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("&amp;Panchanga!$Q218&amp;")"</f>
        <v>Ayushman-आयुष्मान-Ke (2.72)</v>
      </c>
      <c r="O218" s="2">
        <f ca="1">IF(AND(Panchanga!$P218&lt;28.5,Panchanga!$P218&gt;0.49999),MOD((Panchanga!$P218-0.5)*2,7),MOD((Panchanga!$P218+30-28.5),30)*2+7)</f>
        <v>3.1189999999999998</v>
      </c>
      <c r="P218" s="2">
        <f ca="1">ROUNDUP(MOD(360+Panchanga!$G218-Panchanga!$F218,360)/12,4)</f>
        <v>16.0595</v>
      </c>
      <c r="Q218" s="2">
        <f t="shared" ca="1" si="39"/>
        <v>2.7199999999999998</v>
      </c>
      <c r="R218" s="2" t="str">
        <f ca="1">SIGN(S219-Panchanga!$S218)*INT(Panchanga!$S218/30+1)&amp;"Ma,"&amp;SIGN(T219-Panchanga!$T218)*INT(Panchanga!$T218/30+1)&amp;"Me,"&amp;SIGN(U219-Panchanga!$U218)*INT(Panchanga!$U218/30+1)&amp;"Ju,"&amp;SIGN(V219-Panchanga!$V218)*INT(Panchanga!$V218/30+1)&amp;"Ve,"&amp;SIGN(W219-Panchanga!$W218)*INT(Panchanga!$W218/30+1)&amp;"Sa,"&amp;INT(Panchanga!$X218/30+1)&amp;"Ra"</f>
        <v>-10Ma,-4Me,7Ju,5Ve,-9Sa,4Ra</v>
      </c>
      <c r="S218" s="2">
        <f ca="1">Planet(Panchanga!$E218,4)</f>
        <v>279.5414426213286</v>
      </c>
      <c r="T218" s="2">
        <f ca="1">Planet(Panchanga!$E218,2)</f>
        <v>119.0112546478191</v>
      </c>
      <c r="U218" s="2">
        <f ca="1">Planet(Panchanga!$E218,5)</f>
        <v>199.73206348168631</v>
      </c>
      <c r="V218" s="2">
        <f ca="1">Planet(Panchanga!$E218,3)</f>
        <v>146.55016488859314</v>
      </c>
      <c r="W218" s="2">
        <f ca="1">Planet(Panchanga!$E218,6)</f>
        <v>249.61144742600766</v>
      </c>
      <c r="X218" s="2">
        <f ca="1">Planet(Panchanga!$E218,10)</f>
        <v>101.71520034104205</v>
      </c>
      <c r="Y218" s="2">
        <f ca="1">SIGN(S219-Panchanga!$S218)</f>
        <v>-1</v>
      </c>
    </row>
    <row r="219" spans="1:25" x14ac:dyDescent="0.2">
      <c r="A219" s="3">
        <f t="shared" ca="1" si="40"/>
        <v>43311</v>
      </c>
      <c r="B219" s="3">
        <f t="shared" ca="1" si="33"/>
        <v>43311.229166666664</v>
      </c>
      <c r="C219" s="5">
        <f t="shared" ca="1" si="34"/>
        <v>43311.246446020123</v>
      </c>
      <c r="D219" s="5">
        <f t="shared" ca="1" si="35"/>
        <v>43310.775988876863</v>
      </c>
      <c r="E219" s="60">
        <f ca="1">Panchanga!$C219-TimeZone/24</f>
        <v>43311.017279353458</v>
      </c>
      <c r="F219" s="61">
        <f t="shared" ca="1" si="36"/>
        <v>102.70852390280011</v>
      </c>
      <c r="G219" s="61">
        <f t="shared" ca="1" si="37"/>
        <v>306.36256410311324</v>
      </c>
      <c r="H219" s="62">
        <f t="shared" ca="1" si="38"/>
        <v>43311.017279353458</v>
      </c>
      <c r="I219" s="2" t="str">
        <f ca="1">naks(Panchanga!$G219)</f>
        <v>Dhanistha</v>
      </c>
      <c r="J219" s="5">
        <f ca="1">(C220-Panchanga!$C219)/(G220-Panchanga!$G219)*(13.3333333333333-MOD(Panchanga!$G219,13.333333333333))+Panchanga!$C219</f>
        <v>43311.271784220589</v>
      </c>
      <c r="K219" s="2" t="str">
        <f ca="1">IF(Panchanga!$P219&gt;15,"K","S")&amp;ROUNDUP(MOD(Panchanga!$P219,15),0)&amp;" ("&amp;ROUND(Panchanga!$P219,2)&amp;")"</f>
        <v>K2 (16.97)</v>
      </c>
      <c r="L219" s="2">
        <f ca="1">IF(AND(Panchanga!$P219&lt;28.5,Panchanga!$P219&gt;0.49999),MOD((Panchanga!$P219-0.5)*2,7),MOD((Panchanga!$P219+30-28.5),30)*2+7)</f>
        <v>4.9423999999999992</v>
      </c>
      <c r="M219" s="2" t="str">
        <f ca="1">CHOOSE(ROUNDUP(Panchanga!$L219,0),"Bhava","Baalava","Kaulava","Taitula","Garija","Vanija","Vishti","Shakuni","Chatushapda","Naaga","Kimstugna")</f>
        <v>Garija</v>
      </c>
      <c r="N219" s="25" t="str">
        <f ca="1">CHOOSE(ROUNDUP(Panchanga!$Q219,0),"Vishkambha-विष्कम्भ-Sa","Priti-प्रीति-Me","Ayushman-आयुष्मान-Ke","Saubhagya-सौभाग्य-Ve","Shobhana-शोभन-Su","Atiganda-अतिगण्ड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("&amp;Panchanga!$Q219&amp;")"</f>
        <v>Saubhagya-सौभाग्य-Ve (3.69)</v>
      </c>
      <c r="O219" s="2">
        <f ca="1">IF(AND(Panchanga!$P219&lt;28.5,Panchanga!$P219&gt;0.49999),MOD((Panchanga!$P219-0.5)*2,7),MOD((Panchanga!$P219+30-28.5),30)*2+7)</f>
        <v>4.9423999999999992</v>
      </c>
      <c r="P219" s="2">
        <f ca="1">ROUNDUP(MOD(360+Panchanga!$G219-Panchanga!$F219,360)/12,4)</f>
        <v>16.9712</v>
      </c>
      <c r="Q219" s="2">
        <f t="shared" ca="1" si="39"/>
        <v>3.69</v>
      </c>
      <c r="R219" s="2" t="str">
        <f ca="1">SIGN(S220-Panchanga!$S219)*INT(Panchanga!$S219/30+1)&amp;"Ma,"&amp;SIGN(T220-Panchanga!$T219)*INT(Panchanga!$T219/30+1)&amp;"Me,"&amp;SIGN(U220-Panchanga!$U219)*INT(Panchanga!$U219/30+1)&amp;"Ju,"&amp;SIGN(V220-Panchanga!$V219)*INT(Panchanga!$V219/30+1)&amp;"Ve,"&amp;SIGN(W220-Panchanga!$W219)*INT(Panchanga!$W219/30+1)&amp;"Sa,"&amp;INT(Panchanga!$X219/30+1)&amp;"Ra"</f>
        <v>-10Ma,-4Me,7Ju,5Ve,-9Sa,4Ra</v>
      </c>
      <c r="S219" s="2">
        <f ca="1">Planet(Panchanga!$E219,4)</f>
        <v>279.26845270387315</v>
      </c>
      <c r="T219" s="2">
        <f ca="1">Planet(Panchanga!$E219,2)</f>
        <v>118.73289305308148</v>
      </c>
      <c r="U219" s="2">
        <f ca="1">Planet(Panchanga!$E219,5)</f>
        <v>199.78738007375964</v>
      </c>
      <c r="V219" s="2">
        <f ca="1">Planet(Panchanga!$E219,3)</f>
        <v>147.60923774455449</v>
      </c>
      <c r="W219" s="2">
        <f ca="1">Planet(Panchanga!$E219,6)</f>
        <v>249.5557544291901</v>
      </c>
      <c r="X219" s="2">
        <f ca="1">Planet(Panchanga!$E219,10)</f>
        <v>101.66220000505993</v>
      </c>
      <c r="Y219" s="2">
        <f ca="1">SIGN(S220-Panchanga!$S219)</f>
        <v>-1</v>
      </c>
    </row>
    <row r="220" spans="1:25" x14ac:dyDescent="0.2">
      <c r="A220" s="3">
        <f t="shared" ca="1" si="40"/>
        <v>43312</v>
      </c>
      <c r="B220" s="3">
        <f t="shared" ca="1" si="33"/>
        <v>43312.229166666664</v>
      </c>
      <c r="C220" s="5">
        <f t="shared" ca="1" si="34"/>
        <v>43312.246599561688</v>
      </c>
      <c r="D220" s="5">
        <f t="shared" ca="1" si="35"/>
        <v>43311.775778591676</v>
      </c>
      <c r="E220" s="60">
        <f ca="1">Panchanga!$C220-TimeZone/24</f>
        <v>43312.017432895023</v>
      </c>
      <c r="F220" s="61">
        <f t="shared" ca="1" si="36"/>
        <v>103.66454128462765</v>
      </c>
      <c r="G220" s="61">
        <f t="shared" ca="1" si="37"/>
        <v>318.36614961039538</v>
      </c>
      <c r="H220" s="62">
        <f t="shared" ca="1" si="38"/>
        <v>43312.017432895023</v>
      </c>
      <c r="I220" s="2" t="str">
        <f ca="1">naks(Panchanga!$G220)</f>
        <v>Satabhisaj</v>
      </c>
      <c r="J220" s="5">
        <f ca="1">(C221-Panchanga!$C220)/(G221-Panchanga!$G220)*(13.3333333333333-MOD(Panchanga!$G220,13.333333333333))+Panchanga!$C220</f>
        <v>43312.38103970766</v>
      </c>
      <c r="K220" s="2" t="str">
        <f ca="1">IF(Panchanga!$P220&gt;15,"K","S")&amp;ROUNDUP(MOD(Panchanga!$P220,15),0)&amp;" ("&amp;ROUND(Panchanga!$P220,2)&amp;")"</f>
        <v>K3 (17.89)</v>
      </c>
      <c r="L220" s="2">
        <f ca="1">IF(AND(Panchanga!$P220&lt;28.5,Panchanga!$P220&gt;0.49999),MOD((Panchanga!$P220-0.5)*2,7),MOD((Panchanga!$P220+30-28.5),30)*2+7)</f>
        <v>6.7837999999999994</v>
      </c>
      <c r="M220" s="2" t="str">
        <f ca="1">CHOOSE(ROUNDUP(Panchanga!$L220,0),"Bhava","Baalava","Kaulava","Taitula","Garija","Vanija","Vishti","Shakuni","Chatushapda","Naaga","Kimstugna")</f>
        <v>Vishti</v>
      </c>
      <c r="N220" s="25" t="str">
        <f ca="1">CHOOSE(ROUNDUP(Panchanga!$Q220,0),"Vishkambha-विष्कम्भ-Sa","Priti-प्रीति-Me","Ayushman-आयुष्मान-Ke","Saubhagya-सौभाग्य-Ve","Shobhana-शोभन-Su","Atiganda-अतिगण्ड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("&amp;Panchanga!$Q220&amp;")"</f>
        <v>Shobhana-शोभन-Su (4.66)</v>
      </c>
      <c r="O220" s="2">
        <f ca="1">IF(AND(Panchanga!$P220&lt;28.5,Panchanga!$P220&gt;0.49999),MOD((Panchanga!$P220-0.5)*2,7),MOD((Panchanga!$P220+30-28.5),30)*2+7)</f>
        <v>6.7837999999999994</v>
      </c>
      <c r="P220" s="2">
        <f ca="1">ROUNDUP(MOD(360+Panchanga!$G220-Panchanga!$F220,360)/12,4)</f>
        <v>17.8919</v>
      </c>
      <c r="Q220" s="2">
        <f t="shared" ca="1" si="39"/>
        <v>4.66</v>
      </c>
      <c r="R220" s="2" t="str">
        <f ca="1">SIGN(S221-Panchanga!$S220)*INT(Panchanga!$S220/30+1)&amp;"Ma,"&amp;SIGN(T221-Panchanga!$T220)*INT(Panchanga!$T220/30+1)&amp;"Me,"&amp;SIGN(U221-Panchanga!$U220)*INT(Panchanga!$U220/30+1)&amp;"Ju,"&amp;SIGN(V221-Panchanga!$V220)*INT(Panchanga!$V220/30+1)&amp;"Ve,"&amp;SIGN(W221-Panchanga!$W220)*INT(Panchanga!$W220/30+1)&amp;"Sa,"&amp;INT(Panchanga!$X220/30+1)&amp;"Ra"</f>
        <v>-10Ma,-4Me,7Ju,5Ve,-9Sa,4Ra</v>
      </c>
      <c r="S220" s="2">
        <f ca="1">Planet(Panchanga!$E220,4)</f>
        <v>278.99667461019379</v>
      </c>
      <c r="T220" s="2">
        <f ca="1">Planet(Panchanga!$E220,2)</f>
        <v>118.37246803667824</v>
      </c>
      <c r="U220" s="2">
        <f ca="1">Planet(Panchanga!$E220,5)</f>
        <v>199.84548312319063</v>
      </c>
      <c r="V220" s="2">
        <f ca="1">Planet(Panchanga!$E220,3)</f>
        <v>148.66429768029204</v>
      </c>
      <c r="W220" s="2">
        <f ca="1">Planet(Panchanga!$E220,6)</f>
        <v>249.50113838372928</v>
      </c>
      <c r="X220" s="2">
        <f ca="1">Planet(Panchanga!$E220,10)</f>
        <v>101.60919987121989</v>
      </c>
      <c r="Y220" s="2">
        <f ca="1">SIGN(S221-Panchanga!$S220)</f>
        <v>-1</v>
      </c>
    </row>
    <row r="221" spans="1:25" x14ac:dyDescent="0.2">
      <c r="A221" s="3">
        <f t="shared" ca="1" si="40"/>
        <v>43313</v>
      </c>
      <c r="B221" s="3">
        <f t="shared" ca="1" si="33"/>
        <v>43313.229166666664</v>
      </c>
      <c r="C221" s="5">
        <f t="shared" ca="1" si="34"/>
        <v>43313.246749447346</v>
      </c>
      <c r="D221" s="5">
        <f t="shared" ca="1" si="35"/>
        <v>43312.775558292909</v>
      </c>
      <c r="E221" s="60">
        <f ca="1">Panchanga!$C221-TimeZone/24</f>
        <v>43313.017582780682</v>
      </c>
      <c r="F221" s="61">
        <f t="shared" ca="1" si="36"/>
        <v>104.62082141884734</v>
      </c>
      <c r="G221" s="61">
        <f t="shared" ca="1" si="37"/>
        <v>330.52096593064556</v>
      </c>
      <c r="H221" s="62">
        <f t="shared" ca="1" si="38"/>
        <v>43313.017582780682</v>
      </c>
      <c r="I221" s="2" t="str">
        <f ca="1">naks(Panchanga!$G221)</f>
        <v>Purva Bhadrapada</v>
      </c>
      <c r="J221" s="5">
        <f ca="1">(C222-Panchanga!$C221)/(G222-Panchanga!$G221)*(13.3333333333333-MOD(Panchanga!$G221,13.333333333333))+Panchanga!$C221</f>
        <v>43313.474441036269</v>
      </c>
      <c r="K221" s="2" t="str">
        <f ca="1">IF(Panchanga!$P221&gt;15,"K","S")&amp;ROUNDUP(MOD(Panchanga!$P221,15),0)&amp;" ("&amp;ROUND(Panchanga!$P221,2)&amp;")"</f>
        <v>K4 (18.83)</v>
      </c>
      <c r="L221" s="2">
        <f ca="1">IF(AND(Panchanga!$P221&lt;28.5,Panchanga!$P221&gt;0.49999),MOD((Panchanga!$P221-0.5)*2,7),MOD((Panchanga!$P221+30-28.5),30)*2+7)</f>
        <v>1.6501999999999981</v>
      </c>
      <c r="M221" s="2" t="str">
        <f ca="1">CHOOSE(ROUNDUP(Panchanga!$L221,0),"Bhava","Baalava","Kaulava","Taitula","Garija","Vanija","Vishti","Shakuni","Chatushapda","Naaga","Kimstugna")</f>
        <v>Baalava</v>
      </c>
      <c r="N221" s="25" t="str">
        <f ca="1">CHOOSE(ROUNDUP(Panchanga!$Q221,0),"Vishkambha-विष्कम्भ-Sa","Priti-प्रीति-Me","Ayushman-आयुष्मान-Ke","Saubhagya-सौभाग्य-Ve","Shobhana-शोभन-Su","Atiganda-अतिगण्ड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("&amp;Panchanga!$Q221&amp;")"</f>
        <v>Atiganda-अतिगण्ड -Mo (5.64)</v>
      </c>
      <c r="O221" s="2">
        <f ca="1">IF(AND(Panchanga!$P221&lt;28.5,Panchanga!$P221&gt;0.49999),MOD((Panchanga!$P221-0.5)*2,7),MOD((Panchanga!$P221+30-28.5),30)*2+7)</f>
        <v>1.6501999999999981</v>
      </c>
      <c r="P221" s="2">
        <f ca="1">ROUNDUP(MOD(360+Panchanga!$G221-Panchanga!$F221,360)/12,4)</f>
        <v>18.825099999999999</v>
      </c>
      <c r="Q221" s="2">
        <f t="shared" ca="1" si="39"/>
        <v>5.64</v>
      </c>
      <c r="R221" s="2" t="str">
        <f ca="1">SIGN(S222-Panchanga!$S221)*INT(Panchanga!$S221/30+1)&amp;"Ma,"&amp;SIGN(T222-Panchanga!$T221)*INT(Panchanga!$T221/30+1)&amp;"Me,"&amp;SIGN(U222-Panchanga!$U221)*INT(Panchanga!$U221/30+1)&amp;"Ju,"&amp;SIGN(V222-Panchanga!$V221)*INT(Panchanga!$V221/30+1)&amp;"Ve,"&amp;SIGN(W222-Panchanga!$W221)*INT(Panchanga!$W221/30+1)&amp;"Sa,"&amp;INT(Panchanga!$X221/30+1)&amp;"Ra"</f>
        <v>-10Ma,-4Me,7Ju,5Ve,-9Sa,4Ra</v>
      </c>
      <c r="S221" s="2">
        <f ca="1">Planet(Panchanga!$E221,4)</f>
        <v>278.72683666948114</v>
      </c>
      <c r="T221" s="2">
        <f ca="1">Planet(Panchanga!$E221,2)</f>
        <v>117.93291540143949</v>
      </c>
      <c r="U221" s="2">
        <f ca="1">Planet(Panchanga!$E221,5)</f>
        <v>199.90635497312007</v>
      </c>
      <c r="V221" s="2">
        <f ca="1">Planet(Panchanga!$E221,3)</f>
        <v>149.71524802847793</v>
      </c>
      <c r="W221" s="2">
        <f ca="1">Planet(Panchanga!$E221,6)</f>
        <v>249.44762434161396</v>
      </c>
      <c r="X221" s="2">
        <f ca="1">Planet(Panchanga!$E221,10)</f>
        <v>101.55619993113802</v>
      </c>
      <c r="Y221" s="2">
        <f ca="1">SIGN(S222-Panchanga!$S221)</f>
        <v>-1</v>
      </c>
    </row>
    <row r="222" spans="1:25" x14ac:dyDescent="0.2">
      <c r="A222" s="3">
        <f t="shared" ca="1" si="40"/>
        <v>43314</v>
      </c>
      <c r="B222" s="3">
        <f t="shared" ca="1" si="33"/>
        <v>43314.229166666664</v>
      </c>
      <c r="C222" s="5">
        <f t="shared" ca="1" si="34"/>
        <v>43314.246895677563</v>
      </c>
      <c r="D222" s="5">
        <f t="shared" ca="1" si="35"/>
        <v>43313.775327980562</v>
      </c>
      <c r="E222" s="60">
        <f ca="1">Panchanga!$C222-TimeZone/24</f>
        <v>43314.017729010899</v>
      </c>
      <c r="F222" s="61">
        <f t="shared" ca="1" si="36"/>
        <v>105.57738435415442</v>
      </c>
      <c r="G222" s="61">
        <f t="shared" ca="1" si="37"/>
        <v>342.87442469944597</v>
      </c>
      <c r="H222" s="62">
        <f t="shared" ca="1" si="38"/>
        <v>43314.017729010899</v>
      </c>
      <c r="I222" s="2" t="str">
        <f ca="1">naks(Panchanga!$G222)</f>
        <v>Uttara Bhadrapada</v>
      </c>
      <c r="J222" s="5">
        <f ca="1">(C223-Panchanga!$C222)/(G223-Panchanga!$G222)*(13.3333333333333-MOD(Panchanga!$G222,13.333333333333))+Panchanga!$C222</f>
        <v>43314.547851111151</v>
      </c>
      <c r="K222" s="2" t="str">
        <f ca="1">IF(Panchanga!$P222&gt;15,"K","S")&amp;ROUNDUP(MOD(Panchanga!$P222,15),0)&amp;" ("&amp;ROUND(Panchanga!$P222,2)&amp;")"</f>
        <v>K5 (19.77)</v>
      </c>
      <c r="L222" s="2">
        <f ca="1">IF(AND(Panchanga!$P222&lt;28.5,Panchanga!$P222&gt;0.49999),MOD((Panchanga!$P222-0.5)*2,7),MOD((Panchanga!$P222+30-28.5),30)*2+7)</f>
        <v>3.5495999999999981</v>
      </c>
      <c r="M222" s="2" t="str">
        <f ca="1">CHOOSE(ROUNDUP(Panchanga!$L222,0),"Bhava","Baalava","Kaulava","Taitula","Garija","Vanija","Vishti","Shakuni","Chatushapda","Naaga","Kimstugna")</f>
        <v>Taitula</v>
      </c>
      <c r="N222" s="25" t="str">
        <f ca="1">CHOOSE(ROUNDUP(Panchanga!$Q222,0),"Vishkambha-विष्कम्भ-Sa","Priti-प्रीति-Me","Ayushman-आयुष्मान-Ke","Saubhagya-सौभाग्य-Ve","Shobhana-शोभन-Su","Atiganda-अतिगण्ड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("&amp;Panchanga!$Q222&amp;")"</f>
        <v>Sukarman-सुकर्मा -Ma (6.64)</v>
      </c>
      <c r="O222" s="2">
        <f ca="1">IF(AND(Panchanga!$P222&lt;28.5,Panchanga!$P222&gt;0.49999),MOD((Panchanga!$P222-0.5)*2,7),MOD((Panchanga!$P222+30-28.5),30)*2+7)</f>
        <v>3.5495999999999981</v>
      </c>
      <c r="P222" s="2">
        <f ca="1">ROUNDUP(MOD(360+Panchanga!$G222-Panchanga!$F222,360)/12,4)</f>
        <v>19.774799999999999</v>
      </c>
      <c r="Q222" s="2">
        <f t="shared" ca="1" si="39"/>
        <v>6.64</v>
      </c>
      <c r="R222" s="2" t="str">
        <f ca="1">SIGN(S223-Panchanga!$S222)*INT(Panchanga!$S222/30+1)&amp;"Ma,"&amp;SIGN(T223-Panchanga!$T222)*INT(Panchanga!$T222/30+1)&amp;"Me,"&amp;SIGN(U223-Panchanga!$U222)*INT(Panchanga!$U222/30+1)&amp;"Ju,"&amp;SIGN(V223-Panchanga!$V222)*INT(Panchanga!$V222/30+1)&amp;"Ve,"&amp;SIGN(W223-Panchanga!$W222)*INT(Panchanga!$W222/30+1)&amp;"Sa,"&amp;INT(Panchanga!$X222/30+1)&amp;"Ra"</f>
        <v>-10Ma,-4Me,7Ju,6Ve,-9Sa,4Ra</v>
      </c>
      <c r="S222" s="2">
        <f ca="1">Planet(Panchanga!$E222,4)</f>
        <v>278.45966627643196</v>
      </c>
      <c r="T222" s="2">
        <f ca="1">Planet(Panchanga!$E222,2)</f>
        <v>117.41852933642602</v>
      </c>
      <c r="U222" s="2">
        <f ca="1">Planet(Panchanga!$E222,5)</f>
        <v>199.96997808736296</v>
      </c>
      <c r="V222" s="2">
        <f ca="1">Planet(Panchanga!$E222,3)</f>
        <v>150.76198949503885</v>
      </c>
      <c r="W222" s="2">
        <f ca="1">Planet(Panchanga!$E222,6)</f>
        <v>249.39523711334778</v>
      </c>
      <c r="X222" s="2">
        <f ca="1">Planet(Panchanga!$E222,10)</f>
        <v>101.50320018476455</v>
      </c>
      <c r="Y222" s="2">
        <f ca="1">SIGN(S223-Panchanga!$S222)</f>
        <v>-1</v>
      </c>
    </row>
    <row r="223" spans="1:25" x14ac:dyDescent="0.2">
      <c r="A223" s="3">
        <f t="shared" ca="1" si="40"/>
        <v>43315</v>
      </c>
      <c r="B223" s="3">
        <f t="shared" ca="1" si="33"/>
        <v>43315.229166666664</v>
      </c>
      <c r="C223" s="5">
        <f t="shared" ca="1" si="34"/>
        <v>43315.247037933827</v>
      </c>
      <c r="D223" s="5">
        <f t="shared" ca="1" si="35"/>
        <v>43314.77508781389</v>
      </c>
      <c r="E223" s="60">
        <f ca="1">Panchanga!$C223-TimeZone/24</f>
        <v>43315.017871267162</v>
      </c>
      <c r="F223" s="61">
        <f t="shared" ca="1" si="36"/>
        <v>106.53424836493319</v>
      </c>
      <c r="G223" s="61">
        <f t="shared" ca="1" si="37"/>
        <v>355.4768934178561</v>
      </c>
      <c r="H223" s="62">
        <f t="shared" ca="1" si="38"/>
        <v>43315.017871267162</v>
      </c>
      <c r="I223" s="2" t="str">
        <f ca="1">naks(Panchanga!$G223)</f>
        <v>Revati</v>
      </c>
      <c r="J223" s="5">
        <f ca="1">(C224-Panchanga!$C223)/(G224-Panchanga!$G223)*(13.3333333333333-MOD(Panchanga!$G223,13.333333333333))+Panchanga!$C223</f>
        <v>43315.234004904145</v>
      </c>
      <c r="K223" s="2" t="str">
        <f ca="1">IF(Panchanga!$P223&gt;15,"K","S")&amp;ROUNDUP(MOD(Panchanga!$P223,15),0)&amp;" ("&amp;ROUND(Panchanga!$P223,2)&amp;")"</f>
        <v>K6 (20.75)</v>
      </c>
      <c r="L223" s="2">
        <f ca="1">IF(AND(Panchanga!$P223&lt;28.5,Panchanga!$P223&gt;0.49999),MOD((Panchanga!$P223-0.5)*2,7),MOD((Panchanga!$P223+30-28.5),30)*2+7)</f>
        <v>5.4906000000000006</v>
      </c>
      <c r="M223" s="2" t="str">
        <f ca="1">CHOOSE(ROUNDUP(Panchanga!$L223,0),"Bhava","Baalava","Kaulava","Taitula","Garija","Vanija","Vishti","Shakuni","Chatushapda","Naaga","Kimstugna")</f>
        <v>Vanija</v>
      </c>
      <c r="N223" s="25" t="str">
        <f ca="1">CHOOSE(ROUNDUP(Panchanga!$Q223,0),"Vishkambha-विष्कम्भ-Sa","Priti-प्रीति-Me","Ayushman-आयुष्मान-Ke","Saubhagya-सौभाग्य-Ve","Shobhana-शोभन-Su","Atiganda-अतिगण्ड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("&amp;Panchanga!$Q223&amp;")"</f>
        <v>Dhriti-धृति -Ra (7.66)</v>
      </c>
      <c r="O223" s="2">
        <f ca="1">IF(AND(Panchanga!$P223&lt;28.5,Panchanga!$P223&gt;0.49999),MOD((Panchanga!$P223-0.5)*2,7),MOD((Panchanga!$P223+30-28.5),30)*2+7)</f>
        <v>5.4906000000000006</v>
      </c>
      <c r="P223" s="2">
        <f ca="1">ROUNDUP(MOD(360+Panchanga!$G223-Panchanga!$F223,360)/12,4)</f>
        <v>20.7453</v>
      </c>
      <c r="Q223" s="2">
        <f t="shared" ca="1" si="39"/>
        <v>7.66</v>
      </c>
      <c r="R223" s="2" t="str">
        <f ca="1">SIGN(S224-Panchanga!$S223)*INT(Panchanga!$S223/30+1)&amp;"Ma,"&amp;SIGN(T224-Panchanga!$T223)*INT(Panchanga!$T223/30+1)&amp;"Me,"&amp;SIGN(U224-Panchanga!$U223)*INT(Panchanga!$U223/30+1)&amp;"Ju,"&amp;SIGN(V224-Panchanga!$V223)*INT(Panchanga!$V223/30+1)&amp;"Ve,"&amp;SIGN(W224-Panchanga!$W223)*INT(Panchanga!$W223/30+1)&amp;"Sa,"&amp;INT(Panchanga!$X223/30+1)&amp;"Ra"</f>
        <v>-10Ma,-4Me,7Ju,6Ve,-9Sa,4Ra</v>
      </c>
      <c r="S223" s="2">
        <f ca="1">Planet(Panchanga!$E223,4)</f>
        <v>278.19588876419596</v>
      </c>
      <c r="T223" s="2">
        <f ca="1">Planet(Panchanga!$E223,2)</f>
        <v>116.83508614866621</v>
      </c>
      <c r="U223" s="2">
        <f ca="1">Planet(Panchanga!$E223,5)</f>
        <v>200.03633504420773</v>
      </c>
      <c r="V223" s="2">
        <f ca="1">Planet(Panchanga!$E223,3)</f>
        <v>151.80441951297325</v>
      </c>
      <c r="W223" s="2">
        <f ca="1">Planet(Panchanga!$E223,6)</f>
        <v>249.34400131892443</v>
      </c>
      <c r="X223" s="2">
        <f ca="1">Planet(Panchanga!$E223,10)</f>
        <v>101.45020064896671</v>
      </c>
      <c r="Y223" s="2">
        <f ca="1">SIGN(S224-Panchanga!$S223)</f>
        <v>-1</v>
      </c>
    </row>
    <row r="224" spans="1:25" x14ac:dyDescent="0.2">
      <c r="A224" s="3">
        <f t="shared" ca="1" si="40"/>
        <v>43316</v>
      </c>
      <c r="B224" s="3">
        <f t="shared" ca="1" si="33"/>
        <v>43316.229166666664</v>
      </c>
      <c r="C224" s="5">
        <f t="shared" ca="1" si="34"/>
        <v>43316.247176375393</v>
      </c>
      <c r="D224" s="5">
        <f t="shared" ca="1" si="35"/>
        <v>43315.774837633173</v>
      </c>
      <c r="E224" s="60">
        <f ca="1">Panchanga!$C224-TimeZone/24</f>
        <v>43316.018009708729</v>
      </c>
      <c r="F224" s="61">
        <f t="shared" ca="1" si="36"/>
        <v>107.49143026037936</v>
      </c>
      <c r="G224" s="61">
        <f t="shared" ca="1" si="37"/>
        <v>8.3793359826780698</v>
      </c>
      <c r="H224" s="62">
        <f t="shared" ca="1" si="38"/>
        <v>43316.018009708729</v>
      </c>
      <c r="I224" s="2" t="str">
        <f ca="1">naks(Panchanga!$G224)</f>
        <v>Aswini</v>
      </c>
      <c r="J224" s="5">
        <f ca="1">(C225-Panchanga!$C224)/(G225-Panchanga!$G224)*(13.3333333333333-MOD(Panchanga!$G224,13.333333333333))+Panchanga!$C224</f>
        <v>43316.621126939448</v>
      </c>
      <c r="K224" s="2" t="str">
        <f ca="1">IF(Panchanga!$P224&gt;15,"K","S")&amp;ROUNDUP(MOD(Panchanga!$P224,15),0)&amp;" ("&amp;ROUND(Panchanga!$P224,2)&amp;")"</f>
        <v>K7 (21.74)</v>
      </c>
      <c r="L224" s="2">
        <f ca="1">IF(AND(Panchanga!$P224&lt;28.5,Panchanga!$P224&gt;0.49999),MOD((Panchanga!$P224-0.5)*2,7),MOD((Panchanga!$P224+30-28.5),30)*2+7)</f>
        <v>0.48140000000000072</v>
      </c>
      <c r="M224" s="2" t="str">
        <f ca="1">CHOOSE(ROUNDUP(Panchanga!$L224,0),"Bhava","Baalava","Kaulava","Taitula","Garija","Vanija","Vishti","Shakuni","Chatushapda","Naaga","Kimstugna")</f>
        <v>Bhava</v>
      </c>
      <c r="N224" s="25" t="str">
        <f ca="1">CHOOSE(ROUNDUP(Panchanga!$Q224,0),"Vishkambha-विष्कम्भ-Sa","Priti-प्रीति-Me","Ayushman-आयुष्मान-Ke","Saubhagya-सौभाग्य-Ve","Shobhana-शोभन-Su","Atiganda-अतिगण्ड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("&amp;Panchanga!$Q224&amp;")"</f>
        <v>Shula-शूल -Ju (8.7)</v>
      </c>
      <c r="O224" s="2">
        <f ca="1">IF(AND(Panchanga!$P224&lt;28.5,Panchanga!$P224&gt;0.49999),MOD((Panchanga!$P224-0.5)*2,7),MOD((Panchanga!$P224+30-28.5),30)*2+7)</f>
        <v>0.48140000000000072</v>
      </c>
      <c r="P224" s="2">
        <f ca="1">ROUNDUP(MOD(360+Panchanga!$G224-Panchanga!$F224,360)/12,4)</f>
        <v>21.7407</v>
      </c>
      <c r="Q224" s="2">
        <f t="shared" ca="1" si="39"/>
        <v>8.6999999999999993</v>
      </c>
      <c r="R224" s="2" t="str">
        <f ca="1">SIGN(S225-Panchanga!$S224)*INT(Panchanga!$S224/30+1)&amp;"Ma,"&amp;SIGN(T225-Panchanga!$T224)*INT(Panchanga!$T224/30+1)&amp;"Me,"&amp;SIGN(U225-Panchanga!$U224)*INT(Panchanga!$U224/30+1)&amp;"Ju,"&amp;SIGN(V225-Panchanga!$V224)*INT(Panchanga!$V224/30+1)&amp;"Ve,"&amp;SIGN(W225-Panchanga!$W224)*INT(Panchanga!$W224/30+1)&amp;"Sa,"&amp;INT(Panchanga!$X224/30+1)&amp;"Ra"</f>
        <v>-10Ma,-4Me,7Ju,6Ve,-9Sa,4Ra</v>
      </c>
      <c r="S224" s="2">
        <f ca="1">Planet(Panchanga!$E224,4)</f>
        <v>277.93622598479612</v>
      </c>
      <c r="T224" s="2">
        <f ca="1">Planet(Panchanga!$E224,2)</f>
        <v>116.18992637270009</v>
      </c>
      <c r="U224" s="2">
        <f ca="1">Planet(Panchanga!$E224,5)</f>
        <v>200.10540857046595</v>
      </c>
      <c r="V224" s="2">
        <f ca="1">Planet(Panchanga!$E224,3)</f>
        <v>152.84243248940697</v>
      </c>
      <c r="W224" s="2">
        <f ca="1">Planet(Panchanga!$E224,6)</f>
        <v>249.29394138097956</v>
      </c>
      <c r="X224" s="2">
        <f ca="1">Planet(Panchanga!$E224,10)</f>
        <v>101.39720131534392</v>
      </c>
      <c r="Y224" s="2">
        <f ca="1">SIGN(S225-Panchanga!$S224)</f>
        <v>-1</v>
      </c>
    </row>
    <row r="225" spans="1:25" x14ac:dyDescent="0.2">
      <c r="A225" s="3">
        <f t="shared" ca="1" si="40"/>
        <v>43317</v>
      </c>
      <c r="B225" s="3">
        <f t="shared" ca="1" si="33"/>
        <v>43317.229166666664</v>
      </c>
      <c r="C225" s="5">
        <f t="shared" ca="1" si="34"/>
        <v>43317.247311002728</v>
      </c>
      <c r="D225" s="5">
        <f t="shared" ca="1" si="35"/>
        <v>43316.774577915712</v>
      </c>
      <c r="E225" s="60">
        <f ca="1">Panchanga!$C225-TimeZone/24</f>
        <v>43317.018144336063</v>
      </c>
      <c r="F225" s="61">
        <f t="shared" ca="1" si="36"/>
        <v>108.44894431087101</v>
      </c>
      <c r="G225" s="61">
        <f t="shared" ca="1" si="37"/>
        <v>21.628852818284564</v>
      </c>
      <c r="H225" s="62">
        <f t="shared" ca="1" si="38"/>
        <v>43317.018144336063</v>
      </c>
      <c r="I225" s="2" t="str">
        <f ca="1">naks(Panchanga!$G225)</f>
        <v>Bharani</v>
      </c>
      <c r="J225" s="5">
        <f ca="1">(C226-Panchanga!$C225)/(G226-Panchanga!$G225)*(13.3333333333333-MOD(Panchanga!$G225,13.333333333333))+Panchanga!$C225</f>
        <v>43317.616891897327</v>
      </c>
      <c r="K225" s="2" t="str">
        <f ca="1">IF(Panchanga!$P225&gt;15,"K","S")&amp;ROUNDUP(MOD(Panchanga!$P225,15),0)&amp;" ("&amp;ROUND(Panchanga!$P225,2)&amp;")"</f>
        <v>K8 (22.77)</v>
      </c>
      <c r="L225" s="2">
        <f ca="1">IF(AND(Panchanga!$P225&lt;28.5,Panchanga!$P225&gt;0.49999),MOD((Panchanga!$P225-0.5)*2,7),MOD((Panchanga!$P225+30-28.5),30)*2+7)</f>
        <v>2.5300000000000011</v>
      </c>
      <c r="M225" s="2" t="str">
        <f ca="1">CHOOSE(ROUNDUP(Panchanga!$L225,0),"Bhava","Baalava","Kaulava","Taitula","Garija","Vanija","Vishti","Shakuni","Chatushapda","Naaga","Kimstugna")</f>
        <v>Kaulava</v>
      </c>
      <c r="N225" s="25" t="str">
        <f ca="1">CHOOSE(ROUNDUP(Panchanga!$Q225,0),"Vishkambha-विष्कम्भ-Sa","Priti-प्रीति-Me","Ayushman-आयुष्मान-Ke","Saubhagya-सौभाग्य-Ve","Shobhana-शोभन-Su","Atiganda-अतिगण्ड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("&amp;Panchanga!$Q225&amp;")"</f>
        <v>Ganda-गण्ड -Sa (9.76)</v>
      </c>
      <c r="O225" s="2">
        <f ca="1">IF(AND(Panchanga!$P225&lt;28.5,Panchanga!$P225&gt;0.49999),MOD((Panchanga!$P225-0.5)*2,7),MOD((Panchanga!$P225+30-28.5),30)*2+7)</f>
        <v>2.5300000000000011</v>
      </c>
      <c r="P225" s="2">
        <f ca="1">ROUNDUP(MOD(360+Panchanga!$G225-Panchanga!$F225,360)/12,4)</f>
        <v>22.765000000000001</v>
      </c>
      <c r="Q225" s="2">
        <f t="shared" ca="1" si="39"/>
        <v>9.76</v>
      </c>
      <c r="R225" s="2" t="str">
        <f ca="1">SIGN(S226-Panchanga!$S225)*INT(Panchanga!$S225/30+1)&amp;"Ma,"&amp;SIGN(T226-Panchanga!$T225)*INT(Panchanga!$T225/30+1)&amp;"Me,"&amp;SIGN(U226-Panchanga!$U225)*INT(Panchanga!$U225/30+1)&amp;"Ju,"&amp;SIGN(V226-Panchanga!$V225)*INT(Panchanga!$V225/30+1)&amp;"Ve,"&amp;SIGN(W226-Panchanga!$W225)*INT(Panchanga!$W225/30+1)&amp;"Sa,"&amp;INT(Panchanga!$X225/30+1)&amp;"Ra"</f>
        <v>-10Ma,-4Me,7Ju,6Ve,-9Sa,4Ra</v>
      </c>
      <c r="S225" s="2">
        <f ca="1">Planet(Panchanga!$E225,4)</f>
        <v>277.68139523195231</v>
      </c>
      <c r="T225" s="2">
        <f ca="1">Planet(Panchanga!$E225,2)</f>
        <v>115.49198230769393</v>
      </c>
      <c r="U225" s="2">
        <f ca="1">Planet(Panchanga!$E225,5)</f>
        <v>200.17718145981553</v>
      </c>
      <c r="V225" s="2">
        <f ca="1">Planet(Panchanga!$E225,3)</f>
        <v>153.87591844896698</v>
      </c>
      <c r="W225" s="2">
        <f ca="1">Planet(Panchanga!$E225,6)</f>
        <v>249.24508158497051</v>
      </c>
      <c r="X225" s="2">
        <f ca="1">Planet(Panchanga!$E225,10)</f>
        <v>101.34420218383003</v>
      </c>
      <c r="Y225" s="2">
        <f ca="1">SIGN(S226-Panchanga!$S225)</f>
        <v>-1</v>
      </c>
    </row>
    <row r="226" spans="1:25" x14ac:dyDescent="0.2">
      <c r="A226" s="3">
        <f t="shared" ca="1" si="40"/>
        <v>43318</v>
      </c>
      <c r="B226" s="3">
        <f t="shared" ca="1" si="33"/>
        <v>43318.229166666664</v>
      </c>
      <c r="C226" s="5">
        <f t="shared" ca="1" si="34"/>
        <v>43318.247441656109</v>
      </c>
      <c r="D226" s="5">
        <f t="shared" ca="1" si="35"/>
        <v>43317.774308661974</v>
      </c>
      <c r="E226" s="60">
        <f ca="1">Panchanga!$C226-TimeZone/24</f>
        <v>43318.018274989445</v>
      </c>
      <c r="F226" s="61">
        <f t="shared" ca="1" si="36"/>
        <v>109.40680170234459</v>
      </c>
      <c r="G226" s="61">
        <f t="shared" ca="1" si="37"/>
        <v>35.261787121368656</v>
      </c>
      <c r="H226" s="62">
        <f t="shared" ca="1" si="38"/>
        <v>43318.018274989445</v>
      </c>
      <c r="I226" s="2" t="str">
        <f ca="1">naks(Panchanga!$G226)</f>
        <v>Krittika</v>
      </c>
      <c r="J226" s="5">
        <f ca="1">(C227-Panchanga!$C226)/(G227-Panchanga!$G226)*(13.3333333333333-MOD(Panchanga!$G226,13.333333333333))+Panchanga!$C226</f>
        <v>43318.585134152949</v>
      </c>
      <c r="K226" s="2" t="str">
        <f ca="1">IF(Panchanga!$P226&gt;15,"K","S")&amp;ROUNDUP(MOD(Panchanga!$P226,15),0)&amp;" ("&amp;ROUND(Panchanga!$P226,2)&amp;")"</f>
        <v>K9 (23.82)</v>
      </c>
      <c r="L226" s="2">
        <f ca="1">IF(AND(Panchanga!$P226&lt;28.5,Panchanga!$P226&gt;0.49999),MOD((Panchanga!$P226-0.5)*2,7),MOD((Panchanga!$P226+30-28.5),30)*2+7)</f>
        <v>4.6426000000000016</v>
      </c>
      <c r="M226" s="2" t="str">
        <f ca="1">CHOOSE(ROUNDUP(Panchanga!$L226,0),"Bhava","Baalava","Kaulava","Taitula","Garija","Vanija","Vishti","Shakuni","Chatushapda","Naaga","Kimstugna")</f>
        <v>Garija</v>
      </c>
      <c r="N226" s="25" t="str">
        <f ca="1">CHOOSE(ROUNDUP(Panchanga!$Q226,0),"Vishkambha-विष्कम्भ-Sa","Priti-प्रीति-Me","Ayushman-आयुष्मान-Ke","Saubhagya-सौभाग्य-Ve","Shobhana-शोभन-Su","Atiganda-अतिगण्ड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("&amp;Panchanga!$Q226&amp;")"</f>
        <v>Vriddhi-वृद्धि -Me (10.86)</v>
      </c>
      <c r="O226" s="2">
        <f ca="1">IF(AND(Panchanga!$P226&lt;28.5,Panchanga!$P226&gt;0.49999),MOD((Panchanga!$P226-0.5)*2,7),MOD((Panchanga!$P226+30-28.5),30)*2+7)</f>
        <v>4.6426000000000016</v>
      </c>
      <c r="P226" s="2">
        <f ca="1">ROUNDUP(MOD(360+Panchanga!$G226-Panchanga!$F226,360)/12,4)</f>
        <v>23.821300000000001</v>
      </c>
      <c r="Q226" s="2">
        <f t="shared" ca="1" si="39"/>
        <v>10.86</v>
      </c>
      <c r="R226" s="2" t="str">
        <f ca="1">SIGN(S227-Panchanga!$S226)*INT(Panchanga!$S226/30+1)&amp;"Ma,"&amp;SIGN(T227-Panchanga!$T226)*INT(Panchanga!$T226/30+1)&amp;"Me,"&amp;SIGN(U227-Panchanga!$U226)*INT(Panchanga!$U226/30+1)&amp;"Ju,"&amp;SIGN(V227-Panchanga!$V226)*INT(Panchanga!$V226/30+1)&amp;"Ve,"&amp;SIGN(W227-Panchanga!$W226)*INT(Panchanga!$W226/30+1)&amp;"Sa,"&amp;INT(Panchanga!$X226/30+1)&amp;"Ra"</f>
        <v>-10Ma,-4Me,7Ju,6Ve,-9Sa,4Ra</v>
      </c>
      <c r="S226" s="2">
        <f ca="1">Planet(Panchanga!$E226,4)</f>
        <v>277.432108097249</v>
      </c>
      <c r="T226" s="2">
        <f ca="1">Planet(Panchanga!$E226,2)</f>
        <v>114.75173734362205</v>
      </c>
      <c r="U226" s="2">
        <f ca="1">Planet(Panchanga!$E226,5)</f>
        <v>200.25163650783156</v>
      </c>
      <c r="V226" s="2">
        <f ca="1">Planet(Panchanga!$E226,3)</f>
        <v>154.90476216369663</v>
      </c>
      <c r="W226" s="2">
        <f ca="1">Planet(Panchanga!$E226,6)</f>
        <v>249.19744610001038</v>
      </c>
      <c r="X226" s="2">
        <f ca="1">Planet(Panchanga!$E226,10)</f>
        <v>101.29120326292464</v>
      </c>
      <c r="Y226" s="2">
        <f ca="1">SIGN(S227-Panchanga!$S226)</f>
        <v>-1</v>
      </c>
    </row>
    <row r="227" spans="1:25" x14ac:dyDescent="0.2">
      <c r="A227" s="3">
        <f t="shared" ca="1" si="40"/>
        <v>43319</v>
      </c>
      <c r="B227" s="3">
        <f t="shared" ca="1" si="33"/>
        <v>43319.229166666664</v>
      </c>
      <c r="C227" s="5">
        <f t="shared" ca="1" si="34"/>
        <v>43319.247568176746</v>
      </c>
      <c r="D227" s="5">
        <f t="shared" ca="1" si="35"/>
        <v>43318.774030029817</v>
      </c>
      <c r="E227" s="60">
        <f ca="1">Panchanga!$C227-TimeZone/24</f>
        <v>43319.018401510082</v>
      </c>
      <c r="F227" s="61">
        <f t="shared" ca="1" si="36"/>
        <v>110.3650099909156</v>
      </c>
      <c r="G227" s="61">
        <f t="shared" ca="1" si="37"/>
        <v>49.294708802122024</v>
      </c>
      <c r="H227" s="62">
        <f t="shared" ca="1" si="38"/>
        <v>43319.018401510082</v>
      </c>
      <c r="I227" s="2" t="str">
        <f ca="1">naks(Panchanga!$G227)</f>
        <v>Rohini</v>
      </c>
      <c r="J227" s="5">
        <f ca="1">(C228-Panchanga!$C227)/(G228-Panchanga!$G227)*(13.3333333333333-MOD(Panchanga!$G227,13.333333333333))+Panchanga!$C227</f>
        <v>43319.527674709316</v>
      </c>
      <c r="K227" s="2" t="str">
        <f ca="1">IF(Panchanga!$P227&gt;15,"K","S")&amp;ROUNDUP(MOD(Panchanga!$P227,15),0)&amp;" ("&amp;ROUND(Panchanga!$P227,2)&amp;")"</f>
        <v>K10 (24.91)</v>
      </c>
      <c r="L227" s="2">
        <f ca="1">IF(AND(Panchanga!$P227&lt;28.5,Panchanga!$P227&gt;0.49999),MOD((Panchanga!$P227-0.5)*2,7),MOD((Panchanga!$P227+30-28.5),30)*2+7)</f>
        <v>6.8217999999999961</v>
      </c>
      <c r="M227" s="2" t="str">
        <f ca="1">CHOOSE(ROUNDUP(Panchanga!$L227,0),"Bhava","Baalava","Kaulava","Taitula","Garija","Vanija","Vishti","Shakuni","Chatushapda","Naaga","Kimstugna")</f>
        <v>Vishti</v>
      </c>
      <c r="N227" s="25" t="str">
        <f ca="1">CHOOSE(ROUNDUP(Panchanga!$Q227,0),"Vishkambha-विष्कम्भ-Sa","Priti-प्रीति-Me","Ayushman-आयुष्मान-Ke","Saubhagya-सौभाग्य-Ve","Shobhana-शोभन-Su","Atiganda-अतिगण्ड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("&amp;Panchanga!$Q227&amp;")"</f>
        <v>Dhruva-ध्रुव -Ke (11.98)</v>
      </c>
      <c r="O227" s="2">
        <f ca="1">IF(AND(Panchanga!$P227&lt;28.5,Panchanga!$P227&gt;0.49999),MOD((Panchanga!$P227-0.5)*2,7),MOD((Panchanga!$P227+30-28.5),30)*2+7)</f>
        <v>6.8217999999999961</v>
      </c>
      <c r="P227" s="2">
        <f ca="1">ROUNDUP(MOD(360+Panchanga!$G227-Panchanga!$F227,360)/12,4)</f>
        <v>24.910899999999998</v>
      </c>
      <c r="Q227" s="2">
        <f t="shared" ca="1" si="39"/>
        <v>11.98</v>
      </c>
      <c r="R227" s="2" t="str">
        <f ca="1">SIGN(S228-Panchanga!$S227)*INT(Panchanga!$S227/30+1)&amp;"Ma,"&amp;SIGN(T228-Panchanga!$T227)*INT(Panchanga!$T227/30+1)&amp;"Me,"&amp;SIGN(U228-Panchanga!$U227)*INT(Panchanga!$U227/30+1)&amp;"Ju,"&amp;SIGN(V228-Panchanga!$V227)*INT(Panchanga!$V227/30+1)&amp;"Ve,"&amp;SIGN(W228-Panchanga!$W227)*INT(Panchanga!$W227/30+1)&amp;"Sa,"&amp;INT(Panchanga!$X227/30+1)&amp;"Ra"</f>
        <v>-10Ma,-4Me,7Ju,6Ve,-9Sa,4Ra</v>
      </c>
      <c r="S227" s="2">
        <f ca="1">Planet(Panchanga!$E227,4)</f>
        <v>277.18906950008306</v>
      </c>
      <c r="T227" s="2">
        <f ca="1">Planet(Panchanga!$E227,2)</f>
        <v>113.98110841219136</v>
      </c>
      <c r="U227" s="2">
        <f ca="1">Planet(Panchanga!$E227,5)</f>
        <v>200.32875641574827</v>
      </c>
      <c r="V227" s="2">
        <f ca="1">Planet(Panchanga!$E227,3)</f>
        <v>155.92884208662525</v>
      </c>
      <c r="W227" s="2">
        <f ca="1">Planet(Panchanga!$E227,6)</f>
        <v>249.15105898398096</v>
      </c>
      <c r="X227" s="2">
        <f ca="1">Planet(Panchanga!$E227,10)</f>
        <v>101.23820456097877</v>
      </c>
      <c r="Y227" s="2">
        <f ca="1">SIGN(S228-Panchanga!$S227)</f>
        <v>-1</v>
      </c>
    </row>
    <row r="228" spans="1:25" x14ac:dyDescent="0.2">
      <c r="A228" s="3">
        <f t="shared" ca="1" si="40"/>
        <v>43320</v>
      </c>
      <c r="B228" s="3">
        <f t="shared" ca="1" si="33"/>
        <v>43320.229166666664</v>
      </c>
      <c r="C228" s="5">
        <f t="shared" ca="1" si="34"/>
        <v>43320.247690882687</v>
      </c>
      <c r="D228" s="5">
        <f t="shared" ca="1" si="35"/>
        <v>43319.773742020174</v>
      </c>
      <c r="E228" s="60">
        <f ca="1">Panchanga!$C228-TimeZone/24</f>
        <v>43320.018524216022</v>
      </c>
      <c r="F228" s="61">
        <f t="shared" ca="1" si="36"/>
        <v>111.3235727281679</v>
      </c>
      <c r="G228" s="61">
        <f t="shared" ca="1" si="37"/>
        <v>63.714651305218688</v>
      </c>
      <c r="H228" s="62">
        <f t="shared" ca="1" si="38"/>
        <v>43320.018524216022</v>
      </c>
      <c r="I228" s="2" t="str">
        <f ca="1">naks(Panchanga!$G228)</f>
        <v>Mrigashira</v>
      </c>
      <c r="J228" s="5">
        <f ca="1">(C229-Panchanga!$C228)/(G229-Panchanga!$G228)*(13.3333333333333-MOD(Panchanga!$G228,13.333333333333))+Panchanga!$C228</f>
        <v>43320.447764035081</v>
      </c>
      <c r="K228" s="2" t="str">
        <f ca="1">IF(Panchanga!$P228&gt;15,"K","S")&amp;ROUNDUP(MOD(Panchanga!$P228,15),0)&amp;" ("&amp;ROUND(Panchanga!$P228,2)&amp;")"</f>
        <v>K12 (26.03)</v>
      </c>
      <c r="L228" s="2">
        <f ca="1">IF(AND(Panchanga!$P228&lt;28.5,Panchanga!$P228&gt;0.49999),MOD((Panchanga!$P228-0.5)*2,7),MOD((Panchanga!$P228+30-28.5),30)*2+7)</f>
        <v>2.0651999999999973</v>
      </c>
      <c r="M228" s="2" t="str">
        <f ca="1">CHOOSE(ROUNDUP(Panchanga!$L228,0),"Bhava","Baalava","Kaulava","Taitula","Garija","Vanija","Vishti","Shakuni","Chatushapda","Naaga","Kimstugna")</f>
        <v>Kaulava</v>
      </c>
      <c r="N228" s="25" t="str">
        <f ca="1">CHOOSE(ROUNDUP(Panchanga!$Q228,0),"Vishkambha-विष्कम्भ-Sa","Priti-प्रीति-Me","Ayushman-आयुष्मान-Ke","Saubhagya-सौभाग्य-Ve","Shobhana-शोभन-Su","Atiganda-अतिगण्ड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("&amp;Panchanga!$Q228&amp;")"</f>
        <v>Harshana-हर्षण-su (13.13)</v>
      </c>
      <c r="O228" s="2">
        <f ca="1">IF(AND(Panchanga!$P228&lt;28.5,Panchanga!$P228&gt;0.49999),MOD((Panchanga!$P228-0.5)*2,7),MOD((Panchanga!$P228+30-28.5),30)*2+7)</f>
        <v>2.0651999999999973</v>
      </c>
      <c r="P228" s="2">
        <f ca="1">ROUNDUP(MOD(360+Panchanga!$G228-Panchanga!$F228,360)/12,4)</f>
        <v>26.032599999999999</v>
      </c>
      <c r="Q228" s="2">
        <f t="shared" ca="1" si="39"/>
        <v>13.129999999999999</v>
      </c>
      <c r="R228" s="2" t="str">
        <f ca="1">SIGN(S229-Panchanga!$S228)*INT(Panchanga!$S228/30+1)&amp;"Ma,"&amp;SIGN(T229-Panchanga!$T228)*INT(Panchanga!$T228/30+1)&amp;"Me,"&amp;SIGN(U229-Panchanga!$U228)*INT(Panchanga!$U228/30+1)&amp;"Ju,"&amp;SIGN(V229-Panchanga!$V228)*INT(Panchanga!$V228/30+1)&amp;"Ve,"&amp;SIGN(W229-Panchanga!$W228)*INT(Panchanga!$W228/30+1)&amp;"Sa,"&amp;INT(Panchanga!$X228/30+1)&amp;"Ra"</f>
        <v>-10Ma,-4Me,7Ju,6Ve,-9Sa,4Ra</v>
      </c>
      <c r="S228" s="2">
        <f ca="1">Planet(Panchanga!$E228,4)</f>
        <v>276.95297658263894</v>
      </c>
      <c r="T228" s="2">
        <f ca="1">Planet(Panchanga!$E228,2)</f>
        <v>113.19324875548057</v>
      </c>
      <c r="U228" s="2">
        <f ca="1">Planet(Panchanga!$E228,5)</f>
        <v>200.40852364190647</v>
      </c>
      <c r="V228" s="2">
        <f ca="1">Planet(Panchanga!$E228,3)</f>
        <v>156.94802904532574</v>
      </c>
      <c r="W228" s="2">
        <f ca="1">Planet(Panchanga!$E228,6)</f>
        <v>249.10594415261647</v>
      </c>
      <c r="X228" s="2">
        <f ca="1">Planet(Panchanga!$E228,10)</f>
        <v>101.18520606120798</v>
      </c>
      <c r="Y228" s="2">
        <f ca="1">SIGN(S229-Panchanga!$S228)</f>
        <v>-1</v>
      </c>
    </row>
    <row r="229" spans="1:25" x14ac:dyDescent="0.2">
      <c r="A229" s="3">
        <f t="shared" ca="1" si="40"/>
        <v>43321</v>
      </c>
      <c r="B229" s="3">
        <f t="shared" ca="1" si="33"/>
        <v>43321.229166666664</v>
      </c>
      <c r="C229" s="5">
        <f t="shared" ca="1" si="34"/>
        <v>43321.247809297558</v>
      </c>
      <c r="D229" s="5">
        <f t="shared" ca="1" si="35"/>
        <v>43320.773444791834</v>
      </c>
      <c r="E229" s="60">
        <f ca="1">Panchanga!$C229-TimeZone/24</f>
        <v>43321.018642630894</v>
      </c>
      <c r="F229" s="61">
        <f t="shared" ca="1" si="36"/>
        <v>112.28248752496717</v>
      </c>
      <c r="G229" s="61">
        <f t="shared" ca="1" si="37"/>
        <v>78.471078585214698</v>
      </c>
      <c r="H229" s="62">
        <f t="shared" ca="1" si="38"/>
        <v>43321.018642630894</v>
      </c>
      <c r="I229" s="2" t="str">
        <f ca="1">naks(Panchanga!$G229)</f>
        <v>Ardra</v>
      </c>
      <c r="J229" s="5">
        <f ca="1">(C230-Panchanga!$C229)/(G230-Panchanga!$G229)*(13.3333333333333-MOD(Panchanga!$G229,13.333333333333))+Panchanga!$C229</f>
        <v>43321.349736634846</v>
      </c>
      <c r="K229" s="2" t="str">
        <f ca="1">IF(Panchanga!$P229&gt;15,"K","S")&amp;ROUNDUP(MOD(Panchanga!$P229,15),0)&amp;" ("&amp;ROUND(Panchanga!$P229,2)&amp;")"</f>
        <v>K13 (27.18)</v>
      </c>
      <c r="L229" s="2">
        <f ca="1">IF(AND(Panchanga!$P229&lt;28.5,Panchanga!$P229&gt;0.49999),MOD((Panchanga!$P229-0.5)*2,7),MOD((Panchanga!$P229+30-28.5),30)*2+7)</f>
        <v>4.3648000000000025</v>
      </c>
      <c r="M229" s="2" t="str">
        <f ca="1">CHOOSE(ROUNDUP(Panchanga!$L229,0),"Bhava","Baalava","Kaulava","Taitula","Garija","Vanija","Vishti","Shakuni","Chatushapda","Naaga","Kimstugna")</f>
        <v>Garija</v>
      </c>
      <c r="N229" s="25" t="str">
        <f ca="1">CHOOSE(ROUNDUP(Panchanga!$Q229,0),"Vishkambha-विष्कम्भ-Sa","Priti-प्रीति-Me","Ayushman-आयुष्मान-Ke","Saubhagya-सौभाग्य-Ve","Shobhana-शोभन-Su","Atiganda-अतिगण्ड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("&amp;Panchanga!$Q229&amp;")"</f>
        <v>Vajra-वज्र-Mo (14.31)</v>
      </c>
      <c r="O229" s="2">
        <f ca="1">IF(AND(Panchanga!$P229&lt;28.5,Panchanga!$P229&gt;0.49999),MOD((Panchanga!$P229-0.5)*2,7),MOD((Panchanga!$P229+30-28.5),30)*2+7)</f>
        <v>4.3648000000000025</v>
      </c>
      <c r="P229" s="2">
        <f ca="1">ROUNDUP(MOD(360+Panchanga!$G229-Panchanga!$F229,360)/12,4)</f>
        <v>27.182400000000001</v>
      </c>
      <c r="Q229" s="2">
        <f t="shared" ca="1" si="39"/>
        <v>14.31</v>
      </c>
      <c r="R229" s="2" t="str">
        <f ca="1">SIGN(S230-Panchanga!$S229)*INT(Panchanga!$S229/30+1)&amp;"Ma,"&amp;SIGN(T230-Panchanga!$T229)*INT(Panchanga!$T229/30+1)&amp;"Me,"&amp;SIGN(U230-Panchanga!$U229)*INT(Panchanga!$U229/30+1)&amp;"Ju,"&amp;SIGN(V230-Panchanga!$V229)*INT(Panchanga!$V229/30+1)&amp;"Ve,"&amp;SIGN(W230-Panchanga!$W229)*INT(Panchanga!$W229/30+1)&amp;"Sa,"&amp;INT(Panchanga!$X229/30+1)&amp;"Ra"</f>
        <v>-10Ma,-4Me,7Ju,6Ve,-9Sa,4Ra</v>
      </c>
      <c r="S229" s="2">
        <f ca="1">Planet(Panchanga!$E229,4)</f>
        <v>276.72451707856942</v>
      </c>
      <c r="T229" s="2">
        <f ca="1">Planet(Panchanga!$E229,2)</f>
        <v>112.40227792417771</v>
      </c>
      <c r="U229" s="2">
        <f ca="1">Planet(Panchanga!$E229,5)</f>
        <v>200.49091999661314</v>
      </c>
      <c r="V229" s="2">
        <f ca="1">Planet(Panchanga!$E229,3)</f>
        <v>157.96218260873025</v>
      </c>
      <c r="W229" s="2">
        <f ca="1">Planet(Panchanga!$E229,6)</f>
        <v>249.06212536202995</v>
      </c>
      <c r="X229" s="2">
        <f ca="1">Planet(Panchanga!$E229,10)</f>
        <v>101.13220778884646</v>
      </c>
      <c r="Y229" s="2">
        <f ca="1">SIGN(S230-Panchanga!$S229)</f>
        <v>-1</v>
      </c>
    </row>
    <row r="230" spans="1:25" x14ac:dyDescent="0.2">
      <c r="A230" s="3">
        <f t="shared" ca="1" si="40"/>
        <v>43322</v>
      </c>
      <c r="B230" s="3">
        <f t="shared" ca="1" si="33"/>
        <v>43322.229166666664</v>
      </c>
      <c r="C230" s="5">
        <f t="shared" ca="1" si="34"/>
        <v>43322.247923738476</v>
      </c>
      <c r="D230" s="5">
        <f t="shared" ca="1" si="35"/>
        <v>43321.773138662378</v>
      </c>
      <c r="E230" s="60">
        <f ca="1">Panchanga!$C230-TimeZone/24</f>
        <v>43322.018757071812</v>
      </c>
      <c r="F230" s="61">
        <f t="shared" ca="1" si="36"/>
        <v>113.24174736864208</v>
      </c>
      <c r="G230" s="61">
        <f t="shared" ca="1" si="37"/>
        <v>93.472906618900907</v>
      </c>
      <c r="H230" s="62">
        <f t="shared" ca="1" si="38"/>
        <v>43322.018757071812</v>
      </c>
      <c r="I230" s="2" t="str">
        <f ca="1">naks(Panchanga!$G230)</f>
        <v>Pushya</v>
      </c>
      <c r="J230" s="5">
        <f ca="1">(C231-Panchanga!$C230)/(G231-Panchanga!$G230)*(13.3333333333333-MOD(Panchanga!$G230,13.333333333333))+Panchanga!$C230</f>
        <v>43323.120592255676</v>
      </c>
      <c r="K230" s="2" t="str">
        <f ca="1">IF(Panchanga!$P230&gt;15,"K","S")&amp;ROUNDUP(MOD(Panchanga!$P230,15),0)&amp;" ("&amp;ROUND(Panchanga!$P230,2)&amp;")"</f>
        <v>K14 (28.35)</v>
      </c>
      <c r="L230" s="2">
        <f ca="1">IF(AND(Panchanga!$P230&lt;28.5,Panchanga!$P230&gt;0.49999),MOD((Panchanga!$P230-0.5)*2,7),MOD((Panchanga!$P230+30-28.5),30)*2+7)</f>
        <v>6.7051999999999978</v>
      </c>
      <c r="M230" s="2" t="str">
        <f ca="1">CHOOSE(ROUNDUP(Panchanga!$L230,0),"Bhava","Baalava","Kaulava","Taitula","Garija","Vanija","Vishti","Shakuni","Chatushapda","Naaga","Kimstugna")</f>
        <v>Vishti</v>
      </c>
      <c r="N230" s="25" t="str">
        <f ca="1">CHOOSE(ROUNDUP(Panchanga!$Q230,0),"Vishkambha-विष्कम्भ-Sa","Priti-प्रीति-Me","Ayushman-आयुष्मान-Ke","Saubhagya-सौभाग्य-Ve","Shobhana-शोभन-Su","Atiganda-अतिगण्ड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("&amp;Panchanga!$Q230&amp;")"</f>
        <v>Siddhi-सिद्धि-Ma (15.51)</v>
      </c>
      <c r="O230" s="2">
        <f ca="1">IF(AND(Panchanga!$P230&lt;28.5,Panchanga!$P230&gt;0.49999),MOD((Panchanga!$P230-0.5)*2,7),MOD((Panchanga!$P230+30-28.5),30)*2+7)</f>
        <v>6.7051999999999978</v>
      </c>
      <c r="P230" s="2">
        <f ca="1">ROUNDUP(MOD(360+Panchanga!$G230-Panchanga!$F230,360)/12,4)</f>
        <v>28.352599999999999</v>
      </c>
      <c r="Q230" s="2">
        <f t="shared" ca="1" si="39"/>
        <v>15.51</v>
      </c>
      <c r="R230" s="2" t="str">
        <f ca="1">SIGN(S231-Panchanga!$S230)*INT(Panchanga!$S230/30+1)&amp;"Ma,"&amp;SIGN(T231-Panchanga!$T230)*INT(Panchanga!$T230/30+1)&amp;"Me,"&amp;SIGN(U231-Panchanga!$U230)*INT(Panchanga!$U230/30+1)&amp;"Ju,"&amp;SIGN(V231-Panchanga!$V230)*INT(Panchanga!$V230/30+1)&amp;"Ve,"&amp;SIGN(W231-Panchanga!$W230)*INT(Panchanga!$W230/30+1)&amp;"Sa,"&amp;INT(Panchanga!$X230/30+1)&amp;"Ra"</f>
        <v>-10Ma,-4Me,7Ju,6Ve,-9Sa,4Ra</v>
      </c>
      <c r="S230" s="2">
        <f ca="1">Planet(Panchanga!$E230,4)</f>
        <v>276.50436489499248</v>
      </c>
      <c r="T230" s="2">
        <f ca="1">Planet(Panchanga!$E230,2)</f>
        <v>111.62294904609067</v>
      </c>
      <c r="U230" s="2">
        <f ca="1">Planet(Panchanga!$E230,5)</f>
        <v>200.57592635983667</v>
      </c>
      <c r="V230" s="2">
        <f ca="1">Planet(Panchanga!$E230,3)</f>
        <v>158.97115017347355</v>
      </c>
      <c r="W230" s="2">
        <f ca="1">Planet(Panchanga!$E230,6)</f>
        <v>249.0196259664572</v>
      </c>
      <c r="X230" s="2">
        <f ca="1">Planet(Panchanga!$E230,10)</f>
        <v>101.07920972707717</v>
      </c>
      <c r="Y230" s="2">
        <f ca="1">SIGN(S231-Panchanga!$S230)</f>
        <v>-1</v>
      </c>
    </row>
    <row r="231" spans="1:25" x14ac:dyDescent="0.2">
      <c r="A231" s="3">
        <f t="shared" ca="1" si="40"/>
        <v>43323</v>
      </c>
      <c r="B231" s="3">
        <f t="shared" ca="1" si="33"/>
        <v>43323.229166666664</v>
      </c>
      <c r="C231" s="5">
        <f t="shared" ca="1" si="34"/>
        <v>43323.248033887859</v>
      </c>
      <c r="D231" s="5">
        <f t="shared" ca="1" si="35"/>
        <v>43322.772823314226</v>
      </c>
      <c r="E231" s="60">
        <f ca="1">Panchanga!$C231-TimeZone/24</f>
        <v>43323.018867221195</v>
      </c>
      <c r="F231" s="61">
        <f t="shared" ca="1" si="36"/>
        <v>114.20133995747825</v>
      </c>
      <c r="G231" s="61">
        <f t="shared" ca="1" si="37"/>
        <v>108.59343987086413</v>
      </c>
      <c r="H231" s="62">
        <f t="shared" ca="1" si="38"/>
        <v>43323.018867221195</v>
      </c>
      <c r="I231" s="2" t="str">
        <f ca="1">naks(Panchanga!$G231)</f>
        <v>Aslesha</v>
      </c>
      <c r="J231" s="5">
        <f ca="1">(C232-Panchanga!$C231)/(G232-Panchanga!$G231)*(13.3333333333333-MOD(Panchanga!$G231,13.333333333333))+Panchanga!$C231</f>
        <v>43324.003973167943</v>
      </c>
      <c r="K231" s="2" t="str">
        <f ca="1">IF(Panchanga!$P231&gt;15,"K","S")&amp;ROUNDUP(MOD(Panchanga!$P231,15),0)&amp;" ("&amp;ROUND(Panchanga!$P231,2)&amp;")"</f>
        <v>K15 (29.53)</v>
      </c>
      <c r="L231" s="2">
        <f ca="1">IF(AND(Panchanga!$P231&lt;28.5,Panchanga!$P231&gt;0.49999),MOD((Panchanga!$P231-0.5)*2,7),MOD((Panchanga!$P231+30-28.5),30)*2+7)</f>
        <v>9.0653999999999968</v>
      </c>
      <c r="M231" s="2" t="str">
        <f ca="1">CHOOSE(ROUNDUP(Panchanga!$L231,0),"Bhava","Baalava","Kaulava","Taitula","Garija","Vanija","Vishti","Shakuni","Chatushapda","Naaga","Kimstugna")</f>
        <v>Naaga</v>
      </c>
      <c r="N231" s="25" t="str">
        <f ca="1">CHOOSE(ROUNDUP(Panchanga!$Q231,0),"Vishkambha-विष्कम्भ-Sa","Priti-प्रीति-Me","Ayushman-आयुष्मान-Ke","Saubhagya-सौभाग्य-Ve","Shobhana-शोभन-Su","Atiganda-अतिगण्ड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("&amp;Panchanga!$Q231&amp;")"</f>
        <v>Vyatipata-व्यतिपात-Ra (16.71)</v>
      </c>
      <c r="O231" s="2">
        <f ca="1">IF(AND(Panchanga!$P231&lt;28.5,Panchanga!$P231&gt;0.49999),MOD((Panchanga!$P231-0.5)*2,7),MOD((Panchanga!$P231+30-28.5),30)*2+7)</f>
        <v>9.0653999999999968</v>
      </c>
      <c r="P231" s="2">
        <f ca="1">ROUNDUP(MOD(360+Panchanga!$G231-Panchanga!$F231,360)/12,4)</f>
        <v>29.532699999999998</v>
      </c>
      <c r="Q231" s="2">
        <f t="shared" ca="1" si="39"/>
        <v>16.71</v>
      </c>
      <c r="R231" s="2" t="str">
        <f ca="1">SIGN(S232-Panchanga!$S231)*INT(Panchanga!$S231/30+1)&amp;"Ma,"&amp;SIGN(T232-Panchanga!$T231)*INT(Panchanga!$T231/30+1)&amp;"Me,"&amp;SIGN(U232-Panchanga!$U231)*INT(Panchanga!$U231/30+1)&amp;"Ju,"&amp;SIGN(V232-Panchanga!$V231)*INT(Panchanga!$V231/30+1)&amp;"Ve,"&amp;SIGN(W232-Panchanga!$W231)*INT(Panchanga!$W231/30+1)&amp;"Sa,"&amp;INT(Panchanga!$X231/30+1)&amp;"Ra"</f>
        <v>-10Ma,-4Me,7Ju,6Ve,-9Sa,4Ra</v>
      </c>
      <c r="S231" s="2">
        <f ca="1">Planet(Panchanga!$E231,4)</f>
        <v>276.29317354898109</v>
      </c>
      <c r="T231" s="2">
        <f ca="1">Planet(Panchanga!$E231,2)</f>
        <v>110.87027872953965</v>
      </c>
      <c r="U231" s="2">
        <f ca="1">Planet(Panchanga!$E231,5)</f>
        <v>200.66352213101209</v>
      </c>
      <c r="V231" s="2">
        <f ca="1">Planet(Panchanga!$E231,3)</f>
        <v>159.97476347865529</v>
      </c>
      <c r="W231" s="2">
        <f ca="1">Planet(Panchanga!$E231,6)</f>
        <v>248.97846870744939</v>
      </c>
      <c r="X231" s="2">
        <f ca="1">Planet(Panchanga!$E231,10)</f>
        <v>101.02621189271721</v>
      </c>
      <c r="Y231" s="2">
        <f ca="1">SIGN(S232-Panchanga!$S231)</f>
        <v>-1</v>
      </c>
    </row>
    <row r="232" spans="1:25" x14ac:dyDescent="0.2">
      <c r="A232" s="3">
        <f t="shared" ca="1" si="40"/>
        <v>43324</v>
      </c>
      <c r="B232" s="3">
        <f t="shared" ca="1" si="33"/>
        <v>43324.229166666664</v>
      </c>
      <c r="C232" s="5">
        <f t="shared" ca="1" si="34"/>
        <v>43324.248139745709</v>
      </c>
      <c r="D232" s="5">
        <f t="shared" ca="1" si="35"/>
        <v>43323.772499223749</v>
      </c>
      <c r="E232" s="60">
        <f ca="1">Panchanga!$C232-TimeZone/24</f>
        <v>43324.018973079044</v>
      </c>
      <c r="F232" s="61">
        <f t="shared" ca="1" si="36"/>
        <v>115.1612503244264</v>
      </c>
      <c r="G232" s="61">
        <f t="shared" ca="1" si="37"/>
        <v>123.68429161461786</v>
      </c>
      <c r="H232" s="62">
        <f t="shared" ca="1" si="38"/>
        <v>43324.018973079044</v>
      </c>
      <c r="I232" s="2" t="str">
        <f ca="1">naks(Panchanga!$G232)</f>
        <v>Makha</v>
      </c>
      <c r="J232" s="5">
        <f ca="1">(C233-Panchanga!$C232)/(G233-Panchanga!$G232)*(13.3333333333333-MOD(Panchanga!$G232,13.333333333333))+Panchanga!$C232</f>
        <v>43324.895287169544</v>
      </c>
      <c r="K232" s="2" t="str">
        <f ca="1">IF(Panchanga!$P232&gt;15,"K","S")&amp;ROUNDUP(MOD(Panchanga!$P232,15),0)&amp;" ("&amp;ROUND(Panchanga!$P232,2)&amp;")"</f>
        <v>S1 (0.71)</v>
      </c>
      <c r="L232" s="2">
        <f ca="1">IF(AND(Panchanga!$P232&lt;28.5,Panchanga!$P232&gt;0.49999),MOD((Panchanga!$P232-0.5)*2,7),MOD((Panchanga!$P232+30-28.5),30)*2+7)</f>
        <v>0.42060000000000008</v>
      </c>
      <c r="M232" s="2" t="str">
        <f ca="1">CHOOSE(ROUNDUP(Panchanga!$L232,0),"Bhava","Baalava","Kaulava","Taitula","Garija","Vanija","Vishti","Shakuni","Chatushapda","Naaga","Kimstugna")</f>
        <v>Bhava</v>
      </c>
      <c r="N232" s="25" t="str">
        <f ca="1">CHOOSE(ROUNDUP(Panchanga!$Q232,0),"Vishkambha-विष्कम्भ-Sa","Priti-प्रीति-Me","Ayushman-आयुष्मान-Ke","Saubhagya-सौभाग्य-Ve","Shobhana-शोभन-Su","Atiganda-अतिगण्ड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("&amp;Panchanga!$Q232&amp;")"</f>
        <v>Varigha-वरीयस्-Ju (17.92)</v>
      </c>
      <c r="O232" s="2">
        <f ca="1">IF(AND(Panchanga!$P232&lt;28.5,Panchanga!$P232&gt;0.49999),MOD((Panchanga!$P232-0.5)*2,7),MOD((Panchanga!$P232+30-28.5),30)*2+7)</f>
        <v>0.42060000000000008</v>
      </c>
      <c r="P232" s="2">
        <f ca="1">ROUNDUP(MOD(360+Panchanga!$G232-Panchanga!$F232,360)/12,4)</f>
        <v>0.71030000000000004</v>
      </c>
      <c r="Q232" s="2">
        <f t="shared" ca="1" si="39"/>
        <v>17.920000000000002</v>
      </c>
      <c r="R232" s="2" t="str">
        <f ca="1">SIGN(S233-Panchanga!$S232)*INT(Panchanga!$S232/30+1)&amp;"Ma,"&amp;SIGN(T233-Panchanga!$T232)*INT(Panchanga!$T232/30+1)&amp;"Me,"&amp;SIGN(U233-Panchanga!$U232)*INT(Panchanga!$U232/30+1)&amp;"Ju,"&amp;SIGN(V233-Panchanga!$V232)*INT(Panchanga!$V232/30+1)&amp;"Ve,"&amp;SIGN(W233-Panchanga!$W232)*INT(Panchanga!$W232/30+1)&amp;"Sa,"&amp;INT(Panchanga!$X232/30+1)&amp;"Ra"</f>
        <v>-10Ma,-4Me,7Ju,6Ve,-9Sa,4Ra</v>
      </c>
      <c r="S232" s="2">
        <f ca="1">Planet(Panchanga!$E232,4)</f>
        <v>276.09156665118309</v>
      </c>
      <c r="T232" s="2">
        <f ca="1">Planet(Panchanga!$E232,2)</f>
        <v>110.15916042040371</v>
      </c>
      <c r="U232" s="2">
        <f ca="1">Planet(Panchanga!$E232,5)</f>
        <v>200.75368498187834</v>
      </c>
      <c r="V232" s="2">
        <f ca="1">Planet(Panchanga!$E232,3)</f>
        <v>160.97283874872238</v>
      </c>
      <c r="W232" s="2">
        <f ca="1">Planet(Panchanga!$E232,6)</f>
        <v>248.93867534018102</v>
      </c>
      <c r="X232" s="2">
        <f ca="1">Planet(Panchanga!$E232,10)</f>
        <v>100.97321428578326</v>
      </c>
      <c r="Y232" s="2">
        <f ca="1">SIGN(S233-Panchanga!$S232)</f>
        <v>-1</v>
      </c>
    </row>
    <row r="233" spans="1:25" x14ac:dyDescent="0.2">
      <c r="A233" s="3">
        <f t="shared" ca="1" si="40"/>
        <v>43325</v>
      </c>
      <c r="B233" s="3">
        <f t="shared" ca="1" si="33"/>
        <v>43325.229166666664</v>
      </c>
      <c r="C233" s="5">
        <f t="shared" ca="1" si="34"/>
        <v>43325.248241312023</v>
      </c>
      <c r="D233" s="5">
        <f t="shared" ca="1" si="35"/>
        <v>43324.772166391413</v>
      </c>
      <c r="E233" s="60">
        <f ca="1">Panchanga!$C233-TimeZone/24</f>
        <v>43325.019074645359</v>
      </c>
      <c r="F233" s="61">
        <f t="shared" ca="1" si="36"/>
        <v>116.12146292103186</v>
      </c>
      <c r="G233" s="61">
        <f t="shared" ca="1" si="37"/>
        <v>138.59591975516699</v>
      </c>
      <c r="H233" s="62">
        <f t="shared" ca="1" si="38"/>
        <v>43325.019074645359</v>
      </c>
      <c r="I233" s="2" t="str">
        <f ca="1">naks(Panchanga!$G233)</f>
        <v>Purva Phalguni</v>
      </c>
      <c r="J233" s="5">
        <f ca="1">(C234-Panchanga!$C233)/(G234-Panchanga!$G233)*(13.3333333333333-MOD(Panchanga!$G233,13.333333333333))+Panchanga!$C233</f>
        <v>43325.800954360253</v>
      </c>
      <c r="K233" s="2" t="str">
        <f ca="1">IF(Panchanga!$P233&gt;15,"K","S")&amp;ROUNDUP(MOD(Panchanga!$P233,15),0)&amp;" ("&amp;ROUND(Panchanga!$P233,2)&amp;")"</f>
        <v>S2 (1.87)</v>
      </c>
      <c r="L233" s="2">
        <f ca="1">IF(AND(Panchanga!$P233&lt;28.5,Panchanga!$P233&gt;0.49999),MOD((Panchanga!$P233-0.5)*2,7),MOD((Panchanga!$P233+30-28.5),30)*2+7)</f>
        <v>2.7458</v>
      </c>
      <c r="M233" s="2" t="str">
        <f ca="1">CHOOSE(ROUNDUP(Panchanga!$L233,0),"Bhava","Baalava","Kaulava","Taitula","Garija","Vanija","Vishti","Shakuni","Chatushapda","Naaga","Kimstugna")</f>
        <v>Kaulava</v>
      </c>
      <c r="N233" s="25" t="str">
        <f ca="1">CHOOSE(ROUNDUP(Panchanga!$Q233,0),"Vishkambha-विष्कम्भ-Sa","Priti-प्रीति-Me","Ayushman-आयुष्मान-Ke","Saubhagya-सौभाग्य-Ve","Shobhana-शोभन-Su","Atiganda-अतिगण्ड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("&amp;Panchanga!$Q233&amp;")"</f>
        <v>Shiva-शिव-Me (19.11)</v>
      </c>
      <c r="O233" s="2">
        <f ca="1">IF(AND(Panchanga!$P233&lt;28.5,Panchanga!$P233&gt;0.49999),MOD((Panchanga!$P233-0.5)*2,7),MOD((Panchanga!$P233+30-28.5),30)*2+7)</f>
        <v>2.7458</v>
      </c>
      <c r="P233" s="2">
        <f ca="1">ROUNDUP(MOD(360+Panchanga!$G233-Panchanga!$F233,360)/12,4)</f>
        <v>1.8729</v>
      </c>
      <c r="Q233" s="2">
        <f t="shared" ca="1" si="39"/>
        <v>19.110000000000003</v>
      </c>
      <c r="R233" s="2" t="str">
        <f ca="1">SIGN(S234-Panchanga!$S233)*INT(Panchanga!$S233/30+1)&amp;"Ma,"&amp;SIGN(T234-Panchanga!$T233)*INT(Panchanga!$T233/30+1)&amp;"Me,"&amp;SIGN(U234-Panchanga!$U233)*INT(Panchanga!$U233/30+1)&amp;"Ju,"&amp;SIGN(V234-Panchanga!$V233)*INT(Panchanga!$V233/30+1)&amp;"Ve,"&amp;SIGN(W234-Panchanga!$W233)*INT(Panchanga!$W233/30+1)&amp;"Sa,"&amp;INT(Panchanga!$X233/30+1)&amp;"Ra"</f>
        <v>-10Ma,-4Me,7Ju,6Ve,-9Sa,4Ra</v>
      </c>
      <c r="S233" s="2">
        <f ca="1">Planet(Panchanga!$E233,4)</f>
        <v>275.90012801350366</v>
      </c>
      <c r="T233" s="2">
        <f ca="1">Planet(Panchanga!$E233,2)</f>
        <v>109.50398989682758</v>
      </c>
      <c r="U233" s="2">
        <f ca="1">Planet(Panchanga!$E233,5)</f>
        <v>200.84639073506224</v>
      </c>
      <c r="V233" s="2">
        <f ca="1">Planet(Panchanga!$E233,3)</f>
        <v>161.96517710989747</v>
      </c>
      <c r="W233" s="2">
        <f ca="1">Planet(Panchanga!$E233,6)</f>
        <v>248.90026634208417</v>
      </c>
      <c r="X233" s="2">
        <f ca="1">Planet(Panchanga!$E233,10)</f>
        <v>100.92021690622558</v>
      </c>
      <c r="Y233" s="2">
        <f ca="1">SIGN(S234-Panchanga!$S233)</f>
        <v>-1</v>
      </c>
    </row>
    <row r="234" spans="1:25" x14ac:dyDescent="0.2">
      <c r="A234" s="3">
        <f t="shared" ca="1" si="40"/>
        <v>43326</v>
      </c>
      <c r="B234" s="3">
        <f t="shared" ca="1" si="33"/>
        <v>43326.229166666664</v>
      </c>
      <c r="C234" s="5">
        <f t="shared" ca="1" si="34"/>
        <v>43326.248338427547</v>
      </c>
      <c r="D234" s="5">
        <f t="shared" ca="1" si="35"/>
        <v>43325.771824817217</v>
      </c>
      <c r="E234" s="60">
        <f ca="1">Panchanga!$C234-TimeZone/24</f>
        <v>43326.019171760883</v>
      </c>
      <c r="F234" s="61">
        <f t="shared" ca="1" si="36"/>
        <v>117.08196388675053</v>
      </c>
      <c r="G234" s="61">
        <f t="shared" ca="1" si="37"/>
        <v>153.19939389459003</v>
      </c>
      <c r="H234" s="62">
        <f t="shared" ca="1" si="38"/>
        <v>43326.019171760883</v>
      </c>
      <c r="I234" s="2" t="str">
        <f ca="1">naks(Panchanga!$G234)</f>
        <v>Uttara Phalguni</v>
      </c>
      <c r="J234" s="5">
        <f ca="1">(C235-Panchanga!$C234)/(G235-Panchanga!$G234)*(13.3333333333333-MOD(Panchanga!$G234,13.333333333333))+Panchanga!$C234</f>
        <v>43326.727172782834</v>
      </c>
      <c r="K234" s="2" t="str">
        <f ca="1">IF(Panchanga!$P234&gt;15,"K","S")&amp;ROUNDUP(MOD(Panchanga!$P234,15),0)&amp;" ("&amp;ROUND(Panchanga!$P234,2)&amp;")"</f>
        <v>S4 (3.01)</v>
      </c>
      <c r="L234" s="2">
        <f ca="1">IF(AND(Panchanga!$P234&lt;28.5,Panchanga!$P234&gt;0.49999),MOD((Panchanga!$P234-0.5)*2,7),MOD((Panchanga!$P234+30-28.5),30)*2+7)</f>
        <v>5.0196000000000005</v>
      </c>
      <c r="M234" s="2" t="str">
        <f ca="1">CHOOSE(ROUNDUP(Panchanga!$L234,0),"Bhava","Baalava","Kaulava","Taitula","Garija","Vanija","Vishti","Shakuni","Chatushapda","Naaga","Kimstugna")</f>
        <v>Vanija</v>
      </c>
      <c r="N234" s="25" t="str">
        <f ca="1">CHOOSE(ROUNDUP(Panchanga!$Q234,0),"Vishkambha-विष्कम्भ-Sa","Priti-प्रीति-Me","Ayushman-आयुष्मान-Ke","Saubhagya-सौभाग्य-Ve","Shobhana-शोभन-Su","Atiganda-अतिगण्ड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("&amp;Panchanga!$Q234&amp;")"</f>
        <v>Siddha-सिद्ध-Ke (20.28)</v>
      </c>
      <c r="O234" s="2">
        <f ca="1">IF(AND(Panchanga!$P234&lt;28.5,Panchanga!$P234&gt;0.49999),MOD((Panchanga!$P234-0.5)*2,7),MOD((Panchanga!$P234+30-28.5),30)*2+7)</f>
        <v>5.0196000000000005</v>
      </c>
      <c r="P234" s="2">
        <f ca="1">ROUNDUP(MOD(360+Panchanga!$G234-Panchanga!$F234,360)/12,4)</f>
        <v>3.0098000000000003</v>
      </c>
      <c r="Q234" s="2">
        <f t="shared" ca="1" si="39"/>
        <v>20.28</v>
      </c>
      <c r="R234" s="2" t="str">
        <f ca="1">SIGN(S235-Panchanga!$S234)*INT(Panchanga!$S234/30+1)&amp;"Ma,"&amp;SIGN(T235-Panchanga!$T234)*INT(Panchanga!$T234/30+1)&amp;"Me,"&amp;SIGN(U235-Panchanga!$U234)*INT(Panchanga!$U234/30+1)&amp;"Ju,"&amp;SIGN(V235-Panchanga!$V234)*INT(Panchanga!$V234/30+1)&amp;"Ve,"&amp;SIGN(W235-Panchanga!$W234)*INT(Panchanga!$W234/30+1)&amp;"Sa,"&amp;INT(Panchanga!$X234/30+1)&amp;"Ra"</f>
        <v>-10Ma,-4Me,7Ju,6Ve,-9Sa,4Ra</v>
      </c>
      <c r="S234" s="2">
        <f ca="1">Planet(Panchanga!$E234,4)</f>
        <v>275.71939336450868</v>
      </c>
      <c r="T234" s="2">
        <f ca="1">Planet(Panchanga!$E234,2)</f>
        <v>108.91832512214937</v>
      </c>
      <c r="U234" s="2">
        <f ca="1">Planet(Panchanga!$E234,5)</f>
        <v>200.94161352440085</v>
      </c>
      <c r="V234" s="2">
        <f ca="1">Planet(Panchanga!$E234,3)</f>
        <v>162.95156647008452</v>
      </c>
      <c r="W234" s="2">
        <f ca="1">Planet(Panchanga!$E234,6)</f>
        <v>248.86326072445337</v>
      </c>
      <c r="X234" s="2">
        <f ca="1">Planet(Panchanga!$E234,10)</f>
        <v>100.86721976259363</v>
      </c>
      <c r="Y234" s="2">
        <f ca="1">SIGN(S235-Panchanga!$S234)</f>
        <v>-1</v>
      </c>
    </row>
    <row r="235" spans="1:25" x14ac:dyDescent="0.2">
      <c r="A235" s="3">
        <f t="shared" ca="1" si="40"/>
        <v>43327</v>
      </c>
      <c r="B235" s="3">
        <f t="shared" ca="1" si="33"/>
        <v>43327.229166666664</v>
      </c>
      <c r="C235" s="5">
        <f t="shared" ca="1" si="34"/>
        <v>43327.248431252003</v>
      </c>
      <c r="D235" s="5">
        <f t="shared" ca="1" si="35"/>
        <v>43326.771474659487</v>
      </c>
      <c r="E235" s="60">
        <f ca="1">Panchanga!$C235-TimeZone/24</f>
        <v>43327.019264585339</v>
      </c>
      <c r="F235" s="61">
        <f t="shared" ca="1" si="36"/>
        <v>118.04274333186218</v>
      </c>
      <c r="G235" s="61">
        <f t="shared" ca="1" si="37"/>
        <v>167.4031311430322</v>
      </c>
      <c r="H235" s="62">
        <f t="shared" ca="1" si="38"/>
        <v>43327.019264585339</v>
      </c>
      <c r="I235" s="2" t="str">
        <f ca="1">naks(Panchanga!$G235)</f>
        <v>Hasta</v>
      </c>
      <c r="J235" s="5">
        <f ca="1">(C236-Panchanga!$C235)/(G236-Panchanga!$G235)*(13.3333333333333-MOD(Panchanga!$G235,13.333333333333))+Panchanga!$C235</f>
        <v>43327.679526746811</v>
      </c>
      <c r="K235" s="2" t="str">
        <f ca="1">IF(Panchanga!$P235&gt;15,"K","S")&amp;ROUNDUP(MOD(Panchanga!$P235,15),0)&amp;" ("&amp;ROUND(Panchanga!$P235,2)&amp;")"</f>
        <v>S5 (4.11)</v>
      </c>
      <c r="L235" s="2">
        <f ca="1">IF(AND(Panchanga!$P235&lt;28.5,Panchanga!$P235&gt;0.49999),MOD((Panchanga!$P235-0.5)*2,7),MOD((Panchanga!$P235+30-28.5),30)*2+7)</f>
        <v>0.226799999999999</v>
      </c>
      <c r="M235" s="2" t="str">
        <f ca="1">CHOOSE(ROUNDUP(Panchanga!$L235,0),"Bhava","Baalava","Kaulava","Taitula","Garija","Vanija","Vishti","Shakuni","Chatushapda","Naaga","Kimstugna")</f>
        <v>Bhava</v>
      </c>
      <c r="N235" s="25" t="str">
        <f ca="1">CHOOSE(ROUNDUP(Panchanga!$Q235,0),"Vishkambha-विष्कम्भ-Sa","Priti-प्रीति-Me","Ayushman-आयुष्मान-Ke","Saubhagya-सौभाग्य-Ve","Shobhana-शोभन-Su","Atiganda-अतिगण्ड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("&amp;Panchanga!$Q235&amp;")"</f>
        <v>Sadhya-साध्य-Ve (21.41)</v>
      </c>
      <c r="O235" s="2">
        <f ca="1">IF(AND(Panchanga!$P235&lt;28.5,Panchanga!$P235&gt;0.49999),MOD((Panchanga!$P235-0.5)*2,7),MOD((Panchanga!$P235+30-28.5),30)*2+7)</f>
        <v>0.226799999999999</v>
      </c>
      <c r="P235" s="2">
        <f ca="1">ROUNDUP(MOD(360+Panchanga!$G235-Panchanga!$F235,360)/12,4)</f>
        <v>4.1133999999999995</v>
      </c>
      <c r="Q235" s="2">
        <f t="shared" ca="1" si="39"/>
        <v>21.41</v>
      </c>
      <c r="R235" s="2" t="str">
        <f ca="1">SIGN(S236-Panchanga!$S235)*INT(Panchanga!$S235/30+1)&amp;"Ma,"&amp;SIGN(T236-Panchanga!$T235)*INT(Panchanga!$T235/30+1)&amp;"Me,"&amp;SIGN(U236-Panchanga!$U235)*INT(Panchanga!$U235/30+1)&amp;"Ju,"&amp;SIGN(V236-Panchanga!$V235)*INT(Panchanga!$V235/30+1)&amp;"Ve,"&amp;SIGN(W236-Panchanga!$W235)*INT(Panchanga!$W235/30+1)&amp;"Sa,"&amp;INT(Panchanga!$X235/30+1)&amp;"Ra"</f>
        <v>-10Ma,-4Me,7Ju,6Ve,-9Sa,4Ra</v>
      </c>
      <c r="S235" s="2">
        <f ca="1">Planet(Panchanga!$E235,4)</f>
        <v>275.54984535673606</v>
      </c>
      <c r="T235" s="2">
        <f ca="1">Planet(Panchanga!$E235,2)</f>
        <v>108.41459893792695</v>
      </c>
      <c r="U235" s="2">
        <f ca="1">Planet(Panchanga!$E235,5)</f>
        <v>201.03932622572464</v>
      </c>
      <c r="V235" s="2">
        <f ca="1">Planet(Panchanga!$E235,3)</f>
        <v>163.93178457941926</v>
      </c>
      <c r="W235" s="2">
        <f ca="1">Planet(Panchanga!$E235,6)</f>
        <v>248.82767597059089</v>
      </c>
      <c r="X235" s="2">
        <f ca="1">Planet(Panchanga!$E235,10)</f>
        <v>100.81422284632141</v>
      </c>
      <c r="Y235" s="2">
        <f ca="1">SIGN(S236-Panchanga!$S235)</f>
        <v>-1</v>
      </c>
    </row>
    <row r="236" spans="1:25" x14ac:dyDescent="0.2">
      <c r="A236" s="3">
        <f t="shared" ca="1" si="40"/>
        <v>43328</v>
      </c>
      <c r="B236" s="3">
        <f t="shared" ca="1" si="33"/>
        <v>43328.229166666664</v>
      </c>
      <c r="C236" s="5">
        <f t="shared" ca="1" si="34"/>
        <v>43328.248519625668</v>
      </c>
      <c r="D236" s="5">
        <f t="shared" ca="1" si="35"/>
        <v>43327.7711162372</v>
      </c>
      <c r="E236" s="60">
        <f ca="1">Panchanga!$C236-TimeZone/24</f>
        <v>43328.019352959003</v>
      </c>
      <c r="F236" s="61">
        <f t="shared" ca="1" si="36"/>
        <v>119.00379560954674</v>
      </c>
      <c r="G236" s="61">
        <f t="shared" ca="1" si="37"/>
        <v>181.16046875250598</v>
      </c>
      <c r="H236" s="62">
        <f t="shared" ca="1" si="38"/>
        <v>43328.019352959003</v>
      </c>
      <c r="I236" s="2" t="str">
        <f ca="1">naks(Panchanga!$G236)</f>
        <v>Chitra</v>
      </c>
      <c r="J236" s="5">
        <f ca="1">(C237-Panchanga!$C236)/(G237-Panchanga!$G236)*(13.3333333333333-MOD(Panchanga!$G236,13.333333333333))+Panchanga!$C236</f>
        <v>43328.662323269222</v>
      </c>
      <c r="K236" s="2" t="str">
        <f ca="1">IF(Panchanga!$P236&gt;15,"K","S")&amp;ROUNDUP(MOD(Panchanga!$P236,15),0)&amp;" ("&amp;ROUND(Panchanga!$P236,2)&amp;")"</f>
        <v>S6 (5.18)</v>
      </c>
      <c r="L236" s="2">
        <f ca="1">IF(AND(Panchanga!$P236&lt;28.5,Panchanga!$P236&gt;0.49999),MOD((Panchanga!$P236-0.5)*2,7),MOD((Panchanga!$P236+30-28.5),30)*2+7)</f>
        <v>2.3596000000000004</v>
      </c>
      <c r="M236" s="2" t="str">
        <f ca="1">CHOOSE(ROUNDUP(Panchanga!$L236,0),"Bhava","Baalava","Kaulava","Taitula","Garija","Vanija","Vishti","Shakuni","Chatushapda","Naaga","Kimstugna")</f>
        <v>Kaulava</v>
      </c>
      <c r="N236" s="25" t="str">
        <f ca="1">CHOOSE(ROUNDUP(Panchanga!$Q236,0),"Vishkambha-विष्कम्भ-Sa","Priti-प्रीति-Me","Ayushman-आयुष्मान-Ke","Saubhagya-सौभाग्य-Ve","Shobhana-शोभन-Su","Atiganda-अतिगण्ड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("&amp;Panchanga!$Q236&amp;")"</f>
        <v>Shubha-शुभ-Su (22.52)</v>
      </c>
      <c r="O236" s="2">
        <f ca="1">IF(AND(Panchanga!$P236&lt;28.5,Panchanga!$P236&gt;0.49999),MOD((Panchanga!$P236-0.5)*2,7),MOD((Panchanga!$P236+30-28.5),30)*2+7)</f>
        <v>2.3596000000000004</v>
      </c>
      <c r="P236" s="2">
        <f ca="1">ROUNDUP(MOD(360+Panchanga!$G236-Panchanga!$F236,360)/12,4)</f>
        <v>5.1798000000000002</v>
      </c>
      <c r="Q236" s="2">
        <f t="shared" ca="1" si="39"/>
        <v>22.520000000000003</v>
      </c>
      <c r="R236" s="2" t="str">
        <f ca="1">SIGN(S237-Panchanga!$S236)*INT(Panchanga!$S236/30+1)&amp;"Ma,"&amp;SIGN(T237-Panchanga!$T236)*INT(Panchanga!$T236/30+1)&amp;"Me,"&amp;SIGN(U237-Panchanga!$U236)*INT(Panchanga!$U236/30+1)&amp;"Ju,"&amp;SIGN(V237-Panchanga!$V236)*INT(Panchanga!$V236/30+1)&amp;"Ve,"&amp;SIGN(W237-Panchanga!$W236)*INT(Panchanga!$W236/30+1)&amp;"Sa,"&amp;INT(Panchanga!$X236/30+1)&amp;"Ra"</f>
        <v>-10Ma,-4Me,7Ju,6Ve,-9Sa,4Ra</v>
      </c>
      <c r="S236" s="2">
        <f ca="1">Planet(Panchanga!$E236,4)</f>
        <v>275.39191258640869</v>
      </c>
      <c r="T236" s="2">
        <f ca="1">Planet(Panchanga!$E236,2)</f>
        <v>108.00389825556111</v>
      </c>
      <c r="U236" s="2">
        <f ca="1">Planet(Panchanga!$E236,5)</f>
        <v>201.13950086657036</v>
      </c>
      <c r="V236" s="2">
        <f ca="1">Planet(Panchanga!$E236,3)</f>
        <v>164.90560069065839</v>
      </c>
      <c r="W236" s="2">
        <f ca="1">Planet(Panchanga!$E236,6)</f>
        <v>248.79352814990585</v>
      </c>
      <c r="X236" s="2">
        <f ca="1">Planet(Panchanga!$E236,10)</f>
        <v>100.76122616590874</v>
      </c>
      <c r="Y236" s="2">
        <f ca="1">SIGN(S237-Panchanga!$S236)</f>
        <v>-1</v>
      </c>
    </row>
    <row r="237" spans="1:25" x14ac:dyDescent="0.2">
      <c r="A237" s="3">
        <f t="shared" ca="1" si="40"/>
        <v>43329</v>
      </c>
      <c r="B237" s="3">
        <f t="shared" ca="1" si="33"/>
        <v>43329.229166666664</v>
      </c>
      <c r="C237" s="5">
        <f t="shared" ca="1" si="34"/>
        <v>43329.248603708264</v>
      </c>
      <c r="D237" s="5">
        <f t="shared" ca="1" si="35"/>
        <v>43328.770749390169</v>
      </c>
      <c r="E237" s="60">
        <f ca="1">Panchanga!$C237-TimeZone/24</f>
        <v>43329.019437041599</v>
      </c>
      <c r="F237" s="61">
        <f t="shared" ca="1" si="36"/>
        <v>119.96511996114491</v>
      </c>
      <c r="G237" s="61">
        <f t="shared" ca="1" si="37"/>
        <v>194.46789360325843</v>
      </c>
      <c r="H237" s="62">
        <f t="shared" ca="1" si="38"/>
        <v>43329.019437041599</v>
      </c>
      <c r="I237" s="2" t="str">
        <f ca="1">naks(Panchanga!$G237)</f>
        <v>Swati</v>
      </c>
      <c r="J237" s="5">
        <f ca="1">(C238-Panchanga!$C237)/(G238-Panchanga!$G237)*(13.3333333333333-MOD(Panchanga!$G237,13.333333333333))+Panchanga!$C237</f>
        <v>43329.677850137901</v>
      </c>
      <c r="K237" s="2" t="str">
        <f ca="1">IF(Panchanga!$P237&gt;15,"K","S")&amp;ROUNDUP(MOD(Panchanga!$P237,15),0)&amp;" ("&amp;ROUND(Panchanga!$P237,2)&amp;")"</f>
        <v>S7 (6.21)</v>
      </c>
      <c r="L237" s="2">
        <f ca="1">IF(AND(Panchanga!$P237&lt;28.5,Panchanga!$P237&gt;0.49999),MOD((Panchanga!$P237-0.5)*2,7),MOD((Panchanga!$P237+30-28.5),30)*2+7)</f>
        <v>4.4171999999999993</v>
      </c>
      <c r="M237" s="2" t="str">
        <f ca="1">CHOOSE(ROUNDUP(Panchanga!$L237,0),"Bhava","Baalava","Kaulava","Taitula","Garija","Vanija","Vishti","Shakuni","Chatushapda","Naaga","Kimstugna")</f>
        <v>Garija</v>
      </c>
      <c r="N237" s="25" t="str">
        <f ca="1">CHOOSE(ROUNDUP(Panchanga!$Q237,0),"Vishkambha-विष्कम्भ-Sa","Priti-प्रीति-Me","Ayushman-आयुष्मान-Ke","Saubhagya-सौभाग्य-Ve","Shobhana-शोभन-Su","Atiganda-अतिगण्ड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("&amp;Panchanga!$Q237&amp;")"</f>
        <v>Shukla-शुक्ल-Mo (23.59)</v>
      </c>
      <c r="O237" s="2">
        <f ca="1">IF(AND(Panchanga!$P237&lt;28.5,Panchanga!$P237&gt;0.49999),MOD((Panchanga!$P237-0.5)*2,7),MOD((Panchanga!$P237+30-28.5),30)*2+7)</f>
        <v>4.4171999999999993</v>
      </c>
      <c r="P237" s="2">
        <f ca="1">ROUNDUP(MOD(360+Panchanga!$G237-Panchanga!$F237,360)/12,4)</f>
        <v>6.2085999999999997</v>
      </c>
      <c r="Q237" s="2">
        <f t="shared" ca="1" si="39"/>
        <v>23.59</v>
      </c>
      <c r="R237" s="2" t="str">
        <f ca="1">SIGN(S238-Panchanga!$S237)*INT(Panchanga!$S237/30+1)&amp;"Ma,"&amp;SIGN(T238-Panchanga!$T237)*INT(Panchanga!$T237/30+1)&amp;"Me,"&amp;SIGN(U238-Panchanga!$U237)*INT(Panchanga!$U237/30+1)&amp;"Ju,"&amp;SIGN(V238-Panchanga!$V237)*INT(Panchanga!$V237/30+1)&amp;"Ve,"&amp;SIGN(W238-Panchanga!$W237)*INT(Panchanga!$W237/30+1)&amp;"Sa,"&amp;INT(Panchanga!$X237/30+1)&amp;"Ra"</f>
        <v>-10Ma,-4Me,7Ju,6Ve,-9Sa,4Ra</v>
      </c>
      <c r="S237" s="2">
        <f ca="1">Planet(Panchanga!$E237,4)</f>
        <v>275.24597131996126</v>
      </c>
      <c r="T237" s="2">
        <f ca="1">Planet(Panchanga!$E237,2)</f>
        <v>107.69581415449007</v>
      </c>
      <c r="U237" s="2">
        <f ca="1">Planet(Panchanga!$E237,5)</f>
        <v>201.24210911930834</v>
      </c>
      <c r="V237" s="2">
        <f ca="1">Planet(Panchanga!$E237,3)</f>
        <v>165.87277765953289</v>
      </c>
      <c r="W237" s="2">
        <f ca="1">Planet(Panchanga!$E237,6)</f>
        <v>248.76083205807049</v>
      </c>
      <c r="X237" s="2">
        <f ca="1">Planet(Panchanga!$E237,10)</f>
        <v>100.70822971290535</v>
      </c>
      <c r="Y237" s="2">
        <f ca="1">SIGN(S238-Panchanga!$S237)</f>
        <v>-1</v>
      </c>
    </row>
    <row r="238" spans="1:25" x14ac:dyDescent="0.2">
      <c r="A238" s="3">
        <f t="shared" ca="1" si="40"/>
        <v>43330</v>
      </c>
      <c r="B238" s="3">
        <f t="shared" ca="1" si="33"/>
        <v>43330.229166666664</v>
      </c>
      <c r="C238" s="5">
        <f t="shared" ca="1" si="34"/>
        <v>43330.248683340069</v>
      </c>
      <c r="D238" s="5">
        <f t="shared" ca="1" si="35"/>
        <v>43329.770374437372</v>
      </c>
      <c r="E238" s="60">
        <f ca="1">Panchanga!$C238-TimeZone/24</f>
        <v>43330.019516673405</v>
      </c>
      <c r="F238" s="61">
        <f t="shared" ca="1" si="36"/>
        <v>120.92671941296079</v>
      </c>
      <c r="G238" s="61">
        <f t="shared" ca="1" si="37"/>
        <v>207.35686960025834</v>
      </c>
      <c r="H238" s="62">
        <f t="shared" ca="1" si="38"/>
        <v>43330.019516673405</v>
      </c>
      <c r="I238" s="2" t="str">
        <f ca="1">naks(Panchanga!$G238)</f>
        <v>Visakha</v>
      </c>
      <c r="J238" s="5">
        <f ca="1">(C239-Panchanga!$C238)/(G239-Panchanga!$G238)*(13.3333333333333-MOD(Panchanga!$G238,13.333333333333))+Panchanga!$C238</f>
        <v>43330.72583127494</v>
      </c>
      <c r="K238" s="2" t="str">
        <f ca="1">IF(Panchanga!$P238&gt;15,"K","S")&amp;ROUNDUP(MOD(Panchanga!$P238,15),0)&amp;" ("&amp;ROUND(Panchanga!$P238,2)&amp;")"</f>
        <v>S8 (7.2)</v>
      </c>
      <c r="L238" s="2">
        <f ca="1">IF(AND(Panchanga!$P238&lt;28.5,Panchanga!$P238&gt;0.49999),MOD((Panchanga!$P238-0.5)*2,7),MOD((Panchanga!$P238+30-28.5),30)*2+7)</f>
        <v>6.4051999999999989</v>
      </c>
      <c r="M238" s="2" t="str">
        <f ca="1">CHOOSE(ROUNDUP(Panchanga!$L238,0),"Bhava","Baalava","Kaulava","Taitula","Garija","Vanija","Vishti","Shakuni","Chatushapda","Naaga","Kimstugna")</f>
        <v>Vishti</v>
      </c>
      <c r="N238" s="25" t="str">
        <f ca="1">CHOOSE(ROUNDUP(Panchanga!$Q238,0),"Vishkambha-विष्कम्भ-Sa","Priti-प्रीति-Me","Ayushman-आयुष्मान-Ke","Saubhagya-सौभाग्य-Ve","Shobhana-शोभन-Su","Atiganda-अतिगण्ड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("&amp;Panchanga!$Q238&amp;")"</f>
        <v>Brahma-ब्रह्म-Ma (24.63)</v>
      </c>
      <c r="O238" s="2">
        <f ca="1">IF(AND(Panchanga!$P238&lt;28.5,Panchanga!$P238&gt;0.49999),MOD((Panchanga!$P238-0.5)*2,7),MOD((Panchanga!$P238+30-28.5),30)*2+7)</f>
        <v>6.4051999999999989</v>
      </c>
      <c r="P238" s="2">
        <f ca="1">ROUNDUP(MOD(360+Panchanga!$G238-Panchanga!$F238,360)/12,4)</f>
        <v>7.2025999999999994</v>
      </c>
      <c r="Q238" s="2">
        <f t="shared" ca="1" si="39"/>
        <v>24.630000000000003</v>
      </c>
      <c r="R238" s="2" t="str">
        <f ca="1">SIGN(S239-Panchanga!$S238)*INT(Panchanga!$S238/30+1)&amp;"Ma,"&amp;SIGN(T239-Panchanga!$T238)*INT(Panchanga!$T238/30+1)&amp;"Me,"&amp;SIGN(U239-Panchanga!$U238)*INT(Panchanga!$U238/30+1)&amp;"Ju,"&amp;SIGN(V239-Panchanga!$V238)*INT(Panchanga!$V238/30+1)&amp;"Ve,"&amp;SIGN(W239-Panchanga!$W238)*INT(Panchanga!$W238/30+1)&amp;"Sa,"&amp;INT(Panchanga!$X238/30+1)&amp;"Ra"</f>
        <v>-10Ma,-4Me,7Ju,6Ve,-9Sa,4Ra</v>
      </c>
      <c r="S238" s="2">
        <f ca="1">Planet(Panchanga!$E238,4)</f>
        <v>275.11234893172593</v>
      </c>
      <c r="T238" s="2">
        <f ca="1">Planet(Panchanga!$E238,2)</f>
        <v>107.49836296789198</v>
      </c>
      <c r="U238" s="2">
        <f ca="1">Planet(Panchanga!$E238,5)</f>
        <v>201.34712256035976</v>
      </c>
      <c r="V238" s="2">
        <f ca="1">Planet(Panchanga!$E238,3)</f>
        <v>166.8330719110474</v>
      </c>
      <c r="W238" s="2">
        <f ca="1">Planet(Panchanga!$E238,6)</f>
        <v>248.72960142063923</v>
      </c>
      <c r="X238" s="2">
        <f ca="1">Planet(Panchanga!$E238,10)</f>
        <v>100.65523349576155</v>
      </c>
      <c r="Y238" s="2">
        <f ca="1">SIGN(S239-Panchanga!$S238)</f>
        <v>-1</v>
      </c>
    </row>
    <row r="239" spans="1:25" x14ac:dyDescent="0.2">
      <c r="A239" s="3">
        <f t="shared" ca="1" si="40"/>
        <v>43331</v>
      </c>
      <c r="B239" s="3">
        <f t="shared" ca="1" si="33"/>
        <v>43331.229166666664</v>
      </c>
      <c r="C239" s="5">
        <f t="shared" ca="1" si="34"/>
        <v>43331.24875868034</v>
      </c>
      <c r="D239" s="5">
        <f t="shared" ca="1" si="35"/>
        <v>43330.769991695925</v>
      </c>
      <c r="E239" s="60">
        <f ca="1">Panchanga!$C239-TimeZone/24</f>
        <v>43331.019592013676</v>
      </c>
      <c r="F239" s="61">
        <f t="shared" ca="1" si="36"/>
        <v>121.88860074403611</v>
      </c>
      <c r="G239" s="61">
        <f t="shared" ca="1" si="37"/>
        <v>219.88320276590338</v>
      </c>
      <c r="H239" s="62">
        <f t="shared" ca="1" si="38"/>
        <v>43331.019592013676</v>
      </c>
      <c r="I239" s="2" t="str">
        <f ca="1">naks(Panchanga!$G239)</f>
        <v>Anuradha</v>
      </c>
      <c r="J239" s="5">
        <f ca="1">(C240-Panchanga!$C239)/(G240-Panchanga!$G239)*(13.3333333333333-MOD(Panchanga!$G239,13.333333333333))+Panchanga!$C239</f>
        <v>43331.803292420482</v>
      </c>
      <c r="K239" s="2" t="str">
        <f ca="1">IF(Panchanga!$P239&gt;15,"K","S")&amp;ROUNDUP(MOD(Panchanga!$P239,15),0)&amp;" ("&amp;ROUND(Panchanga!$P239,2)&amp;")"</f>
        <v>S9 (8.17)</v>
      </c>
      <c r="L239" s="2">
        <f ca="1">IF(AND(Panchanga!$P239&lt;28.5,Panchanga!$P239&gt;0.49999),MOD((Panchanga!$P239-0.5)*2,7),MOD((Panchanga!$P239+30-28.5),30)*2+7)</f>
        <v>1.3325999999999993</v>
      </c>
      <c r="M239" s="2" t="str">
        <f ca="1">CHOOSE(ROUNDUP(Panchanga!$L239,0),"Bhava","Baalava","Kaulava","Taitula","Garija","Vanija","Vishti","Shakuni","Chatushapda","Naaga","Kimstugna")</f>
        <v>Baalava</v>
      </c>
      <c r="N239" s="25" t="str">
        <f ca="1">CHOOSE(ROUNDUP(Panchanga!$Q239,0),"Vishkambha-विष्कम्भ-Sa","Priti-प्रीति-Me","Ayushman-आयुष्मान-Ke","Saubhagya-सौभाग्य-Ve","Shobhana-शोभन-Su","Atiganda-अतिगण्ड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("&amp;Panchanga!$Q239&amp;")"</f>
        <v>Mahendra-महेन्द्र-Ra (25.64)</v>
      </c>
      <c r="O239" s="2">
        <f ca="1">IF(AND(Panchanga!$P239&lt;28.5,Panchanga!$P239&gt;0.49999),MOD((Panchanga!$P239-0.5)*2,7),MOD((Panchanga!$P239+30-28.5),30)*2+7)</f>
        <v>1.3325999999999993</v>
      </c>
      <c r="P239" s="2">
        <f ca="1">ROUNDUP(MOD(360+Panchanga!$G239-Panchanga!$F239,360)/12,4)</f>
        <v>8.1662999999999997</v>
      </c>
      <c r="Q239" s="2">
        <f t="shared" ca="1" si="39"/>
        <v>25.64</v>
      </c>
      <c r="R239" s="2" t="str">
        <f ca="1">SIGN(S240-Panchanga!$S239)*INT(Panchanga!$S239/30+1)&amp;"Ma,"&amp;SIGN(T240-Panchanga!$T239)*INT(Panchanga!$T239/30+1)&amp;"Me,"&amp;SIGN(U240-Panchanga!$U239)*INT(Panchanga!$U239/30+1)&amp;"Ju,"&amp;SIGN(V240-Panchanga!$V239)*INT(Panchanga!$V239/30+1)&amp;"Ve,"&amp;SIGN(W240-Panchanga!$W239)*INT(Panchanga!$W239/30+1)&amp;"Sa,"&amp;INT(Panchanga!$X239/30+1)&amp;"Ra"</f>
        <v>-10Ma,4Me,7Ju,6Ve,-9Sa,4Ra</v>
      </c>
      <c r="S239" s="2">
        <f ca="1">Planet(Panchanga!$E239,4)</f>
        <v>274.99132746696029</v>
      </c>
      <c r="T239" s="2">
        <f ca="1">Planet(Panchanga!$E239,2)</f>
        <v>107.41796991408391</v>
      </c>
      <c r="U239" s="2">
        <f ca="1">Planet(Panchanga!$E239,5)</f>
        <v>201.45451294675127</v>
      </c>
      <c r="V239" s="2">
        <f ca="1">Planet(Panchanga!$E239,3)</f>
        <v>167.78623401472248</v>
      </c>
      <c r="W239" s="2">
        <f ca="1">Planet(Panchanga!$E239,6)</f>
        <v>248.6998490240025</v>
      </c>
      <c r="X239" s="2">
        <f ca="1">Planet(Panchanga!$E239,10)</f>
        <v>100.602237505994</v>
      </c>
      <c r="Y239" s="2">
        <f ca="1">SIGN(S240-Panchanga!$S239)</f>
        <v>-1</v>
      </c>
    </row>
    <row r="240" spans="1:25" x14ac:dyDescent="0.2">
      <c r="A240" s="3">
        <f t="shared" ca="1" si="40"/>
        <v>43332</v>
      </c>
      <c r="B240" s="3">
        <f t="shared" ca="1" si="33"/>
        <v>43332.229166666664</v>
      </c>
      <c r="C240" s="5">
        <f t="shared" ca="1" si="34"/>
        <v>43332.248829887867</v>
      </c>
      <c r="D240" s="5">
        <f t="shared" ca="1" si="35"/>
        <v>43331.769601325548</v>
      </c>
      <c r="E240" s="60">
        <f ca="1">Panchanga!$C240-TimeZone/24</f>
        <v>43332.019663221203</v>
      </c>
      <c r="F240" s="61">
        <f t="shared" ca="1" si="36"/>
        <v>122.8507735857108</v>
      </c>
      <c r="G240" s="61">
        <f t="shared" ca="1" si="37"/>
        <v>232.11680812372097</v>
      </c>
      <c r="H240" s="62">
        <f t="shared" ca="1" si="38"/>
        <v>43332.019663221203</v>
      </c>
      <c r="I240" s="2" t="str">
        <f ca="1">naks(Panchanga!$G240)</f>
        <v>Jyestha</v>
      </c>
      <c r="J240" s="5">
        <f ca="1">(C241-Panchanga!$C240)/(G241-Panchanga!$G240)*(13.3333333333333-MOD(Panchanga!$G240,13.333333333333))+Panchanga!$C240</f>
        <v>43332.90490706222</v>
      </c>
      <c r="K240" s="2" t="str">
        <f ca="1">IF(Panchanga!$P240&gt;15,"K","S")&amp;ROUNDUP(MOD(Panchanga!$P240,15),0)&amp;" ("&amp;ROUND(Panchanga!$P240,2)&amp;")"</f>
        <v>S10 (9.11)</v>
      </c>
      <c r="L240" s="2">
        <f ca="1">IF(AND(Panchanga!$P240&lt;28.5,Panchanga!$P240&gt;0.49999),MOD((Panchanga!$P240-0.5)*2,7),MOD((Panchanga!$P240+30-28.5),30)*2+7)</f>
        <v>3.2111999999999981</v>
      </c>
      <c r="M240" s="2" t="str">
        <f ca="1">CHOOSE(ROUNDUP(Panchanga!$L240,0),"Bhava","Baalava","Kaulava","Taitula","Garija","Vanija","Vishti","Shakuni","Chatushapda","Naaga","Kimstugna")</f>
        <v>Taitula</v>
      </c>
      <c r="N240" s="25" t="str">
        <f ca="1">CHOOSE(ROUNDUP(Panchanga!$Q240,0),"Vishkambha-विष्कम्भ-Sa","Priti-प्रीति-Me","Ayushman-आयुष्मान-Ke","Saubhagya-सौभाग्य-Ve","Shobhana-शोभन-Su","Atiganda-अतिगण्ड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("&amp;Panchanga!$Q240&amp;")"</f>
        <v>Vaidhriti-वैधृति-Ke (26.63)</v>
      </c>
      <c r="O240" s="2">
        <f ca="1">IF(AND(Panchanga!$P240&lt;28.5,Panchanga!$P240&gt;0.49999),MOD((Panchanga!$P240-0.5)*2,7),MOD((Panchanga!$P240+30-28.5),30)*2+7)</f>
        <v>3.2111999999999981</v>
      </c>
      <c r="P240" s="2">
        <f ca="1">ROUNDUP(MOD(360+Panchanga!$G240-Panchanga!$F240,360)/12,4)</f>
        <v>9.105599999999999</v>
      </c>
      <c r="Q240" s="2">
        <f t="shared" ca="1" si="39"/>
        <v>26.630000000000003</v>
      </c>
      <c r="R240" s="2" t="str">
        <f ca="1">SIGN(S241-Panchanga!$S240)*INT(Panchanga!$S240/30+1)&amp;"Ma,"&amp;SIGN(T241-Panchanga!$T240)*INT(Panchanga!$T240/30+1)&amp;"Me,"&amp;SIGN(U241-Panchanga!$U240)*INT(Panchanga!$U240/30+1)&amp;"Ju,"&amp;SIGN(V241-Panchanga!$V240)*INT(Panchanga!$V240/30+1)&amp;"Ve,"&amp;SIGN(W241-Panchanga!$W240)*INT(Panchanga!$W240/30+1)&amp;"Sa,"&amp;INT(Panchanga!$X240/30+1)&amp;"Ra"</f>
        <v>-10Ma,4Me,7Ju,6Ve,-9Sa,4Ra</v>
      </c>
      <c r="S240" s="2">
        <f ca="1">Planet(Panchanga!$E240,4)</f>
        <v>274.88314710290979</v>
      </c>
      <c r="T240" s="2">
        <f ca="1">Planet(Panchanga!$E240,2)</f>
        <v>107.45950399820885</v>
      </c>
      <c r="U240" s="2">
        <f ca="1">Planet(Panchanga!$E240,5)</f>
        <v>201.56425231144624</v>
      </c>
      <c r="V240" s="2">
        <f ca="1">Planet(Panchanga!$E240,3)</f>
        <v>168.73200800378115</v>
      </c>
      <c r="W240" s="2">
        <f ca="1">Planet(Panchanga!$E240,6)</f>
        <v>248.67158684577726</v>
      </c>
      <c r="X240" s="2">
        <f ca="1">Planet(Panchanga!$E240,10)</f>
        <v>100.54924173526861</v>
      </c>
      <c r="Y240" s="2">
        <f ca="1">SIGN(S241-Panchanga!$S240)</f>
        <v>-1</v>
      </c>
    </row>
    <row r="241" spans="1:25" x14ac:dyDescent="0.2">
      <c r="A241" s="3">
        <f t="shared" ca="1" si="40"/>
        <v>43333</v>
      </c>
      <c r="B241" s="3">
        <f t="shared" ca="1" si="33"/>
        <v>43333.229166666664</v>
      </c>
      <c r="C241" s="5">
        <f t="shared" ca="1" si="34"/>
        <v>43333.248896963116</v>
      </c>
      <c r="D241" s="5">
        <f t="shared" ca="1" si="35"/>
        <v>43332.769203325312</v>
      </c>
      <c r="E241" s="60">
        <f ca="1">Panchanga!$C241-TimeZone/24</f>
        <v>43333.019730296452</v>
      </c>
      <c r="F241" s="61">
        <f t="shared" ca="1" si="36"/>
        <v>123.81324978823876</v>
      </c>
      <c r="G241" s="61">
        <f t="shared" ca="1" si="37"/>
        <v>244.13326129648931</v>
      </c>
      <c r="H241" s="62">
        <f t="shared" ca="1" si="38"/>
        <v>43333.019730296452</v>
      </c>
      <c r="I241" s="2" t="str">
        <f ca="1">naks(Panchanga!$G241)</f>
        <v>Moola</v>
      </c>
      <c r="J241" s="5">
        <f ca="1">(C242-Panchanga!$C241)/(G242-Panchanga!$G241)*(13.3333333333333-MOD(Panchanga!$G241,13.333333333333))+Panchanga!$C241</f>
        <v>43334.023739570359</v>
      </c>
      <c r="K241" s="2" t="str">
        <f ca="1">IF(Panchanga!$P241&gt;15,"K","S")&amp;ROUNDUP(MOD(Panchanga!$P241,15),0)&amp;" ("&amp;ROUND(Panchanga!$P241,2)&amp;")"</f>
        <v>S11 (10.03)</v>
      </c>
      <c r="L241" s="2">
        <f ca="1">IF(AND(Panchanga!$P241&lt;28.5,Panchanga!$P241&gt;0.49999),MOD((Panchanga!$P241-0.5)*2,7),MOD((Panchanga!$P241+30-28.5),30)*2+7)</f>
        <v>5.0533999999999999</v>
      </c>
      <c r="M241" s="2" t="str">
        <f ca="1">CHOOSE(ROUNDUP(Panchanga!$L241,0),"Bhava","Baalava","Kaulava","Taitula","Garija","Vanija","Vishti","Shakuni","Chatushapda","Naaga","Kimstugna")</f>
        <v>Vanija</v>
      </c>
      <c r="N241" s="25" t="str">
        <f ca="1">CHOOSE(ROUNDUP(Panchanga!$Q241,0),"Vishkambha-विष्कम्भ-Sa","Priti-प्रीति-Me","Ayushman-आयुष्मान-Ke","Saubhagya-सौभाग्य-Ve","Shobhana-शोभन-Su","Atiganda-अतिगण्ड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("&amp;Panchanga!$Q241&amp;")"</f>
        <v>Vishkambha-विष्कम्भ-Sa (0.6)</v>
      </c>
      <c r="O241" s="2">
        <f ca="1">IF(AND(Panchanga!$P241&lt;28.5,Panchanga!$P241&gt;0.49999),MOD((Panchanga!$P241-0.5)*2,7),MOD((Panchanga!$P241+30-28.5),30)*2+7)</f>
        <v>5.0533999999999999</v>
      </c>
      <c r="P241" s="2">
        <f ca="1">ROUNDUP(MOD(360+Panchanga!$G241-Panchanga!$F241,360)/12,4)</f>
        <v>10.0267</v>
      </c>
      <c r="Q241" s="2">
        <f t="shared" ca="1" si="39"/>
        <v>0.6</v>
      </c>
      <c r="R241" s="2" t="str">
        <f ca="1">SIGN(S242-Panchanga!$S241)*INT(Panchanga!$S241/30+1)&amp;"Ma,"&amp;SIGN(T242-Panchanga!$T241)*INT(Panchanga!$T241/30+1)&amp;"Me,"&amp;SIGN(U242-Panchanga!$U241)*INT(Panchanga!$U241/30+1)&amp;"Ju,"&amp;SIGN(V242-Panchanga!$V241)*INT(Panchanga!$V241/30+1)&amp;"Ve,"&amp;SIGN(W242-Panchanga!$W241)*INT(Panchanga!$W241/30+1)&amp;"Sa,"&amp;INT(Panchanga!$X241/30+1)&amp;"Ra"</f>
        <v>-10Ma,4Me,7Ju,6Ve,-9Sa,4Ra</v>
      </c>
      <c r="S241" s="2">
        <f ca="1">Planet(Panchanga!$E241,4)</f>
        <v>274.78800924196105</v>
      </c>
      <c r="T241" s="2">
        <f ca="1">Planet(Panchanga!$E241,2)</f>
        <v>107.62634905925282</v>
      </c>
      <c r="U241" s="2">
        <f ca="1">Planet(Panchanga!$E241,5)</f>
        <v>201.67631302314703</v>
      </c>
      <c r="V241" s="2">
        <f ca="1">Planet(Panchanga!$E241,3)</f>
        <v>169.67013072632537</v>
      </c>
      <c r="W241" s="2">
        <f ca="1">Planet(Panchanga!$E241,6)</f>
        <v>248.64482614847074</v>
      </c>
      <c r="X241" s="2">
        <f ca="1">Planet(Panchanga!$E241,10)</f>
        <v>100.49624618351903</v>
      </c>
      <c r="Y241" s="2">
        <f ca="1">SIGN(S242-Panchanga!$S241)</f>
        <v>-1</v>
      </c>
    </row>
    <row r="242" spans="1:25" x14ac:dyDescent="0.2">
      <c r="A242" s="3">
        <f t="shared" ca="1" si="40"/>
        <v>43334</v>
      </c>
      <c r="B242" s="3">
        <f t="shared" ca="1" si="33"/>
        <v>43334.229166666664</v>
      </c>
      <c r="C242" s="5">
        <f t="shared" ca="1" si="34"/>
        <v>43334.248960064411</v>
      </c>
      <c r="D242" s="5">
        <f t="shared" ca="1" si="35"/>
        <v>43333.768798172518</v>
      </c>
      <c r="E242" s="60">
        <f ca="1">Panchanga!$C242-TimeZone/24</f>
        <v>43334.019793397747</v>
      </c>
      <c r="F242" s="61">
        <f t="shared" ca="1" si="36"/>
        <v>124.77604331482259</v>
      </c>
      <c r="G242" s="61">
        <f t="shared" ca="1" si="37"/>
        <v>256.00748257356429</v>
      </c>
      <c r="H242" s="62">
        <f t="shared" ca="1" si="38"/>
        <v>43334.019793397747</v>
      </c>
      <c r="I242" s="2" t="str">
        <f ca="1">naks(Panchanga!$G242)</f>
        <v>Purva Asadha</v>
      </c>
      <c r="J242" s="5">
        <f ca="1">(C243-Panchanga!$C242)/(G243-Panchanga!$G242)*(13.3333333333333-MOD(Panchanga!$G242,13.333333333333))+Panchanga!$C242</f>
        <v>43335.152185397237</v>
      </c>
      <c r="K242" s="2" t="str">
        <f ca="1">IF(Panchanga!$P242&gt;15,"K","S")&amp;ROUNDUP(MOD(Panchanga!$P242,15),0)&amp;" ("&amp;ROUND(Panchanga!$P242,2)&amp;")"</f>
        <v>S11 (10.94)</v>
      </c>
      <c r="L242" s="2">
        <f ca="1">IF(AND(Panchanga!$P242&lt;28.5,Panchanga!$P242&gt;0.49999),MOD((Panchanga!$P242-0.5)*2,7),MOD((Panchanga!$P242+30-28.5),30)*2+7)</f>
        <v>6.8719999999999999</v>
      </c>
      <c r="M242" s="2" t="str">
        <f ca="1">CHOOSE(ROUNDUP(Panchanga!$L242,0),"Bhava","Baalava","Kaulava","Taitula","Garija","Vanija","Vishti","Shakuni","Chatushapda","Naaga","Kimstugna")</f>
        <v>Vishti</v>
      </c>
      <c r="N242" s="25" t="str">
        <f ca="1">CHOOSE(ROUNDUP(Panchanga!$Q242,0),"Vishkambha-विष्कम्भ-Sa","Priti-प्रीति-Me","Ayushman-आयुष्मान-Ke","Saubhagya-सौभाग्य-Ve","Shobhana-शोभन-Su","Atiganda-अतिगण्ड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("&amp;Panchanga!$Q242&amp;")"</f>
        <v>Priti-प्रीति-Me (1.56)</v>
      </c>
      <c r="O242" s="2">
        <f ca="1">IF(AND(Panchanga!$P242&lt;28.5,Panchanga!$P242&gt;0.49999),MOD((Panchanga!$P242-0.5)*2,7),MOD((Panchanga!$P242+30-28.5),30)*2+7)</f>
        <v>6.8719999999999999</v>
      </c>
      <c r="P242" s="2">
        <f ca="1">ROUNDUP(MOD(360+Panchanga!$G242-Panchanga!$F242,360)/12,4)</f>
        <v>10.936</v>
      </c>
      <c r="Q242" s="2">
        <f t="shared" ca="1" si="39"/>
        <v>1.56</v>
      </c>
      <c r="R242" s="2" t="str">
        <f ca="1">SIGN(S243-Panchanga!$S242)*INT(Panchanga!$S242/30+1)&amp;"Ma,"&amp;SIGN(T243-Panchanga!$T242)*INT(Panchanga!$T242/30+1)&amp;"Me,"&amp;SIGN(U243-Panchanga!$U242)*INT(Panchanga!$U242/30+1)&amp;"Ju,"&amp;SIGN(V243-Panchanga!$V242)*INT(Panchanga!$V242/30+1)&amp;"Ve,"&amp;SIGN(W243-Panchanga!$W242)*INT(Panchanga!$W242/30+1)&amp;"Sa,"&amp;INT(Panchanga!$X242/30+1)&amp;"Ra"</f>
        <v>-10Ma,4Me,7Ju,6Ve,-9Sa,4Ra</v>
      </c>
      <c r="S242" s="2">
        <f ca="1">Planet(Panchanga!$E242,4)</f>
        <v>274.70607932284139</v>
      </c>
      <c r="T242" s="2">
        <f ca="1">Planet(Panchanga!$E242,2)</f>
        <v>107.92049635967328</v>
      </c>
      <c r="U242" s="2">
        <f ca="1">Planet(Panchanga!$E242,5)</f>
        <v>201.79066786554256</v>
      </c>
      <c r="V242" s="2">
        <f ca="1">Planet(Panchanga!$E242,3)</f>
        <v>170.60033155069775</v>
      </c>
      <c r="W242" s="2">
        <f ca="1">Planet(Panchanga!$E242,6)</f>
        <v>248.61957754113729</v>
      </c>
      <c r="X242" s="2">
        <f ca="1">Planet(Panchanga!$E242,10)</f>
        <v>100.44325084236158</v>
      </c>
      <c r="Y242" s="2">
        <f ca="1">SIGN(S243-Panchanga!$S242)</f>
        <v>-1</v>
      </c>
    </row>
    <row r="243" spans="1:25" x14ac:dyDescent="0.2">
      <c r="A243" s="3">
        <f t="shared" ca="1" si="40"/>
        <v>43335</v>
      </c>
      <c r="B243" s="3">
        <f t="shared" ca="1" si="33"/>
        <v>43335.229166666664</v>
      </c>
      <c r="C243" s="5">
        <f t="shared" ca="1" si="34"/>
        <v>43335.249019192219</v>
      </c>
      <c r="D243" s="5">
        <f t="shared" ca="1" si="35"/>
        <v>43334.768386026422</v>
      </c>
      <c r="E243" s="60">
        <f ca="1">Panchanga!$C243-TimeZone/24</f>
        <v>43335.019852525555</v>
      </c>
      <c r="F243" s="61">
        <f t="shared" ca="1" si="36"/>
        <v>125.73916958975394</v>
      </c>
      <c r="G243" s="61">
        <f t="shared" ca="1" si="37"/>
        <v>267.80942607522786</v>
      </c>
      <c r="H243" s="62">
        <f t="shared" ca="1" si="38"/>
        <v>43335.019852525555</v>
      </c>
      <c r="I243" s="2" t="str">
        <f ca="1">naks(Panchanga!$G243)</f>
        <v>Uttara Asadha</v>
      </c>
      <c r="J243" s="5">
        <f ca="1">(C244-Panchanga!$C243)/(G244-Panchanga!$G243)*(13.3333333333333-MOD(Panchanga!$G243,13.333333333333))+Panchanga!$C243</f>
        <v>43336.28287386099</v>
      </c>
      <c r="K243" s="2" t="str">
        <f ca="1">IF(Panchanga!$P243&gt;15,"K","S")&amp;ROUNDUP(MOD(Panchanga!$P243,15),0)&amp;" ("&amp;ROUND(Panchanga!$P243,2)&amp;")"</f>
        <v>S12 (11.84)</v>
      </c>
      <c r="L243" s="2">
        <f ca="1">IF(AND(Panchanga!$P243&lt;28.5,Panchanga!$P243&gt;0.49999),MOD((Panchanga!$P243-0.5)*2,7),MOD((Panchanga!$P243+30-28.5),30)*2+7)</f>
        <v>1.6783999999999999</v>
      </c>
      <c r="M243" s="2" t="str">
        <f ca="1">CHOOSE(ROUNDUP(Panchanga!$L243,0),"Bhava","Baalava","Kaulava","Taitula","Garija","Vanija","Vishti","Shakuni","Chatushapda","Naaga","Kimstugna")</f>
        <v>Baalava</v>
      </c>
      <c r="N243" s="25" t="str">
        <f ca="1">CHOOSE(ROUNDUP(Panchanga!$Q243,0),"Vishkambha-विष्कम्भ-Sa","Priti-प्रीति-Me","Ayushman-आयुष्मान-Ke","Saubhagya-सौभाग्य-Ve","Shobhana-शोभन-Su","Atiganda-अतिगण्ड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("&amp;Panchanga!$Q243&amp;")"</f>
        <v>Ayushman-आयुष्मान-Ke (2.52)</v>
      </c>
      <c r="O243" s="2">
        <f ca="1">IF(AND(Panchanga!$P243&lt;28.5,Panchanga!$P243&gt;0.49999),MOD((Panchanga!$P243-0.5)*2,7),MOD((Panchanga!$P243+30-28.5),30)*2+7)</f>
        <v>1.6783999999999999</v>
      </c>
      <c r="P243" s="2">
        <f ca="1">ROUNDUP(MOD(360+Panchanga!$G243-Panchanga!$F243,360)/12,4)</f>
        <v>11.8392</v>
      </c>
      <c r="Q243" s="2">
        <f t="shared" ca="1" si="39"/>
        <v>2.5199999999999996</v>
      </c>
      <c r="R243" s="2" t="str">
        <f ca="1">SIGN(S244-Panchanga!$S243)*INT(Panchanga!$S243/30+1)&amp;"Ma,"&amp;SIGN(T244-Panchanga!$T243)*INT(Panchanga!$T243/30+1)&amp;"Me,"&amp;SIGN(U244-Panchanga!$U243)*INT(Panchanga!$U243/30+1)&amp;"Ju,"&amp;SIGN(V244-Panchanga!$V243)*INT(Panchanga!$V243/30+1)&amp;"Ve,"&amp;SIGN(W244-Panchanga!$W243)*INT(Panchanga!$W243/30+1)&amp;"Sa,"&amp;INT(Panchanga!$X243/30+1)&amp;"Ra"</f>
        <v>-10Ma,4Me,7Ju,6Ve,-9Sa,4Ra</v>
      </c>
      <c r="S243" s="2">
        <f ca="1">Planet(Panchanga!$E243,4)</f>
        <v>274.63748948839589</v>
      </c>
      <c r="T243" s="2">
        <f ca="1">Planet(Panchanga!$E243,2)</f>
        <v>108.34264543367004</v>
      </c>
      <c r="U243" s="2">
        <f ca="1">Planet(Panchanga!$E243,5)</f>
        <v>201.90729002153759</v>
      </c>
      <c r="V243" s="2">
        <f ca="1">Planet(Panchanga!$E243,3)</f>
        <v>171.52233140810881</v>
      </c>
      <c r="W243" s="2">
        <f ca="1">Planet(Panchanga!$E243,6)</f>
        <v>248.59585104266006</v>
      </c>
      <c r="X243" s="2">
        <f ca="1">Planet(Panchanga!$E243,10)</f>
        <v>100.39025571177972</v>
      </c>
      <c r="Y243" s="2">
        <f ca="1">SIGN(S244-Panchanga!$S243)</f>
        <v>-1</v>
      </c>
    </row>
    <row r="244" spans="1:25" x14ac:dyDescent="0.2">
      <c r="A244" s="3">
        <f t="shared" ca="1" si="40"/>
        <v>43336</v>
      </c>
      <c r="B244" s="3">
        <f t="shared" ca="1" si="33"/>
        <v>43336.229166666664</v>
      </c>
      <c r="C244" s="5">
        <f t="shared" ca="1" si="34"/>
        <v>43336.24907466412</v>
      </c>
      <c r="D244" s="5">
        <f t="shared" ca="1" si="35"/>
        <v>43335.767967045351</v>
      </c>
      <c r="E244" s="60">
        <f ca="1">Panchanga!$C244-TimeZone/24</f>
        <v>43336.019907997455</v>
      </c>
      <c r="F244" s="61">
        <f t="shared" ca="1" si="36"/>
        <v>126.70264568174326</v>
      </c>
      <c r="G244" s="61">
        <f t="shared" ca="1" si="37"/>
        <v>279.60146080438875</v>
      </c>
      <c r="H244" s="62">
        <f t="shared" ca="1" si="38"/>
        <v>43336.019907997455</v>
      </c>
      <c r="I244" s="2" t="str">
        <f ca="1">naks(Panchanga!$G244)</f>
        <v>Uttara Asadha</v>
      </c>
      <c r="J244" s="5">
        <f ca="1">(C245-Panchanga!$C244)/(G245-Panchanga!$G244)*(13.3333333333333-MOD(Panchanga!$G244,13.333333333333))+Panchanga!$C244</f>
        <v>43336.282749419457</v>
      </c>
      <c r="K244" s="2" t="str">
        <f ca="1">IF(Panchanga!$P244&gt;15,"K","S")&amp;ROUNDUP(MOD(Panchanga!$P244,15),0)&amp;" ("&amp;ROUND(Panchanga!$P244,2)&amp;")"</f>
        <v>S13 (12.74)</v>
      </c>
      <c r="L244" s="2">
        <f ca="1">IF(AND(Panchanga!$P244&lt;28.5,Panchanga!$P244&gt;0.49999),MOD((Panchanga!$P244-0.5)*2,7),MOD((Panchanga!$P244+30-28.5),30)*2+7)</f>
        <v>3.4832000000000001</v>
      </c>
      <c r="M244" s="2" t="str">
        <f ca="1">CHOOSE(ROUNDUP(Panchanga!$L244,0),"Bhava","Baalava","Kaulava","Taitula","Garija","Vanija","Vishti","Shakuni","Chatushapda","Naaga","Kimstugna")</f>
        <v>Taitula</v>
      </c>
      <c r="N244" s="25" t="str">
        <f ca="1">CHOOSE(ROUNDUP(Panchanga!$Q244,0),"Vishkambha-विष्कम्भ-Sa","Priti-प्रीति-Me","Ayushman-आयुष्मान-Ke","Saubhagya-सौभाग्य-Ve","Shobhana-शोभन-Su","Atiganda-अतिगण्ड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("&amp;Panchanga!$Q244&amp;")"</f>
        <v>Saubhagya-सौभाग्य-Ve (3.48)</v>
      </c>
      <c r="O244" s="2">
        <f ca="1">IF(AND(Panchanga!$P244&lt;28.5,Panchanga!$P244&gt;0.49999),MOD((Panchanga!$P244-0.5)*2,7),MOD((Panchanga!$P244+30-28.5),30)*2+7)</f>
        <v>3.4832000000000001</v>
      </c>
      <c r="P244" s="2">
        <f ca="1">ROUNDUP(MOD(360+Panchanga!$G244-Panchanga!$F244,360)/12,4)</f>
        <v>12.7416</v>
      </c>
      <c r="Q244" s="2">
        <f t="shared" ca="1" si="39"/>
        <v>3.48</v>
      </c>
      <c r="R244" s="2" t="str">
        <f ca="1">SIGN(S245-Panchanga!$S244)*INT(Panchanga!$S244/30+1)&amp;"Ma,"&amp;SIGN(T245-Panchanga!$T244)*INT(Panchanga!$T244/30+1)&amp;"Me,"&amp;SIGN(U245-Panchanga!$U244)*INT(Panchanga!$U244/30+1)&amp;"Ju,"&amp;SIGN(V245-Panchanga!$V244)*INT(Panchanga!$V244/30+1)&amp;"Ve,"&amp;SIGN(W245-Panchanga!$W244)*INT(Panchanga!$W244/30+1)&amp;"Sa,"&amp;INT(Panchanga!$X244/30+1)&amp;"Ra"</f>
        <v>-10Ma,4Me,7Ju,6Ve,-9Sa,4Ra</v>
      </c>
      <c r="S244" s="2">
        <f ca="1">Planet(Panchanga!$E244,4)</f>
        <v>274.58234097448366</v>
      </c>
      <c r="T244" s="2">
        <f ca="1">Planet(Panchanga!$E244,2)</f>
        <v>108.89230328894503</v>
      </c>
      <c r="U244" s="2">
        <f ca="1">Planet(Panchanga!$E244,5)</f>
        <v>202.02615313598349</v>
      </c>
      <c r="V244" s="2">
        <f ca="1">Planet(Panchanga!$E244,3)</f>
        <v>172.4358425618839</v>
      </c>
      <c r="W244" s="2">
        <f ca="1">Planet(Panchanga!$E244,6)</f>
        <v>248.57365611306295</v>
      </c>
      <c r="X244" s="2">
        <f ca="1">Planet(Panchanga!$E244,10)</f>
        <v>100.33726077490621</v>
      </c>
      <c r="Y244" s="2">
        <f ca="1">SIGN(S245-Panchanga!$S244)</f>
        <v>-1</v>
      </c>
    </row>
    <row r="245" spans="1:25" x14ac:dyDescent="0.2">
      <c r="A245" s="3">
        <f t="shared" ca="1" si="40"/>
        <v>43337</v>
      </c>
      <c r="B245" s="3">
        <f t="shared" ca="1" si="33"/>
        <v>43337.229166666664</v>
      </c>
      <c r="C245" s="5">
        <f t="shared" ca="1" si="34"/>
        <v>43337.249126480579</v>
      </c>
      <c r="D245" s="5">
        <f t="shared" ca="1" si="35"/>
        <v>43336.767541547815</v>
      </c>
      <c r="E245" s="60">
        <f ca="1">Panchanga!$C245-TimeZone/24</f>
        <v>43337.019959813915</v>
      </c>
      <c r="F245" s="61">
        <f t="shared" ca="1" si="36"/>
        <v>127.66648950489129</v>
      </c>
      <c r="G245" s="61">
        <f t="shared" ca="1" si="37"/>
        <v>291.43702850304163</v>
      </c>
      <c r="H245" s="62">
        <f t="shared" ca="1" si="38"/>
        <v>43337.019959813915</v>
      </c>
      <c r="I245" s="2" t="str">
        <f ca="1">naks(Panchanga!$G245)</f>
        <v>Sravana</v>
      </c>
      <c r="J245" s="5">
        <f ca="1">(C246-Panchanga!$C245)/(G246-Panchanga!$G245)*(13.3333333333333-MOD(Panchanga!$G245,13.333333333333))+Panchanga!$C245</f>
        <v>43337.408175817269</v>
      </c>
      <c r="K245" s="2" t="str">
        <f ca="1">IF(Panchanga!$P245&gt;15,"K","S")&amp;ROUNDUP(MOD(Panchanga!$P245,15),0)&amp;" ("&amp;ROUND(Panchanga!$P245,2)&amp;")"</f>
        <v>S14 (13.65)</v>
      </c>
      <c r="L245" s="2">
        <f ca="1">IF(AND(Panchanga!$P245&lt;28.5,Panchanga!$P245&gt;0.49999),MOD((Panchanga!$P245-0.5)*2,7),MOD((Panchanga!$P245+30-28.5),30)*2+7)</f>
        <v>5.2952000000000012</v>
      </c>
      <c r="M245" s="2" t="str">
        <f ca="1">CHOOSE(ROUNDUP(Panchanga!$L245,0),"Bhava","Baalava","Kaulava","Taitula","Garija","Vanija","Vishti","Shakuni","Chatushapda","Naaga","Kimstugna")</f>
        <v>Vanija</v>
      </c>
      <c r="N245" s="25" t="str">
        <f ca="1">CHOOSE(ROUNDUP(Panchanga!$Q245,0),"Vishkambha-विष्कम्भ-Sa","Priti-प्रीति-Me","Ayushman-आयुष्मान-Ke","Saubhagya-सौभाग्य-Ve","Shobhana-शोभन-Su","Atiganda-अतिगण्ड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("&amp;Panchanga!$Q245&amp;")"</f>
        <v>Shobhana-शोभन-Su (4.44)</v>
      </c>
      <c r="O245" s="2">
        <f ca="1">IF(AND(Panchanga!$P245&lt;28.5,Panchanga!$P245&gt;0.49999),MOD((Panchanga!$P245-0.5)*2,7),MOD((Panchanga!$P245+30-28.5),30)*2+7)</f>
        <v>5.2952000000000012</v>
      </c>
      <c r="P245" s="2">
        <f ca="1">ROUNDUP(MOD(360+Panchanga!$G245-Panchanga!$F245,360)/12,4)</f>
        <v>13.647600000000001</v>
      </c>
      <c r="Q245" s="2">
        <f t="shared" ca="1" si="39"/>
        <v>4.4399999999999995</v>
      </c>
      <c r="R245" s="2" t="str">
        <f ca="1">SIGN(S246-Panchanga!$S245)*INT(Panchanga!$S245/30+1)&amp;"Ma,"&amp;SIGN(T246-Panchanga!$T245)*INT(Panchanga!$T245/30+1)&amp;"Me,"&amp;SIGN(U246-Panchanga!$U245)*INT(Panchanga!$U245/30+1)&amp;"Ju,"&amp;SIGN(V246-Panchanga!$V245)*INT(Panchanga!$V245/30+1)&amp;"Ve,"&amp;SIGN(W246-Panchanga!$W245)*INT(Panchanga!$W245/30+1)&amp;"Sa,"&amp;INT(Panchanga!$X245/30+1)&amp;"Ra"</f>
        <v>-10Ma,4Me,7Ju,6Ve,-9Sa,4Ra</v>
      </c>
      <c r="S245" s="2">
        <f ca="1">Planet(Panchanga!$E245,4)</f>
        <v>274.54070640910908</v>
      </c>
      <c r="T245" s="2">
        <f ca="1">Planet(Panchanga!$E245,2)</f>
        <v>109.56787464922297</v>
      </c>
      <c r="U245" s="2">
        <f ca="1">Planet(Panchanga!$E245,5)</f>
        <v>202.14723124995982</v>
      </c>
      <c r="V245" s="2">
        <f ca="1">Planet(Panchanga!$E245,3)</f>
        <v>173.34056744514456</v>
      </c>
      <c r="W245" s="2">
        <f ca="1">Planet(Panchanga!$E245,6)</f>
        <v>248.55300170541639</v>
      </c>
      <c r="X245" s="2">
        <f ca="1">Planet(Panchanga!$E245,10)</f>
        <v>100.28426603175782</v>
      </c>
      <c r="Y245" s="2">
        <f ca="1">SIGN(S246-Panchanga!$S245)</f>
        <v>-1</v>
      </c>
    </row>
    <row r="246" spans="1:25" x14ac:dyDescent="0.2">
      <c r="A246" s="3">
        <f t="shared" ca="1" si="40"/>
        <v>43338</v>
      </c>
      <c r="B246" s="3">
        <f t="shared" ca="1" si="33"/>
        <v>43338.229166666664</v>
      </c>
      <c r="C246" s="5">
        <f t="shared" ca="1" si="34"/>
        <v>43338.249174641132</v>
      </c>
      <c r="D246" s="5">
        <f t="shared" ca="1" si="35"/>
        <v>43337.767109851397</v>
      </c>
      <c r="E246" s="60">
        <f ca="1">Panchanga!$C246-TimeZone/24</f>
        <v>43338.020007974468</v>
      </c>
      <c r="F246" s="61">
        <f t="shared" ca="1" si="36"/>
        <v>128.63071999758805</v>
      </c>
      <c r="G246" s="61">
        <f t="shared" ca="1" si="37"/>
        <v>303.36034863043466</v>
      </c>
      <c r="H246" s="62">
        <f t="shared" ca="1" si="38"/>
        <v>43338.020007974468</v>
      </c>
      <c r="I246" s="2" t="str">
        <f ca="1">naks(Panchanga!$G246)</f>
        <v>Dhanistha</v>
      </c>
      <c r="J246" s="5">
        <f ca="1">(C247-Panchanga!$C246)/(G247-Panchanga!$G246)*(13.3333333333333-MOD(Panchanga!$G246,13.333333333333))+Panchanga!$C246</f>
        <v>43338.523644469184</v>
      </c>
      <c r="K246" s="2" t="str">
        <f ca="1">IF(Panchanga!$P246&gt;15,"K","S")&amp;ROUNDUP(MOD(Panchanga!$P246,15),0)&amp;" ("&amp;ROUND(Panchanga!$P246,2)&amp;")"</f>
        <v>S15 (14.56)</v>
      </c>
      <c r="L246" s="2">
        <f ca="1">IF(AND(Panchanga!$P246&lt;28.5,Panchanga!$P246&gt;0.49999),MOD((Panchanga!$P246-0.5)*2,7),MOD((Panchanga!$P246+30-28.5),30)*2+7)</f>
        <v>0.12180000000000035</v>
      </c>
      <c r="M246" s="2" t="str">
        <f ca="1">CHOOSE(ROUNDUP(Panchanga!$L246,0),"Bhava","Baalava","Kaulava","Taitula","Garija","Vanija","Vishti","Shakuni","Chatushapda","Naaga","Kimstugna")</f>
        <v>Bhava</v>
      </c>
      <c r="N246" s="25" t="str">
        <f ca="1">CHOOSE(ROUNDUP(Panchanga!$Q246,0),"Vishkambha-विष्कम्भ-Sa","Priti-प्रीति-Me","Ayushman-आयुष्मान-Ke","Saubhagya-सौभाग्य-Ve","Shobhana-शोभन-Su","Atiganda-अतिगण्ड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("&amp;Panchanga!$Q246&amp;")"</f>
        <v>Atiganda-अतिगण्ड -Mo (5.4)</v>
      </c>
      <c r="O246" s="2">
        <f ca="1">IF(AND(Panchanga!$P246&lt;28.5,Panchanga!$P246&gt;0.49999),MOD((Panchanga!$P246-0.5)*2,7),MOD((Panchanga!$P246+30-28.5),30)*2+7)</f>
        <v>0.12180000000000035</v>
      </c>
      <c r="P246" s="2">
        <f ca="1">ROUNDUP(MOD(360+Panchanga!$G246-Panchanga!$F246,360)/12,4)</f>
        <v>14.5609</v>
      </c>
      <c r="Q246" s="2">
        <f t="shared" ca="1" si="39"/>
        <v>5.3999999999999995</v>
      </c>
      <c r="R246" s="2" t="str">
        <f ca="1">SIGN(S247-Panchanga!$S246)*INT(Panchanga!$S246/30+1)&amp;"Ma,"&amp;SIGN(T247-Panchanga!$T246)*INT(Panchanga!$T246/30+1)&amp;"Me,"&amp;SIGN(U247-Panchanga!$U246)*INT(Panchanga!$U246/30+1)&amp;"Ju,"&amp;SIGN(V247-Panchanga!$V246)*INT(Panchanga!$V246/30+1)&amp;"Ve,"&amp;SIGN(W247-Panchanga!$W246)*INT(Panchanga!$W246/30+1)&amp;"Sa,"&amp;INT(Panchanga!$X246/30+1)&amp;"Ra"</f>
        <v>-10Ma,4Me,7Ju,6Ve,-9Sa,4Ra</v>
      </c>
      <c r="S246" s="2">
        <f ca="1">Planet(Panchanga!$E246,4)</f>
        <v>274.51263204079015</v>
      </c>
      <c r="T246" s="2">
        <f ca="1">Planet(Panchanga!$E246,2)</f>
        <v>110.36674115084028</v>
      </c>
      <c r="U246" s="2">
        <f ca="1">Planet(Panchanga!$E246,5)</f>
        <v>202.27049886135694</v>
      </c>
      <c r="V246" s="2">
        <f ca="1">Planet(Panchanga!$E246,3)</f>
        <v>174.23619854100528</v>
      </c>
      <c r="W246" s="2">
        <f ca="1">Planet(Panchanga!$E246,6)</f>
        <v>248.533896296937</v>
      </c>
      <c r="X246" s="2">
        <f ca="1">Planet(Panchanga!$E246,10)</f>
        <v>100.231271482351</v>
      </c>
      <c r="Y246" s="2">
        <f ca="1">SIGN(S247-Panchanga!$S246)</f>
        <v>-1</v>
      </c>
    </row>
    <row r="247" spans="1:25" x14ac:dyDescent="0.2">
      <c r="A247" s="3">
        <f t="shared" ca="1" si="40"/>
        <v>43339</v>
      </c>
      <c r="B247" s="3">
        <f t="shared" ca="1" si="33"/>
        <v>43339.229166666664</v>
      </c>
      <c r="C247" s="5">
        <f t="shared" ca="1" si="34"/>
        <v>43339.249219622616</v>
      </c>
      <c r="D247" s="5">
        <f t="shared" ca="1" si="35"/>
        <v>43338.766672114885</v>
      </c>
      <c r="E247" s="60">
        <f ca="1">Panchanga!$C247-TimeZone/24</f>
        <v>43339.020052955952</v>
      </c>
      <c r="F247" s="61">
        <f t="shared" ca="1" si="36"/>
        <v>129.59535743408421</v>
      </c>
      <c r="G247" s="61">
        <f t="shared" ca="1" si="37"/>
        <v>315.40708900531786</v>
      </c>
      <c r="H247" s="62">
        <f t="shared" ca="1" si="38"/>
        <v>43339.020052955952</v>
      </c>
      <c r="I247" s="2" t="str">
        <f ca="1">naks(Panchanga!$G247)</f>
        <v>Satabhisaj</v>
      </c>
      <c r="J247" s="5">
        <f ca="1">(C248-Panchanga!$C247)/(G248-Panchanga!$G247)*(13.3333333333333-MOD(Panchanga!$G247,13.333333333333))+Panchanga!$C247</f>
        <v>43339.625740525029</v>
      </c>
      <c r="K247" s="2" t="str">
        <f ca="1">IF(Panchanga!$P247&gt;15,"K","S")&amp;ROUNDUP(MOD(Panchanga!$P247,15),0)&amp;" ("&amp;ROUND(Panchanga!$P247,2)&amp;")"</f>
        <v>K1 (15.48)</v>
      </c>
      <c r="L247" s="2">
        <f ca="1">IF(AND(Panchanga!$P247&lt;28.5,Panchanga!$P247&gt;0.49999),MOD((Panchanga!$P247-0.5)*2,7),MOD((Panchanga!$P247+30-28.5),30)*2+7)</f>
        <v>1.9687999999999981</v>
      </c>
      <c r="M247" s="2" t="str">
        <f ca="1">CHOOSE(ROUNDUP(Panchanga!$L247,0),"Bhava","Baalava","Kaulava","Taitula","Garija","Vanija","Vishti","Shakuni","Chatushapda","Naaga","Kimstugna")</f>
        <v>Baalava</v>
      </c>
      <c r="N247" s="25" t="str">
        <f ca="1">CHOOSE(ROUNDUP(Panchanga!$Q247,0),"Vishkambha-विष्कम्भ-Sa","Priti-प्रीति-Me","Ayushman-आयुष्मान-Ke","Saubhagya-सौभाग्य-Ve","Shobhana-शोभन-Su","Atiganda-अतिगण्ड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("&amp;Panchanga!$Q247&amp;")"</f>
        <v>Sukarman-सुकर्मा -Ma (6.38)</v>
      </c>
      <c r="O247" s="2">
        <f ca="1">IF(AND(Panchanga!$P247&lt;28.5,Panchanga!$P247&gt;0.49999),MOD((Panchanga!$P247-0.5)*2,7),MOD((Panchanga!$P247+30-28.5),30)*2+7)</f>
        <v>1.9687999999999981</v>
      </c>
      <c r="P247" s="2">
        <f ca="1">ROUNDUP(MOD(360+Panchanga!$G247-Panchanga!$F247,360)/12,4)</f>
        <v>15.484399999999999</v>
      </c>
      <c r="Q247" s="2">
        <f t="shared" ca="1" si="39"/>
        <v>6.38</v>
      </c>
      <c r="R247" s="2" t="str">
        <f ca="1">SIGN(S248-Panchanga!$S247)*INT(Panchanga!$S247/30+1)&amp;"Ma,"&amp;SIGN(T248-Panchanga!$T247)*INT(Panchanga!$T247/30+1)&amp;"Me,"&amp;SIGN(U248-Panchanga!$U247)*INT(Panchanga!$U247/30+1)&amp;"Ju,"&amp;SIGN(V248-Panchanga!$V247)*INT(Panchanga!$V247/30+1)&amp;"Ve,"&amp;SIGN(W248-Panchanga!$W247)*INT(Panchanga!$W247/30+1)&amp;"Sa,"&amp;INT(Panchanga!$X247/30+1)&amp;"Ra"</f>
        <v>-10Ma,4Me,7Ju,6Ve,-9Sa,4Ra</v>
      </c>
      <c r="S247" s="2">
        <f ca="1">Planet(Panchanga!$E247,4)</f>
        <v>274.49814019516242</v>
      </c>
      <c r="T247" s="2">
        <f ca="1">Planet(Panchanga!$E247,2)</f>
        <v>111.28533011288086</v>
      </c>
      <c r="U247" s="2">
        <f ca="1">Planet(Panchanga!$E247,5)</f>
        <v>202.395931025858</v>
      </c>
      <c r="V247" s="2">
        <f ca="1">Planet(Panchanga!$E247,3)</f>
        <v>175.122418503863</v>
      </c>
      <c r="W247" s="2">
        <f ca="1">Planet(Panchanga!$E247,6)</f>
        <v>248.516347932245</v>
      </c>
      <c r="X247" s="2">
        <f ca="1">Planet(Panchanga!$E247,10)</f>
        <v>100.1782771014184</v>
      </c>
      <c r="Y247" s="2">
        <f ca="1">SIGN(S248-Panchanga!$S247)</f>
        <v>-1</v>
      </c>
    </row>
    <row r="248" spans="1:25" x14ac:dyDescent="0.2">
      <c r="A248" s="3">
        <f t="shared" ca="1" si="40"/>
        <v>43340</v>
      </c>
      <c r="B248" s="3">
        <f t="shared" ca="1" si="33"/>
        <v>43340.229166666664</v>
      </c>
      <c r="C248" s="5">
        <f t="shared" ca="1" si="34"/>
        <v>43340.249261425495</v>
      </c>
      <c r="D248" s="5">
        <f t="shared" ca="1" si="35"/>
        <v>43339.766228656328</v>
      </c>
      <c r="E248" s="60">
        <f ca="1">Panchanga!$C248-TimeZone/24</f>
        <v>43340.020094758831</v>
      </c>
      <c r="F248" s="61">
        <f t="shared" ca="1" si="36"/>
        <v>130.56042225161886</v>
      </c>
      <c r="G248" s="61">
        <f t="shared" ca="1" si="37"/>
        <v>327.60588849320499</v>
      </c>
      <c r="H248" s="62">
        <f t="shared" ca="1" si="38"/>
        <v>43340.020094758831</v>
      </c>
      <c r="I248" s="2" t="str">
        <f ca="1">naks(Panchanga!$G248)</f>
        <v>Purva Bhadrapada</v>
      </c>
      <c r="J248" s="5">
        <f ca="1">(C249-Panchanga!$C248)/(G249-Panchanga!$G248)*(13.3333333333333-MOD(Panchanga!$G248,13.333333333333))+Panchanga!$C248</f>
        <v>43340.712118690171</v>
      </c>
      <c r="K248" s="2" t="str">
        <f ca="1">IF(Panchanga!$P248&gt;15,"K","S")&amp;ROUNDUP(MOD(Panchanga!$P248,15),0)&amp;" ("&amp;ROUND(Panchanga!$P248,2)&amp;")"</f>
        <v>K2 (16.42)</v>
      </c>
      <c r="L248" s="2">
        <f ca="1">IF(AND(Panchanga!$P248&lt;28.5,Panchanga!$P248&gt;0.49999),MOD((Panchanga!$P248-0.5)*2,7),MOD((Panchanga!$P248+30-28.5),30)*2+7)</f>
        <v>3.8410000000000011</v>
      </c>
      <c r="M248" s="2" t="str">
        <f ca="1">CHOOSE(ROUNDUP(Panchanga!$L248,0),"Bhava","Baalava","Kaulava","Taitula","Garija","Vanija","Vishti","Shakuni","Chatushapda","Naaga","Kimstugna")</f>
        <v>Taitula</v>
      </c>
      <c r="N248" s="25" t="str">
        <f ca="1">CHOOSE(ROUNDUP(Panchanga!$Q248,0),"Vishkambha-विष्कम्भ-Sa","Priti-प्रीति-Me","Ayushman-आयुष्मान-Ke","Saubhagya-सौभाग्य-Ve","Shobhana-शोभन-Su","Atiganda-अतिगण्ड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("&amp;Panchanga!$Q248&amp;")"</f>
        <v>Dhriti-धृति -Ra (7.37)</v>
      </c>
      <c r="O248" s="2">
        <f ca="1">IF(AND(Panchanga!$P248&lt;28.5,Panchanga!$P248&gt;0.49999),MOD((Panchanga!$P248-0.5)*2,7),MOD((Panchanga!$P248+30-28.5),30)*2+7)</f>
        <v>3.8410000000000011</v>
      </c>
      <c r="P248" s="2">
        <f ca="1">ROUNDUP(MOD(360+Panchanga!$G248-Panchanga!$F248,360)/12,4)</f>
        <v>16.420500000000001</v>
      </c>
      <c r="Q248" s="2">
        <f t="shared" ca="1" si="39"/>
        <v>7.37</v>
      </c>
      <c r="R248" s="2" t="str">
        <f ca="1">SIGN(S249-Panchanga!$S248)*INT(Panchanga!$S248/30+1)&amp;"Ma,"&amp;SIGN(T249-Panchanga!$T248)*INT(Panchanga!$T248/30+1)&amp;"Me,"&amp;SIGN(U249-Panchanga!$U248)*INT(Panchanga!$U248/30+1)&amp;"Ju,"&amp;SIGN(V249-Panchanga!$V248)*INT(Panchanga!$V248/30+1)&amp;"Ve,"&amp;SIGN(W249-Panchanga!$W248)*INT(Panchanga!$W248/30+1)&amp;"Sa,"&amp;INT(Panchanga!$X248/30+1)&amp;"Ra"</f>
        <v>10Ma,4Me,7Ju,6Ve,-9Sa,4Ra</v>
      </c>
      <c r="S248" s="2">
        <f ca="1">Planet(Panchanga!$E248,4)</f>
        <v>274.49723207034782</v>
      </c>
      <c r="T248" s="2">
        <f ca="1">Planet(Panchanga!$E248,2)</f>
        <v>112.31917475998031</v>
      </c>
      <c r="U248" s="2">
        <f ca="1">Planet(Panchanga!$E248,5)</f>
        <v>202.52350328652335</v>
      </c>
      <c r="V248" s="2">
        <f ca="1">Planet(Panchanga!$E248,3)</f>
        <v>175.99889898881858</v>
      </c>
      <c r="W248" s="2">
        <f ca="1">Planet(Panchanga!$E248,6)</f>
        <v>248.50036430636109</v>
      </c>
      <c r="X248" s="2">
        <f ca="1">Planet(Panchanga!$E248,10)</f>
        <v>100.12528288892683</v>
      </c>
      <c r="Y248" s="2">
        <f ca="1">SIGN(S249-Panchanga!$S248)</f>
        <v>1</v>
      </c>
    </row>
    <row r="249" spans="1:25" x14ac:dyDescent="0.2">
      <c r="A249" s="3">
        <f t="shared" ca="1" si="40"/>
        <v>43341</v>
      </c>
      <c r="B249" s="3">
        <f t="shared" ca="1" si="33"/>
        <v>43341.229166666664</v>
      </c>
      <c r="C249" s="5">
        <f t="shared" ca="1" si="34"/>
        <v>43341.249300049305</v>
      </c>
      <c r="D249" s="5">
        <f t="shared" ca="1" si="35"/>
        <v>43340.765779634516</v>
      </c>
      <c r="E249" s="60">
        <f ca="1">Panchanga!$C249-TimeZone/24</f>
        <v>43341.020133382641</v>
      </c>
      <c r="F249" s="61">
        <f t="shared" ca="1" si="36"/>
        <v>131.52593510234269</v>
      </c>
      <c r="G249" s="61">
        <f t="shared" ca="1" si="37"/>
        <v>339.98047239403053</v>
      </c>
      <c r="H249" s="62">
        <f t="shared" ca="1" si="38"/>
        <v>43341.020133382641</v>
      </c>
      <c r="I249" s="2" t="str">
        <f ca="1">naks(Panchanga!$G249)</f>
        <v>Uttara Bhadrapada</v>
      </c>
      <c r="J249" s="5">
        <f ca="1">(C250-Panchanga!$C249)/(G250-Panchanga!$G249)*(13.3333333333333-MOD(Panchanga!$G249,13.333333333333))+Panchanga!$C249</f>
        <v>43341.781174105992</v>
      </c>
      <c r="K249" s="2" t="str">
        <f ca="1">IF(Panchanga!$P249&gt;15,"K","S")&amp;ROUNDUP(MOD(Panchanga!$P249,15),0)&amp;" ("&amp;ROUND(Panchanga!$P249,2)&amp;")"</f>
        <v>K3 (17.37)</v>
      </c>
      <c r="L249" s="2">
        <f ca="1">IF(AND(Panchanga!$P249&lt;28.5,Panchanga!$P249&gt;0.49999),MOD((Panchanga!$P249-0.5)*2,7),MOD((Panchanga!$P249+30-28.5),30)*2+7)</f>
        <v>5.742600000000003</v>
      </c>
      <c r="M249" s="2" t="str">
        <f ca="1">CHOOSE(ROUNDUP(Panchanga!$L249,0),"Bhava","Baalava","Kaulava","Taitula","Garija","Vanija","Vishti","Shakuni","Chatushapda","Naaga","Kimstugna")</f>
        <v>Vanija</v>
      </c>
      <c r="N249" s="25" t="str">
        <f ca="1">CHOOSE(ROUNDUP(Panchanga!$Q249,0),"Vishkambha-विष्कम्भ-Sa","Priti-प्रीति-Me","Ayushman-आयुष्मान-Ke","Saubhagya-सौभाग्य-Ve","Shobhana-शोभन-Su","Atiganda-अतिगण्ड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("&amp;Panchanga!$Q249&amp;")"</f>
        <v>Shula-शूल -Ju (8.37)</v>
      </c>
      <c r="O249" s="2">
        <f ca="1">IF(AND(Panchanga!$P249&lt;28.5,Panchanga!$P249&gt;0.49999),MOD((Panchanga!$P249-0.5)*2,7),MOD((Panchanga!$P249+30-28.5),30)*2+7)</f>
        <v>5.742600000000003</v>
      </c>
      <c r="P249" s="2">
        <f ca="1">ROUNDUP(MOD(360+Panchanga!$G249-Panchanga!$F249,360)/12,4)</f>
        <v>17.371300000000002</v>
      </c>
      <c r="Q249" s="2">
        <f t="shared" ca="1" si="39"/>
        <v>8.3699999999999992</v>
      </c>
      <c r="R249" s="2" t="str">
        <f ca="1">SIGN(S250-Panchanga!$S249)*INT(Panchanga!$S249/30+1)&amp;"Ma,"&amp;SIGN(T250-Panchanga!$T249)*INT(Panchanga!$T249/30+1)&amp;"Me,"&amp;SIGN(U250-Panchanga!$U249)*INT(Panchanga!$U249/30+1)&amp;"Ju,"&amp;SIGN(V250-Panchanga!$V249)*INT(Panchanga!$V249/30+1)&amp;"Ve,"&amp;SIGN(W250-Panchanga!$W249)*INT(Panchanga!$W249/30+1)&amp;"Sa,"&amp;INT(Panchanga!$X249/30+1)&amp;"Ra"</f>
        <v>10Ma,4Me,7Ju,6Ve,-9Sa,4Ra</v>
      </c>
      <c r="S249" s="2">
        <f ca="1">Planet(Panchanga!$E249,4)</f>
        <v>274.50989071115174</v>
      </c>
      <c r="T249" s="2">
        <f ca="1">Planet(Panchanga!$E249,2)</f>
        <v>113.46297389213896</v>
      </c>
      <c r="U249" s="2">
        <f ca="1">Planet(Panchanga!$E249,5)</f>
        <v>202.65319176085924</v>
      </c>
      <c r="V249" s="2">
        <f ca="1">Planet(Panchanga!$E249,3)</f>
        <v>176.86530057947024</v>
      </c>
      <c r="W249" s="2">
        <f ca="1">Planet(Panchanga!$E249,6)</f>
        <v>248.48595282479488</v>
      </c>
      <c r="X249" s="2">
        <f ca="1">Planet(Panchanga!$E249,10)</f>
        <v>100.07228884489285</v>
      </c>
      <c r="Y249" s="2">
        <f ca="1">SIGN(S250-Panchanga!$S249)</f>
        <v>1</v>
      </c>
    </row>
    <row r="250" spans="1:25" x14ac:dyDescent="0.2">
      <c r="A250" s="3">
        <f t="shared" ca="1" si="40"/>
        <v>43342</v>
      </c>
      <c r="B250" s="3">
        <f t="shared" ca="1" si="33"/>
        <v>43342.229166666664</v>
      </c>
      <c r="C250" s="5">
        <f t="shared" ca="1" si="34"/>
        <v>43342.249335970882</v>
      </c>
      <c r="D250" s="5">
        <f t="shared" ca="1" si="35"/>
        <v>43341.765325526751</v>
      </c>
      <c r="E250" s="60">
        <f ca="1">Panchanga!$C250-TimeZone/24</f>
        <v>43342.020169304218</v>
      </c>
      <c r="F250" s="61">
        <f t="shared" ca="1" si="36"/>
        <v>132.49191677941567</v>
      </c>
      <c r="G250" s="61">
        <f t="shared" ca="1" si="37"/>
        <v>352.55193431666908</v>
      </c>
      <c r="H250" s="62">
        <f t="shared" ca="1" si="38"/>
        <v>43342.020169304218</v>
      </c>
      <c r="I250" s="2" t="str">
        <f ca="1">naks(Panchanga!$G250)</f>
        <v>Revati</v>
      </c>
      <c r="J250" s="5">
        <f ca="1">(C251-Panchanga!$C250)/(G251-Panchanga!$G250)*(13.3333333333333-MOD(Panchanga!$G250,13.333333333333))+Panchanga!$C250</f>
        <v>43342.22788414493</v>
      </c>
      <c r="K250" s="2" t="str">
        <f ca="1">IF(Panchanga!$P250&gt;15,"K","S")&amp;ROUNDUP(MOD(Panchanga!$P250,15),0)&amp;" ("&amp;ROUND(Panchanga!$P250,2)&amp;")"</f>
        <v>K4 (18.34)</v>
      </c>
      <c r="L250" s="2">
        <f ca="1">IF(AND(Panchanga!$P250&lt;28.5,Panchanga!$P250&gt;0.49999),MOD((Panchanga!$P250-0.5)*2,7),MOD((Panchanga!$P250+30-28.5),30)*2+7)</f>
        <v>0.67680000000000007</v>
      </c>
      <c r="M250" s="2" t="str">
        <f ca="1">CHOOSE(ROUNDUP(Panchanga!$L250,0),"Bhava","Baalava","Kaulava","Taitula","Garija","Vanija","Vishti","Shakuni","Chatushapda","Naaga","Kimstugna")</f>
        <v>Bhava</v>
      </c>
      <c r="N250" s="25" t="str">
        <f ca="1">CHOOSE(ROUNDUP(Panchanga!$Q250,0),"Vishkambha-विष्कम्भ-Sa","Priti-प्रीति-Me","Ayushman-आयुष्मान-Ke","Saubhagya-सौभाग्य-Ve","Shobhana-शोभन-Su","Atiganda-अतिगण्ड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("&amp;Panchanga!$Q250&amp;")"</f>
        <v>Ganda-गण्ड -Sa (9.38)</v>
      </c>
      <c r="O250" s="2">
        <f ca="1">IF(AND(Panchanga!$P250&lt;28.5,Panchanga!$P250&gt;0.49999),MOD((Panchanga!$P250-0.5)*2,7),MOD((Panchanga!$P250+30-28.5),30)*2+7)</f>
        <v>0.67680000000000007</v>
      </c>
      <c r="P250" s="2">
        <f ca="1">ROUNDUP(MOD(360+Panchanga!$G250-Panchanga!$F250,360)/12,4)</f>
        <v>18.3384</v>
      </c>
      <c r="Q250" s="2">
        <f t="shared" ca="1" si="39"/>
        <v>9.379999999999999</v>
      </c>
      <c r="R250" s="2" t="str">
        <f ca="1">SIGN(S251-Panchanga!$S250)*INT(Panchanga!$S250/30+1)&amp;"Ma,"&amp;SIGN(T251-Panchanga!$T250)*INT(Panchanga!$T250/30+1)&amp;"Me,"&amp;SIGN(U251-Panchanga!$U250)*INT(Panchanga!$U250/30+1)&amp;"Ju,"&amp;SIGN(V251-Panchanga!$V250)*INT(Panchanga!$V250/30+1)&amp;"Ve,"&amp;SIGN(W251-Panchanga!$W250)*INT(Panchanga!$W250/30+1)&amp;"Sa,"&amp;INT(Panchanga!$X250/30+1)&amp;"Ra"</f>
        <v>10Ma,4Me,7Ju,6Ve,-9Sa,4Ra</v>
      </c>
      <c r="S250" s="2">
        <f ca="1">Planet(Panchanga!$E250,4)</f>
        <v>274.53608401102281</v>
      </c>
      <c r="T250" s="2">
        <f ca="1">Planet(Panchanga!$E250,2)</f>
        <v>114.71065720788131</v>
      </c>
      <c r="U250" s="2">
        <f ca="1">Planet(Panchanga!$E250,5)</f>
        <v>202.78497320162518</v>
      </c>
      <c r="V250" s="2">
        <f ca="1">Planet(Panchanga!$E250,3)</f>
        <v>177.72127238850186</v>
      </c>
      <c r="W250" s="2">
        <f ca="1">Planet(Panchanga!$E250,6)</f>
        <v>248.47312066267091</v>
      </c>
      <c r="X250" s="2">
        <f ca="1">Planet(Panchanga!$E250,10)</f>
        <v>100.01929494404907</v>
      </c>
      <c r="Y250" s="2">
        <f ca="1">SIGN(S251-Panchanga!$S250)</f>
        <v>1</v>
      </c>
    </row>
    <row r="251" spans="1:25" x14ac:dyDescent="0.2">
      <c r="A251" s="3">
        <f t="shared" ca="1" si="40"/>
        <v>43343</v>
      </c>
      <c r="B251" s="3">
        <f t="shared" ca="1" si="33"/>
        <v>43343.229166666664</v>
      </c>
      <c r="C251" s="5">
        <f t="shared" ca="1" si="34"/>
        <v>43343.249369190693</v>
      </c>
      <c r="D251" s="5">
        <f t="shared" ca="1" si="35"/>
        <v>43342.764866332567</v>
      </c>
      <c r="E251" s="60">
        <f ca="1">Panchanga!$C251-TimeZone/24</f>
        <v>43343.020202524029</v>
      </c>
      <c r="F251" s="61">
        <f t="shared" ca="1" si="36"/>
        <v>133.45838669864452</v>
      </c>
      <c r="G251" s="61">
        <f t="shared" ca="1" si="37"/>
        <v>5.3407867256581811</v>
      </c>
      <c r="H251" s="62">
        <f t="shared" ca="1" si="38"/>
        <v>43343.020202524029</v>
      </c>
      <c r="I251" s="2" t="str">
        <f ca="1">naks(Panchanga!$G251)</f>
        <v>Aswini</v>
      </c>
      <c r="J251" s="5">
        <f ca="1">(C252-Panchanga!$C251)/(G252-Panchanga!$G251)*(13.3333333333333-MOD(Panchanga!$G251,13.333333333333))+Panchanga!$C251</f>
        <v>43343.86289707118</v>
      </c>
      <c r="K251" s="2" t="str">
        <f ca="1">IF(Panchanga!$P251&gt;15,"K","S")&amp;ROUNDUP(MOD(Panchanga!$P251,15),0)&amp;" ("&amp;ROUND(Panchanga!$P251,2)&amp;")"</f>
        <v>K5 (19.32)</v>
      </c>
      <c r="L251" s="2">
        <f ca="1">IF(AND(Panchanga!$P251&lt;28.5,Panchanga!$P251&gt;0.49999),MOD((Panchanga!$P251-0.5)*2,7),MOD((Panchanga!$P251+30-28.5),30)*2+7)</f>
        <v>2.647199999999998</v>
      </c>
      <c r="M251" s="2" t="str">
        <f ca="1">CHOOSE(ROUNDUP(Panchanga!$L251,0),"Bhava","Baalava","Kaulava","Taitula","Garija","Vanija","Vishti","Shakuni","Chatushapda","Naaga","Kimstugna")</f>
        <v>Kaulava</v>
      </c>
      <c r="N251" s="25" t="str">
        <f ca="1">CHOOSE(ROUNDUP(Panchanga!$Q251,0),"Vishkambha-विष्कम्भ-Sa","Priti-प्रीति-Me","Ayushman-आयुष्मान-Ke","Saubhagya-सौभाग्य-Ve","Shobhana-शोभन-Su","Atiganda-अतिगण्ड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("&amp;Panchanga!$Q251&amp;")"</f>
        <v>Vriddhi-वृद्धि -Me (10.41)</v>
      </c>
      <c r="O251" s="2">
        <f ca="1">IF(AND(Panchanga!$P251&lt;28.5,Panchanga!$P251&gt;0.49999),MOD((Panchanga!$P251-0.5)*2,7),MOD((Panchanga!$P251+30-28.5),30)*2+7)</f>
        <v>2.647199999999998</v>
      </c>
      <c r="P251" s="2">
        <f ca="1">ROUNDUP(MOD(360+Panchanga!$G251-Panchanga!$F251,360)/12,4)</f>
        <v>19.323599999999999</v>
      </c>
      <c r="Q251" s="2">
        <f t="shared" ca="1" si="39"/>
        <v>10.41</v>
      </c>
      <c r="R251" s="2" t="str">
        <f ca="1">SIGN(S252-Panchanga!$S251)*INT(Panchanga!$S251/30+1)&amp;"Ma,"&amp;SIGN(T252-Panchanga!$T251)*INT(Panchanga!$T251/30+1)&amp;"Me,"&amp;SIGN(U252-Panchanga!$U251)*INT(Panchanga!$U251/30+1)&amp;"Ju,"&amp;SIGN(V252-Panchanga!$V251)*INT(Panchanga!$V251/30+1)&amp;"Ve,"&amp;SIGN(W252-Panchanga!$W251)*INT(Panchanga!$W251/30+1)&amp;"Sa,"&amp;INT(Panchanga!$X251/30+1)&amp;"Ra"</f>
        <v>10Ma,4Me,7Ju,6Ve,-9Sa,4Ra</v>
      </c>
      <c r="S251" s="2">
        <f ca="1">Planet(Panchanga!$E251,4)</f>
        <v>274.575767404864</v>
      </c>
      <c r="T251" s="2">
        <f ca="1">Planet(Panchanga!$E251,2)</f>
        <v>116.05546117206153</v>
      </c>
      <c r="U251" s="2">
        <f ca="1">Planet(Panchanga!$E251,5)</f>
        <v>202.91882482910191</v>
      </c>
      <c r="V251" s="2">
        <f ca="1">Planet(Panchanga!$E251,3)</f>
        <v>178.56645010968612</v>
      </c>
      <c r="W251" s="2">
        <f ca="1">Planet(Panchanga!$E251,6)</f>
        <v>248.46187482355737</v>
      </c>
      <c r="X251" s="2">
        <f ca="1">Planet(Panchanga!$E251,10)</f>
        <v>99.966301186395583</v>
      </c>
      <c r="Y251" s="2">
        <f ca="1">SIGN(S252-Panchanga!$S251)</f>
        <v>1</v>
      </c>
    </row>
    <row r="252" spans="1:25" x14ac:dyDescent="0.2">
      <c r="A252" s="3">
        <f t="shared" ca="1" si="40"/>
        <v>43344</v>
      </c>
      <c r="B252" s="3">
        <f t="shared" ca="1" si="33"/>
        <v>43344.229166666664</v>
      </c>
      <c r="C252" s="5">
        <f t="shared" ca="1" si="34"/>
        <v>43344.249399867062</v>
      </c>
      <c r="D252" s="5">
        <f t="shared" ca="1" si="35"/>
        <v>43343.764402528803</v>
      </c>
      <c r="E252" s="60">
        <f ca="1">Panchanga!$C252-TimeZone/24</f>
        <v>43344.020233200397</v>
      </c>
      <c r="F252" s="61">
        <f t="shared" ca="1" si="36"/>
        <v>134.42536293497284</v>
      </c>
      <c r="G252" s="61">
        <f t="shared" ca="1" si="37"/>
        <v>18.368380163779118</v>
      </c>
      <c r="H252" s="62">
        <f t="shared" ca="1" si="38"/>
        <v>43344.020233200397</v>
      </c>
      <c r="I252" s="2" t="str">
        <f ca="1">naks(Panchanga!$G252)</f>
        <v>Bharani</v>
      </c>
      <c r="J252" s="5">
        <f ca="1">(C253-Panchanga!$C252)/(G253-Panchanga!$G252)*(13.3333333333333-MOD(Panchanga!$G252,13.333333333333))+Panchanga!$C252</f>
        <v>43344.873884500361</v>
      </c>
      <c r="K252" s="2" t="str">
        <f ca="1">IF(Panchanga!$P252&gt;15,"K","S")&amp;ROUNDUP(MOD(Panchanga!$P252,15),0)&amp;" ("&amp;ROUND(Panchanga!$P252,2)&amp;")"</f>
        <v>K6 (20.33)</v>
      </c>
      <c r="L252" s="2">
        <f ca="1">IF(AND(Panchanga!$P252&lt;28.5,Panchanga!$P252&gt;0.49999),MOD((Panchanga!$P252-0.5)*2,7),MOD((Panchanga!$P252+30-28.5),30)*2+7)</f>
        <v>4.657199999999996</v>
      </c>
      <c r="M252" s="2" t="str">
        <f ca="1">CHOOSE(ROUNDUP(Panchanga!$L252,0),"Bhava","Baalava","Kaulava","Taitula","Garija","Vanija","Vishti","Shakuni","Chatushapda","Naaga","Kimstugna")</f>
        <v>Garija</v>
      </c>
      <c r="N252" s="25" t="str">
        <f ca="1">CHOOSE(ROUNDUP(Panchanga!$Q252,0),"Vishkambha-विष्कम्भ-Sa","Priti-प्रीति-Me","Ayushman-आयुष्मान-Ke","Saubhagya-सौभाग्य-Ve","Shobhana-शोभन-Su","Atiganda-अतिगण्ड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("&amp;Panchanga!$Q252&amp;")"</f>
        <v>Dhruva-ध्रुव -Ke (11.46)</v>
      </c>
      <c r="O252" s="2">
        <f ca="1">IF(AND(Panchanga!$P252&lt;28.5,Panchanga!$P252&gt;0.49999),MOD((Panchanga!$P252-0.5)*2,7),MOD((Panchanga!$P252+30-28.5),30)*2+7)</f>
        <v>4.657199999999996</v>
      </c>
      <c r="P252" s="2">
        <f ca="1">ROUNDUP(MOD(360+Panchanga!$G252-Panchanga!$F252,360)/12,4)</f>
        <v>20.328599999999998</v>
      </c>
      <c r="Q252" s="2">
        <f t="shared" ca="1" si="39"/>
        <v>11.459999999999999</v>
      </c>
      <c r="R252" s="2" t="str">
        <f ca="1">SIGN(S253-Panchanga!$S252)*INT(Panchanga!$S252/30+1)&amp;"Ma,"&amp;SIGN(T253-Panchanga!$T252)*INT(Panchanga!$T252/30+1)&amp;"Me,"&amp;SIGN(U253-Panchanga!$U252)*INT(Panchanga!$U252/30+1)&amp;"Ju,"&amp;SIGN(V253-Panchanga!$V252)*INT(Panchanga!$V252/30+1)&amp;"Ve,"&amp;SIGN(W253-Panchanga!$W252)*INT(Panchanga!$W252/30+1)&amp;"Sa,"&amp;INT(Panchanga!$X252/30+1)&amp;"Ra"</f>
        <v>10Ma,4Me,7Ju,6Ve,-9Sa,4Ra</v>
      </c>
      <c r="S252" s="2">
        <f ca="1">Planet(Panchanga!$E252,4)</f>
        <v>274.6288861441285</v>
      </c>
      <c r="T252" s="2">
        <f ca="1">Planet(Panchanga!$E252,2)</f>
        <v>117.4900245647102</v>
      </c>
      <c r="U252" s="2">
        <f ca="1">Planet(Panchanga!$E252,5)</f>
        <v>203.05472433920173</v>
      </c>
      <c r="V252" s="2">
        <f ca="1">Planet(Panchanga!$E252,3)</f>
        <v>179.40045522062962</v>
      </c>
      <c r="W252" s="2">
        <f ca="1">Planet(Panchanga!$E252,6)</f>
        <v>248.45222215715407</v>
      </c>
      <c r="X252" s="2">
        <f ca="1">Planet(Panchanga!$E252,10)</f>
        <v>99.913307563531873</v>
      </c>
      <c r="Y252" s="2">
        <f ca="1">SIGN(S253-Panchanga!$S252)</f>
        <v>1</v>
      </c>
    </row>
    <row r="253" spans="1:25" x14ac:dyDescent="0.2">
      <c r="A253" s="3">
        <f t="shared" ca="1" si="40"/>
        <v>43345</v>
      </c>
      <c r="B253" s="3">
        <f t="shared" ca="1" si="33"/>
        <v>43345.229166666664</v>
      </c>
      <c r="C253" s="5">
        <f t="shared" ca="1" si="34"/>
        <v>43345.249428318501</v>
      </c>
      <c r="D253" s="5">
        <f t="shared" ca="1" si="35"/>
        <v>43344.763934274713</v>
      </c>
      <c r="E253" s="60">
        <f ca="1">Panchanga!$C253-TimeZone/24</f>
        <v>43345.020261651836</v>
      </c>
      <c r="F253" s="61">
        <f t="shared" ca="1" si="36"/>
        <v>135.39286168255106</v>
      </c>
      <c r="G253" s="61">
        <f t="shared" ca="1" si="37"/>
        <v>31.656973923413069</v>
      </c>
      <c r="H253" s="62">
        <f t="shared" ca="1" si="38"/>
        <v>43345.020261651836</v>
      </c>
      <c r="I253" s="2" t="str">
        <f ca="1">naks(Panchanga!$G253)</f>
        <v>Krittika</v>
      </c>
      <c r="J253" s="5">
        <f ca="1">(C254-Panchanga!$C253)/(G254-Panchanga!$G253)*(13.3333333333333-MOD(Panchanga!$G253,13.333333333333))+Panchanga!$C253</f>
        <v>43345.864228685517</v>
      </c>
      <c r="K253" s="2" t="str">
        <f ca="1">IF(Panchanga!$P253&gt;15,"K","S")&amp;ROUNDUP(MOD(Panchanga!$P253,15),0)&amp;" ("&amp;ROUND(Panchanga!$P253,2)&amp;")"</f>
        <v>K7 (21.36)</v>
      </c>
      <c r="L253" s="2">
        <f ca="1">IF(AND(Panchanga!$P253&lt;28.5,Panchanga!$P253&gt;0.49999),MOD((Panchanga!$P253-0.5)*2,7),MOD((Panchanga!$P253+30-28.5),30)*2+7)</f>
        <v>6.710799999999999</v>
      </c>
      <c r="M253" s="2" t="str">
        <f ca="1">CHOOSE(ROUNDUP(Panchanga!$L253,0),"Bhava","Baalava","Kaulava","Taitula","Garija","Vanija","Vishti","Shakuni","Chatushapda","Naaga","Kimstugna")</f>
        <v>Vishti</v>
      </c>
      <c r="N253" s="25" t="str">
        <f ca="1">CHOOSE(ROUNDUP(Panchanga!$Q253,0),"Vishkambha-विष्कम्भ-Sa","Priti-प्रीति-Me","Ayushman-आयुष्मान-Ke","Saubhagya-सौभाग्य-Ve","Shobhana-शोभन-Su","Atiganda-अतिगण्ड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("&amp;Panchanga!$Q253&amp;")"</f>
        <v>Vyaghata-व्याघात-ve (12.53)</v>
      </c>
      <c r="O253" s="2">
        <f ca="1">IF(AND(Panchanga!$P253&lt;28.5,Panchanga!$P253&gt;0.49999),MOD((Panchanga!$P253-0.5)*2,7),MOD((Panchanga!$P253+30-28.5),30)*2+7)</f>
        <v>6.710799999999999</v>
      </c>
      <c r="P253" s="2">
        <f ca="1">ROUNDUP(MOD(360+Panchanga!$G253-Panchanga!$F253,360)/12,4)</f>
        <v>21.355399999999999</v>
      </c>
      <c r="Q253" s="2">
        <f t="shared" ca="1" si="39"/>
        <v>12.53</v>
      </c>
      <c r="R253" s="2" t="str">
        <f ca="1">SIGN(S254-Panchanga!$S253)*INT(Panchanga!$S253/30+1)&amp;"Ma,"&amp;SIGN(T254-Panchanga!$T253)*INT(Panchanga!$T253/30+1)&amp;"Me,"&amp;SIGN(U254-Panchanga!$U253)*INT(Panchanga!$U253/30+1)&amp;"Ju,"&amp;SIGN(V254-Panchanga!$V253)*INT(Panchanga!$V253/30+1)&amp;"Ve,"&amp;SIGN(W254-Panchanga!$W253)*INT(Panchanga!$W253/30+1)&amp;"Sa,"&amp;INT(Panchanga!$X253/30+1)&amp;"Ra"</f>
        <v>10Ma,4Me,7Ju,7Ve,-9Sa,4Ra</v>
      </c>
      <c r="S253" s="2">
        <f ca="1">Planet(Panchanga!$E253,4)</f>
        <v>274.69537717520029</v>
      </c>
      <c r="T253" s="2">
        <f ca="1">Planet(Panchanga!$E253,2)</f>
        <v>119.00650423232624</v>
      </c>
      <c r="U253" s="2">
        <f ca="1">Planet(Panchanga!$E253,5)</f>
        <v>203.19264980911461</v>
      </c>
      <c r="V253" s="2">
        <f ca="1">Planet(Panchanga!$E253,3)</f>
        <v>180.22289347273741</v>
      </c>
      <c r="W253" s="2">
        <f ca="1">Planet(Panchanga!$E253,6)</f>
        <v>248.44416936765646</v>
      </c>
      <c r="X253" s="2">
        <f ca="1">Planet(Panchanga!$E253,10)</f>
        <v>99.860314058574332</v>
      </c>
      <c r="Y253" s="2">
        <f ca="1">SIGN(S254-Panchanga!$S253)</f>
        <v>1</v>
      </c>
    </row>
    <row r="254" spans="1:25" x14ac:dyDescent="0.2">
      <c r="A254" s="3">
        <f t="shared" ca="1" si="40"/>
        <v>43346</v>
      </c>
      <c r="B254" s="3">
        <f t="shared" ca="1" si="33"/>
        <v>43346.229166666664</v>
      </c>
      <c r="C254" s="5">
        <f t="shared" ca="1" si="34"/>
        <v>43346.249454385754</v>
      </c>
      <c r="D254" s="5">
        <f t="shared" ca="1" si="35"/>
        <v>43345.763462047136</v>
      </c>
      <c r="E254" s="60">
        <f ca="1">Panchanga!$C254-TimeZone/24</f>
        <v>43346.02028771909</v>
      </c>
      <c r="F254" s="61">
        <f t="shared" ca="1" si="36"/>
        <v>136.36089608241454</v>
      </c>
      <c r="G254" s="61">
        <f t="shared" ca="1" si="37"/>
        <v>45.227628730935244</v>
      </c>
      <c r="H254" s="62">
        <f t="shared" ca="1" si="38"/>
        <v>43346.02028771909</v>
      </c>
      <c r="I254" s="2" t="str">
        <f ca="1">naks(Panchanga!$G254)</f>
        <v>Rohini</v>
      </c>
      <c r="J254" s="5">
        <f ca="1">(C255-Panchanga!$C254)/(G255-Panchanga!$G254)*(13.3333333333333-MOD(Panchanga!$G254,13.333333333333))+Panchanga!$C254</f>
        <v>43346.833965182603</v>
      </c>
      <c r="K254" s="2" t="str">
        <f ca="1">IF(Panchanga!$P254&gt;15,"K","S")&amp;ROUNDUP(MOD(Panchanga!$P254,15),0)&amp;" ("&amp;ROUND(Panchanga!$P254,2)&amp;")"</f>
        <v>K8 (22.41)</v>
      </c>
      <c r="L254" s="2">
        <f ca="1">IF(AND(Panchanga!$P254&lt;28.5,Panchanga!$P254&gt;0.49999),MOD((Panchanga!$P254-0.5)*2,7),MOD((Panchanga!$P254+30-28.5),30)*2+7)</f>
        <v>1.8111999999999995</v>
      </c>
      <c r="M254" s="2" t="str">
        <f ca="1">CHOOSE(ROUNDUP(Panchanga!$L254,0),"Bhava","Baalava","Kaulava","Taitula","Garija","Vanija","Vishti","Shakuni","Chatushapda","Naaga","Kimstugna")</f>
        <v>Baalava</v>
      </c>
      <c r="N254" s="25" t="str">
        <f ca="1">CHOOSE(ROUNDUP(Panchanga!$Q254,0),"Vishkambha-विष्कम्भ-Sa","Priti-प्रीति-Me","Ayushman-आयुष्मान-Ke","Saubhagya-सौभाग्य-Ve","Shobhana-शोभन-Su","Atiganda-अतिगण्ड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("&amp;Panchanga!$Q254&amp;")"</f>
        <v>Harshana-हर्षण-su (13.62)</v>
      </c>
      <c r="O254" s="2">
        <f ca="1">IF(AND(Panchanga!$P254&lt;28.5,Panchanga!$P254&gt;0.49999),MOD((Panchanga!$P254-0.5)*2,7),MOD((Panchanga!$P254+30-28.5),30)*2+7)</f>
        <v>1.8111999999999995</v>
      </c>
      <c r="P254" s="2">
        <f ca="1">ROUNDUP(MOD(360+Panchanga!$G254-Panchanga!$F254,360)/12,4)</f>
        <v>22.4056</v>
      </c>
      <c r="Q254" s="2">
        <f t="shared" ca="1" si="39"/>
        <v>13.62</v>
      </c>
      <c r="R254" s="2" t="str">
        <f ca="1">SIGN(S255-Panchanga!$S254)*INT(Panchanga!$S254/30+1)&amp;"Ma,"&amp;SIGN(T255-Panchanga!$T254)*INT(Panchanga!$T254/30+1)&amp;"Me,"&amp;SIGN(U255-Panchanga!$U254)*INT(Panchanga!$U254/30+1)&amp;"Ju,"&amp;SIGN(V255-Panchanga!$V254)*INT(Panchanga!$V254/30+1)&amp;"Ve,"&amp;SIGN(W255-Panchanga!$W254)*INT(Panchanga!$W254/30+1)&amp;"Sa,"&amp;INT(Panchanga!$X254/30+1)&amp;"Ra"</f>
        <v>10Ma,5Me,7Ju,7Ve,-9Sa,4Ra</v>
      </c>
      <c r="S254" s="2">
        <f ca="1">Planet(Panchanga!$E254,4)</f>
        <v>274.77517071749429</v>
      </c>
      <c r="T254" s="2">
        <f ca="1">Planet(Panchanga!$E254,2)</f>
        <v>120.5967100719801</v>
      </c>
      <c r="U254" s="2">
        <f ca="1">Planet(Panchanga!$E254,5)</f>
        <v>203.33257950161104</v>
      </c>
      <c r="V254" s="2">
        <f ca="1">Planet(Panchanga!$E254,3)</f>
        <v>181.03335268658066</v>
      </c>
      <c r="W254" s="2">
        <f ca="1">Planet(Panchanga!$E254,6)</f>
        <v>248.43772301702589</v>
      </c>
      <c r="X254" s="2">
        <f ca="1">Planet(Panchanga!$E254,10)</f>
        <v>99.807320679956561</v>
      </c>
      <c r="Y254" s="2">
        <f ca="1">SIGN(S255-Panchanga!$S254)</f>
        <v>1</v>
      </c>
    </row>
    <row r="255" spans="1:25" x14ac:dyDescent="0.2">
      <c r="A255" s="3">
        <f t="shared" ca="1" si="40"/>
        <v>43347</v>
      </c>
      <c r="B255" s="3">
        <f t="shared" ca="1" si="33"/>
        <v>43347.229166666664</v>
      </c>
      <c r="C255" s="5">
        <f t="shared" ca="1" si="34"/>
        <v>43347.249478704449</v>
      </c>
      <c r="D255" s="5">
        <f t="shared" ca="1" si="35"/>
        <v>43346.762985845606</v>
      </c>
      <c r="E255" s="60">
        <f ca="1">Panchanga!$C255-TimeZone/24</f>
        <v>43347.020312037785</v>
      </c>
      <c r="F255" s="61">
        <f t="shared" ca="1" si="36"/>
        <v>137.32947679026046</v>
      </c>
      <c r="G255" s="61">
        <f t="shared" ca="1" si="37"/>
        <v>59.095467898722156</v>
      </c>
      <c r="H255" s="62">
        <f t="shared" ca="1" si="38"/>
        <v>43347.020312037785</v>
      </c>
      <c r="I255" s="2" t="str">
        <f ca="1">naks(Panchanga!$G255)</f>
        <v>Mrigashira</v>
      </c>
      <c r="J255" s="5">
        <f ca="1">(C256-Panchanga!$C255)/(G256-Panchanga!$G255)*(13.3333333333333-MOD(Panchanga!$G255,13.333333333333))+Panchanga!$C255</f>
        <v>43347.7839136658</v>
      </c>
      <c r="K255" s="2" t="str">
        <f ca="1">IF(Panchanga!$P255&gt;15,"K","S")&amp;ROUNDUP(MOD(Panchanga!$P255,15),0)&amp;" ("&amp;ROUND(Panchanga!$P255,2)&amp;")"</f>
        <v>K9 (23.48)</v>
      </c>
      <c r="L255" s="2">
        <f ca="1">IF(AND(Panchanga!$P255&lt;28.5,Panchanga!$P255&gt;0.49999),MOD((Panchanga!$P255-0.5)*2,7),MOD((Panchanga!$P255+30-28.5),30)*2+7)</f>
        <v>3.9609999999999985</v>
      </c>
      <c r="M255" s="2" t="str">
        <f ca="1">CHOOSE(ROUNDUP(Panchanga!$L255,0),"Bhava","Baalava","Kaulava","Taitula","Garija","Vanija","Vishti","Shakuni","Chatushapda","Naaga","Kimstugna")</f>
        <v>Taitula</v>
      </c>
      <c r="N255" s="25" t="str">
        <f ca="1">CHOOSE(ROUNDUP(Panchanga!$Q255,0),"Vishkambha-विष्कम्भ-Sa","Priti-प्रीति-Me","Ayushman-आयुष्मान-Ke","Saubhagya-सौभाग्य-Ve","Shobhana-शोभन-Su","Atiganda-अतिगण्ड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("&amp;Panchanga!$Q255&amp;")"</f>
        <v>Vajra-वज्र-Mo (14.74)</v>
      </c>
      <c r="O255" s="2">
        <f ca="1">IF(AND(Panchanga!$P255&lt;28.5,Panchanga!$P255&gt;0.49999),MOD((Panchanga!$P255-0.5)*2,7),MOD((Panchanga!$P255+30-28.5),30)*2+7)</f>
        <v>3.9609999999999985</v>
      </c>
      <c r="P255" s="2">
        <f ca="1">ROUNDUP(MOD(360+Panchanga!$G255-Panchanga!$F255,360)/12,4)</f>
        <v>23.480499999999999</v>
      </c>
      <c r="Q255" s="2">
        <f t="shared" ca="1" si="39"/>
        <v>14.74</v>
      </c>
      <c r="R255" s="2" t="str">
        <f ca="1">SIGN(S256-Panchanga!$S255)*INT(Panchanga!$S255/30+1)&amp;"Ma,"&amp;SIGN(T256-Panchanga!$T255)*INT(Panchanga!$T255/30+1)&amp;"Me,"&amp;SIGN(U256-Panchanga!$U255)*INT(Panchanga!$U255/30+1)&amp;"Ju,"&amp;SIGN(V256-Panchanga!$V255)*INT(Panchanga!$V255/30+1)&amp;"Ve,"&amp;SIGN(W256-Panchanga!$W255)*INT(Panchanga!$W255/30+1)&amp;"Sa,"&amp;INT(Panchanga!$X255/30+1)&amp;"Ra"</f>
        <v>10Ma,5Me,7Ju,7Ve,-9Sa,4Ra</v>
      </c>
      <c r="S255" s="2">
        <f ca="1">Planet(Panchanga!$E255,4)</f>
        <v>274.86819181247262</v>
      </c>
      <c r="T255" s="2">
        <f ca="1">Planet(Panchanga!$E255,2)</f>
        <v>122.2522589939568</v>
      </c>
      <c r="U255" s="2">
        <f ca="1">Planet(Panchanga!$E255,5)</f>
        <v>203.47449190477138</v>
      </c>
      <c r="V255" s="2">
        <f ca="1">Planet(Panchanga!$E255,3)</f>
        <v>181.83140172787742</v>
      </c>
      <c r="W255" s="2">
        <f ca="1">Planet(Panchanga!$E255,6)</f>
        <v>248.43288949977205</v>
      </c>
      <c r="X255" s="2">
        <f ca="1">Planet(Panchanga!$E255,10)</f>
        <v>99.754327393977547</v>
      </c>
      <c r="Y255" s="2">
        <f ca="1">SIGN(S256-Panchanga!$S255)</f>
        <v>1</v>
      </c>
    </row>
    <row r="256" spans="1:25" x14ac:dyDescent="0.2">
      <c r="A256" s="3">
        <f t="shared" ca="1" si="40"/>
        <v>43348</v>
      </c>
      <c r="B256" s="3">
        <f t="shared" ca="1" si="33"/>
        <v>43348.229166666664</v>
      </c>
      <c r="C256" s="5">
        <f t="shared" ca="1" si="34"/>
        <v>43348.249500956539</v>
      </c>
      <c r="D256" s="5">
        <f t="shared" ca="1" si="35"/>
        <v>43347.762505988634</v>
      </c>
      <c r="E256" s="60">
        <f ca="1">Panchanga!$C256-TimeZone/24</f>
        <v>43348.020334289875</v>
      </c>
      <c r="F256" s="61">
        <f t="shared" ca="1" si="36"/>
        <v>138.29860947986154</v>
      </c>
      <c r="G256" s="61">
        <f t="shared" ca="1" si="37"/>
        <v>73.262518691619036</v>
      </c>
      <c r="H256" s="62">
        <f t="shared" ca="1" si="38"/>
        <v>43348.020334289875</v>
      </c>
      <c r="I256" s="2" t="str">
        <f ca="1">naks(Panchanga!$G256)</f>
        <v>Ardra</v>
      </c>
      <c r="J256" s="5">
        <f ca="1">(C257-Panchanga!$C256)/(G257-Panchanga!$G256)*(13.3333333333333-MOD(Panchanga!$G256,13.333333333333))+Panchanga!$C256</f>
        <v>43348.715873864356</v>
      </c>
      <c r="K256" s="2" t="str">
        <f ca="1">IF(Panchanga!$P256&gt;15,"K","S")&amp;ROUNDUP(MOD(Panchanga!$P256,15),0)&amp;" ("&amp;ROUND(Panchanga!$P256,2)&amp;")"</f>
        <v>K10 (24.58)</v>
      </c>
      <c r="L256" s="2">
        <f ca="1">IF(AND(Panchanga!$P256&lt;28.5,Panchanga!$P256&gt;0.49999),MOD((Panchanga!$P256-0.5)*2,7),MOD((Panchanga!$P256+30-28.5),30)*2+7)</f>
        <v>6.1608000000000018</v>
      </c>
      <c r="M256" s="2" t="str">
        <f ca="1">CHOOSE(ROUNDUP(Panchanga!$L256,0),"Bhava","Baalava","Kaulava","Taitula","Garija","Vanija","Vishti","Shakuni","Chatushapda","Naaga","Kimstugna")</f>
        <v>Vishti</v>
      </c>
      <c r="N256" s="25" t="str">
        <f ca="1">CHOOSE(ROUNDUP(Panchanga!$Q256,0),"Vishkambha-विष्कम्भ-Sa","Priti-प्रीति-Me","Ayushman-आयुष्मान-Ke","Saubhagya-सौभाग्य-Ve","Shobhana-शोभन-Su","Atiganda-अतिगण्ड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("&amp;Panchanga!$Q256&amp;")"</f>
        <v>Siddhi-सिद्धि-Ma (15.87)</v>
      </c>
      <c r="O256" s="2">
        <f ca="1">IF(AND(Panchanga!$P256&lt;28.5,Panchanga!$P256&gt;0.49999),MOD((Panchanga!$P256-0.5)*2,7),MOD((Panchanga!$P256+30-28.5),30)*2+7)</f>
        <v>6.1608000000000018</v>
      </c>
      <c r="P256" s="2">
        <f ca="1">ROUNDUP(MOD(360+Panchanga!$G256-Panchanga!$F256,360)/12,4)</f>
        <v>24.580400000000001</v>
      </c>
      <c r="Q256" s="2">
        <f t="shared" ca="1" si="39"/>
        <v>15.87</v>
      </c>
      <c r="R256" s="2" t="str">
        <f ca="1">SIGN(S257-Panchanga!$S256)*INT(Panchanga!$S256/30+1)&amp;"Ma,"&amp;SIGN(T257-Panchanga!$T256)*INT(Panchanga!$T256/30+1)&amp;"Me,"&amp;SIGN(U257-Panchanga!$U256)*INT(Panchanga!$U256/30+1)&amp;"Ju,"&amp;SIGN(V257-Panchanga!$V256)*INT(Panchanga!$V256/30+1)&amp;"Ve,"&amp;SIGN(W257-Panchanga!$W256)*INT(Panchanga!$W256/30+1)&amp;"Sa,"&amp;INT(Panchanga!$X256/30+1)&amp;"Ra"</f>
        <v>10Ma,5Me,7Ju,7Ve,-9Sa,4Ra</v>
      </c>
      <c r="S256" s="2">
        <f ca="1">Planet(Panchanga!$E256,4)</f>
        <v>274.97436126206281</v>
      </c>
      <c r="T256" s="2">
        <f ca="1">Planet(Panchanga!$E256,2)</f>
        <v>123.96473272940884</v>
      </c>
      <c r="U256" s="2">
        <f ca="1">Planet(Panchanga!$E256,5)</f>
        <v>203.61836529715157</v>
      </c>
      <c r="V256" s="2">
        <f ca="1">Planet(Panchanga!$E256,3)</f>
        <v>182.61658637743753</v>
      </c>
      <c r="W256" s="2">
        <f ca="1">Planet(Panchanga!$E256,6)</f>
        <v>248.42967501408404</v>
      </c>
      <c r="X256" s="2">
        <f ca="1">Planet(Panchanga!$E256,10)</f>
        <v>99.701334217521051</v>
      </c>
      <c r="Y256" s="2">
        <f ca="1">SIGN(S257-Panchanga!$S256)</f>
        <v>1</v>
      </c>
    </row>
    <row r="257" spans="1:25" x14ac:dyDescent="0.2">
      <c r="A257" s="3">
        <f t="shared" ca="1" si="40"/>
        <v>43349</v>
      </c>
      <c r="B257" s="3">
        <f t="shared" ca="1" si="33"/>
        <v>43349.229166666664</v>
      </c>
      <c r="C257" s="5">
        <f t="shared" ca="1" si="34"/>
        <v>43349.249521778584</v>
      </c>
      <c r="D257" s="5">
        <f t="shared" ca="1" si="35"/>
        <v>43348.762022793337</v>
      </c>
      <c r="E257" s="60">
        <f ca="1">Panchanga!$C257-TimeZone/24</f>
        <v>43349.020355111919</v>
      </c>
      <c r="F257" s="61">
        <f t="shared" ca="1" si="36"/>
        <v>139.26829587429887</v>
      </c>
      <c r="G257" s="61">
        <f t="shared" ca="1" si="37"/>
        <v>87.709373308577469</v>
      </c>
      <c r="H257" s="62">
        <f t="shared" ca="1" si="38"/>
        <v>43349.020355111919</v>
      </c>
      <c r="I257" s="2" t="str">
        <f ca="1">naks(Panchanga!$G257)</f>
        <v>Punarvasu</v>
      </c>
      <c r="J257" s="5">
        <f ca="1">(C258-Panchanga!$C257)/(G258-Panchanga!$G257)*(13.3333333333333-MOD(Panchanga!$G257,13.333333333333))+Panchanga!$C257</f>
        <v>43349.632679536626</v>
      </c>
      <c r="K257" s="2" t="str">
        <f ca="1">IF(Panchanga!$P257&gt;15,"K","S")&amp;ROUNDUP(MOD(Panchanga!$P257,15),0)&amp;" ("&amp;ROUND(Panchanga!$P257,2)&amp;")"</f>
        <v>K11 (25.7)</v>
      </c>
      <c r="L257" s="2">
        <f ca="1">IF(AND(Panchanga!$P257&lt;28.5,Panchanga!$P257&gt;0.49999),MOD((Panchanga!$P257-0.5)*2,7),MOD((Panchanga!$P257+30-28.5),30)*2+7)</f>
        <v>1.4069999999999965</v>
      </c>
      <c r="M257" s="2" t="str">
        <f ca="1">CHOOSE(ROUNDUP(Panchanga!$L257,0),"Bhava","Baalava","Kaulava","Taitula","Garija","Vanija","Vishti","Shakuni","Chatushapda","Naaga","Kimstugna")</f>
        <v>Baalava</v>
      </c>
      <c r="N257" s="25" t="str">
        <f ca="1">CHOOSE(ROUNDUP(Panchanga!$Q257,0),"Vishkambha-विष्कम्भ-Sa","Priti-प्रीति-Me","Ayushman-आयुष्मान-Ke","Saubhagya-सौभाग्य-Ve","Shobhana-शोभन-Su","Atiganda-अतिगण्ड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("&amp;Panchanga!$Q257&amp;")"</f>
        <v>Varigha-वरीयस्-Ju (17.03)</v>
      </c>
      <c r="O257" s="2">
        <f ca="1">IF(AND(Panchanga!$P257&lt;28.5,Panchanga!$P257&gt;0.49999),MOD((Panchanga!$P257-0.5)*2,7),MOD((Panchanga!$P257+30-28.5),30)*2+7)</f>
        <v>1.4069999999999965</v>
      </c>
      <c r="P257" s="2">
        <f ca="1">ROUNDUP(MOD(360+Panchanga!$G257-Panchanga!$F257,360)/12,4)</f>
        <v>25.703499999999998</v>
      </c>
      <c r="Q257" s="2">
        <f t="shared" ca="1" si="39"/>
        <v>17.03</v>
      </c>
      <c r="R257" s="2" t="str">
        <f ca="1">SIGN(S258-Panchanga!$S257)*INT(Panchanga!$S257/30+1)&amp;"Ma,"&amp;SIGN(T258-Panchanga!$T257)*INT(Panchanga!$T257/30+1)&amp;"Me,"&amp;SIGN(U258-Panchanga!$U257)*INT(Panchanga!$U257/30+1)&amp;"Ju,"&amp;SIGN(V258-Panchanga!$V257)*INT(Panchanga!$V257/30+1)&amp;"Ve,"&amp;SIGN(W258-Panchanga!$W257)*INT(Panchanga!$W257/30+1)&amp;"Sa,"&amp;INT(Panchanga!$X257/30+1)&amp;"Ra"</f>
        <v>10Ma,5Me,7Ju,7Ve,9Sa,4Ra</v>
      </c>
      <c r="S257" s="2">
        <f ca="1">Planet(Panchanga!$E257,4)</f>
        <v>275.09359600307914</v>
      </c>
      <c r="T257" s="2">
        <f ca="1">Planet(Panchanga!$E257,2)</f>
        <v>125.72584097987315</v>
      </c>
      <c r="U257" s="2">
        <f ca="1">Planet(Panchanga!$E257,5)</f>
        <v>203.76417775351956</v>
      </c>
      <c r="V257" s="2">
        <f ca="1">Planet(Panchanga!$E257,3)</f>
        <v>183.38842734113493</v>
      </c>
      <c r="W257" s="2">
        <f ca="1">Planet(Panchanga!$E257,6)</f>
        <v>248.42808545894511</v>
      </c>
      <c r="X257" s="2">
        <f ca="1">Planet(Panchanga!$E257,10)</f>
        <v>99.648341116869361</v>
      </c>
      <c r="Y257" s="2">
        <f ca="1">SIGN(S258-Panchanga!$S257)</f>
        <v>1</v>
      </c>
    </row>
    <row r="258" spans="1:25" x14ac:dyDescent="0.2">
      <c r="A258" s="3">
        <f t="shared" ca="1" si="40"/>
        <v>43350</v>
      </c>
      <c r="B258" s="3">
        <f t="shared" ca="1" si="33"/>
        <v>43350.229166666664</v>
      </c>
      <c r="C258" s="5">
        <f t="shared" ca="1" si="34"/>
        <v>43350.24954085207</v>
      </c>
      <c r="D258" s="5">
        <f t="shared" ca="1" si="35"/>
        <v>43349.761536419435</v>
      </c>
      <c r="E258" s="60">
        <f ca="1">Panchanga!$C258-TimeZone/24</f>
        <v>43350.020374185406</v>
      </c>
      <c r="F258" s="61">
        <f t="shared" ca="1" si="36"/>
        <v>140.23853134962638</v>
      </c>
      <c r="G258" s="61">
        <f t="shared" ca="1" si="37"/>
        <v>102.38757615127166</v>
      </c>
      <c r="H258" s="62">
        <f t="shared" ca="1" si="38"/>
        <v>43350.020374185406</v>
      </c>
      <c r="I258" s="2" t="str">
        <f ca="1">naks(Panchanga!$G258)</f>
        <v>Pushya</v>
      </c>
      <c r="J258" s="5">
        <f ca="1">(C259-Panchanga!$C258)/(G259-Panchanga!$G258)*(13.3333333333333-MOD(Panchanga!$G258,13.333333333333))+Panchanga!$C258</f>
        <v>43350.538125299863</v>
      </c>
      <c r="K258" s="2" t="str">
        <f ca="1">IF(Panchanga!$P258&gt;15,"K","S")&amp;ROUNDUP(MOD(Panchanga!$P258,15),0)&amp;" ("&amp;ROUND(Panchanga!$P258,2)&amp;")"</f>
        <v>K12 (26.85)</v>
      </c>
      <c r="L258" s="2">
        <f ca="1">IF(AND(Panchanga!$P258&lt;28.5,Panchanga!$P258&gt;0.49999),MOD((Panchanga!$P258-0.5)*2,7),MOD((Panchanga!$P258+30-28.5),30)*2+7)</f>
        <v>3.6916000000000011</v>
      </c>
      <c r="M258" s="2" t="str">
        <f ca="1">CHOOSE(ROUNDUP(Panchanga!$L258,0),"Bhava","Baalava","Kaulava","Taitula","Garija","Vanija","Vishti","Shakuni","Chatushapda","Naaga","Kimstugna")</f>
        <v>Taitula</v>
      </c>
      <c r="N258" s="25" t="str">
        <f ca="1">CHOOSE(ROUNDUP(Panchanga!$Q258,0),"Vishkambha-विष्कम्भ-Sa","Priti-प्रीति-Me","Ayushman-आयुष्मान-Ke","Saubhagya-सौभाग्य-Ve","Shobhana-शोभन-Su","Atiganda-अतिगण्ड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("&amp;Panchanga!$Q258&amp;")"</f>
        <v>Parigha-परिघ-Sa (18.2)</v>
      </c>
      <c r="O258" s="2">
        <f ca="1">IF(AND(Panchanga!$P258&lt;28.5,Panchanga!$P258&gt;0.49999),MOD((Panchanga!$P258-0.5)*2,7),MOD((Panchanga!$P258+30-28.5),30)*2+7)</f>
        <v>3.6916000000000011</v>
      </c>
      <c r="P258" s="2">
        <f ca="1">ROUNDUP(MOD(360+Panchanga!$G258-Panchanga!$F258,360)/12,4)</f>
        <v>26.845800000000001</v>
      </c>
      <c r="Q258" s="2">
        <f t="shared" ca="1" si="39"/>
        <v>18.200000000000003</v>
      </c>
      <c r="R258" s="2" t="str">
        <f ca="1">SIGN(S259-Panchanga!$S258)*INT(Panchanga!$S258/30+1)&amp;"Ma,"&amp;SIGN(T259-Panchanga!$T258)*INT(Panchanga!$T258/30+1)&amp;"Me,"&amp;SIGN(U259-Panchanga!$U258)*INT(Panchanga!$U258/30+1)&amp;"Ju,"&amp;SIGN(V259-Panchanga!$V258)*INT(Panchanga!$V258/30+1)&amp;"Ve,"&amp;SIGN(W259-Panchanga!$W258)*INT(Panchanga!$W258/30+1)&amp;"Sa,"&amp;INT(Panchanga!$X258/30+1)&amp;"Ra"</f>
        <v>10Ma,5Me,7Ju,7Ve,9Sa,4Ra</v>
      </c>
      <c r="S258" s="2">
        <f ca="1">Planet(Panchanga!$E258,4)</f>
        <v>275.22580764073922</v>
      </c>
      <c r="T258" s="2">
        <f ca="1">Planet(Panchanga!$E258,2)</f>
        <v>127.5275679332624</v>
      </c>
      <c r="U258" s="2">
        <f ca="1">Planet(Panchanga!$E258,5)</f>
        <v>203.91190654483401</v>
      </c>
      <c r="V258" s="2">
        <f ca="1">Planet(Panchanga!$E258,3)</f>
        <v>184.14641467033042</v>
      </c>
      <c r="W258" s="2">
        <f ca="1">Planet(Panchanga!$E258,6)</f>
        <v>248.42812627867377</v>
      </c>
      <c r="X258" s="2">
        <f ca="1">Planet(Panchanga!$E258,10)</f>
        <v>99.595348108889638</v>
      </c>
      <c r="Y258" s="2">
        <f ca="1">SIGN(S259-Panchanga!$S258)</f>
        <v>1</v>
      </c>
    </row>
    <row r="259" spans="1:25" x14ac:dyDescent="0.2">
      <c r="A259" s="3">
        <f t="shared" ca="1" si="40"/>
        <v>43351</v>
      </c>
      <c r="B259" s="3">
        <f t="shared" ref="B259:B322" ca="1" si="41">A259+TimeZone/24</f>
        <v>43351.229166666664</v>
      </c>
      <c r="C259" s="5">
        <f t="shared" ref="C259:C322" ca="1" si="42">sunrise(Lat,Long,B259)+TimeZone/24+0.00103009259259259</f>
        <v>43351.249558495045</v>
      </c>
      <c r="D259" s="5">
        <f t="shared" ref="D259:D322" ca="1" si="43">sunset(Lat,Long,B259)+TimeZone/24-0.000277777777777778</f>
        <v>43350.761047184511</v>
      </c>
      <c r="E259" s="60">
        <f ca="1">Panchanga!$C259-TimeZone/24</f>
        <v>43351.020391828381</v>
      </c>
      <c r="F259" s="61">
        <f t="shared" ref="F259:F322" ca="1" si="44">Planet(E259,0)</f>
        <v>141.20930656023796</v>
      </c>
      <c r="G259" s="61">
        <f t="shared" ref="G259:G322" ca="1" si="45">Planet(E259,1)</f>
        <v>117.21570027224054</v>
      </c>
      <c r="H259" s="62">
        <f t="shared" ref="H259:H322" ca="1" si="46">E259</f>
        <v>43351.020391828381</v>
      </c>
      <c r="I259" s="2" t="str">
        <f ca="1">naks(Panchanga!$G259)</f>
        <v>Aslesha</v>
      </c>
      <c r="J259" s="5">
        <f ca="1">(C260-Panchanga!$C259)/(G260-Panchanga!$G259)*(13.3333333333333-MOD(Panchanga!$G259,13.333333333333))+Panchanga!$C259</f>
        <v>43351.436848819947</v>
      </c>
      <c r="K259" s="2" t="str">
        <f ca="1">IF(Panchanga!$P259&gt;15,"K","S")&amp;ROUNDUP(MOD(Panchanga!$P259,15),0)&amp;" ("&amp;ROUND(Panchanga!$P259,2)&amp;")"</f>
        <v>K14 (28)</v>
      </c>
      <c r="L259" s="2">
        <f ca="1">IF(AND(Panchanga!$P259&lt;28.5,Panchanga!$P259&gt;0.49999),MOD((Panchanga!$P259-0.5)*2,7),MOD((Panchanga!$P259+30-28.5),30)*2+7)</f>
        <v>6.0011999999999972</v>
      </c>
      <c r="M259" s="2" t="str">
        <f ca="1">CHOOSE(ROUNDUP(Panchanga!$L259,0),"Bhava","Baalava","Kaulava","Taitula","Garija","Vanija","Vishti","Shakuni","Chatushapda","Naaga","Kimstugna")</f>
        <v>Vishti</v>
      </c>
      <c r="N259" s="25" t="str">
        <f ca="1">CHOOSE(ROUNDUP(Panchanga!$Q259,0),"Vishkambha-विष्कम्भ-Sa","Priti-प्रीति-Me","Ayushman-आयुष्मान-Ke","Saubhagya-सौभाग्य-Ve","Shobhana-शोभन-Su","Atiganda-अतिगण्ड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("&amp;Panchanga!$Q259&amp;")"</f>
        <v>Shiva-शिव-Me (19.39)</v>
      </c>
      <c r="O259" s="2">
        <f ca="1">IF(AND(Panchanga!$P259&lt;28.5,Panchanga!$P259&gt;0.49999),MOD((Panchanga!$P259-0.5)*2,7),MOD((Panchanga!$P259+30-28.5),30)*2+7)</f>
        <v>6.0011999999999972</v>
      </c>
      <c r="P259" s="2">
        <f ca="1">ROUNDUP(MOD(360+Panchanga!$G259-Panchanga!$F259,360)/12,4)</f>
        <v>28.000599999999999</v>
      </c>
      <c r="Q259" s="2">
        <f t="shared" ref="Q259:Q322" ca="1" si="47">ROUNDUP(MOD(F259+G259,360)/13.333333333,2)</f>
        <v>19.39</v>
      </c>
      <c r="R259" s="2" t="str">
        <f ca="1">SIGN(S260-Panchanga!$S259)*INT(Panchanga!$S259/30+1)&amp;"Ma,"&amp;SIGN(T260-Panchanga!$T259)*INT(Panchanga!$T259/30+1)&amp;"Me,"&amp;SIGN(U260-Panchanga!$U259)*INT(Panchanga!$U259/30+1)&amp;"Ju,"&amp;SIGN(V260-Panchanga!$V259)*INT(Panchanga!$V259/30+1)&amp;"Ve,"&amp;SIGN(W260-Panchanga!$W259)*INT(Panchanga!$W259/30+1)&amp;"Sa,"&amp;INT(Panchanga!$X259/30+1)&amp;"Ra"</f>
        <v>10Ma,5Me,7Ju,7Ve,9Sa,4Ra</v>
      </c>
      <c r="S259" s="2">
        <f ca="1">Planet(Panchanga!$E259,4)</f>
        <v>275.37089968199047</v>
      </c>
      <c r="T259" s="2">
        <f ca="1">Planet(Panchanga!$E259,2)</f>
        <v>129.36230606176619</v>
      </c>
      <c r="U259" s="2">
        <f ca="1">Planet(Panchanga!$E259,5)</f>
        <v>204.06152804204962</v>
      </c>
      <c r="V259" s="2">
        <f ca="1">Planet(Panchanga!$E259,3)</f>
        <v>184.89000503573956</v>
      </c>
      <c r="W259" s="2">
        <f ca="1">Planet(Panchanga!$E259,6)</f>
        <v>248.42980222946679</v>
      </c>
      <c r="X259" s="2">
        <f ca="1">Planet(Panchanga!$E259,10)</f>
        <v>99.542355176714779</v>
      </c>
      <c r="Y259" s="2">
        <f ca="1">SIGN(S260-Panchanga!$S259)</f>
        <v>1</v>
      </c>
    </row>
    <row r="260" spans="1:25" x14ac:dyDescent="0.2">
      <c r="A260" s="3">
        <f t="shared" ca="1" si="40"/>
        <v>43352</v>
      </c>
      <c r="B260" s="3">
        <f t="shared" ca="1" si="41"/>
        <v>43352.229166666664</v>
      </c>
      <c r="C260" s="5">
        <f t="shared" ca="1" si="42"/>
        <v>43352.249574866299</v>
      </c>
      <c r="D260" s="5">
        <f t="shared" ca="1" si="43"/>
        <v>43351.76055524782</v>
      </c>
      <c r="E260" s="60">
        <f ca="1">Panchanga!$C260-TimeZone/24</f>
        <v>43352.020408199634</v>
      </c>
      <c r="F260" s="61">
        <f t="shared" ca="1" si="44"/>
        <v>142.18060759580777</v>
      </c>
      <c r="G260" s="61">
        <f t="shared" ca="1" si="45"/>
        <v>132.08216660822154</v>
      </c>
      <c r="H260" s="62">
        <f t="shared" ca="1" si="46"/>
        <v>43352.020408199634</v>
      </c>
      <c r="I260" s="2" t="str">
        <f ca="1">naks(Panchanga!$G260)</f>
        <v>Makha</v>
      </c>
      <c r="J260" s="5">
        <f ca="1">(C261-Panchanga!$C260)/(G261-Panchanga!$G260)*(13.3333333333333-MOD(Panchanga!$G260,13.333333333333))+Panchanga!$C260</f>
        <v>43352.33426055259</v>
      </c>
      <c r="K260" s="2" t="str">
        <f ca="1">IF(Panchanga!$P260&gt;15,"K","S")&amp;ROUNDUP(MOD(Panchanga!$P260,15),0)&amp;" ("&amp;ROUND(Panchanga!$P260,2)&amp;")"</f>
        <v>K15 (29.16)</v>
      </c>
      <c r="L260" s="2">
        <f ca="1">IF(AND(Panchanga!$P260&lt;28.5,Panchanga!$P260&gt;0.49999),MOD((Panchanga!$P260-0.5)*2,7),MOD((Panchanga!$P260+30-28.5),30)*2+7)</f>
        <v>8.3170000000000073</v>
      </c>
      <c r="M260" s="2" t="str">
        <f ca="1">CHOOSE(ROUNDUP(Panchanga!$L260,0),"Bhava","Baalava","Kaulava","Taitula","Garija","Vanija","Vishti","Shakuni","Chatushapda","Naaga","Kimstugna")</f>
        <v>Chatushapda</v>
      </c>
      <c r="N260" s="25" t="str">
        <f ca="1">CHOOSE(ROUNDUP(Panchanga!$Q260,0),"Vishkambha-विष्कम्भ-Sa","Priti-प्रीति-Me","Ayushman-आयुष्मान-Ke","Saubhagya-सौभाग्य-Ve","Shobhana-शोभन-Su","Atiganda-अतिगण्ड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("&amp;Panchanga!$Q260&amp;")"</f>
        <v>Siddha-सिद्ध-Ke (20.57)</v>
      </c>
      <c r="O260" s="2">
        <f ca="1">IF(AND(Panchanga!$P260&lt;28.5,Panchanga!$P260&gt;0.49999),MOD((Panchanga!$P260-0.5)*2,7),MOD((Panchanga!$P260+30-28.5),30)*2+7)</f>
        <v>8.3170000000000073</v>
      </c>
      <c r="P260" s="2">
        <f ca="1">ROUNDUP(MOD(360+Panchanga!$G260-Panchanga!$F260,360)/12,4)</f>
        <v>29.1585</v>
      </c>
      <c r="Q260" s="2">
        <f t="shared" ca="1" si="47"/>
        <v>20.57</v>
      </c>
      <c r="R260" s="2" t="str">
        <f ca="1">SIGN(S261-Panchanga!$S260)*INT(Panchanga!$S260/30+1)&amp;"Ma,"&amp;SIGN(T261-Panchanga!$T260)*INT(Panchanga!$T260/30+1)&amp;"Me,"&amp;SIGN(U261-Panchanga!$U260)*INT(Panchanga!$U260/30+1)&amp;"Ju,"&amp;SIGN(V261-Panchanga!$V260)*INT(Panchanga!$V260/30+1)&amp;"Ve,"&amp;SIGN(W261-Panchanga!$W260)*INT(Panchanga!$W260/30+1)&amp;"Sa,"&amp;INT(Panchanga!$X260/30+1)&amp;"Ra"</f>
        <v>10Ma,5Me,7Ju,7Ve,9Sa,4Ra</v>
      </c>
      <c r="S260" s="2">
        <f ca="1">Planet(Panchanga!$E260,4)</f>
        <v>275.52876328016896</v>
      </c>
      <c r="T260" s="2">
        <f ca="1">Planet(Panchanga!$E260,2)</f>
        <v>131.22296061374945</v>
      </c>
      <c r="U260" s="2">
        <f ca="1">Planet(Panchanga!$E260,5)</f>
        <v>204.2130173650142</v>
      </c>
      <c r="V260" s="2">
        <f ca="1">Planet(Panchanga!$E260,3)</f>
        <v>185.61861817192613</v>
      </c>
      <c r="W260" s="2">
        <f ca="1">Planet(Panchanga!$E260,6)</f>
        <v>248.43311712533864</v>
      </c>
      <c r="X260" s="2">
        <f ca="1">Planet(Panchanga!$E260,10)</f>
        <v>99.489362311894737</v>
      </c>
      <c r="Y260" s="2">
        <f ca="1">SIGN(S261-Panchanga!$S260)</f>
        <v>1</v>
      </c>
    </row>
    <row r="261" spans="1:25" x14ac:dyDescent="0.2">
      <c r="A261" s="3">
        <f t="shared" ca="1" si="40"/>
        <v>43353</v>
      </c>
      <c r="B261" s="3">
        <f t="shared" ca="1" si="41"/>
        <v>43353.229166666664</v>
      </c>
      <c r="C261" s="5">
        <f t="shared" ca="1" si="42"/>
        <v>43353.249589966297</v>
      </c>
      <c r="D261" s="5">
        <f t="shared" ca="1" si="43"/>
        <v>43352.760060767687</v>
      </c>
      <c r="E261" s="60">
        <f ca="1">Panchanga!$C261-TimeZone/24</f>
        <v>43353.020423299633</v>
      </c>
      <c r="F261" s="61">
        <f t="shared" ca="1" si="44"/>
        <v>143.15241767720372</v>
      </c>
      <c r="G261" s="61">
        <f t="shared" ca="1" si="45"/>
        <v>146.85663054090676</v>
      </c>
      <c r="H261" s="62">
        <f t="shared" ca="1" si="46"/>
        <v>43353.020423299633</v>
      </c>
      <c r="I261" s="2" t="str">
        <f ca="1">naks(Panchanga!$G261)</f>
        <v>Uttara Phalguni</v>
      </c>
      <c r="J261" s="5">
        <f ca="1">(C262-Panchanga!$C261)/(G262-Panchanga!$G261)*(13.3333333333333-MOD(Panchanga!$G261,13.333333333333))+Panchanga!$C261</f>
        <v>43354.152815436355</v>
      </c>
      <c r="K261" s="2" t="str">
        <f ca="1">IF(Panchanga!$P261&gt;15,"K","S")&amp;ROUNDUP(MOD(Panchanga!$P261,15),0)&amp;" ("&amp;ROUND(Panchanga!$P261,2)&amp;")"</f>
        <v>S1 (0.31)</v>
      </c>
      <c r="L261" s="2">
        <f ca="1">IF(AND(Panchanga!$P261&lt;28.5,Panchanga!$P261&gt;0.49999),MOD((Panchanga!$P261-0.5)*2,7),MOD((Panchanga!$P261+30-28.5),30)*2+7)</f>
        <v>10.617400000000004</v>
      </c>
      <c r="M261" s="2" t="str">
        <f ca="1">CHOOSE(ROUNDUP(Panchanga!$L261,0),"Bhava","Baalava","Kaulava","Taitula","Garija","Vanija","Vishti","Shakuni","Chatushapda","Naaga","Kimstugna")</f>
        <v>Kimstugna</v>
      </c>
      <c r="N261" s="25" t="str">
        <f ca="1">CHOOSE(ROUNDUP(Panchanga!$Q261,0),"Vishkambha-विष्कम्भ-Sa","Priti-प्रीति-Me","Ayushman-आयुष्मान-Ke","Saubhagya-सौभाग्य-Ve","Shobhana-शोभन-Su","Atiganda-अतिगण्ड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("&amp;Panchanga!$Q261&amp;")"</f>
        <v>Sadhya-साध्य-Ve (21.76)</v>
      </c>
      <c r="O261" s="2">
        <f ca="1">IF(AND(Panchanga!$P261&lt;28.5,Panchanga!$P261&gt;0.49999),MOD((Panchanga!$P261-0.5)*2,7),MOD((Panchanga!$P261+30-28.5),30)*2+7)</f>
        <v>10.617400000000004</v>
      </c>
      <c r="P261" s="2">
        <f ca="1">ROUNDUP(MOD(360+Panchanga!$G261-Panchanga!$F261,360)/12,4)</f>
        <v>0.30869999999999997</v>
      </c>
      <c r="Q261" s="2">
        <f t="shared" ca="1" si="47"/>
        <v>21.76</v>
      </c>
      <c r="R261" s="2" t="str">
        <f ca="1">SIGN(S262-Panchanga!$S261)*INT(Panchanga!$S261/30+1)&amp;"Ma,"&amp;SIGN(T262-Panchanga!$T261)*INT(Panchanga!$T261/30+1)&amp;"Me,"&amp;SIGN(U262-Panchanga!$U261)*INT(Panchanga!$U261/30+1)&amp;"Ju,"&amp;SIGN(V262-Panchanga!$V261)*INT(Panchanga!$V261/30+1)&amp;"Ve,"&amp;SIGN(W262-Panchanga!$W261)*INT(Panchanga!$W261/30+1)&amp;"Sa,"&amp;INT(Panchanga!$X261/30+1)&amp;"Ra"</f>
        <v>10Ma,5Me,7Ju,7Ve,9Sa,4Ra</v>
      </c>
      <c r="S261" s="2">
        <f ca="1">Planet(Panchanga!$E261,4)</f>
        <v>275.69927293811389</v>
      </c>
      <c r="T261" s="2">
        <f ca="1">Planet(Panchanga!$E261,2)</f>
        <v>133.10302658073954</v>
      </c>
      <c r="U261" s="2">
        <f ca="1">Planet(Panchanga!$E261,5)</f>
        <v>204.3663483165659</v>
      </c>
      <c r="V261" s="2">
        <f ca="1">Planet(Panchanga!$E261,3)</f>
        <v>186.33163571089349</v>
      </c>
      <c r="W261" s="2">
        <f ca="1">Planet(Panchanga!$E261,6)</f>
        <v>248.43807361602165</v>
      </c>
      <c r="X261" s="2">
        <f ca="1">Planet(Panchanga!$E261,10)</f>
        <v>99.436369514479225</v>
      </c>
      <c r="Y261" s="2">
        <f ca="1">SIGN(S262-Panchanga!$S261)</f>
        <v>1</v>
      </c>
    </row>
    <row r="262" spans="1:25" x14ac:dyDescent="0.2">
      <c r="A262" s="3">
        <f t="shared" ca="1" si="40"/>
        <v>43354</v>
      </c>
      <c r="B262" s="3">
        <f t="shared" ca="1" si="41"/>
        <v>43354.229166666664</v>
      </c>
      <c r="C262" s="5">
        <f t="shared" ca="1" si="42"/>
        <v>43354.249603953365</v>
      </c>
      <c r="D262" s="5">
        <f t="shared" ca="1" si="43"/>
        <v>43353.759564062158</v>
      </c>
      <c r="E262" s="60">
        <f ca="1">Panchanga!$C262-TimeZone/24</f>
        <v>43354.020437286701</v>
      </c>
      <c r="F262" s="61">
        <f t="shared" ca="1" si="44"/>
        <v>144.12471956488727</v>
      </c>
      <c r="G262" s="61">
        <f t="shared" ca="1" si="45"/>
        <v>161.40842711003546</v>
      </c>
      <c r="H262" s="62">
        <f t="shared" ca="1" si="46"/>
        <v>43354.020437286701</v>
      </c>
      <c r="I262" s="2" t="str">
        <f ca="1">naks(Panchanga!$G262)</f>
        <v>Hasta</v>
      </c>
      <c r="J262" s="5">
        <f ca="1">(C263-Panchanga!$C262)/(G263-Panchanga!$G262)*(13.3333333333333-MOD(Panchanga!$G262,13.333333333333))+Panchanga!$C262</f>
        <v>43355.088302448712</v>
      </c>
      <c r="K262" s="2" t="str">
        <f ca="1">IF(Panchanga!$P262&gt;15,"K","S")&amp;ROUNDUP(MOD(Panchanga!$P262,15),0)&amp;" ("&amp;ROUND(Panchanga!$P262,2)&amp;")"</f>
        <v>S2 (1.44)</v>
      </c>
      <c r="L262" s="2">
        <f ca="1">IF(AND(Panchanga!$P262&lt;28.5,Panchanga!$P262&gt;0.49999),MOD((Panchanga!$P262-0.5)*2,7),MOD((Panchanga!$P262+30-28.5),30)*2+7)</f>
        <v>1.8807999999999998</v>
      </c>
      <c r="M262" s="2" t="str">
        <f ca="1">CHOOSE(ROUNDUP(Panchanga!$L262,0),"Bhava","Baalava","Kaulava","Taitula","Garija","Vanija","Vishti","Shakuni","Chatushapda","Naaga","Kimstugna")</f>
        <v>Baalava</v>
      </c>
      <c r="N262" s="25" t="str">
        <f ca="1">CHOOSE(ROUNDUP(Panchanga!$Q262,0),"Vishkambha-विष्कम्भ-Sa","Priti-प्रीति-Me","Ayushman-आयुष्मान-Ke","Saubhagya-सौभाग्य-Ve","Shobhana-शोभन-Su","Atiganda-अतिगण्ड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("&amp;Panchanga!$Q262&amp;")"</f>
        <v>Shubha-शुभ-Su (22.92)</v>
      </c>
      <c r="O262" s="2">
        <f ca="1">IF(AND(Panchanga!$P262&lt;28.5,Panchanga!$P262&gt;0.49999),MOD((Panchanga!$P262-0.5)*2,7),MOD((Panchanga!$P262+30-28.5),30)*2+7)</f>
        <v>1.8807999999999998</v>
      </c>
      <c r="P262" s="2">
        <f ca="1">ROUNDUP(MOD(360+Panchanga!$G262-Panchanga!$F262,360)/12,4)</f>
        <v>1.4403999999999999</v>
      </c>
      <c r="Q262" s="2">
        <f t="shared" ca="1" si="47"/>
        <v>22.92</v>
      </c>
      <c r="R262" s="2" t="str">
        <f ca="1">SIGN(S263-Panchanga!$S262)*INT(Panchanga!$S262/30+1)&amp;"Ma,"&amp;SIGN(T263-Panchanga!$T262)*INT(Panchanga!$T262/30+1)&amp;"Me,"&amp;SIGN(U263-Panchanga!$U262)*INT(Panchanga!$U262/30+1)&amp;"Ju,"&amp;SIGN(V263-Panchanga!$V262)*INT(Panchanga!$V262/30+1)&amp;"Ve,"&amp;SIGN(W263-Panchanga!$W262)*INT(Panchanga!$W262/30+1)&amp;"Sa,"&amp;INT(Panchanga!$X262/30+1)&amp;"Ra"</f>
        <v>10Ma,5Me,7Ju,7Ve,9Sa,4Ra</v>
      </c>
      <c r="S262" s="2">
        <f ca="1">Planet(Panchanga!$E262,4)</f>
        <v>275.88228343144453</v>
      </c>
      <c r="T262" s="2">
        <f ca="1">Planet(Panchanga!$E262,2)</f>
        <v>134.99663650794739</v>
      </c>
      <c r="U262" s="2">
        <f ca="1">Planet(Panchanga!$E262,5)</f>
        <v>204.5214935670551</v>
      </c>
      <c r="V262" s="2">
        <f ca="1">Planet(Panchanga!$E262,3)</f>
        <v>187.02840217188674</v>
      </c>
      <c r="W262" s="2">
        <f ca="1">Planet(Panchanga!$E262,6)</f>
        <v>248.44467305957048</v>
      </c>
      <c r="X262" s="2">
        <f ca="1">Planet(Panchanga!$E262,10)</f>
        <v>99.383376776018196</v>
      </c>
      <c r="Y262" s="2">
        <f ca="1">SIGN(S263-Panchanga!$S262)</f>
        <v>1</v>
      </c>
    </row>
    <row r="263" spans="1:25" x14ac:dyDescent="0.2">
      <c r="A263" s="3">
        <f t="shared" ca="1" si="40"/>
        <v>43355</v>
      </c>
      <c r="B263" s="3">
        <f t="shared" ca="1" si="41"/>
        <v>43355.229166666664</v>
      </c>
      <c r="C263" s="5">
        <f t="shared" ca="1" si="42"/>
        <v>43355.249616987225</v>
      </c>
      <c r="D263" s="5">
        <f t="shared" ca="1" si="43"/>
        <v>43354.759065290491</v>
      </c>
      <c r="E263" s="60">
        <f ca="1">Panchanga!$C263-TimeZone/24</f>
        <v>43355.02045032056</v>
      </c>
      <c r="F263" s="61">
        <f t="shared" ca="1" si="44"/>
        <v>145.09749739982868</v>
      </c>
      <c r="G263" s="61">
        <f t="shared" ca="1" si="45"/>
        <v>175.62695941575501</v>
      </c>
      <c r="H263" s="62">
        <f t="shared" ca="1" si="46"/>
        <v>43355.02045032056</v>
      </c>
      <c r="I263" s="2" t="str">
        <f ca="1">naks(Panchanga!$G263)</f>
        <v>Chitra</v>
      </c>
      <c r="J263" s="5">
        <f ca="1">(C264-Panchanga!$C263)/(G264-Panchanga!$G263)*(13.3333333333333-MOD(Panchanga!$G263,13.333333333333))+Panchanga!$C263</f>
        <v>43356.048987974267</v>
      </c>
      <c r="K263" s="2" t="str">
        <f ca="1">IF(Panchanga!$P263&gt;15,"K","S")&amp;ROUNDUP(MOD(Panchanga!$P263,15),0)&amp;" ("&amp;ROUND(Panchanga!$P263,2)&amp;")"</f>
        <v>S3 (2.54)</v>
      </c>
      <c r="L263" s="2">
        <f ca="1">IF(AND(Panchanga!$P263&lt;28.5,Panchanga!$P263&gt;0.49999),MOD((Panchanga!$P263-0.5)*2,7),MOD((Panchanga!$P263+30-28.5),30)*2+7)</f>
        <v>4.0884</v>
      </c>
      <c r="M263" s="2" t="str">
        <f ca="1">CHOOSE(ROUNDUP(Panchanga!$L263,0),"Bhava","Baalava","Kaulava","Taitula","Garija","Vanija","Vishti","Shakuni","Chatushapda","Naaga","Kimstugna")</f>
        <v>Garija</v>
      </c>
      <c r="N263" s="25" t="str">
        <f ca="1">CHOOSE(ROUNDUP(Panchanga!$Q263,0),"Vishkambha-विष्कम्भ-Sa","Priti-प्रीति-Me","Ayushman-आयुष्मान-Ke","Saubhagya-सौभाग्य-Ve","Shobhana-शोभन-Su","Atiganda-अतिगण्ड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("&amp;Panchanga!$Q263&amp;")"</f>
        <v>Brahma-ब्रह्म-Ma (24.06)</v>
      </c>
      <c r="O263" s="2">
        <f ca="1">IF(AND(Panchanga!$P263&lt;28.5,Panchanga!$P263&gt;0.49999),MOD((Panchanga!$P263-0.5)*2,7),MOD((Panchanga!$P263+30-28.5),30)*2+7)</f>
        <v>4.0884</v>
      </c>
      <c r="P263" s="2">
        <f ca="1">ROUNDUP(MOD(360+Panchanga!$G263-Panchanga!$F263,360)/12,4)</f>
        <v>2.5442</v>
      </c>
      <c r="Q263" s="2">
        <f t="shared" ca="1" si="47"/>
        <v>24.060000000000002</v>
      </c>
      <c r="R263" s="2" t="str">
        <f ca="1">SIGN(S264-Panchanga!$S263)*INT(Panchanga!$S263/30+1)&amp;"Ma,"&amp;SIGN(T264-Panchanga!$T263)*INT(Panchanga!$T263/30+1)&amp;"Me,"&amp;SIGN(U264-Panchanga!$U263)*INT(Panchanga!$U263/30+1)&amp;"Ju,"&amp;SIGN(V264-Panchanga!$V263)*INT(Panchanga!$V263/30+1)&amp;"Ve,"&amp;SIGN(W264-Panchanga!$W263)*INT(Panchanga!$W263/30+1)&amp;"Sa,"&amp;INT(Panchanga!$X263/30+1)&amp;"Ra"</f>
        <v>10Ma,5Me,7Ju,7Ve,9Sa,4Ra</v>
      </c>
      <c r="S263" s="2">
        <f ca="1">Planet(Panchanga!$E263,4)</f>
        <v>276.07762870504757</v>
      </c>
      <c r="T263" s="2">
        <f ca="1">Planet(Panchanga!$E263,2)</f>
        <v>136.89857930981788</v>
      </c>
      <c r="U263" s="2">
        <f ca="1">Planet(Panchanga!$E263,5)</f>
        <v>204.67842492928858</v>
      </c>
      <c r="V263" s="2">
        <f ca="1">Planet(Panchanga!$E263,3)</f>
        <v>187.70822706811697</v>
      </c>
      <c r="W263" s="2">
        <f ca="1">Planet(Panchanga!$E263,6)</f>
        <v>248.45291551143561</v>
      </c>
      <c r="X263" s="2">
        <f ca="1">Planet(Panchanga!$E263,10)</f>
        <v>99.330384088111131</v>
      </c>
      <c r="Y263" s="2">
        <f ca="1">SIGN(S264-Panchanga!$S263)</f>
        <v>1</v>
      </c>
    </row>
    <row r="264" spans="1:25" x14ac:dyDescent="0.2">
      <c r="A264" s="3">
        <f t="shared" ca="1" si="40"/>
        <v>43356</v>
      </c>
      <c r="B264" s="3">
        <f t="shared" ca="1" si="41"/>
        <v>43356.229166666664</v>
      </c>
      <c r="C264" s="5">
        <f t="shared" ca="1" si="42"/>
        <v>43356.249629225735</v>
      </c>
      <c r="D264" s="5">
        <f t="shared" ca="1" si="43"/>
        <v>43355.758564611475</v>
      </c>
      <c r="E264" s="60">
        <f ca="1">Panchanga!$C264-TimeZone/24</f>
        <v>43356.02046255907</v>
      </c>
      <c r="F264" s="61">
        <f t="shared" ca="1" si="44"/>
        <v>146.07073818007979</v>
      </c>
      <c r="G264" s="61">
        <f t="shared" ca="1" si="45"/>
        <v>189.43762122288686</v>
      </c>
      <c r="H264" s="62">
        <f t="shared" ca="1" si="46"/>
        <v>43356.02046255907</v>
      </c>
      <c r="I264" s="2" t="str">
        <f ca="1">naks(Panchanga!$G264)</f>
        <v>Swati</v>
      </c>
      <c r="J264" s="5">
        <f ca="1">(C265-Panchanga!$C264)/(G265-Panchanga!$G264)*(13.3333333333333-MOD(Panchanga!$G264,13.333333333333))+Panchanga!$C264</f>
        <v>43357.039563284176</v>
      </c>
      <c r="K264" s="2" t="str">
        <f ca="1">IF(Panchanga!$P264&gt;15,"K","S")&amp;ROUNDUP(MOD(Panchanga!$P264,15),0)&amp;" ("&amp;ROUND(Panchanga!$P264,2)&amp;")"</f>
        <v>S4 (3.61)</v>
      </c>
      <c r="L264" s="2">
        <f ca="1">IF(AND(Panchanga!$P264&lt;28.5,Panchanga!$P264&gt;0.49999),MOD((Panchanga!$P264-0.5)*2,7),MOD((Panchanga!$P264+30-28.5),30)*2+7)</f>
        <v>6.2280000000000006</v>
      </c>
      <c r="M264" s="2" t="str">
        <f ca="1">CHOOSE(ROUNDUP(Panchanga!$L264,0),"Bhava","Baalava","Kaulava","Taitula","Garija","Vanija","Vishti","Shakuni","Chatushapda","Naaga","Kimstugna")</f>
        <v>Vishti</v>
      </c>
      <c r="N264" s="25" t="str">
        <f ca="1">CHOOSE(ROUNDUP(Panchanga!$Q264,0),"Vishkambha-विष्कम्भ-Sa","Priti-प्रीति-Me","Ayushman-आयुष्मान-Ke","Saubhagya-सौभाग्य-Ve","Shobhana-शोभन-Su","Atiganda-अतिगण्ड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("&amp;Panchanga!$Q264&amp;")"</f>
        <v>Mahendra-महेन्द्र-Ra (25.17)</v>
      </c>
      <c r="O264" s="2">
        <f ca="1">IF(AND(Panchanga!$P264&lt;28.5,Panchanga!$P264&gt;0.49999),MOD((Panchanga!$P264-0.5)*2,7),MOD((Panchanga!$P264+30-28.5),30)*2+7)</f>
        <v>6.2280000000000006</v>
      </c>
      <c r="P264" s="2">
        <f ca="1">ROUNDUP(MOD(360+Panchanga!$G264-Panchanga!$F264,360)/12,4)</f>
        <v>3.6140000000000003</v>
      </c>
      <c r="Q264" s="2">
        <f t="shared" ca="1" si="47"/>
        <v>25.17</v>
      </c>
      <c r="R264" s="2" t="str">
        <f ca="1">SIGN(S265-Panchanga!$S264)*INT(Panchanga!$S264/30+1)&amp;"Ma,"&amp;SIGN(T265-Panchanga!$T264)*INT(Panchanga!$T264/30+1)&amp;"Me,"&amp;SIGN(U265-Panchanga!$U264)*INT(Panchanga!$U264/30+1)&amp;"Ju,"&amp;SIGN(V265-Panchanga!$V264)*INT(Panchanga!$V264/30+1)&amp;"Ve,"&amp;SIGN(W265-Panchanga!$W264)*INT(Panchanga!$W264/30+1)&amp;"Sa,"&amp;INT(Panchanga!$X264/30+1)&amp;"Ra"</f>
        <v>10Ma,5Me,7Ju,7Ve,9Sa,4Ra</v>
      </c>
      <c r="S264" s="2">
        <f ca="1">Planet(Panchanga!$E264,4)</f>
        <v>276.28512297200973</v>
      </c>
      <c r="T264" s="2">
        <f ca="1">Planet(Panchanga!$E264,2)</f>
        <v>138.80429493348444</v>
      </c>
      <c r="U264" s="2">
        <f ca="1">Planet(Panchanga!$E264,5)</f>
        <v>204.83711373328495</v>
      </c>
      <c r="V264" s="2">
        <f ca="1">Planet(Panchanga!$E264,3)</f>
        <v>188.37038775870209</v>
      </c>
      <c r="W264" s="2">
        <f ca="1">Planet(Panchanga!$E264,6)</f>
        <v>248.46279982288243</v>
      </c>
      <c r="X264" s="2">
        <f ca="1">Planet(Panchanga!$E264,10)</f>
        <v>99.277391442324642</v>
      </c>
      <c r="Y264" s="2">
        <f ca="1">SIGN(S265-Panchanga!$S264)</f>
        <v>1</v>
      </c>
    </row>
    <row r="265" spans="1:25" x14ac:dyDescent="0.2">
      <c r="A265" s="3">
        <f t="shared" ca="1" si="40"/>
        <v>43357</v>
      </c>
      <c r="B265" s="3">
        <f t="shared" ca="1" si="41"/>
        <v>43357.229166666664</v>
      </c>
      <c r="C265" s="5">
        <f t="shared" ca="1" si="42"/>
        <v>43357.249640669826</v>
      </c>
      <c r="D265" s="5">
        <f t="shared" ca="1" si="43"/>
        <v>43356.758062183901</v>
      </c>
      <c r="E265" s="60">
        <f ca="1">Panchanga!$C265-TimeZone/24</f>
        <v>43357.020474003162</v>
      </c>
      <c r="F265" s="61">
        <f t="shared" ca="1" si="44"/>
        <v>147.04443240682886</v>
      </c>
      <c r="G265" s="61">
        <f t="shared" ca="1" si="45"/>
        <v>202.80899006190356</v>
      </c>
      <c r="H265" s="62">
        <f t="shared" ca="1" si="46"/>
        <v>43357.020474003162</v>
      </c>
      <c r="I265" s="2" t="str">
        <f ca="1">naks(Panchanga!$G265)</f>
        <v>Visakha</v>
      </c>
      <c r="J265" s="5">
        <f ca="1">(C266-Panchanga!$C265)/(G266-Panchanga!$G265)*(13.3333333333333-MOD(Panchanga!$G265,13.333333333333))+Panchanga!$C265</f>
        <v>43358.0628340435</v>
      </c>
      <c r="K265" s="2" t="str">
        <f ca="1">IF(Panchanga!$P265&gt;15,"K","S")&amp;ROUNDUP(MOD(Panchanga!$P265,15),0)&amp;" ("&amp;ROUND(Panchanga!$P265,2)&amp;")"</f>
        <v>S5 (4.65)</v>
      </c>
      <c r="L265" s="2">
        <f ca="1">IF(AND(Panchanga!$P265&lt;28.5,Panchanga!$P265&gt;0.49999),MOD((Panchanga!$P265-0.5)*2,7),MOD((Panchanga!$P265+30-28.5),30)*2+7)</f>
        <v>1.2942</v>
      </c>
      <c r="M265" s="2" t="str">
        <f ca="1">CHOOSE(ROUNDUP(Panchanga!$L265,0),"Bhava","Baalava","Kaulava","Taitula","Garija","Vanija","Vishti","Shakuni","Chatushapda","Naaga","Kimstugna")</f>
        <v>Baalava</v>
      </c>
      <c r="N265" s="25" t="str">
        <f ca="1">CHOOSE(ROUNDUP(Panchanga!$Q265,0),"Vishkambha-विष्कम्भ-Sa","Priti-प्रीति-Me","Ayushman-आयुष्मान-Ke","Saubhagya-सौभाग्य-Ve","Shobhana-शोभन-Su","Atiganda-अतिगण्ड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("&amp;Panchanga!$Q265&amp;")"</f>
        <v>Vaidhriti-वैधृति-Ke (26.24)</v>
      </c>
      <c r="O265" s="2">
        <f ca="1">IF(AND(Panchanga!$P265&lt;28.5,Panchanga!$P265&gt;0.49999),MOD((Panchanga!$P265-0.5)*2,7),MOD((Panchanga!$P265+30-28.5),30)*2+7)</f>
        <v>1.2942</v>
      </c>
      <c r="P265" s="2">
        <f ca="1">ROUNDUP(MOD(360+Panchanga!$G265-Panchanga!$F265,360)/12,4)</f>
        <v>4.6471</v>
      </c>
      <c r="Q265" s="2">
        <f t="shared" ca="1" si="47"/>
        <v>26.240000000000002</v>
      </c>
      <c r="R265" s="2" t="str">
        <f ca="1">SIGN(S266-Panchanga!$S265)*INT(Panchanga!$S265/30+1)&amp;"Ma,"&amp;SIGN(T266-Panchanga!$T265)*INT(Panchanga!$T265/30+1)&amp;"Me,"&amp;SIGN(U266-Panchanga!$U265)*INT(Panchanga!$U265/30+1)&amp;"Ju,"&amp;SIGN(V266-Panchanga!$V265)*INT(Panchanga!$V265/30+1)&amp;"Ve,"&amp;SIGN(W266-Panchanga!$W265)*INT(Panchanga!$W265/30+1)&amp;"Sa,"&amp;INT(Panchanga!$X265/30+1)&amp;"Ra"</f>
        <v>10Ma,5Me,7Ju,7Ve,9Sa,4Ra</v>
      </c>
      <c r="S265" s="2">
        <f ca="1">Planet(Panchanga!$E265,4)</f>
        <v>276.50456342243564</v>
      </c>
      <c r="T265" s="2">
        <f ca="1">Planet(Panchanga!$E265,2)</f>
        <v>140.70984922358807</v>
      </c>
      <c r="U265" s="2">
        <f ca="1">Planet(Panchanga!$E265,5)</f>
        <v>204.9975311675191</v>
      </c>
      <c r="V265" s="2">
        <f ca="1">Planet(Panchanga!$E265,3)</f>
        <v>189.01413203461905</v>
      </c>
      <c r="W265" s="2">
        <f ca="1">Planet(Panchanga!$E265,6)</f>
        <v>248.47432380020919</v>
      </c>
      <c r="X265" s="2">
        <f ca="1">Planet(Panchanga!$E265,10)</f>
        <v>99.22439883862549</v>
      </c>
      <c r="Y265" s="2">
        <f ca="1">SIGN(S266-Panchanga!$S265)</f>
        <v>1</v>
      </c>
    </row>
    <row r="266" spans="1:25" x14ac:dyDescent="0.2">
      <c r="A266" s="3">
        <f t="shared" ca="1" si="40"/>
        <v>43358</v>
      </c>
      <c r="B266" s="3">
        <f t="shared" ca="1" si="41"/>
        <v>43358.229166666664</v>
      </c>
      <c r="C266" s="5">
        <f t="shared" ca="1" si="42"/>
        <v>43358.249651637081</v>
      </c>
      <c r="D266" s="5">
        <f t="shared" ca="1" si="43"/>
        <v>43357.757558485071</v>
      </c>
      <c r="E266" s="60">
        <f ca="1">Panchanga!$C266-TimeZone/24</f>
        <v>43358.020484970417</v>
      </c>
      <c r="F266" s="61">
        <f t="shared" ca="1" si="44"/>
        <v>148.01857472793023</v>
      </c>
      <c r="G266" s="61">
        <f t="shared" ca="1" si="45"/>
        <v>215.75112539560899</v>
      </c>
      <c r="H266" s="62">
        <f t="shared" ca="1" si="46"/>
        <v>43358.020484970417</v>
      </c>
      <c r="I266" s="2" t="str">
        <f ca="1">naks(Panchanga!$G266)</f>
        <v>Anuradha</v>
      </c>
      <c r="J266" s="5">
        <f ca="1">(C267-Panchanga!$C266)/(G267-Panchanga!$G266)*(13.3333333333333-MOD(Panchanga!$G266,13.333333333333))+Panchanga!$C266</f>
        <v>43359.118954709884</v>
      </c>
      <c r="K266" s="2" t="str">
        <f ca="1">IF(Panchanga!$P266&gt;15,"K","S")&amp;ROUNDUP(MOD(Panchanga!$P266,15),0)&amp;" ("&amp;ROUND(Panchanga!$P266,2)&amp;")"</f>
        <v>S6 (5.64)</v>
      </c>
      <c r="L266" s="2">
        <f ca="1">IF(AND(Panchanga!$P266&lt;28.5,Panchanga!$P266&gt;0.49999),MOD((Panchanga!$P266-0.5)*2,7),MOD((Panchanga!$P266+30-28.5),30)*2+7)</f>
        <v>3.2888000000000002</v>
      </c>
      <c r="M266" s="2" t="str">
        <f ca="1">CHOOSE(ROUNDUP(Panchanga!$L266,0),"Bhava","Baalava","Kaulava","Taitula","Garija","Vanija","Vishti","Shakuni","Chatushapda","Naaga","Kimstugna")</f>
        <v>Taitula</v>
      </c>
      <c r="N266" s="25" t="str">
        <f ca="1">CHOOSE(ROUNDUP(Panchanga!$Q266,0),"Vishkambha-विष्कम्भ-Sa","Priti-प्रीति-Me","Ayushman-आयुष्मान-Ke","Saubhagya-सौभाग्य-Ve","Shobhana-शोभन-Su","Atiganda-अतिगण्ड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("&amp;Panchanga!$Q266&amp;")"</f>
        <v>Vishkambha-विष्कम्भ-Sa (0.29)</v>
      </c>
      <c r="O266" s="2">
        <f ca="1">IF(AND(Panchanga!$P266&lt;28.5,Panchanga!$P266&gt;0.49999),MOD((Panchanga!$P266-0.5)*2,7),MOD((Panchanga!$P266+30-28.5),30)*2+7)</f>
        <v>3.2888000000000002</v>
      </c>
      <c r="P266" s="2">
        <f ca="1">ROUNDUP(MOD(360+Panchanga!$G266-Panchanga!$F266,360)/12,4)</f>
        <v>5.6444000000000001</v>
      </c>
      <c r="Q266" s="2">
        <f t="shared" ca="1" si="47"/>
        <v>0.29000000000000004</v>
      </c>
      <c r="R266" s="2" t="str">
        <f ca="1">SIGN(S267-Panchanga!$S266)*INT(Panchanga!$S266/30+1)&amp;"Ma,"&amp;SIGN(T267-Panchanga!$T266)*INT(Panchanga!$T266/30+1)&amp;"Me,"&amp;SIGN(U267-Panchanga!$U266)*INT(Panchanga!$U266/30+1)&amp;"Ju,"&amp;SIGN(V267-Panchanga!$V266)*INT(Panchanga!$V266/30+1)&amp;"Ve,"&amp;SIGN(W267-Panchanga!$W266)*INT(Panchanga!$W266/30+1)&amp;"Sa,"&amp;INT(Panchanga!$X266/30+1)&amp;"Ra"</f>
        <v>10Ma,5Me,7Ju,7Ve,9Sa,4Ra</v>
      </c>
      <c r="S266" s="2">
        <f ca="1">Planet(Panchanga!$E266,4)</f>
        <v>276.73573387597531</v>
      </c>
      <c r="T266" s="2">
        <f ca="1">Planet(Panchanga!$E266,2)</f>
        <v>142.61189580667821</v>
      </c>
      <c r="U266" s="2">
        <f ca="1">Planet(Panchanga!$E266,5)</f>
        <v>205.15964864813913</v>
      </c>
      <c r="V266" s="2">
        <f ca="1">Planet(Panchanga!$E266,3)</f>
        <v>189.63868047618939</v>
      </c>
      <c r="W266" s="2">
        <f ca="1">Planet(Panchanga!$E266,6)</f>
        <v>248.48748439531821</v>
      </c>
      <c r="X266" s="2">
        <f ca="1">Planet(Panchanga!$E266,10)</f>
        <v>99.171406260229645</v>
      </c>
      <c r="Y266" s="2">
        <f ca="1">SIGN(S267-Panchanga!$S266)</f>
        <v>1</v>
      </c>
    </row>
    <row r="267" spans="1:25" x14ac:dyDescent="0.2">
      <c r="A267" s="3">
        <f t="shared" ref="A267:A330" ca="1" si="48">A266+1</f>
        <v>43359</v>
      </c>
      <c r="B267" s="3">
        <f t="shared" ca="1" si="41"/>
        <v>43359.229166666664</v>
      </c>
      <c r="C267" s="5">
        <f t="shared" ca="1" si="42"/>
        <v>43359.249662286755</v>
      </c>
      <c r="D267" s="5">
        <f t="shared" ca="1" si="43"/>
        <v>43358.757053673311</v>
      </c>
      <c r="E267" s="60">
        <f ca="1">Panchanga!$C267-TimeZone/24</f>
        <v>43359.020495620091</v>
      </c>
      <c r="F267" s="61">
        <f t="shared" ca="1" si="44"/>
        <v>148.99316325701676</v>
      </c>
      <c r="G267" s="61">
        <f t="shared" ca="1" si="45"/>
        <v>228.30791699056323</v>
      </c>
      <c r="H267" s="62">
        <f t="shared" ca="1" si="46"/>
        <v>43359.020495620091</v>
      </c>
      <c r="I267" s="2" t="str">
        <f ca="1">naks(Panchanga!$G267)</f>
        <v>Jyestha</v>
      </c>
      <c r="J267" s="5">
        <f ca="1">(C268-Panchanga!$C267)/(G268-Panchanga!$G267)*(13.3333333333333-MOD(Panchanga!$G267,13.333333333333))+Panchanga!$C267</f>
        <v>43360.204970215505</v>
      </c>
      <c r="K267" s="2" t="str">
        <f ca="1">IF(Panchanga!$P267&gt;15,"K","S")&amp;ROUNDUP(MOD(Panchanga!$P267,15),0)&amp;" ("&amp;ROUND(Panchanga!$P267,2)&amp;")"</f>
        <v>S7 (6.61)</v>
      </c>
      <c r="L267" s="2">
        <f ca="1">IF(AND(Panchanga!$P267&lt;28.5,Panchanga!$P267&gt;0.49999),MOD((Panchanga!$P267-0.5)*2,7),MOD((Panchanga!$P267+30-28.5),30)*2+7)</f>
        <v>5.219199999999999</v>
      </c>
      <c r="M267" s="2" t="str">
        <f ca="1">CHOOSE(ROUNDUP(Panchanga!$L267,0),"Bhava","Baalava","Kaulava","Taitula","Garija","Vanija","Vishti","Shakuni","Chatushapda","Naaga","Kimstugna")</f>
        <v>Vanija</v>
      </c>
      <c r="N267" s="25" t="str">
        <f ca="1">CHOOSE(ROUNDUP(Panchanga!$Q267,0),"Vishkambha-विष्कम्भ-Sa","Priti-प्रीति-Me","Ayushman-आयुष्मान-Ke","Saubhagya-सौभाग्य-Ve","Shobhana-शोभन-Su","Atiganda-अतिगण्ड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("&amp;Panchanga!$Q267&amp;")"</f>
        <v>Priti-प्रीति-Me (1.3)</v>
      </c>
      <c r="O267" s="2">
        <f ca="1">IF(AND(Panchanga!$P267&lt;28.5,Panchanga!$P267&gt;0.49999),MOD((Panchanga!$P267-0.5)*2,7),MOD((Panchanga!$P267+30-28.5),30)*2+7)</f>
        <v>5.219199999999999</v>
      </c>
      <c r="P267" s="2">
        <f ca="1">ROUNDUP(MOD(360+Panchanga!$G267-Panchanga!$F267,360)/12,4)</f>
        <v>6.6095999999999995</v>
      </c>
      <c r="Q267" s="2">
        <f t="shared" ca="1" si="47"/>
        <v>1.3</v>
      </c>
      <c r="R267" s="2" t="str">
        <f ca="1">SIGN(S268-Panchanga!$S267)*INT(Panchanga!$S267/30+1)&amp;"Ma,"&amp;SIGN(T268-Panchanga!$T267)*INT(Panchanga!$T267/30+1)&amp;"Me,"&amp;SIGN(U268-Panchanga!$U267)*INT(Panchanga!$U267/30+1)&amp;"Ju,"&amp;SIGN(V268-Panchanga!$V267)*INT(Panchanga!$V267/30+1)&amp;"Ve,"&amp;SIGN(W268-Panchanga!$W267)*INT(Panchanga!$W267/30+1)&amp;"Sa,"&amp;INT(Panchanga!$X267/30+1)&amp;"Ra"</f>
        <v>10Ma,5Me,7Ju,7Ve,9Sa,4Ra</v>
      </c>
      <c r="S267" s="2">
        <f ca="1">Planet(Panchanga!$E267,4)</f>
        <v>276.97840828584361</v>
      </c>
      <c r="T267" s="2">
        <f ca="1">Planet(Panchanga!$E267,2)</f>
        <v>144.50762705319366</v>
      </c>
      <c r="U267" s="2">
        <f ca="1">Planet(Panchanga!$E267,5)</f>
        <v>205.32343794853458</v>
      </c>
      <c r="V267" s="2">
        <f ca="1">Planet(Panchanga!$E267,3)</f>
        <v>190.2432274930766</v>
      </c>
      <c r="W267" s="2">
        <f ca="1">Planet(Panchanga!$E267,6)</f>
        <v>248.50227786549166</v>
      </c>
      <c r="X267" s="2">
        <f ca="1">Planet(Panchanga!$E267,10)</f>
        <v>99.11841369865364</v>
      </c>
      <c r="Y267" s="2">
        <f ca="1">SIGN(S268-Panchanga!$S267)</f>
        <v>1</v>
      </c>
    </row>
    <row r="268" spans="1:25" x14ac:dyDescent="0.2">
      <c r="A268" s="3">
        <f t="shared" ca="1" si="48"/>
        <v>43360</v>
      </c>
      <c r="B268" s="3">
        <f t="shared" ca="1" si="41"/>
        <v>43360.229166666664</v>
      </c>
      <c r="C268" s="5">
        <f t="shared" ca="1" si="42"/>
        <v>43360.249672777172</v>
      </c>
      <c r="D268" s="5">
        <f t="shared" ca="1" si="43"/>
        <v>43359.756547908342</v>
      </c>
      <c r="E268" s="60">
        <f ca="1">Panchanga!$C268-TimeZone/24</f>
        <v>43360.020506110508</v>
      </c>
      <c r="F268" s="61">
        <f t="shared" ca="1" si="44"/>
        <v>149.96819930671407</v>
      </c>
      <c r="G268" s="61">
        <f t="shared" ca="1" si="45"/>
        <v>240.54711789365371</v>
      </c>
      <c r="H268" s="62">
        <f t="shared" ca="1" si="46"/>
        <v>43360.020506110508</v>
      </c>
      <c r="I268" s="2" t="str">
        <f ca="1">naks(Panchanga!$G268)</f>
        <v>Moola</v>
      </c>
      <c r="J268" s="5">
        <f ca="1">(C269-Panchanga!$C268)/(G269-Panchanga!$G268)*(13.3333333333333-MOD(Panchanga!$G268,13.333333333333))+Panchanga!$C268</f>
        <v>43361.314898279881</v>
      </c>
      <c r="K268" s="2" t="str">
        <f ca="1">IF(Panchanga!$P268&gt;15,"K","S")&amp;ROUNDUP(MOD(Panchanga!$P268,15),0)&amp;" ("&amp;ROUND(Panchanga!$P268,2)&amp;")"</f>
        <v>S8 (7.55)</v>
      </c>
      <c r="L268" s="2">
        <f ca="1">IF(AND(Panchanga!$P268&lt;28.5,Panchanga!$P268&gt;0.49999),MOD((Panchanga!$P268-0.5)*2,7),MOD((Panchanga!$P268+30-28.5),30)*2+7)</f>
        <v>9.6599999999998687E-2</v>
      </c>
      <c r="M268" s="2" t="str">
        <f ca="1">CHOOSE(ROUNDUP(Panchanga!$L268,0),"Bhava","Baalava","Kaulava","Taitula","Garija","Vanija","Vishti","Shakuni","Chatushapda","Naaga","Kimstugna")</f>
        <v>Bhava</v>
      </c>
      <c r="N268" s="25" t="str">
        <f ca="1">CHOOSE(ROUNDUP(Panchanga!$Q268,0),"Vishkambha-विष्कम्भ-Sa","Priti-प्रीति-Me","Ayushman-आयुष्मान-Ke","Saubhagya-सौभाग्य-Ve","Shobhana-शोभन-Su","Atiganda-अतिगण्ड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("&amp;Panchanga!$Q268&amp;")"</f>
        <v>Ayushman-आयुष्मान-Ke (2.29)</v>
      </c>
      <c r="O268" s="2">
        <f ca="1">IF(AND(Panchanga!$P268&lt;28.5,Panchanga!$P268&gt;0.49999),MOD((Panchanga!$P268-0.5)*2,7),MOD((Panchanga!$P268+30-28.5),30)*2+7)</f>
        <v>9.6599999999998687E-2</v>
      </c>
      <c r="P268" s="2">
        <f ca="1">ROUNDUP(MOD(360+Panchanga!$G268-Panchanga!$F268,360)/12,4)</f>
        <v>7.5482999999999993</v>
      </c>
      <c r="Q268" s="2">
        <f t="shared" ca="1" si="47"/>
        <v>2.2899999999999996</v>
      </c>
      <c r="R268" s="2" t="str">
        <f ca="1">SIGN(S269-Panchanga!$S268)*INT(Panchanga!$S268/30+1)&amp;"Ma,"&amp;SIGN(T269-Panchanga!$T268)*INT(Panchanga!$T268/30+1)&amp;"Me,"&amp;SIGN(U269-Panchanga!$U268)*INT(Panchanga!$U268/30+1)&amp;"Ju,"&amp;SIGN(V269-Panchanga!$V268)*INT(Panchanga!$V268/30+1)&amp;"Ve,"&amp;SIGN(W269-Panchanga!$W268)*INT(Panchanga!$W268/30+1)&amp;"Sa,"&amp;INT(Panchanga!$X268/30+1)&amp;"Ra"</f>
        <v>10Ma,5Me,7Ju,7Ve,9Sa,4Ra</v>
      </c>
      <c r="S268" s="2">
        <f ca="1">Planet(Panchanga!$E268,4)</f>
        <v>277.23235396621487</v>
      </c>
      <c r="T268" s="2">
        <f ca="1">Planet(Panchanga!$E268,2)</f>
        <v>146.39472142352565</v>
      </c>
      <c r="U268" s="2">
        <f ca="1">Planet(Panchanga!$E268,5)</f>
        <v>205.48887134633699</v>
      </c>
      <c r="V268" s="2">
        <f ca="1">Planet(Panchanga!$E268,3)</f>
        <v>190.82694225371549</v>
      </c>
      <c r="W268" s="2">
        <f ca="1">Planet(Panchanga!$E268,6)</f>
        <v>248.51869991398499</v>
      </c>
      <c r="X268" s="2">
        <f ca="1">Planet(Panchanga!$E268,10)</f>
        <v>99.065421145513938</v>
      </c>
      <c r="Y268" s="2">
        <f ca="1">SIGN(S269-Panchanga!$S268)</f>
        <v>1</v>
      </c>
    </row>
    <row r="269" spans="1:25" x14ac:dyDescent="0.2">
      <c r="A269" s="3">
        <f t="shared" ca="1" si="48"/>
        <v>43361</v>
      </c>
      <c r="B269" s="3">
        <f t="shared" ca="1" si="41"/>
        <v>43361.229166666664</v>
      </c>
      <c r="C269" s="5">
        <f t="shared" ca="1" si="42"/>
        <v>43361.249683108334</v>
      </c>
      <c r="D269" s="5">
        <f t="shared" ca="1" si="43"/>
        <v>43360.756041666071</v>
      </c>
      <c r="E269" s="60">
        <f ca="1">Panchanga!$C269-TimeZone/24</f>
        <v>43361.020516441669</v>
      </c>
      <c r="F269" s="61">
        <f t="shared" ca="1" si="44"/>
        <v>150.94368676520264</v>
      </c>
      <c r="G269" s="61">
        <f t="shared" ca="1" si="45"/>
        <v>252.55053642200912</v>
      </c>
      <c r="H269" s="62">
        <f t="shared" ca="1" si="46"/>
        <v>43361.020516441669</v>
      </c>
      <c r="I269" s="2" t="str">
        <f ca="1">naks(Panchanga!$G269)</f>
        <v>Moola</v>
      </c>
      <c r="J269" s="5">
        <f ca="1">(C270-Panchanga!$C269)/(G270-Panchanga!$G269)*(13.3333333333333-MOD(Panchanga!$G269,13.333333333333))+Panchanga!$C269</f>
        <v>43361.315714512544</v>
      </c>
      <c r="K269" s="2" t="str">
        <f ca="1">IF(Panchanga!$P269&gt;15,"K","S")&amp;ROUNDUP(MOD(Panchanga!$P269,15),0)&amp;" ("&amp;ROUND(Panchanga!$P269,2)&amp;")"</f>
        <v>S9 (8.47)</v>
      </c>
      <c r="L269" s="2">
        <f ca="1">IF(AND(Panchanga!$P269&lt;28.5,Panchanga!$P269&gt;0.49999),MOD((Panchanga!$P269-0.5)*2,7),MOD((Panchanga!$P269+30-28.5),30)*2+7)</f>
        <v>1.9345999999999997</v>
      </c>
      <c r="M269" s="2" t="str">
        <f ca="1">CHOOSE(ROUNDUP(Panchanga!$L269,0),"Bhava","Baalava","Kaulava","Taitula","Garija","Vanija","Vishti","Shakuni","Chatushapda","Naaga","Kimstugna")</f>
        <v>Baalava</v>
      </c>
      <c r="N269" s="25" t="str">
        <f ca="1">CHOOSE(ROUNDUP(Panchanga!$Q269,0),"Vishkambha-विष्कम्भ-Sa","Priti-प्रीति-Me","Ayushman-आयुष्मान-Ke","Saubhagya-सौभाग्य-Ve","Shobhana-शोभन-Su","Atiganda-अतिगण्ड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("&amp;Panchanga!$Q269&amp;")"</f>
        <v>Saubhagya-सौभाग्य-Ve (3.27)</v>
      </c>
      <c r="O269" s="2">
        <f ca="1">IF(AND(Panchanga!$P269&lt;28.5,Panchanga!$P269&gt;0.49999),MOD((Panchanga!$P269-0.5)*2,7),MOD((Panchanga!$P269+30-28.5),30)*2+7)</f>
        <v>1.9345999999999997</v>
      </c>
      <c r="P269" s="2">
        <f ca="1">ROUNDUP(MOD(360+Panchanga!$G269-Panchanga!$F269,360)/12,4)</f>
        <v>8.4672999999999998</v>
      </c>
      <c r="Q269" s="2">
        <f t="shared" ca="1" si="47"/>
        <v>3.2699999999999996</v>
      </c>
      <c r="R269" s="2" t="str">
        <f ca="1">SIGN(S270-Panchanga!$S269)*INT(Panchanga!$S269/30+1)&amp;"Ma,"&amp;SIGN(T270-Panchanga!$T269)*INT(Panchanga!$T269/30+1)&amp;"Me,"&amp;SIGN(U270-Panchanga!$U269)*INT(Panchanga!$U269/30+1)&amp;"Ju,"&amp;SIGN(V270-Panchanga!$V269)*INT(Panchanga!$V269/30+1)&amp;"Ve,"&amp;SIGN(W270-Panchanga!$W269)*INT(Panchanga!$W269/30+1)&amp;"Sa,"&amp;INT(Panchanga!$X269/30+1)&amp;"Ra"</f>
        <v>10Ma,5Me,7Ju,7Ve,9Sa,4Ra</v>
      </c>
      <c r="S269" s="2">
        <f ca="1">Planet(Panchanga!$E269,4)</f>
        <v>277.49733415530011</v>
      </c>
      <c r="T269" s="2">
        <f ca="1">Planet(Panchanga!$E269,2)</f>
        <v>148.27128881977023</v>
      </c>
      <c r="U269" s="2">
        <f ca="1">Planet(Panchanga!$E269,5)</f>
        <v>205.65592165497799</v>
      </c>
      <c r="V269" s="2">
        <f ca="1">Planet(Panchanga!$E269,3)</f>
        <v>191.38896913674003</v>
      </c>
      <c r="W269" s="2">
        <f ca="1">Planet(Panchanga!$E269,6)</f>
        <v>248.53674578713355</v>
      </c>
      <c r="X269" s="2">
        <f ca="1">Planet(Panchanga!$E269,10)</f>
        <v>99.01242860082688</v>
      </c>
      <c r="Y269" s="2">
        <f ca="1">SIGN(S270-Panchanga!$S269)</f>
        <v>1</v>
      </c>
    </row>
    <row r="270" spans="1:25" x14ac:dyDescent="0.2">
      <c r="A270" s="3">
        <f t="shared" ca="1" si="48"/>
        <v>43362</v>
      </c>
      <c r="B270" s="3">
        <f t="shared" ca="1" si="41"/>
        <v>43362.229166666664</v>
      </c>
      <c r="C270" s="5">
        <f t="shared" ca="1" si="42"/>
        <v>43362.249693758007</v>
      </c>
      <c r="D270" s="5">
        <f t="shared" ca="1" si="43"/>
        <v>43361.755534946962</v>
      </c>
      <c r="E270" s="60">
        <f ca="1">Panchanga!$C270-TimeZone/24</f>
        <v>43362.020527091343</v>
      </c>
      <c r="F270" s="61">
        <f t="shared" ca="1" si="44"/>
        <v>151.91963227669262</v>
      </c>
      <c r="G270" s="61">
        <f t="shared" ca="1" si="45"/>
        <v>264.40558111205382</v>
      </c>
      <c r="H270" s="62">
        <f t="shared" ca="1" si="46"/>
        <v>43362.020527091343</v>
      </c>
      <c r="I270" s="2" t="str">
        <f ca="1">naks(Panchanga!$G270)</f>
        <v>Purva Asadha</v>
      </c>
      <c r="J270" s="5">
        <f ca="1">(C271-Panchanga!$C270)/(G271-Panchanga!$G270)*(13.3333333333333-MOD(Panchanga!$G270,13.333333333333))+Panchanga!$C270</f>
        <v>43362.441427545062</v>
      </c>
      <c r="K270" s="2" t="str">
        <f ca="1">IF(Panchanga!$P270&gt;15,"K","S")&amp;ROUNDUP(MOD(Panchanga!$P270,15),0)&amp;" ("&amp;ROUND(Panchanga!$P270,2)&amp;")"</f>
        <v>S10 (9.37)</v>
      </c>
      <c r="L270" s="2">
        <f ca="1">IF(AND(Panchanga!$P270&lt;28.5,Panchanga!$P270&gt;0.49999),MOD((Panchanga!$P270-0.5)*2,7),MOD((Panchanga!$P270+30-28.5),30)*2+7)</f>
        <v>3.747799999999998</v>
      </c>
      <c r="M270" s="2" t="str">
        <f ca="1">CHOOSE(ROUNDUP(Panchanga!$L270,0),"Bhava","Baalava","Kaulava","Taitula","Garija","Vanija","Vishti","Shakuni","Chatushapda","Naaga","Kimstugna")</f>
        <v>Taitula</v>
      </c>
      <c r="N270" s="25" t="str">
        <f ca="1">CHOOSE(ROUNDUP(Panchanga!$Q270,0),"Vishkambha-विष्कम्भ-Sa","Priti-प्रीति-Me","Ayushman-आयुष्मान-Ke","Saubhagya-सौभाग्य-Ve","Shobhana-शोभन-Su","Atiganda-अतिगण्ड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("&amp;Panchanga!$Q270&amp;")"</f>
        <v>Shobhana-शोभन-Su (4.23)</v>
      </c>
      <c r="O270" s="2">
        <f ca="1">IF(AND(Panchanga!$P270&lt;28.5,Panchanga!$P270&gt;0.49999),MOD((Panchanga!$P270-0.5)*2,7),MOD((Panchanga!$P270+30-28.5),30)*2+7)</f>
        <v>3.747799999999998</v>
      </c>
      <c r="P270" s="2">
        <f ca="1">ROUNDUP(MOD(360+Panchanga!$G270-Panchanga!$F270,360)/12,4)</f>
        <v>9.373899999999999</v>
      </c>
      <c r="Q270" s="2">
        <f t="shared" ca="1" si="47"/>
        <v>4.2299999999999995</v>
      </c>
      <c r="R270" s="2" t="str">
        <f ca="1">SIGN(S271-Panchanga!$S270)*INT(Panchanga!$S270/30+1)&amp;"Ma,"&amp;SIGN(T271-Panchanga!$T270)*INT(Panchanga!$T270/30+1)&amp;"Me,"&amp;SIGN(U271-Panchanga!$U270)*INT(Panchanga!$U270/30+1)&amp;"Ju,"&amp;SIGN(V271-Panchanga!$V270)*INT(Panchanga!$V270/30+1)&amp;"Ve,"&amp;SIGN(W271-Panchanga!$W270)*INT(Panchanga!$W270/30+1)&amp;"Sa,"&amp;INT(Panchanga!$X270/30+1)&amp;"Ra"</f>
        <v>10Ma,6Me,7Ju,7Ve,9Sa,4Ra</v>
      </c>
      <c r="S270" s="2">
        <f ca="1">Planet(Panchanga!$E270,4)</f>
        <v>277.77311018392783</v>
      </c>
      <c r="T270" s="2">
        <f ca="1">Planet(Panchanga!$E270,2)</f>
        <v>150.13581871140727</v>
      </c>
      <c r="U270" s="2">
        <f ca="1">Planet(Panchanga!$E270,5)</f>
        <v>205.82456234601815</v>
      </c>
      <c r="V270" s="2">
        <f ca="1">Planet(Panchanga!$E270,3)</f>
        <v>191.9284285532004</v>
      </c>
      <c r="W270" s="2">
        <f ca="1">Planet(Panchanga!$E270,6)</f>
        <v>248.55641035727382</v>
      </c>
      <c r="X270" s="2">
        <f ca="1">Planet(Panchanga!$E270,10)</f>
        <v>98.959436039242291</v>
      </c>
      <c r="Y270" s="2">
        <f ca="1">SIGN(S271-Panchanga!$S270)</f>
        <v>1</v>
      </c>
    </row>
    <row r="271" spans="1:25" x14ac:dyDescent="0.2">
      <c r="A271" s="3">
        <f t="shared" ca="1" si="48"/>
        <v>43363</v>
      </c>
      <c r="B271" s="3">
        <f t="shared" ca="1" si="41"/>
        <v>43363.229166666664</v>
      </c>
      <c r="C271" s="5">
        <f t="shared" ca="1" si="42"/>
        <v>43363.249704884052</v>
      </c>
      <c r="D271" s="5">
        <f t="shared" ca="1" si="43"/>
        <v>43362.755028228319</v>
      </c>
      <c r="E271" s="60">
        <f ca="1">Panchanga!$C271-TimeZone/24</f>
        <v>43363.020538217388</v>
      </c>
      <c r="F271" s="61">
        <f t="shared" ca="1" si="44"/>
        <v>152.8960441006391</v>
      </c>
      <c r="G271" s="61">
        <f t="shared" ca="1" si="45"/>
        <v>276.19855065757827</v>
      </c>
      <c r="H271" s="62">
        <f t="shared" ca="1" si="46"/>
        <v>43363.020538217388</v>
      </c>
      <c r="I271" s="2" t="str">
        <f ca="1">naks(Panchanga!$G271)</f>
        <v>Uttara Asadha</v>
      </c>
      <c r="J271" s="5">
        <f ca="1">(C272-Panchanga!$C271)/(G272-Panchanga!$G271)*(13.3333333333333-MOD(Panchanga!$G271,13.333333333333))+Panchanga!$C271</f>
        <v>43363.571562748548</v>
      </c>
      <c r="K271" s="2" t="str">
        <f ca="1">IF(Panchanga!$P271&gt;15,"K","S")&amp;ROUNDUP(MOD(Panchanga!$P271,15),0)&amp;" ("&amp;ROUND(Panchanga!$P271,2)&amp;")"</f>
        <v>S11 (10.28)</v>
      </c>
      <c r="L271" s="2">
        <f ca="1">IF(AND(Panchanga!$P271&lt;28.5,Panchanga!$P271&gt;0.49999),MOD((Panchanga!$P271-0.5)*2,7),MOD((Panchanga!$P271+30-28.5),30)*2+7)</f>
        <v>5.5505999999999993</v>
      </c>
      <c r="M271" s="2" t="str">
        <f ca="1">CHOOSE(ROUNDUP(Panchanga!$L271,0),"Bhava","Baalava","Kaulava","Taitula","Garija","Vanija","Vishti","Shakuni","Chatushapda","Naaga","Kimstugna")</f>
        <v>Vanija</v>
      </c>
      <c r="N271" s="25" t="str">
        <f ca="1">CHOOSE(ROUNDUP(Panchanga!$Q271,0),"Vishkambha-विष्कम्भ-Sa","Priti-प्रीति-Me","Ayushman-आयुष्मान-Ke","Saubhagya-सौभाग्य-Ve","Shobhana-शोभन-Su","Atiganda-अतिगण्ड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("&amp;Panchanga!$Q271&amp;")"</f>
        <v>Atiganda-अतिगण्ड -Mo (5.19)</v>
      </c>
      <c r="O271" s="2">
        <f ca="1">IF(AND(Panchanga!$P271&lt;28.5,Panchanga!$P271&gt;0.49999),MOD((Panchanga!$P271-0.5)*2,7),MOD((Panchanga!$P271+30-28.5),30)*2+7)</f>
        <v>5.5505999999999993</v>
      </c>
      <c r="P271" s="2">
        <f ca="1">ROUNDUP(MOD(360+Panchanga!$G271-Panchanga!$F271,360)/12,4)</f>
        <v>10.2753</v>
      </c>
      <c r="Q271" s="2">
        <f t="shared" ca="1" si="47"/>
        <v>5.1899999999999995</v>
      </c>
      <c r="R271" s="2" t="str">
        <f ca="1">SIGN(S272-Panchanga!$S271)*INT(Panchanga!$S271/30+1)&amp;"Ma,"&amp;SIGN(T272-Panchanga!$T271)*INT(Panchanga!$T271/30+1)&amp;"Me,"&amp;SIGN(U272-Panchanga!$U271)*INT(Panchanga!$U271/30+1)&amp;"Ju,"&amp;SIGN(V272-Panchanga!$V271)*INT(Panchanga!$V271/30+1)&amp;"Ve,"&amp;SIGN(W272-Panchanga!$W271)*INT(Panchanga!$W271/30+1)&amp;"Sa,"&amp;INT(Panchanga!$X271/30+1)&amp;"Ra"</f>
        <v>10Ma,6Me,7Ju,7Ve,9Sa,4Ra</v>
      </c>
      <c r="S271" s="2">
        <f ca="1">Planet(Panchanga!$E271,4)</f>
        <v>278.05944271310887</v>
      </c>
      <c r="T271" s="2">
        <f ca="1">Planet(Panchanga!$E271,2)</f>
        <v>151.98712943777639</v>
      </c>
      <c r="U271" s="2">
        <f ca="1">Planet(Panchanga!$E271,5)</f>
        <v>205.9947674018384</v>
      </c>
      <c r="V271" s="2">
        <f ca="1">Planet(Panchanga!$E271,3)</f>
        <v>192.44441710089845</v>
      </c>
      <c r="W271" s="2">
        <f ca="1">Planet(Panchanga!$E271,6)</f>
        <v>248.57768815495621</v>
      </c>
      <c r="X271" s="2">
        <f ca="1">Planet(Panchanga!$E271,10)</f>
        <v>98.906443452426117</v>
      </c>
      <c r="Y271" s="2">
        <f ca="1">SIGN(S272-Panchanga!$S271)</f>
        <v>1</v>
      </c>
    </row>
    <row r="272" spans="1:25" x14ac:dyDescent="0.2">
      <c r="A272" s="3">
        <f t="shared" ca="1" si="48"/>
        <v>43364</v>
      </c>
      <c r="B272" s="3">
        <f t="shared" ca="1" si="41"/>
        <v>43364.229166666664</v>
      </c>
      <c r="C272" s="5">
        <f t="shared" ca="1" si="42"/>
        <v>43364.249716646191</v>
      </c>
      <c r="D272" s="5">
        <f t="shared" ca="1" si="43"/>
        <v>43363.754521827257</v>
      </c>
      <c r="E272" s="60">
        <f ca="1">Panchanga!$C272-TimeZone/24</f>
        <v>43364.020549979527</v>
      </c>
      <c r="F272" s="61">
        <f t="shared" ca="1" si="44"/>
        <v>153.87293219155742</v>
      </c>
      <c r="G272" s="61">
        <f t="shared" ca="1" si="45"/>
        <v>288.00964640808729</v>
      </c>
      <c r="H272" s="62">
        <f t="shared" ca="1" si="46"/>
        <v>43364.020549979527</v>
      </c>
      <c r="I272" s="2" t="str">
        <f ca="1">naks(Panchanga!$G272)</f>
        <v>Sravana</v>
      </c>
      <c r="J272" s="5">
        <f ca="1">(C273-Panchanga!$C272)/(G273-Panchanga!$G272)*(13.3333333333333-MOD(Panchanga!$G272,13.333333333333))+Panchanga!$C272</f>
        <v>43364.697106060557</v>
      </c>
      <c r="K272" s="2" t="str">
        <f ca="1">IF(Panchanga!$P272&gt;15,"K","S")&amp;ROUNDUP(MOD(Panchanga!$P272,15),0)&amp;" ("&amp;ROUND(Panchanga!$P272,2)&amp;")"</f>
        <v>S12 (11.18)</v>
      </c>
      <c r="L272" s="2">
        <f ca="1">IF(AND(Panchanga!$P272&lt;28.5,Panchanga!$P272&gt;0.49999),MOD((Panchanga!$P272-0.5)*2,7),MOD((Panchanga!$P272+30-28.5),30)*2+7)</f>
        <v>0.35620000000000118</v>
      </c>
      <c r="M272" s="2" t="str">
        <f ca="1">CHOOSE(ROUNDUP(Panchanga!$L272,0),"Bhava","Baalava","Kaulava","Taitula","Garija","Vanija","Vishti","Shakuni","Chatushapda","Naaga","Kimstugna")</f>
        <v>Bhava</v>
      </c>
      <c r="N272" s="25" t="str">
        <f ca="1">CHOOSE(ROUNDUP(Panchanga!$Q272,0),"Vishkambha-विष्कम्भ-Sa","Priti-प्रीति-Me","Ayushman-आयुष्मान-Ke","Saubhagya-सौभाग्य-Ve","Shobhana-शोभन-Su","Atiganda-अतिगण्ड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("&amp;Panchanga!$Q272&amp;")"</f>
        <v>Sukarman-सुकर्मा -Ma (6.15)</v>
      </c>
      <c r="O272" s="2">
        <f ca="1">IF(AND(Panchanga!$P272&lt;28.5,Panchanga!$P272&gt;0.49999),MOD((Panchanga!$P272-0.5)*2,7),MOD((Panchanga!$P272+30-28.5),30)*2+7)</f>
        <v>0.35620000000000118</v>
      </c>
      <c r="P272" s="2">
        <f ca="1">ROUNDUP(MOD(360+Panchanga!$G272-Panchanga!$F272,360)/12,4)</f>
        <v>11.178100000000001</v>
      </c>
      <c r="Q272" s="2">
        <f t="shared" ca="1" si="47"/>
        <v>6.1499999999999995</v>
      </c>
      <c r="R272" s="2" t="str">
        <f ca="1">SIGN(S273-Panchanga!$S272)*INT(Panchanga!$S272/30+1)&amp;"Ma,"&amp;SIGN(T273-Panchanga!$T272)*INT(Panchanga!$T272/30+1)&amp;"Me,"&amp;SIGN(U273-Panchanga!$U272)*INT(Panchanga!$U272/30+1)&amp;"Ju,"&amp;SIGN(V273-Panchanga!$V272)*INT(Panchanga!$V272/30+1)&amp;"Ve,"&amp;SIGN(W273-Panchanga!$W272)*INT(Panchanga!$W272/30+1)&amp;"Sa,"&amp;INT(Panchanga!$X272/30+1)&amp;"Ra"</f>
        <v>10Ma,6Me,7Ju,7Ve,9Sa,4Ra</v>
      </c>
      <c r="S272" s="2">
        <f ca="1">Planet(Panchanga!$E272,4)</f>
        <v>278.35609281850026</v>
      </c>
      <c r="T272" s="2">
        <f ca="1">Planet(Panchanga!$E272,2)</f>
        <v>153.82432363748384</v>
      </c>
      <c r="U272" s="2">
        <f ca="1">Planet(Panchanga!$E272,5)</f>
        <v>206.16651134996556</v>
      </c>
      <c r="V272" s="2">
        <f ca="1">Planet(Panchanga!$E272,3)</f>
        <v>192.93600877853677</v>
      </c>
      <c r="W272" s="2">
        <f ca="1">Planet(Panchanga!$E272,6)</f>
        <v>248.60057340069571</v>
      </c>
      <c r="X272" s="2">
        <f ca="1">Planet(Panchanga!$E272,10)</f>
        <v>98.853450831911601</v>
      </c>
      <c r="Y272" s="2">
        <f ca="1">SIGN(S273-Panchanga!$S272)</f>
        <v>1</v>
      </c>
    </row>
    <row r="273" spans="1:25" x14ac:dyDescent="0.2">
      <c r="A273" s="3">
        <f t="shared" ca="1" si="48"/>
        <v>43365</v>
      </c>
      <c r="B273" s="3">
        <f t="shared" ca="1" si="41"/>
        <v>43365.229166666664</v>
      </c>
      <c r="C273" s="5">
        <f t="shared" ca="1" si="42"/>
        <v>43365.249729202747</v>
      </c>
      <c r="D273" s="5">
        <f t="shared" ca="1" si="43"/>
        <v>43364.754015903032</v>
      </c>
      <c r="E273" s="60">
        <f ca="1">Panchanga!$C273-TimeZone/24</f>
        <v>43365.020562536083</v>
      </c>
      <c r="F273" s="61">
        <f t="shared" ca="1" si="44"/>
        <v>154.85030810167223</v>
      </c>
      <c r="G273" s="61">
        <f t="shared" ca="1" si="45"/>
        <v>299.90924349609054</v>
      </c>
      <c r="H273" s="62">
        <f t="shared" ca="1" si="46"/>
        <v>43365.020562536083</v>
      </c>
      <c r="I273" s="2" t="str">
        <f ca="1">naks(Panchanga!$G273)</f>
        <v>Dhanistha</v>
      </c>
      <c r="J273" s="5">
        <f ca="1">(C274-Panchanga!$C273)/(G274-Panchanga!$G273)*(13.3333333333333-MOD(Panchanga!$G273,13.333333333333))+Panchanga!$C273</f>
        <v>43365.810719647074</v>
      </c>
      <c r="K273" s="2" t="str">
        <f ca="1">IF(Panchanga!$P273&gt;15,"K","S")&amp;ROUNDUP(MOD(Panchanga!$P273,15),0)&amp;" ("&amp;ROUND(Panchanga!$P273,2)&amp;")"</f>
        <v>S13 (12.09)</v>
      </c>
      <c r="L273" s="2">
        <f ca="1">IF(AND(Panchanga!$P273&lt;28.5,Panchanga!$P273&gt;0.49999),MOD((Panchanga!$P273-0.5)*2,7),MOD((Panchanga!$P273+30-28.5),30)*2+7)</f>
        <v>2.1766000000000005</v>
      </c>
      <c r="M273" s="2" t="str">
        <f ca="1">CHOOSE(ROUNDUP(Panchanga!$L273,0),"Bhava","Baalava","Kaulava","Taitula","Garija","Vanija","Vishti","Shakuni","Chatushapda","Naaga","Kimstugna")</f>
        <v>Kaulava</v>
      </c>
      <c r="N273" s="25" t="str">
        <f ca="1">CHOOSE(ROUNDUP(Panchanga!$Q273,0),"Vishkambha-विष्कम्भ-Sa","Priti-प्रीति-Me","Ayushman-आयुष्मान-Ke","Saubhagya-सौभाग्य-Ve","Shobhana-शोभन-Su","Atiganda-अतिगण्ड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("&amp;Panchanga!$Q273&amp;")"</f>
        <v>Dhriti-धृति -Ra (7.11)</v>
      </c>
      <c r="O273" s="2">
        <f ca="1">IF(AND(Panchanga!$P273&lt;28.5,Panchanga!$P273&gt;0.49999),MOD((Panchanga!$P273-0.5)*2,7),MOD((Panchanga!$P273+30-28.5),30)*2+7)</f>
        <v>2.1766000000000005</v>
      </c>
      <c r="P273" s="2">
        <f ca="1">ROUNDUP(MOD(360+Panchanga!$G273-Panchanga!$F273,360)/12,4)</f>
        <v>12.0883</v>
      </c>
      <c r="Q273" s="2">
        <f t="shared" ca="1" si="47"/>
        <v>7.1099999999999994</v>
      </c>
      <c r="R273" s="2" t="str">
        <f ca="1">SIGN(S274-Panchanga!$S273)*INT(Panchanga!$S273/30+1)&amp;"Ma,"&amp;SIGN(T274-Panchanga!$T273)*INT(Panchanga!$T273/30+1)&amp;"Me,"&amp;SIGN(U274-Panchanga!$U273)*INT(Panchanga!$U273/30+1)&amp;"Ju,"&amp;SIGN(V274-Panchanga!$V273)*INT(Panchanga!$V273/30+1)&amp;"Ve,"&amp;SIGN(W274-Panchanga!$W273)*INT(Panchanga!$W273/30+1)&amp;"Sa,"&amp;INT(Panchanga!$X273/30+1)&amp;"Ra"</f>
        <v>10Ma,6Me,7Ju,7Ve,9Sa,4Ra</v>
      </c>
      <c r="S273" s="2">
        <f ca="1">Planet(Panchanga!$E273,4)</f>
        <v>278.66282274252865</v>
      </c>
      <c r="T273" s="2">
        <f ca="1">Planet(Panchanga!$E273,2)</f>
        <v>155.64673109371947</v>
      </c>
      <c r="U273" s="2">
        <f ca="1">Planet(Panchanga!$E273,5)</f>
        <v>206.339769253273</v>
      </c>
      <c r="V273" s="2">
        <f ca="1">Planet(Panchanga!$E273,3)</f>
        <v>193.40225671046639</v>
      </c>
      <c r="W273" s="2">
        <f ca="1">Planet(Panchanga!$E273,6)</f>
        <v>248.62506003016466</v>
      </c>
      <c r="X273" s="2">
        <f ca="1">Planet(Panchanga!$E273,10)</f>
        <v>98.800458169314979</v>
      </c>
      <c r="Y273" s="2">
        <f ca="1">SIGN(S274-Panchanga!$S273)</f>
        <v>1</v>
      </c>
    </row>
    <row r="274" spans="1:25" x14ac:dyDescent="0.2">
      <c r="A274" s="3">
        <f t="shared" ca="1" si="48"/>
        <v>43366</v>
      </c>
      <c r="B274" s="3">
        <f t="shared" ca="1" si="41"/>
        <v>43366.229166666664</v>
      </c>
      <c r="C274" s="5">
        <f t="shared" ca="1" si="42"/>
        <v>43366.249742872234</v>
      </c>
      <c r="D274" s="5">
        <f t="shared" ca="1" si="43"/>
        <v>43365.753510773226</v>
      </c>
      <c r="E274" s="60">
        <f ca="1">Panchanga!$C274-TimeZone/24</f>
        <v>43366.02057620557</v>
      </c>
      <c r="F274" s="61">
        <f t="shared" ca="1" si="44"/>
        <v>155.82818515887348</v>
      </c>
      <c r="G274" s="61">
        <f t="shared" ca="1" si="45"/>
        <v>311.95493092170159</v>
      </c>
      <c r="H274" s="62">
        <f t="shared" ca="1" si="46"/>
        <v>43366.02057620557</v>
      </c>
      <c r="I274" s="2" t="str">
        <f ca="1">naks(Panchanga!$G274)</f>
        <v>Satabhisaj</v>
      </c>
      <c r="J274" s="5">
        <f ca="1">(C275-Panchanga!$C274)/(G275-Panchanga!$G274)*(13.3333333333333-MOD(Panchanga!$G274,13.333333333333))+Panchanga!$C274</f>
        <v>43366.907334377713</v>
      </c>
      <c r="K274" s="2" t="str">
        <f ca="1">IF(Panchanga!$P274&gt;15,"K","S")&amp;ROUNDUP(MOD(Panchanga!$P274,15),0)&amp;" ("&amp;ROUND(Panchanga!$P274,2)&amp;")"</f>
        <v>S14 (13.01)</v>
      </c>
      <c r="L274" s="2">
        <f ca="1">IF(AND(Panchanga!$P274&lt;28.5,Panchanga!$P274&gt;0.49999),MOD((Panchanga!$P274-0.5)*2,7),MOD((Panchanga!$P274+30-28.5),30)*2+7)</f>
        <v>4.0212000000000003</v>
      </c>
      <c r="M274" s="2" t="str">
        <f ca="1">CHOOSE(ROUNDUP(Panchanga!$L274,0),"Bhava","Baalava","Kaulava","Taitula","Garija","Vanija","Vishti","Shakuni","Chatushapda","Naaga","Kimstugna")</f>
        <v>Garija</v>
      </c>
      <c r="N274" s="25" t="str">
        <f ca="1">CHOOSE(ROUNDUP(Panchanga!$Q274,0),"Vishkambha-विष्कम्भ-Sa","Priti-प्रीति-Me","Ayushman-आयुष्मान-Ke","Saubhagya-सौभाग्य-Ve","Shobhana-शोभन-Su","Atiganda-अतिगण्ड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("&amp;Panchanga!$Q274&amp;")"</f>
        <v>Shula-शूल -Ju (8.09)</v>
      </c>
      <c r="O274" s="2">
        <f ca="1">IF(AND(Panchanga!$P274&lt;28.5,Panchanga!$P274&gt;0.49999),MOD((Panchanga!$P274-0.5)*2,7),MOD((Panchanga!$P274+30-28.5),30)*2+7)</f>
        <v>4.0212000000000003</v>
      </c>
      <c r="P274" s="2">
        <f ca="1">ROUNDUP(MOD(360+Panchanga!$G274-Panchanga!$F274,360)/12,4)</f>
        <v>13.0106</v>
      </c>
      <c r="Q274" s="2">
        <f t="shared" ca="1" si="47"/>
        <v>8.09</v>
      </c>
      <c r="R274" s="2" t="str">
        <f ca="1">SIGN(S275-Panchanga!$S274)*INT(Panchanga!$S274/30+1)&amp;"Ma,"&amp;SIGN(T275-Panchanga!$T274)*INT(Panchanga!$T274/30+1)&amp;"Me,"&amp;SIGN(U275-Panchanga!$U274)*INT(Panchanga!$U274/30+1)&amp;"Ju,"&amp;SIGN(V275-Panchanga!$V274)*INT(Panchanga!$V274/30+1)&amp;"Ve,"&amp;SIGN(W275-Panchanga!$W274)*INT(Panchanga!$W274/30+1)&amp;"Sa,"&amp;INT(Panchanga!$X274/30+1)&amp;"Ra"</f>
        <v>10Ma,6Me,7Ju,7Ve,9Sa,4Ra</v>
      </c>
      <c r="S274" s="2">
        <f ca="1">Planet(Panchanga!$E274,4)</f>
        <v>278.9793967012717</v>
      </c>
      <c r="T274" s="2">
        <f ca="1">Planet(Panchanga!$E274,2)</f>
        <v>157.45387674656772</v>
      </c>
      <c r="U274" s="2">
        <f ca="1">Planet(Panchanga!$E274,5)</f>
        <v>206.51451675813541</v>
      </c>
      <c r="V274" s="2">
        <f ca="1">Planet(Panchanga!$E274,3)</f>
        <v>193.84219587761629</v>
      </c>
      <c r="W274" s="2">
        <f ca="1">Planet(Panchanga!$E274,6)</f>
        <v>248.65114173403046</v>
      </c>
      <c r="X274" s="2">
        <f ca="1">Planet(Panchanga!$E274,10)</f>
        <v>98.74746544773609</v>
      </c>
      <c r="Y274" s="2">
        <f ca="1">SIGN(S275-Panchanga!$S274)</f>
        <v>1</v>
      </c>
    </row>
    <row r="275" spans="1:25" x14ac:dyDescent="0.2">
      <c r="A275" s="3">
        <f t="shared" ca="1" si="48"/>
        <v>43367</v>
      </c>
      <c r="B275" s="3">
        <f t="shared" ca="1" si="41"/>
        <v>43367.229166666664</v>
      </c>
      <c r="C275" s="5">
        <f t="shared" ca="1" si="42"/>
        <v>43367.249757812977</v>
      </c>
      <c r="D275" s="5">
        <f t="shared" ca="1" si="43"/>
        <v>43366.753006756349</v>
      </c>
      <c r="E275" s="60">
        <f ca="1">Panchanga!$C275-TimeZone/24</f>
        <v>43367.020591146313</v>
      </c>
      <c r="F275" s="61">
        <f t="shared" ca="1" si="44"/>
        <v>156.80657818585613</v>
      </c>
      <c r="G275" s="61">
        <f t="shared" ca="1" si="45"/>
        <v>324.18925756762616</v>
      </c>
      <c r="H275" s="62">
        <f t="shared" ca="1" si="46"/>
        <v>43367.020591146313</v>
      </c>
      <c r="I275" s="2" t="str">
        <f ca="1">naks(Panchanga!$G275)</f>
        <v>Purva Bhadrapada</v>
      </c>
      <c r="J275" s="5">
        <f ca="1">(C276-Panchanga!$C275)/(G276-Panchanga!$G275)*(13.3333333333333-MOD(Panchanga!$G275,13.333333333333))+Panchanga!$C275</f>
        <v>43367.984269256718</v>
      </c>
      <c r="K275" s="2" t="str">
        <f ca="1">IF(Panchanga!$P275&gt;15,"K","S")&amp;ROUNDUP(MOD(Panchanga!$P275,15),0)&amp;" ("&amp;ROUND(Panchanga!$P275,2)&amp;")"</f>
        <v>S14 (13.95)</v>
      </c>
      <c r="L275" s="2">
        <f ca="1">IF(AND(Panchanga!$P275&lt;28.5,Panchanga!$P275&gt;0.49999),MOD((Panchanga!$P275-0.5)*2,7),MOD((Panchanga!$P275+30-28.5),30)*2+7)</f>
        <v>5.897199999999998</v>
      </c>
      <c r="M275" s="2" t="str">
        <f ca="1">CHOOSE(ROUNDUP(Panchanga!$L275,0),"Bhava","Baalava","Kaulava","Taitula","Garija","Vanija","Vishti","Shakuni","Chatushapda","Naaga","Kimstugna")</f>
        <v>Vanija</v>
      </c>
      <c r="N275" s="25" t="str">
        <f ca="1">CHOOSE(ROUNDUP(Panchanga!$Q275,0),"Vishkambha-विष्कम्भ-Sa","Priti-प्रीति-Me","Ayushman-आयुष्मान-Ke","Saubhagya-सौभाग्य-Ve","Shobhana-शोभन-Su","Atiganda-अतिगण्ड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("&amp;Panchanga!$Q275&amp;")"</f>
        <v>Ganda-गण्ड -Sa (9.08)</v>
      </c>
      <c r="O275" s="2">
        <f ca="1">IF(AND(Panchanga!$P275&lt;28.5,Panchanga!$P275&gt;0.49999),MOD((Panchanga!$P275-0.5)*2,7),MOD((Panchanga!$P275+30-28.5),30)*2+7)</f>
        <v>5.897199999999998</v>
      </c>
      <c r="P275" s="2">
        <f ca="1">ROUNDUP(MOD(360+Panchanga!$G275-Panchanga!$F275,360)/12,4)</f>
        <v>13.948599999999999</v>
      </c>
      <c r="Q275" s="2">
        <f t="shared" ca="1" si="47"/>
        <v>9.08</v>
      </c>
      <c r="R275" s="2" t="str">
        <f ca="1">SIGN(S276-Panchanga!$S275)*INT(Panchanga!$S275/30+1)&amp;"Ma,"&amp;SIGN(T276-Panchanga!$T275)*INT(Panchanga!$T275/30+1)&amp;"Me,"&amp;SIGN(U276-Panchanga!$U275)*INT(Panchanga!$U275/30+1)&amp;"Ju,"&amp;SIGN(V276-Panchanga!$V275)*INT(Panchanga!$V275/30+1)&amp;"Ve,"&amp;SIGN(W276-Panchanga!$W275)*INT(Panchanga!$W275/30+1)&amp;"Sa,"&amp;INT(Panchanga!$X275/30+1)&amp;"Ra"</f>
        <v>10Ma,6Me,7Ju,7Ve,9Sa,4Ra</v>
      </c>
      <c r="S275" s="2">
        <f ca="1">Planet(Panchanga!$E275,4)</f>
        <v>279.30558177407613</v>
      </c>
      <c r="T275" s="2">
        <f ca="1">Planet(Panchanga!$E275,2)</f>
        <v>159.24546947782505</v>
      </c>
      <c r="U275" s="2">
        <f ca="1">Planet(Panchanga!$E275,5)</f>
        <v>206.69073008287657</v>
      </c>
      <c r="V275" s="2">
        <f ca="1">Planet(Panchanga!$E275,3)</f>
        <v>194.25484659804349</v>
      </c>
      <c r="W275" s="2">
        <f ca="1">Planet(Panchanga!$E275,6)</f>
        <v>248.67881200264432</v>
      </c>
      <c r="X275" s="2">
        <f ca="1">Planet(Panchanga!$E275,10)</f>
        <v>98.694472658774615</v>
      </c>
      <c r="Y275" s="2">
        <f ca="1">SIGN(S276-Panchanga!$S275)</f>
        <v>1</v>
      </c>
    </row>
    <row r="276" spans="1:25" x14ac:dyDescent="0.2">
      <c r="A276" s="3">
        <f t="shared" ca="1" si="48"/>
        <v>43368</v>
      </c>
      <c r="B276" s="3">
        <f t="shared" ca="1" si="41"/>
        <v>43368.229166666664</v>
      </c>
      <c r="C276" s="5">
        <f t="shared" ca="1" si="42"/>
        <v>43368.249774502277</v>
      </c>
      <c r="D276" s="5">
        <f t="shared" ca="1" si="43"/>
        <v>43367.752504169985</v>
      </c>
      <c r="E276" s="60">
        <f ca="1">Panchanga!$C276-TimeZone/24</f>
        <v>43368.020607835613</v>
      </c>
      <c r="F276" s="61">
        <f t="shared" ca="1" si="44"/>
        <v>157.78550388251023</v>
      </c>
      <c r="G276" s="61">
        <f t="shared" ca="1" si="45"/>
        <v>336.63865975444907</v>
      </c>
      <c r="H276" s="62">
        <f t="shared" ca="1" si="46"/>
        <v>43368.020607835613</v>
      </c>
      <c r="I276" s="2" t="str">
        <f ca="1">naks(Panchanga!$G276)</f>
        <v>Uttara Bhadrapada</v>
      </c>
      <c r="J276" s="5">
        <f ca="1">(C277-Panchanga!$C276)/(G277-Panchanga!$G276)*(13.3333333333333-MOD(Panchanga!$G276,13.333333333333))+Panchanga!$C276</f>
        <v>43369.040927097456</v>
      </c>
      <c r="K276" s="2" t="str">
        <f ca="1">IF(Panchanga!$P276&gt;15,"K","S")&amp;ROUNDUP(MOD(Panchanga!$P276,15),0)&amp;" ("&amp;ROUND(Panchanga!$P276,2)&amp;")"</f>
        <v>S15 (14.9)</v>
      </c>
      <c r="L276" s="2">
        <f ca="1">IF(AND(Panchanga!$P276&lt;28.5,Panchanga!$P276&gt;0.49999),MOD((Panchanga!$P276-0.5)*2,7),MOD((Panchanga!$P276+30-28.5),30)*2+7)</f>
        <v>0.80900000000000105</v>
      </c>
      <c r="M276" s="2" t="str">
        <f ca="1">CHOOSE(ROUNDUP(Panchanga!$L276,0),"Bhava","Baalava","Kaulava","Taitula","Garija","Vanija","Vishti","Shakuni","Chatushapda","Naaga","Kimstugna")</f>
        <v>Bhava</v>
      </c>
      <c r="N276" s="25" t="str">
        <f ca="1">CHOOSE(ROUNDUP(Panchanga!$Q276,0),"Vishkambha-विष्कम्भ-Sa","Priti-प्रीति-Me","Ayushman-आयुष्मान-Ke","Saubhagya-सौभाग्य-Ve","Shobhana-शोभन-Su","Atiganda-अतिगण्ड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("&amp;Panchanga!$Q276&amp;")"</f>
        <v>Vriddhi-वृद्धि -Me (10.09)</v>
      </c>
      <c r="O276" s="2">
        <f ca="1">IF(AND(Panchanga!$P276&lt;28.5,Panchanga!$P276&gt;0.49999),MOD((Panchanga!$P276-0.5)*2,7),MOD((Panchanga!$P276+30-28.5),30)*2+7)</f>
        <v>0.80900000000000105</v>
      </c>
      <c r="P276" s="2">
        <f ca="1">ROUNDUP(MOD(360+Panchanga!$G276-Panchanga!$F276,360)/12,4)</f>
        <v>14.904500000000001</v>
      </c>
      <c r="Q276" s="2">
        <f t="shared" ca="1" si="47"/>
        <v>10.09</v>
      </c>
      <c r="R276" s="2" t="str">
        <f ca="1">SIGN(S277-Panchanga!$S276)*INT(Panchanga!$S276/30+1)&amp;"Ma,"&amp;SIGN(T277-Panchanga!$T276)*INT(Panchanga!$T276/30+1)&amp;"Me,"&amp;SIGN(U277-Panchanga!$U276)*INT(Panchanga!$U276/30+1)&amp;"Ju,"&amp;SIGN(V277-Panchanga!$V276)*INT(Panchanga!$V276/30+1)&amp;"Ve,"&amp;SIGN(W277-Panchanga!$W276)*INT(Panchanga!$W276/30+1)&amp;"Sa,"&amp;INT(Panchanga!$X276/30+1)&amp;"Ra"</f>
        <v>10Ma,6Me,7Ju,7Ve,9Sa,4Ra</v>
      </c>
      <c r="S276" s="2">
        <f ca="1">Planet(Panchanga!$E276,4)</f>
        <v>279.64114938172162</v>
      </c>
      <c r="T276" s="2">
        <f ca="1">Planet(Panchanga!$E276,2)</f>
        <v>161.0213560948377</v>
      </c>
      <c r="U276" s="2">
        <f ca="1">Planet(Panchanga!$E276,5)</f>
        <v>206.86838615438586</v>
      </c>
      <c r="V276" s="2">
        <f ca="1">Planet(Panchanga!$E276,3)</f>
        <v>194.63921913165538</v>
      </c>
      <c r="W276" s="2">
        <f ca="1">Planet(Panchanga!$E276,6)</f>
        <v>248.70806421198228</v>
      </c>
      <c r="X276" s="2">
        <f ca="1">Planet(Panchanga!$E276,10)</f>
        <v>98.641479777162957</v>
      </c>
      <c r="Y276" s="2">
        <f ca="1">SIGN(S277-Panchanga!$S276)</f>
        <v>1</v>
      </c>
    </row>
    <row r="277" spans="1:25" x14ac:dyDescent="0.2">
      <c r="A277" s="3">
        <f t="shared" ca="1" si="48"/>
        <v>43369</v>
      </c>
      <c r="B277" s="3">
        <f t="shared" ca="1" si="41"/>
        <v>43369.229166666664</v>
      </c>
      <c r="C277" s="5">
        <f t="shared" ca="1" si="42"/>
        <v>43369.24979278088</v>
      </c>
      <c r="D277" s="5">
        <f t="shared" ca="1" si="43"/>
        <v>43368.752003332178</v>
      </c>
      <c r="E277" s="60">
        <f ca="1">Panchanga!$C277-TimeZone/24</f>
        <v>43369.020626114216</v>
      </c>
      <c r="F277" s="61">
        <f t="shared" ca="1" si="44"/>
        <v>158.76497958989714</v>
      </c>
      <c r="G277" s="61">
        <f t="shared" ca="1" si="45"/>
        <v>349.31407821516473</v>
      </c>
      <c r="H277" s="62">
        <f t="shared" ca="1" si="46"/>
        <v>43369.020626114216</v>
      </c>
      <c r="I277" s="2" t="str">
        <f ca="1">naks(Panchanga!$G277)</f>
        <v>Revati</v>
      </c>
      <c r="J277" s="5">
        <f ca="1">(C278-Panchanga!$C277)/(G278-Panchanga!$G277)*(13.3333333333333-MOD(Panchanga!$G277,13.333333333333))+Panchanga!$C277</f>
        <v>43369.219005915882</v>
      </c>
      <c r="K277" s="2" t="str">
        <f ca="1">IF(Panchanga!$P277&gt;15,"K","S")&amp;ROUNDUP(MOD(Panchanga!$P277,15),0)&amp;" ("&amp;ROUND(Panchanga!$P277,2)&amp;")"</f>
        <v>K1 (15.88)</v>
      </c>
      <c r="L277" s="2">
        <f ca="1">IF(AND(Panchanga!$P277&lt;28.5,Panchanga!$P277&gt;0.49999),MOD((Panchanga!$P277-0.5)*2,7),MOD((Panchanga!$P277+30-28.5),30)*2+7)</f>
        <v>2.7581999999999987</v>
      </c>
      <c r="M277" s="2" t="str">
        <f ca="1">CHOOSE(ROUNDUP(Panchanga!$L277,0),"Bhava","Baalava","Kaulava","Taitula","Garija","Vanija","Vishti","Shakuni","Chatushapda","Naaga","Kimstugna")</f>
        <v>Kaulava</v>
      </c>
      <c r="N277" s="25" t="str">
        <f ca="1">CHOOSE(ROUNDUP(Panchanga!$Q277,0),"Vishkambha-विष्कम्भ-Sa","Priti-प्रीति-Me","Ayushman-आयुष्मान-Ke","Saubhagya-सौभाग्य-Ve","Shobhana-शोभन-Su","Atiganda-अतिगण्ड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("&amp;Panchanga!$Q277&amp;")"</f>
        <v>Dhruva-ध्रुव -Ke (11.11)</v>
      </c>
      <c r="O277" s="2">
        <f ca="1">IF(AND(Panchanga!$P277&lt;28.5,Panchanga!$P277&gt;0.49999),MOD((Panchanga!$P277-0.5)*2,7),MOD((Panchanga!$P277+30-28.5),30)*2+7)</f>
        <v>2.7581999999999987</v>
      </c>
      <c r="P277" s="2">
        <f ca="1">ROUNDUP(MOD(360+Panchanga!$G277-Panchanga!$F277,360)/12,4)</f>
        <v>15.879099999999999</v>
      </c>
      <c r="Q277" s="2">
        <f t="shared" ca="1" si="47"/>
        <v>11.11</v>
      </c>
      <c r="R277" s="2" t="str">
        <f ca="1">SIGN(S278-Panchanga!$S277)*INT(Panchanga!$S277/30+1)&amp;"Ma,"&amp;SIGN(T278-Panchanga!$T277)*INT(Panchanga!$T277/30+1)&amp;"Me,"&amp;SIGN(U278-Panchanga!$U277)*INT(Panchanga!$U277/30+1)&amp;"Ju,"&amp;SIGN(V278-Panchanga!$V277)*INT(Panchanga!$V277/30+1)&amp;"Ve,"&amp;SIGN(W278-Panchanga!$W277)*INT(Panchanga!$W277/30+1)&amp;"Sa,"&amp;INT(Panchanga!$X277/30+1)&amp;"Ra"</f>
        <v>10Ma,6Me,7Ju,7Ve,9Sa,4Ra</v>
      </c>
      <c r="S277" s="2">
        <f ca="1">Planet(Panchanga!$E277,4)</f>
        <v>279.98587653139174</v>
      </c>
      <c r="T277" s="2">
        <f ca="1">Planet(Panchanga!$E277,2)</f>
        <v>162.78149317052163</v>
      </c>
      <c r="U277" s="2">
        <f ca="1">Planet(Panchanga!$E277,5)</f>
        <v>207.04746247050366</v>
      </c>
      <c r="V277" s="2">
        <f ca="1">Planet(Panchanga!$E277,3)</f>
        <v>194.99431816702327</v>
      </c>
      <c r="W277" s="2">
        <f ca="1">Planet(Panchanga!$E277,6)</f>
        <v>248.73889167703962</v>
      </c>
      <c r="X277" s="2">
        <f ca="1">Planet(Panchanga!$E277,10)</f>
        <v>98.588486811334803</v>
      </c>
      <c r="Y277" s="2">
        <f ca="1">SIGN(S278-Panchanga!$S277)</f>
        <v>1</v>
      </c>
    </row>
    <row r="278" spans="1:25" x14ac:dyDescent="0.2">
      <c r="A278" s="3">
        <f t="shared" ca="1" si="48"/>
        <v>43370</v>
      </c>
      <c r="B278" s="3">
        <f t="shared" ca="1" si="41"/>
        <v>43370.229166666664</v>
      </c>
      <c r="C278" s="5">
        <f t="shared" ca="1" si="42"/>
        <v>43370.249813126087</v>
      </c>
      <c r="D278" s="5">
        <f t="shared" ca="1" si="43"/>
        <v>43369.751504719301</v>
      </c>
      <c r="E278" s="60">
        <f ca="1">Panchanga!$C278-TimeZone/24</f>
        <v>43370.020646459423</v>
      </c>
      <c r="F278" s="61">
        <f t="shared" ca="1" si="44"/>
        <v>159.74502399545804</v>
      </c>
      <c r="G278" s="61">
        <f t="shared" ca="1" si="45"/>
        <v>2.2134821409526064</v>
      </c>
      <c r="H278" s="62">
        <f t="shared" ca="1" si="46"/>
        <v>43370.020646459423</v>
      </c>
      <c r="I278" s="2" t="str">
        <f ca="1">naks(Panchanga!$G278)</f>
        <v>Aswini</v>
      </c>
      <c r="J278" s="5">
        <f ca="1">(C279-Panchanga!$C278)/(G279-Panchanga!$G278)*(13.3333333333333-MOD(Panchanga!$G278,13.333333333333))+Panchanga!$C278</f>
        <v>43371.09786682095</v>
      </c>
      <c r="K278" s="2" t="str">
        <f ca="1">IF(Panchanga!$P278&gt;15,"K","S")&amp;ROUNDUP(MOD(Panchanga!$P278,15),0)&amp;" ("&amp;ROUND(Panchanga!$P278,2)&amp;")"</f>
        <v>K2 (16.87)</v>
      </c>
      <c r="L278" s="2">
        <f ca="1">IF(AND(Panchanga!$P278&lt;28.5,Panchanga!$P278&gt;0.49999),MOD((Panchanga!$P278-0.5)*2,7),MOD((Panchanga!$P278+30-28.5),30)*2+7)</f>
        <v>4.7447999999999979</v>
      </c>
      <c r="M278" s="2" t="str">
        <f ca="1">CHOOSE(ROUNDUP(Panchanga!$L278,0),"Bhava","Baalava","Kaulava","Taitula","Garija","Vanija","Vishti","Shakuni","Chatushapda","Naaga","Kimstugna")</f>
        <v>Garija</v>
      </c>
      <c r="N278" s="25" t="str">
        <f ca="1">CHOOSE(ROUNDUP(Panchanga!$Q278,0),"Vishkambha-विष्कम्भ-Sa","Priti-प्रीति-Me","Ayushman-आयुष्मान-Ke","Saubhagya-सौभाग्य-Ve","Shobhana-शोभन-Su","Atiganda-अतिगण्ड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("&amp;Panchanga!$Q278&amp;")"</f>
        <v>Vyaghata-व्याघात-ve (12.15)</v>
      </c>
      <c r="O278" s="2">
        <f ca="1">IF(AND(Panchanga!$P278&lt;28.5,Panchanga!$P278&gt;0.49999),MOD((Panchanga!$P278-0.5)*2,7),MOD((Panchanga!$P278+30-28.5),30)*2+7)</f>
        <v>4.7447999999999979</v>
      </c>
      <c r="P278" s="2">
        <f ca="1">ROUNDUP(MOD(360+Panchanga!$G278-Panchanga!$F278,360)/12,4)</f>
        <v>16.872399999999999</v>
      </c>
      <c r="Q278" s="2">
        <f t="shared" ca="1" si="47"/>
        <v>12.15</v>
      </c>
      <c r="R278" s="2" t="str">
        <f ca="1">SIGN(S279-Panchanga!$S278)*INT(Panchanga!$S278/30+1)&amp;"Ma,"&amp;SIGN(T279-Panchanga!$T278)*INT(Panchanga!$T278/30+1)&amp;"Me,"&amp;SIGN(U279-Panchanga!$U278)*INT(Panchanga!$U278/30+1)&amp;"Ju,"&amp;SIGN(V279-Panchanga!$V278)*INT(Panchanga!$V278/30+1)&amp;"Ve,"&amp;SIGN(W279-Panchanga!$W278)*INT(Panchanga!$W278/30+1)&amp;"Sa,"&amp;INT(Panchanga!$X278/30+1)&amp;"Ra"</f>
        <v>10Ma,6Me,7Ju,7Ve,9Sa,4Ra</v>
      </c>
      <c r="S278" s="2">
        <f ca="1">Planet(Panchanga!$E278,4)</f>
        <v>280.33954779920822</v>
      </c>
      <c r="T278" s="2">
        <f ca="1">Planet(Panchanga!$E278,2)</f>
        <v>164.52592976241476</v>
      </c>
      <c r="U278" s="2">
        <f ca="1">Planet(Panchanga!$E278,5)</f>
        <v>207.22793731365147</v>
      </c>
      <c r="V278" s="2">
        <f ca="1">Planet(Panchanga!$E278,3)</f>
        <v>195.3191483524904</v>
      </c>
      <c r="W278" s="2">
        <f ca="1">Planet(Panchanga!$E278,6)</f>
        <v>248.77128775588145</v>
      </c>
      <c r="X278" s="2">
        <f ca="1">Planet(Panchanga!$E278,10)</f>
        <v>98.535493736006103</v>
      </c>
      <c r="Y278" s="2">
        <f ca="1">SIGN(S279-Panchanga!$S278)</f>
        <v>1</v>
      </c>
    </row>
    <row r="279" spans="1:25" x14ac:dyDescent="0.2">
      <c r="A279" s="3">
        <f t="shared" ca="1" si="48"/>
        <v>43371</v>
      </c>
      <c r="B279" s="3">
        <f t="shared" ca="1" si="41"/>
        <v>43371.229166666664</v>
      </c>
      <c r="C279" s="5">
        <f t="shared" ca="1" si="42"/>
        <v>43371.24983585548</v>
      </c>
      <c r="D279" s="5">
        <f t="shared" ca="1" si="43"/>
        <v>43370.751008331819</v>
      </c>
      <c r="E279" s="60">
        <f ca="1">Panchanga!$C279-TimeZone/24</f>
        <v>43371.020669188816</v>
      </c>
      <c r="F279" s="61">
        <f t="shared" ca="1" si="44"/>
        <v>160.72565564666738</v>
      </c>
      <c r="G279" s="61">
        <f t="shared" ca="1" si="45"/>
        <v>15.325981982869507</v>
      </c>
      <c r="H279" s="62">
        <f t="shared" ca="1" si="46"/>
        <v>43371.020669188816</v>
      </c>
      <c r="I279" s="2" t="str">
        <f ca="1">naks(Panchanga!$G279)</f>
        <v>Bharani</v>
      </c>
      <c r="J279" s="5">
        <f ca="1">(C280-Panchanga!$C279)/(G280-Panchanga!$G279)*(13.3333333333333-MOD(Panchanga!$G279,13.333333333333))+Panchanga!$C279</f>
        <v>43372.101839219315</v>
      </c>
      <c r="K279" s="2" t="str">
        <f ca="1">IF(Panchanga!$P279&gt;15,"K","S")&amp;ROUNDUP(MOD(Panchanga!$P279,15),0)&amp;" ("&amp;ROUND(Panchanga!$P279,2)&amp;")"</f>
        <v>K3 (17.88)</v>
      </c>
      <c r="L279" s="2">
        <f ca="1">IF(AND(Panchanga!$P279&lt;28.5,Panchanga!$P279&gt;0.49999),MOD((Panchanga!$P279-0.5)*2,7),MOD((Panchanga!$P279+30-28.5),30)*2+7)</f>
        <v>6.7667999999999964</v>
      </c>
      <c r="M279" s="2" t="str">
        <f ca="1">CHOOSE(ROUNDUP(Panchanga!$L279,0),"Bhava","Baalava","Kaulava","Taitula","Garija","Vanija","Vishti","Shakuni","Chatushapda","Naaga","Kimstugna")</f>
        <v>Vishti</v>
      </c>
      <c r="N279" s="25" t="str">
        <f ca="1">CHOOSE(ROUNDUP(Panchanga!$Q279,0),"Vishkambha-विष्कम्भ-Sa","Priti-प्रीति-Me","Ayushman-आयुष्मान-Ke","Saubhagya-सौभाग्य-Ve","Shobhana-शोभन-Su","Atiganda-अतिगण्ड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("&amp;Panchanga!$Q279&amp;")"</f>
        <v>Harshana-हर्षण-su (13.21)</v>
      </c>
      <c r="O279" s="2">
        <f ca="1">IF(AND(Panchanga!$P279&lt;28.5,Panchanga!$P279&gt;0.49999),MOD((Panchanga!$P279-0.5)*2,7),MOD((Panchanga!$P279+30-28.5),30)*2+7)</f>
        <v>6.7667999999999964</v>
      </c>
      <c r="P279" s="2">
        <f ca="1">ROUNDUP(MOD(360+Panchanga!$G279-Panchanga!$F279,360)/12,4)</f>
        <v>17.883399999999998</v>
      </c>
      <c r="Q279" s="2">
        <f t="shared" ca="1" si="47"/>
        <v>13.209999999999999</v>
      </c>
      <c r="R279" s="2" t="str">
        <f ca="1">SIGN(S280-Panchanga!$S279)*INT(Panchanga!$S279/30+1)&amp;"Ma,"&amp;SIGN(T280-Panchanga!$T279)*INT(Panchanga!$T279/30+1)&amp;"Me,"&amp;SIGN(U280-Panchanga!$U279)*INT(Panchanga!$U279/30+1)&amp;"Ju,"&amp;SIGN(V280-Panchanga!$V279)*INT(Panchanga!$V279/30+1)&amp;"Ve,"&amp;SIGN(W280-Panchanga!$W279)*INT(Panchanga!$W279/30+1)&amp;"Sa,"&amp;INT(Panchanga!$X279/30+1)&amp;"Ra"</f>
        <v>10Ma,6Me,7Ju,7Ve,9Sa,4Ra</v>
      </c>
      <c r="S279" s="2">
        <f ca="1">Planet(Panchanga!$E279,4)</f>
        <v>280.70195634587225</v>
      </c>
      <c r="T279" s="2">
        <f ca="1">Planet(Panchanga!$E279,2)</f>
        <v>166.25478778336233</v>
      </c>
      <c r="U279" s="2">
        <f ca="1">Planet(Panchanga!$E279,5)</f>
        <v>207.40978954453496</v>
      </c>
      <c r="V279" s="2">
        <f ca="1">Planet(Panchanga!$E279,3)</f>
        <v>195.6127191523332</v>
      </c>
      <c r="W279" s="2">
        <f ca="1">Planet(Panchanga!$E279,6)</f>
        <v>248.80524587065415</v>
      </c>
      <c r="X279" s="2">
        <f ca="1">Planet(Panchanga!$E279,10)</f>
        <v>98.482500534309764</v>
      </c>
      <c r="Y279" s="2">
        <f ca="1">SIGN(S280-Panchanga!$S279)</f>
        <v>1</v>
      </c>
    </row>
    <row r="280" spans="1:25" x14ac:dyDescent="0.2">
      <c r="A280" s="3">
        <f t="shared" ca="1" si="48"/>
        <v>43372</v>
      </c>
      <c r="B280" s="3">
        <f t="shared" ca="1" si="41"/>
        <v>43372.229166666664</v>
      </c>
      <c r="C280" s="5">
        <f t="shared" ca="1" si="42"/>
        <v>43372.24986112785</v>
      </c>
      <c r="D280" s="5">
        <f t="shared" ca="1" si="43"/>
        <v>43371.75051464657</v>
      </c>
      <c r="E280" s="60">
        <f ca="1">Panchanga!$C280-TimeZone/24</f>
        <v>43372.020694461185</v>
      </c>
      <c r="F280" s="61">
        <f t="shared" ca="1" si="44"/>
        <v>161.70689217884365</v>
      </c>
      <c r="G280" s="61">
        <f t="shared" ca="1" si="45"/>
        <v>28.636928595540983</v>
      </c>
      <c r="H280" s="62">
        <f t="shared" ca="1" si="46"/>
        <v>43372.020694461185</v>
      </c>
      <c r="I280" s="2" t="str">
        <f ca="1">naks(Panchanga!$G280)</f>
        <v>Krittika</v>
      </c>
      <c r="J280" s="5">
        <f ca="1">(C281-Panchanga!$C280)/(G281-Panchanga!$G280)*(13.3333333333333-MOD(Panchanga!$G280,13.333333333333))+Panchanga!$C280</f>
        <v>43373.091843876624</v>
      </c>
      <c r="K280" s="2" t="str">
        <f ca="1">IF(Panchanga!$P280&gt;15,"K","S")&amp;ROUNDUP(MOD(Panchanga!$P280,15),0)&amp;" ("&amp;ROUND(Panchanga!$P280,2)&amp;")"</f>
        <v>K4 (18.91)</v>
      </c>
      <c r="L280" s="2">
        <f ca="1">IF(AND(Panchanga!$P280&lt;28.5,Panchanga!$P280&gt;0.49999),MOD((Panchanga!$P280-0.5)*2,7),MOD((Panchanga!$P280+30-28.5),30)*2+7)</f>
        <v>1.8217999999999961</v>
      </c>
      <c r="M280" s="2" t="str">
        <f ca="1">CHOOSE(ROUNDUP(Panchanga!$L280,0),"Bhava","Baalava","Kaulava","Taitula","Garija","Vanija","Vishti","Shakuni","Chatushapda","Naaga","Kimstugna")</f>
        <v>Baalava</v>
      </c>
      <c r="N280" s="25" t="str">
        <f ca="1">CHOOSE(ROUNDUP(Panchanga!$Q280,0),"Vishkambha-विष्कम्भ-Sa","Priti-प्रीति-Me","Ayushman-आयुष्मान-Ke","Saubhagya-सौभाग्य-Ve","Shobhana-शोभन-Su","Atiganda-अतिगण्ड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("&amp;Panchanga!$Q280&amp;")"</f>
        <v>Vajra-वज्र-Mo (14.28)</v>
      </c>
      <c r="O280" s="2">
        <f ca="1">IF(AND(Panchanga!$P280&lt;28.5,Panchanga!$P280&gt;0.49999),MOD((Panchanga!$P280-0.5)*2,7),MOD((Panchanga!$P280+30-28.5),30)*2+7)</f>
        <v>1.8217999999999961</v>
      </c>
      <c r="P280" s="2">
        <f ca="1">ROUNDUP(MOD(360+Panchanga!$G280-Panchanga!$F280,360)/12,4)</f>
        <v>18.910899999999998</v>
      </c>
      <c r="Q280" s="2">
        <f t="shared" ca="1" si="47"/>
        <v>14.28</v>
      </c>
      <c r="R280" s="2" t="str">
        <f ca="1">SIGN(S281-Panchanga!$S280)*INT(Panchanga!$S280/30+1)&amp;"Ma,"&amp;SIGN(T281-Panchanga!$T280)*INT(Panchanga!$T280/30+1)&amp;"Me,"&amp;SIGN(U281-Panchanga!$U280)*INT(Panchanga!$U280/30+1)&amp;"Ju,"&amp;SIGN(V281-Panchanga!$V280)*INT(Panchanga!$V280/30+1)&amp;"Ve,"&amp;SIGN(W281-Panchanga!$W280)*INT(Panchanga!$W280/30+1)&amp;"Sa,"&amp;INT(Panchanga!$X280/30+1)&amp;"Ra"</f>
        <v>10Ma,6Me,7Ju,7Ve,9Sa,4Ra</v>
      </c>
      <c r="S280" s="2">
        <f ca="1">Planet(Panchanga!$E280,4)</f>
        <v>281.07290475343405</v>
      </c>
      <c r="T280" s="2">
        <f ca="1">Planet(Panchanga!$E280,2)</f>
        <v>167.96824598617269</v>
      </c>
      <c r="U280" s="2">
        <f ca="1">Planet(Panchanga!$E280,5)</f>
        <v>207.59299849143875</v>
      </c>
      <c r="V280" s="2">
        <f ca="1">Planet(Panchanga!$E280,3)</f>
        <v>195.87405034989484</v>
      </c>
      <c r="W280" s="2">
        <f ca="1">Planet(Panchanga!$E280,6)</f>
        <v>248.84075951988373</v>
      </c>
      <c r="X280" s="2">
        <f ca="1">Planet(Panchanga!$E280,10)</f>
        <v>98.429507197895134</v>
      </c>
      <c r="Y280" s="2">
        <f ca="1">SIGN(S281-Panchanga!$S280)</f>
        <v>1</v>
      </c>
    </row>
    <row r="281" spans="1:25" x14ac:dyDescent="0.2">
      <c r="A281" s="3">
        <f t="shared" ca="1" si="48"/>
        <v>43373</v>
      </c>
      <c r="B281" s="3">
        <f t="shared" ca="1" si="41"/>
        <v>43373.229166666664</v>
      </c>
      <c r="C281" s="5">
        <f t="shared" ca="1" si="42"/>
        <v>43373.249889101986</v>
      </c>
      <c r="D281" s="5">
        <f t="shared" ca="1" si="43"/>
        <v>43372.750023981134</v>
      </c>
      <c r="E281" s="60">
        <f ca="1">Panchanga!$C281-TimeZone/24</f>
        <v>43373.020722435322</v>
      </c>
      <c r="F281" s="61">
        <f t="shared" ca="1" si="44"/>
        <v>162.68874971281079</v>
      </c>
      <c r="G281" s="61">
        <f t="shared" ca="1" si="45"/>
        <v>42.132916836526114</v>
      </c>
      <c r="H281" s="62">
        <f t="shared" ca="1" si="46"/>
        <v>43373.020722435322</v>
      </c>
      <c r="I281" s="2" t="str">
        <f ca="1">naks(Panchanga!$G281)</f>
        <v>Rohini</v>
      </c>
      <c r="J281" s="5">
        <f ca="1">(C282-Panchanga!$C281)/(G282-Panchanga!$G281)*(13.3333333333333-MOD(Panchanga!$G281,13.333333333333))+Panchanga!$C281</f>
        <v>43374.069119765234</v>
      </c>
      <c r="K281" s="2" t="str">
        <f ca="1">IF(Panchanga!$P281&gt;15,"K","S")&amp;ROUNDUP(MOD(Panchanga!$P281,15),0)&amp;" ("&amp;ROUND(Panchanga!$P281,2)&amp;")"</f>
        <v>K5 (19.95)</v>
      </c>
      <c r="L281" s="2">
        <f ca="1">IF(AND(Panchanga!$P281&lt;28.5,Panchanga!$P281&gt;0.49999),MOD((Panchanga!$P281-0.5)*2,7),MOD((Panchanga!$P281+30-28.5),30)*2+7)</f>
        <v>3.9074000000000026</v>
      </c>
      <c r="M281" s="2" t="str">
        <f ca="1">CHOOSE(ROUNDUP(Panchanga!$L281,0),"Bhava","Baalava","Kaulava","Taitula","Garija","Vanija","Vishti","Shakuni","Chatushapda","Naaga","Kimstugna")</f>
        <v>Taitula</v>
      </c>
      <c r="N281" s="25" t="str">
        <f ca="1">CHOOSE(ROUNDUP(Panchanga!$Q281,0),"Vishkambha-विष्कम्भ-Sa","Priti-प्रीति-Me","Ayushman-आयुष्मान-Ke","Saubhagya-सौभाग्य-Ve","Shobhana-शोभन-Su","Atiganda-अतिगण्ड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("&amp;Panchanga!$Q281&amp;")"</f>
        <v>Siddhi-सिद्धि-Ma (15.37)</v>
      </c>
      <c r="O281" s="2">
        <f ca="1">IF(AND(Panchanga!$P281&lt;28.5,Panchanga!$P281&gt;0.49999),MOD((Panchanga!$P281-0.5)*2,7),MOD((Panchanga!$P281+30-28.5),30)*2+7)</f>
        <v>3.9074000000000026</v>
      </c>
      <c r="P281" s="2">
        <f ca="1">ROUNDUP(MOD(360+Panchanga!$G281-Panchanga!$F281,360)/12,4)</f>
        <v>19.953700000000001</v>
      </c>
      <c r="Q281" s="2">
        <f t="shared" ca="1" si="47"/>
        <v>15.37</v>
      </c>
      <c r="R281" s="2" t="str">
        <f ca="1">SIGN(S282-Panchanga!$S281)*INT(Panchanga!$S281/30+1)&amp;"Ma,"&amp;SIGN(T282-Panchanga!$T281)*INT(Panchanga!$T281/30+1)&amp;"Me,"&amp;SIGN(U282-Panchanga!$U281)*INT(Panchanga!$U281/30+1)&amp;"Ju,"&amp;SIGN(V282-Panchanga!$V281)*INT(Panchanga!$V281/30+1)&amp;"Ve,"&amp;SIGN(W282-Panchanga!$W281)*INT(Panchanga!$W281/30+1)&amp;"Sa,"&amp;INT(Panchanga!$X281/30+1)&amp;"Ra"</f>
        <v>10Ma,6Me,7Ju,7Ve,9Sa,4Ra</v>
      </c>
      <c r="S281" s="2">
        <f ca="1">Planet(Panchanga!$E281,4)</f>
        <v>281.45220549785603</v>
      </c>
      <c r="T281" s="2">
        <f ca="1">Planet(Panchanga!$E281,2)</f>
        <v>169.66652647418877</v>
      </c>
      <c r="U281" s="2">
        <f ca="1">Planet(Panchanga!$E281,5)</f>
        <v>207.77754384138004</v>
      </c>
      <c r="V281" s="2">
        <f ca="1">Planet(Panchanga!$E281,3)</f>
        <v>196.10217814388088</v>
      </c>
      <c r="W281" s="2">
        <f ca="1">Planet(Panchanga!$E281,6)</f>
        <v>248.87782226733466</v>
      </c>
      <c r="X281" s="2">
        <f ca="1">Planet(Panchanga!$E281,10)</f>
        <v>98.37651371829574</v>
      </c>
      <c r="Y281" s="2">
        <f ca="1">SIGN(S282-Panchanga!$S281)</f>
        <v>1</v>
      </c>
    </row>
    <row r="282" spans="1:25" x14ac:dyDescent="0.2">
      <c r="A282" s="3">
        <f t="shared" ca="1" si="48"/>
        <v>43374</v>
      </c>
      <c r="B282" s="3">
        <f t="shared" ca="1" si="41"/>
        <v>43374.229166666664</v>
      </c>
      <c r="C282" s="5">
        <f t="shared" ca="1" si="42"/>
        <v>43374.249920096401</v>
      </c>
      <c r="D282" s="5">
        <f t="shared" ca="1" si="43"/>
        <v>43373.749536494768</v>
      </c>
      <c r="E282" s="60">
        <f ca="1">Panchanga!$C282-TimeZone/24</f>
        <v>43374.020753429737</v>
      </c>
      <c r="F282" s="61">
        <f t="shared" ca="1" si="44"/>
        <v>163.67124226108143</v>
      </c>
      <c r="G282" s="61">
        <f t="shared" ca="1" si="45"/>
        <v>55.805212259142024</v>
      </c>
      <c r="H282" s="62">
        <f t="shared" ca="1" si="46"/>
        <v>43374.020753429737</v>
      </c>
      <c r="I282" s="2" t="str">
        <f ca="1">naks(Panchanga!$G282)</f>
        <v>Mrigashira</v>
      </c>
      <c r="J282" s="5">
        <f ca="1">(C283-Panchanga!$C282)/(G283-Panchanga!$G282)*(13.3333333333333-MOD(Panchanga!$G282,13.333333333333))+Panchanga!$C282</f>
        <v>43375.034452851214</v>
      </c>
      <c r="K282" s="2" t="str">
        <f ca="1">IF(Panchanga!$P282&gt;15,"K","S")&amp;ROUNDUP(MOD(Panchanga!$P282,15),0)&amp;" ("&amp;ROUND(Panchanga!$P282,2)&amp;")"</f>
        <v>K7 (21.01)</v>
      </c>
      <c r="L282" s="2">
        <f ca="1">IF(AND(Panchanga!$P282&lt;28.5,Panchanga!$P282&gt;0.49999),MOD((Panchanga!$P282-0.5)*2,7),MOD((Panchanga!$P282+30-28.5),30)*2+7)</f>
        <v>6.0223999999999975</v>
      </c>
      <c r="M282" s="2" t="str">
        <f ca="1">CHOOSE(ROUNDUP(Panchanga!$L282,0),"Bhava","Baalava","Kaulava","Taitula","Garija","Vanija","Vishti","Shakuni","Chatushapda","Naaga","Kimstugna")</f>
        <v>Vishti</v>
      </c>
      <c r="N282" s="25" t="str">
        <f ca="1">CHOOSE(ROUNDUP(Panchanga!$Q282,0),"Vishkambha-विष्कम्भ-Sa","Priti-प्रीति-Me","Ayushman-आयुष्मान-Ke","Saubhagya-सौभाग्य-Ve","Shobhana-शोभन-Su","Atiganda-अतिगण्ड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("&amp;Panchanga!$Q282&amp;")"</f>
        <v>Vyatipata-व्यतिपात-Ra (16.47)</v>
      </c>
      <c r="O282" s="2">
        <f ca="1">IF(AND(Panchanga!$P282&lt;28.5,Panchanga!$P282&gt;0.49999),MOD((Panchanga!$P282-0.5)*2,7),MOD((Panchanga!$P282+30-28.5),30)*2+7)</f>
        <v>6.0223999999999975</v>
      </c>
      <c r="P282" s="2">
        <f ca="1">ROUNDUP(MOD(360+Panchanga!$G282-Panchanga!$F282,360)/12,4)</f>
        <v>21.011199999999999</v>
      </c>
      <c r="Q282" s="2">
        <f t="shared" ca="1" si="47"/>
        <v>16.470000000000002</v>
      </c>
      <c r="R282" s="2" t="str">
        <f ca="1">SIGN(S283-Panchanga!$S282)*INT(Panchanga!$S282/30+1)&amp;"Ma,"&amp;SIGN(T283-Panchanga!$T282)*INT(Panchanga!$T282/30+1)&amp;"Me,"&amp;SIGN(U283-Panchanga!$U282)*INT(Panchanga!$U282/30+1)&amp;"Ju,"&amp;SIGN(V283-Panchanga!$V282)*INT(Panchanga!$V282/30+1)&amp;"Ve,"&amp;SIGN(W283-Panchanga!$W282)*INT(Panchanga!$W282/30+1)&amp;"Sa,"&amp;INT(Panchanga!$X282/30+1)&amp;"Ra"</f>
        <v>10Ma,6Me,7Ju,7Ve,9Sa,4Ra</v>
      </c>
      <c r="S282" s="2">
        <f ca="1">Planet(Panchanga!$E282,4)</f>
        <v>281.83968109480378</v>
      </c>
      <c r="T282" s="2">
        <f ca="1">Planet(Panchanga!$E282,2)</f>
        <v>171.34988317514242</v>
      </c>
      <c r="U282" s="2">
        <f ca="1">Planet(Panchanga!$E282,5)</f>
        <v>207.96340551164005</v>
      </c>
      <c r="V282" s="2">
        <f ca="1">Planet(Panchanga!$E282,3)</f>
        <v>196.29616191245333</v>
      </c>
      <c r="W282" s="2">
        <f ca="1">Planet(Panchanga!$E282,6)</f>
        <v>248.91642771279663</v>
      </c>
      <c r="X282" s="2">
        <f ca="1">Planet(Panchanga!$E282,10)</f>
        <v>98.323520078660863</v>
      </c>
      <c r="Y282" s="2">
        <f ca="1">SIGN(S283-Panchanga!$S282)</f>
        <v>1</v>
      </c>
    </row>
    <row r="283" spans="1:25" x14ac:dyDescent="0.2">
      <c r="A283" s="3">
        <f t="shared" ca="1" si="48"/>
        <v>43375</v>
      </c>
      <c r="B283" s="3">
        <f t="shared" ca="1" si="41"/>
        <v>43375.229166666664</v>
      </c>
      <c r="C283" s="5">
        <f t="shared" ca="1" si="42"/>
        <v>43375.249954269886</v>
      </c>
      <c r="D283" s="5">
        <f t="shared" ca="1" si="43"/>
        <v>43374.749052822634</v>
      </c>
      <c r="E283" s="60">
        <f ca="1">Panchanga!$C283-TimeZone/24</f>
        <v>43375.020787603222</v>
      </c>
      <c r="F283" s="61">
        <f t="shared" ca="1" si="44"/>
        <v>164.65438063845261</v>
      </c>
      <c r="G283" s="61">
        <f t="shared" ca="1" si="45"/>
        <v>69.650173498401685</v>
      </c>
      <c r="H283" s="62">
        <f t="shared" ca="1" si="46"/>
        <v>43375.020787603222</v>
      </c>
      <c r="I283" s="2" t="str">
        <f ca="1">naks(Panchanga!$G283)</f>
        <v>Ardra</v>
      </c>
      <c r="J283" s="5">
        <f ca="1">(C284-Panchanga!$C283)/(G284-Panchanga!$G283)*(13.3333333333333-MOD(Panchanga!$G283,13.333333333333))+Panchanga!$C283</f>
        <v>43375.988420233763</v>
      </c>
      <c r="K283" s="2" t="str">
        <f ca="1">IF(Panchanga!$P283&gt;15,"K","S")&amp;ROUNDUP(MOD(Panchanga!$P283,15),0)&amp;" ("&amp;ROUND(Panchanga!$P283,2)&amp;")"</f>
        <v>K8 (22.08)</v>
      </c>
      <c r="L283" s="2">
        <f ca="1">IF(AND(Panchanga!$P283&lt;28.5,Panchanga!$P283&gt;0.49999),MOD((Panchanga!$P283-0.5)*2,7),MOD((Panchanga!$P283+30-28.5),30)*2+7)</f>
        <v>1.1659999999999968</v>
      </c>
      <c r="M283" s="2" t="str">
        <f ca="1">CHOOSE(ROUNDUP(Panchanga!$L283,0),"Bhava","Baalava","Kaulava","Taitula","Garija","Vanija","Vishti","Shakuni","Chatushapda","Naaga","Kimstugna")</f>
        <v>Baalava</v>
      </c>
      <c r="N283" s="25" t="str">
        <f ca="1">CHOOSE(ROUNDUP(Panchanga!$Q283,0),"Vishkambha-विष्कम्भ-Sa","Priti-प्रीति-Me","Ayushman-आयुष्मान-Ke","Saubhagya-सौभाग्य-Ve","Shobhana-शोभन-Su","Atiganda-अतिगण्ड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("&amp;Panchanga!$Q283&amp;")"</f>
        <v>Varigha-वरीयस्-Ju (17.58)</v>
      </c>
      <c r="O283" s="2">
        <f ca="1">IF(AND(Panchanga!$P283&lt;28.5,Panchanga!$P283&gt;0.49999),MOD((Panchanga!$P283-0.5)*2,7),MOD((Panchanga!$P283+30-28.5),30)*2+7)</f>
        <v>1.1659999999999968</v>
      </c>
      <c r="P283" s="2">
        <f ca="1">ROUNDUP(MOD(360+Panchanga!$G283-Panchanga!$F283,360)/12,4)</f>
        <v>22.082999999999998</v>
      </c>
      <c r="Q283" s="2">
        <f t="shared" ca="1" si="47"/>
        <v>17.580000000000002</v>
      </c>
      <c r="R283" s="2" t="str">
        <f ca="1">SIGN(S284-Panchanga!$S283)*INT(Panchanga!$S283/30+1)&amp;"Ma,"&amp;SIGN(T284-Panchanga!$T283)*INT(Panchanga!$T283/30+1)&amp;"Me,"&amp;SIGN(U284-Panchanga!$U283)*INT(Panchanga!$U283/30+1)&amp;"Ju,"&amp;SIGN(V284-Panchanga!$V283)*INT(Panchanga!$V283/30+1)&amp;"Ve,"&amp;SIGN(W284-Panchanga!$W283)*INT(Panchanga!$W283/30+1)&amp;"Sa,"&amp;INT(Panchanga!$X283/30+1)&amp;"Ra"</f>
        <v>10Ma,6Me,7Ju,7Ve,9Sa,4Ra</v>
      </c>
      <c r="S283" s="2">
        <f ca="1">Planet(Panchanga!$E283,4)</f>
        <v>282.23516377423459</v>
      </c>
      <c r="T283" s="2">
        <f ca="1">Planet(Panchanga!$E283,2)</f>
        <v>173.01859115196001</v>
      </c>
      <c r="U283" s="2">
        <f ca="1">Planet(Panchanga!$E283,5)</f>
        <v>208.15056341241342</v>
      </c>
      <c r="V283" s="2">
        <f ca="1">Planet(Panchanga!$E283,3)</f>
        <v>196.45509153177457</v>
      </c>
      <c r="W283" s="2">
        <f ca="1">Planet(Panchanga!$E283,6)</f>
        <v>248.95656942279987</v>
      </c>
      <c r="X283" s="2">
        <f ca="1">Planet(Panchanga!$E283,10)</f>
        <v>98.27052627055707</v>
      </c>
      <c r="Y283" s="2">
        <f ca="1">SIGN(S284-Panchanga!$S283)</f>
        <v>1</v>
      </c>
    </row>
    <row r="284" spans="1:25" x14ac:dyDescent="0.2">
      <c r="A284" s="3">
        <f t="shared" ca="1" si="48"/>
        <v>43376</v>
      </c>
      <c r="B284" s="3">
        <f t="shared" ca="1" si="41"/>
        <v>43376.229166666664</v>
      </c>
      <c r="C284" s="5">
        <f t="shared" ca="1" si="42"/>
        <v>43376.249991940022</v>
      </c>
      <c r="D284" s="5">
        <f t="shared" ca="1" si="43"/>
        <v>43375.748572806871</v>
      </c>
      <c r="E284" s="60">
        <f ca="1">Panchanga!$C284-TimeZone/24</f>
        <v>43376.020825273357</v>
      </c>
      <c r="F284" s="61">
        <f t="shared" ca="1" si="44"/>
        <v>165.63817195851246</v>
      </c>
      <c r="G284" s="61">
        <f t="shared" ca="1" si="45"/>
        <v>83.666007520824948</v>
      </c>
      <c r="H284" s="62">
        <f t="shared" ca="1" si="46"/>
        <v>43376.020825273357</v>
      </c>
      <c r="I284" s="2" t="str">
        <f ca="1">naks(Panchanga!$G284)</f>
        <v>Punarvasu</v>
      </c>
      <c r="J284" s="5">
        <f ca="1">(C285-Panchanga!$C284)/(G285-Panchanga!$G284)*(13.3333333333333-MOD(Panchanga!$G284,13.333333333333))+Panchanga!$C284</f>
        <v>43376.931765731708</v>
      </c>
      <c r="K284" s="2" t="str">
        <f ca="1">IF(Panchanga!$P284&gt;15,"K","S")&amp;ROUNDUP(MOD(Panchanga!$P284,15),0)&amp;" ("&amp;ROUND(Panchanga!$P284,2)&amp;")"</f>
        <v>K9 (23.17)</v>
      </c>
      <c r="L284" s="2">
        <f ca="1">IF(AND(Panchanga!$P284&lt;28.5,Panchanga!$P284&gt;0.49999),MOD((Panchanga!$P284-0.5)*2,7),MOD((Panchanga!$P284+30-28.5),30)*2+7)</f>
        <v>3.338000000000001</v>
      </c>
      <c r="M284" s="2" t="str">
        <f ca="1">CHOOSE(ROUNDUP(Panchanga!$L284,0),"Bhava","Baalava","Kaulava","Taitula","Garija","Vanija","Vishti","Shakuni","Chatushapda","Naaga","Kimstugna")</f>
        <v>Taitula</v>
      </c>
      <c r="N284" s="25" t="str">
        <f ca="1">CHOOSE(ROUNDUP(Panchanga!$Q284,0),"Vishkambha-विष्कम्भ-Sa","Priti-प्रीति-Me","Ayushman-आयुष्मान-Ke","Saubhagya-सौभाग्य-Ve","Shobhana-शोभन-Su","Atiganda-अतिगण्ड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("&amp;Panchanga!$Q284&amp;")"</f>
        <v>Parigha-परिघ-Sa (18.7)</v>
      </c>
      <c r="O284" s="2">
        <f ca="1">IF(AND(Panchanga!$P284&lt;28.5,Panchanga!$P284&gt;0.49999),MOD((Panchanga!$P284-0.5)*2,7),MOD((Panchanga!$P284+30-28.5),30)*2+7)</f>
        <v>3.338000000000001</v>
      </c>
      <c r="P284" s="2">
        <f ca="1">ROUNDUP(MOD(360+Panchanga!$G284-Panchanga!$F284,360)/12,4)</f>
        <v>23.169</v>
      </c>
      <c r="Q284" s="2">
        <f t="shared" ca="1" si="47"/>
        <v>18.700000000000003</v>
      </c>
      <c r="R284" s="2" t="str">
        <f ca="1">SIGN(S285-Panchanga!$S284)*INT(Panchanga!$S284/30+1)&amp;"Ma,"&amp;SIGN(T285-Panchanga!$T284)*INT(Panchanga!$T284/30+1)&amp;"Me,"&amp;SIGN(U285-Panchanga!$U284)*INT(Panchanga!$U284/30+1)&amp;"Ju,"&amp;SIGN(V285-Panchanga!$V284)*INT(Panchanga!$V284/30+1)&amp;"Ve,"&amp;SIGN(W285-Panchanga!$W284)*INT(Panchanga!$W284/30+1)&amp;"Sa,"&amp;INT(Panchanga!$X284/30+1)&amp;"Ra"</f>
        <v>10Ma,6Me,7Ju,7Ve,9Sa,4Ra</v>
      </c>
      <c r="S284" s="2">
        <f ca="1">Planet(Panchanga!$E284,4)</f>
        <v>282.63849501573435</v>
      </c>
      <c r="T284" s="2">
        <f ca="1">Planet(Panchanga!$E284,2)</f>
        <v>174.67293832025285</v>
      </c>
      <c r="U284" s="2">
        <f ca="1">Planet(Panchanga!$E284,5)</f>
        <v>208.33899729526735</v>
      </c>
      <c r="V284" s="2">
        <f ca="1">Planet(Panchanga!$E284,3)</f>
        <v>196.57809537694101</v>
      </c>
      <c r="W284" s="2">
        <f ca="1">Planet(Panchanga!$E284,6)</f>
        <v>248.99824085803158</v>
      </c>
      <c r="X284" s="2">
        <f ca="1">Planet(Panchanga!$E284,10)</f>
        <v>98.217532277133955</v>
      </c>
      <c r="Y284" s="2">
        <f ca="1">SIGN(S285-Panchanga!$S284)</f>
        <v>1</v>
      </c>
    </row>
    <row r="285" spans="1:25" x14ac:dyDescent="0.2">
      <c r="A285" s="3">
        <f t="shared" ca="1" si="48"/>
        <v>43377</v>
      </c>
      <c r="B285" s="3">
        <f t="shared" ca="1" si="41"/>
        <v>43377.229166666664</v>
      </c>
      <c r="C285" s="5">
        <f t="shared" ca="1" si="42"/>
        <v>43377.250033106808</v>
      </c>
      <c r="D285" s="5">
        <f t="shared" ca="1" si="43"/>
        <v>43376.748097082178</v>
      </c>
      <c r="E285" s="60">
        <f ca="1">Panchanga!$C285-TimeZone/24</f>
        <v>43377.020866440143</v>
      </c>
      <c r="F285" s="61">
        <f t="shared" ca="1" si="44"/>
        <v>166.6226183886007</v>
      </c>
      <c r="G285" s="61">
        <f t="shared" ca="1" si="45"/>
        <v>97.846258951983629</v>
      </c>
      <c r="H285" s="62">
        <f t="shared" ca="1" si="46"/>
        <v>43377.020866440143</v>
      </c>
      <c r="I285" s="2" t="str">
        <f ca="1">naks(Panchanga!$G285)</f>
        <v>Pushya</v>
      </c>
      <c r="J285" s="5">
        <f ca="1">(C286-Panchanga!$C285)/(G286-Panchanga!$G285)*(13.3333333333333-MOD(Panchanga!$G285,13.333333333333))+Panchanga!$C285</f>
        <v>43377.865785752139</v>
      </c>
      <c r="K285" s="2" t="str">
        <f ca="1">IF(Panchanga!$P285&gt;15,"K","S")&amp;ROUNDUP(MOD(Panchanga!$P285,15),0)&amp;" ("&amp;ROUND(Panchanga!$P285,2)&amp;")"</f>
        <v>K10 (24.27)</v>
      </c>
      <c r="L285" s="2">
        <f ca="1">IF(AND(Panchanga!$P285&lt;28.5,Panchanga!$P285&gt;0.49999),MOD((Panchanga!$P285-0.5)*2,7),MOD((Panchanga!$P285+30-28.5),30)*2+7)</f>
        <v>5.5373999999999981</v>
      </c>
      <c r="M285" s="2" t="str">
        <f ca="1">CHOOSE(ROUNDUP(Panchanga!$L285,0),"Bhava","Baalava","Kaulava","Taitula","Garija","Vanija","Vishti","Shakuni","Chatushapda","Naaga","Kimstugna")</f>
        <v>Vanija</v>
      </c>
      <c r="N285" s="25" t="str">
        <f ca="1">CHOOSE(ROUNDUP(Panchanga!$Q285,0),"Vishkambha-विष्कम्भ-Sa","Priti-प्रीति-Me","Ayushman-आयुष्मान-Ke","Saubhagya-सौभाग्य-Ve","Shobhana-शोभन-Su","Atiganda-अतिगण्ड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("&amp;Panchanga!$Q285&amp;")"</f>
        <v>Shiva-शिव-Me (19.84)</v>
      </c>
      <c r="O285" s="2">
        <f ca="1">IF(AND(Panchanga!$P285&lt;28.5,Panchanga!$P285&gt;0.49999),MOD((Panchanga!$P285-0.5)*2,7),MOD((Panchanga!$P285+30-28.5),30)*2+7)</f>
        <v>5.5373999999999981</v>
      </c>
      <c r="P285" s="2">
        <f ca="1">ROUNDUP(MOD(360+Panchanga!$G285-Panchanga!$F285,360)/12,4)</f>
        <v>24.268699999999999</v>
      </c>
      <c r="Q285" s="2">
        <f t="shared" ca="1" si="47"/>
        <v>19.84</v>
      </c>
      <c r="R285" s="2" t="str">
        <f ca="1">SIGN(S286-Panchanga!$S285)*INT(Panchanga!$S285/30+1)&amp;"Ma,"&amp;SIGN(T286-Panchanga!$T285)*INT(Panchanga!$T285/30+1)&amp;"Me,"&amp;SIGN(U286-Panchanga!$U285)*INT(Panchanga!$U285/30+1)&amp;"Ju,"&amp;SIGN(V286-Panchanga!$V285)*INT(Panchanga!$V285/30+1)&amp;"Ve,"&amp;SIGN(W286-Panchanga!$W285)*INT(Panchanga!$W285/30+1)&amp;"Sa,"&amp;INT(Panchanga!$X285/30+1)&amp;"Ra"</f>
        <v>10Ma,6Me,7Ju,7Ve,9Sa,4Ra</v>
      </c>
      <c r="S285" s="2">
        <f ca="1">Planet(Panchanga!$E285,4)</f>
        <v>283.04952417915729</v>
      </c>
      <c r="T285" s="2">
        <f ca="1">Planet(Panchanga!$E285,2)</f>
        <v>176.3132169395393</v>
      </c>
      <c r="U285" s="2">
        <f ca="1">Planet(Panchanga!$E285,5)</f>
        <v>208.52868642370277</v>
      </c>
      <c r="V285" s="2">
        <f ca="1">Planet(Panchanga!$E285,3)</f>
        <v>196.66434884601512</v>
      </c>
      <c r="W285" s="2">
        <f ca="1">Planet(Panchanga!$E285,6)</f>
        <v>249.04143523023214</v>
      </c>
      <c r="X285" s="2">
        <f ca="1">Planet(Panchanga!$E285,10)</f>
        <v>98.164538098441213</v>
      </c>
      <c r="Y285" s="2">
        <f ca="1">SIGN(S286-Panchanga!$S285)</f>
        <v>1</v>
      </c>
    </row>
    <row r="286" spans="1:25" x14ac:dyDescent="0.2">
      <c r="A286" s="3">
        <f t="shared" ca="1" si="48"/>
        <v>43378</v>
      </c>
      <c r="B286" s="3">
        <f t="shared" ca="1" si="41"/>
        <v>43378.229166666664</v>
      </c>
      <c r="C286" s="5">
        <f t="shared" ca="1" si="42"/>
        <v>43378.250078088757</v>
      </c>
      <c r="D286" s="5">
        <f t="shared" ca="1" si="43"/>
        <v>43377.747625808275</v>
      </c>
      <c r="E286" s="60">
        <f ca="1">Panchanga!$C286-TimeZone/24</f>
        <v>43378.020911422092</v>
      </c>
      <c r="F286" s="61">
        <f t="shared" ca="1" si="44"/>
        <v>167.60771722837231</v>
      </c>
      <c r="G286" s="61">
        <f t="shared" ca="1" si="45"/>
        <v>112.17149903120557</v>
      </c>
      <c r="H286" s="62">
        <f t="shared" ca="1" si="46"/>
        <v>43378.020911422092</v>
      </c>
      <c r="I286" s="2" t="str">
        <f ca="1">naks(Panchanga!$G286)</f>
        <v>Aslesha</v>
      </c>
      <c r="J286" s="5">
        <f ca="1">(C287-Panchanga!$C286)/(G287-Panchanga!$G286)*(13.3333333333333-MOD(Panchanga!$G286,13.333333333333))+Panchanga!$C286</f>
        <v>43378.792620243039</v>
      </c>
      <c r="K286" s="2" t="str">
        <f ca="1">IF(Panchanga!$P286&gt;15,"K","S")&amp;ROUNDUP(MOD(Panchanga!$P286,15),0)&amp;" ("&amp;ROUND(Panchanga!$P286,2)&amp;")"</f>
        <v>K11 (25.38)</v>
      </c>
      <c r="L286" s="2">
        <f ca="1">IF(AND(Panchanga!$P286&lt;28.5,Panchanga!$P286&gt;0.49999),MOD((Panchanga!$P286-0.5)*2,7),MOD((Panchanga!$P286+30-28.5),30)*2+7)</f>
        <v>0.76079999999999615</v>
      </c>
      <c r="M286" s="2" t="str">
        <f ca="1">CHOOSE(ROUNDUP(Panchanga!$L286,0),"Bhava","Baalava","Kaulava","Taitula","Garija","Vanija","Vishti","Shakuni","Chatushapda","Naaga","Kimstugna")</f>
        <v>Bhava</v>
      </c>
      <c r="N286" s="25" t="str">
        <f ca="1">CHOOSE(ROUNDUP(Panchanga!$Q286,0),"Vishkambha-विष्कम्भ-Sa","Priti-प्रीति-Me","Ayushman-आयुष्मान-Ke","Saubhagya-सौभाग्य-Ve","Shobhana-शोभन-Su","Atiganda-अतिगण्ड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("&amp;Panchanga!$Q286&amp;")"</f>
        <v>Siddha-सिद्ध-Ke (20.99)</v>
      </c>
      <c r="O286" s="2">
        <f ca="1">IF(AND(Panchanga!$P286&lt;28.5,Panchanga!$P286&gt;0.49999),MOD((Panchanga!$P286-0.5)*2,7),MOD((Panchanga!$P286+30-28.5),30)*2+7)</f>
        <v>0.76079999999999615</v>
      </c>
      <c r="P286" s="2">
        <f ca="1">ROUNDUP(MOD(360+Panchanga!$G286-Panchanga!$F286,360)/12,4)</f>
        <v>25.380399999999998</v>
      </c>
      <c r="Q286" s="2">
        <f t="shared" ca="1" si="47"/>
        <v>20.990000000000002</v>
      </c>
      <c r="R286" s="2" t="str">
        <f ca="1">SIGN(S287-Panchanga!$S286)*INT(Panchanga!$S286/30+1)&amp;"Ma,"&amp;SIGN(T287-Panchanga!$T286)*INT(Panchanga!$T286/30+1)&amp;"Me,"&amp;SIGN(U287-Panchanga!$U286)*INT(Panchanga!$U286/30+1)&amp;"Ju,"&amp;SIGN(V287-Panchanga!$V286)*INT(Panchanga!$V286/30+1)&amp;"Ve,"&amp;SIGN(W287-Panchanga!$W286)*INT(Panchanga!$W286/30+1)&amp;"Sa,"&amp;INT(Panchanga!$X286/30+1)&amp;"Ra"</f>
        <v>10Ma,6Me,7Ju,7Ve,9Sa,4Ra</v>
      </c>
      <c r="S286" s="2">
        <f ca="1">Planet(Panchanga!$E286,4)</f>
        <v>283.46810683959967</v>
      </c>
      <c r="T286" s="2">
        <f ca="1">Planet(Panchanga!$E286,2)</f>
        <v>177.93971795025169</v>
      </c>
      <c r="U286" s="2">
        <f ca="1">Planet(Panchanga!$E286,5)</f>
        <v>208.71960944685222</v>
      </c>
      <c r="V286" s="2">
        <f ca="1">Planet(Panchanga!$E286,3)</f>
        <v>196.71308417691492</v>
      </c>
      <c r="W286" s="2">
        <f ca="1">Planet(Panchanga!$E286,6)</f>
        <v>249.08614536682688</v>
      </c>
      <c r="X286" s="2">
        <f ca="1">Planet(Panchanga!$E286,10)</f>
        <v>98.111543717595112</v>
      </c>
      <c r="Y286" s="2">
        <f ca="1">SIGN(S287-Panchanga!$S286)</f>
        <v>1</v>
      </c>
    </row>
    <row r="287" spans="1:25" x14ac:dyDescent="0.2">
      <c r="A287" s="3">
        <f t="shared" ca="1" si="48"/>
        <v>43379</v>
      </c>
      <c r="B287" s="3">
        <f t="shared" ca="1" si="41"/>
        <v>43379.229166666664</v>
      </c>
      <c r="C287" s="5">
        <f t="shared" ca="1" si="42"/>
        <v>43379.250127202984</v>
      </c>
      <c r="D287" s="5">
        <f t="shared" ca="1" si="43"/>
        <v>43378.747159302278</v>
      </c>
      <c r="E287" s="60">
        <f ca="1">Panchanga!$C287-TimeZone/24</f>
        <v>43379.02096053632</v>
      </c>
      <c r="F287" s="61">
        <f t="shared" ca="1" si="44"/>
        <v>168.59346048229821</v>
      </c>
      <c r="G287" s="61">
        <f t="shared" ca="1" si="45"/>
        <v>126.60150303694996</v>
      </c>
      <c r="H287" s="62">
        <f t="shared" ca="1" si="46"/>
        <v>43379.02096053632</v>
      </c>
      <c r="I287" s="2" t="str">
        <f ca="1">naks(Panchanga!$G287)</f>
        <v>Makha</v>
      </c>
      <c r="J287" s="5">
        <f ca="1">(C288-Panchanga!$C287)/(G288-Panchanga!$G287)*(13.3333333333333-MOD(Panchanga!$G287,13.333333333333))+Panchanga!$C287</f>
        <v>43379.715396096755</v>
      </c>
      <c r="K287" s="2" t="str">
        <f ca="1">IF(Panchanga!$P287&gt;15,"K","S")&amp;ROUNDUP(MOD(Panchanga!$P287,15),0)&amp;" ("&amp;ROUND(Panchanga!$P287,2)&amp;")"</f>
        <v>K12 (26.5)</v>
      </c>
      <c r="L287" s="2">
        <f ca="1">IF(AND(Panchanga!$P287&lt;28.5,Panchanga!$P287&gt;0.49999),MOD((Panchanga!$P287-0.5)*2,7),MOD((Panchanga!$P287+30-28.5),30)*2+7)</f>
        <v>3.0013999999999967</v>
      </c>
      <c r="M287" s="2" t="str">
        <f ca="1">CHOOSE(ROUNDUP(Panchanga!$L287,0),"Bhava","Baalava","Kaulava","Taitula","Garija","Vanija","Vishti","Shakuni","Chatushapda","Naaga","Kimstugna")</f>
        <v>Taitula</v>
      </c>
      <c r="N287" s="25" t="str">
        <f ca="1">CHOOSE(ROUNDUP(Panchanga!$Q287,0),"Vishkambha-विष्कम्भ-Sa","Priti-प्रीति-Me","Ayushman-आयुष्मान-Ke","Saubhagya-सौभाग्य-Ve","Shobhana-शोभन-Su","Atiganda-अतिगण्ड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("&amp;Panchanga!$Q287&amp;")"</f>
        <v>Shubha-शुभ-Su (22.14)</v>
      </c>
      <c r="O287" s="2">
        <f ca="1">IF(AND(Panchanga!$P287&lt;28.5,Panchanga!$P287&gt;0.49999),MOD((Panchanga!$P287-0.5)*2,7),MOD((Panchanga!$P287+30-28.5),30)*2+7)</f>
        <v>3.0013999999999967</v>
      </c>
      <c r="P287" s="2">
        <f ca="1">ROUNDUP(MOD(360+Panchanga!$G287-Panchanga!$F287,360)/12,4)</f>
        <v>26.500699999999998</v>
      </c>
      <c r="Q287" s="2">
        <f t="shared" ca="1" si="47"/>
        <v>22.14</v>
      </c>
      <c r="R287" s="2" t="str">
        <f ca="1">SIGN(S288-Panchanga!$S287)*INT(Panchanga!$S287/30+1)&amp;"Ma,"&amp;SIGN(T288-Panchanga!$T287)*INT(Panchanga!$T287/30+1)&amp;"Me,"&amp;SIGN(U288-Panchanga!$U287)*INT(Panchanga!$U287/30+1)&amp;"Ju,"&amp;SIGN(V288-Panchanga!$V287)*INT(Panchanga!$V287/30+1)&amp;"Ve,"&amp;SIGN(W288-Panchanga!$W287)*INT(Panchanga!$W287/30+1)&amp;"Sa,"&amp;INT(Panchanga!$X287/30+1)&amp;"Ra"</f>
        <v>10Ma,6Me,7Ju,-7Ve,9Sa,4Ra</v>
      </c>
      <c r="S287" s="2">
        <f ca="1">Planet(Panchanga!$E287,4)</f>
        <v>283.89410203933562</v>
      </c>
      <c r="T287" s="2">
        <f ca="1">Planet(Panchanga!$E287,2)</f>
        <v>179.55272467188055</v>
      </c>
      <c r="U287" s="2">
        <f ca="1">Planet(Panchanga!$E287,5)</f>
        <v>208.91174412661923</v>
      </c>
      <c r="V287" s="2">
        <f ca="1">Planet(Panchanga!$E287,3)</f>
        <v>196.72360218605425</v>
      </c>
      <c r="W287" s="2">
        <f ca="1">Planet(Panchanga!$E287,6)</f>
        <v>249.13236351552317</v>
      </c>
      <c r="X287" s="2">
        <f ca="1">Planet(Panchanga!$E287,10)</f>
        <v>98.058549117761885</v>
      </c>
      <c r="Y287" s="2">
        <f ca="1">SIGN(S288-Panchanga!$S287)</f>
        <v>1</v>
      </c>
    </row>
    <row r="288" spans="1:25" x14ac:dyDescent="0.2">
      <c r="A288" s="3">
        <f t="shared" ca="1" si="48"/>
        <v>43380</v>
      </c>
      <c r="B288" s="3">
        <f t="shared" ca="1" si="41"/>
        <v>43380.229166666664</v>
      </c>
      <c r="C288" s="5">
        <f t="shared" ca="1" si="42"/>
        <v>43380.250180290699</v>
      </c>
      <c r="D288" s="5">
        <f t="shared" ca="1" si="43"/>
        <v>43379.746697565119</v>
      </c>
      <c r="E288" s="60">
        <f ca="1">Panchanga!$C288-TimeZone/24</f>
        <v>43380.021013624035</v>
      </c>
      <c r="F288" s="61">
        <f t="shared" ca="1" si="44"/>
        <v>169.5798348597913</v>
      </c>
      <c r="G288" s="61">
        <f t="shared" ca="1" si="45"/>
        <v>141.07095879458217</v>
      </c>
      <c r="H288" s="62">
        <f t="shared" ca="1" si="46"/>
        <v>43380.021013624035</v>
      </c>
      <c r="I288" s="2" t="str">
        <f ca="1">naks(Panchanga!$G288)</f>
        <v>Purva Phalguni</v>
      </c>
      <c r="J288" s="5">
        <f ca="1">(C289-Panchanga!$C288)/(G289-Panchanga!$G288)*(13.3333333333333-MOD(Panchanga!$G288,13.333333333333))+Panchanga!$C288</f>
        <v>43380.638235162878</v>
      </c>
      <c r="K288" s="2" t="str">
        <f ca="1">IF(Panchanga!$P288&gt;15,"K","S")&amp;ROUNDUP(MOD(Panchanga!$P288,15),0)&amp;" ("&amp;ROUND(Panchanga!$P288,2)&amp;")"</f>
        <v>K13 (27.62)</v>
      </c>
      <c r="L288" s="2">
        <f ca="1">IF(AND(Panchanga!$P288&lt;28.5,Panchanga!$P288&gt;0.49999),MOD((Panchanga!$P288-0.5)*2,7),MOD((Panchanga!$P288+30-28.5),30)*2+7)</f>
        <v>5.2485999999999962</v>
      </c>
      <c r="M288" s="2" t="str">
        <f ca="1">CHOOSE(ROUNDUP(Panchanga!$L288,0),"Bhava","Baalava","Kaulava","Taitula","Garija","Vanija","Vishti","Shakuni","Chatushapda","Naaga","Kimstugna")</f>
        <v>Vanija</v>
      </c>
      <c r="N288" s="25" t="str">
        <f ca="1">CHOOSE(ROUNDUP(Panchanga!$Q288,0),"Vishkambha-विष्कम्भ-Sa","Priti-प्रीति-Me","Ayushman-आयुष्मान-Ke","Saubhagya-सौभाग्य-Ve","Shobhana-शोभन-Su","Atiganda-अतिगण्ड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("&amp;Panchanga!$Q288&amp;")"</f>
        <v>Shukla-शुक्ल-Mo (23.3)</v>
      </c>
      <c r="O288" s="2">
        <f ca="1">IF(AND(Panchanga!$P288&lt;28.5,Panchanga!$P288&gt;0.49999),MOD((Panchanga!$P288-0.5)*2,7),MOD((Panchanga!$P288+30-28.5),30)*2+7)</f>
        <v>5.2485999999999962</v>
      </c>
      <c r="P288" s="2">
        <f ca="1">ROUNDUP(MOD(360+Panchanga!$G288-Panchanga!$F288,360)/12,4)</f>
        <v>27.624299999999998</v>
      </c>
      <c r="Q288" s="2">
        <f t="shared" ca="1" si="47"/>
        <v>23.3</v>
      </c>
      <c r="R288" s="2" t="str">
        <f ca="1">SIGN(S289-Panchanga!$S288)*INT(Panchanga!$S288/30+1)&amp;"Ma,"&amp;SIGN(T289-Panchanga!$T288)*INT(Panchanga!$T288/30+1)&amp;"Me,"&amp;SIGN(U289-Panchanga!$U288)*INT(Panchanga!$U288/30+1)&amp;"Ju,"&amp;SIGN(V289-Panchanga!$V288)*INT(Panchanga!$V288/30+1)&amp;"Ve,"&amp;SIGN(W289-Panchanga!$W288)*INT(Panchanga!$W288/30+1)&amp;"Sa,"&amp;INT(Panchanga!$X288/30+1)&amp;"Ra"</f>
        <v>10Ma,7Me,7Ju,-7Ve,9Sa,4Ra</v>
      </c>
      <c r="S288" s="2">
        <f ca="1">Planet(Panchanga!$E288,4)</f>
        <v>284.32736908528307</v>
      </c>
      <c r="T288" s="2">
        <f ca="1">Planet(Panchanga!$E288,2)</f>
        <v>181.15250720034311</v>
      </c>
      <c r="U288" s="2">
        <f ca="1">Planet(Panchanga!$E288,5)</f>
        <v>209.10506712110285</v>
      </c>
      <c r="V288" s="2">
        <f ca="1">Planet(Panchanga!$E288,3)</f>
        <v>196.6952871510675</v>
      </c>
      <c r="W288" s="2">
        <f ca="1">Planet(Panchanga!$E288,6)</f>
        <v>249.18008114388903</v>
      </c>
      <c r="X288" s="2">
        <f ca="1">Planet(Panchanga!$E288,10)</f>
        <v>98.005554307341882</v>
      </c>
      <c r="Y288" s="2">
        <f ca="1">SIGN(S289-Panchanga!$S288)</f>
        <v>1</v>
      </c>
    </row>
    <row r="289" spans="1:25" x14ac:dyDescent="0.2">
      <c r="A289" s="3">
        <f t="shared" ca="1" si="48"/>
        <v>43381</v>
      </c>
      <c r="B289" s="3">
        <f t="shared" ca="1" si="41"/>
        <v>43381.229166666664</v>
      </c>
      <c r="C289" s="5">
        <f t="shared" ca="1" si="42"/>
        <v>43381.250237511158</v>
      </c>
      <c r="D289" s="5">
        <f t="shared" ca="1" si="43"/>
        <v>43380.746241231958</v>
      </c>
      <c r="E289" s="60">
        <f ca="1">Panchanga!$C289-TimeZone/24</f>
        <v>43381.021070844494</v>
      </c>
      <c r="F289" s="61">
        <f t="shared" ca="1" si="44"/>
        <v>170.56682359250067</v>
      </c>
      <c r="G289" s="61">
        <f t="shared" ca="1" si="45"/>
        <v>155.49167210657347</v>
      </c>
      <c r="H289" s="62">
        <f t="shared" ca="1" si="46"/>
        <v>43381.021070844494</v>
      </c>
      <c r="I289" s="2" t="str">
        <f ca="1">naks(Panchanga!$G289)</f>
        <v>Uttara Phalguni</v>
      </c>
      <c r="J289" s="5">
        <f ca="1">(C290-Panchanga!$C289)/(G290-Panchanga!$G289)*(13.3333333333333-MOD(Panchanga!$G289,13.333333333333))+Panchanga!$C289</f>
        <v>43381.566170686216</v>
      </c>
      <c r="K289" s="2" t="str">
        <f ca="1">IF(Panchanga!$P289&gt;15,"K","S")&amp;ROUNDUP(MOD(Panchanga!$P289,15),0)&amp;" ("&amp;ROUND(Panchanga!$P289,2)&amp;")"</f>
        <v>K14 (28.74)</v>
      </c>
      <c r="L289" s="2">
        <f ca="1">IF(AND(Panchanga!$P289&lt;28.5,Panchanga!$P289&gt;0.49999),MOD((Panchanga!$P289-0.5)*2,7),MOD((Panchanga!$P289+30-28.5),30)*2+7)</f>
        <v>7.4876000000000005</v>
      </c>
      <c r="M289" s="2" t="str">
        <f ca="1">CHOOSE(ROUNDUP(Panchanga!$L289,0),"Bhava","Baalava","Kaulava","Taitula","Garija","Vanija","Vishti","Shakuni","Chatushapda","Naaga","Kimstugna")</f>
        <v>Shakuni</v>
      </c>
      <c r="N289" s="25" t="str">
        <f ca="1">CHOOSE(ROUNDUP(Panchanga!$Q289,0),"Vishkambha-विष्कम्भ-Sa","Priti-प्रीति-Me","Ayushman-आयुष्मान-Ke","Saubhagya-सौभाग्य-Ve","Shobhana-शोभन-Su","Atiganda-अतिगण्ड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("&amp;Panchanga!$Q289&amp;")"</f>
        <v>Brahma-ब्रह्म-Ma (24.46)</v>
      </c>
      <c r="O289" s="2">
        <f ca="1">IF(AND(Panchanga!$P289&lt;28.5,Panchanga!$P289&gt;0.49999),MOD((Panchanga!$P289-0.5)*2,7),MOD((Panchanga!$P289+30-28.5),30)*2+7)</f>
        <v>7.4876000000000005</v>
      </c>
      <c r="P289" s="2">
        <f ca="1">ROUNDUP(MOD(360+Panchanga!$G289-Panchanga!$F289,360)/12,4)</f>
        <v>28.7438</v>
      </c>
      <c r="Q289" s="2">
        <f t="shared" ca="1" si="47"/>
        <v>24.46</v>
      </c>
      <c r="R289" s="2" t="str">
        <f ca="1">SIGN(S290-Panchanga!$S289)*INT(Panchanga!$S289/30+1)&amp;"Ma,"&amp;SIGN(T290-Panchanga!$T289)*INT(Panchanga!$T289/30+1)&amp;"Me,"&amp;SIGN(U290-Panchanga!$U289)*INT(Panchanga!$U289/30+1)&amp;"Ju,"&amp;SIGN(V290-Panchanga!$V289)*INT(Panchanga!$V289/30+1)&amp;"Ve,"&amp;SIGN(W290-Panchanga!$W289)*INT(Panchanga!$W289/30+1)&amp;"Sa,"&amp;INT(Panchanga!$X289/30+1)&amp;"Ra"</f>
        <v>10Ma,7Me,7Ju,-7Ve,9Sa,4Ra</v>
      </c>
      <c r="S289" s="2">
        <f ca="1">Planet(Panchanga!$E289,4)</f>
        <v>284.7677650230371</v>
      </c>
      <c r="T289" s="2">
        <f ca="1">Planet(Panchanga!$E289,2)</f>
        <v>182.73931964296324</v>
      </c>
      <c r="U289" s="2">
        <f ca="1">Planet(Panchanga!$E289,5)</f>
        <v>209.29955412870456</v>
      </c>
      <c r="V289" s="2">
        <f ca="1">Planet(Panchanga!$E289,3)</f>
        <v>196.62762546043584</v>
      </c>
      <c r="W289" s="2">
        <f ca="1">Planet(Panchanga!$E289,6)</f>
        <v>249.22928884215162</v>
      </c>
      <c r="X289" s="2">
        <f ca="1">Planet(Panchanga!$E289,10)</f>
        <v>97.952559277951266</v>
      </c>
      <c r="Y289" s="2">
        <f ca="1">SIGN(S290-Panchanga!$S289)</f>
        <v>1</v>
      </c>
    </row>
    <row r="290" spans="1:25" x14ac:dyDescent="0.2">
      <c r="A290" s="3">
        <f t="shared" ca="1" si="48"/>
        <v>43382</v>
      </c>
      <c r="B290" s="3">
        <f t="shared" ca="1" si="41"/>
        <v>43382.229166666664</v>
      </c>
      <c r="C290" s="5">
        <f t="shared" ca="1" si="42"/>
        <v>43382.250299181942</v>
      </c>
      <c r="D290" s="5">
        <f t="shared" ca="1" si="43"/>
        <v>43381.745790144007</v>
      </c>
      <c r="E290" s="60">
        <f ca="1">Panchanga!$C290-TimeZone/24</f>
        <v>43382.021132515278</v>
      </c>
      <c r="F290" s="61">
        <f t="shared" ca="1" si="44"/>
        <v>171.55440772132516</v>
      </c>
      <c r="G290" s="61">
        <f t="shared" ca="1" si="45"/>
        <v>169.76243023349258</v>
      </c>
      <c r="H290" s="62">
        <f t="shared" ca="1" si="46"/>
        <v>43382.021132515278</v>
      </c>
      <c r="I290" s="2" t="str">
        <f ca="1">naks(Panchanga!$G290)</f>
        <v>Hasta</v>
      </c>
      <c r="J290" s="5">
        <f ca="1">(C291-Panchanga!$C290)/(G291-Panchanga!$G290)*(13.3333333333333-MOD(Panchanga!$G290,13.333333333333))+Panchanga!$C290</f>
        <v>43382.504978268676</v>
      </c>
      <c r="K290" s="2" t="str">
        <f ca="1">IF(Panchanga!$P290&gt;15,"K","S")&amp;ROUNDUP(MOD(Panchanga!$P290,15),0)&amp;" ("&amp;ROUND(Panchanga!$P290,2)&amp;")"</f>
        <v>K15 (29.85)</v>
      </c>
      <c r="L290" s="2">
        <f ca="1">IF(AND(Panchanga!$P290&lt;28.5,Panchanga!$P290&gt;0.49999),MOD((Panchanga!$P290-0.5)*2,7),MOD((Panchanga!$P290+30-28.5),30)*2+7)</f>
        <v>9.7014000000000067</v>
      </c>
      <c r="M290" s="2" t="str">
        <f ca="1">CHOOSE(ROUNDUP(Panchanga!$L290,0),"Bhava","Baalava","Kaulava","Taitula","Garija","Vanija","Vishti","Shakuni","Chatushapda","Naaga","Kimstugna")</f>
        <v>Naaga</v>
      </c>
      <c r="N290" s="25" t="str">
        <f ca="1">CHOOSE(ROUNDUP(Panchanga!$Q290,0),"Vishkambha-विष्कम्भ-Sa","Priti-प्रीति-Me","Ayushman-आयुष्मान-Ke","Saubhagya-सौभाग्य-Ve","Shobhana-शोभन-Su","Atiganda-अतिगण्ड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("&amp;Panchanga!$Q290&amp;")"</f>
        <v>Mahendra-महेन्द्र-Ra (25.6)</v>
      </c>
      <c r="O290" s="2">
        <f ca="1">IF(AND(Panchanga!$P290&lt;28.5,Panchanga!$P290&gt;0.49999),MOD((Panchanga!$P290-0.5)*2,7),MOD((Panchanga!$P290+30-28.5),30)*2+7)</f>
        <v>9.7014000000000067</v>
      </c>
      <c r="P290" s="2">
        <f ca="1">ROUNDUP(MOD(360+Panchanga!$G290-Panchanga!$F290,360)/12,4)</f>
        <v>29.8507</v>
      </c>
      <c r="Q290" s="2">
        <f t="shared" ca="1" si="47"/>
        <v>25.6</v>
      </c>
      <c r="R290" s="2" t="str">
        <f ca="1">SIGN(S291-Panchanga!$S290)*INT(Panchanga!$S290/30+1)&amp;"Ma,"&amp;SIGN(T291-Panchanga!$T290)*INT(Panchanga!$T290/30+1)&amp;"Me,"&amp;SIGN(U291-Panchanga!$U290)*INT(Panchanga!$U290/30+1)&amp;"Ju,"&amp;SIGN(V291-Panchanga!$V290)*INT(Panchanga!$V290/30+1)&amp;"Ve,"&amp;SIGN(W291-Panchanga!$W290)*INT(Panchanga!$W290/30+1)&amp;"Sa,"&amp;INT(Panchanga!$X290/30+1)&amp;"Ra"</f>
        <v>10Ma,7Me,7Ju,-7Ve,9Sa,4Ra</v>
      </c>
      <c r="S290" s="2">
        <f ca="1">Planet(Panchanga!$E290,4)</f>
        <v>285.21514236359593</v>
      </c>
      <c r="T290" s="2">
        <f ca="1">Planet(Panchanga!$E290,2)</f>
        <v>184.31339640423062</v>
      </c>
      <c r="U290" s="2">
        <f ca="1">Planet(Panchanga!$E290,5)</f>
        <v>209.49517997848068</v>
      </c>
      <c r="V290" s="2">
        <f ca="1">Planet(Panchanga!$E290,3)</f>
        <v>196.52022805162545</v>
      </c>
      <c r="W290" s="2">
        <f ca="1">Planet(Panchanga!$E290,6)</f>
        <v>249.27997625202846</v>
      </c>
      <c r="X290" s="2">
        <f ca="1">Planet(Panchanga!$E290,10)</f>
        <v>97.899564012723033</v>
      </c>
      <c r="Y290" s="2">
        <f ca="1">SIGN(S291-Panchanga!$S290)</f>
        <v>1</v>
      </c>
    </row>
    <row r="291" spans="1:25" x14ac:dyDescent="0.2">
      <c r="A291" s="3">
        <f t="shared" ca="1" si="48"/>
        <v>43383</v>
      </c>
      <c r="B291" s="3">
        <f t="shared" ca="1" si="41"/>
        <v>43383.229166666664</v>
      </c>
      <c r="C291" s="5">
        <f t="shared" ca="1" si="42"/>
        <v>43383.250365462307</v>
      </c>
      <c r="D291" s="5">
        <f t="shared" ca="1" si="43"/>
        <v>43382.745344778101</v>
      </c>
      <c r="E291" s="60">
        <f ca="1">Panchanga!$C291-TimeZone/24</f>
        <v>43383.021198795643</v>
      </c>
      <c r="F291" s="61">
        <f t="shared" ca="1" si="44"/>
        <v>172.54256737408133</v>
      </c>
      <c r="G291" s="61">
        <f t="shared" ca="1" si="45"/>
        <v>183.78454656193855</v>
      </c>
      <c r="H291" s="62">
        <f t="shared" ca="1" si="46"/>
        <v>43383.021198795643</v>
      </c>
      <c r="I291" s="2" t="str">
        <f ca="1">naks(Panchanga!$G291)</f>
        <v>Chitra</v>
      </c>
      <c r="J291" s="5">
        <f ca="1">(C292-Panchanga!$C291)/(G292-Panchanga!$G291)*(13.3333333333333-MOD(Panchanga!$G291,13.333333333333))+Panchanga!$C291</f>
        <v>43383.460849562187</v>
      </c>
      <c r="K291" s="2" t="str">
        <f ca="1">IF(Panchanga!$P291&gt;15,"K","S")&amp;ROUNDUP(MOD(Panchanga!$P291,15),0)&amp;" ("&amp;ROUND(Panchanga!$P291,2)&amp;")"</f>
        <v>S1 (0.94)</v>
      </c>
      <c r="L291" s="2">
        <f ca="1">IF(AND(Panchanga!$P291&lt;28.5,Panchanga!$P291&gt;0.49999),MOD((Panchanga!$P291-0.5)*2,7),MOD((Panchanga!$P291+30-28.5),30)*2+7)</f>
        <v>0.87379999999999991</v>
      </c>
      <c r="M291" s="2" t="str">
        <f ca="1">CHOOSE(ROUNDUP(Panchanga!$L291,0),"Bhava","Baalava","Kaulava","Taitula","Garija","Vanija","Vishti","Shakuni","Chatushapda","Naaga","Kimstugna")</f>
        <v>Bhava</v>
      </c>
      <c r="N291" s="25" t="str">
        <f ca="1">CHOOSE(ROUNDUP(Panchanga!$Q291,0),"Vishkambha-विष्कम्भ-Sa","Priti-प्रीति-Me","Ayushman-आयुष्मान-Ke","Saubhagya-सौभाग्य-Ve","Shobhana-शोभन-Su","Atiganda-अतिगण्ड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("&amp;Panchanga!$Q291&amp;")"</f>
        <v>Vaidhriti-वैधृति-Ke (26.73)</v>
      </c>
      <c r="O291" s="2">
        <f ca="1">IF(AND(Panchanga!$P291&lt;28.5,Panchanga!$P291&gt;0.49999),MOD((Panchanga!$P291-0.5)*2,7),MOD((Panchanga!$P291+30-28.5),30)*2+7)</f>
        <v>0.87379999999999991</v>
      </c>
      <c r="P291" s="2">
        <f ca="1">ROUNDUP(MOD(360+Panchanga!$G291-Panchanga!$F291,360)/12,4)</f>
        <v>0.93689999999999996</v>
      </c>
      <c r="Q291" s="2">
        <f t="shared" ca="1" si="47"/>
        <v>26.73</v>
      </c>
      <c r="R291" s="2" t="str">
        <f ca="1">SIGN(S292-Panchanga!$S291)*INT(Panchanga!$S291/30+1)&amp;"Ma,"&amp;SIGN(T292-Panchanga!$T291)*INT(Panchanga!$T291/30+1)&amp;"Me,"&amp;SIGN(U292-Panchanga!$U291)*INT(Panchanga!$U291/30+1)&amp;"Ju,"&amp;SIGN(V292-Panchanga!$V291)*INT(Panchanga!$V291/30+1)&amp;"Ve,"&amp;SIGN(W292-Panchanga!$W291)*INT(Panchanga!$W291/30+1)&amp;"Sa,"&amp;INT(Panchanga!$X291/30+1)&amp;"Ra"</f>
        <v>10Ma,7Me,7Ju,-7Ve,9Sa,4Ra</v>
      </c>
      <c r="S291" s="2">
        <f ca="1">Planet(Panchanga!$E291,4)</f>
        <v>285.66934771399337</v>
      </c>
      <c r="T291" s="2">
        <f ca="1">Planet(Panchanga!$E291,2)</f>
        <v>185.87494858495643</v>
      </c>
      <c r="U291" s="2">
        <f ca="1">Planet(Panchanga!$E291,5)</f>
        <v>209.69191878685504</v>
      </c>
      <c r="V291" s="2">
        <f ca="1">Planet(Panchanga!$E291,3)</f>
        <v>196.37285618716089</v>
      </c>
      <c r="W291" s="2">
        <f ca="1">Planet(Panchanga!$E291,6)</f>
        <v>249.33213206247257</v>
      </c>
      <c r="X291" s="2">
        <f ca="1">Planet(Panchanga!$E291,10)</f>
        <v>97.846568503240192</v>
      </c>
      <c r="Y291" s="2">
        <f ca="1">SIGN(S292-Panchanga!$S291)</f>
        <v>1</v>
      </c>
    </row>
    <row r="292" spans="1:25" x14ac:dyDescent="0.2">
      <c r="A292" s="3">
        <f t="shared" ca="1" si="48"/>
        <v>43384</v>
      </c>
      <c r="B292" s="3">
        <f t="shared" ca="1" si="41"/>
        <v>43384.229166666664</v>
      </c>
      <c r="C292" s="5">
        <f t="shared" ca="1" si="42"/>
        <v>43384.250436193463</v>
      </c>
      <c r="D292" s="5">
        <f t="shared" ca="1" si="43"/>
        <v>43383.744905134241</v>
      </c>
      <c r="E292" s="60">
        <f ca="1">Panchanga!$C292-TimeZone/24</f>
        <v>43384.021269526798</v>
      </c>
      <c r="F292" s="61">
        <f t="shared" ca="1" si="44"/>
        <v>173.53128309646132</v>
      </c>
      <c r="G292" s="61">
        <f t="shared" ca="1" si="45"/>
        <v>197.47833132795373</v>
      </c>
      <c r="H292" s="62">
        <f t="shared" ca="1" si="46"/>
        <v>43384.021269526798</v>
      </c>
      <c r="I292" s="2" t="str">
        <f ca="1">naks(Panchanga!$G292)</f>
        <v>Swati</v>
      </c>
      <c r="J292" s="5">
        <f ca="1">(C293-Panchanga!$C292)/(G293-Panchanga!$G292)*(13.3333333333333-MOD(Panchanga!$G292,13.333333333333))+Panchanga!$C292</f>
        <v>43384.43980677236</v>
      </c>
      <c r="K292" s="2" t="str">
        <f ca="1">IF(Panchanga!$P292&gt;15,"K","S")&amp;ROUNDUP(MOD(Panchanga!$P292,15),0)&amp;" ("&amp;ROUND(Panchanga!$P292,2)&amp;")"</f>
        <v>S2 (2)</v>
      </c>
      <c r="L292" s="2">
        <f ca="1">IF(AND(Panchanga!$P292&lt;28.5,Panchanga!$P292&gt;0.49999),MOD((Panchanga!$P292-0.5)*2,7),MOD((Panchanga!$P292+30-28.5),30)*2+7)</f>
        <v>2.9912000000000001</v>
      </c>
      <c r="M292" s="2" t="str">
        <f ca="1">CHOOSE(ROUNDUP(Panchanga!$L292,0),"Bhava","Baalava","Kaulava","Taitula","Garija","Vanija","Vishti","Shakuni","Chatushapda","Naaga","Kimstugna")</f>
        <v>Kaulava</v>
      </c>
      <c r="N292" s="25" t="str">
        <f ca="1">CHOOSE(ROUNDUP(Panchanga!$Q292,0),"Vishkambha-विष्कम्भ-Sa","Priti-प्रीति-Me","Ayushman-आयुष्मान-Ke","Saubhagya-सौभाग्य-Ve","Shobhana-शोभन-Su","Atiganda-अतिगण्ड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("&amp;Panchanga!$Q292&amp;")"</f>
        <v>Vishkambha-विष्कम्भ-Sa (0.83)</v>
      </c>
      <c r="O292" s="2">
        <f ca="1">IF(AND(Panchanga!$P292&lt;28.5,Panchanga!$P292&gt;0.49999),MOD((Panchanga!$P292-0.5)*2,7),MOD((Panchanga!$P292+30-28.5),30)*2+7)</f>
        <v>2.9912000000000001</v>
      </c>
      <c r="P292" s="2">
        <f ca="1">ROUNDUP(MOD(360+Panchanga!$G292-Panchanga!$F292,360)/12,4)</f>
        <v>1.9956</v>
      </c>
      <c r="Q292" s="2">
        <f t="shared" ca="1" si="47"/>
        <v>0.83</v>
      </c>
      <c r="R292" s="2" t="str">
        <f ca="1">SIGN(S293-Panchanga!$S292)*INT(Panchanga!$S292/30+1)&amp;"Ma,"&amp;SIGN(T293-Panchanga!$T292)*INT(Panchanga!$T292/30+1)&amp;"Me,"&amp;SIGN(U293-Panchanga!$U292)*INT(Panchanga!$U292/30+1)&amp;"Ju,"&amp;SIGN(V293-Panchanga!$V292)*INT(Panchanga!$V292/30+1)&amp;"Ve,"&amp;SIGN(W293-Panchanga!$W292)*INT(Panchanga!$W292/30+1)&amp;"Sa,"&amp;INT(Panchanga!$X292/30+1)&amp;"Ra"</f>
        <v>10Ma,7Me,7Ju,-7Ve,9Sa,4Ra</v>
      </c>
      <c r="S292" s="2">
        <f ca="1">Planet(Panchanga!$E292,4)</f>
        <v>286.13022154696881</v>
      </c>
      <c r="T292" s="2">
        <f ca="1">Planet(Panchanga!$E292,2)</f>
        <v>187.42416076158176</v>
      </c>
      <c r="U292" s="2">
        <f ca="1">Planet(Panchanga!$E292,5)</f>
        <v>209.88974420238719</v>
      </c>
      <c r="V292" s="2">
        <f ca="1">Planet(Panchanga!$E292,3)</f>
        <v>196.18544946542835</v>
      </c>
      <c r="W292" s="2">
        <f ca="1">Planet(Panchanga!$E292,6)</f>
        <v>249.38574408077548</v>
      </c>
      <c r="X292" s="2">
        <f ca="1">Planet(Panchanga!$E292,10)</f>
        <v>97.793572757870024</v>
      </c>
      <c r="Y292" s="2">
        <f ca="1">SIGN(S293-Panchanga!$S292)</f>
        <v>1</v>
      </c>
    </row>
    <row r="293" spans="1:25" x14ac:dyDescent="0.2">
      <c r="A293" s="3">
        <f t="shared" ca="1" si="48"/>
        <v>43385</v>
      </c>
      <c r="B293" s="3">
        <f t="shared" ca="1" si="41"/>
        <v>43385.229166666664</v>
      </c>
      <c r="C293" s="5">
        <f t="shared" ca="1" si="42"/>
        <v>43385.250511692524</v>
      </c>
      <c r="D293" s="5">
        <f t="shared" ca="1" si="43"/>
        <v>43384.744471689264</v>
      </c>
      <c r="E293" s="60">
        <f ca="1">Panchanga!$C293-TimeZone/24</f>
        <v>43385.02134502586</v>
      </c>
      <c r="F293" s="61">
        <f t="shared" ca="1" si="44"/>
        <v>174.52053782694014</v>
      </c>
      <c r="G293" s="61">
        <f t="shared" ca="1" si="45"/>
        <v>210.79538971319764</v>
      </c>
      <c r="H293" s="62">
        <f t="shared" ca="1" si="46"/>
        <v>43385.02134502586</v>
      </c>
      <c r="I293" s="2" t="str">
        <f ca="1">naks(Panchanga!$G293)</f>
        <v>Visakha</v>
      </c>
      <c r="J293" s="5">
        <f ca="1">(C294-Panchanga!$C293)/(G294-Panchanga!$G293)*(13.3333333333333-MOD(Panchanga!$G293,13.333333333333))+Panchanga!$C293</f>
        <v>43385.446833589776</v>
      </c>
      <c r="K293" s="2" t="str">
        <f ca="1">IF(Panchanga!$P293&gt;15,"K","S")&amp;ROUNDUP(MOD(Panchanga!$P293,15),0)&amp;" ("&amp;ROUND(Panchanga!$P293,2)&amp;")"</f>
        <v>S4 (3.02)</v>
      </c>
      <c r="L293" s="2">
        <f ca="1">IF(AND(Panchanga!$P293&lt;28.5,Panchanga!$P293&gt;0.49999),MOD((Panchanga!$P293-0.5)*2,7),MOD((Panchanga!$P293+30-28.5),30)*2+7)</f>
        <v>5.0460000000000003</v>
      </c>
      <c r="M293" s="2" t="str">
        <f ca="1">CHOOSE(ROUNDUP(Panchanga!$L293,0),"Bhava","Baalava","Kaulava","Taitula","Garija","Vanija","Vishti","Shakuni","Chatushapda","Naaga","Kimstugna")</f>
        <v>Vanija</v>
      </c>
      <c r="N293" s="25" t="str">
        <f ca="1">CHOOSE(ROUNDUP(Panchanga!$Q293,0),"Vishkambha-विष्कम्भ-Sa","Priti-प्रीति-Me","Ayushman-आयुष्मान-Ke","Saubhagya-सौभाग्य-Ve","Shobhana-शोभन-Su","Atiganda-अतिगण्ड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("&amp;Panchanga!$Q293&amp;")"</f>
        <v>Priti-प्रीति-Me (1.9)</v>
      </c>
      <c r="O293" s="2">
        <f ca="1">IF(AND(Panchanga!$P293&lt;28.5,Panchanga!$P293&gt;0.49999),MOD((Panchanga!$P293-0.5)*2,7),MOD((Panchanga!$P293+30-28.5),30)*2+7)</f>
        <v>5.0460000000000003</v>
      </c>
      <c r="P293" s="2">
        <f ca="1">ROUNDUP(MOD(360+Panchanga!$G293-Panchanga!$F293,360)/12,4)</f>
        <v>3.0230000000000001</v>
      </c>
      <c r="Q293" s="2">
        <f t="shared" ca="1" si="47"/>
        <v>1.9</v>
      </c>
      <c r="R293" s="2" t="str">
        <f ca="1">SIGN(S294-Panchanga!$S293)*INT(Panchanga!$S293/30+1)&amp;"Ma,"&amp;SIGN(T294-Panchanga!$T293)*INT(Panchanga!$T293/30+1)&amp;"Me,"&amp;SIGN(U294-Panchanga!$U293)*INT(Panchanga!$U293/30+1)&amp;"Ju,"&amp;SIGN(V294-Panchanga!$V293)*INT(Panchanga!$V293/30+1)&amp;"Ve,"&amp;SIGN(W294-Panchanga!$W293)*INT(Panchanga!$W293/30+1)&amp;"Sa,"&amp;INT(Panchanga!$X293/30+1)&amp;"Ra"</f>
        <v>10Ma,7Me,8Ju,-7Ve,9Sa,4Ra</v>
      </c>
      <c r="S293" s="2">
        <f ca="1">Planet(Panchanga!$E293,4)</f>
        <v>286.59759935792215</v>
      </c>
      <c r="T293" s="2">
        <f ca="1">Planet(Panchanga!$E293,2)</f>
        <v>188.96118913887946</v>
      </c>
      <c r="U293" s="2">
        <f ca="1">Planet(Panchanga!$E293,5)</f>
        <v>210.08862984927845</v>
      </c>
      <c r="V293" s="2">
        <f ca="1">Planet(Panchanga!$E293,3)</f>
        <v>195.95815448684866</v>
      </c>
      <c r="W293" s="2">
        <f ca="1">Planet(Panchanga!$E293,6)</f>
        <v>249.44079940699564</v>
      </c>
      <c r="X293" s="2">
        <f ca="1">Planet(Panchanga!$E293,10)</f>
        <v>97.740576759861497</v>
      </c>
      <c r="Y293" s="2">
        <f ca="1">SIGN(S294-Panchanga!$S293)</f>
        <v>1</v>
      </c>
    </row>
    <row r="294" spans="1:25" x14ac:dyDescent="0.2">
      <c r="A294" s="3">
        <f t="shared" ca="1" si="48"/>
        <v>43386</v>
      </c>
      <c r="B294" s="3">
        <f t="shared" ca="1" si="41"/>
        <v>43386.229166666664</v>
      </c>
      <c r="C294" s="5">
        <f t="shared" ca="1" si="42"/>
        <v>43386.250592119213</v>
      </c>
      <c r="D294" s="5">
        <f t="shared" ca="1" si="43"/>
        <v>43385.744044601961</v>
      </c>
      <c r="E294" s="60">
        <f ca="1">Panchanga!$C294-TimeZone/24</f>
        <v>43386.021425452549</v>
      </c>
      <c r="F294" s="61">
        <f t="shared" ca="1" si="44"/>
        <v>175.51031706283672</v>
      </c>
      <c r="G294" s="61">
        <f t="shared" ca="1" si="45"/>
        <v>223.72389017095196</v>
      </c>
      <c r="H294" s="62">
        <f t="shared" ca="1" si="46"/>
        <v>43386.021425452549</v>
      </c>
      <c r="I294" s="2" t="str">
        <f ca="1">naks(Panchanga!$G294)</f>
        <v>Anuradha</v>
      </c>
      <c r="J294" s="5">
        <f ca="1">(C295-Panchanga!$C294)/(G295-Panchanga!$G294)*(13.3333333333333-MOD(Panchanga!$G294,13.333333333333))+Panchanga!$C294</f>
        <v>43386.484849344029</v>
      </c>
      <c r="K294" s="2" t="str">
        <f ca="1">IF(Panchanga!$P294&gt;15,"K","S")&amp;ROUNDUP(MOD(Panchanga!$P294,15),0)&amp;" ("&amp;ROUND(Panchanga!$P294,2)&amp;")"</f>
        <v>S5 (4.02)</v>
      </c>
      <c r="L294" s="2">
        <f ca="1">IF(AND(Panchanga!$P294&lt;28.5,Panchanga!$P294&gt;0.49999),MOD((Panchanga!$P294-0.5)*2,7),MOD((Panchanga!$P294+30-28.5),30)*2+7)</f>
        <v>3.5599999999998744E-2</v>
      </c>
      <c r="M294" s="2" t="str">
        <f ca="1">CHOOSE(ROUNDUP(Panchanga!$L294,0),"Bhava","Baalava","Kaulava","Taitula","Garija","Vanija","Vishti","Shakuni","Chatushapda","Naaga","Kimstugna")</f>
        <v>Bhava</v>
      </c>
      <c r="N294" s="25" t="str">
        <f ca="1">CHOOSE(ROUNDUP(Panchanga!$Q294,0),"Vishkambha-विष्कम्भ-Sa","Priti-प्रीति-Me","Ayushman-आयुष्मान-Ke","Saubhagya-सौभाग्य-Ve","Shobhana-शोभन-Su","Atiganda-अतिगण्ड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("&amp;Panchanga!$Q294&amp;")"</f>
        <v>Ayushman-आयुष्मान-Ke (2.95)</v>
      </c>
      <c r="O294" s="2">
        <f ca="1">IF(AND(Panchanga!$P294&lt;28.5,Panchanga!$P294&gt;0.49999),MOD((Panchanga!$P294-0.5)*2,7),MOD((Panchanga!$P294+30-28.5),30)*2+7)</f>
        <v>3.5599999999998744E-2</v>
      </c>
      <c r="P294" s="2">
        <f ca="1">ROUNDUP(MOD(360+Panchanga!$G294-Panchanga!$F294,360)/12,4)</f>
        <v>4.0177999999999994</v>
      </c>
      <c r="Q294" s="2">
        <f t="shared" ca="1" si="47"/>
        <v>2.9499999999999997</v>
      </c>
      <c r="R294" s="2" t="str">
        <f ca="1">SIGN(S295-Panchanga!$S294)*INT(Panchanga!$S294/30+1)&amp;"Ma,"&amp;SIGN(T295-Panchanga!$T294)*INT(Panchanga!$T294/30+1)&amp;"Me,"&amp;SIGN(U295-Panchanga!$U294)*INT(Panchanga!$U294/30+1)&amp;"Ju,"&amp;SIGN(V295-Panchanga!$V294)*INT(Panchanga!$V294/30+1)&amp;"Ve,"&amp;SIGN(W295-Panchanga!$W294)*INT(Panchanga!$W294/30+1)&amp;"Sa,"&amp;INT(Panchanga!$X294/30+1)&amp;"Ra"</f>
        <v>10Ma,7Me,8Ju,-7Ve,9Sa,4Ra</v>
      </c>
      <c r="S294" s="2">
        <f ca="1">Planet(Panchanga!$E294,4)</f>
        <v>287.07131284815227</v>
      </c>
      <c r="T294" s="2">
        <f ca="1">Planet(Panchanga!$E294,2)</f>
        <v>190.48615723609905</v>
      </c>
      <c r="U294" s="2">
        <f ca="1">Planet(Panchanga!$E294,5)</f>
        <v>210.28854946239281</v>
      </c>
      <c r="V294" s="2">
        <f ca="1">Planet(Panchanga!$E294,3)</f>
        <v>195.6913531902517</v>
      </c>
      <c r="W294" s="2">
        <f ca="1">Planet(Panchanga!$E294,6)</f>
        <v>249.49728455600706</v>
      </c>
      <c r="X294" s="2">
        <f ca="1">Planet(Panchanga!$E294,10)</f>
        <v>97.687580500731272</v>
      </c>
      <c r="Y294" s="2">
        <f ca="1">SIGN(S295-Panchanga!$S294)</f>
        <v>1</v>
      </c>
    </row>
    <row r="295" spans="1:25" x14ac:dyDescent="0.2">
      <c r="A295" s="3">
        <f t="shared" ca="1" si="48"/>
        <v>43387</v>
      </c>
      <c r="B295" s="3">
        <f t="shared" ca="1" si="41"/>
        <v>43387.229166666664</v>
      </c>
      <c r="C295" s="5">
        <f t="shared" ca="1" si="42"/>
        <v>43387.250677473065</v>
      </c>
      <c r="D295" s="5">
        <f t="shared" ca="1" si="43"/>
        <v>43386.743624031587</v>
      </c>
      <c r="E295" s="60">
        <f ca="1">Panchanga!$C295-TimeZone/24</f>
        <v>43387.0215108064</v>
      </c>
      <c r="F295" s="61">
        <f t="shared" ca="1" si="44"/>
        <v>176.50060922104362</v>
      </c>
      <c r="G295" s="61">
        <f t="shared" ca="1" si="45"/>
        <v>236.28712135960455</v>
      </c>
      <c r="H295" s="62">
        <f t="shared" ca="1" si="46"/>
        <v>43387.0215108064</v>
      </c>
      <c r="I295" s="2" t="str">
        <f ca="1">naks(Panchanga!$G295)</f>
        <v>Jyestha</v>
      </c>
      <c r="J295" s="5">
        <f ca="1">(C296-Panchanga!$C295)/(G296-Panchanga!$G295)*(13.3333333333333-MOD(Panchanga!$G295,13.333333333333))+Panchanga!$C295</f>
        <v>43387.553786261647</v>
      </c>
      <c r="K295" s="2" t="str">
        <f ca="1">IF(Panchanga!$P295&gt;15,"K","S")&amp;ROUNDUP(MOD(Panchanga!$P295,15),0)&amp;" ("&amp;ROUND(Panchanga!$P295,2)&amp;")"</f>
        <v>S5 (4.98)</v>
      </c>
      <c r="L295" s="2">
        <f ca="1">IF(AND(Panchanga!$P295&lt;28.5,Panchanga!$P295&gt;0.49999),MOD((Panchanga!$P295-0.5)*2,7),MOD((Panchanga!$P295+30-28.5),30)*2+7)</f>
        <v>1.964599999999999</v>
      </c>
      <c r="M295" s="2" t="str">
        <f ca="1">CHOOSE(ROUNDUP(Panchanga!$L295,0),"Bhava","Baalava","Kaulava","Taitula","Garija","Vanija","Vishti","Shakuni","Chatushapda","Naaga","Kimstugna")</f>
        <v>Baalava</v>
      </c>
      <c r="N295" s="25" t="str">
        <f ca="1">CHOOSE(ROUNDUP(Panchanga!$Q295,0),"Vishkambha-विष्कम्भ-Sa","Priti-प्रीति-Me","Ayushman-आयुष्मान-Ke","Saubhagya-सौभाग्य-Ve","Shobhana-शोभन-Su","Atiganda-अतिगण्ड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("&amp;Panchanga!$Q295&amp;")"</f>
        <v>Saubhagya-सौभाग्य-Ve (3.96)</v>
      </c>
      <c r="O295" s="2">
        <f ca="1">IF(AND(Panchanga!$P295&lt;28.5,Panchanga!$P295&gt;0.49999),MOD((Panchanga!$P295-0.5)*2,7),MOD((Panchanga!$P295+30-28.5),30)*2+7)</f>
        <v>1.964599999999999</v>
      </c>
      <c r="P295" s="2">
        <f ca="1">ROUNDUP(MOD(360+Panchanga!$G295-Panchanga!$F295,360)/12,4)</f>
        <v>4.9822999999999995</v>
      </c>
      <c r="Q295" s="2">
        <f t="shared" ca="1" si="47"/>
        <v>3.96</v>
      </c>
      <c r="R295" s="2" t="str">
        <f ca="1">SIGN(S296-Panchanga!$S295)*INT(Panchanga!$S295/30+1)&amp;"Ma,"&amp;SIGN(T296-Panchanga!$T295)*INT(Panchanga!$T295/30+1)&amp;"Me,"&amp;SIGN(U296-Panchanga!$U295)*INT(Panchanga!$U295/30+1)&amp;"Ju,"&amp;SIGN(V296-Panchanga!$V295)*INT(Panchanga!$V295/30+1)&amp;"Ve,"&amp;SIGN(W296-Panchanga!$W295)*INT(Panchanga!$W295/30+1)&amp;"Sa,"&amp;INT(Panchanga!$X295/30+1)&amp;"Ra"</f>
        <v>10Ma,7Me,8Ju,-7Ve,9Sa,4Ra</v>
      </c>
      <c r="S295" s="2">
        <f ca="1">Planet(Panchanga!$E295,4)</f>
        <v>287.551191720654</v>
      </c>
      <c r="T295" s="2">
        <f ca="1">Planet(Panchanga!$E295,2)</f>
        <v>191.99915218274168</v>
      </c>
      <c r="U295" s="2">
        <f ca="1">Planet(Panchanga!$E295,5)</f>
        <v>210.48947708433766</v>
      </c>
      <c r="V295" s="2">
        <f ca="1">Planet(Panchanga!$E295,3)</f>
        <v>195.3856892695658</v>
      </c>
      <c r="W295" s="2">
        <f ca="1">Planet(Panchanga!$E295,6)</f>
        <v>249.55518561074788</v>
      </c>
      <c r="X295" s="2">
        <f ca="1">Planet(Panchanga!$E295,10)</f>
        <v>97.634583980512645</v>
      </c>
      <c r="Y295" s="2">
        <f ca="1">SIGN(S296-Panchanga!$S295)</f>
        <v>1</v>
      </c>
    </row>
    <row r="296" spans="1:25" x14ac:dyDescent="0.2">
      <c r="A296" s="3">
        <f t="shared" ca="1" si="48"/>
        <v>43388</v>
      </c>
      <c r="B296" s="3">
        <f t="shared" ca="1" si="41"/>
        <v>43388.229166666664</v>
      </c>
      <c r="C296" s="5">
        <f t="shared" ca="1" si="42"/>
        <v>43388.250767912868</v>
      </c>
      <c r="D296" s="5">
        <f t="shared" ca="1" si="43"/>
        <v>43387.743210136934</v>
      </c>
      <c r="E296" s="60">
        <f ca="1">Panchanga!$C296-TimeZone/24</f>
        <v>43388.021601246204</v>
      </c>
      <c r="F296" s="61">
        <f t="shared" ca="1" si="44"/>
        <v>177.4914059553706</v>
      </c>
      <c r="G296" s="61">
        <f t="shared" ca="1" si="45"/>
        <v>248.53755609559477</v>
      </c>
      <c r="H296" s="62">
        <f t="shared" ca="1" si="46"/>
        <v>43388.021601246204</v>
      </c>
      <c r="I296" s="2" t="str">
        <f ca="1">naks(Panchanga!$G296)</f>
        <v>Moola</v>
      </c>
      <c r="J296" s="5">
        <f ca="1">(C297-Panchanga!$C296)/(G297-Panchanga!$G296)*(13.3333333333333-MOD(Panchanga!$G296,13.333333333333))+Panchanga!$C296</f>
        <v>43388.650077560866</v>
      </c>
      <c r="K296" s="2" t="str">
        <f ca="1">IF(Panchanga!$P296&gt;15,"K","S")&amp;ROUNDUP(MOD(Panchanga!$P296,15),0)&amp;" ("&amp;ROUND(Panchanga!$P296,2)&amp;")"</f>
        <v>S6 (5.92)</v>
      </c>
      <c r="L296" s="2">
        <f ca="1">IF(AND(Panchanga!$P296&lt;28.5,Panchanga!$P296&gt;0.49999),MOD((Panchanga!$P296-0.5)*2,7),MOD((Panchanga!$P296+30-28.5),30)*2+7)</f>
        <v>3.8411999999999988</v>
      </c>
      <c r="M296" s="2" t="str">
        <f ca="1">CHOOSE(ROUNDUP(Panchanga!$L296,0),"Bhava","Baalava","Kaulava","Taitula","Garija","Vanija","Vishti","Shakuni","Chatushapda","Naaga","Kimstugna")</f>
        <v>Taitula</v>
      </c>
      <c r="N296" s="25" t="str">
        <f ca="1">CHOOSE(ROUNDUP(Panchanga!$Q296,0),"Vishkambha-विष्कम्भ-Sa","Priti-प्रीति-Me","Ayushman-आयुष्मान-Ke","Saubhagya-सौभाग्य-Ve","Shobhana-शोभन-Su","Atiganda-अतिगण्ड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("&amp;Panchanga!$Q296&amp;")"</f>
        <v>Shobhana-शोभन-Su (4.96)</v>
      </c>
      <c r="O296" s="2">
        <f ca="1">IF(AND(Panchanga!$P296&lt;28.5,Panchanga!$P296&gt;0.49999),MOD((Panchanga!$P296-0.5)*2,7),MOD((Panchanga!$P296+30-28.5),30)*2+7)</f>
        <v>3.8411999999999988</v>
      </c>
      <c r="P296" s="2">
        <f ca="1">ROUNDUP(MOD(360+Panchanga!$G296-Panchanga!$F296,360)/12,4)</f>
        <v>5.9205999999999994</v>
      </c>
      <c r="Q296" s="2">
        <f t="shared" ca="1" si="47"/>
        <v>4.96</v>
      </c>
      <c r="R296" s="2" t="str">
        <f ca="1">SIGN(S297-Panchanga!$S296)*INT(Panchanga!$S296/30+1)&amp;"Ma,"&amp;SIGN(T297-Panchanga!$T296)*INT(Panchanga!$T296/30+1)&amp;"Me,"&amp;SIGN(U297-Panchanga!$U296)*INT(Panchanga!$U296/30+1)&amp;"Ju,"&amp;SIGN(V297-Panchanga!$V296)*INT(Panchanga!$V296/30+1)&amp;"Ve,"&amp;SIGN(W297-Panchanga!$W296)*INT(Panchanga!$W296/30+1)&amp;"Sa,"&amp;INT(Panchanga!$X296/30+1)&amp;"Ra"</f>
        <v>10Ma,7Me,8Ju,-7Ve,9Sa,4Ra</v>
      </c>
      <c r="S296" s="2">
        <f ca="1">Planet(Panchanga!$E296,4)</f>
        <v>288.03706563311613</v>
      </c>
      <c r="T296" s="2">
        <f ca="1">Planet(Panchanga!$E296,2)</f>
        <v>193.50022101530527</v>
      </c>
      <c r="U296" s="2">
        <f ca="1">Planet(Panchanga!$E296,5)</f>
        <v>210.69138726122262</v>
      </c>
      <c r="V296" s="2">
        <f ca="1">Planet(Panchanga!$E296,3)</f>
        <v>195.04209147238222</v>
      </c>
      <c r="W296" s="2">
        <f ca="1">Planet(Panchanga!$E296,6)</f>
        <v>249.61448837591996</v>
      </c>
      <c r="X296" s="2">
        <f ca="1">Planet(Panchanga!$E296,10)</f>
        <v>97.581587190755329</v>
      </c>
      <c r="Y296" s="2">
        <f ca="1">SIGN(S297-Panchanga!$S296)</f>
        <v>1</v>
      </c>
    </row>
    <row r="297" spans="1:25" x14ac:dyDescent="0.2">
      <c r="A297" s="3">
        <f t="shared" ca="1" si="48"/>
        <v>43389</v>
      </c>
      <c r="B297" s="3">
        <f t="shared" ca="1" si="41"/>
        <v>43389.229166666664</v>
      </c>
      <c r="C297" s="5">
        <f t="shared" ca="1" si="42"/>
        <v>43389.250863598347</v>
      </c>
      <c r="D297" s="5">
        <f t="shared" ca="1" si="43"/>
        <v>43388.742803394838</v>
      </c>
      <c r="E297" s="60">
        <f ca="1">Panchanga!$C297-TimeZone/24</f>
        <v>43389.021696931683</v>
      </c>
      <c r="F297" s="61">
        <f t="shared" ca="1" si="44"/>
        <v>178.48270174271136</v>
      </c>
      <c r="G297" s="61">
        <f t="shared" ca="1" si="45"/>
        <v>260.54887650336877</v>
      </c>
      <c r="H297" s="62">
        <f t="shared" ca="1" si="46"/>
        <v>43389.021696931683</v>
      </c>
      <c r="I297" s="2" t="str">
        <f ca="1">naks(Panchanga!$G297)</f>
        <v>Purva Asadha</v>
      </c>
      <c r="J297" s="5">
        <f ca="1">(C298-Panchanga!$C297)/(G298-Panchanga!$G297)*(13.3333333333333-MOD(Panchanga!$G297,13.333333333333))+Panchanga!$C297</f>
        <v>43389.766797235963</v>
      </c>
      <c r="K297" s="2" t="str">
        <f ca="1">IF(Panchanga!$P297&gt;15,"K","S")&amp;ROUNDUP(MOD(Panchanga!$P297,15),0)&amp;" ("&amp;ROUND(Panchanga!$P297,2)&amp;")"</f>
        <v>S7 (6.84)</v>
      </c>
      <c r="L297" s="2">
        <f ca="1">IF(AND(Panchanga!$P297&lt;28.5,Panchanga!$P297&gt;0.49999),MOD((Panchanga!$P297-0.5)*2,7),MOD((Panchanga!$P297+30-28.5),30)*2+7)</f>
        <v>5.6777999999999995</v>
      </c>
      <c r="M297" s="2" t="str">
        <f ca="1">CHOOSE(ROUNDUP(Panchanga!$L297,0),"Bhava","Baalava","Kaulava","Taitula","Garija","Vanija","Vishti","Shakuni","Chatushapda","Naaga","Kimstugna")</f>
        <v>Vanija</v>
      </c>
      <c r="N297" s="25" t="str">
        <f ca="1">CHOOSE(ROUNDUP(Panchanga!$Q297,0),"Vishkambha-विष्कम्भ-Sa","Priti-प्रीति-Me","Ayushman-आयुष्मान-Ke","Saubhagya-सौभाग्य-Ve","Shobhana-शोभन-Su","Atiganda-अतिगण्ड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("&amp;Panchanga!$Q297&amp;")"</f>
        <v>Atiganda-अतिगण्ड -Mo (5.93)</v>
      </c>
      <c r="O297" s="2">
        <f ca="1">IF(AND(Panchanga!$P297&lt;28.5,Panchanga!$P297&gt;0.49999),MOD((Panchanga!$P297-0.5)*2,7),MOD((Panchanga!$P297+30-28.5),30)*2+7)</f>
        <v>5.6777999999999995</v>
      </c>
      <c r="P297" s="2">
        <f ca="1">ROUNDUP(MOD(360+Panchanga!$G297-Panchanga!$F297,360)/12,4)</f>
        <v>6.8388999999999998</v>
      </c>
      <c r="Q297" s="2">
        <f t="shared" ca="1" si="47"/>
        <v>5.93</v>
      </c>
      <c r="R297" s="2" t="str">
        <f ca="1">SIGN(S298-Panchanga!$S297)*INT(Panchanga!$S297/30+1)&amp;"Ma,"&amp;SIGN(T298-Panchanga!$T297)*INT(Panchanga!$T297/30+1)&amp;"Me,"&amp;SIGN(U298-Panchanga!$U297)*INT(Panchanga!$U297/30+1)&amp;"Ju,"&amp;SIGN(V298-Panchanga!$V297)*INT(Panchanga!$V297/30+1)&amp;"Ve,"&amp;SIGN(W298-Panchanga!$W297)*INT(Panchanga!$W297/30+1)&amp;"Sa,"&amp;INT(Panchanga!$X297/30+1)&amp;"Ra"</f>
        <v>10Ma,7Me,8Ju,-7Ve,9Sa,4Ra</v>
      </c>
      <c r="S297" s="2">
        <f ca="1">Planet(Panchanga!$E297,4)</f>
        <v>288.52876564754939</v>
      </c>
      <c r="T297" s="2">
        <f ca="1">Planet(Panchanga!$E297,2)</f>
        <v>194.98936566099547</v>
      </c>
      <c r="U297" s="2">
        <f ca="1">Planet(Panchanga!$E297,5)</f>
        <v>210.89425507012334</v>
      </c>
      <c r="V297" s="2">
        <f ca="1">Planet(Panchanga!$E297,3)</f>
        <v>194.66179312252382</v>
      </c>
      <c r="W297" s="2">
        <f ca="1">Planet(Panchanga!$E297,6)</f>
        <v>249.67517847004345</v>
      </c>
      <c r="X297" s="2">
        <f ca="1">Planet(Panchanga!$E297,10)</f>
        <v>97.528590123042562</v>
      </c>
      <c r="Y297" s="2">
        <f ca="1">SIGN(S298-Panchanga!$S297)</f>
        <v>1</v>
      </c>
    </row>
    <row r="298" spans="1:25" x14ac:dyDescent="0.2">
      <c r="A298" s="3">
        <f t="shared" ca="1" si="48"/>
        <v>43390</v>
      </c>
      <c r="B298" s="3">
        <f t="shared" ca="1" si="41"/>
        <v>43390.229166666664</v>
      </c>
      <c r="C298" s="5">
        <f t="shared" ca="1" si="42"/>
        <v>43390.250964687824</v>
      </c>
      <c r="D298" s="5">
        <f t="shared" ca="1" si="43"/>
        <v>43389.742403964556</v>
      </c>
      <c r="E298" s="60">
        <f ca="1">Panchanga!$C298-TimeZone/24</f>
        <v>43390.02179802116</v>
      </c>
      <c r="F298" s="61">
        <f t="shared" ca="1" si="44"/>
        <v>179.47449351587343</v>
      </c>
      <c r="G298" s="61">
        <f t="shared" ca="1" si="45"/>
        <v>272.40778269100753</v>
      </c>
      <c r="H298" s="62">
        <f t="shared" ca="1" si="46"/>
        <v>43390.02179802116</v>
      </c>
      <c r="I298" s="2" t="str">
        <f ca="1">naks(Panchanga!$G298)</f>
        <v>Uttara Asadha</v>
      </c>
      <c r="J298" s="5">
        <f ca="1">(C299-Panchanga!$C298)/(G299-Panchanga!$G298)*(13.3333333333333-MOD(Panchanga!$G298,13.333333333333))+Panchanga!$C298</f>
        <v>43390.894503968062</v>
      </c>
      <c r="K298" s="2" t="str">
        <f ca="1">IF(Panchanga!$P298&gt;15,"K","S")&amp;ROUNDUP(MOD(Panchanga!$P298,15),0)&amp;" ("&amp;ROUND(Panchanga!$P298,2)&amp;")"</f>
        <v>S8 (7.74)</v>
      </c>
      <c r="L298" s="2">
        <f ca="1">IF(AND(Panchanga!$P298&lt;28.5,Panchanga!$P298&gt;0.49999),MOD((Panchanga!$P298-0.5)*2,7),MOD((Panchanga!$P298+30-28.5),30)*2+7)</f>
        <v>0.48899999999999899</v>
      </c>
      <c r="M298" s="2" t="str">
        <f ca="1">CHOOSE(ROUNDUP(Panchanga!$L298,0),"Bhava","Baalava","Kaulava","Taitula","Garija","Vanija","Vishti","Shakuni","Chatushapda","Naaga","Kimstugna")</f>
        <v>Bhava</v>
      </c>
      <c r="N298" s="25" t="str">
        <f ca="1">CHOOSE(ROUNDUP(Panchanga!$Q298,0),"Vishkambha-विष्कम्भ-Sa","Priti-प्रीति-Me","Ayushman-आयुष्मान-Ke","Saubhagya-सौभाग्य-Ve","Shobhana-शोभन-Su","Atiganda-अतिगण्ड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("&amp;Panchanga!$Q298&amp;")"</f>
        <v>Sukarman-सुकर्मा -Ma (6.9)</v>
      </c>
      <c r="O298" s="2">
        <f ca="1">IF(AND(Panchanga!$P298&lt;28.5,Panchanga!$P298&gt;0.49999),MOD((Panchanga!$P298-0.5)*2,7),MOD((Panchanga!$P298+30-28.5),30)*2+7)</f>
        <v>0.48899999999999899</v>
      </c>
      <c r="P298" s="2">
        <f ca="1">ROUNDUP(MOD(360+Panchanga!$G298-Panchanga!$F298,360)/12,4)</f>
        <v>7.7444999999999995</v>
      </c>
      <c r="Q298" s="2">
        <f t="shared" ca="1" si="47"/>
        <v>6.8999999999999995</v>
      </c>
      <c r="R298" s="2" t="str">
        <f ca="1">SIGN(S299-Panchanga!$S298)*INT(Panchanga!$S298/30+1)&amp;"Ma,"&amp;SIGN(T299-Panchanga!$T298)*INT(Panchanga!$T298/30+1)&amp;"Me,"&amp;SIGN(U299-Panchanga!$U298)*INT(Panchanga!$U298/30+1)&amp;"Ju,"&amp;SIGN(V299-Panchanga!$V298)*INT(Panchanga!$V298/30+1)&amp;"Ve,"&amp;SIGN(W299-Panchanga!$W298)*INT(Panchanga!$W298/30+1)&amp;"Sa,"&amp;INT(Panchanga!$X298/30+1)&amp;"Ra"</f>
        <v>10Ma,7Me,8Ju,-7Ve,9Sa,4Ra</v>
      </c>
      <c r="S298" s="2">
        <f ca="1">Planet(Panchanga!$E298,4)</f>
        <v>289.02612531144956</v>
      </c>
      <c r="T298" s="2">
        <f ca="1">Planet(Panchanga!$E298,2)</f>
        <v>196.46653753772043</v>
      </c>
      <c r="U298" s="2">
        <f ca="1">Planet(Panchanga!$E298,5)</f>
        <v>211.09805612804738</v>
      </c>
      <c r="V298" s="2">
        <f ca="1">Planet(Panchanga!$E298,3)</f>
        <v>194.24634706310607</v>
      </c>
      <c r="W298" s="2">
        <f ca="1">Planet(Panchanga!$E298,6)</f>
        <v>249.73724139158037</v>
      </c>
      <c r="X298" s="2">
        <f ca="1">Planet(Panchanga!$E298,10)</f>
        <v>97.475592768957384</v>
      </c>
      <c r="Y298" s="2">
        <f ca="1">SIGN(S299-Panchanga!$S298)</f>
        <v>1</v>
      </c>
    </row>
    <row r="299" spans="1:25" x14ac:dyDescent="0.2">
      <c r="A299" s="3">
        <f t="shared" ca="1" si="48"/>
        <v>43391</v>
      </c>
      <c r="B299" s="3">
        <f t="shared" ca="1" si="41"/>
        <v>43391.229166666664</v>
      </c>
      <c r="C299" s="5">
        <f t="shared" ca="1" si="42"/>
        <v>43391.251071499348</v>
      </c>
      <c r="D299" s="5">
        <f t="shared" ca="1" si="43"/>
        <v>43390.742012004412</v>
      </c>
      <c r="E299" s="60">
        <f ca="1">Panchanga!$C299-TimeZone/24</f>
        <v>43391.021904832684</v>
      </c>
      <c r="F299" s="61">
        <f t="shared" ca="1" si="44"/>
        <v>180.46678047682622</v>
      </c>
      <c r="G299" s="61">
        <f t="shared" ca="1" si="45"/>
        <v>284.20664016326265</v>
      </c>
      <c r="H299" s="62">
        <f t="shared" ca="1" si="46"/>
        <v>43391.021904832684</v>
      </c>
      <c r="I299" s="2" t="str">
        <f ca="1">naks(Panchanga!$G299)</f>
        <v>Sravana</v>
      </c>
      <c r="J299" s="5">
        <f ca="1">(C300-Panchanga!$C299)/(G300-Panchanga!$G299)*(13.3333333333333-MOD(Panchanga!$G299,13.333333333333))+Panchanga!$C299</f>
        <v>43392.022603536599</v>
      </c>
      <c r="K299" s="2" t="str">
        <f ca="1">IF(Panchanga!$P299&gt;15,"K","S")&amp;ROUNDUP(MOD(Panchanga!$P299,15),0)&amp;" ("&amp;ROUND(Panchanga!$P299,2)&amp;")"</f>
        <v>S9 (8.65)</v>
      </c>
      <c r="L299" s="2">
        <f ca="1">IF(AND(Panchanga!$P299&lt;28.5,Panchanga!$P299&gt;0.49999),MOD((Panchanga!$P299-0.5)*2,7),MOD((Panchanga!$P299+30-28.5),30)*2+7)</f>
        <v>2.2899999999999991</v>
      </c>
      <c r="M299" s="2" t="str">
        <f ca="1">CHOOSE(ROUNDUP(Panchanga!$L299,0),"Bhava","Baalava","Kaulava","Taitula","Garija","Vanija","Vishti","Shakuni","Chatushapda","Naaga","Kimstugna")</f>
        <v>Kaulava</v>
      </c>
      <c r="N299" s="25" t="str">
        <f ca="1">CHOOSE(ROUNDUP(Panchanga!$Q299,0),"Vishkambha-विष्कम्भ-Sa","Priti-प्रीति-Me","Ayushman-आयुष्मान-Ke","Saubhagya-सौभाग्य-Ve","Shobhana-शोभन-Su","Atiganda-अतिगण्ड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("&amp;Panchanga!$Q299&amp;")"</f>
        <v>Dhriti-धृति -Ra (7.86)</v>
      </c>
      <c r="O299" s="2">
        <f ca="1">IF(AND(Panchanga!$P299&lt;28.5,Panchanga!$P299&gt;0.49999),MOD((Panchanga!$P299-0.5)*2,7),MOD((Panchanga!$P299+30-28.5),30)*2+7)</f>
        <v>2.2899999999999991</v>
      </c>
      <c r="P299" s="2">
        <f ca="1">ROUNDUP(MOD(360+Panchanga!$G299-Panchanga!$F299,360)/12,4)</f>
        <v>8.6449999999999996</v>
      </c>
      <c r="Q299" s="2">
        <f t="shared" ca="1" si="47"/>
        <v>7.8599999999999994</v>
      </c>
      <c r="R299" s="2" t="str">
        <f ca="1">SIGN(S300-Panchanga!$S299)*INT(Panchanga!$S299/30+1)&amp;"Ma,"&amp;SIGN(T300-Panchanga!$T299)*INT(Panchanga!$T299/30+1)&amp;"Me,"&amp;SIGN(U300-Panchanga!$U299)*INT(Panchanga!$U299/30+1)&amp;"Ju,"&amp;SIGN(V300-Panchanga!$V299)*INT(Panchanga!$V299/30+1)&amp;"Ve,"&amp;SIGN(W300-Panchanga!$W299)*INT(Panchanga!$W299/30+1)&amp;"Sa,"&amp;INT(Panchanga!$X299/30+1)&amp;"Ra"</f>
        <v>10Ma,7Me,8Ju,-7Ve,9Sa,4Ra</v>
      </c>
      <c r="S299" s="2">
        <f ca="1">Planet(Panchanga!$E299,4)</f>
        <v>289.52898134849346</v>
      </c>
      <c r="T299" s="2">
        <f ca="1">Planet(Panchanga!$E299,2)</f>
        <v>197.93163172732318</v>
      </c>
      <c r="U299" s="2">
        <f ca="1">Planet(Panchanga!$E299,5)</f>
        <v>211.30276660352487</v>
      </c>
      <c r="V299" s="2">
        <f ca="1">Planet(Panchanga!$E299,3)</f>
        <v>193.79763549389401</v>
      </c>
      <c r="W299" s="2">
        <f ca="1">Planet(Panchanga!$E299,6)</f>
        <v>249.80066256232436</v>
      </c>
      <c r="X299" s="2">
        <f ca="1">Planet(Panchanga!$E299,10)</f>
        <v>97.422595111665771</v>
      </c>
      <c r="Y299" s="2">
        <f ca="1">SIGN(S300-Panchanga!$S299)</f>
        <v>1</v>
      </c>
    </row>
    <row r="300" spans="1:25" x14ac:dyDescent="0.2">
      <c r="A300" s="3">
        <f t="shared" ca="1" si="48"/>
        <v>43392</v>
      </c>
      <c r="B300" s="3">
        <f t="shared" ca="1" si="41"/>
        <v>43392.229166666664</v>
      </c>
      <c r="C300" s="5">
        <f t="shared" ca="1" si="42"/>
        <v>43392.251183874127</v>
      </c>
      <c r="D300" s="5">
        <f t="shared" ca="1" si="43"/>
        <v>43391.741627991243</v>
      </c>
      <c r="E300" s="60">
        <f ca="1">Panchanga!$C300-TimeZone/24</f>
        <v>43392.022017207462</v>
      </c>
      <c r="F300" s="61">
        <f t="shared" ca="1" si="44"/>
        <v>181.45956324703434</v>
      </c>
      <c r="G300" s="61">
        <f t="shared" ca="1" si="45"/>
        <v>296.03728145804877</v>
      </c>
      <c r="H300" s="62">
        <f t="shared" ca="1" si="46"/>
        <v>43392.022017207462</v>
      </c>
      <c r="I300" s="2" t="str">
        <f ca="1">naks(Panchanga!$G300)</f>
        <v>Dhanistha</v>
      </c>
      <c r="J300" s="5">
        <f ca="1">(C301-Panchanga!$C300)/(G301-Panchanga!$G300)*(13.3333333333333-MOD(Panchanga!$G300,13.333333333333))+Panchanga!$C300</f>
        <v>43393.140900225299</v>
      </c>
      <c r="K300" s="2" t="str">
        <f ca="1">IF(Panchanga!$P300&gt;15,"K","S")&amp;ROUNDUP(MOD(Panchanga!$P300,15),0)&amp;" ("&amp;ROUND(Panchanga!$P300,2)&amp;")"</f>
        <v>S10 (9.55)</v>
      </c>
      <c r="L300" s="2">
        <f ca="1">IF(AND(Panchanga!$P300&lt;28.5,Panchanga!$P300&gt;0.49999),MOD((Panchanga!$P300-0.5)*2,7),MOD((Panchanga!$P300+30-28.5),30)*2+7)</f>
        <v>4.0963999999999992</v>
      </c>
      <c r="M300" s="2" t="str">
        <f ca="1">CHOOSE(ROUNDUP(Panchanga!$L300,0),"Bhava","Baalava","Kaulava","Taitula","Garija","Vanija","Vishti","Shakuni","Chatushapda","Naaga","Kimstugna")</f>
        <v>Garija</v>
      </c>
      <c r="N300" s="25" t="str">
        <f ca="1">CHOOSE(ROUNDUP(Panchanga!$Q300,0),"Vishkambha-विष्कम्भ-Sa","Priti-प्रीति-Me","Ayushman-आयुष्मान-Ke","Saubhagya-सौभाग्य-Ve","Shobhana-शोभन-Su","Atiganda-अतिगण्ड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("&amp;Panchanga!$Q300&amp;")"</f>
        <v>Shula-शूल -Ju (8.82)</v>
      </c>
      <c r="O300" s="2">
        <f ca="1">IF(AND(Panchanga!$P300&lt;28.5,Panchanga!$P300&gt;0.49999),MOD((Panchanga!$P300-0.5)*2,7),MOD((Panchanga!$P300+30-28.5),30)*2+7)</f>
        <v>4.0963999999999992</v>
      </c>
      <c r="P300" s="2">
        <f ca="1">ROUNDUP(MOD(360+Panchanga!$G300-Panchanga!$F300,360)/12,4)</f>
        <v>9.5481999999999996</v>
      </c>
      <c r="Q300" s="2">
        <f t="shared" ca="1" si="47"/>
        <v>8.82</v>
      </c>
      <c r="R300" s="2" t="str">
        <f ca="1">SIGN(S301-Panchanga!$S300)*INT(Panchanga!$S300/30+1)&amp;"Ma,"&amp;SIGN(T301-Panchanga!$T300)*INT(Panchanga!$T300/30+1)&amp;"Me,"&amp;SIGN(U301-Panchanga!$U300)*INT(Panchanga!$U300/30+1)&amp;"Ju,"&amp;SIGN(V301-Panchanga!$V300)*INT(Panchanga!$V300/30+1)&amp;"Ve,"&amp;SIGN(W301-Panchanga!$W300)*INT(Panchanga!$W300/30+1)&amp;"Sa,"&amp;INT(Panchanga!$X300/30+1)&amp;"Ra"</f>
        <v>10Ma,7Me,8Ju,-7Ve,9Sa,4Ra</v>
      </c>
      <c r="S300" s="2">
        <f ca="1">Planet(Panchanga!$E300,4)</f>
        <v>290.03717357390155</v>
      </c>
      <c r="T300" s="2">
        <f ca="1">Planet(Panchanga!$E300,2)</f>
        <v>199.38447932796564</v>
      </c>
      <c r="U300" s="2">
        <f ca="1">Planet(Panchanga!$E300,5)</f>
        <v>211.50836306058255</v>
      </c>
      <c r="V300" s="2">
        <f ca="1">Planet(Panchanga!$E300,3)</f>
        <v>193.31787470902827</v>
      </c>
      <c r="W300" s="2">
        <f ca="1">Planet(Panchanga!$E300,6)</f>
        <v>249.86542730447837</v>
      </c>
      <c r="X300" s="2">
        <f ca="1">Planet(Panchanga!$E300,10)</f>
        <v>97.369597159535047</v>
      </c>
      <c r="Y300" s="2">
        <f ca="1">SIGN(S301-Panchanga!$S300)</f>
        <v>1</v>
      </c>
    </row>
    <row r="301" spans="1:25" x14ac:dyDescent="0.2">
      <c r="A301" s="3">
        <f t="shared" ca="1" si="48"/>
        <v>43393</v>
      </c>
      <c r="B301" s="3">
        <f t="shared" ca="1" si="41"/>
        <v>43393.229166666664</v>
      </c>
      <c r="C301" s="5">
        <f t="shared" ca="1" si="42"/>
        <v>43393.251301970486</v>
      </c>
      <c r="D301" s="5">
        <f t="shared" ca="1" si="43"/>
        <v>43392.741251925981</v>
      </c>
      <c r="E301" s="60">
        <f ca="1">Panchanga!$C301-TimeZone/24</f>
        <v>43393.022135303821</v>
      </c>
      <c r="F301" s="61">
        <f t="shared" ca="1" si="44"/>
        <v>182.45284460975563</v>
      </c>
      <c r="G301" s="61">
        <f t="shared" ca="1" si="45"/>
        <v>307.98562936272663</v>
      </c>
      <c r="H301" s="62">
        <f t="shared" ca="1" si="46"/>
        <v>43393.022135303821</v>
      </c>
      <c r="I301" s="2" t="str">
        <f ca="1">naks(Panchanga!$G301)</f>
        <v>Satabhisaj</v>
      </c>
      <c r="J301" s="5">
        <f ca="1">(C302-Panchanga!$C301)/(G302-Panchanga!$G301)*(13.3333333333333-MOD(Panchanga!$G301,13.333333333333))+Panchanga!$C301</f>
        <v>43394.241008366836</v>
      </c>
      <c r="K301" s="2" t="str">
        <f ca="1">IF(Panchanga!$P301&gt;15,"K","S")&amp;ROUNDUP(MOD(Panchanga!$P301,15),0)&amp;" ("&amp;ROUND(Panchanga!$P301,2)&amp;")"</f>
        <v>S11 (10.46)</v>
      </c>
      <c r="L301" s="2">
        <f ca="1">IF(AND(Panchanga!$P301&lt;28.5,Panchanga!$P301&gt;0.49999),MOD((Panchanga!$P301-0.5)*2,7),MOD((Panchanga!$P301+30-28.5),30)*2+7)</f>
        <v>5.9222000000000001</v>
      </c>
      <c r="M301" s="2" t="str">
        <f ca="1">CHOOSE(ROUNDUP(Panchanga!$L301,0),"Bhava","Baalava","Kaulava","Taitula","Garija","Vanija","Vishti","Shakuni","Chatushapda","Naaga","Kimstugna")</f>
        <v>Vanija</v>
      </c>
      <c r="N301" s="25" t="str">
        <f ca="1">CHOOSE(ROUNDUP(Panchanga!$Q301,0),"Vishkambha-विष्कम्भ-Sa","Priti-प्रीति-Me","Ayushman-आयुष्मान-Ke","Saubhagya-सौभाग्य-Ve","Shobhana-शोभन-Su","Atiganda-अतिगण्ड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("&amp;Panchanga!$Q301&amp;")"</f>
        <v>Ganda-गण्ड -Sa (9.79)</v>
      </c>
      <c r="O301" s="2">
        <f ca="1">IF(AND(Panchanga!$P301&lt;28.5,Panchanga!$P301&gt;0.49999),MOD((Panchanga!$P301-0.5)*2,7),MOD((Panchanga!$P301+30-28.5),30)*2+7)</f>
        <v>5.9222000000000001</v>
      </c>
      <c r="P301" s="2">
        <f ca="1">ROUNDUP(MOD(360+Panchanga!$G301-Panchanga!$F301,360)/12,4)</f>
        <v>10.4611</v>
      </c>
      <c r="Q301" s="2">
        <f t="shared" ca="1" si="47"/>
        <v>9.7899999999999991</v>
      </c>
      <c r="R301" s="2" t="str">
        <f ca="1">SIGN(S302-Panchanga!$S301)*INT(Panchanga!$S301/30+1)&amp;"Ma,"&amp;SIGN(T302-Panchanga!$T301)*INT(Panchanga!$T301/30+1)&amp;"Me,"&amp;SIGN(U302-Panchanga!$U301)*INT(Panchanga!$U301/30+1)&amp;"Ju,"&amp;SIGN(V302-Panchanga!$V301)*INT(Panchanga!$V301/30+1)&amp;"Ve,"&amp;SIGN(W302-Panchanga!$W301)*INT(Panchanga!$W301/30+1)&amp;"Sa,"&amp;INT(Panchanga!$X301/30+1)&amp;"Ra"</f>
        <v>10Ma,7Me,8Ju,-7Ve,9Sa,4Ra</v>
      </c>
      <c r="S301" s="2">
        <f ca="1">Planet(Panchanga!$E301,4)</f>
        <v>290.55054534081853</v>
      </c>
      <c r="T301" s="2">
        <f ca="1">Planet(Panchanga!$E301,2)</f>
        <v>200.82484121901135</v>
      </c>
      <c r="U301" s="2">
        <f ca="1">Planet(Panchanga!$E301,5)</f>
        <v>211.71482261408445</v>
      </c>
      <c r="V301" s="2">
        <f ca="1">Planet(Panchanga!$E301,3)</f>
        <v>192.80961325566662</v>
      </c>
      <c r="W301" s="2">
        <f ca="1">Planet(Panchanga!$E301,6)</f>
        <v>249.93152090573702</v>
      </c>
      <c r="X301" s="2">
        <f ca="1">Planet(Panchanga!$E301,10)</f>
        <v>97.316598904247641</v>
      </c>
      <c r="Y301" s="2">
        <f ca="1">SIGN(S302-Panchanga!$S301)</f>
        <v>1</v>
      </c>
    </row>
    <row r="302" spans="1:25" x14ac:dyDescent="0.2">
      <c r="A302" s="3">
        <f t="shared" ca="1" si="48"/>
        <v>43394</v>
      </c>
      <c r="B302" s="3">
        <f t="shared" ca="1" si="41"/>
        <v>43394.229166666664</v>
      </c>
      <c r="C302" s="5">
        <f t="shared" ca="1" si="42"/>
        <v>43394.251426266193</v>
      </c>
      <c r="D302" s="5">
        <f t="shared" ca="1" si="43"/>
        <v>43393.740884284533</v>
      </c>
      <c r="E302" s="60">
        <f ca="1">Panchanga!$C302-TimeZone/24</f>
        <v>43394.022259599529</v>
      </c>
      <c r="F302" s="61">
        <f t="shared" ca="1" si="44"/>
        <v>183.44662963286714</v>
      </c>
      <c r="G302" s="61">
        <f t="shared" ca="1" si="45"/>
        <v>320.12646629806648</v>
      </c>
      <c r="H302" s="62">
        <f t="shared" ca="1" si="46"/>
        <v>43394.022259599529</v>
      </c>
      <c r="I302" s="2" t="str">
        <f ca="1">naks(Panchanga!$G302)</f>
        <v>Purva Bhadrapada</v>
      </c>
      <c r="J302" s="5">
        <f ca="1">(C303-Panchanga!$C302)/(G303-Panchanga!$G302)*(13.3333333333333-MOD(Panchanga!$G302,13.333333333333))+Panchanga!$C302</f>
        <v>43395.317354322673</v>
      </c>
      <c r="K302" s="2" t="str">
        <f ca="1">IF(Panchanga!$P302&gt;15,"K","S")&amp;ROUNDUP(MOD(Panchanga!$P302,15),0)&amp;" ("&amp;ROUND(Panchanga!$P302,2)&amp;")"</f>
        <v>S12 (11.39)</v>
      </c>
      <c r="L302" s="2">
        <f ca="1">IF(AND(Panchanga!$P302&lt;28.5,Panchanga!$P302&gt;0.49999),MOD((Panchanga!$P302-0.5)*2,7),MOD((Panchanga!$P302+30-28.5),30)*2+7)</f>
        <v>0.78000000000000114</v>
      </c>
      <c r="M302" s="2" t="str">
        <f ca="1">CHOOSE(ROUNDUP(Panchanga!$L302,0),"Bhava","Baalava","Kaulava","Taitula","Garija","Vanija","Vishti","Shakuni","Chatushapda","Naaga","Kimstugna")</f>
        <v>Bhava</v>
      </c>
      <c r="N302" s="25" t="str">
        <f ca="1">CHOOSE(ROUNDUP(Panchanga!$Q302,0),"Vishkambha-विष्कम्भ-Sa","Priti-प्रीति-Me","Ayushman-आयुष्मान-Ke","Saubhagya-सौभाग्य-Ve","Shobhana-शोभन-Su","Atiganda-अतिगण्ड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("&amp;Panchanga!$Q302&amp;")"</f>
        <v>Vriddhi-वृद्धि -Me (10.77)</v>
      </c>
      <c r="O302" s="2">
        <f ca="1">IF(AND(Panchanga!$P302&lt;28.5,Panchanga!$P302&gt;0.49999),MOD((Panchanga!$P302-0.5)*2,7),MOD((Panchanga!$P302+30-28.5),30)*2+7)</f>
        <v>0.78000000000000114</v>
      </c>
      <c r="P302" s="2">
        <f ca="1">ROUNDUP(MOD(360+Panchanga!$G302-Panchanga!$F302,360)/12,4)</f>
        <v>11.39</v>
      </c>
      <c r="Q302" s="2">
        <f t="shared" ca="1" si="47"/>
        <v>10.77</v>
      </c>
      <c r="R302" s="2" t="str">
        <f ca="1">SIGN(S303-Panchanga!$S302)*INT(Panchanga!$S302/30+1)&amp;"Ma,"&amp;SIGN(T303-Panchanga!$T302)*INT(Panchanga!$T302/30+1)&amp;"Me,"&amp;SIGN(U303-Panchanga!$U302)*INT(Panchanga!$U302/30+1)&amp;"Ju,"&amp;SIGN(V303-Panchanga!$V302)*INT(Panchanga!$V302/30+1)&amp;"Ve,"&amp;SIGN(W303-Panchanga!$W302)*INT(Panchanga!$W302/30+1)&amp;"Sa,"&amp;INT(Panchanga!$X302/30+1)&amp;"Ra"</f>
        <v>10Ma,7Me,8Ju,-7Ve,9Sa,4Ra</v>
      </c>
      <c r="S302" s="2">
        <f ca="1">Planet(Panchanga!$E302,4)</f>
        <v>291.06894363892377</v>
      </c>
      <c r="T302" s="2">
        <f ca="1">Planet(Panchanga!$E302,2)</f>
        <v>202.25239988247981</v>
      </c>
      <c r="U302" s="2">
        <f ca="1">Planet(Panchanga!$E302,5)</f>
        <v>211.92212295310975</v>
      </c>
      <c r="V302" s="2">
        <f ca="1">Planet(Panchanga!$E302,3)</f>
        <v>192.27572382209544</v>
      </c>
      <c r="W302" s="2">
        <f ca="1">Planet(Panchanga!$E302,6)</f>
        <v>249.99892864816735</v>
      </c>
      <c r="X302" s="2">
        <f ca="1">Planet(Panchanga!$E302,10)</f>
        <v>97.263600320420139</v>
      </c>
      <c r="Y302" s="2">
        <f ca="1">SIGN(S303-Panchanga!$S302)</f>
        <v>1</v>
      </c>
    </row>
    <row r="303" spans="1:25" x14ac:dyDescent="0.2">
      <c r="A303" s="3">
        <f t="shared" ca="1" si="48"/>
        <v>43395</v>
      </c>
      <c r="B303" s="3">
        <f t="shared" ca="1" si="41"/>
        <v>43395.229166666664</v>
      </c>
      <c r="C303" s="5">
        <f t="shared" ca="1" si="42"/>
        <v>43395.251556601528</v>
      </c>
      <c r="D303" s="5">
        <f t="shared" ca="1" si="43"/>
        <v>43394.740525384943</v>
      </c>
      <c r="E303" s="60">
        <f ca="1">Panchanga!$C303-TimeZone/24</f>
        <v>43395.022389934864</v>
      </c>
      <c r="F303" s="61">
        <f t="shared" ca="1" si="44"/>
        <v>184.44092491448924</v>
      </c>
      <c r="G303" s="61">
        <f t="shared" ca="1" si="45"/>
        <v>332.51809843162255</v>
      </c>
      <c r="H303" s="62">
        <f t="shared" ca="1" si="46"/>
        <v>43395.022389934864</v>
      </c>
      <c r="I303" s="2" t="str">
        <f ca="1">naks(Panchanga!$G303)</f>
        <v>Purva Bhadrapada</v>
      </c>
      <c r="J303" s="5">
        <f ca="1">(C304-Panchanga!$C303)/(G304-Panchanga!$G303)*(13.3333333333333-MOD(Panchanga!$G303,13.333333333333))+Panchanga!$C303</f>
        <v>43395.315861348696</v>
      </c>
      <c r="K303" s="2" t="str">
        <f ca="1">IF(Panchanga!$P303&gt;15,"K","S")&amp;ROUNDUP(MOD(Panchanga!$P303,15),0)&amp;" ("&amp;ROUND(Panchanga!$P303,2)&amp;")"</f>
        <v>S13 (12.34)</v>
      </c>
      <c r="L303" s="2">
        <f ca="1">IF(AND(Panchanga!$P303&lt;28.5,Panchanga!$P303&gt;0.49999),MOD((Panchanga!$P303-0.5)*2,7),MOD((Panchanga!$P303+30-28.5),30)*2+7)</f>
        <v>2.6796000000000006</v>
      </c>
      <c r="M303" s="2" t="str">
        <f ca="1">CHOOSE(ROUNDUP(Panchanga!$L303,0),"Bhava","Baalava","Kaulava","Taitula","Garija","Vanija","Vishti","Shakuni","Chatushapda","Naaga","Kimstugna")</f>
        <v>Kaulava</v>
      </c>
      <c r="N303" s="25" t="str">
        <f ca="1">CHOOSE(ROUNDUP(Panchanga!$Q303,0),"Vishkambha-विष्कम्भ-Sa","Priti-प्रीति-Me","Ayushman-आयुष्मान-Ke","Saubhagya-सौभाग्य-Ve","Shobhana-शोभन-Su","Atiganda-अतिगण्ड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("&amp;Panchanga!$Q303&amp;")"</f>
        <v>Dhruva-ध्रुव -Ke (11.78)</v>
      </c>
      <c r="O303" s="2">
        <f ca="1">IF(AND(Panchanga!$P303&lt;28.5,Panchanga!$P303&gt;0.49999),MOD((Panchanga!$P303-0.5)*2,7),MOD((Panchanga!$P303+30-28.5),30)*2+7)</f>
        <v>2.6796000000000006</v>
      </c>
      <c r="P303" s="2">
        <f ca="1">ROUNDUP(MOD(360+Panchanga!$G303-Panchanga!$F303,360)/12,4)</f>
        <v>12.3398</v>
      </c>
      <c r="Q303" s="2">
        <f t="shared" ca="1" si="47"/>
        <v>11.78</v>
      </c>
      <c r="R303" s="2" t="str">
        <f ca="1">SIGN(S304-Panchanga!$S303)*INT(Panchanga!$S303/30+1)&amp;"Ma,"&amp;SIGN(T304-Panchanga!$T303)*INT(Panchanga!$T303/30+1)&amp;"Me,"&amp;SIGN(U304-Panchanga!$U303)*INT(Panchanga!$U303/30+1)&amp;"Ju,"&amp;SIGN(V304-Panchanga!$V303)*INT(Panchanga!$V303/30+1)&amp;"Ve,"&amp;SIGN(W304-Panchanga!$W303)*INT(Panchanga!$W303/30+1)&amp;"Sa,"&amp;INT(Panchanga!$X303/30+1)&amp;"Ra"</f>
        <v>10Ma,7Me,8Ju,-7Ve,9Sa,4Ra</v>
      </c>
      <c r="S303" s="2">
        <f ca="1">Planet(Panchanga!$E303,4)</f>
        <v>291.59221892009839</v>
      </c>
      <c r="T303" s="2">
        <f ca="1">Planet(Panchanga!$E303,2)</f>
        <v>203.66674892161186</v>
      </c>
      <c r="U303" s="2">
        <f ca="1">Planet(Panchanga!$E303,5)</f>
        <v>212.13024219076314</v>
      </c>
      <c r="V303" s="2">
        <f ca="1">Planet(Panchanga!$E303,3)</f>
        <v>191.71938835042349</v>
      </c>
      <c r="W303" s="2">
        <f ca="1">Planet(Panchanga!$E303,6)</f>
        <v>250.06763579401999</v>
      </c>
      <c r="X303" s="2">
        <f ca="1">Planet(Panchanga!$E303,10)</f>
        <v>97.210601416568991</v>
      </c>
      <c r="Y303" s="2">
        <f ca="1">SIGN(S304-Panchanga!$S303)</f>
        <v>1</v>
      </c>
    </row>
    <row r="304" spans="1:25" x14ac:dyDescent="0.2">
      <c r="A304" s="3">
        <f t="shared" ca="1" si="48"/>
        <v>43396</v>
      </c>
      <c r="B304" s="3">
        <f t="shared" ca="1" si="41"/>
        <v>43396.229166666664</v>
      </c>
      <c r="C304" s="5">
        <f t="shared" ca="1" si="42"/>
        <v>43396.251693136212</v>
      </c>
      <c r="D304" s="5">
        <f t="shared" ca="1" si="43"/>
        <v>43395.740175227678</v>
      </c>
      <c r="E304" s="60">
        <f ca="1">Panchanga!$C304-TimeZone/24</f>
        <v>43396.022526469547</v>
      </c>
      <c r="F304" s="61">
        <f t="shared" ca="1" si="44"/>
        <v>185.43573968607126</v>
      </c>
      <c r="G304" s="61">
        <f t="shared" ca="1" si="45"/>
        <v>345.19750773579193</v>
      </c>
      <c r="H304" s="62">
        <f t="shared" ca="1" si="46"/>
        <v>43396.022526469547</v>
      </c>
      <c r="I304" s="2" t="str">
        <f ca="1">naks(Panchanga!$G304)</f>
        <v>Uttara Bhadrapada</v>
      </c>
      <c r="J304" s="5">
        <f ca="1">(C305-Panchanga!$C304)/(G305-Panchanga!$G304)*(13.3333333333333-MOD(Panchanga!$G304,13.333333333333))+Panchanga!$C304</f>
        <v>43396.364899204178</v>
      </c>
      <c r="K304" s="2" t="str">
        <f ca="1">IF(Panchanga!$P304&gt;15,"K","S")&amp;ROUNDUP(MOD(Panchanga!$P304,15),0)&amp;" ("&amp;ROUND(Panchanga!$P304,2)&amp;")"</f>
        <v>S14 (13.31)</v>
      </c>
      <c r="L304" s="2">
        <f ca="1">IF(AND(Panchanga!$P304&lt;28.5,Panchanga!$P304&gt;0.49999),MOD((Panchanga!$P304-0.5)*2,7),MOD((Panchanga!$P304+30-28.5),30)*2+7)</f>
        <v>4.6269999999999989</v>
      </c>
      <c r="M304" s="2" t="str">
        <f ca="1">CHOOSE(ROUNDUP(Panchanga!$L304,0),"Bhava","Baalava","Kaulava","Taitula","Garija","Vanija","Vishti","Shakuni","Chatushapda","Naaga","Kimstugna")</f>
        <v>Garija</v>
      </c>
      <c r="N304" s="25" t="str">
        <f ca="1">CHOOSE(ROUNDUP(Panchanga!$Q304,0),"Vishkambha-विष्कम्भ-Sa","Priti-प्रीति-Me","Ayushman-आयुष्मान-Ke","Saubhagya-सौभाग्य-Ve","Shobhana-शोभन-Su","Atiganda-अतिगण्ड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("&amp;Panchanga!$Q304&amp;")"</f>
        <v>Vyaghata-व्याघात-ve (12.8)</v>
      </c>
      <c r="O304" s="2">
        <f ca="1">IF(AND(Panchanga!$P304&lt;28.5,Panchanga!$P304&gt;0.49999),MOD((Panchanga!$P304-0.5)*2,7),MOD((Panchanga!$P304+30-28.5),30)*2+7)</f>
        <v>4.6269999999999989</v>
      </c>
      <c r="P304" s="2">
        <f ca="1">ROUNDUP(MOD(360+Panchanga!$G304-Panchanga!$F304,360)/12,4)</f>
        <v>13.313499999999999</v>
      </c>
      <c r="Q304" s="2">
        <f t="shared" ca="1" si="47"/>
        <v>12.799999999999999</v>
      </c>
      <c r="R304" s="2" t="str">
        <f ca="1">SIGN(S305-Panchanga!$S304)*INT(Panchanga!$S304/30+1)&amp;"Ma,"&amp;SIGN(T305-Panchanga!$T304)*INT(Panchanga!$T304/30+1)&amp;"Me,"&amp;SIGN(U305-Panchanga!$U304)*INT(Panchanga!$U304/30+1)&amp;"Ju,"&amp;SIGN(V305-Panchanga!$V304)*INT(Panchanga!$V304/30+1)&amp;"Ve,"&amp;SIGN(W305-Panchanga!$W304)*INT(Panchanga!$W304/30+1)&amp;"Sa,"&amp;INT(Panchanga!$X304/30+1)&amp;"Ra"</f>
        <v>10Ma,7Me,8Ju,-7Ve,9Sa,4Ra</v>
      </c>
      <c r="S304" s="2">
        <f ca="1">Planet(Panchanga!$E304,4)</f>
        <v>292.12022624931723</v>
      </c>
      <c r="T304" s="2">
        <f ca="1">Planet(Panchanga!$E304,2)</f>
        <v>205.06738409026568</v>
      </c>
      <c r="U304" s="2">
        <f ca="1">Planet(Panchanga!$E304,5)</f>
        <v>212.33915911881238</v>
      </c>
      <c r="V304" s="2">
        <f ca="1">Planet(Panchanga!$E304,3)</f>
        <v>191.14407399351802</v>
      </c>
      <c r="W304" s="2">
        <f ca="1">Planet(Panchanga!$E304,6)</f>
        <v>250.13762771495931</v>
      </c>
      <c r="X304" s="2">
        <f ca="1">Planet(Panchanga!$E304,10)</f>
        <v>97.157602184177748</v>
      </c>
      <c r="Y304" s="2">
        <f ca="1">SIGN(S305-Panchanga!$S304)</f>
        <v>1</v>
      </c>
    </row>
    <row r="305" spans="1:25" x14ac:dyDescent="0.2">
      <c r="A305" s="3">
        <f t="shared" ca="1" si="48"/>
        <v>43397</v>
      </c>
      <c r="B305" s="3">
        <f t="shared" ca="1" si="41"/>
        <v>43397.229166666664</v>
      </c>
      <c r="C305" s="5">
        <f t="shared" ca="1" si="42"/>
        <v>43397.251836187359</v>
      </c>
      <c r="D305" s="5">
        <f t="shared" ca="1" si="43"/>
        <v>43396.739834129854</v>
      </c>
      <c r="E305" s="60">
        <f ca="1">Panchanga!$C305-TimeZone/24</f>
        <v>43397.022669520695</v>
      </c>
      <c r="F305" s="61">
        <f t="shared" ca="1" si="44"/>
        <v>186.43108562130658</v>
      </c>
      <c r="G305" s="61">
        <f t="shared" ca="1" si="45"/>
        <v>358.17710434310777</v>
      </c>
      <c r="H305" s="62">
        <f t="shared" ca="1" si="46"/>
        <v>43397.022669520695</v>
      </c>
      <c r="I305" s="2" t="str">
        <f ca="1">naks(Panchanga!$G305)</f>
        <v>Revati</v>
      </c>
      <c r="J305" s="5">
        <f ca="1">(C306-Panchanga!$C305)/(G306-Panchanga!$G305)*(13.3333333333333-MOD(Panchanga!$G305,13.333333333333))+Panchanga!$C305</f>
        <v>43397.24657805125</v>
      </c>
      <c r="K305" s="2" t="str">
        <f ca="1">IF(Panchanga!$P305&gt;15,"K","S")&amp;ROUNDUP(MOD(Panchanga!$P305,15),0)&amp;" ("&amp;ROUND(Panchanga!$P305,2)&amp;")"</f>
        <v>S15 (14.31)</v>
      </c>
      <c r="L305" s="2">
        <f ca="1">IF(AND(Panchanga!$P305&lt;28.5,Panchanga!$P305&gt;0.49999),MOD((Panchanga!$P305-0.5)*2,7),MOD((Panchanga!$P305+30-28.5),30)*2+7)</f>
        <v>6.6243999999999978</v>
      </c>
      <c r="M305" s="2" t="str">
        <f ca="1">CHOOSE(ROUNDUP(Panchanga!$L305,0),"Bhava","Baalava","Kaulava","Taitula","Garija","Vanija","Vishti","Shakuni","Chatushapda","Naaga","Kimstugna")</f>
        <v>Vishti</v>
      </c>
      <c r="N305" s="25" t="str">
        <f ca="1">CHOOSE(ROUNDUP(Panchanga!$Q305,0),"Vishkambha-विष्कम्भ-Sa","Priti-प्रीति-Me","Ayushman-आयुष्मान-Ke","Saubhagya-सौभाग्य-Ve","Shobhana-शोभन-Su","Atiganda-अतिगण्ड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("&amp;Panchanga!$Q305&amp;")"</f>
        <v>Harshana-हर्षण-su (13.85)</v>
      </c>
      <c r="O305" s="2">
        <f ca="1">IF(AND(Panchanga!$P305&lt;28.5,Panchanga!$P305&gt;0.49999),MOD((Panchanga!$P305-0.5)*2,7),MOD((Panchanga!$P305+30-28.5),30)*2+7)</f>
        <v>6.6243999999999978</v>
      </c>
      <c r="P305" s="2">
        <f ca="1">ROUNDUP(MOD(360+Panchanga!$G305-Panchanga!$F305,360)/12,4)</f>
        <v>14.312199999999999</v>
      </c>
      <c r="Q305" s="2">
        <f t="shared" ca="1" si="47"/>
        <v>13.85</v>
      </c>
      <c r="R305" s="2" t="str">
        <f ca="1">SIGN(S306-Panchanga!$S305)*INT(Panchanga!$S305/30+1)&amp;"Ma,"&amp;SIGN(T306-Panchanga!$T305)*INT(Panchanga!$T305/30+1)&amp;"Me,"&amp;SIGN(U306-Panchanga!$U305)*INT(Panchanga!$U305/30+1)&amp;"Ju,"&amp;SIGN(V306-Panchanga!$V305)*INT(Panchanga!$V305/30+1)&amp;"Ve,"&amp;SIGN(W306-Panchanga!$W305)*INT(Panchanga!$W305/30+1)&amp;"Sa,"&amp;INT(Panchanga!$X305/30+1)&amp;"Ra"</f>
        <v>10Ma,7Me,8Ju,-7Ve,9Sa,4Ra</v>
      </c>
      <c r="S305" s="2">
        <f ca="1">Planet(Panchanga!$E305,4)</f>
        <v>292.6528261915185</v>
      </c>
      <c r="T305" s="2">
        <f ca="1">Planet(Panchanga!$E305,2)</f>
        <v>206.45369111123065</v>
      </c>
      <c r="U305" s="2">
        <f ca="1">Planet(Panchanga!$E305,5)</f>
        <v>212.5488532145593</v>
      </c>
      <c r="V305" s="2">
        <f ca="1">Planet(Panchanga!$E305,3)</f>
        <v>190.55350086751099</v>
      </c>
      <c r="W305" s="2">
        <f ca="1">Planet(Panchanga!$E305,6)</f>
        <v>250.20888996138643</v>
      </c>
      <c r="X305" s="2">
        <f ca="1">Planet(Panchanga!$E305,10)</f>
        <v>97.104602606478835</v>
      </c>
      <c r="Y305" s="2">
        <f ca="1">SIGN(S306-Panchanga!$S305)</f>
        <v>1</v>
      </c>
    </row>
    <row r="306" spans="1:25" x14ac:dyDescent="0.2">
      <c r="A306" s="3">
        <f t="shared" ca="1" si="48"/>
        <v>43398</v>
      </c>
      <c r="B306" s="3">
        <f t="shared" ca="1" si="41"/>
        <v>43398.229166666664</v>
      </c>
      <c r="C306" s="5">
        <f t="shared" ca="1" si="42"/>
        <v>43398.251985754971</v>
      </c>
      <c r="D306" s="5">
        <f t="shared" ca="1" si="43"/>
        <v>43397.739502569239</v>
      </c>
      <c r="E306" s="60">
        <f ca="1">Panchanga!$C306-TimeZone/24</f>
        <v>43398.022819088306</v>
      </c>
      <c r="F306" s="61">
        <f t="shared" ca="1" si="44"/>
        <v>187.42697606835429</v>
      </c>
      <c r="G306" s="61">
        <f t="shared" ca="1" si="45"/>
        <v>11.444295558156478</v>
      </c>
      <c r="H306" s="62">
        <f t="shared" ca="1" si="46"/>
        <v>43398.022819088306</v>
      </c>
      <c r="I306" s="2" t="str">
        <f ca="1">naks(Panchanga!$G306)</f>
        <v>Aswini</v>
      </c>
      <c r="J306" s="5">
        <f ca="1">(C307-Panchanga!$C306)/(G307-Panchanga!$G306)*(13.3333333333333-MOD(Panchanga!$G306,13.333333333333))+Panchanga!$C306</f>
        <v>43398.391724971909</v>
      </c>
      <c r="K306" s="2" t="str">
        <f ca="1">IF(Panchanga!$P306&gt;15,"K","S")&amp;ROUNDUP(MOD(Panchanga!$P306,15),0)&amp;" ("&amp;ROUND(Panchanga!$P306,2)&amp;")"</f>
        <v>K1 (15.33)</v>
      </c>
      <c r="L306" s="2">
        <f ca="1">IF(AND(Panchanga!$P306&lt;28.5,Panchanga!$P306&gt;0.49999),MOD((Panchanga!$P306-0.5)*2,7),MOD((Panchanga!$P306+30-28.5),30)*2+7)</f>
        <v>1.6695999999999991</v>
      </c>
      <c r="M306" s="2" t="str">
        <f ca="1">CHOOSE(ROUNDUP(Panchanga!$L306,0),"Bhava","Baalava","Kaulava","Taitula","Garija","Vanija","Vishti","Shakuni","Chatushapda","Naaga","Kimstugna")</f>
        <v>Baalava</v>
      </c>
      <c r="N306" s="25" t="str">
        <f ca="1">CHOOSE(ROUNDUP(Panchanga!$Q306,0),"Vishkambha-विष्कम्भ-Sa","Priti-प्रीति-Me","Ayushman-आयुष्मान-Ke","Saubhagya-सौभाग्य-Ve","Shobhana-शोभन-Su","Atiganda-अतिगण्ड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("&amp;Panchanga!$Q306&amp;")"</f>
        <v>Vajra-वज्र-Mo (14.92)</v>
      </c>
      <c r="O306" s="2">
        <f ca="1">IF(AND(Panchanga!$P306&lt;28.5,Panchanga!$P306&gt;0.49999),MOD((Panchanga!$P306-0.5)*2,7),MOD((Panchanga!$P306+30-28.5),30)*2+7)</f>
        <v>1.6695999999999991</v>
      </c>
      <c r="P306" s="2">
        <f ca="1">ROUNDUP(MOD(360+Panchanga!$G306-Panchanga!$F306,360)/12,4)</f>
        <v>15.3348</v>
      </c>
      <c r="Q306" s="2">
        <f t="shared" ca="1" si="47"/>
        <v>14.92</v>
      </c>
      <c r="R306" s="2" t="str">
        <f ca="1">SIGN(S307-Panchanga!$S306)*INT(Panchanga!$S306/30+1)&amp;"Ma,"&amp;SIGN(T307-Panchanga!$T306)*INT(Panchanga!$T306/30+1)&amp;"Me,"&amp;SIGN(U307-Panchanga!$U306)*INT(Panchanga!$U306/30+1)&amp;"Ju,"&amp;SIGN(V307-Panchanga!$V306)*INT(Panchanga!$V306/30+1)&amp;"Ve,"&amp;SIGN(W307-Panchanga!$W306)*INT(Panchanga!$W306/30+1)&amp;"Sa,"&amp;INT(Panchanga!$X306/30+1)&amp;"Ra"</f>
        <v>10Ma,7Me,8Ju,-7Ve,9Sa,4Ra</v>
      </c>
      <c r="S306" s="2">
        <f ca="1">Planet(Panchanga!$E306,4)</f>
        <v>293.18988568405126</v>
      </c>
      <c r="T306" s="2">
        <f ca="1">Planet(Panchanga!$E306,2)</f>
        <v>207.82493114752762</v>
      </c>
      <c r="U306" s="2">
        <f ca="1">Planet(Panchanga!$E306,5)</f>
        <v>212.75930454068529</v>
      </c>
      <c r="V306" s="2">
        <f ca="1">Planet(Panchanga!$E306,3)</f>
        <v>189.95160119155818</v>
      </c>
      <c r="W306" s="2">
        <f ca="1">Planet(Panchanga!$E306,6)</f>
        <v>250.2814082958069</v>
      </c>
      <c r="X306" s="2">
        <f ca="1">Planet(Panchanga!$E306,10)</f>
        <v>97.051602683472296</v>
      </c>
      <c r="Y306" s="2">
        <f ca="1">SIGN(S307-Panchanga!$S306)</f>
        <v>1</v>
      </c>
    </row>
    <row r="307" spans="1:25" x14ac:dyDescent="0.2">
      <c r="A307" s="3">
        <f t="shared" ca="1" si="48"/>
        <v>43399</v>
      </c>
      <c r="B307" s="3">
        <f t="shared" ca="1" si="41"/>
        <v>43399.229166666664</v>
      </c>
      <c r="C307" s="5">
        <f t="shared" ca="1" si="42"/>
        <v>43399.252142157558</v>
      </c>
      <c r="D307" s="5">
        <f t="shared" ca="1" si="43"/>
        <v>43398.739180862947</v>
      </c>
      <c r="E307" s="60">
        <f ca="1">Panchanga!$C307-TimeZone/24</f>
        <v>43399.022975490894</v>
      </c>
      <c r="F307" s="61">
        <f t="shared" ca="1" si="44"/>
        <v>188.42342609283898</v>
      </c>
      <c r="G307" s="61">
        <f t="shared" ca="1" si="45"/>
        <v>24.964717863473005</v>
      </c>
      <c r="H307" s="62">
        <f t="shared" ca="1" si="46"/>
        <v>43399.022975490894</v>
      </c>
      <c r="I307" s="2" t="str">
        <f ca="1">naks(Panchanga!$G307)</f>
        <v>Bharani</v>
      </c>
      <c r="J307" s="5">
        <f ca="1">(C308-Panchanga!$C307)/(G308-Panchanga!$G307)*(13.3333333333333-MOD(Panchanga!$G307,13.333333333333))+Panchanga!$C307</f>
        <v>43399.376170920725</v>
      </c>
      <c r="K307" s="2" t="str">
        <f ca="1">IF(Panchanga!$P307&gt;15,"K","S")&amp;ROUNDUP(MOD(Panchanga!$P307,15),0)&amp;" ("&amp;ROUND(Panchanga!$P307,2)&amp;")"</f>
        <v>K2 (16.38)</v>
      </c>
      <c r="L307" s="2">
        <f ca="1">IF(AND(Panchanga!$P307&lt;28.5,Panchanga!$P307&gt;0.49999),MOD((Panchanga!$P307-0.5)*2,7),MOD((Panchanga!$P307+30-28.5),30)*2+7)</f>
        <v>3.7569999999999979</v>
      </c>
      <c r="M307" s="2" t="str">
        <f ca="1">CHOOSE(ROUNDUP(Panchanga!$L307,0),"Bhava","Baalava","Kaulava","Taitula","Garija","Vanija","Vishti","Shakuni","Chatushapda","Naaga","Kimstugna")</f>
        <v>Taitula</v>
      </c>
      <c r="N307" s="25" t="str">
        <f ca="1">CHOOSE(ROUNDUP(Panchanga!$Q307,0),"Vishkambha-विष्कम्भ-Sa","Priti-प्रीति-Me","Ayushman-आयुष्मान-Ke","Saubhagya-सौभाग्य-Ve","Shobhana-शोभन-Su","Atiganda-अतिगण्ड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("&amp;Panchanga!$Q307&amp;")"</f>
        <v>Vyatipata-व्यतिपात-Ra (16.01)</v>
      </c>
      <c r="O307" s="2">
        <f ca="1">IF(AND(Panchanga!$P307&lt;28.5,Panchanga!$P307&gt;0.49999),MOD((Panchanga!$P307-0.5)*2,7),MOD((Panchanga!$P307+30-28.5),30)*2+7)</f>
        <v>3.7569999999999979</v>
      </c>
      <c r="P307" s="2">
        <f ca="1">ROUNDUP(MOD(360+Panchanga!$G307-Panchanga!$F307,360)/12,4)</f>
        <v>16.378499999999999</v>
      </c>
      <c r="Q307" s="2">
        <f t="shared" ca="1" si="47"/>
        <v>16.010000000000002</v>
      </c>
      <c r="R307" s="2" t="str">
        <f ca="1">SIGN(S308-Panchanga!$S307)*INT(Panchanga!$S307/30+1)&amp;"Ma,"&amp;SIGN(T308-Panchanga!$T307)*INT(Panchanga!$T307/30+1)&amp;"Me,"&amp;SIGN(U308-Panchanga!$U307)*INT(Panchanga!$U307/30+1)&amp;"Ju,"&amp;SIGN(V308-Panchanga!$V307)*INT(Panchanga!$V307/30+1)&amp;"Ve,"&amp;SIGN(W308-Panchanga!$W307)*INT(Panchanga!$W307/30+1)&amp;"Sa,"&amp;INT(Panchanga!$X307/30+1)&amp;"Ra"</f>
        <v>10Ma,7Me,8Ju,-7Ve,9Sa,4Ra</v>
      </c>
      <c r="S307" s="2">
        <f ca="1">Planet(Panchanga!$E307,4)</f>
        <v>293.73127944804685</v>
      </c>
      <c r="T307" s="2">
        <f ca="1">Planet(Panchanga!$E307,2)</f>
        <v>209.1802255636733</v>
      </c>
      <c r="U307" s="2">
        <f ca="1">Planet(Panchanga!$E307,5)</f>
        <v>212.97049381878173</v>
      </c>
      <c r="V307" s="2">
        <f ca="1">Planet(Panchanga!$E307,3)</f>
        <v>189.34246966567108</v>
      </c>
      <c r="W307" s="2">
        <f ca="1">Planet(Panchanga!$E307,6)</f>
        <v>250.35516878174278</v>
      </c>
      <c r="X307" s="2">
        <f ca="1">Planet(Panchanga!$E307,10)</f>
        <v>96.998602398257802</v>
      </c>
      <c r="Y307" s="2">
        <f ca="1">SIGN(S308-Panchanga!$S307)</f>
        <v>1</v>
      </c>
    </row>
    <row r="308" spans="1:25" x14ac:dyDescent="0.2">
      <c r="A308" s="3">
        <f t="shared" ca="1" si="48"/>
        <v>43400</v>
      </c>
      <c r="B308" s="3">
        <f t="shared" ca="1" si="41"/>
        <v>43400.229166666664</v>
      </c>
      <c r="C308" s="5">
        <f t="shared" ca="1" si="42"/>
        <v>43400.252305235867</v>
      </c>
      <c r="D308" s="5">
        <f t="shared" ca="1" si="43"/>
        <v>43399.738868852655</v>
      </c>
      <c r="E308" s="60">
        <f ca="1">Panchanga!$C308-TimeZone/24</f>
        <v>43400.023138569202</v>
      </c>
      <c r="F308" s="61">
        <f t="shared" ca="1" si="44"/>
        <v>189.42045085011435</v>
      </c>
      <c r="G308" s="61">
        <f t="shared" ca="1" si="45"/>
        <v>38.68916621486526</v>
      </c>
      <c r="H308" s="62">
        <f t="shared" ca="1" si="46"/>
        <v>43400.023138569202</v>
      </c>
      <c r="I308" s="2" t="str">
        <f ca="1">naks(Panchanga!$G308)</f>
        <v>Krittika</v>
      </c>
      <c r="J308" s="5">
        <f ca="1">(C309-Panchanga!$C308)/(G309-Panchanga!$G308)*(13.3333333333333-MOD(Panchanga!$G308,13.333333333333))+Panchanga!$C308</f>
        <v>43400.346802810716</v>
      </c>
      <c r="K308" s="2" t="str">
        <f ca="1">IF(Panchanga!$P308&gt;15,"K","S")&amp;ROUNDUP(MOD(Panchanga!$P308,15),0)&amp;" ("&amp;ROUND(Panchanga!$P308,2)&amp;")"</f>
        <v>K3 (17.44)</v>
      </c>
      <c r="L308" s="2">
        <f ca="1">IF(AND(Panchanga!$P308&lt;28.5,Panchanga!$P308&gt;0.49999),MOD((Panchanga!$P308-0.5)*2,7),MOD((Panchanga!$P308+30-28.5),30)*2+7)</f>
        <v>5.8781999999999996</v>
      </c>
      <c r="M308" s="2" t="str">
        <f ca="1">CHOOSE(ROUNDUP(Panchanga!$L308,0),"Bhava","Baalava","Kaulava","Taitula","Garija","Vanija","Vishti","Shakuni","Chatushapda","Naaga","Kimstugna")</f>
        <v>Vanija</v>
      </c>
      <c r="N308" s="25" t="str">
        <f ca="1">CHOOSE(ROUNDUP(Panchanga!$Q308,0),"Vishkambha-विष्कम्भ-Sa","Priti-प्रीति-Me","Ayushman-आयुष्मान-Ke","Saubhagya-सौभाग्य-Ve","Shobhana-शोभन-Su","Atiganda-अतिगण्ड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("&amp;Panchanga!$Q308&amp;")"</f>
        <v>Varigha-वरीयस्-Ju (17.11)</v>
      </c>
      <c r="O308" s="2">
        <f ca="1">IF(AND(Panchanga!$P308&lt;28.5,Panchanga!$P308&gt;0.49999),MOD((Panchanga!$P308-0.5)*2,7),MOD((Panchanga!$P308+30-28.5),30)*2+7)</f>
        <v>5.8781999999999996</v>
      </c>
      <c r="P308" s="2">
        <f ca="1">ROUNDUP(MOD(360+Panchanga!$G308-Panchanga!$F308,360)/12,4)</f>
        <v>17.4391</v>
      </c>
      <c r="Q308" s="2">
        <f t="shared" ca="1" si="47"/>
        <v>17.110000000000003</v>
      </c>
      <c r="R308" s="2" t="str">
        <f ca="1">SIGN(S309-Panchanga!$S308)*INT(Panchanga!$S308/30+1)&amp;"Ma,"&amp;SIGN(T309-Panchanga!$T308)*INT(Panchanga!$T308/30+1)&amp;"Me,"&amp;SIGN(U309-Panchanga!$U308)*INT(Panchanga!$U308/30+1)&amp;"Ju,"&amp;SIGN(V309-Panchanga!$V308)*INT(Panchanga!$V308/30+1)&amp;"Ve,"&amp;SIGN(W309-Panchanga!$W308)*INT(Panchanga!$W308/30+1)&amp;"Sa,"&amp;INT(Panchanga!$X308/30+1)&amp;"Ra"</f>
        <v>10Ma,8Me,8Ju,-7Ve,9Sa,4Ra</v>
      </c>
      <c r="S308" s="2">
        <f ca="1">Planet(Panchanga!$E308,4)</f>
        <v>294.27689039157821</v>
      </c>
      <c r="T308" s="2">
        <f ca="1">Planet(Panchanga!$E308,2)</f>
        <v>210.51853622340147</v>
      </c>
      <c r="U308" s="2">
        <f ca="1">Planet(Panchanga!$E308,5)</f>
        <v>213.18240214096855</v>
      </c>
      <c r="V308" s="2">
        <f ca="1">Planet(Panchanga!$E308,3)</f>
        <v>188.73030810112633</v>
      </c>
      <c r="W308" s="2">
        <f ca="1">Planet(Panchanga!$E308,6)</f>
        <v>250.43015773456045</v>
      </c>
      <c r="X308" s="2">
        <f ca="1">Planet(Panchanga!$E308,10)</f>
        <v>96.945601759285566</v>
      </c>
      <c r="Y308" s="2">
        <f ca="1">SIGN(S309-Panchanga!$S308)</f>
        <v>1</v>
      </c>
    </row>
    <row r="309" spans="1:25" x14ac:dyDescent="0.2">
      <c r="A309" s="3">
        <f t="shared" ca="1" si="48"/>
        <v>43401</v>
      </c>
      <c r="B309" s="3">
        <f t="shared" ca="1" si="41"/>
        <v>43401.229166666664</v>
      </c>
      <c r="C309" s="5">
        <f t="shared" ca="1" si="42"/>
        <v>43401.252475466732</v>
      </c>
      <c r="D309" s="5">
        <f t="shared" ca="1" si="43"/>
        <v>43400.738567332781</v>
      </c>
      <c r="E309" s="60">
        <f ca="1">Panchanga!$C309-TimeZone/24</f>
        <v>43401.023308800068</v>
      </c>
      <c r="F309" s="61">
        <f t="shared" ca="1" si="44"/>
        <v>190.41806569393401</v>
      </c>
      <c r="G309" s="61">
        <f t="shared" ca="1" si="45"/>
        <v>52.563140564073208</v>
      </c>
      <c r="H309" s="62">
        <f t="shared" ca="1" si="46"/>
        <v>43401.023308800068</v>
      </c>
      <c r="I309" s="2" t="str">
        <f ca="1">naks(Panchanga!$G309)</f>
        <v>Rohini</v>
      </c>
      <c r="J309" s="5">
        <f ca="1">(C310-Panchanga!$C309)/(G310-Panchanga!$G309)*(13.3333333333333-MOD(Panchanga!$G309,13.333333333333))+Panchanga!$C309</f>
        <v>43401.307603756191</v>
      </c>
      <c r="K309" s="2" t="str">
        <f ca="1">IF(Panchanga!$P309&gt;15,"K","S")&amp;ROUNDUP(MOD(Panchanga!$P309,15),0)&amp;" ("&amp;ROUND(Panchanga!$P309,2)&amp;")"</f>
        <v>K4 (18.51)</v>
      </c>
      <c r="L309" s="2">
        <f ca="1">IF(AND(Panchanga!$P309&lt;28.5,Panchanga!$P309&gt;0.49999),MOD((Panchanga!$P309-0.5)*2,7),MOD((Panchanga!$P309+30-28.5),30)*2+7)</f>
        <v>1.0242000000000004</v>
      </c>
      <c r="M309" s="2" t="str">
        <f ca="1">CHOOSE(ROUNDUP(Panchanga!$L309,0),"Bhava","Baalava","Kaulava","Taitula","Garija","Vanija","Vishti","Shakuni","Chatushapda","Naaga","Kimstugna")</f>
        <v>Baalava</v>
      </c>
      <c r="N309" s="25" t="str">
        <f ca="1">CHOOSE(ROUNDUP(Panchanga!$Q309,0),"Vishkambha-विष्कम्भ-Sa","Priti-प्रीति-Me","Ayushman-आयुष्मान-Ke","Saubhagya-सौभाग्य-Ve","Shobhana-शोभन-Su","Atiganda-अतिगण्ड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("&amp;Panchanga!$Q309&amp;")"</f>
        <v>Parigha-परिघ-Sa (18.23)</v>
      </c>
      <c r="O309" s="2">
        <f ca="1">IF(AND(Panchanga!$P309&lt;28.5,Panchanga!$P309&gt;0.49999),MOD((Panchanga!$P309-0.5)*2,7),MOD((Panchanga!$P309+30-28.5),30)*2+7)</f>
        <v>1.0242000000000004</v>
      </c>
      <c r="P309" s="2">
        <f ca="1">ROUNDUP(MOD(360+Panchanga!$G309-Panchanga!$F309,360)/12,4)</f>
        <v>18.5121</v>
      </c>
      <c r="Q309" s="2">
        <f t="shared" ca="1" si="47"/>
        <v>18.23</v>
      </c>
      <c r="R309" s="2" t="str">
        <f ca="1">SIGN(S310-Panchanga!$S309)*INT(Panchanga!$S309/30+1)&amp;"Ma,"&amp;SIGN(T310-Panchanga!$T309)*INT(Panchanga!$T309/30+1)&amp;"Me,"&amp;SIGN(U310-Panchanga!$U309)*INT(Panchanga!$U309/30+1)&amp;"Ju,"&amp;SIGN(V310-Panchanga!$V309)*INT(Panchanga!$V309/30+1)&amp;"Ve,"&amp;SIGN(W310-Panchanga!$W309)*INT(Panchanga!$W309/30+1)&amp;"Sa,"&amp;INT(Panchanga!$X309/30+1)&amp;"Ra"</f>
        <v>10Ma,8Me,8Ju,-7Ve,9Sa,4Ra</v>
      </c>
      <c r="S309" s="2">
        <f ca="1">Planet(Panchanga!$E309,4)</f>
        <v>294.82661069361819</v>
      </c>
      <c r="T309" s="2">
        <f ca="1">Planet(Panchanga!$E309,2)</f>
        <v>211.83864562494909</v>
      </c>
      <c r="U309" s="2">
        <f ca="1">Planet(Panchanga!$E309,5)</f>
        <v>213.39501103698942</v>
      </c>
      <c r="V309" s="2">
        <f ca="1">Planet(Panchanga!$E309,3)</f>
        <v>188.11936438258357</v>
      </c>
      <c r="W309" s="2">
        <f ca="1">Planet(Panchanga!$E309,6)</f>
        <v>250.50636177447635</v>
      </c>
      <c r="X309" s="2">
        <f ca="1">Planet(Panchanga!$E309,10)</f>
        <v>96.892600741304676</v>
      </c>
      <c r="Y309" s="2">
        <f ca="1">SIGN(S310-Panchanga!$S309)</f>
        <v>1</v>
      </c>
    </row>
    <row r="310" spans="1:25" x14ac:dyDescent="0.2">
      <c r="A310" s="3">
        <f t="shared" ca="1" si="48"/>
        <v>43402</v>
      </c>
      <c r="B310" s="3">
        <f t="shared" ca="1" si="41"/>
        <v>43402.229166666664</v>
      </c>
      <c r="C310" s="5">
        <f t="shared" ca="1" si="42"/>
        <v>43402.252652691364</v>
      </c>
      <c r="D310" s="5">
        <f t="shared" ca="1" si="43"/>
        <v>43401.738276144068</v>
      </c>
      <c r="E310" s="60">
        <f ca="1">Panchanga!$C310-TimeZone/24</f>
        <v>43402.0234860247</v>
      </c>
      <c r="F310" s="61">
        <f t="shared" ca="1" si="44"/>
        <v>191.4162837986614</v>
      </c>
      <c r="G310" s="61">
        <f t="shared" ca="1" si="45"/>
        <v>66.536533787328452</v>
      </c>
      <c r="H310" s="62">
        <f t="shared" ca="1" si="46"/>
        <v>43402.0234860247</v>
      </c>
      <c r="I310" s="2" t="str">
        <f ca="1">naks(Panchanga!$G310)</f>
        <v>Mrigashira</v>
      </c>
      <c r="J310" s="5">
        <f ca="1">(C311-Panchanga!$C310)/(G311-Panchanga!$G310)*(13.3333333333333-MOD(Panchanga!$G310,13.333333333333))+Panchanga!$C310</f>
        <v>43402.261927061154</v>
      </c>
      <c r="K310" s="2" t="str">
        <f ca="1">IF(Panchanga!$P310&gt;15,"K","S")&amp;ROUNDUP(MOD(Panchanga!$P310,15),0)&amp;" ("&amp;ROUND(Panchanga!$P310,2)&amp;")"</f>
        <v>K5 (19.59)</v>
      </c>
      <c r="L310" s="2">
        <f ca="1">IF(AND(Panchanga!$P310&lt;28.5,Panchanga!$P310&gt;0.49999),MOD((Panchanga!$P310-0.5)*2,7),MOD((Panchanga!$P310+30-28.5),30)*2+7)</f>
        <v>3.1867999999999981</v>
      </c>
      <c r="M310" s="2" t="str">
        <f ca="1">CHOOSE(ROUNDUP(Panchanga!$L310,0),"Bhava","Baalava","Kaulava","Taitula","Garija","Vanija","Vishti","Shakuni","Chatushapda","Naaga","Kimstugna")</f>
        <v>Taitula</v>
      </c>
      <c r="N310" s="25" t="str">
        <f ca="1">CHOOSE(ROUNDUP(Panchanga!$Q310,0),"Vishkambha-विष्कम्भ-Sa","Priti-प्रीति-Me","Ayushman-आयुष्मान-Ke","Saubhagya-सौभाग्य-Ve","Shobhana-शोभन-Su","Atiganda-अतिगण्ड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("&amp;Panchanga!$Q310&amp;")"</f>
        <v>Shiva-शिव-Me (19.35)</v>
      </c>
      <c r="O310" s="2">
        <f ca="1">IF(AND(Panchanga!$P310&lt;28.5,Panchanga!$P310&gt;0.49999),MOD((Panchanga!$P310-0.5)*2,7),MOD((Panchanga!$P310+30-28.5),30)*2+7)</f>
        <v>3.1867999999999981</v>
      </c>
      <c r="P310" s="2">
        <f ca="1">ROUNDUP(MOD(360+Panchanga!$G310-Panchanga!$F310,360)/12,4)</f>
        <v>19.593399999999999</v>
      </c>
      <c r="Q310" s="2">
        <f t="shared" ca="1" si="47"/>
        <v>19.350000000000001</v>
      </c>
      <c r="R310" s="2" t="str">
        <f ca="1">SIGN(S311-Panchanga!$S310)*INT(Panchanga!$S310/30+1)&amp;"Ma,"&amp;SIGN(T311-Panchanga!$T310)*INT(Panchanga!$T310/30+1)&amp;"Me,"&amp;SIGN(U311-Panchanga!$U310)*INT(Panchanga!$U310/30+1)&amp;"Ju,"&amp;SIGN(V311-Panchanga!$V310)*INT(Panchanga!$V310/30+1)&amp;"Ve,"&amp;SIGN(W311-Panchanga!$W310)*INT(Panchanga!$W310/30+1)&amp;"Sa,"&amp;INT(Panchanga!$X310/30+1)&amp;"Ra"</f>
        <v>10Ma,8Me,8Ju,-7Ve,9Sa,4Ra</v>
      </c>
      <c r="S310" s="2">
        <f ca="1">Planet(Panchanga!$E310,4)</f>
        <v>295.38034115991246</v>
      </c>
      <c r="T310" s="2">
        <f ca="1">Planet(Panchanga!$E310,2)</f>
        <v>213.13913074375381</v>
      </c>
      <c r="U310" s="2">
        <f ca="1">Planet(Panchanga!$E310,5)</f>
        <v>213.60830199124075</v>
      </c>
      <c r="V310" s="2">
        <f ca="1">Planet(Panchanga!$E310,3)</f>
        <v>187.51387079651786</v>
      </c>
      <c r="W310" s="2">
        <f ca="1">Planet(Panchanga!$E310,6)</f>
        <v>250.58376765970084</v>
      </c>
      <c r="X310" s="2">
        <f ca="1">Planet(Panchanga!$E310,10)</f>
        <v>96.839599352699011</v>
      </c>
      <c r="Y310" s="2">
        <f ca="1">SIGN(S311-Panchanga!$S310)</f>
        <v>1</v>
      </c>
    </row>
    <row r="311" spans="1:25" x14ac:dyDescent="0.2">
      <c r="A311" s="3">
        <f t="shared" ca="1" si="48"/>
        <v>43403</v>
      </c>
      <c r="B311" s="3">
        <f t="shared" ca="1" si="41"/>
        <v>43403.229166666664</v>
      </c>
      <c r="C311" s="5">
        <f t="shared" ca="1" si="42"/>
        <v>43403.252837068554</v>
      </c>
      <c r="D311" s="5">
        <f t="shared" ca="1" si="43"/>
        <v>43402.737995763819</v>
      </c>
      <c r="E311" s="60">
        <f ca="1">Panchanga!$C311-TimeZone/24</f>
        <v>43403.02367040189</v>
      </c>
      <c r="F311" s="61">
        <f t="shared" ca="1" si="44"/>
        <v>192.41511597120362</v>
      </c>
      <c r="G311" s="61">
        <f t="shared" ca="1" si="45"/>
        <v>80.570573381039935</v>
      </c>
      <c r="H311" s="62">
        <f t="shared" ca="1" si="46"/>
        <v>43403.02367040189</v>
      </c>
      <c r="I311" s="2" t="str">
        <f ca="1">naks(Panchanga!$G311)</f>
        <v>Punarvasu</v>
      </c>
      <c r="J311" s="5">
        <f ca="1">(C312-Panchanga!$C311)/(G312-Panchanga!$G311)*(13.3333333333333-MOD(Panchanga!$G311,13.333333333333))+Panchanga!$C311</f>
        <v>43404.1601467078</v>
      </c>
      <c r="K311" s="2" t="str">
        <f ca="1">IF(Panchanga!$P311&gt;15,"K","S")&amp;ROUNDUP(MOD(Panchanga!$P311,15),0)&amp;" ("&amp;ROUND(Panchanga!$P311,2)&amp;")"</f>
        <v>K6 (20.68)</v>
      </c>
      <c r="L311" s="2">
        <f ca="1">IF(AND(Panchanga!$P311&lt;28.5,Panchanga!$P311&gt;0.49999),MOD((Panchanga!$P311-0.5)*2,7),MOD((Panchanga!$P311+30-28.5),30)*2+7)</f>
        <v>5.3594000000000008</v>
      </c>
      <c r="M311" s="2" t="str">
        <f ca="1">CHOOSE(ROUNDUP(Panchanga!$L311,0),"Bhava","Baalava","Kaulava","Taitula","Garija","Vanija","Vishti","Shakuni","Chatushapda","Naaga","Kimstugna")</f>
        <v>Vanija</v>
      </c>
      <c r="N311" s="25" t="str">
        <f ca="1">CHOOSE(ROUNDUP(Panchanga!$Q311,0),"Vishkambha-विष्कम्भ-Sa","Priti-प्रीति-Me","Ayushman-आयुष्मान-Ke","Saubhagya-सौभाग्य-Ve","Shobhana-शोभन-Su","Atiganda-अतिगण्ड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("&amp;Panchanga!$Q311&amp;")"</f>
        <v>Siddha-सिद्ध-Ke (20.48)</v>
      </c>
      <c r="O311" s="2">
        <f ca="1">IF(AND(Panchanga!$P311&lt;28.5,Panchanga!$P311&gt;0.49999),MOD((Panchanga!$P311-0.5)*2,7),MOD((Panchanga!$P311+30-28.5),30)*2+7)</f>
        <v>5.3594000000000008</v>
      </c>
      <c r="P311" s="2">
        <f ca="1">ROUNDUP(MOD(360+Panchanga!$G311-Panchanga!$F311,360)/12,4)</f>
        <v>20.6797</v>
      </c>
      <c r="Q311" s="2">
        <f t="shared" ca="1" si="47"/>
        <v>20.48</v>
      </c>
      <c r="R311" s="2" t="str">
        <f ca="1">SIGN(S312-Panchanga!$S311)*INT(Panchanga!$S311/30+1)&amp;"Ma,"&amp;SIGN(T312-Panchanga!$T311)*INT(Panchanga!$T311/30+1)&amp;"Me,"&amp;SIGN(U312-Panchanga!$U311)*INT(Panchanga!$U311/30+1)&amp;"Ju,"&amp;SIGN(V312-Panchanga!$V311)*INT(Panchanga!$V311/30+1)&amp;"Ve,"&amp;SIGN(W312-Panchanga!$W311)*INT(Panchanga!$W311/30+1)&amp;"Sa,"&amp;INT(Panchanga!$X311/30+1)&amp;"Ra"</f>
        <v>10Ma,8Me,8Ju,-7Ve,9Sa,4Ra</v>
      </c>
      <c r="S311" s="2">
        <f ca="1">Planet(Panchanga!$E311,4)</f>
        <v>295.93799132259181</v>
      </c>
      <c r="T311" s="2">
        <f ca="1">Planet(Panchanga!$E311,2)</f>
        <v>214.41833636389822</v>
      </c>
      <c r="U311" s="2">
        <f ca="1">Planet(Panchanga!$E311,5)</f>
        <v>213.82225640535421</v>
      </c>
      <c r="V311" s="2">
        <f ca="1">Planet(Panchanga!$E311,3)</f>
        <v>186.91798149115226</v>
      </c>
      <c r="W311" s="2">
        <f ca="1">Planet(Panchanga!$E311,6)</f>
        <v>250.66236225431061</v>
      </c>
      <c r="X311" s="2">
        <f ca="1">Planet(Panchanga!$E311,10)</f>
        <v>96.786597585051624</v>
      </c>
      <c r="Y311" s="2">
        <f ca="1">SIGN(S312-Panchanga!$S311)</f>
        <v>1</v>
      </c>
    </row>
    <row r="312" spans="1:25" x14ac:dyDescent="0.2">
      <c r="A312" s="3">
        <f t="shared" ca="1" si="48"/>
        <v>43404</v>
      </c>
      <c r="B312" s="3">
        <f t="shared" ca="1" si="41"/>
        <v>43404.229166666664</v>
      </c>
      <c r="C312" s="5">
        <f t="shared" ca="1" si="42"/>
        <v>43404.253028915882</v>
      </c>
      <c r="D312" s="5">
        <f t="shared" ca="1" si="43"/>
        <v>43403.737726350824</v>
      </c>
      <c r="E312" s="60">
        <f ca="1">Panchanga!$C312-TimeZone/24</f>
        <v>43404.023862249218</v>
      </c>
      <c r="F312" s="61">
        <f t="shared" ca="1" si="44"/>
        <v>193.4145694198844</v>
      </c>
      <c r="G312" s="61">
        <f t="shared" ca="1" si="45"/>
        <v>94.639870015324561</v>
      </c>
      <c r="H312" s="62">
        <f t="shared" ca="1" si="46"/>
        <v>43404.023862249218</v>
      </c>
      <c r="I312" s="2" t="str">
        <f ca="1">naks(Panchanga!$G312)</f>
        <v>Pushya</v>
      </c>
      <c r="J312" s="5">
        <f ca="1">(C313-Panchanga!$C312)/(G313-Panchanga!$G312)*(13.3333333333333-MOD(Panchanga!$G312,13.333333333333))+Panchanga!$C312</f>
        <v>43405.106802369468</v>
      </c>
      <c r="K312" s="2" t="str">
        <f ca="1">IF(Panchanga!$P312&gt;15,"K","S")&amp;ROUNDUP(MOD(Panchanga!$P312,15),0)&amp;" ("&amp;ROUND(Panchanga!$P312,2)&amp;")"</f>
        <v>K7 (21.77)</v>
      </c>
      <c r="L312" s="2">
        <f ca="1">IF(AND(Panchanga!$P312&lt;28.5,Panchanga!$P312&gt;0.49999),MOD((Panchanga!$P312-0.5)*2,7),MOD((Panchanga!$P312+30-28.5),30)*2+7)</f>
        <v>0.53759999999999764</v>
      </c>
      <c r="M312" s="2" t="str">
        <f ca="1">CHOOSE(ROUNDUP(Panchanga!$L312,0),"Bhava","Baalava","Kaulava","Taitula","Garija","Vanija","Vishti","Shakuni","Chatushapda","Naaga","Kimstugna")</f>
        <v>Bhava</v>
      </c>
      <c r="N312" s="25" t="str">
        <f ca="1">CHOOSE(ROUNDUP(Panchanga!$Q312,0),"Vishkambha-विष्कम्भ-Sa","Priti-प्रीति-Me","Ayushman-आयुष्मान-Ke","Saubhagya-सौभाग्य-Ve","Shobhana-शोभन-Su","Atiganda-अतिगण्ड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("&amp;Panchanga!$Q312&amp;")"</f>
        <v>Sadhya-साध्य-Ve (21.61)</v>
      </c>
      <c r="O312" s="2">
        <f ca="1">IF(AND(Panchanga!$P312&lt;28.5,Panchanga!$P312&gt;0.49999),MOD((Panchanga!$P312-0.5)*2,7),MOD((Panchanga!$P312+30-28.5),30)*2+7)</f>
        <v>0.53759999999999764</v>
      </c>
      <c r="P312" s="2">
        <f ca="1">ROUNDUP(MOD(360+Panchanga!$G312-Panchanga!$F312,360)/12,4)</f>
        <v>21.768799999999999</v>
      </c>
      <c r="Q312" s="2">
        <f t="shared" ca="1" si="47"/>
        <v>21.610000000000003</v>
      </c>
      <c r="R312" s="2" t="str">
        <f ca="1">SIGN(S313-Panchanga!$S312)*INT(Panchanga!$S312/30+1)&amp;"Ma,"&amp;SIGN(T313-Panchanga!$T312)*INT(Panchanga!$T312/30+1)&amp;"Me,"&amp;SIGN(U313-Panchanga!$U312)*INT(Panchanga!$U312/30+1)&amp;"Ju,"&amp;SIGN(V313-Panchanga!$V312)*INT(Panchanga!$V312/30+1)&amp;"Ve,"&amp;SIGN(W313-Panchanga!$W312)*INT(Panchanga!$W312/30+1)&amp;"Sa,"&amp;INT(Panchanga!$X312/30+1)&amp;"Ra"</f>
        <v>10Ma,8Me,8Ju,-7Ve,9Sa,4Ra</v>
      </c>
      <c r="S312" s="2">
        <f ca="1">Planet(Panchanga!$E312,4)</f>
        <v>296.49947841487557</v>
      </c>
      <c r="T312" s="2">
        <f ca="1">Planet(Panchanga!$E312,2)</f>
        <v>215.67434296162966</v>
      </c>
      <c r="U312" s="2">
        <f ca="1">Planet(Panchanga!$E312,5)</f>
        <v>214.0368553135207</v>
      </c>
      <c r="V312" s="2">
        <f ca="1">Planet(Panchanga!$E312,3)</f>
        <v>186.33571380601151</v>
      </c>
      <c r="W312" s="2">
        <f ca="1">Planet(Panchanga!$E312,6)</f>
        <v>250.74213237844489</v>
      </c>
      <c r="X312" s="2">
        <f ca="1">Planet(Panchanga!$E312,10)</f>
        <v>96.733595421561617</v>
      </c>
      <c r="Y312" s="2">
        <f ca="1">SIGN(S313-Panchanga!$S312)</f>
        <v>1</v>
      </c>
    </row>
    <row r="313" spans="1:25" x14ac:dyDescent="0.2">
      <c r="A313" s="3">
        <f t="shared" ca="1" si="48"/>
        <v>43405</v>
      </c>
      <c r="B313" s="3">
        <f t="shared" ca="1" si="41"/>
        <v>43405.229166666664</v>
      </c>
      <c r="C313" s="5">
        <f t="shared" ca="1" si="42"/>
        <v>43405.253227915768</v>
      </c>
      <c r="D313" s="5">
        <f t="shared" ca="1" si="43"/>
        <v>43404.737468223131</v>
      </c>
      <c r="E313" s="60">
        <f ca="1">Panchanga!$C313-TimeZone/24</f>
        <v>43405.024061249103</v>
      </c>
      <c r="F313" s="61">
        <f t="shared" ca="1" si="44"/>
        <v>194.41464609715655</v>
      </c>
      <c r="G313" s="61">
        <f t="shared" ca="1" si="45"/>
        <v>108.72931017297681</v>
      </c>
      <c r="H313" s="62">
        <f t="shared" ca="1" si="46"/>
        <v>43405.024061249103</v>
      </c>
      <c r="I313" s="2" t="str">
        <f ca="1">naks(Panchanga!$G313)</f>
        <v>Aslesha</v>
      </c>
      <c r="J313" s="5">
        <f ca="1">(C314-Panchanga!$C313)/(G314-Panchanga!$G313)*(13.3333333333333-MOD(Panchanga!$G313,13.333333333333))+Panchanga!$C313</f>
        <v>43406.052847960047</v>
      </c>
      <c r="K313" s="2" t="str">
        <f ca="1">IF(Panchanga!$P313&gt;15,"K","S")&amp;ROUNDUP(MOD(Panchanga!$P313,15),0)&amp;" ("&amp;ROUND(Panchanga!$P313,2)&amp;")"</f>
        <v>K8 (22.86)</v>
      </c>
      <c r="L313" s="2">
        <f ca="1">IF(AND(Panchanga!$P313&lt;28.5,Panchanga!$P313&gt;0.49999),MOD((Panchanga!$P313-0.5)*2,7),MOD((Panchanga!$P313+30-28.5),30)*2+7)</f>
        <v>2.7192000000000007</v>
      </c>
      <c r="M313" s="2" t="str">
        <f ca="1">CHOOSE(ROUNDUP(Panchanga!$L313,0),"Bhava","Baalava","Kaulava","Taitula","Garija","Vanija","Vishti","Shakuni","Chatushapda","Naaga","Kimstugna")</f>
        <v>Kaulava</v>
      </c>
      <c r="N313" s="25" t="str">
        <f ca="1">CHOOSE(ROUNDUP(Panchanga!$Q313,0),"Vishkambha-विष्कम्भ-Sa","Priti-प्रीति-Me","Ayushman-आयुष्मान-Ke","Saubhagya-सौभाग्य-Ve","Shobhana-शोभन-Su","Atiganda-अतिगण्ड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("&amp;Panchanga!$Q313&amp;")"</f>
        <v>Shubha-शुभ-Su (22.74)</v>
      </c>
      <c r="O313" s="2">
        <f ca="1">IF(AND(Panchanga!$P313&lt;28.5,Panchanga!$P313&gt;0.49999),MOD((Panchanga!$P313-0.5)*2,7),MOD((Panchanga!$P313+30-28.5),30)*2+7)</f>
        <v>2.7192000000000007</v>
      </c>
      <c r="P313" s="2">
        <f ca="1">ROUNDUP(MOD(360+Panchanga!$G313-Panchanga!$F313,360)/12,4)</f>
        <v>22.8596</v>
      </c>
      <c r="Q313" s="2">
        <f t="shared" ca="1" si="47"/>
        <v>22.740000000000002</v>
      </c>
      <c r="R313" s="2" t="str">
        <f ca="1">SIGN(S314-Panchanga!$S313)*INT(Panchanga!$S313/30+1)&amp;"Ma,"&amp;SIGN(T314-Panchanga!$T313)*INT(Panchanga!$T313/30+1)&amp;"Me,"&amp;SIGN(U314-Panchanga!$U313)*INT(Panchanga!$U313/30+1)&amp;"Ju,"&amp;SIGN(V314-Panchanga!$V313)*INT(Panchanga!$V313/30+1)&amp;"Ve,"&amp;SIGN(W314-Panchanga!$W313)*INT(Panchanga!$W313/30+1)&amp;"Sa,"&amp;INT(Panchanga!$X313/30+1)&amp;"Ra"</f>
        <v>10Ma,8Me,8Ju,-7Ve,9Sa,4Ra</v>
      </c>
      <c r="S313" s="2">
        <f ca="1">Planet(Panchanga!$E313,4)</f>
        <v>297.06472546920986</v>
      </c>
      <c r="T313" s="2">
        <f ca="1">Planet(Panchanga!$E313,2)</f>
        <v>216.90492948214171</v>
      </c>
      <c r="U313" s="2">
        <f ca="1">Planet(Panchanga!$E313,5)</f>
        <v>214.25207897751127</v>
      </c>
      <c r="V313" s="2">
        <f ca="1">Planet(Panchanga!$E313,3)</f>
        <v>185.77089575124327</v>
      </c>
      <c r="W313" s="2">
        <f ca="1">Planet(Panchanga!$E313,6)</f>
        <v>250.82306458281062</v>
      </c>
      <c r="X313" s="2">
        <f ca="1">Planet(Panchanga!$E313,10)</f>
        <v>96.68059287906307</v>
      </c>
      <c r="Y313" s="2">
        <f ca="1">SIGN(S314-Panchanga!$S313)</f>
        <v>1</v>
      </c>
    </row>
    <row r="314" spans="1:25" x14ac:dyDescent="0.2">
      <c r="A314" s="3">
        <f t="shared" ca="1" si="48"/>
        <v>43406</v>
      </c>
      <c r="B314" s="3">
        <f t="shared" ca="1" si="41"/>
        <v>43406.229166666664</v>
      </c>
      <c r="C314" s="5">
        <f t="shared" ca="1" si="42"/>
        <v>43406.253434386257</v>
      </c>
      <c r="D314" s="5">
        <f t="shared" ca="1" si="43"/>
        <v>43405.737221380274</v>
      </c>
      <c r="E314" s="60">
        <f ca="1">Panchanga!$C314-TimeZone/24</f>
        <v>43406.024267719593</v>
      </c>
      <c r="F314" s="61">
        <f t="shared" ca="1" si="44"/>
        <v>195.41534345759251</v>
      </c>
      <c r="G314" s="61">
        <f t="shared" ca="1" si="45"/>
        <v>122.82727704169888</v>
      </c>
      <c r="H314" s="62">
        <f t="shared" ca="1" si="46"/>
        <v>43406.024267719593</v>
      </c>
      <c r="I314" s="2" t="str">
        <f ca="1">naks(Panchanga!$G314)</f>
        <v>Makha</v>
      </c>
      <c r="J314" s="5">
        <f ca="1">(C315-Panchanga!$C314)/(G315-Panchanga!$G314)*(13.3333333333333-MOD(Panchanga!$G314,13.333333333333))+Panchanga!$C314</f>
        <v>43406.999221998878</v>
      </c>
      <c r="K314" s="2" t="str">
        <f ca="1">IF(Panchanga!$P314&gt;15,"K","S")&amp;ROUNDUP(MOD(Panchanga!$P314,15),0)&amp;" ("&amp;ROUND(Panchanga!$P314,2)&amp;")"</f>
        <v>K9 (23.95)</v>
      </c>
      <c r="L314" s="2">
        <f ca="1">IF(AND(Panchanga!$P314&lt;28.5,Panchanga!$P314&gt;0.49999),MOD((Panchanga!$P314-0.5)*2,7),MOD((Panchanga!$P314+30-28.5),30)*2+7)</f>
        <v>4.902000000000001</v>
      </c>
      <c r="M314" s="2" t="str">
        <f ca="1">CHOOSE(ROUNDUP(Panchanga!$L314,0),"Bhava","Baalava","Kaulava","Taitula","Garija","Vanija","Vishti","Shakuni","Chatushapda","Naaga","Kimstugna")</f>
        <v>Garija</v>
      </c>
      <c r="N314" s="25" t="str">
        <f ca="1">CHOOSE(ROUNDUP(Panchanga!$Q314,0),"Vishkambha-विष्कम्भ-Sa","Priti-प्रीति-Me","Ayushman-आयुष्मान-Ke","Saubhagya-सौभाग्य-Ve","Shobhana-शोभन-Su","Atiganda-अतिगण्ड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("&amp;Panchanga!$Q314&amp;")"</f>
        <v>Shukla-शुक्ल-Mo (23.87)</v>
      </c>
      <c r="O314" s="2">
        <f ca="1">IF(AND(Panchanga!$P314&lt;28.5,Panchanga!$P314&gt;0.49999),MOD((Panchanga!$P314-0.5)*2,7),MOD((Panchanga!$P314+30-28.5),30)*2+7)</f>
        <v>4.902000000000001</v>
      </c>
      <c r="P314" s="2">
        <f ca="1">ROUNDUP(MOD(360+Panchanga!$G314-Panchanga!$F314,360)/12,4)</f>
        <v>23.951000000000001</v>
      </c>
      <c r="Q314" s="2">
        <f t="shared" ca="1" si="47"/>
        <v>23.87</v>
      </c>
      <c r="R314" s="2" t="str">
        <f ca="1">SIGN(S315-Panchanga!$S314)*INT(Panchanga!$S314/30+1)&amp;"Ma,"&amp;SIGN(T315-Panchanga!$T314)*INT(Panchanga!$T314/30+1)&amp;"Me,"&amp;SIGN(U315-Panchanga!$U314)*INT(Panchanga!$U314/30+1)&amp;"Ju,"&amp;SIGN(V315-Panchanga!$V314)*INT(Panchanga!$V314/30+1)&amp;"Ve,"&amp;SIGN(W315-Panchanga!$W314)*INT(Panchanga!$W314/30+1)&amp;"Sa,"&amp;INT(Panchanga!$X314/30+1)&amp;"Ra"</f>
        <v>10Ma,8Me,8Ju,-7Ve,9Sa,4Ra</v>
      </c>
      <c r="S314" s="2">
        <f ca="1">Planet(Panchanga!$E314,4)</f>
        <v>297.63366016324136</v>
      </c>
      <c r="T314" s="2">
        <f ca="1">Planet(Panchanga!$E314,2)</f>
        <v>218.10753402901159</v>
      </c>
      <c r="U314" s="2">
        <f ca="1">Planet(Panchanga!$E314,5)</f>
        <v>214.4679069740757</v>
      </c>
      <c r="V314" s="2">
        <f ca="1">Planet(Panchanga!$E314,3)</f>
        <v>185.22712032515921</v>
      </c>
      <c r="W314" s="2">
        <f ca="1">Planet(Panchanga!$E314,6)</f>
        <v>250.90514508841946</v>
      </c>
      <c r="X314" s="2">
        <f ca="1">Planet(Panchanga!$E314,10)</f>
        <v>96.627589940688836</v>
      </c>
      <c r="Y314" s="2">
        <f ca="1">SIGN(S315-Panchanga!$S314)</f>
        <v>1</v>
      </c>
    </row>
    <row r="315" spans="1:25" x14ac:dyDescent="0.2">
      <c r="A315" s="3">
        <f t="shared" ca="1" si="48"/>
        <v>43407</v>
      </c>
      <c r="B315" s="3">
        <f t="shared" ca="1" si="41"/>
        <v>43407.229166666664</v>
      </c>
      <c r="C315" s="5">
        <f t="shared" ca="1" si="42"/>
        <v>43407.25364816856</v>
      </c>
      <c r="D315" s="5">
        <f t="shared" ca="1" si="43"/>
        <v>43406.736986299555</v>
      </c>
      <c r="E315" s="60">
        <f ca="1">Panchanga!$C315-TimeZone/24</f>
        <v>43407.024481501896</v>
      </c>
      <c r="F315" s="61">
        <f t="shared" ca="1" si="44"/>
        <v>196.41665328544872</v>
      </c>
      <c r="G315" s="61">
        <f t="shared" ca="1" si="45"/>
        <v>136.91748465938988</v>
      </c>
      <c r="H315" s="62">
        <f t="shared" ca="1" si="46"/>
        <v>43407.024481501896</v>
      </c>
      <c r="I315" s="2" t="str">
        <f ca="1">naks(Panchanga!$G315)</f>
        <v>Purva Phalguni</v>
      </c>
      <c r="J315" s="5">
        <f ca="1">(C316-Panchanga!$C315)/(G316-Panchanga!$G315)*(13.3333333333333-MOD(Panchanga!$G315,13.333333333333))+Panchanga!$C315</f>
        <v>43407.947467672908</v>
      </c>
      <c r="K315" s="2" t="str">
        <f ca="1">IF(Panchanga!$P315&gt;15,"K","S")&amp;ROUNDUP(MOD(Panchanga!$P315,15),0)&amp;" ("&amp;ROUND(Panchanga!$P315,2)&amp;")"</f>
        <v>K11 (25.04)</v>
      </c>
      <c r="L315" s="2">
        <f ca="1">IF(AND(Panchanga!$P315&lt;28.5,Panchanga!$P315&gt;0.49999),MOD((Panchanga!$P315-0.5)*2,7),MOD((Panchanga!$P315+30-28.5),30)*2+7)</f>
        <v>8.359999999999701E-2</v>
      </c>
      <c r="M315" s="2" t="str">
        <f ca="1">CHOOSE(ROUNDUP(Panchanga!$L315,0),"Bhava","Baalava","Kaulava","Taitula","Garija","Vanija","Vishti","Shakuni","Chatushapda","Naaga","Kimstugna")</f>
        <v>Bhava</v>
      </c>
      <c r="N315" s="25" t="str">
        <f ca="1">CHOOSE(ROUNDUP(Panchanga!$Q315,0),"Vishkambha-विष्कम्भ-Sa","Priti-प्रीति-Me","Ayushman-आयुष्मान-Ke","Saubhagya-सौभाग्य-Ve","Shobhana-शोभन-Su","Atiganda-अतिगण्ड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("&amp;Panchanga!$Q315&amp;")"</f>
        <v>Mahendra-महेन्द्र-Ra (25.01)</v>
      </c>
      <c r="O315" s="2">
        <f ca="1">IF(AND(Panchanga!$P315&lt;28.5,Panchanga!$P315&gt;0.49999),MOD((Panchanga!$P315-0.5)*2,7),MOD((Panchanga!$P315+30-28.5),30)*2+7)</f>
        <v>8.359999999999701E-2</v>
      </c>
      <c r="P315" s="2">
        <f ca="1">ROUNDUP(MOD(360+Panchanga!$G315-Panchanga!$F315,360)/12,4)</f>
        <v>25.041799999999999</v>
      </c>
      <c r="Q315" s="2">
        <f t="shared" ca="1" si="47"/>
        <v>25.01</v>
      </c>
      <c r="R315" s="2" t="str">
        <f ca="1">SIGN(S316-Panchanga!$S315)*INT(Panchanga!$S315/30+1)&amp;"Ma,"&amp;SIGN(T316-Panchanga!$T315)*INT(Panchanga!$T315/30+1)&amp;"Me,"&amp;SIGN(U316-Panchanga!$U315)*INT(Panchanga!$U315/30+1)&amp;"Ju,"&amp;SIGN(V316-Panchanga!$V315)*INT(Panchanga!$V315/30+1)&amp;"Ve,"&amp;SIGN(W316-Panchanga!$W315)*INT(Panchanga!$W315/30+1)&amp;"Sa,"&amp;INT(Panchanga!$X315/30+1)&amp;"Ra"</f>
        <v>10Ma,8Me,8Ju,-7Ve,9Sa,4Ra</v>
      </c>
      <c r="S315" s="2">
        <f ca="1">Planet(Panchanga!$E315,4)</f>
        <v>298.20621213761439</v>
      </c>
      <c r="T315" s="2">
        <f ca="1">Planet(Panchanga!$E315,2)</f>
        <v>219.27920670176886</v>
      </c>
      <c r="U315" s="2">
        <f ca="1">Planet(Panchanga!$E315,5)</f>
        <v>214.68431784544302</v>
      </c>
      <c r="V315" s="2">
        <f ca="1">Planet(Panchanga!$E315,3)</f>
        <v>184.70771066909131</v>
      </c>
      <c r="W315" s="2">
        <f ca="1">Planet(Panchanga!$E315,6)</f>
        <v>250.9883595515561</v>
      </c>
      <c r="X315" s="2">
        <f ca="1">Planet(Panchanga!$E315,10)</f>
        <v>96.574586614806179</v>
      </c>
      <c r="Y315" s="2">
        <f ca="1">SIGN(S316-Panchanga!$S315)</f>
        <v>1</v>
      </c>
    </row>
    <row r="316" spans="1:25" x14ac:dyDescent="0.2">
      <c r="A316" s="3">
        <f t="shared" ca="1" si="48"/>
        <v>43408</v>
      </c>
      <c r="B316" s="3">
        <f t="shared" ca="1" si="41"/>
        <v>43408.229166666664</v>
      </c>
      <c r="C316" s="5">
        <f t="shared" ca="1" si="42"/>
        <v>43408.253869261745</v>
      </c>
      <c r="D316" s="5">
        <f t="shared" ca="1" si="43"/>
        <v>43407.736762980974</v>
      </c>
      <c r="E316" s="60">
        <f ca="1">Panchanga!$C316-TimeZone/24</f>
        <v>43408.024702595081</v>
      </c>
      <c r="F316" s="61">
        <f t="shared" ca="1" si="44"/>
        <v>197.41856271308052</v>
      </c>
      <c r="G316" s="61">
        <f t="shared" ca="1" si="45"/>
        <v>150.97205854190022</v>
      </c>
      <c r="H316" s="62">
        <f t="shared" ca="1" si="46"/>
        <v>43408.024702595081</v>
      </c>
      <c r="I316" s="2" t="str">
        <f ca="1">naks(Panchanga!$G316)</f>
        <v>Uttara Phalguni</v>
      </c>
      <c r="J316" s="5">
        <f ca="1">(C317-Panchanga!$C316)/(G317-Panchanga!$G316)*(13.3333333333333-MOD(Panchanga!$G316,13.333333333333))+Panchanga!$C316</f>
        <v>43408.899968789527</v>
      </c>
      <c r="K316" s="2" t="str">
        <f ca="1">IF(Panchanga!$P316&gt;15,"K","S")&amp;ROUNDUP(MOD(Panchanga!$P316,15),0)&amp;" ("&amp;ROUND(Panchanga!$P316,2)&amp;")"</f>
        <v>K12 (26.13)</v>
      </c>
      <c r="L316" s="2">
        <f ca="1">IF(AND(Panchanga!$P316&lt;28.5,Panchanga!$P316&gt;0.49999),MOD((Panchanga!$P316-0.5)*2,7),MOD((Panchanga!$P316+30-28.5),30)*2+7)</f>
        <v>2.2590000000000003</v>
      </c>
      <c r="M316" s="2" t="str">
        <f ca="1">CHOOSE(ROUNDUP(Panchanga!$L316,0),"Bhava","Baalava","Kaulava","Taitula","Garija","Vanija","Vishti","Shakuni","Chatushapda","Naaga","Kimstugna")</f>
        <v>Kaulava</v>
      </c>
      <c r="N316" s="25" t="str">
        <f ca="1">CHOOSE(ROUNDUP(Panchanga!$Q316,0),"Vishkambha-विष्कम्भ-Sa","Priti-प्रीति-Me","Ayushman-आयुष्मान-Ke","Saubhagya-सौभाग्य-Ve","Shobhana-शोभन-Su","Atiganda-अतिगण्ड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("&amp;Panchanga!$Q316&amp;")"</f>
        <v>Vaidhriti-वैधृति-Ke (26.13)</v>
      </c>
      <c r="O316" s="2">
        <f ca="1">IF(AND(Panchanga!$P316&lt;28.5,Panchanga!$P316&gt;0.49999),MOD((Panchanga!$P316-0.5)*2,7),MOD((Panchanga!$P316+30-28.5),30)*2+7)</f>
        <v>2.2590000000000003</v>
      </c>
      <c r="P316" s="2">
        <f ca="1">ROUNDUP(MOD(360+Panchanga!$G316-Panchanga!$F316,360)/12,4)</f>
        <v>26.1295</v>
      </c>
      <c r="Q316" s="2">
        <f t="shared" ca="1" si="47"/>
        <v>26.130000000000003</v>
      </c>
      <c r="R316" s="2" t="str">
        <f ca="1">SIGN(S317-Panchanga!$S316)*INT(Panchanga!$S316/30+1)&amp;"Ma,"&amp;SIGN(T317-Panchanga!$T316)*INT(Panchanga!$T316/30+1)&amp;"Me,"&amp;SIGN(U317-Panchanga!$U316)*INT(Panchanga!$U316/30+1)&amp;"Ju,"&amp;SIGN(V317-Panchanga!$V316)*INT(Panchanga!$V316/30+1)&amp;"Ve,"&amp;SIGN(W317-Panchanga!$W316)*INT(Panchanga!$W316/30+1)&amp;"Sa,"&amp;INT(Panchanga!$X316/30+1)&amp;"Ra"</f>
        <v>10Ma,8Me,8Ju,-7Ve,9Sa,4Ra</v>
      </c>
      <c r="S316" s="2">
        <f ca="1">Planet(Panchanga!$E316,4)</f>
        <v>298.78231137984744</v>
      </c>
      <c r="T316" s="2">
        <f ca="1">Planet(Panchanga!$E316,2)</f>
        <v>220.4165595825794</v>
      </c>
      <c r="U316" s="2">
        <f ca="1">Planet(Panchanga!$E316,5)</f>
        <v>214.9012892194128</v>
      </c>
      <c r="V316" s="2">
        <f ca="1">Planet(Panchanga!$E316,3)</f>
        <v>184.2156941080122</v>
      </c>
      <c r="W316" s="2">
        <f ca="1">Planet(Panchanga!$E316,6)</f>
        <v>251.07269301107374</v>
      </c>
      <c r="X316" s="2">
        <f ca="1">Planet(Panchanga!$E316,10)</f>
        <v>96.521582901531104</v>
      </c>
      <c r="Y316" s="2">
        <f ca="1">SIGN(S317-Panchanga!$S316)</f>
        <v>1</v>
      </c>
    </row>
    <row r="317" spans="1:25" x14ac:dyDescent="0.2">
      <c r="A317" s="3">
        <f t="shared" ca="1" si="48"/>
        <v>43409</v>
      </c>
      <c r="B317" s="3">
        <f t="shared" ca="1" si="41"/>
        <v>43409.229166666664</v>
      </c>
      <c r="C317" s="5">
        <f t="shared" ca="1" si="42"/>
        <v>43409.254097826</v>
      </c>
      <c r="D317" s="5">
        <f t="shared" ca="1" si="43"/>
        <v>43408.736551424066</v>
      </c>
      <c r="E317" s="60">
        <f ca="1">Panchanga!$C317-TimeZone/24</f>
        <v>43409.024931159336</v>
      </c>
      <c r="F317" s="61">
        <f t="shared" ca="1" si="44"/>
        <v>198.4210549633319</v>
      </c>
      <c r="G317" s="61">
        <f t="shared" ca="1" si="45"/>
        <v>164.94824105636647</v>
      </c>
      <c r="H317" s="62">
        <f t="shared" ca="1" si="46"/>
        <v>43409.024931159336</v>
      </c>
      <c r="I317" s="2" t="str">
        <f ca="1">naks(Panchanga!$G317)</f>
        <v>Hasta</v>
      </c>
      <c r="J317" s="5">
        <f ca="1">(C318-Panchanga!$C317)/(G318-Panchanga!$G317)*(13.3333333333333-MOD(Panchanga!$G317,13.333333333333))+Panchanga!$C317</f>
        <v>43409.860007237694</v>
      </c>
      <c r="K317" s="2" t="str">
        <f ca="1">IF(Panchanga!$P317&gt;15,"K","S")&amp;ROUNDUP(MOD(Panchanga!$P317,15),0)&amp;" ("&amp;ROUND(Panchanga!$P317,2)&amp;")"</f>
        <v>K13 (27.21)</v>
      </c>
      <c r="L317" s="2">
        <f ca="1">IF(AND(Panchanga!$P317&lt;28.5,Panchanga!$P317&gt;0.49999),MOD((Panchanga!$P317-0.5)*2,7),MOD((Panchanga!$P317+30-28.5),30)*2+7)</f>
        <v>4.4211999999999989</v>
      </c>
      <c r="M317" s="2" t="str">
        <f ca="1">CHOOSE(ROUNDUP(Panchanga!$L317,0),"Bhava","Baalava","Kaulava","Taitula","Garija","Vanija","Vishti","Shakuni","Chatushapda","Naaga","Kimstugna")</f>
        <v>Garija</v>
      </c>
      <c r="N317" s="25" t="str">
        <f ca="1">CHOOSE(ROUNDUP(Panchanga!$Q317,0),"Vishkambha-विष्कम्भ-Sa","Priti-प्रीति-Me","Ayushman-आयुष्मान-Ke","Saubhagya-सौभाग्य-Ve","Shobhana-शोभन-Su","Atiganda-अतिगण्ड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("&amp;Panchanga!$Q317&amp;")"</f>
        <v>Vishkambha-विष्कम्भ-Sa (0.26)</v>
      </c>
      <c r="O317" s="2">
        <f ca="1">IF(AND(Panchanga!$P317&lt;28.5,Panchanga!$P317&gt;0.49999),MOD((Panchanga!$P317-0.5)*2,7),MOD((Panchanga!$P317+30-28.5),30)*2+7)</f>
        <v>4.4211999999999989</v>
      </c>
      <c r="P317" s="2">
        <f ca="1">ROUNDUP(MOD(360+Panchanga!$G317-Panchanga!$F317,360)/12,4)</f>
        <v>27.210599999999999</v>
      </c>
      <c r="Q317" s="2">
        <f t="shared" ca="1" si="47"/>
        <v>0.26</v>
      </c>
      <c r="R317" s="2" t="str">
        <f ca="1">SIGN(S318-Panchanga!$S317)*INT(Panchanga!$S317/30+1)&amp;"Ma,"&amp;SIGN(T318-Panchanga!$T317)*INT(Panchanga!$T317/30+1)&amp;"Me,"&amp;SIGN(U318-Panchanga!$U317)*INT(Panchanga!$U317/30+1)&amp;"Ju,"&amp;SIGN(V318-Panchanga!$V317)*INT(Panchanga!$V317/30+1)&amp;"Ve,"&amp;SIGN(W318-Panchanga!$W317)*INT(Panchanga!$W317/30+1)&amp;"Sa,"&amp;INT(Panchanga!$X317/30+1)&amp;"Ra"</f>
        <v>10Ma,8Me,8Ju,-7Ve,9Sa,4Ra</v>
      </c>
      <c r="S317" s="2">
        <f ca="1">Planet(Panchanga!$E317,4)</f>
        <v>299.36188656582277</v>
      </c>
      <c r="T317" s="2">
        <f ca="1">Planet(Panchanga!$E317,2)</f>
        <v>221.51571085943104</v>
      </c>
      <c r="U317" s="2">
        <f ca="1">Planet(Panchanga!$E317,5)</f>
        <v>215.11879787367215</v>
      </c>
      <c r="V317" s="2">
        <f ca="1">Planet(Panchanga!$E317,3)</f>
        <v>183.75378597805653</v>
      </c>
      <c r="W317" s="2">
        <f ca="1">Planet(Panchanga!$E317,6)</f>
        <v>251.15812983190418</v>
      </c>
      <c r="X317" s="2">
        <f ca="1">Planet(Panchanga!$E317,10)</f>
        <v>96.468578792380342</v>
      </c>
      <c r="Y317" s="2">
        <f ca="1">SIGN(S318-Panchanga!$S317)</f>
        <v>1</v>
      </c>
    </row>
    <row r="318" spans="1:25" x14ac:dyDescent="0.2">
      <c r="A318" s="3">
        <f t="shared" ca="1" si="48"/>
        <v>43410</v>
      </c>
      <c r="B318" s="3">
        <f t="shared" ca="1" si="41"/>
        <v>43410.229166666664</v>
      </c>
      <c r="C318" s="5">
        <f t="shared" ca="1" si="42"/>
        <v>43410.254333542347</v>
      </c>
      <c r="D318" s="5">
        <f t="shared" ca="1" si="43"/>
        <v>43409.736352106134</v>
      </c>
      <c r="E318" s="60">
        <f ca="1">Panchanga!$C318-TimeZone/24</f>
        <v>43410.025166875683</v>
      </c>
      <c r="F318" s="61">
        <f t="shared" ca="1" si="44"/>
        <v>199.42410966159122</v>
      </c>
      <c r="G318" s="61">
        <f t="shared" ca="1" si="45"/>
        <v>178.79035774646988</v>
      </c>
      <c r="H318" s="62">
        <f t="shared" ca="1" si="46"/>
        <v>43410.025166875683</v>
      </c>
      <c r="I318" s="2" t="str">
        <f ca="1">naks(Panchanga!$G318)</f>
        <v>Chitra</v>
      </c>
      <c r="J318" s="5">
        <f ca="1">(C319-Panchanga!$C318)/(G319-Panchanga!$G318)*(13.3333333333333-MOD(Panchanga!$G318,13.333333333333))+Panchanga!$C318</f>
        <v>43410.831632619665</v>
      </c>
      <c r="K318" s="2" t="str">
        <f ca="1">IF(Panchanga!$P318&gt;15,"K","S")&amp;ROUNDUP(MOD(Panchanga!$P318,15),0)&amp;" ("&amp;ROUND(Panchanga!$P318,2)&amp;")"</f>
        <v>K14 (28.28)</v>
      </c>
      <c r="L318" s="2">
        <f ca="1">IF(AND(Panchanga!$P318&lt;28.5,Panchanga!$P318&gt;0.49999),MOD((Panchanga!$P318-0.5)*2,7),MOD((Panchanga!$P318+30-28.5),30)*2+7)</f>
        <v>6.5611999999999995</v>
      </c>
      <c r="M318" s="2" t="str">
        <f ca="1">CHOOSE(ROUNDUP(Panchanga!$L318,0),"Bhava","Baalava","Kaulava","Taitula","Garija","Vanija","Vishti","Shakuni","Chatushapda","Naaga","Kimstugna")</f>
        <v>Vishti</v>
      </c>
      <c r="N318" s="25" t="str">
        <f ca="1">CHOOSE(ROUNDUP(Panchanga!$Q318,0),"Vishkambha-विष्कम्भ-Sa","Priti-प्रीति-Me","Ayushman-आयुष्मान-Ke","Saubhagya-सौभाग्य-Ve","Shobhana-शोभन-Su","Atiganda-अतिगण्ड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("&amp;Panchanga!$Q318&amp;")"</f>
        <v>Priti-प्रीति-Me (1.37)</v>
      </c>
      <c r="O318" s="2">
        <f ca="1">IF(AND(Panchanga!$P318&lt;28.5,Panchanga!$P318&gt;0.49999),MOD((Panchanga!$P318-0.5)*2,7),MOD((Panchanga!$P318+30-28.5),30)*2+7)</f>
        <v>6.5611999999999995</v>
      </c>
      <c r="P318" s="2">
        <f ca="1">ROUNDUP(MOD(360+Panchanga!$G318-Panchanga!$F318,360)/12,4)</f>
        <v>28.2806</v>
      </c>
      <c r="Q318" s="2">
        <f t="shared" ca="1" si="47"/>
        <v>1.37</v>
      </c>
      <c r="R318" s="2" t="str">
        <f ca="1">SIGN(S319-Panchanga!$S318)*INT(Panchanga!$S318/30+1)&amp;"Ma,"&amp;SIGN(T319-Panchanga!$T318)*INT(Panchanga!$T318/30+1)&amp;"Me,"&amp;SIGN(U319-Panchanga!$U318)*INT(Panchanga!$U318/30+1)&amp;"Ju,"&amp;SIGN(V319-Panchanga!$V318)*INT(Panchanga!$V318/30+1)&amp;"Ve,"&amp;SIGN(W319-Panchanga!$W318)*INT(Panchanga!$W318/30+1)&amp;"Sa,"&amp;INT(Panchanga!$X318/30+1)&amp;"Ra"</f>
        <v>10Ma,8Me,8Ju,-7Ve,9Sa,4Ra</v>
      </c>
      <c r="S318" s="2">
        <f ca="1">Planet(Panchanga!$E318,4)</f>
        <v>299.94486344961848</v>
      </c>
      <c r="T318" s="2">
        <f ca="1">Planet(Panchanga!$E318,2)</f>
        <v>222.57222336067906</v>
      </c>
      <c r="U318" s="2">
        <f ca="1">Planet(Panchanga!$E318,5)</f>
        <v>215.33681972617603</v>
      </c>
      <c r="V318" s="2">
        <f ca="1">Planet(Panchanga!$E318,3)</f>
        <v>183.3243821452815</v>
      </c>
      <c r="W318" s="2">
        <f ca="1">Planet(Panchanga!$E318,6)</f>
        <v>251.24465364419962</v>
      </c>
      <c r="X318" s="2">
        <f ca="1">Planet(Panchanga!$E318,10)</f>
        <v>96.415574304187857</v>
      </c>
      <c r="Y318" s="2">
        <f ca="1">SIGN(S319-Panchanga!$S318)</f>
        <v>1</v>
      </c>
    </row>
    <row r="319" spans="1:25" x14ac:dyDescent="0.2">
      <c r="A319" s="3">
        <f t="shared" ca="1" si="48"/>
        <v>43411</v>
      </c>
      <c r="B319" s="3">
        <f t="shared" ca="1" si="41"/>
        <v>43411.229166666664</v>
      </c>
      <c r="C319" s="5">
        <f t="shared" ca="1" si="42"/>
        <v>43411.254576411251</v>
      </c>
      <c r="D319" s="5">
        <f t="shared" ca="1" si="43"/>
        <v>43410.736165027178</v>
      </c>
      <c r="E319" s="60">
        <f ca="1">Panchanga!$C319-TimeZone/24</f>
        <v>43411.025409744587</v>
      </c>
      <c r="F319" s="61">
        <f t="shared" ca="1" si="44"/>
        <v>200.42770470161685</v>
      </c>
      <c r="G319" s="61">
        <f t="shared" ca="1" si="45"/>
        <v>192.43704824053333</v>
      </c>
      <c r="H319" s="62">
        <f t="shared" ca="1" si="46"/>
        <v>43411.025409744587</v>
      </c>
      <c r="I319" s="2" t="str">
        <f ca="1">naks(Panchanga!$G319)</f>
        <v>Swati</v>
      </c>
      <c r="J319" s="5">
        <f ca="1">(C320-Panchanga!$C319)/(G320-Panchanga!$G319)*(13.3333333333333-MOD(Panchanga!$G319,13.333333333333))+Panchanga!$C319</f>
        <v>43411.819342948293</v>
      </c>
      <c r="K319" s="2" t="str">
        <f ca="1">IF(Panchanga!$P319&gt;15,"K","S")&amp;ROUNDUP(MOD(Panchanga!$P319,15),0)&amp;" ("&amp;ROUND(Panchanga!$P319,2)&amp;")"</f>
        <v>K15 (29.33)</v>
      </c>
      <c r="L319" s="2">
        <f ca="1">IF(AND(Panchanga!$P319&lt;28.5,Panchanga!$P319&gt;0.49999),MOD((Panchanga!$P319-0.5)*2,7),MOD((Panchanga!$P319+30-28.5),30)*2+7)</f>
        <v>8.6683999999999912</v>
      </c>
      <c r="M319" s="2" t="str">
        <f ca="1">CHOOSE(ROUNDUP(Panchanga!$L319,0),"Bhava","Baalava","Kaulava","Taitula","Garija","Vanija","Vishti","Shakuni","Chatushapda","Naaga","Kimstugna")</f>
        <v>Chatushapda</v>
      </c>
      <c r="N319" s="25" t="str">
        <f ca="1">CHOOSE(ROUNDUP(Panchanga!$Q319,0),"Vishkambha-विष्कम्भ-Sa","Priti-प्रीति-Me","Ayushman-आयुष्मान-Ke","Saubhagya-सौभाग्य-Ve","Shobhana-शोभन-Su","Atiganda-अतिगण्ड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("&amp;Panchanga!$Q319&amp;")"</f>
        <v>Ayushman-आयुष्मान-Ke (2.47)</v>
      </c>
      <c r="O319" s="2">
        <f ca="1">IF(AND(Panchanga!$P319&lt;28.5,Panchanga!$P319&gt;0.49999),MOD((Panchanga!$P319-0.5)*2,7),MOD((Panchanga!$P319+30-28.5),30)*2+7)</f>
        <v>8.6683999999999912</v>
      </c>
      <c r="P319" s="2">
        <f ca="1">ROUNDUP(MOD(360+Panchanga!$G319-Panchanga!$F319,360)/12,4)</f>
        <v>29.334199999999999</v>
      </c>
      <c r="Q319" s="2">
        <f t="shared" ca="1" si="47"/>
        <v>2.4699999999999998</v>
      </c>
      <c r="R319" s="2" t="str">
        <f ca="1">SIGN(S320-Panchanga!$S319)*INT(Panchanga!$S319/30+1)&amp;"Ma,"&amp;SIGN(T320-Panchanga!$T319)*INT(Panchanga!$T319/30+1)&amp;"Me,"&amp;SIGN(U320-Panchanga!$U319)*INT(Panchanga!$U319/30+1)&amp;"Ju,"&amp;SIGN(V320-Panchanga!$V319)*INT(Panchanga!$V319/30+1)&amp;"Ve,"&amp;SIGN(W320-Panchanga!$W319)*INT(Panchanga!$W319/30+1)&amp;"Sa,"&amp;INT(Panchanga!$X319/30+1)&amp;"Ra"</f>
        <v>11Ma,8Me,8Ju,-7Ve,9Sa,4Ra</v>
      </c>
      <c r="S319" s="2">
        <f ca="1">Planet(Panchanga!$E319,4)</f>
        <v>300.53116453580282</v>
      </c>
      <c r="T319" s="2">
        <f ca="1">Planet(Panchanga!$E319,2)</f>
        <v>223.58104034922869</v>
      </c>
      <c r="U319" s="2">
        <f ca="1">Planet(Panchanga!$E319,5)</f>
        <v>215.55533018061089</v>
      </c>
      <c r="V319" s="2">
        <f ca="1">Planet(Panchanga!$E319,3)</f>
        <v>182.92955812852523</v>
      </c>
      <c r="W319" s="2">
        <f ca="1">Planet(Panchanga!$E319,6)</f>
        <v>251.33224744125576</v>
      </c>
      <c r="X319" s="2">
        <f ca="1">Planet(Panchanga!$E319,10)</f>
        <v>96.362569436986703</v>
      </c>
      <c r="Y319" s="2">
        <f ca="1">SIGN(S320-Panchanga!$S319)</f>
        <v>1</v>
      </c>
    </row>
    <row r="320" spans="1:25" x14ac:dyDescent="0.2">
      <c r="A320" s="3">
        <f t="shared" ca="1" si="48"/>
        <v>43412</v>
      </c>
      <c r="B320" s="3">
        <f t="shared" ca="1" si="41"/>
        <v>43412.229166666664</v>
      </c>
      <c r="C320" s="5">
        <f t="shared" ca="1" si="42"/>
        <v>43412.254826591969</v>
      </c>
      <c r="D320" s="5">
        <f t="shared" ca="1" si="43"/>
        <v>43411.735990027941</v>
      </c>
      <c r="E320" s="60">
        <f ca="1">Panchanga!$C320-TimeZone/24</f>
        <v>43412.025659925304</v>
      </c>
      <c r="F320" s="61">
        <f t="shared" ca="1" si="44"/>
        <v>201.4318171973128</v>
      </c>
      <c r="G320" s="61">
        <f t="shared" ca="1" si="45"/>
        <v>205.83168720717623</v>
      </c>
      <c r="H320" s="62">
        <f t="shared" ca="1" si="46"/>
        <v>43412.025659925304</v>
      </c>
      <c r="I320" s="2" t="str">
        <f ca="1">naks(Panchanga!$G320)</f>
        <v>Visakha</v>
      </c>
      <c r="J320" s="5">
        <f ca="1">(C321-Panchanga!$C320)/(G321-Panchanga!$G320)*(13.3333333333333-MOD(Panchanga!$G320,13.333333333333))+Panchanga!$C320</f>
        <v>43412.82757005126</v>
      </c>
      <c r="K320" s="2" t="str">
        <f ca="1">IF(Panchanga!$P320&gt;15,"K","S")&amp;ROUNDUP(MOD(Panchanga!$P320,15),0)&amp;" ("&amp;ROUND(Panchanga!$P320,2)&amp;")"</f>
        <v>S1 (0.37)</v>
      </c>
      <c r="L320" s="2">
        <f ca="1">IF(AND(Panchanga!$P320&lt;28.5,Panchanga!$P320&gt;0.49999),MOD((Panchanga!$P320-0.5)*2,7),MOD((Panchanga!$P320+30-28.5),30)*2+7)</f>
        <v>10.733400000000003</v>
      </c>
      <c r="M320" s="2" t="str">
        <f ca="1">CHOOSE(ROUNDUP(Panchanga!$L320,0),"Bhava","Baalava","Kaulava","Taitula","Garija","Vanija","Vishti","Shakuni","Chatushapda","Naaga","Kimstugna")</f>
        <v>Kimstugna</v>
      </c>
      <c r="N320" s="25" t="str">
        <f ca="1">CHOOSE(ROUNDUP(Panchanga!$Q320,0),"Vishkambha-विष्कम्भ-Sa","Priti-प्रीति-Me","Ayushman-आयुष्मान-Ke","Saubhagya-सौभाग्य-Ve","Shobhana-शोभन-Su","Atiganda-अतिगण्ड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("&amp;Panchanga!$Q320&amp;")"</f>
        <v>Saubhagya-सौभाग्य-Ve (3.55)</v>
      </c>
      <c r="O320" s="2">
        <f ca="1">IF(AND(Panchanga!$P320&lt;28.5,Panchanga!$P320&gt;0.49999),MOD((Panchanga!$P320-0.5)*2,7),MOD((Panchanga!$P320+30-28.5),30)*2+7)</f>
        <v>10.733400000000003</v>
      </c>
      <c r="P320" s="2">
        <f ca="1">ROUNDUP(MOD(360+Panchanga!$G320-Panchanga!$F320,360)/12,4)</f>
        <v>0.36669999999999997</v>
      </c>
      <c r="Q320" s="2">
        <f t="shared" ca="1" si="47"/>
        <v>3.55</v>
      </c>
      <c r="R320" s="2" t="str">
        <f ca="1">SIGN(S321-Panchanga!$S320)*INT(Panchanga!$S320/30+1)&amp;"Ma,"&amp;SIGN(T321-Panchanga!$T320)*INT(Panchanga!$T320/30+1)&amp;"Me,"&amp;SIGN(U321-Panchanga!$U320)*INT(Panchanga!$U320/30+1)&amp;"Ju,"&amp;SIGN(V321-Panchanga!$V320)*INT(Panchanga!$V320/30+1)&amp;"Ve,"&amp;SIGN(W321-Panchanga!$W320)*INT(Panchanga!$W320/30+1)&amp;"Sa,"&amp;INT(Panchanga!$X320/30+1)&amp;"Ra"</f>
        <v>11Ma,8Me,8Ju,-7Ve,9Sa,4Ra</v>
      </c>
      <c r="S320" s="2">
        <f ca="1">Planet(Panchanga!$E320,4)</f>
        <v>301.12070864105903</v>
      </c>
      <c r="T320" s="2">
        <f ca="1">Planet(Panchanga!$E320,2)</f>
        <v>224.53641719696995</v>
      </c>
      <c r="U320" s="2">
        <f ca="1">Planet(Panchanga!$E320,5)</f>
        <v>215.77430429447827</v>
      </c>
      <c r="V320" s="2">
        <f ca="1">Planet(Panchanga!$E320,3)</f>
        <v>182.5710748240889</v>
      </c>
      <c r="W320" s="2">
        <f ca="1">Planet(Panchanga!$E320,6)</f>
        <v>251.4208936373181</v>
      </c>
      <c r="X320" s="2">
        <f ca="1">Planet(Panchanga!$E320,10)</f>
        <v>96.309564182310297</v>
      </c>
      <c r="Y320" s="2">
        <f ca="1">SIGN(S321-Panchanga!$S320)</f>
        <v>1</v>
      </c>
    </row>
    <row r="321" spans="1:25" x14ac:dyDescent="0.2">
      <c r="A321" s="3">
        <f t="shared" ca="1" si="48"/>
        <v>43413</v>
      </c>
      <c r="B321" s="3">
        <f t="shared" ca="1" si="41"/>
        <v>43413.229166666664</v>
      </c>
      <c r="C321" s="5">
        <f t="shared" ca="1" si="42"/>
        <v>43413.255083607197</v>
      </c>
      <c r="D321" s="5">
        <f t="shared" ca="1" si="43"/>
        <v>43412.73582758526</v>
      </c>
      <c r="E321" s="60">
        <f ca="1">Panchanga!$C321-TimeZone/24</f>
        <v>43413.025916940533</v>
      </c>
      <c r="F321" s="61">
        <f t="shared" ca="1" si="44"/>
        <v>202.43642377415554</v>
      </c>
      <c r="G321" s="61">
        <f t="shared" ca="1" si="45"/>
        <v>218.93279563839974</v>
      </c>
      <c r="H321" s="62">
        <f t="shared" ca="1" si="46"/>
        <v>43413.025916940533</v>
      </c>
      <c r="I321" s="2" t="str">
        <f ca="1">naks(Panchanga!$G321)</f>
        <v>Anuradha</v>
      </c>
      <c r="J321" s="5">
        <f ca="1">(C322-Panchanga!$C321)/(G322-Panchanga!$G321)*(13.3333333333333-MOD(Panchanga!$G321,13.333333333333))+Panchanga!$C321</f>
        <v>43413.859977311076</v>
      </c>
      <c r="K321" s="2" t="str">
        <f ca="1">IF(Panchanga!$P321&gt;15,"K","S")&amp;ROUNDUP(MOD(Panchanga!$P321,15),0)&amp;" ("&amp;ROUND(Panchanga!$P321,2)&amp;")"</f>
        <v>S2 (1.37)</v>
      </c>
      <c r="L321" s="2">
        <f ca="1">IF(AND(Panchanga!$P321&lt;28.5,Panchanga!$P321&gt;0.49999),MOD((Panchanga!$P321-0.5)*2,7),MOD((Panchanga!$P321+30-28.5),30)*2+7)</f>
        <v>1.7494000000000001</v>
      </c>
      <c r="M321" s="2" t="str">
        <f ca="1">CHOOSE(ROUNDUP(Panchanga!$L321,0),"Bhava","Baalava","Kaulava","Taitula","Garija","Vanija","Vishti","Shakuni","Chatushapda","Naaga","Kimstugna")</f>
        <v>Baalava</v>
      </c>
      <c r="N321" s="25" t="str">
        <f ca="1">CHOOSE(ROUNDUP(Panchanga!$Q321,0),"Vishkambha-विष्कम्भ-Sa","Priti-प्रीति-Me","Ayushman-आयुष्मान-Ke","Saubhagya-सौभाग्य-Ve","Shobhana-शोभन-Su","Atiganda-अतिगण्ड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("&amp;Panchanga!$Q321&amp;")"</f>
        <v>Shobhana-शोभन-Su (4.61)</v>
      </c>
      <c r="O321" s="2">
        <f ca="1">IF(AND(Panchanga!$P321&lt;28.5,Panchanga!$P321&gt;0.49999),MOD((Panchanga!$P321-0.5)*2,7),MOD((Panchanga!$P321+30-28.5),30)*2+7)</f>
        <v>1.7494000000000001</v>
      </c>
      <c r="P321" s="2">
        <f ca="1">ROUNDUP(MOD(360+Panchanga!$G321-Panchanga!$F321,360)/12,4)</f>
        <v>1.3747</v>
      </c>
      <c r="Q321" s="2">
        <f t="shared" ca="1" si="47"/>
        <v>4.6099999999999994</v>
      </c>
      <c r="R321" s="2" t="str">
        <f ca="1">SIGN(S322-Panchanga!$S321)*INT(Panchanga!$S321/30+1)&amp;"Ma,"&amp;SIGN(T322-Panchanga!$T321)*INT(Panchanga!$T321/30+1)&amp;"Me,"&amp;SIGN(U322-Panchanga!$U321)*INT(Panchanga!$U321/30+1)&amp;"Ju,"&amp;SIGN(V322-Panchanga!$V321)*INT(Panchanga!$V321/30+1)&amp;"Ve,"&amp;SIGN(W322-Panchanga!$W321)*INT(Panchanga!$W321/30+1)&amp;"Sa,"&amp;INT(Panchanga!$X321/30+1)&amp;"Ra"</f>
        <v>11Ma,8Me,8Ju,-7Ve,9Sa,4Ra</v>
      </c>
      <c r="S321" s="2">
        <f ca="1">Planet(Panchanga!$E321,4)</f>
        <v>301.71341051356472</v>
      </c>
      <c r="T321" s="2">
        <f ca="1">Planet(Panchanga!$E321,2)</f>
        <v>225.43185203130798</v>
      </c>
      <c r="U321" s="2">
        <f ca="1">Planet(Panchanga!$E321,5)</f>
        <v>215.99371682051705</v>
      </c>
      <c r="V321" s="2">
        <f ca="1">Planet(Panchanga!$E321,3)</f>
        <v>182.2503892683051</v>
      </c>
      <c r="W321" s="2">
        <f ca="1">Planet(Panchanga!$E321,6)</f>
        <v>251.51057409531245</v>
      </c>
      <c r="X321" s="2">
        <f ca="1">Planet(Panchanga!$E321,10)</f>
        <v>96.256558565459159</v>
      </c>
      <c r="Y321" s="2">
        <f ca="1">SIGN(S322-Panchanga!$S321)</f>
        <v>1</v>
      </c>
    </row>
    <row r="322" spans="1:25" x14ac:dyDescent="0.2">
      <c r="A322" s="3">
        <f t="shared" ca="1" si="48"/>
        <v>43414</v>
      </c>
      <c r="B322" s="3">
        <f t="shared" ca="1" si="41"/>
        <v>43414.229166666664</v>
      </c>
      <c r="C322" s="5">
        <f t="shared" ca="1" si="42"/>
        <v>43414.255347774983</v>
      </c>
      <c r="D322" s="5">
        <f t="shared" ca="1" si="43"/>
        <v>43413.735677699602</v>
      </c>
      <c r="E322" s="60">
        <f ca="1">Panchanga!$C322-TimeZone/24</f>
        <v>43414.026181108318</v>
      </c>
      <c r="F322" s="61">
        <f t="shared" ca="1" si="44"/>
        <v>203.44150298515254</v>
      </c>
      <c r="G322" s="61">
        <f t="shared" ca="1" si="45"/>
        <v>231.72167741752713</v>
      </c>
      <c r="H322" s="62">
        <f t="shared" ca="1" si="46"/>
        <v>43414.026181108318</v>
      </c>
      <c r="I322" s="2" t="str">
        <f ca="1">naks(Panchanga!$G322)</f>
        <v>Jyestha</v>
      </c>
      <c r="J322" s="5">
        <f ca="1">(C323-Panchanga!$C322)/(G323-Panchanga!$G322)*(13.3333333333333-MOD(Panchanga!$G322,13.333333333333))+Panchanga!$C322</f>
        <v>43414.9186307493</v>
      </c>
      <c r="K322" s="2" t="str">
        <f ca="1">IF(Panchanga!$P322&gt;15,"K","S")&amp;ROUNDUP(MOD(Panchanga!$P322,15),0)&amp;" ("&amp;ROUND(Panchanga!$P322,2)&amp;")"</f>
        <v>S3 (2.36)</v>
      </c>
      <c r="L322" s="2">
        <f ca="1">IF(AND(Panchanga!$P322&lt;28.5,Panchanga!$P322&gt;0.49999),MOD((Panchanga!$P322-0.5)*2,7),MOD((Panchanga!$P322+30-28.5),30)*2+7)</f>
        <v>3.7134</v>
      </c>
      <c r="M322" s="2" t="str">
        <f ca="1">CHOOSE(ROUNDUP(Panchanga!$L322,0),"Bhava","Baalava","Kaulava","Taitula","Garija","Vanija","Vishti","Shakuni","Chatushapda","Naaga","Kimstugna")</f>
        <v>Taitula</v>
      </c>
      <c r="N322" s="25" t="str">
        <f ca="1">CHOOSE(ROUNDUP(Panchanga!$Q322,0),"Vishkambha-विष्कम्भ-Sa","Priti-प्रीति-Me","Ayushman-आयुष्मान-Ke","Saubhagya-सौभाग्य-Ve","Shobhana-शोभन-Su","Atiganda-अतिगण्ड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("&amp;Panchanga!$Q322&amp;")"</f>
        <v>Atiganda-अतिगण्ड -Mo (5.64)</v>
      </c>
      <c r="O322" s="2">
        <f ca="1">IF(AND(Panchanga!$P322&lt;28.5,Panchanga!$P322&gt;0.49999),MOD((Panchanga!$P322-0.5)*2,7),MOD((Panchanga!$P322+30-28.5),30)*2+7)</f>
        <v>3.7134</v>
      </c>
      <c r="P322" s="2">
        <f ca="1">ROUNDUP(MOD(360+Panchanga!$G322-Panchanga!$F322,360)/12,4)</f>
        <v>2.3567</v>
      </c>
      <c r="Q322" s="2">
        <f t="shared" ca="1" si="47"/>
        <v>5.64</v>
      </c>
      <c r="R322" s="2" t="str">
        <f ca="1">SIGN(S323-Panchanga!$S322)*INT(Panchanga!$S322/30+1)&amp;"Ma,"&amp;SIGN(T323-Panchanga!$T322)*INT(Panchanga!$T322/30+1)&amp;"Me,"&amp;SIGN(U323-Panchanga!$U322)*INT(Panchanga!$U322/30+1)&amp;"Ju,"&amp;SIGN(V323-Panchanga!$V322)*INT(Panchanga!$V322/30+1)&amp;"Ve,"&amp;SIGN(W323-Panchanga!$W322)*INT(Panchanga!$W322/30+1)&amp;"Sa,"&amp;INT(Panchanga!$X322/30+1)&amp;"Ra"</f>
        <v>11Ma,8Me,8Ju,-7Ve,9Sa,4Ra</v>
      </c>
      <c r="S322" s="2">
        <f ca="1">Planet(Panchanga!$E322,4)</f>
        <v>302.30918220219723</v>
      </c>
      <c r="T322" s="2">
        <f ca="1">Planet(Panchanga!$E322,2)</f>
        <v>226.26002210812811</v>
      </c>
      <c r="U322" s="2">
        <f ca="1">Planet(Panchanga!$E322,5)</f>
        <v>216.21354273236827</v>
      </c>
      <c r="V322" s="2">
        <f ca="1">Planet(Panchanga!$E322,3)</f>
        <v>181.96866816179659</v>
      </c>
      <c r="W322" s="2">
        <f ca="1">Planet(Panchanga!$E322,6)</f>
        <v>251.60127037409259</v>
      </c>
      <c r="X322" s="2">
        <f ca="1">Planet(Panchanga!$E322,10)</f>
        <v>96.203552569599395</v>
      </c>
      <c r="Y322" s="2">
        <f ca="1">SIGN(S323-Panchanga!$S322)</f>
        <v>1</v>
      </c>
    </row>
    <row r="323" spans="1:25" x14ac:dyDescent="0.2">
      <c r="A323" s="3">
        <f t="shared" ca="1" si="48"/>
        <v>43415</v>
      </c>
      <c r="B323" s="3">
        <f t="shared" ref="B323:B386" ca="1" si="49">A323+TimeZone/24</f>
        <v>43415.229166666664</v>
      </c>
      <c r="C323" s="5">
        <f t="shared" ref="C323:C386" ca="1" si="50">sunrise(Lat,Long,B323)+TimeZone/24+0.00103009259259259</f>
        <v>43415.255618618488</v>
      </c>
      <c r="D323" s="5">
        <f t="shared" ref="D323:D386" ca="1" si="51">sunset(Lat,Long,B323)+TimeZone/24-0.000277777777777778</f>
        <v>43414.735540211244</v>
      </c>
      <c r="E323" s="60">
        <f ca="1">Panchanga!$C323-TimeZone/24</f>
        <v>43415.026451951824</v>
      </c>
      <c r="F323" s="61">
        <f t="shared" ref="F323:F386" ca="1" si="52">Planet(E323,0)</f>
        <v>204.44703446900874</v>
      </c>
      <c r="G323" s="61">
        <f t="shared" ref="G323:G386" ca="1" si="53">Planet(E323,1)</f>
        <v>244.20588858083366</v>
      </c>
      <c r="H323" s="62">
        <f t="shared" ref="H323:H386" ca="1" si="54">E323</f>
        <v>43415.026451951824</v>
      </c>
      <c r="I323" s="2" t="str">
        <f ca="1">naks(Panchanga!$G323)</f>
        <v>Moola</v>
      </c>
      <c r="J323" s="5">
        <f ca="1">(C324-Panchanga!$C323)/(G324-Panchanga!$G323)*(13.3333333333333-MOD(Panchanga!$G323,13.333333333333))+Panchanga!$C323</f>
        <v>43416.003188146642</v>
      </c>
      <c r="K323" s="2" t="str">
        <f ca="1">IF(Panchanga!$P323&gt;15,"K","S")&amp;ROUNDUP(MOD(Panchanga!$P323,15),0)&amp;" ("&amp;ROUND(Panchanga!$P323,2)&amp;")"</f>
        <v>S4 (3.31)</v>
      </c>
      <c r="L323" s="2">
        <f ca="1">IF(AND(Panchanga!$P323&lt;28.5,Panchanga!$P323&gt;0.49999),MOD((Panchanga!$P323-0.5)*2,7),MOD((Panchanga!$P323+30-28.5),30)*2+7)</f>
        <v>5.6266000000000007</v>
      </c>
      <c r="M323" s="2" t="str">
        <f ca="1">CHOOSE(ROUNDUP(Panchanga!$L323,0),"Bhava","Baalava","Kaulava","Taitula","Garija","Vanija","Vishti","Shakuni","Chatushapda","Naaga","Kimstugna")</f>
        <v>Vanija</v>
      </c>
      <c r="N323" s="25" t="str">
        <f ca="1">CHOOSE(ROUNDUP(Panchanga!$Q323,0),"Vishkambha-विष्कम्भ-Sa","Priti-प्रीति-Me","Ayushman-आयुष्मान-Ke","Saubhagya-सौभाग्य-Ve","Shobhana-शोभन-Su","Atiganda-अतिगण्ड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("&amp;Panchanga!$Q323&amp;")"</f>
        <v>Sukarman-सुकर्मा -Ma (6.65)</v>
      </c>
      <c r="O323" s="2">
        <f ca="1">IF(AND(Panchanga!$P323&lt;28.5,Panchanga!$P323&gt;0.49999),MOD((Panchanga!$P323-0.5)*2,7),MOD((Panchanga!$P323+30-28.5),30)*2+7)</f>
        <v>5.6266000000000007</v>
      </c>
      <c r="P323" s="2">
        <f ca="1">ROUNDUP(MOD(360+Panchanga!$G323-Panchanga!$F323,360)/12,4)</f>
        <v>3.3133000000000004</v>
      </c>
      <c r="Q323" s="2">
        <f t="shared" ref="Q323:Q386" ca="1" si="55">ROUNDUP(MOD(F323+G323,360)/13.333333333,2)</f>
        <v>6.6499999999999995</v>
      </c>
      <c r="R323" s="2" t="str">
        <f ca="1">SIGN(S324-Panchanga!$S323)*INT(Panchanga!$S323/30+1)&amp;"Ma,"&amp;SIGN(T324-Panchanga!$T323)*INT(Panchanga!$T323/30+1)&amp;"Me,"&amp;SIGN(U324-Panchanga!$U323)*INT(Panchanga!$U323/30+1)&amp;"Ju,"&amp;SIGN(V324-Panchanga!$V323)*INT(Panchanga!$V323/30+1)&amp;"Ve,"&amp;SIGN(W324-Panchanga!$W323)*INT(Panchanga!$W323/30+1)&amp;"Sa,"&amp;INT(Panchanga!$X323/30+1)&amp;"Ra"</f>
        <v>11Ma,8Me,8Ju,-7Ve,9Sa,4Ra</v>
      </c>
      <c r="S323" s="2">
        <f ca="1">Planet(Panchanga!$E323,4)</f>
        <v>302.90793301054237</v>
      </c>
      <c r="T323" s="2">
        <f ca="1">Planet(Panchanga!$E323,2)</f>
        <v>227.01272752219609</v>
      </c>
      <c r="U323" s="2">
        <f ca="1">Planet(Panchanga!$E323,5)</f>
        <v>216.43375705998787</v>
      </c>
      <c r="V323" s="2">
        <f ca="1">Planet(Panchanga!$E323,3)</f>
        <v>181.72680465114203</v>
      </c>
      <c r="W323" s="2">
        <f ca="1">Planet(Panchanga!$E323,6)</f>
        <v>251.6929637160446</v>
      </c>
      <c r="X323" s="2">
        <f ca="1">Planet(Panchanga!$E323,10)</f>
        <v>96.150546219998446</v>
      </c>
      <c r="Y323" s="2">
        <f ca="1">SIGN(S324-Panchanga!$S323)</f>
        <v>1</v>
      </c>
    </row>
    <row r="324" spans="1:25" x14ac:dyDescent="0.2">
      <c r="A324" s="3">
        <f t="shared" ca="1" si="48"/>
        <v>43416</v>
      </c>
      <c r="B324" s="3">
        <f t="shared" ca="1" si="49"/>
        <v>43416.229166666664</v>
      </c>
      <c r="C324" s="5">
        <f t="shared" ca="1" si="50"/>
        <v>43416.255896137714</v>
      </c>
      <c r="D324" s="5">
        <f t="shared" ca="1" si="51"/>
        <v>43415.735415597956</v>
      </c>
      <c r="E324" s="60">
        <f ca="1">Panchanga!$C324-TimeZone/24</f>
        <v>43416.02672947105</v>
      </c>
      <c r="F324" s="61">
        <f t="shared" ca="1" si="52"/>
        <v>205.45300065676392</v>
      </c>
      <c r="G324" s="61">
        <f t="shared" ca="1" si="53"/>
        <v>256.41876972443021</v>
      </c>
      <c r="H324" s="62">
        <f t="shared" ca="1" si="54"/>
        <v>43416.02672947105</v>
      </c>
      <c r="I324" s="2" t="str">
        <f ca="1">naks(Panchanga!$G324)</f>
        <v>Purva Asadha</v>
      </c>
      <c r="J324" s="5">
        <f ca="1">(C325-Panchanga!$C324)/(G325-Panchanga!$G324)*(13.3333333333333-MOD(Panchanga!$G324,13.333333333333))+Panchanga!$C324</f>
        <v>43417.110327914801</v>
      </c>
      <c r="K324" s="2" t="str">
        <f ca="1">IF(Panchanga!$P324&gt;15,"K","S")&amp;ROUNDUP(MOD(Panchanga!$P324,15),0)&amp;" ("&amp;ROUND(Panchanga!$P324,2)&amp;")"</f>
        <v>S5 (4.25)</v>
      </c>
      <c r="L324" s="2">
        <f ca="1">IF(AND(Panchanga!$P324&lt;28.5,Panchanga!$P324&gt;0.49999),MOD((Panchanga!$P324-0.5)*2,7),MOD((Panchanga!$P324+30-28.5),30)*2+7)</f>
        <v>0.49439999999999884</v>
      </c>
      <c r="M324" s="2" t="str">
        <f ca="1">CHOOSE(ROUNDUP(Panchanga!$L324,0),"Bhava","Baalava","Kaulava","Taitula","Garija","Vanija","Vishti","Shakuni","Chatushapda","Naaga","Kimstugna")</f>
        <v>Bhava</v>
      </c>
      <c r="N324" s="25" t="str">
        <f ca="1">CHOOSE(ROUNDUP(Panchanga!$Q324,0),"Vishkambha-विष्कम्भ-Sa","Priti-प्रीति-Me","Ayushman-आयुष्मान-Ke","Saubhagya-सौभाग्य-Ve","Shobhana-शोभन-Su","Atiganda-अतिगण्ड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("&amp;Panchanga!$Q324&amp;")"</f>
        <v>Dhriti-धृति -Ra (7.65)</v>
      </c>
      <c r="O324" s="2">
        <f ca="1">IF(AND(Panchanga!$P324&lt;28.5,Panchanga!$P324&gt;0.49999),MOD((Panchanga!$P324-0.5)*2,7),MOD((Panchanga!$P324+30-28.5),30)*2+7)</f>
        <v>0.49439999999999884</v>
      </c>
      <c r="P324" s="2">
        <f ca="1">ROUNDUP(MOD(360+Panchanga!$G324-Panchanga!$F324,360)/12,4)</f>
        <v>4.2471999999999994</v>
      </c>
      <c r="Q324" s="2">
        <f t="shared" ca="1" si="55"/>
        <v>7.6499999999999995</v>
      </c>
      <c r="R324" s="2" t="str">
        <f ca="1">SIGN(S325-Panchanga!$S324)*INT(Panchanga!$S324/30+1)&amp;"Ma,"&amp;SIGN(T325-Panchanga!$T324)*INT(Panchanga!$T324/30+1)&amp;"Me,"&amp;SIGN(U325-Panchanga!$U324)*INT(Panchanga!$U324/30+1)&amp;"Ju,"&amp;SIGN(V325-Panchanga!$V324)*INT(Panchanga!$V324/30+1)&amp;"Ve,"&amp;SIGN(W325-Panchanga!$W324)*INT(Panchanga!$W324/30+1)&amp;"Sa,"&amp;INT(Panchanga!$X324/30+1)&amp;"Ra"</f>
        <v>11Ma,8Me,8Ju,-7Ve,9Sa,4Ra</v>
      </c>
      <c r="S324" s="2">
        <f ca="1">Planet(Panchanga!$E324,4)</f>
        <v>303.50957134894082</v>
      </c>
      <c r="T324" s="2">
        <f ca="1">Planet(Panchanga!$E324,2)</f>
        <v>227.6808570987651</v>
      </c>
      <c r="U324" s="2">
        <f ca="1">Planet(Panchanga!$E324,5)</f>
        <v>216.65433529879303</v>
      </c>
      <c r="V324" s="2">
        <f ca="1">Planet(Panchanga!$E324,3)</f>
        <v>181.5254355146561</v>
      </c>
      <c r="W324" s="2">
        <f ca="1">Planet(Panchanga!$E324,6)</f>
        <v>251.78563527939431</v>
      </c>
      <c r="X324" s="2">
        <f ca="1">Planet(Panchanga!$E324,10)</f>
        <v>96.097539516623158</v>
      </c>
      <c r="Y324" s="2">
        <f ca="1">SIGN(S325-Panchanga!$S324)</f>
        <v>1</v>
      </c>
    </row>
    <row r="325" spans="1:25" x14ac:dyDescent="0.2">
      <c r="A325" s="3">
        <f t="shared" ca="1" si="48"/>
        <v>43417</v>
      </c>
      <c r="B325" s="3">
        <f t="shared" ca="1" si="49"/>
        <v>43417.229166666664</v>
      </c>
      <c r="C325" s="5">
        <f t="shared" ca="1" si="50"/>
        <v>43417.25618017387</v>
      </c>
      <c r="D325" s="5">
        <f t="shared" ca="1" si="51"/>
        <v>43416.735303541223</v>
      </c>
      <c r="E325" s="60">
        <f ca="1">Panchanga!$C325-TimeZone/24</f>
        <v>43417.027013507206</v>
      </c>
      <c r="F325" s="61">
        <f t="shared" ca="1" si="52"/>
        <v>206.4593862352055</v>
      </c>
      <c r="G325" s="61">
        <f t="shared" ca="1" si="53"/>
        <v>268.41599172667947</v>
      </c>
      <c r="H325" s="62">
        <f t="shared" ca="1" si="54"/>
        <v>43417.027013507206</v>
      </c>
      <c r="I325" s="2" t="str">
        <f ca="1">naks(Panchanga!$G325)</f>
        <v>Uttara Asadha</v>
      </c>
      <c r="J325" s="5">
        <f ca="1">(C326-Panchanga!$C325)/(G326-Panchanga!$G325)*(13.3333333333333-MOD(Panchanga!$G325,13.333333333333))+Panchanga!$C325</f>
        <v>43418.233649043497</v>
      </c>
      <c r="K325" s="2" t="str">
        <f ca="1">IF(Panchanga!$P325&gt;15,"K","S")&amp;ROUNDUP(MOD(Panchanga!$P325,15),0)&amp;" ("&amp;ROUND(Panchanga!$P325,2)&amp;")"</f>
        <v>S6 (5.16)</v>
      </c>
      <c r="L325" s="2">
        <f ca="1">IF(AND(Panchanga!$P325&lt;28.5,Panchanga!$P325&gt;0.49999),MOD((Panchanga!$P325-0.5)*2,7),MOD((Panchanga!$P325+30-28.5),30)*2+7)</f>
        <v>2.3262</v>
      </c>
      <c r="M325" s="2" t="str">
        <f ca="1">CHOOSE(ROUNDUP(Panchanga!$L325,0),"Bhava","Baalava","Kaulava","Taitula","Garija","Vanija","Vishti","Shakuni","Chatushapda","Naaga","Kimstugna")</f>
        <v>Kaulava</v>
      </c>
      <c r="N325" s="25" t="str">
        <f ca="1">CHOOSE(ROUNDUP(Panchanga!$Q325,0),"Vishkambha-विष्कम्भ-Sa","Priti-प्रीति-Me","Ayushman-आयुष्मान-Ke","Saubhagya-सौभाग्य-Ve","Shobhana-शोभन-Su","Atiganda-अतिगण्ड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("&amp;Panchanga!$Q325&amp;")"</f>
        <v>Shula-शूल -Ju (8.62)</v>
      </c>
      <c r="O325" s="2">
        <f ca="1">IF(AND(Panchanga!$P325&lt;28.5,Panchanga!$P325&gt;0.49999),MOD((Panchanga!$P325-0.5)*2,7),MOD((Panchanga!$P325+30-28.5),30)*2+7)</f>
        <v>2.3262</v>
      </c>
      <c r="P325" s="2">
        <f ca="1">ROUNDUP(MOD(360+Panchanga!$G325-Panchanga!$F325,360)/12,4)</f>
        <v>5.1631</v>
      </c>
      <c r="Q325" s="2">
        <f t="shared" ca="1" si="55"/>
        <v>8.6199999999999992</v>
      </c>
      <c r="R325" s="2" t="str">
        <f ca="1">SIGN(S326-Panchanga!$S325)*INT(Panchanga!$S325/30+1)&amp;"Ma,"&amp;SIGN(T326-Panchanga!$T325)*INT(Panchanga!$T325/30+1)&amp;"Me,"&amp;SIGN(U326-Panchanga!$U325)*INT(Panchanga!$U325/30+1)&amp;"Ju,"&amp;SIGN(V326-Panchanga!$V325)*INT(Panchanga!$V325/30+1)&amp;"Ve,"&amp;SIGN(W326-Panchanga!$W325)*INT(Panchanga!$W325/30+1)&amp;"Sa,"&amp;INT(Panchanga!$X325/30+1)&amp;"Ra"</f>
        <v>11Ma,8Me,8Ju,-7Ve,9Sa,4Ra</v>
      </c>
      <c r="S325" s="2">
        <f ca="1">Planet(Panchanga!$E325,4)</f>
        <v>304.11400542913526</v>
      </c>
      <c r="T325" s="2">
        <f ca="1">Planet(Panchanga!$E325,2)</f>
        <v>228.25438604992561</v>
      </c>
      <c r="U325" s="2">
        <f ca="1">Planet(Panchanga!$E325,5)</f>
        <v>216.87525334041203</v>
      </c>
      <c r="V325" s="2">
        <f ca="1">Planet(Panchanga!$E325,3)</f>
        <v>181.36495977086042</v>
      </c>
      <c r="W325" s="2">
        <f ca="1">Planet(Panchanga!$E325,6)</f>
        <v>251.87926617492295</v>
      </c>
      <c r="X325" s="2">
        <f ca="1">Planet(Panchanga!$E325,10)</f>
        <v>96.044532467873864</v>
      </c>
      <c r="Y325" s="2">
        <f ca="1">SIGN(S326-Panchanga!$S325)</f>
        <v>1</v>
      </c>
    </row>
    <row r="326" spans="1:25" x14ac:dyDescent="0.2">
      <c r="A326" s="3">
        <f t="shared" ca="1" si="48"/>
        <v>43418</v>
      </c>
      <c r="B326" s="3">
        <f t="shared" ca="1" si="49"/>
        <v>43418.229166666664</v>
      </c>
      <c r="C326" s="5">
        <f t="shared" ca="1" si="50"/>
        <v>43418.25647072649</v>
      </c>
      <c r="D326" s="5">
        <f t="shared" ca="1" si="51"/>
        <v>43417.735204359094</v>
      </c>
      <c r="E326" s="60">
        <f ca="1">Panchanga!$C326-TimeZone/24</f>
        <v>43418.027304059826</v>
      </c>
      <c r="F326" s="61">
        <f t="shared" ca="1" si="52"/>
        <v>207.46617832546252</v>
      </c>
      <c r="G326" s="61">
        <f t="shared" ca="1" si="53"/>
        <v>280.27046034178443</v>
      </c>
      <c r="H326" s="62">
        <f t="shared" ca="1" si="54"/>
        <v>43418.027304059826</v>
      </c>
      <c r="I326" s="2" t="str">
        <f ca="1">naks(Panchanga!$G326)</f>
        <v>Sravana</v>
      </c>
      <c r="J326" s="5">
        <f ca="1">(C327-Panchanga!$C326)/(G327-Panchanga!$G326)*(13.3333333333333-MOD(Panchanga!$G326,13.333333333333))+Panchanga!$C326</f>
        <v>43419.364170068453</v>
      </c>
      <c r="K326" s="2" t="str">
        <f ca="1">IF(Panchanga!$P326&gt;15,"K","S")&amp;ROUNDUP(MOD(Panchanga!$P326,15),0)&amp;" ("&amp;ROUND(Panchanga!$P326,2)&amp;")"</f>
        <v>S7 (6.07)</v>
      </c>
      <c r="L326" s="2">
        <f ca="1">IF(AND(Panchanga!$P326&lt;28.5,Panchanga!$P326&gt;0.49999),MOD((Panchanga!$P326-0.5)*2,7),MOD((Panchanga!$P326+30-28.5),30)*2+7)</f>
        <v>4.1341999999999999</v>
      </c>
      <c r="M326" s="2" t="str">
        <f ca="1">CHOOSE(ROUNDUP(Panchanga!$L326,0),"Bhava","Baalava","Kaulava","Taitula","Garija","Vanija","Vishti","Shakuni","Chatushapda","Naaga","Kimstugna")</f>
        <v>Garija</v>
      </c>
      <c r="N326" s="25" t="str">
        <f ca="1">CHOOSE(ROUNDUP(Panchanga!$Q326,0),"Vishkambha-विष्कम्भ-Sa","Priti-प्रीति-Me","Ayushman-आयुष्मान-Ke","Saubhagya-सौभाग्य-Ve","Shobhana-शोभन-Su","Atiganda-अतिगण्ड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("&amp;Panchanga!$Q326&amp;")"</f>
        <v>Ganda-गण्ड -Sa (9.59)</v>
      </c>
      <c r="O326" s="2">
        <f ca="1">IF(AND(Panchanga!$P326&lt;28.5,Panchanga!$P326&gt;0.49999),MOD((Panchanga!$P326-0.5)*2,7),MOD((Panchanga!$P326+30-28.5),30)*2+7)</f>
        <v>4.1341999999999999</v>
      </c>
      <c r="P326" s="2">
        <f ca="1">ROUNDUP(MOD(360+Panchanga!$G326-Panchanga!$F326,360)/12,4)</f>
        <v>6.0670999999999999</v>
      </c>
      <c r="Q326" s="2">
        <f t="shared" ca="1" si="55"/>
        <v>9.59</v>
      </c>
      <c r="R326" s="2" t="str">
        <f ca="1">SIGN(S327-Panchanga!$S326)*INT(Panchanga!$S326/30+1)&amp;"Ma,"&amp;SIGN(T327-Panchanga!$T326)*INT(Panchanga!$T326/30+1)&amp;"Me,"&amp;SIGN(U327-Panchanga!$U326)*INT(Panchanga!$U326/30+1)&amp;"Ju,"&amp;SIGN(V327-Panchanga!$V326)*INT(Panchanga!$V326/30+1)&amp;"Ve,"&amp;SIGN(W327-Panchanga!$W326)*INT(Panchanga!$W326/30+1)&amp;"Sa,"&amp;INT(Panchanga!$X326/30+1)&amp;"Ra"</f>
        <v>11Ma,8Me,8Ju,-7Ve,9Sa,4Ra</v>
      </c>
      <c r="S326" s="2">
        <f ca="1">Planet(Panchanga!$E326,4)</f>
        <v>304.72114429305032</v>
      </c>
      <c r="T326" s="2">
        <f ca="1">Planet(Panchanga!$E326,2)</f>
        <v>228.72242689310062</v>
      </c>
      <c r="U326" s="2">
        <f ca="1">Planet(Panchanga!$E326,5)</f>
        <v>217.09648755733099</v>
      </c>
      <c r="V326" s="2">
        <f ca="1">Planet(Panchanga!$E326,3)</f>
        <v>181.24555784215005</v>
      </c>
      <c r="W326" s="2">
        <f ca="1">Planet(Panchanga!$E326,6)</f>
        <v>251.97383755164324</v>
      </c>
      <c r="X326" s="2">
        <f ca="1">Planet(Panchanga!$E326,10)</f>
        <v>95.99152507385007</v>
      </c>
      <c r="Y326" s="2">
        <f ca="1">SIGN(S327-Panchanga!$S326)</f>
        <v>1</v>
      </c>
    </row>
    <row r="327" spans="1:25" x14ac:dyDescent="0.2">
      <c r="A327" s="3">
        <f t="shared" ca="1" si="48"/>
        <v>43419</v>
      </c>
      <c r="B327" s="3">
        <f t="shared" ca="1" si="49"/>
        <v>43419.229166666664</v>
      </c>
      <c r="C327" s="5">
        <f t="shared" ca="1" si="50"/>
        <v>43419.256767477993</v>
      </c>
      <c r="D327" s="5">
        <f t="shared" ca="1" si="51"/>
        <v>43418.735118051569</v>
      </c>
      <c r="E327" s="60">
        <f ca="1">Panchanga!$C327-TimeZone/24</f>
        <v>43419.027600811329</v>
      </c>
      <c r="F327" s="61">
        <f t="shared" ca="1" si="52"/>
        <v>208.4733657836149</v>
      </c>
      <c r="G327" s="61">
        <f t="shared" ca="1" si="53"/>
        <v>292.06675643381078</v>
      </c>
      <c r="H327" s="62">
        <f t="shared" ca="1" si="54"/>
        <v>43419.027600811329</v>
      </c>
      <c r="I327" s="2" t="str">
        <f ca="1">naks(Panchanga!$G327)</f>
        <v>Sravana</v>
      </c>
      <c r="J327" s="5">
        <f ca="1">(C328-Panchanga!$C327)/(G328-Panchanga!$G327)*(13.3333333333333-MOD(Panchanga!$G327,13.333333333333))+Panchanga!$C327</f>
        <v>43419.363873406131</v>
      </c>
      <c r="K327" s="2" t="str">
        <f ca="1">IF(Panchanga!$P327&gt;15,"K","S")&amp;ROUNDUP(MOD(Panchanga!$P327,15),0)&amp;" ("&amp;ROUND(Panchanga!$P327,2)&amp;")"</f>
        <v>S7 (6.97)</v>
      </c>
      <c r="L327" s="2">
        <f ca="1">IF(AND(Panchanga!$P327&lt;28.5,Panchanga!$P327&gt;0.49999),MOD((Panchanga!$P327-0.5)*2,7),MOD((Panchanga!$P327+30-28.5),30)*2+7)</f>
        <v>5.9323999999999995</v>
      </c>
      <c r="M327" s="2" t="str">
        <f ca="1">CHOOSE(ROUNDUP(Panchanga!$L327,0),"Bhava","Baalava","Kaulava","Taitula","Garija","Vanija","Vishti","Shakuni","Chatushapda","Naaga","Kimstugna")</f>
        <v>Vanija</v>
      </c>
      <c r="N327" s="25" t="str">
        <f ca="1">CHOOSE(ROUNDUP(Panchanga!$Q327,0),"Vishkambha-विष्कम्भ-Sa","Priti-प्रीति-Me","Ayushman-आयुष्मान-Ke","Saubhagya-सौभाग्य-Ve","Shobhana-शोभन-Su","Atiganda-अतिगण्ड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("&amp;Panchanga!$Q327&amp;")"</f>
        <v>Vriddhi-वृद्धि -Me (10.55)</v>
      </c>
      <c r="O327" s="2">
        <f ca="1">IF(AND(Panchanga!$P327&lt;28.5,Panchanga!$P327&gt;0.49999),MOD((Panchanga!$P327-0.5)*2,7),MOD((Panchanga!$P327+30-28.5),30)*2+7)</f>
        <v>5.9323999999999995</v>
      </c>
      <c r="P327" s="2">
        <f ca="1">ROUNDUP(MOD(360+Panchanga!$G327-Panchanga!$F327,360)/12,4)</f>
        <v>6.9661999999999997</v>
      </c>
      <c r="Q327" s="2">
        <f t="shared" ca="1" si="55"/>
        <v>10.549999999999999</v>
      </c>
      <c r="R327" s="2" t="str">
        <f ca="1">SIGN(S328-Panchanga!$S327)*INT(Panchanga!$S327/30+1)&amp;"Ma,"&amp;SIGN(T328-Panchanga!$T327)*INT(Panchanga!$T327/30+1)&amp;"Me,"&amp;SIGN(U328-Panchanga!$U327)*INT(Panchanga!$U327/30+1)&amp;"Ju,"&amp;SIGN(V328-Panchanga!$V327)*INT(Panchanga!$V327/30+1)&amp;"Ve,"&amp;SIGN(W328-Panchanga!$W327)*INT(Panchanga!$W327/30+1)&amp;"Sa,"&amp;INT(Panchanga!$X327/30+1)&amp;"Ra"</f>
        <v>11Ma,8Me,8Ju,-7Ve,9Sa,4Ra</v>
      </c>
      <c r="S327" s="2">
        <f ca="1">Planet(Panchanga!$E327,4)</f>
        <v>305.33089802819222</v>
      </c>
      <c r="T327" s="2">
        <f ca="1">Planet(Panchanga!$E327,2)</f>
        <v>229.07335809355015</v>
      </c>
      <c r="U327" s="2">
        <f ca="1">Planet(Panchanga!$E327,5)</f>
        <v>217.3180146866371</v>
      </c>
      <c r="V327" s="2">
        <f ca="1">Planet(Panchanga!$E327,3)</f>
        <v>181.16721171804409</v>
      </c>
      <c r="W327" s="2">
        <f ca="1">Planet(Panchanga!$E327,6)</f>
        <v>252.06933058208318</v>
      </c>
      <c r="X327" s="2">
        <f ca="1">Planet(Panchanga!$E327,10)</f>
        <v>95.938517351335818</v>
      </c>
      <c r="Y327" s="2">
        <f ca="1">SIGN(S328-Panchanga!$S327)</f>
        <v>1</v>
      </c>
    </row>
    <row r="328" spans="1:25" x14ac:dyDescent="0.2">
      <c r="A328" s="3">
        <f t="shared" ca="1" si="48"/>
        <v>43420</v>
      </c>
      <c r="B328" s="3">
        <f t="shared" ca="1" si="49"/>
        <v>43420.229166666664</v>
      </c>
      <c r="C328" s="5">
        <f t="shared" ca="1" si="50"/>
        <v>43420.257070428845</v>
      </c>
      <c r="D328" s="5">
        <f t="shared" ca="1" si="51"/>
        <v>43419.735044777437</v>
      </c>
      <c r="E328" s="60">
        <f ca="1">Panchanga!$C328-TimeZone/24</f>
        <v>43420.02790376218</v>
      </c>
      <c r="F328" s="61">
        <f t="shared" ca="1" si="52"/>
        <v>209.48093967964249</v>
      </c>
      <c r="G328" s="61">
        <f t="shared" ca="1" si="53"/>
        <v>303.89579925242708</v>
      </c>
      <c r="H328" s="62">
        <f t="shared" ca="1" si="54"/>
        <v>43420.02790376218</v>
      </c>
      <c r="I328" s="2" t="str">
        <f ca="1">naks(Panchanga!$G328)</f>
        <v>Dhanistha</v>
      </c>
      <c r="J328" s="5">
        <f ca="1">(C329-Panchanga!$C328)/(G329-Panchanga!$G328)*(13.3333333333333-MOD(Panchanga!$G328,13.333333333333))+Panchanga!$C328</f>
        <v>43420.488940362513</v>
      </c>
      <c r="K328" s="2" t="str">
        <f ca="1">IF(Panchanga!$P328&gt;15,"K","S")&amp;ROUNDUP(MOD(Panchanga!$P328,15),0)&amp;" ("&amp;ROUND(Panchanga!$P328,2)&amp;")"</f>
        <v>S8 (7.87)</v>
      </c>
      <c r="L328" s="2">
        <f ca="1">IF(AND(Panchanga!$P328&lt;28.5,Panchanga!$P328&gt;0.49999),MOD((Panchanga!$P328-0.5)*2,7),MOD((Panchanga!$P328+30-28.5),30)*2+7)</f>
        <v>0.73599999999999888</v>
      </c>
      <c r="M328" s="2" t="str">
        <f ca="1">CHOOSE(ROUNDUP(Panchanga!$L328,0),"Bhava","Baalava","Kaulava","Taitula","Garija","Vanija","Vishti","Shakuni","Chatushapda","Naaga","Kimstugna")</f>
        <v>Bhava</v>
      </c>
      <c r="N328" s="25" t="str">
        <f ca="1">CHOOSE(ROUNDUP(Panchanga!$Q328,0),"Vishkambha-विष्कम्भ-Sa","Priti-प्रीति-Me","Ayushman-आयुष्मान-Ke","Saubhagya-सौभाग्य-Ve","Shobhana-शोभन-Su","Atiganda-अतिगण्ड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("&amp;Panchanga!$Q328&amp;")"</f>
        <v>Dhruva-ध्रुव -Ke (11.51)</v>
      </c>
      <c r="O328" s="2">
        <f ca="1">IF(AND(Panchanga!$P328&lt;28.5,Panchanga!$P328&gt;0.49999),MOD((Panchanga!$P328-0.5)*2,7),MOD((Panchanga!$P328+30-28.5),30)*2+7)</f>
        <v>0.73599999999999888</v>
      </c>
      <c r="P328" s="2">
        <f ca="1">ROUNDUP(MOD(360+Panchanga!$G328-Panchanga!$F328,360)/12,4)</f>
        <v>7.8679999999999994</v>
      </c>
      <c r="Q328" s="2">
        <f t="shared" ca="1" si="55"/>
        <v>11.51</v>
      </c>
      <c r="R328" s="2" t="str">
        <f ca="1">SIGN(S329-Panchanga!$S328)*INT(Panchanga!$S328/30+1)&amp;"Ma,"&amp;SIGN(T329-Panchanga!$T328)*INT(Panchanga!$T328/30+1)&amp;"Me,"&amp;SIGN(U329-Panchanga!$U328)*INT(Panchanga!$U328/30+1)&amp;"Ju,"&amp;SIGN(V329-Panchanga!$V328)*INT(Panchanga!$V328/30+1)&amp;"Ve,"&amp;SIGN(W329-Panchanga!$W328)*INT(Panchanga!$W328/30+1)&amp;"Sa,"&amp;INT(Panchanga!$X328/30+1)&amp;"Ra"</f>
        <v>11Ma,8Me,8Ju,7Ve,9Sa,4Ra</v>
      </c>
      <c r="S328" s="2">
        <f ca="1">Planet(Panchanga!$E328,4)</f>
        <v>305.94317835166157</v>
      </c>
      <c r="T328" s="2">
        <f ca="1">Planet(Panchanga!$E328,2)</f>
        <v>229.2950641692326</v>
      </c>
      <c r="U328" s="2">
        <f ca="1">Planet(Panchanga!$E328,5)</f>
        <v>217.53981195666898</v>
      </c>
      <c r="V328" s="2">
        <f ca="1">Planet(Panchanga!$E328,3)</f>
        <v>181.12972575883532</v>
      </c>
      <c r="W328" s="2">
        <f ca="1">Planet(Panchanga!$E328,6)</f>
        <v>252.16572653840998</v>
      </c>
      <c r="X328" s="2">
        <f ca="1">Planet(Panchanga!$E328,10)</f>
        <v>95.88550930026507</v>
      </c>
      <c r="Y328" s="2">
        <f ca="1">SIGN(S329-Panchanga!$S328)</f>
        <v>1</v>
      </c>
    </row>
    <row r="329" spans="1:25" x14ac:dyDescent="0.2">
      <c r="A329" s="3">
        <f t="shared" ca="1" si="48"/>
        <v>43421</v>
      </c>
      <c r="B329" s="3">
        <f t="shared" ca="1" si="49"/>
        <v>43421.229166666664</v>
      </c>
      <c r="C329" s="5">
        <f t="shared" ca="1" si="50"/>
        <v>43421.257379419323</v>
      </c>
      <c r="D329" s="5">
        <f t="shared" ca="1" si="51"/>
        <v>43420.734984537165</v>
      </c>
      <c r="E329" s="60">
        <f ca="1">Panchanga!$C329-TimeZone/24</f>
        <v>43421.028212752659</v>
      </c>
      <c r="F329" s="61">
        <f t="shared" ca="1" si="52"/>
        <v>210.4888928094415</v>
      </c>
      <c r="G329" s="61">
        <f t="shared" ca="1" si="53"/>
        <v>315.84958533443228</v>
      </c>
      <c r="H329" s="62">
        <f t="shared" ca="1" si="54"/>
        <v>43421.028212752659</v>
      </c>
      <c r="I329" s="2" t="str">
        <f ca="1">naks(Panchanga!$G329)</f>
        <v>Satabhisaj</v>
      </c>
      <c r="J329" s="5">
        <f ca="1">(C330-Panchanga!$C329)/(G330-Panchanga!$G329)*(13.3333333333333-MOD(Panchanga!$G329,13.333333333333))+Panchanga!$C329</f>
        <v>43421.598640815122</v>
      </c>
      <c r="K329" s="2" t="str">
        <f ca="1">IF(Panchanga!$P329&gt;15,"K","S")&amp;ROUNDUP(MOD(Panchanga!$P329,15),0)&amp;" ("&amp;ROUND(Panchanga!$P329,2)&amp;")"</f>
        <v>S9 (8.78)</v>
      </c>
      <c r="L329" s="2">
        <f ca="1">IF(AND(Panchanga!$P329&lt;28.5,Panchanga!$P329&gt;0.49999),MOD((Panchanga!$P329-0.5)*2,7),MOD((Panchanga!$P329+30-28.5),30)*2+7)</f>
        <v>2.5601999999999983</v>
      </c>
      <c r="M329" s="2" t="str">
        <f ca="1">CHOOSE(ROUNDUP(Panchanga!$L329,0),"Bhava","Baalava","Kaulava","Taitula","Garija","Vanija","Vishti","Shakuni","Chatushapda","Naaga","Kimstugna")</f>
        <v>Kaulava</v>
      </c>
      <c r="N329" s="25" t="str">
        <f ca="1">CHOOSE(ROUNDUP(Panchanga!$Q329,0),"Vishkambha-विष्कम्भ-Sa","Priti-प्रीति-Me","Ayushman-आयुष्मान-Ke","Saubhagya-सौभाग्य-Ve","Shobhana-शोभन-Su","Atiganda-अतिगण्ड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("&amp;Panchanga!$Q329&amp;")"</f>
        <v>Vyaghata-व्याघात-ve (12.48)</v>
      </c>
      <c r="O329" s="2">
        <f ca="1">IF(AND(Panchanga!$P329&lt;28.5,Panchanga!$P329&gt;0.49999),MOD((Panchanga!$P329-0.5)*2,7),MOD((Panchanga!$P329+30-28.5),30)*2+7)</f>
        <v>2.5601999999999983</v>
      </c>
      <c r="P329" s="2">
        <f ca="1">ROUNDUP(MOD(360+Panchanga!$G329-Panchanga!$F329,360)/12,4)</f>
        <v>8.7800999999999991</v>
      </c>
      <c r="Q329" s="2">
        <f t="shared" ca="1" si="55"/>
        <v>12.48</v>
      </c>
      <c r="R329" s="2" t="str">
        <f ca="1">SIGN(S330-Panchanga!$S329)*INT(Panchanga!$S329/30+1)&amp;"Ma,"&amp;SIGN(T330-Panchanga!$T329)*INT(Panchanga!$T329/30+1)&amp;"Me,"&amp;SIGN(U330-Panchanga!$U329)*INT(Panchanga!$U329/30+1)&amp;"Ju,"&amp;SIGN(V330-Panchanga!$V329)*INT(Panchanga!$V329/30+1)&amp;"Ve,"&amp;SIGN(W330-Panchanga!$W329)*INT(Panchanga!$W329/30+1)&amp;"Sa,"&amp;INT(Panchanga!$X329/30+1)&amp;"Ra"</f>
        <v>11Ma,-8Me,8Ju,7Ve,9Sa,4Ra</v>
      </c>
      <c r="S329" s="2">
        <f ca="1">Planet(Panchanga!$E329,4)</f>
        <v>306.55789834802823</v>
      </c>
      <c r="T329" s="2">
        <f ca="1">Planet(Panchanga!$E329,2)</f>
        <v>229.37532554016138</v>
      </c>
      <c r="U329" s="2">
        <f ca="1">Planet(Panchanga!$E329,5)</f>
        <v>217.76185699007354</v>
      </c>
      <c r="V329" s="2">
        <f ca="1">Planet(Panchanga!$E329,3)</f>
        <v>181.13274799883536</v>
      </c>
      <c r="W329" s="2">
        <f ca="1">Planet(Panchanga!$E329,6)</f>
        <v>252.26300675677697</v>
      </c>
      <c r="X329" s="2">
        <f ca="1">Planet(Panchanga!$E329,10)</f>
        <v>95.832500929187134</v>
      </c>
      <c r="Y329" s="2">
        <f ca="1">SIGN(S330-Panchanga!$S329)</f>
        <v>1</v>
      </c>
    </row>
    <row r="330" spans="1:25" x14ac:dyDescent="0.2">
      <c r="A330" s="3">
        <f t="shared" ca="1" si="48"/>
        <v>43422</v>
      </c>
      <c r="B330" s="3">
        <f t="shared" ca="1" si="49"/>
        <v>43422.229166666664</v>
      </c>
      <c r="C330" s="5">
        <f t="shared" ca="1" si="50"/>
        <v>43422.257694290638</v>
      </c>
      <c r="D330" s="5">
        <f t="shared" ca="1" si="51"/>
        <v>43421.734937330286</v>
      </c>
      <c r="E330" s="60">
        <f ca="1">Panchanga!$C330-TimeZone/24</f>
        <v>43422.028527623974</v>
      </c>
      <c r="F330" s="61">
        <f t="shared" ca="1" si="52"/>
        <v>211.49722002137406</v>
      </c>
      <c r="G330" s="61">
        <f t="shared" ca="1" si="53"/>
        <v>328.01539595115725</v>
      </c>
      <c r="H330" s="62">
        <f t="shared" ca="1" si="54"/>
        <v>43422.028527623974</v>
      </c>
      <c r="I330" s="2" t="str">
        <f ca="1">naks(Panchanga!$G330)</f>
        <v>Purva Bhadrapada</v>
      </c>
      <c r="J330" s="5">
        <f ca="1">(C331-Panchanga!$C330)/(G331-Panchanga!$G330)*(13.3333333333333-MOD(Panchanga!$G330,13.333333333333))+Panchanga!$C330</f>
        <v>43422.684850772799</v>
      </c>
      <c r="K330" s="2" t="str">
        <f ca="1">IF(Panchanga!$P330&gt;15,"K","S")&amp;ROUNDUP(MOD(Panchanga!$P330,15),0)&amp;" ("&amp;ROUND(Panchanga!$P330,2)&amp;")"</f>
        <v>S10 (9.71)</v>
      </c>
      <c r="L330" s="2">
        <f ca="1">IF(AND(Panchanga!$P330&lt;28.5,Panchanga!$P330&gt;0.49999),MOD((Panchanga!$P330-0.5)*2,7),MOD((Panchanga!$P330+30-28.5),30)*2+7)</f>
        <v>4.4197999999999986</v>
      </c>
      <c r="M330" s="2" t="str">
        <f ca="1">CHOOSE(ROUNDUP(Panchanga!$L330,0),"Bhava","Baalava","Kaulava","Taitula","Garija","Vanija","Vishti","Shakuni","Chatushapda","Naaga","Kimstugna")</f>
        <v>Garija</v>
      </c>
      <c r="N330" s="25" t="str">
        <f ca="1">CHOOSE(ROUNDUP(Panchanga!$Q330,0),"Vishkambha-विष्कम्भ-Sa","Priti-प्रीति-Me","Ayushman-आयुष्मान-Ke","Saubhagya-सौभाग्य-Ve","Shobhana-शोभन-Su","Atiganda-अतिगण्ड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("&amp;Panchanga!$Q330&amp;")"</f>
        <v>Harshana-हर्षण-su (13.47)</v>
      </c>
      <c r="O330" s="2">
        <f ca="1">IF(AND(Panchanga!$P330&lt;28.5,Panchanga!$P330&gt;0.49999),MOD((Panchanga!$P330-0.5)*2,7),MOD((Panchanga!$P330+30-28.5),30)*2+7)</f>
        <v>4.4197999999999986</v>
      </c>
      <c r="P330" s="2">
        <f ca="1">ROUNDUP(MOD(360+Panchanga!$G330-Panchanga!$F330,360)/12,4)</f>
        <v>9.7098999999999993</v>
      </c>
      <c r="Q330" s="2">
        <f t="shared" ca="1" si="55"/>
        <v>13.47</v>
      </c>
      <c r="R330" s="2" t="str">
        <f ca="1">SIGN(S331-Panchanga!$S330)*INT(Panchanga!$S330/30+1)&amp;"Ma,"&amp;SIGN(T331-Panchanga!$T330)*INT(Panchanga!$T330/30+1)&amp;"Me,"&amp;SIGN(U331-Panchanga!$U330)*INT(Panchanga!$U330/30+1)&amp;"Ju,"&amp;SIGN(V331-Panchanga!$V330)*INT(Panchanga!$V330/30+1)&amp;"Ve,"&amp;SIGN(W331-Panchanga!$W330)*INT(Panchanga!$W330/30+1)&amp;"Sa,"&amp;INT(Panchanga!$X330/30+1)&amp;"Ra"</f>
        <v>11Ma,-8Me,8Ju,7Ve,9Sa,4Ra</v>
      </c>
      <c r="S330" s="2">
        <f ca="1">Planet(Panchanga!$E330,4)</f>
        <v>307.17497259710245</v>
      </c>
      <c r="T330" s="2">
        <f ca="1">Planet(Panchanga!$E330,2)</f>
        <v>229.30240176194599</v>
      </c>
      <c r="U330" s="2">
        <f ca="1">Planet(Panchanga!$E330,5)</f>
        <v>217.98412787892076</v>
      </c>
      <c r="V330" s="2">
        <f ca="1">Planet(Panchanga!$E330,3)</f>
        <v>181.17579110776964</v>
      </c>
      <c r="W330" s="2">
        <f ca="1">Planet(Panchanga!$E330,6)</f>
        <v>252.36115268312011</v>
      </c>
      <c r="X330" s="2">
        <f ca="1">Planet(Panchanga!$E330,10)</f>
        <v>95.779492246452776</v>
      </c>
      <c r="Y330" s="2">
        <f ca="1">SIGN(S331-Panchanga!$S330)</f>
        <v>1</v>
      </c>
    </row>
    <row r="331" spans="1:25" x14ac:dyDescent="0.2">
      <c r="A331" s="3">
        <f t="shared" ref="A331:A394" ca="1" si="56">A330+1</f>
        <v>43423</v>
      </c>
      <c r="B331" s="3">
        <f t="shared" ca="1" si="49"/>
        <v>43423.229166666664</v>
      </c>
      <c r="C331" s="5">
        <f t="shared" ca="1" si="50"/>
        <v>43423.258014883999</v>
      </c>
      <c r="D331" s="5">
        <f t="shared" ca="1" si="51"/>
        <v>43422.734903156801</v>
      </c>
      <c r="E331" s="60">
        <f ca="1">Panchanga!$C331-TimeZone/24</f>
        <v>43423.028848217335</v>
      </c>
      <c r="F331" s="61">
        <f t="shared" ca="1" si="52"/>
        <v>212.50591849435239</v>
      </c>
      <c r="G331" s="61">
        <f t="shared" ca="1" si="53"/>
        <v>340.46901072645034</v>
      </c>
      <c r="H331" s="62">
        <f t="shared" ca="1" si="54"/>
        <v>43423.028848217335</v>
      </c>
      <c r="I331" s="2" t="str">
        <f ca="1">naks(Panchanga!$G331)</f>
        <v>Uttara Bhadrapada</v>
      </c>
      <c r="J331" s="5">
        <f ca="1">(C332-Panchanga!$C331)/(G332-Panchanga!$G331)*(13.3333333333333-MOD(Panchanga!$G331,13.333333333333))+Panchanga!$C331</f>
        <v>43423.742435094689</v>
      </c>
      <c r="K331" s="2" t="str">
        <f ca="1">IF(Panchanga!$P331&gt;15,"K","S")&amp;ROUNDUP(MOD(Panchanga!$P331,15),0)&amp;" ("&amp;ROUND(Panchanga!$P331,2)&amp;")"</f>
        <v>S11 (10.66)</v>
      </c>
      <c r="L331" s="2">
        <f ca="1">IF(AND(Panchanga!$P331&lt;28.5,Panchanga!$P331&gt;0.49999),MOD((Panchanga!$P331-0.5)*2,7),MOD((Panchanga!$P331+30-28.5),30)*2+7)</f>
        <v>6.3272000000000013</v>
      </c>
      <c r="M331" s="2" t="str">
        <f ca="1">CHOOSE(ROUNDUP(Panchanga!$L331,0),"Bhava","Baalava","Kaulava","Taitula","Garija","Vanija","Vishti","Shakuni","Chatushapda","Naaga","Kimstugna")</f>
        <v>Vishti</v>
      </c>
      <c r="N331" s="25" t="str">
        <f ca="1">CHOOSE(ROUNDUP(Panchanga!$Q331,0),"Vishkambha-विष्कम्भ-Sa","Priti-प्रीति-Me","Ayushman-आयुष्मान-Ke","Saubhagya-सौभाग्य-Ve","Shobhana-शोभन-Su","Atiganda-अतिगण्ड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("&amp;Panchanga!$Q331&amp;")"</f>
        <v>Vajra-वज्र-Mo (14.48)</v>
      </c>
      <c r="O331" s="2">
        <f ca="1">IF(AND(Panchanga!$P331&lt;28.5,Panchanga!$P331&gt;0.49999),MOD((Panchanga!$P331-0.5)*2,7),MOD((Panchanga!$P331+30-28.5),30)*2+7)</f>
        <v>6.3272000000000013</v>
      </c>
      <c r="P331" s="2">
        <f ca="1">ROUNDUP(MOD(360+Panchanga!$G331-Panchanga!$F331,360)/12,4)</f>
        <v>10.663600000000001</v>
      </c>
      <c r="Q331" s="2">
        <f t="shared" ca="1" si="55"/>
        <v>14.48</v>
      </c>
      <c r="R331" s="2" t="str">
        <f ca="1">SIGN(S332-Panchanga!$S331)*INT(Panchanga!$S331/30+1)&amp;"Ma,"&amp;SIGN(T332-Panchanga!$T331)*INT(Panchanga!$T331/30+1)&amp;"Me,"&amp;SIGN(U332-Panchanga!$U331)*INT(Panchanga!$U331/30+1)&amp;"Ju,"&amp;SIGN(V332-Panchanga!$V331)*INT(Panchanga!$V331/30+1)&amp;"Ve,"&amp;SIGN(W332-Panchanga!$W331)*INT(Panchanga!$W331/30+1)&amp;"Sa,"&amp;INT(Panchanga!$X331/30+1)&amp;"Ra"</f>
        <v>11Ma,-8Me,8Ju,7Ve,9Sa,4Ra</v>
      </c>
      <c r="S331" s="2">
        <f ca="1">Planet(Panchanga!$E331,4)</f>
        <v>307.7943173434827</v>
      </c>
      <c r="T331" s="2">
        <f ca="1">Planet(Panchanga!$E331,2)</f>
        <v>229.06584713609837</v>
      </c>
      <c r="U331" s="2">
        <f ca="1">Planet(Panchanga!$E331,5)</f>
        <v>218.20660324992497</v>
      </c>
      <c r="V331" s="2">
        <f ca="1">Planet(Panchanga!$E331,3)</f>
        <v>181.25825241204393</v>
      </c>
      <c r="W331" s="2">
        <f ca="1">Planet(Panchanga!$E331,6)</f>
        <v>252.4601459123316</v>
      </c>
      <c r="X331" s="2">
        <f ca="1">Planet(Panchanga!$E331,10)</f>
        <v>95.726483260495399</v>
      </c>
      <c r="Y331" s="2">
        <f ca="1">SIGN(S332-Panchanga!$S331)</f>
        <v>1</v>
      </c>
    </row>
    <row r="332" spans="1:25" x14ac:dyDescent="0.2">
      <c r="A332" s="3">
        <f t="shared" ca="1" si="56"/>
        <v>43424</v>
      </c>
      <c r="B332" s="3">
        <f t="shared" ca="1" si="49"/>
        <v>43424.229166666664</v>
      </c>
      <c r="C332" s="5">
        <f t="shared" ca="1" si="50"/>
        <v>43424.258340881825</v>
      </c>
      <c r="D332" s="5">
        <f t="shared" ca="1" si="51"/>
        <v>43423.734882335222</v>
      </c>
      <c r="E332" s="60">
        <f ca="1">Panchanga!$C332-TimeZone/24</f>
        <v>43424.02917421516</v>
      </c>
      <c r="F332" s="61">
        <f t="shared" ca="1" si="52"/>
        <v>213.51498789692147</v>
      </c>
      <c r="G332" s="61">
        <f t="shared" ca="1" si="53"/>
        <v>353.26714801656436</v>
      </c>
      <c r="H332" s="62">
        <f t="shared" ca="1" si="54"/>
        <v>43424.02917421516</v>
      </c>
      <c r="I332" s="2" t="str">
        <f ca="1">naks(Panchanga!$G332)</f>
        <v>Revati</v>
      </c>
      <c r="J332" s="5">
        <f ca="1">(C333-Panchanga!$C332)/(G333-Panchanga!$G332)*(13.3333333333333-MOD(Panchanga!$G332,13.333333333333))+Panchanga!$C332</f>
        <v>43424.238921739459</v>
      </c>
      <c r="K332" s="2" t="str">
        <f ca="1">IF(Panchanga!$P332&gt;15,"K","S")&amp;ROUNDUP(MOD(Panchanga!$P332,15),0)&amp;" ("&amp;ROUND(Panchanga!$P332,2)&amp;")"</f>
        <v>S12 (11.65)</v>
      </c>
      <c r="L332" s="2">
        <f ca="1">IF(AND(Panchanga!$P332&lt;28.5,Panchanga!$P332&gt;0.49999),MOD((Panchanga!$P332-0.5)*2,7),MOD((Panchanga!$P332+30-28.5),30)*2+7)</f>
        <v>1.2922000000000011</v>
      </c>
      <c r="M332" s="2" t="str">
        <f ca="1">CHOOSE(ROUNDUP(Panchanga!$L332,0),"Bhava","Baalava","Kaulava","Taitula","Garija","Vanija","Vishti","Shakuni","Chatushapda","Naaga","Kimstugna")</f>
        <v>Baalava</v>
      </c>
      <c r="N332" s="25" t="str">
        <f ca="1">CHOOSE(ROUNDUP(Panchanga!$Q332,0),"Vishkambha-विष्कम्भ-Sa","Priti-प्रीति-Me","Ayushman-आयुष्मान-Ke","Saubhagya-सौभाग्य-Ve","Shobhana-शोभन-Su","Atiganda-अतिगण्ड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("&amp;Panchanga!$Q332&amp;")"</f>
        <v>Siddhi-सिद्धि-Ma (15.51)</v>
      </c>
      <c r="O332" s="2">
        <f ca="1">IF(AND(Panchanga!$P332&lt;28.5,Panchanga!$P332&gt;0.49999),MOD((Panchanga!$P332-0.5)*2,7),MOD((Panchanga!$P332+30-28.5),30)*2+7)</f>
        <v>1.2922000000000011</v>
      </c>
      <c r="P332" s="2">
        <f ca="1">ROUNDUP(MOD(360+Panchanga!$G332-Panchanga!$F332,360)/12,4)</f>
        <v>11.646100000000001</v>
      </c>
      <c r="Q332" s="2">
        <f t="shared" ca="1" si="55"/>
        <v>15.51</v>
      </c>
      <c r="R332" s="2" t="str">
        <f ca="1">SIGN(S333-Panchanga!$S332)*INT(Panchanga!$S332/30+1)&amp;"Ma,"&amp;SIGN(T333-Panchanga!$T332)*INT(Panchanga!$T332/30+1)&amp;"Me,"&amp;SIGN(U333-Panchanga!$U332)*INT(Panchanga!$U332/30+1)&amp;"Ju,"&amp;SIGN(V333-Panchanga!$V332)*INT(Panchanga!$V332/30+1)&amp;"Ve,"&amp;SIGN(W333-Panchanga!$W332)*INT(Panchanga!$W332/30+1)&amp;"Sa,"&amp;INT(Panchanga!$X332/30+1)&amp;"Ra"</f>
        <v>11Ma,-8Me,8Ju,7Ve,9Sa,4Ra</v>
      </c>
      <c r="S332" s="2">
        <f ca="1">Planet(Panchanga!$E332,4)</f>
        <v>308.41585079814848</v>
      </c>
      <c r="T332" s="2">
        <f ca="1">Planet(Panchanga!$E332,2)</f>
        <v>228.65758222560831</v>
      </c>
      <c r="U332" s="2">
        <f ca="1">Planet(Panchanga!$E332,5)</f>
        <v>218.42926232026119</v>
      </c>
      <c r="V332" s="2">
        <f ca="1">Planet(Panchanga!$E332,3)</f>
        <v>181.37943232990571</v>
      </c>
      <c r="W332" s="2">
        <f ca="1">Planet(Panchanga!$E332,6)</f>
        <v>252.5599682319114</v>
      </c>
      <c r="X332" s="2">
        <f ca="1">Planet(Panchanga!$E332,10)</f>
        <v>95.673473988165711</v>
      </c>
      <c r="Y332" s="2">
        <f ca="1">SIGN(S333-Panchanga!$S332)</f>
        <v>1</v>
      </c>
    </row>
    <row r="333" spans="1:25" x14ac:dyDescent="0.2">
      <c r="A333" s="3">
        <f t="shared" ca="1" si="56"/>
        <v>43425</v>
      </c>
      <c r="B333" s="3">
        <f t="shared" ca="1" si="49"/>
        <v>43425.229166666664</v>
      </c>
      <c r="C333" s="5">
        <f t="shared" ca="1" si="50"/>
        <v>43425.25867244244</v>
      </c>
      <c r="D333" s="5">
        <f t="shared" ca="1" si="51"/>
        <v>43424.734874546572</v>
      </c>
      <c r="E333" s="60">
        <f ca="1">Panchanga!$C333-TimeZone/24</f>
        <v>43425.029505775776</v>
      </c>
      <c r="F333" s="61">
        <f t="shared" ca="1" si="52"/>
        <v>214.52443129628509</v>
      </c>
      <c r="G333" s="61">
        <f t="shared" ca="1" si="53"/>
        <v>6.4400737361655089</v>
      </c>
      <c r="H333" s="62">
        <f t="shared" ca="1" si="54"/>
        <v>43425.029505775776</v>
      </c>
      <c r="I333" s="2" t="str">
        <f ca="1">naks(Panchanga!$G333)</f>
        <v>Aswini</v>
      </c>
      <c r="J333" s="5">
        <f ca="1">(C334-Panchanga!$C333)/(G334-Panchanga!$G333)*(13.3333333333333-MOD(Panchanga!$G333,13.333333333333))+Panchanga!$C333</f>
        <v>43425.767729792904</v>
      </c>
      <c r="K333" s="2" t="str">
        <f ca="1">IF(Panchanga!$P333&gt;15,"K","S")&amp;ROUNDUP(MOD(Panchanga!$P333,15),0)&amp;" ("&amp;ROUND(Panchanga!$P333,2)&amp;")"</f>
        <v>S13 (12.66)</v>
      </c>
      <c r="L333" s="2">
        <f ca="1">IF(AND(Panchanga!$P333&lt;28.5,Panchanga!$P333&gt;0.49999),MOD((Panchanga!$P333-0.5)*2,7),MOD((Panchanga!$P333+30-28.5),30)*2+7)</f>
        <v>3.3193999999999981</v>
      </c>
      <c r="M333" s="2" t="str">
        <f ca="1">CHOOSE(ROUNDUP(Panchanga!$L333,0),"Bhava","Baalava","Kaulava","Taitula","Garija","Vanija","Vishti","Shakuni","Chatushapda","Naaga","Kimstugna")</f>
        <v>Taitula</v>
      </c>
      <c r="N333" s="25" t="str">
        <f ca="1">CHOOSE(ROUNDUP(Panchanga!$Q333,0),"Vishkambha-विष्कम्भ-Sa","Priti-प्रीति-Me","Ayushman-आयुष्मान-Ke","Saubhagya-सौभाग्य-Ve","Shobhana-शोभन-Su","Atiganda-अतिगण्ड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("&amp;Panchanga!$Q333&amp;")"</f>
        <v>Vyatipata-व्यतिपात-Ra (16.58)</v>
      </c>
      <c r="O333" s="2">
        <f ca="1">IF(AND(Panchanga!$P333&lt;28.5,Panchanga!$P333&gt;0.49999),MOD((Panchanga!$P333-0.5)*2,7),MOD((Panchanga!$P333+30-28.5),30)*2+7)</f>
        <v>3.3193999999999981</v>
      </c>
      <c r="P333" s="2">
        <f ca="1">ROUNDUP(MOD(360+Panchanga!$G333-Panchanga!$F333,360)/12,4)</f>
        <v>12.659699999999999</v>
      </c>
      <c r="Q333" s="2">
        <f t="shared" ca="1" si="55"/>
        <v>16.580000000000002</v>
      </c>
      <c r="R333" s="2" t="str">
        <f ca="1">SIGN(S334-Panchanga!$S333)*INT(Panchanga!$S333/30+1)&amp;"Ma,"&amp;SIGN(T334-Panchanga!$T333)*INT(Panchanga!$T333/30+1)&amp;"Me,"&amp;SIGN(U334-Panchanga!$U333)*INT(Panchanga!$U333/30+1)&amp;"Ju,"&amp;SIGN(V334-Panchanga!$V333)*INT(Panchanga!$V333/30+1)&amp;"Ve,"&amp;SIGN(W334-Panchanga!$W333)*INT(Panchanga!$W333/30+1)&amp;"Sa,"&amp;INT(Panchanga!$X333/30+1)&amp;"Ra"</f>
        <v>11Ma,-8Me,8Ju,7Ve,9Sa,4Ra</v>
      </c>
      <c r="S333" s="2">
        <f ca="1">Planet(Panchanga!$E333,4)</f>
        <v>309.03949419455705</v>
      </c>
      <c r="T333" s="2">
        <f ca="1">Planet(Panchanga!$E333,2)</f>
        <v>228.07320905228156</v>
      </c>
      <c r="U333" s="2">
        <f ca="1">Planet(Panchanga!$E333,5)</f>
        <v>218.65208515320714</v>
      </c>
      <c r="V333" s="2">
        <f ca="1">Planet(Panchanga!$E333,3)</f>
        <v>181.53855091381951</v>
      </c>
      <c r="W333" s="2">
        <f ca="1">Planet(Panchanga!$E333,6)</f>
        <v>252.66060175197862</v>
      </c>
      <c r="X333" s="2">
        <f ca="1">Planet(Panchanga!$E333,10)</f>
        <v>95.620464421063019</v>
      </c>
      <c r="Y333" s="2">
        <f ca="1">SIGN(S334-Panchanga!$S333)</f>
        <v>1</v>
      </c>
    </row>
    <row r="334" spans="1:25" x14ac:dyDescent="0.2">
      <c r="A334" s="3">
        <f t="shared" ca="1" si="56"/>
        <v>43426</v>
      </c>
      <c r="B334" s="3">
        <f t="shared" ca="1" si="49"/>
        <v>43426.229166666664</v>
      </c>
      <c r="C334" s="5">
        <f t="shared" ca="1" si="50"/>
        <v>43426.259009089474</v>
      </c>
      <c r="D334" s="5">
        <f t="shared" ca="1" si="51"/>
        <v>43425.734880109827</v>
      </c>
      <c r="E334" s="60">
        <f ca="1">Panchanga!$C334-TimeZone/24</f>
        <v>43426.029842422809</v>
      </c>
      <c r="F334" s="61">
        <f t="shared" ca="1" si="52"/>
        <v>215.53425414869912</v>
      </c>
      <c r="G334" s="61">
        <f t="shared" ca="1" si="53"/>
        <v>19.985856320847322</v>
      </c>
      <c r="H334" s="62">
        <f t="shared" ca="1" si="54"/>
        <v>43426.029842422809</v>
      </c>
      <c r="I334" s="2" t="str">
        <f ca="1">naks(Panchanga!$G334)</f>
        <v>Bharani</v>
      </c>
      <c r="J334" s="5">
        <f ca="1">(C335-Panchanga!$C334)/(G335-Panchanga!$G334)*(13.3333333333333-MOD(Panchanga!$G334,13.333333333333))+Panchanga!$C334</f>
        <v>43426.740415026856</v>
      </c>
      <c r="K334" s="2" t="str">
        <f ca="1">IF(Panchanga!$P334&gt;15,"K","S")&amp;ROUNDUP(MOD(Panchanga!$P334,15),0)&amp;" ("&amp;ROUND(Panchanga!$P334,2)&amp;")"</f>
        <v>S14 (13.7)</v>
      </c>
      <c r="L334" s="2">
        <f ca="1">IF(AND(Panchanga!$P334&lt;28.5,Panchanga!$P334&gt;0.49999),MOD((Panchanga!$P334-0.5)*2,7),MOD((Panchanga!$P334+30-28.5),30)*2+7)</f>
        <v>5.4087999999999994</v>
      </c>
      <c r="M334" s="2" t="str">
        <f ca="1">CHOOSE(ROUNDUP(Panchanga!$L334,0),"Bhava","Baalava","Kaulava","Taitula","Garija","Vanija","Vishti","Shakuni","Chatushapda","Naaga","Kimstugna")</f>
        <v>Vanija</v>
      </c>
      <c r="N334" s="25" t="str">
        <f ca="1">CHOOSE(ROUNDUP(Panchanga!$Q334,0),"Vishkambha-विष्कम्भ-Sa","Priti-प्रीति-Me","Ayushman-आयुष्मान-Ke","Saubhagya-सौभाग्य-Ve","Shobhana-शोभन-Su","Atiganda-अतिगण्ड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("&amp;Panchanga!$Q334&amp;")"</f>
        <v>Varigha-वरीयस्-Ju (17.67)</v>
      </c>
      <c r="O334" s="2">
        <f ca="1">IF(AND(Panchanga!$P334&lt;28.5,Panchanga!$P334&gt;0.49999),MOD((Panchanga!$P334-0.5)*2,7),MOD((Panchanga!$P334+30-28.5),30)*2+7)</f>
        <v>5.4087999999999994</v>
      </c>
      <c r="P334" s="2">
        <f ca="1">ROUNDUP(MOD(360+Panchanga!$G334-Panchanga!$F334,360)/12,4)</f>
        <v>13.7044</v>
      </c>
      <c r="Q334" s="2">
        <f t="shared" ca="1" si="55"/>
        <v>17.670000000000002</v>
      </c>
      <c r="R334" s="2" t="str">
        <f ca="1">SIGN(S335-Panchanga!$S334)*INT(Panchanga!$S334/30+1)&amp;"Ma,"&amp;SIGN(T335-Panchanga!$T334)*INT(Panchanga!$T334/30+1)&amp;"Me,"&amp;SIGN(U335-Panchanga!$U334)*INT(Panchanga!$U334/30+1)&amp;"Ju,"&amp;SIGN(V335-Panchanga!$V334)*INT(Panchanga!$V334/30+1)&amp;"Ve,"&amp;SIGN(W335-Panchanga!$W334)*INT(Panchanga!$W334/30+1)&amp;"Sa,"&amp;INT(Panchanga!$X334/30+1)&amp;"Ra"</f>
        <v>11Ma,-8Me,8Ju,7Ve,9Sa,4Ra</v>
      </c>
      <c r="S334" s="2">
        <f ca="1">Planet(Panchanga!$E334,4)</f>
        <v>309.66517199158432</v>
      </c>
      <c r="T334" s="2">
        <f ca="1">Planet(Panchanga!$E334,2)</f>
        <v>227.31349990348468</v>
      </c>
      <c r="U334" s="2">
        <f ca="1">Planet(Panchanga!$E334,5)</f>
        <v>218.87505257190463</v>
      </c>
      <c r="V334" s="2">
        <f ca="1">Planet(Panchanga!$E334,3)</f>
        <v>181.73476190380762</v>
      </c>
      <c r="W334" s="2">
        <f ca="1">Planet(Panchanga!$E334,6)</f>
        <v>252.76202885854212</v>
      </c>
      <c r="X334" s="2">
        <f ca="1">Planet(Panchanga!$E334,10)</f>
        <v>95.567454584388656</v>
      </c>
      <c r="Y334" s="2">
        <f ca="1">SIGN(S335-Panchanga!$S334)</f>
        <v>1</v>
      </c>
    </row>
    <row r="335" spans="1:25" x14ac:dyDescent="0.2">
      <c r="A335" s="3">
        <f t="shared" ca="1" si="56"/>
        <v>43427</v>
      </c>
      <c r="B335" s="3">
        <f t="shared" ca="1" si="49"/>
        <v>43427.229166666664</v>
      </c>
      <c r="C335" s="5">
        <f t="shared" ca="1" si="50"/>
        <v>43427.259350664135</v>
      </c>
      <c r="D335" s="5">
        <f t="shared" ca="1" si="51"/>
        <v>43426.734898865267</v>
      </c>
      <c r="E335" s="60">
        <f ca="1">Panchanga!$C335-TimeZone/24</f>
        <v>43427.030183997471</v>
      </c>
      <c r="F335" s="61">
        <f t="shared" ca="1" si="52"/>
        <v>216.54446510792877</v>
      </c>
      <c r="G335" s="61">
        <f t="shared" ca="1" si="53"/>
        <v>33.86830317578768</v>
      </c>
      <c r="H335" s="62">
        <f t="shared" ca="1" si="54"/>
        <v>43427.030183997471</v>
      </c>
      <c r="I335" s="2" t="str">
        <f ca="1">naks(Panchanga!$G335)</f>
        <v>Krittika</v>
      </c>
      <c r="J335" s="5">
        <f ca="1">(C336-Panchanga!$C335)/(G336-Panchanga!$G335)*(13.3333333333333-MOD(Panchanga!$G335,13.333333333333))+Panchanga!$C335</f>
        <v>43427.692769371599</v>
      </c>
      <c r="K335" s="2" t="str">
        <f ca="1">IF(Panchanga!$P335&gt;15,"K","S")&amp;ROUNDUP(MOD(Panchanga!$P335,15),0)&amp;" ("&amp;ROUND(Panchanga!$P335,2)&amp;")"</f>
        <v>S15 (14.78)</v>
      </c>
      <c r="L335" s="2">
        <f ca="1">IF(AND(Panchanga!$P335&lt;28.5,Panchanga!$P335&gt;0.49999),MOD((Panchanga!$P335-0.5)*2,7),MOD((Panchanga!$P335+30-28.5),30)*2+7)</f>
        <v>0.55399999999999849</v>
      </c>
      <c r="M335" s="2" t="str">
        <f ca="1">CHOOSE(ROUNDUP(Panchanga!$L335,0),"Bhava","Baalava","Kaulava","Taitula","Garija","Vanija","Vishti","Shakuni","Chatushapda","Naaga","Kimstugna")</f>
        <v>Bhava</v>
      </c>
      <c r="N335" s="25" t="str">
        <f ca="1">CHOOSE(ROUNDUP(Panchanga!$Q335,0),"Vishkambha-विष्कम्भ-Sa","Priti-प्रीति-Me","Ayushman-आयुष्मान-Ke","Saubhagya-सौभाग्य-Ve","Shobhana-शोभन-Su","Atiganda-अतिगण्ड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("&amp;Panchanga!$Q335&amp;")"</f>
        <v>Parigha-परिघ-Sa (18.79)</v>
      </c>
      <c r="O335" s="2">
        <f ca="1">IF(AND(Panchanga!$P335&lt;28.5,Panchanga!$P335&gt;0.49999),MOD((Panchanga!$P335-0.5)*2,7),MOD((Panchanga!$P335+30-28.5),30)*2+7)</f>
        <v>0.55399999999999849</v>
      </c>
      <c r="P335" s="2">
        <f ca="1">ROUNDUP(MOD(360+Panchanga!$G335-Panchanga!$F335,360)/12,4)</f>
        <v>14.776999999999999</v>
      </c>
      <c r="Q335" s="2">
        <f t="shared" ca="1" si="55"/>
        <v>18.790000000000003</v>
      </c>
      <c r="R335" s="2" t="str">
        <f ca="1">SIGN(S336-Panchanga!$S335)*INT(Panchanga!$S335/30+1)&amp;"Ma,"&amp;SIGN(T336-Panchanga!$T335)*INT(Panchanga!$T335/30+1)&amp;"Me,"&amp;SIGN(U336-Panchanga!$U335)*INT(Panchanga!$U335/30+1)&amp;"Ju,"&amp;SIGN(V336-Panchanga!$V335)*INT(Panchanga!$V335/30+1)&amp;"Ve,"&amp;SIGN(W336-Panchanga!$W335)*INT(Panchanga!$W335/30+1)&amp;"Sa,"&amp;INT(Panchanga!$X335/30+1)&amp;"Ra"</f>
        <v>11Ma,-8Me,8Ju,7Ve,9Sa,4Ra</v>
      </c>
      <c r="S335" s="2">
        <f ca="1">Planet(Panchanga!$E335,4)</f>
        <v>310.29281352082069</v>
      </c>
      <c r="T335" s="2">
        <f ca="1">Planet(Panchanga!$E335,2)</f>
        <v>226.38590368089922</v>
      </c>
      <c r="U335" s="2">
        <f ca="1">Planet(Panchanga!$E335,5)</f>
        <v>219.09814667157997</v>
      </c>
      <c r="V335" s="2">
        <f ca="1">Planet(Panchanga!$E335,3)</f>
        <v>181.96716470045385</v>
      </c>
      <c r="W335" s="2">
        <f ca="1">Planet(Panchanga!$E335,6)</f>
        <v>252.86423235948902</v>
      </c>
      <c r="X335" s="2">
        <f ca="1">Planet(Panchanga!$E335,10)</f>
        <v>95.51444448662582</v>
      </c>
      <c r="Y335" s="2">
        <f ca="1">SIGN(S336-Panchanga!$S335)</f>
        <v>1</v>
      </c>
    </row>
    <row r="336" spans="1:25" x14ac:dyDescent="0.2">
      <c r="A336" s="3">
        <f t="shared" ca="1" si="56"/>
        <v>43428</v>
      </c>
      <c r="B336" s="3">
        <f t="shared" ca="1" si="49"/>
        <v>43428.229166666664</v>
      </c>
      <c r="C336" s="5">
        <f t="shared" ca="1" si="50"/>
        <v>43428.259697324749</v>
      </c>
      <c r="D336" s="5">
        <f t="shared" ca="1" si="51"/>
        <v>43427.734930972612</v>
      </c>
      <c r="E336" s="60">
        <f ca="1">Panchanga!$C336-TimeZone/24</f>
        <v>43428.030530658085</v>
      </c>
      <c r="F336" s="61">
        <f t="shared" ca="1" si="52"/>
        <v>217.55507550975045</v>
      </c>
      <c r="G336" s="61">
        <f t="shared" ca="1" si="53"/>
        <v>48.020489817475315</v>
      </c>
      <c r="H336" s="62">
        <f t="shared" ca="1" si="54"/>
        <v>43428.030530658085</v>
      </c>
      <c r="I336" s="2" t="str">
        <f ca="1">naks(Panchanga!$G336)</f>
        <v>Rohini</v>
      </c>
      <c r="J336" s="5">
        <f ca="1">(C337-Panchanga!$C336)/(G337-Panchanga!$G336)*(13.3333333333333-MOD(Panchanga!$G336,13.333333333333))+Panchanga!$C336</f>
        <v>43428.630472365621</v>
      </c>
      <c r="K336" s="2" t="str">
        <f ca="1">IF(Panchanga!$P336&gt;15,"K","S")&amp;ROUNDUP(MOD(Panchanga!$P336,15),0)&amp;" ("&amp;ROUND(Panchanga!$P336,2)&amp;")"</f>
        <v>K1 (15.87)</v>
      </c>
      <c r="L336" s="2">
        <f ca="1">IF(AND(Panchanga!$P336&lt;28.5,Panchanga!$P336&gt;0.49999),MOD((Panchanga!$P336-0.5)*2,7),MOD((Panchanga!$P336+30-28.5),30)*2+7)</f>
        <v>2.7443999999999988</v>
      </c>
      <c r="M336" s="2" t="str">
        <f ca="1">CHOOSE(ROUNDUP(Panchanga!$L336,0),"Bhava","Baalava","Kaulava","Taitula","Garija","Vanija","Vishti","Shakuni","Chatushapda","Naaga","Kimstugna")</f>
        <v>Kaulava</v>
      </c>
      <c r="N336" s="25" t="str">
        <f ca="1">CHOOSE(ROUNDUP(Panchanga!$Q336,0),"Vishkambha-विष्कम्भ-Sa","Priti-प्रीति-Me","Ayushman-आयुष्मान-Ke","Saubhagya-सौभाग्य-Ve","Shobhana-शोभन-Su","Atiganda-अतिगण्ड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("&amp;Panchanga!$Q336&amp;")"</f>
        <v>Shiva-शिव-Me (19.92)</v>
      </c>
      <c r="O336" s="2">
        <f ca="1">IF(AND(Panchanga!$P336&lt;28.5,Panchanga!$P336&gt;0.49999),MOD((Panchanga!$P336-0.5)*2,7),MOD((Panchanga!$P336+30-28.5),30)*2+7)</f>
        <v>2.7443999999999988</v>
      </c>
      <c r="P336" s="2">
        <f ca="1">ROUNDUP(MOD(360+Panchanga!$G336-Panchanga!$F336,360)/12,4)</f>
        <v>15.872199999999999</v>
      </c>
      <c r="Q336" s="2">
        <f t="shared" ca="1" si="55"/>
        <v>19.920000000000002</v>
      </c>
      <c r="R336" s="2" t="str">
        <f ca="1">SIGN(S337-Panchanga!$S336)*INT(Panchanga!$S336/30+1)&amp;"Ma,"&amp;SIGN(T337-Panchanga!$T336)*INT(Panchanga!$T336/30+1)&amp;"Me,"&amp;SIGN(U337-Panchanga!$U336)*INT(Panchanga!$U336/30+1)&amp;"Ju,"&amp;SIGN(V337-Panchanga!$V336)*INT(Panchanga!$V336/30+1)&amp;"Ve,"&amp;SIGN(W337-Panchanga!$W336)*INT(Panchanga!$W336/30+1)&amp;"Sa,"&amp;INT(Panchanga!$X336/30+1)&amp;"Ra"</f>
        <v>11Ma,-8Me,8Ju,7Ve,9Sa,4Ra</v>
      </c>
      <c r="S336" s="2">
        <f ca="1">Planet(Panchanga!$E336,4)</f>
        <v>310.92235407798353</v>
      </c>
      <c r="T336" s="2">
        <f ca="1">Planet(Panchanga!$E336,2)</f>
        <v>225.30582296796743</v>
      </c>
      <c r="U336" s="2">
        <f ca="1">Planet(Panchanga!$E336,5)</f>
        <v>219.32135142029358</v>
      </c>
      <c r="V336" s="2">
        <f ca="1">Planet(Panchanga!$E336,3)</f>
        <v>182.2348140146905</v>
      </c>
      <c r="W336" s="2">
        <f ca="1">Planet(Panchanga!$E336,6)</f>
        <v>252.96719550270461</v>
      </c>
      <c r="X336" s="2">
        <f ca="1">Planet(Panchanga!$E336,10)</f>
        <v>95.461434119341078</v>
      </c>
      <c r="Y336" s="2">
        <f ca="1">SIGN(S337-Panchanga!$S336)</f>
        <v>1</v>
      </c>
    </row>
    <row r="337" spans="1:25" x14ac:dyDescent="0.2">
      <c r="A337" s="3">
        <f t="shared" ca="1" si="56"/>
        <v>43429</v>
      </c>
      <c r="B337" s="3">
        <f t="shared" ca="1" si="49"/>
        <v>43429.229166666664</v>
      </c>
      <c r="C337" s="5">
        <f t="shared" ca="1" si="50"/>
        <v>43429.260048435688</v>
      </c>
      <c r="D337" s="5">
        <f t="shared" ca="1" si="51"/>
        <v>43428.734976272142</v>
      </c>
      <c r="E337" s="60">
        <f ca="1">Panchanga!$C337-TimeZone/24</f>
        <v>43429.030881769024</v>
      </c>
      <c r="F337" s="61">
        <f t="shared" ca="1" si="52"/>
        <v>218.56609729398494</v>
      </c>
      <c r="G337" s="61">
        <f t="shared" ca="1" si="53"/>
        <v>62.354542349232446</v>
      </c>
      <c r="H337" s="62">
        <f t="shared" ca="1" si="54"/>
        <v>43429.030881769024</v>
      </c>
      <c r="I337" s="2" t="str">
        <f ca="1">naks(Panchanga!$G337)</f>
        <v>Mrigashira</v>
      </c>
      <c r="J337" s="5">
        <f ca="1">(C338-Panchanga!$C337)/(G338-Panchanga!$G337)*(13.3333333333333-MOD(Panchanga!$G337,13.333333333333))+Panchanga!$C337</f>
        <v>43429.559164731931</v>
      </c>
      <c r="K337" s="2" t="str">
        <f ca="1">IF(Panchanga!$P337&gt;15,"K","S")&amp;ROUNDUP(MOD(Panchanga!$P337,15),0)&amp;" ("&amp;ROUND(Panchanga!$P337,2)&amp;")"</f>
        <v>K2 (16.98)</v>
      </c>
      <c r="L337" s="2">
        <f ca="1">IF(AND(Panchanga!$P337&lt;28.5,Panchanga!$P337&gt;0.49999),MOD((Panchanga!$P337-0.5)*2,7),MOD((Panchanga!$P337+30-28.5),30)*2+7)</f>
        <v>4.9647999999999968</v>
      </c>
      <c r="M337" s="2" t="str">
        <f ca="1">CHOOSE(ROUNDUP(Panchanga!$L337,0),"Bhava","Baalava","Kaulava","Taitula","Garija","Vanija","Vishti","Shakuni","Chatushapda","Naaga","Kimstugna")</f>
        <v>Garija</v>
      </c>
      <c r="N337" s="25" t="str">
        <f ca="1">CHOOSE(ROUNDUP(Panchanga!$Q337,0),"Vishkambha-विष्कम्भ-Sa","Priti-प्रीति-Me","Ayushman-आयुष्मान-Ke","Saubhagya-सौभाग्य-Ve","Shobhana-शोभन-Su","Atiganda-अतिगण्ड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("&amp;Panchanga!$Q337&amp;")"</f>
        <v>Sadhya-साध्य-Ve (21.07)</v>
      </c>
      <c r="O337" s="2">
        <f ca="1">IF(AND(Panchanga!$P337&lt;28.5,Panchanga!$P337&gt;0.49999),MOD((Panchanga!$P337-0.5)*2,7),MOD((Panchanga!$P337+30-28.5),30)*2+7)</f>
        <v>4.9647999999999968</v>
      </c>
      <c r="P337" s="2">
        <f ca="1">ROUNDUP(MOD(360+Panchanga!$G337-Panchanga!$F337,360)/12,4)</f>
        <v>16.982399999999998</v>
      </c>
      <c r="Q337" s="2">
        <f t="shared" ca="1" si="55"/>
        <v>21.07</v>
      </c>
      <c r="R337" s="2" t="str">
        <f ca="1">SIGN(S338-Panchanga!$S337)*INT(Panchanga!$S337/30+1)&amp;"Ma,"&amp;SIGN(T338-Panchanga!$T337)*INT(Panchanga!$T337/30+1)&amp;"Me,"&amp;SIGN(U338-Panchanga!$U337)*INT(Panchanga!$U337/30+1)&amp;"Ju,"&amp;SIGN(V338-Panchanga!$V337)*INT(Panchanga!$V337/30+1)&amp;"Ve,"&amp;SIGN(W338-Panchanga!$W337)*INT(Panchanga!$W337/30+1)&amp;"Sa,"&amp;INT(Panchanga!$X337/30+1)&amp;"Ra"</f>
        <v>11Ma,-8Me,8Ju,7Ve,9Sa,4Ra</v>
      </c>
      <c r="S337" s="2">
        <f ca="1">Planet(Panchanga!$E337,4)</f>
        <v>311.55373514396581</v>
      </c>
      <c r="T337" s="2">
        <f ca="1">Planet(Panchanga!$E337,2)</f>
        <v>224.09734164629202</v>
      </c>
      <c r="U337" s="2">
        <f ca="1">Planet(Panchanga!$E337,5)</f>
        <v>219.54465110108373</v>
      </c>
      <c r="V337" s="2">
        <f ca="1">Planet(Panchanga!$E337,3)</f>
        <v>182.53672723594372</v>
      </c>
      <c r="W337" s="2">
        <f ca="1">Planet(Panchanga!$E337,6)</f>
        <v>253.07090182938268</v>
      </c>
      <c r="X337" s="2">
        <f ca="1">Planet(Panchanga!$E337,10)</f>
        <v>95.40842351620195</v>
      </c>
      <c r="Y337" s="2">
        <f ca="1">SIGN(S338-Panchanga!$S337)</f>
        <v>1</v>
      </c>
    </row>
    <row r="338" spans="1:25" x14ac:dyDescent="0.2">
      <c r="A338" s="3">
        <f t="shared" ca="1" si="56"/>
        <v>43430</v>
      </c>
      <c r="B338" s="3">
        <f t="shared" ca="1" si="49"/>
        <v>43430.229166666664</v>
      </c>
      <c r="C338" s="5">
        <f t="shared" ca="1" si="50"/>
        <v>43430.260404156208</v>
      </c>
      <c r="D338" s="5">
        <f t="shared" ca="1" si="51"/>
        <v>43429.735035081903</v>
      </c>
      <c r="E338" s="60">
        <f ca="1">Panchanga!$C338-TimeZone/24</f>
        <v>43430.031237489544</v>
      </c>
      <c r="F338" s="61">
        <f t="shared" ca="1" si="52"/>
        <v>219.57754323609936</v>
      </c>
      <c r="G338" s="61">
        <f t="shared" ca="1" si="53"/>
        <v>76.775883756195839</v>
      </c>
      <c r="H338" s="62">
        <f t="shared" ca="1" si="54"/>
        <v>43430.031237489544</v>
      </c>
      <c r="I338" s="2" t="str">
        <f ca="1">naks(Panchanga!$G338)</f>
        <v>Ardra</v>
      </c>
      <c r="J338" s="5">
        <f ca="1">(C339-Panchanga!$C338)/(G339-Panchanga!$G338)*(13.3333333333333-MOD(Panchanga!$G338,13.333333333333))+Panchanga!$C338</f>
        <v>43430.484042717726</v>
      </c>
      <c r="K338" s="2" t="str">
        <f ca="1">IF(Panchanga!$P338&gt;15,"K","S")&amp;ROUNDUP(MOD(Panchanga!$P338,15),0)&amp;" ("&amp;ROUND(Panchanga!$P338,2)&amp;")"</f>
        <v>K4 (18.1)</v>
      </c>
      <c r="L338" s="2">
        <f ca="1">IF(AND(Panchanga!$P338&lt;28.5,Panchanga!$P338&gt;0.49999),MOD((Panchanga!$P338-0.5)*2,7),MOD((Panchanga!$P338+30-28.5),30)*2+7)</f>
        <v>0.1997999999999962</v>
      </c>
      <c r="M338" s="2" t="str">
        <f ca="1">CHOOSE(ROUNDUP(Panchanga!$L338,0),"Bhava","Baalava","Kaulava","Taitula","Garija","Vanija","Vishti","Shakuni","Chatushapda","Naaga","Kimstugna")</f>
        <v>Bhava</v>
      </c>
      <c r="N338" s="25" t="str">
        <f ca="1">CHOOSE(ROUNDUP(Panchanga!$Q338,0),"Vishkambha-विष्कम्भ-Sa","Priti-प्रीति-Me","Ayushman-आयुष्मान-Ke","Saubhagya-सौभाग्य-Ve","Shobhana-शोभन-Su","Atiganda-अतिगण्ड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("&amp;Panchanga!$Q338&amp;")"</f>
        <v>Shubha-शुभ-Su (22.23)</v>
      </c>
      <c r="O338" s="2">
        <f ca="1">IF(AND(Panchanga!$P338&lt;28.5,Panchanga!$P338&gt;0.49999),MOD((Panchanga!$P338-0.5)*2,7),MOD((Panchanga!$P338+30-28.5),30)*2+7)</f>
        <v>0.1997999999999962</v>
      </c>
      <c r="P338" s="2">
        <f ca="1">ROUNDUP(MOD(360+Panchanga!$G338-Panchanga!$F338,360)/12,4)</f>
        <v>18.099899999999998</v>
      </c>
      <c r="Q338" s="2">
        <f t="shared" ca="1" si="55"/>
        <v>22.23</v>
      </c>
      <c r="R338" s="2" t="str">
        <f ca="1">SIGN(S339-Panchanga!$S338)*INT(Panchanga!$S338/30+1)&amp;"Ma,"&amp;SIGN(T339-Panchanga!$T338)*INT(Panchanga!$T338/30+1)&amp;"Me,"&amp;SIGN(U339-Panchanga!$U338)*INT(Panchanga!$U338/30+1)&amp;"Ju,"&amp;SIGN(V339-Panchanga!$V338)*INT(Panchanga!$V338/30+1)&amp;"Ve,"&amp;SIGN(W339-Panchanga!$W338)*INT(Panchanga!$W338/30+1)&amp;"Sa,"&amp;INT(Panchanga!$X338/30+1)&amp;"Ra"</f>
        <v>11Ma,-8Me,8Ju,7Ve,9Sa,4Ra</v>
      </c>
      <c r="S338" s="2">
        <f ca="1">Planet(Panchanga!$E338,4)</f>
        <v>312.18690589940991</v>
      </c>
      <c r="T338" s="2">
        <f ca="1">Planet(Panchanga!$E338,2)</f>
        <v>222.79306868957076</v>
      </c>
      <c r="U338" s="2">
        <f ca="1">Planet(Panchanga!$E338,5)</f>
        <v>219.76796305575161</v>
      </c>
      <c r="V338" s="2">
        <f ca="1">Planet(Panchanga!$E338,3)</f>
        <v>182.87189122540536</v>
      </c>
      <c r="W338" s="2">
        <f ca="1">Planet(Panchanga!$E338,6)</f>
        <v>253.17533524693806</v>
      </c>
      <c r="X338" s="2">
        <f ca="1">Planet(Panchanga!$E338,10)</f>
        <v>95.355412668824926</v>
      </c>
      <c r="Y338" s="2">
        <f ca="1">SIGN(S339-Panchanga!$S338)</f>
        <v>1</v>
      </c>
    </row>
    <row r="339" spans="1:25" x14ac:dyDescent="0.2">
      <c r="A339" s="3">
        <f t="shared" ca="1" si="56"/>
        <v>43431</v>
      </c>
      <c r="B339" s="3">
        <f t="shared" ca="1" si="49"/>
        <v>43431.229166666664</v>
      </c>
      <c r="C339" s="5">
        <f t="shared" ca="1" si="50"/>
        <v>43431.260764168263</v>
      </c>
      <c r="D339" s="5">
        <f t="shared" ca="1" si="51"/>
        <v>43430.735106925524</v>
      </c>
      <c r="E339" s="60">
        <f ca="1">Panchanga!$C339-TimeZone/24</f>
        <v>43431.031597501598</v>
      </c>
      <c r="F339" s="61">
        <f t="shared" ca="1" si="52"/>
        <v>220.58942402514708</v>
      </c>
      <c r="G339" s="61">
        <f t="shared" ca="1" si="53"/>
        <v>91.197712185922825</v>
      </c>
      <c r="H339" s="62">
        <f t="shared" ca="1" si="54"/>
        <v>43431.031597501598</v>
      </c>
      <c r="I339" s="2" t="str">
        <f ca="1">naks(Panchanga!$G339)</f>
        <v>Punarvasu</v>
      </c>
      <c r="J339" s="5">
        <f ca="1">(C340-Panchanga!$C339)/(G340-Panchanga!$G339)*(13.3333333333333-MOD(Panchanga!$G339,13.333333333333))+Panchanga!$C339</f>
        <v>43431.409604783759</v>
      </c>
      <c r="K339" s="2" t="str">
        <f ca="1">IF(Panchanga!$P339&gt;15,"K","S")&amp;ROUNDUP(MOD(Panchanga!$P339,15),0)&amp;" ("&amp;ROUND(Panchanga!$P339,2)&amp;")"</f>
        <v>K5 (19.22)</v>
      </c>
      <c r="L339" s="2">
        <f ca="1">IF(AND(Panchanga!$P339&lt;28.5,Panchanga!$P339&gt;0.49999),MOD((Panchanga!$P339-0.5)*2,7),MOD((Panchanga!$P339+30-28.5),30)*2+7)</f>
        <v>2.4348000000000027</v>
      </c>
      <c r="M339" s="2" t="str">
        <f ca="1">CHOOSE(ROUNDUP(Panchanga!$L339,0),"Bhava","Baalava","Kaulava","Taitula","Garija","Vanija","Vishti","Shakuni","Chatushapda","Naaga","Kimstugna")</f>
        <v>Kaulava</v>
      </c>
      <c r="N339" s="25" t="str">
        <f ca="1">CHOOSE(ROUNDUP(Panchanga!$Q339,0),"Vishkambha-विष्कम्भ-Sa","Priti-प्रीति-Me","Ayushman-आयुष्मान-Ke","Saubhagya-सौभाग्य-Ve","Shobhana-शोभन-Su","Atiganda-अतिगण्ड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("&amp;Panchanga!$Q339&amp;")"</f>
        <v>Shukla-शुक्ल-Mo (23.39)</v>
      </c>
      <c r="O339" s="2">
        <f ca="1">IF(AND(Panchanga!$P339&lt;28.5,Panchanga!$P339&gt;0.49999),MOD((Panchanga!$P339-0.5)*2,7),MOD((Panchanga!$P339+30-28.5),30)*2+7)</f>
        <v>2.4348000000000027</v>
      </c>
      <c r="P339" s="2">
        <f ca="1">ROUNDUP(MOD(360+Panchanga!$G339-Panchanga!$F339,360)/12,4)</f>
        <v>19.217400000000001</v>
      </c>
      <c r="Q339" s="2">
        <f t="shared" ca="1" si="55"/>
        <v>23.39</v>
      </c>
      <c r="R339" s="2" t="str">
        <f ca="1">SIGN(S340-Panchanga!$S339)*INT(Panchanga!$S339/30+1)&amp;"Ma,"&amp;SIGN(T340-Panchanga!$T339)*INT(Panchanga!$T339/30+1)&amp;"Me,"&amp;SIGN(U340-Panchanga!$U339)*INT(Panchanga!$U339/30+1)&amp;"Ju,"&amp;SIGN(V340-Panchanga!$V339)*INT(Panchanga!$V339/30+1)&amp;"Ve,"&amp;SIGN(W340-Panchanga!$W339)*INT(Panchanga!$W339/30+1)&amp;"Sa,"&amp;INT(Panchanga!$X339/30+1)&amp;"Ra"</f>
        <v>11Ma,-8Me,8Ju,7Ve,9Sa,4Ra</v>
      </c>
      <c r="S339" s="2">
        <f ca="1">Planet(Panchanga!$E339,4)</f>
        <v>312.82182231250385</v>
      </c>
      <c r="T339" s="2">
        <f ca="1">Planet(Panchanga!$E339,2)</f>
        <v>221.43287360593933</v>
      </c>
      <c r="U339" s="2">
        <f ca="1">Planet(Panchanga!$E339,5)</f>
        <v>219.99122830361614</v>
      </c>
      <c r="V339" s="2">
        <f ca="1">Planet(Panchanga!$E339,3)</f>
        <v>183.23926787693858</v>
      </c>
      <c r="W339" s="2">
        <f ca="1">Planet(Panchanga!$E339,6)</f>
        <v>253.28047974488933</v>
      </c>
      <c r="X339" s="2">
        <f ca="1">Planet(Panchanga!$E339,10)</f>
        <v>95.302401594043701</v>
      </c>
      <c r="Y339" s="2">
        <f ca="1">SIGN(S340-Panchanga!$S339)</f>
        <v>1</v>
      </c>
    </row>
    <row r="340" spans="1:25" x14ac:dyDescent="0.2">
      <c r="A340" s="3">
        <f t="shared" ca="1" si="56"/>
        <v>43432</v>
      </c>
      <c r="B340" s="3">
        <f t="shared" ca="1" si="49"/>
        <v>43432.229166666664</v>
      </c>
      <c r="C340" s="5">
        <f t="shared" ca="1" si="50"/>
        <v>43432.261128153805</v>
      </c>
      <c r="D340" s="5">
        <f t="shared" ca="1" si="51"/>
        <v>43431.735192120119</v>
      </c>
      <c r="E340" s="60">
        <f ca="1">Panchanga!$C340-TimeZone/24</f>
        <v>43432.031961487141</v>
      </c>
      <c r="F340" s="61">
        <f t="shared" ca="1" si="52"/>
        <v>221.60174711416221</v>
      </c>
      <c r="G340" s="61">
        <f t="shared" ca="1" si="53"/>
        <v>105.55131100391795</v>
      </c>
      <c r="H340" s="62">
        <f t="shared" ca="1" si="54"/>
        <v>43432.031961487141</v>
      </c>
      <c r="I340" s="2" t="str">
        <f ca="1">naks(Panchanga!$G340)</f>
        <v>Pushya</v>
      </c>
      <c r="J340" s="5">
        <f ca="1">(C341-Panchanga!$C340)/(G341-Panchanga!$G340)*(13.3333333333333-MOD(Panchanga!$G340,13.333333333333))+Panchanga!$C340</f>
        <v>43432.339491106337</v>
      </c>
      <c r="K340" s="2" t="str">
        <f ca="1">IF(Panchanga!$P340&gt;15,"K","S")&amp;ROUNDUP(MOD(Panchanga!$P340,15),0)&amp;" ("&amp;ROUND(Panchanga!$P340,2)&amp;")"</f>
        <v>K6 (20.33)</v>
      </c>
      <c r="L340" s="2">
        <f ca="1">IF(AND(Panchanga!$P340&lt;28.5,Panchanga!$P340&gt;0.49999),MOD((Panchanga!$P340-0.5)*2,7),MOD((Panchanga!$P340+30-28.5),30)*2+7)</f>
        <v>4.6584000000000003</v>
      </c>
      <c r="M340" s="2" t="str">
        <f ca="1">CHOOSE(ROUNDUP(Panchanga!$L340,0),"Bhava","Baalava","Kaulava","Taitula","Garija","Vanija","Vishti","Shakuni","Chatushapda","Naaga","Kimstugna")</f>
        <v>Garija</v>
      </c>
      <c r="N340" s="25" t="str">
        <f ca="1">CHOOSE(ROUNDUP(Panchanga!$Q340,0),"Vishkambha-विष्कम्भ-Sa","Priti-प्रीति-Me","Ayushman-आयुष्मान-Ke","Saubhagya-सौभाग्य-Ve","Shobhana-शोभन-Su","Atiganda-अतिगण्ड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("&amp;Panchanga!$Q340&amp;")"</f>
        <v>Brahma-ब्रह्म-Ma (24.54)</v>
      </c>
      <c r="O340" s="2">
        <f ca="1">IF(AND(Panchanga!$P340&lt;28.5,Panchanga!$P340&gt;0.49999),MOD((Panchanga!$P340-0.5)*2,7),MOD((Panchanga!$P340+30-28.5),30)*2+7)</f>
        <v>4.6584000000000003</v>
      </c>
      <c r="P340" s="2">
        <f ca="1">ROUNDUP(MOD(360+Panchanga!$G340-Panchanga!$F340,360)/12,4)</f>
        <v>20.3292</v>
      </c>
      <c r="Q340" s="2">
        <f t="shared" ca="1" si="55"/>
        <v>24.540000000000003</v>
      </c>
      <c r="R340" s="2" t="str">
        <f ca="1">SIGN(S341-Panchanga!$S340)*INT(Panchanga!$S340/30+1)&amp;"Ma,"&amp;SIGN(T341-Panchanga!$T340)*INT(Panchanga!$T340/30+1)&amp;"Me,"&amp;SIGN(U341-Panchanga!$U340)*INT(Panchanga!$U340/30+1)&amp;"Ju,"&amp;SIGN(V341-Panchanga!$V340)*INT(Panchanga!$V340/30+1)&amp;"Ve,"&amp;SIGN(W341-Panchanga!$W340)*INT(Panchanga!$W340/30+1)&amp;"Sa,"&amp;INT(Panchanga!$X340/30+1)&amp;"Ra"</f>
        <v>11Ma,-8Me,8Ju,7Ve,9Sa,4Ra</v>
      </c>
      <c r="S340" s="2">
        <f ca="1">Planet(Panchanga!$E340,4)</f>
        <v>313.45844659319943</v>
      </c>
      <c r="T340" s="2">
        <f ca="1">Planet(Panchanga!$E340,2)</f>
        <v>220.0614949374216</v>
      </c>
      <c r="U340" s="2">
        <f ca="1">Planet(Panchanga!$E340,5)</f>
        <v>220.21467114301529</v>
      </c>
      <c r="V340" s="2">
        <f ca="1">Planet(Panchanga!$E340,3)</f>
        <v>183.63780055212493</v>
      </c>
      <c r="W340" s="2">
        <f ca="1">Planet(Panchanga!$E340,6)</f>
        <v>253.38631925147169</v>
      </c>
      <c r="X340" s="2">
        <f ca="1">Planet(Panchanga!$E340,10)</f>
        <v>95.249390308659201</v>
      </c>
      <c r="Y340" s="2">
        <f ca="1">SIGN(S341-Panchanga!$S340)</f>
        <v>1</v>
      </c>
    </row>
    <row r="341" spans="1:25" x14ac:dyDescent="0.2">
      <c r="A341" s="3">
        <f t="shared" ca="1" si="56"/>
        <v>43433</v>
      </c>
      <c r="B341" s="3">
        <f t="shared" ca="1" si="49"/>
        <v>43433.229166666664</v>
      </c>
      <c r="C341" s="5">
        <f t="shared" ca="1" si="50"/>
        <v>43433.261495795254</v>
      </c>
      <c r="D341" s="5">
        <f t="shared" ca="1" si="51"/>
        <v>43432.73529066662</v>
      </c>
      <c r="E341" s="60">
        <f ca="1">Panchanga!$C341-TimeZone/24</f>
        <v>43433.032329128589</v>
      </c>
      <c r="F341" s="61">
        <f t="shared" ca="1" si="52"/>
        <v>222.61451542279093</v>
      </c>
      <c r="G341" s="61">
        <f t="shared" ca="1" si="53"/>
        <v>119.78974482571478</v>
      </c>
      <c r="H341" s="62">
        <f t="shared" ca="1" si="54"/>
        <v>43433.032329128589</v>
      </c>
      <c r="I341" s="2" t="str">
        <f ca="1">naks(Panchanga!$G341)</f>
        <v>Aslesha</v>
      </c>
      <c r="J341" s="5">
        <f ca="1">(C342-Panchanga!$C341)/(G342-Panchanga!$G341)*(13.3333333333333-MOD(Panchanga!$G341,13.333333333333))+Panchanga!$C341</f>
        <v>43433.276417590016</v>
      </c>
      <c r="K341" s="2" t="str">
        <f ca="1">IF(Panchanga!$P341&gt;15,"K","S")&amp;ROUNDUP(MOD(Panchanga!$P341,15),0)&amp;" ("&amp;ROUND(Panchanga!$P341,2)&amp;")"</f>
        <v>K7 (21.43)</v>
      </c>
      <c r="L341" s="2">
        <f ca="1">IF(AND(Panchanga!$P341&lt;28.5,Panchanga!$P341&gt;0.49999),MOD((Panchanga!$P341-0.5)*2,7),MOD((Panchanga!$P341+30-28.5),30)*2+7)</f>
        <v>6.8626000000000005</v>
      </c>
      <c r="M341" s="2" t="str">
        <f ca="1">CHOOSE(ROUNDUP(Panchanga!$L341,0),"Bhava","Baalava","Kaulava","Taitula","Garija","Vanija","Vishti","Shakuni","Chatushapda","Naaga","Kimstugna")</f>
        <v>Vishti</v>
      </c>
      <c r="N341" s="25" t="str">
        <f ca="1">CHOOSE(ROUNDUP(Panchanga!$Q341,0),"Vishkambha-विष्कम्भ-Sa","Priti-प्रीति-Me","Ayushman-आयुष्मान-Ke","Saubhagya-सौभाग्य-Ve","Shobhana-शोभन-Su","Atiganda-अतिगण्ड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("&amp;Panchanga!$Q341&amp;")"</f>
        <v>Mahendra-महेन्द्र-Ra (25.69)</v>
      </c>
      <c r="O341" s="2">
        <f ca="1">IF(AND(Panchanga!$P341&lt;28.5,Panchanga!$P341&gt;0.49999),MOD((Panchanga!$P341-0.5)*2,7),MOD((Panchanga!$P341+30-28.5),30)*2+7)</f>
        <v>6.8626000000000005</v>
      </c>
      <c r="P341" s="2">
        <f ca="1">ROUNDUP(MOD(360+Panchanga!$G341-Panchanga!$F341,360)/12,4)</f>
        <v>21.4313</v>
      </c>
      <c r="Q341" s="2">
        <f t="shared" ca="1" si="55"/>
        <v>25.69</v>
      </c>
      <c r="R341" s="2" t="str">
        <f ca="1">SIGN(S342-Panchanga!$S341)*INT(Panchanga!$S341/30+1)&amp;"Ma,"&amp;SIGN(T342-Panchanga!$T341)*INT(Panchanga!$T341/30+1)&amp;"Me,"&amp;SIGN(U342-Panchanga!$U341)*INT(Panchanga!$U341/30+1)&amp;"Ju,"&amp;SIGN(V342-Panchanga!$V341)*INT(Panchanga!$V341/30+1)&amp;"Ve,"&amp;SIGN(W342-Panchanga!$W341)*INT(Panchanga!$W341/30+1)&amp;"Sa,"&amp;INT(Panchanga!$X341/30+1)&amp;"Ra"</f>
        <v>11Ma,-8Me,8Ju,7Ve,9Sa,4Ra</v>
      </c>
      <c r="S341" s="2">
        <f ca="1">Planet(Panchanga!$E341,4)</f>
        <v>314.09674570541358</v>
      </c>
      <c r="T341" s="2">
        <f ca="1">Planet(Panchanga!$E341,2)</f>
        <v>218.72529651956418</v>
      </c>
      <c r="U341" s="2">
        <f ca="1">Planet(Panchanga!$E341,5)</f>
        <v>220.43812359983258</v>
      </c>
      <c r="V341" s="2">
        <f ca="1">Planet(Panchanga!$E341,3)</f>
        <v>184.06642132314809</v>
      </c>
      <c r="W341" s="2">
        <f ca="1">Planet(Panchanga!$E341,6)</f>
        <v>253.49283743276689</v>
      </c>
      <c r="X341" s="2">
        <f ca="1">Planet(Panchanga!$E341,10)</f>
        <v>95.196378829571515</v>
      </c>
      <c r="Y341" s="2">
        <f ca="1">SIGN(S342-Panchanga!$S341)</f>
        <v>1</v>
      </c>
    </row>
    <row r="342" spans="1:25" x14ac:dyDescent="0.2">
      <c r="A342" s="3">
        <f t="shared" ca="1" si="56"/>
        <v>43434</v>
      </c>
      <c r="B342" s="3">
        <f t="shared" ca="1" si="49"/>
        <v>43434.229166666664</v>
      </c>
      <c r="C342" s="5">
        <f t="shared" ca="1" si="50"/>
        <v>43434.261866933819</v>
      </c>
      <c r="D342" s="5">
        <f t="shared" ca="1" si="51"/>
        <v>43433.735402087725</v>
      </c>
      <c r="E342" s="60">
        <f ca="1">Panchanga!$C342-TimeZone/24</f>
        <v>43434.032700267155</v>
      </c>
      <c r="F342" s="61">
        <f t="shared" ca="1" si="52"/>
        <v>223.62772678433171</v>
      </c>
      <c r="G342" s="61">
        <f t="shared" ca="1" si="53"/>
        <v>133.88544922663718</v>
      </c>
      <c r="H342" s="62">
        <f t="shared" ca="1" si="54"/>
        <v>43434.032700267155</v>
      </c>
      <c r="I342" s="2" t="str">
        <f ca="1">naks(Panchanga!$G342)</f>
        <v>Purva Phalguni</v>
      </c>
      <c r="J342" s="5">
        <f ca="1">(C343-Panchanga!$C342)/(G343-Panchanga!$G342)*(13.3333333333333-MOD(Panchanga!$G342,13.333333333333))+Panchanga!$C342</f>
        <v>43435.17917218346</v>
      </c>
      <c r="K342" s="2" t="str">
        <f ca="1">IF(Panchanga!$P342&gt;15,"K","S")&amp;ROUNDUP(MOD(Panchanga!$P342,15),0)&amp;" ("&amp;ROUND(Panchanga!$P342,2)&amp;")"</f>
        <v>K8 (22.52)</v>
      </c>
      <c r="L342" s="2">
        <f ca="1">IF(AND(Panchanga!$P342&lt;28.5,Panchanga!$P342&gt;0.49999),MOD((Panchanga!$P342-0.5)*2,7),MOD((Panchanga!$P342+30-28.5),30)*2+7)</f>
        <v>2.0429999999999993</v>
      </c>
      <c r="M342" s="2" t="str">
        <f ca="1">CHOOSE(ROUNDUP(Panchanga!$L342,0),"Bhava","Baalava","Kaulava","Taitula","Garija","Vanija","Vishti","Shakuni","Chatushapda","Naaga","Kimstugna")</f>
        <v>Kaulava</v>
      </c>
      <c r="N342" s="25" t="str">
        <f ca="1">CHOOSE(ROUNDUP(Panchanga!$Q342,0),"Vishkambha-विष्कम्भ-Sa","Priti-प्रीति-Me","Ayushman-आयुष्मान-Ke","Saubhagya-सौभाग्य-Ve","Shobhana-शोभन-Su","Atiganda-अतिगण्ड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("&amp;Panchanga!$Q342&amp;")"</f>
        <v>Vaidhriti-वैधृति-Ke (26.82)</v>
      </c>
      <c r="O342" s="2">
        <f ca="1">IF(AND(Panchanga!$P342&lt;28.5,Panchanga!$P342&gt;0.49999),MOD((Panchanga!$P342-0.5)*2,7),MOD((Panchanga!$P342+30-28.5),30)*2+7)</f>
        <v>2.0429999999999993</v>
      </c>
      <c r="P342" s="2">
        <f ca="1">ROUNDUP(MOD(360+Panchanga!$G342-Panchanga!$F342,360)/12,4)</f>
        <v>22.5215</v>
      </c>
      <c r="Q342" s="2">
        <f t="shared" ca="1" si="55"/>
        <v>26.82</v>
      </c>
      <c r="R342" s="2" t="str">
        <f ca="1">SIGN(S343-Panchanga!$S342)*INT(Panchanga!$S342/30+1)&amp;"Ma,"&amp;SIGN(T343-Panchanga!$T342)*INT(Panchanga!$T342/30+1)&amp;"Me,"&amp;SIGN(U343-Panchanga!$U342)*INT(Panchanga!$U342/30+1)&amp;"Ju,"&amp;SIGN(V343-Panchanga!$V342)*INT(Panchanga!$V342/30+1)&amp;"Ve,"&amp;SIGN(W343-Panchanga!$W342)*INT(Panchanga!$W342/30+1)&amp;"Sa,"&amp;INT(Panchanga!$X342/30+1)&amp;"Ra"</f>
        <v>11Ma,-8Me,8Ju,7Ve,9Sa,4Ra</v>
      </c>
      <c r="S342" s="2">
        <f ca="1">Planet(Panchanga!$E342,4)</f>
        <v>314.73668962390087</v>
      </c>
      <c r="T342" s="2">
        <f ca="1">Planet(Panchanga!$E342,2)</f>
        <v>217.468694336607</v>
      </c>
      <c r="U342" s="2">
        <f ca="1">Planet(Panchanga!$E342,5)</f>
        <v>220.66155692215477</v>
      </c>
      <c r="V342" s="2">
        <f ca="1">Planet(Panchanga!$E342,3)</f>
        <v>184.5240591876848</v>
      </c>
      <c r="W342" s="2">
        <f ca="1">Planet(Panchanga!$E342,6)</f>
        <v>253.60001754420674</v>
      </c>
      <c r="X342" s="2">
        <f ca="1">Planet(Panchanga!$E342,10)</f>
        <v>95.143367165181061</v>
      </c>
      <c r="Y342" s="2">
        <f ca="1">SIGN(S343-Panchanga!$S342)</f>
        <v>1</v>
      </c>
    </row>
    <row r="343" spans="1:25" x14ac:dyDescent="0.2">
      <c r="A343" s="3">
        <f t="shared" ca="1" si="56"/>
        <v>43435</v>
      </c>
      <c r="B343" s="3">
        <f t="shared" ca="1" si="49"/>
        <v>43435.229166666664</v>
      </c>
      <c r="C343" s="5">
        <f t="shared" ca="1" si="50"/>
        <v>43435.262241250988</v>
      </c>
      <c r="D343" s="5">
        <f t="shared" ca="1" si="51"/>
        <v>43434.735526701013</v>
      </c>
      <c r="E343" s="60">
        <f ca="1">Panchanga!$C343-TimeZone/24</f>
        <v>43435.033074584324</v>
      </c>
      <c r="F343" s="61">
        <f t="shared" ca="1" si="52"/>
        <v>224.64137354982168</v>
      </c>
      <c r="G343" s="61">
        <f t="shared" ca="1" si="53"/>
        <v>147.82410451523842</v>
      </c>
      <c r="H343" s="62">
        <f t="shared" ca="1" si="54"/>
        <v>43435.033074584324</v>
      </c>
      <c r="I343" s="2" t="str">
        <f ca="1">naks(Panchanga!$G343)</f>
        <v>Uttara Phalguni</v>
      </c>
      <c r="J343" s="5">
        <f ca="1">(C344-Panchanga!$C343)/(G344-Panchanga!$G343)*(13.3333333333333-MOD(Panchanga!$G343,13.333333333333))+Panchanga!$C343</f>
        <v>43436.146589640666</v>
      </c>
      <c r="K343" s="2" t="str">
        <f ca="1">IF(Panchanga!$P343&gt;15,"K","S")&amp;ROUNDUP(MOD(Panchanga!$P343,15),0)&amp;" ("&amp;ROUND(Panchanga!$P343,2)&amp;")"</f>
        <v>K9 (23.6)</v>
      </c>
      <c r="L343" s="2">
        <f ca="1">IF(AND(Panchanga!$P343&lt;28.5,Panchanga!$P343&gt;0.49999),MOD((Panchanga!$P343-0.5)*2,7),MOD((Panchanga!$P343+30-28.5),30)*2+7)</f>
        <v>4.1972000000000023</v>
      </c>
      <c r="M343" s="2" t="str">
        <f ca="1">CHOOSE(ROUNDUP(Panchanga!$L343,0),"Bhava","Baalava","Kaulava","Taitula","Garija","Vanija","Vishti","Shakuni","Chatushapda","Naaga","Kimstugna")</f>
        <v>Garija</v>
      </c>
      <c r="N343" s="25" t="str">
        <f ca="1">CHOOSE(ROUNDUP(Panchanga!$Q343,0),"Vishkambha-विष्कम्भ-Sa","Priti-प्रीति-Me","Ayushman-आयुष्मान-Ke","Saubhagya-सौभाग्य-Ve","Shobhana-शोभन-Su","Atiganda-अतिगण्ड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("&amp;Panchanga!$Q343&amp;")"</f>
        <v>Vishkambha-विष्कम्भ-Sa (0.94)</v>
      </c>
      <c r="O343" s="2">
        <f ca="1">IF(AND(Panchanga!$P343&lt;28.5,Panchanga!$P343&gt;0.49999),MOD((Panchanga!$P343-0.5)*2,7),MOD((Panchanga!$P343+30-28.5),30)*2+7)</f>
        <v>4.1972000000000023</v>
      </c>
      <c r="P343" s="2">
        <f ca="1">ROUNDUP(MOD(360+Panchanga!$G343-Panchanga!$F343,360)/12,4)</f>
        <v>23.598600000000001</v>
      </c>
      <c r="Q343" s="2">
        <f t="shared" ca="1" si="55"/>
        <v>0.94000000000000006</v>
      </c>
      <c r="R343" s="2" t="str">
        <f ca="1">SIGN(S344-Panchanga!$S343)*INT(Panchanga!$S343/30+1)&amp;"Ma,"&amp;SIGN(T344-Panchanga!$T343)*INT(Panchanga!$T343/30+1)&amp;"Me,"&amp;SIGN(U344-Panchanga!$U343)*INT(Panchanga!$U343/30+1)&amp;"Ju,"&amp;SIGN(V344-Panchanga!$V343)*INT(Panchanga!$V343/30+1)&amp;"Ve,"&amp;SIGN(W344-Panchanga!$W343)*INT(Panchanga!$W343/30+1)&amp;"Sa,"&amp;INT(Panchanga!$X343/30+1)&amp;"Ra"</f>
        <v>11Ma,-8Me,8Ju,7Ve,9Sa,4Ra</v>
      </c>
      <c r="S343" s="2">
        <f ca="1">Planet(Panchanga!$E343,4)</f>
        <v>315.37824929457133</v>
      </c>
      <c r="T343" s="2">
        <f ca="1">Planet(Panchanga!$E343,2)</f>
        <v>216.33088515769614</v>
      </c>
      <c r="U343" s="2">
        <f ca="1">Planet(Panchanga!$E343,5)</f>
        <v>220.88495225461705</v>
      </c>
      <c r="V343" s="2">
        <f ca="1">Planet(Panchanga!$E343,3)</f>
        <v>185.00964839568769</v>
      </c>
      <c r="W343" s="2">
        <f ca="1">Planet(Panchanga!$E343,6)</f>
        <v>253.70784228320326</v>
      </c>
      <c r="X343" s="2">
        <f ca="1">Planet(Panchanga!$E343,10)</f>
        <v>95.090355332321664</v>
      </c>
      <c r="Y343" s="2">
        <f ca="1">SIGN(S344-Panchanga!$S343)</f>
        <v>1</v>
      </c>
    </row>
    <row r="344" spans="1:25" x14ac:dyDescent="0.2">
      <c r="A344" s="3">
        <f t="shared" ca="1" si="56"/>
        <v>43436</v>
      </c>
      <c r="B344" s="3">
        <f t="shared" ca="1" si="49"/>
        <v>43436.229166666664</v>
      </c>
      <c r="C344" s="5">
        <f t="shared" ca="1" si="50"/>
        <v>43436.26261842918</v>
      </c>
      <c r="D344" s="5">
        <f t="shared" ca="1" si="51"/>
        <v>43435.735664030115</v>
      </c>
      <c r="E344" s="60">
        <f ca="1">Panchanga!$C344-TimeZone/24</f>
        <v>43436.033451762516</v>
      </c>
      <c r="F344" s="61">
        <f t="shared" ca="1" si="52"/>
        <v>225.65544319204398</v>
      </c>
      <c r="G344" s="61">
        <f t="shared" ca="1" si="53"/>
        <v>161.59750887617344</v>
      </c>
      <c r="H344" s="62">
        <f t="shared" ca="1" si="54"/>
        <v>43436.033451762516</v>
      </c>
      <c r="I344" s="2" t="str">
        <f ca="1">naks(Panchanga!$G344)</f>
        <v>Hasta</v>
      </c>
      <c r="J344" s="5">
        <f ca="1">(C345-Panchanga!$C344)/(G345-Panchanga!$G344)*(13.3333333333333-MOD(Panchanga!$G344,13.333333333333))+Panchanga!$C344</f>
        <v>43437.125871064207</v>
      </c>
      <c r="K344" s="2" t="str">
        <f ca="1">IF(Panchanga!$P344&gt;15,"K","S")&amp;ROUNDUP(MOD(Panchanga!$P344,15),0)&amp;" ("&amp;ROUND(Panchanga!$P344,2)&amp;")"</f>
        <v>K10 (24.66)</v>
      </c>
      <c r="L344" s="2">
        <f ca="1">IF(AND(Panchanga!$P344&lt;28.5,Panchanga!$P344&gt;0.49999),MOD((Panchanga!$P344-0.5)*2,7),MOD((Panchanga!$P344+30-28.5),30)*2+7)</f>
        <v>6.3237999999999985</v>
      </c>
      <c r="M344" s="2" t="str">
        <f ca="1">CHOOSE(ROUNDUP(Panchanga!$L344,0),"Bhava","Baalava","Kaulava","Taitula","Garija","Vanija","Vishti","Shakuni","Chatushapda","Naaga","Kimstugna")</f>
        <v>Vishti</v>
      </c>
      <c r="N344" s="25" t="str">
        <f ca="1">CHOOSE(ROUNDUP(Panchanga!$Q344,0),"Vishkambha-विष्कम्भ-Sa","Priti-प्रीति-Me","Ayushman-आयुष्मान-Ke","Saubhagya-सौभाग्य-Ve","Shobhana-शोभन-Su","Atiganda-अतिगण्ड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("&amp;Panchanga!$Q344&amp;")"</f>
        <v>Ayushman-आयुष्मान-Ke (2.05)</v>
      </c>
      <c r="O344" s="2">
        <f ca="1">IF(AND(Panchanga!$P344&lt;28.5,Panchanga!$P344&gt;0.49999),MOD((Panchanga!$P344-0.5)*2,7),MOD((Panchanga!$P344+30-28.5),30)*2+7)</f>
        <v>6.3237999999999985</v>
      </c>
      <c r="P344" s="2">
        <f ca="1">ROUNDUP(MOD(360+Panchanga!$G344-Panchanga!$F344,360)/12,4)</f>
        <v>24.661899999999999</v>
      </c>
      <c r="Q344" s="2">
        <f t="shared" ca="1" si="55"/>
        <v>2.0499999999999998</v>
      </c>
      <c r="R344" s="2" t="str">
        <f ca="1">SIGN(S345-Panchanga!$S344)*INT(Panchanga!$S344/30+1)&amp;"Ma,"&amp;SIGN(T345-Panchanga!$T344)*INT(Panchanga!$T344/30+1)&amp;"Me,"&amp;SIGN(U345-Panchanga!$U344)*INT(Panchanga!$U344/30+1)&amp;"Ju,"&amp;SIGN(V345-Panchanga!$V344)*INT(Panchanga!$V344/30+1)&amp;"Ve,"&amp;SIGN(W345-Panchanga!$W344)*INT(Panchanga!$W344/30+1)&amp;"Sa,"&amp;INT(Panchanga!$X344/30+1)&amp;"Ra"</f>
        <v>11Ma,-8Me,8Ju,7Ve,9Sa,4Ra</v>
      </c>
      <c r="S344" s="2">
        <f ca="1">Planet(Panchanga!$E344,4)</f>
        <v>316.02139521401847</v>
      </c>
      <c r="T344" s="2">
        <f ca="1">Planet(Panchanga!$E344,2)</f>
        <v>215.34341730277401</v>
      </c>
      <c r="U344" s="2">
        <f ca="1">Planet(Panchanga!$E344,5)</f>
        <v>221.10828813950548</v>
      </c>
      <c r="V344" s="2">
        <f ca="1">Planet(Panchanga!$E344,3)</f>
        <v>185.52213648194208</v>
      </c>
      <c r="W344" s="2">
        <f ca="1">Planet(Panchanga!$E344,6)</f>
        <v>253.81629376273301</v>
      </c>
      <c r="X344" s="2">
        <f ca="1">Planet(Panchanga!$E344,10)</f>
        <v>95.0373433478604</v>
      </c>
      <c r="Y344" s="2">
        <f ca="1">SIGN(S345-Panchanga!$S344)</f>
        <v>1</v>
      </c>
    </row>
    <row r="345" spans="1:25" x14ac:dyDescent="0.2">
      <c r="A345" s="3">
        <f t="shared" ca="1" si="56"/>
        <v>43437</v>
      </c>
      <c r="B345" s="3">
        <f t="shared" ca="1" si="49"/>
        <v>43437.229166666664</v>
      </c>
      <c r="C345" s="5">
        <f t="shared" ca="1" si="50"/>
        <v>43437.262997991558</v>
      </c>
      <c r="D345" s="5">
        <f t="shared" ca="1" si="51"/>
        <v>43436.73581423382</v>
      </c>
      <c r="E345" s="60">
        <f ca="1">Panchanga!$C345-TimeZone/24</f>
        <v>43437.033831324894</v>
      </c>
      <c r="F345" s="61">
        <f t="shared" ca="1" si="52"/>
        <v>226.66991886856658</v>
      </c>
      <c r="G345" s="61">
        <f t="shared" ca="1" si="53"/>
        <v>175.19755880152178</v>
      </c>
      <c r="H345" s="62">
        <f t="shared" ca="1" si="54"/>
        <v>43437.033831324894</v>
      </c>
      <c r="I345" s="2" t="str">
        <f ca="1">naks(Panchanga!$G345)</f>
        <v>Chitra</v>
      </c>
      <c r="J345" s="5">
        <f ca="1">(C346-Panchanga!$C345)/(G346-Panchanga!$G345)*(13.3333333333333-MOD(Panchanga!$G345,13.333333333333))+Panchanga!$C345</f>
        <v>43438.118257741837</v>
      </c>
      <c r="K345" s="2" t="str">
        <f ca="1">IF(Panchanga!$P345&gt;15,"K","S")&amp;ROUNDUP(MOD(Panchanga!$P345,15),0)&amp;" ("&amp;ROUND(Panchanga!$P345,2)&amp;")"</f>
        <v>K11 (25.71)</v>
      </c>
      <c r="L345" s="2">
        <f ca="1">IF(AND(Panchanga!$P345&lt;28.5,Panchanga!$P345&gt;0.49999),MOD((Panchanga!$P345-0.5)*2,7),MOD((Panchanga!$P345+30-28.5),30)*2+7)</f>
        <v>1.4213999999999984</v>
      </c>
      <c r="M345" s="2" t="str">
        <f ca="1">CHOOSE(ROUNDUP(Panchanga!$L345,0),"Bhava","Baalava","Kaulava","Taitula","Garija","Vanija","Vishti","Shakuni","Chatushapda","Naaga","Kimstugna")</f>
        <v>Baalava</v>
      </c>
      <c r="N345" s="25" t="str">
        <f ca="1">CHOOSE(ROUNDUP(Panchanga!$Q345,0),"Vishkambha-विष्कम्भ-Sa","Priti-प्रीति-Me","Ayushman-आयुष्मान-Ke","Saubhagya-सौभाग्य-Ve","Shobhana-शोभन-Su","Atiganda-अतिगण्ड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("&amp;Panchanga!$Q345&amp;")"</f>
        <v>Saubhagya-सौभाग्य-Ve (3.15)</v>
      </c>
      <c r="O345" s="2">
        <f ca="1">IF(AND(Panchanga!$P345&lt;28.5,Panchanga!$P345&gt;0.49999),MOD((Panchanga!$P345-0.5)*2,7),MOD((Panchanga!$P345+30-28.5),30)*2+7)</f>
        <v>1.4213999999999984</v>
      </c>
      <c r="P345" s="2">
        <f ca="1">ROUNDUP(MOD(360+Panchanga!$G345-Panchanga!$F345,360)/12,4)</f>
        <v>25.710699999999999</v>
      </c>
      <c r="Q345" s="2">
        <f t="shared" ca="1" si="55"/>
        <v>3.15</v>
      </c>
      <c r="R345" s="2" t="str">
        <f ca="1">SIGN(S346-Panchanga!$S345)*INT(Panchanga!$S345/30+1)&amp;"Ma,"&amp;SIGN(T346-Panchanga!$T345)*INT(Panchanga!$T345/30+1)&amp;"Me,"&amp;SIGN(U346-Panchanga!$U345)*INT(Panchanga!$U345/30+1)&amp;"Ju,"&amp;SIGN(V346-Panchanga!$V345)*INT(Panchanga!$V345/30+1)&amp;"Ve,"&amp;SIGN(W346-Panchanga!$W345)*INT(Panchanga!$W345/30+1)&amp;"Sa,"&amp;INT(Panchanga!$X345/30+1)&amp;"Ra"</f>
        <v>11Ma,-8Me,8Ju,7Ve,9Sa,4Ra</v>
      </c>
      <c r="S345" s="2">
        <f ca="1">Planet(Panchanga!$E345,4)</f>
        <v>316.66609625118957</v>
      </c>
      <c r="T345" s="2">
        <f ca="1">Planet(Panchanga!$E345,2)</f>
        <v>214.52890305198227</v>
      </c>
      <c r="U345" s="2">
        <f ca="1">Planet(Panchanga!$E345,5)</f>
        <v>221.33154133508322</v>
      </c>
      <c r="V345" s="2">
        <f ca="1">Planet(Panchanga!$E345,3)</f>
        <v>186.06049099199601</v>
      </c>
      <c r="W345" s="2">
        <f ca="1">Planet(Panchanga!$E345,6)</f>
        <v>253.92535350101519</v>
      </c>
      <c r="X345" s="2">
        <f ca="1">Planet(Panchanga!$E345,10)</f>
        <v>94.984331237081307</v>
      </c>
      <c r="Y345" s="2">
        <f ca="1">SIGN(S346-Panchanga!$S345)</f>
        <v>1</v>
      </c>
    </row>
    <row r="346" spans="1:25" x14ac:dyDescent="0.2">
      <c r="A346" s="3">
        <f t="shared" ca="1" si="56"/>
        <v>43438</v>
      </c>
      <c r="B346" s="3">
        <f t="shared" ca="1" si="49"/>
        <v>43438.229166666664</v>
      </c>
      <c r="C346" s="5">
        <f t="shared" ca="1" si="50"/>
        <v>43438.263379620075</v>
      </c>
      <c r="D346" s="5">
        <f t="shared" ca="1" si="51"/>
        <v>43437.735976835291</v>
      </c>
      <c r="E346" s="60">
        <f ca="1">Panchanga!$C346-TimeZone/24</f>
        <v>43438.034212953411</v>
      </c>
      <c r="F346" s="61">
        <f t="shared" ca="1" si="52"/>
        <v>227.68478053674795</v>
      </c>
      <c r="G346" s="61">
        <f t="shared" ca="1" si="53"/>
        <v>188.612763714501</v>
      </c>
      <c r="H346" s="62">
        <f t="shared" ca="1" si="54"/>
        <v>43438.034212953411</v>
      </c>
      <c r="I346" s="2" t="str">
        <f ca="1">naks(Panchanga!$G346)</f>
        <v>Swati</v>
      </c>
      <c r="J346" s="5">
        <f ca="1">(C347-Panchanga!$C346)/(G347-Panchanga!$G346)*(13.3333333333333-MOD(Panchanga!$G346,13.333333333333))+Panchanga!$C346</f>
        <v>43439.125388012086</v>
      </c>
      <c r="K346" s="2" t="str">
        <f ca="1">IF(Panchanga!$P346&gt;15,"K","S")&amp;ROUNDUP(MOD(Panchanga!$P346,15),0)&amp;" ("&amp;ROUND(Panchanga!$P346,2)&amp;")"</f>
        <v>K12 (26.74)</v>
      </c>
      <c r="L346" s="2">
        <f ca="1">IF(AND(Panchanga!$P346&lt;28.5,Panchanga!$P346&gt;0.49999),MOD((Panchanga!$P346-0.5)*2,7),MOD((Panchanga!$P346+30-28.5),30)*2+7)</f>
        <v>3.4879999999999995</v>
      </c>
      <c r="M346" s="2" t="str">
        <f ca="1">CHOOSE(ROUNDUP(Panchanga!$L346,0),"Bhava","Baalava","Kaulava","Taitula","Garija","Vanija","Vishti","Shakuni","Chatushapda","Naaga","Kimstugna")</f>
        <v>Taitula</v>
      </c>
      <c r="N346" s="25" t="str">
        <f ca="1">CHOOSE(ROUNDUP(Panchanga!$Q346,0),"Vishkambha-विष्कम्भ-Sa","Priti-प्रीति-Me","Ayushman-आयुष्मान-Ke","Saubhagya-सौभाग्य-Ve","Shobhana-शोभन-Su","Atiganda-अतिगण्ड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("&amp;Panchanga!$Q346&amp;")"</f>
        <v>Shobhana-शोभन-Su (4.23)</v>
      </c>
      <c r="O346" s="2">
        <f ca="1">IF(AND(Panchanga!$P346&lt;28.5,Panchanga!$P346&gt;0.49999),MOD((Panchanga!$P346-0.5)*2,7),MOD((Panchanga!$P346+30-28.5),30)*2+7)</f>
        <v>3.4879999999999995</v>
      </c>
      <c r="P346" s="2">
        <f ca="1">ROUNDUP(MOD(360+Panchanga!$G346-Panchanga!$F346,360)/12,4)</f>
        <v>26.744</v>
      </c>
      <c r="Q346" s="2">
        <f t="shared" ca="1" si="55"/>
        <v>4.2299999999999995</v>
      </c>
      <c r="R346" s="2" t="str">
        <f ca="1">SIGN(S347-Panchanga!$S346)*INT(Panchanga!$S346/30+1)&amp;"Ma,"&amp;SIGN(T347-Panchanga!$T346)*INT(Panchanga!$T346/30+1)&amp;"Me,"&amp;SIGN(U347-Panchanga!$U346)*INT(Panchanga!$U346/30+1)&amp;"Ju,"&amp;SIGN(V347-Panchanga!$V346)*INT(Panchanga!$V346/30+1)&amp;"Ve,"&amp;SIGN(W347-Panchanga!$W346)*INT(Panchanga!$W346/30+1)&amp;"Sa,"&amp;INT(Panchanga!$X346/30+1)&amp;"Ra"</f>
        <v>11Ma,-8Me,8Ju,7Ve,9Sa,4Ra</v>
      </c>
      <c r="S346" s="2">
        <f ca="1">Planet(Panchanga!$E346,4)</f>
        <v>317.31231917443074</v>
      </c>
      <c r="T346" s="2">
        <f ca="1">Planet(Panchanga!$E346,2)</f>
        <v>213.90087932122574</v>
      </c>
      <c r="U346" s="2">
        <f ca="1">Planet(Panchanga!$E346,5)</f>
        <v>221.55468754307216</v>
      </c>
      <c r="V346" s="2">
        <f ca="1">Planet(Panchanga!$E346,3)</f>
        <v>186.62370503873899</v>
      </c>
      <c r="W346" s="2">
        <f ca="1">Planet(Panchanga!$E346,6)</f>
        <v>254.03500249564706</v>
      </c>
      <c r="X346" s="2">
        <f ca="1">Planet(Panchanga!$E346,10)</f>
        <v>94.931319016785039</v>
      </c>
      <c r="Y346" s="2">
        <f ca="1">SIGN(S347-Panchanga!$S346)</f>
        <v>1</v>
      </c>
    </row>
    <row r="347" spans="1:25" x14ac:dyDescent="0.2">
      <c r="A347" s="3">
        <f t="shared" ca="1" si="56"/>
        <v>43439</v>
      </c>
      <c r="B347" s="3">
        <f t="shared" ca="1" si="49"/>
        <v>43439.229166666664</v>
      </c>
      <c r="C347" s="5">
        <f t="shared" ca="1" si="50"/>
        <v>43439.26376283836</v>
      </c>
      <c r="D347" s="5">
        <f t="shared" ca="1" si="51"/>
        <v>43438.736151675737</v>
      </c>
      <c r="E347" s="60">
        <f ca="1">Panchanga!$C347-TimeZone/24</f>
        <v>43439.034596171696</v>
      </c>
      <c r="F347" s="61">
        <f t="shared" ca="1" si="52"/>
        <v>228.70000540018887</v>
      </c>
      <c r="G347" s="61">
        <f t="shared" ca="1" si="53"/>
        <v>201.8279483788175</v>
      </c>
      <c r="H347" s="62">
        <f t="shared" ca="1" si="54"/>
        <v>43439.034596171696</v>
      </c>
      <c r="I347" s="2" t="str">
        <f ca="1">naks(Panchanga!$G347)</f>
        <v>Visakha</v>
      </c>
      <c r="J347" s="5">
        <f ca="1">(C348-Panchanga!$C347)/(G348-Panchanga!$G347)*(13.3333333333333-MOD(Panchanga!$G347,13.333333333333))+Panchanga!$C347</f>
        <v>43440.149204413174</v>
      </c>
      <c r="K347" s="2" t="str">
        <f ca="1">IF(Panchanga!$P347&gt;15,"K","S")&amp;ROUNDUP(MOD(Panchanga!$P347,15),0)&amp;" ("&amp;ROUND(Panchanga!$P347,2)&amp;")"</f>
        <v>K13 (27.76)</v>
      </c>
      <c r="L347" s="2">
        <f ca="1">IF(AND(Panchanga!$P347&lt;28.5,Panchanga!$P347&gt;0.49999),MOD((Panchanga!$P347-0.5)*2,7),MOD((Panchanga!$P347+30-28.5),30)*2+7)</f>
        <v>5.5213999999999999</v>
      </c>
      <c r="M347" s="2" t="str">
        <f ca="1">CHOOSE(ROUNDUP(Panchanga!$L347,0),"Bhava","Baalava","Kaulava","Taitula","Garija","Vanija","Vishti","Shakuni","Chatushapda","Naaga","Kimstugna")</f>
        <v>Vanija</v>
      </c>
      <c r="N347" s="25" t="str">
        <f ca="1">CHOOSE(ROUNDUP(Panchanga!$Q347,0),"Vishkambha-विष्कम्भ-Sa","Priti-प्रीति-Me","Ayushman-आयुष्मान-Ke","Saubhagya-सौभाग्य-Ve","Shobhana-शोभन-Su","Atiganda-अतिगण्ड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("&amp;Panchanga!$Q347&amp;")"</f>
        <v>Atiganda-अतिगण्ड -Mo (5.29)</v>
      </c>
      <c r="O347" s="2">
        <f ca="1">IF(AND(Panchanga!$P347&lt;28.5,Panchanga!$P347&gt;0.49999),MOD((Panchanga!$P347-0.5)*2,7),MOD((Panchanga!$P347+30-28.5),30)*2+7)</f>
        <v>5.5213999999999999</v>
      </c>
      <c r="P347" s="2">
        <f ca="1">ROUNDUP(MOD(360+Panchanga!$G347-Panchanga!$F347,360)/12,4)</f>
        <v>27.7607</v>
      </c>
      <c r="Q347" s="2">
        <f t="shared" ca="1" si="55"/>
        <v>5.29</v>
      </c>
      <c r="R347" s="2" t="str">
        <f ca="1">SIGN(S348-Panchanga!$S347)*INT(Panchanga!$S347/30+1)&amp;"Ma,"&amp;SIGN(T348-Panchanga!$T347)*INT(Panchanga!$T347/30+1)&amp;"Me,"&amp;SIGN(U348-Panchanga!$U347)*INT(Panchanga!$U347/30+1)&amp;"Ju,"&amp;SIGN(V348-Panchanga!$V347)*INT(Panchanga!$V347/30+1)&amp;"Ve,"&amp;SIGN(W348-Panchanga!$W347)*INT(Panchanga!$W347/30+1)&amp;"Sa,"&amp;INT(Panchanga!$X347/30+1)&amp;"Ra"</f>
        <v>11Ma,-8Me,8Ju,7Ve,9Sa,4Ra</v>
      </c>
      <c r="S347" s="2">
        <f ca="1">Planet(Panchanga!$E347,4)</f>
        <v>317.96002804369755</v>
      </c>
      <c r="T347" s="2">
        <f ca="1">Planet(Panchanga!$E347,2)</f>
        <v>213.46459386719192</v>
      </c>
      <c r="U347" s="2">
        <f ca="1">Planet(Panchanga!$E347,5)</f>
        <v>221.77770171422461</v>
      </c>
      <c r="V347" s="2">
        <f ca="1">Planet(Panchanga!$E347,3)</f>
        <v>187.21080123229746</v>
      </c>
      <c r="W347" s="2">
        <f ca="1">Planet(Panchanga!$E347,6)</f>
        <v>254.14522124399753</v>
      </c>
      <c r="X347" s="2">
        <f ca="1">Planet(Panchanga!$E347,10)</f>
        <v>94.87830671225565</v>
      </c>
      <c r="Y347" s="2">
        <f ca="1">SIGN(S348-Panchanga!$S347)</f>
        <v>1</v>
      </c>
    </row>
    <row r="348" spans="1:25" x14ac:dyDescent="0.2">
      <c r="A348" s="3">
        <f t="shared" ca="1" si="56"/>
        <v>43440</v>
      </c>
      <c r="B348" s="3">
        <f t="shared" ca="1" si="49"/>
        <v>43440.229166666664</v>
      </c>
      <c r="C348" s="5">
        <f t="shared" ca="1" si="50"/>
        <v>43440.26414748669</v>
      </c>
      <c r="D348" s="5">
        <f t="shared" ca="1" si="51"/>
        <v>43439.736338754694</v>
      </c>
      <c r="E348" s="60">
        <f ca="1">Panchanga!$C348-TimeZone/24</f>
        <v>43440.034980820026</v>
      </c>
      <c r="F348" s="61">
        <f t="shared" ca="1" si="52"/>
        <v>229.7155691494344</v>
      </c>
      <c r="G348" s="61">
        <f t="shared" ca="1" si="53"/>
        <v>214.82689806562064</v>
      </c>
      <c r="H348" s="62">
        <f t="shared" ca="1" si="54"/>
        <v>43440.034980820026</v>
      </c>
      <c r="I348" s="2" t="str">
        <f ca="1">naks(Panchanga!$G348)</f>
        <v>Anuradha</v>
      </c>
      <c r="J348" s="5">
        <f ca="1">(C349-Panchanga!$C348)/(G349-Panchanga!$G348)*(13.3333333333333-MOD(Panchanga!$G348,13.333333333333))+Panchanga!$C348</f>
        <v>43441.1916668544</v>
      </c>
      <c r="K348" s="2" t="str">
        <f ca="1">IF(Panchanga!$P348&gt;15,"K","S")&amp;ROUNDUP(MOD(Panchanga!$P348,15),0)&amp;" ("&amp;ROUND(Panchanga!$P348,2)&amp;")"</f>
        <v>K14 (28.76)</v>
      </c>
      <c r="L348" s="2">
        <f ca="1">IF(AND(Panchanga!$P348&lt;28.5,Panchanga!$P348&gt;0.49999),MOD((Panchanga!$P348-0.5)*2,7),MOD((Panchanga!$P348+30-28.5),30)*2+7)</f>
        <v>7.5185999999999922</v>
      </c>
      <c r="M348" s="2" t="str">
        <f ca="1">CHOOSE(ROUNDUP(Panchanga!$L348,0),"Bhava","Baalava","Kaulava","Taitula","Garija","Vanija","Vishti","Shakuni","Chatushapda","Naaga","Kimstugna")</f>
        <v>Shakuni</v>
      </c>
      <c r="N348" s="25" t="str">
        <f ca="1">CHOOSE(ROUNDUP(Panchanga!$Q348,0),"Vishkambha-विष्कम्भ-Sa","Priti-प्रीति-Me","Ayushman-आयुष्मान-Ke","Saubhagya-सौभाग्य-Ve","Shobhana-शोभन-Su","Atiganda-अतिगण्ड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("&amp;Panchanga!$Q348&amp;")"</f>
        <v>Sukarman-सुकर्मा -Ma (6.35)</v>
      </c>
      <c r="O348" s="2">
        <f ca="1">IF(AND(Panchanga!$P348&lt;28.5,Panchanga!$P348&gt;0.49999),MOD((Panchanga!$P348-0.5)*2,7),MOD((Panchanga!$P348+30-28.5),30)*2+7)</f>
        <v>7.5185999999999922</v>
      </c>
      <c r="P348" s="2">
        <f ca="1">ROUNDUP(MOD(360+Panchanga!$G348-Panchanga!$F348,360)/12,4)</f>
        <v>28.7593</v>
      </c>
      <c r="Q348" s="2">
        <f t="shared" ca="1" si="55"/>
        <v>6.35</v>
      </c>
      <c r="R348" s="2" t="str">
        <f ca="1">SIGN(S349-Panchanga!$S348)*INT(Panchanga!$S348/30+1)&amp;"Ma,"&amp;SIGN(T349-Panchanga!$T348)*INT(Panchanga!$T348/30+1)&amp;"Me,"&amp;SIGN(U349-Panchanga!$U348)*INT(Panchanga!$U348/30+1)&amp;"Ju,"&amp;SIGN(V349-Panchanga!$V348)*INT(Panchanga!$V348/30+1)&amp;"Ve,"&amp;SIGN(W349-Panchanga!$W348)*INT(Panchanga!$W348/30+1)&amp;"Sa,"&amp;INT(Panchanga!$X348/30+1)&amp;"Ra"</f>
        <v>11Ma,-8Me,8Ju,7Ve,9Sa,4Ra</v>
      </c>
      <c r="S348" s="2">
        <f ca="1">Planet(Panchanga!$E348,4)</f>
        <v>318.60918429266951</v>
      </c>
      <c r="T348" s="2">
        <f ca="1">Planet(Panchanga!$E348,2)</f>
        <v>213.21837823302215</v>
      </c>
      <c r="U348" s="2">
        <f ca="1">Planet(Panchanga!$E348,5)</f>
        <v>222.00055841173364</v>
      </c>
      <c r="V348" s="2">
        <f ca="1">Planet(Panchanga!$E348,3)</f>
        <v>187.8208350535071</v>
      </c>
      <c r="W348" s="2">
        <f ca="1">Planet(Panchanga!$E348,6)</f>
        <v>254.25598986265268</v>
      </c>
      <c r="X348" s="2">
        <f ca="1">Planet(Panchanga!$E348,10)</f>
        <v>94.825294331959896</v>
      </c>
      <c r="Y348" s="2">
        <f ca="1">SIGN(S349-Panchanga!$S348)</f>
        <v>1</v>
      </c>
    </row>
    <row r="349" spans="1:25" x14ac:dyDescent="0.2">
      <c r="A349" s="3">
        <f t="shared" ca="1" si="56"/>
        <v>43441</v>
      </c>
      <c r="B349" s="3">
        <f t="shared" ca="1" si="49"/>
        <v>43441.229166666664</v>
      </c>
      <c r="C349" s="5">
        <f t="shared" ca="1" si="50"/>
        <v>43441.26453293037</v>
      </c>
      <c r="D349" s="5">
        <f t="shared" ca="1" si="51"/>
        <v>43440.736537436998</v>
      </c>
      <c r="E349" s="60">
        <f ca="1">Panchanga!$C349-TimeZone/24</f>
        <v>43441.035366263706</v>
      </c>
      <c r="F349" s="61">
        <f t="shared" ca="1" si="52"/>
        <v>230.73144594855586</v>
      </c>
      <c r="G349" s="61">
        <f t="shared" ca="1" si="53"/>
        <v>227.59680085944908</v>
      </c>
      <c r="H349" s="62">
        <f t="shared" ca="1" si="54"/>
        <v>43441.035366263706</v>
      </c>
      <c r="I349" s="2" t="str">
        <f ca="1">naks(Panchanga!$G349)</f>
        <v>Jyestha</v>
      </c>
      <c r="J349" s="5">
        <f ca="1">(C350-Panchanga!$C349)/(G350-Panchanga!$G349)*(13.3333333333333-MOD(Panchanga!$G349,13.333333333333))+Panchanga!$C349</f>
        <v>43442.254298316024</v>
      </c>
      <c r="K349" s="2" t="str">
        <f ca="1">IF(Panchanga!$P349&gt;15,"K","S")&amp;ROUNDUP(MOD(Panchanga!$P349,15),0)&amp;" ("&amp;ROUND(Panchanga!$P349,2)&amp;")"</f>
        <v>K15 (29.74)</v>
      </c>
      <c r="L349" s="2">
        <f ca="1">IF(AND(Panchanga!$P349&lt;28.5,Panchanga!$P349&gt;0.49999),MOD((Panchanga!$P349-0.5)*2,7),MOD((Panchanga!$P349+30-28.5),30)*2+7)</f>
        <v>9.4775999999999954</v>
      </c>
      <c r="M349" s="2" t="str">
        <f ca="1">CHOOSE(ROUNDUP(Panchanga!$L349,0),"Bhava","Baalava","Kaulava","Taitula","Garija","Vanija","Vishti","Shakuni","Chatushapda","Naaga","Kimstugna")</f>
        <v>Naaga</v>
      </c>
      <c r="N349" s="25" t="str">
        <f ca="1">CHOOSE(ROUNDUP(Panchanga!$Q349,0),"Vishkambha-विष्कम्भ-Sa","Priti-प्रीति-Me","Ayushman-आयुष्मान-Ke","Saubhagya-सौभाग्य-Ve","Shobhana-शोभन-Su","Atiganda-अतिगण्ड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("&amp;Panchanga!$Q349&amp;")"</f>
        <v>Dhriti-धृति -Ra (7.38)</v>
      </c>
      <c r="O349" s="2">
        <f ca="1">IF(AND(Panchanga!$P349&lt;28.5,Panchanga!$P349&gt;0.49999),MOD((Panchanga!$P349-0.5)*2,7),MOD((Panchanga!$P349+30-28.5),30)*2+7)</f>
        <v>9.4775999999999954</v>
      </c>
      <c r="P349" s="2">
        <f ca="1">ROUNDUP(MOD(360+Panchanga!$G349-Panchanga!$F349,360)/12,4)</f>
        <v>29.738800000000001</v>
      </c>
      <c r="Q349" s="2">
        <f t="shared" ca="1" si="55"/>
        <v>7.38</v>
      </c>
      <c r="R349" s="2" t="str">
        <f ca="1">SIGN(S350-Panchanga!$S349)*INT(Panchanga!$S349/30+1)&amp;"Ma,"&amp;SIGN(T350-Panchanga!$T349)*INT(Panchanga!$T349/30+1)&amp;"Me,"&amp;SIGN(U350-Panchanga!$U349)*INT(Panchanga!$U349/30+1)&amp;"Ju,"&amp;SIGN(V350-Panchanga!$V349)*INT(Panchanga!$V349/30+1)&amp;"Ve,"&amp;SIGN(W350-Panchanga!$W349)*INT(Panchanga!$W349/30+1)&amp;"Sa,"&amp;INT(Panchanga!$X349/30+1)&amp;"Ra"</f>
        <v>11Ma,8Me,8Ju,7Ve,9Sa,4Ra</v>
      </c>
      <c r="S349" s="2">
        <f ca="1">Planet(Panchanga!$E349,4)</f>
        <v>319.25974615376958</v>
      </c>
      <c r="T349" s="2">
        <f ca="1">Planet(Panchanga!$E349,2)</f>
        <v>213.15527004791008</v>
      </c>
      <c r="U349" s="2">
        <f ca="1">Planet(Panchanga!$E349,5)</f>
        <v>222.22323184654741</v>
      </c>
      <c r="V349" s="2">
        <f ca="1">Planet(Panchanga!$E349,3)</f>
        <v>188.45289666782949</v>
      </c>
      <c r="W349" s="2">
        <f ca="1">Planet(Panchanga!$E349,6)</f>
        <v>254.36728808165503</v>
      </c>
      <c r="X349" s="2">
        <f ca="1">Planet(Panchanga!$E349,10)</f>
        <v>94.772281909499114</v>
      </c>
      <c r="Y349" s="2">
        <f ca="1">SIGN(S350-Panchanga!$S349)</f>
        <v>1</v>
      </c>
    </row>
    <row r="350" spans="1:25" x14ac:dyDescent="0.2">
      <c r="A350" s="3">
        <f t="shared" ca="1" si="56"/>
        <v>43442</v>
      </c>
      <c r="B350" s="3">
        <f t="shared" ca="1" si="49"/>
        <v>43442.229166666664</v>
      </c>
      <c r="C350" s="5">
        <f t="shared" ca="1" si="50"/>
        <v>43442.264918691631</v>
      </c>
      <c r="D350" s="5">
        <f t="shared" ca="1" si="51"/>
        <v>43441.736747880976</v>
      </c>
      <c r="E350" s="60">
        <f ca="1">Panchanga!$C350-TimeZone/24</f>
        <v>43442.035752024967</v>
      </c>
      <c r="F350" s="61">
        <f t="shared" ca="1" si="52"/>
        <v>231.74760990094813</v>
      </c>
      <c r="G350" s="61">
        <f t="shared" ca="1" si="53"/>
        <v>240.13308874561054</v>
      </c>
      <c r="H350" s="62">
        <f t="shared" ca="1" si="54"/>
        <v>43442.035752024967</v>
      </c>
      <c r="I350" s="2" t="str">
        <f ca="1">naks(Panchanga!$G350)</f>
        <v>Moola</v>
      </c>
      <c r="J350" s="5">
        <f ca="1">(C351-Panchanga!$C350)/(G351-Panchanga!$G350)*(13.3333333333333-MOD(Panchanga!$G350,13.333333333333))+Panchanga!$C350</f>
        <v>43443.337616434859</v>
      </c>
      <c r="K350" s="2" t="str">
        <f ca="1">IF(Panchanga!$P350&gt;15,"K","S")&amp;ROUNDUP(MOD(Panchanga!$P350,15),0)&amp;" ("&amp;ROUND(Panchanga!$P350,2)&amp;")"</f>
        <v>S1 (0.7)</v>
      </c>
      <c r="L350" s="2">
        <f ca="1">IF(AND(Panchanga!$P350&lt;28.5,Panchanga!$P350&gt;0.49999),MOD((Panchanga!$P350-0.5)*2,7),MOD((Panchanga!$P350+30-28.5),30)*2+7)</f>
        <v>0.39759999999999995</v>
      </c>
      <c r="M350" s="2" t="str">
        <f ca="1">CHOOSE(ROUNDUP(Panchanga!$L350,0),"Bhava","Baalava","Kaulava","Taitula","Garija","Vanija","Vishti","Shakuni","Chatushapda","Naaga","Kimstugna")</f>
        <v>Bhava</v>
      </c>
      <c r="N350" s="25" t="str">
        <f ca="1">CHOOSE(ROUNDUP(Panchanga!$Q350,0),"Vishkambha-विष्कम्भ-Sa","Priti-प्रीति-Me","Ayushman-आयुष्मान-Ke","Saubhagya-सौभाग्य-Ve","Shobhana-शोभन-Su","Atiganda-अतिगण्ड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("&amp;Panchanga!$Q350&amp;")"</f>
        <v>Shula-शूल -Ju (8.4)</v>
      </c>
      <c r="O350" s="2">
        <f ca="1">IF(AND(Panchanga!$P350&lt;28.5,Panchanga!$P350&gt;0.49999),MOD((Panchanga!$P350-0.5)*2,7),MOD((Panchanga!$P350+30-28.5),30)*2+7)</f>
        <v>0.39759999999999995</v>
      </c>
      <c r="P350" s="2">
        <f ca="1">ROUNDUP(MOD(360+Panchanga!$G350-Panchanga!$F350,360)/12,4)</f>
        <v>0.69879999999999998</v>
      </c>
      <c r="Q350" s="2">
        <f t="shared" ca="1" si="55"/>
        <v>8.4</v>
      </c>
      <c r="R350" s="2" t="str">
        <f ca="1">SIGN(S351-Panchanga!$S350)*INT(Panchanga!$S350/30+1)&amp;"Ma,"&amp;SIGN(T351-Panchanga!$T350)*INT(Panchanga!$T350/30+1)&amp;"Me,"&amp;SIGN(U351-Panchanga!$U350)*INT(Panchanga!$U350/30+1)&amp;"Ju,"&amp;SIGN(V351-Panchanga!$V350)*INT(Panchanga!$V350/30+1)&amp;"Ve,"&amp;SIGN(W351-Panchanga!$W350)*INT(Panchanga!$W350/30+1)&amp;"Sa,"&amp;INT(Panchanga!$X350/30+1)&amp;"Ra"</f>
        <v>11Ma,8Me,8Ju,7Ve,9Sa,4Ra</v>
      </c>
      <c r="S350" s="2">
        <f ca="1">Planet(Panchanga!$E350,4)</f>
        <v>319.91166921887185</v>
      </c>
      <c r="T350" s="2">
        <f ca="1">Planet(Panchanga!$E350,2)</f>
        <v>213.26461708880058</v>
      </c>
      <c r="U350" s="2">
        <f ca="1">Planet(Panchanga!$E350,5)</f>
        <v>222.44569620976446</v>
      </c>
      <c r="V350" s="2">
        <f ca="1">Planet(Panchanga!$E350,3)</f>
        <v>189.10611278235547</v>
      </c>
      <c r="W350" s="2">
        <f ca="1">Planet(Panchanga!$E350,6)</f>
        <v>254.47909540565772</v>
      </c>
      <c r="X350" s="2">
        <f ca="1">Planet(Panchanga!$E350,10)</f>
        <v>94.719269470240206</v>
      </c>
      <c r="Y350" s="2">
        <f ca="1">SIGN(S351-Panchanga!$S350)</f>
        <v>1</v>
      </c>
    </row>
    <row r="351" spans="1:25" x14ac:dyDescent="0.2">
      <c r="A351" s="3">
        <f t="shared" ca="1" si="56"/>
        <v>43443</v>
      </c>
      <c r="B351" s="3">
        <f t="shared" ca="1" si="49"/>
        <v>43443.229166666664</v>
      </c>
      <c r="C351" s="5">
        <f t="shared" ca="1" si="50"/>
        <v>43443.265304611683</v>
      </c>
      <c r="D351" s="5">
        <f t="shared" ca="1" si="51"/>
        <v>43442.736969451464</v>
      </c>
      <c r="E351" s="60">
        <f ca="1">Panchanga!$C351-TimeZone/24</f>
        <v>43443.036137945019</v>
      </c>
      <c r="F351" s="61">
        <f t="shared" ca="1" si="52"/>
        <v>232.76403599691997</v>
      </c>
      <c r="G351" s="61">
        <f t="shared" ca="1" si="53"/>
        <v>252.44348923834301</v>
      </c>
      <c r="H351" s="62">
        <f t="shared" ca="1" si="54"/>
        <v>43443.036137945019</v>
      </c>
      <c r="I351" s="2" t="str">
        <f ca="1">naks(Panchanga!$G351)</f>
        <v>Moola</v>
      </c>
      <c r="J351" s="5">
        <f ca="1">(C352-Panchanga!$C351)/(G352-Panchanga!$G351)*(13.3333333333333-MOD(Panchanga!$G351,13.333333333333))+Panchanga!$C351</f>
        <v>43443.338830592897</v>
      </c>
      <c r="K351" s="2" t="str">
        <f ca="1">IF(Panchanga!$P351&gt;15,"K","S")&amp;ROUNDUP(MOD(Panchanga!$P351,15),0)&amp;" ("&amp;ROUND(Panchanga!$P351,2)&amp;")"</f>
        <v>S2 (1.64)</v>
      </c>
      <c r="L351" s="2">
        <f ca="1">IF(AND(Panchanga!$P351&lt;28.5,Panchanga!$P351&gt;0.49999),MOD((Panchanga!$P351-0.5)*2,7),MOD((Panchanga!$P351+30-28.5),30)*2+7)</f>
        <v>2.2799999999999998</v>
      </c>
      <c r="M351" s="2" t="str">
        <f ca="1">CHOOSE(ROUNDUP(Panchanga!$L351,0),"Bhava","Baalava","Kaulava","Taitula","Garija","Vanija","Vishti","Shakuni","Chatushapda","Naaga","Kimstugna")</f>
        <v>Kaulava</v>
      </c>
      <c r="N351" s="25" t="str">
        <f ca="1">CHOOSE(ROUNDUP(Panchanga!$Q351,0),"Vishkambha-विष्कम्भ-Sa","Priti-प्रीति-Me","Ayushman-आयुष्मान-Ke","Saubhagya-सौभाग्य-Ve","Shobhana-शोभन-Su","Atiganda-अतिगण्ड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("&amp;Panchanga!$Q351&amp;")"</f>
        <v>Ganda-गण्ड -Sa (9.4)</v>
      </c>
      <c r="O351" s="2">
        <f ca="1">IF(AND(Panchanga!$P351&lt;28.5,Panchanga!$P351&gt;0.49999),MOD((Panchanga!$P351-0.5)*2,7),MOD((Panchanga!$P351+30-28.5),30)*2+7)</f>
        <v>2.2799999999999998</v>
      </c>
      <c r="P351" s="2">
        <f ca="1">ROUNDUP(MOD(360+Panchanga!$G351-Panchanga!$F351,360)/12,4)</f>
        <v>1.64</v>
      </c>
      <c r="Q351" s="2">
        <f t="shared" ca="1" si="55"/>
        <v>9.4</v>
      </c>
      <c r="R351" s="2" t="str">
        <f ca="1">SIGN(S352-Panchanga!$S351)*INT(Panchanga!$S351/30+1)&amp;"Ma,"&amp;SIGN(T352-Panchanga!$T351)*INT(Panchanga!$T351/30+1)&amp;"Me,"&amp;SIGN(U352-Panchanga!$U351)*INT(Panchanga!$U351/30+1)&amp;"Ju,"&amp;SIGN(V352-Panchanga!$V351)*INT(Panchanga!$V351/30+1)&amp;"Ve,"&amp;SIGN(W352-Panchanga!$W351)*INT(Panchanga!$W351/30+1)&amp;"Sa,"&amp;INT(Panchanga!$X351/30+1)&amp;"Ra"</f>
        <v>11Ma,8Me,8Ju,7Ve,9Sa,4Ra</v>
      </c>
      <c r="S351" s="2">
        <f ca="1">Planet(Panchanga!$E351,4)</f>
        <v>320.56490694625199</v>
      </c>
      <c r="T351" s="2">
        <f ca="1">Planet(Panchanga!$E351,2)</f>
        <v>213.53349494928</v>
      </c>
      <c r="U351" s="2">
        <f ca="1">Planet(Panchanga!$E351,5)</f>
        <v>222.66792587451528</v>
      </c>
      <c r="V351" s="2">
        <f ca="1">Planet(Panchanga!$E351,3)</f>
        <v>189.77964737074856</v>
      </c>
      <c r="W351" s="2">
        <f ca="1">Planet(Panchanga!$E351,6)</f>
        <v>254.59139123589455</v>
      </c>
      <c r="X351" s="2">
        <f ca="1">Planet(Panchanga!$E351,10)</f>
        <v>94.666257022566967</v>
      </c>
      <c r="Y351" s="2">
        <f ca="1">SIGN(S352-Panchanga!$S351)</f>
        <v>1</v>
      </c>
    </row>
    <row r="352" spans="1:25" x14ac:dyDescent="0.2">
      <c r="A352" s="3">
        <f t="shared" ca="1" si="56"/>
        <v>43444</v>
      </c>
      <c r="B352" s="3">
        <f t="shared" ca="1" si="49"/>
        <v>43444.229166666664</v>
      </c>
      <c r="C352" s="5">
        <f t="shared" ca="1" si="50"/>
        <v>43444.265689896107</v>
      </c>
      <c r="D352" s="5">
        <f t="shared" ca="1" si="51"/>
        <v>43443.737201988741</v>
      </c>
      <c r="E352" s="60">
        <f ca="1">Panchanga!$C352-TimeZone/24</f>
        <v>43444.036523229443</v>
      </c>
      <c r="F352" s="61">
        <f t="shared" ca="1" si="52"/>
        <v>233.78069976175692</v>
      </c>
      <c r="G352" s="61">
        <f t="shared" ca="1" si="53"/>
        <v>264.55059645929072</v>
      </c>
      <c r="H352" s="62">
        <f t="shared" ca="1" si="54"/>
        <v>43444.036523229443</v>
      </c>
      <c r="I352" s="2" t="str">
        <f ca="1">naks(Panchanga!$G352)</f>
        <v>Purva Asadha</v>
      </c>
      <c r="J352" s="5">
        <f ca="1">(C353-Panchanga!$C352)/(G353-Panchanga!$G352)*(13.3333333333333-MOD(Panchanga!$G352,13.333333333333))+Panchanga!$C352</f>
        <v>43444.442951660953</v>
      </c>
      <c r="K352" s="2" t="str">
        <f ca="1">IF(Panchanga!$P352&gt;15,"K","S")&amp;ROUNDUP(MOD(Panchanga!$P352,15),0)&amp;" ("&amp;ROUND(Panchanga!$P352,2)&amp;")"</f>
        <v>S3 (2.56)</v>
      </c>
      <c r="L352" s="2">
        <f ca="1">IF(AND(Panchanga!$P352&lt;28.5,Panchanga!$P352&gt;0.49999),MOD((Panchanga!$P352-0.5)*2,7),MOD((Panchanga!$P352+30-28.5),30)*2+7)</f>
        <v>4.1284000000000001</v>
      </c>
      <c r="M352" s="2" t="str">
        <f ca="1">CHOOSE(ROUNDUP(Panchanga!$L352,0),"Bhava","Baalava","Kaulava","Taitula","Garija","Vanija","Vishti","Shakuni","Chatushapda","Naaga","Kimstugna")</f>
        <v>Garija</v>
      </c>
      <c r="N352" s="25" t="str">
        <f ca="1">CHOOSE(ROUNDUP(Panchanga!$Q352,0),"Vishkambha-विष्कम्भ-Sa","Priti-प्रीति-Me","Ayushman-आयुष्मान-Ke","Saubhagya-सौभाग्य-Ve","Shobhana-शोभन-Su","Atiganda-अतिगण्ड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("&amp;Panchanga!$Q352&amp;")"</f>
        <v>Vriddhi-वृद्धि -Me (10.38)</v>
      </c>
      <c r="O352" s="2">
        <f ca="1">IF(AND(Panchanga!$P352&lt;28.5,Panchanga!$P352&gt;0.49999),MOD((Panchanga!$P352-0.5)*2,7),MOD((Panchanga!$P352+30-28.5),30)*2+7)</f>
        <v>4.1284000000000001</v>
      </c>
      <c r="P352" s="2">
        <f ca="1">ROUNDUP(MOD(360+Panchanga!$G352-Panchanga!$F352,360)/12,4)</f>
        <v>2.5642</v>
      </c>
      <c r="Q352" s="2">
        <f t="shared" ca="1" si="55"/>
        <v>10.379999999999999</v>
      </c>
      <c r="R352" s="2" t="str">
        <f ca="1">SIGN(S353-Panchanga!$S352)*INT(Panchanga!$S352/30+1)&amp;"Ma,"&amp;SIGN(T353-Panchanga!$T352)*INT(Panchanga!$T352/30+1)&amp;"Me,"&amp;SIGN(U353-Panchanga!$U352)*INT(Panchanga!$U352/30+1)&amp;"Ju,"&amp;SIGN(V353-Panchanga!$V352)*INT(Panchanga!$V352/30+1)&amp;"Ve,"&amp;SIGN(W353-Panchanga!$W352)*INT(Panchanga!$W352/30+1)&amp;"Sa,"&amp;INT(Panchanga!$X352/30+1)&amp;"Ra"</f>
        <v>11Ma,8Me,8Ju,7Ve,9Sa,4Ra</v>
      </c>
      <c r="S352" s="2">
        <f ca="1">Planet(Panchanga!$E352,4)</f>
        <v>321.21941063488174</v>
      </c>
      <c r="T352" s="2">
        <f ca="1">Planet(Panchanga!$E352,2)</f>
        <v>213.94785735266598</v>
      </c>
      <c r="U352" s="2">
        <f ca="1">Planet(Panchanga!$E352,5)</f>
        <v>222.88989530899599</v>
      </c>
      <c r="V352" s="2">
        <f ca="1">Planet(Panchanga!$E352,3)</f>
        <v>190.47270070782673</v>
      </c>
      <c r="W352" s="2">
        <f ca="1">Planet(Panchanga!$E352,6)</f>
        <v>254.70415486048179</v>
      </c>
      <c r="X352" s="2">
        <f ca="1">Planet(Panchanga!$E352,10)</f>
        <v>94.613244608547632</v>
      </c>
      <c r="Y352" s="2">
        <f ca="1">SIGN(S353-Panchanga!$S352)</f>
        <v>1</v>
      </c>
    </row>
    <row r="353" spans="1:25" x14ac:dyDescent="0.2">
      <c r="A353" s="3">
        <f t="shared" ca="1" si="56"/>
        <v>43445</v>
      </c>
      <c r="B353" s="3">
        <f t="shared" ca="1" si="49"/>
        <v>43445.229166666664</v>
      </c>
      <c r="C353" s="5">
        <f t="shared" ca="1" si="50"/>
        <v>43445.266074385647</v>
      </c>
      <c r="D353" s="5">
        <f t="shared" ca="1" si="51"/>
        <v>43444.737445175691</v>
      </c>
      <c r="E353" s="60">
        <f ca="1">Panchanga!$C353-TimeZone/24</f>
        <v>43445.036907718983</v>
      </c>
      <c r="F353" s="61">
        <f t="shared" ca="1" si="52"/>
        <v>234.79757891846441</v>
      </c>
      <c r="G353" s="61">
        <f t="shared" ca="1" si="53"/>
        <v>276.49273082796327</v>
      </c>
      <c r="H353" s="62">
        <f t="shared" ca="1" si="54"/>
        <v>43445.036907718983</v>
      </c>
      <c r="I353" s="2" t="str">
        <f ca="1">naks(Panchanga!$G353)</f>
        <v>Uttara Asadha</v>
      </c>
      <c r="J353" s="5">
        <f ca="1">(C354-Panchanga!$C353)/(G354-Panchanga!$G353)*(13.3333333333333-MOD(Panchanga!$G353,13.333333333333))+Panchanga!$C353</f>
        <v>43445.562650166925</v>
      </c>
      <c r="K353" s="2" t="str">
        <f ca="1">IF(Panchanga!$P353&gt;15,"K","S")&amp;ROUNDUP(MOD(Panchanga!$P353,15),0)&amp;" ("&amp;ROUND(Panchanga!$P353,2)&amp;")"</f>
        <v>S4 (3.47)</v>
      </c>
      <c r="L353" s="2">
        <f ca="1">IF(AND(Panchanga!$P353&lt;28.5,Panchanga!$P353&gt;0.49999),MOD((Panchanga!$P353-0.5)*2,7),MOD((Panchanga!$P353+30-28.5),30)*2+7)</f>
        <v>5.9492000000000003</v>
      </c>
      <c r="M353" s="2" t="str">
        <f ca="1">CHOOSE(ROUNDUP(Panchanga!$L353,0),"Bhava","Baalava","Kaulava","Taitula","Garija","Vanija","Vishti","Shakuni","Chatushapda","Naaga","Kimstugna")</f>
        <v>Vanija</v>
      </c>
      <c r="N353" s="25" t="str">
        <f ca="1">CHOOSE(ROUNDUP(Panchanga!$Q353,0),"Vishkambha-विष्कम्भ-Sa","Priti-प्रीति-Me","Ayushman-आयुष्मान-Ke","Saubhagya-सौभाग्य-Ve","Shobhana-शोभन-Su","Atiganda-अतिगण्ड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("&amp;Panchanga!$Q353&amp;")"</f>
        <v>Dhruva-ध्रुव -Ke (11.35)</v>
      </c>
      <c r="O353" s="2">
        <f ca="1">IF(AND(Panchanga!$P353&lt;28.5,Panchanga!$P353&gt;0.49999),MOD((Panchanga!$P353-0.5)*2,7),MOD((Panchanga!$P353+30-28.5),30)*2+7)</f>
        <v>5.9492000000000003</v>
      </c>
      <c r="P353" s="2">
        <f ca="1">ROUNDUP(MOD(360+Panchanga!$G353-Panchanga!$F353,360)/12,4)</f>
        <v>3.4746000000000001</v>
      </c>
      <c r="Q353" s="2">
        <f t="shared" ca="1" si="55"/>
        <v>11.35</v>
      </c>
      <c r="R353" s="2" t="str">
        <f ca="1">SIGN(S354-Panchanga!$S353)*INT(Panchanga!$S353/30+1)&amp;"Ma,"&amp;SIGN(T354-Panchanga!$T353)*INT(Panchanga!$T353/30+1)&amp;"Me,"&amp;SIGN(U354-Panchanga!$U353)*INT(Panchanga!$U353/30+1)&amp;"Ju,"&amp;SIGN(V354-Panchanga!$V353)*INT(Panchanga!$V353/30+1)&amp;"Ve,"&amp;SIGN(W354-Panchanga!$W353)*INT(Panchanga!$W353/30+1)&amp;"Sa,"&amp;INT(Panchanga!$X353/30+1)&amp;"Ra"</f>
        <v>11Ma,8Me,8Ju,7Ve,9Sa,4Ra</v>
      </c>
      <c r="S353" s="2">
        <f ca="1">Planet(Panchanga!$E353,4)</f>
        <v>321.87513092465315</v>
      </c>
      <c r="T353" s="2">
        <f ca="1">Planet(Panchanga!$E353,2)</f>
        <v>214.49340551693496</v>
      </c>
      <c r="U353" s="2">
        <f ca="1">Planet(Panchanga!$E353,5)</f>
        <v>223.11157943067744</v>
      </c>
      <c r="V353" s="2">
        <f ca="1">Planet(Panchanga!$E353,3)</f>
        <v>191.18450914215882</v>
      </c>
      <c r="W353" s="2">
        <f ca="1">Planet(Panchanga!$E353,6)</f>
        <v>254.81736567156906</v>
      </c>
      <c r="X353" s="2">
        <f ca="1">Planet(Panchanga!$E353,10)</f>
        <v>94.560232236681983</v>
      </c>
      <c r="Y353" s="2">
        <f ca="1">SIGN(S354-Panchanga!$S353)</f>
        <v>1</v>
      </c>
    </row>
    <row r="354" spans="1:25" x14ac:dyDescent="0.2">
      <c r="A354" s="3">
        <f t="shared" ca="1" si="56"/>
        <v>43446</v>
      </c>
      <c r="B354" s="3">
        <f t="shared" ca="1" si="49"/>
        <v>43446.229166666664</v>
      </c>
      <c r="C354" s="5">
        <f t="shared" ca="1" si="50"/>
        <v>43446.266457445141</v>
      </c>
      <c r="D354" s="5">
        <f t="shared" ca="1" si="51"/>
        <v>43445.737698694269</v>
      </c>
      <c r="E354" s="60">
        <f ca="1">Panchanga!$C354-TimeZone/24</f>
        <v>43446.037290778477</v>
      </c>
      <c r="F354" s="61">
        <f t="shared" ca="1" si="52"/>
        <v>235.8146523981975</v>
      </c>
      <c r="G354" s="61">
        <f t="shared" ca="1" si="53"/>
        <v>288.32313939889434</v>
      </c>
      <c r="H354" s="62">
        <f t="shared" ca="1" si="54"/>
        <v>43446.037290778477</v>
      </c>
      <c r="I354" s="2" t="str">
        <f ca="1">naks(Panchanga!$G354)</f>
        <v>Sravana</v>
      </c>
      <c r="J354" s="5">
        <f ca="1">(C355-Panchanga!$C354)/(G355-Panchanga!$G354)*(13.3333333333333-MOD(Panchanga!$G354,13.333333333333))+Panchanga!$C354</f>
        <v>43446.691756425331</v>
      </c>
      <c r="K354" s="2" t="str">
        <f ca="1">IF(Panchanga!$P354&gt;15,"K","S")&amp;ROUNDUP(MOD(Panchanga!$P354,15),0)&amp;" ("&amp;ROUND(Panchanga!$P354,2)&amp;")"</f>
        <v>S5 (4.38)</v>
      </c>
      <c r="L354" s="2">
        <f ca="1">IF(AND(Panchanga!$P354&lt;28.5,Panchanga!$P354&gt;0.49999),MOD((Panchanga!$P354-0.5)*2,7),MOD((Panchanga!$P354+30-28.5),30)*2+7)</f>
        <v>0.75159999999999982</v>
      </c>
      <c r="M354" s="2" t="str">
        <f ca="1">CHOOSE(ROUNDUP(Panchanga!$L354,0),"Bhava","Baalava","Kaulava","Taitula","Garija","Vanija","Vishti","Shakuni","Chatushapda","Naaga","Kimstugna")</f>
        <v>Bhava</v>
      </c>
      <c r="N354" s="25" t="str">
        <f ca="1">CHOOSE(ROUNDUP(Panchanga!$Q354,0),"Vishkambha-विष्कम्भ-Sa","Priti-प्रीति-Me","Ayushman-आयुष्मान-Ke","Saubhagya-सौभाग्य-Ve","Shobhana-शोभन-Su","Atiganda-अतिगण्ड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("&amp;Panchanga!$Q354&amp;")"</f>
        <v>Vyaghata-व्याघात-ve (12.32)</v>
      </c>
      <c r="O354" s="2">
        <f ca="1">IF(AND(Panchanga!$P354&lt;28.5,Panchanga!$P354&gt;0.49999),MOD((Panchanga!$P354-0.5)*2,7),MOD((Panchanga!$P354+30-28.5),30)*2+7)</f>
        <v>0.75159999999999982</v>
      </c>
      <c r="P354" s="2">
        <f ca="1">ROUNDUP(MOD(360+Panchanga!$G354-Panchanga!$F354,360)/12,4)</f>
        <v>4.3757999999999999</v>
      </c>
      <c r="Q354" s="2">
        <f t="shared" ca="1" si="55"/>
        <v>12.32</v>
      </c>
      <c r="R354" s="2" t="str">
        <f ca="1">SIGN(S355-Panchanga!$S354)*INT(Panchanga!$S354/30+1)&amp;"Ma,"&amp;SIGN(T355-Panchanga!$T354)*INT(Panchanga!$T354/30+1)&amp;"Me,"&amp;SIGN(U355-Panchanga!$U354)*INT(Panchanga!$U354/30+1)&amp;"Ju,"&amp;SIGN(V355-Panchanga!$V354)*INT(Panchanga!$V354/30+1)&amp;"Ve,"&amp;SIGN(W355-Panchanga!$W354)*INT(Panchanga!$W354/30+1)&amp;"Sa,"&amp;INT(Panchanga!$X354/30+1)&amp;"Ra"</f>
        <v>11Ma,8Me,8Ju,7Ve,9Sa,4Ra</v>
      </c>
      <c r="S354" s="2">
        <f ca="1">Planet(Panchanga!$E354,4)</f>
        <v>322.53201766635925</v>
      </c>
      <c r="T354" s="2">
        <f ca="1">Planet(Panchanga!$E354,2)</f>
        <v>215.15620021333888</v>
      </c>
      <c r="U354" s="2">
        <f ca="1">Planet(Panchanga!$E354,5)</f>
        <v>223.33295338918171</v>
      </c>
      <c r="V354" s="2">
        <f ca="1">Planet(Panchanga!$E354,3)</f>
        <v>191.91434283987982</v>
      </c>
      <c r="W354" s="2">
        <f ca="1">Planet(Panchanga!$E354,6)</f>
        <v>254.9310030944668</v>
      </c>
      <c r="X354" s="2">
        <f ca="1">Planet(Panchanga!$E354,10)</f>
        <v>94.507219940604713</v>
      </c>
      <c r="Y354" s="2">
        <f ca="1">SIGN(S355-Panchanga!$S354)</f>
        <v>1</v>
      </c>
    </row>
    <row r="355" spans="1:25" x14ac:dyDescent="0.2">
      <c r="A355" s="3">
        <f t="shared" ca="1" si="56"/>
        <v>43447</v>
      </c>
      <c r="B355" s="3">
        <f t="shared" ca="1" si="49"/>
        <v>43447.229166666664</v>
      </c>
      <c r="C355" s="5">
        <f t="shared" ca="1" si="50"/>
        <v>43447.266838755611</v>
      </c>
      <c r="D355" s="5">
        <f t="shared" ca="1" si="51"/>
        <v>43446.737962226427</v>
      </c>
      <c r="E355" s="60">
        <f ca="1">Panchanga!$C355-TimeZone/24</f>
        <v>43447.037672088947</v>
      </c>
      <c r="F355" s="61">
        <f t="shared" ca="1" si="52"/>
        <v>236.83190113555861</v>
      </c>
      <c r="G355" s="61">
        <f t="shared" ca="1" si="53"/>
        <v>300.10803568899115</v>
      </c>
      <c r="H355" s="62">
        <f t="shared" ca="1" si="54"/>
        <v>43447.037672088947</v>
      </c>
      <c r="I355" s="2" t="str">
        <f ca="1">naks(Panchanga!$G355)</f>
        <v>Dhanistha</v>
      </c>
      <c r="J355" s="5">
        <f ca="1">(C356-Panchanga!$C355)/(G356-Panchanga!$G355)*(13.3333333333333-MOD(Panchanga!$G355,13.333333333333))+Panchanga!$C355</f>
        <v>43447.822117920434</v>
      </c>
      <c r="K355" s="2" t="str">
        <f ca="1">IF(Panchanga!$P355&gt;15,"K","S")&amp;ROUNDUP(MOD(Panchanga!$P355,15),0)&amp;" ("&amp;ROUND(Panchanga!$P355,2)&amp;")"</f>
        <v>S6 (5.27)</v>
      </c>
      <c r="L355" s="2">
        <f ca="1">IF(AND(Panchanga!$P355&lt;28.5,Panchanga!$P355&gt;0.49999),MOD((Panchanga!$P355-0.5)*2,7),MOD((Panchanga!$P355+30-28.5),30)*2+7)</f>
        <v>2.5461999999999989</v>
      </c>
      <c r="M355" s="2" t="str">
        <f ca="1">CHOOSE(ROUNDUP(Panchanga!$L355,0),"Bhava","Baalava","Kaulava","Taitula","Garija","Vanija","Vishti","Shakuni","Chatushapda","Naaga","Kimstugna")</f>
        <v>Kaulava</v>
      </c>
      <c r="N355" s="25" t="str">
        <f ca="1">CHOOSE(ROUNDUP(Panchanga!$Q355,0),"Vishkambha-विष्कम्भ-Sa","Priti-प्रीति-Me","Ayushman-आयुष्मान-Ke","Saubhagya-सौभाग्य-Ve","Shobhana-शोभन-Su","Atiganda-अतिगण्ड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("&amp;Panchanga!$Q355&amp;")"</f>
        <v>Harshana-हर्षण-su (13.28)</v>
      </c>
      <c r="O355" s="2">
        <f ca="1">IF(AND(Panchanga!$P355&lt;28.5,Panchanga!$P355&gt;0.49999),MOD((Panchanga!$P355-0.5)*2,7),MOD((Panchanga!$P355+30-28.5),30)*2+7)</f>
        <v>2.5461999999999989</v>
      </c>
      <c r="P355" s="2">
        <f ca="1">ROUNDUP(MOD(360+Panchanga!$G355-Panchanga!$F355,360)/12,4)</f>
        <v>5.2730999999999995</v>
      </c>
      <c r="Q355" s="2">
        <f t="shared" ca="1" si="55"/>
        <v>13.28</v>
      </c>
      <c r="R355" s="2" t="str">
        <f ca="1">SIGN(S356-Panchanga!$S355)*INT(Panchanga!$S355/30+1)&amp;"Ma,"&amp;SIGN(T356-Panchanga!$T355)*INT(Panchanga!$T355/30+1)&amp;"Me,"&amp;SIGN(U356-Panchanga!$U355)*INT(Panchanga!$U355/30+1)&amp;"Ju,"&amp;SIGN(V356-Panchanga!$V355)*INT(Panchanga!$V355/30+1)&amp;"Ve,"&amp;SIGN(W356-Panchanga!$W355)*INT(Panchanga!$W355/30+1)&amp;"Sa,"&amp;INT(Panchanga!$X355/30+1)&amp;"Ra"</f>
        <v>11Ma,8Me,8Ju,7Ve,9Sa,4Ra</v>
      </c>
      <c r="S355" s="2">
        <f ca="1">Planet(Panchanga!$E355,4)</f>
        <v>323.19002085173247</v>
      </c>
      <c r="T355" s="2">
        <f ca="1">Planet(Panchanga!$E355,2)</f>
        <v>215.92306144296435</v>
      </c>
      <c r="U355" s="2">
        <f ca="1">Planet(Panchanga!$E355,5)</f>
        <v>223.55399274336909</v>
      </c>
      <c r="V355" s="2">
        <f ca="1">Planet(Panchanga!$E355,3)</f>
        <v>192.66150480905796</v>
      </c>
      <c r="W355" s="2">
        <f ca="1">Planet(Panchanga!$E355,6)</f>
        <v>255.04504670514737</v>
      </c>
      <c r="X355" s="2">
        <f ca="1">Planet(Panchanga!$E355,10)</f>
        <v>94.454207737182699</v>
      </c>
      <c r="Y355" s="2">
        <f ca="1">SIGN(S356-Panchanga!$S355)</f>
        <v>1</v>
      </c>
    </row>
    <row r="356" spans="1:25" x14ac:dyDescent="0.2">
      <c r="A356" s="3">
        <f t="shared" ca="1" si="56"/>
        <v>43448</v>
      </c>
      <c r="B356" s="3">
        <f t="shared" ca="1" si="49"/>
        <v>43448.229166666664</v>
      </c>
      <c r="C356" s="5">
        <f t="shared" ca="1" si="50"/>
        <v>43448.267217682362</v>
      </c>
      <c r="D356" s="5">
        <f t="shared" ca="1" si="51"/>
        <v>43447.738235454119</v>
      </c>
      <c r="E356" s="60">
        <f ca="1">Panchanga!$C356-TimeZone/24</f>
        <v>43448.038051015697</v>
      </c>
      <c r="F356" s="61">
        <f t="shared" ca="1" si="52"/>
        <v>237.8493074049893</v>
      </c>
      <c r="G356" s="61">
        <f t="shared" ca="1" si="53"/>
        <v>311.9239233253968</v>
      </c>
      <c r="H356" s="62">
        <f t="shared" ca="1" si="54"/>
        <v>43448.038051015697</v>
      </c>
      <c r="I356" s="2" t="str">
        <f ca="1">naks(Panchanga!$G356)</f>
        <v>Satabhisaj</v>
      </c>
      <c r="J356" s="5">
        <f ca="1">(C357-Panchanga!$C356)/(G357-Panchanga!$G356)*(13.3333333333333-MOD(Panchanga!$G356,13.333333333333))+Panchanga!$C356</f>
        <v>43448.944404646019</v>
      </c>
      <c r="K356" s="2" t="str">
        <f ca="1">IF(Panchanga!$P356&gt;15,"K","S")&amp;ROUNDUP(MOD(Panchanga!$P356,15),0)&amp;" ("&amp;ROUND(Panchanga!$P356,2)&amp;")"</f>
        <v>S7 (6.17)</v>
      </c>
      <c r="L356" s="2">
        <f ca="1">IF(AND(Panchanga!$P356&lt;28.5,Panchanga!$P356&gt;0.49999),MOD((Panchanga!$P356-0.5)*2,7),MOD((Panchanga!$P356+30-28.5),30)*2+7)</f>
        <v>4.3457999999999988</v>
      </c>
      <c r="M356" s="2" t="str">
        <f ca="1">CHOOSE(ROUNDUP(Panchanga!$L356,0),"Bhava","Baalava","Kaulava","Taitula","Garija","Vanija","Vishti","Shakuni","Chatushapda","Naaga","Kimstugna")</f>
        <v>Garija</v>
      </c>
      <c r="N356" s="25" t="str">
        <f ca="1">CHOOSE(ROUNDUP(Panchanga!$Q356,0),"Vishkambha-विष्कम्भ-Sa","Priti-प्रीति-Me","Ayushman-आयुष्मान-Ke","Saubhagya-सौभाग्य-Ve","Shobhana-शोभन-Su","Atiganda-अतिगण्ड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("&amp;Panchanga!$Q356&amp;")"</f>
        <v>Vajra-वज्र-Mo (14.24)</v>
      </c>
      <c r="O356" s="2">
        <f ca="1">IF(AND(Panchanga!$P356&lt;28.5,Panchanga!$P356&gt;0.49999),MOD((Panchanga!$P356-0.5)*2,7),MOD((Panchanga!$P356+30-28.5),30)*2+7)</f>
        <v>4.3457999999999988</v>
      </c>
      <c r="P356" s="2">
        <f ca="1">ROUNDUP(MOD(360+Panchanga!$G356-Panchanga!$F356,360)/12,4)</f>
        <v>6.1728999999999994</v>
      </c>
      <c r="Q356" s="2">
        <f t="shared" ca="1" si="55"/>
        <v>14.24</v>
      </c>
      <c r="R356" s="2" t="str">
        <f ca="1">SIGN(S357-Panchanga!$S356)*INT(Panchanga!$S356/30+1)&amp;"Ma,"&amp;SIGN(T357-Panchanga!$T356)*INT(Panchanga!$T356/30+1)&amp;"Me,"&amp;SIGN(U357-Panchanga!$U356)*INT(Panchanga!$U356/30+1)&amp;"Ju,"&amp;SIGN(V357-Panchanga!$V356)*INT(Panchanga!$V356/30+1)&amp;"Ve,"&amp;SIGN(W357-Panchanga!$W356)*INT(Panchanga!$W356/30+1)&amp;"Sa,"&amp;INT(Panchanga!$X356/30+1)&amp;"Ra"</f>
        <v>11Ma,8Me,8Ju,7Ve,9Sa,4Ra</v>
      </c>
      <c r="S356" s="2">
        <f ca="1">Planet(Panchanga!$E356,4)</f>
        <v>323.84909041379711</v>
      </c>
      <c r="T356" s="2">
        <f ca="1">Planet(Panchanga!$E356,2)</f>
        <v>216.7818019154283</v>
      </c>
      <c r="U356" s="2">
        <f ca="1">Planet(Panchanga!$E356,5)</f>
        <v>223.77467332336954</v>
      </c>
      <c r="V356" s="2">
        <f ca="1">Planet(Panchanga!$E356,3)</f>
        <v>193.42532913906282</v>
      </c>
      <c r="W356" s="2">
        <f ca="1">Planet(Panchanga!$E356,6)</f>
        <v>255.15947617693266</v>
      </c>
      <c r="X356" s="2">
        <f ca="1">Planet(Panchanga!$E356,10)</f>
        <v>94.401195660117097</v>
      </c>
      <c r="Y356" s="2">
        <f ca="1">SIGN(S357-Panchanga!$S356)</f>
        <v>1</v>
      </c>
    </row>
    <row r="357" spans="1:25" x14ac:dyDescent="0.2">
      <c r="A357" s="3">
        <f t="shared" ca="1" si="56"/>
        <v>43449</v>
      </c>
      <c r="B357" s="3">
        <f t="shared" ca="1" si="49"/>
        <v>43449.229166666664</v>
      </c>
      <c r="C357" s="5">
        <f t="shared" ca="1" si="50"/>
        <v>43449.267594224926</v>
      </c>
      <c r="D357" s="5">
        <f t="shared" ca="1" si="51"/>
        <v>43448.738518059297</v>
      </c>
      <c r="E357" s="60">
        <f ca="1">Panchanga!$C357-TimeZone/24</f>
        <v>43449.038427558262</v>
      </c>
      <c r="F357" s="61">
        <f t="shared" ca="1" si="52"/>
        <v>238.86685586006135</v>
      </c>
      <c r="G357" s="61">
        <f t="shared" ca="1" si="53"/>
        <v>323.85433264336518</v>
      </c>
      <c r="H357" s="62">
        <f t="shared" ca="1" si="54"/>
        <v>43449.038427558262</v>
      </c>
      <c r="I357" s="2" t="str">
        <f ca="1">naks(Panchanga!$G357)</f>
        <v>Purva Bhadrapada</v>
      </c>
      <c r="J357" s="5">
        <f ca="1">(C358-Panchanga!$C357)/(G358-Panchanga!$G357)*(13.3333333333333-MOD(Panchanga!$G357,13.333333333333))+Panchanga!$C357</f>
        <v>43450.049259379477</v>
      </c>
      <c r="K357" s="2" t="str">
        <f ca="1">IF(Panchanga!$P357&gt;15,"K","S")&amp;ROUNDUP(MOD(Panchanga!$P357,15),0)&amp;" ("&amp;ROUND(Panchanga!$P357,2)&amp;")"</f>
        <v>S8 (7.08)</v>
      </c>
      <c r="L357" s="2">
        <f ca="1">IF(AND(Panchanga!$P357&lt;28.5,Panchanga!$P357&gt;0.49999),MOD((Panchanga!$P357-0.5)*2,7),MOD((Panchanga!$P357+30-28.5),30)*2+7)</f>
        <v>6.1646000000000001</v>
      </c>
      <c r="M357" s="2" t="str">
        <f ca="1">CHOOSE(ROUNDUP(Panchanga!$L357,0),"Bhava","Baalava","Kaulava","Taitula","Garija","Vanija","Vishti","Shakuni","Chatushapda","Naaga","Kimstugna")</f>
        <v>Vishti</v>
      </c>
      <c r="N357" s="25" t="str">
        <f ca="1">CHOOSE(ROUNDUP(Panchanga!$Q357,0),"Vishkambha-विष्कम्भ-Sa","Priti-प्रीति-Me","Ayushman-आयुष्मान-Ke","Saubhagya-सौभाग्य-Ve","Shobhana-शोभन-Su","Atiganda-अतिगण्ड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("&amp;Panchanga!$Q357&amp;")"</f>
        <v>Siddhi-सिद्धि-Ma (15.21)</v>
      </c>
      <c r="O357" s="2">
        <f ca="1">IF(AND(Panchanga!$P357&lt;28.5,Panchanga!$P357&gt;0.49999),MOD((Panchanga!$P357-0.5)*2,7),MOD((Panchanga!$P357+30-28.5),30)*2+7)</f>
        <v>6.1646000000000001</v>
      </c>
      <c r="P357" s="2">
        <f ca="1">ROUNDUP(MOD(360+Panchanga!$G357-Panchanga!$F357,360)/12,4)</f>
        <v>7.0823</v>
      </c>
      <c r="Q357" s="2">
        <f t="shared" ca="1" si="55"/>
        <v>15.209999999999999</v>
      </c>
      <c r="R357" s="2" t="str">
        <f ca="1">SIGN(S358-Panchanga!$S357)*INT(Panchanga!$S357/30+1)&amp;"Ma,"&amp;SIGN(T358-Panchanga!$T357)*INT(Panchanga!$T357/30+1)&amp;"Me,"&amp;SIGN(U358-Panchanga!$U357)*INT(Panchanga!$U357/30+1)&amp;"Ju,"&amp;SIGN(V358-Panchanga!$V357)*INT(Panchanga!$V357/30+1)&amp;"Ve,"&amp;SIGN(W358-Panchanga!$W357)*INT(Panchanga!$W357/30+1)&amp;"Sa,"&amp;INT(Panchanga!$X357/30+1)&amp;"Ra"</f>
        <v>11Ma,8Me,8Ju,7Ve,9Sa,4Ra</v>
      </c>
      <c r="S357" s="2">
        <f ca="1">Planet(Panchanga!$E357,4)</f>
        <v>324.50917694331702</v>
      </c>
      <c r="T357" s="2">
        <f ca="1">Planet(Panchanga!$E357,2)</f>
        <v>217.72134035592825</v>
      </c>
      <c r="U357" s="2">
        <f ca="1">Planet(Panchanga!$E357,5)</f>
        <v>223.99497145845868</v>
      </c>
      <c r="V357" s="2">
        <f ca="1">Planet(Panchanga!$E357,3)</f>
        <v>194.20518071866661</v>
      </c>
      <c r="W357" s="2">
        <f ca="1">Planet(Panchanga!$E357,6)</f>
        <v>255.27427141157708</v>
      </c>
      <c r="X357" s="2">
        <f ca="1">Planet(Panchanga!$E357,10)</f>
        <v>94.348183709374624</v>
      </c>
      <c r="Y357" s="2">
        <f ca="1">SIGN(S358-Panchanga!$S357)</f>
        <v>1</v>
      </c>
    </row>
    <row r="358" spans="1:25" x14ac:dyDescent="0.2">
      <c r="A358" s="3">
        <f t="shared" ca="1" si="56"/>
        <v>43450</v>
      </c>
      <c r="B358" s="3">
        <f t="shared" ca="1" si="49"/>
        <v>43450.229166666664</v>
      </c>
      <c r="C358" s="5">
        <f t="shared" ca="1" si="50"/>
        <v>43450.267967429165</v>
      </c>
      <c r="D358" s="5">
        <f t="shared" ca="1" si="51"/>
        <v>43449.738809566057</v>
      </c>
      <c r="E358" s="60">
        <f ca="1">Panchanga!$C358-TimeZone/24</f>
        <v>43450.038800762501</v>
      </c>
      <c r="F358" s="61">
        <f t="shared" ca="1" si="52"/>
        <v>239.88453210918246</v>
      </c>
      <c r="G358" s="61">
        <f t="shared" ca="1" si="53"/>
        <v>335.98553516398306</v>
      </c>
      <c r="H358" s="62">
        <f t="shared" ca="1" si="54"/>
        <v>43450.038800762501</v>
      </c>
      <c r="I358" s="2" t="str">
        <f ca="1">naks(Panchanga!$G358)</f>
        <v>Uttara Bhadrapada</v>
      </c>
      <c r="J358" s="5">
        <f ca="1">(C359-Panchanga!$C358)/(G359-Panchanga!$G358)*(13.3333333333333-MOD(Panchanga!$G358,13.333333333333))+Panchanga!$C358</f>
        <v>43451.12860640177</v>
      </c>
      <c r="K358" s="2" t="str">
        <f ca="1">IF(Panchanga!$P358&gt;15,"K","S")&amp;ROUNDUP(MOD(Panchanga!$P358,15),0)&amp;" ("&amp;ROUND(Panchanga!$P358,2)&amp;")"</f>
        <v>S9 (8.01)</v>
      </c>
      <c r="L358" s="2">
        <f ca="1">IF(AND(Panchanga!$P358&lt;28.5,Panchanga!$P358&gt;0.49999),MOD((Panchanga!$P358-0.5)*2,7),MOD((Panchanga!$P358+30-28.5),30)*2+7)</f>
        <v>1.0169999999999995</v>
      </c>
      <c r="M358" s="2" t="str">
        <f ca="1">CHOOSE(ROUNDUP(Panchanga!$L358,0),"Bhava","Baalava","Kaulava","Taitula","Garija","Vanija","Vishti","Shakuni","Chatushapda","Naaga","Kimstugna")</f>
        <v>Baalava</v>
      </c>
      <c r="N358" s="25" t="str">
        <f ca="1">CHOOSE(ROUNDUP(Panchanga!$Q358,0),"Vishkambha-विष्कम्भ-Sa","Priti-प्रीति-Me","Ayushman-आयुष्मान-Ke","Saubhagya-सौभाग्य-Ve","Shobhana-शोभन-Su","Atiganda-अतिगण्ड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("&amp;Panchanga!$Q358&amp;")"</f>
        <v>Vyatipata-व्यतिपात-Ra (16.2)</v>
      </c>
      <c r="O358" s="2">
        <f ca="1">IF(AND(Panchanga!$P358&lt;28.5,Panchanga!$P358&gt;0.49999),MOD((Panchanga!$P358-0.5)*2,7),MOD((Panchanga!$P358+30-28.5),30)*2+7)</f>
        <v>1.0169999999999995</v>
      </c>
      <c r="P358" s="2">
        <f ca="1">ROUNDUP(MOD(360+Panchanga!$G358-Panchanga!$F358,360)/12,4)</f>
        <v>8.0084999999999997</v>
      </c>
      <c r="Q358" s="2">
        <f t="shared" ca="1" si="55"/>
        <v>16.200000000000003</v>
      </c>
      <c r="R358" s="2" t="str">
        <f ca="1">SIGN(S359-Panchanga!$S358)*INT(Panchanga!$S358/30+1)&amp;"Ma,"&amp;SIGN(T359-Panchanga!$T358)*INT(Panchanga!$T358/30+1)&amp;"Me,"&amp;SIGN(U359-Panchanga!$U358)*INT(Panchanga!$U358/30+1)&amp;"Ju,"&amp;SIGN(V359-Panchanga!$V358)*INT(Panchanga!$V358/30+1)&amp;"Ve,"&amp;SIGN(W359-Panchanga!$W358)*INT(Panchanga!$W358/30+1)&amp;"Sa,"&amp;INT(Panchanga!$X358/30+1)&amp;"Ra"</f>
        <v>11Ma,8Me,8Ju,7Ve,9Sa,4Ra</v>
      </c>
      <c r="S358" s="2">
        <f ca="1">Planet(Panchanga!$E358,4)</f>
        <v>325.17023070612385</v>
      </c>
      <c r="T358" s="2">
        <f ca="1">Planet(Panchanga!$E358,2)</f>
        <v>218.73172800709</v>
      </c>
      <c r="U358" s="2">
        <f ca="1">Planet(Panchanga!$E358,5)</f>
        <v>224.2148636616852</v>
      </c>
      <c r="V358" s="2">
        <f ca="1">Planet(Panchanga!$E358,3)</f>
        <v>195.0004531857256</v>
      </c>
      <c r="W358" s="2">
        <f ca="1">Planet(Panchanga!$E358,6)</f>
        <v>255.38941238546374</v>
      </c>
      <c r="X358" s="2">
        <f ca="1">Planet(Panchanga!$E358,10)</f>
        <v>94.295171935539827</v>
      </c>
      <c r="Y358" s="2">
        <f ca="1">SIGN(S359-Panchanga!$S358)</f>
        <v>1</v>
      </c>
    </row>
    <row r="359" spans="1:25" x14ac:dyDescent="0.2">
      <c r="A359" s="3">
        <f t="shared" ca="1" si="56"/>
        <v>43451</v>
      </c>
      <c r="B359" s="3">
        <f t="shared" ca="1" si="49"/>
        <v>43451.229166666664</v>
      </c>
      <c r="C359" s="5">
        <f t="shared" ca="1" si="50"/>
        <v>43451.268337296009</v>
      </c>
      <c r="D359" s="5">
        <f t="shared" ca="1" si="51"/>
        <v>43450.739109814211</v>
      </c>
      <c r="E359" s="60">
        <f ca="1">Panchanga!$C359-TimeZone/24</f>
        <v>43451.039170629345</v>
      </c>
      <c r="F359" s="61">
        <f t="shared" ca="1" si="52"/>
        <v>240.90232494941503</v>
      </c>
      <c r="G359" s="61">
        <f t="shared" ca="1" si="53"/>
        <v>348.40082477920851</v>
      </c>
      <c r="H359" s="62">
        <f t="shared" ca="1" si="54"/>
        <v>43451.039170629345</v>
      </c>
      <c r="I359" s="2" t="str">
        <f ca="1">naks(Panchanga!$G359)</f>
        <v>Revati</v>
      </c>
      <c r="J359" s="5">
        <f ca="1">(C360-Panchanga!$C359)/(G360-Panchanga!$G359)*(13.3333333333333-MOD(Panchanga!$G359,13.333333333333))+Panchanga!$C359</f>
        <v>43451.234919976574</v>
      </c>
      <c r="K359" s="2" t="str">
        <f ca="1">IF(Panchanga!$P359&gt;15,"K","S")&amp;ROUNDUP(MOD(Panchanga!$P359,15),0)&amp;" ("&amp;ROUND(Panchanga!$P359,2)&amp;")"</f>
        <v>S9 (8.96)</v>
      </c>
      <c r="L359" s="2">
        <f ca="1">IF(AND(Panchanga!$P359&lt;28.5,Panchanga!$P359&gt;0.49999),MOD((Panchanga!$P359-0.5)*2,7),MOD((Panchanga!$P359+30-28.5),30)*2+7)</f>
        <v>2.916599999999999</v>
      </c>
      <c r="M359" s="2" t="str">
        <f ca="1">CHOOSE(ROUNDUP(Panchanga!$L359,0),"Bhava","Baalava","Kaulava","Taitula","Garija","Vanija","Vishti","Shakuni","Chatushapda","Naaga","Kimstugna")</f>
        <v>Kaulava</v>
      </c>
      <c r="N359" s="25" t="str">
        <f ca="1">CHOOSE(ROUNDUP(Panchanga!$Q359,0),"Vishkambha-विष्कम्भ-Sa","Priti-प्रीति-Me","Ayushman-आयुष्मान-Ke","Saubhagya-सौभाग्य-Ve","Shobhana-शोभन-Su","Atiganda-अतिगण्ड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("&amp;Panchanga!$Q359&amp;")"</f>
        <v>Varigha-वरीयस्-Ju (17.2)</v>
      </c>
      <c r="O359" s="2">
        <f ca="1">IF(AND(Panchanga!$P359&lt;28.5,Panchanga!$P359&gt;0.49999),MOD((Panchanga!$P359-0.5)*2,7),MOD((Panchanga!$P359+30-28.5),30)*2+7)</f>
        <v>2.916599999999999</v>
      </c>
      <c r="P359" s="2">
        <f ca="1">ROUNDUP(MOD(360+Panchanga!$G359-Panchanga!$F359,360)/12,4)</f>
        <v>8.9582999999999995</v>
      </c>
      <c r="Q359" s="2">
        <f t="shared" ca="1" si="55"/>
        <v>17.200000000000003</v>
      </c>
      <c r="R359" s="2" t="str">
        <f ca="1">SIGN(S360-Panchanga!$S359)*INT(Panchanga!$S359/30+1)&amp;"Ma,"&amp;SIGN(T360-Panchanga!$T359)*INT(Panchanga!$T359/30+1)&amp;"Me,"&amp;SIGN(U360-Panchanga!$U359)*INT(Panchanga!$U359/30+1)&amp;"Ju,"&amp;SIGN(V360-Panchanga!$V359)*INT(Panchanga!$V359/30+1)&amp;"Ve,"&amp;SIGN(W360-Panchanga!$W359)*INT(Panchanga!$W359/30+1)&amp;"Sa,"&amp;INT(Panchanga!$X359/30+1)&amp;"Ra"</f>
        <v>11Ma,8Me,8Ju,7Ve,9Sa,4Ra</v>
      </c>
      <c r="S359" s="2">
        <f ca="1">Planet(Panchanga!$E359,4)</f>
        <v>325.83220303086449</v>
      </c>
      <c r="T359" s="2">
        <f ca="1">Planet(Panchanga!$E359,2)</f>
        <v>219.80412257365469</v>
      </c>
      <c r="U359" s="2">
        <f ca="1">Planet(Panchanga!$E359,5)</f>
        <v>224.43432709876438</v>
      </c>
      <c r="V359" s="2">
        <f ca="1">Planet(Panchanga!$E359,3)</f>
        <v>195.81056960446699</v>
      </c>
      <c r="W359" s="2">
        <f ca="1">Planet(Panchanga!$E359,6)</f>
        <v>255.50487940945735</v>
      </c>
      <c r="X359" s="2">
        <f ca="1">Planet(Panchanga!$E359,10)</f>
        <v>94.242160338563124</v>
      </c>
      <c r="Y359" s="2">
        <f ca="1">SIGN(S360-Panchanga!$S359)</f>
        <v>1</v>
      </c>
    </row>
    <row r="360" spans="1:25" x14ac:dyDescent="0.2">
      <c r="A360" s="3">
        <f t="shared" ca="1" si="56"/>
        <v>43452</v>
      </c>
      <c r="B360" s="3">
        <f t="shared" ca="1" si="49"/>
        <v>43452.229166666664</v>
      </c>
      <c r="C360" s="5">
        <f t="shared" ca="1" si="50"/>
        <v>43452.2687031889</v>
      </c>
      <c r="D360" s="5">
        <f t="shared" ca="1" si="51"/>
        <v>43451.739418487108</v>
      </c>
      <c r="E360" s="60">
        <f ca="1">Panchanga!$C360-TimeZone/24</f>
        <v>43452.039536522236</v>
      </c>
      <c r="F360" s="61">
        <f t="shared" ca="1" si="52"/>
        <v>241.92022510829653</v>
      </c>
      <c r="G360" s="61">
        <f t="shared" ca="1" si="53"/>
        <v>1.1731155286507389</v>
      </c>
      <c r="H360" s="62">
        <f t="shared" ca="1" si="54"/>
        <v>43452.039536522236</v>
      </c>
      <c r="I360" s="2" t="str">
        <f ca="1">naks(Panchanga!$G360)</f>
        <v>Aswini</v>
      </c>
      <c r="J360" s="5">
        <f ca="1">(C361-Panchanga!$C360)/(G361-Panchanga!$G360)*(13.3333333333333-MOD(Panchanga!$G360,13.333333333333))+Panchanga!$C360</f>
        <v>43453.191448639205</v>
      </c>
      <c r="K360" s="2" t="str">
        <f ca="1">IF(Panchanga!$P360&gt;15,"K","S")&amp;ROUNDUP(MOD(Panchanga!$P360,15),0)&amp;" ("&amp;ROUND(Panchanga!$P360,2)&amp;")"</f>
        <v>S10 (9.94)</v>
      </c>
      <c r="L360" s="2">
        <f ca="1">IF(AND(Panchanga!$P360&lt;28.5,Panchanga!$P360&gt;0.49999),MOD((Panchanga!$P360-0.5)*2,7),MOD((Panchanga!$P360+30-28.5),30)*2+7)</f>
        <v>4.8755999999999986</v>
      </c>
      <c r="M360" s="2" t="str">
        <f ca="1">CHOOSE(ROUNDUP(Panchanga!$L360,0),"Bhava","Baalava","Kaulava","Taitula","Garija","Vanija","Vishti","Shakuni","Chatushapda","Naaga","Kimstugna")</f>
        <v>Garija</v>
      </c>
      <c r="N360" s="25" t="str">
        <f ca="1">CHOOSE(ROUNDUP(Panchanga!$Q360,0),"Vishkambha-विष्कम्भ-Sa","Priti-प्रीति-Me","Ayushman-आयुष्मान-Ke","Saubhagya-सौभाग्य-Ve","Shobhana-शोभन-Su","Atiganda-अतिगण्ड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("&amp;Panchanga!$Q360&amp;")"</f>
        <v>Parigha-परिघ-Sa (18.24)</v>
      </c>
      <c r="O360" s="2">
        <f ca="1">IF(AND(Panchanga!$P360&lt;28.5,Panchanga!$P360&gt;0.49999),MOD((Panchanga!$P360-0.5)*2,7),MOD((Panchanga!$P360+30-28.5),30)*2+7)</f>
        <v>4.8755999999999986</v>
      </c>
      <c r="P360" s="2">
        <f ca="1">ROUNDUP(MOD(360+Panchanga!$G360-Panchanga!$F360,360)/12,4)</f>
        <v>9.9377999999999993</v>
      </c>
      <c r="Q360" s="2">
        <f t="shared" ca="1" si="55"/>
        <v>18.240000000000002</v>
      </c>
      <c r="R360" s="2" t="str">
        <f ca="1">SIGN(S361-Panchanga!$S360)*INT(Panchanga!$S360/30+1)&amp;"Ma,"&amp;SIGN(T361-Panchanga!$T360)*INT(Panchanga!$T360/30+1)&amp;"Me,"&amp;SIGN(U361-Panchanga!$U360)*INT(Panchanga!$U360/30+1)&amp;"Ju,"&amp;SIGN(V361-Panchanga!$V360)*INT(Panchanga!$V360/30+1)&amp;"Ve,"&amp;SIGN(W361-Panchanga!$W360)*INT(Panchanga!$W360/30+1)&amp;"Sa,"&amp;INT(Panchanga!$X360/30+1)&amp;"Ra"</f>
        <v>11Ma,8Me,8Ju,7Ve,9Sa,4Ra</v>
      </c>
      <c r="S360" s="2">
        <f ca="1">Planet(Panchanga!$E360,4)</f>
        <v>326.49504550217841</v>
      </c>
      <c r="T360" s="2">
        <f ca="1">Planet(Panchanga!$E360,2)</f>
        <v>220.93072456920112</v>
      </c>
      <c r="U360" s="2">
        <f ca="1">Planet(Panchanga!$E360,5)</f>
        <v>224.65333928631259</v>
      </c>
      <c r="V360" s="2">
        <f ca="1">Planet(Panchanga!$E360,3)</f>
        <v>196.6349802962763</v>
      </c>
      <c r="W360" s="2">
        <f ca="1">Planet(Panchanga!$E360,6)</f>
        <v>255.62065299292624</v>
      </c>
      <c r="X360" s="2">
        <f ca="1">Planet(Panchanga!$E360,10)</f>
        <v>94.18914895216183</v>
      </c>
      <c r="Y360" s="2">
        <f ca="1">SIGN(S361-Panchanga!$S360)</f>
        <v>1</v>
      </c>
    </row>
    <row r="361" spans="1:25" x14ac:dyDescent="0.2">
      <c r="A361" s="3">
        <f t="shared" ca="1" si="56"/>
        <v>43453</v>
      </c>
      <c r="B361" s="3">
        <f t="shared" ca="1" si="49"/>
        <v>43453.229166666664</v>
      </c>
      <c r="C361" s="5">
        <f t="shared" ca="1" si="50"/>
        <v>43453.269064949513</v>
      </c>
      <c r="D361" s="5">
        <f t="shared" ca="1" si="51"/>
        <v>43452.739734947725</v>
      </c>
      <c r="E361" s="60">
        <f ca="1">Panchanga!$C361-TimeZone/24</f>
        <v>43453.039898282848</v>
      </c>
      <c r="F361" s="61">
        <f t="shared" ca="1" si="52"/>
        <v>242.93822678315874</v>
      </c>
      <c r="G361" s="61">
        <f t="shared" ca="1" si="53"/>
        <v>14.356184476309883</v>
      </c>
      <c r="H361" s="62">
        <f t="shared" ca="1" si="54"/>
        <v>43453.039898282848</v>
      </c>
      <c r="I361" s="2" t="str">
        <f ca="1">naks(Panchanga!$G361)</f>
        <v>Bharani</v>
      </c>
      <c r="J361" s="5">
        <f ca="1">(C362-Panchanga!$C361)/(G362-Panchanga!$G361)*(13.3333333333333-MOD(Panchanga!$G361,13.333333333333))+Panchanga!$C361</f>
        <v>43454.173302702628</v>
      </c>
      <c r="K361" s="2" t="str">
        <f ca="1">IF(Panchanga!$P361&gt;15,"K","S")&amp;ROUNDUP(MOD(Panchanga!$P361,15),0)&amp;" ("&amp;ROUND(Panchanga!$P361,2)&amp;")"</f>
        <v>S11 (10.95)</v>
      </c>
      <c r="L361" s="2">
        <f ca="1">IF(AND(Panchanga!$P361&lt;28.5,Panchanga!$P361&gt;0.49999),MOD((Panchanga!$P361-0.5)*2,7),MOD((Panchanga!$P361+30-28.5),30)*2+7)</f>
        <v>6.9029999999999987</v>
      </c>
      <c r="M361" s="2" t="str">
        <f ca="1">CHOOSE(ROUNDUP(Panchanga!$L361,0),"Bhava","Baalava","Kaulava","Taitula","Garija","Vanija","Vishti","Shakuni","Chatushapda","Naaga","Kimstugna")</f>
        <v>Vishti</v>
      </c>
      <c r="N361" s="25" t="str">
        <f ca="1">CHOOSE(ROUNDUP(Panchanga!$Q361,0),"Vishkambha-विष्कम्भ-Sa","Priti-प्रीति-Me","Ayushman-आयुष्मान-Ke","Saubhagya-सौभाग्य-Ve","Shobhana-शोभन-Su","Atiganda-अतिगण्ड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("&amp;Panchanga!$Q361&amp;")"</f>
        <v>Shiva-शिव-Me (19.3)</v>
      </c>
      <c r="O361" s="2">
        <f ca="1">IF(AND(Panchanga!$P361&lt;28.5,Panchanga!$P361&gt;0.49999),MOD((Panchanga!$P361-0.5)*2,7),MOD((Panchanga!$P361+30-28.5),30)*2+7)</f>
        <v>6.9029999999999987</v>
      </c>
      <c r="P361" s="2">
        <f ca="1">ROUNDUP(MOD(360+Panchanga!$G361-Panchanga!$F361,360)/12,4)</f>
        <v>10.951499999999999</v>
      </c>
      <c r="Q361" s="2">
        <f t="shared" ca="1" si="55"/>
        <v>19.3</v>
      </c>
      <c r="R361" s="2" t="str">
        <f ca="1">SIGN(S362-Panchanga!$S361)*INT(Panchanga!$S361/30+1)&amp;"Ma,"&amp;SIGN(T362-Panchanga!$T361)*INT(Panchanga!$T361/30+1)&amp;"Me,"&amp;SIGN(U362-Panchanga!$U361)*INT(Panchanga!$U361/30+1)&amp;"Ju,"&amp;SIGN(V362-Panchanga!$V361)*INT(Panchanga!$V361/30+1)&amp;"Ve,"&amp;SIGN(W362-Panchanga!$W361)*INT(Panchanga!$W361/30+1)&amp;"Sa,"&amp;INT(Panchanga!$X361/30+1)&amp;"Ra"</f>
        <v>11Ma,8Me,8Ju,7Ve,9Sa,4Ra</v>
      </c>
      <c r="S361" s="2">
        <f ca="1">Planet(Panchanga!$E361,4)</f>
        <v>327.15871108874637</v>
      </c>
      <c r="T361" s="2">
        <f ca="1">Planet(Panchanga!$E361,2)</f>
        <v>222.10469752450837</v>
      </c>
      <c r="U361" s="2">
        <f ca="1">Planet(Panchanga!$E361,5)</f>
        <v>224.87187838108534</v>
      </c>
      <c r="V361" s="2">
        <f ca="1">Planet(Panchanga!$E361,3)</f>
        <v>197.4731626391773</v>
      </c>
      <c r="W361" s="2">
        <f ca="1">Planet(Panchanga!$E361,6)</f>
        <v>255.73671402800548</v>
      </c>
      <c r="X361" s="2">
        <f ca="1">Planet(Panchanga!$E361,10)</f>
        <v>94.136137784769531</v>
      </c>
      <c r="Y361" s="2">
        <f ca="1">SIGN(S362-Panchanga!$S361)</f>
        <v>1</v>
      </c>
    </row>
    <row r="362" spans="1:25" x14ac:dyDescent="0.2">
      <c r="A362" s="3">
        <f t="shared" ca="1" si="56"/>
        <v>43454</v>
      </c>
      <c r="B362" s="3">
        <f t="shared" ca="1" si="49"/>
        <v>43454.229166666664</v>
      </c>
      <c r="C362" s="5">
        <f t="shared" ca="1" si="50"/>
        <v>43454.269421782497</v>
      </c>
      <c r="D362" s="5">
        <f t="shared" ca="1" si="51"/>
        <v>43453.740059196993</v>
      </c>
      <c r="E362" s="60">
        <f ca="1">Panchanga!$C362-TimeZone/24</f>
        <v>43454.040255115833</v>
      </c>
      <c r="F362" s="61">
        <f t="shared" ca="1" si="52"/>
        <v>243.95632694739078</v>
      </c>
      <c r="G362" s="61">
        <f t="shared" ca="1" si="53"/>
        <v>27.975251955049494</v>
      </c>
      <c r="H362" s="62">
        <f t="shared" ca="1" si="54"/>
        <v>43454.040255115833</v>
      </c>
      <c r="I362" s="2" t="str">
        <f ca="1">naks(Panchanga!$G362)</f>
        <v>Krittika</v>
      </c>
      <c r="J362" s="5">
        <f ca="1">(C363-Panchanga!$C362)/(G363-Panchanga!$G362)*(13.3333333333333-MOD(Panchanga!$G362,13.333333333333))+Panchanga!$C362</f>
        <v>43455.125981321769</v>
      </c>
      <c r="K362" s="2" t="str">
        <f ca="1">IF(Panchanga!$P362&gt;15,"K","S")&amp;ROUNDUP(MOD(Panchanga!$P362,15),0)&amp;" ("&amp;ROUND(Panchanga!$P362,2)&amp;")"</f>
        <v>S13 (12)</v>
      </c>
      <c r="L362" s="2">
        <f ca="1">IF(AND(Panchanga!$P362&lt;28.5,Panchanga!$P362&gt;0.49999),MOD((Panchanga!$P362-0.5)*2,7),MOD((Panchanga!$P362+30-28.5),30)*2+7)</f>
        <v>2.0031999999999996</v>
      </c>
      <c r="M362" s="2" t="str">
        <f ca="1">CHOOSE(ROUNDUP(Panchanga!$L362,0),"Bhava","Baalava","Kaulava","Taitula","Garija","Vanija","Vishti","Shakuni","Chatushapda","Naaga","Kimstugna")</f>
        <v>Kaulava</v>
      </c>
      <c r="N362" s="25" t="str">
        <f ca="1">CHOOSE(ROUNDUP(Panchanga!$Q362,0),"Vishkambha-विष्कम्भ-Sa","Priti-प्रीति-Me","Ayushman-आयुष्मान-Ke","Saubhagya-सौभाग्य-Ve","Shobhana-शोभन-Su","Atiganda-अतिगण्ड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("&amp;Panchanga!$Q362&amp;")"</f>
        <v>Siddha-सिद्ध-Ke (20.4)</v>
      </c>
      <c r="O362" s="2">
        <f ca="1">IF(AND(Panchanga!$P362&lt;28.5,Panchanga!$P362&gt;0.49999),MOD((Panchanga!$P362-0.5)*2,7),MOD((Panchanga!$P362+30-28.5),30)*2+7)</f>
        <v>2.0031999999999996</v>
      </c>
      <c r="P362" s="2">
        <f ca="1">ROUNDUP(MOD(360+Panchanga!$G362-Panchanga!$F362,360)/12,4)</f>
        <v>12.0016</v>
      </c>
      <c r="Q362" s="2">
        <f t="shared" ca="1" si="55"/>
        <v>20.400000000000002</v>
      </c>
      <c r="R362" s="2" t="str">
        <f ca="1">SIGN(S363-Panchanga!$S362)*INT(Panchanga!$S362/30+1)&amp;"Ma,"&amp;SIGN(T363-Panchanga!$T362)*INT(Panchanga!$T362/30+1)&amp;"Me,"&amp;SIGN(U363-Panchanga!$U362)*INT(Panchanga!$U362/30+1)&amp;"Ju,"&amp;SIGN(V363-Panchanga!$V362)*INT(Panchanga!$V362/30+1)&amp;"Ve,"&amp;SIGN(W363-Panchanga!$W362)*INT(Panchanga!$W362/30+1)&amp;"Sa,"&amp;INT(Panchanga!$X362/30+1)&amp;"Ra"</f>
        <v>11Ma,8Me,8Ju,7Ve,9Sa,4Ra</v>
      </c>
      <c r="S362" s="2">
        <f ca="1">Planet(Panchanga!$E362,4)</f>
        <v>327.82315399839439</v>
      </c>
      <c r="T362" s="2">
        <f ca="1">Planet(Panchanga!$E362,2)</f>
        <v>223.32007753650277</v>
      </c>
      <c r="U362" s="2">
        <f ca="1">Planet(Panchanga!$E362,5)</f>
        <v>225.08992296596537</v>
      </c>
      <c r="V362" s="2">
        <f ca="1">Planet(Panchanga!$E362,3)</f>
        <v>198.32461878290073</v>
      </c>
      <c r="W362" s="2">
        <f ca="1">Planet(Panchanga!$E362,6)</f>
        <v>255.85304371779529</v>
      </c>
      <c r="X362" s="2">
        <f ca="1">Planet(Panchanga!$E362,10)</f>
        <v>94.083126878504203</v>
      </c>
      <c r="Y362" s="2">
        <f ca="1">SIGN(S363-Panchanga!$S362)</f>
        <v>1</v>
      </c>
    </row>
    <row r="363" spans="1:25" x14ac:dyDescent="0.2">
      <c r="A363" s="3">
        <f t="shared" ca="1" si="56"/>
        <v>43455</v>
      </c>
      <c r="B363" s="3">
        <f t="shared" ca="1" si="49"/>
        <v>43455.229166666664</v>
      </c>
      <c r="C363" s="5">
        <f t="shared" ca="1" si="50"/>
        <v>43455.26977368832</v>
      </c>
      <c r="D363" s="5">
        <f t="shared" ca="1" si="51"/>
        <v>43454.740390598818</v>
      </c>
      <c r="E363" s="60">
        <f ca="1">Panchanga!$C363-TimeZone/24</f>
        <v>43455.040607021656</v>
      </c>
      <c r="F363" s="61">
        <f t="shared" ca="1" si="52"/>
        <v>244.97452718861922</v>
      </c>
      <c r="G363" s="61">
        <f t="shared" ca="1" si="53"/>
        <v>42.018618553965808</v>
      </c>
      <c r="H363" s="62">
        <f t="shared" ca="1" si="54"/>
        <v>43455.040607021656</v>
      </c>
      <c r="I363" s="2" t="str">
        <f ca="1">naks(Panchanga!$G363)</f>
        <v>Rohini</v>
      </c>
      <c r="J363" s="5">
        <f ca="1">(C364-Panchanga!$C363)/(G364-Panchanga!$G363)*(13.3333333333333-MOD(Panchanga!$G363,13.333333333333))+Panchanga!$C363</f>
        <v>43456.054999666725</v>
      </c>
      <c r="K363" s="2" t="str">
        <f ca="1">IF(Panchanga!$P363&gt;15,"K","S")&amp;ROUNDUP(MOD(Panchanga!$P363,15),0)&amp;" ("&amp;ROUND(Panchanga!$P363,2)&amp;")"</f>
        <v>S14 (13.09)</v>
      </c>
      <c r="L363" s="2">
        <f ca="1">IF(AND(Panchanga!$P363&lt;28.5,Panchanga!$P363&gt;0.49999),MOD((Panchanga!$P363-0.5)*2,7),MOD((Panchanga!$P363+30-28.5),30)*2+7)</f>
        <v>4.174199999999999</v>
      </c>
      <c r="M363" s="2" t="str">
        <f ca="1">CHOOSE(ROUNDUP(Panchanga!$L363,0),"Bhava","Baalava","Kaulava","Taitula","Garija","Vanija","Vishti","Shakuni","Chatushapda","Naaga","Kimstugna")</f>
        <v>Garija</v>
      </c>
      <c r="N363" s="25" t="str">
        <f ca="1">CHOOSE(ROUNDUP(Panchanga!$Q363,0),"Vishkambha-विष्कम्भ-Sa","Priti-प्रीति-Me","Ayushman-आयुष्मान-Ke","Saubhagya-सौभाग्य-Ve","Shobhana-शोभन-Su","Atiganda-अतिगण्ड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("&amp;Panchanga!$Q363&amp;")"</f>
        <v>Sadhya-साध्य-Ve (21.53)</v>
      </c>
      <c r="O363" s="2">
        <f ca="1">IF(AND(Panchanga!$P363&lt;28.5,Panchanga!$P363&gt;0.49999),MOD((Panchanga!$P363-0.5)*2,7),MOD((Panchanga!$P363+30-28.5),30)*2+7)</f>
        <v>4.174199999999999</v>
      </c>
      <c r="P363" s="2">
        <f ca="1">ROUNDUP(MOD(360+Panchanga!$G363-Panchanga!$F363,360)/12,4)</f>
        <v>13.0871</v>
      </c>
      <c r="Q363" s="2">
        <f t="shared" ca="1" si="55"/>
        <v>21.53</v>
      </c>
      <c r="R363" s="2" t="str">
        <f ca="1">SIGN(S364-Panchanga!$S363)*INT(Panchanga!$S363/30+1)&amp;"Ma,"&amp;SIGN(T364-Panchanga!$T363)*INT(Panchanga!$T363/30+1)&amp;"Me,"&amp;SIGN(U364-Panchanga!$U363)*INT(Panchanga!$U363/30+1)&amp;"Ju,"&amp;SIGN(V364-Panchanga!$V363)*INT(Panchanga!$V363/30+1)&amp;"Ve,"&amp;SIGN(W364-Panchanga!$W363)*INT(Panchanga!$W363/30+1)&amp;"Sa,"&amp;INT(Panchanga!$X363/30+1)&amp;"Ra"</f>
        <v>11Ma,8Me,8Ju,7Ve,9Sa,4Ra</v>
      </c>
      <c r="S363" s="2">
        <f ca="1">Planet(Panchanga!$E363,4)</f>
        <v>328.488331474137</v>
      </c>
      <c r="T363" s="2">
        <f ca="1">Planet(Panchanga!$E363,2)</f>
        <v>224.57168447064871</v>
      </c>
      <c r="U363" s="2">
        <f ca="1">Planet(Panchanga!$E363,5)</f>
        <v>225.30745235725155</v>
      </c>
      <c r="V363" s="2">
        <f ca="1">Planet(Panchanga!$E363,3)</f>
        <v>199.18887503242485</v>
      </c>
      <c r="W363" s="2">
        <f ca="1">Planet(Panchanga!$E363,6)</f>
        <v>255.96962380041728</v>
      </c>
      <c r="X363" s="2">
        <f ca="1">Planet(Panchanga!$E363,10)</f>
        <v>94.030116233316136</v>
      </c>
      <c r="Y363" s="2">
        <f ca="1">SIGN(S364-Panchanga!$S363)</f>
        <v>1</v>
      </c>
    </row>
    <row r="364" spans="1:25" x14ac:dyDescent="0.2">
      <c r="A364" s="3">
        <f t="shared" ca="1" si="56"/>
        <v>43456</v>
      </c>
      <c r="B364" s="3">
        <f t="shared" ca="1" si="49"/>
        <v>43456.229166666664</v>
      </c>
      <c r="C364" s="5">
        <f t="shared" ca="1" si="50"/>
        <v>43456.270120190144</v>
      </c>
      <c r="D364" s="5">
        <f t="shared" ca="1" si="51"/>
        <v>43455.740728994409</v>
      </c>
      <c r="E364" s="60">
        <f ca="1">Panchanga!$C364-TimeZone/24</f>
        <v>43456.040953523479</v>
      </c>
      <c r="F364" s="61">
        <f t="shared" ca="1" si="52"/>
        <v>245.99283253752964</v>
      </c>
      <c r="G364" s="61">
        <f t="shared" ca="1" si="53"/>
        <v>56.433112801447173</v>
      </c>
      <c r="H364" s="62">
        <f t="shared" ca="1" si="54"/>
        <v>43456.040953523479</v>
      </c>
      <c r="I364" s="2" t="str">
        <f ca="1">naks(Panchanga!$G364)</f>
        <v>Mrigashira</v>
      </c>
      <c r="J364" s="5">
        <f ca="1">(C365-Panchanga!$C364)/(G365-Panchanga!$G364)*(13.3333333333333-MOD(Panchanga!$G364,13.333333333333))+Panchanga!$C364</f>
        <v>43456.966828678698</v>
      </c>
      <c r="K364" s="2" t="str">
        <f ca="1">IF(Panchanga!$P364&gt;15,"K","S")&amp;ROUNDUP(MOD(Panchanga!$P364,15),0)&amp;" ("&amp;ROUND(Panchanga!$P364,2)&amp;")"</f>
        <v>S15 (14.2)</v>
      </c>
      <c r="L364" s="2">
        <f ca="1">IF(AND(Panchanga!$P364&lt;28.5,Panchanga!$P364&gt;0.49999),MOD((Panchanga!$P364-0.5)*2,7),MOD((Panchanga!$P364+30-28.5),30)*2+7)</f>
        <v>6.4068000000000005</v>
      </c>
      <c r="M364" s="2" t="str">
        <f ca="1">CHOOSE(ROUNDUP(Panchanga!$L364,0),"Bhava","Baalava","Kaulava","Taitula","Garija","Vanija","Vishti","Shakuni","Chatushapda","Naaga","Kimstugna")</f>
        <v>Vishti</v>
      </c>
      <c r="N364" s="25" t="str">
        <f ca="1">CHOOSE(ROUNDUP(Panchanga!$Q364,0),"Vishkambha-विष्कम्भ-Sa","Priti-प्रीति-Me","Ayushman-आयुष्मान-Ke","Saubhagya-सौभाग्य-Ve","Shobhana-शोभन-Su","Atiganda-अतिगण्ड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("&amp;Panchanga!$Q364&amp;")"</f>
        <v>Shubha-शुभ-Su (22.69)</v>
      </c>
      <c r="O364" s="2">
        <f ca="1">IF(AND(Panchanga!$P364&lt;28.5,Panchanga!$P364&gt;0.49999),MOD((Panchanga!$P364-0.5)*2,7),MOD((Panchanga!$P364+30-28.5),30)*2+7)</f>
        <v>6.4068000000000005</v>
      </c>
      <c r="P364" s="2">
        <f ca="1">ROUNDUP(MOD(360+Panchanga!$G364-Panchanga!$F364,360)/12,4)</f>
        <v>14.2034</v>
      </c>
      <c r="Q364" s="2">
        <f t="shared" ca="1" si="55"/>
        <v>22.69</v>
      </c>
      <c r="R364" s="2" t="str">
        <f ca="1">SIGN(S365-Panchanga!$S364)*INT(Panchanga!$S364/30+1)&amp;"Ma,"&amp;SIGN(T365-Panchanga!$T364)*INT(Panchanga!$T364/30+1)&amp;"Me,"&amp;SIGN(U365-Panchanga!$U364)*INT(Panchanga!$U364/30+1)&amp;"Ju,"&amp;SIGN(V365-Panchanga!$V364)*INT(Panchanga!$V364/30+1)&amp;"Ve,"&amp;SIGN(W365-Panchanga!$W364)*INT(Panchanga!$W364/30+1)&amp;"Sa,"&amp;INT(Panchanga!$X364/30+1)&amp;"Ra"</f>
        <v>11Ma,8Me,8Ju,7Ve,9Sa,4Ra</v>
      </c>
      <c r="S364" s="2">
        <f ca="1">Planet(Panchanga!$E364,4)</f>
        <v>329.15420404510138</v>
      </c>
      <c r="T364" s="2">
        <f ca="1">Planet(Panchanga!$E364,2)</f>
        <v>225.85503287057517</v>
      </c>
      <c r="U364" s="2">
        <f ca="1">Planet(Panchanga!$E364,5)</f>
        <v>225.52444625094759</v>
      </c>
      <c r="V364" s="2">
        <f ca="1">Planet(Panchanga!$E364,3)</f>
        <v>200.06547825011162</v>
      </c>
      <c r="W364" s="2">
        <f ca="1">Planet(Panchanga!$E364,6)</f>
        <v>256.08643643247467</v>
      </c>
      <c r="X364" s="2">
        <f ca="1">Planet(Panchanga!$E364,10)</f>
        <v>93.977105874538893</v>
      </c>
      <c r="Y364" s="2">
        <f ca="1">SIGN(S365-Panchanga!$S364)</f>
        <v>1</v>
      </c>
    </row>
    <row r="365" spans="1:25" x14ac:dyDescent="0.2">
      <c r="A365" s="3">
        <f t="shared" ca="1" si="56"/>
        <v>43457</v>
      </c>
      <c r="B365" s="3">
        <f t="shared" ca="1" si="49"/>
        <v>43457.229166666664</v>
      </c>
      <c r="C365" s="5">
        <f t="shared" ca="1" si="50"/>
        <v>43457.270460969921</v>
      </c>
      <c r="D365" s="5">
        <f t="shared" ca="1" si="51"/>
        <v>43456.741073906465</v>
      </c>
      <c r="E365" s="60">
        <f ca="1">Panchanga!$C365-TimeZone/24</f>
        <v>43457.041294303257</v>
      </c>
      <c r="F365" s="61">
        <f t="shared" ca="1" si="52"/>
        <v>247.01125171593858</v>
      </c>
      <c r="G365" s="61">
        <f t="shared" ca="1" si="53"/>
        <v>71.126548322355092</v>
      </c>
      <c r="H365" s="62">
        <f t="shared" ca="1" si="54"/>
        <v>43457.041294303257</v>
      </c>
      <c r="I365" s="2" t="str">
        <f ca="1">naks(Panchanga!$G365)</f>
        <v>Ardra</v>
      </c>
      <c r="J365" s="5">
        <f ca="1">(C366-Panchanga!$C365)/(G366-Panchanga!$G365)*(13.3333333333333-MOD(Panchanga!$G365,13.333333333333))+Panchanga!$C365</f>
        <v>43457.868117557744</v>
      </c>
      <c r="K365" s="2" t="str">
        <f ca="1">IF(Panchanga!$P365&gt;15,"K","S")&amp;ROUNDUP(MOD(Panchanga!$P365,15),0)&amp;" ("&amp;ROUND(Panchanga!$P365,2)&amp;")"</f>
        <v>K1 (15.34)</v>
      </c>
      <c r="L365" s="2">
        <f ca="1">IF(AND(Panchanga!$P365&lt;28.5,Panchanga!$P365&gt;0.49999),MOD((Panchanga!$P365-0.5)*2,7),MOD((Panchanga!$P365+30-28.5),30)*2+7)</f>
        <v>1.6859999999999999</v>
      </c>
      <c r="M365" s="2" t="str">
        <f ca="1">CHOOSE(ROUNDUP(Panchanga!$L365,0),"Bhava","Baalava","Kaulava","Taitula","Garija","Vanija","Vishti","Shakuni","Chatushapda","Naaga","Kimstugna")</f>
        <v>Baalava</v>
      </c>
      <c r="N365" s="25" t="str">
        <f ca="1">CHOOSE(ROUNDUP(Panchanga!$Q365,0),"Vishkambha-विष्कम्भ-Sa","Priti-प्रीति-Me","Ayushman-आयुष्मान-Ke","Saubhagya-सौभाग्य-Ve","Shobhana-शोभन-Su","Atiganda-अतिगण्ड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("&amp;Panchanga!$Q365&amp;")"</f>
        <v>Shukla-शुक्ल-Mo (23.87)</v>
      </c>
      <c r="O365" s="2">
        <f ca="1">IF(AND(Panchanga!$P365&lt;28.5,Panchanga!$P365&gt;0.49999),MOD((Panchanga!$P365-0.5)*2,7),MOD((Panchanga!$P365+30-28.5),30)*2+7)</f>
        <v>1.6859999999999999</v>
      </c>
      <c r="P365" s="2">
        <f ca="1">ROUNDUP(MOD(360+Panchanga!$G365-Panchanga!$F365,360)/12,4)</f>
        <v>15.343</v>
      </c>
      <c r="Q365" s="2">
        <f t="shared" ca="1" si="55"/>
        <v>23.87</v>
      </c>
      <c r="R365" s="2" t="str">
        <f ca="1">SIGN(S366-Panchanga!$S365)*INT(Panchanga!$S365/30+1)&amp;"Ma,"&amp;SIGN(T366-Panchanga!$T365)*INT(Panchanga!$T365/30+1)&amp;"Me,"&amp;SIGN(U366-Panchanga!$U365)*INT(Panchanga!$U365/30+1)&amp;"Ju,"&amp;SIGN(V366-Panchanga!$V365)*INT(Panchanga!$V365/30+1)&amp;"Ve,"&amp;SIGN(W366-Panchanga!$W365)*INT(Panchanga!$W365/30+1)&amp;"Sa,"&amp;INT(Panchanga!$X365/30+1)&amp;"Ra"</f>
        <v>11Ma,8Me,8Ju,7Ve,9Sa,4Ra</v>
      </c>
      <c r="S365" s="2">
        <f ca="1">Planet(Panchanga!$E365,4)</f>
        <v>329.82073715177989</v>
      </c>
      <c r="T365" s="2">
        <f ca="1">Planet(Panchanga!$E365,2)</f>
        <v>227.16625044250395</v>
      </c>
      <c r="U365" s="2">
        <f ca="1">Planet(Panchanga!$E365,5)</f>
        <v>225.74088467619032</v>
      </c>
      <c r="V365" s="2">
        <f ca="1">Planet(Panchanga!$E365,3)</f>
        <v>200.95399306294652</v>
      </c>
      <c r="W365" s="2">
        <f ca="1">Planet(Panchanga!$E365,6)</f>
        <v>256.20346424608158</v>
      </c>
      <c r="X365" s="2">
        <f ca="1">Planet(Panchanga!$E365,10)</f>
        <v>93.924095818973299</v>
      </c>
      <c r="Y365" s="2">
        <f ca="1">SIGN(S366-Panchanga!$S365)</f>
        <v>1</v>
      </c>
    </row>
    <row r="366" spans="1:25" x14ac:dyDescent="0.2">
      <c r="A366" s="3">
        <f t="shared" ca="1" si="56"/>
        <v>43458</v>
      </c>
      <c r="B366" s="3">
        <f t="shared" ca="1" si="49"/>
        <v>43458.229166666664</v>
      </c>
      <c r="C366" s="5">
        <f t="shared" ca="1" si="50"/>
        <v>43458.27079555035</v>
      </c>
      <c r="D366" s="5">
        <f t="shared" ca="1" si="51"/>
        <v>43457.74142501787</v>
      </c>
      <c r="E366" s="60">
        <f ca="1">Panchanga!$C366-TimeZone/24</f>
        <v>43458.041628883686</v>
      </c>
      <c r="F366" s="61">
        <f t="shared" ca="1" si="52"/>
        <v>248.02979567509132</v>
      </c>
      <c r="G366" s="61">
        <f t="shared" ca="1" si="53"/>
        <v>85.978590016142462</v>
      </c>
      <c r="H366" s="62">
        <f t="shared" ca="1" si="54"/>
        <v>43458.041628883686</v>
      </c>
      <c r="I366" s="2" t="str">
        <f ca="1">naks(Panchanga!$G366)</f>
        <v>Punarvasu</v>
      </c>
      <c r="J366" s="5">
        <f ca="1">(C367-Panchanga!$C366)/(G367-Panchanga!$G366)*(13.3333333333333-MOD(Panchanga!$G366,13.333333333333))+Panchanga!$C366</f>
        <v>43458.765243716167</v>
      </c>
      <c r="K366" s="2" t="str">
        <f ca="1">IF(Panchanga!$P366&gt;15,"K","S")&amp;ROUNDUP(MOD(Panchanga!$P366,15),0)&amp;" ("&amp;ROUND(Panchanga!$P366,2)&amp;")"</f>
        <v>K2 (16.5)</v>
      </c>
      <c r="L366" s="2">
        <f ca="1">IF(AND(Panchanga!$P366&lt;28.5,Panchanga!$P366&gt;0.49999),MOD((Panchanga!$P366-0.5)*2,7),MOD((Panchanga!$P366+30-28.5),30)*2+7)</f>
        <v>3.9915999999999983</v>
      </c>
      <c r="M366" s="2" t="str">
        <f ca="1">CHOOSE(ROUNDUP(Panchanga!$L366,0),"Bhava","Baalava","Kaulava","Taitula","Garija","Vanija","Vishti","Shakuni","Chatushapda","Naaga","Kimstugna")</f>
        <v>Taitula</v>
      </c>
      <c r="N366" s="25" t="str">
        <f ca="1">CHOOSE(ROUNDUP(Panchanga!$Q366,0),"Vishkambha-विष्कम्भ-Sa","Priti-प्रीति-Me","Ayushman-आयुष्मान-Ke","Saubhagya-सौभाग्य-Ve","Shobhana-शोभन-Su","Atiganda-अतिगण्ड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("&amp;Panchanga!$Q366&amp;")"</f>
        <v>Mahendra-महेन्द्र-Ra (25.06)</v>
      </c>
      <c r="O366" s="2">
        <f ca="1">IF(AND(Panchanga!$P366&lt;28.5,Panchanga!$P366&gt;0.49999),MOD((Panchanga!$P366-0.5)*2,7),MOD((Panchanga!$P366+30-28.5),30)*2+7)</f>
        <v>3.9915999999999983</v>
      </c>
      <c r="P366" s="2">
        <f ca="1">ROUNDUP(MOD(360+Panchanga!$G366-Panchanga!$F366,360)/12,4)</f>
        <v>16.495799999999999</v>
      </c>
      <c r="Q366" s="2">
        <f t="shared" ca="1" si="55"/>
        <v>25.060000000000002</v>
      </c>
      <c r="R366" s="2" t="str">
        <f ca="1">SIGN(S367-Panchanga!$S366)*INT(Panchanga!$S366/30+1)&amp;"Ma,"&amp;SIGN(T367-Panchanga!$T366)*INT(Panchanga!$T366/30+1)&amp;"Me,"&amp;SIGN(U367-Panchanga!$U366)*INT(Panchanga!$U366/30+1)&amp;"Ju,"&amp;SIGN(V367-Panchanga!$V366)*INT(Panchanga!$V366/30+1)&amp;"Ve,"&amp;SIGN(W367-Panchanga!$W366)*INT(Panchanga!$W366/30+1)&amp;"Sa,"&amp;INT(Panchanga!$X366/30+1)&amp;"Ra"</f>
        <v>12Ma,8Me,8Ju,7Ve,9Sa,4Ra</v>
      </c>
      <c r="S366" s="2">
        <f ca="1">Planet(Panchanga!$E366,4)</f>
        <v>330.48790192849356</v>
      </c>
      <c r="T366" s="2">
        <f ca="1">Planet(Panchanga!$E366,2)</f>
        <v>228.50200189104564</v>
      </c>
      <c r="U366" s="2">
        <f ca="1">Planet(Panchanga!$E366,5)</f>
        <v>225.9567476190104</v>
      </c>
      <c r="V366" s="2">
        <f ca="1">Planet(Panchanga!$E366,3)</f>
        <v>201.85399768223795</v>
      </c>
      <c r="W366" s="2">
        <f ca="1">Planet(Panchanga!$E366,6)</f>
        <v>256.32069021578087</v>
      </c>
      <c r="X366" s="2">
        <f ca="1">Planet(Panchanga!$E366,10)</f>
        <v>93.871086091886866</v>
      </c>
      <c r="Y366" s="2">
        <f ca="1">SIGN(S367-Panchanga!$S366)</f>
        <v>1</v>
      </c>
    </row>
    <row r="367" spans="1:25" x14ac:dyDescent="0.2">
      <c r="A367" s="3">
        <f t="shared" ca="1" si="56"/>
        <v>43459</v>
      </c>
      <c r="B367" s="3">
        <f t="shared" ca="1" si="49"/>
        <v>43459.229166666664</v>
      </c>
      <c r="C367" s="5">
        <f t="shared" ca="1" si="50"/>
        <v>43459.271123773571</v>
      </c>
      <c r="D367" s="5">
        <f t="shared" ca="1" si="51"/>
        <v>43458.741782168901</v>
      </c>
      <c r="E367" s="60">
        <f ca="1">Panchanga!$C367-TimeZone/24</f>
        <v>43459.041957106907</v>
      </c>
      <c r="F367" s="61">
        <f t="shared" ca="1" si="52"/>
        <v>249.0484762407992</v>
      </c>
      <c r="G367" s="61">
        <f t="shared" ca="1" si="53"/>
        <v>100.85812203450983</v>
      </c>
      <c r="H367" s="62">
        <f t="shared" ca="1" si="54"/>
        <v>43459.041957106907</v>
      </c>
      <c r="I367" s="2" t="str">
        <f ca="1">naks(Panchanga!$G367)</f>
        <v>Pushya</v>
      </c>
      <c r="J367" s="5">
        <f ca="1">(C368-Panchanga!$C367)/(G368-Panchanga!$G367)*(13.3333333333333-MOD(Panchanga!$G367,13.333333333333))+Panchanga!$C367</f>
        <v>43459.66414274009</v>
      </c>
      <c r="K367" s="2" t="str">
        <f ca="1">IF(Panchanga!$P367&gt;15,"K","S")&amp;ROUNDUP(MOD(Panchanga!$P367,15),0)&amp;" ("&amp;ROUND(Panchanga!$P367,2)&amp;")"</f>
        <v>K3 (17.65)</v>
      </c>
      <c r="L367" s="2">
        <f ca="1">IF(AND(Panchanga!$P367&lt;28.5,Panchanga!$P367&gt;0.49999),MOD((Panchanga!$P367-0.5)*2,7),MOD((Panchanga!$P367+30-28.5),30)*2+7)</f>
        <v>6.3018000000000001</v>
      </c>
      <c r="M367" s="2" t="str">
        <f ca="1">CHOOSE(ROUNDUP(Panchanga!$L367,0),"Bhava","Baalava","Kaulava","Taitula","Garija","Vanija","Vishti","Shakuni","Chatushapda","Naaga","Kimstugna")</f>
        <v>Vishti</v>
      </c>
      <c r="N367" s="25" t="str">
        <f ca="1">CHOOSE(ROUNDUP(Panchanga!$Q367,0),"Vishkambha-विष्कम्भ-Sa","Priti-प्रीति-Me","Ayushman-आयुष्मान-Ke","Saubhagya-सौभाग्य-Ve","Shobhana-शोभन-Su","Atiganda-अतिगण्ड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("&amp;Panchanga!$Q367&amp;")"</f>
        <v>Vaidhriti-वैधृति-Ke (26.25)</v>
      </c>
      <c r="O367" s="2">
        <f ca="1">IF(AND(Panchanga!$P367&lt;28.5,Panchanga!$P367&gt;0.49999),MOD((Panchanga!$P367-0.5)*2,7),MOD((Panchanga!$P367+30-28.5),30)*2+7)</f>
        <v>6.3018000000000001</v>
      </c>
      <c r="P367" s="2">
        <f ca="1">ROUNDUP(MOD(360+Panchanga!$G367-Panchanga!$F367,360)/12,4)</f>
        <v>17.6509</v>
      </c>
      <c r="Q367" s="2">
        <f t="shared" ca="1" si="55"/>
        <v>26.25</v>
      </c>
      <c r="R367" s="2" t="str">
        <f ca="1">SIGN(S368-Panchanga!$S367)*INT(Panchanga!$S367/30+1)&amp;"Ma,"&amp;SIGN(T368-Panchanga!$T367)*INT(Panchanga!$T367/30+1)&amp;"Me,"&amp;SIGN(U368-Panchanga!$U367)*INT(Panchanga!$U367/30+1)&amp;"Ju,"&amp;SIGN(V368-Panchanga!$V367)*INT(Panchanga!$V367/30+1)&amp;"Ve,"&amp;SIGN(W368-Panchanga!$W367)*INT(Panchanga!$W367/30+1)&amp;"Sa,"&amp;INT(Panchanga!$X367/30+1)&amp;"Ra"</f>
        <v>12Ma,8Me,8Ju,7Ve,9Sa,4Ra</v>
      </c>
      <c r="S367" s="2">
        <f ca="1">Planet(Panchanga!$E367,4)</f>
        <v>331.15567593088269</v>
      </c>
      <c r="T367" s="2">
        <f ca="1">Planet(Panchanga!$E367,2)</f>
        <v>229.8594209524276</v>
      </c>
      <c r="U367" s="2">
        <f ca="1">Planet(Panchanga!$E367,5)</f>
        <v>226.17201473042743</v>
      </c>
      <c r="V367" s="2">
        <f ca="1">Planet(Panchanga!$E367,3)</f>
        <v>202.76508053009829</v>
      </c>
      <c r="W367" s="2">
        <f ca="1">Planet(Panchanga!$E367,6)</f>
        <v>256.43809754145769</v>
      </c>
      <c r="X367" s="2">
        <f ca="1">Planet(Panchanga!$E367,10)</f>
        <v>93.818076701729552</v>
      </c>
      <c r="Y367" s="2">
        <f ca="1">SIGN(S368-Panchanga!$S367)</f>
        <v>1</v>
      </c>
    </row>
    <row r="368" spans="1:25" x14ac:dyDescent="0.2">
      <c r="A368" s="3">
        <f t="shared" ca="1" si="56"/>
        <v>43460</v>
      </c>
      <c r="B368" s="3">
        <f t="shared" ca="1" si="49"/>
        <v>43460.229166666664</v>
      </c>
      <c r="C368" s="5">
        <f t="shared" ca="1" si="50"/>
        <v>43460.271445320606</v>
      </c>
      <c r="D368" s="5">
        <f t="shared" ca="1" si="51"/>
        <v>43459.742144723932</v>
      </c>
      <c r="E368" s="60">
        <f ca="1">Panchanga!$C368-TimeZone/24</f>
        <v>43460.042278653942</v>
      </c>
      <c r="F368" s="61">
        <f t="shared" ca="1" si="52"/>
        <v>250.06730342257003</v>
      </c>
      <c r="G368" s="61">
        <f t="shared" ca="1" si="53"/>
        <v>115.64217279905687</v>
      </c>
      <c r="H368" s="62">
        <f t="shared" ca="1" si="54"/>
        <v>43460.042278653942</v>
      </c>
      <c r="I368" s="2" t="str">
        <f ca="1">naks(Panchanga!$G368)</f>
        <v>Aslesha</v>
      </c>
      <c r="J368" s="5">
        <f ca="1">(C369-Panchanga!$C368)/(G369-Panchanga!$G368)*(13.3333333333333-MOD(Panchanga!$G368,13.333333333333))+Panchanga!$C368</f>
        <v>43460.570249821641</v>
      </c>
      <c r="K368" s="2" t="str">
        <f ca="1">IF(Panchanga!$P368&gt;15,"K","S")&amp;ROUNDUP(MOD(Panchanga!$P368,15),0)&amp;" ("&amp;ROUND(Panchanga!$P368,2)&amp;")"</f>
        <v>K4 (18.8)</v>
      </c>
      <c r="L368" s="2">
        <f ca="1">IF(AND(Panchanga!$P368&lt;28.5,Panchanga!$P368&gt;0.49999),MOD((Panchanga!$P368-0.5)*2,7),MOD((Panchanga!$P368+30-28.5),30)*2+7)</f>
        <v>1.5959999999999965</v>
      </c>
      <c r="M368" s="2" t="str">
        <f ca="1">CHOOSE(ROUNDUP(Panchanga!$L368,0),"Bhava","Baalava","Kaulava","Taitula","Garija","Vanija","Vishti","Shakuni","Chatushapda","Naaga","Kimstugna")</f>
        <v>Baalava</v>
      </c>
      <c r="N368" s="25" t="str">
        <f ca="1">CHOOSE(ROUNDUP(Panchanga!$Q368,0),"Vishkambha-विष्कम्भ-Sa","Priti-प्रीति-Me","Ayushman-आयुष्मान-Ke","Saubhagya-सौभाग्य-Ve","Shobhana-शोभन-Su","Atiganda-अतिगण्ड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("&amp;Panchanga!$Q368&amp;")"</f>
        <v>Vishkambha-विष्कम्भ-Sa (0.43)</v>
      </c>
      <c r="O368" s="2">
        <f ca="1">IF(AND(Panchanga!$P368&lt;28.5,Panchanga!$P368&gt;0.49999),MOD((Panchanga!$P368-0.5)*2,7),MOD((Panchanga!$P368+30-28.5),30)*2+7)</f>
        <v>1.5959999999999965</v>
      </c>
      <c r="P368" s="2">
        <f ca="1">ROUNDUP(MOD(360+Panchanga!$G368-Panchanga!$F368,360)/12,4)</f>
        <v>18.797999999999998</v>
      </c>
      <c r="Q368" s="2">
        <f t="shared" ca="1" si="55"/>
        <v>0.43</v>
      </c>
      <c r="R368" s="2" t="str">
        <f ca="1">SIGN(S369-Panchanga!$S368)*INT(Panchanga!$S368/30+1)&amp;"Ma,"&amp;SIGN(T369-Panchanga!$T368)*INT(Panchanga!$T368/30+1)&amp;"Me,"&amp;SIGN(U369-Panchanga!$U368)*INT(Panchanga!$U368/30+1)&amp;"Ju,"&amp;SIGN(V369-Panchanga!$V368)*INT(Panchanga!$V368/30+1)&amp;"Ve,"&amp;SIGN(W369-Panchanga!$W368)*INT(Panchanga!$W368/30+1)&amp;"Sa,"&amp;INT(Panchanga!$X368/30+1)&amp;"Ra"</f>
        <v>12Ma,8Me,8Ju,7Ve,9Sa,4Ra</v>
      </c>
      <c r="S368" s="2">
        <f ca="1">Planet(Panchanga!$E368,4)</f>
        <v>331.82404237766974</v>
      </c>
      <c r="T368" s="2">
        <f ca="1">Planet(Panchanga!$E368,2)</f>
        <v>231.23604861756115</v>
      </c>
      <c r="U368" s="2">
        <f ca="1">Planet(Panchanga!$E368,5)</f>
        <v>226.38666482569079</v>
      </c>
      <c r="V368" s="2">
        <f ca="1">Planet(Panchanga!$E368,3)</f>
        <v>203.68683698028269</v>
      </c>
      <c r="W368" s="2">
        <f ca="1">Planet(Panchanga!$E368,6)</f>
        <v>256.55566937165617</v>
      </c>
      <c r="X368" s="2">
        <f ca="1">Planet(Panchanga!$E368,10)</f>
        <v>93.765067665351864</v>
      </c>
      <c r="Y368" s="2">
        <f ca="1">SIGN(S369-Panchanga!$S368)</f>
        <v>1</v>
      </c>
    </row>
    <row r="369" spans="1:25" x14ac:dyDescent="0.2">
      <c r="A369" s="3">
        <f t="shared" ca="1" si="56"/>
        <v>43461</v>
      </c>
      <c r="B369" s="3">
        <f t="shared" ca="1" si="49"/>
        <v>43461.229166666664</v>
      </c>
      <c r="C369" s="5">
        <f t="shared" ca="1" si="50"/>
        <v>43461.271759715084</v>
      </c>
      <c r="D369" s="5">
        <f t="shared" ca="1" si="51"/>
        <v>43460.742512683428</v>
      </c>
      <c r="E369" s="60">
        <f ca="1">Panchanga!$C369-TimeZone/24</f>
        <v>43461.04259304842</v>
      </c>
      <c r="F369" s="61">
        <f t="shared" ca="1" si="52"/>
        <v>251.08628339233394</v>
      </c>
      <c r="G369" s="61">
        <f t="shared" ca="1" si="53"/>
        <v>130.23096668475733</v>
      </c>
      <c r="H369" s="62">
        <f t="shared" ca="1" si="54"/>
        <v>43461.04259304842</v>
      </c>
      <c r="I369" s="2" t="str">
        <f ca="1">naks(Panchanga!$G369)</f>
        <v>Makha</v>
      </c>
      <c r="J369" s="5">
        <f ca="1">(C370-Panchanga!$C369)/(G370-Panchanga!$G369)*(13.3333333333333-MOD(Panchanga!$G369,13.333333333333))+Panchanga!$C369</f>
        <v>43461.48839901961</v>
      </c>
      <c r="K369" s="2" t="str">
        <f ca="1">IF(Panchanga!$P369&gt;15,"K","S")&amp;ROUNDUP(MOD(Panchanga!$P369,15),0)&amp;" ("&amp;ROUND(Panchanga!$P369,2)&amp;")"</f>
        <v>K5 (19.93)</v>
      </c>
      <c r="L369" s="2">
        <f ca="1">IF(AND(Panchanga!$P369&lt;28.5,Panchanga!$P369&gt;0.49999),MOD((Panchanga!$P369-0.5)*2,7),MOD((Panchanga!$P369+30-28.5),30)*2+7)</f>
        <v>3.8575999999999979</v>
      </c>
      <c r="M369" s="2" t="str">
        <f ca="1">CHOOSE(ROUNDUP(Panchanga!$L369,0),"Bhava","Baalava","Kaulava","Taitula","Garija","Vanija","Vishti","Shakuni","Chatushapda","Naaga","Kimstugna")</f>
        <v>Taitula</v>
      </c>
      <c r="N369" s="25" t="str">
        <f ca="1">CHOOSE(ROUNDUP(Panchanga!$Q369,0),"Vishkambha-विष्कम्भ-Sa","Priti-प्रीति-Me","Ayushman-आयुष्मान-Ke","Saubhagya-सौभाग्य-Ve","Shobhana-शोभन-Su","Atiganda-अतिगण्ड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("&amp;Panchanga!$Q369&amp;")"</f>
        <v>Priti-प्रीति-Me (1.6)</v>
      </c>
      <c r="O369" s="2">
        <f ca="1">IF(AND(Panchanga!$P369&lt;28.5,Panchanga!$P369&gt;0.49999),MOD((Panchanga!$P369-0.5)*2,7),MOD((Panchanga!$P369+30-28.5),30)*2+7)</f>
        <v>3.8575999999999979</v>
      </c>
      <c r="P369" s="2">
        <f ca="1">ROUNDUP(MOD(360+Panchanga!$G369-Panchanga!$F369,360)/12,4)</f>
        <v>19.928799999999999</v>
      </c>
      <c r="Q369" s="2">
        <f t="shared" ca="1" si="55"/>
        <v>1.6</v>
      </c>
      <c r="R369" s="2" t="str">
        <f ca="1">SIGN(S370-Panchanga!$S369)*INT(Panchanga!$S369/30+1)&amp;"Ma,"&amp;SIGN(T370-Panchanga!$T369)*INT(Panchanga!$T369/30+1)&amp;"Me,"&amp;SIGN(U370-Panchanga!$U369)*INT(Panchanga!$U369/30+1)&amp;"Ju,"&amp;SIGN(V370-Panchanga!$V369)*INT(Panchanga!$V369/30+1)&amp;"Ve,"&amp;SIGN(W370-Panchanga!$W369)*INT(Panchanga!$W369/30+1)&amp;"Sa,"&amp;INT(Panchanga!$X369/30+1)&amp;"Ra"</f>
        <v>12Ma,8Me,8Ju,7Ve,9Sa,4Ra</v>
      </c>
      <c r="S369" s="2">
        <f ca="1">Planet(Panchanga!$E369,4)</f>
        <v>332.4929888829875</v>
      </c>
      <c r="T369" s="2">
        <f ca="1">Planet(Panchanga!$E369,2)</f>
        <v>232.6297794543911</v>
      </c>
      <c r="U369" s="2">
        <f ca="1">Planet(Panchanga!$E369,5)</f>
        <v>226.60067558558697</v>
      </c>
      <c r="V369" s="2">
        <f ca="1">Planet(Panchanga!$E369,3)</f>
        <v>204.61886814899773</v>
      </c>
      <c r="W369" s="2">
        <f ca="1">Planet(Panchanga!$E369,6)</f>
        <v>256.6733886034101</v>
      </c>
      <c r="X369" s="2">
        <f ca="1">Planet(Panchanga!$E369,10)</f>
        <v>93.712059007971533</v>
      </c>
      <c r="Y369" s="2">
        <f ca="1">SIGN(S370-Panchanga!$S369)</f>
        <v>1</v>
      </c>
    </row>
    <row r="370" spans="1:25" x14ac:dyDescent="0.2">
      <c r="A370" s="3">
        <f t="shared" ca="1" si="56"/>
        <v>43462</v>
      </c>
      <c r="B370" s="3">
        <f t="shared" ca="1" si="49"/>
        <v>43462.229166666664</v>
      </c>
      <c r="C370" s="5">
        <f t="shared" ca="1" si="50"/>
        <v>43462.272066639423</v>
      </c>
      <c r="D370" s="5">
        <f t="shared" ca="1" si="51"/>
        <v>43461.742885410829</v>
      </c>
      <c r="E370" s="60">
        <f ca="1">Panchanga!$C370-TimeZone/24</f>
        <v>43462.042899972759</v>
      </c>
      <c r="F370" s="61">
        <f t="shared" ca="1" si="52"/>
        <v>252.10541746189105</v>
      </c>
      <c r="G370" s="61">
        <f t="shared" ca="1" si="53"/>
        <v>144.55578575284076</v>
      </c>
      <c r="H370" s="62">
        <f t="shared" ca="1" si="54"/>
        <v>43462.042899972759</v>
      </c>
      <c r="I370" s="2" t="str">
        <f ca="1">naks(Panchanga!$G370)</f>
        <v>Purva Phalguni</v>
      </c>
      <c r="J370" s="5">
        <f ca="1">(C371-Panchanga!$C370)/(G371-Panchanga!$G370)*(13.3333333333333-MOD(Panchanga!$G370,13.333333333333))+Panchanga!$C370</f>
        <v>43462.42263447911</v>
      </c>
      <c r="K370" s="2" t="str">
        <f ca="1">IF(Panchanga!$P370&gt;15,"K","S")&amp;ROUNDUP(MOD(Panchanga!$P370,15),0)&amp;" ("&amp;ROUND(Panchanga!$P370,2)&amp;")"</f>
        <v>K7 (21.04)</v>
      </c>
      <c r="L370" s="2">
        <f ca="1">IF(AND(Panchanga!$P370&lt;28.5,Panchanga!$P370&gt;0.49999),MOD((Panchanga!$P370-0.5)*2,7),MOD((Panchanga!$P370+30-28.5),30)*2+7)</f>
        <v>6.0752000000000024</v>
      </c>
      <c r="M370" s="2" t="str">
        <f ca="1">CHOOSE(ROUNDUP(Panchanga!$L370,0),"Bhava","Baalava","Kaulava","Taitula","Garija","Vanija","Vishti","Shakuni","Chatushapda","Naaga","Kimstugna")</f>
        <v>Vishti</v>
      </c>
      <c r="N370" s="25" t="str">
        <f ca="1">CHOOSE(ROUNDUP(Panchanga!$Q370,0),"Vishkambha-विष्कम्भ-Sa","Priti-प्रीति-Me","Ayushman-आयुष्मान-Ke","Saubhagya-सौभाग्य-Ve","Shobhana-शोभन-Su","Atiganda-अतिगण्ड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("&amp;Panchanga!$Q370&amp;")"</f>
        <v>Ayushman-आयुष्मान-Ke (2.75)</v>
      </c>
      <c r="O370" s="2">
        <f ca="1">IF(AND(Panchanga!$P370&lt;28.5,Panchanga!$P370&gt;0.49999),MOD((Panchanga!$P370-0.5)*2,7),MOD((Panchanga!$P370+30-28.5),30)*2+7)</f>
        <v>6.0752000000000024</v>
      </c>
      <c r="P370" s="2">
        <f ca="1">ROUNDUP(MOD(360+Panchanga!$G370-Panchanga!$F370,360)/12,4)</f>
        <v>21.037600000000001</v>
      </c>
      <c r="Q370" s="2">
        <f t="shared" ca="1" si="55"/>
        <v>2.75</v>
      </c>
      <c r="R370" s="2" t="str">
        <f ca="1">SIGN(S371-Panchanga!$S370)*INT(Panchanga!$S370/30+1)&amp;"Ma,"&amp;SIGN(T371-Panchanga!$T370)*INT(Panchanga!$T370/30+1)&amp;"Me,"&amp;SIGN(U371-Panchanga!$U370)*INT(Panchanga!$U370/30+1)&amp;"Ju,"&amp;SIGN(V371-Panchanga!$V370)*INT(Panchanga!$V370/30+1)&amp;"Ve,"&amp;SIGN(W371-Panchanga!$W370)*INT(Panchanga!$W370/30+1)&amp;"Sa,"&amp;INT(Panchanga!$X370/30+1)&amp;"Ra"</f>
        <v>12Ma,8Me,8Ju,7Ve,9Sa,4Ra</v>
      </c>
      <c r="S370" s="2">
        <f ca="1">Planet(Panchanga!$E370,4)</f>
        <v>333.16250589349562</v>
      </c>
      <c r="T370" s="2">
        <f ca="1">Planet(Panchanga!$E370,2)</f>
        <v>234.0388155623105</v>
      </c>
      <c r="U370" s="2">
        <f ca="1">Planet(Panchanga!$E370,5)</f>
        <v>226.81402349442726</v>
      </c>
      <c r="V370" s="2">
        <f ca="1">Planet(Panchanga!$E370,3)</f>
        <v>205.56078171416266</v>
      </c>
      <c r="W370" s="2">
        <f ca="1">Planet(Panchanga!$E370,6)</f>
        <v>256.79123782173144</v>
      </c>
      <c r="X370" s="2">
        <f ca="1">Planet(Panchanga!$E370,10)</f>
        <v>93.65905074648866</v>
      </c>
      <c r="Y370" s="2">
        <f ca="1">SIGN(S371-Panchanga!$S370)</f>
        <v>1</v>
      </c>
    </row>
    <row r="371" spans="1:25" x14ac:dyDescent="0.2">
      <c r="A371" s="3">
        <f t="shared" ca="1" si="56"/>
        <v>43463</v>
      </c>
      <c r="B371" s="3">
        <f t="shared" ca="1" si="49"/>
        <v>43463.229166666664</v>
      </c>
      <c r="C371" s="5">
        <f t="shared" ca="1" si="50"/>
        <v>43463.272365934368</v>
      </c>
      <c r="D371" s="5">
        <f t="shared" ca="1" si="51"/>
        <v>43462.743262589021</v>
      </c>
      <c r="E371" s="60">
        <f ca="1">Panchanga!$C371-TimeZone/24</f>
        <v>43463.043199267704</v>
      </c>
      <c r="F371" s="61">
        <f t="shared" ca="1" si="52"/>
        <v>253.12470163777365</v>
      </c>
      <c r="G371" s="61">
        <f t="shared" ca="1" si="53"/>
        <v>158.57944906788035</v>
      </c>
      <c r="H371" s="62">
        <f t="shared" ca="1" si="54"/>
        <v>43463.043199267704</v>
      </c>
      <c r="I371" s="2" t="str">
        <f ca="1">naks(Panchanga!$G371)</f>
        <v>Uttara Phalguni</v>
      </c>
      <c r="J371" s="5">
        <f ca="1">(C372-Panchanga!$C371)/(G372-Panchanga!$G371)*(13.3333333333333-MOD(Panchanga!$G371,13.333333333333))+Panchanga!$C371</f>
        <v>43463.375995166309</v>
      </c>
      <c r="K371" s="2" t="str">
        <f ca="1">IF(Panchanga!$P371&gt;15,"K","S")&amp;ROUNDUP(MOD(Panchanga!$P371,15),0)&amp;" ("&amp;ROUND(Panchanga!$P371,2)&amp;")"</f>
        <v>K8 (22.12)</v>
      </c>
      <c r="L371" s="2">
        <f ca="1">IF(AND(Panchanga!$P371&lt;28.5,Panchanga!$P371&gt;0.49999),MOD((Panchanga!$P371-0.5)*2,7),MOD((Panchanga!$P371+30-28.5),30)*2+7)</f>
        <v>1.242600000000003</v>
      </c>
      <c r="M371" s="2" t="str">
        <f ca="1">CHOOSE(ROUNDUP(Panchanga!$L371,0),"Bhava","Baalava","Kaulava","Taitula","Garija","Vanija","Vishti","Shakuni","Chatushapda","Naaga","Kimstugna")</f>
        <v>Baalava</v>
      </c>
      <c r="N371" s="25" t="str">
        <f ca="1">CHOOSE(ROUNDUP(Panchanga!$Q371,0),"Vishkambha-विष्कम्भ-Sa","Priti-प्रीति-Me","Ayushman-आयुष्मान-Ke","Saubhagya-सौभाग्य-Ve","Shobhana-शोभन-Su","Atiganda-अतिगण्ड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("&amp;Panchanga!$Q371&amp;")"</f>
        <v>Saubhagya-सौभाग्य-Ve (3.88)</v>
      </c>
      <c r="O371" s="2">
        <f ca="1">IF(AND(Panchanga!$P371&lt;28.5,Panchanga!$P371&gt;0.49999),MOD((Panchanga!$P371-0.5)*2,7),MOD((Panchanga!$P371+30-28.5),30)*2+7)</f>
        <v>1.242600000000003</v>
      </c>
      <c r="P371" s="2">
        <f ca="1">ROUNDUP(MOD(360+Panchanga!$G371-Panchanga!$F371,360)/12,4)</f>
        <v>22.121300000000002</v>
      </c>
      <c r="Q371" s="2">
        <f t="shared" ca="1" si="55"/>
        <v>3.88</v>
      </c>
      <c r="R371" s="2" t="str">
        <f ca="1">SIGN(S372-Panchanga!$S371)*INT(Panchanga!$S371/30+1)&amp;"Ma,"&amp;SIGN(T372-Panchanga!$T371)*INT(Panchanga!$T371/30+1)&amp;"Me,"&amp;SIGN(U372-Panchanga!$U371)*INT(Panchanga!$U371/30+1)&amp;"Ju,"&amp;SIGN(V372-Panchanga!$V371)*INT(Panchanga!$V371/30+1)&amp;"Ve,"&amp;SIGN(W372-Panchanga!$W371)*INT(Panchanga!$W371/30+1)&amp;"Sa,"&amp;INT(Panchanga!$X371/30+1)&amp;"Ra"</f>
        <v>12Ma,8Me,8Ju,7Ve,9Sa,4Ra</v>
      </c>
      <c r="S371" s="2">
        <f ca="1">Planet(Panchanga!$E371,4)</f>
        <v>333.83258488460211</v>
      </c>
      <c r="T371" s="2">
        <f ca="1">Planet(Panchanga!$E371,2)</f>
        <v>235.46162663289181</v>
      </c>
      <c r="U371" s="2">
        <f ca="1">Planet(Panchanga!$E371,5)</f>
        <v>227.02668388135322</v>
      </c>
      <c r="V371" s="2">
        <f ca="1">Planet(Panchanga!$E371,3)</f>
        <v>206.51219367818928</v>
      </c>
      <c r="W371" s="2">
        <f ca="1">Planet(Panchanga!$E371,6)</f>
        <v>256.90919939567516</v>
      </c>
      <c r="X371" s="2">
        <f ca="1">Planet(Panchanga!$E371,10)</f>
        <v>93.606042889270611</v>
      </c>
      <c r="Y371" s="2">
        <f ca="1">SIGN(S372-Panchanga!$S371)</f>
        <v>1</v>
      </c>
    </row>
    <row r="372" spans="1:25" x14ac:dyDescent="0.2">
      <c r="A372" s="3">
        <f t="shared" ca="1" si="56"/>
        <v>43464</v>
      </c>
      <c r="B372" s="3">
        <f t="shared" ca="1" si="49"/>
        <v>43464.229166666664</v>
      </c>
      <c r="C372" s="5">
        <f t="shared" ca="1" si="50"/>
        <v>43464.272657122616</v>
      </c>
      <c r="D372" s="5">
        <f t="shared" ca="1" si="51"/>
        <v>43463.743643899958</v>
      </c>
      <c r="E372" s="60">
        <f ca="1">Panchanga!$C372-TimeZone/24</f>
        <v>43464.043490455952</v>
      </c>
      <c r="F372" s="61">
        <f t="shared" ca="1" si="52"/>
        <v>254.14412645146169</v>
      </c>
      <c r="G372" s="61">
        <f t="shared" ca="1" si="53"/>
        <v>172.29145438922015</v>
      </c>
      <c r="H372" s="62">
        <f t="shared" ca="1" si="54"/>
        <v>43464.043490455952</v>
      </c>
      <c r="I372" s="2" t="str">
        <f ca="1">naks(Panchanga!$G372)</f>
        <v>Hasta</v>
      </c>
      <c r="J372" s="5">
        <f ca="1">(C373-Panchanga!$C372)/(G373-Panchanga!$G372)*(13.3333333333333-MOD(Panchanga!$G372,13.333333333333))+Panchanga!$C372</f>
        <v>43464.350378675968</v>
      </c>
      <c r="K372" s="2" t="str">
        <f ca="1">IF(Panchanga!$P372&gt;15,"K","S")&amp;ROUNDUP(MOD(Panchanga!$P372,15),0)&amp;" ("&amp;ROUND(Panchanga!$P372,2)&amp;")"</f>
        <v>K9 (23.18)</v>
      </c>
      <c r="L372" s="2">
        <f ca="1">IF(AND(Panchanga!$P372&lt;28.5,Panchanga!$P372&gt;0.49999),MOD((Panchanga!$P372-0.5)*2,7),MOD((Panchanga!$P372+30-28.5),30)*2+7)</f>
        <v>3.357999999999997</v>
      </c>
      <c r="M372" s="2" t="str">
        <f ca="1">CHOOSE(ROUNDUP(Panchanga!$L372,0),"Bhava","Baalava","Kaulava","Taitula","Garija","Vanija","Vishti","Shakuni","Chatushapda","Naaga","Kimstugna")</f>
        <v>Taitula</v>
      </c>
      <c r="N372" s="25" t="str">
        <f ca="1">CHOOSE(ROUNDUP(Panchanga!$Q372,0),"Vishkambha-विष्कम्भ-Sa","Priti-प्रीति-Me","Ayushman-आयुष्मान-Ke","Saubhagya-सौभाग्य-Ve","Shobhana-शोभन-Su","Atiganda-अतिगण्ड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("&amp;Panchanga!$Q372&amp;")"</f>
        <v>Shobhana-शोभन-Su (4.99)</v>
      </c>
      <c r="O372" s="2">
        <f ca="1">IF(AND(Panchanga!$P372&lt;28.5,Panchanga!$P372&gt;0.49999),MOD((Panchanga!$P372-0.5)*2,7),MOD((Panchanga!$P372+30-28.5),30)*2+7)</f>
        <v>3.357999999999997</v>
      </c>
      <c r="P372" s="2">
        <f ca="1">ROUNDUP(MOD(360+Panchanga!$G372-Panchanga!$F372,360)/12,4)</f>
        <v>23.178999999999998</v>
      </c>
      <c r="Q372" s="2">
        <f t="shared" ca="1" si="55"/>
        <v>4.99</v>
      </c>
      <c r="R372" s="2" t="str">
        <f ca="1">SIGN(S373-Panchanga!$S372)*INT(Panchanga!$S372/30+1)&amp;"Ma,"&amp;SIGN(T373-Panchanga!$T372)*INT(Panchanga!$T372/30+1)&amp;"Me,"&amp;SIGN(U373-Panchanga!$U372)*INT(Panchanga!$U372/30+1)&amp;"Ju,"&amp;SIGN(V373-Panchanga!$V372)*INT(Panchanga!$V372/30+1)&amp;"Ve,"&amp;SIGN(W373-Panchanga!$W372)*INT(Panchanga!$W372/30+1)&amp;"Sa,"&amp;INT(Panchanga!$X372/30+1)&amp;"Ra"</f>
        <v>12Ma,8Me,8Ju,7Ve,9Sa,4Ra</v>
      </c>
      <c r="S372" s="2">
        <f ca="1">Planet(Panchanga!$E372,4)</f>
        <v>334.5032165921009</v>
      </c>
      <c r="T372" s="2">
        <f ca="1">Planet(Panchanga!$E372,2)</f>
        <v>236.89691494847037</v>
      </c>
      <c r="U372" s="2">
        <f ca="1">Planet(Panchanga!$E372,5)</f>
        <v>227.23863098575927</v>
      </c>
      <c r="V372" s="2">
        <f ca="1">Planet(Panchanga!$E372,3)</f>
        <v>207.47273007185697</v>
      </c>
      <c r="W372" s="2">
        <f ca="1">Planet(Panchanga!$E372,6)</f>
        <v>257.02725591663943</v>
      </c>
      <c r="X372" s="2">
        <f ca="1">Planet(Panchanga!$E372,10)</f>
        <v>93.553035461684189</v>
      </c>
      <c r="Y372" s="2">
        <f ca="1">SIGN(S373-Panchanga!$S372)</f>
        <v>1</v>
      </c>
    </row>
    <row r="373" spans="1:25" x14ac:dyDescent="0.2">
      <c r="A373" s="3">
        <f t="shared" ca="1" si="56"/>
        <v>43465</v>
      </c>
      <c r="B373" s="3">
        <f t="shared" ca="1" si="49"/>
        <v>43465.229166666664</v>
      </c>
      <c r="C373" s="5">
        <f t="shared" ca="1" si="50"/>
        <v>43465.272939887051</v>
      </c>
      <c r="D373" s="5">
        <f t="shared" ca="1" si="51"/>
        <v>43464.744028707544</v>
      </c>
      <c r="E373" s="60">
        <f ca="1">Panchanga!$C373-TimeZone/24</f>
        <v>43465.043773220386</v>
      </c>
      <c r="F373" s="61">
        <f t="shared" ca="1" si="52"/>
        <v>255.16367818802988</v>
      </c>
      <c r="G373" s="61">
        <f t="shared" ca="1" si="53"/>
        <v>185.70052182913147</v>
      </c>
      <c r="H373" s="62">
        <f t="shared" ca="1" si="54"/>
        <v>43465.043773220386</v>
      </c>
      <c r="I373" s="2" t="str">
        <f ca="1">naks(Panchanga!$G373)</f>
        <v>Chitra</v>
      </c>
      <c r="J373" s="5">
        <f ca="1">(C374-Panchanga!$C373)/(G374-Panchanga!$G373)*(13.3333333333333-MOD(Panchanga!$G373,13.333333333333))+Panchanga!$C373</f>
        <v>43465.346563564693</v>
      </c>
      <c r="K373" s="2" t="str">
        <f ca="1">IF(Panchanga!$P373&gt;15,"K","S")&amp;ROUNDUP(MOD(Panchanga!$P373,15),0)&amp;" ("&amp;ROUND(Panchanga!$P373,2)&amp;")"</f>
        <v>K10 (24.21)</v>
      </c>
      <c r="L373" s="2">
        <f ca="1">IF(AND(Panchanga!$P373&lt;28.5,Panchanga!$P373&gt;0.49999),MOD((Panchanga!$P373-0.5)*2,7),MOD((Panchanga!$P373+30-28.5),30)*2+7)</f>
        <v>5.4230000000000018</v>
      </c>
      <c r="M373" s="2" t="str">
        <f ca="1">CHOOSE(ROUNDUP(Panchanga!$L373,0),"Bhava","Baalava","Kaulava","Taitula","Garija","Vanija","Vishti","Shakuni","Chatushapda","Naaga","Kimstugna")</f>
        <v>Vanija</v>
      </c>
      <c r="N373" s="25" t="str">
        <f ca="1">CHOOSE(ROUNDUP(Panchanga!$Q373,0),"Vishkambha-विष्कम्भ-Sa","Priti-प्रीति-Me","Ayushman-आयुष्मान-Ke","Saubhagya-सौभाग्य-Ve","Shobhana-शोभन-Su","Atiganda-अतिगण्ड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("&amp;Panchanga!$Q373&amp;")"</f>
        <v>Sukarman-सुकर्मा -Ma (6.07)</v>
      </c>
      <c r="O373" s="2">
        <f ca="1">IF(AND(Panchanga!$P373&lt;28.5,Panchanga!$P373&gt;0.49999),MOD((Panchanga!$P373-0.5)*2,7),MOD((Panchanga!$P373+30-28.5),30)*2+7)</f>
        <v>5.4230000000000018</v>
      </c>
      <c r="P373" s="2">
        <f ca="1">ROUNDUP(MOD(360+Panchanga!$G373-Panchanga!$F373,360)/12,4)</f>
        <v>24.211500000000001</v>
      </c>
      <c r="Q373" s="2">
        <f t="shared" ca="1" si="55"/>
        <v>6.0699999999999994</v>
      </c>
      <c r="R373" s="2" t="str">
        <f ca="1">SIGN(S374-Panchanga!$S373)*INT(Panchanga!$S373/30+1)&amp;"Ma,"&amp;SIGN(T374-Panchanga!$T373)*INT(Panchanga!$T373/30+1)&amp;"Me,"&amp;SIGN(U374-Panchanga!$U373)*INT(Panchanga!$U373/30+1)&amp;"Ju,"&amp;SIGN(V374-Panchanga!$V373)*INT(Panchanga!$V373/30+1)&amp;"Ve,"&amp;SIGN(W374-Panchanga!$W373)*INT(Panchanga!$W373/30+1)&amp;"Sa,"&amp;INT(Panchanga!$X373/30+1)&amp;"Ra"</f>
        <v>12Ma,8Me,8Ju,7Ve,9Sa,4Ra</v>
      </c>
      <c r="S373" s="2">
        <f ca="1">Planet(Panchanga!$E373,4)</f>
        <v>335.1743904005412</v>
      </c>
      <c r="T373" s="2">
        <f ca="1">Planet(Panchanga!$E373,2)</f>
        <v>238.34358643528427</v>
      </c>
      <c r="U373" s="2">
        <f ca="1">Planet(Panchanga!$E373,5)</f>
        <v>227.44983826927424</v>
      </c>
      <c r="V373" s="2">
        <f ca="1">Planet(Panchanga!$E373,3)</f>
        <v>208.44202926835339</v>
      </c>
      <c r="W373" s="2">
        <f ca="1">Planet(Panchanga!$E373,6)</f>
        <v>257.14539184822854</v>
      </c>
      <c r="X373" s="2">
        <f ca="1">Planet(Panchanga!$E373,10)</f>
        <v>93.500028480496923</v>
      </c>
      <c r="Y373" s="2">
        <f ca="1">SIGN(S374-Panchanga!$S373)</f>
        <v>1</v>
      </c>
    </row>
    <row r="374" spans="1:25" x14ac:dyDescent="0.2">
      <c r="A374" s="3">
        <f t="shared" ca="1" si="56"/>
        <v>43466</v>
      </c>
      <c r="B374" s="3">
        <f t="shared" ca="1" si="49"/>
        <v>43466.229166666664</v>
      </c>
      <c r="C374" s="5">
        <f t="shared" ca="1" si="50"/>
        <v>43466.273213909626</v>
      </c>
      <c r="D374" s="5">
        <f t="shared" ca="1" si="51"/>
        <v>43465.744416852991</v>
      </c>
      <c r="E374" s="60">
        <f ca="1">Panchanga!$C374-TimeZone/24</f>
        <v>43466.044047242962</v>
      </c>
      <c r="F374" s="61">
        <f t="shared" ca="1" si="52"/>
        <v>256.18333954124978</v>
      </c>
      <c r="G374" s="61">
        <f t="shared" ca="1" si="53"/>
        <v>198.82686397802431</v>
      </c>
      <c r="H374" s="62">
        <f t="shared" ca="1" si="54"/>
        <v>43466.044047242962</v>
      </c>
      <c r="I374" s="2" t="str">
        <f ca="1">naks(Panchanga!$G374)</f>
        <v>Swati</v>
      </c>
      <c r="J374" s="5">
        <f ca="1">(C375-Panchanga!$C374)/(G375-Panchanga!$G374)*(13.3333333333333-MOD(Panchanga!$G374,13.333333333333))+Panchanga!$C374</f>
        <v>43466.364398274301</v>
      </c>
      <c r="K374" s="2" t="str">
        <f ca="1">IF(Panchanga!$P374&gt;15,"K","S")&amp;ROUNDUP(MOD(Panchanga!$P374,15),0)&amp;" ("&amp;ROUND(Panchanga!$P374,2)&amp;")"</f>
        <v>K11 (25.22)</v>
      </c>
      <c r="L374" s="2">
        <f ca="1">IF(AND(Panchanga!$P374&lt;28.5,Panchanga!$P374&gt;0.49999),MOD((Panchanga!$P374-0.5)*2,7),MOD((Panchanga!$P374+30-28.5),30)*2+7)</f>
        <v>0.44059999999999633</v>
      </c>
      <c r="M374" s="2" t="str">
        <f ca="1">CHOOSE(ROUNDUP(Panchanga!$L374,0),"Bhava","Baalava","Kaulava","Taitula","Garija","Vanija","Vishti","Shakuni","Chatushapda","Naaga","Kimstugna")</f>
        <v>Bhava</v>
      </c>
      <c r="N374" s="25" t="str">
        <f ca="1">CHOOSE(ROUNDUP(Panchanga!$Q374,0),"Vishkambha-विष्कम्भ-Sa","Priti-प्रीति-Me","Ayushman-आयुष्मान-Ke","Saubhagya-सौभाग्य-Ve","Shobhana-शोभन-Su","Atiganda-अतिगण्ड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("&amp;Panchanga!$Q374&amp;")"</f>
        <v>Dhriti-धृति -Ra (7.13)</v>
      </c>
      <c r="O374" s="2">
        <f ca="1">IF(AND(Panchanga!$P374&lt;28.5,Panchanga!$P374&gt;0.49999),MOD((Panchanga!$P374-0.5)*2,7),MOD((Panchanga!$P374+30-28.5),30)*2+7)</f>
        <v>0.44059999999999633</v>
      </c>
      <c r="P374" s="2">
        <f ca="1">ROUNDUP(MOD(360+Panchanga!$G374-Panchanga!$F374,360)/12,4)</f>
        <v>25.220299999999998</v>
      </c>
      <c r="Q374" s="2">
        <f t="shared" ca="1" si="55"/>
        <v>7.13</v>
      </c>
      <c r="R374" s="2" t="str">
        <f ca="1">SIGN(S375-Panchanga!$S374)*INT(Panchanga!$S374/30+1)&amp;"Ma,"&amp;SIGN(T375-Panchanga!$T374)*INT(Panchanga!$T374/30+1)&amp;"Me,"&amp;SIGN(U375-Panchanga!$U374)*INT(Panchanga!$U374/30+1)&amp;"Ju,"&amp;SIGN(V375-Panchanga!$V374)*INT(Panchanga!$V374/30+1)&amp;"Ve,"&amp;SIGN(W375-Panchanga!$W374)*INT(Panchanga!$W374/30+1)&amp;"Sa,"&amp;INT(Panchanga!$X374/30+1)&amp;"Ra"</f>
        <v>12Ma,8Me,8Ju,7Ve,9Sa,4Ra</v>
      </c>
      <c r="S374" s="2">
        <f ca="1">Planet(Panchanga!$E374,4)</f>
        <v>335.84609374354852</v>
      </c>
      <c r="T374" s="2">
        <f ca="1">Planet(Panchanga!$E374,2)</f>
        <v>239.80072471687521</v>
      </c>
      <c r="U374" s="2">
        <f ca="1">Planet(Panchanga!$E374,5)</f>
        <v>227.66027858418499</v>
      </c>
      <c r="V374" s="2">
        <f ca="1">Planet(Panchanga!$E374,3)</f>
        <v>209.41974307033468</v>
      </c>
      <c r="W374" s="2">
        <f ca="1">Planet(Panchanga!$E374,6)</f>
        <v>257.26359863969537</v>
      </c>
      <c r="X374" s="2">
        <f ca="1">Planet(Panchanga!$E374,10)</f>
        <v>93.447021962509652</v>
      </c>
      <c r="Y374" s="2">
        <f ca="1">SIGN(S375-Panchanga!$S374)</f>
        <v>1</v>
      </c>
    </row>
    <row r="375" spans="1:25" x14ac:dyDescent="0.2">
      <c r="A375" s="3">
        <f t="shared" ca="1" si="56"/>
        <v>43467</v>
      </c>
      <c r="B375" s="3">
        <f t="shared" ca="1" si="49"/>
        <v>43467.229166666664</v>
      </c>
      <c r="C375" s="5">
        <f t="shared" ca="1" si="50"/>
        <v>43467.273478713039</v>
      </c>
      <c r="D375" s="5">
        <f t="shared" ca="1" si="51"/>
        <v>43466.744807859461</v>
      </c>
      <c r="E375" s="60">
        <f ca="1">Panchanga!$C375-TimeZone/24</f>
        <v>43467.044312046375</v>
      </c>
      <c r="F375" s="61">
        <f t="shared" ca="1" si="52"/>
        <v>257.20309017125066</v>
      </c>
      <c r="G375" s="61">
        <f t="shared" ca="1" si="53"/>
        <v>211.69581005830506</v>
      </c>
      <c r="H375" s="62">
        <f t="shared" ca="1" si="54"/>
        <v>43467.044312046375</v>
      </c>
      <c r="I375" s="2" t="str">
        <f ca="1">naks(Panchanga!$G375)</f>
        <v>Visakha</v>
      </c>
      <c r="J375" s="5">
        <f ca="1">(C376-Panchanga!$C375)/(G376-Panchanga!$G375)*(13.3333333333333-MOD(Panchanga!$G375,13.333333333333))+Panchanga!$C375</f>
        <v>43467.403085127058</v>
      </c>
      <c r="K375" s="2" t="str">
        <f ca="1">IF(Panchanga!$P375&gt;15,"K","S")&amp;ROUNDUP(MOD(Panchanga!$P375,15),0)&amp;" ("&amp;ROUND(Panchanga!$P375,2)&amp;")"</f>
        <v>K12 (26.21)</v>
      </c>
      <c r="L375" s="2">
        <f ca="1">IF(AND(Panchanga!$P375&lt;28.5,Panchanga!$P375&gt;0.49999),MOD((Panchanga!$P375-0.5)*2,7),MOD((Panchanga!$P375+30-28.5),30)*2+7)</f>
        <v>2.4155999999999977</v>
      </c>
      <c r="M375" s="2" t="str">
        <f ca="1">CHOOSE(ROUNDUP(Panchanga!$L375,0),"Bhava","Baalava","Kaulava","Taitula","Garija","Vanija","Vishti","Shakuni","Chatushapda","Naaga","Kimstugna")</f>
        <v>Kaulava</v>
      </c>
      <c r="N375" s="25" t="str">
        <f ca="1">CHOOSE(ROUNDUP(Panchanga!$Q375,0),"Vishkambha-विष्कम्भ-Sa","Priti-प्रीति-Me","Ayushman-आयुष्मान-Ke","Saubhagya-सौभाग्य-Ve","Shobhana-शोभन-Su","Atiganda-अतिगण्ड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("&amp;Panchanga!$Q375&amp;")"</f>
        <v>Shula-शूल -Ju (8.17)</v>
      </c>
      <c r="O375" s="2">
        <f ca="1">IF(AND(Panchanga!$P375&lt;28.5,Panchanga!$P375&gt;0.49999),MOD((Panchanga!$P375-0.5)*2,7),MOD((Panchanga!$P375+30-28.5),30)*2+7)</f>
        <v>2.4155999999999977</v>
      </c>
      <c r="P375" s="2">
        <f ca="1">ROUNDUP(MOD(360+Panchanga!$G375-Panchanga!$F375,360)/12,4)</f>
        <v>26.207799999999999</v>
      </c>
      <c r="Q375" s="2">
        <f t="shared" ca="1" si="55"/>
        <v>8.17</v>
      </c>
      <c r="R375" s="2" t="str">
        <f ca="1">SIGN(S376-Panchanga!$S375)*INT(Panchanga!$S375/30+1)&amp;"Ma,"&amp;SIGN(T376-Panchanga!$T375)*INT(Panchanga!$T375/30+1)&amp;"Me,"&amp;SIGN(U376-Panchanga!$U375)*INT(Panchanga!$U375/30+1)&amp;"Ju,"&amp;SIGN(V376-Panchanga!$V375)*INT(Panchanga!$V375/30+1)&amp;"Ve,"&amp;SIGN(W376-Panchanga!$W375)*INT(Panchanga!$W375/30+1)&amp;"Sa,"&amp;INT(Panchanga!$X375/30+1)&amp;"Ra"</f>
        <v>12Ma,9Me,8Ju,8Ve,9Sa,4Ra</v>
      </c>
      <c r="S375" s="2">
        <f ca="1">Planet(Panchanga!$E375,4)</f>
        <v>336.51831177011485</v>
      </c>
      <c r="T375" s="2">
        <f ca="1">Planet(Panchanga!$E375,2)</f>
        <v>241.26756848713961</v>
      </c>
      <c r="U375" s="2">
        <f ca="1">Planet(Panchanga!$E375,5)</f>
        <v>227.86992430819623</v>
      </c>
      <c r="V375" s="2">
        <f ca="1">Planet(Panchanga!$E375,3)</f>
        <v>210.40553722147422</v>
      </c>
      <c r="W375" s="2">
        <f ca="1">Planet(Panchanga!$E375,6)</f>
        <v>257.38179031850143</v>
      </c>
      <c r="X375" s="2">
        <f ca="1">Planet(Panchanga!$E375,10)</f>
        <v>93.394015933122333</v>
      </c>
      <c r="Y375" s="2">
        <f ca="1">SIGN(S376-Panchanga!$S375)</f>
        <v>1</v>
      </c>
    </row>
    <row r="376" spans="1:25" x14ac:dyDescent="0.2">
      <c r="A376" s="3">
        <f t="shared" ca="1" si="56"/>
        <v>43468</v>
      </c>
      <c r="B376" s="3">
        <f t="shared" ca="1" si="49"/>
        <v>43468.229166666664</v>
      </c>
      <c r="C376" s="5">
        <f t="shared" ca="1" si="50"/>
        <v>43468.273734138966</v>
      </c>
      <c r="D376" s="5">
        <f t="shared" ca="1" si="51"/>
        <v>43467.745201091326</v>
      </c>
      <c r="E376" s="60">
        <f ca="1">Panchanga!$C376-TimeZone/24</f>
        <v>43468.044567472301</v>
      </c>
      <c r="F376" s="61">
        <f t="shared" ca="1" si="52"/>
        <v>258.22290781155039</v>
      </c>
      <c r="G376" s="61">
        <f t="shared" ca="1" si="53"/>
        <v>224.33362241756146</v>
      </c>
      <c r="H376" s="62">
        <f t="shared" ca="1" si="54"/>
        <v>43468.044567472301</v>
      </c>
      <c r="I376" s="2" t="str">
        <f ca="1">naks(Panchanga!$G376)</f>
        <v>Anuradha</v>
      </c>
      <c r="J376" s="5">
        <f ca="1">(C377-Panchanga!$C376)/(G377-Panchanga!$G376)*(13.3333333333333-MOD(Panchanga!$G376,13.333333333333))+Panchanga!$C376</f>
        <v>43468.461445337191</v>
      </c>
      <c r="K376" s="2" t="str">
        <f ca="1">IF(Panchanga!$P376&gt;15,"K","S")&amp;ROUNDUP(MOD(Panchanga!$P376,15),0)&amp;" ("&amp;ROUND(Panchanga!$P376,2)&amp;")"</f>
        <v>K13 (27.18)</v>
      </c>
      <c r="L376" s="2">
        <f ca="1">IF(AND(Panchanga!$P376&lt;28.5,Panchanga!$P376&gt;0.49999),MOD((Panchanga!$P376-0.5)*2,7),MOD((Panchanga!$P376+30-28.5),30)*2+7)</f>
        <v>4.3517999999999972</v>
      </c>
      <c r="M376" s="2" t="str">
        <f ca="1">CHOOSE(ROUNDUP(Panchanga!$L376,0),"Bhava","Baalava","Kaulava","Taitula","Garija","Vanija","Vishti","Shakuni","Chatushapda","Naaga","Kimstugna")</f>
        <v>Garija</v>
      </c>
      <c r="N376" s="25" t="str">
        <f ca="1">CHOOSE(ROUNDUP(Panchanga!$Q376,0),"Vishkambha-विष्कम्भ-Sa","Priti-प्रीति-Me","Ayushman-आयुष्मान-Ke","Saubhagya-सौभाग्य-Ve","Shobhana-शोभन-Su","Atiganda-अतिगण्ड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("&amp;Panchanga!$Q376&amp;")"</f>
        <v>Ganda-गण्ड -Sa (9.2)</v>
      </c>
      <c r="O376" s="2">
        <f ca="1">IF(AND(Panchanga!$P376&lt;28.5,Panchanga!$P376&gt;0.49999),MOD((Panchanga!$P376-0.5)*2,7),MOD((Panchanga!$P376+30-28.5),30)*2+7)</f>
        <v>4.3517999999999972</v>
      </c>
      <c r="P376" s="2">
        <f ca="1">ROUNDUP(MOD(360+Panchanga!$G376-Panchanga!$F376,360)/12,4)</f>
        <v>27.175899999999999</v>
      </c>
      <c r="Q376" s="2">
        <f t="shared" ca="1" si="55"/>
        <v>9.1999999999999993</v>
      </c>
      <c r="R376" s="2" t="str">
        <f ca="1">SIGN(S377-Panchanga!$S376)*INT(Panchanga!$S376/30+1)&amp;"Ma,"&amp;SIGN(T377-Panchanga!$T376)*INT(Panchanga!$T376/30+1)&amp;"Me,"&amp;SIGN(U377-Panchanga!$U376)*INT(Panchanga!$U376/30+1)&amp;"Ju,"&amp;SIGN(V377-Panchanga!$V376)*INT(Panchanga!$V376/30+1)&amp;"Ve,"&amp;SIGN(W377-Panchanga!$W376)*INT(Panchanga!$W376/30+1)&amp;"Sa,"&amp;INT(Panchanga!$X376/30+1)&amp;"Ra"</f>
        <v>12Ma,9Me,8Ju,8Ve,9Sa,4Ra</v>
      </c>
      <c r="S376" s="2">
        <f ca="1">Planet(Panchanga!$E376,4)</f>
        <v>337.19102756792563</v>
      </c>
      <c r="T376" s="2">
        <f ca="1">Planet(Panchanga!$E376,2)</f>
        <v>242.74349274785669</v>
      </c>
      <c r="U376" s="2">
        <f ca="1">Planet(Panchanga!$E376,5)</f>
        <v>228.07874759343983</v>
      </c>
      <c r="V376" s="2">
        <f ca="1">Planet(Panchanga!$E376,3)</f>
        <v>211.39909220460746</v>
      </c>
      <c r="W376" s="2">
        <f ca="1">Planet(Panchanga!$E376,6)</f>
        <v>257.49980800201888</v>
      </c>
      <c r="X376" s="2">
        <f ca="1">Planet(Panchanga!$E376,10)</f>
        <v>93.341010400652479</v>
      </c>
      <c r="Y376" s="2">
        <f ca="1">SIGN(S377-Panchanga!$S376)</f>
        <v>1</v>
      </c>
    </row>
    <row r="377" spans="1:25" x14ac:dyDescent="0.2">
      <c r="A377" s="3">
        <f t="shared" ca="1" si="56"/>
        <v>43469</v>
      </c>
      <c r="B377" s="3">
        <f t="shared" ca="1" si="49"/>
        <v>43469.229166666664</v>
      </c>
      <c r="C377" s="5">
        <f t="shared" ca="1" si="50"/>
        <v>43469.273979710102</v>
      </c>
      <c r="D377" s="5">
        <f t="shared" ca="1" si="51"/>
        <v>43468.745596230074</v>
      </c>
      <c r="E377" s="60">
        <f ca="1">Panchanga!$C377-TimeZone/24</f>
        <v>43469.044813043438</v>
      </c>
      <c r="F377" s="61">
        <f t="shared" ca="1" si="52"/>
        <v>259.24276820526097</v>
      </c>
      <c r="G377" s="61">
        <f t="shared" ca="1" si="53"/>
        <v>236.76557746092195</v>
      </c>
      <c r="H377" s="62">
        <f t="shared" ca="1" si="54"/>
        <v>43469.044813043438</v>
      </c>
      <c r="I377" s="2" t="str">
        <f ca="1">naks(Panchanga!$G377)</f>
        <v>Jyestha</v>
      </c>
      <c r="J377" s="5">
        <f ca="1">(C378-Panchanga!$C377)/(G378-Panchanga!$G377)*(13.3333333333333-MOD(Panchanga!$G377,13.333333333333))+Panchanga!$C377</f>
        <v>43469.538068745991</v>
      </c>
      <c r="K377" s="2" t="str">
        <f ca="1">IF(Panchanga!$P377&gt;15,"K","S")&amp;ROUNDUP(MOD(Panchanga!$P377,15),0)&amp;" ("&amp;ROUND(Panchanga!$P377,2)&amp;")"</f>
        <v>K14 (28.13)</v>
      </c>
      <c r="L377" s="2">
        <f ca="1">IF(AND(Panchanga!$P377&lt;28.5,Panchanga!$P377&gt;0.49999),MOD((Panchanga!$P377-0.5)*2,7),MOD((Panchanga!$P377+30-28.5),30)*2+7)</f>
        <v>6.2539999999999978</v>
      </c>
      <c r="M377" s="2" t="str">
        <f ca="1">CHOOSE(ROUNDUP(Panchanga!$L377,0),"Bhava","Baalava","Kaulava","Taitula","Garija","Vanija","Vishti","Shakuni","Chatushapda","Naaga","Kimstugna")</f>
        <v>Vishti</v>
      </c>
      <c r="N377" s="25" t="str">
        <f ca="1">CHOOSE(ROUNDUP(Panchanga!$Q377,0),"Vishkambha-विष्कम्भ-Sa","Priti-प्रीति-Me","Ayushman-आयुष्मान-Ke","Saubhagya-सौभाग्य-Ve","Shobhana-शोभन-Su","Atiganda-अतिगण्ड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("&amp;Panchanga!$Q377&amp;")"</f>
        <v>Vriddhi-वृद्धि -Me (10.21)</v>
      </c>
      <c r="O377" s="2">
        <f ca="1">IF(AND(Panchanga!$P377&lt;28.5,Panchanga!$P377&gt;0.49999),MOD((Panchanga!$P377-0.5)*2,7),MOD((Panchanga!$P377+30-28.5),30)*2+7)</f>
        <v>6.2539999999999978</v>
      </c>
      <c r="P377" s="2">
        <f ca="1">ROUNDUP(MOD(360+Panchanga!$G377-Panchanga!$F377,360)/12,4)</f>
        <v>28.126999999999999</v>
      </c>
      <c r="Q377" s="2">
        <f t="shared" ca="1" si="55"/>
        <v>10.209999999999999</v>
      </c>
      <c r="R377" s="2" t="str">
        <f ca="1">SIGN(S378-Panchanga!$S377)*INT(Panchanga!$S377/30+1)&amp;"Ma,"&amp;SIGN(T378-Panchanga!$T377)*INT(Panchanga!$T377/30+1)&amp;"Me,"&amp;SIGN(U378-Panchanga!$U377)*INT(Panchanga!$U377/30+1)&amp;"Ju,"&amp;SIGN(V378-Panchanga!$V377)*INT(Panchanga!$V377/30+1)&amp;"Ve,"&amp;SIGN(W378-Panchanga!$W377)*INT(Panchanga!$W377/30+1)&amp;"Sa,"&amp;INT(Panchanga!$X377/30+1)&amp;"Ra"</f>
        <v>12Ma,9Me,8Ju,8Ve,9Sa,4Ra</v>
      </c>
      <c r="S377" s="2">
        <f ca="1">Planet(Panchanga!$E377,4)</f>
        <v>337.86422171199547</v>
      </c>
      <c r="T377" s="2">
        <f ca="1">Planet(Panchanga!$E377,2)</f>
        <v>244.22799100349226</v>
      </c>
      <c r="U377" s="2">
        <f ca="1">Planet(Panchanga!$E377,5)</f>
        <v>228.28672036758283</v>
      </c>
      <c r="V377" s="2">
        <f ca="1">Planet(Panchanga!$E377,3)</f>
        <v>212.40010277023208</v>
      </c>
      <c r="W377" s="2">
        <f ca="1">Planet(Panchanga!$E377,6)</f>
        <v>257.61805970826924</v>
      </c>
      <c r="X377" s="2">
        <f ca="1">Planet(Panchanga!$E377,10)</f>
        <v>93.28800539040067</v>
      </c>
      <c r="Y377" s="2">
        <f ca="1">SIGN(S378-Panchanga!$S377)</f>
        <v>1</v>
      </c>
    </row>
    <row r="378" spans="1:25" x14ac:dyDescent="0.2">
      <c r="A378" s="3">
        <f t="shared" ca="1" si="56"/>
        <v>43470</v>
      </c>
      <c r="B378" s="3">
        <f t="shared" ca="1" si="49"/>
        <v>43470.229166666664</v>
      </c>
      <c r="C378" s="5">
        <f t="shared" ca="1" si="50"/>
        <v>43470.274215108868</v>
      </c>
      <c r="D378" s="5">
        <f t="shared" ca="1" si="51"/>
        <v>43469.745992958589</v>
      </c>
      <c r="E378" s="60">
        <f ca="1">Panchanga!$C378-TimeZone/24</f>
        <v>43470.045048442204</v>
      </c>
      <c r="F378" s="61">
        <f t="shared" ca="1" si="52"/>
        <v>260.26264620266028</v>
      </c>
      <c r="G378" s="61">
        <f t="shared" ca="1" si="53"/>
        <v>249.01593048011478</v>
      </c>
      <c r="H378" s="62">
        <f t="shared" ca="1" si="54"/>
        <v>43470.045048442204</v>
      </c>
      <c r="I378" s="2" t="str">
        <f ca="1">naks(Panchanga!$G378)</f>
        <v>Moola</v>
      </c>
      <c r="J378" s="5">
        <f ca="1">(C379-Panchanga!$C378)/(G379-Panchanga!$G378)*(13.3333333333333-MOD(Panchanga!$G378,13.333333333333))+Panchanga!$C378</f>
        <v>43470.631304997332</v>
      </c>
      <c r="K378" s="2" t="str">
        <f ca="1">IF(Panchanga!$P378&gt;15,"K","S")&amp;ROUNDUP(MOD(Panchanga!$P378,15),0)&amp;" ("&amp;ROUND(Panchanga!$P378,2)&amp;")"</f>
        <v>K15 (29.06)</v>
      </c>
      <c r="L378" s="2">
        <f ca="1">IF(AND(Panchanga!$P378&lt;28.5,Panchanga!$P378&gt;0.49999),MOD((Panchanga!$P378-0.5)*2,7),MOD((Panchanga!$P378+30-28.5),30)*2+7)</f>
        <v>8.1255999999999915</v>
      </c>
      <c r="M378" s="2" t="str">
        <f ca="1">CHOOSE(ROUNDUP(Panchanga!$L378,0),"Bhava","Baalava","Kaulava","Taitula","Garija","Vanija","Vishti","Shakuni","Chatushapda","Naaga","Kimstugna")</f>
        <v>Chatushapda</v>
      </c>
      <c r="N378" s="25" t="str">
        <f ca="1">CHOOSE(ROUNDUP(Panchanga!$Q378,0),"Vishkambha-विष्कम्भ-Sa","Priti-प्रीति-Me","Ayushman-आयुष्मान-Ke","Saubhagya-सौभाग्य-Ve","Shobhana-शोभन-Su","Atiganda-अतिगण्ड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("&amp;Panchanga!$Q378&amp;")"</f>
        <v>Dhruva-ध्रुव -Ke (11.2)</v>
      </c>
      <c r="O378" s="2">
        <f ca="1">IF(AND(Panchanga!$P378&lt;28.5,Panchanga!$P378&gt;0.49999),MOD((Panchanga!$P378-0.5)*2,7),MOD((Panchanga!$P378+30-28.5),30)*2+7)</f>
        <v>8.1255999999999915</v>
      </c>
      <c r="P378" s="2">
        <f ca="1">ROUNDUP(MOD(360+Panchanga!$G378-Panchanga!$F378,360)/12,4)</f>
        <v>29.062799999999999</v>
      </c>
      <c r="Q378" s="2">
        <f t="shared" ca="1" si="55"/>
        <v>11.2</v>
      </c>
      <c r="R378" s="2" t="str">
        <f ca="1">SIGN(S379-Panchanga!$S378)*INT(Panchanga!$S378/30+1)&amp;"Ma,"&amp;SIGN(T379-Panchanga!$T378)*INT(Panchanga!$T378/30+1)&amp;"Me,"&amp;SIGN(U379-Panchanga!$U378)*INT(Panchanga!$U378/30+1)&amp;"Ju,"&amp;SIGN(V379-Panchanga!$V378)*INT(Panchanga!$V378/30+1)&amp;"Ve,"&amp;SIGN(W379-Panchanga!$W378)*INT(Panchanga!$W378/30+1)&amp;"Sa,"&amp;INT(Panchanga!$X378/30+1)&amp;"Ra"</f>
        <v>12Ma,9Me,8Ju,8Ve,9Sa,4Ra</v>
      </c>
      <c r="S378" s="2">
        <f ca="1">Planet(Panchanga!$E378,4)</f>
        <v>338.5378726628191</v>
      </c>
      <c r="T378" s="2">
        <f ca="1">Planet(Panchanga!$E378,2)</f>
        <v>245.72066136612548</v>
      </c>
      <c r="U378" s="2">
        <f ca="1">Planet(Panchanga!$E378,5)</f>
        <v>228.49381456659708</v>
      </c>
      <c r="V378" s="2">
        <f ca="1">Planet(Panchanga!$E378,3)</f>
        <v>213.4082784423727</v>
      </c>
      <c r="W378" s="2">
        <f ca="1">Planet(Panchanga!$E378,6)</f>
        <v>257.73625563428305</v>
      </c>
      <c r="X378" s="2">
        <f ca="1">Planet(Panchanga!$E378,10)</f>
        <v>93.235000919200786</v>
      </c>
      <c r="Y378" s="2">
        <f ca="1">SIGN(S379-Panchanga!$S378)</f>
        <v>1</v>
      </c>
    </row>
    <row r="379" spans="1:25" x14ac:dyDescent="0.2">
      <c r="A379" s="3">
        <f t="shared" ca="1" si="56"/>
        <v>43471</v>
      </c>
      <c r="B379" s="3">
        <f t="shared" ca="1" si="49"/>
        <v>43471.229166666664</v>
      </c>
      <c r="C379" s="5">
        <f t="shared" ca="1" si="50"/>
        <v>43471.27444001675</v>
      </c>
      <c r="D379" s="5">
        <f t="shared" ca="1" si="51"/>
        <v>43470.746390481989</v>
      </c>
      <c r="E379" s="60">
        <f ca="1">Panchanga!$C379-TimeZone/24</f>
        <v>43471.045273350086</v>
      </c>
      <c r="F379" s="61">
        <f t="shared" ca="1" si="52"/>
        <v>261.28251621577107</v>
      </c>
      <c r="G379" s="61">
        <f t="shared" ca="1" si="53"/>
        <v>261.10917089556983</v>
      </c>
      <c r="H379" s="62">
        <f t="shared" ca="1" si="54"/>
        <v>43471.045273350086</v>
      </c>
      <c r="I379" s="2" t="str">
        <f ca="1">naks(Panchanga!$G379)</f>
        <v>Purva Asadha</v>
      </c>
      <c r="J379" s="5">
        <f ca="1">(C380-Panchanga!$C379)/(G380-Panchanga!$G379)*(13.3333333333333-MOD(Panchanga!$G379,13.333333333333))+Panchanga!$C379</f>
        <v>43471.739101241983</v>
      </c>
      <c r="K379" s="2" t="str">
        <f ca="1">IF(Panchanga!$P379&gt;15,"K","S")&amp;ROUNDUP(MOD(Panchanga!$P379,15),0)&amp;" ("&amp;ROUND(Panchanga!$P379,2)&amp;")"</f>
        <v>K15 (29.99)</v>
      </c>
      <c r="L379" s="2">
        <f ca="1">IF(AND(Panchanga!$P379&lt;28.5,Panchanga!$P379&gt;0.49999),MOD((Panchanga!$P379-0.5)*2,7),MOD((Panchanga!$P379+30-28.5),30)*2+7)</f>
        <v>9.9711999999999961</v>
      </c>
      <c r="M379" s="2" t="str">
        <f ca="1">CHOOSE(ROUNDUP(Panchanga!$L379,0),"Bhava","Baalava","Kaulava","Taitula","Garija","Vanija","Vishti","Shakuni","Chatushapda","Naaga","Kimstugna")</f>
        <v>Naaga</v>
      </c>
      <c r="N379" s="25" t="str">
        <f ca="1">CHOOSE(ROUNDUP(Panchanga!$Q379,0),"Vishkambha-विष्कम्भ-Sa","Priti-प्रीति-Me","Ayushman-आयुष्मान-Ke","Saubhagya-सौभाग्य-Ve","Shobhana-शोभन-Su","Atiganda-अतिगण्ड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("&amp;Panchanga!$Q379&amp;")"</f>
        <v>Vyaghata-व्याघात-ve (12.18)</v>
      </c>
      <c r="O379" s="2">
        <f ca="1">IF(AND(Panchanga!$P379&lt;28.5,Panchanga!$P379&gt;0.49999),MOD((Panchanga!$P379-0.5)*2,7),MOD((Panchanga!$P379+30-28.5),30)*2+7)</f>
        <v>9.9711999999999961</v>
      </c>
      <c r="P379" s="2">
        <f ca="1">ROUNDUP(MOD(360+Panchanga!$G379-Panchanga!$F379,360)/12,4)</f>
        <v>29.985599999999998</v>
      </c>
      <c r="Q379" s="2">
        <f t="shared" ca="1" si="55"/>
        <v>12.18</v>
      </c>
      <c r="R379" s="2" t="str">
        <f ca="1">SIGN(S380-Panchanga!$S379)*INT(Panchanga!$S379/30+1)&amp;"Ma,"&amp;SIGN(T380-Panchanga!$T379)*INT(Panchanga!$T379/30+1)&amp;"Me,"&amp;SIGN(U380-Panchanga!$U379)*INT(Panchanga!$U379/30+1)&amp;"Ju,"&amp;SIGN(V380-Panchanga!$V379)*INT(Panchanga!$V379/30+1)&amp;"Ve,"&amp;SIGN(W380-Panchanga!$W379)*INT(Panchanga!$W379/30+1)&amp;"Sa,"&amp;INT(Panchanga!$X379/30+1)&amp;"Ra"</f>
        <v>12Ma,9Me,8Ju,8Ve,9Sa,4Ra</v>
      </c>
      <c r="S379" s="2">
        <f ca="1">Planet(Panchanga!$E379,4)</f>
        <v>339.21195686334448</v>
      </c>
      <c r="T379" s="2">
        <f ca="1">Planet(Panchanga!$E379,2)</f>
        <v>247.22119366946129</v>
      </c>
      <c r="U379" s="2">
        <f ca="1">Planet(Panchanga!$E379,5)</f>
        <v>228.70000221769246</v>
      </c>
      <c r="V379" s="2">
        <f ca="1">Planet(Panchanga!$E379,3)</f>
        <v>214.42334322178289</v>
      </c>
      <c r="W379" s="2">
        <f ca="1">Planet(Panchanga!$E379,6)</f>
        <v>257.85438928106242</v>
      </c>
      <c r="X379" s="2">
        <f ca="1">Planet(Panchanga!$E379,10)</f>
        <v>93.181997003936473</v>
      </c>
      <c r="Y379" s="2">
        <f ca="1">SIGN(S380-Panchanga!$S379)</f>
        <v>1</v>
      </c>
    </row>
    <row r="380" spans="1:25" x14ac:dyDescent="0.2">
      <c r="A380" s="3">
        <f t="shared" ca="1" si="56"/>
        <v>43472</v>
      </c>
      <c r="B380" s="3">
        <f t="shared" ca="1" si="49"/>
        <v>43472.229166666664</v>
      </c>
      <c r="C380" s="5">
        <f t="shared" ca="1" si="50"/>
        <v>43472.27465427589</v>
      </c>
      <c r="D380" s="5">
        <f t="shared" ca="1" si="51"/>
        <v>43471.746788641016</v>
      </c>
      <c r="E380" s="60">
        <f ca="1">Panchanga!$C380-TimeZone/24</f>
        <v>43472.045487609226</v>
      </c>
      <c r="F380" s="61">
        <f t="shared" ca="1" si="52"/>
        <v>262.30235293219226</v>
      </c>
      <c r="G380" s="61">
        <f t="shared" ca="1" si="53"/>
        <v>273.07205097568209</v>
      </c>
      <c r="H380" s="62">
        <f t="shared" ca="1" si="54"/>
        <v>43472.045487609226</v>
      </c>
      <c r="I380" s="2" t="str">
        <f ca="1">naks(Panchanga!$G380)</f>
        <v>Uttara Asadha</v>
      </c>
      <c r="J380" s="5">
        <f ca="1">(C381-Panchanga!$C380)/(G381-Panchanga!$G380)*(13.3333333333333-MOD(Panchanga!$G380,13.333333333333))+Panchanga!$C380</f>
        <v>43472.858728669722</v>
      </c>
      <c r="K380" s="2" t="str">
        <f ca="1">IF(Panchanga!$P380&gt;15,"K","S")&amp;ROUNDUP(MOD(Panchanga!$P380,15),0)&amp;" ("&amp;ROUND(Panchanga!$P380,2)&amp;")"</f>
        <v>S1 (0.9)</v>
      </c>
      <c r="L380" s="2">
        <f ca="1">IF(AND(Panchanga!$P380&lt;28.5,Panchanga!$P380&gt;0.49999),MOD((Panchanga!$P380-0.5)*2,7),MOD((Panchanga!$P380+30-28.5),30)*2+7)</f>
        <v>0.79499999999999993</v>
      </c>
      <c r="M380" s="2" t="str">
        <f ca="1">CHOOSE(ROUNDUP(Panchanga!$L380,0),"Bhava","Baalava","Kaulava","Taitula","Garija","Vanija","Vishti","Shakuni","Chatushapda","Naaga","Kimstugna")</f>
        <v>Bhava</v>
      </c>
      <c r="N380" s="25" t="str">
        <f ca="1">CHOOSE(ROUNDUP(Panchanga!$Q380,0),"Vishkambha-विष्कम्भ-Sa","Priti-प्रीति-Me","Ayushman-आयुष्मान-Ke","Saubhagya-सौभाग्य-Ve","Shobhana-शोभन-Su","Atiganda-अतिगण्ड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("&amp;Panchanga!$Q380&amp;")"</f>
        <v>Harshana-हर्षण-su (13.16)</v>
      </c>
      <c r="O380" s="2">
        <f ca="1">IF(AND(Panchanga!$P380&lt;28.5,Panchanga!$P380&gt;0.49999),MOD((Panchanga!$P380-0.5)*2,7),MOD((Panchanga!$P380+30-28.5),30)*2+7)</f>
        <v>0.79499999999999993</v>
      </c>
      <c r="P380" s="2">
        <f ca="1">ROUNDUP(MOD(360+Panchanga!$G380-Panchanga!$F380,360)/12,4)</f>
        <v>0.89749999999999996</v>
      </c>
      <c r="Q380" s="2">
        <f t="shared" ca="1" si="55"/>
        <v>13.16</v>
      </c>
      <c r="R380" s="2" t="str">
        <f ca="1">SIGN(S381-Panchanga!$S380)*INT(Panchanga!$S380/30+1)&amp;"Ma,"&amp;SIGN(T381-Panchanga!$T380)*INT(Panchanga!$T380/30+1)&amp;"Me,"&amp;SIGN(U381-Panchanga!$U380)*INT(Panchanga!$U380/30+1)&amp;"Ju,"&amp;SIGN(V381-Panchanga!$V380)*INT(Panchanga!$V380/30+1)&amp;"Ve,"&amp;SIGN(W381-Panchanga!$W380)*INT(Panchanga!$W380/30+1)&amp;"Sa,"&amp;INT(Panchanga!$X380/30+1)&amp;"Ra"</f>
        <v>12Ma,9Me,8Ju,8Ve,9Sa,4Ra</v>
      </c>
      <c r="S380" s="2">
        <f ca="1">Planet(Panchanga!$E380,4)</f>
        <v>339.88644915685029</v>
      </c>
      <c r="T380" s="2">
        <f ca="1">Planet(Panchanga!$E380,2)</f>
        <v>248.72935868057542</v>
      </c>
      <c r="U380" s="2">
        <f ca="1">Planet(Panchanga!$E380,5)</f>
        <v>228.90525556399336</v>
      </c>
      <c r="V380" s="2">
        <f ca="1">Planet(Panchanga!$E380,3)</f>
        <v>215.44503537681555</v>
      </c>
      <c r="W380" s="2">
        <f ca="1">Planet(Panchanga!$E380,6)</f>
        <v>257.97244567076564</v>
      </c>
      <c r="X380" s="2">
        <f ca="1">Planet(Panchanga!$E380,10)</f>
        <v>93.128993652991539</v>
      </c>
      <c r="Y380" s="2">
        <f ca="1">SIGN(S381-Panchanga!$S380)</f>
        <v>1</v>
      </c>
    </row>
    <row r="381" spans="1:25" x14ac:dyDescent="0.2">
      <c r="A381" s="3">
        <f t="shared" ca="1" si="56"/>
        <v>43473</v>
      </c>
      <c r="B381" s="3">
        <f t="shared" ca="1" si="49"/>
        <v>43473.229166666664</v>
      </c>
      <c r="C381" s="5">
        <f t="shared" ca="1" si="50"/>
        <v>43473.27485740852</v>
      </c>
      <c r="D381" s="5">
        <f t="shared" ca="1" si="51"/>
        <v>43472.747186958833</v>
      </c>
      <c r="E381" s="60">
        <f ca="1">Panchanga!$C381-TimeZone/24</f>
        <v>43473.045690741856</v>
      </c>
      <c r="F381" s="61">
        <f t="shared" ca="1" si="52"/>
        <v>263.32213125731766</v>
      </c>
      <c r="G381" s="61">
        <f t="shared" ca="1" si="53"/>
        <v>284.93587584106638</v>
      </c>
      <c r="H381" s="62">
        <f t="shared" ca="1" si="54"/>
        <v>43473.045690741856</v>
      </c>
      <c r="I381" s="2" t="str">
        <f ca="1">naks(Panchanga!$G381)</f>
        <v>Sravana</v>
      </c>
      <c r="J381" s="5">
        <f ca="1">(C382-Panchanga!$C381)/(G382-Panchanga!$G381)*(13.3333333333333-MOD(Panchanga!$G381,13.333333333333))+Panchanga!$C381</f>
        <v>43473.986480059153</v>
      </c>
      <c r="K381" s="2" t="str">
        <f ca="1">IF(Panchanga!$P381&gt;15,"K","S")&amp;ROUNDUP(MOD(Panchanga!$P381,15),0)&amp;" ("&amp;ROUND(Panchanga!$P381,2)&amp;")"</f>
        <v>S2 (1.8)</v>
      </c>
      <c r="L381" s="2">
        <f ca="1">IF(AND(Panchanga!$P381&lt;28.5,Panchanga!$P381&gt;0.49999),MOD((Panchanga!$P381-0.5)*2,7),MOD((Panchanga!$P381+30-28.5),30)*2+7)</f>
        <v>2.6023999999999998</v>
      </c>
      <c r="M381" s="2" t="str">
        <f ca="1">CHOOSE(ROUNDUP(Panchanga!$L381,0),"Bhava","Baalava","Kaulava","Taitula","Garija","Vanija","Vishti","Shakuni","Chatushapda","Naaga","Kimstugna")</f>
        <v>Kaulava</v>
      </c>
      <c r="N381" s="25" t="str">
        <f ca="1">CHOOSE(ROUNDUP(Panchanga!$Q381,0),"Vishkambha-विष्कम्भ-Sa","Priti-प्रीति-Me","Ayushman-आयुष्मान-Ke","Saubhagya-सौभाग्य-Ve","Shobhana-शोभन-Su","Atiganda-अतिगण्ड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("&amp;Panchanga!$Q381&amp;")"</f>
        <v>Vajra-वज्र-Mo (14.12)</v>
      </c>
      <c r="O381" s="2">
        <f ca="1">IF(AND(Panchanga!$P381&lt;28.5,Panchanga!$P381&gt;0.49999),MOD((Panchanga!$P381-0.5)*2,7),MOD((Panchanga!$P381+30-28.5),30)*2+7)</f>
        <v>2.6023999999999998</v>
      </c>
      <c r="P381" s="2">
        <f ca="1">ROUNDUP(MOD(360+Panchanga!$G381-Panchanga!$F381,360)/12,4)</f>
        <v>1.8011999999999999</v>
      </c>
      <c r="Q381" s="2">
        <f t="shared" ca="1" si="55"/>
        <v>14.12</v>
      </c>
      <c r="R381" s="2" t="str">
        <f ca="1">SIGN(S382-Panchanga!$S381)*INT(Panchanga!$S381/30+1)&amp;"Ma,"&amp;SIGN(T382-Panchanga!$T381)*INT(Panchanga!$T381/30+1)&amp;"Me,"&amp;SIGN(U382-Panchanga!$U381)*INT(Panchanga!$U381/30+1)&amp;"Ju,"&amp;SIGN(V382-Panchanga!$V381)*INT(Panchanga!$V381/30+1)&amp;"Ve,"&amp;SIGN(W382-Panchanga!$W381)*INT(Panchanga!$W381/30+1)&amp;"Sa,"&amp;INT(Panchanga!$X381/30+1)&amp;"Ra"</f>
        <v>12Ma,9Me,8Ju,8Ve,9Sa,4Ra</v>
      </c>
      <c r="S381" s="2">
        <f ca="1">Planet(Panchanga!$E381,4)</f>
        <v>340.56132282918958</v>
      </c>
      <c r="T381" s="2">
        <f ca="1">Planet(Panchanga!$E381,2)</f>
        <v>250.24499772842373</v>
      </c>
      <c r="U381" s="2">
        <f ca="1">Planet(Panchanga!$E381,5)</f>
        <v>229.1095470279673</v>
      </c>
      <c r="V381" s="2">
        <f ca="1">Planet(Panchanga!$E381,3)</f>
        <v>216.47310637507965</v>
      </c>
      <c r="W381" s="2">
        <f ca="1">Planet(Panchanga!$E381,6)</f>
        <v>258.09040608053306</v>
      </c>
      <c r="X381" s="2">
        <f ca="1">Planet(Panchanga!$E381,10)</f>
        <v>93.075990891666521</v>
      </c>
      <c r="Y381" s="2">
        <f ca="1">SIGN(S382-Panchanga!$S381)</f>
        <v>1</v>
      </c>
    </row>
    <row r="382" spans="1:25" x14ac:dyDescent="0.2">
      <c r="A382" s="3">
        <f t="shared" ca="1" si="56"/>
        <v>43474</v>
      </c>
      <c r="B382" s="3">
        <f t="shared" ca="1" si="49"/>
        <v>43474.229166666664</v>
      </c>
      <c r="C382" s="5">
        <f t="shared" ca="1" si="50"/>
        <v>43474.275049255848</v>
      </c>
      <c r="D382" s="5">
        <f t="shared" ca="1" si="51"/>
        <v>43473.74758495907</v>
      </c>
      <c r="E382" s="60">
        <f ca="1">Panchanga!$C382-TimeZone/24</f>
        <v>43474.045882589184</v>
      </c>
      <c r="F382" s="61">
        <f t="shared" ca="1" si="52"/>
        <v>264.34182725229175</v>
      </c>
      <c r="G382" s="61">
        <f t="shared" ca="1" si="53"/>
        <v>296.73857564907547</v>
      </c>
      <c r="H382" s="62">
        <f t="shared" ca="1" si="54"/>
        <v>43474.045882589184</v>
      </c>
      <c r="I382" s="2" t="str">
        <f ca="1">naks(Panchanga!$G382)</f>
        <v>Dhanistha</v>
      </c>
      <c r="J382" s="5">
        <f ca="1">(C383-Panchanga!$C382)/(G383-Panchanga!$G382)*(13.3333333333333-MOD(Panchanga!$G382,13.333333333333))+Panchanga!$C382</f>
        <v>43475.117452302184</v>
      </c>
      <c r="K382" s="2" t="str">
        <f ca="1">IF(Panchanga!$P382&gt;15,"K","S")&amp;ROUNDUP(MOD(Panchanga!$P382,15),0)&amp;" ("&amp;ROUND(Panchanga!$P382,2)&amp;")"</f>
        <v>S3 (2.7)</v>
      </c>
      <c r="L382" s="2">
        <f ca="1">IF(AND(Panchanga!$P382&lt;28.5,Panchanga!$P382&gt;0.49999),MOD((Panchanga!$P382-0.5)*2,7),MOD((Panchanga!$P382+30-28.5),30)*2+7)</f>
        <v>4.3996000000000004</v>
      </c>
      <c r="M382" s="2" t="str">
        <f ca="1">CHOOSE(ROUNDUP(Panchanga!$L382,0),"Bhava","Baalava","Kaulava","Taitula","Garija","Vanija","Vishti","Shakuni","Chatushapda","Naaga","Kimstugna")</f>
        <v>Garija</v>
      </c>
      <c r="N382" s="25" t="str">
        <f ca="1">CHOOSE(ROUNDUP(Panchanga!$Q382,0),"Vishkambha-विष्कम्भ-Sa","Priti-प्रीति-Me","Ayushman-आयुष्मान-Ke","Saubhagya-सौभाग्य-Ve","Shobhana-शोभन-Su","Atiganda-अतिगण्ड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("&amp;Panchanga!$Q382&amp;")"</f>
        <v>Siddhi-सिद्धि-Ma (15.09)</v>
      </c>
      <c r="O382" s="2">
        <f ca="1">IF(AND(Panchanga!$P382&lt;28.5,Panchanga!$P382&gt;0.49999),MOD((Panchanga!$P382-0.5)*2,7),MOD((Panchanga!$P382+30-28.5),30)*2+7)</f>
        <v>4.3996000000000004</v>
      </c>
      <c r="P382" s="2">
        <f ca="1">ROUNDUP(MOD(360+Panchanga!$G382-Panchanga!$F382,360)/12,4)</f>
        <v>2.6998000000000002</v>
      </c>
      <c r="Q382" s="2">
        <f t="shared" ca="1" si="55"/>
        <v>15.09</v>
      </c>
      <c r="R382" s="2" t="str">
        <f ca="1">SIGN(S383-Panchanga!$S382)*INT(Panchanga!$S382/30+1)&amp;"Ma,"&amp;SIGN(T383-Panchanga!$T382)*INT(Panchanga!$T382/30+1)&amp;"Me,"&amp;SIGN(U383-Panchanga!$U382)*INT(Panchanga!$U382/30+1)&amp;"Ju,"&amp;SIGN(V383-Panchanga!$V382)*INT(Panchanga!$V382/30+1)&amp;"Ve,"&amp;SIGN(W383-Panchanga!$W382)*INT(Panchanga!$W382/30+1)&amp;"Sa,"&amp;INT(Panchanga!$X382/30+1)&amp;"Ra"</f>
        <v>12Ma,9Me,8Ju,8Ve,9Sa,4Ra</v>
      </c>
      <c r="S382" s="2">
        <f ca="1">Planet(Panchanga!$E382,4)</f>
        <v>341.23655037916865</v>
      </c>
      <c r="T382" s="2">
        <f ca="1">Planet(Panchanga!$E382,2)</f>
        <v>251.76801519409091</v>
      </c>
      <c r="U382" s="2">
        <f ca="1">Planet(Panchanga!$E382,5)</f>
        <v>229.31284937617551</v>
      </c>
      <c r="V382" s="2">
        <f ca="1">Planet(Panchanga!$E382,3)</f>
        <v>217.50732083720652</v>
      </c>
      <c r="W382" s="2">
        <f ca="1">Planet(Panchanga!$E382,6)</f>
        <v>258.20825069061959</v>
      </c>
      <c r="X382" s="2">
        <f ca="1">Planet(Panchanga!$E382,10)</f>
        <v>93.022988728345197</v>
      </c>
      <c r="Y382" s="2">
        <f ca="1">SIGN(S383-Panchanga!$S382)</f>
        <v>1</v>
      </c>
    </row>
    <row r="383" spans="1:25" x14ac:dyDescent="0.2">
      <c r="A383" s="3">
        <f t="shared" ca="1" si="56"/>
        <v>43475</v>
      </c>
      <c r="B383" s="3">
        <f t="shared" ca="1" si="49"/>
        <v>43475.229166666664</v>
      </c>
      <c r="C383" s="5">
        <f t="shared" ca="1" si="50"/>
        <v>43475.275229500294</v>
      </c>
      <c r="D383" s="5">
        <f t="shared" ca="1" si="51"/>
        <v>43474.747982323213</v>
      </c>
      <c r="E383" s="60">
        <f ca="1">Panchanga!$C383-TimeZone/24</f>
        <v>43475.04606283363</v>
      </c>
      <c r="F383" s="61">
        <f t="shared" ca="1" si="52"/>
        <v>265.36141783472419</v>
      </c>
      <c r="G383" s="61">
        <f t="shared" ca="1" si="53"/>
        <v>308.52614045434819</v>
      </c>
      <c r="H383" s="62">
        <f t="shared" ca="1" si="54"/>
        <v>43475.04606283363</v>
      </c>
      <c r="I383" s="2" t="str">
        <f ca="1">naks(Panchanga!$G383)</f>
        <v>Satabhisaj</v>
      </c>
      <c r="J383" s="5">
        <f ca="1">(C384-Panchanga!$C383)/(G384-Panchanga!$G383)*(13.3333333333333-MOD(Panchanga!$G383,13.333333333333))+Panchanga!$C383</f>
        <v>43476.245525053957</v>
      </c>
      <c r="K383" s="2" t="str">
        <f ca="1">IF(Panchanga!$P383&gt;15,"K","S")&amp;ROUNDUP(MOD(Panchanga!$P383,15),0)&amp;" ("&amp;ROUND(Panchanga!$P383,2)&amp;")"</f>
        <v>S4 (3.6)</v>
      </c>
      <c r="L383" s="2">
        <f ca="1">IF(AND(Panchanga!$P383&lt;28.5,Panchanga!$P383&gt;0.49999),MOD((Panchanga!$P383-0.5)*2,7),MOD((Panchanga!$P383+30-28.5),30)*2+7)</f>
        <v>6.1942000000000004</v>
      </c>
      <c r="M383" s="2" t="str">
        <f ca="1">CHOOSE(ROUNDUP(Panchanga!$L383,0),"Bhava","Baalava","Kaulava","Taitula","Garija","Vanija","Vishti","Shakuni","Chatushapda","Naaga","Kimstugna")</f>
        <v>Vishti</v>
      </c>
      <c r="N383" s="25" t="str">
        <f ca="1">CHOOSE(ROUNDUP(Panchanga!$Q383,0),"Vishkambha-विष्कम्भ-Sa","Priti-प्रीति-Me","Ayushman-आयुष्मान-Ke","Saubhagya-सौभाग्य-Ve","Shobhana-शोभन-Su","Atiganda-अतिगण्ड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("&amp;Panchanga!$Q383&amp;")"</f>
        <v>Vyatipata-व्यतिपात-Ra (16.05)</v>
      </c>
      <c r="O383" s="2">
        <f ca="1">IF(AND(Panchanga!$P383&lt;28.5,Panchanga!$P383&gt;0.49999),MOD((Panchanga!$P383-0.5)*2,7),MOD((Panchanga!$P383+30-28.5),30)*2+7)</f>
        <v>6.1942000000000004</v>
      </c>
      <c r="P383" s="2">
        <f ca="1">ROUNDUP(MOD(360+Panchanga!$G383-Panchanga!$F383,360)/12,4)</f>
        <v>3.5971000000000002</v>
      </c>
      <c r="Q383" s="2">
        <f t="shared" ca="1" si="55"/>
        <v>16.05</v>
      </c>
      <c r="R383" s="2" t="str">
        <f ca="1">SIGN(S384-Panchanga!$S383)*INT(Panchanga!$S383/30+1)&amp;"Ma,"&amp;SIGN(T384-Panchanga!$T383)*INT(Panchanga!$T383/30+1)&amp;"Me,"&amp;SIGN(U384-Panchanga!$U383)*INT(Panchanga!$U383/30+1)&amp;"Ju,"&amp;SIGN(V384-Panchanga!$V383)*INT(Panchanga!$V383/30+1)&amp;"Ve,"&amp;SIGN(W384-Panchanga!$W383)*INT(Panchanga!$W383/30+1)&amp;"Sa,"&amp;INT(Panchanga!$X383/30+1)&amp;"Ra"</f>
        <v>12Ma,9Me,8Ju,8Ve,9Sa,4Ra</v>
      </c>
      <c r="S383" s="2">
        <f ca="1">Planet(Panchanga!$E383,4)</f>
        <v>341.9121034630366</v>
      </c>
      <c r="T383" s="2">
        <f ca="1">Planet(Panchanga!$E383,2)</f>
        <v>253.29837036533755</v>
      </c>
      <c r="U383" s="2">
        <f ca="1">Planet(Panchanga!$E383,5)</f>
        <v>229.51513564428248</v>
      </c>
      <c r="V383" s="2">
        <f ca="1">Planet(Panchanga!$E383,3)</f>
        <v>218.54745536428248</v>
      </c>
      <c r="W383" s="2">
        <f ca="1">Planet(Panchanga!$E383,6)</f>
        <v>258.32595932164566</v>
      </c>
      <c r="X383" s="2">
        <f ca="1">Planet(Panchanga!$E383,10)</f>
        <v>92.969987179911115</v>
      </c>
      <c r="Y383" s="2">
        <f ca="1">SIGN(S384-Panchanga!$S383)</f>
        <v>1</v>
      </c>
    </row>
    <row r="384" spans="1:25" x14ac:dyDescent="0.2">
      <c r="A384" s="3">
        <f t="shared" ca="1" si="56"/>
        <v>43476</v>
      </c>
      <c r="B384" s="3">
        <f t="shared" ca="1" si="49"/>
        <v>43476.229166666664</v>
      </c>
      <c r="C384" s="5">
        <f t="shared" ca="1" si="50"/>
        <v>43476.275397982601</v>
      </c>
      <c r="D384" s="5">
        <f t="shared" ca="1" si="51"/>
        <v>43475.748378416101</v>
      </c>
      <c r="E384" s="60">
        <f ca="1">Panchanga!$C384-TimeZone/24</f>
        <v>43476.046231315937</v>
      </c>
      <c r="F384" s="61">
        <f t="shared" ca="1" si="52"/>
        <v>266.38088126619931</v>
      </c>
      <c r="G384" s="61">
        <f t="shared" ca="1" si="53"/>
        <v>320.35325091021571</v>
      </c>
      <c r="H384" s="62">
        <f t="shared" ca="1" si="54"/>
        <v>43476.046231315937</v>
      </c>
      <c r="I384" s="2" t="str">
        <f ca="1">naks(Panchanga!$G384)</f>
        <v>Purva Bhadrapada</v>
      </c>
      <c r="J384" s="5">
        <f ca="1">(C385-Panchanga!$C384)/(G385-Panchanga!$G384)*(13.3333333333333-MOD(Panchanga!$G384,13.333333333333))+Panchanga!$C384</f>
        <v>43477.363611903987</v>
      </c>
      <c r="K384" s="2" t="str">
        <f ca="1">IF(Panchanga!$P384&gt;15,"K","S")&amp;ROUNDUP(MOD(Panchanga!$P384,15),0)&amp;" ("&amp;ROUND(Panchanga!$P384,2)&amp;")"</f>
        <v>S5 (4.5)</v>
      </c>
      <c r="L384" s="2">
        <f ca="1">IF(AND(Panchanga!$P384&lt;28.5,Panchanga!$P384&gt;0.49999),MOD((Panchanga!$P384-0.5)*2,7),MOD((Panchanga!$P384+30-28.5),30)*2+7)</f>
        <v>0.99540000000000006</v>
      </c>
      <c r="M384" s="2" t="str">
        <f ca="1">CHOOSE(ROUNDUP(Panchanga!$L384,0),"Bhava","Baalava","Kaulava","Taitula","Garija","Vanija","Vishti","Shakuni","Chatushapda","Naaga","Kimstugna")</f>
        <v>Bhava</v>
      </c>
      <c r="N384" s="25" t="str">
        <f ca="1">CHOOSE(ROUNDUP(Panchanga!$Q384,0),"Vishkambha-विष्कम्भ-Sa","Priti-प्रीति-Me","Ayushman-आयुष्मान-Ke","Saubhagya-सौभाग्य-Ve","Shobhana-शोभन-Su","Atiganda-अतिगण्ड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("&amp;Panchanga!$Q384&amp;")"</f>
        <v>Varigha-वरीयस्-Ju (17.01)</v>
      </c>
      <c r="O384" s="2">
        <f ca="1">IF(AND(Panchanga!$P384&lt;28.5,Panchanga!$P384&gt;0.49999),MOD((Panchanga!$P384-0.5)*2,7),MOD((Panchanga!$P384+30-28.5),30)*2+7)</f>
        <v>0.99540000000000006</v>
      </c>
      <c r="P384" s="2">
        <f ca="1">ROUNDUP(MOD(360+Panchanga!$G384-Panchanga!$F384,360)/12,4)</f>
        <v>4.4977</v>
      </c>
      <c r="Q384" s="2">
        <f t="shared" ca="1" si="55"/>
        <v>17.010000000000002</v>
      </c>
      <c r="R384" s="2" t="str">
        <f ca="1">SIGN(S385-Panchanga!$S384)*INT(Panchanga!$S384/30+1)&amp;"Ma,"&amp;SIGN(T385-Panchanga!$T384)*INT(Panchanga!$T384/30+1)&amp;"Me,"&amp;SIGN(U385-Panchanga!$U384)*INT(Panchanga!$U384/30+1)&amp;"Ju,"&amp;SIGN(V385-Panchanga!$V384)*INT(Panchanga!$V384/30+1)&amp;"Ve,"&amp;SIGN(W385-Panchanga!$W384)*INT(Panchanga!$W384/30+1)&amp;"Sa,"&amp;INT(Panchanga!$X384/30+1)&amp;"Ra"</f>
        <v>12Ma,9Me,8Ju,8Ve,9Sa,4Ra</v>
      </c>
      <c r="S384" s="2">
        <f ca="1">Planet(Panchanga!$E384,4)</f>
        <v>342.58795329152008</v>
      </c>
      <c r="T384" s="2">
        <f ca="1">Planet(Panchanga!$E384,2)</f>
        <v>254.83607142134483</v>
      </c>
      <c r="U384" s="2">
        <f ca="1">Planet(Panchanga!$E384,5)</f>
        <v>229.71637922512841</v>
      </c>
      <c r="V384" s="2">
        <f ca="1">Planet(Panchanga!$E384,3)</f>
        <v>219.59329830281823</v>
      </c>
      <c r="W384" s="2">
        <f ca="1">Planet(Panchanga!$E384,6)</f>
        <v>258.44351176578493</v>
      </c>
      <c r="X384" s="2">
        <f ca="1">Planet(Panchanga!$E384,10)</f>
        <v>92.916986254781449</v>
      </c>
      <c r="Y384" s="2">
        <f ca="1">SIGN(S385-Panchanga!$S384)</f>
        <v>1</v>
      </c>
    </row>
    <row r="385" spans="1:25" x14ac:dyDescent="0.2">
      <c r="A385" s="3">
        <f t="shared" ca="1" si="56"/>
        <v>43477</v>
      </c>
      <c r="B385" s="3">
        <f t="shared" ca="1" si="49"/>
        <v>43477.229166666664</v>
      </c>
      <c r="C385" s="5">
        <f t="shared" ca="1" si="50"/>
        <v>43477.275554544445</v>
      </c>
      <c r="D385" s="5">
        <f t="shared" ca="1" si="51"/>
        <v>43476.748773078478</v>
      </c>
      <c r="E385" s="60">
        <f ca="1">Panchanga!$C385-TimeZone/24</f>
        <v>43477.046387877781</v>
      </c>
      <c r="F385" s="61">
        <f t="shared" ca="1" si="52"/>
        <v>267.40019718871548</v>
      </c>
      <c r="G385" s="61">
        <f t="shared" ca="1" si="53"/>
        <v>332.28299592967778</v>
      </c>
      <c r="H385" s="62">
        <f t="shared" ca="1" si="54"/>
        <v>43477.046387877781</v>
      </c>
      <c r="I385" s="2" t="str">
        <f ca="1">naks(Panchanga!$G385)</f>
        <v>Purva Bhadrapada</v>
      </c>
      <c r="J385" s="5">
        <f ca="1">(C386-Panchanga!$C385)/(G386-Panchanga!$G385)*(13.3333333333333-MOD(Panchanga!$G385,13.333333333333))+Panchanga!$C385</f>
        <v>43477.362354050187</v>
      </c>
      <c r="K385" s="2" t="str">
        <f ca="1">IF(Panchanga!$P385&gt;15,"K","S")&amp;ROUNDUP(MOD(Panchanga!$P385,15),0)&amp;" ("&amp;ROUND(Panchanga!$P385,2)&amp;")"</f>
        <v>S6 (5.41)</v>
      </c>
      <c r="L385" s="2">
        <f ca="1">IF(AND(Panchanga!$P385&lt;28.5,Panchanga!$P385&gt;0.49999),MOD((Panchanga!$P385-0.5)*2,7),MOD((Panchanga!$P385+30-28.5),30)*2+7)</f>
        <v>2.8137999999999987</v>
      </c>
      <c r="M385" s="2" t="str">
        <f ca="1">CHOOSE(ROUNDUP(Panchanga!$L385,0),"Bhava","Baalava","Kaulava","Taitula","Garija","Vanija","Vishti","Shakuni","Chatushapda","Naaga","Kimstugna")</f>
        <v>Kaulava</v>
      </c>
      <c r="N385" s="25" t="str">
        <f ca="1">CHOOSE(ROUNDUP(Panchanga!$Q385,0),"Vishkambha-विष्कम्भ-Sa","Priti-प्रीति-Me","Ayushman-आयुष्मान-Ke","Saubhagya-सौभाग्य-Ve","Shobhana-शोभन-Su","Atiganda-अतिगण्ड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("&amp;Panchanga!$Q385&amp;")"</f>
        <v>Varigha-वरीयस्-Ju (17.98)</v>
      </c>
      <c r="O385" s="2">
        <f ca="1">IF(AND(Panchanga!$P385&lt;28.5,Panchanga!$P385&gt;0.49999),MOD((Panchanga!$P385-0.5)*2,7),MOD((Panchanga!$P385+30-28.5),30)*2+7)</f>
        <v>2.8137999999999987</v>
      </c>
      <c r="P385" s="2">
        <f ca="1">ROUNDUP(MOD(360+Panchanga!$G385-Panchanga!$F385,360)/12,4)</f>
        <v>5.4068999999999994</v>
      </c>
      <c r="Q385" s="2">
        <f t="shared" ca="1" si="55"/>
        <v>17.98</v>
      </c>
      <c r="R385" s="2" t="str">
        <f ca="1">SIGN(S386-Panchanga!$S385)*INT(Panchanga!$S385/30+1)&amp;"Ma,"&amp;SIGN(T386-Panchanga!$T385)*INT(Panchanga!$T385/30+1)&amp;"Me,"&amp;SIGN(U386-Panchanga!$U385)*INT(Panchanga!$U385/30+1)&amp;"Ju,"&amp;SIGN(V386-Panchanga!$V385)*INT(Panchanga!$V385/30+1)&amp;"Ve,"&amp;SIGN(W386-Panchanga!$W385)*INT(Panchanga!$W385/30+1)&amp;"Sa,"&amp;INT(Panchanga!$X385/30+1)&amp;"Ra"</f>
        <v>12Ma,9Me,8Ju,8Ve,9Sa,4Ra</v>
      </c>
      <c r="S385" s="2">
        <f ca="1">Planet(Panchanga!$E385,4)</f>
        <v>343.26407064819199</v>
      </c>
      <c r="T385" s="2">
        <f ca="1">Planet(Panchanga!$E385,2)</f>
        <v>256.38116949003893</v>
      </c>
      <c r="U385" s="2">
        <f ca="1">Planet(Panchanga!$E385,5)</f>
        <v>229.91655386984317</v>
      </c>
      <c r="V385" s="2">
        <f ca="1">Planet(Panchanga!$E385,3)</f>
        <v>220.64464916530088</v>
      </c>
      <c r="W385" s="2">
        <f ca="1">Planet(Panchanga!$E385,6)</f>
        <v>258.56088791176313</v>
      </c>
      <c r="X385" s="2">
        <f ca="1">Planet(Panchanga!$E385,10)</f>
        <v>92.863985961306653</v>
      </c>
      <c r="Y385" s="2">
        <f ca="1">SIGN(S386-Panchanga!$S385)</f>
        <v>1</v>
      </c>
    </row>
    <row r="386" spans="1:25" x14ac:dyDescent="0.2">
      <c r="A386" s="3">
        <f t="shared" ca="1" si="56"/>
        <v>43478</v>
      </c>
      <c r="B386" s="3">
        <f t="shared" ca="1" si="49"/>
        <v>43478.229166666664</v>
      </c>
      <c r="C386" s="5">
        <f t="shared" ca="1" si="50"/>
        <v>43478.275698708057</v>
      </c>
      <c r="D386" s="5">
        <f t="shared" ca="1" si="51"/>
        <v>43477.74916567425</v>
      </c>
      <c r="E386" s="60">
        <f ca="1">Panchanga!$C386-TimeZone/24</f>
        <v>43478.046532041393</v>
      </c>
      <c r="F386" s="61">
        <f t="shared" ca="1" si="52"/>
        <v>268.41934655474012</v>
      </c>
      <c r="G386" s="61">
        <f t="shared" ca="1" si="53"/>
        <v>344.38547065118718</v>
      </c>
      <c r="H386" s="62">
        <f t="shared" ca="1" si="54"/>
        <v>43478.046532041393</v>
      </c>
      <c r="I386" s="2" t="str">
        <f ca="1">naks(Panchanga!$G386)</f>
        <v>Uttara Bhadrapada</v>
      </c>
      <c r="J386" s="5">
        <f ca="1">(C387-Panchanga!$C386)/(G387-Panchanga!$G386)*(13.3333333333333-MOD(Panchanga!$G386,13.333333333333))+Panchanga!$C386</f>
        <v>43478.46044388014</v>
      </c>
      <c r="K386" s="2" t="str">
        <f ca="1">IF(Panchanga!$P386&gt;15,"K","S")&amp;ROUNDUP(MOD(Panchanga!$P386,15),0)&amp;" ("&amp;ROUND(Panchanga!$P386,2)&amp;")"</f>
        <v>S7 (6.33)</v>
      </c>
      <c r="L386" s="2">
        <f ca="1">IF(AND(Panchanga!$P386&lt;28.5,Panchanga!$P386&gt;0.49999),MOD((Panchanga!$P386-0.5)*2,7),MOD((Panchanga!$P386+30-28.5),30)*2+7)</f>
        <v>4.6611999999999991</v>
      </c>
      <c r="M386" s="2" t="str">
        <f ca="1">CHOOSE(ROUNDUP(Panchanga!$L386,0),"Bhava","Baalava","Kaulava","Taitula","Garija","Vanija","Vishti","Shakuni","Chatushapda","Naaga","Kimstugna")</f>
        <v>Garija</v>
      </c>
      <c r="N386" s="25" t="str">
        <f ca="1">CHOOSE(ROUNDUP(Panchanga!$Q386,0),"Vishkambha-विष्कम्भ-Sa","Priti-प्रीति-Me","Ayushman-आयुष्मान-Ke","Saubhagya-सौभाग्य-Ve","Shobhana-शोभन-Su","Atiganda-अतिगण्ड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("&amp;Panchanga!$Q386&amp;")"</f>
        <v>Parigha-परिघ-Sa (18.97)</v>
      </c>
      <c r="O386" s="2">
        <f ca="1">IF(AND(Panchanga!$P386&lt;28.5,Panchanga!$P386&gt;0.49999),MOD((Panchanga!$P386-0.5)*2,7),MOD((Panchanga!$P386+30-28.5),30)*2+7)</f>
        <v>4.6611999999999991</v>
      </c>
      <c r="P386" s="2">
        <f ca="1">ROUNDUP(MOD(360+Panchanga!$G386-Panchanga!$F386,360)/12,4)</f>
        <v>6.3305999999999996</v>
      </c>
      <c r="Q386" s="2">
        <f t="shared" ca="1" si="55"/>
        <v>18.970000000000002</v>
      </c>
      <c r="R386" s="2" t="str">
        <f ca="1">SIGN(S387-Panchanga!$S386)*INT(Panchanga!$S386/30+1)&amp;"Ma,"&amp;SIGN(T387-Panchanga!$T386)*INT(Panchanga!$T386/30+1)&amp;"Me,"&amp;SIGN(U387-Panchanga!$U386)*INT(Panchanga!$U386/30+1)&amp;"Ju,"&amp;SIGN(V387-Panchanga!$V386)*INT(Panchanga!$V386/30+1)&amp;"Ve,"&amp;SIGN(W387-Panchanga!$W386)*INT(Panchanga!$W386/30+1)&amp;"Sa,"&amp;INT(Panchanga!$X386/30+1)&amp;"Ra"</f>
        <v>12Ma,9Me,8Ju,8Ve,9Sa,4Ra</v>
      </c>
      <c r="S386" s="2">
        <f ca="1">Planet(Panchanga!$E386,4)</f>
        <v>343.94042578803823</v>
      </c>
      <c r="T386" s="2">
        <f ca="1">Planet(Panchanga!$E386,2)</f>
        <v>257.93375309991796</v>
      </c>
      <c r="U386" s="2">
        <f ca="1">Planet(Panchanga!$E386,5)</f>
        <v>230.11563366669807</v>
      </c>
      <c r="V386" s="2">
        <f ca="1">Planet(Panchanga!$E386,3)</f>
        <v>221.70131797903798</v>
      </c>
      <c r="W386" s="2">
        <f ca="1">Planet(Panchanga!$E386,6)</f>
        <v>258.67806779268614</v>
      </c>
      <c r="X386" s="2">
        <f ca="1">Planet(Panchanga!$E386,10)</f>
        <v>92.810986324886827</v>
      </c>
      <c r="Y386" s="2">
        <f ca="1">SIGN(S387-Panchanga!$S386)</f>
        <v>1</v>
      </c>
    </row>
    <row r="387" spans="1:25" x14ac:dyDescent="0.2">
      <c r="A387" s="3">
        <f t="shared" ca="1" si="56"/>
        <v>43479</v>
      </c>
      <c r="B387" s="3">
        <f t="shared" ref="B387:B450" ca="1" si="57">A387+TimeZone/24</f>
        <v>43479.229166666664</v>
      </c>
      <c r="C387" s="5">
        <f t="shared" ref="C387:C450" ca="1" si="58">sunrise(Lat,Long,B387)+TimeZone/24+0.00103009259259259</f>
        <v>43479.275830473904</v>
      </c>
      <c r="D387" s="5">
        <f t="shared" ref="D387:D450" ca="1" si="59">sunset(Lat,Long,B387)+TimeZone/24-0.000277777777777778</f>
        <v>43478.749556203882</v>
      </c>
      <c r="E387" s="60">
        <f ca="1">Panchanga!$C387-TimeZone/24</f>
        <v>43479.046663807239</v>
      </c>
      <c r="F387" s="61">
        <f t="shared" ref="F387:F450" ca="1" si="60">Planet(E387,0)</f>
        <v>269.43831274521568</v>
      </c>
      <c r="G387" s="61">
        <f t="shared" ref="G387:G450" ca="1" si="61">Planet(E387,1)</f>
        <v>356.73489539359093</v>
      </c>
      <c r="H387" s="62">
        <f t="shared" ref="H387:H450" ca="1" si="62">E387</f>
        <v>43479.046663807239</v>
      </c>
      <c r="I387" s="2" t="str">
        <f ca="1">naks(Panchanga!$G387)</f>
        <v>Revati</v>
      </c>
      <c r="J387" s="5">
        <f ca="1">(C388-Panchanga!$C387)/(G388-Panchanga!$G387)*(13.3333333333333-MOD(Panchanga!$G387,13.333333333333))+Panchanga!$C387</f>
        <v>43479.266428769704</v>
      </c>
      <c r="K387" s="2" t="str">
        <f ca="1">IF(Panchanga!$P387&gt;15,"K","S")&amp;ROUNDUP(MOD(Panchanga!$P387,15),0)&amp;" ("&amp;ROUND(Panchanga!$P387,2)&amp;")"</f>
        <v>S8 (7.27)</v>
      </c>
      <c r="L387" s="2">
        <f ca="1">IF(AND(Panchanga!$P387&lt;28.5,Panchanga!$P387&gt;0.49999),MOD((Panchanga!$P387-0.5)*2,7),MOD((Panchanga!$P387+30-28.5),30)*2+7)</f>
        <v>6.5495999999999999</v>
      </c>
      <c r="M387" s="2" t="str">
        <f ca="1">CHOOSE(ROUNDUP(Panchanga!$L387,0),"Bhava","Baalava","Kaulava","Taitula","Garija","Vanija","Vishti","Shakuni","Chatushapda","Naaga","Kimstugna")</f>
        <v>Vishti</v>
      </c>
      <c r="N387" s="25" t="str">
        <f ca="1">CHOOSE(ROUNDUP(Panchanga!$Q387,0),"Vishkambha-विष्कम्भ-Sa","Priti-प्रीति-Me","Ayushman-आयुष्मान-Ke","Saubhagya-सौभाग्य-Ve","Shobhana-शोभन-Su","Atiganda-अतिगण्ड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("&amp;Panchanga!$Q387&amp;")"</f>
        <v>Shiva-शिव-Me (19.97)</v>
      </c>
      <c r="O387" s="2">
        <f ca="1">IF(AND(Panchanga!$P387&lt;28.5,Panchanga!$P387&gt;0.49999),MOD((Panchanga!$P387-0.5)*2,7),MOD((Panchanga!$P387+30-28.5),30)*2+7)</f>
        <v>6.5495999999999999</v>
      </c>
      <c r="P387" s="2">
        <f ca="1">ROUNDUP(MOD(360+Panchanga!$G387-Panchanga!$F387,360)/12,4)</f>
        <v>7.2747999999999999</v>
      </c>
      <c r="Q387" s="2">
        <f t="shared" ref="Q387:Q450" ca="1" si="63">ROUNDUP(MOD(F387+G387,360)/13.333333333,2)</f>
        <v>19.970000000000002</v>
      </c>
      <c r="R387" s="2" t="str">
        <f ca="1">SIGN(S388-Panchanga!$S387)*INT(Panchanga!$S387/30+1)&amp;"Ma,"&amp;SIGN(T388-Panchanga!$T387)*INT(Panchanga!$T387/30+1)&amp;"Me,"&amp;SIGN(U388-Panchanga!$U387)*INT(Panchanga!$U387/30+1)&amp;"Ju,"&amp;SIGN(V388-Panchanga!$V387)*INT(Panchanga!$V387/30+1)&amp;"Ve,"&amp;SIGN(W388-Panchanga!$W387)*INT(Panchanga!$W387/30+1)&amp;"Sa,"&amp;INT(Panchanga!$X387/30+1)&amp;"Ra"</f>
        <v>12Ma,9Me,8Ju,8Ve,9Sa,4Ra</v>
      </c>
      <c r="S387" s="2">
        <f ca="1">Planet(Panchanga!$E387,4)</f>
        <v>344.61698911904904</v>
      </c>
      <c r="T387" s="2">
        <f ca="1">Planet(Panchanga!$E387,2)</f>
        <v>259.49394489731355</v>
      </c>
      <c r="U387" s="2">
        <f ca="1">Planet(Panchanga!$E387,5)</f>
        <v>230.31359324156477</v>
      </c>
      <c r="V387" s="2">
        <f ca="1">Planet(Panchanga!$E387,3)</f>
        <v>222.76312585591407</v>
      </c>
      <c r="W387" s="2">
        <f ca="1">Planet(Panchanga!$E387,6)</f>
        <v>258.79503174246361</v>
      </c>
      <c r="X387" s="2">
        <f ca="1">Planet(Panchanga!$E387,10)</f>
        <v>92.757987345422478</v>
      </c>
      <c r="Y387" s="2">
        <f ca="1">SIGN(S388-Panchanga!$S387)</f>
        <v>1</v>
      </c>
    </row>
    <row r="388" spans="1:25" x14ac:dyDescent="0.2">
      <c r="A388" s="3">
        <f t="shared" ca="1" si="56"/>
        <v>43480</v>
      </c>
      <c r="B388" s="3">
        <f t="shared" ca="1" si="57"/>
        <v>43480.229166666664</v>
      </c>
      <c r="C388" s="5">
        <f t="shared" ca="1" si="58"/>
        <v>43480.275949842449</v>
      </c>
      <c r="D388" s="5">
        <f t="shared" ca="1" si="59"/>
        <v>43479.749944031282</v>
      </c>
      <c r="E388" s="60">
        <f ca="1">Panchanga!$C388-TimeZone/24</f>
        <v>43480.046783175785</v>
      </c>
      <c r="F388" s="61">
        <f t="shared" ca="1" si="60"/>
        <v>270.45708140966968</v>
      </c>
      <c r="G388" s="61">
        <f t="shared" ca="1" si="61"/>
        <v>9.4048487860614891</v>
      </c>
      <c r="H388" s="62">
        <f t="shared" ca="1" si="62"/>
        <v>43480.046783175785</v>
      </c>
      <c r="I388" s="2" t="str">
        <f ca="1">naks(Panchanga!$G388)</f>
        <v>Aswini</v>
      </c>
      <c r="J388" s="5">
        <f ca="1">(C389-Panchanga!$C388)/(G389-Panchanga!$G388)*(13.3333333333333-MOD(Panchanga!$G388,13.333333333333))+Panchanga!$C388</f>
        <v>43480.576864149436</v>
      </c>
      <c r="K388" s="2" t="str">
        <f ca="1">IF(Panchanga!$P388&gt;15,"K","S")&amp;ROUNDUP(MOD(Panchanga!$P388,15),0)&amp;" ("&amp;ROUND(Panchanga!$P388,2)&amp;")"</f>
        <v>S9 (8.25)</v>
      </c>
      <c r="L388" s="2">
        <f ca="1">IF(AND(Panchanga!$P388&lt;28.5,Panchanga!$P388&gt;0.49999),MOD((Panchanga!$P388-0.5)*2,7),MOD((Panchanga!$P388+30-28.5),30)*2+7)</f>
        <v>1.4913999999999987</v>
      </c>
      <c r="M388" s="2" t="str">
        <f ca="1">CHOOSE(ROUNDUP(Panchanga!$L388,0),"Bhava","Baalava","Kaulava","Taitula","Garija","Vanija","Vishti","Shakuni","Chatushapda","Naaga","Kimstugna")</f>
        <v>Baalava</v>
      </c>
      <c r="N388" s="25" t="str">
        <f ca="1">CHOOSE(ROUNDUP(Panchanga!$Q388,0),"Vishkambha-विष्कम्भ-Sa","Priti-प्रीति-Me","Ayushman-आयुष्मान-Ke","Saubhagya-सौभाग्य-Ve","Shobhana-शोभन-Su","Atiganda-अतिगण्ड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("&amp;Panchanga!$Q388&amp;")"</f>
        <v>Siddha-सिद्ध-Ke (20.99)</v>
      </c>
      <c r="O388" s="2">
        <f ca="1">IF(AND(Panchanga!$P388&lt;28.5,Panchanga!$P388&gt;0.49999),MOD((Panchanga!$P388-0.5)*2,7),MOD((Panchanga!$P388+30-28.5),30)*2+7)</f>
        <v>1.4913999999999987</v>
      </c>
      <c r="P388" s="2">
        <f ca="1">ROUNDUP(MOD(360+Panchanga!$G388-Panchanga!$F388,360)/12,4)</f>
        <v>8.2456999999999994</v>
      </c>
      <c r="Q388" s="2">
        <f t="shared" ca="1" si="63"/>
        <v>20.990000000000002</v>
      </c>
      <c r="R388" s="2" t="str">
        <f ca="1">SIGN(S389-Panchanga!$S388)*INT(Panchanga!$S388/30+1)&amp;"Ma,"&amp;SIGN(T389-Panchanga!$T388)*INT(Panchanga!$T388/30+1)&amp;"Me,"&amp;SIGN(U389-Panchanga!$U388)*INT(Panchanga!$U388/30+1)&amp;"Ju,"&amp;SIGN(V389-Panchanga!$V388)*INT(Panchanga!$V388/30+1)&amp;"Ve,"&amp;SIGN(W389-Panchanga!$W388)*INT(Panchanga!$W388/30+1)&amp;"Sa,"&amp;INT(Panchanga!$X388/30+1)&amp;"Ra"</f>
        <v>12Ma,9Me,8Ju,8Ve,9Sa,4Ra</v>
      </c>
      <c r="S388" s="2">
        <f ca="1">Planet(Panchanga!$E388,4)</f>
        <v>345.29373105449514</v>
      </c>
      <c r="T388" s="2">
        <f ca="1">Planet(Panchanga!$E388,2)</f>
        <v>261.06189681607094</v>
      </c>
      <c r="U388" s="2">
        <f ca="1">Planet(Panchanga!$E388,5)</f>
        <v>230.5104077008491</v>
      </c>
      <c r="V388" s="2">
        <f ca="1">Planet(Panchanga!$E388,3)</f>
        <v>223.82990421594468</v>
      </c>
      <c r="W388" s="2">
        <f ca="1">Planet(Panchanga!$E388,6)</f>
        <v>258.91176039434225</v>
      </c>
      <c r="X388" s="2">
        <f ca="1">Planet(Panchanga!$E388,10)</f>
        <v>92.704989022946762</v>
      </c>
      <c r="Y388" s="2">
        <f ca="1">SIGN(S389-Panchanga!$S388)</f>
        <v>1</v>
      </c>
    </row>
    <row r="389" spans="1:25" x14ac:dyDescent="0.2">
      <c r="A389" s="3">
        <f t="shared" ca="1" si="56"/>
        <v>43481</v>
      </c>
      <c r="B389" s="3">
        <f t="shared" ca="1" si="57"/>
        <v>43481.229166666664</v>
      </c>
      <c r="C389" s="5">
        <f t="shared" ca="1" si="58"/>
        <v>43481.276056494717</v>
      </c>
      <c r="D389" s="5">
        <f t="shared" ca="1" si="59"/>
        <v>43480.750328838869</v>
      </c>
      <c r="E389" s="60">
        <f ca="1">Panchanga!$C389-TimeZone/24</f>
        <v>43481.046889828052</v>
      </c>
      <c r="F389" s="61">
        <f t="shared" ca="1" si="60"/>
        <v>271.47564053530726</v>
      </c>
      <c r="G389" s="61">
        <f t="shared" ca="1" si="61"/>
        <v>22.461401558276041</v>
      </c>
      <c r="H389" s="62">
        <f t="shared" ca="1" si="62"/>
        <v>43481.046889828052</v>
      </c>
      <c r="I389" s="2" t="str">
        <f ca="1">naks(Panchanga!$G389)</f>
        <v>Bharani</v>
      </c>
      <c r="J389" s="5">
        <f ca="1">(C390-Panchanga!$C389)/(G390-Panchanga!$G389)*(13.3333333333333-MOD(Panchanga!$G389,13.333333333333))+Panchanga!$C389</f>
        <v>43481.587754290958</v>
      </c>
      <c r="K389" s="2" t="str">
        <f ca="1">IF(Panchanga!$P389&gt;15,"K","S")&amp;ROUNDUP(MOD(Panchanga!$P389,15),0)&amp;" ("&amp;ROUND(Panchanga!$P389,2)&amp;")"</f>
        <v>S10 (9.25)</v>
      </c>
      <c r="L389" s="2">
        <f ca="1">IF(AND(Panchanga!$P389&lt;28.5,Panchanga!$P389&gt;0.49999),MOD((Panchanga!$P389-0.5)*2,7),MOD((Panchanga!$P389+30-28.5),30)*2+7)</f>
        <v>3.497799999999998</v>
      </c>
      <c r="M389" s="2" t="str">
        <f ca="1">CHOOSE(ROUNDUP(Panchanga!$L389,0),"Bhava","Baalava","Kaulava","Taitula","Garija","Vanija","Vishti","Shakuni","Chatushapda","Naaga","Kimstugna")</f>
        <v>Taitula</v>
      </c>
      <c r="N389" s="25" t="str">
        <f ca="1">CHOOSE(ROUNDUP(Panchanga!$Q389,0),"Vishkambha-विष्कम्भ-Sa","Priti-प्रीति-Me","Ayushman-आयुष्मान-Ke","Saubhagya-सौभाग्य-Ve","Shobhana-शोभन-Su","Atiganda-अतिगण्ड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("&amp;Panchanga!$Q389&amp;")"</f>
        <v>Shubha-शुभ-Su (22.05)</v>
      </c>
      <c r="O389" s="2">
        <f ca="1">IF(AND(Panchanga!$P389&lt;28.5,Panchanga!$P389&gt;0.49999),MOD((Panchanga!$P389-0.5)*2,7),MOD((Panchanga!$P389+30-28.5),30)*2+7)</f>
        <v>3.497799999999998</v>
      </c>
      <c r="P389" s="2">
        <f ca="1">ROUNDUP(MOD(360+Panchanga!$G389-Panchanga!$F389,360)/12,4)</f>
        <v>9.248899999999999</v>
      </c>
      <c r="Q389" s="2">
        <f t="shared" ca="1" si="63"/>
        <v>22.05</v>
      </c>
      <c r="R389" s="2" t="str">
        <f ca="1">SIGN(S390-Panchanga!$S389)*INT(Panchanga!$S389/30+1)&amp;"Ma,"&amp;SIGN(T390-Panchanga!$T389)*INT(Panchanga!$T389/30+1)&amp;"Me,"&amp;SIGN(U390-Panchanga!$U389)*INT(Panchanga!$U389/30+1)&amp;"Ju,"&amp;SIGN(V390-Panchanga!$V389)*INT(Panchanga!$V389/30+1)&amp;"Ve,"&amp;SIGN(W390-Panchanga!$W389)*INT(Panchanga!$W389/30+1)&amp;"Sa,"&amp;INT(Panchanga!$X389/30+1)&amp;"Ra"</f>
        <v>12Ma,9Me,8Ju,8Ve,9Sa,4Ra</v>
      </c>
      <c r="S389" s="2">
        <f ca="1">Planet(Panchanga!$E389,4)</f>
        <v>345.97062202660447</v>
      </c>
      <c r="T389" s="2">
        <f ca="1">Planet(Panchanga!$E389,2)</f>
        <v>262.6377858792199</v>
      </c>
      <c r="U389" s="2">
        <f ca="1">Planet(Panchanga!$E389,5)</f>
        <v>230.70605260388609</v>
      </c>
      <c r="V389" s="2">
        <f ca="1">Planet(Panchanga!$E389,3)</f>
        <v>224.90149419040853</v>
      </c>
      <c r="W389" s="2">
        <f ca="1">Planet(Panchanga!$E389,6)</f>
        <v>259.02823468949566</v>
      </c>
      <c r="X389" s="2">
        <f ca="1">Planet(Panchanga!$E389,10)</f>
        <v>92.651991374326755</v>
      </c>
      <c r="Y389" s="2">
        <f ca="1">SIGN(S390-Panchanga!$S389)</f>
        <v>1</v>
      </c>
    </row>
    <row r="390" spans="1:25" x14ac:dyDescent="0.2">
      <c r="A390" s="3">
        <f t="shared" ca="1" si="56"/>
        <v>43482</v>
      </c>
      <c r="B390" s="3">
        <f t="shared" ca="1" si="57"/>
        <v>43482.229166666664</v>
      </c>
      <c r="C390" s="5">
        <f t="shared" ca="1" si="58"/>
        <v>43482.276150272846</v>
      </c>
      <c r="D390" s="5">
        <f t="shared" ca="1" si="59"/>
        <v>43481.750710467852</v>
      </c>
      <c r="E390" s="60">
        <f ca="1">Panchanga!$C390-TimeZone/24</f>
        <v>43482.046983606182</v>
      </c>
      <c r="F390" s="61">
        <f t="shared" ca="1" si="60"/>
        <v>272.49398145897436</v>
      </c>
      <c r="G390" s="61">
        <f t="shared" ca="1" si="61"/>
        <v>35.954148446386633</v>
      </c>
      <c r="H390" s="62">
        <f t="shared" ca="1" si="62"/>
        <v>43482.046983606182</v>
      </c>
      <c r="I390" s="2" t="str">
        <f ca="1">naks(Panchanga!$G390)</f>
        <v>Krittika</v>
      </c>
      <c r="J390" s="5">
        <f ca="1">(C391-Panchanga!$C390)/(G391-Panchanga!$G390)*(13.3333333333333-MOD(Panchanga!$G390,13.333333333333))+Panchanga!$C390</f>
        <v>43482.56616885159</v>
      </c>
      <c r="K390" s="2" t="str">
        <f ca="1">IF(Panchanga!$P390&gt;15,"K","S")&amp;ROUNDUP(MOD(Panchanga!$P390,15),0)&amp;" ("&amp;ROUND(Panchanga!$P390,2)&amp;")"</f>
        <v>S11 (10.29)</v>
      </c>
      <c r="L390" s="2">
        <f ca="1">IF(AND(Panchanga!$P390&lt;28.5,Panchanga!$P390&gt;0.49999),MOD((Panchanga!$P390-0.5)*2,7),MOD((Panchanga!$P390+30-28.5),30)*2+7)</f>
        <v>5.5767999999999986</v>
      </c>
      <c r="M390" s="2" t="str">
        <f ca="1">CHOOSE(ROUNDUP(Panchanga!$L390,0),"Bhava","Baalava","Kaulava","Taitula","Garija","Vanija","Vishti","Shakuni","Chatushapda","Naaga","Kimstugna")</f>
        <v>Vanija</v>
      </c>
      <c r="N390" s="25" t="str">
        <f ca="1">CHOOSE(ROUNDUP(Panchanga!$Q390,0),"Vishkambha-विष्कम्भ-Sa","Priti-प्रीति-Me","Ayushman-आयुष्मान-Ke","Saubhagya-सौभाग्य-Ve","Shobhana-शोभन-Su","Atiganda-अतिगण्ड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("&amp;Panchanga!$Q390&amp;")"</f>
        <v>Shukla-शुक्ल-Mo (23.14)</v>
      </c>
      <c r="O390" s="2">
        <f ca="1">IF(AND(Panchanga!$P390&lt;28.5,Panchanga!$P390&gt;0.49999),MOD((Panchanga!$P390-0.5)*2,7),MOD((Panchanga!$P390+30-28.5),30)*2+7)</f>
        <v>5.5767999999999986</v>
      </c>
      <c r="P390" s="2">
        <f ca="1">ROUNDUP(MOD(360+Panchanga!$G390-Panchanga!$F390,360)/12,4)</f>
        <v>10.288399999999999</v>
      </c>
      <c r="Q390" s="2">
        <f t="shared" ca="1" si="63"/>
        <v>23.14</v>
      </c>
      <c r="R390" s="2" t="str">
        <f ca="1">SIGN(S391-Panchanga!$S390)*INT(Panchanga!$S390/30+1)&amp;"Ma,"&amp;SIGN(T391-Panchanga!$T390)*INT(Panchanga!$T390/30+1)&amp;"Me,"&amp;SIGN(U391-Panchanga!$U390)*INT(Panchanga!$U390/30+1)&amp;"Ju,"&amp;SIGN(V391-Panchanga!$V390)*INT(Panchanga!$V390/30+1)&amp;"Ve,"&amp;SIGN(W391-Panchanga!$W390)*INT(Panchanga!$W390/30+1)&amp;"Sa,"&amp;INT(Panchanga!$X390/30+1)&amp;"Ra"</f>
        <v>12Ma,9Me,8Ju,8Ve,9Sa,4Ra</v>
      </c>
      <c r="S390" s="2">
        <f ca="1">Planet(Panchanga!$E390,4)</f>
        <v>346.64763314806487</v>
      </c>
      <c r="T390" s="2">
        <f ca="1">Planet(Panchanga!$E390,2)</f>
        <v>264.22181162469462</v>
      </c>
      <c r="U390" s="2">
        <f ca="1">Planet(Panchanga!$E390,5)</f>
        <v>230.90050408991013</v>
      </c>
      <c r="V390" s="2">
        <f ca="1">Planet(Panchanga!$E390,3)</f>
        <v>225.9777468927411</v>
      </c>
      <c r="W390" s="2">
        <f ca="1">Planet(Panchanga!$E390,6)</f>
        <v>259.14443598861521</v>
      </c>
      <c r="X390" s="2">
        <f ca="1">Planet(Panchanga!$E390,10)</f>
        <v>92.598994407913082</v>
      </c>
      <c r="Y390" s="2">
        <f ca="1">SIGN(S391-Panchanga!$S390)</f>
        <v>1</v>
      </c>
    </row>
    <row r="391" spans="1:25" x14ac:dyDescent="0.2">
      <c r="A391" s="3">
        <f t="shared" ca="1" si="56"/>
        <v>43483</v>
      </c>
      <c r="B391" s="3">
        <f t="shared" ca="1" si="57"/>
        <v>43483.229166666664</v>
      </c>
      <c r="C391" s="5">
        <f t="shared" ca="1" si="58"/>
        <v>43483.276231335163</v>
      </c>
      <c r="D391" s="5">
        <f t="shared" ca="1" si="59"/>
        <v>43482.751088599718</v>
      </c>
      <c r="E391" s="60">
        <f ca="1">Panchanga!$C391-TimeZone/24</f>
        <v>43483.047064668499</v>
      </c>
      <c r="F391" s="61">
        <f t="shared" ca="1" si="60"/>
        <v>273.51209970335253</v>
      </c>
      <c r="G391" s="61">
        <f t="shared" ca="1" si="61"/>
        <v>49.905597823140994</v>
      </c>
      <c r="H391" s="62">
        <f t="shared" ca="1" si="62"/>
        <v>43483.047064668499</v>
      </c>
      <c r="I391" s="2" t="str">
        <f ca="1">naks(Panchanga!$G391)</f>
        <v>Rohini</v>
      </c>
      <c r="J391" s="5">
        <f ca="1">(C392-Panchanga!$C391)/(G392-Panchanga!$G391)*(13.3333333333333-MOD(Panchanga!$G391,13.333333333333))+Panchanga!$C391</f>
        <v>43483.514369285716</v>
      </c>
      <c r="K391" s="2" t="str">
        <f ca="1">IF(Panchanga!$P391&gt;15,"K","S")&amp;ROUNDUP(MOD(Panchanga!$P391,15),0)&amp;" ("&amp;ROUND(Panchanga!$P391,2)&amp;")"</f>
        <v>S12 (11.37)</v>
      </c>
      <c r="L391" s="2">
        <f ca="1">IF(AND(Panchanga!$P391&lt;28.5,Panchanga!$P391&gt;0.49999),MOD((Panchanga!$P391-0.5)*2,7),MOD((Panchanga!$P391+30-28.5),30)*2+7)</f>
        <v>0.73239999999999839</v>
      </c>
      <c r="M391" s="2" t="str">
        <f ca="1">CHOOSE(ROUNDUP(Panchanga!$L391,0),"Bhava","Baalava","Kaulava","Taitula","Garija","Vanija","Vishti","Shakuni","Chatushapda","Naaga","Kimstugna")</f>
        <v>Bhava</v>
      </c>
      <c r="N391" s="25" t="str">
        <f ca="1">CHOOSE(ROUNDUP(Panchanga!$Q391,0),"Vishkambha-विष्कम्भ-Sa","Priti-प्रीति-Me","Ayushman-आयुष्मान-Ke","Saubhagya-सौभाग्य-Ve","Shobhana-शोभन-Su","Atiganda-अतिगण्ड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("&amp;Panchanga!$Q391&amp;")"</f>
        <v>Brahma-ब्रह्म-Ma (24.26)</v>
      </c>
      <c r="O391" s="2">
        <f ca="1">IF(AND(Panchanga!$P391&lt;28.5,Panchanga!$P391&gt;0.49999),MOD((Panchanga!$P391-0.5)*2,7),MOD((Panchanga!$P391+30-28.5),30)*2+7)</f>
        <v>0.73239999999999839</v>
      </c>
      <c r="P391" s="2">
        <f ca="1">ROUNDUP(MOD(360+Panchanga!$G391-Panchanga!$F391,360)/12,4)</f>
        <v>11.366199999999999</v>
      </c>
      <c r="Q391" s="2">
        <f t="shared" ca="1" si="63"/>
        <v>24.26</v>
      </c>
      <c r="R391" s="2" t="str">
        <f ca="1">SIGN(S392-Panchanga!$S391)*INT(Panchanga!$S391/30+1)&amp;"Ma,"&amp;SIGN(T392-Panchanga!$T391)*INT(Panchanga!$T391/30+1)&amp;"Me,"&amp;SIGN(U392-Panchanga!$U391)*INT(Panchanga!$U391/30+1)&amp;"Ju,"&amp;SIGN(V392-Panchanga!$V391)*INT(Panchanga!$V391/30+1)&amp;"Ve,"&amp;SIGN(W392-Panchanga!$W391)*INT(Panchanga!$W391/30+1)&amp;"Sa,"&amp;INT(Panchanga!$X391/30+1)&amp;"Ra"</f>
        <v>12Ma,9Me,8Ju,8Ve,9Sa,4Ra</v>
      </c>
      <c r="S391" s="2">
        <f ca="1">Planet(Panchanga!$E391,4)</f>
        <v>347.32473687194317</v>
      </c>
      <c r="T391" s="2">
        <f ca="1">Planet(Panchanga!$E391,2)</f>
        <v>265.81419333289256</v>
      </c>
      <c r="U391" s="2">
        <f ca="1">Planet(Panchanga!$E391,5)</f>
        <v>231.09373892040441</v>
      </c>
      <c r="V391" s="2">
        <f ca="1">Planet(Panchanga!$E391,3)</f>
        <v>227.05852324294165</v>
      </c>
      <c r="W391" s="2">
        <f ca="1">Planet(Panchanga!$E391,6)</f>
        <v>259.26034614021523</v>
      </c>
      <c r="X391" s="2">
        <f ca="1">Planet(Panchanga!$E391,10)</f>
        <v>92.545998115355147</v>
      </c>
      <c r="Y391" s="2">
        <f ca="1">SIGN(S392-Panchanga!$S391)</f>
        <v>1</v>
      </c>
    </row>
    <row r="392" spans="1:25" x14ac:dyDescent="0.2">
      <c r="A392" s="3">
        <f t="shared" ca="1" si="56"/>
        <v>43484</v>
      </c>
      <c r="B392" s="3">
        <f t="shared" ca="1" si="57"/>
        <v>43484.229166666664</v>
      </c>
      <c r="C392" s="5">
        <f t="shared" ca="1" si="58"/>
        <v>43484.276299364086</v>
      </c>
      <c r="D392" s="5">
        <f t="shared" ca="1" si="59"/>
        <v>43483.751462916887</v>
      </c>
      <c r="E392" s="60">
        <f ca="1">Panchanga!$C392-TimeZone/24</f>
        <v>43484.047132697422</v>
      </c>
      <c r="F392" s="61">
        <f t="shared" ca="1" si="60"/>
        <v>274.52999487356186</v>
      </c>
      <c r="G392" s="61">
        <f t="shared" ca="1" si="61"/>
        <v>64.300484011330113</v>
      </c>
      <c r="H392" s="62">
        <f t="shared" ca="1" si="62"/>
        <v>43484.047132697422</v>
      </c>
      <c r="I392" s="2" t="str">
        <f ca="1">naks(Panchanga!$G392)</f>
        <v>Mrigashira</v>
      </c>
      <c r="J392" s="5">
        <f ca="1">(C393-Panchanga!$C392)/(G393-Panchanga!$G392)*(13.3333333333333-MOD(Panchanga!$G392,13.333333333333))+Panchanga!$C392</f>
        <v>43484.436426837805</v>
      </c>
      <c r="K392" s="2" t="str">
        <f ca="1">IF(Panchanga!$P392&gt;15,"K","S")&amp;ROUNDUP(MOD(Panchanga!$P392,15),0)&amp;" ("&amp;ROUND(Panchanga!$P392,2)&amp;")"</f>
        <v>S13 (12.48)</v>
      </c>
      <c r="L392" s="2">
        <f ca="1">IF(AND(Panchanga!$P392&lt;28.5,Panchanga!$P392&gt;0.49999),MOD((Panchanga!$P392-0.5)*2,7),MOD((Panchanga!$P392+30-28.5),30)*2+7)</f>
        <v>2.9618000000000002</v>
      </c>
      <c r="M392" s="2" t="str">
        <f ca="1">CHOOSE(ROUNDUP(Panchanga!$L392,0),"Bhava","Baalava","Kaulava","Taitula","Garija","Vanija","Vishti","Shakuni","Chatushapda","Naaga","Kimstugna")</f>
        <v>Kaulava</v>
      </c>
      <c r="N392" s="25" t="str">
        <f ca="1">CHOOSE(ROUNDUP(Panchanga!$Q392,0),"Vishkambha-विष्कम्भ-Sa","Priti-प्रीति-Me","Ayushman-आयुष्मान-Ke","Saubhagya-सौभाग्य-Ve","Shobhana-शोभन-Su","Atiganda-अतिगण्ड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("&amp;Panchanga!$Q392&amp;")"</f>
        <v>Mahendra-महेन्द्र-Ra (25.42)</v>
      </c>
      <c r="O392" s="2">
        <f ca="1">IF(AND(Panchanga!$P392&lt;28.5,Panchanga!$P392&gt;0.49999),MOD((Panchanga!$P392-0.5)*2,7),MOD((Panchanga!$P392+30-28.5),30)*2+7)</f>
        <v>2.9618000000000002</v>
      </c>
      <c r="P392" s="2">
        <f ca="1">ROUNDUP(MOD(360+Panchanga!$G392-Panchanga!$F392,360)/12,4)</f>
        <v>12.4809</v>
      </c>
      <c r="Q392" s="2">
        <f t="shared" ca="1" si="63"/>
        <v>25.42</v>
      </c>
      <c r="R392" s="2" t="str">
        <f ca="1">SIGN(S393-Panchanga!$S392)*INT(Panchanga!$S392/30+1)&amp;"Ma,"&amp;SIGN(T393-Panchanga!$T392)*INT(Panchanga!$T392/30+1)&amp;"Me,"&amp;SIGN(U393-Panchanga!$U392)*INT(Panchanga!$U392/30+1)&amp;"Ju,"&amp;SIGN(V393-Panchanga!$V392)*INT(Panchanga!$V392/30+1)&amp;"Ve,"&amp;SIGN(W393-Panchanga!$W392)*INT(Panchanga!$W392/30+1)&amp;"Sa,"&amp;INT(Panchanga!$X392/30+1)&amp;"Ra"</f>
        <v>12Ma,9Me,8Ju,8Ve,9Sa,4Ra</v>
      </c>
      <c r="S392" s="2">
        <f ca="1">Planet(Panchanga!$E392,4)</f>
        <v>348.0019073304843</v>
      </c>
      <c r="T392" s="2">
        <f ca="1">Planet(Panchanga!$E392,2)</f>
        <v>267.41516584844993</v>
      </c>
      <c r="U392" s="2">
        <f ca="1">Planet(Panchanga!$E392,5)</f>
        <v>231.28573427406923</v>
      </c>
      <c r="V392" s="2">
        <f ca="1">Planet(Panchanga!$E392,3)</f>
        <v>228.14369236977367</v>
      </c>
      <c r="W392" s="2">
        <f ca="1">Planet(Panchanga!$E392,6)</f>
        <v>259.37594743069894</v>
      </c>
      <c r="X392" s="2">
        <f ca="1">Planet(Panchanga!$E392,10)</f>
        <v>92.493002513470202</v>
      </c>
      <c r="Y392" s="2">
        <f ca="1">SIGN(S393-Panchanga!$S392)</f>
        <v>1</v>
      </c>
    </row>
    <row r="393" spans="1:25" x14ac:dyDescent="0.2">
      <c r="A393" s="3">
        <f t="shared" ca="1" si="56"/>
        <v>43485</v>
      </c>
      <c r="B393" s="3">
        <f t="shared" ca="1" si="57"/>
        <v>43485.229166666664</v>
      </c>
      <c r="C393" s="5">
        <f t="shared" ca="1" si="58"/>
        <v>43485.27635451794</v>
      </c>
      <c r="D393" s="5">
        <f t="shared" ca="1" si="59"/>
        <v>43484.751833101313</v>
      </c>
      <c r="E393" s="60">
        <f ca="1">Panchanga!$C393-TimeZone/24</f>
        <v>43485.047187851276</v>
      </c>
      <c r="F393" s="61">
        <f t="shared" ca="1" si="60"/>
        <v>275.5476720029589</v>
      </c>
      <c r="G393" s="61">
        <f t="shared" ca="1" si="61"/>
        <v>79.078167718126622</v>
      </c>
      <c r="H393" s="62">
        <f t="shared" ca="1" si="62"/>
        <v>43485.047187851276</v>
      </c>
      <c r="I393" s="2" t="str">
        <f ca="1">naks(Panchanga!$G393)</f>
        <v>Ardra</v>
      </c>
      <c r="J393" s="5">
        <f ca="1">(C394-Panchanga!$C393)/(G394-Panchanga!$G393)*(13.3333333333333-MOD(Panchanga!$G393,13.333333333333))+Panchanga!$C393</f>
        <v>43485.337592378964</v>
      </c>
      <c r="K393" s="2" t="str">
        <f ca="1">IF(Panchanga!$P393&gt;15,"K","S")&amp;ROUNDUP(MOD(Panchanga!$P393,15),0)&amp;" ("&amp;ROUND(Panchanga!$P393,2)&amp;")"</f>
        <v>S14 (13.63)</v>
      </c>
      <c r="L393" s="2">
        <f ca="1">IF(AND(Panchanga!$P393&lt;28.5,Panchanga!$P393&gt;0.49999),MOD((Panchanga!$P393-0.5)*2,7),MOD((Panchanga!$P393+30-28.5),30)*2+7)</f>
        <v>5.2551999999999985</v>
      </c>
      <c r="M393" s="2" t="str">
        <f ca="1">CHOOSE(ROUNDUP(Panchanga!$L393,0),"Bhava","Baalava","Kaulava","Taitula","Garija","Vanija","Vishti","Shakuni","Chatushapda","Naaga","Kimstugna")</f>
        <v>Vanija</v>
      </c>
      <c r="N393" s="25" t="str">
        <f ca="1">CHOOSE(ROUNDUP(Panchanga!$Q393,0),"Vishkambha-विष्कम्भ-Sa","Priti-प्रीति-Me","Ayushman-आयुष्मान-Ke","Saubhagya-सौभाग्य-Ve","Shobhana-शोभन-Su","Atiganda-अतिगण्ड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("&amp;Panchanga!$Q393&amp;")"</f>
        <v>Vaidhriti-वैधृति-Ke (26.6)</v>
      </c>
      <c r="O393" s="2">
        <f ca="1">IF(AND(Panchanga!$P393&lt;28.5,Panchanga!$P393&gt;0.49999),MOD((Panchanga!$P393-0.5)*2,7),MOD((Panchanga!$P393+30-28.5),30)*2+7)</f>
        <v>5.2551999999999985</v>
      </c>
      <c r="P393" s="2">
        <f ca="1">ROUNDUP(MOD(360+Panchanga!$G393-Panchanga!$F393,360)/12,4)</f>
        <v>13.627599999999999</v>
      </c>
      <c r="Q393" s="2">
        <f t="shared" ca="1" si="63"/>
        <v>26.6</v>
      </c>
      <c r="R393" s="2" t="str">
        <f ca="1">SIGN(S394-Panchanga!$S393)*INT(Panchanga!$S393/30+1)&amp;"Ma,"&amp;SIGN(T394-Panchanga!$T393)*INT(Panchanga!$T393/30+1)&amp;"Me,"&amp;SIGN(U394-Panchanga!$U393)*INT(Panchanga!$U393/30+1)&amp;"Ju,"&amp;SIGN(V394-Panchanga!$V393)*INT(Panchanga!$V393/30+1)&amp;"Ve,"&amp;SIGN(W394-Panchanga!$W393)*INT(Panchanga!$W393/30+1)&amp;"Sa,"&amp;INT(Panchanga!$X393/30+1)&amp;"Ra"</f>
        <v>12Ma,9Me,8Ju,8Ve,9Sa,4Ra</v>
      </c>
      <c r="S393" s="2">
        <f ca="1">Planet(Panchanga!$E393,4)</f>
        <v>348.67912214023545</v>
      </c>
      <c r="T393" s="2">
        <f ca="1">Planet(Panchanga!$E393,2)</f>
        <v>269.02497792891694</v>
      </c>
      <c r="U393" s="2">
        <f ca="1">Planet(Panchanga!$E393,5)</f>
        <v>231.47646775930301</v>
      </c>
      <c r="V393" s="2">
        <f ca="1">Planet(Panchanga!$E393,3)</f>
        <v>229.23313114773168</v>
      </c>
      <c r="W393" s="2">
        <f ca="1">Planet(Panchanga!$E393,6)</f>
        <v>259.49122267946706</v>
      </c>
      <c r="X393" s="2">
        <f ca="1">Planet(Panchanga!$E393,10)</f>
        <v>92.440007593841329</v>
      </c>
      <c r="Y393" s="2">
        <f ca="1">SIGN(S394-Panchanga!$S393)</f>
        <v>1</v>
      </c>
    </row>
    <row r="394" spans="1:25" x14ac:dyDescent="0.2">
      <c r="A394" s="3">
        <f t="shared" ca="1" si="56"/>
        <v>43486</v>
      </c>
      <c r="B394" s="3">
        <f t="shared" ca="1" si="57"/>
        <v>43486.229166666664</v>
      </c>
      <c r="C394" s="5">
        <f t="shared" ca="1" si="58"/>
        <v>43486.276396797657</v>
      </c>
      <c r="D394" s="5">
        <f t="shared" ca="1" si="59"/>
        <v>43485.752198994203</v>
      </c>
      <c r="E394" s="60">
        <f ca="1">Panchanga!$C394-TimeZone/24</f>
        <v>43486.047230130993</v>
      </c>
      <c r="F394" s="61">
        <f t="shared" ca="1" si="60"/>
        <v>276.56514054149602</v>
      </c>
      <c r="G394" s="61">
        <f t="shared" ca="1" si="61"/>
        <v>94.132110512325411</v>
      </c>
      <c r="H394" s="62">
        <f t="shared" ca="1" si="62"/>
        <v>43486.047230130993</v>
      </c>
      <c r="I394" s="2" t="str">
        <f ca="1">naks(Panchanga!$G394)</f>
        <v>Pushya</v>
      </c>
      <c r="J394" s="5">
        <f ca="1">(C395-Panchanga!$C394)/(G395-Panchanga!$G394)*(13.3333333333333-MOD(Panchanga!$G394,13.333333333333))+Panchanga!$C394</f>
        <v>43487.101754690157</v>
      </c>
      <c r="K394" s="2" t="str">
        <f ca="1">IF(Panchanga!$P394&gt;15,"K","S")&amp;ROUNDUP(MOD(Panchanga!$P394,15),0)&amp;" ("&amp;ROUND(Panchanga!$P394,2)&amp;")"</f>
        <v>S15 (14.8)</v>
      </c>
      <c r="L394" s="2">
        <f ca="1">IF(AND(Panchanga!$P394&lt;28.5,Panchanga!$P394&gt;0.49999),MOD((Panchanga!$P394-0.5)*2,7),MOD((Panchanga!$P394+30-28.5),30)*2+7)</f>
        <v>0.5945999999999998</v>
      </c>
      <c r="M394" s="2" t="str">
        <f ca="1">CHOOSE(ROUNDUP(Panchanga!$L394,0),"Bhava","Baalava","Kaulava","Taitula","Garija","Vanija","Vishti","Shakuni","Chatushapda","Naaga","Kimstugna")</f>
        <v>Bhava</v>
      </c>
      <c r="N394" s="25" t="str">
        <f ca="1">CHOOSE(ROUNDUP(Panchanga!$Q394,0),"Vishkambha-विष्कम्भ-Sa","Priti-प्रीति-Me","Ayushman-आयुष्मान-Ke","Saubhagya-सौभाग्य-Ve","Shobhana-शोभन-Su","Atiganda-अतिगण्ड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("&amp;Panchanga!$Q394&amp;")"</f>
        <v>Vishkambha-विष्कम्भ-Sa (0.81)</v>
      </c>
      <c r="O394" s="2">
        <f ca="1">IF(AND(Panchanga!$P394&lt;28.5,Panchanga!$P394&gt;0.49999),MOD((Panchanga!$P394-0.5)*2,7),MOD((Panchanga!$P394+30-28.5),30)*2+7)</f>
        <v>0.5945999999999998</v>
      </c>
      <c r="P394" s="2">
        <f ca="1">ROUNDUP(MOD(360+Panchanga!$G394-Panchanga!$F394,360)/12,4)</f>
        <v>14.7973</v>
      </c>
      <c r="Q394" s="2">
        <f t="shared" ca="1" si="63"/>
        <v>0.81</v>
      </c>
      <c r="R394" s="2" t="str">
        <f ca="1">SIGN(S395-Panchanga!$S394)*INT(Panchanga!$S394/30+1)&amp;"Ma,"&amp;SIGN(T395-Panchanga!$T394)*INT(Panchanga!$T394/30+1)&amp;"Me,"&amp;SIGN(U395-Panchanga!$U394)*INT(Panchanga!$U394/30+1)&amp;"Ju,"&amp;SIGN(V395-Panchanga!$V394)*INT(Panchanga!$V394/30+1)&amp;"Ve,"&amp;SIGN(W395-Panchanga!$W394)*INT(Panchanga!$W394/30+1)&amp;"Sa,"&amp;INT(Panchanga!$X394/30+1)&amp;"Ra"</f>
        <v>12Ma,10Me,8Ju,8Ve,9Sa,4Ra</v>
      </c>
      <c r="S394" s="2">
        <f ca="1">Planet(Panchanga!$E394,4)</f>
        <v>349.35636318461479</v>
      </c>
      <c r="T394" s="2">
        <f ca="1">Planet(Panchanga!$E394,2)</f>
        <v>270.64388748353514</v>
      </c>
      <c r="U394" s="2">
        <f ca="1">Planet(Panchanga!$E394,5)</f>
        <v>231.66591696730768</v>
      </c>
      <c r="V394" s="2">
        <f ca="1">Planet(Panchanga!$E394,3)</f>
        <v>230.32672114148463</v>
      </c>
      <c r="W394" s="2">
        <f ca="1">Planet(Panchanga!$E394,6)</f>
        <v>259.60615506699685</v>
      </c>
      <c r="X394" s="2">
        <f ca="1">Planet(Panchanga!$E394,10)</f>
        <v>92.387013356451902</v>
      </c>
      <c r="Y394" s="2">
        <f ca="1">SIGN(S395-Panchanga!$S394)</f>
        <v>1</v>
      </c>
    </row>
    <row r="395" spans="1:25" x14ac:dyDescent="0.2">
      <c r="A395" s="3">
        <f t="shared" ref="A395:A458" ca="1" si="64">A394+1</f>
        <v>43487</v>
      </c>
      <c r="B395" s="3">
        <f t="shared" ca="1" si="57"/>
        <v>43487.229166666664</v>
      </c>
      <c r="C395" s="5">
        <f t="shared" ca="1" si="58"/>
        <v>43487.27642620277</v>
      </c>
      <c r="D395" s="5">
        <f t="shared" ca="1" si="59"/>
        <v>43486.752560436769</v>
      </c>
      <c r="E395" s="60">
        <f ca="1">Panchanga!$C395-TimeZone/24</f>
        <v>43487.047259536106</v>
      </c>
      <c r="F395" s="61">
        <f t="shared" ca="1" si="60"/>
        <v>277.58241315154453</v>
      </c>
      <c r="G395" s="61">
        <f t="shared" ca="1" si="61"/>
        <v>109.31937030381626</v>
      </c>
      <c r="H395" s="62">
        <f t="shared" ca="1" si="62"/>
        <v>43487.047259536106</v>
      </c>
      <c r="I395" s="2" t="str">
        <f ca="1">naks(Panchanga!$G395)</f>
        <v>Aslesha</v>
      </c>
      <c r="J395" s="5">
        <f ca="1">(C396-Panchanga!$C395)/(G396-Panchanga!$G395)*(13.3333333333333-MOD(Panchanga!$G395,13.333333333333))+Panchanga!$C395</f>
        <v>43487.980953491991</v>
      </c>
      <c r="K395" s="2" t="str">
        <f ca="1">IF(Panchanga!$P395&gt;15,"K","S")&amp;ROUNDUP(MOD(Panchanga!$P395,15),0)&amp;" ("&amp;ROUND(Panchanga!$P395,2)&amp;")"</f>
        <v>K1 (15.98)</v>
      </c>
      <c r="L395" s="2">
        <f ca="1">IF(AND(Panchanga!$P395&lt;28.5,Panchanga!$P395&gt;0.49999),MOD((Panchanga!$P395-0.5)*2,7),MOD((Panchanga!$P395+30-28.5),30)*2+7)</f>
        <v>2.9561999999999991</v>
      </c>
      <c r="M395" s="2" t="str">
        <f ca="1">CHOOSE(ROUNDUP(Panchanga!$L395,0),"Bhava","Baalava","Kaulava","Taitula","Garija","Vanija","Vishti","Shakuni","Chatushapda","Naaga","Kimstugna")</f>
        <v>Kaulava</v>
      </c>
      <c r="N395" s="25" t="str">
        <f ca="1">CHOOSE(ROUNDUP(Panchanga!$Q395,0),"Vishkambha-विष्कम्भ-Sa","Priti-प्रीति-Me","Ayushman-आयुष्मान-Ke","Saubhagya-सौभाग्य-Ve","Shobhana-शोभन-Su","Atiganda-अतिगण्ड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("&amp;Panchanga!$Q395&amp;")"</f>
        <v>Ayushman-आयुष्मान-Ke (2.02)</v>
      </c>
      <c r="O395" s="2">
        <f ca="1">IF(AND(Panchanga!$P395&lt;28.5,Panchanga!$P395&gt;0.49999),MOD((Panchanga!$P395-0.5)*2,7),MOD((Panchanga!$P395+30-28.5),30)*2+7)</f>
        <v>2.9561999999999991</v>
      </c>
      <c r="P395" s="2">
        <f ca="1">ROUNDUP(MOD(360+Panchanga!$G395-Panchanga!$F395,360)/12,4)</f>
        <v>15.9781</v>
      </c>
      <c r="Q395" s="2">
        <f t="shared" ca="1" si="63"/>
        <v>2.0199999999999996</v>
      </c>
      <c r="R395" s="2" t="str">
        <f ca="1">SIGN(S396-Panchanga!$S395)*INT(Panchanga!$S395/30+1)&amp;"Ma,"&amp;SIGN(T396-Panchanga!$T395)*INT(Panchanga!$T395/30+1)&amp;"Me,"&amp;SIGN(U396-Panchanga!$U395)*INT(Panchanga!$U395/30+1)&amp;"Ju,"&amp;SIGN(V396-Panchanga!$V395)*INT(Panchanga!$V395/30+1)&amp;"Ve,"&amp;SIGN(W396-Panchanga!$W395)*INT(Panchanga!$W395/30+1)&amp;"Sa,"&amp;INT(Panchanga!$X395/30+1)&amp;"Ra"</f>
        <v>12Ma,10Me,8Ju,8Ve,9Sa,4Ra</v>
      </c>
      <c r="S395" s="2">
        <f ca="1">Planet(Panchanga!$E395,4)</f>
        <v>350.0336175782038</v>
      </c>
      <c r="T395" s="2">
        <f ca="1">Planet(Panchanga!$E395,2)</f>
        <v>272.27215727832504</v>
      </c>
      <c r="U395" s="2">
        <f ca="1">Planet(Panchanga!$E395,5)</f>
        <v>231.85405905452293</v>
      </c>
      <c r="V395" s="2">
        <f ca="1">Planet(Panchanga!$E395,3)</f>
        <v>231.42434581375679</v>
      </c>
      <c r="W395" s="2">
        <f ca="1">Planet(Panchanga!$E395,6)</f>
        <v>259.72072795213438</v>
      </c>
      <c r="X395" s="2">
        <f ca="1">Planet(Panchanga!$E395,10)</f>
        <v>92.334019801318519</v>
      </c>
      <c r="Y395" s="2">
        <f ca="1">SIGN(S396-Panchanga!$S395)</f>
        <v>1</v>
      </c>
    </row>
    <row r="396" spans="1:25" x14ac:dyDescent="0.2">
      <c r="A396" s="3">
        <f t="shared" ca="1" si="64"/>
        <v>43488</v>
      </c>
      <c r="B396" s="3">
        <f t="shared" ca="1" si="57"/>
        <v>43488.229166666664</v>
      </c>
      <c r="C396" s="5">
        <f t="shared" ca="1" si="58"/>
        <v>43488.276442574024</v>
      </c>
      <c r="D396" s="5">
        <f t="shared" ca="1" si="59"/>
        <v>43487.75291742901</v>
      </c>
      <c r="E396" s="60">
        <f ca="1">Panchanga!$C396-TimeZone/24</f>
        <v>43488.04727590736</v>
      </c>
      <c r="F396" s="61">
        <f t="shared" ca="1" si="60"/>
        <v>278.59950331541177</v>
      </c>
      <c r="G396" s="61">
        <f t="shared" ca="1" si="61"/>
        <v>124.47961280250394</v>
      </c>
      <c r="H396" s="62">
        <f t="shared" ca="1" si="62"/>
        <v>43488.04727590736</v>
      </c>
      <c r="I396" s="2" t="str">
        <f ca="1">naks(Panchanga!$G396)</f>
        <v>Makha</v>
      </c>
      <c r="J396" s="5">
        <f ca="1">(C397-Panchanga!$C396)/(G397-Panchanga!$G396)*(13.3333333333333-MOD(Panchanga!$G396,13.333333333333))+Panchanga!$C396</f>
        <v>43488.867503257396</v>
      </c>
      <c r="K396" s="2" t="str">
        <f ca="1">IF(Panchanga!$P396&gt;15,"K","S")&amp;ROUNDUP(MOD(Panchanga!$P396,15),0)&amp;" ("&amp;ROUND(Panchanga!$P396,2)&amp;")"</f>
        <v>K3 (17.16)</v>
      </c>
      <c r="L396" s="2">
        <f ca="1">IF(AND(Panchanga!$P396&lt;28.5,Panchanga!$P396&gt;0.49999),MOD((Panchanga!$P396-0.5)*2,7),MOD((Panchanga!$P396+30-28.5),30)*2+7)</f>
        <v>5.3134000000000015</v>
      </c>
      <c r="M396" s="2" t="str">
        <f ca="1">CHOOSE(ROUNDUP(Panchanga!$L396,0),"Bhava","Baalava","Kaulava","Taitula","Garija","Vanija","Vishti","Shakuni","Chatushapda","Naaga","Kimstugna")</f>
        <v>Vanija</v>
      </c>
      <c r="N396" s="25" t="str">
        <f ca="1">CHOOSE(ROUNDUP(Panchanga!$Q396,0),"Vishkambha-विष्कम्भ-Sa","Priti-प्रीति-Me","Ayushman-आयुष्मान-Ke","Saubhagya-सौभाग्य-Ve","Shobhana-शोभन-Su","Atiganda-अतिगण्ड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("&amp;Panchanga!$Q396&amp;")"</f>
        <v>Saubhagya-सौभाग्य-Ve (3.24)</v>
      </c>
      <c r="O396" s="2">
        <f ca="1">IF(AND(Panchanga!$P396&lt;28.5,Panchanga!$P396&gt;0.49999),MOD((Panchanga!$P396-0.5)*2,7),MOD((Panchanga!$P396+30-28.5),30)*2+7)</f>
        <v>5.3134000000000015</v>
      </c>
      <c r="P396" s="2">
        <f ca="1">ROUNDUP(MOD(360+Panchanga!$G396-Panchanga!$F396,360)/12,4)</f>
        <v>17.156700000000001</v>
      </c>
      <c r="Q396" s="2">
        <f t="shared" ca="1" si="63"/>
        <v>3.2399999999999998</v>
      </c>
      <c r="R396" s="2" t="str">
        <f ca="1">SIGN(S397-Panchanga!$S396)*INT(Panchanga!$S396/30+1)&amp;"Ma,"&amp;SIGN(T397-Panchanga!$T396)*INT(Panchanga!$T396/30+1)&amp;"Me,"&amp;SIGN(U397-Panchanga!$U396)*INT(Panchanga!$U396/30+1)&amp;"Ju,"&amp;SIGN(V397-Panchanga!$V396)*INT(Panchanga!$V396/30+1)&amp;"Ve,"&amp;SIGN(W397-Panchanga!$W396)*INT(Panchanga!$W396/30+1)&amp;"Sa,"&amp;INT(Panchanga!$X396/30+1)&amp;"Ra"</f>
        <v>12Ma,10Me,8Ju,8Ve,9Sa,4Ra</v>
      </c>
      <c r="S396" s="2">
        <f ca="1">Planet(Panchanga!$E396,4)</f>
        <v>350.71087767247718</v>
      </c>
      <c r="T396" s="2">
        <f ca="1">Planet(Panchanga!$E396,2)</f>
        <v>273.91004940049294</v>
      </c>
      <c r="U396" s="2">
        <f ca="1">Planet(Panchanga!$E396,5)</f>
        <v>232.04087024411945</v>
      </c>
      <c r="V396" s="2">
        <f ca="1">Planet(Panchanga!$E396,3)</f>
        <v>232.52588749006622</v>
      </c>
      <c r="W396" s="2">
        <f ca="1">Planet(Panchanga!$E396,6)</f>
        <v>259.83492459037842</v>
      </c>
      <c r="X396" s="2">
        <f ca="1">Planet(Panchanga!$E396,10)</f>
        <v>92.281026936891308</v>
      </c>
      <c r="Y396" s="2">
        <f ca="1">SIGN(S397-Panchanga!$S396)</f>
        <v>1</v>
      </c>
    </row>
    <row r="397" spans="1:25" x14ac:dyDescent="0.2">
      <c r="A397" s="3">
        <f t="shared" ca="1" si="64"/>
        <v>43489</v>
      </c>
      <c r="B397" s="3">
        <f t="shared" ca="1" si="57"/>
        <v>43489.229166666664</v>
      </c>
      <c r="C397" s="5">
        <f t="shared" ca="1" si="58"/>
        <v>43489.276446229931</v>
      </c>
      <c r="D397" s="5">
        <f t="shared" ca="1" si="59"/>
        <v>43488.753269334833</v>
      </c>
      <c r="E397" s="60">
        <f ca="1">Panchanga!$C397-TimeZone/24</f>
        <v>43489.047279563267</v>
      </c>
      <c r="F397" s="61">
        <f t="shared" ca="1" si="60"/>
        <v>279.61642343736304</v>
      </c>
      <c r="G397" s="61">
        <f t="shared" ca="1" si="61"/>
        <v>139.45904409989367</v>
      </c>
      <c r="H397" s="62">
        <f t="shared" ca="1" si="62"/>
        <v>43489.047279563267</v>
      </c>
      <c r="I397" s="2" t="str">
        <f ca="1">naks(Panchanga!$G397)</f>
        <v>Purva Phalguni</v>
      </c>
      <c r="J397" s="5">
        <f ca="1">(C398-Panchanga!$C397)/(G398-Panchanga!$G397)*(13.3333333333333-MOD(Panchanga!$G397,13.333333333333))+Panchanga!$C397</f>
        <v>43489.767650822112</v>
      </c>
      <c r="K397" s="2" t="str">
        <f ca="1">IF(Panchanga!$P397&gt;15,"K","S")&amp;ROUNDUP(MOD(Panchanga!$P397,15),0)&amp;" ("&amp;ROUND(Panchanga!$P397,2)&amp;")"</f>
        <v>K4 (18.32)</v>
      </c>
      <c r="L397" s="2">
        <f ca="1">IF(AND(Panchanga!$P397&lt;28.5,Panchanga!$P397&gt;0.49999),MOD((Panchanga!$P397-0.5)*2,7),MOD((Panchanga!$P397+30-28.5),30)*2+7)</f>
        <v>0.64059999999999917</v>
      </c>
      <c r="M397" s="2" t="str">
        <f ca="1">CHOOSE(ROUNDUP(Panchanga!$L397,0),"Bhava","Baalava","Kaulava","Taitula","Garija","Vanija","Vishti","Shakuni","Chatushapda","Naaga","Kimstugna")</f>
        <v>Bhava</v>
      </c>
      <c r="N397" s="25" t="str">
        <f ca="1">CHOOSE(ROUNDUP(Panchanga!$Q397,0),"Vishkambha-विष्कम्भ-Sa","Priti-प्रीति-Me","Ayushman-आयुष्मान-Ke","Saubhagya-सौभाग्य-Ve","Shobhana-शोभन-Su","Atiganda-अतिगण्ड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("&amp;Panchanga!$Q397&amp;")"</f>
        <v>Shobhana-शोभन-Su (4.44)</v>
      </c>
      <c r="O397" s="2">
        <f ca="1">IF(AND(Panchanga!$P397&lt;28.5,Panchanga!$P397&gt;0.49999),MOD((Panchanga!$P397-0.5)*2,7),MOD((Panchanga!$P397+30-28.5),30)*2+7)</f>
        <v>0.64059999999999917</v>
      </c>
      <c r="P397" s="2">
        <f ca="1">ROUNDUP(MOD(360+Panchanga!$G397-Panchanga!$F397,360)/12,4)</f>
        <v>18.3203</v>
      </c>
      <c r="Q397" s="2">
        <f t="shared" ca="1" si="63"/>
        <v>4.4399999999999995</v>
      </c>
      <c r="R397" s="2" t="str">
        <f ca="1">SIGN(S398-Panchanga!$S397)*INT(Panchanga!$S397/30+1)&amp;"Ma,"&amp;SIGN(T398-Panchanga!$T397)*INT(Panchanga!$T397/30+1)&amp;"Me,"&amp;SIGN(U398-Panchanga!$U397)*INT(Panchanga!$U397/30+1)&amp;"Ju,"&amp;SIGN(V398-Panchanga!$V397)*INT(Panchanga!$V397/30+1)&amp;"Ve,"&amp;SIGN(W398-Panchanga!$W397)*INT(Panchanga!$W397/30+1)&amp;"Sa,"&amp;INT(Panchanga!$X397/30+1)&amp;"Ra"</f>
        <v>12Ma,10Me,8Ju,8Ve,9Sa,4Ra</v>
      </c>
      <c r="S397" s="2">
        <f ca="1">Planet(Panchanga!$E397,4)</f>
        <v>351.38814071747458</v>
      </c>
      <c r="T397" s="2">
        <f ca="1">Planet(Panchanga!$E397,2)</f>
        <v>275.55782060435354</v>
      </c>
      <c r="U397" s="2">
        <f ca="1">Planet(Panchanga!$E397,5)</f>
        <v>232.22632558684757</v>
      </c>
      <c r="V397" s="2">
        <f ca="1">Planet(Panchanga!$E397,3)</f>
        <v>233.6312261202292</v>
      </c>
      <c r="W397" s="2">
        <f ca="1">Planet(Panchanga!$E397,6)</f>
        <v>259.94872793573137</v>
      </c>
      <c r="X397" s="2">
        <f ca="1">Planet(Panchanga!$E397,10)</f>
        <v>92.228034746270183</v>
      </c>
      <c r="Y397" s="2">
        <f ca="1">SIGN(S398-Panchanga!$S397)</f>
        <v>1</v>
      </c>
    </row>
    <row r="398" spans="1:25" x14ac:dyDescent="0.2">
      <c r="A398" s="3">
        <f t="shared" ca="1" si="64"/>
        <v>43490</v>
      </c>
      <c r="B398" s="3">
        <f t="shared" ca="1" si="57"/>
        <v>43490.229166666664</v>
      </c>
      <c r="C398" s="5">
        <f t="shared" ca="1" si="58"/>
        <v>43490.276437170025</v>
      </c>
      <c r="D398" s="5">
        <f t="shared" ca="1" si="59"/>
        <v>43489.753616472284</v>
      </c>
      <c r="E398" s="60">
        <f ca="1">Panchanga!$C398-TimeZone/24</f>
        <v>43490.047270503361</v>
      </c>
      <c r="F398" s="61">
        <f t="shared" ca="1" si="60"/>
        <v>280.63318187244573</v>
      </c>
      <c r="G398" s="61">
        <f t="shared" ca="1" si="61"/>
        <v>154.13227269172381</v>
      </c>
      <c r="H398" s="62">
        <f t="shared" ca="1" si="62"/>
        <v>43490.047270503361</v>
      </c>
      <c r="I398" s="2" t="str">
        <f ca="1">naks(Panchanga!$G398)</f>
        <v>Uttara Phalguni</v>
      </c>
      <c r="J398" s="5">
        <f ca="1">(C399-Panchanga!$C398)/(G399-Panchanga!$G398)*(13.3333333333333-MOD(Panchanga!$G398,13.333333333333))+Panchanga!$C398</f>
        <v>43490.687222347726</v>
      </c>
      <c r="K398" s="2" t="str">
        <f ca="1">IF(Panchanga!$P398&gt;15,"K","S")&amp;ROUNDUP(MOD(Panchanga!$P398,15),0)&amp;" ("&amp;ROUND(Panchanga!$P398,2)&amp;")"</f>
        <v>K5 (19.46)</v>
      </c>
      <c r="L398" s="2">
        <f ca="1">IF(AND(Panchanga!$P398&lt;28.5,Panchanga!$P398&gt;0.49999),MOD((Panchanga!$P398-0.5)*2,7),MOD((Panchanga!$P398+30-28.5),30)*2+7)</f>
        <v>2.9166000000000025</v>
      </c>
      <c r="M398" s="2" t="str">
        <f ca="1">CHOOSE(ROUNDUP(Panchanga!$L398,0),"Bhava","Baalava","Kaulava","Taitula","Garija","Vanija","Vishti","Shakuni","Chatushapda","Naaga","Kimstugna")</f>
        <v>Kaulava</v>
      </c>
      <c r="N398" s="25" t="str">
        <f ca="1">CHOOSE(ROUNDUP(Panchanga!$Q398,0),"Vishkambha-विष्कम्भ-Sa","Priti-प्रीति-Me","Ayushman-आयुष्मान-Ke","Saubhagya-सौभाग्य-Ve","Shobhana-शोभन-Su","Atiganda-अतिगण्ड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("&amp;Panchanga!$Q398&amp;")"</f>
        <v>Atiganda-अतिगण्ड -Mo (5.61)</v>
      </c>
      <c r="O398" s="2">
        <f ca="1">IF(AND(Panchanga!$P398&lt;28.5,Panchanga!$P398&gt;0.49999),MOD((Panchanga!$P398-0.5)*2,7),MOD((Panchanga!$P398+30-28.5),30)*2+7)</f>
        <v>2.9166000000000025</v>
      </c>
      <c r="P398" s="2">
        <f ca="1">ROUNDUP(MOD(360+Panchanga!$G398-Panchanga!$F398,360)/12,4)</f>
        <v>19.458300000000001</v>
      </c>
      <c r="Q398" s="2">
        <f t="shared" ca="1" si="63"/>
        <v>5.6099999999999994</v>
      </c>
      <c r="R398" s="2" t="str">
        <f ca="1">SIGN(S399-Panchanga!$S398)*INT(Panchanga!$S398/30+1)&amp;"Ma,"&amp;SIGN(T399-Panchanga!$T398)*INT(Panchanga!$T398/30+1)&amp;"Me,"&amp;SIGN(U399-Panchanga!$U398)*INT(Panchanga!$U398/30+1)&amp;"Ju,"&amp;SIGN(V399-Panchanga!$V398)*INT(Panchanga!$V398/30+1)&amp;"Ve,"&amp;SIGN(W399-Panchanga!$W398)*INT(Panchanga!$W398/30+1)&amp;"Sa,"&amp;INT(Panchanga!$X398/30+1)&amp;"Ra"</f>
        <v>12Ma,10Me,8Ju,8Ve,9Sa,4Ra</v>
      </c>
      <c r="S398" s="2">
        <f ca="1">Planet(Panchanga!$E398,4)</f>
        <v>352.06540686588005</v>
      </c>
      <c r="T398" s="2">
        <f ca="1">Planet(Panchanga!$E398,2)</f>
        <v>277.21571520863722</v>
      </c>
      <c r="U398" s="2">
        <f ca="1">Planet(Panchanga!$E398,5)</f>
        <v>232.41039866263819</v>
      </c>
      <c r="V398" s="2">
        <f ca="1">Planet(Panchanga!$E398,3)</f>
        <v>234.74023786955252</v>
      </c>
      <c r="W398" s="2">
        <f ca="1">Planet(Panchanga!$E398,6)</f>
        <v>260.06212035843811</v>
      </c>
      <c r="X398" s="2">
        <f ca="1">Planet(Panchanga!$E398,10)</f>
        <v>92.175043229471498</v>
      </c>
      <c r="Y398" s="2">
        <f ca="1">SIGN(S399-Panchanga!$S398)</f>
        <v>1</v>
      </c>
    </row>
    <row r="399" spans="1:25" x14ac:dyDescent="0.2">
      <c r="A399" s="3">
        <f t="shared" ca="1" si="64"/>
        <v>43491</v>
      </c>
      <c r="B399" s="3">
        <f t="shared" ca="1" si="57"/>
        <v>43491.229166666664</v>
      </c>
      <c r="C399" s="5">
        <f t="shared" ca="1" si="58"/>
        <v>43491.276415235516</v>
      </c>
      <c r="D399" s="5">
        <f t="shared" ca="1" si="59"/>
        <v>43490.753958523317</v>
      </c>
      <c r="E399" s="60">
        <f ca="1">Panchanga!$C399-TimeZone/24</f>
        <v>43491.047248568852</v>
      </c>
      <c r="F399" s="61">
        <f t="shared" ca="1" si="60"/>
        <v>281.64978182886307</v>
      </c>
      <c r="G399" s="61">
        <f t="shared" ca="1" si="61"/>
        <v>168.41613423549506</v>
      </c>
      <c r="H399" s="62">
        <f t="shared" ca="1" si="62"/>
        <v>43491.047248568852</v>
      </c>
      <c r="I399" s="2" t="str">
        <f ca="1">naks(Panchanga!$G399)</f>
        <v>Hasta</v>
      </c>
      <c r="J399" s="5">
        <f ca="1">(C400-Panchanga!$C399)/(G400-Panchanga!$G399)*(13.3333333333333-MOD(Panchanga!$G399,13.333333333333))+Panchanga!$C399</f>
        <v>43491.631257711568</v>
      </c>
      <c r="K399" s="2" t="str">
        <f ca="1">IF(Panchanga!$P399&gt;15,"K","S")&amp;ROUNDUP(MOD(Panchanga!$P399,15),0)&amp;" ("&amp;ROUND(Panchanga!$P399,2)&amp;")"</f>
        <v>K6 (20.56)</v>
      </c>
      <c r="L399" s="2">
        <f ca="1">IF(AND(Panchanga!$P399&lt;28.5,Panchanga!$P399&gt;0.49999),MOD((Panchanga!$P399-0.5)*2,7),MOD((Panchanga!$P399+30-28.5),30)*2+7)</f>
        <v>5.1278000000000006</v>
      </c>
      <c r="M399" s="2" t="str">
        <f ca="1">CHOOSE(ROUNDUP(Panchanga!$L399,0),"Bhava","Baalava","Kaulava","Taitula","Garija","Vanija","Vishti","Shakuni","Chatushapda","Naaga","Kimstugna")</f>
        <v>Vanija</v>
      </c>
      <c r="N399" s="25" t="str">
        <f ca="1">CHOOSE(ROUNDUP(Panchanga!$Q399,0),"Vishkambha-विष्कम्भ-Sa","Priti-प्रीति-Me","Ayushman-आयुष्मान-Ke","Saubhagya-सौभाग्य-Ve","Shobhana-शोभन-Su","Atiganda-अतिगण्ड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("&amp;Panchanga!$Q399&amp;")"</f>
        <v>Sukarman-सुकर्मा -Ma (6.76)</v>
      </c>
      <c r="O399" s="2">
        <f ca="1">IF(AND(Panchanga!$P399&lt;28.5,Panchanga!$P399&gt;0.49999),MOD((Panchanga!$P399-0.5)*2,7),MOD((Panchanga!$P399+30-28.5),30)*2+7)</f>
        <v>5.1278000000000006</v>
      </c>
      <c r="P399" s="2">
        <f ca="1">ROUNDUP(MOD(360+Panchanga!$G399-Panchanga!$F399,360)/12,4)</f>
        <v>20.5639</v>
      </c>
      <c r="Q399" s="2">
        <f t="shared" ca="1" si="63"/>
        <v>6.76</v>
      </c>
      <c r="R399" s="2" t="str">
        <f ca="1">SIGN(S400-Panchanga!$S399)*INT(Panchanga!$S399/30+1)&amp;"Ma,"&amp;SIGN(T400-Panchanga!$T399)*INT(Panchanga!$T399/30+1)&amp;"Me,"&amp;SIGN(U400-Panchanga!$U399)*INT(Panchanga!$U399/30+1)&amp;"Ju,"&amp;SIGN(V400-Panchanga!$V399)*INT(Panchanga!$V399/30+1)&amp;"Ve,"&amp;SIGN(W400-Panchanga!$W399)*INT(Panchanga!$W399/30+1)&amp;"Sa,"&amp;INT(Panchanga!$X399/30+1)&amp;"Ra"</f>
        <v>12Ma,10Me,8Ju,8Ve,9Sa,4Ra</v>
      </c>
      <c r="S399" s="2">
        <f ca="1">Planet(Panchanga!$E399,4)</f>
        <v>352.74267758602809</v>
      </c>
      <c r="T399" s="2">
        <f ca="1">Planet(Panchanga!$E399,2)</f>
        <v>278.88395959128411</v>
      </c>
      <c r="U399" s="2">
        <f ca="1">Planet(Panchanga!$E399,5)</f>
        <v>232.59306168530452</v>
      </c>
      <c r="V399" s="2">
        <f ca="1">Planet(Panchanga!$E399,3)</f>
        <v>235.85279610841235</v>
      </c>
      <c r="W399" s="2">
        <f ca="1">Planet(Panchanga!$E399,6)</f>
        <v>260.17508358393735</v>
      </c>
      <c r="X399" s="2">
        <f ca="1">Planet(Panchanga!$E399,10)</f>
        <v>92.122052394945484</v>
      </c>
      <c r="Y399" s="2">
        <f ca="1">SIGN(S400-Panchanga!$S399)</f>
        <v>1</v>
      </c>
    </row>
    <row r="400" spans="1:25" x14ac:dyDescent="0.2">
      <c r="A400" s="3">
        <f t="shared" ca="1" si="64"/>
        <v>43492</v>
      </c>
      <c r="B400" s="3">
        <f t="shared" ca="1" si="57"/>
        <v>43492.229166666664</v>
      </c>
      <c r="C400" s="5">
        <f t="shared" ca="1" si="58"/>
        <v>43492.276380743984</v>
      </c>
      <c r="D400" s="5">
        <f t="shared" ca="1" si="59"/>
        <v>43491.754295329607</v>
      </c>
      <c r="E400" s="60">
        <f ca="1">Panchanga!$C400-TimeZone/24</f>
        <v>43492.04721407732</v>
      </c>
      <c r="F400" s="61">
        <f t="shared" ca="1" si="60"/>
        <v>282.66622175439801</v>
      </c>
      <c r="G400" s="61">
        <f t="shared" ca="1" si="61"/>
        <v>182.27307027886505</v>
      </c>
      <c r="H400" s="62">
        <f t="shared" ca="1" si="62"/>
        <v>43492.04721407732</v>
      </c>
      <c r="I400" s="2" t="str">
        <f ca="1">naks(Panchanga!$G400)</f>
        <v>Chitra</v>
      </c>
      <c r="J400" s="5">
        <f ca="1">(C401-Panchanga!$C400)/(G401-Panchanga!$G400)*(13.3333333333333-MOD(Panchanga!$G400,13.333333333333))+Panchanga!$C400</f>
        <v>43492.60345082853</v>
      </c>
      <c r="K400" s="2" t="str">
        <f ca="1">IF(Panchanga!$P400&gt;15,"K","S")&amp;ROUNDUP(MOD(Panchanga!$P400,15),0)&amp;" ("&amp;ROUND(Panchanga!$P400,2)&amp;")"</f>
        <v>K7 (21.63)</v>
      </c>
      <c r="L400" s="2">
        <f ca="1">IF(AND(Panchanga!$P400&lt;28.5,Panchanga!$P400&gt;0.49999),MOD((Panchanga!$P400-0.5)*2,7),MOD((Panchanga!$P400+30-28.5),30)*2+7)</f>
        <v>0.26800000000000068</v>
      </c>
      <c r="M400" s="2" t="str">
        <f ca="1">CHOOSE(ROUNDUP(Panchanga!$L400,0),"Bhava","Baalava","Kaulava","Taitula","Garija","Vanija","Vishti","Shakuni","Chatushapda","Naaga","Kimstugna")</f>
        <v>Bhava</v>
      </c>
      <c r="N400" s="25" t="str">
        <f ca="1">CHOOSE(ROUNDUP(Panchanga!$Q400,0),"Vishkambha-विष्कम्भ-Sa","Priti-प्रीति-Me","Ayushman-आयुष्मान-Ke","Saubhagya-सौभाग्य-Ve","Shobhana-शोभन-Su","Atiganda-अतिगण्ड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("&amp;Panchanga!$Q400&amp;")"</f>
        <v>Dhriti-धृति -Ra (7.88)</v>
      </c>
      <c r="O400" s="2">
        <f ca="1">IF(AND(Panchanga!$P400&lt;28.5,Panchanga!$P400&gt;0.49999),MOD((Panchanga!$P400-0.5)*2,7),MOD((Panchanga!$P400+30-28.5),30)*2+7)</f>
        <v>0.26800000000000068</v>
      </c>
      <c r="P400" s="2">
        <f ca="1">ROUNDUP(MOD(360+Panchanga!$G400-Panchanga!$F400,360)/12,4)</f>
        <v>21.634</v>
      </c>
      <c r="Q400" s="2">
        <f t="shared" ca="1" si="63"/>
        <v>7.88</v>
      </c>
      <c r="R400" s="2" t="str">
        <f ca="1">SIGN(S401-Panchanga!$S400)*INT(Panchanga!$S400/30+1)&amp;"Ma,"&amp;SIGN(T401-Panchanga!$T400)*INT(Panchanga!$T400/30+1)&amp;"Me,"&amp;SIGN(U401-Panchanga!$U400)*INT(Panchanga!$U400/30+1)&amp;"Ju,"&amp;SIGN(V401-Panchanga!$V400)*INT(Panchanga!$V400/30+1)&amp;"Ve,"&amp;SIGN(W401-Panchanga!$W400)*INT(Panchanga!$W400/30+1)&amp;"Sa,"&amp;INT(Panchanga!$X400/30+1)&amp;"Ra"</f>
        <v>12Ma,10Me,8Ju,8Ve,9Sa,4Ra</v>
      </c>
      <c r="S400" s="2">
        <f ca="1">Planet(Panchanga!$E400,4)</f>
        <v>353.41995460968838</v>
      </c>
      <c r="T400" s="2">
        <f ca="1">Planet(Panchanga!$E400,2)</f>
        <v>280.56275739389412</v>
      </c>
      <c r="U400" s="2">
        <f ca="1">Planet(Panchanga!$E400,5)</f>
        <v>232.77428584901315</v>
      </c>
      <c r="V400" s="2">
        <f ca="1">Planet(Panchanga!$E400,3)</f>
        <v>236.96877375880834</v>
      </c>
      <c r="W400" s="2">
        <f ca="1">Planet(Panchanga!$E400,6)</f>
        <v>260.28759879069338</v>
      </c>
      <c r="X400" s="2">
        <f ca="1">Planet(Panchanga!$E400,10)</f>
        <v>92.069062225825036</v>
      </c>
      <c r="Y400" s="2">
        <f ca="1">SIGN(S401-Panchanga!$S400)</f>
        <v>1</v>
      </c>
    </row>
    <row r="401" spans="1:25" x14ac:dyDescent="0.2">
      <c r="A401" s="3">
        <f t="shared" ca="1" si="64"/>
        <v>43493</v>
      </c>
      <c r="B401" s="3">
        <f t="shared" ca="1" si="57"/>
        <v>43493.229166666664</v>
      </c>
      <c r="C401" s="5">
        <f t="shared" ca="1" si="58"/>
        <v>43493.276333537106</v>
      </c>
      <c r="D401" s="5">
        <f t="shared" ca="1" si="59"/>
        <v>43492.754626572176</v>
      </c>
      <c r="E401" s="60">
        <f ca="1">Panchanga!$C401-TimeZone/24</f>
        <v>43493.047166870441</v>
      </c>
      <c r="F401" s="61">
        <f t="shared" ca="1" si="60"/>
        <v>283.68249482181682</v>
      </c>
      <c r="G401" s="61">
        <f t="shared" ca="1" si="61"/>
        <v>195.70563163921963</v>
      </c>
      <c r="H401" s="62">
        <f t="shared" ca="1" si="62"/>
        <v>43493.047166870441</v>
      </c>
      <c r="I401" s="2" t="str">
        <f ca="1">naks(Panchanga!$G401)</f>
        <v>Swati</v>
      </c>
      <c r="J401" s="5">
        <f ca="1">(C402-Panchanga!$C401)/(G402-Panchanga!$G401)*(13.3333333333333-MOD(Panchanga!$G401,13.333333333333))+Panchanga!$C401</f>
        <v>43493.605625773002</v>
      </c>
      <c r="K401" s="2" t="str">
        <f ca="1">IF(Panchanga!$P401&gt;15,"K","S")&amp;ROUNDUP(MOD(Panchanga!$P401,15),0)&amp;" ("&amp;ROUND(Panchanga!$P401,2)&amp;")"</f>
        <v>K8 (22.67)</v>
      </c>
      <c r="L401" s="2">
        <f ca="1">IF(AND(Panchanga!$P401&lt;28.5,Panchanga!$P401&gt;0.49999),MOD((Panchanga!$P401-0.5)*2,7),MOD((Panchanga!$P401+30-28.5),30)*2+7)</f>
        <v>2.3372000000000028</v>
      </c>
      <c r="M401" s="2" t="str">
        <f ca="1">CHOOSE(ROUNDUP(Panchanga!$L401,0),"Bhava","Baalava","Kaulava","Taitula","Garija","Vanija","Vishti","Shakuni","Chatushapda","Naaga","Kimstugna")</f>
        <v>Kaulava</v>
      </c>
      <c r="N401" s="25" t="str">
        <f ca="1">CHOOSE(ROUNDUP(Panchanga!$Q401,0),"Vishkambha-विष्कम्भ-Sa","Priti-प्रीति-Me","Ayushman-आयुष्मान-Ke","Saubhagya-सौभाग्य-Ve","Shobhana-शोभन-Su","Atiganda-अतिगण्ड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("&amp;Panchanga!$Q401&amp;")"</f>
        <v>Shula-शूल -Ju (8.96)</v>
      </c>
      <c r="O401" s="2">
        <f ca="1">IF(AND(Panchanga!$P401&lt;28.5,Panchanga!$P401&gt;0.49999),MOD((Panchanga!$P401-0.5)*2,7),MOD((Panchanga!$P401+30-28.5),30)*2+7)</f>
        <v>2.3372000000000028</v>
      </c>
      <c r="P401" s="2">
        <f ca="1">ROUNDUP(MOD(360+Panchanga!$G401-Panchanga!$F401,360)/12,4)</f>
        <v>22.668600000000001</v>
      </c>
      <c r="Q401" s="2">
        <f t="shared" ca="1" si="63"/>
        <v>8.9599999999999991</v>
      </c>
      <c r="R401" s="2" t="str">
        <f ca="1">SIGN(S402-Panchanga!$S401)*INT(Panchanga!$S401/30+1)&amp;"Ma,"&amp;SIGN(T402-Panchanga!$T401)*INT(Panchanga!$T401/30+1)&amp;"Me,"&amp;SIGN(U402-Panchanga!$U401)*INT(Panchanga!$U401/30+1)&amp;"Ju,"&amp;SIGN(V402-Panchanga!$V401)*INT(Panchanga!$V401/30+1)&amp;"Ve,"&amp;SIGN(W402-Panchanga!$W401)*INT(Panchanga!$W401/30+1)&amp;"Sa,"&amp;INT(Panchanga!$X401/30+1)&amp;"Ra"</f>
        <v>12Ma,10Me,8Ju,8Ve,9Sa,4Ra</v>
      </c>
      <c r="S401" s="2">
        <f ca="1">Planet(Panchanga!$E401,4)</f>
        <v>354.09723825903217</v>
      </c>
      <c r="T401" s="2">
        <f ca="1">Planet(Panchanga!$E401,2)</f>
        <v>282.25228155852096</v>
      </c>
      <c r="U401" s="2">
        <f ca="1">Planet(Panchanga!$E401,5)</f>
        <v>232.9540414412175</v>
      </c>
      <c r="V401" s="2">
        <f ca="1">Planet(Panchanga!$E401,3)</f>
        <v>238.08804401950241</v>
      </c>
      <c r="W401" s="2">
        <f ca="1">Planet(Panchanga!$E401,6)</f>
        <v>260.39964660057558</v>
      </c>
      <c r="X401" s="2">
        <f ca="1">Planet(Panchanga!$E401,10)</f>
        <v>92.016072730543641</v>
      </c>
      <c r="Y401" s="2">
        <f ca="1">SIGN(S402-Panchanga!$S401)</f>
        <v>1</v>
      </c>
    </row>
    <row r="402" spans="1:25" x14ac:dyDescent="0.2">
      <c r="A402" s="3">
        <f t="shared" ca="1" si="64"/>
        <v>43494</v>
      </c>
      <c r="B402" s="3">
        <f t="shared" ca="1" si="57"/>
        <v>43494.229166666664</v>
      </c>
      <c r="C402" s="5">
        <f t="shared" ca="1" si="58"/>
        <v>43494.27627361488</v>
      </c>
      <c r="D402" s="5">
        <f t="shared" ca="1" si="59"/>
        <v>43493.754952411211</v>
      </c>
      <c r="E402" s="60">
        <f ca="1">Panchanga!$C402-TimeZone/24</f>
        <v>43494.047106948216</v>
      </c>
      <c r="F402" s="61">
        <f t="shared" ca="1" si="60"/>
        <v>284.69859034231911</v>
      </c>
      <c r="G402" s="61">
        <f t="shared" ca="1" si="61"/>
        <v>208.74605763344474</v>
      </c>
      <c r="H402" s="62">
        <f t="shared" ca="1" si="62"/>
        <v>43494.047106948216</v>
      </c>
      <c r="I402" s="2" t="str">
        <f ca="1">naks(Panchanga!$G402)</f>
        <v>Visakha</v>
      </c>
      <c r="J402" s="5">
        <f ca="1">(C403-Panchanga!$C402)/(G403-Panchanga!$G402)*(13.3333333333333-MOD(Panchanga!$G402,13.333333333333))+Panchanga!$C402</f>
        <v>43494.637485014144</v>
      </c>
      <c r="K402" s="2" t="str">
        <f ca="1">IF(Panchanga!$P402&gt;15,"K","S")&amp;ROUNDUP(MOD(Panchanga!$P402,15),0)&amp;" ("&amp;ROUND(Panchanga!$P402,2)&amp;")"</f>
        <v>K9 (23.67)</v>
      </c>
      <c r="L402" s="2">
        <f ca="1">IF(AND(Panchanga!$P402&lt;28.5,Panchanga!$P402&gt;0.49999),MOD((Panchanga!$P402-0.5)*2,7),MOD((Panchanga!$P402+30-28.5),30)*2+7)</f>
        <v>4.3414000000000001</v>
      </c>
      <c r="M402" s="2" t="str">
        <f ca="1">CHOOSE(ROUNDUP(Panchanga!$L402,0),"Bhava","Baalava","Kaulava","Taitula","Garija","Vanija","Vishti","Shakuni","Chatushapda","Naaga","Kimstugna")</f>
        <v>Garija</v>
      </c>
      <c r="N402" s="25" t="str">
        <f ca="1">CHOOSE(ROUNDUP(Panchanga!$Q402,0),"Vishkambha-विष्कम्भ-Sa","Priti-प्रीति-Me","Ayushman-आयुष्मान-Ke","Saubhagya-सौभाग्य-Ve","Shobhana-शोभन-Su","Atiganda-अतिगण्ड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("&amp;Panchanga!$Q402&amp;")"</f>
        <v>Vriddhi-वृद्धि -Me (10.01)</v>
      </c>
      <c r="O402" s="2">
        <f ca="1">IF(AND(Panchanga!$P402&lt;28.5,Panchanga!$P402&gt;0.49999),MOD((Panchanga!$P402-0.5)*2,7),MOD((Panchanga!$P402+30-28.5),30)*2+7)</f>
        <v>4.3414000000000001</v>
      </c>
      <c r="P402" s="2">
        <f ca="1">ROUNDUP(MOD(360+Panchanga!$G402-Panchanga!$F402,360)/12,4)</f>
        <v>23.6707</v>
      </c>
      <c r="Q402" s="2">
        <f t="shared" ca="1" si="63"/>
        <v>10.01</v>
      </c>
      <c r="R402" s="2" t="str">
        <f ca="1">SIGN(S403-Panchanga!$S402)*INT(Panchanga!$S402/30+1)&amp;"Ma,"&amp;SIGN(T403-Panchanga!$T402)*INT(Panchanga!$T402/30+1)&amp;"Me,"&amp;SIGN(U403-Panchanga!$U402)*INT(Panchanga!$U402/30+1)&amp;"Ju,"&amp;SIGN(V403-Panchanga!$V402)*INT(Panchanga!$V402/30+1)&amp;"Ve,"&amp;SIGN(W403-Panchanga!$W402)*INT(Panchanga!$W402/30+1)&amp;"Sa,"&amp;INT(Panchanga!$X402/30+1)&amp;"Ra"</f>
        <v>12Ma,10Me,8Ju,8Ve,9Sa,4Ra</v>
      </c>
      <c r="S402" s="2">
        <f ca="1">Planet(Panchanga!$E402,4)</f>
        <v>354.77452731793824</v>
      </c>
      <c r="T402" s="2">
        <f ca="1">Planet(Panchanga!$E402,2)</f>
        <v>283.95266778902266</v>
      </c>
      <c r="U402" s="2">
        <f ca="1">Planet(Panchanga!$E402,5)</f>
        <v>233.13229822444492</v>
      </c>
      <c r="V402" s="2">
        <f ca="1">Planet(Panchanga!$E402,3)</f>
        <v>239.21048255039861</v>
      </c>
      <c r="W402" s="2">
        <f ca="1">Planet(Panchanga!$E402,6)</f>
        <v>260.51120726610679</v>
      </c>
      <c r="X402" s="2">
        <f ca="1">Planet(Panchanga!$E402,10)</f>
        <v>91.963083909068274</v>
      </c>
      <c r="Y402" s="2">
        <f ca="1">SIGN(S403-Panchanga!$S402)</f>
        <v>1</v>
      </c>
    </row>
    <row r="403" spans="1:25" x14ac:dyDescent="0.2">
      <c r="A403" s="3">
        <f t="shared" ca="1" si="64"/>
        <v>43495</v>
      </c>
      <c r="B403" s="3">
        <f t="shared" ca="1" si="57"/>
        <v>43495.229166666664</v>
      </c>
      <c r="C403" s="5">
        <f t="shared" ca="1" si="58"/>
        <v>43495.276201294422</v>
      </c>
      <c r="D403" s="5">
        <f t="shared" ca="1" si="59"/>
        <v>43494.755272527735</v>
      </c>
      <c r="E403" s="60">
        <f ca="1">Panchanga!$C403-TimeZone/24</f>
        <v>43495.047034627758</v>
      </c>
      <c r="F403" s="61">
        <f t="shared" ca="1" si="60"/>
        <v>285.71449468766951</v>
      </c>
      <c r="G403" s="61">
        <f t="shared" ca="1" si="61"/>
        <v>221.44483722721213</v>
      </c>
      <c r="H403" s="62">
        <f t="shared" ca="1" si="62"/>
        <v>43495.047034627758</v>
      </c>
      <c r="I403" s="2" t="str">
        <f ca="1">naks(Panchanga!$G403)</f>
        <v>Anuradha</v>
      </c>
      <c r="J403" s="5">
        <f ca="1">(C404-Panchanga!$C403)/(G404-Panchanga!$G403)*(13.3333333333333-MOD(Panchanga!$G403,13.333333333333))+Panchanga!$C403</f>
        <v>43495.696739228311</v>
      </c>
      <c r="K403" s="2" t="str">
        <f ca="1">IF(Panchanga!$P403&gt;15,"K","S")&amp;ROUNDUP(MOD(Panchanga!$P403,15),0)&amp;" ("&amp;ROUND(Panchanga!$P403,2)&amp;")"</f>
        <v>K10 (24.64)</v>
      </c>
      <c r="L403" s="2">
        <f ca="1">IF(AND(Panchanga!$P403&lt;28.5,Panchanga!$P403&gt;0.49999),MOD((Panchanga!$P403-0.5)*2,7),MOD((Panchanga!$P403+30-28.5),30)*2+7)</f>
        <v>6.2884000000000029</v>
      </c>
      <c r="M403" s="2" t="str">
        <f ca="1">CHOOSE(ROUNDUP(Panchanga!$L403,0),"Bhava","Baalava","Kaulava","Taitula","Garija","Vanija","Vishti","Shakuni","Chatushapda","Naaga","Kimstugna")</f>
        <v>Vishti</v>
      </c>
      <c r="N403" s="25" t="str">
        <f ca="1">CHOOSE(ROUNDUP(Panchanga!$Q403,0),"Vishkambha-विष्कम्भ-Sa","Priti-प्रीति-Me","Ayushman-आयुष्मान-Ke","Saubhagya-सौभाग्य-Ve","Shobhana-शोभन-Su","Atiganda-अतिगण्ड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("&amp;Panchanga!$Q403&amp;")"</f>
        <v>Dhruva-ध्रुव -Ke (11.04)</v>
      </c>
      <c r="O403" s="2">
        <f ca="1">IF(AND(Panchanga!$P403&lt;28.5,Panchanga!$P403&gt;0.49999),MOD((Panchanga!$P403-0.5)*2,7),MOD((Panchanga!$P403+30-28.5),30)*2+7)</f>
        <v>6.2884000000000029</v>
      </c>
      <c r="P403" s="2">
        <f ca="1">ROUNDUP(MOD(360+Panchanga!$G403-Panchanga!$F403,360)/12,4)</f>
        <v>24.644200000000001</v>
      </c>
      <c r="Q403" s="2">
        <f t="shared" ca="1" si="63"/>
        <v>11.04</v>
      </c>
      <c r="R403" s="2" t="str">
        <f ca="1">SIGN(S404-Panchanga!$S403)*INT(Panchanga!$S403/30+1)&amp;"Ma,"&amp;SIGN(T404-Panchanga!$T403)*INT(Panchanga!$T403/30+1)&amp;"Me,"&amp;SIGN(U404-Panchanga!$U403)*INT(Panchanga!$U403/30+1)&amp;"Ju,"&amp;SIGN(V404-Panchanga!$V403)*INT(Panchanga!$V403/30+1)&amp;"Ve,"&amp;SIGN(W404-Panchanga!$W403)*INT(Panchanga!$W403/30+1)&amp;"Sa,"&amp;INT(Panchanga!$X403/30+1)&amp;"Ra"</f>
        <v>12Ma,10Me,8Ju,9Ve,9Sa,4Ra</v>
      </c>
      <c r="S403" s="2">
        <f ca="1">Planet(Panchanga!$E403,4)</f>
        <v>355.45181889826449</v>
      </c>
      <c r="T403" s="2">
        <f ca="1">Planet(Panchanga!$E403,2)</f>
        <v>285.6640044875187</v>
      </c>
      <c r="U403" s="2">
        <f ca="1">Planet(Panchanga!$E403,5)</f>
        <v>233.30902567523134</v>
      </c>
      <c r="V403" s="2">
        <f ca="1">Planet(Panchanga!$E403,3)</f>
        <v>240.33596866854137</v>
      </c>
      <c r="W403" s="2">
        <f ca="1">Planet(Panchanga!$E403,6)</f>
        <v>260.62226079518422</v>
      </c>
      <c r="X403" s="2">
        <f ca="1">Planet(Panchanga!$E403,10)</f>
        <v>91.910095744581596</v>
      </c>
      <c r="Y403" s="2">
        <f ca="1">SIGN(S404-Panchanga!$S403)</f>
        <v>1</v>
      </c>
    </row>
    <row r="404" spans="1:25" x14ac:dyDescent="0.2">
      <c r="A404" s="3">
        <f t="shared" ca="1" si="64"/>
        <v>43496</v>
      </c>
      <c r="B404" s="3">
        <f t="shared" ca="1" si="57"/>
        <v>43496.229166666664</v>
      </c>
      <c r="C404" s="5">
        <f t="shared" ca="1" si="58"/>
        <v>43496.276116417408</v>
      </c>
      <c r="D404" s="5">
        <f t="shared" ca="1" si="59"/>
        <v>43495.755586604631</v>
      </c>
      <c r="E404" s="60">
        <f ca="1">Panchanga!$C404-TimeZone/24</f>
        <v>43496.046949750744</v>
      </c>
      <c r="F404" s="61">
        <f t="shared" ca="1" si="60"/>
        <v>286.73019112851341</v>
      </c>
      <c r="G404" s="61">
        <f t="shared" ca="1" si="61"/>
        <v>233.86080688262814</v>
      </c>
      <c r="H404" s="62">
        <f t="shared" ca="1" si="62"/>
        <v>43496.046949750744</v>
      </c>
      <c r="I404" s="2" t="str">
        <f ca="1">naks(Panchanga!$G404)</f>
        <v>Jyestha</v>
      </c>
      <c r="J404" s="5">
        <f ca="1">(C405-Panchanga!$C404)/(G405-Panchanga!$G404)*(13.3333333333333-MOD(Panchanga!$G404,13.333333333333))+Panchanga!$C404</f>
        <v>43496.779567447069</v>
      </c>
      <c r="K404" s="2" t="str">
        <f ca="1">IF(Panchanga!$P404&gt;15,"K","S")&amp;ROUNDUP(MOD(Panchanga!$P404,15),0)&amp;" ("&amp;ROUND(Panchanga!$P404,2)&amp;")"</f>
        <v>K11 (25.59)</v>
      </c>
      <c r="L404" s="2">
        <f ca="1">IF(AND(Panchanga!$P404&lt;28.5,Panchanga!$P404&gt;0.49999),MOD((Panchanga!$P404-0.5)*2,7),MOD((Panchanga!$P404+30-28.5),30)*2+7)</f>
        <v>1.188600000000001</v>
      </c>
      <c r="M404" s="2" t="str">
        <f ca="1">CHOOSE(ROUNDUP(Panchanga!$L404,0),"Bhava","Baalava","Kaulava","Taitula","Garija","Vanija","Vishti","Shakuni","Chatushapda","Naaga","Kimstugna")</f>
        <v>Baalava</v>
      </c>
      <c r="N404" s="25" t="str">
        <f ca="1">CHOOSE(ROUNDUP(Panchanga!$Q404,0),"Vishkambha-विष्कम्भ-Sa","Priti-प्रीति-Me","Ayushman-आयुष्मान-Ke","Saubhagya-सौभाग्य-Ve","Shobhana-शोभन-Su","Atiganda-अतिगण्ड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("&amp;Panchanga!$Q404&amp;")"</f>
        <v>Vyaghata-व्याघात-ve (12.05)</v>
      </c>
      <c r="O404" s="2">
        <f ca="1">IF(AND(Panchanga!$P404&lt;28.5,Panchanga!$P404&gt;0.49999),MOD((Panchanga!$P404-0.5)*2,7),MOD((Panchanga!$P404+30-28.5),30)*2+7)</f>
        <v>1.188600000000001</v>
      </c>
      <c r="P404" s="2">
        <f ca="1">ROUNDUP(MOD(360+Panchanga!$G404-Panchanga!$F404,360)/12,4)</f>
        <v>25.5943</v>
      </c>
      <c r="Q404" s="2">
        <f t="shared" ca="1" si="63"/>
        <v>12.049999999999999</v>
      </c>
      <c r="R404" s="2" t="str">
        <f ca="1">SIGN(S405-Panchanga!$S404)*INT(Panchanga!$S404/30+1)&amp;"Ma,"&amp;SIGN(T405-Panchanga!$T404)*INT(Panchanga!$T404/30+1)&amp;"Me,"&amp;SIGN(U405-Panchanga!$U404)*INT(Panchanga!$U404/30+1)&amp;"Ju,"&amp;SIGN(V405-Panchanga!$V404)*INT(Panchanga!$V404/30+1)&amp;"Ve,"&amp;SIGN(W405-Panchanga!$W404)*INT(Panchanga!$W404/30+1)&amp;"Sa,"&amp;INT(Panchanga!$X404/30+1)&amp;"Ra"</f>
        <v>12Ma,10Me,8Ju,9Ve,9Sa,4Ra</v>
      </c>
      <c r="S404" s="2">
        <f ca="1">Planet(Panchanga!$E404,4)</f>
        <v>356.12910783322639</v>
      </c>
      <c r="T404" s="2">
        <f ca="1">Planet(Panchanga!$E404,2)</f>
        <v>287.38631846691788</v>
      </c>
      <c r="U404" s="2">
        <f ca="1">Planet(Panchanga!$E404,5)</f>
        <v>233.48419300618366</v>
      </c>
      <c r="V404" s="2">
        <f ca="1">Planet(Panchanga!$E404,3)</f>
        <v>241.46438509664074</v>
      </c>
      <c r="W404" s="2">
        <f ca="1">Planet(Panchanga!$E404,6)</f>
        <v>260.7327869540448</v>
      </c>
      <c r="X404" s="2">
        <f ca="1">Planet(Panchanga!$E404,10)</f>
        <v>91.857108245533652</v>
      </c>
      <c r="Y404" s="2">
        <f ca="1">SIGN(S405-Panchanga!$S404)</f>
        <v>1</v>
      </c>
    </row>
    <row r="405" spans="1:25" x14ac:dyDescent="0.2">
      <c r="A405" s="3">
        <f t="shared" ca="1" si="64"/>
        <v>43497</v>
      </c>
      <c r="B405" s="3">
        <f t="shared" ca="1" si="57"/>
        <v>43497.229166666664</v>
      </c>
      <c r="C405" s="5">
        <f t="shared" ca="1" si="58"/>
        <v>43497.276019142628</v>
      </c>
      <c r="D405" s="5">
        <f t="shared" ca="1" si="59"/>
        <v>43496.755894800226</v>
      </c>
      <c r="E405" s="60">
        <f ca="1">Panchanga!$C405-TimeZone/24</f>
        <v>43497.046852475964</v>
      </c>
      <c r="F405" s="61">
        <f t="shared" ca="1" si="60"/>
        <v>287.74566119608056</v>
      </c>
      <c r="G405" s="61">
        <f t="shared" ca="1" si="61"/>
        <v>246.0538416904069</v>
      </c>
      <c r="H405" s="62">
        <f t="shared" ca="1" si="62"/>
        <v>43497.046852475964</v>
      </c>
      <c r="I405" s="2" t="str">
        <f ca="1">naks(Panchanga!$G405)</f>
        <v>Moola</v>
      </c>
      <c r="J405" s="5">
        <f ca="1">(C406-Panchanga!$C405)/(G406-Panchanga!$G405)*(13.3333333333333-MOD(Panchanga!$G405,13.333333333333))+Panchanga!$C405</f>
        <v>43497.881250079045</v>
      </c>
      <c r="K405" s="2" t="str">
        <f ca="1">IF(Panchanga!$P405&gt;15,"K","S")&amp;ROUNDUP(MOD(Panchanga!$P405,15),0)&amp;" ("&amp;ROUND(Panchanga!$P405,2)&amp;")"</f>
        <v>K12 (26.53)</v>
      </c>
      <c r="L405" s="2">
        <f ca="1">IF(AND(Panchanga!$P405&lt;28.5,Panchanga!$P405&gt;0.49999),MOD((Panchanga!$P405-0.5)*2,7),MOD((Panchanga!$P405+30-28.5),30)*2+7)</f>
        <v>3.051400000000001</v>
      </c>
      <c r="M405" s="2" t="str">
        <f ca="1">CHOOSE(ROUNDUP(Panchanga!$L405,0),"Bhava","Baalava","Kaulava","Taitula","Garija","Vanija","Vishti","Shakuni","Chatushapda","Naaga","Kimstugna")</f>
        <v>Taitula</v>
      </c>
      <c r="N405" s="25" t="str">
        <f ca="1">CHOOSE(ROUNDUP(Panchanga!$Q405,0),"Vishkambha-विष्कम्भ-Sa","Priti-प्रीति-Me","Ayushman-आयुष्मान-Ke","Saubhagya-सौभाग्य-Ve","Shobhana-शोभन-Su","Atiganda-अतिगण्ड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("&amp;Panchanga!$Q405&amp;")"</f>
        <v>Harshana-हर्षण-su (13.04)</v>
      </c>
      <c r="O405" s="2">
        <f ca="1">IF(AND(Panchanga!$P405&lt;28.5,Panchanga!$P405&gt;0.49999),MOD((Panchanga!$P405-0.5)*2,7),MOD((Panchanga!$P405+30-28.5),30)*2+7)</f>
        <v>3.051400000000001</v>
      </c>
      <c r="P405" s="2">
        <f ca="1">ROUNDUP(MOD(360+Panchanga!$G405-Panchanga!$F405,360)/12,4)</f>
        <v>26.525700000000001</v>
      </c>
      <c r="Q405" s="2">
        <f t="shared" ca="1" si="63"/>
        <v>13.04</v>
      </c>
      <c r="R405" s="2" t="str">
        <f ca="1">SIGN(S406-Panchanga!$S405)*INT(Panchanga!$S405/30+1)&amp;"Ma,"&amp;SIGN(T406-Panchanga!$T405)*INT(Panchanga!$T405/30+1)&amp;"Me,"&amp;SIGN(U406-Panchanga!$U405)*INT(Panchanga!$U405/30+1)&amp;"Ju,"&amp;SIGN(V406-Panchanga!$V405)*INT(Panchanga!$V405/30+1)&amp;"Ve,"&amp;SIGN(W406-Panchanga!$W405)*INT(Panchanga!$W405/30+1)&amp;"Sa,"&amp;INT(Panchanga!$X405/30+1)&amp;"Ra"</f>
        <v>12Ma,10Me,8Ju,9Ve,9Sa,4Ra</v>
      </c>
      <c r="S405" s="2">
        <f ca="1">Planet(Panchanga!$E405,4)</f>
        <v>356.80638724008759</v>
      </c>
      <c r="T405" s="2">
        <f ca="1">Planet(Panchanga!$E405,2)</f>
        <v>289.11956601115872</v>
      </c>
      <c r="U405" s="2">
        <f ca="1">Planet(Panchanga!$E405,5)</f>
        <v>233.65776944023216</v>
      </c>
      <c r="V405" s="2">
        <f ca="1">Planet(Panchanga!$E405,3)</f>
        <v>242.59561926551152</v>
      </c>
      <c r="W405" s="2">
        <f ca="1">Planet(Panchanga!$E405,6)</f>
        <v>260.84276543299956</v>
      </c>
      <c r="X405" s="2">
        <f ca="1">Planet(Panchanga!$E405,10)</f>
        <v>91.804121403441144</v>
      </c>
      <c r="Y405" s="2">
        <f ca="1">SIGN(S406-Panchanga!$S405)</f>
        <v>1</v>
      </c>
    </row>
    <row r="406" spans="1:25" x14ac:dyDescent="0.2">
      <c r="A406" s="3">
        <f t="shared" ca="1" si="64"/>
        <v>43498</v>
      </c>
      <c r="B406" s="3">
        <f t="shared" ca="1" si="57"/>
        <v>43498.229166666664</v>
      </c>
      <c r="C406" s="5">
        <f t="shared" ca="1" si="58"/>
        <v>43498.275909470081</v>
      </c>
      <c r="D406" s="5">
        <f t="shared" ca="1" si="59"/>
        <v>43497.756196796938</v>
      </c>
      <c r="E406" s="60">
        <f ca="1">Panchanga!$C406-TimeZone/24</f>
        <v>43498.046742803417</v>
      </c>
      <c r="F406" s="61">
        <f t="shared" ca="1" si="60"/>
        <v>288.760884704852</v>
      </c>
      <c r="G406" s="61">
        <f t="shared" ca="1" si="61"/>
        <v>258.08014907909552</v>
      </c>
      <c r="H406" s="62">
        <f t="shared" ca="1" si="62"/>
        <v>43498.046742803417</v>
      </c>
      <c r="I406" s="2" t="str">
        <f ca="1">naks(Panchanga!$G406)</f>
        <v>Purva Asadha</v>
      </c>
      <c r="J406" s="5">
        <f ca="1">(C407-Panchanga!$C406)/(G407-Panchanga!$G406)*(13.3333333333333-MOD(Panchanga!$G406,13.333333333333))+Panchanga!$C406</f>
        <v>43498.996789791199</v>
      </c>
      <c r="K406" s="2" t="str">
        <f ca="1">IF(Panchanga!$P406&gt;15,"K","S")&amp;ROUNDUP(MOD(Panchanga!$P406,15),0)&amp;" ("&amp;ROUND(Panchanga!$P406,2)&amp;")"</f>
        <v>K13 (27.44)</v>
      </c>
      <c r="L406" s="2">
        <f ca="1">IF(AND(Panchanga!$P406&lt;28.5,Panchanga!$P406&gt;0.49999),MOD((Panchanga!$P406-0.5)*2,7),MOD((Panchanga!$P406+30-28.5),30)*2+7)</f>
        <v>4.8866000000000014</v>
      </c>
      <c r="M406" s="2" t="str">
        <f ca="1">CHOOSE(ROUNDUP(Panchanga!$L406,0),"Bhava","Baalava","Kaulava","Taitula","Garija","Vanija","Vishti","Shakuni","Chatushapda","Naaga","Kimstugna")</f>
        <v>Garija</v>
      </c>
      <c r="N406" s="25" t="str">
        <f ca="1">CHOOSE(ROUNDUP(Panchanga!$Q406,0),"Vishkambha-विष्कम्भ-Sa","Priti-प्रीति-Me","Ayushman-आयुष्मान-Ke","Saubhagya-सौभाग्य-Ve","Shobhana-शोभन-Su","Atiganda-अतिगण्ड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("&amp;Panchanga!$Q406&amp;")"</f>
        <v>Vajra-वज्र-Mo (14.02)</v>
      </c>
      <c r="O406" s="2">
        <f ca="1">IF(AND(Panchanga!$P406&lt;28.5,Panchanga!$P406&gt;0.49999),MOD((Panchanga!$P406-0.5)*2,7),MOD((Panchanga!$P406+30-28.5),30)*2+7)</f>
        <v>4.8866000000000014</v>
      </c>
      <c r="P406" s="2">
        <f ca="1">ROUNDUP(MOD(360+Panchanga!$G406-Panchanga!$F406,360)/12,4)</f>
        <v>27.443300000000001</v>
      </c>
      <c r="Q406" s="2">
        <f t="shared" ca="1" si="63"/>
        <v>14.02</v>
      </c>
      <c r="R406" s="2" t="str">
        <f ca="1">SIGN(S407-Panchanga!$S406)*INT(Panchanga!$S406/30+1)&amp;"Ma,"&amp;SIGN(T407-Panchanga!$T406)*INT(Panchanga!$T406/30+1)&amp;"Me,"&amp;SIGN(U407-Panchanga!$U406)*INT(Panchanga!$U406/30+1)&amp;"Ju,"&amp;SIGN(V407-Panchanga!$V406)*INT(Panchanga!$V406/30+1)&amp;"Ve,"&amp;SIGN(W407-Panchanga!$W406)*INT(Panchanga!$W406/30+1)&amp;"Sa,"&amp;INT(Panchanga!$X406/30+1)&amp;"Ra"</f>
        <v>12Ma,10Me,8Ju,9Ve,9Sa,4Ra</v>
      </c>
      <c r="S406" s="2">
        <f ca="1">Planet(Panchanga!$E406,4)</f>
        <v>357.4836482930142</v>
      </c>
      <c r="T406" s="2">
        <f ca="1">Planet(Panchanga!$E406,2)</f>
        <v>290.86362053149691</v>
      </c>
      <c r="U406" s="2">
        <f ca="1">Planet(Panchanga!$E406,5)</f>
        <v>233.82972423420196</v>
      </c>
      <c r="V406" s="2">
        <f ca="1">Planet(Panchanga!$E406,3)</f>
        <v>243.7295630350408</v>
      </c>
      <c r="W406" s="2">
        <f ca="1">Planet(Panchanga!$E406,6)</f>
        <v>260.95217586541617</v>
      </c>
      <c r="X406" s="2">
        <f ca="1">Planet(Panchanga!$E406,10)</f>
        <v>91.751135218320741</v>
      </c>
      <c r="Y406" s="2">
        <f ca="1">SIGN(S407-Panchanga!$S406)</f>
        <v>1</v>
      </c>
    </row>
    <row r="407" spans="1:25" x14ac:dyDescent="0.2">
      <c r="A407" s="3">
        <f t="shared" ca="1" si="64"/>
        <v>43499</v>
      </c>
      <c r="B407" s="3">
        <f t="shared" ca="1" si="57"/>
        <v>43499.229166666664</v>
      </c>
      <c r="C407" s="5">
        <f t="shared" ca="1" si="58"/>
        <v>43499.275787558559</v>
      </c>
      <c r="D407" s="5">
        <f t="shared" ca="1" si="59"/>
        <v>43498.756492435976</v>
      </c>
      <c r="E407" s="60">
        <f ca="1">Panchanga!$C407-TimeZone/24</f>
        <v>43499.046620891895</v>
      </c>
      <c r="F407" s="61">
        <f t="shared" ca="1" si="60"/>
        <v>289.77584054511965</v>
      </c>
      <c r="G407" s="61">
        <f t="shared" ca="1" si="61"/>
        <v>269.98985245234383</v>
      </c>
      <c r="H407" s="62">
        <f t="shared" ca="1" si="62"/>
        <v>43499.046620891895</v>
      </c>
      <c r="I407" s="2" t="str">
        <f ca="1">naks(Panchanga!$G407)</f>
        <v>Uttara Asadha</v>
      </c>
      <c r="J407" s="5">
        <f ca="1">(C408-Panchanga!$C407)/(G408-Panchanga!$G407)*(13.3333333333333-MOD(Panchanga!$G407,13.333333333333))+Panchanga!$C407</f>
        <v>43500.121368980297</v>
      </c>
      <c r="K407" s="2" t="str">
        <f ca="1">IF(Panchanga!$P407&gt;15,"K","S")&amp;ROUNDUP(MOD(Panchanga!$P407,15),0)&amp;" ("&amp;ROUND(Panchanga!$P407,2)&amp;")"</f>
        <v>K14 (28.35)</v>
      </c>
      <c r="L407" s="2">
        <f ca="1">IF(AND(Panchanga!$P407&lt;28.5,Panchanga!$P407&gt;0.49999),MOD((Panchanga!$P407-0.5)*2,7),MOD((Panchanga!$P407+30-28.5),30)*2+7)</f>
        <v>6.7023999999999972</v>
      </c>
      <c r="M407" s="2" t="str">
        <f ca="1">CHOOSE(ROUNDUP(Panchanga!$L407,0),"Bhava","Baalava","Kaulava","Taitula","Garija","Vanija","Vishti","Shakuni","Chatushapda","Naaga","Kimstugna")</f>
        <v>Vishti</v>
      </c>
      <c r="N407" s="25" t="str">
        <f ca="1">CHOOSE(ROUNDUP(Panchanga!$Q407,0),"Vishkambha-विष्कम्भ-Sa","Priti-प्रीति-Me","Ayushman-आयुष्मान-Ke","Saubhagya-सौभाग्य-Ve","Shobhana-शोभन-Su","Atiganda-अतिगण्ड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("&amp;Panchanga!$Q407&amp;")"</f>
        <v>Vajra-वज्र-Mo (14.99)</v>
      </c>
      <c r="O407" s="2">
        <f ca="1">IF(AND(Panchanga!$P407&lt;28.5,Panchanga!$P407&gt;0.49999),MOD((Panchanga!$P407-0.5)*2,7),MOD((Panchanga!$P407+30-28.5),30)*2+7)</f>
        <v>6.7023999999999972</v>
      </c>
      <c r="P407" s="2">
        <f ca="1">ROUNDUP(MOD(360+Panchanga!$G407-Panchanga!$F407,360)/12,4)</f>
        <v>28.351199999999999</v>
      </c>
      <c r="Q407" s="2">
        <f t="shared" ca="1" si="63"/>
        <v>14.99</v>
      </c>
      <c r="R407" s="2" t="str">
        <f ca="1">SIGN(S408-Panchanga!$S407)*INT(Panchanga!$S407/30+1)&amp;"Ma,"&amp;SIGN(T408-Panchanga!$T407)*INT(Panchanga!$T407/30+1)&amp;"Me,"&amp;SIGN(U408-Panchanga!$U407)*INT(Panchanga!$U407/30+1)&amp;"Ju,"&amp;SIGN(V408-Panchanga!$V407)*INT(Panchanga!$V407/30+1)&amp;"Ve,"&amp;SIGN(W408-Panchanga!$W407)*INT(Panchanga!$W407/30+1)&amp;"Sa,"&amp;INT(Panchanga!$X407/30+1)&amp;"Ra"</f>
        <v>12Ma,10Me,8Ju,9Ve,9Sa,4Ra</v>
      </c>
      <c r="S407" s="2">
        <f ca="1">Planet(Panchanga!$E407,4)</f>
        <v>358.16088059768481</v>
      </c>
      <c r="T407" s="2">
        <f ca="1">Planet(Panchanga!$E407,2)</f>
        <v>292.61825384952152</v>
      </c>
      <c r="U407" s="2">
        <f ca="1">Planet(Panchanga!$E407,5)</f>
        <v>234.00002682078616</v>
      </c>
      <c r="V407" s="2">
        <f ca="1">Planet(Panchanga!$E407,3)</f>
        <v>244.8661131849905</v>
      </c>
      <c r="W407" s="2">
        <f ca="1">Planet(Panchanga!$E407,6)</f>
        <v>261.06099792233942</v>
      </c>
      <c r="X407" s="2">
        <f ca="1">Planet(Panchanga!$E407,10)</f>
        <v>91.69814968182169</v>
      </c>
      <c r="Y407" s="2">
        <f ca="1">SIGN(S408-Panchanga!$S407)</f>
        <v>1</v>
      </c>
    </row>
    <row r="408" spans="1:25" x14ac:dyDescent="0.2">
      <c r="A408" s="3">
        <f t="shared" ca="1" si="64"/>
        <v>43500</v>
      </c>
      <c r="B408" s="3">
        <f t="shared" ca="1" si="57"/>
        <v>43500.229166666664</v>
      </c>
      <c r="C408" s="5">
        <f t="shared" ca="1" si="58"/>
        <v>43500.275653249737</v>
      </c>
      <c r="D408" s="5">
        <f t="shared" ca="1" si="59"/>
        <v>43499.75678171734</v>
      </c>
      <c r="E408" s="60">
        <f ca="1">Panchanga!$C408-TimeZone/24</f>
        <v>43500.046486583073</v>
      </c>
      <c r="F408" s="61">
        <f t="shared" ca="1" si="60"/>
        <v>290.79050660950941</v>
      </c>
      <c r="G408" s="61">
        <f t="shared" ca="1" si="61"/>
        <v>281.82644540388662</v>
      </c>
      <c r="H408" s="62">
        <f t="shared" ca="1" si="62"/>
        <v>43500.046486583073</v>
      </c>
      <c r="I408" s="2" t="str">
        <f ca="1">naks(Panchanga!$G408)</f>
        <v>Sravana</v>
      </c>
      <c r="J408" s="5">
        <f ca="1">(C409-Panchanga!$C408)/(G409-Panchanga!$G408)*(13.3333333333333-MOD(Panchanga!$G408,13.333333333333))+Panchanga!$C408</f>
        <v>43501.250562121051</v>
      </c>
      <c r="K408" s="2" t="str">
        <f ca="1">IF(Panchanga!$P408&gt;15,"K","S")&amp;ROUNDUP(MOD(Panchanga!$P408,15),0)&amp;" ("&amp;ROUND(Panchanga!$P408,2)&amp;")"</f>
        <v>K15 (29.25)</v>
      </c>
      <c r="L408" s="2">
        <f ca="1">IF(AND(Panchanga!$P408&lt;28.5,Panchanga!$P408&gt;0.49999),MOD((Panchanga!$P408-0.5)*2,7),MOD((Panchanga!$P408+30-28.5),30)*2+7)</f>
        <v>8.5060000000000002</v>
      </c>
      <c r="M408" s="2" t="str">
        <f ca="1">CHOOSE(ROUNDUP(Panchanga!$L408,0),"Bhava","Baalava","Kaulava","Taitula","Garija","Vanija","Vishti","Shakuni","Chatushapda","Naaga","Kimstugna")</f>
        <v>Chatushapda</v>
      </c>
      <c r="N408" s="25" t="str">
        <f ca="1">CHOOSE(ROUNDUP(Panchanga!$Q408,0),"Vishkambha-विष्कम्भ-Sa","Priti-प्रीति-Me","Ayushman-आयुष्मान-Ke","Saubhagya-सौभाग्य-Ve","Shobhana-शोभन-Su","Atiganda-अतिगण्ड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("&amp;Panchanga!$Q408&amp;")"</f>
        <v>Siddhi-सिद्धि-Ma (15.95)</v>
      </c>
      <c r="O408" s="2">
        <f ca="1">IF(AND(Panchanga!$P408&lt;28.5,Panchanga!$P408&gt;0.49999),MOD((Panchanga!$P408-0.5)*2,7),MOD((Panchanga!$P408+30-28.5),30)*2+7)</f>
        <v>8.5060000000000002</v>
      </c>
      <c r="P408" s="2">
        <f ca="1">ROUNDUP(MOD(360+Panchanga!$G408-Panchanga!$F408,360)/12,4)</f>
        <v>29.253</v>
      </c>
      <c r="Q408" s="2">
        <f t="shared" ca="1" si="63"/>
        <v>15.95</v>
      </c>
      <c r="R408" s="2" t="str">
        <f ca="1">SIGN(S409-Panchanga!$S408)*INT(Panchanga!$S408/30+1)&amp;"Ma,"&amp;SIGN(T409-Panchanga!$T408)*INT(Panchanga!$T408/30+1)&amp;"Me,"&amp;SIGN(U409-Panchanga!$U408)*INT(Panchanga!$U408/30+1)&amp;"Ju,"&amp;SIGN(V409-Panchanga!$V408)*INT(Panchanga!$V408/30+1)&amp;"Ve,"&amp;SIGN(W409-Panchanga!$W408)*INT(Panchanga!$W408/30+1)&amp;"Sa,"&amp;INT(Panchanga!$X408/30+1)&amp;"Ra"</f>
        <v>12Ma,10Me,8Ju,9Ve,9Sa,4Ra</v>
      </c>
      <c r="S408" s="2">
        <f ca="1">Planet(Panchanga!$E408,4)</f>
        <v>358.8380720660677</v>
      </c>
      <c r="T408" s="2">
        <f ca="1">Planet(Panchanga!$E408,2)</f>
        <v>294.38311316852833</v>
      </c>
      <c r="U408" s="2">
        <f ca="1">Planet(Panchanga!$E408,5)</f>
        <v>234.16864679266942</v>
      </c>
      <c r="V408" s="2">
        <f ca="1">Planet(Panchanga!$E408,3)</f>
        <v>246.00517089687634</v>
      </c>
      <c r="W408" s="2">
        <f ca="1">Planet(Panchanga!$E408,6)</f>
        <v>261.16921131526635</v>
      </c>
      <c r="X408" s="2">
        <f ca="1">Planet(Panchanga!$E408,10)</f>
        <v>91.645164802228493</v>
      </c>
      <c r="Y408" s="2">
        <f ca="1">SIGN(S409-Panchanga!$S408)</f>
        <v>1</v>
      </c>
    </row>
    <row r="409" spans="1:25" x14ac:dyDescent="0.2">
      <c r="A409" s="3">
        <f t="shared" ca="1" si="64"/>
        <v>43501</v>
      </c>
      <c r="B409" s="3">
        <f t="shared" ca="1" si="57"/>
        <v>43501.229166666664</v>
      </c>
      <c r="C409" s="5">
        <f t="shared" ca="1" si="58"/>
        <v>43501.275506860729</v>
      </c>
      <c r="D409" s="5">
        <f t="shared" ca="1" si="59"/>
        <v>43500.757064322985</v>
      </c>
      <c r="E409" s="60">
        <f ca="1">Panchanga!$C409-TimeZone/24</f>
        <v>43501.046340194065</v>
      </c>
      <c r="F409" s="61">
        <f t="shared" ca="1" si="60"/>
        <v>291.80486092014308</v>
      </c>
      <c r="G409" s="61">
        <f t="shared" ca="1" si="61"/>
        <v>293.62775708134808</v>
      </c>
      <c r="H409" s="62">
        <f t="shared" ca="1" si="62"/>
        <v>43501.046340194065</v>
      </c>
      <c r="I409" s="2" t="str">
        <f ca="1">naks(Panchanga!$G409)</f>
        <v>Dhanistha</v>
      </c>
      <c r="J409" s="5">
        <f ca="1">(C410-Panchanga!$C409)/(G410-Panchanga!$G409)*(13.3333333333333-MOD(Panchanga!$G409,13.333333333333))+Panchanga!$C409</f>
        <v>43502.380303086793</v>
      </c>
      <c r="K409" s="2" t="str">
        <f ca="1">IF(Panchanga!$P409&gt;15,"K","S")&amp;ROUNDUP(MOD(Panchanga!$P409,15),0)&amp;" ("&amp;ROUND(Panchanga!$P409,2)&amp;")"</f>
        <v>S1 (0.15)</v>
      </c>
      <c r="L409" s="2">
        <f ca="1">IF(AND(Panchanga!$P409&lt;28.5,Panchanga!$P409&gt;0.49999),MOD((Panchanga!$P409-0.5)*2,7),MOD((Panchanga!$P409+30-28.5),30)*2+7)</f>
        <v>10.304000000000002</v>
      </c>
      <c r="M409" s="2" t="str">
        <f ca="1">CHOOSE(ROUNDUP(Panchanga!$L409,0),"Bhava","Baalava","Kaulava","Taitula","Garija","Vanija","Vishti","Shakuni","Chatushapda","Naaga","Kimstugna")</f>
        <v>Kimstugna</v>
      </c>
      <c r="N409" s="25" t="str">
        <f ca="1">CHOOSE(ROUNDUP(Panchanga!$Q409,0),"Vishkambha-विष्कम्भ-Sa","Priti-प्रीति-Me","Ayushman-आयुष्मान-Ke","Saubhagya-सौभाग्य-Ve","Shobhana-शोभन-Su","Atiganda-अतिगण्ड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("&amp;Panchanga!$Q409&amp;")"</f>
        <v>Vyatipata-व्यतिपात-Ra (16.91)</v>
      </c>
      <c r="O409" s="2">
        <f ca="1">IF(AND(Panchanga!$P409&lt;28.5,Panchanga!$P409&gt;0.49999),MOD((Panchanga!$P409-0.5)*2,7),MOD((Panchanga!$P409+30-28.5),30)*2+7)</f>
        <v>10.304000000000002</v>
      </c>
      <c r="P409" s="2">
        <f ca="1">ROUNDUP(MOD(360+Panchanga!$G409-Panchanga!$F409,360)/12,4)</f>
        <v>0.152</v>
      </c>
      <c r="Q409" s="2">
        <f t="shared" ca="1" si="63"/>
        <v>16.91</v>
      </c>
      <c r="R409" s="2" t="str">
        <f ca="1">SIGN(S410-Panchanga!$S409)*INT(Panchanga!$S409/30+1)&amp;"Ma,"&amp;SIGN(T410-Panchanga!$T409)*INT(Panchanga!$T409/30+1)&amp;"Me,"&amp;SIGN(U410-Panchanga!$U409)*INT(Panchanga!$U409/30+1)&amp;"Ju,"&amp;SIGN(V410-Panchanga!$V409)*INT(Panchanga!$V409/30+1)&amp;"Ve,"&amp;SIGN(W410-Panchanga!$W409)*INT(Panchanga!$W409/30+1)&amp;"Sa,"&amp;INT(Panchanga!$X409/30+1)&amp;"Ra"</f>
        <v>-12Ma,10Me,8Ju,9Ve,9Sa,4Ra</v>
      </c>
      <c r="S409" s="2">
        <f ca="1">Planet(Panchanga!$E409,4)</f>
        <v>359.51520963800328</v>
      </c>
      <c r="T409" s="2">
        <f ca="1">Planet(Panchanga!$E409,2)</f>
        <v>296.15769829747643</v>
      </c>
      <c r="U409" s="2">
        <f ca="1">Planet(Panchanga!$E409,5)</f>
        <v>234.33555408641996</v>
      </c>
      <c r="V409" s="2">
        <f ca="1">Planet(Panchanga!$E409,3)</f>
        <v>247.14664259819705</v>
      </c>
      <c r="W409" s="2">
        <f ca="1">Planet(Panchanga!$E409,6)</f>
        <v>261.27679592237217</v>
      </c>
      <c r="X409" s="2">
        <f ca="1">Planet(Panchanga!$E409,10)</f>
        <v>91.592180562823216</v>
      </c>
      <c r="Y409" s="2">
        <f ca="1">SIGN(S410-Panchanga!$S409)</f>
        <v>-1</v>
      </c>
    </row>
    <row r="410" spans="1:25" x14ac:dyDescent="0.2">
      <c r="A410" s="3">
        <f t="shared" ca="1" si="64"/>
        <v>43502</v>
      </c>
      <c r="B410" s="3">
        <f t="shared" ca="1" si="57"/>
        <v>43502.229166666664</v>
      </c>
      <c r="C410" s="5">
        <f t="shared" ca="1" si="58"/>
        <v>43502.275348391537</v>
      </c>
      <c r="D410" s="5">
        <f t="shared" ca="1" si="59"/>
        <v>43501.757340411699</v>
      </c>
      <c r="E410" s="60">
        <f ca="1">Panchanga!$C410-TimeZone/24</f>
        <v>43502.046181724872</v>
      </c>
      <c r="F410" s="61">
        <f t="shared" ca="1" si="60"/>
        <v>292.81888109450512</v>
      </c>
      <c r="G410" s="61">
        <f t="shared" ca="1" si="61"/>
        <v>305.42798142343247</v>
      </c>
      <c r="H410" s="62">
        <f t="shared" ca="1" si="62"/>
        <v>43502.046181724872</v>
      </c>
      <c r="I410" s="2" t="str">
        <f ca="1">naks(Panchanga!$G410)</f>
        <v>Dhanistha</v>
      </c>
      <c r="J410" s="5">
        <f ca="1">(C411-Panchanga!$C410)/(G411-Panchanga!$G410)*(13.3333333333333-MOD(Panchanga!$G410,13.333333333333))+Panchanga!$C410</f>
        <v>43502.380016975047</v>
      </c>
      <c r="K410" s="2" t="str">
        <f ca="1">IF(Panchanga!$P410&gt;15,"K","S")&amp;ROUNDUP(MOD(Panchanga!$P410,15),0)&amp;" ("&amp;ROUND(Panchanga!$P410,2)&amp;")"</f>
        <v>S2 (1.05)</v>
      </c>
      <c r="L410" s="2">
        <f ca="1">IF(AND(Panchanga!$P410&lt;28.5,Panchanga!$P410&gt;0.49999),MOD((Panchanga!$P410-0.5)*2,7),MOD((Panchanga!$P410+30-28.5),30)*2+7)</f>
        <v>1.1015999999999999</v>
      </c>
      <c r="M410" s="2" t="str">
        <f ca="1">CHOOSE(ROUNDUP(Panchanga!$L410,0),"Bhava","Baalava","Kaulava","Taitula","Garija","Vanija","Vishti","Shakuni","Chatushapda","Naaga","Kimstugna")</f>
        <v>Baalava</v>
      </c>
      <c r="N410" s="25" t="str">
        <f ca="1">CHOOSE(ROUNDUP(Panchanga!$Q410,0),"Vishkambha-विष्कम्भ-Sa","Priti-प्रीति-Me","Ayushman-आयुष्मान-Ke","Saubhagya-सौभाग्य-Ve","Shobhana-शोभन-Su","Atiganda-अतिगण्ड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("&amp;Panchanga!$Q410&amp;")"</f>
        <v>Varigha-वरीयस्-Ju (17.87)</v>
      </c>
      <c r="O410" s="2">
        <f ca="1">IF(AND(Panchanga!$P410&lt;28.5,Panchanga!$P410&gt;0.49999),MOD((Panchanga!$P410-0.5)*2,7),MOD((Panchanga!$P410+30-28.5),30)*2+7)</f>
        <v>1.1015999999999999</v>
      </c>
      <c r="P410" s="2">
        <f ca="1">ROUNDUP(MOD(360+Panchanga!$G410-Panchanga!$F410,360)/12,4)</f>
        <v>1.0508</v>
      </c>
      <c r="Q410" s="2">
        <f t="shared" ca="1" si="63"/>
        <v>17.87</v>
      </c>
      <c r="R410" s="2" t="str">
        <f ca="1">SIGN(S411-Panchanga!$S410)*INT(Panchanga!$S410/30+1)&amp;"Ma,"&amp;SIGN(T411-Panchanga!$T410)*INT(Panchanga!$T410/30+1)&amp;"Me,"&amp;SIGN(U411-Panchanga!$U410)*INT(Panchanga!$U410/30+1)&amp;"Ju,"&amp;SIGN(V411-Panchanga!$V410)*INT(Panchanga!$V410/30+1)&amp;"Ve,"&amp;SIGN(W411-Panchanga!$W410)*INT(Panchanga!$W410/30+1)&amp;"Sa,"&amp;INT(Panchanga!$X410/30+1)&amp;"Ra"</f>
        <v>1Ma,10Me,8Ju,9Ve,9Sa,4Ra</v>
      </c>
      <c r="S410" s="2">
        <f ca="1">Planet(Panchanga!$E410,4)</f>
        <v>0.1922788960675535</v>
      </c>
      <c r="T410" s="2">
        <f ca="1">Planet(Panchanga!$E410,2)</f>
        <v>297.94133232656475</v>
      </c>
      <c r="U410" s="2">
        <f ca="1">Planet(Panchanga!$E410,5)</f>
        <v>234.50071889394704</v>
      </c>
      <c r="V410" s="2">
        <f ca="1">Planet(Panchanga!$E410,3)</f>
        <v>248.29043900094038</v>
      </c>
      <c r="W410" s="2">
        <f ca="1">Planet(Panchanga!$E410,6)</f>
        <v>261.38373174269401</v>
      </c>
      <c r="X410" s="2">
        <f ca="1">Planet(Panchanga!$E410,10)</f>
        <v>91.539196963572678</v>
      </c>
      <c r="Y410" s="2">
        <f ca="1">SIGN(S411-Panchanga!$S410)</f>
        <v>1</v>
      </c>
    </row>
    <row r="411" spans="1:25" x14ac:dyDescent="0.2">
      <c r="A411" s="3">
        <f t="shared" ca="1" si="64"/>
        <v>43503</v>
      </c>
      <c r="B411" s="3">
        <f t="shared" ca="1" si="57"/>
        <v>43503.229166666664</v>
      </c>
      <c r="C411" s="5">
        <f t="shared" ca="1" si="58"/>
        <v>43503.275178001881</v>
      </c>
      <c r="D411" s="5">
        <f t="shared" ca="1" si="59"/>
        <v>43502.757609665437</v>
      </c>
      <c r="E411" s="60">
        <f ca="1">Panchanga!$C411-TimeZone/24</f>
        <v>43503.046011335216</v>
      </c>
      <c r="F411" s="61">
        <f t="shared" ca="1" si="60"/>
        <v>293.83254508384596</v>
      </c>
      <c r="G411" s="61">
        <f t="shared" ca="1" si="61"/>
        <v>317.26032062690814</v>
      </c>
      <c r="H411" s="62">
        <f t="shared" ca="1" si="62"/>
        <v>43503.046011335216</v>
      </c>
      <c r="I411" s="2" t="str">
        <f ca="1">naks(Panchanga!$G411)</f>
        <v>Satabhisaj</v>
      </c>
      <c r="J411" s="5">
        <f ca="1">(C412-Panchanga!$C411)/(G412-Panchanga!$G411)*(13.3333333333333-MOD(Panchanga!$G411,13.333333333333))+Panchanga!$C411</f>
        <v>43503.505372901192</v>
      </c>
      <c r="K411" s="2" t="str">
        <f ca="1">IF(Panchanga!$P411&gt;15,"K","S")&amp;ROUNDUP(MOD(Panchanga!$P411,15),0)&amp;" ("&amp;ROUND(Panchanga!$P411,2)&amp;")"</f>
        <v>S2 (1.95)</v>
      </c>
      <c r="L411" s="2">
        <f ca="1">IF(AND(Panchanga!$P411&lt;28.5,Panchanga!$P411&gt;0.49999),MOD((Panchanga!$P411-0.5)*2,7),MOD((Panchanga!$P411+30-28.5),30)*2+7)</f>
        <v>2.9047999999999998</v>
      </c>
      <c r="M411" s="2" t="str">
        <f ca="1">CHOOSE(ROUNDUP(Panchanga!$L411,0),"Bhava","Baalava","Kaulava","Taitula","Garija","Vanija","Vishti","Shakuni","Chatushapda","Naaga","Kimstugna")</f>
        <v>Kaulava</v>
      </c>
      <c r="N411" s="25" t="str">
        <f ca="1">CHOOSE(ROUNDUP(Panchanga!$Q411,0),"Vishkambha-विष्कम्भ-Sa","Priti-प्रीति-Me","Ayushman-आयुष्मान-Ke","Saubhagya-सौभाग्य-Ve","Shobhana-शोभन-Su","Atiganda-अतिगण्ड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("&amp;Panchanga!$Q411&amp;")"</f>
        <v>Parigha-परिघ-Sa (18.84)</v>
      </c>
      <c r="O411" s="2">
        <f ca="1">IF(AND(Panchanga!$P411&lt;28.5,Panchanga!$P411&gt;0.49999),MOD((Panchanga!$P411-0.5)*2,7),MOD((Panchanga!$P411+30-28.5),30)*2+7)</f>
        <v>2.9047999999999998</v>
      </c>
      <c r="P411" s="2">
        <f ca="1">ROUNDUP(MOD(360+Panchanga!$G411-Panchanga!$F411,360)/12,4)</f>
        <v>1.9523999999999999</v>
      </c>
      <c r="Q411" s="2">
        <f t="shared" ca="1" si="63"/>
        <v>18.84</v>
      </c>
      <c r="R411" s="2" t="str">
        <f ca="1">SIGN(S412-Panchanga!$S411)*INT(Panchanga!$S411/30+1)&amp;"Ma,"&amp;SIGN(T412-Panchanga!$T411)*INT(Panchanga!$T411/30+1)&amp;"Me,"&amp;SIGN(U412-Panchanga!$U411)*INT(Panchanga!$U411/30+1)&amp;"Ju,"&amp;SIGN(V412-Panchanga!$V411)*INT(Panchanga!$V411/30+1)&amp;"Ve,"&amp;SIGN(W412-Panchanga!$W411)*INT(Panchanga!$W411/30+1)&amp;"Sa,"&amp;INT(Panchanga!$X411/30+1)&amp;"Ra"</f>
        <v>1Ma,10Me,8Ju,9Ve,9Sa,4Ra</v>
      </c>
      <c r="S411" s="2">
        <f ca="1">Planet(Panchanga!$E411,4)</f>
        <v>0.86926449994941934</v>
      </c>
      <c r="T411" s="2">
        <f ca="1">Planet(Panchanga!$E411,2)</f>
        <v>299.73313000183623</v>
      </c>
      <c r="U411" s="2">
        <f ca="1">Planet(Panchanga!$E411,5)</f>
        <v>234.66411179262153</v>
      </c>
      <c r="V411" s="2">
        <f ca="1">Planet(Panchanga!$E411,3)</f>
        <v>249.4364756234649</v>
      </c>
      <c r="W411" s="2">
        <f ca="1">Planet(Panchanga!$E411,6)</f>
        <v>261.48999898368442</v>
      </c>
      <c r="X411" s="2">
        <f ca="1">Planet(Panchanga!$E411,10)</f>
        <v>91.486213995993566</v>
      </c>
      <c r="Y411" s="2">
        <f ca="1">SIGN(S412-Panchanga!$S411)</f>
        <v>1</v>
      </c>
    </row>
    <row r="412" spans="1:25" x14ac:dyDescent="0.2">
      <c r="A412" s="3">
        <f t="shared" ca="1" si="64"/>
        <v>43504</v>
      </c>
      <c r="B412" s="3">
        <f t="shared" ca="1" si="57"/>
        <v>43504.229166666664</v>
      </c>
      <c r="C412" s="5">
        <f t="shared" ca="1" si="58"/>
        <v>43504.274995850086</v>
      </c>
      <c r="D412" s="5">
        <f t="shared" ca="1" si="59"/>
        <v>43503.757872243921</v>
      </c>
      <c r="E412" s="60">
        <f ca="1">Panchanga!$C412-TimeZone/24</f>
        <v>43504.045829183422</v>
      </c>
      <c r="F412" s="61">
        <f t="shared" ca="1" si="60"/>
        <v>294.84583129648024</v>
      </c>
      <c r="G412" s="61">
        <f t="shared" ca="1" si="61"/>
        <v>329.15971693757632</v>
      </c>
      <c r="H412" s="62">
        <f t="shared" ca="1" si="62"/>
        <v>43504.045829183422</v>
      </c>
      <c r="I412" s="2" t="str">
        <f ca="1">naks(Panchanga!$G412)</f>
        <v>Purva Bhadrapada</v>
      </c>
      <c r="J412" s="5">
        <f ca="1">(C413-Panchanga!$C412)/(G413-Panchanga!$G412)*(13.3333333333333-MOD(Panchanga!$G412,13.333333333333))+Panchanga!$C412</f>
        <v>43504.622569410902</v>
      </c>
      <c r="K412" s="2" t="str">
        <f ca="1">IF(Panchanga!$P412&gt;15,"K","S")&amp;ROUNDUP(MOD(Panchanga!$P412,15),0)&amp;" ("&amp;ROUND(Panchanga!$P412,2)&amp;")"</f>
        <v>S3 (2.86)</v>
      </c>
      <c r="L412" s="2">
        <f ca="1">IF(AND(Panchanga!$P412&lt;28.5,Panchanga!$P412&gt;0.49999),MOD((Panchanga!$P412-0.5)*2,7),MOD((Panchanga!$P412+30-28.5),30)*2+7)</f>
        <v>4.7190000000000003</v>
      </c>
      <c r="M412" s="2" t="str">
        <f ca="1">CHOOSE(ROUNDUP(Panchanga!$L412,0),"Bhava","Baalava","Kaulava","Taitula","Garija","Vanija","Vishti","Shakuni","Chatushapda","Naaga","Kimstugna")</f>
        <v>Garija</v>
      </c>
      <c r="N412" s="25" t="str">
        <f ca="1">CHOOSE(ROUNDUP(Panchanga!$Q412,0),"Vishkambha-विष्कम्भ-Sa","Priti-प्रीति-Me","Ayushman-आयुष्मान-Ke","Saubhagya-सौभाग्य-Ve","Shobhana-शोभन-Su","Atiganda-अतिगण्ड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("&amp;Panchanga!$Q412&amp;")"</f>
        <v>Shiva-शिव-Me (19.81)</v>
      </c>
      <c r="O412" s="2">
        <f ca="1">IF(AND(Panchanga!$P412&lt;28.5,Panchanga!$P412&gt;0.49999),MOD((Panchanga!$P412-0.5)*2,7),MOD((Panchanga!$P412+30-28.5),30)*2+7)</f>
        <v>4.7190000000000003</v>
      </c>
      <c r="P412" s="2">
        <f ca="1">ROUNDUP(MOD(360+Panchanga!$G412-Panchanga!$F412,360)/12,4)</f>
        <v>2.8595000000000002</v>
      </c>
      <c r="Q412" s="2">
        <f t="shared" ca="1" si="63"/>
        <v>19.810000000000002</v>
      </c>
      <c r="R412" s="2" t="str">
        <f ca="1">SIGN(S413-Panchanga!$S412)*INT(Panchanga!$S412/30+1)&amp;"Ma,"&amp;SIGN(T413-Panchanga!$T412)*INT(Panchanga!$T412/30+1)&amp;"Me,"&amp;SIGN(U413-Panchanga!$U412)*INT(Panchanga!$U412/30+1)&amp;"Ju,"&amp;SIGN(V413-Panchanga!$V412)*INT(Panchanga!$V412/30+1)&amp;"Ve,"&amp;SIGN(W413-Panchanga!$W412)*INT(Panchanga!$W412/30+1)&amp;"Sa,"&amp;INT(Panchanga!$X412/30+1)&amp;"Ra"</f>
        <v>1Ma,11Me,8Ju,9Ve,9Sa,4Ra</v>
      </c>
      <c r="S412" s="2">
        <f ca="1">Planet(Panchanga!$E412,4)</f>
        <v>1.5461501735696501</v>
      </c>
      <c r="T412" s="2">
        <f ca="1">Planet(Panchanga!$E412,2)</f>
        <v>301.53196017501284</v>
      </c>
      <c r="U412" s="2">
        <f ca="1">Planet(Panchanga!$E412,5)</f>
        <v>234.82570377281897</v>
      </c>
      <c r="V412" s="2">
        <f ca="1">Planet(Panchanga!$E412,3)</f>
        <v>250.5846726451376</v>
      </c>
      <c r="W412" s="2">
        <f ca="1">Planet(Panchanga!$E412,6)</f>
        <v>261.59557808462074</v>
      </c>
      <c r="X412" s="2">
        <f ca="1">Planet(Panchanga!$E412,10)</f>
        <v>91.433231651735312</v>
      </c>
      <c r="Y412" s="2">
        <f ca="1">SIGN(S413-Panchanga!$S412)</f>
        <v>1</v>
      </c>
    </row>
    <row r="413" spans="1:25" x14ac:dyDescent="0.2">
      <c r="A413" s="3">
        <f t="shared" ca="1" si="64"/>
        <v>43505</v>
      </c>
      <c r="B413" s="3">
        <f t="shared" ca="1" si="57"/>
        <v>43505.229166666664</v>
      </c>
      <c r="C413" s="5">
        <f t="shared" ca="1" si="58"/>
        <v>43505.274801936153</v>
      </c>
      <c r="D413" s="5">
        <f t="shared" ca="1" si="59"/>
        <v>43504.758127828638</v>
      </c>
      <c r="E413" s="60">
        <f ca="1">Panchanga!$C413-TimeZone/24</f>
        <v>43505.045635269489</v>
      </c>
      <c r="F413" s="61">
        <f t="shared" ca="1" si="60"/>
        <v>295.85871878163181</v>
      </c>
      <c r="G413" s="61">
        <f t="shared" ca="1" si="61"/>
        <v>341.1652534449675</v>
      </c>
      <c r="H413" s="62">
        <f t="shared" ca="1" si="62"/>
        <v>43505.045635269489</v>
      </c>
      <c r="I413" s="2" t="str">
        <f ca="1">naks(Panchanga!$G413)</f>
        <v>Uttara Bhadrapada</v>
      </c>
      <c r="J413" s="5">
        <f ca="1">(C414-Panchanga!$C413)/(G414-Panchanga!$G413)*(13.3333333333333-MOD(Panchanga!$G413,13.333333333333))+Panchanga!$C413</f>
        <v>43505.727253492594</v>
      </c>
      <c r="K413" s="2" t="str">
        <f ca="1">IF(Panchanga!$P413&gt;15,"K","S")&amp;ROUNDUP(MOD(Panchanga!$P413,15),0)&amp;" ("&amp;ROUND(Panchanga!$P413,2)&amp;")"</f>
        <v>S4 (3.78)</v>
      </c>
      <c r="L413" s="2">
        <f ca="1">IF(AND(Panchanga!$P413&lt;28.5,Panchanga!$P413&gt;0.49999),MOD((Panchanga!$P413-0.5)*2,7),MOD((Panchanga!$P413+30-28.5),30)*2+7)</f>
        <v>6.5512000000000006</v>
      </c>
      <c r="M413" s="2" t="str">
        <f ca="1">CHOOSE(ROUNDUP(Panchanga!$L413,0),"Bhava","Baalava","Kaulava","Taitula","Garija","Vanija","Vishti","Shakuni","Chatushapda","Naaga","Kimstugna")</f>
        <v>Vishti</v>
      </c>
      <c r="N413" s="25" t="str">
        <f ca="1">CHOOSE(ROUNDUP(Panchanga!$Q413,0),"Vishkambha-विष्कम्भ-Sa","Priti-प्रीति-Me","Ayushman-आयुष्मान-Ke","Saubhagya-सौभाग्य-Ve","Shobhana-शोभन-Su","Atiganda-अतिगण्ड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("&amp;Panchanga!$Q413&amp;")"</f>
        <v>Siddha-सिद्ध-Ke (20.78)</v>
      </c>
      <c r="O413" s="2">
        <f ca="1">IF(AND(Panchanga!$P413&lt;28.5,Panchanga!$P413&gt;0.49999),MOD((Panchanga!$P413-0.5)*2,7),MOD((Panchanga!$P413+30-28.5),30)*2+7)</f>
        <v>6.5512000000000006</v>
      </c>
      <c r="P413" s="2">
        <f ca="1">ROUNDUP(MOD(360+Panchanga!$G413-Panchanga!$F413,360)/12,4)</f>
        <v>3.7756000000000003</v>
      </c>
      <c r="Q413" s="2">
        <f t="shared" ca="1" si="63"/>
        <v>20.78</v>
      </c>
      <c r="R413" s="2" t="str">
        <f ca="1">SIGN(S414-Panchanga!$S413)*INT(Panchanga!$S413/30+1)&amp;"Ma,"&amp;SIGN(T414-Panchanga!$T413)*INT(Panchanga!$T413/30+1)&amp;"Me,"&amp;SIGN(U414-Panchanga!$U413)*INT(Panchanga!$U413/30+1)&amp;"Ju,"&amp;SIGN(V414-Panchanga!$V413)*INT(Panchanga!$V413/30+1)&amp;"Ve,"&amp;SIGN(W414-Panchanga!$W413)*INT(Panchanga!$W413/30+1)&amp;"Sa,"&amp;INT(Panchanga!$X413/30+1)&amp;"Ra"</f>
        <v>1Ma,11Me,8Ju,9Ve,9Sa,4Ra</v>
      </c>
      <c r="S413" s="2">
        <f ca="1">Planet(Panchanga!$E413,4)</f>
        <v>2.2229187141911977</v>
      </c>
      <c r="T413" s="2">
        <f ca="1">Planet(Panchanga!$E413,2)</f>
        <v>303.33640327224833</v>
      </c>
      <c r="U413" s="2">
        <f ca="1">Planet(Panchanga!$E413,5)</f>
        <v>234.9854662714979</v>
      </c>
      <c r="V413" s="2">
        <f ca="1">Planet(Panchanga!$E413,3)</f>
        <v>251.73495480901559</v>
      </c>
      <c r="W413" s="2">
        <f ca="1">Planet(Panchanga!$E413,6)</f>
        <v>261.7004497477534</v>
      </c>
      <c r="X413" s="2">
        <f ca="1">Planet(Panchanga!$E413,10)</f>
        <v>91.380249930764833</v>
      </c>
      <c r="Y413" s="2">
        <f ca="1">SIGN(S414-Panchanga!$S413)</f>
        <v>1</v>
      </c>
    </row>
    <row r="414" spans="1:25" x14ac:dyDescent="0.2">
      <c r="A414" s="3">
        <f t="shared" ca="1" si="64"/>
        <v>43506</v>
      </c>
      <c r="B414" s="3">
        <f t="shared" ca="1" si="57"/>
        <v>43506.229166666664</v>
      </c>
      <c r="C414" s="5">
        <f t="shared" ca="1" si="58"/>
        <v>43506.274596419338</v>
      </c>
      <c r="D414" s="5">
        <f t="shared" ca="1" si="59"/>
        <v>43505.758376578844</v>
      </c>
      <c r="E414" s="60">
        <f ca="1">Panchanga!$C414-TimeZone/24</f>
        <v>43506.045429752674</v>
      </c>
      <c r="F414" s="61">
        <f t="shared" ca="1" si="60"/>
        <v>296.87118791616587</v>
      </c>
      <c r="G414" s="61">
        <f t="shared" ca="1" si="61"/>
        <v>353.32187554169656</v>
      </c>
      <c r="H414" s="62">
        <f t="shared" ca="1" si="62"/>
        <v>43506.045429752674</v>
      </c>
      <c r="I414" s="2" t="str">
        <f ca="1">naks(Panchanga!$G414)</f>
        <v>Revati</v>
      </c>
      <c r="J414" s="5">
        <f ca="1">(C415-Panchanga!$C414)/(G415-Panchanga!$G414)*(13.3333333333333-MOD(Panchanga!$G414,13.333333333333))+Panchanga!$C414</f>
        <v>43506.255390750164</v>
      </c>
      <c r="K414" s="2" t="str">
        <f ca="1">IF(Panchanga!$P414&gt;15,"K","S")&amp;ROUNDUP(MOD(Panchanga!$P414,15),0)&amp;" ("&amp;ROUND(Panchanga!$P414,2)&amp;")"</f>
        <v>S5 (4.7)</v>
      </c>
      <c r="L414" s="2">
        <f ca="1">IF(AND(Panchanga!$P414&lt;28.5,Panchanga!$P414&gt;0.49999),MOD((Panchanga!$P414-0.5)*2,7),MOD((Panchanga!$P414+30-28.5),30)*2+7)</f>
        <v>1.4085999999999999</v>
      </c>
      <c r="M414" s="2" t="str">
        <f ca="1">CHOOSE(ROUNDUP(Panchanga!$L414,0),"Bhava","Baalava","Kaulava","Taitula","Garija","Vanija","Vishti","Shakuni","Chatushapda","Naaga","Kimstugna")</f>
        <v>Baalava</v>
      </c>
      <c r="N414" s="25" t="str">
        <f ca="1">CHOOSE(ROUNDUP(Panchanga!$Q414,0),"Vishkambha-विष्कम्भ-Sa","Priti-प्रीति-Me","Ayushman-आयुष्मान-Ke","Saubhagya-सौभाग्य-Ve","Shobhana-शोभन-Su","Atiganda-अतिगण्ड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("&amp;Panchanga!$Q414&amp;")"</f>
        <v>Sadhya-साध्य-Ve (21.77)</v>
      </c>
      <c r="O414" s="2">
        <f ca="1">IF(AND(Panchanga!$P414&lt;28.5,Panchanga!$P414&gt;0.49999),MOD((Panchanga!$P414-0.5)*2,7),MOD((Panchanga!$P414+30-28.5),30)*2+7)</f>
        <v>1.4085999999999999</v>
      </c>
      <c r="P414" s="2">
        <f ca="1">ROUNDUP(MOD(360+Panchanga!$G414-Panchanga!$F414,360)/12,4)</f>
        <v>4.7042999999999999</v>
      </c>
      <c r="Q414" s="2">
        <f t="shared" ca="1" si="63"/>
        <v>21.770000000000003</v>
      </c>
      <c r="R414" s="2" t="str">
        <f ca="1">SIGN(S415-Panchanga!$S414)*INT(Panchanga!$S414/30+1)&amp;"Ma,"&amp;SIGN(T415-Panchanga!$T414)*INT(Panchanga!$T414/30+1)&amp;"Me,"&amp;SIGN(U415-Panchanga!$U414)*INT(Panchanga!$U414/30+1)&amp;"Ju,"&amp;SIGN(V415-Panchanga!$V414)*INT(Panchanga!$V414/30+1)&amp;"Ve,"&amp;SIGN(W415-Panchanga!$W414)*INT(Panchanga!$W414/30+1)&amp;"Sa,"&amp;INT(Panchanga!$X414/30+1)&amp;"Ra"</f>
        <v>1Ma,11Me,8Ju,9Ve,9Sa,4Ra</v>
      </c>
      <c r="S414" s="2">
        <f ca="1">Planet(Panchanga!$E414,4)</f>
        <v>2.8995523485969388</v>
      </c>
      <c r="T414" s="2">
        <f ca="1">Planet(Panchanga!$E414,2)</f>
        <v>305.14470445086693</v>
      </c>
      <c r="U414" s="2">
        <f ca="1">Planet(Panchanga!$E414,5)</f>
        <v>235.14337127148431</v>
      </c>
      <c r="V414" s="2">
        <f ca="1">Planet(Panchanga!$E414,3)</f>
        <v>252.88725185727006</v>
      </c>
      <c r="W414" s="2">
        <f ca="1">Planet(Panchanga!$E414,6)</f>
        <v>261.8045950087386</v>
      </c>
      <c r="X414" s="2">
        <f ca="1">Planet(Panchanga!$E414,10)</f>
        <v>91.327268824665069</v>
      </c>
      <c r="Y414" s="2">
        <f ca="1">SIGN(S415-Panchanga!$S414)</f>
        <v>1</v>
      </c>
    </row>
    <row r="415" spans="1:25" x14ac:dyDescent="0.2">
      <c r="A415" s="3">
        <f t="shared" ca="1" si="64"/>
        <v>43507</v>
      </c>
      <c r="B415" s="3">
        <f t="shared" ca="1" si="57"/>
        <v>43507.229166666664</v>
      </c>
      <c r="C415" s="5">
        <f t="shared" ca="1" si="58"/>
        <v>43507.274379458431</v>
      </c>
      <c r="D415" s="5">
        <f t="shared" ca="1" si="59"/>
        <v>43506.758618176027</v>
      </c>
      <c r="E415" s="60">
        <f ca="1">Panchanga!$C415-TimeZone/24</f>
        <v>43507.045212791767</v>
      </c>
      <c r="F415" s="61">
        <f t="shared" ca="1" si="60"/>
        <v>297.88322061023308</v>
      </c>
      <c r="G415" s="61">
        <f t="shared" ca="1" si="61"/>
        <v>5.6810042646881174</v>
      </c>
      <c r="H415" s="62">
        <f t="shared" ca="1" si="62"/>
        <v>43507.045212791767</v>
      </c>
      <c r="I415" s="2" t="str">
        <f ca="1">naks(Panchanga!$G415)</f>
        <v>Aswini</v>
      </c>
      <c r="J415" s="5">
        <f ca="1">(C416-Panchanga!$C415)/(G416-Panchanga!$G415)*(13.3333333333333-MOD(Panchanga!$G415,13.333333333333))+Panchanga!$C415</f>
        <v>43507.880679281836</v>
      </c>
      <c r="K415" s="2" t="str">
        <f ca="1">IF(Panchanga!$P415&gt;15,"K","S")&amp;ROUNDUP(MOD(Panchanga!$P415,15),0)&amp;" ("&amp;ROUND(Panchanga!$P415,2)&amp;")"</f>
        <v>S6 (5.65)</v>
      </c>
      <c r="L415" s="2">
        <f ca="1">IF(AND(Panchanga!$P415&lt;28.5,Panchanga!$P415&gt;0.49999),MOD((Panchanga!$P415-0.5)*2,7),MOD((Panchanga!$P415+30-28.5),30)*2+7)</f>
        <v>3.2997999999999994</v>
      </c>
      <c r="M415" s="2" t="str">
        <f ca="1">CHOOSE(ROUNDUP(Panchanga!$L415,0),"Bhava","Baalava","Kaulava","Taitula","Garija","Vanija","Vishti","Shakuni","Chatushapda","Naaga","Kimstugna")</f>
        <v>Taitula</v>
      </c>
      <c r="N415" s="25" t="str">
        <f ca="1">CHOOSE(ROUNDUP(Panchanga!$Q415,0),"Vishkambha-विष्कम्भ-Sa","Priti-प्रीति-Me","Ayushman-आयुष्मान-Ke","Saubhagya-सौभाग्य-Ve","Shobhana-शोभन-Su","Atiganda-अतिगण्ड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("&amp;Panchanga!$Q415&amp;")"</f>
        <v>Shubha-शुभ-Su (22.77)</v>
      </c>
      <c r="O415" s="2">
        <f ca="1">IF(AND(Panchanga!$P415&lt;28.5,Panchanga!$P415&gt;0.49999),MOD((Panchanga!$P415-0.5)*2,7),MOD((Panchanga!$P415+30-28.5),30)*2+7)</f>
        <v>3.2997999999999994</v>
      </c>
      <c r="P415" s="2">
        <f ca="1">ROUNDUP(MOD(360+Panchanga!$G415-Panchanga!$F415,360)/12,4)</f>
        <v>5.6498999999999997</v>
      </c>
      <c r="Q415" s="2">
        <f t="shared" ca="1" si="63"/>
        <v>22.770000000000003</v>
      </c>
      <c r="R415" s="2" t="str">
        <f ca="1">SIGN(S416-Panchanga!$S415)*INT(Panchanga!$S415/30+1)&amp;"Ma,"&amp;SIGN(T416-Panchanga!$T415)*INT(Panchanga!$T415/30+1)&amp;"Me,"&amp;SIGN(U416-Panchanga!$U415)*INT(Panchanga!$U415/30+1)&amp;"Ju,"&amp;SIGN(V416-Panchanga!$V415)*INT(Panchanga!$V415/30+1)&amp;"Ve,"&amp;SIGN(W416-Panchanga!$W415)*INT(Panchanga!$W415/30+1)&amp;"Sa,"&amp;INT(Panchanga!$X415/30+1)&amp;"Ra"</f>
        <v>1Ma,11Me,8Ju,9Ve,9Sa,4Ra</v>
      </c>
      <c r="S415" s="2">
        <f ca="1">Planet(Panchanga!$E415,4)</f>
        <v>3.5760327977608792</v>
      </c>
      <c r="T415" s="2">
        <f ca="1">Planet(Panchanga!$E415,2)</f>
        <v>306.95472074977027</v>
      </c>
      <c r="U415" s="2">
        <f ca="1">Planet(Panchanga!$E415,5)</f>
        <v>235.29939131502056</v>
      </c>
      <c r="V415" s="2">
        <f ca="1">Planet(Panchanga!$E415,3)</f>
        <v>254.04149839164231</v>
      </c>
      <c r="W415" s="2">
        <f ca="1">Planet(Panchanga!$E415,6)</f>
        <v>261.90799526435723</v>
      </c>
      <c r="X415" s="2">
        <f ca="1">Planet(Panchanga!$E415,10)</f>
        <v>91.274288325019128</v>
      </c>
      <c r="Y415" s="2">
        <f ca="1">SIGN(S416-Panchanga!$S415)</f>
        <v>1</v>
      </c>
    </row>
    <row r="416" spans="1:25" x14ac:dyDescent="0.2">
      <c r="A416" s="3">
        <f t="shared" ca="1" si="64"/>
        <v>43508</v>
      </c>
      <c r="B416" s="3">
        <f t="shared" ca="1" si="57"/>
        <v>43508.229166666664</v>
      </c>
      <c r="C416" s="5">
        <f t="shared" ca="1" si="58"/>
        <v>43508.274151371479</v>
      </c>
      <c r="D416" s="5">
        <f t="shared" ca="1" si="59"/>
        <v>43507.758852939165</v>
      </c>
      <c r="E416" s="60">
        <f ca="1">Panchanga!$C416-TimeZone/24</f>
        <v>43508.044984704815</v>
      </c>
      <c r="F416" s="61">
        <f t="shared" ca="1" si="60"/>
        <v>298.89480080493411</v>
      </c>
      <c r="G416" s="61">
        <f t="shared" ca="1" si="61"/>
        <v>18.299486700065991</v>
      </c>
      <c r="H416" s="62">
        <f t="shared" ca="1" si="62"/>
        <v>43508.044984704815</v>
      </c>
      <c r="I416" s="2" t="str">
        <f ca="1">naks(Panchanga!$G416)</f>
        <v>Bharani</v>
      </c>
      <c r="J416" s="5">
        <f ca="1">(C417-Panchanga!$C416)/(G417-Panchanga!$G416)*(13.3333333333333-MOD(Panchanga!$G416,13.333333333333))+Panchanga!$C416</f>
        <v>43508.920769788427</v>
      </c>
      <c r="K416" s="2" t="str">
        <f ca="1">IF(Panchanga!$P416&gt;15,"K","S")&amp;ROUNDUP(MOD(Panchanga!$P416,15),0)&amp;" ("&amp;ROUND(Panchanga!$P416,2)&amp;")"</f>
        <v>S7 (6.62)</v>
      </c>
      <c r="L416" s="2">
        <f ca="1">IF(AND(Panchanga!$P416&lt;28.5,Panchanga!$P416&gt;0.49999),MOD((Panchanga!$P416-0.5)*2,7),MOD((Panchanga!$P416+30-28.5),30)*2+7)</f>
        <v>5.2341999999999995</v>
      </c>
      <c r="M416" s="2" t="str">
        <f ca="1">CHOOSE(ROUNDUP(Panchanga!$L416,0),"Bhava","Baalava","Kaulava","Taitula","Garija","Vanija","Vishti","Shakuni","Chatushapda","Naaga","Kimstugna")</f>
        <v>Vanija</v>
      </c>
      <c r="N416" s="25" t="str">
        <f ca="1">CHOOSE(ROUNDUP(Panchanga!$Q416,0),"Vishkambha-विष्कम्भ-Sa","Priti-प्रीति-Me","Ayushman-आयुष्मान-Ke","Saubhagya-सौभाग्य-Ve","Shobhana-शोभन-Su","Atiganda-अतिगण्ड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("&amp;Panchanga!$Q416&amp;")"</f>
        <v>Shukla-शुक्ल-Mo (23.79)</v>
      </c>
      <c r="O416" s="2">
        <f ca="1">IF(AND(Panchanga!$P416&lt;28.5,Panchanga!$P416&gt;0.49999),MOD((Panchanga!$P416-0.5)*2,7),MOD((Panchanga!$P416+30-28.5),30)*2+7)</f>
        <v>5.2341999999999995</v>
      </c>
      <c r="P416" s="2">
        <f ca="1">ROUNDUP(MOD(360+Panchanga!$G416-Panchanga!$F416,360)/12,4)</f>
        <v>6.6170999999999998</v>
      </c>
      <c r="Q416" s="2">
        <f t="shared" ca="1" si="63"/>
        <v>23.790000000000003</v>
      </c>
      <c r="R416" s="2" t="str">
        <f ca="1">SIGN(S417-Panchanga!$S416)*INT(Panchanga!$S416/30+1)&amp;"Ma,"&amp;SIGN(T417-Panchanga!$T416)*INT(Panchanga!$T416/30+1)&amp;"Me,"&amp;SIGN(U417-Panchanga!$U416)*INT(Panchanga!$U416/30+1)&amp;"Ju,"&amp;SIGN(V417-Panchanga!$V416)*INT(Panchanga!$V416/30+1)&amp;"Ve,"&amp;SIGN(W417-Panchanga!$W416)*INT(Panchanga!$W416/30+1)&amp;"Sa,"&amp;INT(Panchanga!$X416/30+1)&amp;"Ra"</f>
        <v>1Ma,11Me,8Ju,9Ve,9Sa,4Ra</v>
      </c>
      <c r="S416" s="2">
        <f ca="1">Planet(Panchanga!$E416,4)</f>
        <v>4.2523415607261947</v>
      </c>
      <c r="T416" s="2">
        <f ca="1">Planet(Panchanga!$E416,2)</f>
        <v>308.76386396243169</v>
      </c>
      <c r="U416" s="2">
        <f ca="1">Planet(Panchanga!$E416,5)</f>
        <v>235.45349955298613</v>
      </c>
      <c r="V416" s="2">
        <f ca="1">Planet(Panchanga!$E416,3)</f>
        <v>255.19763406408228</v>
      </c>
      <c r="W416" s="2">
        <f ca="1">Planet(Panchanga!$E416,6)</f>
        <v>262.01063231666518</v>
      </c>
      <c r="X416" s="2">
        <f ca="1">Planet(Panchanga!$E416,10)</f>
        <v>91.221308414959964</v>
      </c>
      <c r="Y416" s="2">
        <f ca="1">SIGN(S417-Panchanga!$S416)</f>
        <v>1</v>
      </c>
    </row>
    <row r="417" spans="1:25" x14ac:dyDescent="0.2">
      <c r="A417" s="3">
        <f t="shared" ca="1" si="64"/>
        <v>43509</v>
      </c>
      <c r="B417" s="3">
        <f t="shared" ca="1" si="57"/>
        <v>43509.229166666664</v>
      </c>
      <c r="C417" s="5">
        <f t="shared" ca="1" si="58"/>
        <v>43509.273911999226</v>
      </c>
      <c r="D417" s="5">
        <f t="shared" ca="1" si="59"/>
        <v>43508.759080708071</v>
      </c>
      <c r="E417" s="60">
        <f ca="1">Panchanga!$C417-TimeZone/24</f>
        <v>43509.044745332561</v>
      </c>
      <c r="F417" s="61">
        <f t="shared" ca="1" si="60"/>
        <v>299.90591417950895</v>
      </c>
      <c r="G417" s="61">
        <f t="shared" ca="1" si="61"/>
        <v>31.236292823448661</v>
      </c>
      <c r="H417" s="62">
        <f t="shared" ca="1" si="62"/>
        <v>43509.044745332561</v>
      </c>
      <c r="I417" s="2" t="str">
        <f ca="1">naks(Panchanga!$G417)</f>
        <v>Krittika</v>
      </c>
      <c r="J417" s="5">
        <f ca="1">(C418-Panchanga!$C417)/(G418-Panchanga!$G417)*(13.3333333333333-MOD(Panchanga!$G417,13.333333333333))+Panchanga!$C417</f>
        <v>43509.932161626202</v>
      </c>
      <c r="K417" s="2" t="str">
        <f ca="1">IF(Panchanga!$P417&gt;15,"K","S")&amp;ROUNDUP(MOD(Panchanga!$P417,15),0)&amp;" ("&amp;ROUND(Panchanga!$P417,2)&amp;")"</f>
        <v>S8 (7.61)</v>
      </c>
      <c r="L417" s="2">
        <f ca="1">IF(AND(Panchanga!$P417&lt;28.5,Panchanga!$P417&gt;0.49999),MOD((Panchanga!$P417-0.5)*2,7),MOD((Panchanga!$P417+30-28.5),30)*2+7)</f>
        <v>0.2218</v>
      </c>
      <c r="M417" s="2" t="str">
        <f ca="1">CHOOSE(ROUNDUP(Panchanga!$L417,0),"Bhava","Baalava","Kaulava","Taitula","Garija","Vanija","Vishti","Shakuni","Chatushapda","Naaga","Kimstugna")</f>
        <v>Bhava</v>
      </c>
      <c r="N417" s="25" t="str">
        <f ca="1">CHOOSE(ROUNDUP(Panchanga!$Q417,0),"Vishkambha-विष्कम्भ-Sa","Priti-प्रीति-Me","Ayushman-आयुष्मान-Ke","Saubhagya-सौभाग्य-Ve","Shobhana-शोभन-Su","Atiganda-अतिगण्ड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("&amp;Panchanga!$Q417&amp;")"</f>
        <v>Brahma-ब्रह्म-Ma (24.84)</v>
      </c>
      <c r="O417" s="2">
        <f ca="1">IF(AND(Panchanga!$P417&lt;28.5,Panchanga!$P417&gt;0.49999),MOD((Panchanga!$P417-0.5)*2,7),MOD((Panchanga!$P417+30-28.5),30)*2+7)</f>
        <v>0.2218</v>
      </c>
      <c r="P417" s="2">
        <f ca="1">ROUNDUP(MOD(360+Panchanga!$G417-Panchanga!$F417,360)/12,4)</f>
        <v>7.6109</v>
      </c>
      <c r="Q417" s="2">
        <f t="shared" ca="1" si="63"/>
        <v>24.84</v>
      </c>
      <c r="R417" s="2" t="str">
        <f ca="1">SIGN(S418-Panchanga!$S417)*INT(Panchanga!$S417/30+1)&amp;"Ma,"&amp;SIGN(T418-Panchanga!$T417)*INT(Panchanga!$T417/30+1)&amp;"Me,"&amp;SIGN(U418-Panchanga!$U417)*INT(Panchanga!$U417/30+1)&amp;"Ju,"&amp;SIGN(V418-Panchanga!$V417)*INT(Panchanga!$V417/30+1)&amp;"Ve,"&amp;SIGN(W418-Panchanga!$W417)*INT(Panchanga!$W417/30+1)&amp;"Sa,"&amp;INT(Panchanga!$X417/30+1)&amp;"Ra"</f>
        <v>1Ma,11Me,8Ju,9Ve,9Sa,4Ra</v>
      </c>
      <c r="S417" s="2">
        <f ca="1">Planet(Panchanga!$E417,4)</f>
        <v>4.9284596578944937</v>
      </c>
      <c r="T417" s="2">
        <f ca="1">Planet(Panchanga!$E417,2)</f>
        <v>310.569038146482</v>
      </c>
      <c r="U417" s="2">
        <f ca="1">Planet(Panchanga!$E417,5)</f>
        <v>235.60566967123995</v>
      </c>
      <c r="V417" s="2">
        <f ca="1">Planet(Panchanga!$E417,3)</f>
        <v>256.35560287052266</v>
      </c>
      <c r="W417" s="2">
        <f ca="1">Planet(Panchanga!$E417,6)</f>
        <v>262.11248834190405</v>
      </c>
      <c r="X417" s="2">
        <f ca="1">Planet(Panchanga!$E417,10)</f>
        <v>91.168329102937605</v>
      </c>
      <c r="Y417" s="2">
        <f ca="1">SIGN(S418-Panchanga!$S417)</f>
        <v>1</v>
      </c>
    </row>
    <row r="418" spans="1:25" x14ac:dyDescent="0.2">
      <c r="A418" s="3">
        <f t="shared" ca="1" si="64"/>
        <v>43510</v>
      </c>
      <c r="B418" s="3">
        <f t="shared" ca="1" si="57"/>
        <v>43510.229166666664</v>
      </c>
      <c r="C418" s="5">
        <f t="shared" ca="1" si="58"/>
        <v>43510.273661977764</v>
      </c>
      <c r="D418" s="5">
        <f t="shared" ca="1" si="59"/>
        <v>43509.759301483675</v>
      </c>
      <c r="E418" s="60">
        <f ca="1">Panchanga!$C418-TimeZone/24</f>
        <v>43510.0444953111</v>
      </c>
      <c r="F418" s="61">
        <f t="shared" ca="1" si="60"/>
        <v>300.91654991257451</v>
      </c>
      <c r="G418" s="61">
        <f t="shared" ca="1" si="61"/>
        <v>44.54661720886903</v>
      </c>
      <c r="H418" s="62">
        <f t="shared" ca="1" si="62"/>
        <v>43510.0444953111</v>
      </c>
      <c r="I418" s="2" t="str">
        <f ca="1">naks(Panchanga!$G418)</f>
        <v>Rohini</v>
      </c>
      <c r="J418" s="5">
        <f ca="1">(C419-Panchanga!$C418)/(G419-Panchanga!$G418)*(13.3333333333333-MOD(Panchanga!$G418,13.333333333333))+Panchanga!$C418</f>
        <v>43510.913618338716</v>
      </c>
      <c r="K418" s="2" t="str">
        <f ca="1">IF(Panchanga!$P418&gt;15,"K","S")&amp;ROUNDUP(MOD(Panchanga!$P418,15),0)&amp;" ("&amp;ROUND(Panchanga!$P418,2)&amp;")"</f>
        <v>S9 (8.64)</v>
      </c>
      <c r="L418" s="2">
        <f ca="1">IF(AND(Panchanga!$P418&lt;28.5,Panchanga!$P418&gt;0.49999),MOD((Panchanga!$P418-0.5)*2,7),MOD((Panchanga!$P418+30-28.5),30)*2+7)</f>
        <v>2.2717999999999989</v>
      </c>
      <c r="M418" s="2" t="str">
        <f ca="1">CHOOSE(ROUNDUP(Panchanga!$L418,0),"Bhava","Baalava","Kaulava","Taitula","Garija","Vanija","Vishti","Shakuni","Chatushapda","Naaga","Kimstugna")</f>
        <v>Kaulava</v>
      </c>
      <c r="N418" s="25" t="str">
        <f ca="1">CHOOSE(ROUNDUP(Panchanga!$Q418,0),"Vishkambha-विष्कम्भ-Sa","Priti-प्रीति-Me","Ayushman-आयुष्मान-Ke","Saubhagya-सौभाग्य-Ve","Shobhana-शोभन-Su","Atiganda-अतिगण्ड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("&amp;Panchanga!$Q418&amp;")"</f>
        <v>Mahendra-महेन्द्र-Ra (25.91)</v>
      </c>
      <c r="O418" s="2">
        <f ca="1">IF(AND(Panchanga!$P418&lt;28.5,Panchanga!$P418&gt;0.49999),MOD((Panchanga!$P418-0.5)*2,7),MOD((Panchanga!$P418+30-28.5),30)*2+7)</f>
        <v>2.2717999999999989</v>
      </c>
      <c r="P418" s="2">
        <f ca="1">ROUNDUP(MOD(360+Panchanga!$G418-Panchanga!$F418,360)/12,4)</f>
        <v>8.6358999999999995</v>
      </c>
      <c r="Q418" s="2">
        <f t="shared" ca="1" si="63"/>
        <v>25.91</v>
      </c>
      <c r="R418" s="2" t="str">
        <f ca="1">SIGN(S419-Panchanga!$S418)*INT(Panchanga!$S418/30+1)&amp;"Ma,"&amp;SIGN(T419-Panchanga!$T418)*INT(Panchanga!$T418/30+1)&amp;"Me,"&amp;SIGN(U419-Panchanga!$U418)*INT(Panchanga!$U418/30+1)&amp;"Ju,"&amp;SIGN(V419-Panchanga!$V418)*INT(Panchanga!$V418/30+1)&amp;"Ve,"&amp;SIGN(W419-Panchanga!$W418)*INT(Panchanga!$W418/30+1)&amp;"Sa,"&amp;INT(Panchanga!$X418/30+1)&amp;"Ra"</f>
        <v>1Ma,11Me,8Ju,9Ve,9Sa,4Ra</v>
      </c>
      <c r="S418" s="2">
        <f ca="1">Planet(Panchanga!$E418,4)</f>
        <v>5.6043687049320017</v>
      </c>
      <c r="T418" s="2">
        <f ca="1">Planet(Panchanga!$E418,2)</f>
        <v>312.3665783828726</v>
      </c>
      <c r="U418" s="2">
        <f ca="1">Planet(Panchanga!$E418,5)</f>
        <v>235.75587610959585</v>
      </c>
      <c r="V418" s="2">
        <f ca="1">Planet(Panchanga!$E418,3)</f>
        <v>257.51535474371985</v>
      </c>
      <c r="W418" s="2">
        <f ca="1">Planet(Panchanga!$E418,6)</f>
        <v>262.21354605401376</v>
      </c>
      <c r="X418" s="2">
        <f ca="1">Planet(Panchanga!$E418,10)</f>
        <v>91.115350355234682</v>
      </c>
      <c r="Y418" s="2">
        <f ca="1">SIGN(S419-Panchanga!$S418)</f>
        <v>1</v>
      </c>
    </row>
    <row r="419" spans="1:25" x14ac:dyDescent="0.2">
      <c r="A419" s="3">
        <f t="shared" ca="1" si="64"/>
        <v>43511</v>
      </c>
      <c r="B419" s="3">
        <f t="shared" ca="1" si="57"/>
        <v>43511.229166666664</v>
      </c>
      <c r="C419" s="5">
        <f t="shared" ca="1" si="58"/>
        <v>43511.273401147839</v>
      </c>
      <c r="D419" s="5">
        <f t="shared" ca="1" si="59"/>
        <v>43510.759515424768</v>
      </c>
      <c r="E419" s="60">
        <f ca="1">Panchanga!$C419-TimeZone/24</f>
        <v>43511.044234481174</v>
      </c>
      <c r="F419" s="61">
        <f t="shared" ca="1" si="60"/>
        <v>301.92669976798783</v>
      </c>
      <c r="G419" s="61">
        <f t="shared" ca="1" si="61"/>
        <v>58.273216117643294</v>
      </c>
      <c r="H419" s="62">
        <f t="shared" ca="1" si="62"/>
        <v>43511.044234481174</v>
      </c>
      <c r="I419" s="2" t="str">
        <f ca="1">naks(Panchanga!$G419)</f>
        <v>Mrigashira</v>
      </c>
      <c r="J419" s="5">
        <f ca="1">(C420-Panchanga!$C419)/(G420-Panchanga!$G419)*(13.3333333333333-MOD(Panchanga!$G419,13.333333333333))+Panchanga!$C419</f>
        <v>43511.865910221721</v>
      </c>
      <c r="K419" s="2" t="str">
        <f ca="1">IF(Panchanga!$P419&gt;15,"K","S")&amp;ROUNDUP(MOD(Panchanga!$P419,15),0)&amp;" ("&amp;ROUND(Panchanga!$P419,2)&amp;")"</f>
        <v>S10 (9.7)</v>
      </c>
      <c r="L419" s="2">
        <f ca="1">IF(AND(Panchanga!$P419&lt;28.5,Panchanga!$P419&gt;0.49999),MOD((Panchanga!$P419-0.5)*2,7),MOD((Panchanga!$P419+30-28.5),30)*2+7)</f>
        <v>4.3911999999999978</v>
      </c>
      <c r="M419" s="2" t="str">
        <f ca="1">CHOOSE(ROUNDUP(Panchanga!$L419,0),"Bhava","Baalava","Kaulava","Taitula","Garija","Vanija","Vishti","Shakuni","Chatushapda","Naaga","Kimstugna")</f>
        <v>Garija</v>
      </c>
      <c r="N419" s="25" t="str">
        <f ca="1">CHOOSE(ROUNDUP(Panchanga!$Q419,0),"Vishkambha-विष्कम्भ-Sa","Priti-प्रीति-Me","Ayushman-आयुष्मान-Ke","Saubhagya-सौभाग्य-Ve","Shobhana-शोभन-Su","Atiganda-अतिगण्ड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("&amp;Panchanga!$Q419&amp;")"</f>
        <v>Vishkambha-विष्कम्भ-Sa (0.02)</v>
      </c>
      <c r="O419" s="2">
        <f ca="1">IF(AND(Panchanga!$P419&lt;28.5,Panchanga!$P419&gt;0.49999),MOD((Panchanga!$P419-0.5)*2,7),MOD((Panchanga!$P419+30-28.5),30)*2+7)</f>
        <v>4.3911999999999978</v>
      </c>
      <c r="P419" s="2">
        <f ca="1">ROUNDUP(MOD(360+Panchanga!$G419-Panchanga!$F419,360)/12,4)</f>
        <v>9.6955999999999989</v>
      </c>
      <c r="Q419" s="2">
        <f t="shared" ca="1" si="63"/>
        <v>0.02</v>
      </c>
      <c r="R419" s="2" t="str">
        <f ca="1">SIGN(S420-Panchanga!$S419)*INT(Panchanga!$S419/30+1)&amp;"Ma,"&amp;SIGN(T420-Panchanga!$T419)*INT(Panchanga!$T419/30+1)&amp;"Me,"&amp;SIGN(U420-Panchanga!$U419)*INT(Panchanga!$U419/30+1)&amp;"Ju,"&amp;SIGN(V420-Panchanga!$V419)*INT(Panchanga!$V419/30+1)&amp;"Ve,"&amp;SIGN(W420-Panchanga!$W419)*INT(Panchanga!$W419/30+1)&amp;"Sa,"&amp;INT(Panchanga!$X419/30+1)&amp;"Ra"</f>
        <v>1Ma,11Me,8Ju,9Ve,9Sa,4Ra</v>
      </c>
      <c r="S419" s="2">
        <f ca="1">Planet(Panchanga!$E419,4)</f>
        <v>6.2800501839007419</v>
      </c>
      <c r="T419" s="2">
        <f ca="1">Planet(Panchanga!$E419,2)</f>
        <v>314.15218480941053</v>
      </c>
      <c r="U419" s="2">
        <f ca="1">Planet(Panchanga!$E419,5)</f>
        <v>235.90409382968934</v>
      </c>
      <c r="V419" s="2">
        <f ca="1">Planet(Panchanga!$E419,3)</f>
        <v>258.67684389468189</v>
      </c>
      <c r="W419" s="2">
        <f ca="1">Planet(Panchanga!$E419,6)</f>
        <v>262.31378858546873</v>
      </c>
      <c r="X419" s="2">
        <f ca="1">Planet(Panchanga!$E419,10)</f>
        <v>91.062372180284626</v>
      </c>
      <c r="Y419" s="2">
        <f ca="1">SIGN(S420-Panchanga!$S419)</f>
        <v>1</v>
      </c>
    </row>
    <row r="420" spans="1:25" x14ac:dyDescent="0.2">
      <c r="A420" s="3">
        <f t="shared" ca="1" si="64"/>
        <v>43512</v>
      </c>
      <c r="B420" s="3">
        <f t="shared" ca="1" si="57"/>
        <v>43512.229166666664</v>
      </c>
      <c r="C420" s="5">
        <f t="shared" ca="1" si="58"/>
        <v>43512.273129986286</v>
      </c>
      <c r="D420" s="5">
        <f t="shared" ca="1" si="59"/>
        <v>43511.759722372095</v>
      </c>
      <c r="E420" s="60">
        <f ca="1">Panchanga!$C420-TimeZone/24</f>
        <v>43512.043963319622</v>
      </c>
      <c r="F420" s="61">
        <f t="shared" ca="1" si="60"/>
        <v>302.93636044775326</v>
      </c>
      <c r="G420" s="61">
        <f t="shared" ca="1" si="61"/>
        <v>72.435319176991783</v>
      </c>
      <c r="H420" s="62">
        <f t="shared" ca="1" si="62"/>
        <v>43512.043963319622</v>
      </c>
      <c r="I420" s="2" t="str">
        <f ca="1">naks(Panchanga!$G420)</f>
        <v>Ardra</v>
      </c>
      <c r="J420" s="5">
        <f ca="1">(C421-Panchanga!$C420)/(G421-Panchanga!$G420)*(13.3333333333333-MOD(Panchanga!$G420,13.333333333333))+Panchanga!$C420</f>
        <v>43512.791789418363</v>
      </c>
      <c r="K420" s="2" t="str">
        <f ca="1">IF(Panchanga!$P420&gt;15,"K","S")&amp;ROUNDUP(MOD(Panchanga!$P420,15),0)&amp;" ("&amp;ROUND(Panchanga!$P420,2)&amp;")"</f>
        <v>S11 (10.79)</v>
      </c>
      <c r="L420" s="2">
        <f ca="1">IF(AND(Panchanga!$P420&lt;28.5,Panchanga!$P420&gt;0.49999),MOD((Panchanga!$P420-0.5)*2,7),MOD((Panchanga!$P420+30-28.5),30)*2+7)</f>
        <v>6.5831999999999979</v>
      </c>
      <c r="M420" s="2" t="str">
        <f ca="1">CHOOSE(ROUNDUP(Panchanga!$L420,0),"Bhava","Baalava","Kaulava","Taitula","Garija","Vanija","Vishti","Shakuni","Chatushapda","Naaga","Kimstugna")</f>
        <v>Vishti</v>
      </c>
      <c r="N420" s="25" t="str">
        <f ca="1">CHOOSE(ROUNDUP(Panchanga!$Q420,0),"Vishkambha-विष्कम्भ-Sa","Priti-प्रीति-Me","Ayushman-आयुष्मान-Ke","Saubhagya-सौभाग्य-Ve","Shobhana-शोभन-Su","Atiganda-अतिगण्ड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("&amp;Panchanga!$Q420&amp;")"</f>
        <v>Priti-प्रीति-Me (1.16)</v>
      </c>
      <c r="O420" s="2">
        <f ca="1">IF(AND(Panchanga!$P420&lt;28.5,Panchanga!$P420&gt;0.49999),MOD((Panchanga!$P420-0.5)*2,7),MOD((Panchanga!$P420+30-28.5),30)*2+7)</f>
        <v>6.5831999999999979</v>
      </c>
      <c r="P420" s="2">
        <f ca="1">ROUNDUP(MOD(360+Panchanga!$G420-Panchanga!$F420,360)/12,4)</f>
        <v>10.791599999999999</v>
      </c>
      <c r="Q420" s="2">
        <f t="shared" ca="1" si="63"/>
        <v>1.1599999999999999</v>
      </c>
      <c r="R420" s="2" t="str">
        <f ca="1">SIGN(S421-Panchanga!$S420)*INT(Panchanga!$S420/30+1)&amp;"Ma,"&amp;SIGN(T421-Panchanga!$T420)*INT(Panchanga!$T420/30+1)&amp;"Me,"&amp;SIGN(U421-Panchanga!$U420)*INT(Panchanga!$U420/30+1)&amp;"Ju,"&amp;SIGN(V421-Panchanga!$V420)*INT(Panchanga!$V420/30+1)&amp;"Ve,"&amp;SIGN(W421-Panchanga!$W420)*INT(Panchanga!$W420/30+1)&amp;"Sa,"&amp;INT(Panchanga!$X420/30+1)&amp;"Ra"</f>
        <v>1Ma,11Me,8Ju,9Ve,9Sa,4Ra</v>
      </c>
      <c r="S420" s="2">
        <f ca="1">Planet(Panchanga!$E420,4)</f>
        <v>6.9554870183903219</v>
      </c>
      <c r="T420" s="2">
        <f ca="1">Planet(Panchanga!$E420,2)</f>
        <v>315.92086613558075</v>
      </c>
      <c r="U420" s="2">
        <f ca="1">Planet(Panchanga!$E420,5)</f>
        <v>236.05029848240139</v>
      </c>
      <c r="V420" s="2">
        <f ca="1">Planet(Panchanga!$E420,3)</f>
        <v>259.8400305521223</v>
      </c>
      <c r="W420" s="2">
        <f ca="1">Planet(Panchanga!$E420,6)</f>
        <v>262.41319965783515</v>
      </c>
      <c r="X420" s="2">
        <f ca="1">Planet(Panchanga!$E420,10)</f>
        <v>91.009394552869665</v>
      </c>
      <c r="Y420" s="2">
        <f ca="1">SIGN(S421-Panchanga!$S420)</f>
        <v>1</v>
      </c>
    </row>
    <row r="421" spans="1:25" x14ac:dyDescent="0.2">
      <c r="A421" s="3">
        <f t="shared" ca="1" si="64"/>
        <v>43513</v>
      </c>
      <c r="B421" s="3">
        <f t="shared" ca="1" si="57"/>
        <v>43513.229166666664</v>
      </c>
      <c r="C421" s="5">
        <f t="shared" ca="1" si="58"/>
        <v>43513.272848493572</v>
      </c>
      <c r="D421" s="5">
        <f t="shared" ca="1" si="59"/>
        <v>43512.759922484911</v>
      </c>
      <c r="E421" s="60">
        <f ca="1">Panchanga!$C421-TimeZone/24</f>
        <v>43513.043681826908</v>
      </c>
      <c r="F421" s="61">
        <f t="shared" ca="1" si="60"/>
        <v>303.94553335357818</v>
      </c>
      <c r="G421" s="61">
        <f t="shared" ca="1" si="61"/>
        <v>87.016277225286728</v>
      </c>
      <c r="H421" s="62">
        <f t="shared" ca="1" si="62"/>
        <v>43513.043681826908</v>
      </c>
      <c r="I421" s="2" t="str">
        <f ca="1">naks(Panchanga!$G421)</f>
        <v>Punarvasu</v>
      </c>
      <c r="J421" s="5">
        <f ca="1">(C422-Panchanga!$C421)/(G422-Panchanga!$G421)*(13.3333333333333-MOD(Panchanga!$G421,13.333333333333))+Panchanga!$C421</f>
        <v>43513.695642200561</v>
      </c>
      <c r="K421" s="2" t="str">
        <f ca="1">IF(Panchanga!$P421&gt;15,"K","S")&amp;ROUNDUP(MOD(Panchanga!$P421,15),0)&amp;" ("&amp;ROUND(Panchanga!$P421,2)&amp;")"</f>
        <v>S12 (11.92)</v>
      </c>
      <c r="L421" s="2">
        <f ca="1">IF(AND(Panchanga!$P421&lt;28.5,Panchanga!$P421&gt;0.49999),MOD((Panchanga!$P421-0.5)*2,7),MOD((Panchanga!$P421+30-28.5),30)*2+7)</f>
        <v>1.8451999999999984</v>
      </c>
      <c r="M421" s="2" t="str">
        <f ca="1">CHOOSE(ROUNDUP(Panchanga!$L421,0),"Bhava","Baalava","Kaulava","Taitula","Garija","Vanija","Vishti","Shakuni","Chatushapda","Naaga","Kimstugna")</f>
        <v>Baalava</v>
      </c>
      <c r="N421" s="25" t="str">
        <f ca="1">CHOOSE(ROUNDUP(Panchanga!$Q421,0),"Vishkambha-विष्कम्भ-Sa","Priti-प्रीति-Me","Ayushman-आयुष्मान-Ke","Saubhagya-सौभाग्य-Ve","Shobhana-शोभन-Su","Atiganda-अतिगण्ड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("&amp;Panchanga!$Q421&amp;")"</f>
        <v>Ayushman-आयुष्मान-Ke (2.33)</v>
      </c>
      <c r="O421" s="2">
        <f ca="1">IF(AND(Panchanga!$P421&lt;28.5,Panchanga!$P421&gt;0.49999),MOD((Panchanga!$P421-0.5)*2,7),MOD((Panchanga!$P421+30-28.5),30)*2+7)</f>
        <v>1.8451999999999984</v>
      </c>
      <c r="P421" s="2">
        <f ca="1">ROUNDUP(MOD(360+Panchanga!$G421-Panchanga!$F421,360)/12,4)</f>
        <v>11.922599999999999</v>
      </c>
      <c r="Q421" s="2">
        <f t="shared" ca="1" si="63"/>
        <v>2.3299999999999996</v>
      </c>
      <c r="R421" s="2" t="str">
        <f ca="1">SIGN(S422-Panchanga!$S421)*INT(Panchanga!$S421/30+1)&amp;"Ma,"&amp;SIGN(T422-Panchanga!$T421)*INT(Panchanga!$T421/30+1)&amp;"Me,"&amp;SIGN(U422-Panchanga!$U421)*INT(Panchanga!$U421/30+1)&amp;"Ju,"&amp;SIGN(V422-Panchanga!$V421)*INT(Panchanga!$V421/30+1)&amp;"Ve,"&amp;SIGN(W422-Panchanga!$W421)*INT(Panchanga!$W421/30+1)&amp;"Sa,"&amp;INT(Panchanga!$X421/30+1)&amp;"Ra"</f>
        <v>1Ma,11Me,8Ju,9Ve,9Sa,4Ra</v>
      </c>
      <c r="S421" s="2">
        <f ca="1">Planet(Panchanga!$E421,4)</f>
        <v>7.6306637415208272</v>
      </c>
      <c r="T421" s="2">
        <f ca="1">Planet(Panchanga!$E421,2)</f>
        <v>317.66688705591548</v>
      </c>
      <c r="U421" s="2">
        <f ca="1">Planet(Panchanga!$E421,5)</f>
        <v>236.19446607714136</v>
      </c>
      <c r="V421" s="2">
        <f ca="1">Planet(Panchanga!$E421,3)</f>
        <v>261.00487933672508</v>
      </c>
      <c r="W421" s="2">
        <f ca="1">Planet(Panchanga!$E421,6)</f>
        <v>262.51176345310853</v>
      </c>
      <c r="X421" s="2">
        <f ca="1">Planet(Panchanga!$E421,10)</f>
        <v>90.956417472890536</v>
      </c>
      <c r="Y421" s="2">
        <f ca="1">SIGN(S422-Panchanga!$S421)</f>
        <v>1</v>
      </c>
    </row>
    <row r="422" spans="1:25" x14ac:dyDescent="0.2">
      <c r="A422" s="3">
        <f t="shared" ca="1" si="64"/>
        <v>43514</v>
      </c>
      <c r="B422" s="3">
        <f t="shared" ca="1" si="57"/>
        <v>43514.229166666664</v>
      </c>
      <c r="C422" s="5">
        <f t="shared" ca="1" si="58"/>
        <v>43514.272557146069</v>
      </c>
      <c r="D422" s="5">
        <f t="shared" ca="1" si="59"/>
        <v>43513.760115921541</v>
      </c>
      <c r="E422" s="60">
        <f ca="1">Panchanga!$C422-TimeZone/24</f>
        <v>43514.043390479404</v>
      </c>
      <c r="F422" s="61">
        <f t="shared" ca="1" si="60"/>
        <v>304.95422597079704</v>
      </c>
      <c r="G422" s="61">
        <f t="shared" ca="1" si="61"/>
        <v>101.95314961758842</v>
      </c>
      <c r="H422" s="62">
        <f t="shared" ca="1" si="62"/>
        <v>43514.043390479404</v>
      </c>
      <c r="I422" s="2" t="str">
        <f ca="1">naks(Panchanga!$G422)</f>
        <v>Pushya</v>
      </c>
      <c r="J422" s="5">
        <f ca="1">(C423-Panchanga!$C422)/(G423-Panchanga!$G422)*(13.3333333333333-MOD(Panchanga!$G422,13.333333333333))+Panchanga!$C422</f>
        <v>43514.58297063705</v>
      </c>
      <c r="K422" s="2" t="str">
        <f ca="1">IF(Panchanga!$P422&gt;15,"K","S")&amp;ROUNDUP(MOD(Panchanga!$P422,15),0)&amp;" ("&amp;ROUND(Panchanga!$P422,2)&amp;")"</f>
        <v>S14 (13.08)</v>
      </c>
      <c r="L422" s="2">
        <f ca="1">IF(AND(Panchanga!$P422&lt;28.5,Panchanga!$P422&gt;0.49999),MOD((Panchanga!$P422-0.5)*2,7),MOD((Panchanga!$P422+30-28.5),30)*2+7)</f>
        <v>4.166599999999999</v>
      </c>
      <c r="M422" s="2" t="str">
        <f ca="1">CHOOSE(ROUNDUP(Panchanga!$L422,0),"Bhava","Baalava","Kaulava","Taitula","Garija","Vanija","Vishti","Shakuni","Chatushapda","Naaga","Kimstugna")</f>
        <v>Garija</v>
      </c>
      <c r="N422" s="25" t="str">
        <f ca="1">CHOOSE(ROUNDUP(Panchanga!$Q422,0),"Vishkambha-विष्कम्भ-Sa","Priti-प्रीति-Me","Ayushman-आयुष्मान-Ke","Saubhagya-सौभाग्य-Ve","Shobhana-शोभन-Su","Atiganda-अतिगण्ड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("&amp;Panchanga!$Q422&amp;")"</f>
        <v>Saubhagya-सौभाग्य-Ve (3.52)</v>
      </c>
      <c r="O422" s="2">
        <f ca="1">IF(AND(Panchanga!$P422&lt;28.5,Panchanga!$P422&gt;0.49999),MOD((Panchanga!$P422-0.5)*2,7),MOD((Panchanga!$P422+30-28.5),30)*2+7)</f>
        <v>4.166599999999999</v>
      </c>
      <c r="P422" s="2">
        <f ca="1">ROUNDUP(MOD(360+Panchanga!$G422-Panchanga!$F422,360)/12,4)</f>
        <v>13.083299999999999</v>
      </c>
      <c r="Q422" s="2">
        <f t="shared" ca="1" si="63"/>
        <v>3.5199999999999996</v>
      </c>
      <c r="R422" s="2" t="str">
        <f ca="1">SIGN(S423-Panchanga!$S422)*INT(Panchanga!$S422/30+1)&amp;"Ma,"&amp;SIGN(T423-Panchanga!$T422)*INT(Panchanga!$T422/30+1)&amp;"Me,"&amp;SIGN(U423-Panchanga!$U422)*INT(Panchanga!$U422/30+1)&amp;"Ju,"&amp;SIGN(V423-Panchanga!$V422)*INT(Panchanga!$V422/30+1)&amp;"Ve,"&amp;SIGN(W423-Panchanga!$W422)*INT(Panchanga!$W422/30+1)&amp;"Sa,"&amp;INT(Panchanga!$X422/30+1)&amp;"Ra"</f>
        <v>1Ma,11Me,8Ju,9Ve,9Sa,4Ra</v>
      </c>
      <c r="S422" s="2">
        <f ca="1">Planet(Panchanga!$E422,4)</f>
        <v>8.3055682485337154</v>
      </c>
      <c r="T422" s="2">
        <f ca="1">Planet(Panchanga!$E422,2)</f>
        <v>319.3837329085236</v>
      </c>
      <c r="U422" s="2">
        <f ca="1">Planet(Panchanga!$E422,5)</f>
        <v>236.33657279624271</v>
      </c>
      <c r="V422" s="2">
        <f ca="1">Planet(Panchanga!$E422,3)</f>
        <v>262.17135930535932</v>
      </c>
      <c r="W422" s="2">
        <f ca="1">Planet(Panchanga!$E422,6)</f>
        <v>262.60946460547848</v>
      </c>
      <c r="X422" s="2">
        <f ca="1">Planet(Panchanga!$E422,10)</f>
        <v>90.903440915162506</v>
      </c>
      <c r="Y422" s="2">
        <f ca="1">SIGN(S423-Panchanga!$S422)</f>
        <v>1</v>
      </c>
    </row>
    <row r="423" spans="1:25" x14ac:dyDescent="0.2">
      <c r="A423" s="3">
        <f t="shared" ca="1" si="64"/>
        <v>43515</v>
      </c>
      <c r="B423" s="3">
        <f t="shared" ca="1" si="57"/>
        <v>43515.229166666664</v>
      </c>
      <c r="C423" s="5">
        <f t="shared" ca="1" si="58"/>
        <v>43515.272256102566</v>
      </c>
      <c r="D423" s="5">
        <f t="shared" ca="1" si="59"/>
        <v>43514.760302841707</v>
      </c>
      <c r="E423" s="60">
        <f ca="1">Panchanga!$C423-TimeZone/24</f>
        <v>43515.043089435901</v>
      </c>
      <c r="F423" s="61">
        <f t="shared" ca="1" si="60"/>
        <v>305.9624506030591</v>
      </c>
      <c r="G423" s="61">
        <f t="shared" ca="1" si="61"/>
        <v>117.13321817857135</v>
      </c>
      <c r="H423" s="62">
        <f t="shared" ca="1" si="62"/>
        <v>43515.043089435901</v>
      </c>
      <c r="I423" s="2" t="str">
        <f ca="1">naks(Panchanga!$G423)</f>
        <v>Aslesha</v>
      </c>
      <c r="J423" s="5">
        <f ca="1">(C424-Panchanga!$C423)/(G424-Panchanga!$G423)*(13.3333333333333-MOD(Panchanga!$G423,13.333333333333))+Panchanga!$C423</f>
        <v>43515.459949191303</v>
      </c>
      <c r="K423" s="2" t="str">
        <f ca="1">IF(Panchanga!$P423&gt;15,"K","S")&amp;ROUNDUP(MOD(Panchanga!$P423,15),0)&amp;" ("&amp;ROUND(Panchanga!$P423,2)&amp;")"</f>
        <v>S15 (14.26)</v>
      </c>
      <c r="L423" s="2">
        <f ca="1">IF(AND(Panchanga!$P423&lt;28.5,Panchanga!$P423&gt;0.49999),MOD((Panchanga!$P423-0.5)*2,7),MOD((Panchanga!$P423+30-28.5),30)*2+7)</f>
        <v>6.5286000000000008</v>
      </c>
      <c r="M423" s="2" t="str">
        <f ca="1">CHOOSE(ROUNDUP(Panchanga!$L423,0),"Bhava","Baalava","Kaulava","Taitula","Garija","Vanija","Vishti","Shakuni","Chatushapda","Naaga","Kimstugna")</f>
        <v>Vishti</v>
      </c>
      <c r="N423" s="25" t="str">
        <f ca="1">CHOOSE(ROUNDUP(Panchanga!$Q423,0),"Vishkambha-विष्कम्भ-Sa","Priti-प्रीति-Me","Ayushman-आयुष्मान-Ke","Saubhagya-सौभाग्य-Ve","Shobhana-शोभन-Su","Atiganda-अतिगण्ड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("&amp;Panchanga!$Q423&amp;")"</f>
        <v>Shobhana-शोभन-Su (4.74)</v>
      </c>
      <c r="O423" s="2">
        <f ca="1">IF(AND(Panchanga!$P423&lt;28.5,Panchanga!$P423&gt;0.49999),MOD((Panchanga!$P423-0.5)*2,7),MOD((Panchanga!$P423+30-28.5),30)*2+7)</f>
        <v>6.5286000000000008</v>
      </c>
      <c r="P423" s="2">
        <f ca="1">ROUNDUP(MOD(360+Panchanga!$G423-Panchanga!$F423,360)/12,4)</f>
        <v>14.2643</v>
      </c>
      <c r="Q423" s="2">
        <f t="shared" ca="1" si="63"/>
        <v>4.74</v>
      </c>
      <c r="R423" s="2" t="str">
        <f ca="1">SIGN(S424-Panchanga!$S423)*INT(Panchanga!$S423/30+1)&amp;"Ma,"&amp;SIGN(T424-Panchanga!$T423)*INT(Panchanga!$T423/30+1)&amp;"Me,"&amp;SIGN(U424-Panchanga!$U423)*INT(Panchanga!$U423/30+1)&amp;"Ju,"&amp;SIGN(V424-Panchanga!$V423)*INT(Panchanga!$V423/30+1)&amp;"Ve,"&amp;SIGN(W424-Panchanga!$W423)*INT(Panchanga!$W423/30+1)&amp;"Sa,"&amp;INT(Panchanga!$X423/30+1)&amp;"Ra"</f>
        <v>1Ma,11Me,8Ju,9Ve,9Sa,4Ra</v>
      </c>
      <c r="S423" s="2">
        <f ca="1">Planet(Panchanga!$E423,4)</f>
        <v>8.9801922657633604</v>
      </c>
      <c r="T423" s="2">
        <f ca="1">Planet(Panchanga!$E423,2)</f>
        <v>321.06409058365529</v>
      </c>
      <c r="U423" s="2">
        <f ca="1">Planet(Panchanga!$E423,5)</f>
        <v>236.47659442061567</v>
      </c>
      <c r="V423" s="2">
        <f ca="1">Planet(Panchanga!$E423,3)</f>
        <v>263.33944117604983</v>
      </c>
      <c r="W423" s="2">
        <f ca="1">Planet(Panchanga!$E423,6)</f>
        <v>262.70628792403625</v>
      </c>
      <c r="X423" s="2">
        <f ca="1">Planet(Panchanga!$E423,10)</f>
        <v>90.850464871235573</v>
      </c>
      <c r="Y423" s="2">
        <f ca="1">SIGN(S424-Panchanga!$S423)</f>
        <v>1</v>
      </c>
    </row>
    <row r="424" spans="1:25" x14ac:dyDescent="0.2">
      <c r="A424" s="3">
        <f t="shared" ca="1" si="64"/>
        <v>43516</v>
      </c>
      <c r="B424" s="3">
        <f t="shared" ca="1" si="57"/>
        <v>43516.229166666664</v>
      </c>
      <c r="C424" s="5">
        <f t="shared" ca="1" si="58"/>
        <v>43516.271945681576</v>
      </c>
      <c r="D424" s="5">
        <f t="shared" ca="1" si="59"/>
        <v>43515.760483245409</v>
      </c>
      <c r="E424" s="60">
        <f ca="1">Panchanga!$C424-TimeZone/24</f>
        <v>43516.042779014912</v>
      </c>
      <c r="F424" s="61">
        <f t="shared" ca="1" si="60"/>
        <v>306.97022332452866</v>
      </c>
      <c r="G424" s="61">
        <f t="shared" ca="1" si="61"/>
        <v>132.40225089286864</v>
      </c>
      <c r="H424" s="62">
        <f t="shared" ca="1" si="62"/>
        <v>43516.042779014912</v>
      </c>
      <c r="I424" s="2" t="str">
        <f ca="1">naks(Panchanga!$G424)</f>
        <v>Makha</v>
      </c>
      <c r="J424" s="5">
        <f ca="1">(C425-Panchanga!$C424)/(G425-Panchanga!$G424)*(13.3333333333333-MOD(Panchanga!$G424,13.333333333333))+Panchanga!$C424</f>
        <v>43516.333249383846</v>
      </c>
      <c r="K424" s="2" t="str">
        <f ca="1">IF(Panchanga!$P424&gt;15,"K","S")&amp;ROUNDUP(MOD(Panchanga!$P424,15),0)&amp;" ("&amp;ROUND(Panchanga!$P424,2)&amp;")"</f>
        <v>K1 (15.45)</v>
      </c>
      <c r="L424" s="2">
        <f ca="1">IF(AND(Panchanga!$P424&lt;28.5,Panchanga!$P424&gt;0.49999),MOD((Panchanga!$P424-0.5)*2,7),MOD((Panchanga!$P424+30-28.5),30)*2+7)</f>
        <v>1.9054000000000002</v>
      </c>
      <c r="M424" s="2" t="str">
        <f ca="1">CHOOSE(ROUNDUP(Panchanga!$L424,0),"Bhava","Baalava","Kaulava","Taitula","Garija","Vanija","Vishti","Shakuni","Chatushapda","Naaga","Kimstugna")</f>
        <v>Baalava</v>
      </c>
      <c r="N424" s="25" t="str">
        <f ca="1">CHOOSE(ROUNDUP(Panchanga!$Q424,0),"Vishkambha-विष्कम्भ-Sa","Priti-प्रीति-Me","Ayushman-आयुष्मान-Ke","Saubhagya-सौभाग्य-Ve","Shobhana-शोभन-Su","Atiganda-अतिगण्ड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("&amp;Panchanga!$Q424&amp;")"</f>
        <v>Atiganda-अतिगण्ड -Mo (5.96)</v>
      </c>
      <c r="O424" s="2">
        <f ca="1">IF(AND(Panchanga!$P424&lt;28.5,Panchanga!$P424&gt;0.49999),MOD((Panchanga!$P424-0.5)*2,7),MOD((Panchanga!$P424+30-28.5),30)*2+7)</f>
        <v>1.9054000000000002</v>
      </c>
      <c r="P424" s="2">
        <f ca="1">ROUNDUP(MOD(360+Panchanga!$G424-Panchanga!$F424,360)/12,4)</f>
        <v>15.4527</v>
      </c>
      <c r="Q424" s="2">
        <f t="shared" ca="1" si="63"/>
        <v>5.96</v>
      </c>
      <c r="R424" s="2" t="str">
        <f ca="1">SIGN(S425-Panchanga!$S424)*INT(Panchanga!$S424/30+1)&amp;"Ma,"&amp;SIGN(T425-Panchanga!$T424)*INT(Panchanga!$T424/30+1)&amp;"Me,"&amp;SIGN(U425-Panchanga!$U424)*INT(Panchanga!$U424/30+1)&amp;"Ju,"&amp;SIGN(V425-Panchanga!$V424)*INT(Panchanga!$V424/30+1)&amp;"Ve,"&amp;SIGN(W425-Panchanga!$W424)*INT(Panchanga!$W424/30+1)&amp;"Sa,"&amp;INT(Panchanga!$X424/30+1)&amp;"Ra"</f>
        <v>1Ma,11Me,8Ju,9Ve,9Sa,4Ra</v>
      </c>
      <c r="S424" s="2">
        <f ca="1">Planet(Panchanga!$E424,4)</f>
        <v>9.6545321976779199</v>
      </c>
      <c r="T424" s="2">
        <f ca="1">Planet(Panchanga!$E424,2)</f>
        <v>322.69985711945992</v>
      </c>
      <c r="U424" s="2">
        <f ca="1">Planet(Panchanga!$E424,5)</f>
        <v>236.61450590432466</v>
      </c>
      <c r="V424" s="2">
        <f ca="1">Planet(Panchanga!$E424,3)</f>
        <v>264.50909553563588</v>
      </c>
      <c r="W424" s="2">
        <f ca="1">Planet(Panchanga!$E424,6)</f>
        <v>262.80221817207553</v>
      </c>
      <c r="X424" s="2">
        <f ca="1">Planet(Panchanga!$E424,10)</f>
        <v>90.797489324226106</v>
      </c>
      <c r="Y424" s="2">
        <f ca="1">SIGN(S425-Panchanga!$S424)</f>
        <v>1</v>
      </c>
    </row>
    <row r="425" spans="1:25" x14ac:dyDescent="0.2">
      <c r="A425" s="3">
        <f t="shared" ca="1" si="64"/>
        <v>43517</v>
      </c>
      <c r="B425" s="3">
        <f t="shared" ca="1" si="57"/>
        <v>43517.229166666664</v>
      </c>
      <c r="C425" s="5">
        <f t="shared" ca="1" si="58"/>
        <v>43517.27162620068</v>
      </c>
      <c r="D425" s="5">
        <f t="shared" ca="1" si="59"/>
        <v>43516.760657449762</v>
      </c>
      <c r="E425" s="60">
        <f ca="1">Panchanga!$C425-TimeZone/24</f>
        <v>43517.042459534016</v>
      </c>
      <c r="F425" s="61">
        <f t="shared" ca="1" si="60"/>
        <v>307.97756148666167</v>
      </c>
      <c r="G425" s="61">
        <f t="shared" ca="1" si="61"/>
        <v>147.58542813895193</v>
      </c>
      <c r="H425" s="62">
        <f t="shared" ca="1" si="62"/>
        <v>43517.042459534016</v>
      </c>
      <c r="I425" s="2" t="str">
        <f ca="1">naks(Panchanga!$G425)</f>
        <v>Uttara Phalguni</v>
      </c>
      <c r="J425" s="5">
        <f ca="1">(C426-Panchanga!$C425)/(G426-Panchanga!$G425)*(13.3333333333333-MOD(Panchanga!$G425,13.333333333333))+Panchanga!$C425</f>
        <v>43518.102845730849</v>
      </c>
      <c r="K425" s="2" t="str">
        <f ca="1">IF(Panchanga!$P425&gt;15,"K","S")&amp;ROUNDUP(MOD(Panchanga!$P425,15),0)&amp;" ("&amp;ROUND(Panchanga!$P425,2)&amp;")"</f>
        <v>K2 (16.63)</v>
      </c>
      <c r="L425" s="2">
        <f ca="1">IF(AND(Panchanga!$P425&lt;28.5,Panchanga!$P425&gt;0.49999),MOD((Panchanga!$P425-0.5)*2,7),MOD((Panchanga!$P425+30-28.5),30)*2+7)</f>
        <v>4.2680000000000007</v>
      </c>
      <c r="M425" s="2" t="str">
        <f ca="1">CHOOSE(ROUNDUP(Panchanga!$L425,0),"Bhava","Baalava","Kaulava","Taitula","Garija","Vanija","Vishti","Shakuni","Chatushapda","Naaga","Kimstugna")</f>
        <v>Garija</v>
      </c>
      <c r="N425" s="25" t="str">
        <f ca="1">CHOOSE(ROUNDUP(Panchanga!$Q425,0),"Vishkambha-विष्कम्भ-Sa","Priti-प्रीति-Me","Ayushman-आयुष्मान-Ke","Saubhagya-सौभाग्य-Ve","Shobhana-शोभन-Su","Atiganda-अतिगण्ड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("&amp;Panchanga!$Q425&amp;")"</f>
        <v>Dhriti-धृति -Ra (7.17)</v>
      </c>
      <c r="O425" s="2">
        <f ca="1">IF(AND(Panchanga!$P425&lt;28.5,Panchanga!$P425&gt;0.49999),MOD((Panchanga!$P425-0.5)*2,7),MOD((Panchanga!$P425+30-28.5),30)*2+7)</f>
        <v>4.2680000000000007</v>
      </c>
      <c r="P425" s="2">
        <f ca="1">ROUNDUP(MOD(360+Panchanga!$G425-Panchanga!$F425,360)/12,4)</f>
        <v>16.634</v>
      </c>
      <c r="Q425" s="2">
        <f t="shared" ca="1" si="63"/>
        <v>7.17</v>
      </c>
      <c r="R425" s="2" t="str">
        <f ca="1">SIGN(S426-Panchanga!$S425)*INT(Panchanga!$S425/30+1)&amp;"Ma,"&amp;SIGN(T426-Panchanga!$T425)*INT(Panchanga!$T425/30+1)&amp;"Me,"&amp;SIGN(U426-Panchanga!$U425)*INT(Panchanga!$U425/30+1)&amp;"Ju,"&amp;SIGN(V426-Panchanga!$V425)*INT(Panchanga!$V425/30+1)&amp;"Ve,"&amp;SIGN(W426-Panchanga!$W425)*INT(Panchanga!$W425/30+1)&amp;"Sa,"&amp;INT(Panchanga!$X425/30+1)&amp;"Ra"</f>
        <v>1Ma,11Me,8Ju,9Ve,9Sa,4Ra</v>
      </c>
      <c r="S425" s="2">
        <f ca="1">Planet(Panchanga!$E425,4)</f>
        <v>10.328588812353777</v>
      </c>
      <c r="T425" s="2">
        <f ca="1">Planet(Panchanga!$E425,2)</f>
        <v>324.2821788035078</v>
      </c>
      <c r="U425" s="2">
        <f ca="1">Planet(Panchanga!$E425,5)</f>
        <v>236.75028095822478</v>
      </c>
      <c r="V425" s="2">
        <f ca="1">Planet(Panchanga!$E425,3)</f>
        <v>265.68029040607945</v>
      </c>
      <c r="W425" s="2">
        <f ca="1">Planet(Panchanga!$E425,6)</f>
        <v>262.89723977815402</v>
      </c>
      <c r="X425" s="2">
        <f ca="1">Planet(Panchanga!$E425,10)</f>
        <v>90.744514257349948</v>
      </c>
      <c r="Y425" s="2">
        <f ca="1">SIGN(S426-Panchanga!$S425)</f>
        <v>1</v>
      </c>
    </row>
    <row r="426" spans="1:25" x14ac:dyDescent="0.2">
      <c r="A426" s="3">
        <f t="shared" ca="1" si="64"/>
        <v>43518</v>
      </c>
      <c r="B426" s="3">
        <f t="shared" ca="1" si="57"/>
        <v>43518.229166666664</v>
      </c>
      <c r="C426" s="5">
        <f t="shared" ca="1" si="58"/>
        <v>43518.271297819134</v>
      </c>
      <c r="D426" s="5">
        <f t="shared" ca="1" si="59"/>
        <v>43517.760825455232</v>
      </c>
      <c r="E426" s="60">
        <f ca="1">Panchanga!$C426-TimeZone/24</f>
        <v>43518.04213115247</v>
      </c>
      <c r="F426" s="61">
        <f t="shared" ca="1" si="60"/>
        <v>308.98448104547737</v>
      </c>
      <c r="G426" s="61">
        <f t="shared" ca="1" si="61"/>
        <v>162.51589439279181</v>
      </c>
      <c r="H426" s="62">
        <f t="shared" ca="1" si="62"/>
        <v>43518.04213115247</v>
      </c>
      <c r="I426" s="2" t="str">
        <f ca="1">naks(Panchanga!$G426)</f>
        <v>Hasta</v>
      </c>
      <c r="J426" s="5">
        <f ca="1">(C427-Panchanga!$C426)/(G427-Panchanga!$G426)*(13.3333333333333-MOD(Panchanga!$G426,13.333333333333))+Panchanga!$C426</f>
        <v>43519.014730265138</v>
      </c>
      <c r="K426" s="2" t="str">
        <f ca="1">IF(Panchanga!$P426&gt;15,"K","S")&amp;ROUNDUP(MOD(Panchanga!$P426,15),0)&amp;" ("&amp;ROUND(Panchanga!$P426,2)&amp;")"</f>
        <v>K3 (17.79)</v>
      </c>
      <c r="L426" s="2">
        <f ca="1">IF(AND(Panchanga!$P426&lt;28.5,Panchanga!$P426&gt;0.49999),MOD((Panchanga!$P426-0.5)*2,7),MOD((Panchanga!$P426+30-28.5),30)*2+7)</f>
        <v>6.5885999999999996</v>
      </c>
      <c r="M426" s="2" t="str">
        <f ca="1">CHOOSE(ROUNDUP(Panchanga!$L426,0),"Bhava","Baalava","Kaulava","Taitula","Garija","Vanija","Vishti","Shakuni","Chatushapda","Naaga","Kimstugna")</f>
        <v>Vishti</v>
      </c>
      <c r="N426" s="25" t="str">
        <f ca="1">CHOOSE(ROUNDUP(Panchanga!$Q426,0),"Vishkambha-विष्कम्भ-Sa","Priti-प्रीति-Me","Ayushman-आयुष्मान-Ke","Saubhagya-सौभाग्य-Ve","Shobhana-शोभन-Su","Atiganda-अतिगण्ड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("&amp;Panchanga!$Q426&amp;")"</f>
        <v>Shula-शूल -Ju (8.37)</v>
      </c>
      <c r="O426" s="2">
        <f ca="1">IF(AND(Panchanga!$P426&lt;28.5,Panchanga!$P426&gt;0.49999),MOD((Panchanga!$P426-0.5)*2,7),MOD((Panchanga!$P426+30-28.5),30)*2+7)</f>
        <v>6.5885999999999996</v>
      </c>
      <c r="P426" s="2">
        <f ca="1">ROUNDUP(MOD(360+Panchanga!$G426-Panchanga!$F426,360)/12,4)</f>
        <v>17.7943</v>
      </c>
      <c r="Q426" s="2">
        <f t="shared" ca="1" si="63"/>
        <v>8.3699999999999992</v>
      </c>
      <c r="R426" s="2" t="str">
        <f ca="1">SIGN(S427-Panchanga!$S426)*INT(Panchanga!$S426/30+1)&amp;"Ma,"&amp;SIGN(T427-Panchanga!$T426)*INT(Panchanga!$T426/30+1)&amp;"Me,"&amp;SIGN(U427-Panchanga!$U426)*INT(Panchanga!$U426/30+1)&amp;"Ju,"&amp;SIGN(V427-Panchanga!$V426)*INT(Panchanga!$V426/30+1)&amp;"Ve,"&amp;SIGN(W427-Panchanga!$W426)*INT(Panchanga!$W426/30+1)&amp;"Sa,"&amp;INT(Panchanga!$X426/30+1)&amp;"Ra"</f>
        <v>1Ma,11Me,8Ju,9Ve,9Sa,4Ra</v>
      </c>
      <c r="S426" s="2">
        <f ca="1">Planet(Panchanga!$E426,4)</f>
        <v>11.002366223776257</v>
      </c>
      <c r="T426" s="2">
        <f ca="1">Planet(Panchanga!$E426,2)</f>
        <v>325.80152735884985</v>
      </c>
      <c r="U426" s="2">
        <f ca="1">Planet(Panchanga!$E426,5)</f>
        <v>236.88389185541962</v>
      </c>
      <c r="V426" s="2">
        <f ca="1">Planet(Panchanga!$E426,3)</f>
        <v>266.85298954097794</v>
      </c>
      <c r="W426" s="2">
        <f ca="1">Planet(Panchanga!$E426,6)</f>
        <v>262.99133662002617</v>
      </c>
      <c r="X426" s="2">
        <f ca="1">Planet(Panchanga!$E426,10)</f>
        <v>90.691539662123887</v>
      </c>
      <c r="Y426" s="2">
        <f ca="1">SIGN(S427-Panchanga!$S426)</f>
        <v>1</v>
      </c>
    </row>
    <row r="427" spans="1:25" x14ac:dyDescent="0.2">
      <c r="A427" s="3">
        <f t="shared" ca="1" si="64"/>
        <v>43519</v>
      </c>
      <c r="B427" s="3">
        <f t="shared" ca="1" si="57"/>
        <v>43519.229166666664</v>
      </c>
      <c r="C427" s="5">
        <f t="shared" ca="1" si="58"/>
        <v>43519.270961012844</v>
      </c>
      <c r="D427" s="5">
        <f t="shared" ca="1" si="59"/>
        <v>43518.760987579866</v>
      </c>
      <c r="E427" s="60">
        <f ca="1">Panchanga!$C427-TimeZone/24</f>
        <v>43519.04179434618</v>
      </c>
      <c r="F427" s="61">
        <f t="shared" ca="1" si="60"/>
        <v>309.99099498887728</v>
      </c>
      <c r="G427" s="61">
        <f t="shared" ca="1" si="61"/>
        <v>177.0616619567343</v>
      </c>
      <c r="H427" s="62">
        <f t="shared" ca="1" si="62"/>
        <v>43519.04179434618</v>
      </c>
      <c r="I427" s="2" t="str">
        <f ca="1">naks(Panchanga!$G427)</f>
        <v>Chitra</v>
      </c>
      <c r="J427" s="5">
        <f ca="1">(C428-Panchanga!$C427)/(G428-Panchanga!$G427)*(13.3333333333333-MOD(Panchanga!$G427,13.333333333333))+Panchanga!$C427</f>
        <v>43519.952869828623</v>
      </c>
      <c r="K427" s="2" t="str">
        <f ca="1">IF(Panchanga!$P427&gt;15,"K","S")&amp;ROUNDUP(MOD(Panchanga!$P427,15),0)&amp;" ("&amp;ROUND(Panchanga!$P427,2)&amp;")"</f>
        <v>K4 (18.92)</v>
      </c>
      <c r="L427" s="2">
        <f ca="1">IF(AND(Panchanga!$P427&lt;28.5,Panchanga!$P427&gt;0.49999),MOD((Panchanga!$P427-0.5)*2,7),MOD((Panchanga!$P427+30-28.5),30)*2+7)</f>
        <v>1.8451999999999984</v>
      </c>
      <c r="M427" s="2" t="str">
        <f ca="1">CHOOSE(ROUNDUP(Panchanga!$L427,0),"Bhava","Baalava","Kaulava","Taitula","Garija","Vanija","Vishti","Shakuni","Chatushapda","Naaga","Kimstugna")</f>
        <v>Baalava</v>
      </c>
      <c r="N427" s="25" t="str">
        <f ca="1">CHOOSE(ROUNDUP(Panchanga!$Q427,0),"Vishkambha-विष्कम्भ-Sa","Priti-प्रीति-Me","Ayushman-आयुष्मान-Ke","Saubhagya-सौभाग्य-Ve","Shobhana-शोभन-Su","Atiganda-अतिगण्ड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("&amp;Panchanga!$Q427&amp;")"</f>
        <v>Ganda-गण्ड -Sa (9.53)</v>
      </c>
      <c r="O427" s="2">
        <f ca="1">IF(AND(Panchanga!$P427&lt;28.5,Panchanga!$P427&gt;0.49999),MOD((Panchanga!$P427-0.5)*2,7),MOD((Panchanga!$P427+30-28.5),30)*2+7)</f>
        <v>1.8451999999999984</v>
      </c>
      <c r="P427" s="2">
        <f ca="1">ROUNDUP(MOD(360+Panchanga!$G427-Panchanga!$F427,360)/12,4)</f>
        <v>18.922599999999999</v>
      </c>
      <c r="Q427" s="2">
        <f t="shared" ca="1" si="63"/>
        <v>9.5299999999999994</v>
      </c>
      <c r="R427" s="2" t="str">
        <f ca="1">SIGN(S428-Panchanga!$S427)*INT(Panchanga!$S427/30+1)&amp;"Ma,"&amp;SIGN(T428-Panchanga!$T427)*INT(Panchanga!$T427/30+1)&amp;"Me,"&amp;SIGN(U428-Panchanga!$U427)*INT(Panchanga!$U427/30+1)&amp;"Ju,"&amp;SIGN(V428-Panchanga!$V427)*INT(Panchanga!$V427/30+1)&amp;"Ve,"&amp;SIGN(W428-Panchanga!$W427)*INT(Panchanga!$W427/30+1)&amp;"Sa,"&amp;INT(Panchanga!$X427/30+1)&amp;"Ra"</f>
        <v>1Ma,11Me,8Ju,9Ve,9Sa,4Ra</v>
      </c>
      <c r="S427" s="2">
        <f ca="1">Planet(Panchanga!$E427,4)</f>
        <v>11.675870862214675</v>
      </c>
      <c r="T427" s="2">
        <f ca="1">Planet(Panchanga!$E427,2)</f>
        <v>327.24781770639294</v>
      </c>
      <c r="U427" s="2">
        <f ca="1">Planet(Panchanga!$E427,5)</f>
        <v>237.01530956764961</v>
      </c>
      <c r="V427" s="2">
        <f ca="1">Planet(Panchanga!$E427,3)</f>
        <v>268.02715250969794</v>
      </c>
      <c r="W427" s="2">
        <f ca="1">Planet(Panchanga!$E427,6)</f>
        <v>263.08449198352571</v>
      </c>
      <c r="X427" s="2">
        <f ca="1">Planet(Panchanga!$E427,10)</f>
        <v>90.638565513346634</v>
      </c>
      <c r="Y427" s="2">
        <f ca="1">SIGN(S428-Panchanga!$S427)</f>
        <v>1</v>
      </c>
    </row>
    <row r="428" spans="1:25" x14ac:dyDescent="0.2">
      <c r="A428" s="3">
        <f t="shared" ca="1" si="64"/>
        <v>43520</v>
      </c>
      <c r="B428" s="3">
        <f t="shared" ca="1" si="57"/>
        <v>43520.229166666664</v>
      </c>
      <c r="C428" s="5">
        <f t="shared" ca="1" si="58"/>
        <v>43520.270615941998</v>
      </c>
      <c r="D428" s="5">
        <f t="shared" ca="1" si="59"/>
        <v>43519.761143823664</v>
      </c>
      <c r="E428" s="60">
        <f ca="1">Panchanga!$C428-TimeZone/24</f>
        <v>43520.041449275333</v>
      </c>
      <c r="F428" s="61">
        <f t="shared" ca="1" si="60"/>
        <v>310.9971115296878</v>
      </c>
      <c r="G428" s="61">
        <f t="shared" ca="1" si="61"/>
        <v>191.14226933514198</v>
      </c>
      <c r="H428" s="62">
        <f t="shared" ca="1" si="62"/>
        <v>43520.041449275333</v>
      </c>
      <c r="I428" s="2" t="str">
        <f ca="1">naks(Panchanga!$G428)</f>
        <v>Swati</v>
      </c>
      <c r="J428" s="5">
        <f ca="1">(C429-Panchanga!$C428)/(G429-Panchanga!$G428)*(13.3333333333333-MOD(Panchanga!$G428,13.333333333333))+Panchanga!$C428</f>
        <v>43520.922188773613</v>
      </c>
      <c r="K428" s="2" t="str">
        <f ca="1">IF(Panchanga!$P428&gt;15,"K","S")&amp;ROUNDUP(MOD(Panchanga!$P428,15),0)&amp;" ("&amp;ROUND(Panchanga!$P428,2)&amp;")"</f>
        <v>K6 (20.01)</v>
      </c>
      <c r="L428" s="2">
        <f ca="1">IF(AND(Panchanga!$P428&lt;28.5,Panchanga!$P428&gt;0.49999),MOD((Panchanga!$P428-0.5)*2,7),MOD((Panchanga!$P428+30-28.5),30)*2+7)</f>
        <v>4.0242000000000004</v>
      </c>
      <c r="M428" s="2" t="str">
        <f ca="1">CHOOSE(ROUNDUP(Panchanga!$L428,0),"Bhava","Baalava","Kaulava","Taitula","Garija","Vanija","Vishti","Shakuni","Chatushapda","Naaga","Kimstugna")</f>
        <v>Garija</v>
      </c>
      <c r="N428" s="25" t="str">
        <f ca="1">CHOOSE(ROUNDUP(Panchanga!$Q428,0),"Vishkambha-विष्कम्भ-Sa","Priti-प्रीति-Me","Ayushman-आयुष्मान-Ke","Saubhagya-सौभाग्य-Ve","Shobhana-शोभन-Su","Atiganda-अतिगण्ड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("&amp;Panchanga!$Q428&amp;")"</f>
        <v>Vriddhi-वृद्धि -Me (10.67)</v>
      </c>
      <c r="O428" s="2">
        <f ca="1">IF(AND(Panchanga!$P428&lt;28.5,Panchanga!$P428&gt;0.49999),MOD((Panchanga!$P428-0.5)*2,7),MOD((Panchanga!$P428+30-28.5),30)*2+7)</f>
        <v>4.0242000000000004</v>
      </c>
      <c r="P428" s="2">
        <f ca="1">ROUNDUP(MOD(360+Panchanga!$G428-Panchanga!$F428,360)/12,4)</f>
        <v>20.0121</v>
      </c>
      <c r="Q428" s="2">
        <f t="shared" ca="1" si="63"/>
        <v>10.67</v>
      </c>
      <c r="R428" s="2" t="str">
        <f ca="1">SIGN(S429-Panchanga!$S428)*INT(Panchanga!$S428/30+1)&amp;"Ma,"&amp;SIGN(T429-Panchanga!$T428)*INT(Panchanga!$T428/30+1)&amp;"Me,"&amp;SIGN(U429-Panchanga!$U428)*INT(Panchanga!$U428/30+1)&amp;"Ju,"&amp;SIGN(V429-Panchanga!$V428)*INT(Panchanga!$V428/30+1)&amp;"Ve,"&amp;SIGN(W429-Panchanga!$W428)*INT(Panchanga!$W428/30+1)&amp;"Sa,"&amp;INT(Panchanga!$X428/30+1)&amp;"Ra"</f>
        <v>1Ma,11Me,8Ju,9Ve,9Sa,4Ra</v>
      </c>
      <c r="S428" s="2">
        <f ca="1">Planet(Panchanga!$E428,4)</f>
        <v>12.349109659218682</v>
      </c>
      <c r="T428" s="2">
        <f ca="1">Planet(Panchanga!$E428,2)</f>
        <v>328.61056550391123</v>
      </c>
      <c r="U428" s="2">
        <f ca="1">Planet(Panchanga!$E428,5)</f>
        <v>237.14450394569212</v>
      </c>
      <c r="V428" s="2">
        <f ca="1">Planet(Panchanga!$E428,3)</f>
        <v>269.20273446766311</v>
      </c>
      <c r="W428" s="2">
        <f ca="1">Planet(Panchanga!$E428,6)</f>
        <v>263.1766885388235</v>
      </c>
      <c r="X428" s="2">
        <f ca="1">Planet(Panchanga!$E428,10)</f>
        <v>90.585591802551718</v>
      </c>
      <c r="Y428" s="2">
        <f ca="1">SIGN(S429-Panchanga!$S428)</f>
        <v>1</v>
      </c>
    </row>
    <row r="429" spans="1:25" x14ac:dyDescent="0.2">
      <c r="A429" s="3">
        <f t="shared" ca="1" si="64"/>
        <v>43521</v>
      </c>
      <c r="B429" s="3">
        <f t="shared" ca="1" si="57"/>
        <v>43521.229166666664</v>
      </c>
      <c r="C429" s="5">
        <f t="shared" ca="1" si="58"/>
        <v>43521.270262923244</v>
      </c>
      <c r="D429" s="5">
        <f t="shared" ca="1" si="59"/>
        <v>43520.761294504206</v>
      </c>
      <c r="E429" s="60">
        <f ca="1">Panchanga!$C429-TimeZone/24</f>
        <v>43521.04109625658</v>
      </c>
      <c r="F429" s="61">
        <f t="shared" ca="1" si="60"/>
        <v>312.00283429526797</v>
      </c>
      <c r="G429" s="61">
        <f t="shared" ca="1" si="61"/>
        <v>204.73185332359375</v>
      </c>
      <c r="H429" s="62">
        <f t="shared" ca="1" si="62"/>
        <v>43521.04109625658</v>
      </c>
      <c r="I429" s="2" t="str">
        <f ca="1">naks(Panchanga!$G429)</f>
        <v>Visakha</v>
      </c>
      <c r="J429" s="5">
        <f ca="1">(C430-Panchanga!$C429)/(G430-Panchanga!$G429)*(13.3333333333333-MOD(Panchanga!$G429,13.333333333333))+Panchanga!$C429</f>
        <v>43521.925660541412</v>
      </c>
      <c r="K429" s="2" t="str">
        <f ca="1">IF(Panchanga!$P429&gt;15,"K","S")&amp;ROUNDUP(MOD(Panchanga!$P429,15),0)&amp;" ("&amp;ROUND(Panchanga!$P429,2)&amp;")"</f>
        <v>K7 (21.06)</v>
      </c>
      <c r="L429" s="2">
        <f ca="1">IF(AND(Panchanga!$P429&lt;28.5,Panchanga!$P429&gt;0.49999),MOD((Panchanga!$P429-0.5)*2,7),MOD((Panchanga!$P429+30-28.5),30)*2+7)</f>
        <v>6.1216000000000008</v>
      </c>
      <c r="M429" s="2" t="str">
        <f ca="1">CHOOSE(ROUNDUP(Panchanga!$L429,0),"Bhava","Baalava","Kaulava","Taitula","Garija","Vanija","Vishti","Shakuni","Chatushapda","Naaga","Kimstugna")</f>
        <v>Vishti</v>
      </c>
      <c r="N429" s="25" t="str">
        <f ca="1">CHOOSE(ROUNDUP(Panchanga!$Q429,0),"Vishkambha-विष्कम्भ-Sa","Priti-प्रीति-Me","Ayushman-आयुष्मान-Ke","Saubhagya-सौभाग्य-Ve","Shobhana-शोभन-Su","Atiganda-अतिगण्ड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("&amp;Panchanga!$Q429&amp;")"</f>
        <v>Dhruva-ध्रुव -Ke (11.76)</v>
      </c>
      <c r="O429" s="2">
        <f ca="1">IF(AND(Panchanga!$P429&lt;28.5,Panchanga!$P429&gt;0.49999),MOD((Panchanga!$P429-0.5)*2,7),MOD((Panchanga!$P429+30-28.5),30)*2+7)</f>
        <v>6.1216000000000008</v>
      </c>
      <c r="P429" s="2">
        <f ca="1">ROUNDUP(MOD(360+Panchanga!$G429-Panchanga!$F429,360)/12,4)</f>
        <v>21.0608</v>
      </c>
      <c r="Q429" s="2">
        <f t="shared" ca="1" si="63"/>
        <v>11.76</v>
      </c>
      <c r="R429" s="2" t="str">
        <f ca="1">SIGN(S430-Panchanga!$S429)*INT(Panchanga!$S429/30+1)&amp;"Ma,"&amp;SIGN(T430-Panchanga!$T429)*INT(Panchanga!$T429/30+1)&amp;"Me,"&amp;SIGN(U430-Panchanga!$U429)*INT(Panchanga!$U429/30+1)&amp;"Ju,"&amp;SIGN(V430-Panchanga!$V429)*INT(Panchanga!$V429/30+1)&amp;"Ve,"&amp;SIGN(W430-Panchanga!$W429)*INT(Panchanga!$W429/30+1)&amp;"Sa,"&amp;INT(Panchanga!$X429/30+1)&amp;"Ra"</f>
        <v>1Ma,11Me,8Ju,10Ve,9Sa,4Ra</v>
      </c>
      <c r="S429" s="2">
        <f ca="1">Planet(Panchanga!$E429,4)</f>
        <v>13.022089234713253</v>
      </c>
      <c r="T429" s="2">
        <f ca="1">Planet(Panchanga!$E429,2)</f>
        <v>329.87908534670538</v>
      </c>
      <c r="U429" s="2">
        <f ca="1">Planet(Panchanga!$E429,5)</f>
        <v>237.27144413533111</v>
      </c>
      <c r="V429" s="2">
        <f ca="1">Planet(Panchanga!$E429,3)</f>
        <v>270.37968781470488</v>
      </c>
      <c r="W429" s="2">
        <f ca="1">Planet(Panchanga!$E429,6)</f>
        <v>263.26790849808373</v>
      </c>
      <c r="X429" s="2">
        <f ca="1">Planet(Panchanga!$E429,10)</f>
        <v>90.532618512872048</v>
      </c>
      <c r="Y429" s="2">
        <f ca="1">SIGN(S430-Panchanga!$S429)</f>
        <v>1</v>
      </c>
    </row>
    <row r="430" spans="1:25" x14ac:dyDescent="0.2">
      <c r="A430" s="3">
        <f t="shared" ca="1" si="64"/>
        <v>43522</v>
      </c>
      <c r="B430" s="3">
        <f t="shared" ca="1" si="57"/>
        <v>43522.229166666664</v>
      </c>
      <c r="C430" s="5">
        <f t="shared" ca="1" si="58"/>
        <v>43522.269902275562</v>
      </c>
      <c r="D430" s="5">
        <f t="shared" ca="1" si="59"/>
        <v>43521.761439621492</v>
      </c>
      <c r="E430" s="60">
        <f ca="1">Panchanga!$C430-TimeZone/24</f>
        <v>43522.040735608898</v>
      </c>
      <c r="F430" s="61">
        <f t="shared" ca="1" si="60"/>
        <v>313.00816251046831</v>
      </c>
      <c r="G430" s="61">
        <f t="shared" ca="1" si="61"/>
        <v>217.85118373856332</v>
      </c>
      <c r="H430" s="62">
        <f t="shared" ca="1" si="62"/>
        <v>43522.040735608898</v>
      </c>
      <c r="I430" s="2" t="str">
        <f ca="1">naks(Panchanga!$G430)</f>
        <v>Anuradha</v>
      </c>
      <c r="J430" s="5">
        <f ca="1">(C431-Panchanga!$C430)/(G431-Panchanga!$G430)*(13.3333333333333-MOD(Panchanga!$G430,13.333333333333))+Panchanga!$C430</f>
        <v>43522.963609784776</v>
      </c>
      <c r="K430" s="2" t="str">
        <f ca="1">IF(Panchanga!$P430&gt;15,"K","S")&amp;ROUNDUP(MOD(Panchanga!$P430,15),0)&amp;" ("&amp;ROUND(Panchanga!$P430,2)&amp;")"</f>
        <v>K8 (22.07)</v>
      </c>
      <c r="L430" s="2">
        <f ca="1">IF(AND(Panchanga!$P430&lt;28.5,Panchanga!$P430&gt;0.49999),MOD((Panchanga!$P430-0.5)*2,7),MOD((Panchanga!$P430+30-28.5),30)*2+7)</f>
        <v>1.1405999999999992</v>
      </c>
      <c r="M430" s="2" t="str">
        <f ca="1">CHOOSE(ROUNDUP(Panchanga!$L430,0),"Bhava","Baalava","Kaulava","Taitula","Garija","Vanija","Vishti","Shakuni","Chatushapda","Naaga","Kimstugna")</f>
        <v>Baalava</v>
      </c>
      <c r="N430" s="25" t="str">
        <f ca="1">CHOOSE(ROUNDUP(Panchanga!$Q430,0),"Vishkambha-विष्कम्भ-Sa","Priti-प्रीति-Me","Ayushman-आयुष्मान-Ke","Saubhagya-सौभाग्य-Ve","Shobhana-शोभन-Su","Atiganda-अतिगण्ड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("&amp;Panchanga!$Q430&amp;")"</f>
        <v>Vyaghata-व्याघात-ve (12.82)</v>
      </c>
      <c r="O430" s="2">
        <f ca="1">IF(AND(Panchanga!$P430&lt;28.5,Panchanga!$P430&gt;0.49999),MOD((Panchanga!$P430-0.5)*2,7),MOD((Panchanga!$P430+30-28.5),30)*2+7)</f>
        <v>1.1405999999999992</v>
      </c>
      <c r="P430" s="2">
        <f ca="1">ROUNDUP(MOD(360+Panchanga!$G430-Panchanga!$F430,360)/12,4)</f>
        <v>22.0703</v>
      </c>
      <c r="Q430" s="2">
        <f t="shared" ca="1" si="63"/>
        <v>12.82</v>
      </c>
      <c r="R430" s="2" t="str">
        <f ca="1">SIGN(S431-Panchanga!$S430)*INT(Panchanga!$S430/30+1)&amp;"Ma,"&amp;SIGN(T431-Panchanga!$T430)*INT(Panchanga!$T430/30+1)&amp;"Me,"&amp;SIGN(U431-Panchanga!$U430)*INT(Panchanga!$U430/30+1)&amp;"Ju,"&amp;SIGN(V431-Panchanga!$V430)*INT(Panchanga!$V430/30+1)&amp;"Ve,"&amp;SIGN(W431-Panchanga!$W430)*INT(Panchanga!$W430/30+1)&amp;"Sa,"&amp;INT(Panchanga!$X430/30+1)&amp;"Ra"</f>
        <v>1Ma,12Me,8Ju,10Ve,9Sa,4Ra</v>
      </c>
      <c r="S430" s="2">
        <f ca="1">Planet(Panchanga!$E430,4)</f>
        <v>13.694815049475171</v>
      </c>
      <c r="T430" s="2">
        <f ca="1">Planet(Panchanga!$E430,2)</f>
        <v>331.04272155565224</v>
      </c>
      <c r="U430" s="2">
        <f ca="1">Planet(Panchanga!$E430,5)</f>
        <v>237.39609890266595</v>
      </c>
      <c r="V430" s="2">
        <f ca="1">Planet(Panchanga!$E430,3)</f>
        <v>271.55796327573137</v>
      </c>
      <c r="W430" s="2">
        <f ca="1">Planet(Panchanga!$E430,6)</f>
        <v>263.35813374728201</v>
      </c>
      <c r="X430" s="2">
        <f ca="1">Planet(Panchanga!$E430,10)</f>
        <v>90.479645627523439</v>
      </c>
      <c r="Y430" s="2">
        <f ca="1">SIGN(S431-Panchanga!$S430)</f>
        <v>1</v>
      </c>
    </row>
    <row r="431" spans="1:25" x14ac:dyDescent="0.2">
      <c r="A431" s="3">
        <f t="shared" ca="1" si="64"/>
        <v>43523</v>
      </c>
      <c r="B431" s="3">
        <f t="shared" ca="1" si="57"/>
        <v>43523.229166666664</v>
      </c>
      <c r="C431" s="5">
        <f t="shared" ca="1" si="58"/>
        <v>43523.269533998486</v>
      </c>
      <c r="D431" s="5">
        <f t="shared" ca="1" si="59"/>
        <v>43522.761579494036</v>
      </c>
      <c r="E431" s="60">
        <f ca="1">Panchanga!$C431-TimeZone/24</f>
        <v>43523.040367331821</v>
      </c>
      <c r="F431" s="61">
        <f t="shared" ca="1" si="60"/>
        <v>314.01309130210916</v>
      </c>
      <c r="G431" s="61">
        <f t="shared" ca="1" si="61"/>
        <v>230.55428449901342</v>
      </c>
      <c r="H431" s="62">
        <f t="shared" ca="1" si="62"/>
        <v>43523.040367331821</v>
      </c>
      <c r="I431" s="2" t="str">
        <f ca="1">naks(Panchanga!$G431)</f>
        <v>Jyestha</v>
      </c>
      <c r="J431" s="5">
        <f ca="1">(C432-Panchanga!$C431)/(G432-Panchanga!$G431)*(13.3333333333333-MOD(Panchanga!$G431,13.333333333333))+Panchanga!$C431</f>
        <v>43524.033439875551</v>
      </c>
      <c r="K431" s="2" t="str">
        <f ca="1">IF(Panchanga!$P431&gt;15,"K","S")&amp;ROUNDUP(MOD(Panchanga!$P431,15),0)&amp;" ("&amp;ROUND(Panchanga!$P431,2)&amp;")"</f>
        <v>K9 (23.05)</v>
      </c>
      <c r="L431" s="2">
        <f ca="1">IF(AND(Panchanga!$P431&lt;28.5,Panchanga!$P431&gt;0.49999),MOD((Panchanga!$P431-0.5)*2,7),MOD((Panchanga!$P431+30-28.5),30)*2+7)</f>
        <v>3.0902000000000029</v>
      </c>
      <c r="M431" s="2" t="str">
        <f ca="1">CHOOSE(ROUNDUP(Panchanga!$L431,0),"Bhava","Baalava","Kaulava","Taitula","Garija","Vanija","Vishti","Shakuni","Chatushapda","Naaga","Kimstugna")</f>
        <v>Taitula</v>
      </c>
      <c r="N431" s="25" t="str">
        <f ca="1">CHOOSE(ROUNDUP(Panchanga!$Q431,0),"Vishkambha-विष्कम्भ-Sa","Priti-प्रीति-Me","Ayushman-आयुष्मान-Ke","Saubhagya-सौभाग्य-Ve","Shobhana-शोभन-Su","Atiganda-अतिगण्ड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("&amp;Panchanga!$Q431&amp;")"</f>
        <v>Harshana-हर्षण-su (13.85)</v>
      </c>
      <c r="O431" s="2">
        <f ca="1">IF(AND(Panchanga!$P431&lt;28.5,Panchanga!$P431&gt;0.49999),MOD((Panchanga!$P431-0.5)*2,7),MOD((Panchanga!$P431+30-28.5),30)*2+7)</f>
        <v>3.0902000000000029</v>
      </c>
      <c r="P431" s="2">
        <f ca="1">ROUNDUP(MOD(360+Panchanga!$G431-Panchanga!$F431,360)/12,4)</f>
        <v>23.045100000000001</v>
      </c>
      <c r="Q431" s="2">
        <f t="shared" ca="1" si="63"/>
        <v>13.85</v>
      </c>
      <c r="R431" s="2" t="str">
        <f ca="1">SIGN(S432-Panchanga!$S431)*INT(Panchanga!$S431/30+1)&amp;"Ma,"&amp;SIGN(T432-Panchanga!$T431)*INT(Panchanga!$T431/30+1)&amp;"Me,"&amp;SIGN(U432-Panchanga!$U431)*INT(Panchanga!$U431/30+1)&amp;"Ju,"&amp;SIGN(V432-Panchanga!$V431)*INT(Panchanga!$V431/30+1)&amp;"Ve,"&amp;SIGN(W432-Panchanga!$W431)*INT(Panchanga!$W431/30+1)&amp;"Sa,"&amp;INT(Panchanga!$X431/30+1)&amp;"Ra"</f>
        <v>1Ma,12Me,8Ju,10Ve,9Sa,4Ra</v>
      </c>
      <c r="S431" s="2">
        <f ca="1">Planet(Panchanga!$E431,4)</f>
        <v>14.367290797715874</v>
      </c>
      <c r="T431" s="2">
        <f ca="1">Planet(Panchanga!$E431,2)</f>
        <v>332.09110500055397</v>
      </c>
      <c r="U431" s="2">
        <f ca="1">Planet(Panchanga!$E431,5)</f>
        <v>237.51843688115744</v>
      </c>
      <c r="V431" s="2">
        <f ca="1">Planet(Panchanga!$E431,3)</f>
        <v>272.73751063304888</v>
      </c>
      <c r="W431" s="2">
        <f ca="1">Planet(Panchanga!$E431,6)</f>
        <v>263.44734595934119</v>
      </c>
      <c r="X431" s="2">
        <f ca="1">Planet(Panchanga!$E431,10)</f>
        <v>90.426673146456039</v>
      </c>
      <c r="Y431" s="2">
        <f ca="1">SIGN(S432-Panchanga!$S431)</f>
        <v>1</v>
      </c>
    </row>
    <row r="432" spans="1:25" x14ac:dyDescent="0.2">
      <c r="A432" s="3">
        <f t="shared" ca="1" si="64"/>
        <v>43524</v>
      </c>
      <c r="B432" s="3">
        <f t="shared" ca="1" si="57"/>
        <v>43524.229166666664</v>
      </c>
      <c r="C432" s="5">
        <f t="shared" ca="1" si="58"/>
        <v>43524.269158727642</v>
      </c>
      <c r="D432" s="5">
        <f t="shared" ca="1" si="59"/>
        <v>43523.761714120905</v>
      </c>
      <c r="E432" s="60">
        <f ca="1">Panchanga!$C432-TimeZone/24</f>
        <v>43524.039992060978</v>
      </c>
      <c r="F432" s="61">
        <f t="shared" ca="1" si="60"/>
        <v>315.01761332623221</v>
      </c>
      <c r="G432" s="61">
        <f t="shared" ca="1" si="61"/>
        <v>242.91466957113309</v>
      </c>
      <c r="H432" s="62">
        <f t="shared" ca="1" si="62"/>
        <v>43524.039992060978</v>
      </c>
      <c r="I432" s="2" t="str">
        <f ca="1">naks(Panchanga!$G432)</f>
        <v>Moola</v>
      </c>
      <c r="J432" s="5">
        <f ca="1">(C433-Panchanga!$C432)/(G433-Panchanga!$G432)*(13.3333333333333-MOD(Panchanga!$G432,13.333333333333))+Panchanga!$C432</f>
        <v>43525.129937076425</v>
      </c>
      <c r="K432" s="2" t="str">
        <f ca="1">IF(Panchanga!$P432&gt;15,"K","S")&amp;ROUNDUP(MOD(Panchanga!$P432,15),0)&amp;" ("&amp;ROUND(Panchanga!$P432,2)&amp;")"</f>
        <v>K9 (23.99)</v>
      </c>
      <c r="L432" s="2">
        <f ca="1">IF(AND(Panchanga!$P432&lt;28.5,Panchanga!$P432&gt;0.49999),MOD((Panchanga!$P432-0.5)*2,7),MOD((Panchanga!$P432+30-28.5),30)*2+7)</f>
        <v>4.982999999999997</v>
      </c>
      <c r="M432" s="2" t="str">
        <f ca="1">CHOOSE(ROUNDUP(Panchanga!$L432,0),"Bhava","Baalava","Kaulava","Taitula","Garija","Vanija","Vishti","Shakuni","Chatushapda","Naaga","Kimstugna")</f>
        <v>Garija</v>
      </c>
      <c r="N432" s="25" t="str">
        <f ca="1">CHOOSE(ROUNDUP(Panchanga!$Q432,0),"Vishkambha-विष्कम्भ-Sa","Priti-प्रीति-Me","Ayushman-आयुष्मान-Ke","Saubhagya-सौभाग्य-Ve","Shobhana-शोभन-Su","Atiganda-अतिगण्ड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("&amp;Panchanga!$Q432&amp;")"</f>
        <v>Vajra-वज्र-Mo (14.85)</v>
      </c>
      <c r="O432" s="2">
        <f ca="1">IF(AND(Panchanga!$P432&lt;28.5,Panchanga!$P432&gt;0.49999),MOD((Panchanga!$P432-0.5)*2,7),MOD((Panchanga!$P432+30-28.5),30)*2+7)</f>
        <v>4.982999999999997</v>
      </c>
      <c r="P432" s="2">
        <f ca="1">ROUNDUP(MOD(360+Panchanga!$G432-Panchanga!$F432,360)/12,4)</f>
        <v>23.991499999999998</v>
      </c>
      <c r="Q432" s="2">
        <f t="shared" ca="1" si="63"/>
        <v>14.85</v>
      </c>
      <c r="R432" s="2" t="str">
        <f ca="1">SIGN(S433-Panchanga!$S432)*INT(Panchanga!$S432/30+1)&amp;"Ma,"&amp;SIGN(T433-Panchanga!$T432)*INT(Panchanga!$T432/30+1)&amp;"Me,"&amp;SIGN(U433-Panchanga!$U432)*INT(Panchanga!$U432/30+1)&amp;"Ju,"&amp;SIGN(V433-Panchanga!$V432)*INT(Panchanga!$V432/30+1)&amp;"Ve,"&amp;SIGN(W433-Panchanga!$W432)*INT(Panchanga!$W432/30+1)&amp;"Sa,"&amp;INT(Panchanga!$X432/30+1)&amp;"Ra"</f>
        <v>1Ma,12Me,8Ju,10Ve,9Sa,4Ra</v>
      </c>
      <c r="S432" s="2">
        <f ca="1">Planet(Panchanga!$E432,4)</f>
        <v>15.03951890331</v>
      </c>
      <c r="T432" s="2">
        <f ca="1">Planet(Panchanga!$E432,2)</f>
        <v>333.01442940960067</v>
      </c>
      <c r="U432" s="2">
        <f ca="1">Planet(Panchanga!$E432,5)</f>
        <v>237.63842690536649</v>
      </c>
      <c r="V432" s="2">
        <f ca="1">Planet(Panchanga!$E432,3)</f>
        <v>273.91828068521346</v>
      </c>
      <c r="W432" s="2">
        <f ca="1">Planet(Panchanga!$E432,6)</f>
        <v>263.53552679748151</v>
      </c>
      <c r="X432" s="2">
        <f ca="1">Planet(Panchanga!$E432,10)</f>
        <v>90.373701036018844</v>
      </c>
      <c r="Y432" s="2">
        <f ca="1">SIGN(S433-Panchanga!$S432)</f>
        <v>1</v>
      </c>
    </row>
    <row r="433" spans="1:25" x14ac:dyDescent="0.2">
      <c r="A433" s="3">
        <f t="shared" ca="1" si="64"/>
        <v>43525</v>
      </c>
      <c r="B433" s="3">
        <f t="shared" ca="1" si="57"/>
        <v>43525.229166666664</v>
      </c>
      <c r="C433" s="5">
        <f t="shared" ca="1" si="58"/>
        <v>43525.268776463032</v>
      </c>
      <c r="D433" s="5">
        <f t="shared" ca="1" si="59"/>
        <v>43524.761843661821</v>
      </c>
      <c r="E433" s="60">
        <f ca="1">Panchanga!$C433-TimeZone/24</f>
        <v>43525.039609796368</v>
      </c>
      <c r="F433" s="61">
        <f t="shared" ca="1" si="60"/>
        <v>316.0217181022856</v>
      </c>
      <c r="G433" s="61">
        <f t="shared" ca="1" si="61"/>
        <v>255.01381343374442</v>
      </c>
      <c r="H433" s="62">
        <f t="shared" ca="1" si="62"/>
        <v>43525.039609796368</v>
      </c>
      <c r="I433" s="2" t="str">
        <f ca="1">naks(Panchanga!$G433)</f>
        <v>Purva Asadha</v>
      </c>
      <c r="J433" s="5">
        <f ca="1">(C434-Panchanga!$C433)/(G434-Panchanga!$G433)*(13.3333333333333-MOD(Panchanga!$G433,13.333333333333))+Panchanga!$C433</f>
        <v>43526.246082392783</v>
      </c>
      <c r="K433" s="2" t="str">
        <f ca="1">IF(Panchanga!$P433&gt;15,"K","S")&amp;ROUNDUP(MOD(Panchanga!$P433,15),0)&amp;" ("&amp;ROUND(Panchanga!$P433,2)&amp;")"</f>
        <v>K10 (24.92)</v>
      </c>
      <c r="L433" s="2">
        <f ca="1">IF(AND(Panchanga!$P433&lt;28.5,Panchanga!$P433&gt;0.49999),MOD((Panchanga!$P433-0.5)*2,7),MOD((Panchanga!$P433+30-28.5),30)*2+7)</f>
        <v>6.8322000000000003</v>
      </c>
      <c r="M433" s="2" t="str">
        <f ca="1">CHOOSE(ROUNDUP(Panchanga!$L433,0),"Bhava","Baalava","Kaulava","Taitula","Garija","Vanija","Vishti","Shakuni","Chatushapda","Naaga","Kimstugna")</f>
        <v>Vishti</v>
      </c>
      <c r="N433" s="25" t="str">
        <f ca="1">CHOOSE(ROUNDUP(Panchanga!$Q433,0),"Vishkambha-विष्कम्भ-Sa","Priti-प्रीति-Me","Ayushman-आयुष्मान-Ke","Saubhagya-सौभाग्य-Ve","Shobhana-शोभन-Su","Atiganda-अतिगण्ड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("&amp;Panchanga!$Q433&amp;")"</f>
        <v>Siddhi-सिद्धि-Ma (15.83)</v>
      </c>
      <c r="O433" s="2">
        <f ca="1">IF(AND(Panchanga!$P433&lt;28.5,Panchanga!$P433&gt;0.49999),MOD((Panchanga!$P433-0.5)*2,7),MOD((Panchanga!$P433+30-28.5),30)*2+7)</f>
        <v>6.8322000000000003</v>
      </c>
      <c r="P433" s="2">
        <f ca="1">ROUNDUP(MOD(360+Panchanga!$G433-Panchanga!$F433,360)/12,4)</f>
        <v>24.9161</v>
      </c>
      <c r="Q433" s="2">
        <f t="shared" ca="1" si="63"/>
        <v>15.83</v>
      </c>
      <c r="R433" s="2" t="str">
        <f ca="1">SIGN(S434-Panchanga!$S433)*INT(Panchanga!$S433/30+1)&amp;"Ma,"&amp;SIGN(T434-Panchanga!$T433)*INT(Panchanga!$T433/30+1)&amp;"Me,"&amp;SIGN(U434-Panchanga!$U433)*INT(Panchanga!$U433/30+1)&amp;"Ju,"&amp;SIGN(V434-Panchanga!$V433)*INT(Panchanga!$V433/30+1)&amp;"Ve,"&amp;SIGN(W434-Panchanga!$W433)*INT(Panchanga!$W433/30+1)&amp;"Sa,"&amp;INT(Panchanga!$X433/30+1)&amp;"Ra"</f>
        <v>1Ma,12Me,8Ju,10Ve,9Sa,4Ra</v>
      </c>
      <c r="S433" s="2">
        <f ca="1">Planet(Panchanga!$E433,4)</f>
        <v>15.711499677074546</v>
      </c>
      <c r="T433" s="2">
        <f ca="1">Planet(Panchanga!$E433,2)</f>
        <v>333.80373634797206</v>
      </c>
      <c r="U433" s="2">
        <f ca="1">Planet(Panchanga!$E433,5)</f>
        <v>237.75603800988043</v>
      </c>
      <c r="V433" s="2">
        <f ca="1">Planet(Panchanga!$E433,3)</f>
        <v>275.10022432251793</v>
      </c>
      <c r="W433" s="2">
        <f ca="1">Planet(Panchanga!$E433,6)</f>
        <v>263.62265789281537</v>
      </c>
      <c r="X433" s="2">
        <f ca="1">Planet(Panchanga!$E433,10)</f>
        <v>90.320729296195168</v>
      </c>
      <c r="Y433" s="2">
        <f ca="1">SIGN(S434-Panchanga!$S433)</f>
        <v>1</v>
      </c>
    </row>
    <row r="434" spans="1:25" x14ac:dyDescent="0.2">
      <c r="A434" s="3">
        <f t="shared" ca="1" si="64"/>
        <v>43526</v>
      </c>
      <c r="B434" s="3">
        <f t="shared" ca="1" si="57"/>
        <v>43526.229166666664</v>
      </c>
      <c r="C434" s="5">
        <f t="shared" ca="1" si="58"/>
        <v>43526.268387363911</v>
      </c>
      <c r="D434" s="5">
        <f t="shared" ca="1" si="59"/>
        <v>43525.76196827511</v>
      </c>
      <c r="E434" s="60">
        <f ca="1">Panchanga!$C434-TimeZone/24</f>
        <v>43526.039220697246</v>
      </c>
      <c r="F434" s="61">
        <f t="shared" ca="1" si="60"/>
        <v>317.02539333312529</v>
      </c>
      <c r="G434" s="61">
        <f t="shared" ca="1" si="61"/>
        <v>266.93261875700716</v>
      </c>
      <c r="H434" s="62">
        <f t="shared" ca="1" si="62"/>
        <v>43526.039220697246</v>
      </c>
      <c r="I434" s="2" t="str">
        <f ca="1">naks(Panchanga!$G434)</f>
        <v>Uttara Asadha</v>
      </c>
      <c r="J434" s="5">
        <f ca="1">(C435-Panchanga!$C434)/(G435-Panchanga!$G434)*(13.3333333333333-MOD(Panchanga!$G434,13.333333333333))+Panchanga!$C434</f>
        <v>43527.374131722558</v>
      </c>
      <c r="K434" s="2" t="str">
        <f ca="1">IF(Panchanga!$P434&gt;15,"K","S")&amp;ROUNDUP(MOD(Panchanga!$P434,15),0)&amp;" ("&amp;ROUND(Panchanga!$P434,2)&amp;")"</f>
        <v>K11 (25.83)</v>
      </c>
      <c r="L434" s="2">
        <f ca="1">IF(AND(Panchanga!$P434&lt;28.5,Panchanga!$P434&gt;0.49999),MOD((Panchanga!$P434-0.5)*2,7),MOD((Panchanga!$P434+30-28.5),30)*2+7)</f>
        <v>1.6514000000000024</v>
      </c>
      <c r="M434" s="2" t="str">
        <f ca="1">CHOOSE(ROUNDUP(Panchanga!$L434,0),"Bhava","Baalava","Kaulava","Taitula","Garija","Vanija","Vishti","Shakuni","Chatushapda","Naaga","Kimstugna")</f>
        <v>Baalava</v>
      </c>
      <c r="N434" s="25" t="str">
        <f ca="1">CHOOSE(ROUNDUP(Panchanga!$Q434,0),"Vishkambha-विष्कम्भ-Sa","Priti-प्रीति-Me","Ayushman-आयुष्मान-Ke","Saubhagya-सौभाग्य-Ve","Shobhana-शोभन-Su","Atiganda-अतिगण्ड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("&amp;Panchanga!$Q434&amp;")"</f>
        <v>Vyatipata-व्यतिपात-Ra (16.8)</v>
      </c>
      <c r="O434" s="2">
        <f ca="1">IF(AND(Panchanga!$P434&lt;28.5,Panchanga!$P434&gt;0.49999),MOD((Panchanga!$P434-0.5)*2,7),MOD((Panchanga!$P434+30-28.5),30)*2+7)</f>
        <v>1.6514000000000024</v>
      </c>
      <c r="P434" s="2">
        <f ca="1">ROUNDUP(MOD(360+Panchanga!$G434-Panchanga!$F434,360)/12,4)</f>
        <v>25.825700000000001</v>
      </c>
      <c r="Q434" s="2">
        <f t="shared" ca="1" si="63"/>
        <v>16.8</v>
      </c>
      <c r="R434" s="2" t="str">
        <f ca="1">SIGN(S435-Panchanga!$S434)*INT(Panchanga!$S434/30+1)&amp;"Ma,"&amp;SIGN(T435-Panchanga!$T434)*INT(Panchanga!$T434/30+1)&amp;"Me,"&amp;SIGN(U435-Panchanga!$U434)*INT(Panchanga!$U434/30+1)&amp;"Ju,"&amp;SIGN(V435-Panchanga!$V434)*INT(Panchanga!$V434/30+1)&amp;"Ve,"&amp;SIGN(W435-Panchanga!$W434)*INT(Panchanga!$W434/30+1)&amp;"Sa,"&amp;INT(Panchanga!$X434/30+1)&amp;"Ra"</f>
        <v>1Ma,12Me,8Ju,10Ve,9Sa,4Ra</v>
      </c>
      <c r="S434" s="2">
        <f ca="1">Planet(Panchanga!$E434,4)</f>
        <v>16.383231955510588</v>
      </c>
      <c r="T434" s="2">
        <f ca="1">Planet(Panchanga!$E434,2)</f>
        <v>334.45120796122319</v>
      </c>
      <c r="U434" s="2">
        <f ca="1">Planet(Panchanga!$E434,5)</f>
        <v>237.87123963346744</v>
      </c>
      <c r="V434" s="2">
        <f ca="1">Planet(Panchanga!$E434,3)</f>
        <v>276.2832938210538</v>
      </c>
      <c r="W434" s="2">
        <f ca="1">Planet(Panchanga!$E434,6)</f>
        <v>263.70872098601387</v>
      </c>
      <c r="X434" s="2">
        <f ca="1">Planet(Panchanga!$E434,10)</f>
        <v>90.267757918518257</v>
      </c>
      <c r="Y434" s="2">
        <f ca="1">SIGN(S435-Panchanga!$S434)</f>
        <v>1</v>
      </c>
    </row>
    <row r="435" spans="1:25" x14ac:dyDescent="0.2">
      <c r="A435" s="3">
        <f t="shared" ca="1" si="64"/>
        <v>43527</v>
      </c>
      <c r="B435" s="3">
        <f t="shared" ca="1" si="57"/>
        <v>43527.229166666664</v>
      </c>
      <c r="C435" s="5">
        <f t="shared" ca="1" si="58"/>
        <v>43527.267991907116</v>
      </c>
      <c r="D435" s="5">
        <f t="shared" ca="1" si="59"/>
        <v>43526.762087961237</v>
      </c>
      <c r="E435" s="60">
        <f ca="1">Panchanga!$C435-TimeZone/24</f>
        <v>43527.038825240452</v>
      </c>
      <c r="F435" s="61">
        <f t="shared" ca="1" si="60"/>
        <v>318.02862548782514</v>
      </c>
      <c r="G435" s="61">
        <f t="shared" ca="1" si="61"/>
        <v>278.74566899427253</v>
      </c>
      <c r="H435" s="62">
        <f t="shared" ca="1" si="62"/>
        <v>43527.038825240452</v>
      </c>
      <c r="I435" s="2" t="str">
        <f ca="1">naks(Panchanga!$G435)</f>
        <v>Uttara Asadha</v>
      </c>
      <c r="J435" s="5">
        <f ca="1">(C436-Panchanga!$C435)/(G436-Panchanga!$G435)*(13.3333333333333-MOD(Panchanga!$G435,13.333333333333))+Panchanga!$C435</f>
        <v>43527.374499666977</v>
      </c>
      <c r="K435" s="2" t="str">
        <f ca="1">IF(Panchanga!$P435&gt;15,"K","S")&amp;ROUNDUP(MOD(Panchanga!$P435,15),0)&amp;" ("&amp;ROUND(Panchanga!$P435,2)&amp;")"</f>
        <v>K12 (26.73)</v>
      </c>
      <c r="L435" s="2">
        <f ca="1">IF(AND(Panchanga!$P435&lt;28.5,Panchanga!$P435&gt;0.49999),MOD((Panchanga!$P435-0.5)*2,7),MOD((Panchanga!$P435+30-28.5),30)*2+7)</f>
        <v>3.453000000000003</v>
      </c>
      <c r="M435" s="2" t="str">
        <f ca="1">CHOOSE(ROUNDUP(Panchanga!$L435,0),"Bhava","Baalava","Kaulava","Taitula","Garija","Vanija","Vishti","Shakuni","Chatushapda","Naaga","Kimstugna")</f>
        <v>Taitula</v>
      </c>
      <c r="N435" s="25" t="str">
        <f ca="1">CHOOSE(ROUNDUP(Panchanga!$Q435,0),"Vishkambha-विष्कम्भ-Sa","Priti-प्रीति-Me","Ayushman-आयुष्मान-Ke","Saubhagya-सौभाग्य-Ve","Shobhana-शोभन-Su","Atiganda-अतिगण्ड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("&amp;Panchanga!$Q435&amp;")"</f>
        <v>Varigha-वरीयस्-Ju (17.76)</v>
      </c>
      <c r="O435" s="2">
        <f ca="1">IF(AND(Panchanga!$P435&lt;28.5,Panchanga!$P435&gt;0.49999),MOD((Panchanga!$P435-0.5)*2,7),MOD((Panchanga!$P435+30-28.5),30)*2+7)</f>
        <v>3.453000000000003</v>
      </c>
      <c r="P435" s="2">
        <f ca="1">ROUNDUP(MOD(360+Panchanga!$G435-Panchanga!$F435,360)/12,4)</f>
        <v>26.726500000000001</v>
      </c>
      <c r="Q435" s="2">
        <f t="shared" ca="1" si="63"/>
        <v>17.760000000000002</v>
      </c>
      <c r="R435" s="2" t="str">
        <f ca="1">SIGN(S436-Panchanga!$S435)*INT(Panchanga!$S435/30+1)&amp;"Ma,"&amp;SIGN(T436-Panchanga!$T435)*INT(Panchanga!$T435/30+1)&amp;"Me,"&amp;SIGN(U436-Panchanga!$U435)*INT(Panchanga!$U435/30+1)&amp;"Ju,"&amp;SIGN(V436-Panchanga!$V435)*INT(Panchanga!$V435/30+1)&amp;"Ve,"&amp;SIGN(W436-Panchanga!$W435)*INT(Panchanga!$W435/30+1)&amp;"Sa,"&amp;INT(Panchanga!$X435/30+1)&amp;"Ra"</f>
        <v>1Ma,12Me,8Ju,10Ve,9Sa,4Ra</v>
      </c>
      <c r="S435" s="2">
        <f ca="1">Planet(Panchanga!$E435,4)</f>
        <v>17.054713363010777</v>
      </c>
      <c r="T435" s="2">
        <f ca="1">Planet(Panchanga!$E435,2)</f>
        <v>334.95046056002104</v>
      </c>
      <c r="U435" s="2">
        <f ca="1">Planet(Panchanga!$E435,5)</f>
        <v>237.98400170448383</v>
      </c>
      <c r="V435" s="2">
        <f ca="1">Planet(Panchanga!$E435,3)</f>
        <v>277.46744322335923</v>
      </c>
      <c r="W435" s="2">
        <f ca="1">Planet(Panchanga!$E435,6)</f>
        <v>263.79369799046958</v>
      </c>
      <c r="X435" s="2">
        <f ca="1">Planet(Panchanga!$E435,10)</f>
        <v>90.214786877770635</v>
      </c>
      <c r="Y435" s="2">
        <f ca="1">SIGN(S436-Panchanga!$S435)</f>
        <v>1</v>
      </c>
    </row>
    <row r="436" spans="1:25" x14ac:dyDescent="0.2">
      <c r="A436" s="3">
        <f t="shared" ca="1" si="64"/>
        <v>43528</v>
      </c>
      <c r="B436" s="3">
        <f t="shared" ca="1" si="57"/>
        <v>43528.229166666664</v>
      </c>
      <c r="C436" s="5">
        <f t="shared" ca="1" si="58"/>
        <v>43528.267590250973</v>
      </c>
      <c r="D436" s="5">
        <f t="shared" ca="1" si="59"/>
        <v>43527.762203037782</v>
      </c>
      <c r="E436" s="60">
        <f ca="1">Panchanga!$C436-TimeZone/24</f>
        <v>43528.038423584308</v>
      </c>
      <c r="F436" s="61">
        <f t="shared" ca="1" si="60"/>
        <v>319.03139947634355</v>
      </c>
      <c r="G436" s="61">
        <f t="shared" ca="1" si="61"/>
        <v>290.5178365585453</v>
      </c>
      <c r="H436" s="62">
        <f t="shared" ca="1" si="62"/>
        <v>43528.038423584308</v>
      </c>
      <c r="I436" s="2" t="str">
        <f ca="1">naks(Panchanga!$G436)</f>
        <v>Sravana</v>
      </c>
      <c r="J436" s="5">
        <f ca="1">(C437-Panchanga!$C436)/(G437-Panchanga!$G436)*(13.3333333333333-MOD(Panchanga!$G436,13.333333333333))+Panchanga!$C436</f>
        <v>43528.506398923404</v>
      </c>
      <c r="K436" s="2" t="str">
        <f ca="1">IF(Panchanga!$P436&gt;15,"K","S")&amp;ROUNDUP(MOD(Panchanga!$P436,15),0)&amp;" ("&amp;ROUND(Panchanga!$P436,2)&amp;")"</f>
        <v>K13 (27.62)</v>
      </c>
      <c r="L436" s="2">
        <f ca="1">IF(AND(Panchanga!$P436&lt;28.5,Panchanga!$P436&gt;0.49999),MOD((Panchanga!$P436-0.5)*2,7),MOD((Panchanga!$P436+30-28.5),30)*2+7)</f>
        <v>5.247799999999998</v>
      </c>
      <c r="M436" s="2" t="str">
        <f ca="1">CHOOSE(ROUNDUP(Panchanga!$L436,0),"Bhava","Baalava","Kaulava","Taitula","Garija","Vanija","Vishti","Shakuni","Chatushapda","Naaga","Kimstugna")</f>
        <v>Vanija</v>
      </c>
      <c r="N436" s="25" t="str">
        <f ca="1">CHOOSE(ROUNDUP(Panchanga!$Q436,0),"Vishkambha-विष्कम्भ-Sa","Priti-प्रीति-Me","Ayushman-आयुष्मान-Ke","Saubhagya-सौभाग्य-Ve","Shobhana-शोभन-Su","Atiganda-अतिगण्ड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("&amp;Panchanga!$Q436&amp;")"</f>
        <v>Parigha-परिघ-Sa (18.72)</v>
      </c>
      <c r="O436" s="2">
        <f ca="1">IF(AND(Panchanga!$P436&lt;28.5,Panchanga!$P436&gt;0.49999),MOD((Panchanga!$P436-0.5)*2,7),MOD((Panchanga!$P436+30-28.5),30)*2+7)</f>
        <v>5.247799999999998</v>
      </c>
      <c r="P436" s="2">
        <f ca="1">ROUNDUP(MOD(360+Panchanga!$G436-Panchanga!$F436,360)/12,4)</f>
        <v>27.623899999999999</v>
      </c>
      <c r="Q436" s="2">
        <f t="shared" ca="1" si="63"/>
        <v>18.720000000000002</v>
      </c>
      <c r="R436" s="2" t="str">
        <f ca="1">SIGN(S437-Panchanga!$S436)*INT(Panchanga!$S436/30+1)&amp;"Ma,"&amp;SIGN(T437-Panchanga!$T436)*INT(Panchanga!$T436/30+1)&amp;"Me,"&amp;SIGN(U437-Panchanga!$U436)*INT(Panchanga!$U436/30+1)&amp;"Ju,"&amp;SIGN(V437-Panchanga!$V436)*INT(Panchanga!$V436/30+1)&amp;"Ve,"&amp;SIGN(W437-Panchanga!$W436)*INT(Panchanga!$W436/30+1)&amp;"Sa,"&amp;INT(Panchanga!$X436/30+1)&amp;"Ra"</f>
        <v>1Ma,12Me,8Ju,10Ve,9Sa,4Ra</v>
      </c>
      <c r="S436" s="2">
        <f ca="1">Planet(Panchanga!$E436,4)</f>
        <v>17.725940042613999</v>
      </c>
      <c r="T436" s="2">
        <f ca="1">Planet(Panchanga!$E436,2)</f>
        <v>335.2968366288369</v>
      </c>
      <c r="U436" s="2">
        <f ca="1">Planet(Panchanga!$E436,5)</f>
        <v>238.09429461511962</v>
      </c>
      <c r="V436" s="2">
        <f ca="1">Planet(Panchanga!$E436,3)</f>
        <v>278.65262766231308</v>
      </c>
      <c r="W436" s="2">
        <f ca="1">Planet(Panchanga!$E436,6)</f>
        <v>263.87757097252529</v>
      </c>
      <c r="X436" s="2">
        <f ca="1">Planet(Panchanga!$E436,10)</f>
        <v>90.161816165535114</v>
      </c>
      <c r="Y436" s="2">
        <f ca="1">SIGN(S437-Panchanga!$S436)</f>
        <v>1</v>
      </c>
    </row>
    <row r="437" spans="1:25" x14ac:dyDescent="0.2">
      <c r="A437" s="3">
        <f t="shared" ca="1" si="64"/>
        <v>43529</v>
      </c>
      <c r="B437" s="3">
        <f t="shared" ca="1" si="57"/>
        <v>43529.229166666664</v>
      </c>
      <c r="C437" s="5">
        <f t="shared" ca="1" si="58"/>
        <v>43529.267182555202</v>
      </c>
      <c r="D437" s="5">
        <f t="shared" ca="1" si="59"/>
        <v>43528.762313664003</v>
      </c>
      <c r="E437" s="60">
        <f ca="1">Panchanga!$C437-TimeZone/24</f>
        <v>43529.038015888538</v>
      </c>
      <c r="F437" s="61">
        <f t="shared" ca="1" si="60"/>
        <v>320.03369916929807</v>
      </c>
      <c r="G437" s="61">
        <f t="shared" ca="1" si="61"/>
        <v>302.30278925739947</v>
      </c>
      <c r="H437" s="62">
        <f t="shared" ca="1" si="62"/>
        <v>43529.038015888538</v>
      </c>
      <c r="I437" s="2" t="str">
        <f ca="1">naks(Panchanga!$G437)</f>
        <v>Dhanistha</v>
      </c>
      <c r="J437" s="5">
        <f ca="1">(C438-Panchanga!$C437)/(G438-Panchanga!$G437)*(13.3333333333333-MOD(Panchanga!$G437,13.333333333333))+Panchanga!$C437</f>
        <v>43529.635594587482</v>
      </c>
      <c r="K437" s="2" t="str">
        <f ca="1">IF(Panchanga!$P437&gt;15,"K","S")&amp;ROUNDUP(MOD(Panchanga!$P437,15),0)&amp;" ("&amp;ROUND(Panchanga!$P437,2)&amp;")"</f>
        <v>K14 (28.52)</v>
      </c>
      <c r="L437" s="2">
        <f ca="1">IF(AND(Panchanga!$P437&lt;28.5,Panchanga!$P437&gt;0.49999),MOD((Panchanga!$P437-0.5)*2,7),MOD((Panchanga!$P437+30-28.5),30)*2+7)</f>
        <v>7.0450000000000017</v>
      </c>
      <c r="M437" s="2" t="str">
        <f ca="1">CHOOSE(ROUNDUP(Panchanga!$L437,0),"Bhava","Baalava","Kaulava","Taitula","Garija","Vanija","Vishti","Shakuni","Chatushapda","Naaga","Kimstugna")</f>
        <v>Shakuni</v>
      </c>
      <c r="N437" s="25" t="str">
        <f ca="1">CHOOSE(ROUNDUP(Panchanga!$Q437,0),"Vishkambha-विष्कम्भ-Sa","Priti-प्रीति-Me","Ayushman-आयुष्मान-Ke","Saubhagya-सौभाग्य-Ve","Shobhana-शोभन-Su","Atiganda-अतिगण्ड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("&amp;Panchanga!$Q437&amp;")"</f>
        <v>Shiva-शिव-Me (19.68)</v>
      </c>
      <c r="O437" s="2">
        <f ca="1">IF(AND(Panchanga!$P437&lt;28.5,Panchanga!$P437&gt;0.49999),MOD((Panchanga!$P437-0.5)*2,7),MOD((Panchanga!$P437+30-28.5),30)*2+7)</f>
        <v>7.0450000000000017</v>
      </c>
      <c r="P437" s="2">
        <f ca="1">ROUNDUP(MOD(360+Panchanga!$G437-Panchanga!$F437,360)/12,4)</f>
        <v>28.522500000000001</v>
      </c>
      <c r="Q437" s="2">
        <f t="shared" ca="1" si="63"/>
        <v>19.680000000000003</v>
      </c>
      <c r="R437" s="2" t="str">
        <f ca="1">SIGN(S438-Panchanga!$S437)*INT(Panchanga!$S437/30+1)&amp;"Ma,"&amp;SIGN(T438-Panchanga!$T437)*INT(Panchanga!$T437/30+1)&amp;"Me,"&amp;SIGN(U438-Panchanga!$U437)*INT(Panchanga!$U437/30+1)&amp;"Ju,"&amp;SIGN(V438-Panchanga!$V437)*INT(Panchanga!$V437/30+1)&amp;"Ve,"&amp;SIGN(W438-Panchanga!$W437)*INT(Panchanga!$W437/30+1)&amp;"Sa,"&amp;INT(Panchanga!$X437/30+1)&amp;"Ra"</f>
        <v>1Ma,12Me,8Ju,10Ve,9Sa,4Ra</v>
      </c>
      <c r="S437" s="2">
        <f ca="1">Planet(Panchanga!$E437,4)</f>
        <v>18.396906978251241</v>
      </c>
      <c r="T437" s="2">
        <f ca="1">Planet(Panchanga!$E437,2)</f>
        <v>335.48769255960531</v>
      </c>
      <c r="U437" s="2">
        <f ca="1">Planet(Panchanga!$E437,5)</f>
        <v>238.20208930597937</v>
      </c>
      <c r="V437" s="2">
        <f ca="1">Planet(Panchanga!$E437,3)</f>
        <v>279.83880375587762</v>
      </c>
      <c r="W437" s="2">
        <f ca="1">Planet(Panchanga!$E437,6)</f>
        <v>263.96032221143685</v>
      </c>
      <c r="X437" s="2">
        <f ca="1">Planet(Panchanga!$E437,10)</f>
        <v>90.108845773361807</v>
      </c>
      <c r="Y437" s="2">
        <f ca="1">SIGN(S438-Panchanga!$S437)</f>
        <v>1</v>
      </c>
    </row>
    <row r="438" spans="1:25" x14ac:dyDescent="0.2">
      <c r="A438" s="3">
        <f t="shared" ca="1" si="64"/>
        <v>43530</v>
      </c>
      <c r="B438" s="3">
        <f t="shared" ca="1" si="57"/>
        <v>43530.229166666664</v>
      </c>
      <c r="C438" s="5">
        <f t="shared" ca="1" si="58"/>
        <v>43530.266769137386</v>
      </c>
      <c r="D438" s="5">
        <f t="shared" ca="1" si="59"/>
        <v>43529.762419681108</v>
      </c>
      <c r="E438" s="60">
        <f ca="1">Panchanga!$C438-TimeZone/24</f>
        <v>43530.037602470722</v>
      </c>
      <c r="F438" s="61">
        <f t="shared" ca="1" si="60"/>
        <v>321.03550770449488</v>
      </c>
      <c r="G438" s="61">
        <f t="shared" ca="1" si="61"/>
        <v>314.14299240596984</v>
      </c>
      <c r="H438" s="62">
        <f t="shared" ca="1" si="62"/>
        <v>43530.037602470722</v>
      </c>
      <c r="I438" s="2" t="str">
        <f ca="1">naks(Panchanga!$G438)</f>
        <v>Satabhisaj</v>
      </c>
      <c r="J438" s="5">
        <f ca="1">(C439-Panchanga!$C438)/(G439-Panchanga!$G438)*(13.3333333333333-MOD(Panchanga!$G438,13.333333333333))+Panchanga!$C438</f>
        <v>43530.75759377105</v>
      </c>
      <c r="K438" s="2" t="str">
        <f ca="1">IF(Panchanga!$P438&gt;15,"K","S")&amp;ROUNDUP(MOD(Panchanga!$P438,15),0)&amp;" ("&amp;ROUND(Panchanga!$P438,2)&amp;")"</f>
        <v>K15 (29.43)</v>
      </c>
      <c r="L438" s="2">
        <f ca="1">IF(AND(Panchanga!$P438&lt;28.5,Panchanga!$P438&gt;0.49999),MOD((Panchanga!$P438-0.5)*2,7),MOD((Panchanga!$P438+30-28.5),30)*2+7)</f>
        <v>8.8513999999999982</v>
      </c>
      <c r="M438" s="2" t="str">
        <f ca="1">CHOOSE(ROUNDUP(Panchanga!$L438,0),"Bhava","Baalava","Kaulava","Taitula","Garija","Vanija","Vishti","Shakuni","Chatushapda","Naaga","Kimstugna")</f>
        <v>Chatushapda</v>
      </c>
      <c r="N438" s="25" t="str">
        <f ca="1">CHOOSE(ROUNDUP(Panchanga!$Q438,0),"Vishkambha-विष्कम्भ-Sa","Priti-प्रीति-Me","Ayushman-आयुष्मान-Ke","Saubhagya-सौभाग्य-Ve","Shobhana-शोभन-Su","Atiganda-अतिगण्ड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("&amp;Panchanga!$Q438&amp;")"</f>
        <v>Siddha-सिद्ध-Ke (20.64)</v>
      </c>
      <c r="O438" s="2">
        <f ca="1">IF(AND(Panchanga!$P438&lt;28.5,Panchanga!$P438&gt;0.49999),MOD((Panchanga!$P438-0.5)*2,7),MOD((Panchanga!$P438+30-28.5),30)*2+7)</f>
        <v>8.8513999999999982</v>
      </c>
      <c r="P438" s="2">
        <f ca="1">ROUNDUP(MOD(360+Panchanga!$G438-Panchanga!$F438,360)/12,4)</f>
        <v>29.425699999999999</v>
      </c>
      <c r="Q438" s="2">
        <f t="shared" ca="1" si="63"/>
        <v>20.64</v>
      </c>
      <c r="R438" s="2" t="str">
        <f ca="1">SIGN(S439-Panchanga!$S438)*INT(Panchanga!$S438/30+1)&amp;"Ma,"&amp;SIGN(T439-Panchanga!$T438)*INT(Panchanga!$T438/30+1)&amp;"Me,"&amp;SIGN(U439-Panchanga!$U438)*INT(Panchanga!$U438/30+1)&amp;"Ju,"&amp;SIGN(V439-Panchanga!$V438)*INT(Panchanga!$V438/30+1)&amp;"Ve,"&amp;SIGN(W439-Panchanga!$W438)*INT(Panchanga!$W438/30+1)&amp;"Sa,"&amp;INT(Panchanga!$X438/30+1)&amp;"Ra"</f>
        <v>1Ma,-12Me,8Ju,10Ve,9Sa,4Ra</v>
      </c>
      <c r="S438" s="2">
        <f ca="1">Planet(Panchanga!$E438,4)</f>
        <v>19.067608142574599</v>
      </c>
      <c r="T438" s="2">
        <f ca="1">Planet(Panchanga!$E438,2)</f>
        <v>335.52267446571619</v>
      </c>
      <c r="U438" s="2">
        <f ca="1">Planet(Panchanga!$E438,5)</f>
        <v>238.30735734385604</v>
      </c>
      <c r="V438" s="2">
        <f ca="1">Planet(Panchanga!$E438,3)</f>
        <v>281.02592984713482</v>
      </c>
      <c r="W438" s="2">
        <f ca="1">Planet(Panchanga!$E438,6)</f>
        <v>264.04193424553546</v>
      </c>
      <c r="X438" s="2">
        <f ca="1">Planet(Panchanga!$E438,10)</f>
        <v>90.055875684433289</v>
      </c>
      <c r="Y438" s="2">
        <f ca="1">SIGN(S439-Panchanga!$S438)</f>
        <v>1</v>
      </c>
    </row>
    <row r="439" spans="1:25" x14ac:dyDescent="0.2">
      <c r="A439" s="3">
        <f t="shared" ca="1" si="64"/>
        <v>43531</v>
      </c>
      <c r="B439" s="3">
        <f t="shared" ca="1" si="57"/>
        <v>43531.229166666664</v>
      </c>
      <c r="C439" s="5">
        <f t="shared" ca="1" si="58"/>
        <v>43531.26635015678</v>
      </c>
      <c r="D439" s="5">
        <f t="shared" ca="1" si="59"/>
        <v>43530.762521406214</v>
      </c>
      <c r="E439" s="60">
        <f ca="1">Panchanga!$C439-TimeZone/24</f>
        <v>43531.037183490116</v>
      </c>
      <c r="F439" s="61">
        <f t="shared" ca="1" si="60"/>
        <v>322.03680734443236</v>
      </c>
      <c r="G439" s="61">
        <f t="shared" ca="1" si="61"/>
        <v>326.0709870907005</v>
      </c>
      <c r="H439" s="62">
        <f t="shared" ca="1" si="62"/>
        <v>43531.037183490116</v>
      </c>
      <c r="I439" s="2" t="str">
        <f ca="1">naks(Panchanga!$G439)</f>
        <v>Purva Bhadrapada</v>
      </c>
      <c r="J439" s="5">
        <f ca="1">(C440-Panchanga!$C439)/(G440-Panchanga!$G439)*(13.3333333333333-MOD(Panchanga!$G439,13.333333333333))+Panchanga!$C439</f>
        <v>43531.869237893268</v>
      </c>
      <c r="K439" s="2" t="str">
        <f ca="1">IF(Panchanga!$P439&gt;15,"K","S")&amp;ROUNDUP(MOD(Panchanga!$P439,15),0)&amp;" ("&amp;ROUND(Panchanga!$P439,2)&amp;")"</f>
        <v>S1 (0.34)</v>
      </c>
      <c r="L439" s="2">
        <f ca="1">IF(AND(Panchanga!$P439&lt;28.5,Panchanga!$P439&gt;0.49999),MOD((Panchanga!$P439-0.5)*2,7),MOD((Panchanga!$P439+30-28.5),30)*2+7)</f>
        <v>10.672400000000003</v>
      </c>
      <c r="M439" s="2" t="str">
        <f ca="1">CHOOSE(ROUNDUP(Panchanga!$L439,0),"Bhava","Baalava","Kaulava","Taitula","Garija","Vanija","Vishti","Shakuni","Chatushapda","Naaga","Kimstugna")</f>
        <v>Kimstugna</v>
      </c>
      <c r="N439" s="25" t="str">
        <f ca="1">CHOOSE(ROUNDUP(Panchanga!$Q439,0),"Vishkambha-विष्कम्भ-Sa","Priti-प्रीति-Me","Ayushman-आयुष्मान-Ke","Saubhagya-सौभाग्य-Ve","Shobhana-शोभन-Su","Atiganda-अतिगण्ड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("&amp;Panchanga!$Q439&amp;")"</f>
        <v>Sadhya-साध्य-Ve (21.61)</v>
      </c>
      <c r="O439" s="2">
        <f ca="1">IF(AND(Panchanga!$P439&lt;28.5,Panchanga!$P439&gt;0.49999),MOD((Panchanga!$P439-0.5)*2,7),MOD((Panchanga!$P439+30-28.5),30)*2+7)</f>
        <v>10.672400000000003</v>
      </c>
      <c r="P439" s="2">
        <f ca="1">ROUNDUP(MOD(360+Panchanga!$G439-Panchanga!$F439,360)/12,4)</f>
        <v>0.3362</v>
      </c>
      <c r="Q439" s="2">
        <f t="shared" ca="1" si="63"/>
        <v>21.610000000000003</v>
      </c>
      <c r="R439" s="2" t="str">
        <f ca="1">SIGN(S440-Panchanga!$S439)*INT(Panchanga!$S439/30+1)&amp;"Ma,"&amp;SIGN(T440-Panchanga!$T439)*INT(Panchanga!$T439/30+1)&amp;"Me,"&amp;SIGN(U440-Panchanga!$U439)*INT(Panchanga!$U439/30+1)&amp;"Ju,"&amp;SIGN(V440-Panchanga!$V439)*INT(Panchanga!$V439/30+1)&amp;"Ve,"&amp;SIGN(W440-Panchanga!$W439)*INT(Panchanga!$W439/30+1)&amp;"Sa,"&amp;INT(Panchanga!$X439/30+1)&amp;"Ra"</f>
        <v>1Ma,-12Me,8Ju,10Ve,9Sa,4Ra</v>
      </c>
      <c r="S439" s="2">
        <f ca="1">Planet(Panchanga!$E439,4)</f>
        <v>19.738036276145142</v>
      </c>
      <c r="T439" s="2">
        <f ca="1">Planet(Panchanga!$E439,2)</f>
        <v>335.40397057525848</v>
      </c>
      <c r="U439" s="2">
        <f ca="1">Planet(Panchanga!$E439,5)</f>
        <v>238.41007097268977</v>
      </c>
      <c r="V439" s="2">
        <f ca="1">Planet(Panchanga!$E439,3)</f>
        <v>282.21396576897359</v>
      </c>
      <c r="W439" s="2">
        <f ca="1">Planet(Panchanga!$E439,6)</f>
        <v>264.12238989007437</v>
      </c>
      <c r="X439" s="2">
        <f ca="1">Planet(Panchanga!$E439,10)</f>
        <v>90.002905890266263</v>
      </c>
      <c r="Y439" s="2">
        <f ca="1">SIGN(S440-Panchanga!$S439)</f>
        <v>1</v>
      </c>
    </row>
    <row r="440" spans="1:25" x14ac:dyDescent="0.2">
      <c r="A440" s="3">
        <f t="shared" ca="1" si="64"/>
        <v>43532</v>
      </c>
      <c r="B440" s="3">
        <f t="shared" ca="1" si="57"/>
        <v>43532.229166666664</v>
      </c>
      <c r="C440" s="5">
        <f t="shared" ca="1" si="58"/>
        <v>43532.2659259305</v>
      </c>
      <c r="D440" s="5">
        <f t="shared" ca="1" si="59"/>
        <v>43531.762618999041</v>
      </c>
      <c r="E440" s="60">
        <f ca="1">Panchanga!$C440-TimeZone/24</f>
        <v>43532.036759263836</v>
      </c>
      <c r="F440" s="61">
        <f t="shared" ca="1" si="60"/>
        <v>323.03758007188435</v>
      </c>
      <c r="G440" s="61">
        <f t="shared" ca="1" si="61"/>
        <v>338.11181148490203</v>
      </c>
      <c r="H440" s="62">
        <f t="shared" ca="1" si="62"/>
        <v>43532.036759263836</v>
      </c>
      <c r="I440" s="2" t="str">
        <f ca="1">naks(Panchanga!$G440)</f>
        <v>Uttara Bhadrapada</v>
      </c>
      <c r="J440" s="5">
        <f ca="1">(C441-Panchanga!$C440)/(G441-Panchanga!$G440)*(13.3333333333333-MOD(Panchanga!$G440,13.333333333333))+Panchanga!$C440</f>
        <v>43532.968311619537</v>
      </c>
      <c r="K440" s="2" t="str">
        <f ca="1">IF(Panchanga!$P440&gt;15,"K","S")&amp;ROUNDUP(MOD(Panchanga!$P440,15),0)&amp;" ("&amp;ROUND(Panchanga!$P440,2)&amp;")"</f>
        <v>S2 (1.26)</v>
      </c>
      <c r="L440" s="2">
        <f ca="1">IF(AND(Panchanga!$P440&lt;28.5,Panchanga!$P440&gt;0.49999),MOD((Panchanga!$P440-0.5)*2,7),MOD((Panchanga!$P440+30-28.5),30)*2+7)</f>
        <v>1.5124</v>
      </c>
      <c r="M440" s="2" t="str">
        <f ca="1">CHOOSE(ROUNDUP(Panchanga!$L440,0),"Bhava","Baalava","Kaulava","Taitula","Garija","Vanija","Vishti","Shakuni","Chatushapda","Naaga","Kimstugna")</f>
        <v>Baalava</v>
      </c>
      <c r="N440" s="25" t="str">
        <f ca="1">CHOOSE(ROUNDUP(Panchanga!$Q440,0),"Vishkambha-विष्कम्भ-Sa","Priti-प्रीति-Me","Ayushman-आयुष्मान-Ke","Saubhagya-सौभाग्य-Ve","Shobhana-शोभन-Su","Atiganda-अतिगण्ड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("&amp;Panchanga!$Q440&amp;")"</f>
        <v>Shubha-शुभ-Su (22.59)</v>
      </c>
      <c r="O440" s="2">
        <f ca="1">IF(AND(Panchanga!$P440&lt;28.5,Panchanga!$P440&gt;0.49999),MOD((Panchanga!$P440-0.5)*2,7),MOD((Panchanga!$P440+30-28.5),30)*2+7)</f>
        <v>1.5124</v>
      </c>
      <c r="P440" s="2">
        <f ca="1">ROUNDUP(MOD(360+Panchanga!$G440-Panchanga!$F440,360)/12,4)</f>
        <v>1.2562</v>
      </c>
      <c r="Q440" s="2">
        <f t="shared" ca="1" si="63"/>
        <v>22.59</v>
      </c>
      <c r="R440" s="2" t="str">
        <f ca="1">SIGN(S441-Panchanga!$S440)*INT(Panchanga!$S440/30+1)&amp;"Ma,"&amp;SIGN(T441-Panchanga!$T440)*INT(Panchanga!$T440/30+1)&amp;"Me,"&amp;SIGN(U441-Panchanga!$U440)*INT(Panchanga!$U440/30+1)&amp;"Ju,"&amp;SIGN(V441-Panchanga!$V440)*INT(Panchanga!$V440/30+1)&amp;"Ve,"&amp;SIGN(W441-Panchanga!$W440)*INT(Panchanga!$W440/30+1)&amp;"Sa,"&amp;INT(Panchanga!$X440/30+1)&amp;"Ra"</f>
        <v>1Ma,-12Me,8Ju,10Ve,9Sa,3Ra</v>
      </c>
      <c r="S440" s="2">
        <f ca="1">Planet(Panchanga!$E440,4)</f>
        <v>20.408183095299062</v>
      </c>
      <c r="T440" s="2">
        <f ca="1">Planet(Panchanga!$E440,2)</f>
        <v>335.13652204255419</v>
      </c>
      <c r="U440" s="2">
        <f ca="1">Planet(Panchanga!$E440,5)</f>
        <v>238.51020324407907</v>
      </c>
      <c r="V440" s="2">
        <f ca="1">Planet(Panchanga!$E440,3)</f>
        <v>283.40287346500349</v>
      </c>
      <c r="W440" s="2">
        <f ca="1">Planet(Panchanga!$E440,6)</f>
        <v>264.20167232202294</v>
      </c>
      <c r="X440" s="2">
        <f ca="1">Planet(Panchanga!$E440,10)</f>
        <v>89.949936374093284</v>
      </c>
      <c r="Y440" s="2">
        <f ca="1">SIGN(S441-Panchanga!$S440)</f>
        <v>1</v>
      </c>
    </row>
    <row r="441" spans="1:25" x14ac:dyDescent="0.2">
      <c r="A441" s="3">
        <f t="shared" ca="1" si="64"/>
        <v>43533</v>
      </c>
      <c r="B441" s="3">
        <f t="shared" ca="1" si="57"/>
        <v>43533.229166666664</v>
      </c>
      <c r="C441" s="5">
        <f t="shared" ca="1" si="58"/>
        <v>43533.265496777058</v>
      </c>
      <c r="D441" s="5">
        <f t="shared" ca="1" si="59"/>
        <v>43532.762712617914</v>
      </c>
      <c r="E441" s="60">
        <f ca="1">Panchanga!$C441-TimeZone/24</f>
        <v>43533.036330110393</v>
      </c>
      <c r="F441" s="61">
        <f t="shared" ca="1" si="60"/>
        <v>324.0378078356166</v>
      </c>
      <c r="G441" s="61">
        <f t="shared" ca="1" si="61"/>
        <v>350.28629620136331</v>
      </c>
      <c r="H441" s="62">
        <f t="shared" ca="1" si="62"/>
        <v>43533.036330110393</v>
      </c>
      <c r="I441" s="2" t="str">
        <f ca="1">naks(Panchanga!$G441)</f>
        <v>Revati</v>
      </c>
      <c r="J441" s="5">
        <f ca="1">(C442-Panchanga!$C441)/(G442-Panchanga!$G441)*(13.3333333333333-MOD(Panchanga!$G441,13.333333333333))+Panchanga!$C441</f>
        <v>43533.237569588273</v>
      </c>
      <c r="K441" s="2" t="str">
        <f ca="1">IF(Panchanga!$P441&gt;15,"K","S")&amp;ROUNDUP(MOD(Panchanga!$P441,15),0)&amp;" ("&amp;ROUND(Panchanga!$P441,2)&amp;")"</f>
        <v>S3 (2.19)</v>
      </c>
      <c r="L441" s="2">
        <f ca="1">IF(AND(Panchanga!$P441&lt;28.5,Panchanga!$P441&gt;0.49999),MOD((Panchanga!$P441-0.5)*2,7),MOD((Panchanga!$P441+30-28.5),30)*2+7)</f>
        <v>3.3748000000000005</v>
      </c>
      <c r="M441" s="2" t="str">
        <f ca="1">CHOOSE(ROUNDUP(Panchanga!$L441,0),"Bhava","Baalava","Kaulava","Taitula","Garija","Vanija","Vishti","Shakuni","Chatushapda","Naaga","Kimstugna")</f>
        <v>Taitula</v>
      </c>
      <c r="N441" s="25" t="str">
        <f ca="1">CHOOSE(ROUNDUP(Panchanga!$Q441,0),"Vishkambha-विष्कम्भ-Sa","Priti-प्रीति-Me","Ayushman-आयुष्मान-Ke","Saubhagya-सौभाग्य-Ve","Shobhana-शोभन-Su","Atiganda-अतिगण्ड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("&amp;Panchanga!$Q441&amp;")"</f>
        <v>Shukla-शुक्ल-Mo (23.58)</v>
      </c>
      <c r="O441" s="2">
        <f ca="1">IF(AND(Panchanga!$P441&lt;28.5,Panchanga!$P441&gt;0.49999),MOD((Panchanga!$P441-0.5)*2,7),MOD((Panchanga!$P441+30-28.5),30)*2+7)</f>
        <v>3.3748000000000005</v>
      </c>
      <c r="P441" s="2">
        <f ca="1">ROUNDUP(MOD(360+Panchanga!$G441-Panchanga!$F441,360)/12,4)</f>
        <v>2.1874000000000002</v>
      </c>
      <c r="Q441" s="2">
        <f t="shared" ca="1" si="63"/>
        <v>23.580000000000002</v>
      </c>
      <c r="R441" s="2" t="str">
        <f ca="1">SIGN(S442-Panchanga!$S441)*INT(Panchanga!$S441/30+1)&amp;"Ma,"&amp;SIGN(T442-Panchanga!$T441)*INT(Panchanga!$T441/30+1)&amp;"Me,"&amp;SIGN(U442-Panchanga!$U441)*INT(Panchanga!$U441/30+1)&amp;"Ju,"&amp;SIGN(V442-Panchanga!$V441)*INT(Panchanga!$V441/30+1)&amp;"Ve,"&amp;SIGN(W442-Panchanga!$W441)*INT(Panchanga!$W441/30+1)&amp;"Sa,"&amp;INT(Panchanga!$X441/30+1)&amp;"Ra"</f>
        <v>1Ma,-12Me,8Ju,10Ve,9Sa,3Ra</v>
      </c>
      <c r="S441" s="2">
        <f ca="1">Planet(Panchanga!$E441,4)</f>
        <v>21.078039238153139</v>
      </c>
      <c r="T441" s="2">
        <f ca="1">Planet(Panchanga!$E441,2)</f>
        <v>334.72816708754112</v>
      </c>
      <c r="U441" s="2">
        <f ca="1">Planet(Panchanga!$E441,5)</f>
        <v>238.60772809278421</v>
      </c>
      <c r="V441" s="2">
        <f ca="1">Planet(Panchanga!$E441,3)</f>
        <v>284.59261711286138</v>
      </c>
      <c r="W441" s="2">
        <f ca="1">Planet(Panchanga!$E441,6)</f>
        <v>264.27976512192885</v>
      </c>
      <c r="X441" s="2">
        <f ca="1">Planet(Panchanga!$E441,10)</f>
        <v>89.896967118997395</v>
      </c>
      <c r="Y441" s="2">
        <f ca="1">SIGN(S442-Panchanga!$S441)</f>
        <v>1</v>
      </c>
    </row>
    <row r="442" spans="1:25" x14ac:dyDescent="0.2">
      <c r="A442" s="3">
        <f t="shared" ca="1" si="64"/>
        <v>43534</v>
      </c>
      <c r="B442" s="3">
        <f t="shared" ca="1" si="57"/>
        <v>43534.229166666664</v>
      </c>
      <c r="C442" s="5">
        <f t="shared" ca="1" si="58"/>
        <v>43534.265062696453</v>
      </c>
      <c r="D442" s="5">
        <f t="shared" ca="1" si="59"/>
        <v>43533.7628022633</v>
      </c>
      <c r="E442" s="60">
        <f ca="1">Panchanga!$C442-TimeZone/24</f>
        <v>43534.035896029789</v>
      </c>
      <c r="F442" s="61">
        <f t="shared" ca="1" si="60"/>
        <v>325.03747270345582</v>
      </c>
      <c r="G442" s="61">
        <f t="shared" ca="1" si="61"/>
        <v>2.6148085961787135</v>
      </c>
      <c r="H442" s="62">
        <f t="shared" ca="1" si="62"/>
        <v>43534.035896029789</v>
      </c>
      <c r="I442" s="2" t="str">
        <f ca="1">naks(Panchanga!$G442)</f>
        <v>Aswini</v>
      </c>
      <c r="J442" s="5">
        <f ca="1">(C443-Panchanga!$C442)/(G443-Panchanga!$G442)*(13.3333333333333-MOD(Panchanga!$G442,13.333333333333))+Panchanga!$C442</f>
        <v>43535.121753335276</v>
      </c>
      <c r="K442" s="2" t="str">
        <f ca="1">IF(Panchanga!$P442&gt;15,"K","S")&amp;ROUNDUP(MOD(Panchanga!$P442,15),0)&amp;" ("&amp;ROUND(Panchanga!$P442,2)&amp;")"</f>
        <v>S4 (3.13)</v>
      </c>
      <c r="L442" s="2">
        <f ca="1">IF(AND(Panchanga!$P442&lt;28.5,Panchanga!$P442&gt;0.49999),MOD((Panchanga!$P442-0.5)*2,7),MOD((Panchanga!$P442+30-28.5),30)*2+7)</f>
        <v>5.2630000000000008</v>
      </c>
      <c r="M442" s="2" t="str">
        <f ca="1">CHOOSE(ROUNDUP(Panchanga!$L442,0),"Bhava","Baalava","Kaulava","Taitula","Garija","Vanija","Vishti","Shakuni","Chatushapda","Naaga","Kimstugna")</f>
        <v>Vanija</v>
      </c>
      <c r="N442" s="25" t="str">
        <f ca="1">CHOOSE(ROUNDUP(Panchanga!$Q442,0),"Vishkambha-विष्कम्भ-Sa","Priti-प्रीति-Me","Ayushman-आयुष्मान-Ke","Saubhagya-सौभाग्य-Ve","Shobhana-शोभन-Su","Atiganda-अतिगण्ड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("&amp;Panchanga!$Q442&amp;")"</f>
        <v>Brahma-ब्रह्म-Ma (24.58)</v>
      </c>
      <c r="O442" s="2">
        <f ca="1">IF(AND(Panchanga!$P442&lt;28.5,Panchanga!$P442&gt;0.49999),MOD((Panchanga!$P442-0.5)*2,7),MOD((Panchanga!$P442+30-28.5),30)*2+7)</f>
        <v>5.2630000000000008</v>
      </c>
      <c r="P442" s="2">
        <f ca="1">ROUNDUP(MOD(360+Panchanga!$G442-Panchanga!$F442,360)/12,4)</f>
        <v>3.1315000000000004</v>
      </c>
      <c r="Q442" s="2">
        <f t="shared" ca="1" si="63"/>
        <v>24.580000000000002</v>
      </c>
      <c r="R442" s="2" t="str">
        <f ca="1">SIGN(S443-Panchanga!$S442)*INT(Panchanga!$S442/30+1)&amp;"Ma,"&amp;SIGN(T443-Panchanga!$T442)*INT(Panchanga!$T442/30+1)&amp;"Me,"&amp;SIGN(U443-Panchanga!$U442)*INT(Panchanga!$U442/30+1)&amp;"Ju,"&amp;SIGN(V443-Panchanga!$V442)*INT(Panchanga!$V442/30+1)&amp;"Ve,"&amp;SIGN(W443-Panchanga!$W442)*INT(Panchanga!$W442/30+1)&amp;"Sa,"&amp;INT(Panchanga!$X442/30+1)&amp;"Ra"</f>
        <v>1Ma,-12Me,8Ju,10Ve,9Sa,3Ra</v>
      </c>
      <c r="S442" s="2">
        <f ca="1">Planet(Panchanga!$E442,4)</f>
        <v>21.747594172408487</v>
      </c>
      <c r="T442" s="2">
        <f ca="1">Planet(Panchanga!$E442,2)</f>
        <v>334.18968911062694</v>
      </c>
      <c r="U442" s="2">
        <f ca="1">Planet(Panchanga!$E442,5)</f>
        <v>238.70262037533192</v>
      </c>
      <c r="V442" s="2">
        <f ca="1">Planet(Panchanga!$E442,3)</f>
        <v>285.78316303373572</v>
      </c>
      <c r="W442" s="2">
        <f ca="1">Planet(Panchanga!$E442,6)</f>
        <v>264.35665230540894</v>
      </c>
      <c r="X442" s="2">
        <f ca="1">Planet(Panchanga!$E442,10)</f>
        <v>89.843998125044976</v>
      </c>
      <c r="Y442" s="2">
        <f ca="1">SIGN(S443-Panchanga!$S442)</f>
        <v>1</v>
      </c>
    </row>
    <row r="443" spans="1:25" x14ac:dyDescent="0.2">
      <c r="A443" s="3">
        <f t="shared" ca="1" si="64"/>
        <v>43535</v>
      </c>
      <c r="B443" s="3">
        <f t="shared" ca="1" si="57"/>
        <v>43535.229166666664</v>
      </c>
      <c r="C443" s="5">
        <f t="shared" ca="1" si="58"/>
        <v>43535.264624165058</v>
      </c>
      <c r="D443" s="5">
        <f t="shared" ca="1" si="59"/>
        <v>43534.762888252779</v>
      </c>
      <c r="E443" s="60">
        <f ca="1">Panchanga!$C443-TimeZone/24</f>
        <v>43535.035457498394</v>
      </c>
      <c r="F443" s="61">
        <f t="shared" ca="1" si="60"/>
        <v>326.03655813781859</v>
      </c>
      <c r="G443" s="61">
        <f t="shared" ca="1" si="61"/>
        <v>15.120868359168776</v>
      </c>
      <c r="H443" s="62">
        <f t="shared" ca="1" si="62"/>
        <v>43535.035457498394</v>
      </c>
      <c r="I443" s="2" t="str">
        <f ca="1">naks(Panchanga!$G443)</f>
        <v>Bharani</v>
      </c>
      <c r="J443" s="5">
        <f ca="1">(C444-Panchanga!$C443)/(G444-Panchanga!$G443)*(13.3333333333333-MOD(Panchanga!$G443,13.333333333333))+Panchanga!$C443</f>
        <v>43536.172415044843</v>
      </c>
      <c r="K443" s="2" t="str">
        <f ca="1">IF(Panchanga!$P443&gt;15,"K","S")&amp;ROUNDUP(MOD(Panchanga!$P443,15),0)&amp;" ("&amp;ROUND(Panchanga!$P443,2)&amp;")"</f>
        <v>S5 (4.09)</v>
      </c>
      <c r="L443" s="2">
        <f ca="1">IF(AND(Panchanga!$P443&lt;28.5,Panchanga!$P443&gt;0.49999),MOD((Panchanga!$P443-0.5)*2,7),MOD((Panchanga!$P443+30-28.5),30)*2+7)</f>
        <v>0.18079999999999963</v>
      </c>
      <c r="M443" s="2" t="str">
        <f ca="1">CHOOSE(ROUNDUP(Panchanga!$L443,0),"Bhava","Baalava","Kaulava","Taitula","Garija","Vanija","Vishti","Shakuni","Chatushapda","Naaga","Kimstugna")</f>
        <v>Bhava</v>
      </c>
      <c r="N443" s="25" t="str">
        <f ca="1">CHOOSE(ROUNDUP(Panchanga!$Q443,0),"Vishkambha-विष्कम्भ-Sa","Priti-प्रीति-Me","Ayushman-आयुष्मान-Ke","Saubhagya-सौभाग्य-Ve","Shobhana-शोभन-Su","Atiganda-अतिगण्ड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("&amp;Panchanga!$Q443&amp;")"</f>
        <v>Mahendra-महेन्द्र-Ra (25.59)</v>
      </c>
      <c r="O443" s="2">
        <f ca="1">IF(AND(Panchanga!$P443&lt;28.5,Panchanga!$P443&gt;0.49999),MOD((Panchanga!$P443-0.5)*2,7),MOD((Panchanga!$P443+30-28.5),30)*2+7)</f>
        <v>0.18079999999999963</v>
      </c>
      <c r="P443" s="2">
        <f ca="1">ROUNDUP(MOD(360+Panchanga!$G443-Panchanga!$F443,360)/12,4)</f>
        <v>4.0903999999999998</v>
      </c>
      <c r="Q443" s="2">
        <f t="shared" ca="1" si="63"/>
        <v>25.59</v>
      </c>
      <c r="R443" s="2" t="str">
        <f ca="1">SIGN(S444-Panchanga!$S443)*INT(Panchanga!$S443/30+1)&amp;"Ma,"&amp;SIGN(T444-Panchanga!$T443)*INT(Panchanga!$T443/30+1)&amp;"Me,"&amp;SIGN(U444-Panchanga!$U443)*INT(Panchanga!$U443/30+1)&amp;"Ju,"&amp;SIGN(V444-Panchanga!$V443)*INT(Panchanga!$V443/30+1)&amp;"Ve,"&amp;SIGN(W444-Panchanga!$W443)*INT(Panchanga!$W443/30+1)&amp;"Sa,"&amp;INT(Panchanga!$X443/30+1)&amp;"Ra"</f>
        <v>1Ma,-12Me,8Ju,10Ve,9Sa,3Ra</v>
      </c>
      <c r="S443" s="2">
        <f ca="1">Planet(Panchanga!$E443,4)</f>
        <v>22.416836909258887</v>
      </c>
      <c r="T443" s="2">
        <f ca="1">Planet(Panchanga!$E443,2)</f>
        <v>333.53473800847502</v>
      </c>
      <c r="U443" s="2">
        <f ca="1">Planet(Panchanga!$E443,5)</f>
        <v>238.79485598655182</v>
      </c>
      <c r="V443" s="2">
        <f ca="1">Planet(Panchanga!$E443,3)</f>
        <v>286.97448087024293</v>
      </c>
      <c r="W443" s="2">
        <f ca="1">Planet(Panchanga!$E443,6)</f>
        <v>264.43231842525296</v>
      </c>
      <c r="X443" s="2">
        <f ca="1">Planet(Panchanga!$E443,10)</f>
        <v>89.791029366918977</v>
      </c>
      <c r="Y443" s="2">
        <f ca="1">SIGN(S444-Panchanga!$S443)</f>
        <v>1</v>
      </c>
    </row>
    <row r="444" spans="1:25" x14ac:dyDescent="0.2">
      <c r="A444" s="3">
        <f t="shared" ca="1" si="64"/>
        <v>43536</v>
      </c>
      <c r="B444" s="3">
        <f t="shared" ca="1" si="57"/>
        <v>43536.229166666664</v>
      </c>
      <c r="C444" s="5">
        <f t="shared" ca="1" si="58"/>
        <v>43536.264181342129</v>
      </c>
      <c r="D444" s="5">
        <f t="shared" ca="1" si="59"/>
        <v>43535.762970586817</v>
      </c>
      <c r="E444" s="60">
        <f ca="1">Panchanga!$C444-TimeZone/24</f>
        <v>43536.035014675464</v>
      </c>
      <c r="F444" s="61">
        <f t="shared" ca="1" si="60"/>
        <v>327.03504863251356</v>
      </c>
      <c r="G444" s="61">
        <f t="shared" ca="1" si="61"/>
        <v>27.833802384215808</v>
      </c>
      <c r="H444" s="62">
        <f t="shared" ca="1" si="62"/>
        <v>43536.035014675464</v>
      </c>
      <c r="I444" s="2" t="str">
        <f ca="1">naks(Panchanga!$G444)</f>
        <v>Krittika</v>
      </c>
      <c r="J444" s="5">
        <f ca="1">(C445-Panchanga!$C444)/(G445-Panchanga!$G444)*(13.3333333333333-MOD(Panchanga!$G444,13.333333333333))+Panchanga!$C444</f>
        <v>43537.202822573767</v>
      </c>
      <c r="K444" s="2" t="str">
        <f ca="1">IF(Panchanga!$P444&gt;15,"K","S")&amp;ROUNDUP(MOD(Panchanga!$P444,15),0)&amp;" ("&amp;ROUND(Panchanga!$P444,2)&amp;")"</f>
        <v>S6 (5.07)</v>
      </c>
      <c r="L444" s="2">
        <f ca="1">IF(AND(Panchanga!$P444&lt;28.5,Panchanga!$P444&gt;0.49999),MOD((Panchanga!$P444-0.5)*2,7),MOD((Panchanga!$P444+30-28.5),30)*2+7)</f>
        <v>2.1331999999999987</v>
      </c>
      <c r="M444" s="2" t="str">
        <f ca="1">CHOOSE(ROUNDUP(Panchanga!$L444,0),"Bhava","Baalava","Kaulava","Taitula","Garija","Vanija","Vishti","Shakuni","Chatushapda","Naaga","Kimstugna")</f>
        <v>Kaulava</v>
      </c>
      <c r="N444" s="25" t="str">
        <f ca="1">CHOOSE(ROUNDUP(Panchanga!$Q444,0),"Vishkambha-विष्कम्भ-Sa","Priti-प्रीति-Me","Ayushman-आयुष्मान-Ke","Saubhagya-सौभाग्य-Ve","Shobhana-शोभन-Su","Atiganda-अतिगण्ड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("&amp;Panchanga!$Q444&amp;")"</f>
        <v>Vaidhriti-वैधृति-Ke (26.62)</v>
      </c>
      <c r="O444" s="2">
        <f ca="1">IF(AND(Panchanga!$P444&lt;28.5,Panchanga!$P444&gt;0.49999),MOD((Panchanga!$P444-0.5)*2,7),MOD((Panchanga!$P444+30-28.5),30)*2+7)</f>
        <v>2.1331999999999987</v>
      </c>
      <c r="P444" s="2">
        <f ca="1">ROUNDUP(MOD(360+Panchanga!$G444-Panchanga!$F444,360)/12,4)</f>
        <v>5.0665999999999993</v>
      </c>
      <c r="Q444" s="2">
        <f t="shared" ca="1" si="63"/>
        <v>26.62</v>
      </c>
      <c r="R444" s="2" t="str">
        <f ca="1">SIGN(S445-Panchanga!$S444)*INT(Panchanga!$S444/30+1)&amp;"Ma,"&amp;SIGN(T445-Panchanga!$T444)*INT(Panchanga!$T444/30+1)&amp;"Me,"&amp;SIGN(U445-Panchanga!$U444)*INT(Panchanga!$U444/30+1)&amp;"Ju,"&amp;SIGN(V445-Panchanga!$V444)*INT(Panchanga!$V444/30+1)&amp;"Ve,"&amp;SIGN(W445-Panchanga!$W444)*INT(Panchanga!$W444/30+1)&amp;"Sa,"&amp;INT(Panchanga!$X444/30+1)&amp;"Ra"</f>
        <v>1Ma,-12Me,8Ju,10Ve,9Sa,3Ra</v>
      </c>
      <c r="S444" s="2">
        <f ca="1">Planet(Panchanga!$E444,4)</f>
        <v>23.085755669116697</v>
      </c>
      <c r="T444" s="2">
        <f ca="1">Planet(Panchanga!$E444,2)</f>
        <v>332.77960206078194</v>
      </c>
      <c r="U444" s="2">
        <f ca="1">Planet(Panchanga!$E444,5)</f>
        <v>238.88441180008229</v>
      </c>
      <c r="V444" s="2">
        <f ca="1">Planet(Panchanga!$E444,3)</f>
        <v>288.16654280018707</v>
      </c>
      <c r="W444" s="2">
        <f ca="1">Planet(Panchanga!$E444,6)</f>
        <v>264.50674853752753</v>
      </c>
      <c r="X444" s="2">
        <f ca="1">Planet(Panchanga!$E444,10)</f>
        <v>89.738060836202422</v>
      </c>
      <c r="Y444" s="2">
        <f ca="1">SIGN(S445-Panchanga!$S444)</f>
        <v>1</v>
      </c>
    </row>
    <row r="445" spans="1:25" x14ac:dyDescent="0.2">
      <c r="A445" s="3">
        <f t="shared" ca="1" si="64"/>
        <v>43537</v>
      </c>
      <c r="B445" s="3">
        <f t="shared" ca="1" si="57"/>
        <v>43537.229166666664</v>
      </c>
      <c r="C445" s="5">
        <f t="shared" ca="1" si="58"/>
        <v>43537.263734386921</v>
      </c>
      <c r="D445" s="5">
        <f t="shared" ca="1" si="59"/>
        <v>43536.763049423738</v>
      </c>
      <c r="E445" s="60">
        <f ca="1">Panchanga!$C445-TimeZone/24</f>
        <v>43537.034567720257</v>
      </c>
      <c r="F445" s="61">
        <f t="shared" ca="1" si="60"/>
        <v>328.03293043313909</v>
      </c>
      <c r="G445" s="61">
        <f t="shared" ca="1" si="61"/>
        <v>40.789508420280903</v>
      </c>
      <c r="H445" s="62">
        <f t="shared" ca="1" si="62"/>
        <v>43537.034567720257</v>
      </c>
      <c r="I445" s="2" t="str">
        <f ca="1">naks(Panchanga!$G445)</f>
        <v>Rohini</v>
      </c>
      <c r="J445" s="5">
        <f ca="1">(C446-Panchanga!$C445)/(G446-Panchanga!$G445)*(13.3333333333333-MOD(Panchanga!$G445,13.333333333333))+Panchanga!$C445</f>
        <v>43538.210801165245</v>
      </c>
      <c r="K445" s="2" t="str">
        <f ca="1">IF(Panchanga!$P445&gt;15,"K","S")&amp;ROUNDUP(MOD(Panchanga!$P445,15),0)&amp;" ("&amp;ROUND(Panchanga!$P445,2)&amp;")"</f>
        <v>S7 (6.06)</v>
      </c>
      <c r="L445" s="2">
        <f ca="1">IF(AND(Panchanga!$P445&lt;28.5,Panchanga!$P445&gt;0.49999),MOD((Panchanga!$P445-0.5)*2,7),MOD((Panchanga!$P445+30-28.5),30)*2+7)</f>
        <v>4.126199999999999</v>
      </c>
      <c r="M445" s="2" t="str">
        <f ca="1">CHOOSE(ROUNDUP(Panchanga!$L445,0),"Bhava","Baalava","Kaulava","Taitula","Garija","Vanija","Vishti","Shakuni","Chatushapda","Naaga","Kimstugna")</f>
        <v>Garija</v>
      </c>
      <c r="N445" s="25" t="str">
        <f ca="1">CHOOSE(ROUNDUP(Panchanga!$Q445,0),"Vishkambha-विष्कम्भ-Sa","Priti-प्रीति-Me","Ayushman-आयुष्मान-Ke","Saubhagya-सौभाग्य-Ve","Shobhana-शोभन-Su","Atiganda-अतिगण्ड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("&amp;Panchanga!$Q445&amp;")"</f>
        <v>Vishkambha-विष्कम्भ-Sa (0.67)</v>
      </c>
      <c r="O445" s="2">
        <f ca="1">IF(AND(Panchanga!$P445&lt;28.5,Panchanga!$P445&gt;0.49999),MOD((Panchanga!$P445-0.5)*2,7),MOD((Panchanga!$P445+30-28.5),30)*2+7)</f>
        <v>4.126199999999999</v>
      </c>
      <c r="P445" s="2">
        <f ca="1">ROUNDUP(MOD(360+Panchanga!$G445-Panchanga!$F445,360)/12,4)</f>
        <v>6.0630999999999995</v>
      </c>
      <c r="Q445" s="2">
        <f t="shared" ca="1" si="63"/>
        <v>0.67</v>
      </c>
      <c r="R445" s="2" t="str">
        <f ca="1">SIGN(S446-Panchanga!$S445)*INT(Panchanga!$S445/30+1)&amp;"Ma,"&amp;SIGN(T446-Panchanga!$T445)*INT(Panchanga!$T445/30+1)&amp;"Me,"&amp;SIGN(U446-Panchanga!$U445)*INT(Panchanga!$U445/30+1)&amp;"Ju,"&amp;SIGN(V446-Panchanga!$V445)*INT(Panchanga!$V445/30+1)&amp;"Ve,"&amp;SIGN(W446-Panchanga!$W445)*INT(Panchanga!$W445/30+1)&amp;"Sa,"&amp;INT(Panchanga!$X445/30+1)&amp;"Ra"</f>
        <v>1Ma,-12Me,8Ju,10Ve,9Sa,3Ra</v>
      </c>
      <c r="S445" s="2">
        <f ca="1">Planet(Panchanga!$E445,4)</f>
        <v>23.754338283025838</v>
      </c>
      <c r="T445" s="2">
        <f ca="1">Planet(Panchanga!$E445,2)</f>
        <v>331.94281813887693</v>
      </c>
      <c r="U445" s="2">
        <f ca="1">Planet(Panchanga!$E445,5)</f>
        <v>238.97126570848687</v>
      </c>
      <c r="V445" s="2">
        <f ca="1">Planet(Panchanga!$E445,3)</f>
        <v>289.35932405481975</v>
      </c>
      <c r="W445" s="2">
        <f ca="1">Planet(Panchanga!$E445,6)</f>
        <v>264.57992825053151</v>
      </c>
      <c r="X445" s="2">
        <f ca="1">Planet(Panchanga!$E445,10)</f>
        <v>89.68509252449482</v>
      </c>
      <c r="Y445" s="2">
        <f ca="1">SIGN(S446-Panchanga!$S445)</f>
        <v>1</v>
      </c>
    </row>
    <row r="446" spans="1:25" x14ac:dyDescent="0.2">
      <c r="A446" s="3">
        <f t="shared" ca="1" si="64"/>
        <v>43538</v>
      </c>
      <c r="B446" s="3">
        <f t="shared" ca="1" si="57"/>
        <v>43538.229166666664</v>
      </c>
      <c r="C446" s="5">
        <f t="shared" ca="1" si="58"/>
        <v>43538.263283617016</v>
      </c>
      <c r="D446" s="5">
        <f t="shared" ca="1" si="59"/>
        <v>43537.763125082056</v>
      </c>
      <c r="E446" s="60">
        <f ca="1">Panchanga!$C446-TimeZone/24</f>
        <v>43538.034116950352</v>
      </c>
      <c r="F446" s="61">
        <f t="shared" ca="1" si="60"/>
        <v>329.03019216727125</v>
      </c>
      <c r="G446" s="61">
        <f t="shared" ca="1" si="61"/>
        <v>54.028459274955985</v>
      </c>
      <c r="H446" s="62">
        <f t="shared" ca="1" si="62"/>
        <v>43538.034116950352</v>
      </c>
      <c r="I446" s="2" t="str">
        <f ca="1">naks(Panchanga!$G446)</f>
        <v>Mrigashira</v>
      </c>
      <c r="J446" s="5">
        <f ca="1">(C447-Panchanga!$C446)/(G447-Panchanga!$G446)*(13.3333333333333-MOD(Panchanga!$G446,13.333333333333))+Panchanga!$C446</f>
        <v>43539.194741567051</v>
      </c>
      <c r="K446" s="2" t="str">
        <f ca="1">IF(Panchanga!$P446&gt;15,"K","S")&amp;ROUNDUP(MOD(Panchanga!$P446,15),0)&amp;" ("&amp;ROUND(Panchanga!$P446,2)&amp;")"</f>
        <v>S8 (7.08)</v>
      </c>
      <c r="L446" s="2">
        <f ca="1">IF(AND(Panchanga!$P446&lt;28.5,Panchanga!$P446&gt;0.49999),MOD((Panchanga!$P446-0.5)*2,7),MOD((Panchanga!$P446+30-28.5),30)*2+7)</f>
        <v>6.1663999999999994</v>
      </c>
      <c r="M446" s="2" t="str">
        <f ca="1">CHOOSE(ROUNDUP(Panchanga!$L446,0),"Bhava","Baalava","Kaulava","Taitula","Garija","Vanija","Vishti","Shakuni","Chatushapda","Naaga","Kimstugna")</f>
        <v>Vishti</v>
      </c>
      <c r="N446" s="25" t="str">
        <f ca="1">CHOOSE(ROUNDUP(Panchanga!$Q446,0),"Vishkambha-विष्कम्भ-Sa","Priti-प्रीति-Me","Ayushman-आयुष्मान-Ke","Saubhagya-सौभाग्य-Ve","Shobhana-शोभन-Su","Atiganda-अतिगण्ड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("&amp;Panchanga!$Q446&amp;")"</f>
        <v>Priti-प्रीति-Me (1.73)</v>
      </c>
      <c r="O446" s="2">
        <f ca="1">IF(AND(Panchanga!$P446&lt;28.5,Panchanga!$P446&gt;0.49999),MOD((Panchanga!$P446-0.5)*2,7),MOD((Panchanga!$P446+30-28.5),30)*2+7)</f>
        <v>6.1663999999999994</v>
      </c>
      <c r="P446" s="2">
        <f ca="1">ROUNDUP(MOD(360+Panchanga!$G446-Panchanga!$F446,360)/12,4)</f>
        <v>7.0831999999999997</v>
      </c>
      <c r="Q446" s="2">
        <f t="shared" ca="1" si="63"/>
        <v>1.73</v>
      </c>
      <c r="R446" s="2" t="str">
        <f ca="1">SIGN(S447-Panchanga!$S446)*INT(Panchanga!$S446/30+1)&amp;"Ma,"&amp;SIGN(T447-Panchanga!$T446)*INT(Panchanga!$T446/30+1)&amp;"Me,"&amp;SIGN(U447-Panchanga!$U446)*INT(Panchanga!$U446/30+1)&amp;"Ju,"&amp;SIGN(V447-Panchanga!$V446)*INT(Panchanga!$V446/30+1)&amp;"Ve,"&amp;SIGN(W447-Panchanga!$W446)*INT(Panchanga!$W446/30+1)&amp;"Sa,"&amp;INT(Panchanga!$X446/30+1)&amp;"Ra"</f>
        <v>1Ma,-12Me,8Ju,10Ve,9Sa,3Ra</v>
      </c>
      <c r="S446" s="2">
        <f ca="1">Planet(Panchanga!$E446,4)</f>
        <v>24.422572501692699</v>
      </c>
      <c r="T446" s="2">
        <f ca="1">Planet(Panchanga!$E446,2)</f>
        <v>331.04462844851093</v>
      </c>
      <c r="U446" s="2">
        <f ca="1">Planet(Panchanga!$E446,5)</f>
        <v>239.05539663933394</v>
      </c>
      <c r="V446" s="2">
        <f ca="1">Planet(Panchanga!$E446,3)</f>
        <v>290.55280331035641</v>
      </c>
      <c r="W446" s="2">
        <f ca="1">Planet(Panchanga!$E446,6)</f>
        <v>264.65184375921837</v>
      </c>
      <c r="X446" s="2">
        <f ca="1">Planet(Panchanga!$E446,10)</f>
        <v>89.632124414929251</v>
      </c>
      <c r="Y446" s="2">
        <f ca="1">SIGN(S447-Panchanga!$S446)</f>
        <v>1</v>
      </c>
    </row>
    <row r="447" spans="1:25" x14ac:dyDescent="0.2">
      <c r="A447" s="3">
        <f t="shared" ca="1" si="64"/>
        <v>43539</v>
      </c>
      <c r="B447" s="3">
        <f t="shared" ca="1" si="57"/>
        <v>43539.229166666664</v>
      </c>
      <c r="C447" s="5">
        <f t="shared" ca="1" si="58"/>
        <v>43539.262829508785</v>
      </c>
      <c r="D447" s="5">
        <f t="shared" ca="1" si="59"/>
        <v>43538.763197561304</v>
      </c>
      <c r="E447" s="60">
        <f ca="1">Panchanga!$C447-TimeZone/24</f>
        <v>43539.033662842121</v>
      </c>
      <c r="F447" s="61">
        <f t="shared" ca="1" si="60"/>
        <v>330.02682548658839</v>
      </c>
      <c r="G447" s="61">
        <f t="shared" ca="1" si="61"/>
        <v>67.590497450922484</v>
      </c>
      <c r="H447" s="62">
        <f t="shared" ca="1" si="62"/>
        <v>43539.033662842121</v>
      </c>
      <c r="I447" s="2" t="str">
        <f ca="1">naks(Panchanga!$G447)</f>
        <v>Ardra</v>
      </c>
      <c r="J447" s="5">
        <f ca="1">(C448-Panchanga!$C447)/(G448-Panchanga!$G447)*(13.3333333333333-MOD(Panchanga!$G447,13.333333333333))+Panchanga!$C447</f>
        <v>43540.154173329945</v>
      </c>
      <c r="K447" s="2" t="str">
        <f ca="1">IF(Panchanga!$P447&gt;15,"K","S")&amp;ROUNDUP(MOD(Panchanga!$P447,15),0)&amp;" ("&amp;ROUND(Panchanga!$P447,2)&amp;")"</f>
        <v>S9 (8.13)</v>
      </c>
      <c r="L447" s="2">
        <f ca="1">IF(AND(Panchanga!$P447&lt;28.5,Panchanga!$P447&gt;0.49999),MOD((Panchanga!$P447-0.5)*2,7),MOD((Panchanga!$P447+30-28.5),30)*2+7)</f>
        <v>1.2607999999999997</v>
      </c>
      <c r="M447" s="2" t="str">
        <f ca="1">CHOOSE(ROUNDUP(Panchanga!$L447,0),"Bhava","Baalava","Kaulava","Taitula","Garija","Vanija","Vishti","Shakuni","Chatushapda","Naaga","Kimstugna")</f>
        <v>Baalava</v>
      </c>
      <c r="N447" s="25" t="str">
        <f ca="1">CHOOSE(ROUNDUP(Panchanga!$Q447,0),"Vishkambha-विष्कम्भ-Sa","Priti-प्रीति-Me","Ayushman-आयुष्मान-Ke","Saubhagya-सौभाग्य-Ve","Shobhana-शोभन-Su","Atiganda-अतिगण्ड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("&amp;Panchanga!$Q447&amp;")"</f>
        <v>Ayushman-आयुष्मान-Ke (2.83)</v>
      </c>
      <c r="O447" s="2">
        <f ca="1">IF(AND(Panchanga!$P447&lt;28.5,Panchanga!$P447&gt;0.49999),MOD((Panchanga!$P447-0.5)*2,7),MOD((Panchanga!$P447+30-28.5),30)*2+7)</f>
        <v>1.2607999999999997</v>
      </c>
      <c r="P447" s="2">
        <f ca="1">ROUNDUP(MOD(360+Panchanga!$G447-Panchanga!$F447,360)/12,4)</f>
        <v>8.1303999999999998</v>
      </c>
      <c r="Q447" s="2">
        <f t="shared" ca="1" si="63"/>
        <v>2.8299999999999996</v>
      </c>
      <c r="R447" s="2" t="str">
        <f ca="1">SIGN(S448-Panchanga!$S447)*INT(Panchanga!$S447/30+1)&amp;"Ma,"&amp;SIGN(T448-Panchanga!$T447)*INT(Panchanga!$T447/30+1)&amp;"Me,"&amp;SIGN(U448-Panchanga!$U447)*INT(Panchanga!$U447/30+1)&amp;"Ju,"&amp;SIGN(V448-Panchanga!$V447)*INT(Panchanga!$V447/30+1)&amp;"Ve,"&amp;SIGN(W448-Panchanga!$W447)*INT(Panchanga!$W447/30+1)&amp;"Sa,"&amp;INT(Panchanga!$X447/30+1)&amp;"Ra"</f>
        <v>1Ma,-12Me,8Ju,10Ve,9Sa,3Ra</v>
      </c>
      <c r="S447" s="2">
        <f ca="1">Planet(Panchanga!$E447,4)</f>
        <v>25.090446274304256</v>
      </c>
      <c r="T447" s="2">
        <f ca="1">Planet(Panchanga!$E447,2)</f>
        <v>330.10631306824854</v>
      </c>
      <c r="U447" s="2">
        <f ca="1">Planet(Panchanga!$E447,5)</f>
        <v>239.13678453444749</v>
      </c>
      <c r="V447" s="2">
        <f ca="1">Planet(Panchanga!$E447,3)</f>
        <v>291.74696297068016</v>
      </c>
      <c r="W447" s="2">
        <f ca="1">Planet(Panchanga!$E447,6)</f>
        <v>264.72248186462497</v>
      </c>
      <c r="X447" s="2">
        <f ca="1">Planet(Panchanga!$E447,10)</f>
        <v>89.579156482287857</v>
      </c>
      <c r="Y447" s="2">
        <f ca="1">SIGN(S448-Panchanga!$S447)</f>
        <v>1</v>
      </c>
    </row>
    <row r="448" spans="1:25" x14ac:dyDescent="0.2">
      <c r="A448" s="3">
        <f t="shared" ca="1" si="64"/>
        <v>43540</v>
      </c>
      <c r="B448" s="3">
        <f t="shared" ca="1" si="57"/>
        <v>43540.229166666664</v>
      </c>
      <c r="C448" s="5">
        <f t="shared" ca="1" si="58"/>
        <v>43540.26237206316</v>
      </c>
      <c r="D448" s="5">
        <f t="shared" ca="1" si="59"/>
        <v>43539.763267020739</v>
      </c>
      <c r="E448" s="60">
        <f ca="1">Panchanga!$C448-TimeZone/24</f>
        <v>43540.033205396496</v>
      </c>
      <c r="F448" s="61">
        <f t="shared" ca="1" si="60"/>
        <v>331.02282530209891</v>
      </c>
      <c r="G448" s="61">
        <f t="shared" ca="1" si="61"/>
        <v>81.506368725221577</v>
      </c>
      <c r="H448" s="62">
        <f t="shared" ca="1" si="62"/>
        <v>43540.033205396496</v>
      </c>
      <c r="I448" s="2" t="str">
        <f ca="1">naks(Panchanga!$G448)</f>
        <v>Punarvasu</v>
      </c>
      <c r="J448" s="5">
        <f ca="1">(C449-Panchanga!$C448)/(G449-Panchanga!$G448)*(13.3333333333333-MOD(Panchanga!$G448,13.333333333333))+Panchanga!$C448</f>
        <v>43541.09020840039</v>
      </c>
      <c r="K448" s="2" t="str">
        <f ca="1">IF(Panchanga!$P448&gt;15,"K","S")&amp;ROUNDUP(MOD(Panchanga!$P448,15),0)&amp;" ("&amp;ROUND(Panchanga!$P448,2)&amp;")"</f>
        <v>S10 (9.21)</v>
      </c>
      <c r="L448" s="2">
        <f ca="1">IF(AND(Panchanga!$P448&lt;28.5,Panchanga!$P448&gt;0.49999),MOD((Panchanga!$P448-0.5)*2,7),MOD((Panchanga!$P448+30-28.5),30)*2+7)</f>
        <v>3.4139999999999979</v>
      </c>
      <c r="M448" s="2" t="str">
        <f ca="1">CHOOSE(ROUNDUP(Panchanga!$L448,0),"Bhava","Baalava","Kaulava","Taitula","Garija","Vanija","Vishti","Shakuni","Chatushapda","Naaga","Kimstugna")</f>
        <v>Taitula</v>
      </c>
      <c r="N448" s="25" t="str">
        <f ca="1">CHOOSE(ROUNDUP(Panchanga!$Q448,0),"Vishkambha-विष्कम्भ-Sa","Priti-प्रीति-Me","Ayushman-आयुष्मान-Ke","Saubhagya-सौभाग्य-Ve","Shobhana-शोभन-Su","Atiganda-अतिगण्ड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("&amp;Panchanga!$Q448&amp;")"</f>
        <v>Saubhagya-सौभाग्य-Ve (3.94)</v>
      </c>
      <c r="O448" s="2">
        <f ca="1">IF(AND(Panchanga!$P448&lt;28.5,Panchanga!$P448&gt;0.49999),MOD((Panchanga!$P448-0.5)*2,7),MOD((Panchanga!$P448+30-28.5),30)*2+7)</f>
        <v>3.4139999999999979</v>
      </c>
      <c r="P448" s="2">
        <f ca="1">ROUNDUP(MOD(360+Panchanga!$G448-Panchanga!$F448,360)/12,4)</f>
        <v>9.206999999999999</v>
      </c>
      <c r="Q448" s="2">
        <f t="shared" ca="1" si="63"/>
        <v>3.94</v>
      </c>
      <c r="R448" s="2" t="str">
        <f ca="1">SIGN(S449-Panchanga!$S448)*INT(Panchanga!$S448/30+1)&amp;"Ma,"&amp;SIGN(T449-Panchanga!$T448)*INT(Panchanga!$T448/30+1)&amp;"Me,"&amp;SIGN(U449-Panchanga!$U448)*INT(Panchanga!$U448/30+1)&amp;"Ju,"&amp;SIGN(V449-Panchanga!$V448)*INT(Panchanga!$V448/30+1)&amp;"Ve,"&amp;SIGN(W449-Panchanga!$W448)*INT(Panchanga!$W448/30+1)&amp;"Sa,"&amp;INT(Panchanga!$X448/30+1)&amp;"Ra"</f>
        <v>1Ma,-11Me,8Ju,10Ve,9Sa,3Ra</v>
      </c>
      <c r="S448" s="2">
        <f ca="1">Planet(Panchanga!$E448,4)</f>
        <v>25.757947779279775</v>
      </c>
      <c r="T448" s="2">
        <f ca="1">Planet(Panchanga!$E448,2)</f>
        <v>329.14944728558663</v>
      </c>
      <c r="U448" s="2">
        <f ca="1">Planet(Panchanga!$E448,5)</f>
        <v>239.21541022129543</v>
      </c>
      <c r="V448" s="2">
        <f ca="1">Planet(Panchanga!$E448,3)</f>
        <v>292.94178871760647</v>
      </c>
      <c r="W448" s="2">
        <f ca="1">Planet(Panchanga!$E448,6)</f>
        <v>264.79182993203557</v>
      </c>
      <c r="X448" s="2">
        <f ca="1">Planet(Panchanga!$E448,10)</f>
        <v>89.526188726487973</v>
      </c>
      <c r="Y448" s="2">
        <f ca="1">SIGN(S449-Panchanga!$S448)</f>
        <v>1</v>
      </c>
    </row>
    <row r="449" spans="1:25" x14ac:dyDescent="0.2">
      <c r="A449" s="3">
        <f t="shared" ca="1" si="64"/>
        <v>43541</v>
      </c>
      <c r="B449" s="3">
        <f t="shared" ca="1" si="57"/>
        <v>43541.229166666664</v>
      </c>
      <c r="C449" s="5">
        <f t="shared" ca="1" si="58"/>
        <v>43541.261911597256</v>
      </c>
      <c r="D449" s="5">
        <f t="shared" ca="1" si="59"/>
        <v>43540.763333936731</v>
      </c>
      <c r="E449" s="60">
        <f ca="1">Panchanga!$C449-TimeZone/24</f>
        <v>43541.032744930591</v>
      </c>
      <c r="F449" s="61">
        <f t="shared" ca="1" si="60"/>
        <v>332.01819154201809</v>
      </c>
      <c r="G449" s="61">
        <f t="shared" ca="1" si="61"/>
        <v>95.786387809353613</v>
      </c>
      <c r="H449" s="62">
        <f t="shared" ca="1" si="62"/>
        <v>43541.032744930591</v>
      </c>
      <c r="I449" s="2" t="str">
        <f ca="1">naks(Panchanga!$G449)</f>
        <v>Pushya</v>
      </c>
      <c r="J449" s="5">
        <f ca="1">(C450-Panchanga!$C449)/(G450-Panchanga!$G449)*(13.3333333333333-MOD(Panchanga!$G449,13.333333333333))+Panchanga!$C449</f>
        <v>43542.00570778922</v>
      </c>
      <c r="K449" s="2" t="str">
        <f ca="1">IF(Panchanga!$P449&gt;15,"K","S")&amp;ROUNDUP(MOD(Panchanga!$P449,15),0)&amp;" ("&amp;ROUND(Panchanga!$P449,2)&amp;")"</f>
        <v>S11 (10.31)</v>
      </c>
      <c r="L449" s="2">
        <f ca="1">IF(AND(Panchanga!$P449&lt;28.5,Panchanga!$P449&gt;0.49999),MOD((Panchanga!$P449-0.5)*2,7),MOD((Panchanga!$P449+30-28.5),30)*2+7)</f>
        <v>5.6281999999999996</v>
      </c>
      <c r="M449" s="2" t="str">
        <f ca="1">CHOOSE(ROUNDUP(Panchanga!$L449,0),"Bhava","Baalava","Kaulava","Taitula","Garija","Vanija","Vishti","Shakuni","Chatushapda","Naaga","Kimstugna")</f>
        <v>Vanija</v>
      </c>
      <c r="N449" s="25" t="str">
        <f ca="1">CHOOSE(ROUNDUP(Panchanga!$Q449,0),"Vishkambha-विष्कम्भ-Sa","Priti-प्रीति-Me","Ayushman-आयुष्मान-Ke","Saubhagya-सौभाग्य-Ve","Shobhana-शोभन-Su","Atiganda-अतिगण्ड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("&amp;Panchanga!$Q449&amp;")"</f>
        <v>Atiganda-अतिगण्ड -Mo (5.09)</v>
      </c>
      <c r="O449" s="2">
        <f ca="1">IF(AND(Panchanga!$P449&lt;28.5,Panchanga!$P449&gt;0.49999),MOD((Panchanga!$P449-0.5)*2,7),MOD((Panchanga!$P449+30-28.5),30)*2+7)</f>
        <v>5.6281999999999996</v>
      </c>
      <c r="P449" s="2">
        <f ca="1">ROUNDUP(MOD(360+Panchanga!$G449-Panchanga!$F449,360)/12,4)</f>
        <v>10.3141</v>
      </c>
      <c r="Q449" s="2">
        <f t="shared" ca="1" si="63"/>
        <v>5.09</v>
      </c>
      <c r="R449" s="2" t="str">
        <f ca="1">SIGN(S450-Panchanga!$S449)*INT(Panchanga!$S449/30+1)&amp;"Ma,"&amp;SIGN(T450-Panchanga!$T449)*INT(Panchanga!$T449/30+1)&amp;"Me,"&amp;SIGN(U450-Panchanga!$U449)*INT(Panchanga!$U449/30+1)&amp;"Ju,"&amp;SIGN(V450-Panchanga!$V449)*INT(Panchanga!$V449/30+1)&amp;"Ve,"&amp;SIGN(W450-Panchanga!$W449)*INT(Panchanga!$W449/30+1)&amp;"Sa,"&amp;INT(Panchanga!$X449/30+1)&amp;"Ra"</f>
        <v>1Ma,-11Me,8Ju,10Ve,9Sa,3Ra</v>
      </c>
      <c r="S449" s="2">
        <f ca="1">Planet(Panchanga!$E449,4)</f>
        <v>26.425066633924217</v>
      </c>
      <c r="T449" s="2">
        <f ca="1">Planet(Panchanga!$E449,2)</f>
        <v>328.19514298539036</v>
      </c>
      <c r="U449" s="2">
        <f ca="1">Planet(Panchanga!$E449,5)</f>
        <v>239.2912552892642</v>
      </c>
      <c r="V449" s="2">
        <f ca="1">Planet(Panchanga!$E449,3)</f>
        <v>294.13727059355898</v>
      </c>
      <c r="W449" s="2">
        <f ca="1">Planet(Panchanga!$E449,6)</f>
        <v>264.85987590568493</v>
      </c>
      <c r="X449" s="2">
        <f ca="1">Planet(Panchanga!$E449,10)</f>
        <v>89.47322113072876</v>
      </c>
      <c r="Y449" s="2">
        <f ca="1">SIGN(S450-Panchanga!$S449)</f>
        <v>1</v>
      </c>
    </row>
    <row r="450" spans="1:25" x14ac:dyDescent="0.2">
      <c r="A450" s="3">
        <f t="shared" ca="1" si="64"/>
        <v>43542</v>
      </c>
      <c r="B450" s="3">
        <f t="shared" ca="1" si="57"/>
        <v>43542.229166666664</v>
      </c>
      <c r="C450" s="5">
        <f t="shared" ca="1" si="58"/>
        <v>43542.261448588375</v>
      </c>
      <c r="D450" s="5">
        <f t="shared" ca="1" si="59"/>
        <v>43541.763398150957</v>
      </c>
      <c r="E450" s="60">
        <f ca="1">Panchanga!$C450-TimeZone/24</f>
        <v>43542.032281921711</v>
      </c>
      <c r="F450" s="61">
        <f t="shared" ca="1" si="60"/>
        <v>333.0129297752037</v>
      </c>
      <c r="G450" s="61">
        <f t="shared" ca="1" si="61"/>
        <v>110.40765275945328</v>
      </c>
      <c r="H450" s="62">
        <f t="shared" ca="1" si="62"/>
        <v>43542.032281921711</v>
      </c>
      <c r="I450" s="2" t="str">
        <f ca="1">naks(Panchanga!$G450)</f>
        <v>Aslesha</v>
      </c>
      <c r="J450" s="5">
        <f ca="1">(C451-Panchanga!$C450)/(G451-Panchanga!$G450)*(13.3333333333333-MOD(Panchanga!$G450,13.333333333333))+Panchanga!$C450</f>
        <v>43542.905113236629</v>
      </c>
      <c r="K450" s="2" t="str">
        <f ca="1">IF(Panchanga!$P450&gt;15,"K","S")&amp;ROUNDUP(MOD(Panchanga!$P450,15),0)&amp;" ("&amp;ROUND(Panchanga!$P450,2)&amp;")"</f>
        <v>S12 (11.45)</v>
      </c>
      <c r="L450" s="2">
        <f ca="1">IF(AND(Panchanga!$P450&lt;28.5,Panchanga!$P450&gt;0.49999),MOD((Panchanga!$P450-0.5)*2,7),MOD((Panchanga!$P450+30-28.5),30)*2+7)</f>
        <v>0.89920000000000044</v>
      </c>
      <c r="M450" s="2" t="str">
        <f ca="1">CHOOSE(ROUNDUP(Panchanga!$L450,0),"Bhava","Baalava","Kaulava","Taitula","Garija","Vanija","Vishti","Shakuni","Chatushapda","Naaga","Kimstugna")</f>
        <v>Bhava</v>
      </c>
      <c r="N450" s="25" t="str">
        <f ca="1">CHOOSE(ROUNDUP(Panchanga!$Q450,0),"Vishkambha-विष्कम्भ-Sa","Priti-प्रीति-Me","Ayushman-आयुष्मान-Ke","Saubhagya-सौभाग्य-Ve","Shobhana-शोभन-Su","Atiganda-अतिगण्ड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("&amp;Panchanga!$Q450&amp;")"</f>
        <v>Sukarman-सुकर्मा -Ma (6.26)</v>
      </c>
      <c r="O450" s="2">
        <f ca="1">IF(AND(Panchanga!$P450&lt;28.5,Panchanga!$P450&gt;0.49999),MOD((Panchanga!$P450-0.5)*2,7),MOD((Panchanga!$P450+30-28.5),30)*2+7)</f>
        <v>0.89920000000000044</v>
      </c>
      <c r="P450" s="2">
        <f ca="1">ROUNDUP(MOD(360+Panchanga!$G450-Panchanga!$F450,360)/12,4)</f>
        <v>11.4496</v>
      </c>
      <c r="Q450" s="2">
        <f t="shared" ca="1" si="63"/>
        <v>6.26</v>
      </c>
      <c r="R450" s="2" t="str">
        <f ca="1">SIGN(S451-Panchanga!$S450)*INT(Panchanga!$S450/30+1)&amp;"Ma,"&amp;SIGN(T451-Panchanga!$T450)*INT(Panchanga!$T450/30+1)&amp;"Me,"&amp;SIGN(U451-Panchanga!$U450)*INT(Panchanga!$U450/30+1)&amp;"Ju,"&amp;SIGN(V451-Panchanga!$V450)*INT(Panchanga!$V450/30+1)&amp;"Ve,"&amp;SIGN(W451-Panchanga!$W450)*INT(Panchanga!$W450/30+1)&amp;"Sa,"&amp;INT(Panchanga!$X450/30+1)&amp;"Ra"</f>
        <v>1Ma,-11Me,8Ju,10Ve,9Sa,3Ra</v>
      </c>
      <c r="S450" s="2">
        <f ca="1">Planet(Panchanga!$E450,4)</f>
        <v>27.091794651198018</v>
      </c>
      <c r="T450" s="2">
        <f ca="1">Planet(Panchanga!$E450,2)</f>
        <v>327.26334061149549</v>
      </c>
      <c r="U450" s="2">
        <f ca="1">Planet(Panchanga!$E450,5)</f>
        <v>239.36430175381727</v>
      </c>
      <c r="V450" s="2">
        <f ca="1">Planet(Panchanga!$E450,3)</f>
        <v>295.33340254325429</v>
      </c>
      <c r="W450" s="2">
        <f ca="1">Planet(Panchanga!$E450,6)</f>
        <v>264.92660818005265</v>
      </c>
      <c r="X450" s="2">
        <f ca="1">Planet(Panchanga!$E450,10)</f>
        <v>89.420253669742706</v>
      </c>
      <c r="Y450" s="2">
        <f ca="1">SIGN(S451-Panchanga!$S450)</f>
        <v>1</v>
      </c>
    </row>
    <row r="451" spans="1:25" x14ac:dyDescent="0.2">
      <c r="A451" s="3">
        <f t="shared" ca="1" si="64"/>
        <v>43543</v>
      </c>
      <c r="B451" s="3">
        <f t="shared" ref="B451:B463" ca="1" si="65">A451+TimeZone/24</f>
        <v>43543.229166666664</v>
      </c>
      <c r="C451" s="5">
        <f t="shared" ref="C451:C463" ca="1" si="66">sunrise(Lat,Long,B451)+TimeZone/24+0.00103009259259259</f>
        <v>43543.260983195309</v>
      </c>
      <c r="D451" s="5">
        <f t="shared" ref="D451:D463" ca="1" si="67">sunset(Lat,Long,B451)+TimeZone/24-0.000277777777777778</f>
        <v>43542.763460139788</v>
      </c>
      <c r="E451" s="60">
        <f ca="1">Panchanga!$C451-TimeZone/24</f>
        <v>43543.031816528644</v>
      </c>
      <c r="F451" s="61">
        <f t="shared" ref="F451:F463" ca="1" si="68">Planet(E451,0)</f>
        <v>334.00705095043969</v>
      </c>
      <c r="G451" s="61">
        <f t="shared" ref="G451:G463" ca="1" si="69">Planet(E451,1)</f>
        <v>125.30342659862067</v>
      </c>
      <c r="H451" s="62">
        <f t="shared" ref="H451:H463" ca="1" si="70">E451</f>
        <v>43543.031816528644</v>
      </c>
      <c r="I451" s="2" t="str">
        <f ca="1">naks(Panchanga!$G451)</f>
        <v>Makha</v>
      </c>
      <c r="J451" s="5">
        <f ca="1">(C452-Panchanga!$C451)/(G452-Panchanga!$G451)*(13.3333333333333-MOD(Panchanga!$G451,13.333333333333))+Panchanga!$C451</f>
        <v>43543.794039005021</v>
      </c>
      <c r="K451" s="2" t="str">
        <f ca="1">IF(Panchanga!$P451&gt;15,"K","S")&amp;ROUNDUP(MOD(Panchanga!$P451,15),0)&amp;" ("&amp;ROUND(Panchanga!$P451,2)&amp;")"</f>
        <v>S13 (12.61)</v>
      </c>
      <c r="L451" s="2">
        <f ca="1">IF(AND(Panchanga!$P451&lt;28.5,Panchanga!$P451&gt;0.49999),MOD((Panchanga!$P451-0.5)*2,7),MOD((Panchanga!$P451+30-28.5),30)*2+7)</f>
        <v>3.2162000000000006</v>
      </c>
      <c r="M451" s="2" t="str">
        <f ca="1">CHOOSE(ROUNDUP(Panchanga!$L451,0),"Bhava","Baalava","Kaulava","Taitula","Garija","Vanija","Vishti","Shakuni","Chatushapda","Naaga","Kimstugna")</f>
        <v>Taitula</v>
      </c>
      <c r="N451" s="25" t="str">
        <f ca="1">CHOOSE(ROUNDUP(Panchanga!$Q451,0),"Vishkambha-विष्कम्भ-Sa","Priti-प्रीति-Me","Ayushman-आयुष्मान-Ke","Saubhagya-सौभाग्य-Ve","Shobhana-शोभन-Su","Atiganda-अतिगण्ड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("&amp;Panchanga!$Q451&amp;")"</f>
        <v>Dhriti-धृति -Ra (7.45)</v>
      </c>
      <c r="O451" s="2">
        <f ca="1">IF(AND(Panchanga!$P451&lt;28.5,Panchanga!$P451&gt;0.49999),MOD((Panchanga!$P451-0.5)*2,7),MOD((Panchanga!$P451+30-28.5),30)*2+7)</f>
        <v>3.2162000000000006</v>
      </c>
      <c r="P451" s="2">
        <f ca="1">ROUNDUP(MOD(360+Panchanga!$G451-Panchanga!$F451,360)/12,4)</f>
        <v>12.6081</v>
      </c>
      <c r="Q451" s="2">
        <f t="shared" ref="Q451:Q463" ca="1" si="71">ROUNDUP(MOD(F451+G451,360)/13.333333333,2)</f>
        <v>7.45</v>
      </c>
      <c r="R451" s="2" t="str">
        <f ca="1">SIGN(S452-Panchanga!$S451)*INT(Panchanga!$S451/30+1)&amp;"Ma,"&amp;SIGN(T452-Panchanga!$T451)*INT(Panchanga!$T451/30+1)&amp;"Me,"&amp;SIGN(U452-Panchanga!$U451)*INT(Panchanga!$U451/30+1)&amp;"Ju,"&amp;SIGN(V452-Panchanga!$V451)*INT(Panchanga!$V451/30+1)&amp;"Ve,"&amp;SIGN(W452-Panchanga!$W451)*INT(Panchanga!$W451/30+1)&amp;"Sa,"&amp;INT(Panchanga!$X451/30+1)&amp;"Ra"</f>
        <v>1Ma,-11Me,8Ju,10Ve,9Sa,3Ra</v>
      </c>
      <c r="S451" s="2">
        <f ca="1">Planet(Panchanga!$E451,4)</f>
        <v>27.758126392903051</v>
      </c>
      <c r="T451" s="2">
        <f ca="1">Planet(Panchanga!$E451,2)</f>
        <v>326.37220808971483</v>
      </c>
      <c r="U451" s="2">
        <f ca="1">Planet(Panchanga!$E451,5)</f>
        <v>239.4345315916338</v>
      </c>
      <c r="V451" s="2">
        <f ca="1">Planet(Panchanga!$E451,3)</f>
        <v>296.53018098559994</v>
      </c>
      <c r="W451" s="2">
        <f ca="1">Planet(Panchanga!$E451,6)</f>
        <v>264.99201537844243</v>
      </c>
      <c r="X451" s="2">
        <f ca="1">Planet(Panchanga!$E451,10)</f>
        <v>89.367286335079953</v>
      </c>
      <c r="Y451" s="2">
        <f ca="1">SIGN(S452-Panchanga!$S451)</f>
        <v>1</v>
      </c>
    </row>
    <row r="452" spans="1:25" x14ac:dyDescent="0.2">
      <c r="A452" s="3">
        <f t="shared" ca="1" si="64"/>
        <v>43544</v>
      </c>
      <c r="B452" s="3">
        <f t="shared" ca="1" si="65"/>
        <v>43544.229166666664</v>
      </c>
      <c r="C452" s="5">
        <f t="shared" ca="1" si="66"/>
        <v>43544.260515894894</v>
      </c>
      <c r="D452" s="5">
        <f t="shared" ca="1" si="67"/>
        <v>43543.763520062013</v>
      </c>
      <c r="E452" s="60">
        <f ca="1">Panchanga!$C452-TimeZone/24</f>
        <v>43544.031349228229</v>
      </c>
      <c r="F452" s="61">
        <f t="shared" ca="1" si="68"/>
        <v>335.00057138686975</v>
      </c>
      <c r="G452" s="61">
        <f t="shared" ca="1" si="69"/>
        <v>140.36030096292239</v>
      </c>
      <c r="H452" s="62">
        <f t="shared" ca="1" si="70"/>
        <v>43544.031349228229</v>
      </c>
      <c r="I452" s="2" t="str">
        <f ca="1">naks(Panchanga!$G452)</f>
        <v>Purva Phalguni</v>
      </c>
      <c r="J452" s="5">
        <f ca="1">(C453-Panchanga!$C452)/(G453-Panchanga!$G452)*(13.3333333333333-MOD(Panchanga!$G452,13.333333333333))+Panchanga!$C452</f>
        <v>43544.678856981278</v>
      </c>
      <c r="K452" s="2" t="str">
        <f ca="1">IF(Panchanga!$P452&gt;15,"K","S")&amp;ROUNDUP(MOD(Panchanga!$P452,15),0)&amp;" ("&amp;ROUND(Panchanga!$P452,2)&amp;")"</f>
        <v>S14 (13.78)</v>
      </c>
      <c r="L452" s="2">
        <f ca="1">IF(AND(Panchanga!$P452&lt;28.5,Panchanga!$P452&gt;0.49999),MOD((Panchanga!$P452-0.5)*2,7),MOD((Panchanga!$P452+30-28.5),30)*2+7)</f>
        <v>5.5599999999999987</v>
      </c>
      <c r="M452" s="2" t="str">
        <f ca="1">CHOOSE(ROUNDUP(Panchanga!$L452,0),"Bhava","Baalava","Kaulava","Taitula","Garija","Vanija","Vishti","Shakuni","Chatushapda","Naaga","Kimstugna")</f>
        <v>Vanija</v>
      </c>
      <c r="N452" s="25" t="str">
        <f ca="1">CHOOSE(ROUNDUP(Panchanga!$Q452,0),"Vishkambha-विष्कम्भ-Sa","Priti-प्रीति-Me","Ayushman-आयुष्मान-Ke","Saubhagya-सौभाग्य-Ve","Shobhana-शोभन-Su","Atiganda-अतिगण्ड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("&amp;Panchanga!$Q452&amp;")"</f>
        <v>Shula-शूल -Ju (8.66)</v>
      </c>
      <c r="O452" s="2">
        <f ca="1">IF(AND(Panchanga!$P452&lt;28.5,Panchanga!$P452&gt;0.49999),MOD((Panchanga!$P452-0.5)*2,7),MOD((Panchanga!$P452+30-28.5),30)*2+7)</f>
        <v>5.5599999999999987</v>
      </c>
      <c r="P452" s="2">
        <f ca="1">ROUNDUP(MOD(360+Panchanga!$G452-Panchanga!$F452,360)/12,4)</f>
        <v>13.78</v>
      </c>
      <c r="Q452" s="2">
        <f t="shared" ca="1" si="71"/>
        <v>8.66</v>
      </c>
      <c r="R452" s="2" t="str">
        <f ca="1">SIGN(S453-Panchanga!$S452)*INT(Panchanga!$S452/30+1)&amp;"Ma,"&amp;SIGN(T453-Panchanga!$T452)*INT(Panchanga!$T452/30+1)&amp;"Me,"&amp;SIGN(U453-Panchanga!$U452)*INT(Panchanga!$U452/30+1)&amp;"Ju,"&amp;SIGN(V453-Panchanga!$V452)*INT(Panchanga!$V452/30+1)&amp;"Ve,"&amp;SIGN(W453-Panchanga!$W452)*INT(Panchanga!$W452/30+1)&amp;"Sa,"&amp;INT(Panchanga!$X452/30+1)&amp;"Ra"</f>
        <v>1Ma,-11Me,8Ju,10Ve,9Sa,3Ra</v>
      </c>
      <c r="S452" s="2">
        <f ca="1">Planet(Panchanga!$E452,4)</f>
        <v>28.424060218724282</v>
      </c>
      <c r="T452" s="2">
        <f ca="1">Planet(Panchanga!$E452,2)</f>
        <v>325.53768653587548</v>
      </c>
      <c r="U452" s="2">
        <f ca="1">Planet(Panchanga!$E452,5)</f>
        <v>239.50192633564953</v>
      </c>
      <c r="V452" s="2">
        <f ca="1">Planet(Panchanga!$E452,3)</f>
        <v>297.72760413849358</v>
      </c>
      <c r="W452" s="2">
        <f ca="1">Planet(Panchanga!$E452,6)</f>
        <v>265.05608615053399</v>
      </c>
      <c r="X452" s="2">
        <f ca="1">Planet(Panchanga!$E452,10)</f>
        <v>89.314319101539084</v>
      </c>
      <c r="Y452" s="2">
        <f ca="1">SIGN(S453-Panchanga!$S452)</f>
        <v>1</v>
      </c>
    </row>
    <row r="453" spans="1:25" x14ac:dyDescent="0.2">
      <c r="A453" s="3">
        <f t="shared" ca="1" si="64"/>
        <v>43545</v>
      </c>
      <c r="B453" s="3">
        <f t="shared" ca="1" si="65"/>
        <v>43545.229166666664</v>
      </c>
      <c r="C453" s="5">
        <f t="shared" ca="1" si="66"/>
        <v>43545.260046846386</v>
      </c>
      <c r="D453" s="5">
        <f t="shared" ca="1" si="67"/>
        <v>43544.763578077356</v>
      </c>
      <c r="E453" s="60">
        <f ca="1">Panchanga!$C453-TimeZone/24</f>
        <v>43545.030880179722</v>
      </c>
      <c r="F453" s="61">
        <f t="shared" ca="1" si="68"/>
        <v>335.99351063314424</v>
      </c>
      <c r="G453" s="61">
        <f t="shared" ca="1" si="69"/>
        <v>155.42792859388797</v>
      </c>
      <c r="H453" s="62">
        <f t="shared" ca="1" si="70"/>
        <v>43545.030880179722</v>
      </c>
      <c r="I453" s="2" t="str">
        <f ca="1">naks(Panchanga!$G453)</f>
        <v>Uttara Phalguni</v>
      </c>
      <c r="J453" s="5">
        <f ca="1">(C454-Panchanga!$C453)/(G454-Panchanga!$G453)*(13.3333333333333-MOD(Panchanga!$G453,13.333333333333))+Panchanga!$C453</f>
        <v>43545.56647550418</v>
      </c>
      <c r="K453" s="2" t="str">
        <f ca="1">IF(Panchanga!$P453&gt;15,"K","S")&amp;ROUNDUP(MOD(Panchanga!$P453,15),0)&amp;" ("&amp;ROUND(Panchanga!$P453,2)&amp;")"</f>
        <v>S15 (14.95)</v>
      </c>
      <c r="L453" s="2">
        <f ca="1">IF(AND(Panchanga!$P453&lt;28.5,Panchanga!$P453&gt;0.49999),MOD((Panchanga!$P453-0.5)*2,7),MOD((Panchanga!$P453+30-28.5),30)*2+7)</f>
        <v>0.90579999999999927</v>
      </c>
      <c r="M453" s="2" t="str">
        <f ca="1">CHOOSE(ROUNDUP(Panchanga!$L453,0),"Bhava","Baalava","Kaulava","Taitula","Garija","Vanija","Vishti","Shakuni","Chatushapda","Naaga","Kimstugna")</f>
        <v>Bhava</v>
      </c>
      <c r="N453" s="25" t="str">
        <f ca="1">CHOOSE(ROUNDUP(Panchanga!$Q453,0),"Vishkambha-विष्कम्भ-Sa","Priti-प्रीति-Me","Ayushman-आयुष्मान-Ke","Saubhagya-सौभाग्य-Ve","Shobhana-शोभन-Su","Atiganda-अतिगण्ड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("&amp;Panchanga!$Q453&amp;")"</f>
        <v>Ganda-गण्ड -Sa (9.86)</v>
      </c>
      <c r="O453" s="2">
        <f ca="1">IF(AND(Panchanga!$P453&lt;28.5,Panchanga!$P453&gt;0.49999),MOD((Panchanga!$P453-0.5)*2,7),MOD((Panchanga!$P453+30-28.5),30)*2+7)</f>
        <v>0.90579999999999927</v>
      </c>
      <c r="P453" s="2">
        <f ca="1">ROUNDUP(MOD(360+Panchanga!$G453-Panchanga!$F453,360)/12,4)</f>
        <v>14.9529</v>
      </c>
      <c r="Q453" s="2">
        <f t="shared" ca="1" si="71"/>
        <v>9.86</v>
      </c>
      <c r="R453" s="2" t="str">
        <f ca="1">SIGN(S454-Panchanga!$S453)*INT(Panchanga!$S453/30+1)&amp;"Ma,"&amp;SIGN(T454-Panchanga!$T453)*INT(Panchanga!$T453/30+1)&amp;"Me,"&amp;SIGN(U454-Panchanga!$U453)*INT(Panchanga!$U453/30+1)&amp;"Ju,"&amp;SIGN(V454-Panchanga!$V453)*INT(Panchanga!$V453/30+1)&amp;"Ve,"&amp;SIGN(W454-Panchanga!$W453)*INT(Panchanga!$W453/30+1)&amp;"Sa,"&amp;INT(Panchanga!$X453/30+1)&amp;"Ra"</f>
        <v>1Ma,-11Me,8Ju,10Ve,9Sa,3Ra</v>
      </c>
      <c r="S453" s="2">
        <f ca="1">Planet(Panchanga!$E453,4)</f>
        <v>29.089598025072249</v>
      </c>
      <c r="T453" s="2">
        <f ca="1">Planet(Panchanga!$E453,2)</f>
        <v>324.773205712736</v>
      </c>
      <c r="U453" s="2">
        <f ca="1">Planet(Panchanga!$E453,5)</f>
        <v>239.5664666742465</v>
      </c>
      <c r="V453" s="2">
        <f ca="1">Planet(Panchanga!$E453,3)</f>
        <v>298.92566950472536</v>
      </c>
      <c r="W453" s="2">
        <f ca="1">Planet(Panchanga!$E453,6)</f>
        <v>265.11880888222578</v>
      </c>
      <c r="X453" s="2">
        <f ca="1">Planet(Panchanga!$E453,10)</f>
        <v>89.261351960603903</v>
      </c>
      <c r="Y453" s="2">
        <f ca="1">SIGN(S454-Panchanga!$S453)</f>
        <v>1</v>
      </c>
    </row>
    <row r="454" spans="1:25" x14ac:dyDescent="0.2">
      <c r="A454" s="3">
        <f t="shared" ca="1" si="64"/>
        <v>43546</v>
      </c>
      <c r="B454" s="3">
        <f t="shared" ca="1" si="65"/>
        <v>43546.229166666664</v>
      </c>
      <c r="C454" s="5">
        <f t="shared" ca="1" si="66"/>
        <v>43546.259576525692</v>
      </c>
      <c r="D454" s="5">
        <f t="shared" ca="1" si="67"/>
        <v>43545.763634662188</v>
      </c>
      <c r="E454" s="60">
        <f ca="1">Panchanga!$C454-TimeZone/24</f>
        <v>43546.030409859028</v>
      </c>
      <c r="F454" s="61">
        <f t="shared" ca="1" si="68"/>
        <v>336.98589000284738</v>
      </c>
      <c r="G454" s="61">
        <f t="shared" ca="1" si="69"/>
        <v>170.34141971206162</v>
      </c>
      <c r="H454" s="62">
        <f t="shared" ca="1" si="70"/>
        <v>43546.030409859028</v>
      </c>
      <c r="I454" s="2" t="str">
        <f ca="1">naks(Panchanga!$G454)</f>
        <v>Hasta</v>
      </c>
      <c r="J454" s="5">
        <f ca="1">(C455-Panchanga!$C454)/(G455-Panchanga!$G454)*(13.3333333333333-MOD(Panchanga!$G454,13.333333333333))+Panchanga!$C454</f>
        <v>43546.464285488109</v>
      </c>
      <c r="K454" s="2" t="str">
        <f ca="1">IF(Panchanga!$P454&gt;15,"K","S")&amp;ROUNDUP(MOD(Panchanga!$P454,15),0)&amp;" ("&amp;ROUND(Panchanga!$P454,2)&amp;")"</f>
        <v>K2 (16.11)</v>
      </c>
      <c r="L454" s="2">
        <f ca="1">IF(AND(Panchanga!$P454&lt;28.5,Panchanga!$P454&gt;0.49999),MOD((Panchanga!$P454-0.5)*2,7),MOD((Panchanga!$P454+30-28.5),30)*2+7)</f>
        <v>3.2259999999999991</v>
      </c>
      <c r="M454" s="2" t="str">
        <f ca="1">CHOOSE(ROUNDUP(Panchanga!$L454,0),"Bhava","Baalava","Kaulava","Taitula","Garija","Vanija","Vishti","Shakuni","Chatushapda","Naaga","Kimstugna")</f>
        <v>Taitula</v>
      </c>
      <c r="N454" s="25" t="str">
        <f ca="1">CHOOSE(ROUNDUP(Panchanga!$Q454,0),"Vishkambha-विष्कम्भ-Sa","Priti-प्रीति-Me","Ayushman-आयुष्मान-Ke","Saubhagya-सौभाग्य-Ve","Shobhana-शोभन-Su","Atiganda-अतिगण्ड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("&amp;Panchanga!$Q454&amp;")"</f>
        <v>Dhruva-ध्रुव -Ke (11.05)</v>
      </c>
      <c r="O454" s="2">
        <f ca="1">IF(AND(Panchanga!$P454&lt;28.5,Panchanga!$P454&gt;0.49999),MOD((Panchanga!$P454-0.5)*2,7),MOD((Panchanga!$P454+30-28.5),30)*2+7)</f>
        <v>3.2259999999999991</v>
      </c>
      <c r="P454" s="2">
        <f ca="1">ROUNDUP(MOD(360+Panchanga!$G454-Panchanga!$F454,360)/12,4)</f>
        <v>16.113</v>
      </c>
      <c r="Q454" s="2">
        <f t="shared" ca="1" si="71"/>
        <v>11.049999999999999</v>
      </c>
      <c r="R454" s="2" t="str">
        <f ca="1">SIGN(S455-Panchanga!$S454)*INT(Panchanga!$S454/30+1)&amp;"Ma,"&amp;SIGN(T455-Panchanga!$T454)*INT(Panchanga!$T454/30+1)&amp;"Me,"&amp;SIGN(U455-Panchanga!$U454)*INT(Panchanga!$U454/30+1)&amp;"Ju,"&amp;SIGN(V455-Panchanga!$V454)*INT(Panchanga!$V454/30+1)&amp;"Ve,"&amp;SIGN(W455-Panchanga!$W454)*INT(Panchanga!$W454/30+1)&amp;"Sa,"&amp;INT(Panchanga!$X454/30+1)&amp;"Ra"</f>
        <v>1Ma,-11Me,8Ju,11Ve,9Sa,3Ra</v>
      </c>
      <c r="S454" s="2">
        <f ca="1">Planet(Panchanga!$E454,4)</f>
        <v>29.754745274674605</v>
      </c>
      <c r="T454" s="2">
        <f ca="1">Planet(Panchanga!$E454,2)</f>
        <v>324.08956701890475</v>
      </c>
      <c r="U454" s="2">
        <f ca="1">Planet(Panchanga!$E454,5)</f>
        <v>239.62813233410319</v>
      </c>
      <c r="V454" s="2">
        <f ca="1">Planet(Panchanga!$E454,3)</f>
        <v>300.12437294561482</v>
      </c>
      <c r="W454" s="2">
        <f ca="1">Planet(Panchanga!$E454,6)</f>
        <v>265.18017155245661</v>
      </c>
      <c r="X454" s="2">
        <f ca="1">Planet(Panchanga!$E454,10)</f>
        <v>89.208384887106462</v>
      </c>
      <c r="Y454" s="2">
        <f ca="1">SIGN(S455-Panchanga!$S454)</f>
        <v>1</v>
      </c>
    </row>
    <row r="455" spans="1:25" x14ac:dyDescent="0.2">
      <c r="A455" s="3">
        <f t="shared" ca="1" si="64"/>
        <v>43547</v>
      </c>
      <c r="B455" s="3">
        <f t="shared" ca="1" si="65"/>
        <v>43547.229166666664</v>
      </c>
      <c r="C455" s="5">
        <f t="shared" ca="1" si="66"/>
        <v>43547.259105092999</v>
      </c>
      <c r="D455" s="5">
        <f t="shared" ca="1" si="67"/>
        <v>43546.763689975298</v>
      </c>
      <c r="E455" s="60">
        <f ca="1">Panchanga!$C455-TimeZone/24</f>
        <v>43547.029938426334</v>
      </c>
      <c r="F455" s="61">
        <f t="shared" ca="1" si="68"/>
        <v>337.97772976429644</v>
      </c>
      <c r="G455" s="61">
        <f t="shared" ca="1" si="69"/>
        <v>184.94997959178906</v>
      </c>
      <c r="H455" s="62">
        <f t="shared" ca="1" si="70"/>
        <v>43547.029938426334</v>
      </c>
      <c r="I455" s="2" t="str">
        <f ca="1">naks(Panchanga!$G455)</f>
        <v>Chitra</v>
      </c>
      <c r="J455" s="5">
        <f ca="1">(C456-Panchanga!$C455)/(G456-Panchanga!$G455)*(13.3333333333333-MOD(Panchanga!$G455,13.333333333333))+Panchanga!$C455</f>
        <v>43547.380010314417</v>
      </c>
      <c r="K455" s="2" t="str">
        <f ca="1">IF(Panchanga!$P455&gt;15,"K","S")&amp;ROUNDUP(MOD(Panchanga!$P455,15),0)&amp;" ("&amp;ROUND(Panchanga!$P455,2)&amp;")"</f>
        <v>K3 (17.25)</v>
      </c>
      <c r="L455" s="2">
        <f ca="1">IF(AND(Panchanga!$P455&lt;28.5,Panchanga!$P455&gt;0.49999),MOD((Panchanga!$P455-0.5)*2,7),MOD((Panchanga!$P455+30-28.5),30)*2+7)</f>
        <v>5.4953999999999965</v>
      </c>
      <c r="M455" s="2" t="str">
        <f ca="1">CHOOSE(ROUNDUP(Panchanga!$L455,0),"Bhava","Baalava","Kaulava","Taitula","Garija","Vanija","Vishti","Shakuni","Chatushapda","Naaga","Kimstugna")</f>
        <v>Vanija</v>
      </c>
      <c r="N455" s="25" t="str">
        <f ca="1">CHOOSE(ROUNDUP(Panchanga!$Q455,0),"Vishkambha-विष्कम्भ-Sa","Priti-प्रीति-Me","Ayushman-आयुष्मान-Ke","Saubhagya-सौभाग्य-Ve","Shobhana-शोभन-Su","Atiganda-अतिगण्ड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("&amp;Panchanga!$Q455&amp;")"</f>
        <v>Vyaghata-व्याघात-ve (12.22)</v>
      </c>
      <c r="O455" s="2">
        <f ca="1">IF(AND(Panchanga!$P455&lt;28.5,Panchanga!$P455&gt;0.49999),MOD((Panchanga!$P455-0.5)*2,7),MOD((Panchanga!$P455+30-28.5),30)*2+7)</f>
        <v>5.4953999999999965</v>
      </c>
      <c r="P455" s="2">
        <f ca="1">ROUNDUP(MOD(360+Panchanga!$G455-Panchanga!$F455,360)/12,4)</f>
        <v>17.247699999999998</v>
      </c>
      <c r="Q455" s="2">
        <f t="shared" ca="1" si="71"/>
        <v>12.22</v>
      </c>
      <c r="R455" s="2" t="str">
        <f ca="1">SIGN(S456-Panchanga!$S455)*INT(Panchanga!$S455/30+1)&amp;"Ma,"&amp;SIGN(T456-Panchanga!$T455)*INT(Panchanga!$T455/30+1)&amp;"Me,"&amp;SIGN(U456-Panchanga!$U455)*INT(Panchanga!$U455/30+1)&amp;"Ju,"&amp;SIGN(V456-Panchanga!$V455)*INT(Panchanga!$V455/30+1)&amp;"Ve,"&amp;SIGN(W456-Panchanga!$W455)*INT(Panchanga!$W455/30+1)&amp;"Sa,"&amp;INT(Panchanga!$X455/30+1)&amp;"Ra"</f>
        <v>2Ma,-11Me,8Ju,11Ve,9Sa,3Ra</v>
      </c>
      <c r="S455" s="2">
        <f ca="1">Planet(Panchanga!$E455,4)</f>
        <v>30.419509731130304</v>
      </c>
      <c r="T455" s="2">
        <f ca="1">Planet(Panchanga!$E455,2)</f>
        <v>323.49497854223279</v>
      </c>
      <c r="U455" s="2">
        <f ca="1">Planet(Panchanga!$E455,5)</f>
        <v>239.68690211597581</v>
      </c>
      <c r="V455" s="2">
        <f ca="1">Planet(Panchanga!$E455,3)</f>
        <v>301.32370670343249</v>
      </c>
      <c r="W455" s="2">
        <f ca="1">Planet(Panchanga!$E455,6)</f>
        <v>265.2401616103794</v>
      </c>
      <c r="X455" s="2">
        <f ca="1">Planet(Panchanga!$E455,10)</f>
        <v>89.155417872530293</v>
      </c>
      <c r="Y455" s="2">
        <f ca="1">SIGN(S456-Panchanga!$S455)</f>
        <v>1</v>
      </c>
    </row>
    <row r="456" spans="1:25" x14ac:dyDescent="0.2">
      <c r="A456" s="3">
        <f t="shared" ca="1" si="64"/>
        <v>43548</v>
      </c>
      <c r="B456" s="3">
        <f t="shared" ca="1" si="65"/>
        <v>43548.229166666664</v>
      </c>
      <c r="C456" s="5">
        <f t="shared" ca="1" si="66"/>
        <v>43548.258633024212</v>
      </c>
      <c r="D456" s="5">
        <f t="shared" ca="1" si="67"/>
        <v>43547.763744175478</v>
      </c>
      <c r="E456" s="60">
        <f ca="1">Panchanga!$C456-TimeZone/24</f>
        <v>43548.029466357548</v>
      </c>
      <c r="F456" s="61">
        <f t="shared" ca="1" si="68"/>
        <v>338.96904796047727</v>
      </c>
      <c r="G456" s="61">
        <f t="shared" ca="1" si="69"/>
        <v>199.14189504738673</v>
      </c>
      <c r="H456" s="62">
        <f t="shared" ca="1" si="70"/>
        <v>43548.029466357548</v>
      </c>
      <c r="I456" s="2" t="str">
        <f ca="1">naks(Panchanga!$G456)</f>
        <v>Swati</v>
      </c>
      <c r="J456" s="5">
        <f ca="1">(C457-Panchanga!$C456)/(G457-Panchanga!$G456)*(13.3333333333333-MOD(Panchanga!$G456,13.333333333333))+Panchanga!$C456</f>
        <v>43548.321165270696</v>
      </c>
      <c r="K456" s="2" t="str">
        <f ca="1">IF(Panchanga!$P456&gt;15,"K","S")&amp;ROUNDUP(MOD(Panchanga!$P456,15),0)&amp;" ("&amp;ROUND(Panchanga!$P456,2)&amp;")"</f>
        <v>K4 (18.35)</v>
      </c>
      <c r="L456" s="2">
        <f ca="1">IF(AND(Panchanga!$P456&lt;28.5,Panchanga!$P456&gt;0.49999),MOD((Panchanga!$P456-0.5)*2,7),MOD((Panchanga!$P456+30-28.5),30)*2+7)</f>
        <v>0.69559999999999889</v>
      </c>
      <c r="M456" s="2" t="str">
        <f ca="1">CHOOSE(ROUNDUP(Panchanga!$L456,0),"Bhava","Baalava","Kaulava","Taitula","Garija","Vanija","Vishti","Shakuni","Chatushapda","Naaga","Kimstugna")</f>
        <v>Bhava</v>
      </c>
      <c r="N456" s="25" t="str">
        <f ca="1">CHOOSE(ROUNDUP(Panchanga!$Q456,0),"Vishkambha-विष्कम्भ-Sa","Priti-प्रीति-Me","Ayushman-आयुष्मान-Ke","Saubhagya-सौभाग्य-Ve","Shobhana-शोभन-Su","Atiganda-अतिगण्ड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("&amp;Panchanga!$Q456&amp;")"</f>
        <v>Harshana-हर्षण-su (13.36)</v>
      </c>
      <c r="O456" s="2">
        <f ca="1">IF(AND(Panchanga!$P456&lt;28.5,Panchanga!$P456&gt;0.49999),MOD((Panchanga!$P456-0.5)*2,7),MOD((Panchanga!$P456+30-28.5),30)*2+7)</f>
        <v>0.69559999999999889</v>
      </c>
      <c r="P456" s="2">
        <f ca="1">ROUNDUP(MOD(360+Panchanga!$G456-Panchanga!$F456,360)/12,4)</f>
        <v>18.347799999999999</v>
      </c>
      <c r="Q456" s="2">
        <f t="shared" ca="1" si="71"/>
        <v>13.36</v>
      </c>
      <c r="R456" s="2" t="str">
        <f ca="1">SIGN(S457-Panchanga!$S456)*INT(Panchanga!$S456/30+1)&amp;"Ma,"&amp;SIGN(T457-Panchanga!$T456)*INT(Panchanga!$T456/30+1)&amp;"Me,"&amp;SIGN(U457-Panchanga!$U456)*INT(Panchanga!$U456/30+1)&amp;"Ju,"&amp;SIGN(V457-Panchanga!$V456)*INT(Panchanga!$V456/30+1)&amp;"Ve,"&amp;SIGN(W457-Panchanga!$W456)*INT(Panchanga!$W456/30+1)&amp;"Sa,"&amp;INT(Panchanga!$X456/30+1)&amp;"Ra"</f>
        <v>2Ma,-11Me,8Ju,11Ve,9Sa,3Ra</v>
      </c>
      <c r="S456" s="2">
        <f ca="1">Planet(Panchanga!$E456,4)</f>
        <v>31.083900797723025</v>
      </c>
      <c r="T456" s="2">
        <f ca="1">Planet(Panchanga!$E456,2)</f>
        <v>322.99521070788222</v>
      </c>
      <c r="U456" s="2">
        <f ca="1">Planet(Panchanga!$E456,5)</f>
        <v>239.742754211864</v>
      </c>
      <c r="V456" s="2">
        <f ca="1">Planet(Panchanga!$E456,3)</f>
        <v>302.52365960546183</v>
      </c>
      <c r="W456" s="2">
        <f ca="1">Planet(Panchanga!$E456,6)</f>
        <v>265.29876604037486</v>
      </c>
      <c r="X456" s="2">
        <f ca="1">Planet(Panchanga!$E456,10)</f>
        <v>89.102450891641041</v>
      </c>
      <c r="Y456" s="2">
        <f ca="1">SIGN(S457-Panchanga!$S456)</f>
        <v>1</v>
      </c>
    </row>
    <row r="457" spans="1:25" x14ac:dyDescent="0.2">
      <c r="A457" s="3">
        <f t="shared" ca="1" si="64"/>
        <v>43549</v>
      </c>
      <c r="B457" s="3">
        <f t="shared" ca="1" si="65"/>
        <v>43549.229166666664</v>
      </c>
      <c r="C457" s="5">
        <f t="shared" ca="1" si="66"/>
        <v>43549.258160478588</v>
      </c>
      <c r="D457" s="5">
        <f t="shared" ca="1" si="67"/>
        <v>43548.763797422449</v>
      </c>
      <c r="E457" s="60">
        <f ca="1">Panchanga!$C457-TimeZone/24</f>
        <v>43549.028993811924</v>
      </c>
      <c r="F457" s="61">
        <f t="shared" ca="1" si="68"/>
        <v>339.95985863669733</v>
      </c>
      <c r="G457" s="61">
        <f t="shared" ca="1" si="69"/>
        <v>212.85800964512677</v>
      </c>
      <c r="H457" s="62">
        <f t="shared" ca="1" si="70"/>
        <v>43549.028993811924</v>
      </c>
      <c r="I457" s="2" t="str">
        <f ca="1">naks(Panchanga!$G457)</f>
        <v>Visakha</v>
      </c>
      <c r="J457" s="5">
        <f ca="1">(C458-Panchanga!$C457)/(G458-Panchanga!$G457)*(13.3333333333333-MOD(Panchanga!$G457,13.333333333333))+Panchanga!$C457</f>
        <v>43549.294060524102</v>
      </c>
      <c r="K457" s="2" t="str">
        <f ca="1">IF(Panchanga!$P457&gt;15,"K","S")&amp;ROUNDUP(MOD(Panchanga!$P457,15),0)&amp;" ("&amp;ROUND(Panchanga!$P457,2)&amp;")"</f>
        <v>K5 (19.41)</v>
      </c>
      <c r="L457" s="2">
        <f ca="1">IF(AND(Panchanga!$P457&lt;28.5,Panchanga!$P457&gt;0.49999),MOD((Panchanga!$P457-0.5)*2,7),MOD((Panchanga!$P457+30-28.5),30)*2+7)</f>
        <v>2.8164000000000016</v>
      </c>
      <c r="M457" s="2" t="str">
        <f ca="1">CHOOSE(ROUNDUP(Panchanga!$L457,0),"Bhava","Baalava","Kaulava","Taitula","Garija","Vanija","Vishti","Shakuni","Chatushapda","Naaga","Kimstugna")</f>
        <v>Kaulava</v>
      </c>
      <c r="N457" s="25" t="str">
        <f ca="1">CHOOSE(ROUNDUP(Panchanga!$Q457,0),"Vishkambha-विष्कम्भ-Sa","Priti-प्रीति-Me","Ayushman-आयुष्मान-Ke","Saubhagya-सौभाग्य-Ve","Shobhana-शोभन-Su","Atiganda-अतिगण्ड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("&amp;Panchanga!$Q457&amp;")"</f>
        <v>Vajra-वज्र-Mo (14.47)</v>
      </c>
      <c r="O457" s="2">
        <f ca="1">IF(AND(Panchanga!$P457&lt;28.5,Panchanga!$P457&gt;0.49999),MOD((Panchanga!$P457-0.5)*2,7),MOD((Panchanga!$P457+30-28.5),30)*2+7)</f>
        <v>2.8164000000000016</v>
      </c>
      <c r="P457" s="2">
        <f ca="1">ROUNDUP(MOD(360+Panchanga!$G457-Panchanga!$F457,360)/12,4)</f>
        <v>19.408200000000001</v>
      </c>
      <c r="Q457" s="2">
        <f t="shared" ca="1" si="71"/>
        <v>14.47</v>
      </c>
      <c r="R457" s="2" t="str">
        <f ca="1">SIGN(S458-Panchanga!$S457)*INT(Panchanga!$S457/30+1)&amp;"Ma,"&amp;SIGN(T458-Panchanga!$T457)*INT(Panchanga!$T457/30+1)&amp;"Me,"&amp;SIGN(U458-Panchanga!$U457)*INT(Panchanga!$U457/30+1)&amp;"Ju,"&amp;SIGN(V458-Panchanga!$V457)*INT(Panchanga!$V457/30+1)&amp;"Ve,"&amp;SIGN(W458-Panchanga!$W457)*INT(Panchanga!$W457/30+1)&amp;"Sa,"&amp;INT(Panchanga!$X457/30+1)&amp;"Ra"</f>
        <v>2Ma,-11Me,8Ju,11Ve,9Sa,3Ra</v>
      </c>
      <c r="S457" s="2">
        <f ca="1">Planet(Panchanga!$E457,4)</f>
        <v>31.747928030351993</v>
      </c>
      <c r="T457" s="2">
        <f ca="1">Planet(Panchanga!$E457,2)</f>
        <v>322.59383895792905</v>
      </c>
      <c r="U457" s="2">
        <f ca="1">Planet(Panchanga!$E457,5)</f>
        <v>239.79566656674228</v>
      </c>
      <c r="V457" s="2">
        <f ca="1">Planet(Panchanga!$E457,3)</f>
        <v>303.72421640858914</v>
      </c>
      <c r="W457" s="2">
        <f ca="1">Planet(Panchanga!$E457,6)</f>
        <v>265.3559714420058</v>
      </c>
      <c r="X457" s="2">
        <f ca="1">Planet(Panchanga!$E457,10)</f>
        <v>89.049483936055012</v>
      </c>
      <c r="Y457" s="2">
        <f ca="1">SIGN(S458-Panchanga!$S457)</f>
        <v>1</v>
      </c>
    </row>
    <row r="458" spans="1:25" x14ac:dyDescent="0.2">
      <c r="A458" s="3">
        <f t="shared" ca="1" si="64"/>
        <v>43550</v>
      </c>
      <c r="B458" s="3">
        <f t="shared" ca="1" si="65"/>
        <v>43550.229166666664</v>
      </c>
      <c r="C458" s="5">
        <f t="shared" ca="1" si="66"/>
        <v>43550.257687932964</v>
      </c>
      <c r="D458" s="5">
        <f t="shared" ca="1" si="67"/>
        <v>43549.763850351374</v>
      </c>
      <c r="E458" s="60">
        <f ca="1">Panchanga!$C458-TimeZone/24</f>
        <v>43550.0285212663</v>
      </c>
      <c r="F458" s="61">
        <f t="shared" ca="1" si="68"/>
        <v>340.95017203683722</v>
      </c>
      <c r="G458" s="61">
        <f t="shared" ca="1" si="69"/>
        <v>226.0919504178753</v>
      </c>
      <c r="H458" s="62">
        <f t="shared" ca="1" si="70"/>
        <v>43550.0285212663</v>
      </c>
      <c r="I458" s="2" t="str">
        <f ca="1">naks(Panchanga!$G458)</f>
        <v>Anuradha</v>
      </c>
      <c r="J458" s="5">
        <f ca="1">(C459-Panchanga!$C458)/(G459-Panchanga!$G458)*(13.3333333333333-MOD(Panchanga!$G458,13.333333333333))+Panchanga!$C458</f>
        <v>43550.302605518169</v>
      </c>
      <c r="K458" s="2" t="str">
        <f ca="1">IF(Panchanga!$P458&gt;15,"K","S")&amp;ROUNDUP(MOD(Panchanga!$P458,15),0)&amp;" ("&amp;ROUND(Panchanga!$P458,2)&amp;")"</f>
        <v>K6 (20.43)</v>
      </c>
      <c r="L458" s="2">
        <f ca="1">IF(AND(Panchanga!$P458&lt;28.5,Panchanga!$P458&gt;0.49999),MOD((Panchanga!$P458-0.5)*2,7),MOD((Panchanga!$P458+30-28.5),30)*2+7)</f>
        <v>4.8569999999999993</v>
      </c>
      <c r="M458" s="2" t="str">
        <f ca="1">CHOOSE(ROUNDUP(Panchanga!$L458,0),"Bhava","Baalava","Kaulava","Taitula","Garija","Vanija","Vishti","Shakuni","Chatushapda","Naaga","Kimstugna")</f>
        <v>Garija</v>
      </c>
      <c r="N458" s="25" t="str">
        <f ca="1">CHOOSE(ROUNDUP(Panchanga!$Q458,0),"Vishkambha-विष्कम्भ-Sa","Priti-प्रीति-Me","Ayushman-आयुष्मान-Ke","Saubhagya-सौभाग्य-Ve","Shobhana-शोभन-Su","Atiganda-अतिगण्ड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("&amp;Panchanga!$Q458&amp;")"</f>
        <v>Siddhi-सिद्धि-Ma (15.53)</v>
      </c>
      <c r="O458" s="2">
        <f ca="1">IF(AND(Panchanga!$P458&lt;28.5,Panchanga!$P458&gt;0.49999),MOD((Panchanga!$P458-0.5)*2,7),MOD((Panchanga!$P458+30-28.5),30)*2+7)</f>
        <v>4.8569999999999993</v>
      </c>
      <c r="P458" s="2">
        <f ca="1">ROUNDUP(MOD(360+Panchanga!$G458-Panchanga!$F458,360)/12,4)</f>
        <v>20.4285</v>
      </c>
      <c r="Q458" s="2">
        <f t="shared" ca="1" si="71"/>
        <v>15.53</v>
      </c>
      <c r="R458" s="2" t="str">
        <f ca="1">SIGN(S459-Panchanga!$S458)*INT(Panchanga!$S458/30+1)&amp;"Ma,"&amp;SIGN(T459-Panchanga!$T458)*INT(Panchanga!$T458/30+1)&amp;"Me,"&amp;SIGN(U459-Panchanga!$U458)*INT(Panchanga!$U458/30+1)&amp;"Ju,"&amp;SIGN(V459-Panchanga!$V458)*INT(Panchanga!$V458/30+1)&amp;"Ve,"&amp;SIGN(W459-Panchanga!$W458)*INT(Panchanga!$W458/30+1)&amp;"Sa,"&amp;INT(Panchanga!$X458/30+1)&amp;"Ra"</f>
        <v>2Ma,-11Me,8Ju,11Ve,9Sa,3Ra</v>
      </c>
      <c r="S458" s="2">
        <f ca="1">Planet(Panchanga!$E458,4)</f>
        <v>32.411600700341147</v>
      </c>
      <c r="T458" s="2">
        <f ca="1">Planet(Panchanga!$E458,2)</f>
        <v>322.29253676150665</v>
      </c>
      <c r="U458" s="2">
        <f ca="1">Planet(Panchanga!$E458,5)</f>
        <v>239.84561733916757</v>
      </c>
      <c r="V458" s="2">
        <f ca="1">Planet(Panchanga!$E458,3)</f>
        <v>304.92535914778705</v>
      </c>
      <c r="W458" s="2">
        <f ca="1">Planet(Panchanga!$E458,6)</f>
        <v>265.41176422822429</v>
      </c>
      <c r="X458" s="2">
        <f ca="1">Planet(Panchanga!$E458,10)</f>
        <v>88.996516980438528</v>
      </c>
      <c r="Y458" s="2">
        <f ca="1">SIGN(S459-Panchanga!$S458)</f>
        <v>1</v>
      </c>
    </row>
    <row r="459" spans="1:25" x14ac:dyDescent="0.2">
      <c r="A459" s="3">
        <f ca="1">A458+1</f>
        <v>43551</v>
      </c>
      <c r="B459" s="3">
        <f t="shared" ca="1" si="65"/>
        <v>43551.229166666664</v>
      </c>
      <c r="C459" s="5">
        <f t="shared" ca="1" si="66"/>
        <v>43551.257215546131</v>
      </c>
      <c r="D459" s="5">
        <f t="shared" ca="1" si="67"/>
        <v>43550.763902803461</v>
      </c>
      <c r="E459" s="60">
        <f ca="1">Panchanga!$C459-TimeZone/24</f>
        <v>43551.028048879467</v>
      </c>
      <c r="F459" s="61">
        <f t="shared" ca="1" si="68"/>
        <v>341.93999409137001</v>
      </c>
      <c r="G459" s="61">
        <f t="shared" ca="1" si="69"/>
        <v>238.88081156931861</v>
      </c>
      <c r="H459" s="62">
        <f t="shared" ca="1" si="70"/>
        <v>43551.028048879467</v>
      </c>
      <c r="I459" s="2" t="str">
        <f ca="1">naks(Panchanga!$G459)</f>
        <v>Jyestha</v>
      </c>
      <c r="J459" s="5">
        <f ca="1">(C460-Panchanga!$C459)/(G460-Panchanga!$G459)*(13.3333333333333-MOD(Panchanga!$G459,13.333333333333))+Panchanga!$C459</f>
        <v>43551.347349248434</v>
      </c>
      <c r="K459" s="2" t="str">
        <f ca="1">IF(Panchanga!$P459&gt;15,"K","S")&amp;ROUNDUP(MOD(Panchanga!$P459,15),0)&amp;" ("&amp;ROUND(Panchanga!$P459,2)&amp;")"</f>
        <v>K7 (21.41)</v>
      </c>
      <c r="L459" s="2">
        <f ca="1">IF(AND(Panchanga!$P459&lt;28.5,Panchanga!$P459&gt;0.49999),MOD((Panchanga!$P459-0.5)*2,7),MOD((Panchanga!$P459+30-28.5),30)*2+7)</f>
        <v>6.823599999999999</v>
      </c>
      <c r="M459" s="2" t="str">
        <f ca="1">CHOOSE(ROUNDUP(Panchanga!$L459,0),"Bhava","Baalava","Kaulava","Taitula","Garija","Vanija","Vishti","Shakuni","Chatushapda","Naaga","Kimstugna")</f>
        <v>Vishti</v>
      </c>
      <c r="N459" s="25" t="str">
        <f ca="1">CHOOSE(ROUNDUP(Panchanga!$Q459,0),"Vishkambha-विष्कम्भ-Sa","Priti-प्रीति-Me","Ayushman-आयुष्मान-Ke","Saubhagya-सौभाग्य-Ve","Shobhana-शोभन-Su","Atiganda-अतिगण्ड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("&amp;Panchanga!$Q459&amp;")"</f>
        <v>Vyatipata-व्यतिपात-Ra (16.57)</v>
      </c>
      <c r="O459" s="2">
        <f ca="1">IF(AND(Panchanga!$P459&lt;28.5,Panchanga!$P459&gt;0.49999),MOD((Panchanga!$P459-0.5)*2,7),MOD((Panchanga!$P459+30-28.5),30)*2+7)</f>
        <v>6.823599999999999</v>
      </c>
      <c r="P459" s="2">
        <f ca="1">ROUNDUP(MOD(360+Panchanga!$G459-Panchanga!$F459,360)/12,4)</f>
        <v>21.411799999999999</v>
      </c>
      <c r="Q459" s="2">
        <f t="shared" ca="1" si="71"/>
        <v>16.57</v>
      </c>
      <c r="R459" s="2" t="str">
        <f ca="1">SIGN(S460-Panchanga!$S459)*INT(Panchanga!$S459/30+1)&amp;"Ma,"&amp;SIGN(T460-Panchanga!$T459)*INT(Panchanga!$T459/30+1)&amp;"Me,"&amp;SIGN(U460-Panchanga!$U459)*INT(Panchanga!$U459/30+1)&amp;"Ju,"&amp;SIGN(V460-Panchanga!$V459)*INT(Panchanga!$V459/30+1)&amp;"Ve,"&amp;SIGN(W460-Panchanga!$W459)*INT(Panchanga!$W459/30+1)&amp;"Sa,"&amp;INT(Panchanga!$X459/30+1)&amp;"Ra"</f>
        <v>2Ma,-11Me,8Ju,11Ve,9Sa,3Ra</v>
      </c>
      <c r="S459" s="2">
        <f ca="1">Planet(Panchanga!$E459,4)</f>
        <v>33.074926793428745</v>
      </c>
      <c r="T459" s="2">
        <f ca="1">Planet(Panchanga!$E459,2)</f>
        <v>322.09138929332619</v>
      </c>
      <c r="U459" s="2">
        <f ca="1">Planet(Panchanga!$E459,5)</f>
        <v>239.89258524492712</v>
      </c>
      <c r="V459" s="2">
        <f ca="1">Planet(Panchanga!$E459,3)</f>
        <v>306.12706717415637</v>
      </c>
      <c r="W459" s="2">
        <f ca="1">Planet(Panchanga!$E459,6)</f>
        <v>265.46613076269375</v>
      </c>
      <c r="X459" s="2">
        <f ca="1">Planet(Panchanga!$E459,10)</f>
        <v>88.943550016440867</v>
      </c>
      <c r="Y459" s="2">
        <f ca="1">SIGN(S460-Panchanga!$S459)</f>
        <v>1</v>
      </c>
    </row>
    <row r="460" spans="1:25" x14ac:dyDescent="0.2">
      <c r="A460" s="3">
        <f ca="1">A459+1</f>
        <v>43552</v>
      </c>
      <c r="B460" s="3">
        <f t="shared" ca="1" si="65"/>
        <v>43552.229166666664</v>
      </c>
      <c r="C460" s="5">
        <f t="shared" ca="1" si="66"/>
        <v>43552.256743636135</v>
      </c>
      <c r="D460" s="5">
        <f t="shared" ca="1" si="67"/>
        <v>43551.763955096758</v>
      </c>
      <c r="E460" s="60">
        <f ca="1">Panchanga!$C460-TimeZone/24</f>
        <v>43552.027576969471</v>
      </c>
      <c r="F460" s="61">
        <f t="shared" ca="1" si="68"/>
        <v>342.92932735245199</v>
      </c>
      <c r="G460" s="61">
        <f t="shared" ca="1" si="69"/>
        <v>251.29193244768902</v>
      </c>
      <c r="H460" s="62">
        <f t="shared" ca="1" si="70"/>
        <v>43552.027576969471</v>
      </c>
      <c r="I460" s="2" t="str">
        <f ca="1">naks(Panchanga!$G460)</f>
        <v>Moola</v>
      </c>
      <c r="J460" s="5">
        <f ca="1">(C461-Panchanga!$C460)/(G461-Panchanga!$G460)*(13.3333333333333-MOD(Panchanga!$G460,13.333333333333))+Panchanga!$C460</f>
        <v>43552.425124261223</v>
      </c>
      <c r="K460" s="2" t="str">
        <f ca="1">IF(Panchanga!$P460&gt;15,"K","S")&amp;ROUNDUP(MOD(Panchanga!$P460,15),0)&amp;" ("&amp;ROUND(Panchanga!$P460,2)&amp;")"</f>
        <v>K8 (22.36)</v>
      </c>
      <c r="L460" s="2">
        <f ca="1">IF(AND(Panchanga!$P460&lt;28.5,Panchanga!$P460&gt;0.49999),MOD((Panchanga!$P460-0.5)*2,7),MOD((Panchanga!$P460+30-28.5),30)*2+7)</f>
        <v>1.7271999999999963</v>
      </c>
      <c r="M460" s="2" t="str">
        <f ca="1">CHOOSE(ROUNDUP(Panchanga!$L460,0),"Bhava","Baalava","Kaulava","Taitula","Garija","Vanija","Vishti","Shakuni","Chatushapda","Naaga","Kimstugna")</f>
        <v>Baalava</v>
      </c>
      <c r="N460" s="25" t="str">
        <f ca="1">CHOOSE(ROUNDUP(Panchanga!$Q460,0),"Vishkambha-विष्कम्भ-Sa","Priti-प्रीति-Me","Ayushman-आयुष्मान-Ke","Saubhagya-सौभाग्य-Ve","Shobhana-शोभन-Su","Atiganda-अतिगण्ड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("&amp;Panchanga!$Q460&amp;")"</f>
        <v>Varigha-वरीयस्-Ju (17.57)</v>
      </c>
      <c r="O460" s="2">
        <f ca="1">IF(AND(Panchanga!$P460&lt;28.5,Panchanga!$P460&gt;0.49999),MOD((Panchanga!$P460-0.5)*2,7),MOD((Panchanga!$P460+30-28.5),30)*2+7)</f>
        <v>1.7271999999999963</v>
      </c>
      <c r="P460" s="2">
        <f ca="1">ROUNDUP(MOD(360+Panchanga!$G460-Panchanga!$F460,360)/12,4)</f>
        <v>22.363599999999998</v>
      </c>
      <c r="Q460" s="2">
        <f t="shared" ca="1" si="71"/>
        <v>17.57</v>
      </c>
      <c r="R460" s="2" t="str">
        <f ca="1">SIGN(S461-Panchanga!$S460)*INT(Panchanga!$S460/30+1)&amp;"Ma,"&amp;SIGN(T461-Panchanga!$T460)*INT(Panchanga!$T460/30+1)&amp;"Me,"&amp;SIGN(U461-Panchanga!$U460)*INT(Panchanga!$U460/30+1)&amp;"Ju,"&amp;SIGN(V461-Panchanga!$V460)*INT(Panchanga!$V460/30+1)&amp;"Ve,"&amp;SIGN(W461-Panchanga!$W460)*INT(Panchanga!$W460/30+1)&amp;"Sa,"&amp;INT(Panchanga!$X460/30+1)&amp;"Ra"</f>
        <v>2Ma,-11Me,8Ju,11Ve,9Sa,3Ra</v>
      </c>
      <c r="S460" s="2">
        <f ca="1">Planet(Panchanga!$E460,4)</f>
        <v>33.73791303451933</v>
      </c>
      <c r="T460" s="2">
        <f ca="1">Planet(Panchanga!$E460,2)</f>
        <v>321.98920249665593</v>
      </c>
      <c r="U460" s="2">
        <f ca="1">Planet(Panchanga!$E460,5)</f>
        <v>239.93654987529595</v>
      </c>
      <c r="V460" s="2">
        <f ca="1">Planet(Panchanga!$E460,3)</f>
        <v>307.32931854260863</v>
      </c>
      <c r="W460" s="2">
        <f ca="1">Planet(Panchanga!$E460,6)</f>
        <v>265.51905753524397</v>
      </c>
      <c r="X460" s="2">
        <f ca="1">Planet(Panchanga!$E460,10)</f>
        <v>88.890583027161867</v>
      </c>
      <c r="Y460" s="2">
        <f ca="1">SIGN(S461-Panchanga!$S460)</f>
        <v>1</v>
      </c>
    </row>
    <row r="461" spans="1:25" x14ac:dyDescent="0.2">
      <c r="A461" s="3">
        <f ca="1">A460+1</f>
        <v>43553</v>
      </c>
      <c r="B461" s="3">
        <f t="shared" ca="1" si="65"/>
        <v>43553.229166666664</v>
      </c>
      <c r="C461" s="5">
        <f t="shared" ca="1" si="66"/>
        <v>43553.256272362232</v>
      </c>
      <c r="D461" s="5">
        <f t="shared" ca="1" si="67"/>
        <v>43552.764007389589</v>
      </c>
      <c r="E461" s="60">
        <f ca="1">Panchanga!$C461-TimeZone/24</f>
        <v>43553.027105695568</v>
      </c>
      <c r="F461" s="61">
        <f t="shared" ca="1" si="68"/>
        <v>343.91817125774207</v>
      </c>
      <c r="G461" s="61">
        <f t="shared" ca="1" si="69"/>
        <v>263.40994677137212</v>
      </c>
      <c r="H461" s="62">
        <f t="shared" ca="1" si="70"/>
        <v>43553.027105695568</v>
      </c>
      <c r="I461" s="2" t="str">
        <f ca="1">naks(Panchanga!$G461)</f>
        <v>Purva Asadha</v>
      </c>
      <c r="J461" s="5">
        <f ca="1">(C462-Panchanga!$C461)/(G462-Panchanga!$G461)*(13.3333333333333-MOD(Panchanga!$G461,13.333333333333))+Panchanga!$C461</f>
        <v>43553.529448041976</v>
      </c>
      <c r="K461" s="2" t="str">
        <f ca="1">IF(Panchanga!$P461&gt;15,"K","S")&amp;ROUNDUP(MOD(Panchanga!$P461,15),0)&amp;" ("&amp;ROUND(Panchanga!$P461,2)&amp;")"</f>
        <v>K9 (23.29)</v>
      </c>
      <c r="L461" s="2">
        <f ca="1">IF(AND(Panchanga!$P461&lt;28.5,Panchanga!$P461&gt;0.49999),MOD((Panchanga!$P461-0.5)*2,7),MOD((Panchanga!$P461+30-28.5),30)*2+7)</f>
        <v>3.5820000000000007</v>
      </c>
      <c r="M461" s="2" t="str">
        <f ca="1">CHOOSE(ROUNDUP(Panchanga!$L461,0),"Bhava","Baalava","Kaulava","Taitula","Garija","Vanija","Vishti","Shakuni","Chatushapda","Naaga","Kimstugna")</f>
        <v>Taitula</v>
      </c>
      <c r="N461" s="25" t="str">
        <f ca="1">CHOOSE(ROUNDUP(Panchanga!$Q461,0),"Vishkambha-विष्कम्भ-Sa","Priti-प्रीति-Me","Ayushman-आयुष्मान-Ke","Saubhagya-सौभाग्य-Ve","Shobhana-शोभन-Su","Atiganda-अतिगण्ड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("&amp;Panchanga!$Q461&amp;")"</f>
        <v>Parigha-परिघ-Sa (18.55)</v>
      </c>
      <c r="O461" s="2">
        <f ca="1">IF(AND(Panchanga!$P461&lt;28.5,Panchanga!$P461&gt;0.49999),MOD((Panchanga!$P461-0.5)*2,7),MOD((Panchanga!$P461+30-28.5),30)*2+7)</f>
        <v>3.5820000000000007</v>
      </c>
      <c r="P461" s="2">
        <f ca="1">ROUNDUP(MOD(360+Panchanga!$G461-Panchanga!$F461,360)/12,4)</f>
        <v>23.291</v>
      </c>
      <c r="Q461" s="2">
        <f t="shared" ca="1" si="71"/>
        <v>18.55</v>
      </c>
      <c r="R461" s="2" t="str">
        <f ca="1">SIGN(S462-Panchanga!$S461)*INT(Panchanga!$S461/30+1)&amp;"Ma,"&amp;SIGN(T462-Panchanga!$T461)*INT(Panchanga!$T461/30+1)&amp;"Me,"&amp;SIGN(U462-Panchanga!$U461)*INT(Panchanga!$U461/30+1)&amp;"Ju,"&amp;SIGN(V462-Panchanga!$V461)*INT(Panchanga!$V461/30+1)&amp;"Ve,"&amp;SIGN(W462-Panchanga!$W461)*INT(Panchanga!$W461/30+1)&amp;"Sa,"&amp;INT(Panchanga!$X461/30+1)&amp;"Ra"</f>
        <v>2Ma,11Me,8Ju,11Ve,9Sa,3Ra</v>
      </c>
      <c r="S461" s="2">
        <f ca="1">Planet(Panchanga!$E461,4)</f>
        <v>34.40056459895024</v>
      </c>
      <c r="T461" s="2">
        <f ca="1">Planet(Panchanga!$E461,2)</f>
        <v>321.98379124290744</v>
      </c>
      <c r="U461" s="2">
        <f ca="1">Planet(Panchanga!$E461,5)</f>
        <v>239.97749188327629</v>
      </c>
      <c r="V461" s="2">
        <f ca="1">Planet(Panchanga!$E461,3)</f>
        <v>308.53209029514755</v>
      </c>
      <c r="W461" s="2">
        <f ca="1">Planet(Panchanga!$E461,6)</f>
        <v>265.57053125673008</v>
      </c>
      <c r="X461" s="2">
        <f ca="1">Planet(Panchanga!$E461,10)</f>
        <v>88.83761600418454</v>
      </c>
      <c r="Y461" s="2">
        <f ca="1">SIGN(S462-Panchanga!$S461)</f>
        <v>1</v>
      </c>
    </row>
    <row r="462" spans="1:25" x14ac:dyDescent="0.2">
      <c r="A462" s="3">
        <f ca="1">A461+1</f>
        <v>43554</v>
      </c>
      <c r="B462" s="3">
        <f t="shared" ca="1" si="65"/>
        <v>43554.229166666664</v>
      </c>
      <c r="C462" s="5">
        <f t="shared" ca="1" si="66"/>
        <v>43554.255802200794</v>
      </c>
      <c r="D462" s="5">
        <f t="shared" ca="1" si="67"/>
        <v>43553.764060000933</v>
      </c>
      <c r="E462" s="60">
        <f ca="1">Panchanga!$C462-TimeZone/24</f>
        <v>43554.02663553413</v>
      </c>
      <c r="F462" s="61">
        <f t="shared" ca="1" si="68"/>
        <v>344.9065231634064</v>
      </c>
      <c r="G462" s="61">
        <f t="shared" ca="1" si="69"/>
        <v>275.32604674849182</v>
      </c>
      <c r="H462" s="62">
        <f t="shared" ca="1" si="70"/>
        <v>43554.02663553413</v>
      </c>
      <c r="I462" s="2" t="str">
        <f ca="1">naks(Panchanga!$G462)</f>
        <v>Uttara Asadha</v>
      </c>
      <c r="J462" s="5">
        <f ca="1">(C463-Panchanga!$C462)/(G463-Panchanga!$G462)*(13.3333333333333-MOD(Panchanga!$G462,13.333333333333))+Panchanga!$C462</f>
        <v>43554.651586230582</v>
      </c>
      <c r="K462" s="2" t="str">
        <f ca="1">IF(Panchanga!$P462&gt;15,"K","S")&amp;ROUNDUP(MOD(Panchanga!$P462,15),0)&amp;" ("&amp;ROUND(Panchanga!$P462,2)&amp;")"</f>
        <v>K10 (24.2)</v>
      </c>
      <c r="L462" s="2">
        <f ca="1">IF(AND(Panchanga!$P462&lt;28.5,Panchanga!$P462&gt;0.49999),MOD((Panchanga!$P462-0.5)*2,7),MOD((Panchanga!$P462+30-28.5),30)*2+7)</f>
        <v>5.4033999999999978</v>
      </c>
      <c r="M462" s="2" t="str">
        <f ca="1">CHOOSE(ROUNDUP(Panchanga!$L462,0),"Bhava","Baalava","Kaulava","Taitula","Garija","Vanija","Vishti","Shakuni","Chatushapda","Naaga","Kimstugna")</f>
        <v>Vanija</v>
      </c>
      <c r="N462" s="25" t="str">
        <f ca="1">CHOOSE(ROUNDUP(Panchanga!$Q462,0),"Vishkambha-विष्कम्भ-Sa","Priti-प्रीति-Me","Ayushman-आयुष्मान-Ke","Saubhagya-सौभाग्य-Ve","Shobhana-शोभन-Su","Atiganda-अतिगण्ड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("&amp;Panchanga!$Q462&amp;")"</f>
        <v>Shiva-शिव-Me (19.52)</v>
      </c>
      <c r="O462" s="2">
        <f ca="1">IF(AND(Panchanga!$P462&lt;28.5,Panchanga!$P462&gt;0.49999),MOD((Panchanga!$P462-0.5)*2,7),MOD((Panchanga!$P462+30-28.5),30)*2+7)</f>
        <v>5.4033999999999978</v>
      </c>
      <c r="P462" s="2">
        <f ca="1">ROUNDUP(MOD(360+Panchanga!$G462-Panchanga!$F462,360)/12,4)</f>
        <v>24.201699999999999</v>
      </c>
      <c r="Q462" s="2">
        <f t="shared" ca="1" si="71"/>
        <v>19.520000000000003</v>
      </c>
      <c r="R462" s="2" t="str">
        <f ca="1">SIGN(S463-Panchanga!$S462)*INT(Panchanga!$S462/30+1)&amp;"Ma,"&amp;SIGN(T463-Panchanga!$T462)*INT(Panchanga!$T462/30+1)&amp;"Me,"&amp;SIGN(U463-Panchanga!$U462)*INT(Panchanga!$U462/30+1)&amp;"Ju,"&amp;SIGN(V463-Panchanga!$V462)*INT(Panchanga!$V462/30+1)&amp;"Ve,"&amp;SIGN(W463-Panchanga!$W462)*INT(Panchanga!$W462/30+1)&amp;"Sa,"&amp;INT(Panchanga!$X462/30+1)&amp;"Ra"</f>
        <v>2Ma,11Me,9Ju,11Ve,9Sa,3Ra</v>
      </c>
      <c r="S462" s="2">
        <f ca="1">Planet(Panchanga!$E462,4)</f>
        <v>35.062885500925461</v>
      </c>
      <c r="T462" s="2">
        <f ca="1">Planet(Panchanga!$E462,2)</f>
        <v>322.07223600665765</v>
      </c>
      <c r="U462" s="2">
        <f ca="1">Planet(Panchanga!$E462,5)</f>
        <v>240.01539312634696</v>
      </c>
      <c r="V462" s="2">
        <f ca="1">Planet(Panchanga!$E462,3)</f>
        <v>309.73535950970734</v>
      </c>
      <c r="W462" s="2">
        <f ca="1">Planet(Panchanga!$E462,6)</f>
        <v>265.62053896305815</v>
      </c>
      <c r="X462" s="2">
        <f ca="1">Planet(Panchanga!$E462,10)</f>
        <v>88.784648922274684</v>
      </c>
      <c r="Y462" s="2">
        <f ca="1">SIGN(S463-Panchanga!$S462)</f>
        <v>1</v>
      </c>
    </row>
    <row r="463" spans="1:25" x14ac:dyDescent="0.2">
      <c r="A463" s="3">
        <f ca="1">A462+1</f>
        <v>43555</v>
      </c>
      <c r="B463" s="3">
        <f t="shared" ca="1" si="65"/>
        <v>43555.229166666664</v>
      </c>
      <c r="C463" s="5">
        <f t="shared" ca="1" si="66"/>
        <v>43555.255333311077</v>
      </c>
      <c r="D463" s="5">
        <f t="shared" ca="1" si="67"/>
        <v>43554.764112929857</v>
      </c>
      <c r="E463" s="60">
        <f ca="1">Panchanga!$C463-TimeZone/24</f>
        <v>43555.026166644413</v>
      </c>
      <c r="F463" s="61">
        <f t="shared" ca="1" si="68"/>
        <v>345.89437815684755</v>
      </c>
      <c r="G463" s="61">
        <f t="shared" ca="1" si="69"/>
        <v>287.12986229243535</v>
      </c>
      <c r="H463" s="62">
        <f t="shared" ca="1" si="70"/>
        <v>43555.026166644413</v>
      </c>
      <c r="I463" s="2" t="str">
        <f ca="1">naks(Panchanga!$G463)</f>
        <v>Sravana</v>
      </c>
      <c r="J463" s="5">
        <f ca="1">(C464-Panchanga!$C463)/(G464-Panchanga!$G463)*(13.3333333333333-MOD(Panchanga!$G463,13.333333333333))+Panchanga!$C463</f>
        <v>44496.271231071027</v>
      </c>
      <c r="K463" s="2" t="str">
        <f ca="1">IF(Panchanga!$P463&gt;15,"K","S")&amp;ROUNDUP(MOD(Panchanga!$P463,15),0)&amp;" ("&amp;ROUND(Panchanga!$P463,2)&amp;")"</f>
        <v>K11 (25.1)</v>
      </c>
      <c r="L463" s="2">
        <f ca="1">IF(AND(Panchanga!$P463&lt;28.5,Panchanga!$P463&gt;0.49999),MOD((Panchanga!$P463-0.5)*2,7),MOD((Panchanga!$P463+30-28.5),30)*2+7)</f>
        <v>0.20600000000000307</v>
      </c>
      <c r="M463" s="2" t="str">
        <f ca="1">CHOOSE(ROUNDUP(Panchanga!$L463,0),"Bhava","Baalava","Kaulava","Taitula","Garija","Vanija","Vishti","Shakuni","Chatushapda","Naaga","Kimstugna")</f>
        <v>Bhava</v>
      </c>
      <c r="N463" s="25" t="str">
        <f ca="1">CHOOSE(ROUNDUP(Panchanga!$Q463,0),"Vishkambha-विष्कम्भ-Sa","Priti-प्रीति-Me","Ayushman-आयुष्मान-Ke","Saubhagya-सौभाग्य-Ve","Shobhana-शोभन-Su","Atiganda-अतिगण्ड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("&amp;Panchanga!$Q463&amp;")"</f>
        <v>Siddha-सिद्ध-Ke (20.48)</v>
      </c>
      <c r="O463" s="2">
        <f ca="1">IF(AND(Panchanga!$P463&lt;28.5,Panchanga!$P463&gt;0.49999),MOD((Panchanga!$P463-0.5)*2,7),MOD((Panchanga!$P463+30-28.5),30)*2+7)</f>
        <v>0.20600000000000307</v>
      </c>
      <c r="P463" s="2">
        <f ca="1">ROUNDUP(MOD(360+Panchanga!$G463-Panchanga!$F463,360)/12,4)</f>
        <v>25.103000000000002</v>
      </c>
      <c r="Q463" s="2">
        <f t="shared" ca="1" si="71"/>
        <v>20.48</v>
      </c>
      <c r="R463" s="2" t="str">
        <f ca="1">SIGN(S464-Panchanga!$S463)*INT(Panchanga!$S463/30+1)&amp;"Ma,"&amp;SIGN(T464-Panchanga!$T463)*INT(Panchanga!$T463/30+1)&amp;"Me,"&amp;SIGN(U464-Panchanga!$U463)*INT(Panchanga!$U463/30+1)&amp;"Ju,"&amp;SIGN(V464-Panchanga!$V463)*INT(Panchanga!$V463/30+1)&amp;"Ve,"&amp;SIGN(W464-Panchanga!$W463)*INT(Panchanga!$W463/30+1)&amp;"Sa,"&amp;INT(Panchanga!$X463/30+1)&amp;"Ra"</f>
        <v>-2Ma,-11Me,-9Ju,-11Ve,-9Sa,3Ra</v>
      </c>
      <c r="S463" s="2">
        <f ca="1">Planet(Panchanga!$E463,4)</f>
        <v>35.724878306726097</v>
      </c>
      <c r="T463" s="2">
        <f ca="1">Planet(Panchanga!$E463,2)</f>
        <v>322.25110337843097</v>
      </c>
      <c r="U463" s="2">
        <f ca="1">Planet(Panchanga!$E463,5)</f>
        <v>240.05023671081082</v>
      </c>
      <c r="V463" s="2">
        <f ca="1">Planet(Panchanga!$E463,3)</f>
        <v>310.93910280709042</v>
      </c>
      <c r="W463" s="2">
        <f ca="1">Planet(Panchanga!$E463,6)</f>
        <v>265.66906802470078</v>
      </c>
      <c r="X463" s="2">
        <f ca="1">Planet(Panchanga!$E463,10)</f>
        <v>88.731681772932404</v>
      </c>
      <c r="Y463" s="2">
        <f ca="1">SIGN(S464-Panchanga!$S463)</f>
        <v>-1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:G922"/>
  <sheetViews>
    <sheetView showWhiteSpace="0" view="pageLayout" topLeftCell="A918" zoomScale="70" zoomScaleNormal="100" zoomScaleSheetLayoutView="80" zoomScalePageLayoutView="70" workbookViewId="0">
      <selection activeCell="D9" sqref="D9"/>
    </sheetView>
  </sheetViews>
  <sheetFormatPr defaultColWidth="0.42578125" defaultRowHeight="23.25" x14ac:dyDescent="0.35"/>
  <cols>
    <col min="1" max="1" width="30.7109375" style="20" customWidth="1"/>
    <col min="2" max="7" width="30.7109375" style="15" customWidth="1"/>
    <col min="8" max="16384" width="0.42578125" style="15"/>
  </cols>
  <sheetData>
    <row r="1" spans="1:7" s="51" customFormat="1" ht="38.25" thickBot="1" x14ac:dyDescent="0.55000000000000004">
      <c r="A1" s="68">
        <f ca="1">Panchanga!A9</f>
        <v>43101</v>
      </c>
      <c r="B1" s="69"/>
      <c r="C1" s="69"/>
      <c r="D1" s="69"/>
      <c r="E1" s="69"/>
      <c r="F1" s="69"/>
      <c r="G1" s="69"/>
    </row>
    <row r="2" spans="1:7" s="56" customFormat="1" ht="35.25" thickBot="1" x14ac:dyDescent="0.5">
      <c r="A2" s="57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9">
        <v>7</v>
      </c>
    </row>
    <row r="3" spans="1:7" s="51" customFormat="1" ht="37.5" x14ac:dyDescent="0.5">
      <c r="A3" s="52">
        <f ca="1">CalMonth-WEEKDAY(CalMonth)+1</f>
        <v>43100</v>
      </c>
      <c r="B3" s="53">
        <f t="shared" ref="B3:G3" ca="1" si="0">A3+1</f>
        <v>43101</v>
      </c>
      <c r="C3" s="53">
        <f t="shared" ca="1" si="0"/>
        <v>43102</v>
      </c>
      <c r="D3" s="53">
        <f t="shared" ca="1" si="0"/>
        <v>43103</v>
      </c>
      <c r="E3" s="53">
        <f t="shared" ca="1" si="0"/>
        <v>43104</v>
      </c>
      <c r="F3" s="53">
        <f t="shared" ca="1" si="0"/>
        <v>43105</v>
      </c>
      <c r="G3" s="54">
        <f t="shared" ca="1" si="0"/>
        <v>43106</v>
      </c>
    </row>
    <row r="4" spans="1:7" s="28" customFormat="1" ht="19.5" x14ac:dyDescent="0.3">
      <c r="A4" s="37">
        <f ca="1">VLOOKUP(A3,Panchanga!$A$3:$Y$463,3,TRUE)</f>
        <v>43100.273019360066</v>
      </c>
      <c r="B4" s="27">
        <f ca="1">VLOOKUP(B3,Panchanga!$A$3:$Y$463,3,TRUE)</f>
        <v>43101.273289091107</v>
      </c>
      <c r="C4" s="27">
        <f ca="1">VLOOKUP(C3,Panchanga!$A$3:$Y$463,3,TRUE)</f>
        <v>43102.273549444195</v>
      </c>
      <c r="D4" s="27">
        <f ca="1">VLOOKUP(D3,Panchanga!$A$3:$Y$463,3,TRUE)</f>
        <v>43103.273800101284</v>
      </c>
      <c r="E4" s="27">
        <f ca="1">VLOOKUP(E3,Panchanga!$A$3:$Y$463,3,TRUE)</f>
        <v>43104.274040745258</v>
      </c>
      <c r="F4" s="27">
        <f ca="1">VLOOKUP(F3,Panchanga!$A$3:$Y$463,3,TRUE)</f>
        <v>43105.274271375652</v>
      </c>
      <c r="G4" s="44">
        <f ca="1">VLOOKUP(G3,Panchanga!$A$3:$Y$463,3,TRUE)</f>
        <v>43106.274491356373</v>
      </c>
    </row>
    <row r="5" spans="1:7" s="28" customFormat="1" ht="19.5" x14ac:dyDescent="0.3">
      <c r="A5" s="37">
        <f ca="1">VLOOKUP(A3,Panchanga!$A$3:$Y$463,4,TRUE)</f>
        <v>43099.744136472742</v>
      </c>
      <c r="B5" s="27">
        <f ca="1">VLOOKUP(B3,Panchanga!$A$3:$Y$463,4,TRUE)</f>
        <v>43100.744523664514</v>
      </c>
      <c r="C5" s="27">
        <f ca="1">VLOOKUP(C3,Panchanga!$A$3:$Y$463,4,TRUE)</f>
        <v>43101.744913081682</v>
      </c>
      <c r="D5" s="27">
        <f ca="1">VLOOKUP(D3,Panchanga!$A$3:$Y$463,4,TRUE)</f>
        <v>43102.745304564989</v>
      </c>
      <c r="E5" s="27">
        <f ca="1">VLOOKUP(E3,Panchanga!$A$3:$Y$463,4,TRUE)</f>
        <v>43103.745697637598</v>
      </c>
      <c r="F5" s="27">
        <f ca="1">VLOOKUP(F3,Panchanga!$A$3:$Y$463,4,TRUE)</f>
        <v>43104.746091981928</v>
      </c>
      <c r="G5" s="44">
        <f ca="1">VLOOKUP(G3,Panchanga!$A$3:$Y$463,4,TRUE)</f>
        <v>43105.746487438722</v>
      </c>
    </row>
    <row r="6" spans="1:7" s="28" customFormat="1" ht="19.5" x14ac:dyDescent="0.3">
      <c r="A6" s="38">
        <f ca="1">VLOOKUP(A3,Panchanga!$A$3:$Y$463,6,TRUE)</f>
        <v>255.42869148507117</v>
      </c>
      <c r="B6" s="30">
        <f ca="1">VLOOKUP(B3,Panchanga!$A$3:$Y$463,6,TRUE)</f>
        <v>256.4477264873932</v>
      </c>
      <c r="C6" s="30">
        <f ca="1">VLOOKUP(C3,Panchanga!$A$3:$Y$463,6,TRUE)</f>
        <v>257.46675351209325</v>
      </c>
      <c r="D6" s="30">
        <f ca="1">VLOOKUP(D3,Panchanga!$A$3:$Y$463,6,TRUE)</f>
        <v>258.48578514552247</v>
      </c>
      <c r="E6" s="30">
        <f ca="1">VLOOKUP(E3,Panchanga!$A$3:$Y$463,6,TRUE)</f>
        <v>259.5048341033467</v>
      </c>
      <c r="F6" s="30">
        <f ca="1">VLOOKUP(F3,Panchanga!$A$3:$Y$463,6,TRUE)</f>
        <v>260.52391105394878</v>
      </c>
      <c r="G6" s="45">
        <f ca="1">VLOOKUP(G3,Panchanga!$A$3:$Y$463,6,TRUE)</f>
        <v>261.54302173867563</v>
      </c>
    </row>
    <row r="7" spans="1:7" s="28" customFormat="1" ht="19.5" x14ac:dyDescent="0.3">
      <c r="A7" s="38">
        <f ca="1">VLOOKUP(A3,Panchanga!$A$3:$Y$463,7,TRUE)</f>
        <v>46.193886385806643</v>
      </c>
      <c r="B7" s="30">
        <f ca="1">VLOOKUP(B3,Panchanga!$A$3:$Y$463,7,TRUE)</f>
        <v>61.370678960549256</v>
      </c>
      <c r="C7" s="30">
        <f ca="1">VLOOKUP(C3,Panchanga!$A$3:$Y$463,7,TRUE)</f>
        <v>76.674173411256916</v>
      </c>
      <c r="D7" s="30">
        <f ca="1">VLOOKUP(D3,Panchanga!$A$3:$Y$463,7,TRUE)</f>
        <v>91.924016669568317</v>
      </c>
      <c r="E7" s="30">
        <f ca="1">VLOOKUP(E3,Panchanga!$A$3:$Y$463,7,TRUE)</f>
        <v>106.9517949729706</v>
      </c>
      <c r="F7" s="30">
        <f ca="1">VLOOKUP(F3,Panchanga!$A$3:$Y$463,7,TRUE)</f>
        <v>121.62668234262368</v>
      </c>
      <c r="G7" s="45">
        <f ca="1">VLOOKUP(G3,Panchanga!$A$3:$Y$463,7,TRUE)</f>
        <v>135.86897631126891</v>
      </c>
    </row>
    <row r="8" spans="1:7" s="28" customFormat="1" ht="19.5" x14ac:dyDescent="0.3">
      <c r="A8" s="39" t="str">
        <f ca="1">VLOOKUP(A3,Panchanga!$A$3:$Y$463,9,TRUE) &amp; " "&amp;ROUND(A7/13.333,2)</f>
        <v>Rohini 3.46</v>
      </c>
      <c r="B8" s="32" t="str">
        <f ca="1">VLOOKUP(B3,Panchanga!$A$3:$Y$463,9,TRUE) &amp; " "&amp;ROUND(B7/13.333,2)</f>
        <v>Mrigashira 4.6</v>
      </c>
      <c r="C8" s="32" t="str">
        <f ca="1">VLOOKUP(C3,Panchanga!$A$3:$Y$463,9,TRUE) &amp; " "&amp;ROUND(C7/13.333,2)</f>
        <v>Ardra 5.75</v>
      </c>
      <c r="D8" s="32" t="str">
        <f ca="1">VLOOKUP(D3,Panchanga!$A$3:$Y$463,9,TRUE) &amp; " "&amp;ROUND(D7/13.333,2)</f>
        <v>Punarvasu 6.89</v>
      </c>
      <c r="E8" s="32" t="str">
        <f ca="1">VLOOKUP(E3,Panchanga!$A$3:$Y$463,9,TRUE) &amp; " "&amp;ROUND(E7/13.333,2)</f>
        <v>Aslesha 8.02</v>
      </c>
      <c r="F8" s="32" t="str">
        <f ca="1">VLOOKUP(F3,Panchanga!$A$3:$Y$463,9,TRUE) &amp; " "&amp;ROUND(F7/13.333,2)</f>
        <v>Makha 9.12</v>
      </c>
      <c r="G8" s="46" t="str">
        <f ca="1">VLOOKUP(G3,Panchanga!$A$3:$Y$463,9,TRUE) &amp; " "&amp;ROUND(G7/13.333,2)</f>
        <v>Purva Phalguni 10.19</v>
      </c>
    </row>
    <row r="9" spans="1:7" s="28" customFormat="1" ht="19.5" x14ac:dyDescent="0.3">
      <c r="A9" s="40">
        <f ca="1">VLOOKUP(A3,Panchanga!$A$3:$Y$463,10,TRUE)</f>
        <v>43100.743564940945</v>
      </c>
      <c r="B9" s="34">
        <f ca="1">VLOOKUP(B3,Panchanga!$A$3:$Y$463,10,TRUE)</f>
        <v>43101.619443137817</v>
      </c>
      <c r="C9" s="34">
        <f ca="1">VLOOKUP(C3,Panchanga!$A$3:$Y$463,10,TRUE)</f>
        <v>43102.491693340788</v>
      </c>
      <c r="D9" s="34">
        <f ca="1">VLOOKUP(D3,Panchanga!$A$3:$Y$463,10,TRUE)</f>
        <v>43103.367603441926</v>
      </c>
      <c r="E9" s="34">
        <f ca="1">VLOOKUP(E3,Panchanga!$A$3:$Y$463,10,TRUE)</f>
        <v>43105.163397781595</v>
      </c>
      <c r="F9" s="34">
        <f ca="1">VLOOKUP(F3,Panchanga!$A$3:$Y$463,10,TRUE)</f>
        <v>43106.096416056418</v>
      </c>
      <c r="G9" s="47">
        <f ca="1">VLOOKUP(G3,Panchanga!$A$3:$Y$463,10,TRUE)</f>
        <v>43107.058155235289</v>
      </c>
    </row>
    <row r="10" spans="1:7" s="28" customFormat="1" ht="19.5" x14ac:dyDescent="0.3">
      <c r="A10" s="38" t="str">
        <f ca="1">VLOOKUP(A3,Panchanga!$A$3:$Y$463,11,TRUE)</f>
        <v>S13 (12.56)</v>
      </c>
      <c r="B10" s="30" t="str">
        <f ca="1">VLOOKUP(B3,Panchanga!$A$3:$Y$463,11,TRUE)</f>
        <v>S14 (13.74)</v>
      </c>
      <c r="C10" s="30" t="str">
        <f ca="1">VLOOKUP(C3,Panchanga!$A$3:$Y$463,11,TRUE)</f>
        <v>S15 (14.93)</v>
      </c>
      <c r="D10" s="30" t="str">
        <f ca="1">VLOOKUP(D3,Panchanga!$A$3:$Y$463,11,TRUE)</f>
        <v>K2 (16.12)</v>
      </c>
      <c r="E10" s="30" t="str">
        <f ca="1">VLOOKUP(E3,Panchanga!$A$3:$Y$463,11,TRUE)</f>
        <v>K3 (17.29)</v>
      </c>
      <c r="F10" s="30" t="str">
        <f ca="1">VLOOKUP(F3,Panchanga!$A$3:$Y$463,11,TRUE)</f>
        <v>K4 (18.43)</v>
      </c>
      <c r="G10" s="45" t="str">
        <f ca="1">VLOOKUP(G3,Panchanga!$A$3:$Y$463,11,TRUE)</f>
        <v>K5 (19.53)</v>
      </c>
    </row>
    <row r="11" spans="1:7" s="28" customFormat="1" ht="19.5" x14ac:dyDescent="0.3">
      <c r="A11" s="41" t="str">
        <f ca="1">VLOOKUP(A3,Panchanga!$A$3:$Y$463,13,TRUE)</f>
        <v>Taitula</v>
      </c>
      <c r="B11" s="36" t="str">
        <f ca="1">VLOOKUP(B3,Panchanga!$A$3:$Y$463,13,TRUE)</f>
        <v>Vanija</v>
      </c>
      <c r="C11" s="36" t="str">
        <f ca="1">VLOOKUP(C3,Panchanga!$A$3:$Y$463,13,TRUE)</f>
        <v>Bhava</v>
      </c>
      <c r="D11" s="36" t="str">
        <f ca="1">VLOOKUP(D3,Panchanga!$A$3:$Y$463,13,TRUE)</f>
        <v>Taitula</v>
      </c>
      <c r="E11" s="36" t="str">
        <f ca="1">VLOOKUP(E3,Panchanga!$A$3:$Y$463,13,TRUE)</f>
        <v>Vanija</v>
      </c>
      <c r="F11" s="36" t="str">
        <f ca="1">VLOOKUP(F3,Panchanga!$A$3:$Y$463,13,TRUE)</f>
        <v>Bhava</v>
      </c>
      <c r="G11" s="48" t="str">
        <f ca="1">VLOOKUP(G3,Panchanga!$A$3:$Y$463,13,TRUE)</f>
        <v>Taitula</v>
      </c>
    </row>
    <row r="12" spans="1:7" s="28" customFormat="1" ht="19.5" x14ac:dyDescent="0.3">
      <c r="A12" s="41" t="str">
        <f ca="1">VLOOKUP(A3,Panchanga!$A$3:$Y$463,14,TRUE)</f>
        <v>Shubha-शुभ-Su (22.63)</v>
      </c>
      <c r="B12" s="36" t="str">
        <f ca="1">VLOOKUP(B3,Panchanga!$A$3:$Y$463,14,TRUE)</f>
        <v>Shukla-शुक्ल-Mo (23.84)</v>
      </c>
      <c r="C12" s="36" t="str">
        <f ca="1">VLOOKUP(C3,Panchanga!$A$3:$Y$463,14,TRUE)</f>
        <v>Mahendra-महेन्द्र-Ra (25.07)</v>
      </c>
      <c r="D12" s="36" t="str">
        <f ca="1">VLOOKUP(D3,Panchanga!$A$3:$Y$463,14,TRUE)</f>
        <v>Vaidhriti-वैधृति-Ke (26.29)</v>
      </c>
      <c r="E12" s="36" t="str">
        <f ca="1">VLOOKUP(E3,Panchanga!$A$3:$Y$463,14,TRUE)</f>
        <v>Vishkambha-विष्कम्भ-Sa (0.49)</v>
      </c>
      <c r="F12" s="36" t="str">
        <f ca="1">VLOOKUP(F3,Panchanga!$A$3:$Y$463,14,TRUE)</f>
        <v>Priti-प्रीति-Me (1.67)</v>
      </c>
      <c r="G12" s="48" t="str">
        <f ca="1">VLOOKUP(G3,Panchanga!$A$3:$Y$463,14,TRUE)</f>
        <v>Ayushman-आयुष्मान-Ke (2.81)</v>
      </c>
    </row>
    <row r="13" spans="1:7" s="28" customFormat="1" ht="19.5" x14ac:dyDescent="0.3">
      <c r="A13" s="63" t="str">
        <f ca="1">VLOOKUP(A3,Panchanga!$A$3:$Y$463,18,TRUE)</f>
        <v>7Ma,8Me,7Ju,9Ve,9Sa,4Ra</v>
      </c>
      <c r="B13" s="64" t="str">
        <f ca="1">VLOOKUP(B3,Panchanga!$A$3:$Y$463,18,TRUE)</f>
        <v>7Ma,8Me,7Ju,9Ve,9Sa,4Ra</v>
      </c>
      <c r="C13" s="64" t="str">
        <f ca="1">VLOOKUP(C3,Panchanga!$A$3:$Y$463,18,TRUE)</f>
        <v>7Ma,8Me,7Ju,9Ve,9Sa,4Ra</v>
      </c>
      <c r="D13" s="64" t="str">
        <f ca="1">VLOOKUP(D3,Panchanga!$A$3:$Y$463,18,TRUE)</f>
        <v>7Ma,8Me,7Ju,9Ve,9Sa,4Ra</v>
      </c>
      <c r="E13" s="64" t="str">
        <f ca="1">VLOOKUP(E3,Panchanga!$A$3:$Y$463,18,TRUE)</f>
        <v>7Ma,8Me,7Ju,9Ve,9Sa,4Ra</v>
      </c>
      <c r="F13" s="64" t="str">
        <f ca="1">VLOOKUP(F3,Panchanga!$A$3:$Y$463,18,TRUE)</f>
        <v>7Ma,8Me,7Ju,9Ve,9Sa,4Ra</v>
      </c>
      <c r="G13" s="65" t="str">
        <f ca="1">VLOOKUP(G3,Panchanga!$A$3:$Y$463,18,TRUE)</f>
        <v>7Ma,8Me,7Ju,9Ve,9Sa,4Ra</v>
      </c>
    </row>
    <row r="14" spans="1:7" ht="5.85" customHeight="1" thickBot="1" x14ac:dyDescent="0.4">
      <c r="A14" s="42"/>
      <c r="B14" s="16"/>
      <c r="C14" s="16"/>
      <c r="D14" s="16"/>
      <c r="E14" s="16"/>
      <c r="F14" s="16"/>
      <c r="G14" s="49"/>
    </row>
    <row r="15" spans="1:7" s="51" customFormat="1" ht="37.5" x14ac:dyDescent="0.5">
      <c r="A15" s="52">
        <f ca="1">G3+1</f>
        <v>43107</v>
      </c>
      <c r="B15" s="53">
        <f t="shared" ref="B15:G15" ca="1" si="1">A15+1</f>
        <v>43108</v>
      </c>
      <c r="C15" s="53">
        <f t="shared" ca="1" si="1"/>
        <v>43109</v>
      </c>
      <c r="D15" s="53">
        <f t="shared" ca="1" si="1"/>
        <v>43110</v>
      </c>
      <c r="E15" s="53">
        <f t="shared" ca="1" si="1"/>
        <v>43111</v>
      </c>
      <c r="F15" s="53">
        <f t="shared" ca="1" si="1"/>
        <v>43112</v>
      </c>
      <c r="G15" s="54">
        <f t="shared" ca="1" si="1"/>
        <v>43113</v>
      </c>
    </row>
    <row r="16" spans="1:7" s="28" customFormat="1" ht="19.5" x14ac:dyDescent="0.3">
      <c r="A16" s="37">
        <f ca="1">VLOOKUP(A15,Panchanga!$A$3:$Y$463,3,TRUE)</f>
        <v>43107.274701005932</v>
      </c>
      <c r="B16" s="27">
        <f ca="1">VLOOKUP(B15,Panchanga!$A$3:$Y$463,3,TRUE)</f>
        <v>43108.274899687771</v>
      </c>
      <c r="C16" s="27">
        <f ca="1">VLOOKUP(C15,Panchanga!$A$3:$Y$463,3,TRUE)</f>
        <v>43109.27508724403</v>
      </c>
      <c r="D16" s="27">
        <f ca="1">VLOOKUP(D15,Panchanga!$A$3:$Y$463,3,TRUE)</f>
        <v>43110.275263673779</v>
      </c>
      <c r="E16" s="27">
        <f ca="1">VLOOKUP(E15,Panchanga!$A$3:$Y$463,3,TRUE)</f>
        <v>43111.275428500179</v>
      </c>
      <c r="F16" s="27">
        <f ca="1">VLOOKUP(F15,Panchanga!$A$3:$Y$463,3,TRUE)</f>
        <v>43112.275581724163</v>
      </c>
      <c r="G16" s="44">
        <f ca="1">VLOOKUP(G15,Panchanga!$A$3:$Y$463,3,TRUE)</f>
        <v>43113.275723185543</v>
      </c>
    </row>
    <row r="17" spans="1:7" s="28" customFormat="1" ht="19.5" x14ac:dyDescent="0.3">
      <c r="A17" s="37">
        <f ca="1">VLOOKUP(A15,Panchanga!$A$3:$Y$463,4,TRUE)</f>
        <v>43106.74688353161</v>
      </c>
      <c r="B17" s="27">
        <f ca="1">VLOOKUP(B15,Panchanga!$A$3:$Y$463,4,TRUE)</f>
        <v>43107.747279783289</v>
      </c>
      <c r="C17" s="27">
        <f ca="1">VLOOKUP(C15,Panchanga!$A$3:$Y$463,4,TRUE)</f>
        <v>43108.747676034967</v>
      </c>
      <c r="D17" s="27">
        <f ca="1">VLOOKUP(D15,Panchanga!$A$3:$Y$463,4,TRUE)</f>
        <v>43109.748071651018</v>
      </c>
      <c r="E17" s="27">
        <f ca="1">VLOOKUP(E15,Panchanga!$A$3:$Y$463,4,TRUE)</f>
        <v>43110.748466630976</v>
      </c>
      <c r="F17" s="27">
        <f ca="1">VLOOKUP(F15,Panchanga!$A$3:$Y$463,4,TRUE)</f>
        <v>43111.748860339678</v>
      </c>
      <c r="G17" s="44">
        <f ca="1">VLOOKUP(G15,Panchanga!$A$3:$Y$463,4,TRUE)</f>
        <v>43112.749252458612</v>
      </c>
    </row>
    <row r="18" spans="1:7" s="28" customFormat="1" ht="19.5" x14ac:dyDescent="0.3">
      <c r="A18" s="38">
        <f ca="1">VLOOKUP(A15,Panchanga!$A$3:$Y$463,6,TRUE)</f>
        <v>262.56216769008677</v>
      </c>
      <c r="B18" s="30">
        <f ca="1">VLOOKUP(B15,Panchanga!$A$3:$Y$463,6,TRUE)</f>
        <v>263.58134437228824</v>
      </c>
      <c r="C18" s="30">
        <f ca="1">VLOOKUP(C15,Panchanga!$A$3:$Y$463,6,TRUE)</f>
        <v>264.60054335738772</v>
      </c>
      <c r="D18" s="30">
        <f ca="1">VLOOKUP(D15,Panchanga!$A$3:$Y$463,6,TRUE)</f>
        <v>265.61975288499832</v>
      </c>
      <c r="E18" s="30">
        <f ca="1">VLOOKUP(E15,Panchanga!$A$3:$Y$463,6,TRUE)</f>
        <v>266.63895795207645</v>
      </c>
      <c r="F18" s="30">
        <f ca="1">VLOOKUP(F15,Panchanga!$A$3:$Y$463,6,TRUE)</f>
        <v>267.65814178643848</v>
      </c>
      <c r="G18" s="45">
        <f ca="1">VLOOKUP(G15,Panchanga!$A$3:$Y$463,6,TRUE)</f>
        <v>268.67728552734735</v>
      </c>
    </row>
    <row r="19" spans="1:7" s="28" customFormat="1" ht="19.5" x14ac:dyDescent="0.3">
      <c r="A19" s="38">
        <f ca="1">VLOOKUP(A15,Panchanga!$A$3:$Y$463,7,TRUE)</f>
        <v>149.65033637776921</v>
      </c>
      <c r="B19" s="30">
        <f ca="1">VLOOKUP(B15,Panchanga!$A$3:$Y$463,7,TRUE)</f>
        <v>162.9846513264398</v>
      </c>
      <c r="C19" s="30">
        <f ca="1">VLOOKUP(C15,Panchanga!$A$3:$Y$463,7,TRUE)</f>
        <v>175.9152694972673</v>
      </c>
      <c r="D19" s="30">
        <f ca="1">VLOOKUP(D15,Panchanga!$A$3:$Y$463,7,TRUE)</f>
        <v>188.5026617230491</v>
      </c>
      <c r="E19" s="30">
        <f ca="1">VLOOKUP(E15,Panchanga!$A$3:$Y$463,7,TRUE)</f>
        <v>200.81438123678893</v>
      </c>
      <c r="F19" s="30">
        <f ca="1">VLOOKUP(F15,Panchanga!$A$3:$Y$463,7,TRUE)</f>
        <v>212.9177419184908</v>
      </c>
      <c r="G19" s="45">
        <f ca="1">VLOOKUP(G15,Panchanga!$A$3:$Y$463,7,TRUE)</f>
        <v>224.87507838090886</v>
      </c>
    </row>
    <row r="20" spans="1:7" s="28" customFormat="1" ht="19.5" x14ac:dyDescent="0.3">
      <c r="A20" s="39" t="str">
        <f ca="1">VLOOKUP(A15,Panchanga!$A$3:$Y$463,9,TRUE) &amp; " "&amp;ROUND(A19/13.333,2)</f>
        <v>Uttara Phalguni 11.22</v>
      </c>
      <c r="B20" s="32" t="str">
        <f ca="1">VLOOKUP(B15,Panchanga!$A$3:$Y$463,9,TRUE) &amp; " "&amp;ROUND(B19/13.333,2)</f>
        <v>Hasta 12.22</v>
      </c>
      <c r="C20" s="32" t="str">
        <f ca="1">VLOOKUP(C15,Panchanga!$A$3:$Y$463,9,TRUE) &amp; " "&amp;ROUND(C19/13.333,2)</f>
        <v>Chitra 13.19</v>
      </c>
      <c r="D20" s="32" t="str">
        <f ca="1">VLOOKUP(D15,Panchanga!$A$3:$Y$463,9,TRUE) &amp; " "&amp;ROUND(D19/13.333,2)</f>
        <v>Swati 14.14</v>
      </c>
      <c r="E20" s="32" t="str">
        <f ca="1">VLOOKUP(E15,Panchanga!$A$3:$Y$463,9,TRUE) &amp; " "&amp;ROUND(E19/13.333,2)</f>
        <v>Visakha 15.06</v>
      </c>
      <c r="F20" s="32" t="str">
        <f ca="1">VLOOKUP(F15,Panchanga!$A$3:$Y$463,9,TRUE) &amp; " "&amp;ROUND(F19/13.333,2)</f>
        <v>Visakha 15.97</v>
      </c>
      <c r="G20" s="46" t="str">
        <f ca="1">VLOOKUP(G15,Panchanga!$A$3:$Y$463,9,TRUE) &amp; " "&amp;ROUND(G19/13.333,2)</f>
        <v>Anuradha 16.87</v>
      </c>
    </row>
    <row r="21" spans="1:7" s="28" customFormat="1" ht="19.5" x14ac:dyDescent="0.3">
      <c r="A21" s="40">
        <f ca="1">VLOOKUP(A15,Panchanga!$A$3:$Y$463,10,TRUE)</f>
        <v>43108.051022845655</v>
      </c>
      <c r="B21" s="34">
        <f ca="1">VLOOKUP(B15,Panchanga!$A$3:$Y$463,10,TRUE)</f>
        <v>43109.075373634972</v>
      </c>
      <c r="C21" s="34">
        <f ca="1">VLOOKUP(C15,Panchanga!$A$3:$Y$463,10,TRUE)</f>
        <v>43110.129378096557</v>
      </c>
      <c r="D21" s="34">
        <f ca="1">VLOOKUP(D15,Panchanga!$A$3:$Y$463,10,TRUE)</f>
        <v>43111.209270765881</v>
      </c>
      <c r="E21" s="34">
        <f ca="1">VLOOKUP(E15,Panchanga!$A$3:$Y$463,10,TRUE)</f>
        <v>43112.309923846515</v>
      </c>
      <c r="F21" s="34">
        <f ca="1">VLOOKUP(F15,Panchanga!$A$3:$Y$463,10,TRUE)</f>
        <v>43112.310342827215</v>
      </c>
      <c r="G21" s="47">
        <f ca="1">VLOOKUP(G15,Panchanga!$A$3:$Y$463,10,TRUE)</f>
        <v>43113.426724392972</v>
      </c>
    </row>
    <row r="22" spans="1:7" s="28" customFormat="1" ht="19.5" x14ac:dyDescent="0.3">
      <c r="A22" s="38" t="str">
        <f ca="1">VLOOKUP(A15,Panchanga!$A$3:$Y$463,11,TRUE)</f>
        <v>K6 (20.59)</v>
      </c>
      <c r="B22" s="30" t="str">
        <f ca="1">VLOOKUP(B15,Panchanga!$A$3:$Y$463,11,TRUE)</f>
        <v>K7 (21.62)</v>
      </c>
      <c r="C22" s="30" t="str">
        <f ca="1">VLOOKUP(C15,Panchanga!$A$3:$Y$463,11,TRUE)</f>
        <v>K8 (22.61)</v>
      </c>
      <c r="D22" s="30" t="str">
        <f ca="1">VLOOKUP(D15,Panchanga!$A$3:$Y$463,11,TRUE)</f>
        <v>K9 (23.57)</v>
      </c>
      <c r="E22" s="30" t="str">
        <f ca="1">VLOOKUP(E15,Panchanga!$A$3:$Y$463,11,TRUE)</f>
        <v>K10 (24.51)</v>
      </c>
      <c r="F22" s="30" t="str">
        <f ca="1">VLOOKUP(F15,Panchanga!$A$3:$Y$463,11,TRUE)</f>
        <v>K11 (25.44)</v>
      </c>
      <c r="G22" s="45" t="str">
        <f ca="1">VLOOKUP(G15,Panchanga!$A$3:$Y$463,11,TRUE)</f>
        <v>K12 (26.35)</v>
      </c>
    </row>
    <row r="23" spans="1:7" s="28" customFormat="1" ht="19.5" x14ac:dyDescent="0.3">
      <c r="A23" s="41" t="str">
        <f ca="1">VLOOKUP(A15,Panchanga!$A$3:$Y$463,13,TRUE)</f>
        <v>Vanija</v>
      </c>
      <c r="B23" s="36" t="str">
        <f ca="1">VLOOKUP(B15,Panchanga!$A$3:$Y$463,13,TRUE)</f>
        <v>Bhava</v>
      </c>
      <c r="C23" s="36" t="str">
        <f ca="1">VLOOKUP(C15,Panchanga!$A$3:$Y$463,13,TRUE)</f>
        <v>Kaulava</v>
      </c>
      <c r="D23" s="36" t="str">
        <f ca="1">VLOOKUP(D15,Panchanga!$A$3:$Y$463,13,TRUE)</f>
        <v>Garija</v>
      </c>
      <c r="E23" s="36" t="str">
        <f ca="1">VLOOKUP(E15,Panchanga!$A$3:$Y$463,13,TRUE)</f>
        <v>Vishti</v>
      </c>
      <c r="F23" s="36" t="str">
        <f ca="1">VLOOKUP(F15,Panchanga!$A$3:$Y$463,13,TRUE)</f>
        <v>Bhava</v>
      </c>
      <c r="G23" s="48" t="str">
        <f ca="1">VLOOKUP(G15,Panchanga!$A$3:$Y$463,13,TRUE)</f>
        <v>Kaulava</v>
      </c>
    </row>
    <row r="24" spans="1:7" s="28" customFormat="1" ht="19.5" x14ac:dyDescent="0.3">
      <c r="A24" s="41" t="str">
        <f ca="1">VLOOKUP(A15,Panchanga!$A$3:$Y$463,14,TRUE)</f>
        <v>Saubhagya-सौभाग्य-Ve (3.92)</v>
      </c>
      <c r="B24" s="36" t="str">
        <f ca="1">VLOOKUP(B15,Panchanga!$A$3:$Y$463,14,TRUE)</f>
        <v>Shobhana-शोभन-Su (5)</v>
      </c>
      <c r="C24" s="36" t="str">
        <f ca="1">VLOOKUP(C15,Panchanga!$A$3:$Y$463,14,TRUE)</f>
        <v>Sukarman-सुकर्मा -Ma (6.04)</v>
      </c>
      <c r="D24" s="36" t="str">
        <f ca="1">VLOOKUP(D15,Panchanga!$A$3:$Y$463,14,TRUE)</f>
        <v>Dhriti-धृति -Ra (7.06)</v>
      </c>
      <c r="E24" s="36" t="str">
        <f ca="1">VLOOKUP(E15,Panchanga!$A$3:$Y$463,14,TRUE)</f>
        <v>Shula-शूल -Ju (8.06)</v>
      </c>
      <c r="F24" s="36" t="str">
        <f ca="1">VLOOKUP(F15,Panchanga!$A$3:$Y$463,14,TRUE)</f>
        <v>Ganda-गण्ड -Sa (9.05)</v>
      </c>
      <c r="G24" s="48" t="str">
        <f ca="1">VLOOKUP(G15,Panchanga!$A$3:$Y$463,14,TRUE)</f>
        <v>Vriddhi-वृद्धि -Me (10.02)</v>
      </c>
    </row>
    <row r="25" spans="1:7" s="28" customFormat="1" ht="19.5" x14ac:dyDescent="0.3">
      <c r="A25" s="63" t="str">
        <f ca="1">VLOOKUP(A15,Panchanga!$A$3:$Y$463,18,TRUE)</f>
        <v>7Ma,9Me,7Ju,9Ve,9Sa,4Ra</v>
      </c>
      <c r="B25" s="64" t="str">
        <f ca="1">VLOOKUP(B15,Panchanga!$A$3:$Y$463,18,TRUE)</f>
        <v>7Ma,9Me,7Ju,9Ve,9Sa,4Ra</v>
      </c>
      <c r="C25" s="64" t="str">
        <f ca="1">VLOOKUP(C15,Panchanga!$A$3:$Y$463,18,TRUE)</f>
        <v>7Ma,9Me,7Ju,9Ve,9Sa,4Ra</v>
      </c>
      <c r="D25" s="64" t="str">
        <f ca="1">VLOOKUP(D15,Panchanga!$A$3:$Y$463,18,TRUE)</f>
        <v>7Ma,9Me,7Ju,9Ve,9Sa,4Ra</v>
      </c>
      <c r="E25" s="64" t="str">
        <f ca="1">VLOOKUP(E15,Panchanga!$A$3:$Y$463,18,TRUE)</f>
        <v>7Ma,9Me,7Ju,9Ve,9Sa,4Ra</v>
      </c>
      <c r="F25" s="64" t="str">
        <f ca="1">VLOOKUP(F15,Panchanga!$A$3:$Y$463,18,TRUE)</f>
        <v>7Ma,9Me,7Ju,9Ve,9Sa,4Ra</v>
      </c>
      <c r="G25" s="65" t="str">
        <f ca="1">VLOOKUP(G15,Panchanga!$A$3:$Y$463,18,TRUE)</f>
        <v>7Ma,9Me,7Ju,9Ve,9Sa,4Ra</v>
      </c>
    </row>
    <row r="26" spans="1:7" ht="5.85" customHeight="1" thickBot="1" x14ac:dyDescent="0.4">
      <c r="A26" s="42"/>
      <c r="B26" s="16"/>
      <c r="C26" s="16"/>
      <c r="D26" s="16"/>
      <c r="E26" s="16"/>
      <c r="F26" s="16"/>
      <c r="G26" s="49"/>
    </row>
    <row r="27" spans="1:7" s="18" customFormat="1" ht="27.75" x14ac:dyDescent="0.4">
      <c r="A27" s="43">
        <f ca="1">G15+1</f>
        <v>43114</v>
      </c>
      <c r="B27" s="19">
        <f t="shared" ref="B27:G27" ca="1" si="2">A27+1</f>
        <v>43115</v>
      </c>
      <c r="C27" s="19">
        <f t="shared" ca="1" si="2"/>
        <v>43116</v>
      </c>
      <c r="D27" s="19">
        <f t="shared" ca="1" si="2"/>
        <v>43117</v>
      </c>
      <c r="E27" s="19">
        <f t="shared" ca="1" si="2"/>
        <v>43118</v>
      </c>
      <c r="F27" s="19">
        <f t="shared" ca="1" si="2"/>
        <v>43119</v>
      </c>
      <c r="G27" s="50">
        <f t="shared" ca="1" si="2"/>
        <v>43120</v>
      </c>
    </row>
    <row r="28" spans="1:7" s="28" customFormat="1" ht="19.5" x14ac:dyDescent="0.3">
      <c r="A28" s="37">
        <f ca="1">VLOOKUP(A27,Panchanga!$A$3:$Y$463,3,TRUE)</f>
        <v>43114.275852408413</v>
      </c>
      <c r="B28" s="27">
        <f ca="1">VLOOKUP(B27,Panchanga!$A$3:$Y$463,3,TRUE)</f>
        <v>43115.275969551563</v>
      </c>
      <c r="C28" s="27">
        <f ca="1">VLOOKUP(C27,Panchanga!$A$3:$Y$463,3,TRUE)</f>
        <v>43116.276074296948</v>
      </c>
      <c r="D28" s="27">
        <f ca="1">VLOOKUP(D27,Panchanga!$A$3:$Y$463,3,TRUE)</f>
        <v>43117.27616648531</v>
      </c>
      <c r="E28" s="27">
        <f ca="1">VLOOKUP(E27,Panchanga!$A$3:$Y$463,3,TRUE)</f>
        <v>43118.276245958325</v>
      </c>
      <c r="F28" s="27">
        <f ca="1">VLOOKUP(F27,Panchanga!$A$3:$Y$463,3,TRUE)</f>
        <v>43119.276312556271</v>
      </c>
      <c r="G28" s="44">
        <f ca="1">VLOOKUP(G27,Panchanga!$A$3:$Y$463,3,TRUE)</f>
        <v>43120.276366438869</v>
      </c>
    </row>
    <row r="29" spans="1:7" s="28" customFormat="1" ht="19.5" x14ac:dyDescent="0.3">
      <c r="A29" s="37">
        <f ca="1">VLOOKUP(A27,Panchanga!$A$3:$Y$463,4,TRUE)</f>
        <v>43113.749642511408</v>
      </c>
      <c r="B29" s="27">
        <f ca="1">VLOOKUP(B27,Panchanga!$A$3:$Y$463,4,TRUE)</f>
        <v>43114.750030338808</v>
      </c>
      <c r="C29" s="27">
        <f ca="1">VLOOKUP(C27,Panchanga!$A$3:$Y$463,4,TRUE)</f>
        <v>43115.750415464441</v>
      </c>
      <c r="D29" s="27">
        <f ca="1">VLOOKUP(D27,Panchanga!$A$3:$Y$463,4,TRUE)</f>
        <v>43116.750797569795</v>
      </c>
      <c r="E29" s="27">
        <f ca="1">VLOOKUP(E27,Panchanga!$A$3:$Y$463,4,TRUE)</f>
        <v>43117.751176337755</v>
      </c>
      <c r="F29" s="27">
        <f ca="1">VLOOKUP(F27,Panchanga!$A$3:$Y$463,4,TRUE)</f>
        <v>43118.751551290552</v>
      </c>
      <c r="G29" s="44">
        <f ca="1">VLOOKUP(G27,Panchanga!$A$3:$Y$463,4,TRUE)</f>
        <v>43119.751922269861</v>
      </c>
    </row>
    <row r="30" spans="1:7" s="28" customFormat="1" ht="19.5" x14ac:dyDescent="0.3">
      <c r="A30" s="38">
        <f ca="1">VLOOKUP(A27,Panchanga!$A$3:$Y$463,6,TRUE)</f>
        <v>269.69636834640039</v>
      </c>
      <c r="B30" s="30">
        <f ca="1">VLOOKUP(B27,Panchanga!$A$3:$Y$463,6,TRUE)</f>
        <v>270.71536870650743</v>
      </c>
      <c r="C30" s="30">
        <f ca="1">VLOOKUP(C27,Panchanga!$A$3:$Y$463,6,TRUE)</f>
        <v>271.73426353968762</v>
      </c>
      <c r="D30" s="30">
        <f ca="1">VLOOKUP(D27,Panchanga!$A$3:$Y$463,6,TRUE)</f>
        <v>272.75302919998313</v>
      </c>
      <c r="E30" s="30">
        <f ca="1">VLOOKUP(E27,Panchanga!$A$3:$Y$463,6,TRUE)</f>
        <v>273.77164158329265</v>
      </c>
      <c r="F30" s="30">
        <f ca="1">VLOOKUP(F27,Panchanga!$A$3:$Y$463,6,TRUE)</f>
        <v>274.79007639284964</v>
      </c>
      <c r="G30" s="45">
        <f ca="1">VLOOKUP(G27,Panchanga!$A$3:$Y$463,6,TRUE)</f>
        <v>275.80830974807805</v>
      </c>
    </row>
    <row r="31" spans="1:7" s="28" customFormat="1" ht="19.5" x14ac:dyDescent="0.3">
      <c r="A31" s="38">
        <f ca="1">VLOOKUP(A27,Panchanga!$A$3:$Y$463,7,TRUE)</f>
        <v>236.74133978677153</v>
      </c>
      <c r="B31" s="30">
        <f ca="1">VLOOKUP(B27,Panchanga!$A$3:$Y$463,7,TRUE)</f>
        <v>248.56357272981663</v>
      </c>
      <c r="C31" s="30">
        <f ca="1">VLOOKUP(C27,Panchanga!$A$3:$Y$463,7,TRUE)</f>
        <v>260.38173797168412</v>
      </c>
      <c r="D31" s="30">
        <f ca="1">VLOOKUP(D27,Panchanga!$A$3:$Y$463,7,TRUE)</f>
        <v>272.23049687391011</v>
      </c>
      <c r="E31" s="30">
        <f ca="1">VLOOKUP(E27,Panchanga!$A$3:$Y$463,7,TRUE)</f>
        <v>284.14164451674719</v>
      </c>
      <c r="F31" s="30">
        <f ca="1">VLOOKUP(F27,Panchanga!$A$3:$Y$463,7,TRUE)</f>
        <v>296.14687280277377</v>
      </c>
      <c r="G31" s="45">
        <f ca="1">VLOOKUP(G27,Panchanga!$A$3:$Y$463,7,TRUE)</f>
        <v>308.28039527398818</v>
      </c>
    </row>
    <row r="32" spans="1:7" s="28" customFormat="1" ht="19.5" x14ac:dyDescent="0.3">
      <c r="A32" s="39" t="str">
        <f ca="1">VLOOKUP(A27,Panchanga!$A$3:$Y$463,9,TRUE) &amp; " "&amp;ROUND(A31/13.333,2)</f>
        <v>Jyestha 17.76</v>
      </c>
      <c r="B32" s="32" t="str">
        <f ca="1">VLOOKUP(B27,Panchanga!$A$3:$Y$463,9,TRUE) &amp; " "&amp;ROUND(B31/13.333,2)</f>
        <v>Moola 18.64</v>
      </c>
      <c r="C32" s="32" t="str">
        <f ca="1">VLOOKUP(C27,Panchanga!$A$3:$Y$463,9,TRUE) &amp; " "&amp;ROUND(C31/13.333,2)</f>
        <v>Purva Asadha 19.53</v>
      </c>
      <c r="D32" s="32" t="str">
        <f ca="1">VLOOKUP(D27,Panchanga!$A$3:$Y$463,9,TRUE) &amp; " "&amp;ROUND(D31/13.333,2)</f>
        <v>Uttara Asadha 20.42</v>
      </c>
      <c r="E32" s="32" t="str">
        <f ca="1">VLOOKUP(E27,Panchanga!$A$3:$Y$463,9,TRUE) &amp; " "&amp;ROUND(E31/13.333,2)</f>
        <v>Sravana 21.31</v>
      </c>
      <c r="F32" s="32" t="str">
        <f ca="1">VLOOKUP(F27,Panchanga!$A$3:$Y$463,9,TRUE) &amp; " "&amp;ROUND(F31/13.333,2)</f>
        <v>Dhanistha 22.21</v>
      </c>
      <c r="G32" s="46" t="str">
        <f ca="1">VLOOKUP(G27,Panchanga!$A$3:$Y$463,9,TRUE) &amp; " "&amp;ROUND(G31/13.333,2)</f>
        <v>Satabhisaj 23.12</v>
      </c>
    </row>
    <row r="33" spans="1:7" s="28" customFormat="1" ht="19.5" x14ac:dyDescent="0.3">
      <c r="A33" s="40">
        <f ca="1">VLOOKUP(A27,Panchanga!$A$3:$Y$463,10,TRUE)</f>
        <v>43114.551522999463</v>
      </c>
      <c r="B33" s="34">
        <f ca="1">VLOOKUP(B27,Panchanga!$A$3:$Y$463,10,TRUE)</f>
        <v>43115.679607520426</v>
      </c>
      <c r="C33" s="34">
        <f ca="1">VLOOKUP(C27,Panchanga!$A$3:$Y$463,10,TRUE)</f>
        <v>43116.806552479866</v>
      </c>
      <c r="D33" s="34">
        <f ca="1">VLOOKUP(D27,Panchanga!$A$3:$Y$463,10,TRUE)</f>
        <v>43117.928506698438</v>
      </c>
      <c r="E33" s="34">
        <f ca="1">VLOOKUP(E27,Panchanga!$A$3:$Y$463,10,TRUE)</f>
        <v>43119.041937434165</v>
      </c>
      <c r="F33" s="34">
        <f ca="1">VLOOKUP(F27,Panchanga!$A$3:$Y$463,10,TRUE)</f>
        <v>43120.143361735325</v>
      </c>
      <c r="G33" s="47">
        <f ca="1">VLOOKUP(G27,Panchanga!$A$3:$Y$463,10,TRUE)</f>
        <v>43121.229183851246</v>
      </c>
    </row>
    <row r="34" spans="1:7" s="28" customFormat="1" ht="19.5" x14ac:dyDescent="0.3">
      <c r="A34" s="38" t="str">
        <f ca="1">VLOOKUP(A27,Panchanga!$A$3:$Y$463,11,TRUE)</f>
        <v>K13 (27.25)</v>
      </c>
      <c r="B34" s="30" t="str">
        <f ca="1">VLOOKUP(B27,Panchanga!$A$3:$Y$463,11,TRUE)</f>
        <v>K14 (28.15)</v>
      </c>
      <c r="C34" s="30" t="str">
        <f ca="1">VLOOKUP(C27,Panchanga!$A$3:$Y$463,11,TRUE)</f>
        <v>K15 (29.05)</v>
      </c>
      <c r="D34" s="30" t="str">
        <f ca="1">VLOOKUP(D27,Panchanga!$A$3:$Y$463,11,TRUE)</f>
        <v>K15 (29.96)</v>
      </c>
      <c r="E34" s="30" t="str">
        <f ca="1">VLOOKUP(E27,Panchanga!$A$3:$Y$463,11,TRUE)</f>
        <v>S1 (0.86)</v>
      </c>
      <c r="F34" s="30" t="str">
        <f ca="1">VLOOKUP(F27,Panchanga!$A$3:$Y$463,11,TRUE)</f>
        <v>S2 (1.78)</v>
      </c>
      <c r="G34" s="45" t="str">
        <f ca="1">VLOOKUP(G27,Panchanga!$A$3:$Y$463,11,TRUE)</f>
        <v>S3 (2.71)</v>
      </c>
    </row>
    <row r="35" spans="1:7" s="28" customFormat="1" ht="19.5" x14ac:dyDescent="0.3">
      <c r="A35" s="41" t="str">
        <f ca="1">VLOOKUP(A27,Panchanga!$A$3:$Y$463,13,TRUE)</f>
        <v>Garija</v>
      </c>
      <c r="B35" s="36" t="str">
        <f ca="1">VLOOKUP(B27,Panchanga!$A$3:$Y$463,13,TRUE)</f>
        <v>Vishti</v>
      </c>
      <c r="C35" s="36" t="str">
        <f ca="1">VLOOKUP(C27,Panchanga!$A$3:$Y$463,13,TRUE)</f>
        <v>Chatushapda</v>
      </c>
      <c r="D35" s="36" t="str">
        <f ca="1">VLOOKUP(D27,Panchanga!$A$3:$Y$463,13,TRUE)</f>
        <v>Naaga</v>
      </c>
      <c r="E35" s="36" t="str">
        <f ca="1">VLOOKUP(E27,Panchanga!$A$3:$Y$463,13,TRUE)</f>
        <v>Bhava</v>
      </c>
      <c r="F35" s="36" t="str">
        <f ca="1">VLOOKUP(F27,Panchanga!$A$3:$Y$463,13,TRUE)</f>
        <v>Kaulava</v>
      </c>
      <c r="G35" s="48" t="str">
        <f ca="1">VLOOKUP(G27,Panchanga!$A$3:$Y$463,13,TRUE)</f>
        <v>Garija</v>
      </c>
    </row>
    <row r="36" spans="1:7" s="28" customFormat="1" ht="19.5" x14ac:dyDescent="0.3">
      <c r="A36" s="41" t="str">
        <f ca="1">VLOOKUP(A27,Panchanga!$A$3:$Y$463,14,TRUE)</f>
        <v>Vriddhi-वृद्धि -Me (10.99)</v>
      </c>
      <c r="B36" s="36" t="str">
        <f ca="1">VLOOKUP(B27,Panchanga!$A$3:$Y$463,14,TRUE)</f>
        <v>Dhruva-ध्रुव -Ke (11.95)</v>
      </c>
      <c r="C36" s="36" t="str">
        <f ca="1">VLOOKUP(C27,Panchanga!$A$3:$Y$463,14,TRUE)</f>
        <v>Vyaghata-व्याघात-ve (12.91)</v>
      </c>
      <c r="D36" s="36" t="str">
        <f ca="1">VLOOKUP(D27,Panchanga!$A$3:$Y$463,14,TRUE)</f>
        <v>Harshana-हर्षण-su (13.88)</v>
      </c>
      <c r="E36" s="36" t="str">
        <f ca="1">VLOOKUP(E27,Panchanga!$A$3:$Y$463,14,TRUE)</f>
        <v>Vajra-वज्र-Mo (14.85)</v>
      </c>
      <c r="F36" s="36" t="str">
        <f ca="1">VLOOKUP(F27,Panchanga!$A$3:$Y$463,14,TRUE)</f>
        <v>Siddhi-सिद्धि-Ma (15.83)</v>
      </c>
      <c r="G36" s="48" t="str">
        <f ca="1">VLOOKUP(G27,Panchanga!$A$3:$Y$463,14,TRUE)</f>
        <v>Vyatipata-व्यतिपात-Ra (16.81)</v>
      </c>
    </row>
    <row r="37" spans="1:7" s="28" customFormat="1" ht="19.5" x14ac:dyDescent="0.3">
      <c r="A37" s="63" t="str">
        <f ca="1">VLOOKUP(A27,Panchanga!$A$3:$Y$463,18,TRUE)</f>
        <v>7Ma,9Me,7Ju,10Ve,9Sa,4Ra</v>
      </c>
      <c r="B37" s="64" t="str">
        <f ca="1">VLOOKUP(B27,Panchanga!$A$3:$Y$463,18,TRUE)</f>
        <v>7Ma,9Me,7Ju,10Ve,9Sa,4Ra</v>
      </c>
      <c r="C37" s="64" t="str">
        <f ca="1">VLOOKUP(C27,Panchanga!$A$3:$Y$463,18,TRUE)</f>
        <v>7Ma,9Me,7Ju,10Ve,9Sa,4Ra</v>
      </c>
      <c r="D37" s="64" t="str">
        <f ca="1">VLOOKUP(D27,Panchanga!$A$3:$Y$463,18,TRUE)</f>
        <v>8Ma,9Me,7Ju,10Ve,9Sa,4Ra</v>
      </c>
      <c r="E37" s="64" t="str">
        <f ca="1">VLOOKUP(E27,Panchanga!$A$3:$Y$463,18,TRUE)</f>
        <v>8Ma,9Me,7Ju,10Ve,9Sa,4Ra</v>
      </c>
      <c r="F37" s="64" t="str">
        <f ca="1">VLOOKUP(F27,Panchanga!$A$3:$Y$463,18,TRUE)</f>
        <v>8Ma,9Me,7Ju,10Ve,9Sa,4Ra</v>
      </c>
      <c r="G37" s="65" t="str">
        <f ca="1">VLOOKUP(G27,Panchanga!$A$3:$Y$463,18,TRUE)</f>
        <v>8Ma,9Me,7Ju,10Ve,9Sa,4Ra</v>
      </c>
    </row>
    <row r="38" spans="1:7" ht="5.85" customHeight="1" thickBot="1" x14ac:dyDescent="0.4">
      <c r="A38" s="42"/>
      <c r="B38" s="16"/>
      <c r="C38" s="16"/>
      <c r="D38" s="16"/>
      <c r="E38" s="16"/>
      <c r="F38" s="16"/>
      <c r="G38" s="49"/>
    </row>
    <row r="39" spans="1:7" s="51" customFormat="1" ht="37.5" x14ac:dyDescent="0.5">
      <c r="A39" s="52">
        <f ca="1">G27+1</f>
        <v>43121</v>
      </c>
      <c r="B39" s="53">
        <f t="shared" ref="B39:G39" ca="1" si="3">A39+1</f>
        <v>43122</v>
      </c>
      <c r="C39" s="53">
        <f t="shared" ca="1" si="3"/>
        <v>43123</v>
      </c>
      <c r="D39" s="53">
        <f t="shared" ca="1" si="3"/>
        <v>43124</v>
      </c>
      <c r="E39" s="53">
        <f t="shared" ca="1" si="3"/>
        <v>43125</v>
      </c>
      <c r="F39" s="53">
        <f t="shared" ca="1" si="3"/>
        <v>43126</v>
      </c>
      <c r="G39" s="54">
        <f t="shared" ca="1" si="3"/>
        <v>43127</v>
      </c>
    </row>
    <row r="40" spans="1:7" s="28" customFormat="1" ht="19.5" x14ac:dyDescent="0.3">
      <c r="A40" s="37">
        <f ca="1">VLOOKUP(A39,Panchanga!$A$3:$Y$463,3,TRUE)</f>
        <v>43121.276407129284</v>
      </c>
      <c r="B40" s="27">
        <f ca="1">VLOOKUP(B39,Panchanga!$A$3:$Y$463,3,TRUE)</f>
        <v>43122.27643494463</v>
      </c>
      <c r="C40" s="27">
        <f ca="1">VLOOKUP(C39,Panchanga!$A$3:$Y$463,3,TRUE)</f>
        <v>43123.276449567791</v>
      </c>
      <c r="D40" s="27">
        <f ca="1">VLOOKUP(D39,Panchanga!$A$3:$Y$463,3,TRUE)</f>
        <v>43124.276450839046</v>
      </c>
      <c r="E40" s="27">
        <f ca="1">VLOOKUP(E39,Panchanga!$A$3:$Y$463,3,TRUE)</f>
        <v>43125.276439077374</v>
      </c>
      <c r="F40" s="27">
        <f ca="1">VLOOKUP(F39,Panchanga!$A$3:$Y$463,3,TRUE)</f>
        <v>43126.276414122585</v>
      </c>
      <c r="G40" s="44">
        <f ca="1">VLOOKUP(G39,Panchanga!$A$3:$Y$463,3,TRUE)</f>
        <v>43127.276376134869</v>
      </c>
    </row>
    <row r="41" spans="1:7" s="28" customFormat="1" ht="19.5" x14ac:dyDescent="0.3">
      <c r="A41" s="37">
        <f ca="1">VLOOKUP(A39,Panchanga!$A$3:$Y$463,4,TRUE)</f>
        <v>43120.752288957636</v>
      </c>
      <c r="B41" s="27">
        <f ca="1">VLOOKUP(B39,Panchanga!$A$3:$Y$463,4,TRUE)</f>
        <v>43121.752651035829</v>
      </c>
      <c r="C41" s="27">
        <f ca="1">VLOOKUP(C39,Panchanga!$A$3:$Y$463,4,TRUE)</f>
        <v>43122.753008186861</v>
      </c>
      <c r="D41" s="27">
        <f ca="1">VLOOKUP(D39,Panchanga!$A$3:$Y$463,4,TRUE)</f>
        <v>43123.75336025194</v>
      </c>
      <c r="E41" s="27">
        <f ca="1">VLOOKUP(E39,Panchanga!$A$3:$Y$463,4,TRUE)</f>
        <v>43124.753706912554</v>
      </c>
      <c r="F41" s="27">
        <f ca="1">VLOOKUP(F39,Panchanga!$A$3:$Y$463,4,TRUE)</f>
        <v>43125.754047851122</v>
      </c>
      <c r="G41" s="44">
        <f ca="1">VLOOKUP(G39,Panchanga!$A$3:$Y$463,4,TRUE)</f>
        <v>43126.754383226435</v>
      </c>
    </row>
    <row r="42" spans="1:7" s="28" customFormat="1" ht="19.5" x14ac:dyDescent="0.3">
      <c r="A42" s="38">
        <f ca="1">VLOOKUP(A39,Panchanga!$A$3:$Y$463,6,TRUE)</f>
        <v>276.82631756341959</v>
      </c>
      <c r="B42" s="30">
        <f ca="1">VLOOKUP(B39,Panchanga!$A$3:$Y$463,6,TRUE)</f>
        <v>277.84407744765321</v>
      </c>
      <c r="C42" s="30">
        <f ca="1">VLOOKUP(C39,Panchanga!$A$3:$Y$463,6,TRUE)</f>
        <v>278.86156777964504</v>
      </c>
      <c r="D42" s="30">
        <f ca="1">VLOOKUP(D39,Panchanga!$A$3:$Y$463,6,TRUE)</f>
        <v>279.87876909442519</v>
      </c>
      <c r="E42" s="30">
        <f ca="1">VLOOKUP(E39,Panchanga!$A$3:$Y$463,6,TRUE)</f>
        <v>280.89566502134176</v>
      </c>
      <c r="F42" s="30">
        <f ca="1">VLOOKUP(F39,Panchanga!$A$3:$Y$463,6,TRUE)</f>
        <v>281.91224197276131</v>
      </c>
      <c r="G42" s="45">
        <f ca="1">VLOOKUP(G39,Panchanga!$A$3:$Y$463,6,TRUE)</f>
        <v>282.92849070039858</v>
      </c>
    </row>
    <row r="43" spans="1:7" s="28" customFormat="1" ht="19.5" x14ac:dyDescent="0.3">
      <c r="A43" s="38">
        <f ca="1">VLOOKUP(A39,Panchanga!$A$3:$Y$463,7,TRUE)</f>
        <v>320.58084386923281</v>
      </c>
      <c r="B43" s="30">
        <f ca="1">VLOOKUP(B39,Panchanga!$A$3:$Y$463,7,TRUE)</f>
        <v>333.09191884974416</v>
      </c>
      <c r="C43" s="30">
        <f ca="1">VLOOKUP(C39,Panchanga!$A$3:$Y$463,7,TRUE)</f>
        <v>345.86123289770876</v>
      </c>
      <c r="D43" s="30">
        <f ca="1">VLOOKUP(D39,Panchanga!$A$3:$Y$463,7,TRUE)</f>
        <v>358.9369902263208</v>
      </c>
      <c r="E43" s="30">
        <f ca="1">VLOOKUP(E39,Panchanga!$A$3:$Y$463,7,TRUE)</f>
        <v>12.362160063617001</v>
      </c>
      <c r="F43" s="30">
        <f ca="1">VLOOKUP(F39,Panchanga!$A$3:$Y$463,7,TRUE)</f>
        <v>26.166136145464755</v>
      </c>
      <c r="G43" s="45">
        <f ca="1">VLOOKUP(G39,Panchanga!$A$3:$Y$463,7,TRUE)</f>
        <v>40.354665527863489</v>
      </c>
    </row>
    <row r="44" spans="1:7" s="28" customFormat="1" ht="19.5" x14ac:dyDescent="0.3">
      <c r="A44" s="39" t="str">
        <f ca="1">VLOOKUP(A39,Panchanga!$A$3:$Y$463,9,TRUE) &amp; " "&amp;ROUND(A43/13.333,2)</f>
        <v>Purva Bhadrapada 24.04</v>
      </c>
      <c r="B44" s="32" t="str">
        <f ca="1">VLOOKUP(B39,Panchanga!$A$3:$Y$463,9,TRUE) &amp; " "&amp;ROUND(B43/13.333,2)</f>
        <v>Purva Bhadrapada 24.98</v>
      </c>
      <c r="C44" s="32" t="str">
        <f ca="1">VLOOKUP(C39,Panchanga!$A$3:$Y$463,9,TRUE) &amp; " "&amp;ROUND(C43/13.333,2)</f>
        <v>Uttara Bhadrapada 25.94</v>
      </c>
      <c r="D44" s="32" t="str">
        <f ca="1">VLOOKUP(D39,Panchanga!$A$3:$Y$463,9,TRUE) &amp; " "&amp;ROUND(D43/13.333,2)</f>
        <v>Revati 26.92</v>
      </c>
      <c r="E44" s="32" t="str">
        <f ca="1">VLOOKUP(E39,Panchanga!$A$3:$Y$463,9,TRUE) &amp; " "&amp;ROUND(E43/13.333,2)</f>
        <v>Aswini 0.93</v>
      </c>
      <c r="F44" s="32" t="str">
        <f ca="1">VLOOKUP(F39,Panchanga!$A$3:$Y$463,9,TRUE) &amp; " "&amp;ROUND(F43/13.333,2)</f>
        <v>Bharani 1.96</v>
      </c>
      <c r="G44" s="46" t="str">
        <f ca="1">VLOOKUP(G39,Panchanga!$A$3:$Y$463,9,TRUE) &amp; " "&amp;ROUND(G43/13.333,2)</f>
        <v>Rohini 3.03</v>
      </c>
    </row>
    <row r="45" spans="1:7" s="28" customFormat="1" ht="19.5" x14ac:dyDescent="0.3">
      <c r="A45" s="40">
        <f ca="1">VLOOKUP(A39,Panchanga!$A$3:$Y$463,10,TRUE)</f>
        <v>43122.29573154376</v>
      </c>
      <c r="B45" s="34">
        <f ca="1">VLOOKUP(B39,Panchanga!$A$3:$Y$463,10,TRUE)</f>
        <v>43122.295341051329</v>
      </c>
      <c r="C45" s="34">
        <f ca="1">VLOOKUP(C39,Panchanga!$A$3:$Y$463,10,TRUE)</f>
        <v>43123.338047131328</v>
      </c>
      <c r="D45" s="34">
        <f ca="1">VLOOKUP(D39,Panchanga!$A$3:$Y$463,10,TRUE)</f>
        <v>43124.27338368824</v>
      </c>
      <c r="E45" s="34">
        <f ca="1">VLOOKUP(E39,Panchanga!$A$3:$Y$463,10,TRUE)</f>
        <v>43125.346791925607</v>
      </c>
      <c r="F45" s="34">
        <f ca="1">VLOOKUP(F39,Panchanga!$A$3:$Y$463,10,TRUE)</f>
        <v>43126.311689907248</v>
      </c>
      <c r="G45" s="47">
        <f ca="1">VLOOKUP(G39,Panchanga!$A$3:$Y$463,10,TRUE)</f>
        <v>43128.168622978919</v>
      </c>
    </row>
    <row r="46" spans="1:7" s="28" customFormat="1" ht="19.5" x14ac:dyDescent="0.3">
      <c r="A46" s="38" t="str">
        <f ca="1">VLOOKUP(A39,Panchanga!$A$3:$Y$463,11,TRUE)</f>
        <v>S4 (3.65)</v>
      </c>
      <c r="B46" s="30" t="str">
        <f ca="1">VLOOKUP(B39,Panchanga!$A$3:$Y$463,11,TRUE)</f>
        <v>S5 (4.6)</v>
      </c>
      <c r="C46" s="30" t="str">
        <f ca="1">VLOOKUP(C39,Panchanga!$A$3:$Y$463,11,TRUE)</f>
        <v>S6 (5.58)</v>
      </c>
      <c r="D46" s="30" t="str">
        <f ca="1">VLOOKUP(D39,Panchanga!$A$3:$Y$463,11,TRUE)</f>
        <v>S7 (6.59)</v>
      </c>
      <c r="E46" s="30" t="str">
        <f ca="1">VLOOKUP(E39,Panchanga!$A$3:$Y$463,11,TRUE)</f>
        <v>S8 (7.62)</v>
      </c>
      <c r="F46" s="30" t="str">
        <f ca="1">VLOOKUP(F39,Panchanga!$A$3:$Y$463,11,TRUE)</f>
        <v>S9 (8.69)</v>
      </c>
      <c r="G46" s="45" t="str">
        <f ca="1">VLOOKUP(G39,Panchanga!$A$3:$Y$463,11,TRUE)</f>
        <v>S10 (9.79)</v>
      </c>
    </row>
    <row r="47" spans="1:7" s="28" customFormat="1" ht="19.5" x14ac:dyDescent="0.3">
      <c r="A47" s="41" t="str">
        <f ca="1">VLOOKUP(A39,Panchanga!$A$3:$Y$463,13,TRUE)</f>
        <v>Vishti</v>
      </c>
      <c r="B47" s="36" t="str">
        <f ca="1">VLOOKUP(B39,Panchanga!$A$3:$Y$463,13,TRUE)</f>
        <v>Baalava</v>
      </c>
      <c r="C47" s="36" t="str">
        <f ca="1">VLOOKUP(C39,Panchanga!$A$3:$Y$463,13,TRUE)</f>
        <v>Taitula</v>
      </c>
      <c r="D47" s="36" t="str">
        <f ca="1">VLOOKUP(D39,Panchanga!$A$3:$Y$463,13,TRUE)</f>
        <v>Vanija</v>
      </c>
      <c r="E47" s="36" t="str">
        <f ca="1">VLOOKUP(E39,Panchanga!$A$3:$Y$463,13,TRUE)</f>
        <v>Bhava</v>
      </c>
      <c r="F47" s="36" t="str">
        <f ca="1">VLOOKUP(F39,Panchanga!$A$3:$Y$463,13,TRUE)</f>
        <v>Kaulava</v>
      </c>
      <c r="G47" s="48" t="str">
        <f ca="1">VLOOKUP(G39,Panchanga!$A$3:$Y$463,13,TRUE)</f>
        <v>Garija</v>
      </c>
    </row>
    <row r="48" spans="1:7" s="28" customFormat="1" ht="19.5" x14ac:dyDescent="0.3">
      <c r="A48" s="41" t="str">
        <f ca="1">VLOOKUP(A39,Panchanga!$A$3:$Y$463,14,TRUE)</f>
        <v>Varigha-वरीयस्-Ju (17.81)</v>
      </c>
      <c r="B48" s="36" t="str">
        <f ca="1">VLOOKUP(B39,Panchanga!$A$3:$Y$463,14,TRUE)</f>
        <v>Parigha-परिघ-Sa (18.83)</v>
      </c>
      <c r="C48" s="36" t="str">
        <f ca="1">VLOOKUP(C39,Panchanga!$A$3:$Y$463,14,TRUE)</f>
        <v>Shiva-शिव-Me (19.86)</v>
      </c>
      <c r="D48" s="36" t="str">
        <f ca="1">VLOOKUP(D39,Panchanga!$A$3:$Y$463,14,TRUE)</f>
        <v>Siddha-सिद्ध-Ke (20.92)</v>
      </c>
      <c r="E48" s="36" t="str">
        <f ca="1">VLOOKUP(E39,Panchanga!$A$3:$Y$463,14,TRUE)</f>
        <v>Sadhya-साध्य-Ve (22)</v>
      </c>
      <c r="F48" s="36" t="str">
        <f ca="1">VLOOKUP(F39,Panchanga!$A$3:$Y$463,14,TRUE)</f>
        <v>Shukla-शुक्ल-Mo (23.11)</v>
      </c>
      <c r="G48" s="48" t="str">
        <f ca="1">VLOOKUP(G39,Panchanga!$A$3:$Y$463,14,TRUE)</f>
        <v>Brahma-ब्रह्म-Ma (24.25)</v>
      </c>
    </row>
    <row r="49" spans="1:7" s="28" customFormat="1" ht="19.5" x14ac:dyDescent="0.3">
      <c r="A49" s="63" t="str">
        <f ca="1">VLOOKUP(A39,Panchanga!$A$3:$Y$463,18,TRUE)</f>
        <v>8Ma,9Me,7Ju,10Ve,9Sa,4Ra</v>
      </c>
      <c r="B49" s="64" t="str">
        <f ca="1">VLOOKUP(B39,Panchanga!$A$3:$Y$463,18,TRUE)</f>
        <v>8Ma,9Me,7Ju,10Ve,9Sa,4Ra</v>
      </c>
      <c r="C49" s="64" t="str">
        <f ca="1">VLOOKUP(C39,Panchanga!$A$3:$Y$463,18,TRUE)</f>
        <v>8Ma,9Me,7Ju,10Ve,9Sa,4Ra</v>
      </c>
      <c r="D49" s="64" t="str">
        <f ca="1">VLOOKUP(D39,Panchanga!$A$3:$Y$463,18,TRUE)</f>
        <v>8Ma,9Me,7Ju,10Ve,9Sa,4Ra</v>
      </c>
      <c r="E49" s="64" t="str">
        <f ca="1">VLOOKUP(E39,Panchanga!$A$3:$Y$463,18,TRUE)</f>
        <v>8Ma,9Me,7Ju,10Ve,9Sa,4Ra</v>
      </c>
      <c r="F49" s="64" t="str">
        <f ca="1">VLOOKUP(F39,Panchanga!$A$3:$Y$463,18,TRUE)</f>
        <v>8Ma,9Me,7Ju,10Ve,9Sa,4Ra</v>
      </c>
      <c r="G49" s="65" t="str">
        <f ca="1">VLOOKUP(G39,Panchanga!$A$3:$Y$463,18,TRUE)</f>
        <v>8Ma,9Me,7Ju,10Ve,9Sa,4Ra</v>
      </c>
    </row>
    <row r="50" spans="1:7" ht="5.85" customHeight="1" thickBot="1" x14ac:dyDescent="0.4">
      <c r="A50" s="42"/>
      <c r="B50" s="16"/>
      <c r="C50" s="16"/>
      <c r="D50" s="16"/>
      <c r="E50" s="16"/>
      <c r="F50" s="16"/>
      <c r="G50" s="49"/>
    </row>
    <row r="51" spans="1:7" s="51" customFormat="1" ht="37.5" x14ac:dyDescent="0.5">
      <c r="A51" s="52">
        <f ca="1">G39+1</f>
        <v>43128</v>
      </c>
      <c r="B51" s="53">
        <f t="shared" ref="B51:G51" ca="1" si="4">A51+1</f>
        <v>43129</v>
      </c>
      <c r="C51" s="53">
        <f t="shared" ca="1" si="4"/>
        <v>43130</v>
      </c>
      <c r="D51" s="53">
        <f t="shared" ca="1" si="4"/>
        <v>43131</v>
      </c>
      <c r="E51" s="53">
        <f t="shared" ca="1" si="4"/>
        <v>43132</v>
      </c>
      <c r="F51" s="53">
        <f t="shared" ca="1" si="4"/>
        <v>43133</v>
      </c>
      <c r="G51" s="54">
        <f t="shared" ca="1" si="4"/>
        <v>43134</v>
      </c>
    </row>
    <row r="52" spans="1:7" s="28" customFormat="1" ht="19.5" x14ac:dyDescent="0.3">
      <c r="A52" s="37">
        <f ca="1">VLOOKUP(A51,Panchanga!$A$3:$Y$463,3,TRUE)</f>
        <v>43128.276324954037</v>
      </c>
      <c r="B52" s="27">
        <f ca="1">VLOOKUP(B51,Panchanga!$A$3:$Y$463,3,TRUE)</f>
        <v>43129.276260740276</v>
      </c>
      <c r="C52" s="27">
        <f ca="1">VLOOKUP(C51,Panchanga!$A$3:$Y$463,3,TRUE)</f>
        <v>43130.276183810238</v>
      </c>
      <c r="D52" s="27">
        <f ca="1">VLOOKUP(D51,Panchanga!$A$3:$Y$463,3,TRUE)</f>
        <v>43131.276094006062</v>
      </c>
      <c r="E52" s="27">
        <f ca="1">VLOOKUP(E51,Panchanga!$A$3:$Y$463,3,TRUE)</f>
        <v>43132.275991644863</v>
      </c>
      <c r="F52" s="27">
        <f ca="1">VLOOKUP(F51,Panchanga!$A$3:$Y$463,3,TRUE)</f>
        <v>43133.275876727108</v>
      </c>
      <c r="G52" s="44">
        <f ca="1">VLOOKUP(G51,Panchanga!$A$3:$Y$463,3,TRUE)</f>
        <v>43134.275749570843</v>
      </c>
    </row>
    <row r="53" spans="1:7" s="28" customFormat="1" ht="19.5" x14ac:dyDescent="0.3">
      <c r="A53" s="37">
        <f ca="1">VLOOKUP(A51,Panchanga!$A$3:$Y$463,4,TRUE)</f>
        <v>43127.75471256212</v>
      </c>
      <c r="B53" s="27">
        <f ca="1">VLOOKUP(B51,Panchanga!$A$3:$Y$463,4,TRUE)</f>
        <v>43128.755035698458</v>
      </c>
      <c r="C53" s="27">
        <f ca="1">VLOOKUP(C51,Panchanga!$A$3:$Y$463,4,TRUE)</f>
        <v>43129.755352795168</v>
      </c>
      <c r="D53" s="27">
        <f ca="1">VLOOKUP(D51,Panchanga!$A$3:$Y$463,4,TRUE)</f>
        <v>43130.755663692995</v>
      </c>
      <c r="E53" s="27">
        <f ca="1">VLOOKUP(E51,Panchanga!$A$3:$Y$463,4,TRUE)</f>
        <v>43131.755968074358</v>
      </c>
      <c r="F53" s="27">
        <f ca="1">VLOOKUP(F51,Panchanga!$A$3:$Y$463,4,TRUE)</f>
        <v>43132.756266097582</v>
      </c>
      <c r="G53" s="44">
        <f ca="1">VLOOKUP(G51,Panchanga!$A$3:$Y$463,4,TRUE)</f>
        <v>43133.756557762666</v>
      </c>
    </row>
    <row r="54" spans="1:7" s="28" customFormat="1" ht="19.5" x14ac:dyDescent="0.3">
      <c r="A54" s="38">
        <f ca="1">VLOOKUP(A51,Panchanga!$A$3:$Y$463,6,TRUE)</f>
        <v>283.94440641832659</v>
      </c>
      <c r="B54" s="30">
        <f ca="1">VLOOKUP(B51,Panchanga!$A$3:$Y$463,6,TRUE)</f>
        <v>284.95999003305133</v>
      </c>
      <c r="C54" s="30">
        <f ca="1">VLOOKUP(C51,Panchanga!$A$3:$Y$463,6,TRUE)</f>
        <v>285.97524800722948</v>
      </c>
      <c r="D54" s="30">
        <f ca="1">VLOOKUP(D51,Panchanga!$A$3:$Y$463,6,TRUE)</f>
        <v>286.9901908737229</v>
      </c>
      <c r="E54" s="30">
        <f ca="1">VLOOKUP(E51,Panchanga!$A$3:$Y$463,6,TRUE)</f>
        <v>288.00483242873219</v>
      </c>
      <c r="F54" s="30">
        <f ca="1">VLOOKUP(F51,Panchanga!$A$3:$Y$463,6,TRUE)</f>
        <v>289.01918657794693</v>
      </c>
      <c r="G54" s="45">
        <f ca="1">VLOOKUP(G51,Panchanga!$A$3:$Y$463,6,TRUE)</f>
        <v>290.03326567046958</v>
      </c>
    </row>
    <row r="55" spans="1:7" s="28" customFormat="1" ht="19.5" x14ac:dyDescent="0.3">
      <c r="A55" s="38">
        <f ca="1">VLOOKUP(A51,Panchanga!$A$3:$Y$463,7,TRUE)</f>
        <v>54.899971720854687</v>
      </c>
      <c r="B55" s="30">
        <f ca="1">VLOOKUP(B51,Panchanga!$A$3:$Y$463,7,TRUE)</f>
        <v>69.734345097224107</v>
      </c>
      <c r="C55" s="30">
        <f ca="1">VLOOKUP(C51,Panchanga!$A$3:$Y$463,7,TRUE)</f>
        <v>84.750755173813744</v>
      </c>
      <c r="D55" s="30">
        <f ca="1">VLOOKUP(D51,Panchanga!$A$3:$Y$463,7,TRUE)</f>
        <v>99.812611755572661</v>
      </c>
      <c r="E55" s="30">
        <f ca="1">VLOOKUP(E51,Panchanga!$A$3:$Y$463,7,TRUE)</f>
        <v>114.7716653653127</v>
      </c>
      <c r="F55" s="30">
        <f ca="1">VLOOKUP(F51,Panchanga!$A$3:$Y$463,7,TRUE)</f>
        <v>129.48953990234671</v>
      </c>
      <c r="G55" s="45">
        <f ca="1">VLOOKUP(G51,Panchanga!$A$3:$Y$463,7,TRUE)</f>
        <v>143.85682727525051</v>
      </c>
    </row>
    <row r="56" spans="1:7" s="28" customFormat="1" ht="19.5" x14ac:dyDescent="0.3">
      <c r="A56" s="39" t="str">
        <f ca="1">VLOOKUP(A51,Panchanga!$A$3:$Y$463,9,TRUE) &amp; " "&amp;ROUND(A55/13.333,2)</f>
        <v>Mrigashira 4.12</v>
      </c>
      <c r="B56" s="32" t="str">
        <f ca="1">VLOOKUP(B51,Panchanga!$A$3:$Y$463,9,TRUE) &amp; " "&amp;ROUND(B55/13.333,2)</f>
        <v>Ardra 5.23</v>
      </c>
      <c r="C56" s="32" t="str">
        <f ca="1">VLOOKUP(C51,Panchanga!$A$3:$Y$463,9,TRUE) &amp; " "&amp;ROUND(C55/13.333,2)</f>
        <v>Punarvasu 6.36</v>
      </c>
      <c r="D56" s="32" t="str">
        <f ca="1">VLOOKUP(D51,Panchanga!$A$3:$Y$463,9,TRUE) &amp; " "&amp;ROUND(D55/13.333,2)</f>
        <v>Pushya 7.49</v>
      </c>
      <c r="E56" s="32" t="str">
        <f ca="1">VLOOKUP(E51,Panchanga!$A$3:$Y$463,9,TRUE) &amp; " "&amp;ROUND(E55/13.333,2)</f>
        <v>Aslesha 8.61</v>
      </c>
      <c r="F56" s="32" t="str">
        <f ca="1">VLOOKUP(F51,Panchanga!$A$3:$Y$463,9,TRUE) &amp; " "&amp;ROUND(F55/13.333,2)</f>
        <v>Makha 9.71</v>
      </c>
      <c r="G56" s="46" t="str">
        <f ca="1">VLOOKUP(G51,Panchanga!$A$3:$Y$463,9,TRUE) &amp; " "&amp;ROUND(G55/13.333,2)</f>
        <v>Purva Phalguni 10.79</v>
      </c>
    </row>
    <row r="57" spans="1:7" s="28" customFormat="1" ht="19.5" x14ac:dyDescent="0.3">
      <c r="A57" s="40">
        <f ca="1">VLOOKUP(A51,Panchanga!$A$3:$Y$463,10,TRUE)</f>
        <v>43129.069478737052</v>
      </c>
      <c r="B57" s="34">
        <f ca="1">VLOOKUP(B51,Panchanga!$A$3:$Y$463,10,TRUE)</f>
        <v>43129.959837248454</v>
      </c>
      <c r="C57" s="34">
        <f ca="1">VLOOKUP(C51,Panchanga!$A$3:$Y$463,10,TRUE)</f>
        <v>43130.845954698809</v>
      </c>
      <c r="D57" s="34">
        <f ca="1">VLOOKUP(D51,Panchanga!$A$3:$Y$463,10,TRUE)</f>
        <v>43131.734234841744</v>
      </c>
      <c r="E57" s="34">
        <f ca="1">VLOOKUP(E51,Panchanga!$A$3:$Y$463,10,TRUE)</f>
        <v>43132.63118789233</v>
      </c>
      <c r="F57" s="34">
        <f ca="1">VLOOKUP(F51,Panchanga!$A$3:$Y$463,10,TRUE)</f>
        <v>43133.543380575873</v>
      </c>
      <c r="G57" s="47">
        <f ca="1">VLOOKUP(G51,Panchanga!$A$3:$Y$463,10,TRUE)</f>
        <v>43134.477173466803</v>
      </c>
    </row>
    <row r="58" spans="1:7" s="28" customFormat="1" ht="19.5" x14ac:dyDescent="0.3">
      <c r="A58" s="38" t="str">
        <f ca="1">VLOOKUP(A51,Panchanga!$A$3:$Y$463,11,TRUE)</f>
        <v>S11 (10.91)</v>
      </c>
      <c r="B58" s="30" t="str">
        <f ca="1">VLOOKUP(B51,Panchanga!$A$3:$Y$463,11,TRUE)</f>
        <v>S13 (12.06)</v>
      </c>
      <c r="C58" s="30" t="str">
        <f ca="1">VLOOKUP(C51,Panchanga!$A$3:$Y$463,11,TRUE)</f>
        <v>S14 (13.23)</v>
      </c>
      <c r="D58" s="30" t="str">
        <f ca="1">VLOOKUP(D51,Panchanga!$A$3:$Y$463,11,TRUE)</f>
        <v>S15 (14.4)</v>
      </c>
      <c r="E58" s="30" t="str">
        <f ca="1">VLOOKUP(E51,Panchanga!$A$3:$Y$463,11,TRUE)</f>
        <v>K1 (15.56)</v>
      </c>
      <c r="F58" s="30" t="str">
        <f ca="1">VLOOKUP(F51,Panchanga!$A$3:$Y$463,11,TRUE)</f>
        <v>K2 (16.71)</v>
      </c>
      <c r="G58" s="45" t="str">
        <f ca="1">VLOOKUP(G51,Panchanga!$A$3:$Y$463,11,TRUE)</f>
        <v>K3 (17.82)</v>
      </c>
    </row>
    <row r="59" spans="1:7" s="28" customFormat="1" ht="19.5" x14ac:dyDescent="0.3">
      <c r="A59" s="41" t="str">
        <f ca="1">VLOOKUP(A51,Panchanga!$A$3:$Y$463,13,TRUE)</f>
        <v>Vishti</v>
      </c>
      <c r="B59" s="36" t="str">
        <f ca="1">VLOOKUP(B51,Panchanga!$A$3:$Y$463,13,TRUE)</f>
        <v>Kaulava</v>
      </c>
      <c r="C59" s="36" t="str">
        <f ca="1">VLOOKUP(C51,Panchanga!$A$3:$Y$463,13,TRUE)</f>
        <v>Garija</v>
      </c>
      <c r="D59" s="36" t="str">
        <f ca="1">VLOOKUP(D51,Panchanga!$A$3:$Y$463,13,TRUE)</f>
        <v>Vishti</v>
      </c>
      <c r="E59" s="36" t="str">
        <f ca="1">VLOOKUP(E51,Panchanga!$A$3:$Y$463,13,TRUE)</f>
        <v>Kaulava</v>
      </c>
      <c r="F59" s="36" t="str">
        <f ca="1">VLOOKUP(F51,Panchanga!$A$3:$Y$463,13,TRUE)</f>
        <v>Garija</v>
      </c>
      <c r="G59" s="48" t="str">
        <f ca="1">VLOOKUP(G51,Panchanga!$A$3:$Y$463,13,TRUE)</f>
        <v>Vishti</v>
      </c>
    </row>
    <row r="60" spans="1:7" s="28" customFormat="1" ht="19.5" x14ac:dyDescent="0.3">
      <c r="A60" s="41" t="str">
        <f ca="1">VLOOKUP(A51,Panchanga!$A$3:$Y$463,14,TRUE)</f>
        <v>Mahendra-महेन्द्र-Ra (25.42)</v>
      </c>
      <c r="B60" s="36" t="str">
        <f ca="1">VLOOKUP(B51,Panchanga!$A$3:$Y$463,14,TRUE)</f>
        <v>Vaidhriti-वैधृति-Ke (26.61)</v>
      </c>
      <c r="C60" s="36" t="str">
        <f ca="1">VLOOKUP(C51,Panchanga!$A$3:$Y$463,14,TRUE)</f>
        <v>Vishkambha-विष्कम्भ-Sa (0.81)</v>
      </c>
      <c r="D60" s="36" t="str">
        <f ca="1">VLOOKUP(D51,Panchanga!$A$3:$Y$463,14,TRUE)</f>
        <v>Ayushman-आयुष्मान-Ke (2.02)</v>
      </c>
      <c r="E60" s="36" t="str">
        <f ca="1">VLOOKUP(E51,Panchanga!$A$3:$Y$463,14,TRUE)</f>
        <v>Saubhagya-सौभाग्य-Ve (3.21)</v>
      </c>
      <c r="F60" s="36" t="str">
        <f ca="1">VLOOKUP(F51,Panchanga!$A$3:$Y$463,14,TRUE)</f>
        <v>Shobhana-शोभन-Su (4.39)</v>
      </c>
      <c r="G60" s="48" t="str">
        <f ca="1">VLOOKUP(G51,Panchanga!$A$3:$Y$463,14,TRUE)</f>
        <v>Atiganda-अतिगण्ड -Mo (5.55)</v>
      </c>
    </row>
    <row r="61" spans="1:7" s="28" customFormat="1" ht="19.5" x14ac:dyDescent="0.3">
      <c r="A61" s="63" t="str">
        <f ca="1">VLOOKUP(A51,Panchanga!$A$3:$Y$463,18,TRUE)</f>
        <v>8Ma,10Me,7Ju,10Ve,9Sa,4Ra</v>
      </c>
      <c r="B61" s="64" t="str">
        <f ca="1">VLOOKUP(B51,Panchanga!$A$3:$Y$463,18,TRUE)</f>
        <v>8Ma,10Me,7Ju,10Ve,9Sa,4Ra</v>
      </c>
      <c r="C61" s="64" t="str">
        <f ca="1">VLOOKUP(C51,Panchanga!$A$3:$Y$463,18,TRUE)</f>
        <v>8Ma,10Me,7Ju,10Ve,9Sa,4Ra</v>
      </c>
      <c r="D61" s="64" t="str">
        <f ca="1">VLOOKUP(D51,Panchanga!$A$3:$Y$463,18,TRUE)</f>
        <v>8Ma,10Me,7Ju,10Ve,9Sa,4Ra</v>
      </c>
      <c r="E61" s="64" t="str">
        <f ca="1">VLOOKUP(E51,Panchanga!$A$3:$Y$463,18,TRUE)</f>
        <v>8Ma,10Me,7Ju,10Ve,9Sa,4Ra</v>
      </c>
      <c r="F61" s="64" t="str">
        <f ca="1">VLOOKUP(F51,Panchanga!$A$3:$Y$463,18,TRUE)</f>
        <v>8Ma,10Me,7Ju,10Ve,9Sa,4Ra</v>
      </c>
      <c r="G61" s="65" t="str">
        <f ca="1">VLOOKUP(G51,Panchanga!$A$3:$Y$463,18,TRUE)</f>
        <v>8Ma,10Me,7Ju,10Ve,9Sa,4Ra</v>
      </c>
    </row>
    <row r="62" spans="1:7" ht="5.85" customHeight="1" thickBot="1" x14ac:dyDescent="0.4">
      <c r="A62" s="42"/>
      <c r="B62" s="16"/>
      <c r="C62" s="16"/>
      <c r="D62" s="16"/>
      <c r="E62" s="16"/>
      <c r="F62" s="16"/>
      <c r="G62" s="17"/>
    </row>
    <row r="63" spans="1:7" s="51" customFormat="1" ht="37.5" x14ac:dyDescent="0.5">
      <c r="A63" s="52">
        <f ca="1">G51+1</f>
        <v>43135</v>
      </c>
      <c r="B63" s="53">
        <f ca="1">A63+1</f>
        <v>43136</v>
      </c>
      <c r="C63" s="53"/>
      <c r="D63" s="53"/>
      <c r="E63" s="53"/>
      <c r="F63" s="53"/>
      <c r="G63" s="55"/>
    </row>
    <row r="64" spans="1:7" s="28" customFormat="1" ht="19.5" x14ac:dyDescent="0.3">
      <c r="A64" s="37">
        <f ca="1">VLOOKUP(A63,Panchanga!$A$3:$Y$463,3,TRUE)</f>
        <v>43135.275610334393</v>
      </c>
      <c r="B64" s="27">
        <f ca="1">VLOOKUP(B63,Panchanga!$A$3:$Y$463,3,TRUE)</f>
        <v>43136.275459177014</v>
      </c>
      <c r="C64" s="27" t="s">
        <v>20</v>
      </c>
      <c r="D64" s="27"/>
      <c r="E64" s="27"/>
      <c r="F64" s="27"/>
      <c r="G64" s="26"/>
    </row>
    <row r="65" spans="1:7" s="28" customFormat="1" ht="19.5" x14ac:dyDescent="0.3">
      <c r="A65" s="37">
        <f ca="1">VLOOKUP(A63,Panchanga!$A$3:$Y$463,4,TRUE)</f>
        <v>43134.756843070543</v>
      </c>
      <c r="B65" s="27">
        <f ca="1">VLOOKUP(B63,Panchanga!$A$3:$Y$463,4,TRUE)</f>
        <v>43135.757121861025</v>
      </c>
      <c r="C65" s="27" t="s">
        <v>8</v>
      </c>
      <c r="D65" s="27"/>
      <c r="E65" s="27"/>
      <c r="F65" s="27"/>
      <c r="G65" s="26"/>
    </row>
    <row r="66" spans="1:7" s="28" customFormat="1" ht="19.5" x14ac:dyDescent="0.3">
      <c r="A66" s="38">
        <f ca="1">VLOOKUP(A63,Panchanga!$A$3:$Y$463,6,TRUE)</f>
        <v>291.04707833857395</v>
      </c>
      <c r="B66" s="30">
        <f ca="1">VLOOKUP(B63,Panchanga!$A$3:$Y$463,6,TRUE)</f>
        <v>292.06062890204777</v>
      </c>
      <c r="C66" s="30" t="s">
        <v>21</v>
      </c>
      <c r="D66" s="30"/>
      <c r="E66" s="30"/>
      <c r="F66" s="30"/>
      <c r="G66" s="29"/>
    </row>
    <row r="67" spans="1:7" s="28" customFormat="1" ht="19.5" x14ac:dyDescent="0.3">
      <c r="A67" s="38">
        <f ca="1">VLOOKUP(A63,Panchanga!$A$3:$Y$463,7,TRUE)</f>
        <v>157.80476600379288</v>
      </c>
      <c r="B67" s="30">
        <f ca="1">VLOOKUP(B63,Panchanga!$A$3:$Y$463,7,TRUE)</f>
        <v>171.30786106974699</v>
      </c>
      <c r="C67" s="30" t="s">
        <v>22</v>
      </c>
      <c r="D67" s="30"/>
      <c r="E67" s="30"/>
      <c r="F67" s="30"/>
      <c r="G67" s="29"/>
    </row>
    <row r="68" spans="1:7" s="28" customFormat="1" ht="19.5" x14ac:dyDescent="0.3">
      <c r="A68" s="39" t="str">
        <f ca="1">VLOOKUP(A63,Panchanga!$A$3:$Y$463,9,TRUE) &amp; " "&amp;ROUND(A67/13.333,2)</f>
        <v>Uttara Phalguni 11.84</v>
      </c>
      <c r="B68" s="32" t="str">
        <f ca="1">VLOOKUP(B63,Panchanga!$A$3:$Y$463,9,TRUE) &amp; " "&amp;ROUND(B67/13.333,2)</f>
        <v>Hasta 12.85</v>
      </c>
      <c r="C68" s="32" t="s">
        <v>23</v>
      </c>
      <c r="D68" s="32"/>
      <c r="E68" s="32"/>
      <c r="F68" s="32"/>
      <c r="G68" s="31"/>
    </row>
    <row r="69" spans="1:7" s="28" customFormat="1" ht="19.5" x14ac:dyDescent="0.3">
      <c r="A69" s="40">
        <f ca="1">VLOOKUP(A63,Panchanga!$A$3:$Y$463,10,TRUE)</f>
        <v>43135.438158413897</v>
      </c>
      <c r="B69" s="34">
        <f ca="1">VLOOKUP(B63,Panchanga!$A$3:$Y$463,10,TRUE)</f>
        <v>43136.430390227266</v>
      </c>
      <c r="C69" s="34" t="s">
        <v>24</v>
      </c>
      <c r="D69" s="34"/>
      <c r="E69" s="34"/>
      <c r="F69" s="34"/>
      <c r="G69" s="33"/>
    </row>
    <row r="70" spans="1:7" s="28" customFormat="1" ht="19.5" x14ac:dyDescent="0.3">
      <c r="A70" s="38" t="str">
        <f ca="1">VLOOKUP(A63,Panchanga!$A$3:$Y$463,11,TRUE)</f>
        <v>K4 (18.9)</v>
      </c>
      <c r="B70" s="30" t="str">
        <f ca="1">VLOOKUP(B63,Panchanga!$A$3:$Y$463,11,TRUE)</f>
        <v>K5 (19.94)</v>
      </c>
      <c r="C70" s="30" t="s">
        <v>28</v>
      </c>
      <c r="D70" s="30"/>
      <c r="E70" s="30"/>
      <c r="F70" s="30"/>
      <c r="G70" s="29"/>
    </row>
    <row r="71" spans="1:7" s="28" customFormat="1" ht="19.5" x14ac:dyDescent="0.3">
      <c r="A71" s="41" t="str">
        <f ca="1">VLOOKUP(A63,Panchanga!$A$3:$Y$463,13,TRUE)</f>
        <v>Baalava</v>
      </c>
      <c r="B71" s="36" t="str">
        <f ca="1">VLOOKUP(B63,Panchanga!$A$3:$Y$463,13,TRUE)</f>
        <v>Taitula</v>
      </c>
      <c r="C71" s="36" t="s">
        <v>25</v>
      </c>
      <c r="D71" s="36"/>
      <c r="E71" s="36"/>
      <c r="F71" s="36"/>
      <c r="G71" s="35"/>
    </row>
    <row r="72" spans="1:7" s="28" customFormat="1" ht="19.5" x14ac:dyDescent="0.3">
      <c r="A72" s="41" t="str">
        <f ca="1">VLOOKUP(A63,Panchanga!$A$3:$Y$463,14,TRUE)</f>
        <v>Sukarman-सुकर्मा -Ma (6.67)</v>
      </c>
      <c r="B72" s="36" t="str">
        <f ca="1">VLOOKUP(B63,Panchanga!$A$3:$Y$463,14,TRUE)</f>
        <v>Dhriti-धृति -Ra (7.76)</v>
      </c>
      <c r="C72" s="36" t="s">
        <v>13</v>
      </c>
      <c r="D72" s="36"/>
      <c r="E72" s="36"/>
      <c r="F72" s="36"/>
      <c r="G72" s="48"/>
    </row>
    <row r="73" spans="1:7" s="28" customFormat="1" ht="19.5" x14ac:dyDescent="0.3">
      <c r="A73" s="63" t="str">
        <f ca="1">VLOOKUP(A63,Panchanga!$A$3:$Y$463,18,TRUE)</f>
        <v>8Ma,10Me,7Ju,10Ve,9Sa,4Ra</v>
      </c>
      <c r="B73" s="64" t="str">
        <f ca="1">VLOOKUP(B63,Panchanga!$A$3:$Y$463,18,TRUE)</f>
        <v>8Ma,10Me,7Ju,10Ve,9Sa,4Ra</v>
      </c>
      <c r="C73" s="64"/>
      <c r="D73" s="64"/>
      <c r="E73" s="64"/>
      <c r="F73" s="64"/>
      <c r="G73" s="65"/>
    </row>
    <row r="74" spans="1:7" ht="24" thickBot="1" x14ac:dyDescent="0.4"/>
    <row r="75" spans="1:7" x14ac:dyDescent="0.35">
      <c r="A75" s="23" t="s">
        <v>26</v>
      </c>
      <c r="B75" s="21">
        <f>Lat</f>
        <v>13.5</v>
      </c>
      <c r="C75" s="23" t="s">
        <v>1</v>
      </c>
      <c r="D75" s="21">
        <f>Long</f>
        <v>80.23</v>
      </c>
      <c r="E75" s="23" t="s">
        <v>4</v>
      </c>
      <c r="F75" s="22">
        <f>TimeZone</f>
        <v>5.5</v>
      </c>
    </row>
    <row r="78" spans="1:7" s="51" customFormat="1" ht="38.25" thickBot="1" x14ac:dyDescent="0.55000000000000004">
      <c r="A78" s="68">
        <f ca="1">DATE(YEAR(A1),MONTH(A1)+1,1)</f>
        <v>43132</v>
      </c>
      <c r="B78" s="69"/>
      <c r="C78" s="69"/>
      <c r="D78" s="69"/>
      <c r="E78" s="69"/>
      <c r="F78" s="69"/>
      <c r="G78" s="69"/>
    </row>
    <row r="79" spans="1:7" s="56" customFormat="1" ht="35.25" thickBot="1" x14ac:dyDescent="0.5">
      <c r="A79" s="57">
        <v>1</v>
      </c>
      <c r="B79" s="58">
        <v>2</v>
      </c>
      <c r="C79" s="58">
        <v>3</v>
      </c>
      <c r="D79" s="58">
        <v>4</v>
      </c>
      <c r="E79" s="58">
        <v>5</v>
      </c>
      <c r="F79" s="58">
        <v>6</v>
      </c>
      <c r="G79" s="59">
        <v>7</v>
      </c>
    </row>
    <row r="80" spans="1:7" s="51" customFormat="1" ht="37.5" x14ac:dyDescent="0.5">
      <c r="A80" s="52">
        <f ca="1">DATE(YEAR(A78),MONTH(A78),1)-WEEKDAY(A78)+1</f>
        <v>43128</v>
      </c>
      <c r="B80" s="53">
        <f t="shared" ref="B80:G80" ca="1" si="5">A80+1</f>
        <v>43129</v>
      </c>
      <c r="C80" s="53">
        <f t="shared" ca="1" si="5"/>
        <v>43130</v>
      </c>
      <c r="D80" s="53">
        <f t="shared" ca="1" si="5"/>
        <v>43131</v>
      </c>
      <c r="E80" s="53">
        <f t="shared" ca="1" si="5"/>
        <v>43132</v>
      </c>
      <c r="F80" s="53">
        <f t="shared" ca="1" si="5"/>
        <v>43133</v>
      </c>
      <c r="G80" s="54">
        <f t="shared" ca="1" si="5"/>
        <v>43134</v>
      </c>
    </row>
    <row r="81" spans="1:7" s="28" customFormat="1" ht="19.5" x14ac:dyDescent="0.3">
      <c r="A81" s="37">
        <f ca="1">VLOOKUP(A80,Panchanga!$A$3:$Y$463,3,TRUE)</f>
        <v>43128.276324954037</v>
      </c>
      <c r="B81" s="27">
        <f ca="1">VLOOKUP(B80,Panchanga!$A$3:$Y$463,3,TRUE)</f>
        <v>43129.276260740276</v>
      </c>
      <c r="C81" s="27">
        <f ca="1">VLOOKUP(C80,Panchanga!$A$3:$Y$463,3,TRUE)</f>
        <v>43130.276183810238</v>
      </c>
      <c r="D81" s="27">
        <f ca="1">VLOOKUP(D80,Panchanga!$A$3:$Y$463,3,TRUE)</f>
        <v>43131.276094006062</v>
      </c>
      <c r="E81" s="27">
        <f ca="1">VLOOKUP(E80,Panchanga!$A$3:$Y$463,3,TRUE)</f>
        <v>43132.275991644863</v>
      </c>
      <c r="F81" s="27">
        <f ca="1">VLOOKUP(F80,Panchanga!$A$3:$Y$463,3,TRUE)</f>
        <v>43133.275876727108</v>
      </c>
      <c r="G81" s="44">
        <f ca="1">VLOOKUP(G80,Panchanga!$A$3:$Y$463,3,TRUE)</f>
        <v>43134.275749570843</v>
      </c>
    </row>
    <row r="82" spans="1:7" s="28" customFormat="1" ht="19.5" x14ac:dyDescent="0.3">
      <c r="A82" s="37">
        <f ca="1">VLOOKUP(A80,Panchanga!$A$3:$Y$463,4,TRUE)</f>
        <v>43127.75471256212</v>
      </c>
      <c r="B82" s="27">
        <f ca="1">VLOOKUP(B80,Panchanga!$A$3:$Y$463,4,TRUE)</f>
        <v>43128.755035698458</v>
      </c>
      <c r="C82" s="27">
        <f ca="1">VLOOKUP(C80,Panchanga!$A$3:$Y$463,4,TRUE)</f>
        <v>43129.755352795168</v>
      </c>
      <c r="D82" s="27">
        <f ca="1">VLOOKUP(D80,Panchanga!$A$3:$Y$463,4,TRUE)</f>
        <v>43130.755663692995</v>
      </c>
      <c r="E82" s="27">
        <f ca="1">VLOOKUP(E80,Panchanga!$A$3:$Y$463,4,TRUE)</f>
        <v>43131.755968074358</v>
      </c>
      <c r="F82" s="27">
        <f ca="1">VLOOKUP(F80,Panchanga!$A$3:$Y$463,4,TRUE)</f>
        <v>43132.756266097582</v>
      </c>
      <c r="G82" s="44">
        <f ca="1">VLOOKUP(G80,Panchanga!$A$3:$Y$463,4,TRUE)</f>
        <v>43133.756557762666</v>
      </c>
    </row>
    <row r="83" spans="1:7" s="28" customFormat="1" ht="19.5" x14ac:dyDescent="0.3">
      <c r="A83" s="38">
        <f ca="1">VLOOKUP(A80,Panchanga!$A$3:$Y$463,6,TRUE)</f>
        <v>283.94440641832659</v>
      </c>
      <c r="B83" s="30">
        <f ca="1">VLOOKUP(B80,Panchanga!$A$3:$Y$463,6,TRUE)</f>
        <v>284.95999003305133</v>
      </c>
      <c r="C83" s="30">
        <f ca="1">VLOOKUP(C80,Panchanga!$A$3:$Y$463,6,TRUE)</f>
        <v>285.97524800722948</v>
      </c>
      <c r="D83" s="30">
        <f ca="1">VLOOKUP(D80,Panchanga!$A$3:$Y$463,6,TRUE)</f>
        <v>286.9901908737229</v>
      </c>
      <c r="E83" s="30">
        <f ca="1">VLOOKUP(E80,Panchanga!$A$3:$Y$463,6,TRUE)</f>
        <v>288.00483242873219</v>
      </c>
      <c r="F83" s="30">
        <f ca="1">VLOOKUP(F80,Panchanga!$A$3:$Y$463,6,TRUE)</f>
        <v>289.01918657794693</v>
      </c>
      <c r="G83" s="45">
        <f ca="1">VLOOKUP(G80,Panchanga!$A$3:$Y$463,6,TRUE)</f>
        <v>290.03326567046958</v>
      </c>
    </row>
    <row r="84" spans="1:7" s="28" customFormat="1" ht="19.5" x14ac:dyDescent="0.3">
      <c r="A84" s="38">
        <f ca="1">VLOOKUP(A80,Panchanga!$A$3:$Y$463,7,TRUE)</f>
        <v>54.899971720854687</v>
      </c>
      <c r="B84" s="30">
        <f ca="1">VLOOKUP(B80,Panchanga!$A$3:$Y$463,7,TRUE)</f>
        <v>69.734345097224107</v>
      </c>
      <c r="C84" s="30">
        <f ca="1">VLOOKUP(C80,Panchanga!$A$3:$Y$463,7,TRUE)</f>
        <v>84.750755173813744</v>
      </c>
      <c r="D84" s="30">
        <f ca="1">VLOOKUP(D80,Panchanga!$A$3:$Y$463,7,TRUE)</f>
        <v>99.812611755572661</v>
      </c>
      <c r="E84" s="30">
        <f ca="1">VLOOKUP(E80,Panchanga!$A$3:$Y$463,7,TRUE)</f>
        <v>114.7716653653127</v>
      </c>
      <c r="F84" s="30">
        <f ca="1">VLOOKUP(F80,Panchanga!$A$3:$Y$463,7,TRUE)</f>
        <v>129.48953990234671</v>
      </c>
      <c r="G84" s="45">
        <f ca="1">VLOOKUP(G80,Panchanga!$A$3:$Y$463,7,TRUE)</f>
        <v>143.85682727525051</v>
      </c>
    </row>
    <row r="85" spans="1:7" s="28" customFormat="1" ht="19.5" x14ac:dyDescent="0.3">
      <c r="A85" s="39" t="str">
        <f ca="1">VLOOKUP(A80,Panchanga!$A$3:$Y$463,9,TRUE) &amp; " "&amp;ROUND(A84/13.333,2)</f>
        <v>Mrigashira 4.12</v>
      </c>
      <c r="B85" s="32" t="str">
        <f ca="1">VLOOKUP(B80,Panchanga!$A$3:$Y$463,9,TRUE) &amp; " "&amp;ROUND(B84/13.333,2)</f>
        <v>Ardra 5.23</v>
      </c>
      <c r="C85" s="32" t="str">
        <f ca="1">VLOOKUP(C80,Panchanga!$A$3:$Y$463,9,TRUE) &amp; " "&amp;ROUND(C84/13.333,2)</f>
        <v>Punarvasu 6.36</v>
      </c>
      <c r="D85" s="32" t="str">
        <f ca="1">VLOOKUP(D80,Panchanga!$A$3:$Y$463,9,TRUE) &amp; " "&amp;ROUND(D84/13.333,2)</f>
        <v>Pushya 7.49</v>
      </c>
      <c r="E85" s="32" t="str">
        <f ca="1">VLOOKUP(E80,Panchanga!$A$3:$Y$463,9,TRUE) &amp; " "&amp;ROUND(E84/13.333,2)</f>
        <v>Aslesha 8.61</v>
      </c>
      <c r="F85" s="32" t="str">
        <f ca="1">VLOOKUP(F80,Panchanga!$A$3:$Y$463,9,TRUE) &amp; " "&amp;ROUND(F84/13.333,2)</f>
        <v>Makha 9.71</v>
      </c>
      <c r="G85" s="46" t="str">
        <f ca="1">VLOOKUP(G80,Panchanga!$A$3:$Y$463,9,TRUE) &amp; " "&amp;ROUND(G84/13.333,2)</f>
        <v>Purva Phalguni 10.79</v>
      </c>
    </row>
    <row r="86" spans="1:7" s="28" customFormat="1" ht="19.5" x14ac:dyDescent="0.3">
      <c r="A86" s="40">
        <f ca="1">VLOOKUP(A80,Panchanga!$A$3:$Y$463,10,TRUE)</f>
        <v>43129.069478737052</v>
      </c>
      <c r="B86" s="34">
        <f ca="1">VLOOKUP(B80,Panchanga!$A$3:$Y$463,10,TRUE)</f>
        <v>43129.959837248454</v>
      </c>
      <c r="C86" s="34">
        <f ca="1">VLOOKUP(C80,Panchanga!$A$3:$Y$463,10,TRUE)</f>
        <v>43130.845954698809</v>
      </c>
      <c r="D86" s="34">
        <f ca="1">VLOOKUP(D80,Panchanga!$A$3:$Y$463,10,TRUE)</f>
        <v>43131.734234841744</v>
      </c>
      <c r="E86" s="34">
        <f ca="1">VLOOKUP(E80,Panchanga!$A$3:$Y$463,10,TRUE)</f>
        <v>43132.63118789233</v>
      </c>
      <c r="F86" s="34">
        <f ca="1">VLOOKUP(F80,Panchanga!$A$3:$Y$463,10,TRUE)</f>
        <v>43133.543380575873</v>
      </c>
      <c r="G86" s="47">
        <f ca="1">VLOOKUP(G80,Panchanga!$A$3:$Y$463,10,TRUE)</f>
        <v>43134.477173466803</v>
      </c>
    </row>
    <row r="87" spans="1:7" s="28" customFormat="1" ht="19.5" x14ac:dyDescent="0.3">
      <c r="A87" s="38" t="str">
        <f ca="1">VLOOKUP(A80,Panchanga!$A$3:$Y$463,11,TRUE)</f>
        <v>S11 (10.91)</v>
      </c>
      <c r="B87" s="30" t="str">
        <f ca="1">VLOOKUP(B80,Panchanga!$A$3:$Y$463,11,TRUE)</f>
        <v>S13 (12.06)</v>
      </c>
      <c r="C87" s="30" t="str">
        <f ca="1">VLOOKUP(C80,Panchanga!$A$3:$Y$463,11,TRUE)</f>
        <v>S14 (13.23)</v>
      </c>
      <c r="D87" s="30" t="str">
        <f ca="1">VLOOKUP(D80,Panchanga!$A$3:$Y$463,11,TRUE)</f>
        <v>S15 (14.4)</v>
      </c>
      <c r="E87" s="30" t="str">
        <f ca="1">VLOOKUP(E80,Panchanga!$A$3:$Y$463,11,TRUE)</f>
        <v>K1 (15.56)</v>
      </c>
      <c r="F87" s="30" t="str">
        <f ca="1">VLOOKUP(F80,Panchanga!$A$3:$Y$463,11,TRUE)</f>
        <v>K2 (16.71)</v>
      </c>
      <c r="G87" s="45" t="str">
        <f ca="1">VLOOKUP(G80,Panchanga!$A$3:$Y$463,11,TRUE)</f>
        <v>K3 (17.82)</v>
      </c>
    </row>
    <row r="88" spans="1:7" s="28" customFormat="1" ht="19.5" x14ac:dyDescent="0.3">
      <c r="A88" s="41" t="str">
        <f ca="1">VLOOKUP(A80,Panchanga!$A$3:$Y$463,13,TRUE)</f>
        <v>Vishti</v>
      </c>
      <c r="B88" s="36" t="str">
        <f ca="1">VLOOKUP(B80,Panchanga!$A$3:$Y$463,13,TRUE)</f>
        <v>Kaulava</v>
      </c>
      <c r="C88" s="36" t="str">
        <f ca="1">VLOOKUP(C80,Panchanga!$A$3:$Y$463,13,TRUE)</f>
        <v>Garija</v>
      </c>
      <c r="D88" s="36" t="str">
        <f ca="1">VLOOKUP(D80,Panchanga!$A$3:$Y$463,13,TRUE)</f>
        <v>Vishti</v>
      </c>
      <c r="E88" s="36" t="str">
        <f ca="1">VLOOKUP(E80,Panchanga!$A$3:$Y$463,13,TRUE)</f>
        <v>Kaulava</v>
      </c>
      <c r="F88" s="36" t="str">
        <f ca="1">VLOOKUP(F80,Panchanga!$A$3:$Y$463,13,TRUE)</f>
        <v>Garija</v>
      </c>
      <c r="G88" s="48" t="str">
        <f ca="1">VLOOKUP(G80,Panchanga!$A$3:$Y$463,13,TRUE)</f>
        <v>Vishti</v>
      </c>
    </row>
    <row r="89" spans="1:7" s="28" customFormat="1" ht="19.5" x14ac:dyDescent="0.3">
      <c r="A89" s="41" t="str">
        <f ca="1">VLOOKUP(A80,Panchanga!$A$3:$Y$463,14,TRUE)</f>
        <v>Mahendra-महेन्द्र-Ra (25.42)</v>
      </c>
      <c r="B89" s="36" t="str">
        <f ca="1">VLOOKUP(B80,Panchanga!$A$3:$Y$463,14,TRUE)</f>
        <v>Vaidhriti-वैधृति-Ke (26.61)</v>
      </c>
      <c r="C89" s="36" t="str">
        <f ca="1">VLOOKUP(C80,Panchanga!$A$3:$Y$463,14,TRUE)</f>
        <v>Vishkambha-विष्कम्भ-Sa (0.81)</v>
      </c>
      <c r="D89" s="36" t="str">
        <f ca="1">VLOOKUP(D80,Panchanga!$A$3:$Y$463,14,TRUE)</f>
        <v>Ayushman-आयुष्मान-Ke (2.02)</v>
      </c>
      <c r="E89" s="36" t="str">
        <f ca="1">VLOOKUP(E80,Panchanga!$A$3:$Y$463,14,TRUE)</f>
        <v>Saubhagya-सौभाग्य-Ve (3.21)</v>
      </c>
      <c r="F89" s="36" t="str">
        <f ca="1">VLOOKUP(F80,Panchanga!$A$3:$Y$463,14,TRUE)</f>
        <v>Shobhana-शोभन-Su (4.39)</v>
      </c>
      <c r="G89" s="48" t="str">
        <f ca="1">VLOOKUP(G80,Panchanga!$A$3:$Y$463,14,TRUE)</f>
        <v>Atiganda-अतिगण्ड -Mo (5.55)</v>
      </c>
    </row>
    <row r="90" spans="1:7" s="28" customFormat="1" ht="19.5" x14ac:dyDescent="0.3">
      <c r="A90" s="63" t="str">
        <f ca="1">VLOOKUP(A80,Panchanga!$A$3:$Y$463,18,TRUE)</f>
        <v>8Ma,10Me,7Ju,10Ve,9Sa,4Ra</v>
      </c>
      <c r="B90" s="64" t="str">
        <f ca="1">VLOOKUP(B80,Panchanga!$A$3:$Y$463,18,TRUE)</f>
        <v>8Ma,10Me,7Ju,10Ve,9Sa,4Ra</v>
      </c>
      <c r="C90" s="64" t="str">
        <f ca="1">VLOOKUP(C80,Panchanga!$A$3:$Y$463,18,TRUE)</f>
        <v>8Ma,10Me,7Ju,10Ve,9Sa,4Ra</v>
      </c>
      <c r="D90" s="64" t="str">
        <f ca="1">VLOOKUP(D80,Panchanga!$A$3:$Y$463,18,TRUE)</f>
        <v>8Ma,10Me,7Ju,10Ve,9Sa,4Ra</v>
      </c>
      <c r="E90" s="64" t="str">
        <f ca="1">VLOOKUP(E80,Panchanga!$A$3:$Y$463,18,TRUE)</f>
        <v>8Ma,10Me,7Ju,10Ve,9Sa,4Ra</v>
      </c>
      <c r="F90" s="64" t="str">
        <f ca="1">VLOOKUP(F80,Panchanga!$A$3:$Y$463,18,TRUE)</f>
        <v>8Ma,10Me,7Ju,10Ve,9Sa,4Ra</v>
      </c>
      <c r="G90" s="65" t="str">
        <f ca="1">VLOOKUP(G80,Panchanga!$A$3:$Y$463,18,TRUE)</f>
        <v>8Ma,10Me,7Ju,10Ve,9Sa,4Ra</v>
      </c>
    </row>
    <row r="91" spans="1:7" ht="5.85" customHeight="1" thickBot="1" x14ac:dyDescent="0.4">
      <c r="A91" s="42"/>
      <c r="B91" s="16"/>
      <c r="C91" s="16"/>
      <c r="D91" s="16"/>
      <c r="E91" s="16"/>
      <c r="F91" s="16"/>
      <c r="G91" s="49"/>
    </row>
    <row r="92" spans="1:7" s="51" customFormat="1" ht="37.5" x14ac:dyDescent="0.5">
      <c r="A92" s="52">
        <f ca="1">G80+1</f>
        <v>43135</v>
      </c>
      <c r="B92" s="53">
        <f t="shared" ref="B92:G92" ca="1" si="6">A92+1</f>
        <v>43136</v>
      </c>
      <c r="C92" s="53">
        <f t="shared" ca="1" si="6"/>
        <v>43137</v>
      </c>
      <c r="D92" s="53">
        <f t="shared" ca="1" si="6"/>
        <v>43138</v>
      </c>
      <c r="E92" s="53">
        <f t="shared" ca="1" si="6"/>
        <v>43139</v>
      </c>
      <c r="F92" s="53">
        <f t="shared" ca="1" si="6"/>
        <v>43140</v>
      </c>
      <c r="G92" s="54">
        <f t="shared" ca="1" si="6"/>
        <v>43141</v>
      </c>
    </row>
    <row r="93" spans="1:7" s="28" customFormat="1" ht="19.5" x14ac:dyDescent="0.3">
      <c r="A93" s="37">
        <f ca="1">VLOOKUP(A92,Panchanga!$A$3:$Y$463,3,TRUE)</f>
        <v>43135.275610334393</v>
      </c>
      <c r="B93" s="27">
        <f ca="1">VLOOKUP(B92,Panchanga!$A$3:$Y$463,3,TRUE)</f>
        <v>43136.275459177014</v>
      </c>
      <c r="C93" s="27">
        <f ca="1">VLOOKUP(C92,Panchanga!$A$3:$Y$463,3,TRUE)</f>
        <v>43137.275296098705</v>
      </c>
      <c r="D93" s="27">
        <f ca="1">VLOOKUP(D92,Panchanga!$A$3:$Y$463,3,TRUE)</f>
        <v>43138.275121417049</v>
      </c>
      <c r="E93" s="27">
        <f ca="1">VLOOKUP(E92,Panchanga!$A$3:$Y$463,3,TRUE)</f>
        <v>43139.274935291767</v>
      </c>
      <c r="F93" s="27">
        <f ca="1">VLOOKUP(F92,Panchanga!$A$3:$Y$463,3,TRUE)</f>
        <v>43140.274737722393</v>
      </c>
      <c r="G93" s="44">
        <f ca="1">VLOOKUP(G92,Panchanga!$A$3:$Y$463,3,TRUE)</f>
        <v>43141.274529026508</v>
      </c>
    </row>
    <row r="94" spans="1:7" s="28" customFormat="1" ht="19.5" x14ac:dyDescent="0.3">
      <c r="A94" s="37">
        <f ca="1">VLOOKUP(A92,Panchanga!$A$3:$Y$463,4,TRUE)</f>
        <v>43134.756843070543</v>
      </c>
      <c r="B94" s="27">
        <f ca="1">VLOOKUP(B92,Panchanga!$A$3:$Y$463,4,TRUE)</f>
        <v>43135.757121861025</v>
      </c>
      <c r="C94" s="27">
        <f ca="1">VLOOKUP(C92,Panchanga!$A$3:$Y$463,4,TRUE)</f>
        <v>43136.757394294298</v>
      </c>
      <c r="D94" s="27">
        <f ca="1">VLOOKUP(D92,Panchanga!$A$3:$Y$463,4,TRUE)</f>
        <v>43137.757660210176</v>
      </c>
      <c r="E94" s="27">
        <f ca="1">VLOOKUP(E92,Panchanga!$A$3:$Y$463,4,TRUE)</f>
        <v>43138.7579194508</v>
      </c>
      <c r="F94" s="27">
        <f ca="1">VLOOKUP(F92,Panchanga!$A$3:$Y$463,4,TRUE)</f>
        <v>43139.758172333284</v>
      </c>
      <c r="G94" s="44">
        <f ca="1">VLOOKUP(G92,Panchanga!$A$3:$Y$463,4,TRUE)</f>
        <v>43140.758418540514</v>
      </c>
    </row>
    <row r="95" spans="1:7" s="28" customFormat="1" ht="19.5" x14ac:dyDescent="0.3">
      <c r="A95" s="38">
        <f ca="1">VLOOKUP(A92,Panchanga!$A$3:$Y$463,6,TRUE)</f>
        <v>291.04707833857395</v>
      </c>
      <c r="B95" s="30">
        <f ca="1">VLOOKUP(B92,Panchanga!$A$3:$Y$463,6,TRUE)</f>
        <v>292.06062890204777</v>
      </c>
      <c r="C95" s="30">
        <f ca="1">VLOOKUP(C92,Panchanga!$A$3:$Y$463,6,TRUE)</f>
        <v>293.07391725811112</v>
      </c>
      <c r="D95" s="30">
        <f ca="1">VLOOKUP(D92,Panchanga!$A$3:$Y$463,6,TRUE)</f>
        <v>294.08693987030318</v>
      </c>
      <c r="E95" s="30">
        <f ca="1">VLOOKUP(E92,Panchanga!$A$3:$Y$463,6,TRUE)</f>
        <v>295.09968989557285</v>
      </c>
      <c r="F95" s="30">
        <f ca="1">VLOOKUP(F92,Panchanga!$A$3:$Y$463,6,TRUE)</f>
        <v>296.1121576837063</v>
      </c>
      <c r="G95" s="45">
        <f ca="1">VLOOKUP(G92,Panchanga!$A$3:$Y$463,6,TRUE)</f>
        <v>297.12433162959081</v>
      </c>
    </row>
    <row r="96" spans="1:7" s="28" customFormat="1" ht="19.5" x14ac:dyDescent="0.3">
      <c r="A96" s="38">
        <f ca="1">VLOOKUP(A92,Panchanga!$A$3:$Y$463,7,TRUE)</f>
        <v>157.80476600379288</v>
      </c>
      <c r="B96" s="30">
        <f ca="1">VLOOKUP(B92,Panchanga!$A$3:$Y$463,7,TRUE)</f>
        <v>171.30786106974699</v>
      </c>
      <c r="C96" s="30">
        <f ca="1">VLOOKUP(C92,Panchanga!$A$3:$Y$463,7,TRUE)</f>
        <v>184.37910759966161</v>
      </c>
      <c r="D96" s="30">
        <f ca="1">VLOOKUP(D92,Panchanga!$A$3:$Y$463,7,TRUE)</f>
        <v>197.06118644405217</v>
      </c>
      <c r="E96" s="30">
        <f ca="1">VLOOKUP(E92,Panchanga!$A$3:$Y$463,7,TRUE)</f>
        <v>209.41668841588407</v>
      </c>
      <c r="F96" s="30">
        <f ca="1">VLOOKUP(F92,Panchanga!$A$3:$Y$463,7,TRUE)</f>
        <v>221.51921686503334</v>
      </c>
      <c r="G96" s="45">
        <f ca="1">VLOOKUP(G92,Panchanga!$A$3:$Y$463,7,TRUE)</f>
        <v>233.44610587428755</v>
      </c>
    </row>
    <row r="97" spans="1:7" s="28" customFormat="1" ht="19.5" x14ac:dyDescent="0.3">
      <c r="A97" s="39" t="str">
        <f ca="1">VLOOKUP(A92,Panchanga!$A$3:$Y$463,9,TRUE) &amp; " "&amp;ROUND(A96/13.333,2)</f>
        <v>Uttara Phalguni 11.84</v>
      </c>
      <c r="B97" s="32" t="str">
        <f ca="1">VLOOKUP(B92,Panchanga!$A$3:$Y$463,9,TRUE) &amp; " "&amp;ROUND(B96/13.333,2)</f>
        <v>Hasta 12.85</v>
      </c>
      <c r="C97" s="32" t="str">
        <f ca="1">VLOOKUP(C92,Panchanga!$A$3:$Y$463,9,TRUE) &amp; " "&amp;ROUND(C96/13.333,2)</f>
        <v>Chitra 13.83</v>
      </c>
      <c r="D97" s="32" t="str">
        <f ca="1">VLOOKUP(D92,Panchanga!$A$3:$Y$463,9,TRUE) &amp; " "&amp;ROUND(D96/13.333,2)</f>
        <v>Swati 14.78</v>
      </c>
      <c r="E97" s="32" t="str">
        <f ca="1">VLOOKUP(E92,Panchanga!$A$3:$Y$463,9,TRUE) &amp; " "&amp;ROUND(E96/13.333,2)</f>
        <v>Visakha 15.71</v>
      </c>
      <c r="F97" s="32" t="str">
        <f ca="1">VLOOKUP(F92,Panchanga!$A$3:$Y$463,9,TRUE) &amp; " "&amp;ROUND(F96/13.333,2)</f>
        <v>Anuradha 16.61</v>
      </c>
      <c r="G97" s="46" t="str">
        <f ca="1">VLOOKUP(G92,Panchanga!$A$3:$Y$463,9,TRUE) &amp; " "&amp;ROUND(G96/13.333,2)</f>
        <v>Jyestha 17.51</v>
      </c>
    </row>
    <row r="98" spans="1:7" s="28" customFormat="1" ht="19.5" x14ac:dyDescent="0.3">
      <c r="A98" s="40">
        <f ca="1">VLOOKUP(A92,Panchanga!$A$3:$Y$463,10,TRUE)</f>
        <v>43135.438158413897</v>
      </c>
      <c r="B98" s="34">
        <f ca="1">VLOOKUP(B92,Panchanga!$A$3:$Y$463,10,TRUE)</f>
        <v>43136.430390227266</v>
      </c>
      <c r="C98" s="34">
        <f ca="1">VLOOKUP(C92,Panchanga!$A$3:$Y$463,10,TRUE)</f>
        <v>43137.45564188432</v>
      </c>
      <c r="D98" s="34">
        <f ca="1">VLOOKUP(D92,Panchanga!$A$3:$Y$463,10,TRUE)</f>
        <v>43138.512931792953</v>
      </c>
      <c r="E98" s="34">
        <f ca="1">VLOOKUP(E92,Panchanga!$A$3:$Y$463,10,TRUE)</f>
        <v>43139.598493391612</v>
      </c>
      <c r="F98" s="34">
        <f ca="1">VLOOKUP(F92,Panchanga!$A$3:$Y$463,10,TRUE)</f>
        <v>43140.706231261574</v>
      </c>
      <c r="G98" s="47">
        <f ca="1">VLOOKUP(G92,Panchanga!$A$3:$Y$463,10,TRUE)</f>
        <v>43141.828562801522</v>
      </c>
    </row>
    <row r="99" spans="1:7" s="28" customFormat="1" ht="19.5" x14ac:dyDescent="0.3">
      <c r="A99" s="38" t="str">
        <f ca="1">VLOOKUP(A92,Panchanga!$A$3:$Y$463,11,TRUE)</f>
        <v>K4 (18.9)</v>
      </c>
      <c r="B99" s="30" t="str">
        <f ca="1">VLOOKUP(B92,Panchanga!$A$3:$Y$463,11,TRUE)</f>
        <v>K5 (19.94)</v>
      </c>
      <c r="C99" s="30" t="str">
        <f ca="1">VLOOKUP(C92,Panchanga!$A$3:$Y$463,11,TRUE)</f>
        <v>K6 (20.94)</v>
      </c>
      <c r="D99" s="30" t="str">
        <f ca="1">VLOOKUP(D92,Panchanga!$A$3:$Y$463,11,TRUE)</f>
        <v>K7 (21.91)</v>
      </c>
      <c r="E99" s="30" t="str">
        <f ca="1">VLOOKUP(E92,Panchanga!$A$3:$Y$463,11,TRUE)</f>
        <v>K8 (22.86)</v>
      </c>
      <c r="F99" s="30" t="str">
        <f ca="1">VLOOKUP(F92,Panchanga!$A$3:$Y$463,11,TRUE)</f>
        <v>K9 (23.78)</v>
      </c>
      <c r="G99" s="45" t="str">
        <f ca="1">VLOOKUP(G92,Panchanga!$A$3:$Y$463,11,TRUE)</f>
        <v>K10 (24.69)</v>
      </c>
    </row>
    <row r="100" spans="1:7" s="28" customFormat="1" ht="19.5" x14ac:dyDescent="0.3">
      <c r="A100" s="41" t="str">
        <f ca="1">VLOOKUP(A92,Panchanga!$A$3:$Y$463,13,TRUE)</f>
        <v>Baalava</v>
      </c>
      <c r="B100" s="36" t="str">
        <f ca="1">VLOOKUP(B92,Panchanga!$A$3:$Y$463,13,TRUE)</f>
        <v>Taitula</v>
      </c>
      <c r="C100" s="36" t="str">
        <f ca="1">VLOOKUP(C92,Panchanga!$A$3:$Y$463,13,TRUE)</f>
        <v>Vanija</v>
      </c>
      <c r="D100" s="36" t="str">
        <f ca="1">VLOOKUP(D92,Panchanga!$A$3:$Y$463,13,TRUE)</f>
        <v>Bhava</v>
      </c>
      <c r="E100" s="36" t="str">
        <f ca="1">VLOOKUP(E92,Panchanga!$A$3:$Y$463,13,TRUE)</f>
        <v>Kaulava</v>
      </c>
      <c r="F100" s="36" t="str">
        <f ca="1">VLOOKUP(F92,Panchanga!$A$3:$Y$463,13,TRUE)</f>
        <v>Garija</v>
      </c>
      <c r="G100" s="48" t="str">
        <f ca="1">VLOOKUP(G92,Panchanga!$A$3:$Y$463,13,TRUE)</f>
        <v>Vishti</v>
      </c>
    </row>
    <row r="101" spans="1:7" s="28" customFormat="1" ht="19.5" x14ac:dyDescent="0.3">
      <c r="A101" s="41" t="str">
        <f ca="1">VLOOKUP(A92,Panchanga!$A$3:$Y$463,14,TRUE)</f>
        <v>Sukarman-सुकर्मा -Ma (6.67)</v>
      </c>
      <c r="B101" s="36" t="str">
        <f ca="1">VLOOKUP(B92,Panchanga!$A$3:$Y$463,14,TRUE)</f>
        <v>Dhriti-धृति -Ra (7.76)</v>
      </c>
      <c r="C101" s="36" t="str">
        <f ca="1">VLOOKUP(C92,Panchanga!$A$3:$Y$463,14,TRUE)</f>
        <v>Shula-शूल -Ju (8.81)</v>
      </c>
      <c r="D101" s="36" t="str">
        <f ca="1">VLOOKUP(D92,Panchanga!$A$3:$Y$463,14,TRUE)</f>
        <v>Ganda-गण्ड -Sa (9.84)</v>
      </c>
      <c r="E101" s="36" t="str">
        <f ca="1">VLOOKUP(E92,Panchanga!$A$3:$Y$463,14,TRUE)</f>
        <v>Vriddhi-वृद्धि -Me (10.84)</v>
      </c>
      <c r="F101" s="36" t="str">
        <f ca="1">VLOOKUP(F92,Panchanga!$A$3:$Y$463,14,TRUE)</f>
        <v>Dhruva-ध्रुव -Ke (11.83)</v>
      </c>
      <c r="G101" s="48" t="str">
        <f ca="1">VLOOKUP(G92,Panchanga!$A$3:$Y$463,14,TRUE)</f>
        <v>Vyaghata-व्याघात-ve (12.8)</v>
      </c>
    </row>
    <row r="102" spans="1:7" s="28" customFormat="1" ht="19.5" x14ac:dyDescent="0.3">
      <c r="A102" s="63" t="str">
        <f ca="1">VLOOKUP(A92,Panchanga!$A$3:$Y$463,18,TRUE)</f>
        <v>8Ma,10Me,7Ju,10Ve,9Sa,4Ra</v>
      </c>
      <c r="B102" s="64" t="str">
        <f ca="1">VLOOKUP(B92,Panchanga!$A$3:$Y$463,18,TRUE)</f>
        <v>8Ma,10Me,7Ju,10Ve,9Sa,4Ra</v>
      </c>
      <c r="C102" s="64" t="str">
        <f ca="1">VLOOKUP(C92,Panchanga!$A$3:$Y$463,18,TRUE)</f>
        <v>8Ma,10Me,7Ju,10Ve,9Sa,4Ra</v>
      </c>
      <c r="D102" s="64" t="str">
        <f ca="1">VLOOKUP(D92,Panchanga!$A$3:$Y$463,18,TRUE)</f>
        <v>8Ma,10Me,7Ju,11Ve,9Sa,4Ra</v>
      </c>
      <c r="E102" s="64" t="str">
        <f ca="1">VLOOKUP(E92,Panchanga!$A$3:$Y$463,18,TRUE)</f>
        <v>8Ma,10Me,7Ju,11Ve,9Sa,4Ra</v>
      </c>
      <c r="F102" s="64" t="str">
        <f ca="1">VLOOKUP(F92,Panchanga!$A$3:$Y$463,18,TRUE)</f>
        <v>8Ma,10Me,7Ju,11Ve,9Sa,4Ra</v>
      </c>
      <c r="G102" s="65" t="str">
        <f ca="1">VLOOKUP(G92,Panchanga!$A$3:$Y$463,18,TRUE)</f>
        <v>8Ma,10Me,7Ju,11Ve,9Sa,4Ra</v>
      </c>
    </row>
    <row r="103" spans="1:7" ht="5.85" customHeight="1" thickBot="1" x14ac:dyDescent="0.4">
      <c r="A103" s="42"/>
      <c r="B103" s="16"/>
      <c r="C103" s="16"/>
      <c r="D103" s="16"/>
      <c r="E103" s="16"/>
      <c r="F103" s="16"/>
      <c r="G103" s="49"/>
    </row>
    <row r="104" spans="1:7" s="18" customFormat="1" ht="27.75" x14ac:dyDescent="0.4">
      <c r="A104" s="43">
        <f ca="1">G92+1</f>
        <v>43142</v>
      </c>
      <c r="B104" s="19">
        <f t="shared" ref="B104:G104" ca="1" si="7">A104+1</f>
        <v>43143</v>
      </c>
      <c r="C104" s="19">
        <f t="shared" ca="1" si="7"/>
        <v>43144</v>
      </c>
      <c r="D104" s="19">
        <f t="shared" ca="1" si="7"/>
        <v>43145</v>
      </c>
      <c r="E104" s="19">
        <f t="shared" ca="1" si="7"/>
        <v>43146</v>
      </c>
      <c r="F104" s="19">
        <f t="shared" ca="1" si="7"/>
        <v>43147</v>
      </c>
      <c r="G104" s="50">
        <f t="shared" ca="1" si="7"/>
        <v>43148</v>
      </c>
    </row>
    <row r="105" spans="1:7" s="28" customFormat="1" ht="19.5" x14ac:dyDescent="0.3">
      <c r="A105" s="37">
        <f ca="1">VLOOKUP(A104,Panchanga!$A$3:$Y$463,3,TRUE)</f>
        <v>43142.274309363369</v>
      </c>
      <c r="B105" s="27">
        <f ca="1">VLOOKUP(B104,Panchanga!$A$3:$Y$463,3,TRUE)</f>
        <v>43143.274078892231</v>
      </c>
      <c r="C105" s="27">
        <f ca="1">VLOOKUP(C104,Panchanga!$A$3:$Y$463,3,TRUE)</f>
        <v>43144.273837612629</v>
      </c>
      <c r="D105" s="27">
        <f ca="1">VLOOKUP(D104,Panchanga!$A$3:$Y$463,3,TRUE)</f>
        <v>43145.273585842609</v>
      </c>
      <c r="E105" s="27">
        <f ca="1">VLOOKUP(E104,Panchanga!$A$3:$Y$463,3,TRUE)</f>
        <v>43146.273323740963</v>
      </c>
      <c r="F105" s="27">
        <f ca="1">VLOOKUP(F104,Panchanga!$A$3:$Y$463,3,TRUE)</f>
        <v>43147.273051466946</v>
      </c>
      <c r="G105" s="44">
        <f ca="1">VLOOKUP(G104,Panchanga!$A$3:$Y$463,3,TRUE)</f>
        <v>43148.272769179348</v>
      </c>
    </row>
    <row r="106" spans="1:7" s="28" customFormat="1" ht="19.5" x14ac:dyDescent="0.3">
      <c r="A106" s="37">
        <f ca="1">VLOOKUP(A104,Panchanga!$A$3:$Y$463,4,TRUE)</f>
        <v>43141.758658230348</v>
      </c>
      <c r="B106" s="27">
        <f ca="1">VLOOKUP(B104,Panchanga!$A$3:$Y$463,4,TRUE)</f>
        <v>43142.758891403719</v>
      </c>
      <c r="C106" s="27">
        <f ca="1">VLOOKUP(C104,Panchanga!$A$3:$Y$463,4,TRUE)</f>
        <v>43143.759117901369</v>
      </c>
      <c r="D106" s="27">
        <f ca="1">VLOOKUP(D104,Panchanga!$A$3:$Y$463,4,TRUE)</f>
        <v>43144.759337723299</v>
      </c>
      <c r="E106" s="27">
        <f ca="1">VLOOKUP(E104,Panchanga!$A$3:$Y$463,4,TRUE)</f>
        <v>43145.759551028765</v>
      </c>
      <c r="F106" s="27">
        <f ca="1">VLOOKUP(F104,Panchanga!$A$3:$Y$463,4,TRUE)</f>
        <v>43146.759757816835</v>
      </c>
      <c r="G106" s="44">
        <f ca="1">VLOOKUP(G104,Panchanga!$A$3:$Y$463,4,TRUE)</f>
        <v>43147.759958088442</v>
      </c>
    </row>
    <row r="107" spans="1:7" s="28" customFormat="1" ht="19.5" x14ac:dyDescent="0.3">
      <c r="A107" s="38">
        <f ca="1">VLOOKUP(A104,Panchanga!$A$3:$Y$463,6,TRUE)</f>
        <v>298.1361979810942</v>
      </c>
      <c r="B107" s="30">
        <f ca="1">VLOOKUP(B104,Panchanga!$A$3:$Y$463,6,TRUE)</f>
        <v>299.14774125377852</v>
      </c>
      <c r="C107" s="30">
        <f ca="1">VLOOKUP(C104,Panchanga!$A$3:$Y$463,6,TRUE)</f>
        <v>300.15894428609494</v>
      </c>
      <c r="D107" s="30">
        <f ca="1">VLOOKUP(D104,Panchanga!$A$3:$Y$463,6,TRUE)</f>
        <v>301.16978887877974</v>
      </c>
      <c r="E107" s="30">
        <f ca="1">VLOOKUP(E104,Panchanga!$A$3:$Y$463,6,TRUE)</f>
        <v>302.1802554196226</v>
      </c>
      <c r="F107" s="30">
        <f ca="1">VLOOKUP(F104,Panchanga!$A$3:$Y$463,6,TRUE)</f>
        <v>303.19032316613198</v>
      </c>
      <c r="G107" s="45">
        <f ca="1">VLOOKUP(G104,Panchanga!$A$3:$Y$463,6,TRUE)</f>
        <v>304.19997046046001</v>
      </c>
    </row>
    <row r="108" spans="1:7" s="28" customFormat="1" ht="19.5" x14ac:dyDescent="0.3">
      <c r="A108" s="38">
        <f ca="1">VLOOKUP(A104,Panchanga!$A$3:$Y$463,7,TRUE)</f>
        <v>245.27292000055675</v>
      </c>
      <c r="B108" s="30">
        <f ca="1">VLOOKUP(B104,Panchanga!$A$3:$Y$463,7,TRUE)</f>
        <v>257.06966766126368</v>
      </c>
      <c r="C108" s="30">
        <f ca="1">VLOOKUP(C104,Panchanga!$A$3:$Y$463,7,TRUE)</f>
        <v>268.89841073911577</v>
      </c>
      <c r="D108" s="30">
        <f ca="1">VLOOKUP(D104,Panchanga!$A$3:$Y$463,7,TRUE)</f>
        <v>280.81189416461558</v>
      </c>
      <c r="E108" s="30">
        <f ca="1">VLOOKUP(E104,Panchanga!$A$3:$Y$463,7,TRUE)</f>
        <v>292.85295341156996</v>
      </c>
      <c r="F108" s="30">
        <f ca="1">VLOOKUP(F104,Panchanga!$A$3:$Y$463,7,TRUE)</f>
        <v>305.05473705150973</v>
      </c>
      <c r="G108" s="45">
        <f ca="1">VLOOKUP(G104,Panchanga!$A$3:$Y$463,7,TRUE)</f>
        <v>317.44178739363736</v>
      </c>
    </row>
    <row r="109" spans="1:7" s="28" customFormat="1" ht="19.5" x14ac:dyDescent="0.3">
      <c r="A109" s="39" t="str">
        <f ca="1">VLOOKUP(A104,Panchanga!$A$3:$Y$463,9,TRUE) &amp; " "&amp;ROUND(A108/13.333,2)</f>
        <v>Moola 18.4</v>
      </c>
      <c r="B109" s="32" t="str">
        <f ca="1">VLOOKUP(B104,Panchanga!$A$3:$Y$463,9,TRUE) &amp; " "&amp;ROUND(B108/13.333,2)</f>
        <v>Purva Asadha 19.28</v>
      </c>
      <c r="C109" s="32" t="str">
        <f ca="1">VLOOKUP(C104,Panchanga!$A$3:$Y$463,9,TRUE) &amp; " "&amp;ROUND(C108/13.333,2)</f>
        <v>Uttara Asadha 20.17</v>
      </c>
      <c r="D109" s="32" t="str">
        <f ca="1">VLOOKUP(D104,Panchanga!$A$3:$Y$463,9,TRUE) &amp; " "&amp;ROUND(D108/13.333,2)</f>
        <v>Sravana 21.06</v>
      </c>
      <c r="E109" s="32" t="str">
        <f ca="1">VLOOKUP(E104,Panchanga!$A$3:$Y$463,9,TRUE) &amp; " "&amp;ROUND(E108/13.333,2)</f>
        <v>Sravana 21.96</v>
      </c>
      <c r="F109" s="32" t="str">
        <f ca="1">VLOOKUP(F104,Panchanga!$A$3:$Y$463,9,TRUE) &amp; " "&amp;ROUND(F108/13.333,2)</f>
        <v>Dhanistha 22.88</v>
      </c>
      <c r="G109" s="46" t="str">
        <f ca="1">VLOOKUP(G104,Panchanga!$A$3:$Y$463,9,TRUE) &amp; " "&amp;ROUND(G108/13.333,2)</f>
        <v>Satabhisaj 23.81</v>
      </c>
    </row>
    <row r="110" spans="1:7" s="28" customFormat="1" ht="19.5" x14ac:dyDescent="0.3">
      <c r="A110" s="40">
        <f ca="1">VLOOKUP(A104,Panchanga!$A$3:$Y$463,10,TRUE)</f>
        <v>43142.95742608943</v>
      </c>
      <c r="B110" s="34">
        <f ca="1">VLOOKUP(B104,Panchanga!$A$3:$Y$463,10,TRUE)</f>
        <v>43144.085211857258</v>
      </c>
      <c r="C110" s="34">
        <f ca="1">VLOOKUP(C104,Panchanga!$A$3:$Y$463,10,TRUE)</f>
        <v>43145.205453817325</v>
      </c>
      <c r="D110" s="34">
        <f ca="1">VLOOKUP(D104,Panchanga!$A$3:$Y$463,10,TRUE)</f>
        <v>43146.313208439104</v>
      </c>
      <c r="E110" s="34">
        <f ca="1">VLOOKUP(E104,Panchanga!$A$3:$Y$463,10,TRUE)</f>
        <v>43146.31268266921</v>
      </c>
      <c r="F110" s="34">
        <f ca="1">VLOOKUP(F104,Panchanga!$A$3:$Y$463,10,TRUE)</f>
        <v>43147.40314495514</v>
      </c>
      <c r="G110" s="47">
        <f ca="1">VLOOKUP(G104,Panchanga!$A$3:$Y$463,10,TRUE)</f>
        <v>43148.475903232851</v>
      </c>
    </row>
    <row r="111" spans="1:7" s="28" customFormat="1" ht="19.5" x14ac:dyDescent="0.3">
      <c r="A111" s="38" t="str">
        <f ca="1">VLOOKUP(A104,Panchanga!$A$3:$Y$463,11,TRUE)</f>
        <v>K11 (25.59)</v>
      </c>
      <c r="B111" s="30" t="str">
        <f ca="1">VLOOKUP(B104,Panchanga!$A$3:$Y$463,11,TRUE)</f>
        <v>K12 (26.49)</v>
      </c>
      <c r="C111" s="30" t="str">
        <f ca="1">VLOOKUP(C104,Panchanga!$A$3:$Y$463,11,TRUE)</f>
        <v>K13 (27.4)</v>
      </c>
      <c r="D111" s="30" t="str">
        <f ca="1">VLOOKUP(D104,Panchanga!$A$3:$Y$463,11,TRUE)</f>
        <v>K14 (28.3)</v>
      </c>
      <c r="E111" s="30" t="str">
        <f ca="1">VLOOKUP(E104,Panchanga!$A$3:$Y$463,11,TRUE)</f>
        <v>K15 (29.22)</v>
      </c>
      <c r="F111" s="30" t="str">
        <f ca="1">VLOOKUP(F104,Panchanga!$A$3:$Y$463,11,TRUE)</f>
        <v>S1 (0.16)</v>
      </c>
      <c r="G111" s="45" t="str">
        <f ca="1">VLOOKUP(G104,Panchanga!$A$3:$Y$463,11,TRUE)</f>
        <v>S2 (1.1)</v>
      </c>
    </row>
    <row r="112" spans="1:7" s="28" customFormat="1" ht="19.5" x14ac:dyDescent="0.3">
      <c r="A112" s="41" t="str">
        <f ca="1">VLOOKUP(A104,Panchanga!$A$3:$Y$463,13,TRUE)</f>
        <v>Baalava</v>
      </c>
      <c r="B112" s="36" t="str">
        <f ca="1">VLOOKUP(B104,Panchanga!$A$3:$Y$463,13,TRUE)</f>
        <v>Kaulava</v>
      </c>
      <c r="C112" s="36" t="str">
        <f ca="1">VLOOKUP(C104,Panchanga!$A$3:$Y$463,13,TRUE)</f>
        <v>Garija</v>
      </c>
      <c r="D112" s="36" t="str">
        <f ca="1">VLOOKUP(D104,Panchanga!$A$3:$Y$463,13,TRUE)</f>
        <v>Vishti</v>
      </c>
      <c r="E112" s="36" t="str">
        <f ca="1">VLOOKUP(E104,Panchanga!$A$3:$Y$463,13,TRUE)</f>
        <v>Chatushapda</v>
      </c>
      <c r="F112" s="36" t="str">
        <f ca="1">VLOOKUP(F104,Panchanga!$A$3:$Y$463,13,TRUE)</f>
        <v>Kimstugna</v>
      </c>
      <c r="G112" s="48" t="str">
        <f ca="1">VLOOKUP(G104,Panchanga!$A$3:$Y$463,13,TRUE)</f>
        <v>Baalava</v>
      </c>
    </row>
    <row r="113" spans="1:7" s="28" customFormat="1" ht="19.5" x14ac:dyDescent="0.3">
      <c r="A113" s="41" t="str">
        <f ca="1">VLOOKUP(A104,Panchanga!$A$3:$Y$463,14,TRUE)</f>
        <v>Harshana-हर्षण-su (13.76)</v>
      </c>
      <c r="B113" s="36" t="str">
        <f ca="1">VLOOKUP(B104,Panchanga!$A$3:$Y$463,14,TRUE)</f>
        <v>Vajra-वज्र-Mo (14.72)</v>
      </c>
      <c r="C113" s="36" t="str">
        <f ca="1">VLOOKUP(C104,Panchanga!$A$3:$Y$463,14,TRUE)</f>
        <v>Siddhi-सिद्धि-Ma (15.68)</v>
      </c>
      <c r="D113" s="36" t="str">
        <f ca="1">VLOOKUP(D104,Panchanga!$A$3:$Y$463,14,TRUE)</f>
        <v>Vyatipata-व्यतिपात-Ra (16.65)</v>
      </c>
      <c r="E113" s="36" t="str">
        <f ca="1">VLOOKUP(E104,Panchanga!$A$3:$Y$463,14,TRUE)</f>
        <v>Varigha-वरीयस्-Ju (17.63)</v>
      </c>
      <c r="F113" s="36" t="str">
        <f ca="1">VLOOKUP(F104,Panchanga!$A$3:$Y$463,14,TRUE)</f>
        <v>Parigha-परिघ-Sa (18.62)</v>
      </c>
      <c r="G113" s="48" t="str">
        <f ca="1">VLOOKUP(G104,Panchanga!$A$3:$Y$463,14,TRUE)</f>
        <v>Shiva-शिव-Me (19.63)</v>
      </c>
    </row>
    <row r="114" spans="1:7" s="28" customFormat="1" ht="19.5" x14ac:dyDescent="0.3">
      <c r="A114" s="63" t="str">
        <f ca="1">VLOOKUP(A104,Panchanga!$A$3:$Y$463,18,TRUE)</f>
        <v>8Ma,10Me,7Ju,11Ve,9Sa,4Ra</v>
      </c>
      <c r="B114" s="64" t="str">
        <f ca="1">VLOOKUP(B104,Panchanga!$A$3:$Y$463,18,TRUE)</f>
        <v>8Ma,10Me,7Ju,11Ve,9Sa,4Ra</v>
      </c>
      <c r="C114" s="64" t="str">
        <f ca="1">VLOOKUP(C104,Panchanga!$A$3:$Y$463,18,TRUE)</f>
        <v>8Ma,10Me,7Ju,11Ve,9Sa,4Ra</v>
      </c>
      <c r="D114" s="64" t="str">
        <f ca="1">VLOOKUP(D104,Panchanga!$A$3:$Y$463,18,TRUE)</f>
        <v>8Ma,10Me,7Ju,11Ve,9Sa,4Ra</v>
      </c>
      <c r="E114" s="64" t="str">
        <f ca="1">VLOOKUP(E104,Panchanga!$A$3:$Y$463,18,TRUE)</f>
        <v>8Ma,11Me,7Ju,11Ve,9Sa,4Ra</v>
      </c>
      <c r="F114" s="64" t="str">
        <f ca="1">VLOOKUP(F104,Panchanga!$A$3:$Y$463,18,TRUE)</f>
        <v>8Ma,11Me,7Ju,11Ve,9Sa,4Ra</v>
      </c>
      <c r="G114" s="65" t="str">
        <f ca="1">VLOOKUP(G104,Panchanga!$A$3:$Y$463,18,TRUE)</f>
        <v>8Ma,11Me,7Ju,11Ve,9Sa,4Ra</v>
      </c>
    </row>
    <row r="115" spans="1:7" ht="5.85" customHeight="1" thickBot="1" x14ac:dyDescent="0.4">
      <c r="A115" s="42"/>
      <c r="B115" s="16"/>
      <c r="C115" s="16"/>
      <c r="D115" s="16"/>
      <c r="E115" s="16"/>
      <c r="F115" s="16"/>
      <c r="G115" s="49"/>
    </row>
    <row r="116" spans="1:7" s="51" customFormat="1" ht="37.5" x14ac:dyDescent="0.5">
      <c r="A116" s="52">
        <f ca="1">G104+1</f>
        <v>43149</v>
      </c>
      <c r="B116" s="53">
        <f t="shared" ref="B116:G116" ca="1" si="8">A116+1</f>
        <v>43150</v>
      </c>
      <c r="C116" s="53">
        <f t="shared" ca="1" si="8"/>
        <v>43151</v>
      </c>
      <c r="D116" s="53">
        <f t="shared" ca="1" si="8"/>
        <v>43152</v>
      </c>
      <c r="E116" s="53">
        <f t="shared" ca="1" si="8"/>
        <v>43153</v>
      </c>
      <c r="F116" s="53">
        <f t="shared" ca="1" si="8"/>
        <v>43154</v>
      </c>
      <c r="G116" s="54">
        <f t="shared" ca="1" si="8"/>
        <v>43155</v>
      </c>
    </row>
    <row r="117" spans="1:7" s="28" customFormat="1" ht="19.5" x14ac:dyDescent="0.3">
      <c r="A117" s="37">
        <f ca="1">VLOOKUP(A116,Panchanga!$A$3:$Y$463,3,TRUE)</f>
        <v>43149.272477196217</v>
      </c>
      <c r="B117" s="27">
        <f ca="1">VLOOKUP(B116,Panchanga!$A$3:$Y$463,3,TRUE)</f>
        <v>43150.272175517086</v>
      </c>
      <c r="C117" s="27">
        <f ca="1">VLOOKUP(C116,Panchanga!$A$3:$Y$463,3,TRUE)</f>
        <v>43151.271864301678</v>
      </c>
      <c r="D117" s="27">
        <f ca="1">VLOOKUP(D116,Panchanga!$A$3:$Y$463,3,TRUE)</f>
        <v>43152.271543867108</v>
      </c>
      <c r="E117" s="27">
        <f ca="1">VLOOKUP(E116,Panchanga!$A$3:$Y$463,3,TRUE)</f>
        <v>43153.271214531422</v>
      </c>
      <c r="F117" s="27">
        <f ca="1">VLOOKUP(F116,Panchanga!$A$3:$Y$463,3,TRUE)</f>
        <v>43154.270876295086</v>
      </c>
      <c r="G117" s="44">
        <f ca="1">VLOOKUP(G116,Panchanga!$A$3:$Y$463,3,TRUE)</f>
        <v>43155.270529634472</v>
      </c>
    </row>
    <row r="118" spans="1:7" s="28" customFormat="1" ht="19.5" x14ac:dyDescent="0.3">
      <c r="A118" s="37">
        <f ca="1">VLOOKUP(A116,Panchanga!$A$3:$Y$463,4,TRUE)</f>
        <v>43148.760151684328</v>
      </c>
      <c r="B118" s="27">
        <f ca="1">VLOOKUP(B116,Panchanga!$A$3:$Y$463,4,TRUE)</f>
        <v>43149.76033876375</v>
      </c>
      <c r="C118" s="27">
        <f ca="1">VLOOKUP(C116,Panchanga!$A$3:$Y$463,4,TRUE)</f>
        <v>43150.760519485033</v>
      </c>
      <c r="D118" s="27">
        <f ca="1">VLOOKUP(D116,Panchanga!$A$3:$Y$463,4,TRUE)</f>
        <v>43151.760693848177</v>
      </c>
      <c r="E118" s="27">
        <f ca="1">VLOOKUP(E116,Panchanga!$A$3:$Y$463,4,TRUE)</f>
        <v>43152.760861694856</v>
      </c>
      <c r="F118" s="27">
        <f ca="1">VLOOKUP(F116,Panchanga!$A$3:$Y$463,4,TRUE)</f>
        <v>43153.761023342653</v>
      </c>
      <c r="G118" s="44">
        <f ca="1">VLOOKUP(G116,Panchanga!$A$3:$Y$463,4,TRUE)</f>
        <v>43154.761178950823</v>
      </c>
    </row>
    <row r="119" spans="1:7" s="28" customFormat="1" ht="19.5" x14ac:dyDescent="0.3">
      <c r="A119" s="38">
        <f ca="1">VLOOKUP(A116,Panchanga!$A$3:$Y$463,6,TRUE)</f>
        <v>305.20917528213909</v>
      </c>
      <c r="B119" s="30">
        <f ca="1">VLOOKUP(B116,Panchanga!$A$3:$Y$463,6,TRUE)</f>
        <v>306.21791533946083</v>
      </c>
      <c r="C119" s="30">
        <f ca="1">VLOOKUP(C116,Panchanga!$A$3:$Y$463,6,TRUE)</f>
        <v>307.22616925897728</v>
      </c>
      <c r="D119" s="30">
        <f ca="1">VLOOKUP(D116,Panchanga!$A$3:$Y$463,6,TRUE)</f>
        <v>308.23391732867157</v>
      </c>
      <c r="E119" s="30">
        <f ca="1">VLOOKUP(E116,Panchanga!$A$3:$Y$463,6,TRUE)</f>
        <v>309.24114205844461</v>
      </c>
      <c r="F119" s="30">
        <f ca="1">VLOOKUP(F116,Panchanga!$A$3:$Y$463,6,TRUE)</f>
        <v>310.24782854324201</v>
      </c>
      <c r="G119" s="45">
        <f ca="1">VLOOKUP(G116,Panchanga!$A$3:$Y$463,6,TRUE)</f>
        <v>311.2539659628747</v>
      </c>
    </row>
    <row r="120" spans="1:7" s="28" customFormat="1" ht="19.5" x14ac:dyDescent="0.3">
      <c r="A120" s="38">
        <f ca="1">VLOOKUP(A116,Panchanga!$A$3:$Y$463,7,TRUE)</f>
        <v>330.03182637187399</v>
      </c>
      <c r="B120" s="30">
        <f ca="1">VLOOKUP(B116,Panchanga!$A$3:$Y$463,7,TRUE)</f>
        <v>342.83785322195791</v>
      </c>
      <c r="C120" s="30">
        <f ca="1">VLOOKUP(C116,Panchanga!$A$3:$Y$463,7,TRUE)</f>
        <v>355.87010048470245</v>
      </c>
      <c r="D120" s="30">
        <f ca="1">VLOOKUP(D116,Panchanga!$A$3:$Y$463,7,TRUE)</f>
        <v>9.1373193087786593</v>
      </c>
      <c r="E120" s="30">
        <f ca="1">VLOOKUP(E116,Panchanga!$A$3:$Y$463,7,TRUE)</f>
        <v>22.646816952395778</v>
      </c>
      <c r="F120" s="30">
        <f ca="1">VLOOKUP(F116,Panchanga!$A$3:$Y$463,7,TRUE)</f>
        <v>36.402710532605681</v>
      </c>
      <c r="G120" s="45">
        <f ca="1">VLOOKUP(G116,Panchanga!$A$3:$Y$463,7,TRUE)</f>
        <v>50.402248137894418</v>
      </c>
    </row>
    <row r="121" spans="1:7" s="28" customFormat="1" ht="19.5" x14ac:dyDescent="0.3">
      <c r="A121" s="39" t="str">
        <f ca="1">VLOOKUP(A116,Panchanga!$A$3:$Y$463,9,TRUE) &amp; " "&amp;ROUND(A120/13.333,2)</f>
        <v>Purva Bhadrapada 24.75</v>
      </c>
      <c r="B121" s="32" t="str">
        <f ca="1">VLOOKUP(B116,Panchanga!$A$3:$Y$463,9,TRUE) &amp; " "&amp;ROUND(B120/13.333,2)</f>
        <v>Uttara Bhadrapada 25.71</v>
      </c>
      <c r="C121" s="32" t="str">
        <f ca="1">VLOOKUP(C116,Panchanga!$A$3:$Y$463,9,TRUE) &amp; " "&amp;ROUND(C120/13.333,2)</f>
        <v>Revati 26.69</v>
      </c>
      <c r="D121" s="32" t="str">
        <f ca="1">VLOOKUP(D116,Panchanga!$A$3:$Y$463,9,TRUE) &amp; " "&amp;ROUND(D120/13.333,2)</f>
        <v>Aswini 0.69</v>
      </c>
      <c r="E121" s="32" t="str">
        <f ca="1">VLOOKUP(E116,Panchanga!$A$3:$Y$463,9,TRUE) &amp; " "&amp;ROUND(E120/13.333,2)</f>
        <v>Bharani 1.7</v>
      </c>
      <c r="F121" s="32" t="str">
        <f ca="1">VLOOKUP(F116,Panchanga!$A$3:$Y$463,9,TRUE) &amp; " "&amp;ROUND(F120/13.333,2)</f>
        <v>Krittika 2.73</v>
      </c>
      <c r="G121" s="46" t="str">
        <f ca="1">VLOOKUP(G116,Panchanga!$A$3:$Y$463,9,TRUE) &amp; " "&amp;ROUND(G120/13.333,2)</f>
        <v>Rohini 3.78</v>
      </c>
    </row>
    <row r="122" spans="1:7" s="28" customFormat="1" ht="19.5" x14ac:dyDescent="0.3">
      <c r="A122" s="40">
        <f ca="1">VLOOKUP(A116,Panchanga!$A$3:$Y$463,10,TRUE)</f>
        <v>43149.530208263343</v>
      </c>
      <c r="B122" s="34">
        <f ca="1">VLOOKUP(B116,Panchanga!$A$3:$Y$463,10,TRUE)</f>
        <v>43150.56587941802</v>
      </c>
      <c r="C122" s="34">
        <f ca="1">VLOOKUP(C116,Panchanga!$A$3:$Y$463,10,TRUE)</f>
        <v>43151.259957218252</v>
      </c>
      <c r="D122" s="34">
        <f ca="1">VLOOKUP(D116,Panchanga!$A$3:$Y$463,10,TRUE)</f>
        <v>43152.582038915709</v>
      </c>
      <c r="E122" s="34">
        <f ca="1">VLOOKUP(E116,Panchanga!$A$3:$Y$463,10,TRUE)</f>
        <v>43153.563343140268</v>
      </c>
      <c r="F122" s="34">
        <f ca="1">VLOOKUP(F116,Panchanga!$A$3:$Y$463,10,TRUE)</f>
        <v>43154.52774495248</v>
      </c>
      <c r="G122" s="47">
        <f ca="1">VLOOKUP(G116,Panchanga!$A$3:$Y$463,10,TRUE)</f>
        <v>43155.476459069505</v>
      </c>
    </row>
    <row r="123" spans="1:7" s="28" customFormat="1" ht="19.5" x14ac:dyDescent="0.3">
      <c r="A123" s="38" t="str">
        <f ca="1">VLOOKUP(A116,Panchanga!$A$3:$Y$463,11,TRUE)</f>
        <v>S3 (2.07)</v>
      </c>
      <c r="B123" s="30" t="str">
        <f ca="1">VLOOKUP(B116,Panchanga!$A$3:$Y$463,11,TRUE)</f>
        <v>S4 (3.05)</v>
      </c>
      <c r="C123" s="30" t="str">
        <f ca="1">VLOOKUP(C116,Panchanga!$A$3:$Y$463,11,TRUE)</f>
        <v>S5 (4.05)</v>
      </c>
      <c r="D123" s="30" t="str">
        <f ca="1">VLOOKUP(D116,Panchanga!$A$3:$Y$463,11,TRUE)</f>
        <v>S6 (5.08)</v>
      </c>
      <c r="E123" s="30" t="str">
        <f ca="1">VLOOKUP(E116,Panchanga!$A$3:$Y$463,11,TRUE)</f>
        <v>S7 (6.12)</v>
      </c>
      <c r="F123" s="30" t="str">
        <f ca="1">VLOOKUP(F116,Panchanga!$A$3:$Y$463,11,TRUE)</f>
        <v>S8 (7.18)</v>
      </c>
      <c r="G123" s="45" t="str">
        <f ca="1">VLOOKUP(G116,Panchanga!$A$3:$Y$463,11,TRUE)</f>
        <v>S9 (8.26)</v>
      </c>
    </row>
    <row r="124" spans="1:7" s="28" customFormat="1" ht="19.5" x14ac:dyDescent="0.3">
      <c r="A124" s="41" t="str">
        <f ca="1">VLOOKUP(A116,Panchanga!$A$3:$Y$463,13,TRUE)</f>
        <v>Taitula</v>
      </c>
      <c r="B124" s="36" t="str">
        <f ca="1">VLOOKUP(B116,Panchanga!$A$3:$Y$463,13,TRUE)</f>
        <v>Vanija</v>
      </c>
      <c r="C124" s="36" t="str">
        <f ca="1">VLOOKUP(C116,Panchanga!$A$3:$Y$463,13,TRUE)</f>
        <v>Bhava</v>
      </c>
      <c r="D124" s="36" t="str">
        <f ca="1">VLOOKUP(D116,Panchanga!$A$3:$Y$463,13,TRUE)</f>
        <v>Kaulava</v>
      </c>
      <c r="E124" s="36" t="str">
        <f ca="1">VLOOKUP(E116,Panchanga!$A$3:$Y$463,13,TRUE)</f>
        <v>Garija</v>
      </c>
      <c r="F124" s="36" t="str">
        <f ca="1">VLOOKUP(F116,Panchanga!$A$3:$Y$463,13,TRUE)</f>
        <v>Vishti</v>
      </c>
      <c r="G124" s="48" t="str">
        <f ca="1">VLOOKUP(G116,Panchanga!$A$3:$Y$463,13,TRUE)</f>
        <v>Baalava</v>
      </c>
    </row>
    <row r="125" spans="1:7" s="28" customFormat="1" ht="19.5" x14ac:dyDescent="0.3">
      <c r="A125" s="41" t="str">
        <f ca="1">VLOOKUP(A116,Panchanga!$A$3:$Y$463,14,TRUE)</f>
        <v>Siddha-सिद्ध-Ke (20.65)</v>
      </c>
      <c r="B125" s="36" t="str">
        <f ca="1">VLOOKUP(B116,Panchanga!$A$3:$Y$463,14,TRUE)</f>
        <v>Sadhya-साध्य-Ve (21.68)</v>
      </c>
      <c r="C125" s="36" t="str">
        <f ca="1">VLOOKUP(C116,Panchanga!$A$3:$Y$463,14,TRUE)</f>
        <v>Shubha-शुभ-Su (22.74)</v>
      </c>
      <c r="D125" s="36" t="str">
        <f ca="1">VLOOKUP(D116,Panchanga!$A$3:$Y$463,14,TRUE)</f>
        <v>Shukla-शुक्ल-Mo (23.81)</v>
      </c>
      <c r="E125" s="36" t="str">
        <f ca="1">VLOOKUP(E116,Panchanga!$A$3:$Y$463,14,TRUE)</f>
        <v>Brahma-ब्रह्म-Ma (24.9)</v>
      </c>
      <c r="F125" s="36" t="str">
        <f ca="1">VLOOKUP(F116,Panchanga!$A$3:$Y$463,14,TRUE)</f>
        <v>Mahendra-महेन्द्र-Ra (26)</v>
      </c>
      <c r="G125" s="48" t="str">
        <f ca="1">VLOOKUP(G116,Panchanga!$A$3:$Y$463,14,TRUE)</f>
        <v>Vishkambha-विष्कम्भ-Sa (0.13)</v>
      </c>
    </row>
    <row r="126" spans="1:7" s="28" customFormat="1" ht="19.5" x14ac:dyDescent="0.3">
      <c r="A126" s="63" t="str">
        <f ca="1">VLOOKUP(A116,Panchanga!$A$3:$Y$463,18,TRUE)</f>
        <v>8Ma,11Me,7Ju,11Ve,9Sa,4Ra</v>
      </c>
      <c r="B126" s="64" t="str">
        <f ca="1">VLOOKUP(B116,Panchanga!$A$3:$Y$463,18,TRUE)</f>
        <v>8Ma,11Me,7Ju,11Ve,9Sa,4Ra</v>
      </c>
      <c r="C126" s="64" t="str">
        <f ca="1">VLOOKUP(C116,Panchanga!$A$3:$Y$463,18,TRUE)</f>
        <v>8Ma,11Me,7Ju,11Ve,9Sa,4Ra</v>
      </c>
      <c r="D126" s="64" t="str">
        <f ca="1">VLOOKUP(D116,Panchanga!$A$3:$Y$463,18,TRUE)</f>
        <v>8Ma,11Me,7Ju,11Ve,9Sa,4Ra</v>
      </c>
      <c r="E126" s="64" t="str">
        <f ca="1">VLOOKUP(E116,Panchanga!$A$3:$Y$463,18,TRUE)</f>
        <v>8Ma,11Me,7Ju,11Ve,9Sa,4Ra</v>
      </c>
      <c r="F126" s="64" t="str">
        <f ca="1">VLOOKUP(F116,Panchanga!$A$3:$Y$463,18,TRUE)</f>
        <v>8Ma,11Me,7Ju,11Ve,9Sa,4Ra</v>
      </c>
      <c r="G126" s="65" t="str">
        <f ca="1">VLOOKUP(G116,Panchanga!$A$3:$Y$463,18,TRUE)</f>
        <v>8Ma,11Me,7Ju,11Ve,9Sa,4Ra</v>
      </c>
    </row>
    <row r="127" spans="1:7" ht="5.85" customHeight="1" thickBot="1" x14ac:dyDescent="0.4">
      <c r="A127" s="42"/>
      <c r="B127" s="16"/>
      <c r="C127" s="16"/>
      <c r="D127" s="16"/>
      <c r="E127" s="16"/>
      <c r="F127" s="16"/>
      <c r="G127" s="49"/>
    </row>
    <row r="128" spans="1:7" s="51" customFormat="1" ht="37.5" x14ac:dyDescent="0.5">
      <c r="A128" s="52">
        <f ca="1">G116+1</f>
        <v>43156</v>
      </c>
      <c r="B128" s="53">
        <f t="shared" ref="B128:G128" ca="1" si="9">A128+1</f>
        <v>43157</v>
      </c>
      <c r="C128" s="53">
        <f t="shared" ca="1" si="9"/>
        <v>43158</v>
      </c>
      <c r="D128" s="53">
        <f t="shared" ca="1" si="9"/>
        <v>43159</v>
      </c>
      <c r="E128" s="53">
        <f t="shared" ca="1" si="9"/>
        <v>43160</v>
      </c>
      <c r="F128" s="53">
        <f t="shared" ca="1" si="9"/>
        <v>43161</v>
      </c>
      <c r="G128" s="54">
        <f t="shared" ca="1" si="9"/>
        <v>43162</v>
      </c>
    </row>
    <row r="129" spans="1:7" s="28" customFormat="1" ht="19.5" x14ac:dyDescent="0.3">
      <c r="A129" s="37">
        <f ca="1">VLOOKUP(A128,Panchanga!$A$3:$Y$463,3,TRUE)</f>
        <v>43156.27017454958</v>
      </c>
      <c r="B129" s="27">
        <f ca="1">VLOOKUP(B128,Panchanga!$A$3:$Y$463,3,TRUE)</f>
        <v>43157.269811358456</v>
      </c>
      <c r="C129" s="27">
        <f ca="1">VLOOKUP(C128,Panchanga!$A$3:$Y$463,3,TRUE)</f>
        <v>43158.269440538403</v>
      </c>
      <c r="D129" s="27">
        <f ca="1">VLOOKUP(D128,Panchanga!$A$3:$Y$463,3,TRUE)</f>
        <v>43159.26906224728</v>
      </c>
      <c r="E129" s="27">
        <f ca="1">VLOOKUP(E128,Panchanga!$A$3:$Y$463,3,TRUE)</f>
        <v>43160.268676804066</v>
      </c>
      <c r="F129" s="27">
        <f ca="1">VLOOKUP(F128,Panchanga!$A$3:$Y$463,3,TRUE)</f>
        <v>43161.268284525875</v>
      </c>
      <c r="G129" s="44">
        <f ca="1">VLOOKUP(G128,Panchanga!$A$3:$Y$463,3,TRUE)</f>
        <v>43162.26788573122</v>
      </c>
    </row>
    <row r="130" spans="1:7" s="28" customFormat="1" ht="19.5" x14ac:dyDescent="0.3">
      <c r="A130" s="37">
        <f ca="1">VLOOKUP(A128,Panchanga!$A$3:$Y$463,4,TRUE)</f>
        <v>43155.761328359644</v>
      </c>
      <c r="B130" s="27">
        <f ca="1">VLOOKUP(B128,Panchanga!$A$3:$Y$463,4,TRUE)</f>
        <v>43156.761471887628</v>
      </c>
      <c r="C130" s="27">
        <f ca="1">VLOOKUP(C128,Panchanga!$A$3:$Y$463,4,TRUE)</f>
        <v>43157.761609693567</v>
      </c>
      <c r="D130" s="27">
        <f ca="1">VLOOKUP(D128,Panchanga!$A$3:$Y$463,4,TRUE)</f>
        <v>43158.76174177746</v>
      </c>
      <c r="E130" s="27">
        <f ca="1">VLOOKUP(E128,Panchanga!$A$3:$Y$463,4,TRUE)</f>
        <v>43159.761868457354</v>
      </c>
      <c r="F130" s="27">
        <f ca="1">VLOOKUP(F128,Panchanga!$A$3:$Y$463,4,TRUE)</f>
        <v>43160.761990050829</v>
      </c>
      <c r="G130" s="44">
        <f ca="1">VLOOKUP(G128,Panchanga!$A$3:$Y$463,4,TRUE)</f>
        <v>43161.762106557886</v>
      </c>
    </row>
    <row r="131" spans="1:7" s="28" customFormat="1" ht="19.5" x14ac:dyDescent="0.3">
      <c r="A131" s="38">
        <f ca="1">VLOOKUP(A128,Panchanga!$A$3:$Y$463,6,TRUE)</f>
        <v>312.25954736453838</v>
      </c>
      <c r="B131" s="30">
        <f ca="1">VLOOKUP(B128,Panchanga!$A$3:$Y$463,6,TRUE)</f>
        <v>313.26457115503769</v>
      </c>
      <c r="C131" s="30">
        <f ca="1">VLOOKUP(C128,Panchanga!$A$3:$Y$463,6,TRUE)</f>
        <v>314.26904133219182</v>
      </c>
      <c r="D131" s="30">
        <f ca="1">VLOOKUP(D128,Panchanga!$A$3:$Y$463,6,TRUE)</f>
        <v>315.27296680598818</v>
      </c>
      <c r="E131" s="30">
        <f ca="1">VLOOKUP(E128,Panchanga!$A$3:$Y$463,6,TRUE)</f>
        <v>316.27636090696927</v>
      </c>
      <c r="F131" s="30">
        <f ca="1">VLOOKUP(F128,Panchanga!$A$3:$Y$463,6,TRUE)</f>
        <v>317.27923956558698</v>
      </c>
      <c r="G131" s="45">
        <f ca="1">VLOOKUP(G128,Panchanga!$A$3:$Y$463,6,TRUE)</f>
        <v>318.28161933527434</v>
      </c>
    </row>
    <row r="132" spans="1:7" s="28" customFormat="1" ht="19.5" x14ac:dyDescent="0.3">
      <c r="A132" s="38">
        <f ca="1">VLOOKUP(A128,Panchanga!$A$3:$Y$463,7,TRUE)</f>
        <v>64.63063860998696</v>
      </c>
      <c r="B132" s="30">
        <f ca="1">VLOOKUP(B128,Panchanga!$A$3:$Y$463,7,TRUE)</f>
        <v>79.055575435818952</v>
      </c>
      <c r="C132" s="30">
        <f ca="1">VLOOKUP(C128,Panchanga!$A$3:$Y$463,7,TRUE)</f>
        <v>93.623040257812889</v>
      </c>
      <c r="D132" s="30">
        <f ca="1">VLOOKUP(D128,Panchanga!$A$3:$Y$463,7,TRUE)</f>
        <v>108.25628026806729</v>
      </c>
      <c r="E132" s="30">
        <f ca="1">VLOOKUP(E128,Panchanga!$A$3:$Y$463,7,TRUE)</f>
        <v>122.8596740498068</v>
      </c>
      <c r="F132" s="30">
        <f ca="1">VLOOKUP(F128,Panchanga!$A$3:$Y$463,7,TRUE)</f>
        <v>137.32807342707233</v>
      </c>
      <c r="G132" s="45">
        <f ca="1">VLOOKUP(G128,Panchanga!$A$3:$Y$463,7,TRUE)</f>
        <v>151.56023604622291</v>
      </c>
    </row>
    <row r="133" spans="1:7" s="28" customFormat="1" ht="19.5" x14ac:dyDescent="0.3">
      <c r="A133" s="39" t="str">
        <f ca="1">VLOOKUP(A128,Panchanga!$A$3:$Y$463,9,TRUE) &amp; " "&amp;ROUND(A132/13.333,2)</f>
        <v>Mrigashira 4.85</v>
      </c>
      <c r="B133" s="32" t="str">
        <f ca="1">VLOOKUP(B128,Panchanga!$A$3:$Y$463,9,TRUE) &amp; " "&amp;ROUND(B132/13.333,2)</f>
        <v>Ardra 5.93</v>
      </c>
      <c r="C133" s="32" t="str">
        <f ca="1">VLOOKUP(C128,Panchanga!$A$3:$Y$463,9,TRUE) &amp; " "&amp;ROUND(C132/13.333,2)</f>
        <v>Pushya 7.02</v>
      </c>
      <c r="D133" s="32" t="str">
        <f ca="1">VLOOKUP(D128,Panchanga!$A$3:$Y$463,9,TRUE) &amp; " "&amp;ROUND(D132/13.333,2)</f>
        <v>Aslesha 8.12</v>
      </c>
      <c r="E133" s="32" t="str">
        <f ca="1">VLOOKUP(E128,Panchanga!$A$3:$Y$463,9,TRUE) &amp; " "&amp;ROUND(E132/13.333,2)</f>
        <v>Makha 9.21</v>
      </c>
      <c r="F133" s="32" t="str">
        <f ca="1">VLOOKUP(F128,Panchanga!$A$3:$Y$463,9,TRUE) &amp; " "&amp;ROUND(F132/13.333,2)</f>
        <v>Purva Phalguni 10.3</v>
      </c>
      <c r="G133" s="46" t="str">
        <f ca="1">VLOOKUP(G128,Panchanga!$A$3:$Y$463,9,TRUE) &amp; " "&amp;ROUND(G132/13.333,2)</f>
        <v>Uttara Phalguni 11.37</v>
      </c>
    </row>
    <row r="134" spans="1:7" s="28" customFormat="1" ht="19.5" x14ac:dyDescent="0.3">
      <c r="A134" s="40">
        <f ca="1">VLOOKUP(A128,Panchanga!$A$3:$Y$463,10,TRUE)</f>
        <v>43156.411269697099</v>
      </c>
      <c r="B134" s="34">
        <f ca="1">VLOOKUP(B128,Panchanga!$A$3:$Y$463,10,TRUE)</f>
        <v>43157.334618403758</v>
      </c>
      <c r="C134" s="34">
        <f ca="1">VLOOKUP(C128,Panchanga!$A$3:$Y$463,10,TRUE)</f>
        <v>43159.160473017313</v>
      </c>
      <c r="D134" s="34">
        <f ca="1">VLOOKUP(D128,Panchanga!$A$3:$Y$463,10,TRUE)</f>
        <v>43160.072929716058</v>
      </c>
      <c r="E134" s="34">
        <f ca="1">VLOOKUP(E128,Panchanga!$A$3:$Y$463,10,TRUE)</f>
        <v>43160.992291795774</v>
      </c>
      <c r="F134" s="34">
        <f ca="1">VLOOKUP(F128,Panchanga!$A$3:$Y$463,10,TRUE)</f>
        <v>43161.92418407595</v>
      </c>
      <c r="G134" s="47">
        <f ca="1">VLOOKUP(G128,Panchanga!$A$3:$Y$463,10,TRUE)</f>
        <v>43162.874262005331</v>
      </c>
    </row>
    <row r="135" spans="1:7" s="28" customFormat="1" ht="19.5" x14ac:dyDescent="0.3">
      <c r="A135" s="38" t="str">
        <f ca="1">VLOOKUP(A128,Panchanga!$A$3:$Y$463,11,TRUE)</f>
        <v>S10 (9.36)</v>
      </c>
      <c r="B135" s="30" t="str">
        <f ca="1">VLOOKUP(B128,Panchanga!$A$3:$Y$463,11,TRUE)</f>
        <v>S11 (10.48)</v>
      </c>
      <c r="C135" s="30" t="str">
        <f ca="1">VLOOKUP(C128,Panchanga!$A$3:$Y$463,11,TRUE)</f>
        <v>S12 (11.61)</v>
      </c>
      <c r="D135" s="30" t="str">
        <f ca="1">VLOOKUP(D128,Panchanga!$A$3:$Y$463,11,TRUE)</f>
        <v>S13 (12.75)</v>
      </c>
      <c r="E135" s="30" t="str">
        <f ca="1">VLOOKUP(E128,Panchanga!$A$3:$Y$463,11,TRUE)</f>
        <v>S14 (13.88)</v>
      </c>
      <c r="F135" s="30" t="str">
        <f ca="1">VLOOKUP(F128,Panchanga!$A$3:$Y$463,11,TRUE)</f>
        <v>K1 (15)</v>
      </c>
      <c r="G135" s="45" t="str">
        <f ca="1">VLOOKUP(G128,Panchanga!$A$3:$Y$463,11,TRUE)</f>
        <v>K2 (16.11)</v>
      </c>
    </row>
    <row r="136" spans="1:7" s="28" customFormat="1" ht="19.5" x14ac:dyDescent="0.3">
      <c r="A136" s="41" t="str">
        <f ca="1">VLOOKUP(A128,Panchanga!$A$3:$Y$463,13,TRUE)</f>
        <v>Taitula</v>
      </c>
      <c r="B136" s="36" t="str">
        <f ca="1">VLOOKUP(B128,Panchanga!$A$3:$Y$463,13,TRUE)</f>
        <v>Vanija</v>
      </c>
      <c r="C136" s="36" t="str">
        <f ca="1">VLOOKUP(C128,Panchanga!$A$3:$Y$463,13,TRUE)</f>
        <v>Baalava</v>
      </c>
      <c r="D136" s="36" t="str">
        <f ca="1">VLOOKUP(D128,Panchanga!$A$3:$Y$463,13,TRUE)</f>
        <v>Taitula</v>
      </c>
      <c r="E136" s="36" t="str">
        <f ca="1">VLOOKUP(E128,Panchanga!$A$3:$Y$463,13,TRUE)</f>
        <v>Vanija</v>
      </c>
      <c r="F136" s="36" t="str">
        <f ca="1">VLOOKUP(F128,Panchanga!$A$3:$Y$463,13,TRUE)</f>
        <v>Baalava</v>
      </c>
      <c r="G136" s="48" t="str">
        <f ca="1">VLOOKUP(G128,Panchanga!$A$3:$Y$463,13,TRUE)</f>
        <v>Taitula</v>
      </c>
    </row>
    <row r="137" spans="1:7" s="28" customFormat="1" ht="19.5" x14ac:dyDescent="0.3">
      <c r="A137" s="41" t="str">
        <f ca="1">VLOOKUP(A128,Panchanga!$A$3:$Y$463,14,TRUE)</f>
        <v>Priti-प्रीति-Me (1.27)</v>
      </c>
      <c r="B137" s="36" t="str">
        <f ca="1">VLOOKUP(B128,Panchanga!$A$3:$Y$463,14,TRUE)</f>
        <v>Ayushman-आयुष्मान-Ke (2.43)</v>
      </c>
      <c r="C137" s="36" t="str">
        <f ca="1">VLOOKUP(C128,Panchanga!$A$3:$Y$463,14,TRUE)</f>
        <v>Saubhagya-सौभाग्य-Ve (3.6)</v>
      </c>
      <c r="D137" s="36" t="str">
        <f ca="1">VLOOKUP(D128,Panchanga!$A$3:$Y$463,14,TRUE)</f>
        <v>Shobhana-शोभन-Su (4.77)</v>
      </c>
      <c r="E137" s="36" t="str">
        <f ca="1">VLOOKUP(E128,Panchanga!$A$3:$Y$463,14,TRUE)</f>
        <v>Atiganda-अतिगण्ड -Mo (5.94)</v>
      </c>
      <c r="F137" s="36" t="str">
        <f ca="1">VLOOKUP(F128,Panchanga!$A$3:$Y$463,14,TRUE)</f>
        <v>Dhriti-धृति -Ra (7.1)</v>
      </c>
      <c r="G137" s="48" t="str">
        <f ca="1">VLOOKUP(G128,Panchanga!$A$3:$Y$463,14,TRUE)</f>
        <v>Shula-शूल -Ju (8.24)</v>
      </c>
    </row>
    <row r="138" spans="1:7" s="28" customFormat="1" ht="19.5" x14ac:dyDescent="0.3">
      <c r="A138" s="63" t="str">
        <f ca="1">VLOOKUP(A128,Panchanga!$A$3:$Y$463,18,TRUE)</f>
        <v>8Ma,11Me,7Ju,11Ve,9Sa,4Ra</v>
      </c>
      <c r="B138" s="64" t="str">
        <f ca="1">VLOOKUP(B128,Panchanga!$A$3:$Y$463,18,TRUE)</f>
        <v>8Ma,11Me,7Ju,11Ve,9Sa,4Ra</v>
      </c>
      <c r="C138" s="64" t="str">
        <f ca="1">VLOOKUP(C128,Panchanga!$A$3:$Y$463,18,TRUE)</f>
        <v>8Ma,11Me,7Ju,11Ve,9Sa,4Ra</v>
      </c>
      <c r="D138" s="64" t="str">
        <f ca="1">VLOOKUP(D128,Panchanga!$A$3:$Y$463,18,TRUE)</f>
        <v>8Ma,11Me,7Ju,11Ve,9Sa,4Ra</v>
      </c>
      <c r="E138" s="64" t="str">
        <f ca="1">VLOOKUP(E128,Panchanga!$A$3:$Y$463,18,TRUE)</f>
        <v>8Ma,11Me,7Ju,11Ve,9Sa,4Ra</v>
      </c>
      <c r="F138" s="64" t="str">
        <f ca="1">VLOOKUP(F128,Panchanga!$A$3:$Y$463,18,TRUE)</f>
        <v>8Ma,11Me,7Ju,11Ve,9Sa,4Ra</v>
      </c>
      <c r="G138" s="65" t="str">
        <f ca="1">VLOOKUP(G128,Panchanga!$A$3:$Y$463,18,TRUE)</f>
        <v>8Ma,11Me,7Ju,12Ve,9Sa,4Ra</v>
      </c>
    </row>
    <row r="139" spans="1:7" ht="5.85" customHeight="1" thickBot="1" x14ac:dyDescent="0.4">
      <c r="A139" s="42"/>
      <c r="B139" s="16"/>
      <c r="C139" s="16"/>
      <c r="D139" s="16"/>
      <c r="E139" s="16"/>
      <c r="F139" s="16"/>
      <c r="G139" s="17"/>
    </row>
    <row r="140" spans="1:7" s="51" customFormat="1" ht="37.5" x14ac:dyDescent="0.5">
      <c r="A140" s="52">
        <f ca="1">G128+1</f>
        <v>43163</v>
      </c>
      <c r="B140" s="53">
        <f ca="1">A140+1</f>
        <v>43164</v>
      </c>
      <c r="C140" s="53"/>
      <c r="D140" s="53"/>
      <c r="E140" s="53"/>
      <c r="F140" s="53"/>
      <c r="G140" s="55"/>
    </row>
    <row r="141" spans="1:7" s="28" customFormat="1" ht="19.5" x14ac:dyDescent="0.3">
      <c r="A141" s="37">
        <f ca="1">VLOOKUP(A140,Panchanga!$A$3:$Y$463,3,TRUE)</f>
        <v>43163.267480578426</v>
      </c>
      <c r="B141" s="27">
        <f ca="1">VLOOKUP(B140,Panchanga!$A$3:$Y$463,3,TRUE)</f>
        <v>43164.267069704052</v>
      </c>
      <c r="C141" s="27" t="s">
        <v>20</v>
      </c>
      <c r="D141" s="27"/>
      <c r="E141" s="27"/>
      <c r="F141" s="27"/>
      <c r="G141" s="26"/>
    </row>
    <row r="142" spans="1:7" s="28" customFormat="1" ht="19.5" x14ac:dyDescent="0.3">
      <c r="A142" s="37">
        <f ca="1">VLOOKUP(A140,Panchanga!$A$3:$Y$463,4,TRUE)</f>
        <v>43162.762218455828</v>
      </c>
      <c r="B142" s="27">
        <f ca="1">VLOOKUP(B140,Panchanga!$A$3:$Y$463,4,TRUE)</f>
        <v>43163.762325584932</v>
      </c>
      <c r="C142" s="27" t="s">
        <v>8</v>
      </c>
      <c r="D142" s="27"/>
      <c r="E142" s="27"/>
      <c r="F142" s="27"/>
      <c r="G142" s="26"/>
    </row>
    <row r="143" spans="1:7" s="28" customFormat="1" ht="19.5" x14ac:dyDescent="0.3">
      <c r="A143" s="38">
        <f ca="1">VLOOKUP(A140,Panchanga!$A$3:$Y$463,6,TRUE)</f>
        <v>319.28351539992991</v>
      </c>
      <c r="B143" s="30">
        <f ca="1">VLOOKUP(B140,Panchanga!$A$3:$Y$463,6,TRUE)</f>
        <v>320.28494089978312</v>
      </c>
      <c r="C143" s="30" t="s">
        <v>21</v>
      </c>
      <c r="D143" s="30"/>
      <c r="E143" s="30"/>
      <c r="F143" s="30"/>
      <c r="G143" s="29"/>
    </row>
    <row r="144" spans="1:7" s="28" customFormat="1" ht="19.5" x14ac:dyDescent="0.3">
      <c r="A144" s="38">
        <f ca="1">VLOOKUP(A140,Panchanga!$A$3:$Y$463,7,TRUE)</f>
        <v>165.47295809696587</v>
      </c>
      <c r="B144" s="30">
        <f ca="1">VLOOKUP(B140,Panchanga!$A$3:$Y$463,7,TRUE)</f>
        <v>179.01197259243909</v>
      </c>
      <c r="C144" s="30" t="s">
        <v>22</v>
      </c>
      <c r="D144" s="30"/>
      <c r="E144" s="30"/>
      <c r="F144" s="30"/>
      <c r="G144" s="29"/>
    </row>
    <row r="145" spans="1:7" s="28" customFormat="1" ht="19.5" x14ac:dyDescent="0.3">
      <c r="A145" s="39" t="str">
        <f ca="1">VLOOKUP(A140,Panchanga!$A$3:$Y$463,9,TRUE) &amp; " "&amp;ROUND(A144/13.333,2)</f>
        <v>Hasta 12.41</v>
      </c>
      <c r="B145" s="32" t="str">
        <f ca="1">VLOOKUP(B140,Panchanga!$A$3:$Y$463,9,TRUE) &amp; " "&amp;ROUND(B144/13.333,2)</f>
        <v>Chitra 13.43</v>
      </c>
      <c r="C145" s="32" t="s">
        <v>23</v>
      </c>
      <c r="D145" s="32"/>
      <c r="E145" s="32"/>
      <c r="F145" s="32"/>
      <c r="G145" s="31"/>
    </row>
    <row r="146" spans="1:7" s="28" customFormat="1" ht="19.5" x14ac:dyDescent="0.3">
      <c r="A146" s="40">
        <f ca="1">VLOOKUP(A140,Panchanga!$A$3:$Y$463,10,TRUE)</f>
        <v>43163.847814221779</v>
      </c>
      <c r="B146" s="34">
        <f ca="1">VLOOKUP(B140,Panchanga!$A$3:$Y$463,10,TRUE)</f>
        <v>43164.849151166207</v>
      </c>
      <c r="C146" s="34" t="s">
        <v>24</v>
      </c>
      <c r="D146" s="34"/>
      <c r="E146" s="34"/>
      <c r="F146" s="34"/>
      <c r="G146" s="33"/>
    </row>
    <row r="147" spans="1:7" s="28" customFormat="1" ht="19.5" x14ac:dyDescent="0.3">
      <c r="A147" s="38" t="str">
        <f ca="1">VLOOKUP(A140,Panchanga!$A$3:$Y$463,11,TRUE)</f>
        <v>K3 (17.18)</v>
      </c>
      <c r="B147" s="30" t="str">
        <f ca="1">VLOOKUP(B140,Panchanga!$A$3:$Y$463,11,TRUE)</f>
        <v>K4 (18.23)</v>
      </c>
      <c r="C147" s="30" t="s">
        <v>28</v>
      </c>
      <c r="D147" s="30"/>
      <c r="E147" s="30"/>
      <c r="F147" s="30"/>
      <c r="G147" s="29"/>
    </row>
    <row r="148" spans="1:7" s="28" customFormat="1" ht="19.5" x14ac:dyDescent="0.3">
      <c r="A148" s="41" t="str">
        <f ca="1">VLOOKUP(A140,Panchanga!$A$3:$Y$463,13,TRUE)</f>
        <v>Vanija</v>
      </c>
      <c r="B148" s="36" t="str">
        <f ca="1">VLOOKUP(B140,Panchanga!$A$3:$Y$463,13,TRUE)</f>
        <v>Bhava</v>
      </c>
      <c r="C148" s="36" t="s">
        <v>25</v>
      </c>
      <c r="D148" s="36"/>
      <c r="E148" s="36"/>
      <c r="F148" s="36"/>
      <c r="G148" s="35"/>
    </row>
    <row r="149" spans="1:7" s="28" customFormat="1" ht="19.5" x14ac:dyDescent="0.3">
      <c r="A149" s="41" t="str">
        <f ca="1">VLOOKUP(A140,Panchanga!$A$3:$Y$463,14,TRUE)</f>
        <v>Ganda-गण्ड -Sa (9.36)</v>
      </c>
      <c r="B149" s="36" t="str">
        <f ca="1">VLOOKUP(B140,Panchanga!$A$3:$Y$463,14,TRUE)</f>
        <v>Vriddhi-वृद्धि -Me (10.45)</v>
      </c>
      <c r="C149" s="36" t="s">
        <v>13</v>
      </c>
      <c r="D149" s="36"/>
      <c r="E149" s="36"/>
      <c r="F149" s="36"/>
      <c r="G149" s="48"/>
    </row>
    <row r="150" spans="1:7" s="28" customFormat="1" ht="19.5" x14ac:dyDescent="0.3">
      <c r="A150" s="63" t="str">
        <f ca="1">VLOOKUP(A140,Panchanga!$A$3:$Y$463,18,TRUE)</f>
        <v>8Ma,12Me,7Ju,12Ve,9Sa,4Ra</v>
      </c>
      <c r="B150" s="64" t="str">
        <f ca="1">VLOOKUP(B140,Panchanga!$A$3:$Y$463,18,TRUE)</f>
        <v>8Ma,12Me,7Ju,12Ve,9Sa,4Ra</v>
      </c>
      <c r="C150" s="64"/>
      <c r="D150" s="64"/>
      <c r="E150" s="64"/>
      <c r="F150" s="64"/>
      <c r="G150" s="65"/>
    </row>
    <row r="151" spans="1:7" ht="24" thickBot="1" x14ac:dyDescent="0.4"/>
    <row r="152" spans="1:7" x14ac:dyDescent="0.35">
      <c r="A152" s="23" t="s">
        <v>26</v>
      </c>
      <c r="B152" s="21">
        <f>Lat</f>
        <v>13.5</v>
      </c>
      <c r="C152" s="23" t="s">
        <v>1</v>
      </c>
      <c r="D152" s="21">
        <f>Long</f>
        <v>80.23</v>
      </c>
      <c r="E152" s="23" t="s">
        <v>4</v>
      </c>
      <c r="F152" s="22">
        <f>TimeZone</f>
        <v>5.5</v>
      </c>
    </row>
    <row r="155" spans="1:7" s="51" customFormat="1" ht="38.25" thickBot="1" x14ac:dyDescent="0.55000000000000004">
      <c r="A155" s="68">
        <f ca="1">DATE(YEAR(A78),MONTH(A78)+1,1)</f>
        <v>43160</v>
      </c>
      <c r="B155" s="69"/>
      <c r="C155" s="69"/>
      <c r="D155" s="69"/>
      <c r="E155" s="69"/>
      <c r="F155" s="69"/>
      <c r="G155" s="69"/>
    </row>
    <row r="156" spans="1:7" s="56" customFormat="1" ht="35.25" thickBot="1" x14ac:dyDescent="0.5">
      <c r="A156" s="57">
        <v>1</v>
      </c>
      <c r="B156" s="58">
        <v>2</v>
      </c>
      <c r="C156" s="58">
        <v>3</v>
      </c>
      <c r="D156" s="58">
        <v>4</v>
      </c>
      <c r="E156" s="58">
        <v>5</v>
      </c>
      <c r="F156" s="58">
        <v>6</v>
      </c>
      <c r="G156" s="59">
        <v>7</v>
      </c>
    </row>
    <row r="157" spans="1:7" s="51" customFormat="1" ht="37.5" x14ac:dyDescent="0.5">
      <c r="A157" s="52">
        <f ca="1">DATE(YEAR(A155),MONTH(A155),1)-WEEKDAY(A155)+1</f>
        <v>43156</v>
      </c>
      <c r="B157" s="53">
        <f t="shared" ref="B157:G157" ca="1" si="10">A157+1</f>
        <v>43157</v>
      </c>
      <c r="C157" s="53">
        <f t="shared" ca="1" si="10"/>
        <v>43158</v>
      </c>
      <c r="D157" s="53">
        <f t="shared" ca="1" si="10"/>
        <v>43159</v>
      </c>
      <c r="E157" s="53">
        <f t="shared" ca="1" si="10"/>
        <v>43160</v>
      </c>
      <c r="F157" s="53">
        <f t="shared" ca="1" si="10"/>
        <v>43161</v>
      </c>
      <c r="G157" s="54">
        <f t="shared" ca="1" si="10"/>
        <v>43162</v>
      </c>
    </row>
    <row r="158" spans="1:7" s="28" customFormat="1" ht="19.5" x14ac:dyDescent="0.3">
      <c r="A158" s="37">
        <f ca="1">VLOOKUP(A157,Panchanga!$A$3:$Y$463,3,TRUE)</f>
        <v>43156.27017454958</v>
      </c>
      <c r="B158" s="27">
        <f ca="1">VLOOKUP(B157,Panchanga!$A$3:$Y$463,3,TRUE)</f>
        <v>43157.269811358456</v>
      </c>
      <c r="C158" s="27">
        <f ca="1">VLOOKUP(C157,Panchanga!$A$3:$Y$463,3,TRUE)</f>
        <v>43158.269440538403</v>
      </c>
      <c r="D158" s="27">
        <f ca="1">VLOOKUP(D157,Panchanga!$A$3:$Y$463,3,TRUE)</f>
        <v>43159.26906224728</v>
      </c>
      <c r="E158" s="27">
        <f ca="1">VLOOKUP(E157,Panchanga!$A$3:$Y$463,3,TRUE)</f>
        <v>43160.268676804066</v>
      </c>
      <c r="F158" s="27">
        <f ca="1">VLOOKUP(F157,Panchanga!$A$3:$Y$463,3,TRUE)</f>
        <v>43161.268284525875</v>
      </c>
      <c r="G158" s="44">
        <f ca="1">VLOOKUP(G157,Panchanga!$A$3:$Y$463,3,TRUE)</f>
        <v>43162.26788573122</v>
      </c>
    </row>
    <row r="159" spans="1:7" s="28" customFormat="1" ht="19.5" x14ac:dyDescent="0.3">
      <c r="A159" s="37">
        <f ca="1">VLOOKUP(A157,Panchanga!$A$3:$Y$463,4,TRUE)</f>
        <v>43155.761328359644</v>
      </c>
      <c r="B159" s="27">
        <f ca="1">VLOOKUP(B157,Panchanga!$A$3:$Y$463,4,TRUE)</f>
        <v>43156.761471887628</v>
      </c>
      <c r="C159" s="27">
        <f ca="1">VLOOKUP(C157,Panchanga!$A$3:$Y$463,4,TRUE)</f>
        <v>43157.761609693567</v>
      </c>
      <c r="D159" s="27">
        <f ca="1">VLOOKUP(D157,Panchanga!$A$3:$Y$463,4,TRUE)</f>
        <v>43158.76174177746</v>
      </c>
      <c r="E159" s="27">
        <f ca="1">VLOOKUP(E157,Panchanga!$A$3:$Y$463,4,TRUE)</f>
        <v>43159.761868457354</v>
      </c>
      <c r="F159" s="27">
        <f ca="1">VLOOKUP(F157,Panchanga!$A$3:$Y$463,4,TRUE)</f>
        <v>43160.761990050829</v>
      </c>
      <c r="G159" s="44">
        <f ca="1">VLOOKUP(G157,Panchanga!$A$3:$Y$463,4,TRUE)</f>
        <v>43161.762106557886</v>
      </c>
    </row>
    <row r="160" spans="1:7" s="28" customFormat="1" ht="19.5" x14ac:dyDescent="0.3">
      <c r="A160" s="38">
        <f ca="1">VLOOKUP(A157,Panchanga!$A$3:$Y$463,6,TRUE)</f>
        <v>312.25954736453838</v>
      </c>
      <c r="B160" s="30">
        <f ca="1">VLOOKUP(B157,Panchanga!$A$3:$Y$463,6,TRUE)</f>
        <v>313.26457115503769</v>
      </c>
      <c r="C160" s="30">
        <f ca="1">VLOOKUP(C157,Panchanga!$A$3:$Y$463,6,TRUE)</f>
        <v>314.26904133219182</v>
      </c>
      <c r="D160" s="30">
        <f ca="1">VLOOKUP(D157,Panchanga!$A$3:$Y$463,6,TRUE)</f>
        <v>315.27296680598818</v>
      </c>
      <c r="E160" s="30">
        <f ca="1">VLOOKUP(E157,Panchanga!$A$3:$Y$463,6,TRUE)</f>
        <v>316.27636090696927</v>
      </c>
      <c r="F160" s="30">
        <f ca="1">VLOOKUP(F157,Panchanga!$A$3:$Y$463,6,TRUE)</f>
        <v>317.27923956558698</v>
      </c>
      <c r="G160" s="45">
        <f ca="1">VLOOKUP(G157,Panchanga!$A$3:$Y$463,6,TRUE)</f>
        <v>318.28161933527434</v>
      </c>
    </row>
    <row r="161" spans="1:7" s="28" customFormat="1" ht="19.5" x14ac:dyDescent="0.3">
      <c r="A161" s="38">
        <f ca="1">VLOOKUP(A157,Panchanga!$A$3:$Y$463,7,TRUE)</f>
        <v>64.63063860998696</v>
      </c>
      <c r="B161" s="30">
        <f ca="1">VLOOKUP(B157,Panchanga!$A$3:$Y$463,7,TRUE)</f>
        <v>79.055575435818952</v>
      </c>
      <c r="C161" s="30">
        <f ca="1">VLOOKUP(C157,Panchanga!$A$3:$Y$463,7,TRUE)</f>
        <v>93.623040257812889</v>
      </c>
      <c r="D161" s="30">
        <f ca="1">VLOOKUP(D157,Panchanga!$A$3:$Y$463,7,TRUE)</f>
        <v>108.25628026806729</v>
      </c>
      <c r="E161" s="30">
        <f ca="1">VLOOKUP(E157,Panchanga!$A$3:$Y$463,7,TRUE)</f>
        <v>122.8596740498068</v>
      </c>
      <c r="F161" s="30">
        <f ca="1">VLOOKUP(F157,Panchanga!$A$3:$Y$463,7,TRUE)</f>
        <v>137.32807342707233</v>
      </c>
      <c r="G161" s="45">
        <f ca="1">VLOOKUP(G157,Panchanga!$A$3:$Y$463,7,TRUE)</f>
        <v>151.56023604622291</v>
      </c>
    </row>
    <row r="162" spans="1:7" s="28" customFormat="1" ht="19.5" x14ac:dyDescent="0.3">
      <c r="A162" s="39" t="str">
        <f ca="1">VLOOKUP(A157,Panchanga!$A$3:$Y$463,9,TRUE) &amp; " "&amp;ROUND(A161/13.333,2)</f>
        <v>Mrigashira 4.85</v>
      </c>
      <c r="B162" s="32" t="str">
        <f ca="1">VLOOKUP(B157,Panchanga!$A$3:$Y$463,9,TRUE) &amp; " "&amp;ROUND(B161/13.333,2)</f>
        <v>Ardra 5.93</v>
      </c>
      <c r="C162" s="32" t="str">
        <f ca="1">VLOOKUP(C157,Panchanga!$A$3:$Y$463,9,TRUE) &amp; " "&amp;ROUND(C161/13.333,2)</f>
        <v>Pushya 7.02</v>
      </c>
      <c r="D162" s="32" t="str">
        <f ca="1">VLOOKUP(D157,Panchanga!$A$3:$Y$463,9,TRUE) &amp; " "&amp;ROUND(D161/13.333,2)</f>
        <v>Aslesha 8.12</v>
      </c>
      <c r="E162" s="32" t="str">
        <f ca="1">VLOOKUP(E157,Panchanga!$A$3:$Y$463,9,TRUE) &amp; " "&amp;ROUND(E161/13.333,2)</f>
        <v>Makha 9.21</v>
      </c>
      <c r="F162" s="32" t="str">
        <f ca="1">VLOOKUP(F157,Panchanga!$A$3:$Y$463,9,TRUE) &amp; " "&amp;ROUND(F161/13.333,2)</f>
        <v>Purva Phalguni 10.3</v>
      </c>
      <c r="G162" s="46" t="str">
        <f ca="1">VLOOKUP(G157,Panchanga!$A$3:$Y$463,9,TRUE) &amp; " "&amp;ROUND(G161/13.333,2)</f>
        <v>Uttara Phalguni 11.37</v>
      </c>
    </row>
    <row r="163" spans="1:7" s="28" customFormat="1" ht="19.5" x14ac:dyDescent="0.3">
      <c r="A163" s="40">
        <f ca="1">VLOOKUP(A157,Panchanga!$A$3:$Y$463,10,TRUE)</f>
        <v>43156.411269697099</v>
      </c>
      <c r="B163" s="34">
        <f ca="1">VLOOKUP(B157,Panchanga!$A$3:$Y$463,10,TRUE)</f>
        <v>43157.334618403758</v>
      </c>
      <c r="C163" s="34">
        <f ca="1">VLOOKUP(C157,Panchanga!$A$3:$Y$463,10,TRUE)</f>
        <v>43159.160473017313</v>
      </c>
      <c r="D163" s="34">
        <f ca="1">VLOOKUP(D157,Panchanga!$A$3:$Y$463,10,TRUE)</f>
        <v>43160.072929716058</v>
      </c>
      <c r="E163" s="34">
        <f ca="1">VLOOKUP(E157,Panchanga!$A$3:$Y$463,10,TRUE)</f>
        <v>43160.992291795774</v>
      </c>
      <c r="F163" s="34">
        <f ca="1">VLOOKUP(F157,Panchanga!$A$3:$Y$463,10,TRUE)</f>
        <v>43161.92418407595</v>
      </c>
      <c r="G163" s="47">
        <f ca="1">VLOOKUP(G157,Panchanga!$A$3:$Y$463,10,TRUE)</f>
        <v>43162.874262005331</v>
      </c>
    </row>
    <row r="164" spans="1:7" s="28" customFormat="1" ht="19.5" x14ac:dyDescent="0.3">
      <c r="A164" s="38" t="str">
        <f ca="1">VLOOKUP(A157,Panchanga!$A$3:$Y$463,11,TRUE)</f>
        <v>S10 (9.36)</v>
      </c>
      <c r="B164" s="30" t="str">
        <f ca="1">VLOOKUP(B157,Panchanga!$A$3:$Y$463,11,TRUE)</f>
        <v>S11 (10.48)</v>
      </c>
      <c r="C164" s="30" t="str">
        <f ca="1">VLOOKUP(C157,Panchanga!$A$3:$Y$463,11,TRUE)</f>
        <v>S12 (11.61)</v>
      </c>
      <c r="D164" s="30" t="str">
        <f ca="1">VLOOKUP(D157,Panchanga!$A$3:$Y$463,11,TRUE)</f>
        <v>S13 (12.75)</v>
      </c>
      <c r="E164" s="30" t="str">
        <f ca="1">VLOOKUP(E157,Panchanga!$A$3:$Y$463,11,TRUE)</f>
        <v>S14 (13.88)</v>
      </c>
      <c r="F164" s="30" t="str">
        <f ca="1">VLOOKUP(F157,Panchanga!$A$3:$Y$463,11,TRUE)</f>
        <v>K1 (15)</v>
      </c>
      <c r="G164" s="45" t="str">
        <f ca="1">VLOOKUP(G157,Panchanga!$A$3:$Y$463,11,TRUE)</f>
        <v>K2 (16.11)</v>
      </c>
    </row>
    <row r="165" spans="1:7" s="28" customFormat="1" ht="19.5" x14ac:dyDescent="0.3">
      <c r="A165" s="41" t="str">
        <f ca="1">VLOOKUP(A157,Panchanga!$A$3:$Y$463,13,TRUE)</f>
        <v>Taitula</v>
      </c>
      <c r="B165" s="36" t="str">
        <f ca="1">VLOOKUP(B157,Panchanga!$A$3:$Y$463,13,TRUE)</f>
        <v>Vanija</v>
      </c>
      <c r="C165" s="36" t="str">
        <f ca="1">VLOOKUP(C157,Panchanga!$A$3:$Y$463,13,TRUE)</f>
        <v>Baalava</v>
      </c>
      <c r="D165" s="36" t="str">
        <f ca="1">VLOOKUP(D157,Panchanga!$A$3:$Y$463,13,TRUE)</f>
        <v>Taitula</v>
      </c>
      <c r="E165" s="36" t="str">
        <f ca="1">VLOOKUP(E157,Panchanga!$A$3:$Y$463,13,TRUE)</f>
        <v>Vanija</v>
      </c>
      <c r="F165" s="36" t="str">
        <f ca="1">VLOOKUP(F157,Panchanga!$A$3:$Y$463,13,TRUE)</f>
        <v>Baalava</v>
      </c>
      <c r="G165" s="48" t="str">
        <f ca="1">VLOOKUP(G157,Panchanga!$A$3:$Y$463,13,TRUE)</f>
        <v>Taitula</v>
      </c>
    </row>
    <row r="166" spans="1:7" s="28" customFormat="1" ht="19.5" x14ac:dyDescent="0.3">
      <c r="A166" s="41" t="str">
        <f ca="1">VLOOKUP(A157,Panchanga!$A$3:$Y$463,14,TRUE)</f>
        <v>Priti-प्रीति-Me (1.27)</v>
      </c>
      <c r="B166" s="36" t="str">
        <f ca="1">VLOOKUP(B157,Panchanga!$A$3:$Y$463,14,TRUE)</f>
        <v>Ayushman-आयुष्मान-Ke (2.43)</v>
      </c>
      <c r="C166" s="36" t="str">
        <f ca="1">VLOOKUP(C157,Panchanga!$A$3:$Y$463,14,TRUE)</f>
        <v>Saubhagya-सौभाग्य-Ve (3.6)</v>
      </c>
      <c r="D166" s="36" t="str">
        <f ca="1">VLOOKUP(D157,Panchanga!$A$3:$Y$463,14,TRUE)</f>
        <v>Shobhana-शोभन-Su (4.77)</v>
      </c>
      <c r="E166" s="36" t="str">
        <f ca="1">VLOOKUP(E157,Panchanga!$A$3:$Y$463,14,TRUE)</f>
        <v>Atiganda-अतिगण्ड -Mo (5.94)</v>
      </c>
      <c r="F166" s="36" t="str">
        <f ca="1">VLOOKUP(F157,Panchanga!$A$3:$Y$463,14,TRUE)</f>
        <v>Dhriti-धृति -Ra (7.1)</v>
      </c>
      <c r="G166" s="48" t="str">
        <f ca="1">VLOOKUP(G157,Panchanga!$A$3:$Y$463,14,TRUE)</f>
        <v>Shula-शूल -Ju (8.24)</v>
      </c>
    </row>
    <row r="167" spans="1:7" s="28" customFormat="1" ht="19.5" x14ac:dyDescent="0.3">
      <c r="A167" s="63" t="str">
        <f ca="1">VLOOKUP(A157,Panchanga!$A$3:$Y$463,18,TRUE)</f>
        <v>8Ma,11Me,7Ju,11Ve,9Sa,4Ra</v>
      </c>
      <c r="B167" s="64" t="str">
        <f ca="1">VLOOKUP(B157,Panchanga!$A$3:$Y$463,18,TRUE)</f>
        <v>8Ma,11Me,7Ju,11Ve,9Sa,4Ra</v>
      </c>
      <c r="C167" s="64" t="str">
        <f ca="1">VLOOKUP(C157,Panchanga!$A$3:$Y$463,18,TRUE)</f>
        <v>8Ma,11Me,7Ju,11Ve,9Sa,4Ra</v>
      </c>
      <c r="D167" s="64" t="str">
        <f ca="1">VLOOKUP(D157,Panchanga!$A$3:$Y$463,18,TRUE)</f>
        <v>8Ma,11Me,7Ju,11Ve,9Sa,4Ra</v>
      </c>
      <c r="E167" s="64" t="str">
        <f ca="1">VLOOKUP(E157,Panchanga!$A$3:$Y$463,18,TRUE)</f>
        <v>8Ma,11Me,7Ju,11Ve,9Sa,4Ra</v>
      </c>
      <c r="F167" s="64" t="str">
        <f ca="1">VLOOKUP(F157,Panchanga!$A$3:$Y$463,18,TRUE)</f>
        <v>8Ma,11Me,7Ju,11Ve,9Sa,4Ra</v>
      </c>
      <c r="G167" s="65" t="str">
        <f ca="1">VLOOKUP(G157,Panchanga!$A$3:$Y$463,18,TRUE)</f>
        <v>8Ma,11Me,7Ju,12Ve,9Sa,4Ra</v>
      </c>
    </row>
    <row r="168" spans="1:7" ht="5.85" customHeight="1" thickBot="1" x14ac:dyDescent="0.4">
      <c r="A168" s="42"/>
      <c r="B168" s="16"/>
      <c r="C168" s="16"/>
      <c r="D168" s="16"/>
      <c r="E168" s="16"/>
      <c r="F168" s="16"/>
      <c r="G168" s="49"/>
    </row>
    <row r="169" spans="1:7" s="51" customFormat="1" ht="37.5" x14ac:dyDescent="0.5">
      <c r="A169" s="52">
        <f ca="1">G157+1</f>
        <v>43163</v>
      </c>
      <c r="B169" s="53">
        <f t="shared" ref="B169:G169" ca="1" si="11">A169+1</f>
        <v>43164</v>
      </c>
      <c r="C169" s="53">
        <f t="shared" ca="1" si="11"/>
        <v>43165</v>
      </c>
      <c r="D169" s="53">
        <f t="shared" ca="1" si="11"/>
        <v>43166</v>
      </c>
      <c r="E169" s="53">
        <f t="shared" ca="1" si="11"/>
        <v>43167</v>
      </c>
      <c r="F169" s="53">
        <f t="shared" ca="1" si="11"/>
        <v>43168</v>
      </c>
      <c r="G169" s="54">
        <f t="shared" ca="1" si="11"/>
        <v>43169</v>
      </c>
    </row>
    <row r="170" spans="1:7" s="28" customFormat="1" ht="19.5" x14ac:dyDescent="0.3">
      <c r="A170" s="37">
        <f ca="1">VLOOKUP(A169,Panchanga!$A$3:$Y$463,3,TRUE)</f>
        <v>43163.267480578426</v>
      </c>
      <c r="B170" s="27">
        <f ca="1">VLOOKUP(B169,Panchanga!$A$3:$Y$463,3,TRUE)</f>
        <v>43164.267069704052</v>
      </c>
      <c r="C170" s="27">
        <f ca="1">VLOOKUP(C169,Panchanga!$A$3:$Y$463,3,TRUE)</f>
        <v>43165.266653265957</v>
      </c>
      <c r="D170" s="27">
        <f ca="1">VLOOKUP(D169,Panchanga!$A$3:$Y$463,3,TRUE)</f>
        <v>43166.266231424328</v>
      </c>
      <c r="E170" s="27">
        <f ca="1">VLOOKUP(E169,Panchanga!$A$3:$Y$463,3,TRUE)</f>
        <v>43167.265804655071</v>
      </c>
      <c r="F170" s="27">
        <f ca="1">VLOOKUP(F169,Panchanga!$A$3:$Y$463,3,TRUE)</f>
        <v>43168.265373276234</v>
      </c>
      <c r="G170" s="44">
        <f ca="1">VLOOKUP(G169,Panchanga!$A$3:$Y$463,3,TRUE)</f>
        <v>43169.264937288281</v>
      </c>
    </row>
    <row r="171" spans="1:7" s="28" customFormat="1" ht="19.5" x14ac:dyDescent="0.3">
      <c r="A171" s="37">
        <f ca="1">VLOOKUP(A169,Panchanga!$A$3:$Y$463,4,TRUE)</f>
        <v>43162.762218455828</v>
      </c>
      <c r="B171" s="27">
        <f ca="1">VLOOKUP(B169,Panchanga!$A$3:$Y$463,4,TRUE)</f>
        <v>43163.762325584932</v>
      </c>
      <c r="C171" s="27">
        <f ca="1">VLOOKUP(C169,Panchanga!$A$3:$Y$463,4,TRUE)</f>
        <v>43164.762428581758</v>
      </c>
      <c r="D171" s="27">
        <f ca="1">VLOOKUP(D169,Panchanga!$A$3:$Y$463,4,TRUE)</f>
        <v>43165.76252728705</v>
      </c>
      <c r="E171" s="27">
        <f ca="1">VLOOKUP(E169,Panchanga!$A$3:$Y$463,4,TRUE)</f>
        <v>43166.762622177645</v>
      </c>
      <c r="F171" s="27">
        <f ca="1">VLOOKUP(F169,Panchanga!$A$3:$Y$463,4,TRUE)</f>
        <v>43167.762713253542</v>
      </c>
      <c r="G171" s="44">
        <f ca="1">VLOOKUP(G169,Panchanga!$A$3:$Y$463,4,TRUE)</f>
        <v>43168.762800832788</v>
      </c>
    </row>
    <row r="172" spans="1:7" s="28" customFormat="1" ht="19.5" x14ac:dyDescent="0.3">
      <c r="A172" s="38">
        <f ca="1">VLOOKUP(A169,Panchanga!$A$3:$Y$463,6,TRUE)</f>
        <v>319.28351539992991</v>
      </c>
      <c r="B172" s="30">
        <f ca="1">VLOOKUP(B169,Panchanga!$A$3:$Y$463,6,TRUE)</f>
        <v>320.28494089978312</v>
      </c>
      <c r="C172" s="30">
        <f ca="1">VLOOKUP(C169,Panchanga!$A$3:$Y$463,6,TRUE)</f>
        <v>321.28590529950651</v>
      </c>
      <c r="D172" s="30">
        <f ca="1">VLOOKUP(D169,Panchanga!$A$3:$Y$463,6,TRUE)</f>
        <v>322.286414732514</v>
      </c>
      <c r="E172" s="30">
        <f ca="1">VLOOKUP(E169,Panchanga!$A$3:$Y$463,6,TRUE)</f>
        <v>323.28647249433487</v>
      </c>
      <c r="F172" s="30">
        <f ca="1">VLOOKUP(F169,Panchanga!$A$3:$Y$463,6,TRUE)</f>
        <v>324.28607887404218</v>
      </c>
      <c r="G172" s="45">
        <f ca="1">VLOOKUP(G169,Panchanga!$A$3:$Y$463,6,TRUE)</f>
        <v>325.28523131077725</v>
      </c>
    </row>
    <row r="173" spans="1:7" s="28" customFormat="1" ht="19.5" x14ac:dyDescent="0.3">
      <c r="A173" s="38">
        <f ca="1">VLOOKUP(A169,Panchanga!$A$3:$Y$463,7,TRUE)</f>
        <v>165.47295809696587</v>
      </c>
      <c r="B173" s="30">
        <f ca="1">VLOOKUP(B169,Panchanga!$A$3:$Y$463,7,TRUE)</f>
        <v>179.01197259243909</v>
      </c>
      <c r="C173" s="30">
        <f ca="1">VLOOKUP(C169,Panchanga!$A$3:$Y$463,7,TRUE)</f>
        <v>192.15705084254111</v>
      </c>
      <c r="D173" s="30">
        <f ca="1">VLOOKUP(D169,Panchanga!$A$3:$Y$463,7,TRUE)</f>
        <v>204.92124925913453</v>
      </c>
      <c r="E173" s="30">
        <f ca="1">VLOOKUP(E169,Panchanga!$A$3:$Y$463,7,TRUE)</f>
        <v>217.34599343825349</v>
      </c>
      <c r="F173" s="30">
        <f ca="1">VLOOKUP(F169,Panchanga!$A$3:$Y$463,7,TRUE)</f>
        <v>229.49411406265466</v>
      </c>
      <c r="G173" s="45">
        <f ca="1">VLOOKUP(G169,Panchanga!$A$3:$Y$463,7,TRUE)</f>
        <v>241.44243625352661</v>
      </c>
    </row>
    <row r="174" spans="1:7" s="28" customFormat="1" ht="19.5" x14ac:dyDescent="0.3">
      <c r="A174" s="39" t="str">
        <f ca="1">VLOOKUP(A169,Panchanga!$A$3:$Y$463,9,TRUE) &amp; " "&amp;ROUND(A173/13.333,2)</f>
        <v>Hasta 12.41</v>
      </c>
      <c r="B174" s="32" t="str">
        <f ca="1">VLOOKUP(B169,Panchanga!$A$3:$Y$463,9,TRUE) &amp; " "&amp;ROUND(B173/13.333,2)</f>
        <v>Chitra 13.43</v>
      </c>
      <c r="C174" s="32" t="str">
        <f ca="1">VLOOKUP(C169,Panchanga!$A$3:$Y$463,9,TRUE) &amp; " "&amp;ROUND(C173/13.333,2)</f>
        <v>Swati 14.41</v>
      </c>
      <c r="D174" s="32" t="str">
        <f ca="1">VLOOKUP(D169,Panchanga!$A$3:$Y$463,9,TRUE) &amp; " "&amp;ROUND(D173/13.333,2)</f>
        <v>Visakha 15.37</v>
      </c>
      <c r="E174" s="32" t="str">
        <f ca="1">VLOOKUP(E169,Panchanga!$A$3:$Y$463,9,TRUE) &amp; " "&amp;ROUND(E173/13.333,2)</f>
        <v>Anuradha 16.3</v>
      </c>
      <c r="F174" s="32" t="str">
        <f ca="1">VLOOKUP(F169,Panchanga!$A$3:$Y$463,9,TRUE) &amp; " "&amp;ROUND(F173/13.333,2)</f>
        <v>Jyestha 17.21</v>
      </c>
      <c r="G174" s="46" t="str">
        <f ca="1">VLOOKUP(G169,Panchanga!$A$3:$Y$463,9,TRUE) &amp; " "&amp;ROUND(G173/13.333,2)</f>
        <v>Moola 18.11</v>
      </c>
    </row>
    <row r="175" spans="1:7" s="28" customFormat="1" ht="19.5" x14ac:dyDescent="0.3">
      <c r="A175" s="40">
        <f ca="1">VLOOKUP(A169,Panchanga!$A$3:$Y$463,10,TRUE)</f>
        <v>43163.847814221779</v>
      </c>
      <c r="B175" s="34">
        <f ca="1">VLOOKUP(B169,Panchanga!$A$3:$Y$463,10,TRUE)</f>
        <v>43164.849151166207</v>
      </c>
      <c r="C175" s="34">
        <f ca="1">VLOOKUP(C169,Panchanga!$A$3:$Y$463,10,TRUE)</f>
        <v>43165.88084308181</v>
      </c>
      <c r="D175" s="34">
        <f ca="1">VLOOKUP(D169,Panchanga!$A$3:$Y$463,10,TRUE)</f>
        <v>43166.942985322363</v>
      </c>
      <c r="E175" s="34">
        <f ca="1">VLOOKUP(E169,Panchanga!$A$3:$Y$463,10,TRUE)</f>
        <v>43168.032725957164</v>
      </c>
      <c r="F175" s="34">
        <f ca="1">VLOOKUP(F169,Panchanga!$A$3:$Y$463,10,TRUE)</f>
        <v>43169.144267009586</v>
      </c>
      <c r="G175" s="47">
        <f ca="1">VLOOKUP(G169,Panchanga!$A$3:$Y$463,10,TRUE)</f>
        <v>43170.269434771588</v>
      </c>
    </row>
    <row r="176" spans="1:7" s="28" customFormat="1" ht="19.5" x14ac:dyDescent="0.3">
      <c r="A176" s="38" t="str">
        <f ca="1">VLOOKUP(A169,Panchanga!$A$3:$Y$463,11,TRUE)</f>
        <v>K3 (17.18)</v>
      </c>
      <c r="B176" s="30" t="str">
        <f ca="1">VLOOKUP(B169,Panchanga!$A$3:$Y$463,11,TRUE)</f>
        <v>K4 (18.23)</v>
      </c>
      <c r="C176" s="30" t="str">
        <f ca="1">VLOOKUP(C169,Panchanga!$A$3:$Y$463,11,TRUE)</f>
        <v>K5 (19.24)</v>
      </c>
      <c r="D176" s="30" t="str">
        <f ca="1">VLOOKUP(D169,Panchanga!$A$3:$Y$463,11,TRUE)</f>
        <v>K6 (20.22)</v>
      </c>
      <c r="E176" s="30" t="str">
        <f ca="1">VLOOKUP(E169,Panchanga!$A$3:$Y$463,11,TRUE)</f>
        <v>K7 (21.17)</v>
      </c>
      <c r="F176" s="30" t="str">
        <f ca="1">VLOOKUP(F169,Panchanga!$A$3:$Y$463,11,TRUE)</f>
        <v>K8 (22.1)</v>
      </c>
      <c r="G176" s="45" t="str">
        <f ca="1">VLOOKUP(G169,Panchanga!$A$3:$Y$463,11,TRUE)</f>
        <v>K9 (23.01)</v>
      </c>
    </row>
    <row r="177" spans="1:7" s="28" customFormat="1" ht="19.5" x14ac:dyDescent="0.3">
      <c r="A177" s="41" t="str">
        <f ca="1">VLOOKUP(A169,Panchanga!$A$3:$Y$463,13,TRUE)</f>
        <v>Vanija</v>
      </c>
      <c r="B177" s="36" t="str">
        <f ca="1">VLOOKUP(B169,Panchanga!$A$3:$Y$463,13,TRUE)</f>
        <v>Bhava</v>
      </c>
      <c r="C177" s="36" t="str">
        <f ca="1">VLOOKUP(C169,Panchanga!$A$3:$Y$463,13,TRUE)</f>
        <v>Kaulava</v>
      </c>
      <c r="D177" s="36" t="str">
        <f ca="1">VLOOKUP(D169,Panchanga!$A$3:$Y$463,13,TRUE)</f>
        <v>Garija</v>
      </c>
      <c r="E177" s="36" t="str">
        <f ca="1">VLOOKUP(E169,Panchanga!$A$3:$Y$463,13,TRUE)</f>
        <v>Vishti</v>
      </c>
      <c r="F177" s="36" t="str">
        <f ca="1">VLOOKUP(F169,Panchanga!$A$3:$Y$463,13,TRUE)</f>
        <v>Baalava</v>
      </c>
      <c r="G177" s="48" t="str">
        <f ca="1">VLOOKUP(G169,Panchanga!$A$3:$Y$463,13,TRUE)</f>
        <v>Taitula</v>
      </c>
    </row>
    <row r="178" spans="1:7" s="28" customFormat="1" ht="19.5" x14ac:dyDescent="0.3">
      <c r="A178" s="41" t="str">
        <f ca="1">VLOOKUP(A169,Panchanga!$A$3:$Y$463,14,TRUE)</f>
        <v>Ganda-गण्ड -Sa (9.36)</v>
      </c>
      <c r="B178" s="36" t="str">
        <f ca="1">VLOOKUP(B169,Panchanga!$A$3:$Y$463,14,TRUE)</f>
        <v>Vriddhi-वृद्धि -Me (10.45)</v>
      </c>
      <c r="C178" s="36" t="str">
        <f ca="1">VLOOKUP(C169,Panchanga!$A$3:$Y$463,14,TRUE)</f>
        <v>Dhruva-ध्रुव -Ke (11.51)</v>
      </c>
      <c r="D178" s="36" t="str">
        <f ca="1">VLOOKUP(D169,Panchanga!$A$3:$Y$463,14,TRUE)</f>
        <v>Vyaghata-व्याघात-ve (12.55)</v>
      </c>
      <c r="E178" s="36" t="str">
        <f ca="1">VLOOKUP(E169,Panchanga!$A$3:$Y$463,14,TRUE)</f>
        <v>Harshana-हर्षण-su (13.55)</v>
      </c>
      <c r="F178" s="36" t="str">
        <f ca="1">VLOOKUP(F169,Panchanga!$A$3:$Y$463,14,TRUE)</f>
        <v>Vajra-वज्र-Mo (14.54)</v>
      </c>
      <c r="G178" s="48" t="str">
        <f ca="1">VLOOKUP(G169,Panchanga!$A$3:$Y$463,14,TRUE)</f>
        <v>Siddhi-सिद्धि-Ma (15.51)</v>
      </c>
    </row>
    <row r="179" spans="1:7" s="28" customFormat="1" ht="19.5" x14ac:dyDescent="0.3">
      <c r="A179" s="63" t="str">
        <f ca="1">VLOOKUP(A169,Panchanga!$A$3:$Y$463,18,TRUE)</f>
        <v>8Ma,12Me,7Ju,12Ve,9Sa,4Ra</v>
      </c>
      <c r="B179" s="64" t="str">
        <f ca="1">VLOOKUP(B169,Panchanga!$A$3:$Y$463,18,TRUE)</f>
        <v>8Ma,12Me,7Ju,12Ve,9Sa,4Ra</v>
      </c>
      <c r="C179" s="64" t="str">
        <f ca="1">VLOOKUP(C169,Panchanga!$A$3:$Y$463,18,TRUE)</f>
        <v>8Ma,12Me,7Ju,12Ve,9Sa,4Ra</v>
      </c>
      <c r="D179" s="64" t="str">
        <f ca="1">VLOOKUP(D169,Panchanga!$A$3:$Y$463,18,TRUE)</f>
        <v>8Ma,12Me,7Ju,12Ve,9Sa,4Ra</v>
      </c>
      <c r="E179" s="64" t="str">
        <f ca="1">VLOOKUP(E169,Panchanga!$A$3:$Y$463,18,TRUE)</f>
        <v>9Ma,12Me,7Ju,12Ve,9Sa,4Ra</v>
      </c>
      <c r="F179" s="64" t="str">
        <f ca="1">VLOOKUP(F169,Panchanga!$A$3:$Y$463,18,TRUE)</f>
        <v>9Ma,12Me,-7Ju,12Ve,9Sa,4Ra</v>
      </c>
      <c r="G179" s="65" t="str">
        <f ca="1">VLOOKUP(G169,Panchanga!$A$3:$Y$463,18,TRUE)</f>
        <v>9Ma,12Me,-7Ju,12Ve,9Sa,4Ra</v>
      </c>
    </row>
    <row r="180" spans="1:7" ht="5.85" customHeight="1" thickBot="1" x14ac:dyDescent="0.4">
      <c r="A180" s="42"/>
      <c r="B180" s="16"/>
      <c r="C180" s="16"/>
      <c r="D180" s="16"/>
      <c r="E180" s="16"/>
      <c r="F180" s="16"/>
      <c r="G180" s="49"/>
    </row>
    <row r="181" spans="1:7" s="18" customFormat="1" ht="27.75" x14ac:dyDescent="0.4">
      <c r="A181" s="43">
        <f ca="1">G169+1</f>
        <v>43170</v>
      </c>
      <c r="B181" s="19">
        <f t="shared" ref="B181:G181" ca="1" si="12">A181+1</f>
        <v>43171</v>
      </c>
      <c r="C181" s="19">
        <f t="shared" ca="1" si="12"/>
        <v>43172</v>
      </c>
      <c r="D181" s="19">
        <f t="shared" ca="1" si="12"/>
        <v>43173</v>
      </c>
      <c r="E181" s="19">
        <f t="shared" ca="1" si="12"/>
        <v>43174</v>
      </c>
      <c r="F181" s="19">
        <f t="shared" ca="1" si="12"/>
        <v>43175</v>
      </c>
      <c r="G181" s="50">
        <f t="shared" ca="1" si="12"/>
        <v>43176</v>
      </c>
    </row>
    <row r="182" spans="1:7" s="28" customFormat="1" ht="19.5" x14ac:dyDescent="0.3">
      <c r="A182" s="37">
        <f ca="1">VLOOKUP(A181,Panchanga!$A$3:$Y$463,3,TRUE)</f>
        <v>43170.264497167584</v>
      </c>
      <c r="B182" s="27">
        <f ca="1">VLOOKUP(B181,Panchanga!$A$3:$Y$463,3,TRUE)</f>
        <v>43171.264053072933</v>
      </c>
      <c r="C182" s="27">
        <f ca="1">VLOOKUP(C181,Panchanga!$A$3:$Y$463,3,TRUE)</f>
        <v>43172.263605482098</v>
      </c>
      <c r="D182" s="27">
        <f ca="1">VLOOKUP(D181,Panchanga!$A$3:$Y$463,3,TRUE)</f>
        <v>43173.263154394146</v>
      </c>
      <c r="E182" s="27">
        <f ca="1">VLOOKUP(E181,Panchanga!$A$3:$Y$463,3,TRUE)</f>
        <v>43174.262700285915</v>
      </c>
      <c r="F182" s="27">
        <f ca="1">VLOOKUP(F181,Panchanga!$A$3:$Y$463,3,TRUE)</f>
        <v>43175.262243158337</v>
      </c>
      <c r="G182" s="44">
        <f ca="1">VLOOKUP(G181,Panchanga!$A$3:$Y$463,3,TRUE)</f>
        <v>43176.261783487316</v>
      </c>
    </row>
    <row r="183" spans="1:7" s="28" customFormat="1" ht="19.5" x14ac:dyDescent="0.3">
      <c r="A183" s="37">
        <f ca="1">VLOOKUP(A181,Panchanga!$A$3:$Y$463,4,TRUE)</f>
        <v>43169.762885074175</v>
      </c>
      <c r="B183" s="27">
        <f ca="1">VLOOKUP(B181,Panchanga!$A$3:$Y$463,4,TRUE)</f>
        <v>43170.762965977236</v>
      </c>
      <c r="C183" s="27">
        <f ca="1">VLOOKUP(C181,Panchanga!$A$3:$Y$463,4,TRUE)</f>
        <v>43171.763044019739</v>
      </c>
      <c r="D183" s="27">
        <f ca="1">VLOOKUP(D181,Panchanga!$A$3:$Y$463,4,TRUE)</f>
        <v>43172.763119041963</v>
      </c>
      <c r="E183" s="27">
        <f ca="1">VLOOKUP(E181,Panchanga!$A$3:$Y$463,4,TRUE)</f>
        <v>43173.763191521211</v>
      </c>
      <c r="F183" s="27">
        <f ca="1">VLOOKUP(F181,Panchanga!$A$3:$Y$463,4,TRUE)</f>
        <v>43174.763261457483</v>
      </c>
      <c r="G183" s="44">
        <f ca="1">VLOOKUP(G181,Panchanga!$A$3:$Y$463,4,TRUE)</f>
        <v>43175.763329009569</v>
      </c>
    </row>
    <row r="184" spans="1:7" s="28" customFormat="1" ht="19.5" x14ac:dyDescent="0.3">
      <c r="A184" s="38">
        <f ca="1">VLOOKUP(A181,Panchanga!$A$3:$Y$463,6,TRUE)</f>
        <v>326.28392548373745</v>
      </c>
      <c r="B184" s="30">
        <f ca="1">VLOOKUP(B181,Panchanga!$A$3:$Y$463,6,TRUE)</f>
        <v>327.28215477022184</v>
      </c>
      <c r="C184" s="30">
        <f ca="1">VLOOKUP(C181,Panchanga!$A$3:$Y$463,6,TRUE)</f>
        <v>328.27991105264874</v>
      </c>
      <c r="D184" s="30">
        <f ca="1">VLOOKUP(D181,Panchanga!$A$3:$Y$463,6,TRUE)</f>
        <v>329.27718397210742</v>
      </c>
      <c r="E184" s="30">
        <f ca="1">VLOOKUP(E181,Panchanga!$A$3:$Y$463,6,TRUE)</f>
        <v>330.27396181311525</v>
      </c>
      <c r="F184" s="30">
        <f ca="1">VLOOKUP(F181,Panchanga!$A$3:$Y$463,6,TRUE)</f>
        <v>331.27023043903586</v>
      </c>
      <c r="G184" s="45">
        <f ca="1">VLOOKUP(G181,Panchanga!$A$3:$Y$463,6,TRUE)</f>
        <v>332.2659742224223</v>
      </c>
    </row>
    <row r="185" spans="1:7" s="28" customFormat="1" ht="19.5" x14ac:dyDescent="0.3">
      <c r="A185" s="38">
        <f ca="1">VLOOKUP(A181,Panchanga!$A$3:$Y$463,7,TRUE)</f>
        <v>253.27488366866956</v>
      </c>
      <c r="B185" s="30">
        <f ca="1">VLOOKUP(B181,Panchanga!$A$3:$Y$463,7,TRUE)</f>
        <v>265.07657243284251</v>
      </c>
      <c r="C185" s="30">
        <f ca="1">VLOOKUP(C181,Panchanga!$A$3:$Y$463,7,TRUE)</f>
        <v>276.92899300121934</v>
      </c>
      <c r="D185" s="30">
        <f ca="1">VLOOKUP(D181,Panchanga!$A$3:$Y$463,7,TRUE)</f>
        <v>288.9058878418341</v>
      </c>
      <c r="E185" s="30">
        <f ca="1">VLOOKUP(E181,Panchanga!$A$3:$Y$463,7,TRUE)</f>
        <v>301.06943696347849</v>
      </c>
      <c r="F185" s="30">
        <f ca="1">VLOOKUP(F181,Panchanga!$A$3:$Y$463,7,TRUE)</f>
        <v>313.46668062130817</v>
      </c>
      <c r="G185" s="45">
        <f ca="1">VLOOKUP(G181,Panchanga!$A$3:$Y$463,7,TRUE)</f>
        <v>326.12670826365314</v>
      </c>
    </row>
    <row r="186" spans="1:7" s="28" customFormat="1" ht="19.5" x14ac:dyDescent="0.3">
      <c r="A186" s="39" t="str">
        <f ca="1">VLOOKUP(A181,Panchanga!$A$3:$Y$463,9,TRUE) &amp; " "&amp;ROUND(A185/13.333,2)</f>
        <v>Purva Asadha 19</v>
      </c>
      <c r="B186" s="32" t="str">
        <f ca="1">VLOOKUP(B181,Panchanga!$A$3:$Y$463,9,TRUE) &amp; " "&amp;ROUND(B185/13.333,2)</f>
        <v>Purva Asadha 19.88</v>
      </c>
      <c r="C186" s="32" t="str">
        <f ca="1">VLOOKUP(C181,Panchanga!$A$3:$Y$463,9,TRUE) &amp; " "&amp;ROUND(C185/13.333,2)</f>
        <v>Uttara Asadha 20.77</v>
      </c>
      <c r="D186" s="32" t="str">
        <f ca="1">VLOOKUP(D181,Panchanga!$A$3:$Y$463,9,TRUE) &amp; " "&amp;ROUND(D185/13.333,2)</f>
        <v>Sravana 21.67</v>
      </c>
      <c r="E186" s="32" t="str">
        <f ca="1">VLOOKUP(E181,Panchanga!$A$3:$Y$463,9,TRUE) &amp; " "&amp;ROUND(E185/13.333,2)</f>
        <v>Dhanistha 22.58</v>
      </c>
      <c r="F186" s="32" t="str">
        <f ca="1">VLOOKUP(F181,Panchanga!$A$3:$Y$463,9,TRUE) &amp; " "&amp;ROUND(F185/13.333,2)</f>
        <v>Satabhisaj 23.51</v>
      </c>
      <c r="G186" s="46" t="str">
        <f ca="1">VLOOKUP(G181,Panchanga!$A$3:$Y$463,9,TRUE) &amp; " "&amp;ROUND(G185/13.333,2)</f>
        <v>Purva Bhadrapada 24.46</v>
      </c>
    </row>
    <row r="187" spans="1:7" s="28" customFormat="1" ht="19.5" x14ac:dyDescent="0.3">
      <c r="A187" s="40">
        <f ca="1">VLOOKUP(A181,Panchanga!$A$3:$Y$463,10,TRUE)</f>
        <v>43170.269447620747</v>
      </c>
      <c r="B187" s="34">
        <f ca="1">VLOOKUP(B181,Panchanga!$A$3:$Y$463,10,TRUE)</f>
        <v>43171.398150788504</v>
      </c>
      <c r="C187" s="34">
        <f ca="1">VLOOKUP(C181,Panchanga!$A$3:$Y$463,10,TRUE)</f>
        <v>43172.519900769432</v>
      </c>
      <c r="D187" s="34">
        <f ca="1">VLOOKUP(D181,Panchanga!$A$3:$Y$463,10,TRUE)</f>
        <v>43173.626981999711</v>
      </c>
      <c r="E187" s="34">
        <f ca="1">VLOOKUP(E181,Panchanga!$A$3:$Y$463,10,TRUE)</f>
        <v>43174.713983749367</v>
      </c>
      <c r="F187" s="34">
        <f ca="1">VLOOKUP(F181,Panchanga!$A$3:$Y$463,10,TRUE)</f>
        <v>43175.778064796774</v>
      </c>
      <c r="G187" s="47">
        <f ca="1">VLOOKUP(G181,Panchanga!$A$3:$Y$463,10,TRUE)</f>
        <v>43176.818772651619</v>
      </c>
    </row>
    <row r="188" spans="1:7" s="28" customFormat="1" ht="19.5" x14ac:dyDescent="0.3">
      <c r="A188" s="38" t="str">
        <f ca="1">VLOOKUP(A181,Panchanga!$A$3:$Y$463,11,TRUE)</f>
        <v>K9 (23.92)</v>
      </c>
      <c r="B188" s="30" t="str">
        <f ca="1">VLOOKUP(B181,Panchanga!$A$3:$Y$463,11,TRUE)</f>
        <v>K10 (24.82)</v>
      </c>
      <c r="C188" s="30" t="str">
        <f ca="1">VLOOKUP(C181,Panchanga!$A$3:$Y$463,11,TRUE)</f>
        <v>K11 (25.72)</v>
      </c>
      <c r="D188" s="30" t="str">
        <f ca="1">VLOOKUP(D181,Panchanga!$A$3:$Y$463,11,TRUE)</f>
        <v>K12 (26.64)</v>
      </c>
      <c r="E188" s="30" t="str">
        <f ca="1">VLOOKUP(E181,Panchanga!$A$3:$Y$463,11,TRUE)</f>
        <v>K13 (27.57)</v>
      </c>
      <c r="F188" s="30" t="str">
        <f ca="1">VLOOKUP(F181,Panchanga!$A$3:$Y$463,11,TRUE)</f>
        <v>K14 (28.52)</v>
      </c>
      <c r="G188" s="45" t="str">
        <f ca="1">VLOOKUP(G181,Panchanga!$A$3:$Y$463,11,TRUE)</f>
        <v>K15 (29.49)</v>
      </c>
    </row>
    <row r="189" spans="1:7" s="28" customFormat="1" ht="19.5" x14ac:dyDescent="0.3">
      <c r="A189" s="41" t="str">
        <f ca="1">VLOOKUP(A181,Panchanga!$A$3:$Y$463,13,TRUE)</f>
        <v>Garija</v>
      </c>
      <c r="B189" s="36" t="str">
        <f ca="1">VLOOKUP(B181,Panchanga!$A$3:$Y$463,13,TRUE)</f>
        <v>Vishti</v>
      </c>
      <c r="C189" s="36" t="str">
        <f ca="1">VLOOKUP(C181,Panchanga!$A$3:$Y$463,13,TRUE)</f>
        <v>Baalava</v>
      </c>
      <c r="D189" s="36" t="str">
        <f ca="1">VLOOKUP(D181,Panchanga!$A$3:$Y$463,13,TRUE)</f>
        <v>Taitula</v>
      </c>
      <c r="E189" s="36" t="str">
        <f ca="1">VLOOKUP(E181,Panchanga!$A$3:$Y$463,13,TRUE)</f>
        <v>Vanija</v>
      </c>
      <c r="F189" s="36" t="str">
        <f ca="1">VLOOKUP(F181,Panchanga!$A$3:$Y$463,13,TRUE)</f>
        <v>Shakuni</v>
      </c>
      <c r="G189" s="48" t="str">
        <f ca="1">VLOOKUP(G181,Panchanga!$A$3:$Y$463,13,TRUE)</f>
        <v>Chatushapda</v>
      </c>
    </row>
    <row r="190" spans="1:7" s="28" customFormat="1" ht="19.5" x14ac:dyDescent="0.3">
      <c r="A190" s="41" t="str">
        <f ca="1">VLOOKUP(A181,Panchanga!$A$3:$Y$463,14,TRUE)</f>
        <v>Vyatipata-व्यतिपात-Ra (16.47)</v>
      </c>
      <c r="B190" s="36" t="str">
        <f ca="1">VLOOKUP(B181,Panchanga!$A$3:$Y$463,14,TRUE)</f>
        <v>Varigha-वरीयस्-Ju (17.43)</v>
      </c>
      <c r="C190" s="36" t="str">
        <f ca="1">VLOOKUP(C181,Panchanga!$A$3:$Y$463,14,TRUE)</f>
        <v>Parigha-परिघ-Sa (18.4)</v>
      </c>
      <c r="D190" s="36" t="str">
        <f ca="1">VLOOKUP(D181,Panchanga!$A$3:$Y$463,14,TRUE)</f>
        <v>Shiva-शिव-Me (19.37)</v>
      </c>
      <c r="E190" s="36" t="str">
        <f ca="1">VLOOKUP(E181,Panchanga!$A$3:$Y$463,14,TRUE)</f>
        <v>Siddha-सिद्ध-Ke (20.36)</v>
      </c>
      <c r="F190" s="36" t="str">
        <f ca="1">VLOOKUP(F181,Panchanga!$A$3:$Y$463,14,TRUE)</f>
        <v>Sadhya-साध्य-Ve (21.36)</v>
      </c>
      <c r="G190" s="48" t="str">
        <f ca="1">VLOOKUP(G181,Panchanga!$A$3:$Y$463,14,TRUE)</f>
        <v>Shubha-शुभ-Su (22.38)</v>
      </c>
    </row>
    <row r="191" spans="1:7" s="28" customFormat="1" ht="19.5" x14ac:dyDescent="0.3">
      <c r="A191" s="63" t="str">
        <f ca="1">VLOOKUP(A181,Panchanga!$A$3:$Y$463,18,TRUE)</f>
        <v>9Ma,12Me,-7Ju,12Ve,9Sa,4Ra</v>
      </c>
      <c r="B191" s="64" t="str">
        <f ca="1">VLOOKUP(B181,Panchanga!$A$3:$Y$463,18,TRUE)</f>
        <v>9Ma,12Me,-7Ju,12Ve,9Sa,4Ra</v>
      </c>
      <c r="C191" s="64" t="str">
        <f ca="1">VLOOKUP(C181,Panchanga!$A$3:$Y$463,18,TRUE)</f>
        <v>9Ma,12Me,-7Ju,12Ve,9Sa,4Ra</v>
      </c>
      <c r="D191" s="64" t="str">
        <f ca="1">VLOOKUP(D181,Panchanga!$A$3:$Y$463,18,TRUE)</f>
        <v>9Ma,12Me,-7Ju,12Ve,9Sa,4Ra</v>
      </c>
      <c r="E191" s="64" t="str">
        <f ca="1">VLOOKUP(E181,Panchanga!$A$3:$Y$463,18,TRUE)</f>
        <v>9Ma,12Me,-7Ju,12Ve,9Sa,4Ra</v>
      </c>
      <c r="F191" s="64" t="str">
        <f ca="1">VLOOKUP(F181,Panchanga!$A$3:$Y$463,18,TRUE)</f>
        <v>9Ma,12Me,-7Ju,12Ve,9Sa,4Ra</v>
      </c>
      <c r="G191" s="65" t="str">
        <f ca="1">VLOOKUP(G181,Panchanga!$A$3:$Y$463,18,TRUE)</f>
        <v>9Ma,12Me,-7Ju,12Ve,9Sa,4Ra</v>
      </c>
    </row>
    <row r="192" spans="1:7" ht="5.85" customHeight="1" thickBot="1" x14ac:dyDescent="0.4">
      <c r="A192" s="42"/>
      <c r="B192" s="16"/>
      <c r="C192" s="16"/>
      <c r="D192" s="16"/>
      <c r="E192" s="16"/>
      <c r="F192" s="16"/>
      <c r="G192" s="49"/>
    </row>
    <row r="193" spans="1:7" s="51" customFormat="1" ht="37.5" x14ac:dyDescent="0.5">
      <c r="A193" s="52">
        <f ca="1">G181+1</f>
        <v>43177</v>
      </c>
      <c r="B193" s="53">
        <f t="shared" ref="B193:G193" ca="1" si="13">A193+1</f>
        <v>43178</v>
      </c>
      <c r="C193" s="53">
        <f t="shared" ca="1" si="13"/>
        <v>43179</v>
      </c>
      <c r="D193" s="53">
        <f t="shared" ca="1" si="13"/>
        <v>43180</v>
      </c>
      <c r="E193" s="53">
        <f t="shared" ca="1" si="13"/>
        <v>43181</v>
      </c>
      <c r="F193" s="53">
        <f t="shared" ca="1" si="13"/>
        <v>43182</v>
      </c>
      <c r="G193" s="54">
        <f t="shared" ca="1" si="13"/>
        <v>43183</v>
      </c>
    </row>
    <row r="194" spans="1:7" s="28" customFormat="1" ht="19.5" x14ac:dyDescent="0.3">
      <c r="A194" s="37">
        <f ca="1">VLOOKUP(A193,Panchanga!$A$3:$Y$463,3,TRUE)</f>
        <v>43177.26132143211</v>
      </c>
      <c r="B194" s="27">
        <f ca="1">VLOOKUP(B193,Panchanga!$A$3:$Y$463,3,TRUE)</f>
        <v>43178.260857151508</v>
      </c>
      <c r="C194" s="27">
        <f ca="1">VLOOKUP(C193,Panchanga!$A$3:$Y$463,3,TRUE)</f>
        <v>43179.260391122814</v>
      </c>
      <c r="D194" s="27">
        <f ca="1">VLOOKUP(D193,Panchanga!$A$3:$Y$463,3,TRUE)</f>
        <v>43180.259923186306</v>
      </c>
      <c r="E194" s="27">
        <f ca="1">VLOOKUP(E193,Panchanga!$A$3:$Y$463,3,TRUE)</f>
        <v>43181.259453978542</v>
      </c>
      <c r="F194" s="27">
        <f ca="1">VLOOKUP(F193,Panchanga!$A$3:$Y$463,3,TRUE)</f>
        <v>43182.258983499523</v>
      </c>
      <c r="G194" s="44">
        <f ca="1">VLOOKUP(G193,Panchanga!$A$3:$Y$463,3,TRUE)</f>
        <v>43183.258512066364</v>
      </c>
    </row>
    <row r="195" spans="1:7" s="28" customFormat="1" ht="19.5" x14ac:dyDescent="0.3">
      <c r="A195" s="37">
        <f ca="1">VLOOKUP(A193,Panchanga!$A$3:$Y$463,4,TRUE)</f>
        <v>43176.76339433626</v>
      </c>
      <c r="B195" s="27">
        <f ca="1">VLOOKUP(B193,Panchanga!$A$3:$Y$463,4,TRUE)</f>
        <v>43177.763457755602</v>
      </c>
      <c r="C195" s="27">
        <f ca="1">VLOOKUP(C193,Panchanga!$A$3:$Y$463,4,TRUE)</f>
        <v>43178.763519108339</v>
      </c>
      <c r="D195" s="27">
        <f ca="1">VLOOKUP(D193,Panchanga!$A$3:$Y$463,4,TRUE)</f>
        <v>43179.763578712984</v>
      </c>
      <c r="E195" s="27">
        <f ca="1">VLOOKUP(E193,Panchanga!$A$3:$Y$463,4,TRUE)</f>
        <v>43180.763636728327</v>
      </c>
      <c r="F195" s="27">
        <f ca="1">VLOOKUP(F193,Panchanga!$A$3:$Y$463,4,TRUE)</f>
        <v>43181.763693153902</v>
      </c>
      <c r="G195" s="44">
        <f ca="1">VLOOKUP(G193,Panchanga!$A$3:$Y$463,4,TRUE)</f>
        <v>43182.763748467012</v>
      </c>
    </row>
    <row r="196" spans="1:7" s="28" customFormat="1" ht="19.5" x14ac:dyDescent="0.3">
      <c r="A196" s="38">
        <f ca="1">VLOOKUP(A193,Panchanga!$A$3:$Y$463,6,TRUE)</f>
        <v>333.26117547923019</v>
      </c>
      <c r="B196" s="30">
        <f ca="1">VLOOKUP(B193,Panchanga!$A$3:$Y$463,6,TRUE)</f>
        <v>334.25581532355795</v>
      </c>
      <c r="C196" s="30">
        <f ca="1">VLOOKUP(C193,Panchanga!$A$3:$Y$463,6,TRUE)</f>
        <v>335.24987480329935</v>
      </c>
      <c r="D196" s="30">
        <f ca="1">VLOOKUP(D193,Panchanga!$A$3:$Y$463,6,TRUE)</f>
        <v>336.24333492735354</v>
      </c>
      <c r="E196" s="30">
        <f ca="1">VLOOKUP(E193,Panchanga!$A$3:$Y$463,6,TRUE)</f>
        <v>337.23617907781085</v>
      </c>
      <c r="F196" s="30">
        <f ca="1">VLOOKUP(F193,Panchanga!$A$3:$Y$463,6,TRUE)</f>
        <v>338.22839250971538</v>
      </c>
      <c r="G196" s="45">
        <f ca="1">VLOOKUP(G193,Panchanga!$A$3:$Y$463,6,TRUE)</f>
        <v>339.21996413887359</v>
      </c>
    </row>
    <row r="197" spans="1:7" s="28" customFormat="1" ht="19.5" x14ac:dyDescent="0.3">
      <c r="A197" s="38">
        <f ca="1">VLOOKUP(A193,Panchanga!$A$3:$Y$463,7,TRUE)</f>
        <v>339.05926723011612</v>
      </c>
      <c r="B197" s="30">
        <f ca="1">VLOOKUP(B193,Panchanga!$A$3:$Y$463,7,TRUE)</f>
        <v>352.25541644595501</v>
      </c>
      <c r="C197" s="30">
        <f ca="1">VLOOKUP(C193,Panchanga!$A$3:$Y$463,7,TRUE)</f>
        <v>5.6905394698492762</v>
      </c>
      <c r="D197" s="30">
        <f ca="1">VLOOKUP(D193,Panchanga!$A$3:$Y$463,7,TRUE)</f>
        <v>19.329567193140832</v>
      </c>
      <c r="E197" s="30">
        <f ca="1">VLOOKUP(E193,Panchanga!$A$3:$Y$463,7,TRUE)</f>
        <v>33.133550671419286</v>
      </c>
      <c r="F197" s="30">
        <f ca="1">VLOOKUP(F193,Panchanga!$A$3:$Y$463,7,TRUE)</f>
        <v>47.065791786869148</v>
      </c>
      <c r="G197" s="45">
        <f ca="1">VLOOKUP(G193,Panchanga!$A$3:$Y$463,7,TRUE)</f>
        <v>61.095684211968134</v>
      </c>
    </row>
    <row r="198" spans="1:7" s="28" customFormat="1" ht="19.5" x14ac:dyDescent="0.3">
      <c r="A198" s="39" t="str">
        <f ca="1">VLOOKUP(A193,Panchanga!$A$3:$Y$463,9,TRUE) &amp; " "&amp;ROUND(A197/13.333,2)</f>
        <v>Uttara Bhadrapada 25.43</v>
      </c>
      <c r="B198" s="32" t="str">
        <f ca="1">VLOOKUP(B193,Panchanga!$A$3:$Y$463,9,TRUE) &amp; " "&amp;ROUND(B197/13.333,2)</f>
        <v>Revati 26.42</v>
      </c>
      <c r="C198" s="32" t="str">
        <f ca="1">VLOOKUP(C193,Panchanga!$A$3:$Y$463,9,TRUE) &amp; " "&amp;ROUND(C197/13.333,2)</f>
        <v>Aswini 0.43</v>
      </c>
      <c r="D198" s="32" t="str">
        <f ca="1">VLOOKUP(D193,Panchanga!$A$3:$Y$463,9,TRUE) &amp; " "&amp;ROUND(D197/13.333,2)</f>
        <v>Bharani 1.45</v>
      </c>
      <c r="E198" s="32" t="str">
        <f ca="1">VLOOKUP(E193,Panchanga!$A$3:$Y$463,9,TRUE) &amp; " "&amp;ROUND(E197/13.333,2)</f>
        <v>Krittika 2.49</v>
      </c>
      <c r="F198" s="32" t="str">
        <f ca="1">VLOOKUP(F193,Panchanga!$A$3:$Y$463,9,TRUE) &amp; " "&amp;ROUND(F197/13.333,2)</f>
        <v>Rohini 3.53</v>
      </c>
      <c r="G198" s="46" t="str">
        <f ca="1">VLOOKUP(G193,Panchanga!$A$3:$Y$463,9,TRUE) &amp; " "&amp;ROUND(G197/13.333,2)</f>
        <v>Mrigashira 4.58</v>
      </c>
    </row>
    <row r="199" spans="1:7" s="28" customFormat="1" ht="19.5" x14ac:dyDescent="0.3">
      <c r="A199" s="40">
        <f ca="1">VLOOKUP(A193,Panchanga!$A$3:$Y$463,10,TRUE)</f>
        <v>43177.837540095919</v>
      </c>
      <c r="B199" s="34">
        <f ca="1">VLOOKUP(B193,Panchanga!$A$3:$Y$463,10,TRUE)</f>
        <v>43178.238520859319</v>
      </c>
      <c r="C199" s="34">
        <f ca="1">VLOOKUP(C193,Panchanga!$A$3:$Y$463,10,TRUE)</f>
        <v>43179.820490983024</v>
      </c>
      <c r="D199" s="34">
        <f ca="1">VLOOKUP(D193,Panchanga!$A$3:$Y$463,10,TRUE)</f>
        <v>43180.791194240133</v>
      </c>
      <c r="E199" s="34">
        <f ca="1">VLOOKUP(E193,Panchanga!$A$3:$Y$463,10,TRUE)</f>
        <v>43181.752068106543</v>
      </c>
      <c r="F199" s="34">
        <f ca="1">VLOOKUP(F193,Panchanga!$A$3:$Y$463,10,TRUE)</f>
        <v>43182.705500595286</v>
      </c>
      <c r="G199" s="47">
        <f ca="1">VLOOKUP(G193,Panchanga!$A$3:$Y$463,10,TRUE)</f>
        <v>43183.65333669963</v>
      </c>
    </row>
    <row r="200" spans="1:7" s="28" customFormat="1" ht="19.5" x14ac:dyDescent="0.3">
      <c r="A200" s="38" t="str">
        <f ca="1">VLOOKUP(A193,Panchanga!$A$3:$Y$463,11,TRUE)</f>
        <v>S1 (0.48)</v>
      </c>
      <c r="B200" s="30" t="str">
        <f ca="1">VLOOKUP(B193,Panchanga!$A$3:$Y$463,11,TRUE)</f>
        <v>S2 (1.5)</v>
      </c>
      <c r="C200" s="30" t="str">
        <f ca="1">VLOOKUP(C193,Panchanga!$A$3:$Y$463,11,TRUE)</f>
        <v>S3 (2.54)</v>
      </c>
      <c r="D200" s="30" t="str">
        <f ca="1">VLOOKUP(D193,Panchanga!$A$3:$Y$463,11,TRUE)</f>
        <v>S4 (3.59)</v>
      </c>
      <c r="E200" s="30" t="str">
        <f ca="1">VLOOKUP(E193,Panchanga!$A$3:$Y$463,11,TRUE)</f>
        <v>S5 (4.66)</v>
      </c>
      <c r="F200" s="30" t="str">
        <f ca="1">VLOOKUP(F193,Panchanga!$A$3:$Y$463,11,TRUE)</f>
        <v>S6 (5.74)</v>
      </c>
      <c r="G200" s="45" t="str">
        <f ca="1">VLOOKUP(G193,Panchanga!$A$3:$Y$463,11,TRUE)</f>
        <v>S7 (6.82)</v>
      </c>
    </row>
    <row r="201" spans="1:7" s="28" customFormat="1" ht="19.5" x14ac:dyDescent="0.3">
      <c r="A201" s="41" t="str">
        <f ca="1">VLOOKUP(A193,Panchanga!$A$3:$Y$463,13,TRUE)</f>
        <v>Kimstugna</v>
      </c>
      <c r="B201" s="36" t="str">
        <f ca="1">VLOOKUP(B193,Panchanga!$A$3:$Y$463,13,TRUE)</f>
        <v>Baalava</v>
      </c>
      <c r="C201" s="36" t="str">
        <f ca="1">VLOOKUP(C193,Panchanga!$A$3:$Y$463,13,TRUE)</f>
        <v>Garija</v>
      </c>
      <c r="D201" s="36" t="str">
        <f ca="1">VLOOKUP(D193,Panchanga!$A$3:$Y$463,13,TRUE)</f>
        <v>Vishti</v>
      </c>
      <c r="E201" s="36" t="str">
        <f ca="1">VLOOKUP(E193,Panchanga!$A$3:$Y$463,13,TRUE)</f>
        <v>Baalava</v>
      </c>
      <c r="F201" s="36" t="str">
        <f ca="1">VLOOKUP(F193,Panchanga!$A$3:$Y$463,13,TRUE)</f>
        <v>Taitula</v>
      </c>
      <c r="G201" s="48" t="str">
        <f ca="1">VLOOKUP(G193,Panchanga!$A$3:$Y$463,13,TRUE)</f>
        <v>Vanija</v>
      </c>
    </row>
    <row r="202" spans="1:7" s="28" customFormat="1" ht="19.5" x14ac:dyDescent="0.3">
      <c r="A202" s="41" t="str">
        <f ca="1">VLOOKUP(A193,Panchanga!$A$3:$Y$463,14,TRUE)</f>
        <v>Shukla-शुक्ल-Mo (23.43)</v>
      </c>
      <c r="B202" s="36" t="str">
        <f ca="1">VLOOKUP(B193,Panchanga!$A$3:$Y$463,14,TRUE)</f>
        <v>Brahma-ब्रह्म-Ma (24.49)</v>
      </c>
      <c r="C202" s="36" t="str">
        <f ca="1">VLOOKUP(C193,Panchanga!$A$3:$Y$463,14,TRUE)</f>
        <v>Mahendra-महेन्द्र-Ra (25.58)</v>
      </c>
      <c r="D202" s="36" t="str">
        <f ca="1">VLOOKUP(D193,Panchanga!$A$3:$Y$463,14,TRUE)</f>
        <v>Vaidhriti-वैधृति-Ke (26.67)</v>
      </c>
      <c r="E202" s="36" t="str">
        <f ca="1">VLOOKUP(E193,Panchanga!$A$3:$Y$463,14,TRUE)</f>
        <v>Vishkambha-विष्कम्भ-Sa (0.78)</v>
      </c>
      <c r="F202" s="36" t="str">
        <f ca="1">VLOOKUP(F193,Panchanga!$A$3:$Y$463,14,TRUE)</f>
        <v>Priti-प्रीति-Me (1.9)</v>
      </c>
      <c r="G202" s="48" t="str">
        <f ca="1">VLOOKUP(G193,Panchanga!$A$3:$Y$463,14,TRUE)</f>
        <v>Saubhagya-सौभाग्य-Ve (3.03)</v>
      </c>
    </row>
    <row r="203" spans="1:7" s="28" customFormat="1" ht="19.5" x14ac:dyDescent="0.3">
      <c r="A203" s="63" t="str">
        <f ca="1">VLOOKUP(A193,Panchanga!$A$3:$Y$463,18,TRUE)</f>
        <v>9Ma,12Me,-7Ju,12Ve,9Sa,4Ra</v>
      </c>
      <c r="B203" s="64" t="str">
        <f ca="1">VLOOKUP(B193,Panchanga!$A$3:$Y$463,18,TRUE)</f>
        <v>9Ma,12Me,-7Ju,12Ve,9Sa,4Ra</v>
      </c>
      <c r="C203" s="64" t="str">
        <f ca="1">VLOOKUP(C193,Panchanga!$A$3:$Y$463,18,TRUE)</f>
        <v>9Ma,12Me,-7Ju,12Ve,9Sa,4Ra</v>
      </c>
      <c r="D203" s="64" t="str">
        <f ca="1">VLOOKUP(D193,Panchanga!$A$3:$Y$463,18,TRUE)</f>
        <v>9Ma,12Me,-7Ju,12Ve,9Sa,4Ra</v>
      </c>
      <c r="E203" s="64" t="str">
        <f ca="1">VLOOKUP(E193,Panchanga!$A$3:$Y$463,18,TRUE)</f>
        <v>9Ma,12Me,-7Ju,12Ve,9Sa,4Ra</v>
      </c>
      <c r="F203" s="64" t="str">
        <f ca="1">VLOOKUP(F193,Panchanga!$A$3:$Y$463,18,TRUE)</f>
        <v>9Ma,-12Me,-7Ju,12Ve,9Sa,4Ra</v>
      </c>
      <c r="G203" s="65" t="str">
        <f ca="1">VLOOKUP(G193,Panchanga!$A$3:$Y$463,18,TRUE)</f>
        <v>9Ma,-12Me,-7Ju,12Ve,9Sa,4Ra</v>
      </c>
    </row>
    <row r="204" spans="1:7" ht="5.85" customHeight="1" thickBot="1" x14ac:dyDescent="0.4">
      <c r="A204" s="42"/>
      <c r="B204" s="16"/>
      <c r="C204" s="16"/>
      <c r="D204" s="16"/>
      <c r="E204" s="16"/>
      <c r="F204" s="16"/>
      <c r="G204" s="49"/>
    </row>
    <row r="205" spans="1:7" s="51" customFormat="1" ht="37.5" x14ac:dyDescent="0.5">
      <c r="A205" s="52">
        <f ca="1">G193+1</f>
        <v>43184</v>
      </c>
      <c r="B205" s="53">
        <f t="shared" ref="B205:G205" ca="1" si="14">A205+1</f>
        <v>43185</v>
      </c>
      <c r="C205" s="53">
        <f t="shared" ca="1" si="14"/>
        <v>43186</v>
      </c>
      <c r="D205" s="53">
        <f t="shared" ca="1" si="14"/>
        <v>43187</v>
      </c>
      <c r="E205" s="53">
        <f t="shared" ca="1" si="14"/>
        <v>43188</v>
      </c>
      <c r="F205" s="53">
        <f t="shared" ca="1" si="14"/>
        <v>43189</v>
      </c>
      <c r="G205" s="54">
        <f t="shared" ca="1" si="14"/>
        <v>43190</v>
      </c>
    </row>
    <row r="206" spans="1:7" s="28" customFormat="1" ht="19.5" x14ac:dyDescent="0.3">
      <c r="A206" s="37">
        <f ca="1">VLOOKUP(A205,Panchanga!$A$3:$Y$463,3,TRUE)</f>
        <v>43184.258039997578</v>
      </c>
      <c r="B206" s="27">
        <f ca="1">VLOOKUP(B205,Panchanga!$A$3:$Y$463,3,TRUE)</f>
        <v>43185.257567451954</v>
      </c>
      <c r="C206" s="27">
        <f ca="1">VLOOKUP(C205,Panchanga!$A$3:$Y$463,3,TRUE)</f>
        <v>43186.25709490633</v>
      </c>
      <c r="D206" s="27">
        <f ca="1">VLOOKUP(D205,Panchanga!$A$3:$Y$463,3,TRUE)</f>
        <v>43187.256622519497</v>
      </c>
      <c r="E206" s="27">
        <f ca="1">VLOOKUP(E205,Panchanga!$A$3:$Y$463,3,TRUE)</f>
        <v>43188.25615045071</v>
      </c>
      <c r="F206" s="27">
        <f ca="1">VLOOKUP(F205,Panchanga!$A$3:$Y$463,3,TRUE)</f>
        <v>43189.255679335598</v>
      </c>
      <c r="G206" s="44">
        <f ca="1">VLOOKUP(G205,Panchanga!$A$3:$Y$463,3,TRUE)</f>
        <v>43190.255209333416</v>
      </c>
    </row>
    <row r="207" spans="1:7" s="28" customFormat="1" ht="19.5" x14ac:dyDescent="0.3">
      <c r="A207" s="37">
        <f ca="1">VLOOKUP(A205,Panchanga!$A$3:$Y$463,4,TRUE)</f>
        <v>43183.763802508867</v>
      </c>
      <c r="B207" s="27">
        <f ca="1">VLOOKUP(B205,Panchanga!$A$3:$Y$463,4,TRUE)</f>
        <v>43184.763855596582</v>
      </c>
      <c r="C207" s="27">
        <f ca="1">VLOOKUP(C205,Panchanga!$A$3:$Y$463,4,TRUE)</f>
        <v>43185.76390804867</v>
      </c>
      <c r="D207" s="27">
        <f ca="1">VLOOKUP(D205,Panchanga!$A$3:$Y$463,4,TRUE)</f>
        <v>43186.763959865129</v>
      </c>
      <c r="E207" s="27">
        <f ca="1">VLOOKUP(E205,Panchanga!$A$3:$Y$463,4,TRUE)</f>
        <v>43187.764011363543</v>
      </c>
      <c r="F207" s="27">
        <f ca="1">VLOOKUP(F205,Panchanga!$A$3:$Y$463,4,TRUE)</f>
        <v>43188.764062702699</v>
      </c>
      <c r="G207" s="44">
        <f ca="1">VLOOKUP(G205,Panchanga!$A$3:$Y$463,4,TRUE)</f>
        <v>43189.764114360369</v>
      </c>
    </row>
    <row r="208" spans="1:7" s="28" customFormat="1" ht="19.5" x14ac:dyDescent="0.3">
      <c r="A208" s="38">
        <f ca="1">VLOOKUP(A205,Panchanga!$A$3:$Y$463,6,TRUE)</f>
        <v>340.21088699765937</v>
      </c>
      <c r="B208" s="30">
        <f ca="1">VLOOKUP(B205,Panchanga!$A$3:$Y$463,6,TRUE)</f>
        <v>341.20115872835748</v>
      </c>
      <c r="C208" s="30">
        <f ca="1">VLOOKUP(C205,Panchanga!$A$3:$Y$463,6,TRUE)</f>
        <v>342.19078246015101</v>
      </c>
      <c r="D208" s="30">
        <f ca="1">VLOOKUP(D205,Panchanga!$A$3:$Y$463,6,TRUE)</f>
        <v>343.17976616205493</v>
      </c>
      <c r="E208" s="30">
        <f ca="1">VLOOKUP(E205,Panchanga!$A$3:$Y$463,6,TRUE)</f>
        <v>344.16812241334162</v>
      </c>
      <c r="F208" s="30">
        <f ca="1">VLOOKUP(F205,Panchanga!$A$3:$Y$463,6,TRUE)</f>
        <v>345.15586782978465</v>
      </c>
      <c r="G208" s="45">
        <f ca="1">VLOOKUP(G205,Panchanga!$A$3:$Y$463,6,TRUE)</f>
        <v>346.14302075677182</v>
      </c>
    </row>
    <row r="209" spans="1:7" s="28" customFormat="1" ht="19.5" x14ac:dyDescent="0.3">
      <c r="A209" s="38">
        <f ca="1">VLOOKUP(A205,Panchanga!$A$3:$Y$463,7,TRUE)</f>
        <v>75.199040736942365</v>
      </c>
      <c r="B209" s="30">
        <f ca="1">VLOOKUP(B205,Panchanga!$A$3:$Y$463,7,TRUE)</f>
        <v>89.355007257336538</v>
      </c>
      <c r="C209" s="30">
        <f ca="1">VLOOKUP(C205,Panchanga!$A$3:$Y$463,7,TRUE)</f>
        <v>103.54071204420755</v>
      </c>
      <c r="D209" s="30">
        <f ca="1">VLOOKUP(D205,Panchanga!$A$3:$Y$463,7,TRUE)</f>
        <v>117.72538833956443</v>
      </c>
      <c r="E209" s="30">
        <f ca="1">VLOOKUP(E205,Panchanga!$A$3:$Y$463,7,TRUE)</f>
        <v>131.86610783567647</v>
      </c>
      <c r="F209" s="30">
        <f ca="1">VLOOKUP(F205,Panchanga!$A$3:$Y$463,7,TRUE)</f>
        <v>145.90719595416772</v>
      </c>
      <c r="G209" s="45">
        <f ca="1">VLOOKUP(G205,Panchanga!$A$3:$Y$463,7,TRUE)</f>
        <v>159.78451261147052</v>
      </c>
    </row>
    <row r="210" spans="1:7" s="28" customFormat="1" ht="19.5" x14ac:dyDescent="0.3">
      <c r="A210" s="39" t="str">
        <f ca="1">VLOOKUP(A205,Panchanga!$A$3:$Y$463,9,TRUE) &amp; " "&amp;ROUND(A209/13.333,2)</f>
        <v>Ardra 5.64</v>
      </c>
      <c r="B210" s="32" t="str">
        <f ca="1">VLOOKUP(B205,Panchanga!$A$3:$Y$463,9,TRUE) &amp; " "&amp;ROUND(B209/13.333,2)</f>
        <v>Punarvasu 6.7</v>
      </c>
      <c r="C210" s="32" t="str">
        <f ca="1">VLOOKUP(C205,Panchanga!$A$3:$Y$463,9,TRUE) &amp; " "&amp;ROUND(C209/13.333,2)</f>
        <v>Pushya 7.77</v>
      </c>
      <c r="D210" s="32" t="str">
        <f ca="1">VLOOKUP(D205,Panchanga!$A$3:$Y$463,9,TRUE) &amp; " "&amp;ROUND(D209/13.333,2)</f>
        <v>Aslesha 8.83</v>
      </c>
      <c r="E210" s="32" t="str">
        <f ca="1">VLOOKUP(E205,Panchanga!$A$3:$Y$463,9,TRUE) &amp; " "&amp;ROUND(E209/13.333,2)</f>
        <v>Makha 9.89</v>
      </c>
      <c r="F210" s="32" t="str">
        <f ca="1">VLOOKUP(F205,Panchanga!$A$3:$Y$463,9,TRUE) &amp; " "&amp;ROUND(F209/13.333,2)</f>
        <v>Purva Phalguni 10.94</v>
      </c>
      <c r="G210" s="46" t="str">
        <f ca="1">VLOOKUP(G205,Panchanga!$A$3:$Y$463,9,TRUE) &amp; " "&amp;ROUND(G209/13.333,2)</f>
        <v>Uttara Phalguni 11.98</v>
      </c>
    </row>
    <row r="211" spans="1:7" s="28" customFormat="1" ht="19.5" x14ac:dyDescent="0.3">
      <c r="A211" s="40">
        <f ca="1">VLOOKUP(A205,Panchanga!$A$3:$Y$463,10,TRUE)</f>
        <v>43184.597027136595</v>
      </c>
      <c r="B211" s="34">
        <f ca="1">VLOOKUP(B205,Panchanga!$A$3:$Y$463,10,TRUE)</f>
        <v>43185.537881063094</v>
      </c>
      <c r="C211" s="34">
        <f ca="1">VLOOKUP(C205,Panchanga!$A$3:$Y$463,10,TRUE)</f>
        <v>43186.477366268016</v>
      </c>
      <c r="D211" s="34">
        <f ca="1">VLOOKUP(D205,Panchanga!$A$3:$Y$463,10,TRUE)</f>
        <v>43187.417402024948</v>
      </c>
      <c r="E211" s="34">
        <f ca="1">VLOOKUP(E205,Panchanga!$A$3:$Y$463,10,TRUE)</f>
        <v>43188.360596363535</v>
      </c>
      <c r="F211" s="34">
        <f ca="1">VLOOKUP(F205,Panchanga!$A$3:$Y$463,10,TRUE)</f>
        <v>43189.310381103838</v>
      </c>
      <c r="G211" s="47">
        <f ca="1">VLOOKUP(G205,Panchanga!$A$3:$Y$463,10,TRUE)</f>
        <v>43190.270989105971</v>
      </c>
    </row>
    <row r="212" spans="1:7" s="28" customFormat="1" ht="19.5" x14ac:dyDescent="0.3">
      <c r="A212" s="38" t="str">
        <f ca="1">VLOOKUP(A205,Panchanga!$A$3:$Y$463,11,TRUE)</f>
        <v>S8 (7.92)</v>
      </c>
      <c r="B212" s="30" t="str">
        <f ca="1">VLOOKUP(B205,Panchanga!$A$3:$Y$463,11,TRUE)</f>
        <v>S10 (9.01)</v>
      </c>
      <c r="C212" s="30" t="str">
        <f ca="1">VLOOKUP(C205,Panchanga!$A$3:$Y$463,11,TRUE)</f>
        <v>S11 (10.11)</v>
      </c>
      <c r="D212" s="30" t="str">
        <f ca="1">VLOOKUP(D205,Panchanga!$A$3:$Y$463,11,TRUE)</f>
        <v>S12 (11.21)</v>
      </c>
      <c r="E212" s="30" t="str">
        <f ca="1">VLOOKUP(E205,Panchanga!$A$3:$Y$463,11,TRUE)</f>
        <v>S13 (12.31)</v>
      </c>
      <c r="F212" s="30" t="str">
        <f ca="1">VLOOKUP(F205,Panchanga!$A$3:$Y$463,11,TRUE)</f>
        <v>S14 (13.4)</v>
      </c>
      <c r="G212" s="45" t="str">
        <f ca="1">VLOOKUP(G205,Panchanga!$A$3:$Y$463,11,TRUE)</f>
        <v>S15 (14.47)</v>
      </c>
    </row>
    <row r="213" spans="1:7" s="28" customFormat="1" ht="19.5" x14ac:dyDescent="0.3">
      <c r="A213" s="41" t="str">
        <f ca="1">VLOOKUP(A205,Panchanga!$A$3:$Y$463,13,TRUE)</f>
        <v>Bhava</v>
      </c>
      <c r="B213" s="36" t="str">
        <f ca="1">VLOOKUP(B205,Panchanga!$A$3:$Y$463,13,TRUE)</f>
        <v>Taitula</v>
      </c>
      <c r="C213" s="36" t="str">
        <f ca="1">VLOOKUP(C205,Panchanga!$A$3:$Y$463,13,TRUE)</f>
        <v>Vanija</v>
      </c>
      <c r="D213" s="36" t="str">
        <f ca="1">VLOOKUP(D205,Panchanga!$A$3:$Y$463,13,TRUE)</f>
        <v>Bhava</v>
      </c>
      <c r="E213" s="36" t="str">
        <f ca="1">VLOOKUP(E205,Panchanga!$A$3:$Y$463,13,TRUE)</f>
        <v>Kaulava</v>
      </c>
      <c r="F213" s="36" t="str">
        <f ca="1">VLOOKUP(F205,Panchanga!$A$3:$Y$463,13,TRUE)</f>
        <v>Garija</v>
      </c>
      <c r="G213" s="48" t="str">
        <f ca="1">VLOOKUP(G205,Panchanga!$A$3:$Y$463,13,TRUE)</f>
        <v>Vishti</v>
      </c>
    </row>
    <row r="214" spans="1:7" s="28" customFormat="1" ht="19.5" x14ac:dyDescent="0.3">
      <c r="A214" s="41" t="str">
        <f ca="1">VLOOKUP(A205,Panchanga!$A$3:$Y$463,14,TRUE)</f>
        <v>Shobhana-शोभन-Su (4.16)</v>
      </c>
      <c r="B214" s="36" t="str">
        <f ca="1">VLOOKUP(B205,Panchanga!$A$3:$Y$463,14,TRUE)</f>
        <v>Atiganda-अतिगण्ड -Mo (5.3)</v>
      </c>
      <c r="C214" s="36" t="str">
        <f ca="1">VLOOKUP(C205,Panchanga!$A$3:$Y$463,14,TRUE)</f>
        <v>Sukarman-सुकर्मा -Ma (6.43)</v>
      </c>
      <c r="D214" s="36" t="str">
        <f ca="1">VLOOKUP(D205,Panchanga!$A$3:$Y$463,14,TRUE)</f>
        <v>Dhriti-धृति -Ra (7.57)</v>
      </c>
      <c r="E214" s="36" t="str">
        <f ca="1">VLOOKUP(E205,Panchanga!$A$3:$Y$463,14,TRUE)</f>
        <v>Shula-शूल -Ju (8.71)</v>
      </c>
      <c r="F214" s="36" t="str">
        <f ca="1">VLOOKUP(F205,Panchanga!$A$3:$Y$463,14,TRUE)</f>
        <v>Ganda-गण्ड -Sa (9.83)</v>
      </c>
      <c r="G214" s="48" t="str">
        <f ca="1">VLOOKUP(G205,Panchanga!$A$3:$Y$463,14,TRUE)</f>
        <v>Vriddhi-वृद्धि -Me (10.95)</v>
      </c>
    </row>
    <row r="215" spans="1:7" s="28" customFormat="1" ht="19.5" x14ac:dyDescent="0.3">
      <c r="A215" s="63" t="str">
        <f ca="1">VLOOKUP(A205,Panchanga!$A$3:$Y$463,18,TRUE)</f>
        <v>9Ma,-12Me,-7Ju,12Ve,9Sa,4Ra</v>
      </c>
      <c r="B215" s="64" t="str">
        <f ca="1">VLOOKUP(B205,Panchanga!$A$3:$Y$463,18,TRUE)</f>
        <v>9Ma,-12Me,-7Ju,-12Ve,9Sa,4Ra</v>
      </c>
      <c r="C215" s="64" t="str">
        <f ca="1">VLOOKUP(C205,Panchanga!$A$3:$Y$463,18,TRUE)</f>
        <v>9Ma,-12Me,-7Ju,1Ve,9Sa,4Ra</v>
      </c>
      <c r="D215" s="64" t="str">
        <f ca="1">VLOOKUP(D205,Panchanga!$A$3:$Y$463,18,TRUE)</f>
        <v>9Ma,-12Me,-7Ju,1Ve,9Sa,4Ra</v>
      </c>
      <c r="E215" s="64" t="str">
        <f ca="1">VLOOKUP(E205,Panchanga!$A$3:$Y$463,18,TRUE)</f>
        <v>9Ma,-12Me,-7Ju,1Ve,9Sa,4Ra</v>
      </c>
      <c r="F215" s="64" t="str">
        <f ca="1">VLOOKUP(F205,Panchanga!$A$3:$Y$463,18,TRUE)</f>
        <v>9Ma,-12Me,-7Ju,1Ve,9Sa,4Ra</v>
      </c>
      <c r="G215" s="65" t="str">
        <f ca="1">VLOOKUP(G205,Panchanga!$A$3:$Y$463,18,TRUE)</f>
        <v>9Ma,-12Me,-7Ju,1Ve,9Sa,4Ra</v>
      </c>
    </row>
    <row r="216" spans="1:7" ht="5.85" customHeight="1" thickBot="1" x14ac:dyDescent="0.4">
      <c r="A216" s="42"/>
      <c r="B216" s="16"/>
      <c r="C216" s="16"/>
      <c r="D216" s="16"/>
      <c r="E216" s="16"/>
      <c r="F216" s="16"/>
      <c r="G216" s="17"/>
    </row>
    <row r="217" spans="1:7" s="51" customFormat="1" ht="37.5" x14ac:dyDescent="0.5">
      <c r="A217" s="52">
        <f ca="1">G205+1</f>
        <v>43191</v>
      </c>
      <c r="B217" s="53">
        <f ca="1">A217+1</f>
        <v>43192</v>
      </c>
      <c r="C217" s="53"/>
      <c r="D217" s="53"/>
      <c r="E217" s="53"/>
      <c r="F217" s="53"/>
      <c r="G217" s="55"/>
    </row>
    <row r="218" spans="1:7" s="28" customFormat="1" ht="19.5" x14ac:dyDescent="0.3">
      <c r="A218" s="37">
        <f ca="1">VLOOKUP(A217,Panchanga!$A$3:$Y$463,3,TRUE)</f>
        <v>43191.254740920071</v>
      </c>
      <c r="B218" s="27">
        <f ca="1">VLOOKUP(B217,Panchanga!$A$3:$Y$463,3,TRUE)</f>
        <v>43192.254273937702</v>
      </c>
      <c r="C218" s="27" t="s">
        <v>20</v>
      </c>
      <c r="D218" s="27"/>
      <c r="E218" s="27"/>
      <c r="F218" s="27"/>
      <c r="G218" s="26"/>
    </row>
    <row r="219" spans="1:7" s="28" customFormat="1" ht="19.5" x14ac:dyDescent="0.3">
      <c r="A219" s="37">
        <f ca="1">VLOOKUP(A217,Panchanga!$A$3:$Y$463,4,TRUE)</f>
        <v>43190.764166176363</v>
      </c>
      <c r="B219" s="27">
        <f ca="1">VLOOKUP(B217,Panchanga!$A$3:$Y$463,4,TRUE)</f>
        <v>43191.764218787706</v>
      </c>
      <c r="C219" s="27" t="s">
        <v>8</v>
      </c>
      <c r="D219" s="27"/>
      <c r="E219" s="27"/>
      <c r="F219" s="27"/>
      <c r="G219" s="26"/>
    </row>
    <row r="220" spans="1:7" s="28" customFormat="1" ht="19.5" x14ac:dyDescent="0.3">
      <c r="A220" s="38">
        <f ca="1">VLOOKUP(A217,Panchanga!$A$3:$Y$463,6,TRUE)</f>
        <v>347.12960061867977</v>
      </c>
      <c r="B220" s="30">
        <f ca="1">VLOOKUP(B217,Panchanga!$A$3:$Y$463,6,TRUE)</f>
        <v>348.11562570018793</v>
      </c>
      <c r="C220" s="30" t="s">
        <v>21</v>
      </c>
      <c r="D220" s="30"/>
      <c r="E220" s="30"/>
      <c r="F220" s="30"/>
      <c r="G220" s="29"/>
    </row>
    <row r="221" spans="1:7" s="28" customFormat="1" ht="19.5" x14ac:dyDescent="0.3">
      <c r="A221" s="38">
        <f ca="1">VLOOKUP(A217,Panchanga!$A$3:$Y$463,7,TRUE)</f>
        <v>173.43404086632233</v>
      </c>
      <c r="B221" s="30">
        <f ca="1">VLOOKUP(B217,Panchanga!$A$3:$Y$463,7,TRUE)</f>
        <v>186.80228379900387</v>
      </c>
      <c r="C221" s="30" t="s">
        <v>22</v>
      </c>
      <c r="D221" s="30"/>
      <c r="E221" s="30"/>
      <c r="F221" s="30"/>
      <c r="G221" s="29"/>
    </row>
    <row r="222" spans="1:7" s="28" customFormat="1" ht="19.5" x14ac:dyDescent="0.3">
      <c r="A222" s="39" t="str">
        <f ca="1">VLOOKUP(A217,Panchanga!$A$3:$Y$463,9,TRUE) &amp; " "&amp;ROUND(A221/13.333,2)</f>
        <v>Chitra 13.01</v>
      </c>
      <c r="B222" s="32" t="str">
        <f ca="1">VLOOKUP(B217,Panchanga!$A$3:$Y$463,9,TRUE) &amp; " "&amp;ROUND(B221/13.333,2)</f>
        <v>Swati 14.01</v>
      </c>
      <c r="C222" s="32" t="s">
        <v>23</v>
      </c>
      <c r="D222" s="32"/>
      <c r="E222" s="32"/>
      <c r="F222" s="32"/>
      <c r="G222" s="31"/>
    </row>
    <row r="223" spans="1:7" s="28" customFormat="1" ht="19.5" x14ac:dyDescent="0.3">
      <c r="A223" s="40">
        <f ca="1">VLOOKUP(A217,Panchanga!$A$3:$Y$463,10,TRUE)</f>
        <v>43192.244133951303</v>
      </c>
      <c r="B223" s="34">
        <f ca="1">VLOOKUP(B217,Panchanga!$A$3:$Y$463,10,TRUE)</f>
        <v>43193.264880341485</v>
      </c>
      <c r="C223" s="34" t="s">
        <v>24</v>
      </c>
      <c r="D223" s="34"/>
      <c r="E223" s="34"/>
      <c r="F223" s="34"/>
      <c r="G223" s="33"/>
    </row>
    <row r="224" spans="1:7" s="28" customFormat="1" ht="19.5" x14ac:dyDescent="0.3">
      <c r="A224" s="38" t="str">
        <f ca="1">VLOOKUP(A217,Panchanga!$A$3:$Y$463,11,TRUE)</f>
        <v>K1 (15.53)</v>
      </c>
      <c r="B224" s="30" t="str">
        <f ca="1">VLOOKUP(B217,Panchanga!$A$3:$Y$463,11,TRUE)</f>
        <v>K2 (16.56)</v>
      </c>
      <c r="C224" s="30" t="s">
        <v>28</v>
      </c>
      <c r="D224" s="30"/>
      <c r="E224" s="30"/>
      <c r="F224" s="30"/>
      <c r="G224" s="29"/>
    </row>
    <row r="225" spans="1:7" s="28" customFormat="1" ht="19.5" x14ac:dyDescent="0.3">
      <c r="A225" s="41" t="str">
        <f ca="1">VLOOKUP(A217,Panchanga!$A$3:$Y$463,13,TRUE)</f>
        <v>Kaulava</v>
      </c>
      <c r="B225" s="36" t="str">
        <f ca="1">VLOOKUP(B217,Panchanga!$A$3:$Y$463,13,TRUE)</f>
        <v>Garija</v>
      </c>
      <c r="C225" s="36" t="s">
        <v>25</v>
      </c>
      <c r="D225" s="36"/>
      <c r="E225" s="36"/>
      <c r="F225" s="36"/>
      <c r="G225" s="35"/>
    </row>
    <row r="226" spans="1:7" s="28" customFormat="1" ht="19.5" x14ac:dyDescent="0.3">
      <c r="A226" s="41" t="str">
        <f ca="1">VLOOKUP(A217,Panchanga!$A$3:$Y$463,14,TRUE)</f>
        <v>Vyaghata-व्याघात-ve (12.05)</v>
      </c>
      <c r="B226" s="36" t="str">
        <f ca="1">VLOOKUP(B217,Panchanga!$A$3:$Y$463,14,TRUE)</f>
        <v>Harshana-हर्षण-su (13.12)</v>
      </c>
      <c r="C226" s="36" t="s">
        <v>13</v>
      </c>
      <c r="D226" s="36"/>
      <c r="E226" s="36"/>
      <c r="F226" s="36"/>
      <c r="G226" s="48"/>
    </row>
    <row r="227" spans="1:7" s="28" customFormat="1" ht="19.5" x14ac:dyDescent="0.3">
      <c r="A227" s="63" t="str">
        <f ca="1">VLOOKUP(A217,Panchanga!$A$3:$Y$463,18,TRUE)</f>
        <v>9Ma,-12Me,-7Ju,1Ve,9Sa,4Ra</v>
      </c>
      <c r="B227" s="64" t="str">
        <f ca="1">VLOOKUP(B217,Panchanga!$A$3:$Y$463,18,TRUE)</f>
        <v>9Ma,-12Me,-7Ju,1Ve,9Sa,4Ra</v>
      </c>
      <c r="C227" s="64"/>
      <c r="D227" s="64"/>
      <c r="E227" s="64"/>
      <c r="F227" s="64"/>
      <c r="G227" s="65"/>
    </row>
    <row r="228" spans="1:7" ht="24" thickBot="1" x14ac:dyDescent="0.4"/>
    <row r="229" spans="1:7" x14ac:dyDescent="0.35">
      <c r="A229" s="23" t="s">
        <v>26</v>
      </c>
      <c r="B229" s="21">
        <f>Lat</f>
        <v>13.5</v>
      </c>
      <c r="C229" s="23" t="s">
        <v>1</v>
      </c>
      <c r="D229" s="21">
        <f>Long</f>
        <v>80.23</v>
      </c>
      <c r="E229" s="23" t="s">
        <v>4</v>
      </c>
      <c r="F229" s="22">
        <f>TimeZone</f>
        <v>5.5</v>
      </c>
    </row>
    <row r="232" spans="1:7" s="51" customFormat="1" ht="38.25" thickBot="1" x14ac:dyDescent="0.55000000000000004">
      <c r="A232" s="68">
        <f ca="1">DATE(YEAR(A155),MONTH(A155)+1,1)</f>
        <v>43191</v>
      </c>
      <c r="B232" s="69"/>
      <c r="C232" s="69"/>
      <c r="D232" s="69"/>
      <c r="E232" s="69"/>
      <c r="F232" s="69"/>
      <c r="G232" s="69"/>
    </row>
    <row r="233" spans="1:7" s="56" customFormat="1" ht="35.25" thickBot="1" x14ac:dyDescent="0.5">
      <c r="A233" s="57">
        <v>1</v>
      </c>
      <c r="B233" s="58">
        <v>2</v>
      </c>
      <c r="C233" s="58">
        <v>3</v>
      </c>
      <c r="D233" s="58">
        <v>4</v>
      </c>
      <c r="E233" s="58">
        <v>5</v>
      </c>
      <c r="F233" s="58">
        <v>6</v>
      </c>
      <c r="G233" s="59">
        <v>7</v>
      </c>
    </row>
    <row r="234" spans="1:7" s="51" customFormat="1" ht="37.5" x14ac:dyDescent="0.5">
      <c r="A234" s="52">
        <f ca="1">DATE(YEAR(A232),MONTH(A232),1)-WEEKDAY(A232)+1</f>
        <v>43191</v>
      </c>
      <c r="B234" s="53">
        <f t="shared" ref="B234:G234" ca="1" si="15">A234+1</f>
        <v>43192</v>
      </c>
      <c r="C234" s="53">
        <f t="shared" ca="1" si="15"/>
        <v>43193</v>
      </c>
      <c r="D234" s="53">
        <f t="shared" ca="1" si="15"/>
        <v>43194</v>
      </c>
      <c r="E234" s="53">
        <f t="shared" ca="1" si="15"/>
        <v>43195</v>
      </c>
      <c r="F234" s="53">
        <f t="shared" ca="1" si="15"/>
        <v>43196</v>
      </c>
      <c r="G234" s="54">
        <f t="shared" ca="1" si="15"/>
        <v>43197</v>
      </c>
    </row>
    <row r="235" spans="1:7" s="28" customFormat="1" ht="19.5" x14ac:dyDescent="0.3">
      <c r="A235" s="37">
        <f ca="1">VLOOKUP(A234,Panchanga!$A$3:$Y$463,3,TRUE)</f>
        <v>43191.254740920071</v>
      </c>
      <c r="B235" s="27">
        <f ca="1">VLOOKUP(B234,Panchanga!$A$3:$Y$463,3,TRUE)</f>
        <v>43192.254273937702</v>
      </c>
      <c r="C235" s="27">
        <f ca="1">VLOOKUP(C234,Panchanga!$A$3:$Y$463,3,TRUE)</f>
        <v>43193.253809180263</v>
      </c>
      <c r="D235" s="27">
        <f ca="1">VLOOKUP(D234,Panchanga!$A$3:$Y$463,3,TRUE)</f>
        <v>43194.253346807476</v>
      </c>
      <c r="E235" s="27">
        <f ca="1">VLOOKUP(E234,Panchanga!$A$3:$Y$463,3,TRUE)</f>
        <v>43195.2528869772</v>
      </c>
      <c r="F235" s="27">
        <f ca="1">VLOOKUP(F234,Panchanga!$A$3:$Y$463,3,TRUE)</f>
        <v>43196.252430008411</v>
      </c>
      <c r="G235" s="44">
        <f ca="1">VLOOKUP(G234,Panchanga!$A$3:$Y$463,3,TRUE)</f>
        <v>43197.251976377484</v>
      </c>
    </row>
    <row r="236" spans="1:7" s="28" customFormat="1" ht="19.5" x14ac:dyDescent="0.3">
      <c r="A236" s="37">
        <f ca="1">VLOOKUP(A234,Panchanga!$A$3:$Y$463,4,TRUE)</f>
        <v>43190.764166176363</v>
      </c>
      <c r="B236" s="27">
        <f ca="1">VLOOKUP(B234,Panchanga!$A$3:$Y$463,4,TRUE)</f>
        <v>43191.764218787706</v>
      </c>
      <c r="C236" s="27">
        <f ca="1">VLOOKUP(C234,Panchanga!$A$3:$Y$463,4,TRUE)</f>
        <v>43192.764272034212</v>
      </c>
      <c r="D236" s="27">
        <f ca="1">VLOOKUP(D234,Panchanga!$A$3:$Y$463,4,TRUE)</f>
        <v>43193.764326552904</v>
      </c>
      <c r="E236" s="27">
        <f ca="1">VLOOKUP(E234,Panchanga!$A$3:$Y$463,4,TRUE)</f>
        <v>43194.764382183595</v>
      </c>
      <c r="F236" s="27">
        <f ca="1">VLOOKUP(F234,Panchanga!$A$3:$Y$463,4,TRUE)</f>
        <v>43195.764439404054</v>
      </c>
      <c r="G236" s="44">
        <f ca="1">VLOOKUP(G234,Panchanga!$A$3:$Y$463,4,TRUE)</f>
        <v>43196.764498214281</v>
      </c>
    </row>
    <row r="237" spans="1:7" s="28" customFormat="1" ht="19.5" x14ac:dyDescent="0.3">
      <c r="A237" s="38">
        <f ca="1">VLOOKUP(A234,Panchanga!$A$3:$Y$463,6,TRUE)</f>
        <v>347.12960061867977</v>
      </c>
      <c r="B237" s="30">
        <f ca="1">VLOOKUP(B234,Panchanga!$A$3:$Y$463,6,TRUE)</f>
        <v>348.11562570018793</v>
      </c>
      <c r="C237" s="30">
        <f ca="1">VLOOKUP(C234,Panchanga!$A$3:$Y$463,6,TRUE)</f>
        <v>349.10111372557384</v>
      </c>
      <c r="D237" s="30">
        <f ca="1">VLOOKUP(D234,Panchanga!$A$3:$Y$463,6,TRUE)</f>
        <v>350.08607964122353</v>
      </c>
      <c r="E237" s="30">
        <f ca="1">VLOOKUP(E234,Panchanga!$A$3:$Y$463,6,TRUE)</f>
        <v>351.07053589876705</v>
      </c>
      <c r="F237" s="30">
        <f ca="1">VLOOKUP(F234,Panchanga!$A$3:$Y$463,6,TRUE)</f>
        <v>352.05449252909057</v>
      </c>
      <c r="G237" s="45">
        <f ca="1">VLOOKUP(G234,Panchanga!$A$3:$Y$463,6,TRUE)</f>
        <v>353.03795723176944</v>
      </c>
    </row>
    <row r="238" spans="1:7" s="28" customFormat="1" ht="19.5" x14ac:dyDescent="0.3">
      <c r="A238" s="38">
        <f ca="1">VLOOKUP(A234,Panchanga!$A$3:$Y$463,7,TRUE)</f>
        <v>173.43404086632233</v>
      </c>
      <c r="B238" s="30">
        <f ca="1">VLOOKUP(B234,Panchanga!$A$3:$Y$463,7,TRUE)</f>
        <v>186.80228379900387</v>
      </c>
      <c r="C238" s="30">
        <f ca="1">VLOOKUP(C234,Panchanga!$A$3:$Y$463,7,TRUE)</f>
        <v>199.8554194360419</v>
      </c>
      <c r="D238" s="30">
        <f ca="1">VLOOKUP(D234,Panchanga!$A$3:$Y$463,7,TRUE)</f>
        <v>212.58491033044882</v>
      </c>
      <c r="E238" s="30">
        <f ca="1">VLOOKUP(E234,Panchanga!$A$3:$Y$463,7,TRUE)</f>
        <v>225.00900783122793</v>
      </c>
      <c r="F238" s="30">
        <f ca="1">VLOOKUP(F234,Panchanga!$A$3:$Y$463,7,TRUE)</f>
        <v>237.17072092898212</v>
      </c>
      <c r="G238" s="45">
        <f ca="1">VLOOKUP(G234,Panchanga!$A$3:$Y$463,7,TRUE)</f>
        <v>249.13339288078063</v>
      </c>
    </row>
    <row r="239" spans="1:7" s="28" customFormat="1" ht="19.5" x14ac:dyDescent="0.3">
      <c r="A239" s="39" t="str">
        <f ca="1">VLOOKUP(A234,Panchanga!$A$3:$Y$463,9,TRUE) &amp; " "&amp;ROUND(A238/13.333,2)</f>
        <v>Chitra 13.01</v>
      </c>
      <c r="B239" s="32" t="str">
        <f ca="1">VLOOKUP(B234,Panchanga!$A$3:$Y$463,9,TRUE) &amp; " "&amp;ROUND(B238/13.333,2)</f>
        <v>Swati 14.01</v>
      </c>
      <c r="C239" s="32" t="str">
        <f ca="1">VLOOKUP(C234,Panchanga!$A$3:$Y$463,9,TRUE) &amp; " "&amp;ROUND(C238/13.333,2)</f>
        <v>Swati 14.99</v>
      </c>
      <c r="D239" s="32" t="str">
        <f ca="1">VLOOKUP(D234,Panchanga!$A$3:$Y$463,9,TRUE) &amp; " "&amp;ROUND(D238/13.333,2)</f>
        <v>Visakha 15.94</v>
      </c>
      <c r="E239" s="32" t="str">
        <f ca="1">VLOOKUP(E234,Panchanga!$A$3:$Y$463,9,TRUE) &amp; " "&amp;ROUND(E238/13.333,2)</f>
        <v>Anuradha 16.88</v>
      </c>
      <c r="F239" s="32" t="str">
        <f ca="1">VLOOKUP(F234,Panchanga!$A$3:$Y$463,9,TRUE) &amp; " "&amp;ROUND(F238/13.333,2)</f>
        <v>Jyestha 17.79</v>
      </c>
      <c r="G239" s="46" t="str">
        <f ca="1">VLOOKUP(G234,Panchanga!$A$3:$Y$463,9,TRUE) &amp; " "&amp;ROUND(G238/13.333,2)</f>
        <v>Moola 18.69</v>
      </c>
    </row>
    <row r="240" spans="1:7" s="28" customFormat="1" ht="19.5" x14ac:dyDescent="0.3">
      <c r="A240" s="40">
        <f ca="1">VLOOKUP(A234,Panchanga!$A$3:$Y$463,10,TRUE)</f>
        <v>43192.244133951303</v>
      </c>
      <c r="B240" s="34">
        <f ca="1">VLOOKUP(B234,Panchanga!$A$3:$Y$463,10,TRUE)</f>
        <v>43193.264880341485</v>
      </c>
      <c r="C240" s="34">
        <f ca="1">VLOOKUP(C234,Panchanga!$A$3:$Y$463,10,TRUE)</f>
        <v>43193.265161850613</v>
      </c>
      <c r="D240" s="34">
        <f ca="1">VLOOKUP(D234,Panchanga!$A$3:$Y$463,10,TRUE)</f>
        <v>43194.313558734764</v>
      </c>
      <c r="E240" s="34">
        <f ca="1">VLOOKUP(E234,Panchanga!$A$3:$Y$463,10,TRUE)</f>
        <v>43195.389126117509</v>
      </c>
      <c r="F240" s="34">
        <f ca="1">VLOOKUP(F234,Panchanga!$A$3:$Y$463,10,TRUE)</f>
        <v>43196.488831678034</v>
      </c>
      <c r="G240" s="47">
        <f ca="1">VLOOKUP(G234,Panchanga!$A$3:$Y$463,10,TRUE)</f>
        <v>43197.606490512379</v>
      </c>
    </row>
    <row r="241" spans="1:7" s="28" customFormat="1" ht="19.5" x14ac:dyDescent="0.3">
      <c r="A241" s="38" t="str">
        <f ca="1">VLOOKUP(A234,Panchanga!$A$3:$Y$463,11,TRUE)</f>
        <v>K1 (15.53)</v>
      </c>
      <c r="B241" s="30" t="str">
        <f ca="1">VLOOKUP(B234,Panchanga!$A$3:$Y$463,11,TRUE)</f>
        <v>K2 (16.56)</v>
      </c>
      <c r="C241" s="30" t="str">
        <f ca="1">VLOOKUP(C234,Panchanga!$A$3:$Y$463,11,TRUE)</f>
        <v>K3 (17.56)</v>
      </c>
      <c r="D241" s="30" t="str">
        <f ca="1">VLOOKUP(D234,Panchanga!$A$3:$Y$463,11,TRUE)</f>
        <v>K4 (18.54)</v>
      </c>
      <c r="E241" s="30" t="str">
        <f ca="1">VLOOKUP(E234,Panchanga!$A$3:$Y$463,11,TRUE)</f>
        <v>K5 (19.49)</v>
      </c>
      <c r="F241" s="30" t="str">
        <f ca="1">VLOOKUP(F234,Panchanga!$A$3:$Y$463,11,TRUE)</f>
        <v>K6 (20.43)</v>
      </c>
      <c r="G241" s="45" t="str">
        <f ca="1">VLOOKUP(G234,Panchanga!$A$3:$Y$463,11,TRUE)</f>
        <v>K7 (21.34)</v>
      </c>
    </row>
    <row r="242" spans="1:7" s="28" customFormat="1" ht="19.5" x14ac:dyDescent="0.3">
      <c r="A242" s="41" t="str">
        <f ca="1">VLOOKUP(A234,Panchanga!$A$3:$Y$463,13,TRUE)</f>
        <v>Kaulava</v>
      </c>
      <c r="B242" s="36" t="str">
        <f ca="1">VLOOKUP(B234,Panchanga!$A$3:$Y$463,13,TRUE)</f>
        <v>Garija</v>
      </c>
      <c r="C242" s="36" t="str">
        <f ca="1">VLOOKUP(C234,Panchanga!$A$3:$Y$463,13,TRUE)</f>
        <v>Vishti</v>
      </c>
      <c r="D242" s="36" t="str">
        <f ca="1">VLOOKUP(D234,Panchanga!$A$3:$Y$463,13,TRUE)</f>
        <v>Baalava</v>
      </c>
      <c r="E242" s="36" t="str">
        <f ca="1">VLOOKUP(E234,Panchanga!$A$3:$Y$463,13,TRUE)</f>
        <v>Kaulava</v>
      </c>
      <c r="F242" s="36" t="str">
        <f ca="1">VLOOKUP(F234,Panchanga!$A$3:$Y$463,13,TRUE)</f>
        <v>Garija</v>
      </c>
      <c r="G242" s="48" t="str">
        <f ca="1">VLOOKUP(G234,Panchanga!$A$3:$Y$463,13,TRUE)</f>
        <v>Vishti</v>
      </c>
    </row>
    <row r="243" spans="1:7" s="28" customFormat="1" ht="19.5" x14ac:dyDescent="0.3">
      <c r="A243" s="41" t="str">
        <f ca="1">VLOOKUP(A234,Panchanga!$A$3:$Y$463,14,TRUE)</f>
        <v>Vyaghata-व्याघात-ve (12.05)</v>
      </c>
      <c r="B243" s="36" t="str">
        <f ca="1">VLOOKUP(B234,Panchanga!$A$3:$Y$463,14,TRUE)</f>
        <v>Harshana-हर्षण-su (13.12)</v>
      </c>
      <c r="C243" s="36" t="str">
        <f ca="1">VLOOKUP(C234,Panchanga!$A$3:$Y$463,14,TRUE)</f>
        <v>Vajra-वज्र-Mo (14.18)</v>
      </c>
      <c r="D243" s="36" t="str">
        <f ca="1">VLOOKUP(D234,Panchanga!$A$3:$Y$463,14,TRUE)</f>
        <v>Siddhi-सिद्धि-Ma (15.21)</v>
      </c>
      <c r="E243" s="36" t="str">
        <f ca="1">VLOOKUP(E234,Panchanga!$A$3:$Y$463,14,TRUE)</f>
        <v>Vyatipata-व्यतिपात-Ra (16.21)</v>
      </c>
      <c r="F243" s="36" t="str">
        <f ca="1">VLOOKUP(F234,Panchanga!$A$3:$Y$463,14,TRUE)</f>
        <v>Varigha-वरीयस्-Ju (17.2)</v>
      </c>
      <c r="G243" s="48" t="str">
        <f ca="1">VLOOKUP(G234,Panchanga!$A$3:$Y$463,14,TRUE)</f>
        <v>Parigha-परिघ-Sa (18.17)</v>
      </c>
    </row>
    <row r="244" spans="1:7" s="28" customFormat="1" ht="19.5" x14ac:dyDescent="0.3">
      <c r="A244" s="63" t="str">
        <f ca="1">VLOOKUP(A234,Panchanga!$A$3:$Y$463,18,TRUE)</f>
        <v>9Ma,-12Me,-7Ju,1Ve,9Sa,4Ra</v>
      </c>
      <c r="B244" s="64" t="str">
        <f ca="1">VLOOKUP(B234,Panchanga!$A$3:$Y$463,18,TRUE)</f>
        <v>9Ma,-12Me,-7Ju,1Ve,9Sa,4Ra</v>
      </c>
      <c r="C244" s="64" t="str">
        <f ca="1">VLOOKUP(C234,Panchanga!$A$3:$Y$463,18,TRUE)</f>
        <v>9Ma,-12Me,-7Ju,1Ve,9Sa,4Ra</v>
      </c>
      <c r="D244" s="64" t="str">
        <f ca="1">VLOOKUP(D234,Panchanga!$A$3:$Y$463,18,TRUE)</f>
        <v>9Ma,-12Me,-7Ju,1Ve,9Sa,4Ra</v>
      </c>
      <c r="E244" s="64" t="str">
        <f ca="1">VLOOKUP(E234,Panchanga!$A$3:$Y$463,18,TRUE)</f>
        <v>9Ma,-12Me,-7Ju,1Ve,9Sa,4Ra</v>
      </c>
      <c r="F244" s="64" t="str">
        <f ca="1">VLOOKUP(F234,Panchanga!$A$3:$Y$463,18,TRUE)</f>
        <v>9Ma,-12Me,-7Ju,1Ve,9Sa,4Ra</v>
      </c>
      <c r="G244" s="65" t="str">
        <f ca="1">VLOOKUP(G234,Panchanga!$A$3:$Y$463,18,TRUE)</f>
        <v>9Ma,-12Me,-7Ju,1Ve,9Sa,4Ra</v>
      </c>
    </row>
    <row r="245" spans="1:7" ht="5.85" customHeight="1" thickBot="1" x14ac:dyDescent="0.4">
      <c r="A245" s="42"/>
      <c r="B245" s="16"/>
      <c r="C245" s="16"/>
      <c r="D245" s="16"/>
      <c r="E245" s="16"/>
      <c r="F245" s="16"/>
      <c r="G245" s="49"/>
    </row>
    <row r="246" spans="1:7" s="51" customFormat="1" ht="37.5" x14ac:dyDescent="0.5">
      <c r="A246" s="52">
        <f ca="1">G234+1</f>
        <v>43198</v>
      </c>
      <c r="B246" s="53">
        <f t="shared" ref="B246:G246" ca="1" si="16">A246+1</f>
        <v>43199</v>
      </c>
      <c r="C246" s="53">
        <f t="shared" ca="1" si="16"/>
        <v>43200</v>
      </c>
      <c r="D246" s="53">
        <f t="shared" ca="1" si="16"/>
        <v>43201</v>
      </c>
      <c r="E246" s="53">
        <f t="shared" ca="1" si="16"/>
        <v>43202</v>
      </c>
      <c r="F246" s="53">
        <f t="shared" ca="1" si="16"/>
        <v>43203</v>
      </c>
      <c r="G246" s="54">
        <f t="shared" ca="1" si="16"/>
        <v>43204</v>
      </c>
    </row>
    <row r="247" spans="1:7" s="28" customFormat="1" ht="19.5" x14ac:dyDescent="0.3">
      <c r="A247" s="37">
        <f ca="1">VLOOKUP(A246,Panchanga!$A$3:$Y$463,3,TRUE)</f>
        <v>43198.25152608395</v>
      </c>
      <c r="B247" s="27">
        <f ca="1">VLOOKUP(B246,Panchanga!$A$3:$Y$463,3,TRUE)</f>
        <v>43199.251079446789</v>
      </c>
      <c r="C247" s="27">
        <f ca="1">VLOOKUP(C246,Panchanga!$A$3:$Y$463,3,TRUE)</f>
        <v>43200.25063678265</v>
      </c>
      <c r="D247" s="27">
        <f ca="1">VLOOKUP(D246,Panchanga!$A$3:$Y$463,3,TRUE)</f>
        <v>43201.250198410511</v>
      </c>
      <c r="E247" s="27">
        <f ca="1">VLOOKUP(E246,Panchanga!$A$3:$Y$463,3,TRUE)</f>
        <v>43202.249764329907</v>
      </c>
      <c r="F247" s="27">
        <f ca="1">VLOOKUP(F246,Panchanga!$A$3:$Y$463,3,TRUE)</f>
        <v>43203.249335017208</v>
      </c>
      <c r="G247" s="44">
        <f ca="1">VLOOKUP(G246,Panchanga!$A$3:$Y$463,3,TRUE)</f>
        <v>43204.248910632137</v>
      </c>
    </row>
    <row r="248" spans="1:7" s="28" customFormat="1" ht="19.5" x14ac:dyDescent="0.3">
      <c r="A248" s="37">
        <f ca="1">VLOOKUP(A246,Panchanga!$A$3:$Y$463,4,TRUE)</f>
        <v>43197.7645587726</v>
      </c>
      <c r="B248" s="27">
        <f ca="1">VLOOKUP(B246,Panchanga!$A$3:$Y$463,4,TRUE)</f>
        <v>43198.764621397058</v>
      </c>
      <c r="C248" s="27">
        <f ca="1">VLOOKUP(C246,Panchanga!$A$3:$Y$463,4,TRUE)</f>
        <v>43199.764686088121</v>
      </c>
      <c r="D248" s="27">
        <f ca="1">VLOOKUP(D246,Panchanga!$A$3:$Y$463,4,TRUE)</f>
        <v>43200.764753162905</v>
      </c>
      <c r="E248" s="27">
        <f ca="1">VLOOKUP(E246,Panchanga!$A$3:$Y$463,4,TRUE)</f>
        <v>43201.76482278113</v>
      </c>
      <c r="F248" s="27">
        <f ca="1">VLOOKUP(F246,Panchanga!$A$3:$Y$463,4,TRUE)</f>
        <v>43202.764894783541</v>
      </c>
      <c r="G248" s="44">
        <f ca="1">VLOOKUP(G246,Panchanga!$A$3:$Y$463,4,TRUE)</f>
        <v>43203.764969488184</v>
      </c>
    </row>
    <row r="249" spans="1:7" s="28" customFormat="1" ht="19.5" x14ac:dyDescent="0.3">
      <c r="A249" s="38">
        <f ca="1">VLOOKUP(A246,Panchanga!$A$3:$Y$463,6,TRUE)</f>
        <v>354.02093495246112</v>
      </c>
      <c r="B249" s="30">
        <f ca="1">VLOOKUP(B246,Panchanga!$A$3:$Y$463,6,TRUE)</f>
        <v>355.00342888296206</v>
      </c>
      <c r="C249" s="30">
        <f ca="1">VLOOKUP(C246,Panchanga!$A$3:$Y$463,6,TRUE)</f>
        <v>355.98544028810306</v>
      </c>
      <c r="D249" s="30">
        <f ca="1">VLOOKUP(D246,Panchanga!$A$3:$Y$463,6,TRUE)</f>
        <v>356.96696851063632</v>
      </c>
      <c r="E249" s="30">
        <f ca="1">VLOOKUP(E246,Panchanga!$A$3:$Y$463,6,TRUE)</f>
        <v>357.94801048167903</v>
      </c>
      <c r="F249" s="30">
        <f ca="1">VLOOKUP(F246,Panchanga!$A$3:$Y$463,6,TRUE)</f>
        <v>358.92856120298637</v>
      </c>
      <c r="G249" s="45">
        <f ca="1">VLOOKUP(G246,Panchanga!$A$3:$Y$463,6,TRUE)</f>
        <v>359.9086126680744</v>
      </c>
    </row>
    <row r="250" spans="1:7" s="28" customFormat="1" ht="19.5" x14ac:dyDescent="0.3">
      <c r="A250" s="38">
        <f ca="1">VLOOKUP(A246,Panchanga!$A$3:$Y$463,7,TRUE)</f>
        <v>260.97509066736444</v>
      </c>
      <c r="B250" s="30">
        <f ca="1">VLOOKUP(B246,Panchanga!$A$3:$Y$463,7,TRUE)</f>
        <v>272.78283423326218</v>
      </c>
      <c r="C250" s="30">
        <f ca="1">VLOOKUP(C246,Panchanga!$A$3:$Y$463,7,TRUE)</f>
        <v>284.64711626017476</v>
      </c>
      <c r="D250" s="30">
        <f ca="1">VLOOKUP(D246,Panchanga!$A$3:$Y$463,7,TRUE)</f>
        <v>296.65653671879664</v>
      </c>
      <c r="E250" s="30">
        <f ca="1">VLOOKUP(E246,Panchanga!$A$3:$Y$463,7,TRUE)</f>
        <v>308.89199003387887</v>
      </c>
      <c r="F250" s="30">
        <f ca="1">VLOOKUP(F246,Panchanga!$A$3:$Y$463,7,TRUE)</f>
        <v>321.42011742888764</v>
      </c>
      <c r="G250" s="45">
        <f ca="1">VLOOKUP(G246,Panchanga!$A$3:$Y$463,7,TRUE)</f>
        <v>334.28634429785814</v>
      </c>
    </row>
    <row r="251" spans="1:7" s="28" customFormat="1" ht="19.5" x14ac:dyDescent="0.3">
      <c r="A251" s="39" t="str">
        <f ca="1">VLOOKUP(A246,Panchanga!$A$3:$Y$463,9,TRUE) &amp; " "&amp;ROUND(A250/13.333,2)</f>
        <v>Purva Asadha 19.57</v>
      </c>
      <c r="B251" s="32" t="str">
        <f ca="1">VLOOKUP(B246,Panchanga!$A$3:$Y$463,9,TRUE) &amp; " "&amp;ROUND(B250/13.333,2)</f>
        <v>Uttara Asadha 20.46</v>
      </c>
      <c r="C251" s="32" t="str">
        <f ca="1">VLOOKUP(C246,Panchanga!$A$3:$Y$463,9,TRUE) &amp; " "&amp;ROUND(C250/13.333,2)</f>
        <v>Sravana 21.35</v>
      </c>
      <c r="D251" s="32" t="str">
        <f ca="1">VLOOKUP(D246,Panchanga!$A$3:$Y$463,9,TRUE) &amp; " "&amp;ROUND(D250/13.333,2)</f>
        <v>Dhanistha 22.25</v>
      </c>
      <c r="E251" s="32" t="str">
        <f ca="1">VLOOKUP(E246,Panchanga!$A$3:$Y$463,9,TRUE) &amp; " "&amp;ROUND(E250/13.333,2)</f>
        <v>Satabhisaj 23.17</v>
      </c>
      <c r="F251" s="32" t="str">
        <f ca="1">VLOOKUP(F246,Panchanga!$A$3:$Y$463,9,TRUE) &amp; " "&amp;ROUND(F250/13.333,2)</f>
        <v>Purva Bhadrapada 24.11</v>
      </c>
      <c r="G251" s="46" t="str">
        <f ca="1">VLOOKUP(G246,Panchanga!$A$3:$Y$463,9,TRUE) &amp; " "&amp;ROUND(G250/13.333,2)</f>
        <v>Uttara Bhadrapada 25.07</v>
      </c>
    </row>
    <row r="252" spans="1:7" s="28" customFormat="1" ht="19.5" x14ac:dyDescent="0.3">
      <c r="A252" s="40">
        <f ca="1">VLOOKUP(A246,Panchanga!$A$3:$Y$463,10,TRUE)</f>
        <v>43198.7333314262</v>
      </c>
      <c r="B252" s="34">
        <f ca="1">VLOOKUP(B246,Panchanga!$A$3:$Y$463,10,TRUE)</f>
        <v>43199.85912053768</v>
      </c>
      <c r="C252" s="34">
        <f ca="1">VLOOKUP(C246,Panchanga!$A$3:$Y$463,10,TRUE)</f>
        <v>43200.973603332743</v>
      </c>
      <c r="D252" s="34">
        <f ca="1">VLOOKUP(D246,Panchanga!$A$3:$Y$463,10,TRUE)</f>
        <v>43202.067968254174</v>
      </c>
      <c r="E252" s="34">
        <f ca="1">VLOOKUP(E246,Panchanga!$A$3:$Y$463,10,TRUE)</f>
        <v>43203.136029356298</v>
      </c>
      <c r="F252" s="34">
        <f ca="1">VLOOKUP(F246,Panchanga!$A$3:$Y$463,10,TRUE)</f>
        <v>43204.174871325151</v>
      </c>
      <c r="G252" s="47">
        <f ca="1">VLOOKUP(G246,Panchanga!$A$3:$Y$463,10,TRUE)</f>
        <v>43205.184843960196</v>
      </c>
    </row>
    <row r="253" spans="1:7" s="28" customFormat="1" ht="19.5" x14ac:dyDescent="0.3">
      <c r="A253" s="38" t="str">
        <f ca="1">VLOOKUP(A246,Panchanga!$A$3:$Y$463,11,TRUE)</f>
        <v>K8 (22.25)</v>
      </c>
      <c r="B253" s="30" t="str">
        <f ca="1">VLOOKUP(B246,Panchanga!$A$3:$Y$463,11,TRUE)</f>
        <v>K9 (23.15)</v>
      </c>
      <c r="C253" s="30" t="str">
        <f ca="1">VLOOKUP(C246,Panchanga!$A$3:$Y$463,11,TRUE)</f>
        <v>K10 (24.06)</v>
      </c>
      <c r="D253" s="30" t="str">
        <f ca="1">VLOOKUP(D246,Panchanga!$A$3:$Y$463,11,TRUE)</f>
        <v>K10 (24.97)</v>
      </c>
      <c r="E253" s="30" t="str">
        <f ca="1">VLOOKUP(E246,Panchanga!$A$3:$Y$463,11,TRUE)</f>
        <v>K11 (25.91)</v>
      </c>
      <c r="F253" s="30" t="str">
        <f ca="1">VLOOKUP(F246,Panchanga!$A$3:$Y$463,11,TRUE)</f>
        <v>K12 (26.87)</v>
      </c>
      <c r="G253" s="45" t="str">
        <f ca="1">VLOOKUP(G246,Panchanga!$A$3:$Y$463,11,TRUE)</f>
        <v>K13 (27.86)</v>
      </c>
    </row>
    <row r="254" spans="1:7" s="28" customFormat="1" ht="19.5" x14ac:dyDescent="0.3">
      <c r="A254" s="41" t="str">
        <f ca="1">VLOOKUP(A246,Panchanga!$A$3:$Y$463,13,TRUE)</f>
        <v>Baalava</v>
      </c>
      <c r="B254" s="36" t="str">
        <f ca="1">VLOOKUP(B246,Panchanga!$A$3:$Y$463,13,TRUE)</f>
        <v>Taitula</v>
      </c>
      <c r="C254" s="36" t="str">
        <f ca="1">VLOOKUP(C246,Panchanga!$A$3:$Y$463,13,TRUE)</f>
        <v>Vanija</v>
      </c>
      <c r="D254" s="36" t="str">
        <f ca="1">VLOOKUP(D246,Panchanga!$A$3:$Y$463,13,TRUE)</f>
        <v>Vishti</v>
      </c>
      <c r="E254" s="36" t="str">
        <f ca="1">VLOOKUP(E246,Panchanga!$A$3:$Y$463,13,TRUE)</f>
        <v>Baalava</v>
      </c>
      <c r="F254" s="36" t="str">
        <f ca="1">VLOOKUP(F246,Panchanga!$A$3:$Y$463,13,TRUE)</f>
        <v>Taitula</v>
      </c>
      <c r="G254" s="48" t="str">
        <f ca="1">VLOOKUP(G246,Panchanga!$A$3:$Y$463,13,TRUE)</f>
        <v>Vanija</v>
      </c>
    </row>
    <row r="255" spans="1:7" s="28" customFormat="1" ht="19.5" x14ac:dyDescent="0.3">
      <c r="A255" s="41" t="str">
        <f ca="1">VLOOKUP(A246,Panchanga!$A$3:$Y$463,14,TRUE)</f>
        <v>Shiva-शिव-Me (19.13)</v>
      </c>
      <c r="B255" s="36" t="str">
        <f ca="1">VLOOKUP(B246,Panchanga!$A$3:$Y$463,14,TRUE)</f>
        <v>Siddha-सिद्ध-Ke (20.09)</v>
      </c>
      <c r="C255" s="36" t="str">
        <f ca="1">VLOOKUP(C246,Panchanga!$A$3:$Y$463,14,TRUE)</f>
        <v>Sadhya-साध्य-Ve (21.05)</v>
      </c>
      <c r="D255" s="36" t="str">
        <f ca="1">VLOOKUP(D246,Panchanga!$A$3:$Y$463,14,TRUE)</f>
        <v>Shubha-शुभ-Su (22.03)</v>
      </c>
      <c r="E255" s="36" t="str">
        <f ca="1">VLOOKUP(E246,Panchanga!$A$3:$Y$463,14,TRUE)</f>
        <v>Shukla-शुक्ल-Mo (23.02)</v>
      </c>
      <c r="F255" s="36" t="str">
        <f ca="1">VLOOKUP(F246,Panchanga!$A$3:$Y$463,14,TRUE)</f>
        <v>Brahma-ब्रह्म-Ma (24.03)</v>
      </c>
      <c r="G255" s="48" t="str">
        <f ca="1">VLOOKUP(G246,Panchanga!$A$3:$Y$463,14,TRUE)</f>
        <v>Mahendra-महेन्द्र-Ra (25.07)</v>
      </c>
    </row>
    <row r="256" spans="1:7" s="28" customFormat="1" ht="19.5" x14ac:dyDescent="0.3">
      <c r="A256" s="63" t="str">
        <f ca="1">VLOOKUP(A246,Panchanga!$A$3:$Y$463,18,TRUE)</f>
        <v>9Ma,-12Me,-7Ju,1Ve,9Sa,4Ra</v>
      </c>
      <c r="B256" s="64" t="str">
        <f ca="1">VLOOKUP(B246,Panchanga!$A$3:$Y$463,18,TRUE)</f>
        <v>9Ma,-12Me,-7Ju,1Ve,9Sa,4Ra</v>
      </c>
      <c r="C256" s="64" t="str">
        <f ca="1">VLOOKUP(C246,Panchanga!$A$3:$Y$463,18,TRUE)</f>
        <v>9Ma,-12Me,-7Ju,1Ve,9Sa,4Ra</v>
      </c>
      <c r="D256" s="64" t="str">
        <f ca="1">VLOOKUP(D246,Panchanga!$A$3:$Y$463,18,TRUE)</f>
        <v>9Ma,-12Me,-7Ju,1Ve,9Sa,4Ra</v>
      </c>
      <c r="E256" s="64" t="str">
        <f ca="1">VLOOKUP(E246,Panchanga!$A$3:$Y$463,18,TRUE)</f>
        <v>9Ma,-12Me,-7Ju,1Ve,9Sa,4Ra</v>
      </c>
      <c r="F256" s="64" t="str">
        <f ca="1">VLOOKUP(F246,Panchanga!$A$3:$Y$463,18,TRUE)</f>
        <v>9Ma,-12Me,-7Ju,1Ve,9Sa,4Ra</v>
      </c>
      <c r="G256" s="65" t="str">
        <f ca="1">VLOOKUP(G246,Panchanga!$A$3:$Y$463,18,TRUE)</f>
        <v>9Ma,-12Me,-7Ju,1Ve,9Sa,4Ra</v>
      </c>
    </row>
    <row r="257" spans="1:7" ht="5.85" customHeight="1" thickBot="1" x14ac:dyDescent="0.4">
      <c r="A257" s="42"/>
      <c r="B257" s="16"/>
      <c r="C257" s="16"/>
      <c r="D257" s="16"/>
      <c r="E257" s="16"/>
      <c r="F257" s="16"/>
      <c r="G257" s="49"/>
    </row>
    <row r="258" spans="1:7" s="18" customFormat="1" ht="27.75" x14ac:dyDescent="0.4">
      <c r="A258" s="43">
        <f ca="1">G246+1</f>
        <v>43205</v>
      </c>
      <c r="B258" s="19">
        <f t="shared" ref="B258:G258" ca="1" si="17">A258+1</f>
        <v>43206</v>
      </c>
      <c r="C258" s="19">
        <f t="shared" ca="1" si="17"/>
        <v>43207</v>
      </c>
      <c r="D258" s="19">
        <f t="shared" ca="1" si="17"/>
        <v>43208</v>
      </c>
      <c r="E258" s="19">
        <f t="shared" ca="1" si="17"/>
        <v>43209</v>
      </c>
      <c r="F258" s="19">
        <f t="shared" ca="1" si="17"/>
        <v>43210</v>
      </c>
      <c r="G258" s="50">
        <f t="shared" ca="1" si="17"/>
        <v>43211</v>
      </c>
    </row>
    <row r="259" spans="1:7" s="28" customFormat="1" ht="19.5" x14ac:dyDescent="0.3">
      <c r="A259" s="37">
        <f ca="1">VLOOKUP(A258,Panchanga!$A$3:$Y$463,3,TRUE)</f>
        <v>43205.248491174694</v>
      </c>
      <c r="B259" s="27">
        <f ca="1">VLOOKUP(B258,Panchanga!$A$3:$Y$463,3,TRUE)</f>
        <v>43206.248077120785</v>
      </c>
      <c r="C259" s="27">
        <f ca="1">VLOOKUP(C258,Panchanga!$A$3:$Y$463,3,TRUE)</f>
        <v>43207.24766847134</v>
      </c>
      <c r="D259" s="27">
        <f ca="1">VLOOKUP(D258,Panchanga!$A$3:$Y$463,3,TRUE)</f>
        <v>43208.247265543941</v>
      </c>
      <c r="E259" s="27">
        <f ca="1">VLOOKUP(E258,Panchanga!$A$3:$Y$463,3,TRUE)</f>
        <v>43209.246868338589</v>
      </c>
      <c r="F259" s="27">
        <f ca="1">VLOOKUP(F258,Panchanga!$A$3:$Y$463,3,TRUE)</f>
        <v>43210.246477173328</v>
      </c>
      <c r="G259" s="44">
        <f ca="1">VLOOKUP(G258,Panchanga!$A$3:$Y$463,3,TRUE)</f>
        <v>43211.246092206951</v>
      </c>
    </row>
    <row r="260" spans="1:7" s="28" customFormat="1" ht="19.5" x14ac:dyDescent="0.3">
      <c r="A260" s="37">
        <f ca="1">VLOOKUP(A258,Panchanga!$A$3:$Y$463,4,TRUE)</f>
        <v>43204.765046894594</v>
      </c>
      <c r="B260" s="27">
        <f ca="1">VLOOKUP(B258,Panchanga!$A$3:$Y$463,4,TRUE)</f>
        <v>43205.765127321283</v>
      </c>
      <c r="C260" s="27">
        <f ca="1">VLOOKUP(C258,Panchanga!$A$3:$Y$463,4,TRUE)</f>
        <v>43206.765210449739</v>
      </c>
      <c r="D260" s="27">
        <f ca="1">VLOOKUP(D258,Panchanga!$A$3:$Y$463,4,TRUE)</f>
        <v>43207.765296757265</v>
      </c>
      <c r="E260" s="27">
        <f ca="1">VLOOKUP(E258,Panchanga!$A$3:$Y$463,4,TRUE)</f>
        <v>43208.765385925813</v>
      </c>
      <c r="F260" s="27">
        <f ca="1">VLOOKUP(F258,Panchanga!$A$3:$Y$463,4,TRUE)</f>
        <v>43209.765478273432</v>
      </c>
      <c r="G260" s="44">
        <f ca="1">VLOOKUP(G258,Panchanga!$A$3:$Y$463,4,TRUE)</f>
        <v>43210.765573799654</v>
      </c>
    </row>
    <row r="261" spans="1:7" s="28" customFormat="1" ht="19.5" x14ac:dyDescent="0.3">
      <c r="A261" s="38">
        <f ca="1">VLOOKUP(A258,Panchanga!$A$3:$Y$463,6,TRUE)</f>
        <v>0.88815389800888001</v>
      </c>
      <c r="B261" s="30">
        <f ca="1">VLOOKUP(B258,Panchanga!$A$3:$Y$463,6,TRUE)</f>
        <v>1.8671717855600221</v>
      </c>
      <c r="C261" s="30">
        <f ca="1">VLOOKUP(C258,Panchanga!$A$3:$Y$463,6,TRUE)</f>
        <v>2.8456508013603936</v>
      </c>
      <c r="D261" s="30">
        <f ca="1">VLOOKUP(D258,Panchanga!$A$3:$Y$463,6,TRUE)</f>
        <v>3.8235747800586601</v>
      </c>
      <c r="E261" s="30">
        <f ca="1">VLOOKUP(E258,Panchanga!$A$3:$Y$463,6,TRUE)</f>
        <v>4.8009275491935668</v>
      </c>
      <c r="F261" s="30">
        <f ca="1">VLOOKUP(F258,Panchanga!$A$3:$Y$463,6,TRUE)</f>
        <v>5.777694878489724</v>
      </c>
      <c r="G261" s="45">
        <f ca="1">VLOOKUP(G258,Panchanga!$A$3:$Y$463,6,TRUE)</f>
        <v>6.7538652741253502</v>
      </c>
    </row>
    <row r="262" spans="1:7" s="28" customFormat="1" ht="19.5" x14ac:dyDescent="0.3">
      <c r="A262" s="38">
        <f ca="1">VLOOKUP(A258,Panchanga!$A$3:$Y$463,7,TRUE)</f>
        <v>347.50857816793354</v>
      </c>
      <c r="B262" s="30">
        <f ca="1">VLOOKUP(B258,Panchanga!$A$3:$Y$463,7,TRUE)</f>
        <v>1.0731843013854836</v>
      </c>
      <c r="C262" s="30">
        <f ca="1">VLOOKUP(C258,Panchanga!$A$3:$Y$463,7,TRUE)</f>
        <v>14.93515084248898</v>
      </c>
      <c r="D262" s="30">
        <f ca="1">VLOOKUP(D258,Panchanga!$A$3:$Y$463,7,TRUE)</f>
        <v>29.023978612476821</v>
      </c>
      <c r="E262" s="30">
        <f ca="1">VLOOKUP(E258,Panchanga!$A$3:$Y$463,7,TRUE)</f>
        <v>43.255047146801971</v>
      </c>
      <c r="F262" s="30">
        <f ca="1">VLOOKUP(F258,Panchanga!$A$3:$Y$463,7,TRUE)</f>
        <v>57.543832704177717</v>
      </c>
      <c r="G262" s="45">
        <f ca="1">VLOOKUP(G258,Panchanga!$A$3:$Y$463,7,TRUE)</f>
        <v>71.81863126599437</v>
      </c>
    </row>
    <row r="263" spans="1:7" s="28" customFormat="1" ht="19.5" x14ac:dyDescent="0.3">
      <c r="A263" s="39" t="str">
        <f ca="1">VLOOKUP(A258,Panchanga!$A$3:$Y$463,9,TRUE) &amp; " "&amp;ROUND(A262/13.333,2)</f>
        <v>Revati 26.06</v>
      </c>
      <c r="B263" s="32" t="str">
        <f ca="1">VLOOKUP(B258,Panchanga!$A$3:$Y$463,9,TRUE) &amp; " "&amp;ROUND(B262/13.333,2)</f>
        <v>Aswini 0.08</v>
      </c>
      <c r="C263" s="32" t="str">
        <f ca="1">VLOOKUP(C258,Panchanga!$A$3:$Y$463,9,TRUE) &amp; " "&amp;ROUND(C262/13.333,2)</f>
        <v>Bharani 1.12</v>
      </c>
      <c r="D263" s="32" t="str">
        <f ca="1">VLOOKUP(D258,Panchanga!$A$3:$Y$463,9,TRUE) &amp; " "&amp;ROUND(D262/13.333,2)</f>
        <v>Krittika 2.18</v>
      </c>
      <c r="E263" s="32" t="str">
        <f ca="1">VLOOKUP(E258,Panchanga!$A$3:$Y$463,9,TRUE) &amp; " "&amp;ROUND(E262/13.333,2)</f>
        <v>Rohini 3.24</v>
      </c>
      <c r="F263" s="32" t="str">
        <f ca="1">VLOOKUP(F258,Panchanga!$A$3:$Y$463,9,TRUE) &amp; " "&amp;ROUND(F262/13.333,2)</f>
        <v>Mrigashira 4.32</v>
      </c>
      <c r="G263" s="46" t="str">
        <f ca="1">VLOOKUP(G258,Panchanga!$A$3:$Y$463,9,TRUE) &amp; " "&amp;ROUND(G262/13.333,2)</f>
        <v>Ardra 5.39</v>
      </c>
    </row>
    <row r="264" spans="1:7" s="28" customFormat="1" ht="19.5" x14ac:dyDescent="0.3">
      <c r="A264" s="40">
        <f ca="1">VLOOKUP(A258,Panchanga!$A$3:$Y$463,10,TRUE)</f>
        <v>43205.212449101826</v>
      </c>
      <c r="B264" s="34">
        <f ca="1">VLOOKUP(B258,Panchanga!$A$3:$Y$463,10,TRUE)</f>
        <v>43207.132160839537</v>
      </c>
      <c r="C264" s="34">
        <f ca="1">VLOOKUP(C258,Panchanga!$A$3:$Y$463,10,TRUE)</f>
        <v>43208.080015141088</v>
      </c>
      <c r="D264" s="34">
        <f ca="1">VLOOKUP(D258,Panchanga!$A$3:$Y$463,10,TRUE)</f>
        <v>43209.018230958565</v>
      </c>
      <c r="E264" s="34">
        <f ca="1">VLOOKUP(E258,Panchanga!$A$3:$Y$463,10,TRUE)</f>
        <v>43209.951920833824</v>
      </c>
      <c r="F264" s="34">
        <f ca="1">VLOOKUP(F258,Panchanga!$A$3:$Y$463,10,TRUE)</f>
        <v>43210.885317850392</v>
      </c>
      <c r="G264" s="47">
        <f ca="1">VLOOKUP(G258,Panchanga!$A$3:$Y$463,10,TRUE)</f>
        <v>43211.821647900768</v>
      </c>
    </row>
    <row r="265" spans="1:7" s="28" customFormat="1" ht="19.5" x14ac:dyDescent="0.3">
      <c r="A265" s="38" t="str">
        <f ca="1">VLOOKUP(A258,Panchanga!$A$3:$Y$463,11,TRUE)</f>
        <v>K14 (28.89)</v>
      </c>
      <c r="B265" s="30" t="str">
        <f ca="1">VLOOKUP(B258,Panchanga!$A$3:$Y$463,11,TRUE)</f>
        <v>K15 (29.93)</v>
      </c>
      <c r="C265" s="30" t="str">
        <f ca="1">VLOOKUP(C258,Panchanga!$A$3:$Y$463,11,TRUE)</f>
        <v>S2 (1.01)</v>
      </c>
      <c r="D265" s="30" t="str">
        <f ca="1">VLOOKUP(D258,Panchanga!$A$3:$Y$463,11,TRUE)</f>
        <v>S3 (2.1)</v>
      </c>
      <c r="E265" s="30" t="str">
        <f ca="1">VLOOKUP(E258,Panchanga!$A$3:$Y$463,11,TRUE)</f>
        <v>S4 (3.2)</v>
      </c>
      <c r="F265" s="30" t="str">
        <f ca="1">VLOOKUP(F258,Panchanga!$A$3:$Y$463,11,TRUE)</f>
        <v>S5 (4.31)</v>
      </c>
      <c r="G265" s="45" t="str">
        <f ca="1">VLOOKUP(G258,Panchanga!$A$3:$Y$463,11,TRUE)</f>
        <v>S6 (5.42)</v>
      </c>
    </row>
    <row r="266" spans="1:7" s="28" customFormat="1" ht="19.5" x14ac:dyDescent="0.3">
      <c r="A266" s="41" t="str">
        <f ca="1">VLOOKUP(A258,Panchanga!$A$3:$Y$463,13,TRUE)</f>
        <v>Shakuni</v>
      </c>
      <c r="B266" s="36" t="str">
        <f ca="1">VLOOKUP(B258,Panchanga!$A$3:$Y$463,13,TRUE)</f>
        <v>Naaga</v>
      </c>
      <c r="C266" s="36" t="str">
        <f ca="1">VLOOKUP(C258,Panchanga!$A$3:$Y$463,13,TRUE)</f>
        <v>Baalava</v>
      </c>
      <c r="D266" s="36" t="str">
        <f ca="1">VLOOKUP(D258,Panchanga!$A$3:$Y$463,13,TRUE)</f>
        <v>Taitula</v>
      </c>
      <c r="E266" s="36" t="str">
        <f ca="1">VLOOKUP(E258,Panchanga!$A$3:$Y$463,13,TRUE)</f>
        <v>Vanija</v>
      </c>
      <c r="F266" s="36" t="str">
        <f ca="1">VLOOKUP(F258,Panchanga!$A$3:$Y$463,13,TRUE)</f>
        <v>Bhava</v>
      </c>
      <c r="G266" s="48" t="str">
        <f ca="1">VLOOKUP(G258,Panchanga!$A$3:$Y$463,13,TRUE)</f>
        <v>Kaulava</v>
      </c>
    </row>
    <row r="267" spans="1:7" s="28" customFormat="1" ht="19.5" x14ac:dyDescent="0.3">
      <c r="A267" s="41" t="str">
        <f ca="1">VLOOKUP(A258,Panchanga!$A$3:$Y$463,14,TRUE)</f>
        <v>Vaidhriti-वैधृति-Ke (26.13)</v>
      </c>
      <c r="B267" s="36" t="str">
        <f ca="1">VLOOKUP(B258,Panchanga!$A$3:$Y$463,14,TRUE)</f>
        <v>Vishkambha-विष्कम्भ-Sa (0.23)</v>
      </c>
      <c r="C267" s="36" t="str">
        <f ca="1">VLOOKUP(C258,Panchanga!$A$3:$Y$463,14,TRUE)</f>
        <v>Priti-प्रीति-Me (1.34)</v>
      </c>
      <c r="D267" s="36" t="str">
        <f ca="1">VLOOKUP(D258,Panchanga!$A$3:$Y$463,14,TRUE)</f>
        <v>Ayushman-आयुष्मान-Ke (2.47)</v>
      </c>
      <c r="E267" s="36" t="str">
        <f ca="1">VLOOKUP(E258,Panchanga!$A$3:$Y$463,14,TRUE)</f>
        <v>Saubhagya-सौभाग्य-Ve (3.61)</v>
      </c>
      <c r="F267" s="36" t="str">
        <f ca="1">VLOOKUP(F258,Panchanga!$A$3:$Y$463,14,TRUE)</f>
        <v>Shobhana-शोभन-Su (4.75)</v>
      </c>
      <c r="G267" s="48" t="str">
        <f ca="1">VLOOKUP(G258,Panchanga!$A$3:$Y$463,14,TRUE)</f>
        <v>Atiganda-अतिगण्ड -Mo (5.9)</v>
      </c>
    </row>
    <row r="268" spans="1:7" s="28" customFormat="1" ht="19.5" x14ac:dyDescent="0.3">
      <c r="A268" s="63" t="str">
        <f ca="1">VLOOKUP(A258,Panchanga!$A$3:$Y$463,18,TRUE)</f>
        <v>9Ma,12Me,-7Ju,1Ve,9Sa,4Ra</v>
      </c>
      <c r="B268" s="64" t="str">
        <f ca="1">VLOOKUP(B258,Panchanga!$A$3:$Y$463,18,TRUE)</f>
        <v>9Ma,12Me,-7Ju,1Ve,9Sa,4Ra</v>
      </c>
      <c r="C268" s="64" t="str">
        <f ca="1">VLOOKUP(C258,Panchanga!$A$3:$Y$463,18,TRUE)</f>
        <v>9Ma,12Me,-7Ju,1Ve,9Sa,4Ra</v>
      </c>
      <c r="D268" s="64" t="str">
        <f ca="1">VLOOKUP(D258,Panchanga!$A$3:$Y$463,18,TRUE)</f>
        <v>9Ma,12Me,-7Ju,1Ve,-9Sa,4Ra</v>
      </c>
      <c r="E268" s="64" t="str">
        <f ca="1">VLOOKUP(E258,Panchanga!$A$3:$Y$463,18,TRUE)</f>
        <v>9Ma,12Me,-7Ju,1Ve,-9Sa,4Ra</v>
      </c>
      <c r="F268" s="64" t="str">
        <f ca="1">VLOOKUP(F258,Panchanga!$A$3:$Y$463,18,TRUE)</f>
        <v>9Ma,12Me,-7Ju,2Ve,-9Sa,4Ra</v>
      </c>
      <c r="G268" s="65" t="str">
        <f ca="1">VLOOKUP(G258,Panchanga!$A$3:$Y$463,18,TRUE)</f>
        <v>9Ma,12Me,-7Ju,2Ve,-9Sa,4Ra</v>
      </c>
    </row>
    <row r="269" spans="1:7" ht="5.85" customHeight="1" thickBot="1" x14ac:dyDescent="0.4">
      <c r="A269" s="42"/>
      <c r="B269" s="16"/>
      <c r="C269" s="16"/>
      <c r="D269" s="16"/>
      <c r="E269" s="16"/>
      <c r="F269" s="16"/>
      <c r="G269" s="49"/>
    </row>
    <row r="270" spans="1:7" s="51" customFormat="1" ht="37.5" x14ac:dyDescent="0.5">
      <c r="A270" s="52">
        <f ca="1">G258+1</f>
        <v>43212</v>
      </c>
      <c r="B270" s="53">
        <f t="shared" ref="B270:G270" ca="1" si="18">A270+1</f>
        <v>43213</v>
      </c>
      <c r="C270" s="53">
        <f t="shared" ca="1" si="18"/>
        <v>43214</v>
      </c>
      <c r="D270" s="53">
        <f t="shared" ca="1" si="18"/>
        <v>43215</v>
      </c>
      <c r="E270" s="53">
        <f t="shared" ca="1" si="18"/>
        <v>43216</v>
      </c>
      <c r="F270" s="53">
        <f t="shared" ca="1" si="18"/>
        <v>43217</v>
      </c>
      <c r="G270" s="54">
        <f t="shared" ca="1" si="18"/>
        <v>43218</v>
      </c>
    </row>
    <row r="271" spans="1:7" s="28" customFormat="1" ht="19.5" x14ac:dyDescent="0.3">
      <c r="A271" s="37">
        <f ca="1">VLOOKUP(A270,Panchanga!$A$3:$Y$463,3,TRUE)</f>
        <v>43212.245713598248</v>
      </c>
      <c r="B271" s="27">
        <f ca="1">VLOOKUP(B270,Panchanga!$A$3:$Y$463,3,TRUE)</f>
        <v>43213.245341506008</v>
      </c>
      <c r="C271" s="27">
        <f ca="1">VLOOKUP(C270,Panchanga!$A$3:$Y$463,3,TRUE)</f>
        <v>43214.244976248745</v>
      </c>
      <c r="D271" s="27">
        <f ca="1">VLOOKUP(D270,Panchanga!$A$3:$Y$463,3,TRUE)</f>
        <v>43215.244617985249</v>
      </c>
      <c r="E271" s="27">
        <f ca="1">VLOOKUP(E270,Panchanga!$A$3:$Y$463,3,TRUE)</f>
        <v>43216.2442670331</v>
      </c>
      <c r="F271" s="27">
        <f ca="1">VLOOKUP(F270,Panchanga!$A$3:$Y$463,3,TRUE)</f>
        <v>43217.2439233923</v>
      </c>
      <c r="G271" s="44">
        <f ca="1">VLOOKUP(G270,Panchanga!$A$3:$Y$463,3,TRUE)</f>
        <v>43218.24358754015</v>
      </c>
    </row>
    <row r="272" spans="1:7" s="28" customFormat="1" ht="19.5" x14ac:dyDescent="0.3">
      <c r="A272" s="37">
        <f ca="1">VLOOKUP(A270,Panchanga!$A$3:$Y$463,4,TRUE)</f>
        <v>43211.765672504946</v>
      </c>
      <c r="B272" s="27">
        <f ca="1">VLOOKUP(B270,Panchanga!$A$3:$Y$463,4,TRUE)</f>
        <v>43212.765774389307</v>
      </c>
      <c r="C272" s="27">
        <f ca="1">VLOOKUP(C270,Panchanga!$A$3:$Y$463,4,TRUE)</f>
        <v>43213.765879611528</v>
      </c>
      <c r="D272" s="27">
        <f ca="1">VLOOKUP(D270,Panchanga!$A$3:$Y$463,4,TRUE)</f>
        <v>43214.765988171144</v>
      </c>
      <c r="E272" s="27">
        <f ca="1">VLOOKUP(E270,Panchanga!$A$3:$Y$463,4,TRUE)</f>
        <v>43215.766100227876</v>
      </c>
      <c r="F272" s="27">
        <f ca="1">VLOOKUP(F270,Panchanga!$A$3:$Y$463,4,TRUE)</f>
        <v>43216.766215781725</v>
      </c>
      <c r="G272" s="44">
        <f ca="1">VLOOKUP(G270,Panchanga!$A$3:$Y$463,4,TRUE)</f>
        <v>43217.766334991014</v>
      </c>
    </row>
    <row r="273" spans="1:7" s="28" customFormat="1" ht="19.5" x14ac:dyDescent="0.3">
      <c r="A273" s="38">
        <f ca="1">VLOOKUP(A270,Panchanga!$A$3:$Y$463,6,TRUE)</f>
        <v>7.7294312107399072</v>
      </c>
      <c r="B273" s="30">
        <f ca="1">VLOOKUP(B270,Panchanga!$A$3:$Y$463,6,TRUE)</f>
        <v>8.7043899103984153</v>
      </c>
      <c r="C273" s="30">
        <f ca="1">VLOOKUP(C270,Panchanga!$A$3:$Y$463,6,TRUE)</f>
        <v>9.6787438800185139</v>
      </c>
      <c r="D273" s="30">
        <f ca="1">VLOOKUP(D270,Panchanga!$A$3:$Y$463,6,TRUE)</f>
        <v>10.652500529045561</v>
      </c>
      <c r="E273" s="30">
        <f ca="1">VLOOKUP(E270,Panchanga!$A$3:$Y$463,6,TRUE)</f>
        <v>11.625671986259935</v>
      </c>
      <c r="F273" s="30">
        <f ca="1">VLOOKUP(F270,Panchanga!$A$3:$Y$463,6,TRUE)</f>
        <v>12.598273835110245</v>
      </c>
      <c r="G273" s="45">
        <f ca="1">VLOOKUP(G270,Panchanga!$A$3:$Y$463,6,TRUE)</f>
        <v>13.570324934761683</v>
      </c>
    </row>
    <row r="274" spans="1:7" s="28" customFormat="1" ht="19.5" x14ac:dyDescent="0.3">
      <c r="A274" s="38">
        <f ca="1">VLOOKUP(A270,Panchanga!$A$3:$Y$463,7,TRUE)</f>
        <v>86.027979352492778</v>
      </c>
      <c r="B274" s="30">
        <f ca="1">VLOOKUP(B270,Panchanga!$A$3:$Y$463,7,TRUE)</f>
        <v>100.14128557214816</v>
      </c>
      <c r="C274" s="30">
        <f ca="1">VLOOKUP(C270,Panchanga!$A$3:$Y$463,7,TRUE)</f>
        <v>114.14381989360318</v>
      </c>
      <c r="D274" s="30">
        <f ca="1">VLOOKUP(D270,Panchanga!$A$3:$Y$463,7,TRUE)</f>
        <v>128.0286813661651</v>
      </c>
      <c r="E274" s="30">
        <f ca="1">VLOOKUP(E270,Panchanga!$A$3:$Y$463,7,TRUE)</f>
        <v>141.78860562689306</v>
      </c>
      <c r="F274" s="30">
        <f ca="1">VLOOKUP(F270,Panchanga!$A$3:$Y$463,7,TRUE)</f>
        <v>155.40998963492163</v>
      </c>
      <c r="G274" s="45">
        <f ca="1">VLOOKUP(G270,Panchanga!$A$3:$Y$463,7,TRUE)</f>
        <v>168.87077967755656</v>
      </c>
    </row>
    <row r="275" spans="1:7" s="28" customFormat="1" ht="19.5" x14ac:dyDescent="0.3">
      <c r="A275" s="39" t="str">
        <f ca="1">VLOOKUP(A270,Panchanga!$A$3:$Y$463,9,TRUE) &amp; " "&amp;ROUND(A274/13.333,2)</f>
        <v>Punarvasu 6.45</v>
      </c>
      <c r="B275" s="32" t="str">
        <f ca="1">VLOOKUP(B270,Panchanga!$A$3:$Y$463,9,TRUE) &amp; " "&amp;ROUND(B274/13.333,2)</f>
        <v>Pushya 7.51</v>
      </c>
      <c r="C275" s="32" t="str">
        <f ca="1">VLOOKUP(C270,Panchanga!$A$3:$Y$463,9,TRUE) &amp; " "&amp;ROUND(C274/13.333,2)</f>
        <v>Aslesha 8.56</v>
      </c>
      <c r="D275" s="32" t="str">
        <f ca="1">VLOOKUP(D270,Panchanga!$A$3:$Y$463,9,TRUE) &amp; " "&amp;ROUND(D274/13.333,2)</f>
        <v>Makha 9.6</v>
      </c>
      <c r="E275" s="32" t="str">
        <f ca="1">VLOOKUP(E270,Panchanga!$A$3:$Y$463,9,TRUE) &amp; " "&amp;ROUND(E274/13.333,2)</f>
        <v>Purva Phalguni 10.63</v>
      </c>
      <c r="F275" s="32" t="str">
        <f ca="1">VLOOKUP(F270,Panchanga!$A$3:$Y$463,9,TRUE) &amp; " "&amp;ROUND(F274/13.333,2)</f>
        <v>Uttara Phalguni 11.66</v>
      </c>
      <c r="G275" s="46" t="str">
        <f ca="1">VLOOKUP(G270,Panchanga!$A$3:$Y$463,9,TRUE) &amp; " "&amp;ROUND(G274/13.333,2)</f>
        <v>Hasta 12.67</v>
      </c>
    </row>
    <row r="276" spans="1:7" s="28" customFormat="1" ht="19.5" x14ac:dyDescent="0.3">
      <c r="A276" s="40">
        <f ca="1">VLOOKUP(A270,Panchanga!$A$3:$Y$463,10,TRUE)</f>
        <v>43212.763142725176</v>
      </c>
      <c r="B276" s="34">
        <f ca="1">VLOOKUP(B270,Panchanga!$A$3:$Y$463,10,TRUE)</f>
        <v>43213.711185581225</v>
      </c>
      <c r="C276" s="34">
        <f ca="1">VLOOKUP(C270,Panchanga!$A$3:$Y$463,10,TRUE)</f>
        <v>43214.66659241412</v>
      </c>
      <c r="D276" s="34">
        <f ca="1">VLOOKUP(D270,Panchanga!$A$3:$Y$463,10,TRUE)</f>
        <v>43215.629997307668</v>
      </c>
      <c r="E276" s="34">
        <f ca="1">VLOOKUP(E270,Panchanga!$A$3:$Y$463,10,TRUE)</f>
        <v>43216.602261840097</v>
      </c>
      <c r="F276" s="34">
        <f ca="1">VLOOKUP(F270,Panchanga!$A$3:$Y$463,10,TRUE)</f>
        <v>43217.584800026263</v>
      </c>
      <c r="G276" s="47">
        <f ca="1">VLOOKUP(G270,Panchanga!$A$3:$Y$463,10,TRUE)</f>
        <v>43218.579719314686</v>
      </c>
    </row>
    <row r="277" spans="1:7" s="28" customFormat="1" ht="19.5" x14ac:dyDescent="0.3">
      <c r="A277" s="38" t="str">
        <f ca="1">VLOOKUP(A270,Panchanga!$A$3:$Y$463,11,TRUE)</f>
        <v>S7 (6.52)</v>
      </c>
      <c r="B277" s="30" t="str">
        <f ca="1">VLOOKUP(B270,Panchanga!$A$3:$Y$463,11,TRUE)</f>
        <v>S8 (7.62)</v>
      </c>
      <c r="C277" s="30" t="str">
        <f ca="1">VLOOKUP(C270,Panchanga!$A$3:$Y$463,11,TRUE)</f>
        <v>S9 (8.71)</v>
      </c>
      <c r="D277" s="30" t="str">
        <f ca="1">VLOOKUP(D270,Panchanga!$A$3:$Y$463,11,TRUE)</f>
        <v>S10 (9.78)</v>
      </c>
      <c r="E277" s="30" t="str">
        <f ca="1">VLOOKUP(E270,Panchanga!$A$3:$Y$463,11,TRUE)</f>
        <v>S11 (10.85)</v>
      </c>
      <c r="F277" s="30" t="str">
        <f ca="1">VLOOKUP(F270,Panchanga!$A$3:$Y$463,11,TRUE)</f>
        <v>S12 (11.9)</v>
      </c>
      <c r="G277" s="45" t="str">
        <f ca="1">VLOOKUP(G270,Panchanga!$A$3:$Y$463,11,TRUE)</f>
        <v>S13 (12.94)</v>
      </c>
    </row>
    <row r="278" spans="1:7" s="28" customFormat="1" ht="19.5" x14ac:dyDescent="0.3">
      <c r="A278" s="41" t="str">
        <f ca="1">VLOOKUP(A270,Panchanga!$A$3:$Y$463,13,TRUE)</f>
        <v>Vanija</v>
      </c>
      <c r="B278" s="36" t="str">
        <f ca="1">VLOOKUP(B270,Panchanga!$A$3:$Y$463,13,TRUE)</f>
        <v>Bhava</v>
      </c>
      <c r="C278" s="36" t="str">
        <f ca="1">VLOOKUP(C270,Panchanga!$A$3:$Y$463,13,TRUE)</f>
        <v>Kaulava</v>
      </c>
      <c r="D278" s="36" t="str">
        <f ca="1">VLOOKUP(D270,Panchanga!$A$3:$Y$463,13,TRUE)</f>
        <v>Garija</v>
      </c>
      <c r="E278" s="36" t="str">
        <f ca="1">VLOOKUP(E270,Panchanga!$A$3:$Y$463,13,TRUE)</f>
        <v>Vishti</v>
      </c>
      <c r="F278" s="36" t="str">
        <f ca="1">VLOOKUP(F270,Panchanga!$A$3:$Y$463,13,TRUE)</f>
        <v>Baalava</v>
      </c>
      <c r="G278" s="48" t="str">
        <f ca="1">VLOOKUP(G270,Panchanga!$A$3:$Y$463,13,TRUE)</f>
        <v>Taitula</v>
      </c>
    </row>
    <row r="279" spans="1:7" s="28" customFormat="1" ht="19.5" x14ac:dyDescent="0.3">
      <c r="A279" s="41" t="str">
        <f ca="1">VLOOKUP(A270,Panchanga!$A$3:$Y$463,14,TRUE)</f>
        <v>Dhriti-धृति -Ra (7.04)</v>
      </c>
      <c r="B279" s="36" t="str">
        <f ca="1">VLOOKUP(B270,Panchanga!$A$3:$Y$463,14,TRUE)</f>
        <v>Shula-शूल -Ju (8.17)</v>
      </c>
      <c r="C279" s="36" t="str">
        <f ca="1">VLOOKUP(C270,Panchanga!$A$3:$Y$463,14,TRUE)</f>
        <v>Ganda-गण्ड -Sa (9.29)</v>
      </c>
      <c r="D279" s="36" t="str">
        <f ca="1">VLOOKUP(D270,Panchanga!$A$3:$Y$463,14,TRUE)</f>
        <v>Vriddhi-वृद्धि -Me (10.41)</v>
      </c>
      <c r="E279" s="36" t="str">
        <f ca="1">VLOOKUP(E270,Panchanga!$A$3:$Y$463,14,TRUE)</f>
        <v>Dhruva-ध्रुव -Ke (11.51)</v>
      </c>
      <c r="F279" s="36" t="str">
        <f ca="1">VLOOKUP(F270,Panchanga!$A$3:$Y$463,14,TRUE)</f>
        <v>Vyaghata-व्याघात-ve (12.61)</v>
      </c>
      <c r="G279" s="48" t="str">
        <f ca="1">VLOOKUP(G270,Panchanga!$A$3:$Y$463,14,TRUE)</f>
        <v>Harshana-हर्षण-su (13.69)</v>
      </c>
    </row>
    <row r="280" spans="1:7" s="28" customFormat="1" ht="19.5" x14ac:dyDescent="0.3">
      <c r="A280" s="63" t="str">
        <f ca="1">VLOOKUP(A270,Panchanga!$A$3:$Y$463,18,TRUE)</f>
        <v>9Ma,12Me,-7Ju,2Ve,-9Sa,4Ra</v>
      </c>
      <c r="B280" s="64" t="str">
        <f ca="1">VLOOKUP(B270,Panchanga!$A$3:$Y$463,18,TRUE)</f>
        <v>9Ma,12Me,-7Ju,2Ve,-9Sa,4Ra</v>
      </c>
      <c r="C280" s="64" t="str">
        <f ca="1">VLOOKUP(C270,Panchanga!$A$3:$Y$463,18,TRUE)</f>
        <v>9Ma,12Me,-7Ju,2Ve,-9Sa,4Ra</v>
      </c>
      <c r="D280" s="64" t="str">
        <f ca="1">VLOOKUP(D270,Panchanga!$A$3:$Y$463,18,TRUE)</f>
        <v>9Ma,12Me,-7Ju,2Ve,-9Sa,4Ra</v>
      </c>
      <c r="E280" s="64" t="str">
        <f ca="1">VLOOKUP(E270,Panchanga!$A$3:$Y$463,18,TRUE)</f>
        <v>9Ma,12Me,-7Ju,2Ve,-9Sa,4Ra</v>
      </c>
      <c r="F280" s="64" t="str">
        <f ca="1">VLOOKUP(F270,Panchanga!$A$3:$Y$463,18,TRUE)</f>
        <v>9Ma,12Me,-7Ju,2Ve,-9Sa,4Ra</v>
      </c>
      <c r="G280" s="65" t="str">
        <f ca="1">VLOOKUP(G270,Panchanga!$A$3:$Y$463,18,TRUE)</f>
        <v>9Ma,12Me,-7Ju,2Ve,-9Sa,4Ra</v>
      </c>
    </row>
    <row r="281" spans="1:7" ht="5.85" customHeight="1" thickBot="1" x14ac:dyDescent="0.4">
      <c r="A281" s="42"/>
      <c r="B281" s="16"/>
      <c r="C281" s="16"/>
      <c r="D281" s="16"/>
      <c r="E281" s="16"/>
      <c r="F281" s="16"/>
      <c r="G281" s="49"/>
    </row>
    <row r="282" spans="1:7" s="51" customFormat="1" ht="37.5" x14ac:dyDescent="0.5">
      <c r="A282" s="52">
        <f ca="1">G270+1</f>
        <v>43219</v>
      </c>
      <c r="B282" s="53">
        <f t="shared" ref="B282:G282" ca="1" si="19">A282+1</f>
        <v>43220</v>
      </c>
      <c r="C282" s="53">
        <f t="shared" ca="1" si="19"/>
        <v>43221</v>
      </c>
      <c r="D282" s="53">
        <f t="shared" ca="1" si="19"/>
        <v>43222</v>
      </c>
      <c r="E282" s="53">
        <f t="shared" ca="1" si="19"/>
        <v>43223</v>
      </c>
      <c r="F282" s="53">
        <f t="shared" ca="1" si="19"/>
        <v>43224</v>
      </c>
      <c r="G282" s="54">
        <f t="shared" ca="1" si="19"/>
        <v>43225</v>
      </c>
    </row>
    <row r="283" spans="1:7" s="28" customFormat="1" ht="19.5" x14ac:dyDescent="0.3">
      <c r="A283" s="37">
        <f ca="1">VLOOKUP(A282,Panchanga!$A$3:$Y$463,3,TRUE)</f>
        <v>43219.243259476185</v>
      </c>
      <c r="B283" s="27">
        <f ca="1">VLOOKUP(B282,Panchanga!$A$3:$Y$463,3,TRUE)</f>
        <v>43220.242939518452</v>
      </c>
      <c r="C283" s="27">
        <f ca="1">VLOOKUP(C282,Panchanga!$A$3:$Y$463,3,TRUE)</f>
        <v>43221.242627825741</v>
      </c>
      <c r="D283" s="27">
        <f ca="1">VLOOKUP(D282,Panchanga!$A$3:$Y$463,3,TRUE)</f>
        <v>43222.242324716564</v>
      </c>
      <c r="E283" s="27">
        <f ca="1">VLOOKUP(E282,Panchanga!$A$3:$Y$463,3,TRUE)</f>
        <v>43223.242030348782</v>
      </c>
      <c r="F283" s="27">
        <f ca="1">VLOOKUP(F282,Panchanga!$A$3:$Y$463,3,TRUE)</f>
        <v>43224.24174488258</v>
      </c>
      <c r="G283" s="44">
        <f ca="1">VLOOKUP(G282,Panchanga!$A$3:$Y$463,3,TRUE)</f>
        <v>43225.241468317028</v>
      </c>
    </row>
    <row r="284" spans="1:7" s="28" customFormat="1" ht="19.5" x14ac:dyDescent="0.3">
      <c r="A284" s="37">
        <f ca="1">VLOOKUP(A282,Panchanga!$A$3:$Y$463,4,TRUE)</f>
        <v>43218.766457855745</v>
      </c>
      <c r="B284" s="27">
        <f ca="1">VLOOKUP(B282,Panchanga!$A$3:$Y$463,4,TRUE)</f>
        <v>43219.766584535639</v>
      </c>
      <c r="C284" s="27">
        <f ca="1">VLOOKUP(C282,Panchanga!$A$3:$Y$463,4,TRUE)</f>
        <v>43220.76671503023</v>
      </c>
      <c r="D284" s="27">
        <f ca="1">VLOOKUP(D282,Panchanga!$A$3:$Y$463,4,TRUE)</f>
        <v>43221.766849498308</v>
      </c>
      <c r="E284" s="27">
        <f ca="1">VLOOKUP(E282,Panchanga!$A$3:$Y$463,4,TRUE)</f>
        <v>43222.766987939875</v>
      </c>
      <c r="F284" s="27">
        <f ca="1">VLOOKUP(F282,Panchanga!$A$3:$Y$463,4,TRUE)</f>
        <v>43223.767130355394</v>
      </c>
      <c r="G284" s="44">
        <f ca="1">VLOOKUP(G282,Panchanga!$A$3:$Y$463,4,TRUE)</f>
        <v>43224.767276903192</v>
      </c>
    </row>
    <row r="285" spans="1:7" s="28" customFormat="1" ht="19.5" x14ac:dyDescent="0.3">
      <c r="A285" s="38">
        <f ca="1">VLOOKUP(A282,Panchanga!$A$3:$Y$463,6,TRUE)</f>
        <v>14.541845516837826</v>
      </c>
      <c r="B285" s="30">
        <f ca="1">VLOOKUP(B282,Panchanga!$A$3:$Y$463,6,TRUE)</f>
        <v>15.512857034009345</v>
      </c>
      <c r="C285" s="30">
        <f ca="1">VLOOKUP(C282,Panchanga!$A$3:$Y$463,6,TRUE)</f>
        <v>16.483380838358112</v>
      </c>
      <c r="D285" s="30">
        <f ca="1">VLOOKUP(D282,Panchanga!$A$3:$Y$463,6,TRUE)</f>
        <v>17.453437721807553</v>
      </c>
      <c r="E285" s="30">
        <f ca="1">VLOOKUP(E282,Panchanga!$A$3:$Y$463,6,TRUE)</f>
        <v>18.42304696850114</v>
      </c>
      <c r="F285" s="30">
        <f ca="1">VLOOKUP(F282,Panchanga!$A$3:$Y$463,6,TRUE)</f>
        <v>19.392226074029058</v>
      </c>
      <c r="G285" s="45">
        <f ca="1">VLOOKUP(G282,Panchanga!$A$3:$Y$463,6,TRUE)</f>
        <v>20.360990378034618</v>
      </c>
    </row>
    <row r="286" spans="1:7" s="28" customFormat="1" ht="19.5" x14ac:dyDescent="0.3">
      <c r="A286" s="38">
        <f ca="1">VLOOKUP(A282,Panchanga!$A$3:$Y$463,7,TRUE)</f>
        <v>182.14262718114787</v>
      </c>
      <c r="B286" s="30">
        <f ca="1">VLOOKUP(B282,Panchanga!$A$3:$Y$463,7,TRUE)</f>
        <v>195.19643364803736</v>
      </c>
      <c r="C286" s="30">
        <f ca="1">VLOOKUP(C282,Panchanga!$A$3:$Y$463,7,TRUE)</f>
        <v>208.00937133563258</v>
      </c>
      <c r="D286" s="30">
        <f ca="1">VLOOKUP(D282,Panchanga!$A$3:$Y$463,7,TRUE)</f>
        <v>220.57145517851973</v>
      </c>
      <c r="E286" s="30">
        <f ca="1">VLOOKUP(E282,Panchanga!$A$3:$Y$463,7,TRUE)</f>
        <v>232.89026437253696</v>
      </c>
      <c r="F286" s="30">
        <f ca="1">VLOOKUP(F282,Panchanga!$A$3:$Y$463,7,TRUE)</f>
        <v>244.99315486338014</v>
      </c>
      <c r="G286" s="45">
        <f ca="1">VLOOKUP(G282,Panchanga!$A$3:$Y$463,7,TRUE)</f>
        <v>256.92690846124367</v>
      </c>
    </row>
    <row r="287" spans="1:7" s="28" customFormat="1" ht="19.5" x14ac:dyDescent="0.3">
      <c r="A287" s="39" t="str">
        <f ca="1">VLOOKUP(A282,Panchanga!$A$3:$Y$463,9,TRUE) &amp; " "&amp;ROUND(A286/13.333,2)</f>
        <v>Chitra 13.66</v>
      </c>
      <c r="B287" s="32" t="str">
        <f ca="1">VLOOKUP(B282,Panchanga!$A$3:$Y$463,9,TRUE) &amp; " "&amp;ROUND(B286/13.333,2)</f>
        <v>Swati 14.64</v>
      </c>
      <c r="C287" s="32" t="str">
        <f ca="1">VLOOKUP(C282,Panchanga!$A$3:$Y$463,9,TRUE) &amp; " "&amp;ROUND(C286/13.333,2)</f>
        <v>Visakha 15.6</v>
      </c>
      <c r="D287" s="32" t="str">
        <f ca="1">VLOOKUP(D282,Panchanga!$A$3:$Y$463,9,TRUE) &amp; " "&amp;ROUND(D286/13.333,2)</f>
        <v>Anuradha 16.54</v>
      </c>
      <c r="E287" s="32" t="str">
        <f ca="1">VLOOKUP(E282,Panchanga!$A$3:$Y$463,9,TRUE) &amp; " "&amp;ROUND(E286/13.333,2)</f>
        <v>Jyestha 17.47</v>
      </c>
      <c r="F287" s="32" t="str">
        <f ca="1">VLOOKUP(F282,Panchanga!$A$3:$Y$463,9,TRUE) &amp; " "&amp;ROUND(F286/13.333,2)</f>
        <v>Moola 18.37</v>
      </c>
      <c r="G287" s="46" t="str">
        <f ca="1">VLOOKUP(G282,Panchanga!$A$3:$Y$463,9,TRUE) &amp; " "&amp;ROUND(G286/13.333,2)</f>
        <v>Purva Asadha 19.27</v>
      </c>
    </row>
    <row r="288" spans="1:7" s="28" customFormat="1" ht="19.5" x14ac:dyDescent="0.3">
      <c r="A288" s="40">
        <f ca="1">VLOOKUP(A282,Panchanga!$A$3:$Y$463,10,TRUE)</f>
        <v>43219.58971719299</v>
      </c>
      <c r="B288" s="34">
        <f ca="1">VLOOKUP(B282,Panchanga!$A$3:$Y$463,10,TRUE)</f>
        <v>43220.617722353774</v>
      </c>
      <c r="C288" s="34">
        <f ca="1">VLOOKUP(C282,Panchanga!$A$3:$Y$463,10,TRUE)</f>
        <v>43221.666311373992</v>
      </c>
      <c r="D288" s="34">
        <f ca="1">VLOOKUP(D282,Panchanga!$A$3:$Y$463,10,TRUE)</f>
        <v>43222.736968083329</v>
      </c>
      <c r="E288" s="34">
        <f ca="1">VLOOKUP(E282,Panchanga!$A$3:$Y$463,10,TRUE)</f>
        <v>43223.829303780993</v>
      </c>
      <c r="F288" s="34">
        <f ca="1">VLOOKUP(F282,Panchanga!$A$3:$Y$463,10,TRUE)</f>
        <v>43224.940424622822</v>
      </c>
      <c r="G288" s="47">
        <f ca="1">VLOOKUP(G282,Panchanga!$A$3:$Y$463,10,TRUE)</f>
        <v>43226.064666626815</v>
      </c>
    </row>
    <row r="289" spans="1:7" s="28" customFormat="1" ht="19.5" x14ac:dyDescent="0.3">
      <c r="A289" s="38" t="str">
        <f ca="1">VLOOKUP(A282,Panchanga!$A$3:$Y$463,11,TRUE)</f>
        <v>S14 (13.97)</v>
      </c>
      <c r="B289" s="30" t="str">
        <f ca="1">VLOOKUP(B282,Panchanga!$A$3:$Y$463,11,TRUE)</f>
        <v>S15 (14.97)</v>
      </c>
      <c r="C289" s="30" t="str">
        <f ca="1">VLOOKUP(C282,Panchanga!$A$3:$Y$463,11,TRUE)</f>
        <v>K1 (15.96)</v>
      </c>
      <c r="D289" s="30" t="str">
        <f ca="1">VLOOKUP(D282,Panchanga!$A$3:$Y$463,11,TRUE)</f>
        <v>K2 (16.93)</v>
      </c>
      <c r="E289" s="30" t="str">
        <f ca="1">VLOOKUP(E282,Panchanga!$A$3:$Y$463,11,TRUE)</f>
        <v>K3 (17.87)</v>
      </c>
      <c r="F289" s="30" t="str">
        <f ca="1">VLOOKUP(F282,Panchanga!$A$3:$Y$463,11,TRUE)</f>
        <v>K4 (18.8)</v>
      </c>
      <c r="G289" s="45" t="str">
        <f ca="1">VLOOKUP(G282,Panchanga!$A$3:$Y$463,11,TRUE)</f>
        <v>K5 (19.71)</v>
      </c>
    </row>
    <row r="290" spans="1:7" s="28" customFormat="1" ht="19.5" x14ac:dyDescent="0.3">
      <c r="A290" s="41" t="str">
        <f ca="1">VLOOKUP(A282,Panchanga!$A$3:$Y$463,13,TRUE)</f>
        <v>Vanija</v>
      </c>
      <c r="B290" s="36" t="str">
        <f ca="1">VLOOKUP(B282,Panchanga!$A$3:$Y$463,13,TRUE)</f>
        <v>Bhava</v>
      </c>
      <c r="C290" s="36" t="str">
        <f ca="1">VLOOKUP(C282,Panchanga!$A$3:$Y$463,13,TRUE)</f>
        <v>Kaulava</v>
      </c>
      <c r="D290" s="36" t="str">
        <f ca="1">VLOOKUP(D282,Panchanga!$A$3:$Y$463,13,TRUE)</f>
        <v>Garija</v>
      </c>
      <c r="E290" s="36" t="str">
        <f ca="1">VLOOKUP(E282,Panchanga!$A$3:$Y$463,13,TRUE)</f>
        <v>Vishti</v>
      </c>
      <c r="F290" s="36" t="str">
        <f ca="1">VLOOKUP(F282,Panchanga!$A$3:$Y$463,13,TRUE)</f>
        <v>Baalava</v>
      </c>
      <c r="G290" s="48" t="str">
        <f ca="1">VLOOKUP(G282,Panchanga!$A$3:$Y$463,13,TRUE)</f>
        <v>Taitula</v>
      </c>
    </row>
    <row r="291" spans="1:7" s="28" customFormat="1" ht="19.5" x14ac:dyDescent="0.3">
      <c r="A291" s="41" t="str">
        <f ca="1">VLOOKUP(A282,Panchanga!$A$3:$Y$463,14,TRUE)</f>
        <v>Vajra-वज्र-Mo (14.76)</v>
      </c>
      <c r="B291" s="36" t="str">
        <f ca="1">VLOOKUP(B282,Panchanga!$A$3:$Y$463,14,TRUE)</f>
        <v>Siddhi-सिद्धि-Ma (15.81)</v>
      </c>
      <c r="C291" s="36" t="str">
        <f ca="1">VLOOKUP(C282,Panchanga!$A$3:$Y$463,14,TRUE)</f>
        <v>Vyatipata-व्यतिपात-Ra (16.84)</v>
      </c>
      <c r="D291" s="36" t="str">
        <f ca="1">VLOOKUP(D282,Panchanga!$A$3:$Y$463,14,TRUE)</f>
        <v>Varigha-वरीयस्-Ju (17.86)</v>
      </c>
      <c r="E291" s="36" t="str">
        <f ca="1">VLOOKUP(E282,Panchanga!$A$3:$Y$463,14,TRUE)</f>
        <v>Parigha-परिघ-Sa (18.85)</v>
      </c>
      <c r="F291" s="36" t="str">
        <f ca="1">VLOOKUP(F282,Panchanga!$A$3:$Y$463,14,TRUE)</f>
        <v>Shiva-शिव-Me (19.83)</v>
      </c>
      <c r="G291" s="48" t="str">
        <f ca="1">VLOOKUP(G282,Panchanga!$A$3:$Y$463,14,TRUE)</f>
        <v>Siddha-सिद्ध-Ke (20.8)</v>
      </c>
    </row>
    <row r="292" spans="1:7" s="28" customFormat="1" ht="19.5" x14ac:dyDescent="0.3">
      <c r="A292" s="63" t="str">
        <f ca="1">VLOOKUP(A282,Panchanga!$A$3:$Y$463,18,TRUE)</f>
        <v>9Ma,12Me,-7Ju,2Ve,-9Sa,4Ra</v>
      </c>
      <c r="B292" s="64" t="str">
        <f ca="1">VLOOKUP(B282,Panchanga!$A$3:$Y$463,18,TRUE)</f>
        <v>9Ma,12Me,-7Ju,2Ve,-9Sa,4Ra</v>
      </c>
      <c r="C292" s="64" t="str">
        <f ca="1">VLOOKUP(C282,Panchanga!$A$3:$Y$463,18,TRUE)</f>
        <v>9Ma,12Me,-7Ju,2Ve,-9Sa,4Ra</v>
      </c>
      <c r="D292" s="64" t="str">
        <f ca="1">VLOOKUP(D282,Panchanga!$A$3:$Y$463,18,TRUE)</f>
        <v>9Ma,12Me,-7Ju,2Ve,-9Sa,4Ra</v>
      </c>
      <c r="E292" s="64" t="str">
        <f ca="1">VLOOKUP(E282,Panchanga!$A$3:$Y$463,18,TRUE)</f>
        <v>10Ma,12Me,-7Ju,2Ve,-9Sa,4Ra</v>
      </c>
      <c r="F292" s="64" t="str">
        <f ca="1">VLOOKUP(F282,Panchanga!$A$3:$Y$463,18,TRUE)</f>
        <v>10Ma,12Me,-7Ju,2Ve,-9Sa,4Ra</v>
      </c>
      <c r="G292" s="65" t="str">
        <f ca="1">VLOOKUP(G282,Panchanga!$A$3:$Y$463,18,TRUE)</f>
        <v>10Ma,12Me,-7Ju,2Ve,-9Sa,4Ra</v>
      </c>
    </row>
    <row r="293" spans="1:7" ht="5.85" customHeight="1" thickBot="1" x14ac:dyDescent="0.4">
      <c r="A293" s="42"/>
      <c r="B293" s="16"/>
      <c r="C293" s="16"/>
      <c r="D293" s="16"/>
      <c r="E293" s="16"/>
      <c r="F293" s="16"/>
      <c r="G293" s="17"/>
    </row>
    <row r="294" spans="1:7" s="51" customFormat="1" ht="37.5" x14ac:dyDescent="0.5">
      <c r="A294" s="52">
        <f ca="1">G282+1</f>
        <v>43226</v>
      </c>
      <c r="B294" s="53">
        <f ca="1">A294+1</f>
        <v>43227</v>
      </c>
      <c r="C294" s="53"/>
      <c r="D294" s="53"/>
      <c r="E294" s="53"/>
      <c r="F294" s="53"/>
      <c r="G294" s="55"/>
    </row>
    <row r="295" spans="1:7" s="28" customFormat="1" ht="19.5" x14ac:dyDescent="0.3">
      <c r="A295" s="37">
        <f ca="1">VLOOKUP(A294,Panchanga!$A$3:$Y$463,3,TRUE)</f>
        <v>43226.241201128963</v>
      </c>
      <c r="B295" s="27">
        <f ca="1">VLOOKUP(B294,Panchanga!$A$3:$Y$463,3,TRUE)</f>
        <v>43227.240943160061</v>
      </c>
      <c r="C295" s="27" t="s">
        <v>20</v>
      </c>
      <c r="D295" s="27"/>
      <c r="E295" s="27"/>
      <c r="F295" s="27"/>
      <c r="G295" s="26"/>
    </row>
    <row r="296" spans="1:7" s="28" customFormat="1" ht="19.5" x14ac:dyDescent="0.3">
      <c r="A296" s="37">
        <f ca="1">VLOOKUP(A294,Panchanga!$A$3:$Y$463,4,TRUE)</f>
        <v>43225.767427424944</v>
      </c>
      <c r="B296" s="27">
        <f ca="1">VLOOKUP(B294,Panchanga!$A$3:$Y$463,4,TRUE)</f>
        <v>43226.767581920183</v>
      </c>
      <c r="C296" s="27" t="s">
        <v>8</v>
      </c>
      <c r="D296" s="27"/>
      <c r="E296" s="27"/>
      <c r="F296" s="27"/>
      <c r="G296" s="26"/>
    </row>
    <row r="297" spans="1:7" s="28" customFormat="1" ht="19.5" x14ac:dyDescent="0.3">
      <c r="A297" s="38">
        <f ca="1">VLOOKUP(A294,Panchanga!$A$3:$Y$463,6,TRUE)</f>
        <v>21.329353676467061</v>
      </c>
      <c r="B297" s="30">
        <f ca="1">VLOOKUP(B294,Panchanga!$A$3:$Y$463,6,TRUE)</f>
        <v>22.297327243597117</v>
      </c>
      <c r="C297" s="30" t="s">
        <v>21</v>
      </c>
      <c r="D297" s="30"/>
      <c r="E297" s="30"/>
      <c r="F297" s="30"/>
      <c r="G297" s="29"/>
    </row>
    <row r="298" spans="1:7" s="28" customFormat="1" ht="19.5" x14ac:dyDescent="0.3">
      <c r="A298" s="38">
        <f ca="1">VLOOKUP(A294,Panchanga!$A$3:$Y$463,7,TRUE)</f>
        <v>268.75535337239484</v>
      </c>
      <c r="B298" s="30">
        <f ca="1">VLOOKUP(B294,Panchanga!$A$3:$Y$463,7,TRUE)</f>
        <v>280.55577426103793</v>
      </c>
      <c r="C298" s="30" t="s">
        <v>22</v>
      </c>
      <c r="D298" s="30"/>
      <c r="E298" s="30"/>
      <c r="F298" s="30"/>
      <c r="G298" s="29"/>
    </row>
    <row r="299" spans="1:7" s="28" customFormat="1" ht="19.5" x14ac:dyDescent="0.3">
      <c r="A299" s="39" t="str">
        <f ca="1">VLOOKUP(A294,Panchanga!$A$3:$Y$463,9,TRUE) &amp; " "&amp;ROUND(A298/13.333,2)</f>
        <v>Uttara Asadha 20.16</v>
      </c>
      <c r="B299" s="32" t="str">
        <f ca="1">VLOOKUP(B294,Panchanga!$A$3:$Y$463,9,TRUE) &amp; " "&amp;ROUND(B298/13.333,2)</f>
        <v>Sravana 21.04</v>
      </c>
      <c r="C299" s="32" t="s">
        <v>23</v>
      </c>
      <c r="D299" s="32"/>
      <c r="E299" s="32"/>
      <c r="F299" s="32"/>
      <c r="G299" s="31"/>
    </row>
    <row r="300" spans="1:7" s="28" customFormat="1" ht="19.5" x14ac:dyDescent="0.3">
      <c r="A300" s="40">
        <f ca="1">VLOOKUP(A294,Panchanga!$A$3:$Y$463,10,TRUE)</f>
        <v>43227.193857476101</v>
      </c>
      <c r="B300" s="34">
        <f ca="1">VLOOKUP(B294,Panchanga!$A$3:$Y$463,10,TRUE)</f>
        <v>43228.318130098574</v>
      </c>
      <c r="C300" s="34" t="s">
        <v>24</v>
      </c>
      <c r="D300" s="34"/>
      <c r="E300" s="34"/>
      <c r="F300" s="34"/>
      <c r="G300" s="33"/>
    </row>
    <row r="301" spans="1:7" s="28" customFormat="1" ht="19.5" x14ac:dyDescent="0.3">
      <c r="A301" s="38" t="str">
        <f ca="1">VLOOKUP(A294,Panchanga!$A$3:$Y$463,11,TRUE)</f>
        <v>K6 (20.62)</v>
      </c>
      <c r="B301" s="30" t="str">
        <f ca="1">VLOOKUP(B294,Panchanga!$A$3:$Y$463,11,TRUE)</f>
        <v>K7 (21.52)</v>
      </c>
      <c r="C301" s="30" t="s">
        <v>28</v>
      </c>
      <c r="D301" s="30"/>
      <c r="E301" s="30"/>
      <c r="F301" s="30"/>
      <c r="G301" s="29"/>
    </row>
    <row r="302" spans="1:7" s="28" customFormat="1" ht="19.5" x14ac:dyDescent="0.3">
      <c r="A302" s="41" t="str">
        <f ca="1">VLOOKUP(A294,Panchanga!$A$3:$Y$463,13,TRUE)</f>
        <v>Vanija</v>
      </c>
      <c r="B302" s="36" t="str">
        <f ca="1">VLOOKUP(B294,Panchanga!$A$3:$Y$463,13,TRUE)</f>
        <v>Bhava</v>
      </c>
      <c r="C302" s="36" t="s">
        <v>25</v>
      </c>
      <c r="D302" s="36"/>
      <c r="E302" s="36"/>
      <c r="F302" s="36"/>
      <c r="G302" s="35"/>
    </row>
    <row r="303" spans="1:7" s="28" customFormat="1" ht="19.5" x14ac:dyDescent="0.3">
      <c r="A303" s="41" t="str">
        <f ca="1">VLOOKUP(A294,Panchanga!$A$3:$Y$463,14,TRUE)</f>
        <v>Sadhya-साध्य-Ve (21.76)</v>
      </c>
      <c r="B303" s="36" t="str">
        <f ca="1">VLOOKUP(B294,Panchanga!$A$3:$Y$463,14,TRUE)</f>
        <v>Shubha-शुभ-Su (22.72)</v>
      </c>
      <c r="C303" s="36" t="s">
        <v>13</v>
      </c>
      <c r="D303" s="36"/>
      <c r="E303" s="36"/>
      <c r="F303" s="36"/>
      <c r="G303" s="48"/>
    </row>
    <row r="304" spans="1:7" s="28" customFormat="1" ht="19.5" x14ac:dyDescent="0.3">
      <c r="A304" s="63" t="str">
        <f ca="1">VLOOKUP(A294,Panchanga!$A$3:$Y$463,18,TRUE)</f>
        <v>10Ma,12Me,-7Ju,2Ve,-9Sa,4Ra</v>
      </c>
      <c r="B304" s="64" t="str">
        <f ca="1">VLOOKUP(B294,Panchanga!$A$3:$Y$463,18,TRUE)</f>
        <v>10Ma,12Me,-7Ju,2Ve,-9Sa,4Ra</v>
      </c>
      <c r="C304" s="64"/>
      <c r="D304" s="64"/>
      <c r="E304" s="64"/>
      <c r="F304" s="64"/>
      <c r="G304" s="65"/>
    </row>
    <row r="305" spans="1:7" ht="24" thickBot="1" x14ac:dyDescent="0.4"/>
    <row r="306" spans="1:7" x14ac:dyDescent="0.35">
      <c r="A306" s="23" t="s">
        <v>26</v>
      </c>
      <c r="B306" s="21">
        <f>Lat</f>
        <v>13.5</v>
      </c>
      <c r="C306" s="23" t="s">
        <v>1</v>
      </c>
      <c r="D306" s="21">
        <f>Long</f>
        <v>80.23</v>
      </c>
      <c r="E306" s="23" t="s">
        <v>4</v>
      </c>
      <c r="F306" s="22">
        <f>TimeZone</f>
        <v>5.5</v>
      </c>
    </row>
    <row r="309" spans="1:7" s="51" customFormat="1" ht="38.25" thickBot="1" x14ac:dyDescent="0.55000000000000004">
      <c r="A309" s="68">
        <f ca="1">DATE(YEAR(A232),MONTH(A232)+1,1)</f>
        <v>43221</v>
      </c>
      <c r="B309" s="69"/>
      <c r="C309" s="69"/>
      <c r="D309" s="69"/>
      <c r="E309" s="69"/>
      <c r="F309" s="69"/>
      <c r="G309" s="69"/>
    </row>
    <row r="310" spans="1:7" s="56" customFormat="1" ht="35.25" thickBot="1" x14ac:dyDescent="0.5">
      <c r="A310" s="57">
        <v>1</v>
      </c>
      <c r="B310" s="58">
        <v>2</v>
      </c>
      <c r="C310" s="58">
        <v>3</v>
      </c>
      <c r="D310" s="58">
        <v>4</v>
      </c>
      <c r="E310" s="58">
        <v>5</v>
      </c>
      <c r="F310" s="58">
        <v>6</v>
      </c>
      <c r="G310" s="59">
        <v>7</v>
      </c>
    </row>
    <row r="311" spans="1:7" s="51" customFormat="1" ht="37.5" x14ac:dyDescent="0.5">
      <c r="A311" s="52">
        <f ca="1">DATE(YEAR(A309),MONTH(A309),1)-WEEKDAY(A309)+1</f>
        <v>43219</v>
      </c>
      <c r="B311" s="53">
        <f t="shared" ref="B311:G311" ca="1" si="20">A311+1</f>
        <v>43220</v>
      </c>
      <c r="C311" s="53">
        <f t="shared" ca="1" si="20"/>
        <v>43221</v>
      </c>
      <c r="D311" s="53">
        <f t="shared" ca="1" si="20"/>
        <v>43222</v>
      </c>
      <c r="E311" s="53">
        <f t="shared" ca="1" si="20"/>
        <v>43223</v>
      </c>
      <c r="F311" s="53">
        <f t="shared" ca="1" si="20"/>
        <v>43224</v>
      </c>
      <c r="G311" s="54">
        <f t="shared" ca="1" si="20"/>
        <v>43225</v>
      </c>
    </row>
    <row r="312" spans="1:7" s="28" customFormat="1" ht="19.5" x14ac:dyDescent="0.3">
      <c r="A312" s="37">
        <f ca="1">VLOOKUP(A311,Panchanga!$A$3:$Y$463,3,TRUE)</f>
        <v>43219.243259476185</v>
      </c>
      <c r="B312" s="27">
        <f ca="1">VLOOKUP(B311,Panchanga!$A$3:$Y$463,3,TRUE)</f>
        <v>43220.242939518452</v>
      </c>
      <c r="C312" s="27">
        <f ca="1">VLOOKUP(C311,Panchanga!$A$3:$Y$463,3,TRUE)</f>
        <v>43221.242627825741</v>
      </c>
      <c r="D312" s="27">
        <f ca="1">VLOOKUP(D311,Panchanga!$A$3:$Y$463,3,TRUE)</f>
        <v>43222.242324716564</v>
      </c>
      <c r="E312" s="27">
        <f ca="1">VLOOKUP(E311,Panchanga!$A$3:$Y$463,3,TRUE)</f>
        <v>43223.242030348782</v>
      </c>
      <c r="F312" s="27">
        <f ca="1">VLOOKUP(F311,Panchanga!$A$3:$Y$463,3,TRUE)</f>
        <v>43224.24174488258</v>
      </c>
      <c r="G312" s="44">
        <f ca="1">VLOOKUP(G311,Panchanga!$A$3:$Y$463,3,TRUE)</f>
        <v>43225.241468317028</v>
      </c>
    </row>
    <row r="313" spans="1:7" s="28" customFormat="1" ht="19.5" x14ac:dyDescent="0.3">
      <c r="A313" s="37">
        <f ca="1">VLOOKUP(A311,Panchanga!$A$3:$Y$463,4,TRUE)</f>
        <v>43218.766457855745</v>
      </c>
      <c r="B313" s="27">
        <f ca="1">VLOOKUP(B311,Panchanga!$A$3:$Y$463,4,TRUE)</f>
        <v>43219.766584535639</v>
      </c>
      <c r="C313" s="27">
        <f ca="1">VLOOKUP(C311,Panchanga!$A$3:$Y$463,4,TRUE)</f>
        <v>43220.76671503023</v>
      </c>
      <c r="D313" s="27">
        <f ca="1">VLOOKUP(D311,Panchanga!$A$3:$Y$463,4,TRUE)</f>
        <v>43221.766849498308</v>
      </c>
      <c r="E313" s="27">
        <f ca="1">VLOOKUP(E311,Panchanga!$A$3:$Y$463,4,TRUE)</f>
        <v>43222.766987939875</v>
      </c>
      <c r="F313" s="27">
        <f ca="1">VLOOKUP(F311,Panchanga!$A$3:$Y$463,4,TRUE)</f>
        <v>43223.767130355394</v>
      </c>
      <c r="G313" s="44">
        <f ca="1">VLOOKUP(G311,Panchanga!$A$3:$Y$463,4,TRUE)</f>
        <v>43224.767276903192</v>
      </c>
    </row>
    <row r="314" spans="1:7" s="28" customFormat="1" ht="19.5" x14ac:dyDescent="0.3">
      <c r="A314" s="38">
        <f ca="1">VLOOKUP(A311,Panchanga!$A$3:$Y$463,6,TRUE)</f>
        <v>14.541845516837826</v>
      </c>
      <c r="B314" s="30">
        <f ca="1">VLOOKUP(B311,Panchanga!$A$3:$Y$463,6,TRUE)</f>
        <v>15.512857034009345</v>
      </c>
      <c r="C314" s="30">
        <f ca="1">VLOOKUP(C311,Panchanga!$A$3:$Y$463,6,TRUE)</f>
        <v>16.483380838358112</v>
      </c>
      <c r="D314" s="30">
        <f ca="1">VLOOKUP(D311,Panchanga!$A$3:$Y$463,6,TRUE)</f>
        <v>17.453437721807553</v>
      </c>
      <c r="E314" s="30">
        <f ca="1">VLOOKUP(E311,Panchanga!$A$3:$Y$463,6,TRUE)</f>
        <v>18.42304696850114</v>
      </c>
      <c r="F314" s="30">
        <f ca="1">VLOOKUP(F311,Panchanga!$A$3:$Y$463,6,TRUE)</f>
        <v>19.392226074029058</v>
      </c>
      <c r="G314" s="45">
        <f ca="1">VLOOKUP(G311,Panchanga!$A$3:$Y$463,6,TRUE)</f>
        <v>20.360990378034618</v>
      </c>
    </row>
    <row r="315" spans="1:7" s="28" customFormat="1" ht="19.5" x14ac:dyDescent="0.3">
      <c r="A315" s="38">
        <f ca="1">VLOOKUP(A311,Panchanga!$A$3:$Y$463,7,TRUE)</f>
        <v>182.14262718114787</v>
      </c>
      <c r="B315" s="30">
        <f ca="1">VLOOKUP(B311,Panchanga!$A$3:$Y$463,7,TRUE)</f>
        <v>195.19643364803736</v>
      </c>
      <c r="C315" s="30">
        <f ca="1">VLOOKUP(C311,Panchanga!$A$3:$Y$463,7,TRUE)</f>
        <v>208.00937133563258</v>
      </c>
      <c r="D315" s="30">
        <f ca="1">VLOOKUP(D311,Panchanga!$A$3:$Y$463,7,TRUE)</f>
        <v>220.57145517851973</v>
      </c>
      <c r="E315" s="30">
        <f ca="1">VLOOKUP(E311,Panchanga!$A$3:$Y$463,7,TRUE)</f>
        <v>232.89026437253696</v>
      </c>
      <c r="F315" s="30">
        <f ca="1">VLOOKUP(F311,Panchanga!$A$3:$Y$463,7,TRUE)</f>
        <v>244.99315486338014</v>
      </c>
      <c r="G315" s="45">
        <f ca="1">VLOOKUP(G311,Panchanga!$A$3:$Y$463,7,TRUE)</f>
        <v>256.92690846124367</v>
      </c>
    </row>
    <row r="316" spans="1:7" s="28" customFormat="1" ht="19.5" x14ac:dyDescent="0.3">
      <c r="A316" s="39" t="str">
        <f ca="1">VLOOKUP(A311,Panchanga!$A$3:$Y$463,9,TRUE) &amp; " "&amp;ROUND(A315/13.333,2)</f>
        <v>Chitra 13.66</v>
      </c>
      <c r="B316" s="32" t="str">
        <f ca="1">VLOOKUP(B311,Panchanga!$A$3:$Y$463,9,TRUE) &amp; " "&amp;ROUND(B315/13.333,2)</f>
        <v>Swati 14.64</v>
      </c>
      <c r="C316" s="32" t="str">
        <f ca="1">VLOOKUP(C311,Panchanga!$A$3:$Y$463,9,TRUE) &amp; " "&amp;ROUND(C315/13.333,2)</f>
        <v>Visakha 15.6</v>
      </c>
      <c r="D316" s="32" t="str">
        <f ca="1">VLOOKUP(D311,Panchanga!$A$3:$Y$463,9,TRUE) &amp; " "&amp;ROUND(D315/13.333,2)</f>
        <v>Anuradha 16.54</v>
      </c>
      <c r="E316" s="32" t="str">
        <f ca="1">VLOOKUP(E311,Panchanga!$A$3:$Y$463,9,TRUE) &amp; " "&amp;ROUND(E315/13.333,2)</f>
        <v>Jyestha 17.47</v>
      </c>
      <c r="F316" s="32" t="str">
        <f ca="1">VLOOKUP(F311,Panchanga!$A$3:$Y$463,9,TRUE) &amp; " "&amp;ROUND(F315/13.333,2)</f>
        <v>Moola 18.37</v>
      </c>
      <c r="G316" s="46" t="str">
        <f ca="1">VLOOKUP(G311,Panchanga!$A$3:$Y$463,9,TRUE) &amp; " "&amp;ROUND(G315/13.333,2)</f>
        <v>Purva Asadha 19.27</v>
      </c>
    </row>
    <row r="317" spans="1:7" s="28" customFormat="1" ht="19.5" x14ac:dyDescent="0.3">
      <c r="A317" s="40">
        <f ca="1">VLOOKUP(A311,Panchanga!$A$3:$Y$463,10,TRUE)</f>
        <v>43219.58971719299</v>
      </c>
      <c r="B317" s="34">
        <f ca="1">VLOOKUP(B311,Panchanga!$A$3:$Y$463,10,TRUE)</f>
        <v>43220.617722353774</v>
      </c>
      <c r="C317" s="34">
        <f ca="1">VLOOKUP(C311,Panchanga!$A$3:$Y$463,10,TRUE)</f>
        <v>43221.666311373992</v>
      </c>
      <c r="D317" s="34">
        <f ca="1">VLOOKUP(D311,Panchanga!$A$3:$Y$463,10,TRUE)</f>
        <v>43222.736968083329</v>
      </c>
      <c r="E317" s="34">
        <f ca="1">VLOOKUP(E311,Panchanga!$A$3:$Y$463,10,TRUE)</f>
        <v>43223.829303780993</v>
      </c>
      <c r="F317" s="34">
        <f ca="1">VLOOKUP(F311,Panchanga!$A$3:$Y$463,10,TRUE)</f>
        <v>43224.940424622822</v>
      </c>
      <c r="G317" s="47">
        <f ca="1">VLOOKUP(G311,Panchanga!$A$3:$Y$463,10,TRUE)</f>
        <v>43226.064666626815</v>
      </c>
    </row>
    <row r="318" spans="1:7" s="28" customFormat="1" ht="19.5" x14ac:dyDescent="0.3">
      <c r="A318" s="38" t="str">
        <f ca="1">VLOOKUP(A311,Panchanga!$A$3:$Y$463,11,TRUE)</f>
        <v>S14 (13.97)</v>
      </c>
      <c r="B318" s="30" t="str">
        <f ca="1">VLOOKUP(B311,Panchanga!$A$3:$Y$463,11,TRUE)</f>
        <v>S15 (14.97)</v>
      </c>
      <c r="C318" s="30" t="str">
        <f ca="1">VLOOKUP(C311,Panchanga!$A$3:$Y$463,11,TRUE)</f>
        <v>K1 (15.96)</v>
      </c>
      <c r="D318" s="30" t="str">
        <f ca="1">VLOOKUP(D311,Panchanga!$A$3:$Y$463,11,TRUE)</f>
        <v>K2 (16.93)</v>
      </c>
      <c r="E318" s="30" t="str">
        <f ca="1">VLOOKUP(E311,Panchanga!$A$3:$Y$463,11,TRUE)</f>
        <v>K3 (17.87)</v>
      </c>
      <c r="F318" s="30" t="str">
        <f ca="1">VLOOKUP(F311,Panchanga!$A$3:$Y$463,11,TRUE)</f>
        <v>K4 (18.8)</v>
      </c>
      <c r="G318" s="45" t="str">
        <f ca="1">VLOOKUP(G311,Panchanga!$A$3:$Y$463,11,TRUE)</f>
        <v>K5 (19.71)</v>
      </c>
    </row>
    <row r="319" spans="1:7" s="28" customFormat="1" ht="19.5" x14ac:dyDescent="0.3">
      <c r="A319" s="41" t="str">
        <f ca="1">VLOOKUP(A311,Panchanga!$A$3:$Y$463,13,TRUE)</f>
        <v>Vanija</v>
      </c>
      <c r="B319" s="36" t="str">
        <f ca="1">VLOOKUP(B311,Panchanga!$A$3:$Y$463,13,TRUE)</f>
        <v>Bhava</v>
      </c>
      <c r="C319" s="36" t="str">
        <f ca="1">VLOOKUP(C311,Panchanga!$A$3:$Y$463,13,TRUE)</f>
        <v>Kaulava</v>
      </c>
      <c r="D319" s="36" t="str">
        <f ca="1">VLOOKUP(D311,Panchanga!$A$3:$Y$463,13,TRUE)</f>
        <v>Garija</v>
      </c>
      <c r="E319" s="36" t="str">
        <f ca="1">VLOOKUP(E311,Panchanga!$A$3:$Y$463,13,TRUE)</f>
        <v>Vishti</v>
      </c>
      <c r="F319" s="36" t="str">
        <f ca="1">VLOOKUP(F311,Panchanga!$A$3:$Y$463,13,TRUE)</f>
        <v>Baalava</v>
      </c>
      <c r="G319" s="48" t="str">
        <f ca="1">VLOOKUP(G311,Panchanga!$A$3:$Y$463,13,TRUE)</f>
        <v>Taitula</v>
      </c>
    </row>
    <row r="320" spans="1:7" s="28" customFormat="1" ht="19.5" x14ac:dyDescent="0.3">
      <c r="A320" s="41" t="str">
        <f ca="1">VLOOKUP(A311,Panchanga!$A$3:$Y$463,14,TRUE)</f>
        <v>Vajra-वज्र-Mo (14.76)</v>
      </c>
      <c r="B320" s="36" t="str">
        <f ca="1">VLOOKUP(B311,Panchanga!$A$3:$Y$463,14,TRUE)</f>
        <v>Siddhi-सिद्धि-Ma (15.81)</v>
      </c>
      <c r="C320" s="36" t="str">
        <f ca="1">VLOOKUP(C311,Panchanga!$A$3:$Y$463,14,TRUE)</f>
        <v>Vyatipata-व्यतिपात-Ra (16.84)</v>
      </c>
      <c r="D320" s="36" t="str">
        <f ca="1">VLOOKUP(D311,Panchanga!$A$3:$Y$463,14,TRUE)</f>
        <v>Varigha-वरीयस्-Ju (17.86)</v>
      </c>
      <c r="E320" s="36" t="str">
        <f ca="1">VLOOKUP(E311,Panchanga!$A$3:$Y$463,14,TRUE)</f>
        <v>Parigha-परिघ-Sa (18.85)</v>
      </c>
      <c r="F320" s="36" t="str">
        <f ca="1">VLOOKUP(F311,Panchanga!$A$3:$Y$463,14,TRUE)</f>
        <v>Shiva-शिव-Me (19.83)</v>
      </c>
      <c r="G320" s="48" t="str">
        <f ca="1">VLOOKUP(G311,Panchanga!$A$3:$Y$463,14,TRUE)</f>
        <v>Siddha-सिद्ध-Ke (20.8)</v>
      </c>
    </row>
    <row r="321" spans="1:7" s="28" customFormat="1" ht="19.5" x14ac:dyDescent="0.3">
      <c r="A321" s="63" t="str">
        <f ca="1">VLOOKUP(A311,Panchanga!$A$3:$Y$463,18,TRUE)</f>
        <v>9Ma,12Me,-7Ju,2Ve,-9Sa,4Ra</v>
      </c>
      <c r="B321" s="64" t="str">
        <f ca="1">VLOOKUP(B311,Panchanga!$A$3:$Y$463,18,TRUE)</f>
        <v>9Ma,12Me,-7Ju,2Ve,-9Sa,4Ra</v>
      </c>
      <c r="C321" s="64" t="str">
        <f ca="1">VLOOKUP(C311,Panchanga!$A$3:$Y$463,18,TRUE)</f>
        <v>9Ma,12Me,-7Ju,2Ve,-9Sa,4Ra</v>
      </c>
      <c r="D321" s="64" t="str">
        <f ca="1">VLOOKUP(D311,Panchanga!$A$3:$Y$463,18,TRUE)</f>
        <v>9Ma,12Me,-7Ju,2Ve,-9Sa,4Ra</v>
      </c>
      <c r="E321" s="64" t="str">
        <f ca="1">VLOOKUP(E311,Panchanga!$A$3:$Y$463,18,TRUE)</f>
        <v>10Ma,12Me,-7Ju,2Ve,-9Sa,4Ra</v>
      </c>
      <c r="F321" s="64" t="str">
        <f ca="1">VLOOKUP(F311,Panchanga!$A$3:$Y$463,18,TRUE)</f>
        <v>10Ma,12Me,-7Ju,2Ve,-9Sa,4Ra</v>
      </c>
      <c r="G321" s="65" t="str">
        <f ca="1">VLOOKUP(G311,Panchanga!$A$3:$Y$463,18,TRUE)</f>
        <v>10Ma,12Me,-7Ju,2Ve,-9Sa,4Ra</v>
      </c>
    </row>
    <row r="322" spans="1:7" ht="5.85" customHeight="1" thickBot="1" x14ac:dyDescent="0.4">
      <c r="A322" s="42"/>
      <c r="B322" s="16"/>
      <c r="C322" s="16"/>
      <c r="D322" s="16"/>
      <c r="E322" s="16"/>
      <c r="F322" s="16"/>
      <c r="G322" s="49"/>
    </row>
    <row r="323" spans="1:7" s="51" customFormat="1" ht="37.5" x14ac:dyDescent="0.5">
      <c r="A323" s="52">
        <f ca="1">G311+1</f>
        <v>43226</v>
      </c>
      <c r="B323" s="53">
        <f t="shared" ref="B323:G323" ca="1" si="21">A323+1</f>
        <v>43227</v>
      </c>
      <c r="C323" s="53">
        <f t="shared" ca="1" si="21"/>
        <v>43228</v>
      </c>
      <c r="D323" s="53">
        <f t="shared" ca="1" si="21"/>
        <v>43229</v>
      </c>
      <c r="E323" s="53">
        <f t="shared" ca="1" si="21"/>
        <v>43230</v>
      </c>
      <c r="F323" s="53">
        <f t="shared" ca="1" si="21"/>
        <v>43231</v>
      </c>
      <c r="G323" s="54">
        <f t="shared" ca="1" si="21"/>
        <v>43232</v>
      </c>
    </row>
    <row r="324" spans="1:7" s="28" customFormat="1" ht="19.5" x14ac:dyDescent="0.3">
      <c r="A324" s="37">
        <f ca="1">VLOOKUP(A323,Panchanga!$A$3:$Y$463,3,TRUE)</f>
        <v>43226.241201128963</v>
      </c>
      <c r="B324" s="27">
        <f ca="1">VLOOKUP(B323,Panchanga!$A$3:$Y$463,3,TRUE)</f>
        <v>43227.240943160061</v>
      </c>
      <c r="C324" s="27">
        <f ca="1">VLOOKUP(C323,Panchanga!$A$3:$Y$463,3,TRUE)</f>
        <v>43228.240694727901</v>
      </c>
      <c r="D324" s="27">
        <f ca="1">VLOOKUP(D323,Panchanga!$A$3:$Y$463,3,TRUE)</f>
        <v>43229.240455991741</v>
      </c>
      <c r="E324" s="27">
        <f ca="1">VLOOKUP(E323,Panchanga!$A$3:$Y$463,3,TRUE)</f>
        <v>43230.240226950649</v>
      </c>
      <c r="F324" s="27">
        <f ca="1">VLOOKUP(F323,Panchanga!$A$3:$Y$463,3,TRUE)</f>
        <v>43231.240007605556</v>
      </c>
      <c r="G324" s="44">
        <f ca="1">VLOOKUP(G323,Panchanga!$A$3:$Y$463,3,TRUE)</f>
        <v>43232.239798274044</v>
      </c>
    </row>
    <row r="325" spans="1:7" s="28" customFormat="1" ht="19.5" x14ac:dyDescent="0.3">
      <c r="A325" s="37">
        <f ca="1">VLOOKUP(A323,Panchanga!$A$3:$Y$463,4,TRUE)</f>
        <v>43225.767427424944</v>
      </c>
      <c r="B325" s="27">
        <f ca="1">VLOOKUP(B323,Panchanga!$A$3:$Y$463,4,TRUE)</f>
        <v>43226.767581920183</v>
      </c>
      <c r="C325" s="27">
        <f ca="1">VLOOKUP(C323,Panchanga!$A$3:$Y$463,4,TRUE)</f>
        <v>43227.767740547701</v>
      </c>
      <c r="D325" s="27">
        <f ca="1">VLOOKUP(D323,Panchanga!$A$3:$Y$463,4,TRUE)</f>
        <v>43228.767902990381</v>
      </c>
      <c r="E325" s="27">
        <f ca="1">VLOOKUP(E323,Panchanga!$A$3:$Y$463,4,TRUE)</f>
        <v>43229.76806956534</v>
      </c>
      <c r="F325" s="27">
        <f ca="1">VLOOKUP(F323,Panchanga!$A$3:$Y$463,4,TRUE)</f>
        <v>43230.768239796205</v>
      </c>
      <c r="G325" s="44">
        <f ca="1">VLOOKUP(G323,Panchanga!$A$3:$Y$463,4,TRUE)</f>
        <v>43231.768413841768</v>
      </c>
    </row>
    <row r="326" spans="1:7" s="28" customFormat="1" ht="19.5" x14ac:dyDescent="0.3">
      <c r="A326" s="38">
        <f ca="1">VLOOKUP(A323,Panchanga!$A$3:$Y$463,6,TRUE)</f>
        <v>21.329353676467061</v>
      </c>
      <c r="B326" s="30">
        <f ca="1">VLOOKUP(B323,Panchanga!$A$3:$Y$463,6,TRUE)</f>
        <v>22.297327243597117</v>
      </c>
      <c r="C326" s="30">
        <f ca="1">VLOOKUP(C323,Panchanga!$A$3:$Y$463,6,TRUE)</f>
        <v>23.26492099350094</v>
      </c>
      <c r="D326" s="30">
        <f ca="1">VLOOKUP(D323,Panchanga!$A$3:$Y$463,6,TRUE)</f>
        <v>24.232142831422419</v>
      </c>
      <c r="E326" s="30">
        <f ca="1">VLOOKUP(E323,Panchanga!$A$3:$Y$463,6,TRUE)</f>
        <v>25.198998445732471</v>
      </c>
      <c r="F326" s="30">
        <f ca="1">VLOOKUP(F323,Panchanga!$A$3:$Y$463,6,TRUE)</f>
        <v>26.165491096248669</v>
      </c>
      <c r="G326" s="45">
        <f ca="1">VLOOKUP(G323,Panchanga!$A$3:$Y$463,6,TRUE)</f>
        <v>27.131621456542184</v>
      </c>
    </row>
    <row r="327" spans="1:7" s="28" customFormat="1" ht="19.5" x14ac:dyDescent="0.3">
      <c r="A327" s="38">
        <f ca="1">VLOOKUP(A323,Panchanga!$A$3:$Y$463,7,TRUE)</f>
        <v>268.75535337239484</v>
      </c>
      <c r="B327" s="30">
        <f ca="1">VLOOKUP(B323,Panchanga!$A$3:$Y$463,7,TRUE)</f>
        <v>280.55577426103793</v>
      </c>
      <c r="C327" s="30">
        <f ca="1">VLOOKUP(C323,Panchanga!$A$3:$Y$463,7,TRUE)</f>
        <v>292.41479729498246</v>
      </c>
      <c r="D327" s="30">
        <f ca="1">VLOOKUP(D323,Panchanga!$A$3:$Y$463,7,TRUE)</f>
        <v>304.423689958404</v>
      </c>
      <c r="E327" s="30">
        <f ca="1">VLOOKUP(E323,Panchanga!$A$3:$Y$463,7,TRUE)</f>
        <v>316.67257039064339</v>
      </c>
      <c r="F327" s="30">
        <f ca="1">VLOOKUP(F323,Panchanga!$A$3:$Y$463,7,TRUE)</f>
        <v>329.24302377407753</v>
      </c>
      <c r="G327" s="45">
        <f ca="1">VLOOKUP(G323,Panchanga!$A$3:$Y$463,7,TRUE)</f>
        <v>342.19909759854022</v>
      </c>
    </row>
    <row r="328" spans="1:7" s="28" customFormat="1" ht="19.5" x14ac:dyDescent="0.3">
      <c r="A328" s="39" t="str">
        <f ca="1">VLOOKUP(A323,Panchanga!$A$3:$Y$463,9,TRUE) &amp; " "&amp;ROUND(A327/13.333,2)</f>
        <v>Uttara Asadha 20.16</v>
      </c>
      <c r="B328" s="32" t="str">
        <f ca="1">VLOOKUP(B323,Panchanga!$A$3:$Y$463,9,TRUE) &amp; " "&amp;ROUND(B327/13.333,2)</f>
        <v>Sravana 21.04</v>
      </c>
      <c r="C328" s="32" t="str">
        <f ca="1">VLOOKUP(C323,Panchanga!$A$3:$Y$463,9,TRUE) &amp; " "&amp;ROUND(C327/13.333,2)</f>
        <v>Sravana 21.93</v>
      </c>
      <c r="D328" s="32" t="str">
        <f ca="1">VLOOKUP(D323,Panchanga!$A$3:$Y$463,9,TRUE) &amp; " "&amp;ROUND(D327/13.333,2)</f>
        <v>Dhanistha 22.83</v>
      </c>
      <c r="E328" s="32" t="str">
        <f ca="1">VLOOKUP(E323,Panchanga!$A$3:$Y$463,9,TRUE) &amp; " "&amp;ROUND(E327/13.333,2)</f>
        <v>Satabhisaj 23.75</v>
      </c>
      <c r="F328" s="32" t="str">
        <f ca="1">VLOOKUP(F323,Panchanga!$A$3:$Y$463,9,TRUE) &amp; " "&amp;ROUND(F327/13.333,2)</f>
        <v>Purva Bhadrapada 24.69</v>
      </c>
      <c r="G328" s="46" t="str">
        <f ca="1">VLOOKUP(G323,Panchanga!$A$3:$Y$463,9,TRUE) &amp; " "&amp;ROUND(G327/13.333,2)</f>
        <v>Uttara Bhadrapada 25.67</v>
      </c>
    </row>
    <row r="329" spans="1:7" s="28" customFormat="1" ht="19.5" x14ac:dyDescent="0.3">
      <c r="A329" s="40">
        <f ca="1">VLOOKUP(A323,Panchanga!$A$3:$Y$463,10,TRUE)</f>
        <v>43227.193857476101</v>
      </c>
      <c r="B329" s="34">
        <f ca="1">VLOOKUP(B323,Panchanga!$A$3:$Y$463,10,TRUE)</f>
        <v>43228.318130098574</v>
      </c>
      <c r="C329" s="34">
        <f ca="1">VLOOKUP(C323,Panchanga!$A$3:$Y$463,10,TRUE)</f>
        <v>43228.31716445549</v>
      </c>
      <c r="D329" s="34">
        <f ca="1">VLOOKUP(D323,Panchanga!$A$3:$Y$463,10,TRUE)</f>
        <v>43229.423530925553</v>
      </c>
      <c r="E329" s="34">
        <f ca="1">VLOOKUP(E323,Panchanga!$A$3:$Y$463,10,TRUE)</f>
        <v>43230.504871323647</v>
      </c>
      <c r="F329" s="34">
        <f ca="1">VLOOKUP(F323,Panchanga!$A$3:$Y$463,10,TRUE)</f>
        <v>43231.55564746559</v>
      </c>
      <c r="G329" s="47">
        <f ca="1">VLOOKUP(G323,Panchanga!$A$3:$Y$463,10,TRUE)</f>
        <v>43232.573675677035</v>
      </c>
    </row>
    <row r="330" spans="1:7" s="28" customFormat="1" ht="19.5" x14ac:dyDescent="0.3">
      <c r="A330" s="38" t="str">
        <f ca="1">VLOOKUP(A323,Panchanga!$A$3:$Y$463,11,TRUE)</f>
        <v>K6 (20.62)</v>
      </c>
      <c r="B330" s="30" t="str">
        <f ca="1">VLOOKUP(B323,Panchanga!$A$3:$Y$463,11,TRUE)</f>
        <v>K7 (21.52)</v>
      </c>
      <c r="C330" s="30" t="str">
        <f ca="1">VLOOKUP(C323,Panchanga!$A$3:$Y$463,11,TRUE)</f>
        <v>K8 (22.43)</v>
      </c>
      <c r="D330" s="30" t="str">
        <f ca="1">VLOOKUP(D323,Panchanga!$A$3:$Y$463,11,TRUE)</f>
        <v>K9 (23.35)</v>
      </c>
      <c r="E330" s="30" t="str">
        <f ca="1">VLOOKUP(E323,Panchanga!$A$3:$Y$463,11,TRUE)</f>
        <v>K10 (24.29)</v>
      </c>
      <c r="F330" s="30" t="str">
        <f ca="1">VLOOKUP(F323,Panchanga!$A$3:$Y$463,11,TRUE)</f>
        <v>K11 (25.26)</v>
      </c>
      <c r="G330" s="45" t="str">
        <f ca="1">VLOOKUP(G323,Panchanga!$A$3:$Y$463,11,TRUE)</f>
        <v>K12 (26.26)</v>
      </c>
    </row>
    <row r="331" spans="1:7" s="28" customFormat="1" ht="19.5" x14ac:dyDescent="0.3">
      <c r="A331" s="41" t="str">
        <f ca="1">VLOOKUP(A323,Panchanga!$A$3:$Y$463,13,TRUE)</f>
        <v>Vanija</v>
      </c>
      <c r="B331" s="36" t="str">
        <f ca="1">VLOOKUP(B323,Panchanga!$A$3:$Y$463,13,TRUE)</f>
        <v>Bhava</v>
      </c>
      <c r="C331" s="36" t="str">
        <f ca="1">VLOOKUP(C323,Panchanga!$A$3:$Y$463,13,TRUE)</f>
        <v>Baalava</v>
      </c>
      <c r="D331" s="36" t="str">
        <f ca="1">VLOOKUP(D323,Panchanga!$A$3:$Y$463,13,TRUE)</f>
        <v>Taitula</v>
      </c>
      <c r="E331" s="36" t="str">
        <f ca="1">VLOOKUP(E323,Panchanga!$A$3:$Y$463,13,TRUE)</f>
        <v>Vanija</v>
      </c>
      <c r="F331" s="36" t="str">
        <f ca="1">VLOOKUP(F323,Panchanga!$A$3:$Y$463,13,TRUE)</f>
        <v>Bhava</v>
      </c>
      <c r="G331" s="48" t="str">
        <f ca="1">VLOOKUP(G323,Panchanga!$A$3:$Y$463,13,TRUE)</f>
        <v>Kaulava</v>
      </c>
    </row>
    <row r="332" spans="1:7" s="28" customFormat="1" ht="19.5" x14ac:dyDescent="0.3">
      <c r="A332" s="41" t="str">
        <f ca="1">VLOOKUP(A323,Panchanga!$A$3:$Y$463,14,TRUE)</f>
        <v>Sadhya-साध्य-Ve (21.76)</v>
      </c>
      <c r="B332" s="36" t="str">
        <f ca="1">VLOOKUP(B323,Panchanga!$A$3:$Y$463,14,TRUE)</f>
        <v>Shubha-शुभ-Su (22.72)</v>
      </c>
      <c r="C332" s="36" t="str">
        <f ca="1">VLOOKUP(C323,Panchanga!$A$3:$Y$463,14,TRUE)</f>
        <v>Shukla-शुक्ल-Mo (23.68)</v>
      </c>
      <c r="D332" s="36" t="str">
        <f ca="1">VLOOKUP(D323,Panchanga!$A$3:$Y$463,14,TRUE)</f>
        <v>Brahma-ब्रह्म-Ma (24.65)</v>
      </c>
      <c r="E332" s="36" t="str">
        <f ca="1">VLOOKUP(E323,Panchanga!$A$3:$Y$463,14,TRUE)</f>
        <v>Mahendra-महेन्द्र-Ra (25.65)</v>
      </c>
      <c r="F332" s="36" t="str">
        <f ca="1">VLOOKUP(F323,Panchanga!$A$3:$Y$463,14,TRUE)</f>
        <v>Vaidhriti-वैधृति-Ke (26.66)</v>
      </c>
      <c r="G332" s="48" t="str">
        <f ca="1">VLOOKUP(G323,Panchanga!$A$3:$Y$463,14,TRUE)</f>
        <v>Vishkambha-विष्कम्भ-Sa (0.7)</v>
      </c>
    </row>
    <row r="333" spans="1:7" s="28" customFormat="1" ht="19.5" x14ac:dyDescent="0.3">
      <c r="A333" s="63" t="str">
        <f ca="1">VLOOKUP(A323,Panchanga!$A$3:$Y$463,18,TRUE)</f>
        <v>10Ma,12Me,-7Ju,2Ve,-9Sa,4Ra</v>
      </c>
      <c r="B333" s="64" t="str">
        <f ca="1">VLOOKUP(B323,Panchanga!$A$3:$Y$463,18,TRUE)</f>
        <v>10Ma,12Me,-7Ju,2Ve,-9Sa,4Ra</v>
      </c>
      <c r="C333" s="64" t="str">
        <f ca="1">VLOOKUP(C323,Panchanga!$A$3:$Y$463,18,TRUE)</f>
        <v>10Ma,12Me,-7Ju,2Ve,-9Sa,4Ra</v>
      </c>
      <c r="D333" s="64" t="str">
        <f ca="1">VLOOKUP(D323,Panchanga!$A$3:$Y$463,18,TRUE)</f>
        <v>10Ma,-12Me,-7Ju,2Ve,-9Sa,4Ra</v>
      </c>
      <c r="E333" s="64" t="str">
        <f ca="1">VLOOKUP(E323,Panchanga!$A$3:$Y$463,18,TRUE)</f>
        <v>10Ma,1Me,-7Ju,2Ve,-9Sa,4Ra</v>
      </c>
      <c r="F333" s="64" t="str">
        <f ca="1">VLOOKUP(F323,Panchanga!$A$3:$Y$463,18,TRUE)</f>
        <v>10Ma,1Me,-7Ju,2Ve,-9Sa,4Ra</v>
      </c>
      <c r="G333" s="65" t="str">
        <f ca="1">VLOOKUP(G323,Panchanga!$A$3:$Y$463,18,TRUE)</f>
        <v>10Ma,1Me,-7Ju,2Ve,-9Sa,4Ra</v>
      </c>
    </row>
    <row r="334" spans="1:7" ht="5.85" customHeight="1" thickBot="1" x14ac:dyDescent="0.4">
      <c r="A334" s="42"/>
      <c r="B334" s="16"/>
      <c r="C334" s="16"/>
      <c r="D334" s="16"/>
      <c r="E334" s="16"/>
      <c r="F334" s="16"/>
      <c r="G334" s="49"/>
    </row>
    <row r="335" spans="1:7" s="18" customFormat="1" ht="27.75" x14ac:dyDescent="0.4">
      <c r="A335" s="43">
        <f ca="1">G323+1</f>
        <v>43233</v>
      </c>
      <c r="B335" s="19">
        <f t="shared" ref="B335:G335" ca="1" si="22">A335+1</f>
        <v>43234</v>
      </c>
      <c r="C335" s="19">
        <f t="shared" ca="1" si="22"/>
        <v>43235</v>
      </c>
      <c r="D335" s="19">
        <f t="shared" ca="1" si="22"/>
        <v>43236</v>
      </c>
      <c r="E335" s="19">
        <f t="shared" ca="1" si="22"/>
        <v>43237</v>
      </c>
      <c r="F335" s="19">
        <f t="shared" ca="1" si="22"/>
        <v>43238</v>
      </c>
      <c r="G335" s="50">
        <f t="shared" ca="1" si="22"/>
        <v>43239</v>
      </c>
    </row>
    <row r="336" spans="1:7" s="28" customFormat="1" ht="19.5" x14ac:dyDescent="0.3">
      <c r="A336" s="37">
        <f ca="1">VLOOKUP(A335,Panchanga!$A$3:$Y$463,3,TRUE)</f>
        <v>43233.239598956112</v>
      </c>
      <c r="B336" s="27">
        <f ca="1">VLOOKUP(B335,Panchanga!$A$3:$Y$463,3,TRUE)</f>
        <v>43234.23940965176</v>
      </c>
      <c r="C336" s="27">
        <f ca="1">VLOOKUP(C335,Panchanga!$A$3:$Y$463,3,TRUE)</f>
        <v>43235.239230360989</v>
      </c>
      <c r="D336" s="27">
        <f ca="1">VLOOKUP(D335,Panchanga!$A$3:$Y$463,3,TRUE)</f>
        <v>43236.239061083797</v>
      </c>
      <c r="E336" s="27">
        <f ca="1">VLOOKUP(E335,Panchanga!$A$3:$Y$463,3,TRUE)</f>
        <v>43237.238901820187</v>
      </c>
      <c r="F336" s="27">
        <f ca="1">VLOOKUP(F335,Panchanga!$A$3:$Y$463,3,TRUE)</f>
        <v>43238.238752729412</v>
      </c>
      <c r="G336" s="44">
        <f ca="1">VLOOKUP(G335,Panchanga!$A$3:$Y$463,3,TRUE)</f>
        <v>43239.238613492962</v>
      </c>
    </row>
    <row r="337" spans="1:7" s="28" customFormat="1" ht="19.5" x14ac:dyDescent="0.3">
      <c r="A337" s="37">
        <f ca="1">VLOOKUP(A335,Panchanga!$A$3:$Y$463,4,TRUE)</f>
        <v>43232.768591543238</v>
      </c>
      <c r="B337" s="27">
        <f ca="1">VLOOKUP(B335,Panchanga!$A$3:$Y$463,4,TRUE)</f>
        <v>43233.768772741358</v>
      </c>
      <c r="C337" s="27">
        <f ca="1">VLOOKUP(C335,Panchanga!$A$3:$Y$463,4,TRUE)</f>
        <v>43234.768957436128</v>
      </c>
      <c r="D337" s="27">
        <f ca="1">VLOOKUP(D335,Panchanga!$A$3:$Y$463,4,TRUE)</f>
        <v>43235.769145309969</v>
      </c>
      <c r="E337" s="27">
        <f ca="1">VLOOKUP(E335,Panchanga!$A$3:$Y$463,4,TRUE)</f>
        <v>43236.769336204088</v>
      </c>
      <c r="F337" s="27">
        <f ca="1">VLOOKUP(F335,Panchanga!$A$3:$Y$463,4,TRUE)</f>
        <v>43237.769529958765</v>
      </c>
      <c r="G337" s="44">
        <f ca="1">VLOOKUP(G335,Panchanga!$A$3:$Y$463,4,TRUE)</f>
        <v>43238.769726415674</v>
      </c>
    </row>
    <row r="338" spans="1:7" s="28" customFormat="1" ht="19.5" x14ac:dyDescent="0.3">
      <c r="A338" s="38">
        <f ca="1">VLOOKUP(A335,Panchanga!$A$3:$Y$463,6,TRUE)</f>
        <v>28.097386570169736</v>
      </c>
      <c r="B338" s="30">
        <f ca="1">VLOOKUP(B335,Panchanga!$A$3:$Y$463,6,TRUE)</f>
        <v>29.062779922600313</v>
      </c>
      <c r="C338" s="30">
        <f ca="1">VLOOKUP(C335,Panchanga!$A$3:$Y$463,6,TRUE)</f>
        <v>30.027791567666256</v>
      </c>
      <c r="D338" s="30">
        <f ca="1">VLOOKUP(D335,Panchanga!$A$3:$Y$463,6,TRUE)</f>
        <v>30.992408746942179</v>
      </c>
      <c r="E338" s="30">
        <f ca="1">VLOOKUP(E335,Panchanga!$A$3:$Y$463,6,TRUE)</f>
        <v>31.956617034139654</v>
      </c>
      <c r="F338" s="30">
        <f ca="1">VLOOKUP(F335,Panchanga!$A$3:$Y$463,6,TRUE)</f>
        <v>32.92040206994141</v>
      </c>
      <c r="G338" s="45">
        <f ca="1">VLOOKUP(G335,Panchanga!$A$3:$Y$463,6,TRUE)</f>
        <v>33.883750743127919</v>
      </c>
    </row>
    <row r="339" spans="1:7" s="28" customFormat="1" ht="19.5" x14ac:dyDescent="0.3">
      <c r="A339" s="38">
        <f ca="1">VLOOKUP(A335,Panchanga!$A$3:$Y$463,7,TRUE)</f>
        <v>355.5772973851403</v>
      </c>
      <c r="B339" s="30">
        <f ca="1">VLOOKUP(B335,Panchanga!$A$3:$Y$463,7,TRUE)</f>
        <v>9.3772348973649002</v>
      </c>
      <c r="C339" s="30">
        <f ca="1">VLOOKUP(C335,Panchanga!$A$3:$Y$463,7,TRUE)</f>
        <v>23.555866345974273</v>
      </c>
      <c r="D339" s="30">
        <f ca="1">VLOOKUP(D335,Panchanga!$A$3:$Y$463,7,TRUE)</f>
        <v>38.028962719156766</v>
      </c>
      <c r="E339" s="30">
        <f ca="1">VLOOKUP(E335,Panchanga!$A$3:$Y$463,7,TRUE)</f>
        <v>52.681993748855518</v>
      </c>
      <c r="F339" s="30">
        <f ca="1">VLOOKUP(F335,Panchanga!$A$3:$Y$463,7,TRUE)</f>
        <v>67.388813578629524</v>
      </c>
      <c r="G339" s="45">
        <f ca="1">VLOOKUP(G335,Panchanga!$A$3:$Y$463,7,TRUE)</f>
        <v>82.03252933493215</v>
      </c>
    </row>
    <row r="340" spans="1:7" s="28" customFormat="1" ht="19.5" x14ac:dyDescent="0.3">
      <c r="A340" s="39" t="str">
        <f ca="1">VLOOKUP(A335,Panchanga!$A$3:$Y$463,9,TRUE) &amp; " "&amp;ROUND(A339/13.333,2)</f>
        <v>Revati 26.67</v>
      </c>
      <c r="B340" s="32" t="str">
        <f ca="1">VLOOKUP(B335,Panchanga!$A$3:$Y$463,9,TRUE) &amp; " "&amp;ROUND(B339/13.333,2)</f>
        <v>Aswini 0.7</v>
      </c>
      <c r="C340" s="32" t="str">
        <f ca="1">VLOOKUP(C335,Panchanga!$A$3:$Y$463,9,TRUE) &amp; " "&amp;ROUND(C339/13.333,2)</f>
        <v>Bharani 1.77</v>
      </c>
      <c r="D340" s="32" t="str">
        <f ca="1">VLOOKUP(D335,Panchanga!$A$3:$Y$463,9,TRUE) &amp; " "&amp;ROUND(D339/13.333,2)</f>
        <v>Krittika 2.85</v>
      </c>
      <c r="E340" s="32" t="str">
        <f ca="1">VLOOKUP(E335,Panchanga!$A$3:$Y$463,9,TRUE) &amp; " "&amp;ROUND(E339/13.333,2)</f>
        <v>Rohini 3.95</v>
      </c>
      <c r="F340" s="32" t="str">
        <f ca="1">VLOOKUP(F335,Panchanga!$A$3:$Y$463,9,TRUE) &amp; " "&amp;ROUND(F339/13.333,2)</f>
        <v>Ardra 5.05</v>
      </c>
      <c r="G340" s="46" t="str">
        <f ca="1">VLOOKUP(G335,Panchanga!$A$3:$Y$463,9,TRUE) &amp; " "&amp;ROUND(G339/13.333,2)</f>
        <v>Punarvasu 6.15</v>
      </c>
    </row>
    <row r="341" spans="1:7" s="28" customFormat="1" ht="19.5" x14ac:dyDescent="0.3">
      <c r="A341" s="40">
        <f ca="1">VLOOKUP(A335,Panchanga!$A$3:$Y$463,10,TRUE)</f>
        <v>43233.226826383667</v>
      </c>
      <c r="B341" s="34">
        <f ca="1">VLOOKUP(B335,Panchanga!$A$3:$Y$463,10,TRUE)</f>
        <v>43234.518377982262</v>
      </c>
      <c r="C341" s="34">
        <f ca="1">VLOOKUP(C335,Panchanga!$A$3:$Y$463,10,TRUE)</f>
        <v>43235.454130728744</v>
      </c>
      <c r="D341" s="34">
        <f ca="1">VLOOKUP(D335,Panchanga!$A$3:$Y$463,10,TRUE)</f>
        <v>43236.3735536241</v>
      </c>
      <c r="E341" s="34">
        <f ca="1">VLOOKUP(E335,Panchanga!$A$3:$Y$463,10,TRUE)</f>
        <v>43237.283183485648</v>
      </c>
      <c r="F341" s="34">
        <f ca="1">VLOOKUP(F335,Panchanga!$A$3:$Y$463,10,TRUE)</f>
        <v>43239.099834076143</v>
      </c>
      <c r="G341" s="47">
        <f ca="1">VLOOKUP(G335,Panchanga!$A$3:$Y$463,10,TRUE)</f>
        <v>43240.018458228464</v>
      </c>
    </row>
    <row r="342" spans="1:7" s="28" customFormat="1" ht="19.5" x14ac:dyDescent="0.3">
      <c r="A342" s="38" t="str">
        <f ca="1">VLOOKUP(A335,Panchanga!$A$3:$Y$463,11,TRUE)</f>
        <v>K13 (27.29)</v>
      </c>
      <c r="B342" s="30" t="str">
        <f ca="1">VLOOKUP(B335,Panchanga!$A$3:$Y$463,11,TRUE)</f>
        <v>K14 (28.36)</v>
      </c>
      <c r="C342" s="30" t="str">
        <f ca="1">VLOOKUP(C335,Panchanga!$A$3:$Y$463,11,TRUE)</f>
        <v>K15 (29.46)</v>
      </c>
      <c r="D342" s="30" t="str">
        <f ca="1">VLOOKUP(D335,Panchanga!$A$3:$Y$463,11,TRUE)</f>
        <v>S1 (0.59)</v>
      </c>
      <c r="E342" s="30" t="str">
        <f ca="1">VLOOKUP(E335,Panchanga!$A$3:$Y$463,11,TRUE)</f>
        <v>S2 (1.73)</v>
      </c>
      <c r="F342" s="30" t="str">
        <f ca="1">VLOOKUP(F335,Panchanga!$A$3:$Y$463,11,TRUE)</f>
        <v>S3 (2.87)</v>
      </c>
      <c r="G342" s="45" t="str">
        <f ca="1">VLOOKUP(G335,Panchanga!$A$3:$Y$463,11,TRUE)</f>
        <v>S5 (4.01)</v>
      </c>
    </row>
    <row r="343" spans="1:7" s="28" customFormat="1" ht="19.5" x14ac:dyDescent="0.3">
      <c r="A343" s="41" t="str">
        <f ca="1">VLOOKUP(A335,Panchanga!$A$3:$Y$463,13,TRUE)</f>
        <v>Garija</v>
      </c>
      <c r="B343" s="36" t="str">
        <f ca="1">VLOOKUP(B335,Panchanga!$A$3:$Y$463,13,TRUE)</f>
        <v>Vishti</v>
      </c>
      <c r="C343" s="36" t="str">
        <f ca="1">VLOOKUP(C335,Panchanga!$A$3:$Y$463,13,TRUE)</f>
        <v>Chatushapda</v>
      </c>
      <c r="D343" s="36" t="str">
        <f ca="1">VLOOKUP(D335,Panchanga!$A$3:$Y$463,13,TRUE)</f>
        <v>Bhava</v>
      </c>
      <c r="E343" s="36" t="str">
        <f ca="1">VLOOKUP(E335,Panchanga!$A$3:$Y$463,13,TRUE)</f>
        <v>Kaulava</v>
      </c>
      <c r="F343" s="36" t="str">
        <f ca="1">VLOOKUP(F335,Panchanga!$A$3:$Y$463,13,TRUE)</f>
        <v>Garija</v>
      </c>
      <c r="G343" s="48" t="str">
        <f ca="1">VLOOKUP(G335,Panchanga!$A$3:$Y$463,13,TRUE)</f>
        <v>Bhava</v>
      </c>
    </row>
    <row r="344" spans="1:7" s="28" customFormat="1" ht="19.5" x14ac:dyDescent="0.3">
      <c r="A344" s="41" t="str">
        <f ca="1">VLOOKUP(A335,Panchanga!$A$3:$Y$463,14,TRUE)</f>
        <v>Priti-प्रीति-Me (1.78)</v>
      </c>
      <c r="B344" s="36" t="str">
        <f ca="1">VLOOKUP(B335,Panchanga!$A$3:$Y$463,14,TRUE)</f>
        <v>Ayushman-आयुष्मान-Ke (2.89)</v>
      </c>
      <c r="C344" s="36" t="str">
        <f ca="1">VLOOKUP(C335,Panchanga!$A$3:$Y$463,14,TRUE)</f>
        <v>Shobhana-शोभन-Su (4.02)</v>
      </c>
      <c r="D344" s="36" t="str">
        <f ca="1">VLOOKUP(D335,Panchanga!$A$3:$Y$463,14,TRUE)</f>
        <v>Atiganda-अतिगण्ड -Mo (5.18)</v>
      </c>
      <c r="E344" s="36" t="str">
        <f ca="1">VLOOKUP(E335,Panchanga!$A$3:$Y$463,14,TRUE)</f>
        <v>Sukarman-सुकर्मा -Ma (6.35)</v>
      </c>
      <c r="F344" s="36" t="str">
        <f ca="1">VLOOKUP(F335,Panchanga!$A$3:$Y$463,14,TRUE)</f>
        <v>Dhriti-धृति -Ra (7.53)</v>
      </c>
      <c r="G344" s="48" t="str">
        <f ca="1">VLOOKUP(G335,Panchanga!$A$3:$Y$463,14,TRUE)</f>
        <v>Shula-शूल -Ju (8.7)</v>
      </c>
    </row>
    <row r="345" spans="1:7" s="28" customFormat="1" ht="19.5" x14ac:dyDescent="0.3">
      <c r="A345" s="63" t="str">
        <f ca="1">VLOOKUP(A335,Panchanga!$A$3:$Y$463,18,TRUE)</f>
        <v>10Ma,1Me,-7Ju,2Ve,-9Sa,4Ra</v>
      </c>
      <c r="B345" s="64" t="str">
        <f ca="1">VLOOKUP(B335,Panchanga!$A$3:$Y$463,18,TRUE)</f>
        <v>10Ma,1Me,-7Ju,2Ve,-9Sa,4Ra</v>
      </c>
      <c r="C345" s="64" t="str">
        <f ca="1">VLOOKUP(C335,Panchanga!$A$3:$Y$463,18,TRUE)</f>
        <v>10Ma,1Me,-7Ju,3Ve,-9Sa,4Ra</v>
      </c>
      <c r="D345" s="64" t="str">
        <f ca="1">VLOOKUP(D335,Panchanga!$A$3:$Y$463,18,TRUE)</f>
        <v>10Ma,1Me,-7Ju,3Ve,-9Sa,4Ra</v>
      </c>
      <c r="E345" s="64" t="str">
        <f ca="1">VLOOKUP(E335,Panchanga!$A$3:$Y$463,18,TRUE)</f>
        <v>10Ma,1Me,-7Ju,3Ve,-9Sa,4Ra</v>
      </c>
      <c r="F345" s="64" t="str">
        <f ca="1">VLOOKUP(F335,Panchanga!$A$3:$Y$463,18,TRUE)</f>
        <v>10Ma,1Me,-7Ju,3Ve,-9Sa,4Ra</v>
      </c>
      <c r="G345" s="65" t="str">
        <f ca="1">VLOOKUP(G335,Panchanga!$A$3:$Y$463,18,TRUE)</f>
        <v>10Ma,1Me,-7Ju,3Ve,-9Sa,4Ra</v>
      </c>
    </row>
    <row r="346" spans="1:7" ht="5.85" customHeight="1" thickBot="1" x14ac:dyDescent="0.4">
      <c r="A346" s="42"/>
      <c r="B346" s="16"/>
      <c r="C346" s="16"/>
      <c r="D346" s="16"/>
      <c r="E346" s="16"/>
      <c r="F346" s="16"/>
      <c r="G346" s="49"/>
    </row>
    <row r="347" spans="1:7" s="51" customFormat="1" ht="37.5" x14ac:dyDescent="0.5">
      <c r="A347" s="52">
        <f ca="1">G335+1</f>
        <v>43240</v>
      </c>
      <c r="B347" s="53">
        <f t="shared" ref="B347:G347" ca="1" si="23">A347+1</f>
        <v>43241</v>
      </c>
      <c r="C347" s="53">
        <f t="shared" ca="1" si="23"/>
        <v>43242</v>
      </c>
      <c r="D347" s="53">
        <f t="shared" ca="1" si="23"/>
        <v>43243</v>
      </c>
      <c r="E347" s="53">
        <f t="shared" ca="1" si="23"/>
        <v>43244</v>
      </c>
      <c r="F347" s="53">
        <f t="shared" ca="1" si="23"/>
        <v>43245</v>
      </c>
      <c r="G347" s="54">
        <f t="shared" ca="1" si="23"/>
        <v>43246</v>
      </c>
    </row>
    <row r="348" spans="1:7" s="28" customFormat="1" ht="19.5" x14ac:dyDescent="0.3">
      <c r="A348" s="37">
        <f ca="1">VLOOKUP(A347,Panchanga!$A$3:$Y$463,3,TRUE)</f>
        <v>43240.238484270092</v>
      </c>
      <c r="B348" s="27">
        <f ca="1">VLOOKUP(B347,Panchanga!$A$3:$Y$463,3,TRUE)</f>
        <v>43241.238364901546</v>
      </c>
      <c r="C348" s="27">
        <f ca="1">VLOOKUP(C347,Panchanga!$A$3:$Y$463,3,TRUE)</f>
        <v>43242.238255547047</v>
      </c>
      <c r="D348" s="27">
        <f ca="1">VLOOKUP(D347,Panchanga!$A$3:$Y$463,3,TRUE)</f>
        <v>43243.238156206127</v>
      </c>
      <c r="E348" s="27">
        <f ca="1">VLOOKUP(E347,Panchanga!$A$3:$Y$463,3,TRUE)</f>
        <v>43244.238066719532</v>
      </c>
      <c r="F348" s="27">
        <f ca="1">VLOOKUP(F347,Panchanga!$A$3:$Y$463,3,TRUE)</f>
        <v>43245.237987246517</v>
      </c>
      <c r="G348" s="44">
        <f ca="1">VLOOKUP(G347,Panchanga!$A$3:$Y$463,3,TRUE)</f>
        <v>43246.237917628292</v>
      </c>
    </row>
    <row r="349" spans="1:7" s="28" customFormat="1" ht="19.5" x14ac:dyDescent="0.3">
      <c r="A349" s="37">
        <f ca="1">VLOOKUP(A347,Panchanga!$A$3:$Y$463,4,TRUE)</f>
        <v>43239.769925256769</v>
      </c>
      <c r="B349" s="27">
        <f ca="1">VLOOKUP(B347,Panchanga!$A$3:$Y$463,4,TRUE)</f>
        <v>43240.770126164003</v>
      </c>
      <c r="C349" s="27">
        <f ca="1">VLOOKUP(C347,Panchanga!$A$3:$Y$463,4,TRUE)</f>
        <v>43241.770329296633</v>
      </c>
      <c r="D349" s="27">
        <f ca="1">VLOOKUP(D347,Panchanga!$A$3:$Y$463,4,TRUE)</f>
        <v>43242.77053417782</v>
      </c>
      <c r="E349" s="27">
        <f ca="1">VLOOKUP(E347,Panchanga!$A$3:$Y$463,4,TRUE)</f>
        <v>43243.7707408071</v>
      </c>
      <c r="F349" s="27">
        <f ca="1">VLOOKUP(F347,Panchanga!$A$3:$Y$463,4,TRUE)</f>
        <v>43244.770948867357</v>
      </c>
      <c r="G349" s="44">
        <f ca="1">VLOOKUP(G347,Panchanga!$A$3:$Y$463,4,TRUE)</f>
        <v>43245.77115819887</v>
      </c>
    </row>
    <row r="350" spans="1:7" s="28" customFormat="1" ht="19.5" x14ac:dyDescent="0.3">
      <c r="A350" s="38">
        <f ca="1">VLOOKUP(A347,Panchanga!$A$3:$Y$463,6,TRUE)</f>
        <v>34.846653801421809</v>
      </c>
      <c r="B350" s="30">
        <f ca="1">VLOOKUP(B347,Panchanga!$A$3:$Y$463,6,TRUE)</f>
        <v>35.809106349317481</v>
      </c>
      <c r="C350" s="30">
        <f ca="1">VLOOKUP(C347,Panchanga!$A$3:$Y$463,6,TRUE)</f>
        <v>36.771109083589316</v>
      </c>
      <c r="D350" s="30">
        <f ca="1">VLOOKUP(D347,Panchanga!$A$3:$Y$463,6,TRUE)</f>
        <v>37.732667782357495</v>
      </c>
      <c r="E350" s="30">
        <f ca="1">VLOOKUP(E347,Panchanga!$A$3:$Y$463,6,TRUE)</f>
        <v>38.69379274400363</v>
      </c>
      <c r="F350" s="30">
        <f ca="1">VLOOKUP(F347,Panchanga!$A$3:$Y$463,6,TRUE)</f>
        <v>39.654498426839893</v>
      </c>
      <c r="G350" s="45">
        <f ca="1">VLOOKUP(G347,Panchanga!$A$3:$Y$463,6,TRUE)</f>
        <v>40.614801998273627</v>
      </c>
    </row>
    <row r="351" spans="1:7" s="28" customFormat="1" ht="19.5" x14ac:dyDescent="0.3">
      <c r="A351" s="38">
        <f ca="1">VLOOKUP(A347,Panchanga!$A$3:$Y$463,7,TRUE)</f>
        <v>96.521751563054437</v>
      </c>
      <c r="B351" s="30">
        <f ca="1">VLOOKUP(B347,Panchanga!$A$3:$Y$463,7,TRUE)</f>
        <v>110.79784133799114</v>
      </c>
      <c r="C351" s="30">
        <f ca="1">VLOOKUP(C347,Panchanga!$A$3:$Y$463,7,TRUE)</f>
        <v>124.8331445217206</v>
      </c>
      <c r="D351" s="30">
        <f ca="1">VLOOKUP(D347,Panchanga!$A$3:$Y$463,7,TRUE)</f>
        <v>138.62327241970402</v>
      </c>
      <c r="E351" s="30">
        <f ca="1">VLOOKUP(E347,Panchanga!$A$3:$Y$463,7,TRUE)</f>
        <v>152.17729111139496</v>
      </c>
      <c r="F351" s="30">
        <f ca="1">VLOOKUP(F347,Panchanga!$A$3:$Y$463,7,TRUE)</f>
        <v>165.50879245106515</v>
      </c>
      <c r="G351" s="45">
        <f ca="1">VLOOKUP(G347,Panchanga!$A$3:$Y$463,7,TRUE)</f>
        <v>178.62962814505539</v>
      </c>
    </row>
    <row r="352" spans="1:7" s="28" customFormat="1" ht="19.5" x14ac:dyDescent="0.3">
      <c r="A352" s="39" t="str">
        <f ca="1">VLOOKUP(A347,Panchanga!$A$3:$Y$463,9,TRUE) &amp; " "&amp;ROUND(A351/13.333,2)</f>
        <v>Pushya 7.24</v>
      </c>
      <c r="B352" s="32" t="str">
        <f ca="1">VLOOKUP(B347,Panchanga!$A$3:$Y$463,9,TRUE) &amp; " "&amp;ROUND(B351/13.333,2)</f>
        <v>Aslesha 8.31</v>
      </c>
      <c r="C352" s="32" t="str">
        <f ca="1">VLOOKUP(C347,Panchanga!$A$3:$Y$463,9,TRUE) &amp; " "&amp;ROUND(C351/13.333,2)</f>
        <v>Makha 9.36</v>
      </c>
      <c r="D352" s="32" t="str">
        <f ca="1">VLOOKUP(D347,Panchanga!$A$3:$Y$463,9,TRUE) &amp; " "&amp;ROUND(D351/13.333,2)</f>
        <v>Purva Phalguni 10.4</v>
      </c>
      <c r="E352" s="32" t="str">
        <f ca="1">VLOOKUP(E347,Panchanga!$A$3:$Y$463,9,TRUE) &amp; " "&amp;ROUND(E351/13.333,2)</f>
        <v>Uttara Phalguni 11.41</v>
      </c>
      <c r="F352" s="32" t="str">
        <f ca="1">VLOOKUP(F347,Panchanga!$A$3:$Y$463,9,TRUE) &amp; " "&amp;ROUND(F351/13.333,2)</f>
        <v>Hasta 12.41</v>
      </c>
      <c r="G352" s="46" t="str">
        <f ca="1">VLOOKUP(G347,Panchanga!$A$3:$Y$463,9,TRUE) &amp; " "&amp;ROUND(G351/13.333,2)</f>
        <v>Chitra 13.4</v>
      </c>
    </row>
    <row r="353" spans="1:7" s="28" customFormat="1" ht="19.5" x14ac:dyDescent="0.3">
      <c r="A353" s="40">
        <f ca="1">VLOOKUP(A347,Panchanga!$A$3:$Y$463,10,TRUE)</f>
        <v>43240.949022259119</v>
      </c>
      <c r="B353" s="34">
        <f ca="1">VLOOKUP(B347,Panchanga!$A$3:$Y$463,10,TRUE)</f>
        <v>43241.893936943285</v>
      </c>
      <c r="C353" s="34">
        <f ca="1">VLOOKUP(C347,Panchanga!$A$3:$Y$463,10,TRUE)</f>
        <v>43242.854590976123</v>
      </c>
      <c r="D353" s="34">
        <f ca="1">VLOOKUP(D347,Panchanga!$A$3:$Y$463,10,TRUE)</f>
        <v>43243.831535531768</v>
      </c>
      <c r="E353" s="34">
        <f ca="1">VLOOKUP(E347,Panchanga!$A$3:$Y$463,10,TRUE)</f>
        <v>43244.824803876516</v>
      </c>
      <c r="F353" s="34">
        <f ca="1">VLOOKUP(F347,Panchanga!$A$3:$Y$463,10,TRUE)</f>
        <v>43245.834290434366</v>
      </c>
      <c r="G353" s="47">
        <f ca="1">VLOOKUP(G347,Panchanga!$A$3:$Y$463,10,TRUE)</f>
        <v>43246.860062185842</v>
      </c>
    </row>
    <row r="354" spans="1:7" s="28" customFormat="1" ht="19.5" x14ac:dyDescent="0.3">
      <c r="A354" s="38" t="str">
        <f ca="1">VLOOKUP(A347,Panchanga!$A$3:$Y$463,11,TRUE)</f>
        <v>S6 (5.14)</v>
      </c>
      <c r="B354" s="30" t="str">
        <f ca="1">VLOOKUP(B347,Panchanga!$A$3:$Y$463,11,TRUE)</f>
        <v>S7 (6.25)</v>
      </c>
      <c r="C354" s="30" t="str">
        <f ca="1">VLOOKUP(C347,Panchanga!$A$3:$Y$463,11,TRUE)</f>
        <v>S8 (7.34)</v>
      </c>
      <c r="D354" s="30" t="str">
        <f ca="1">VLOOKUP(D347,Panchanga!$A$3:$Y$463,11,TRUE)</f>
        <v>S9 (8.41)</v>
      </c>
      <c r="E354" s="30" t="str">
        <f ca="1">VLOOKUP(E347,Panchanga!$A$3:$Y$463,11,TRUE)</f>
        <v>S10 (9.46)</v>
      </c>
      <c r="F354" s="30" t="str">
        <f ca="1">VLOOKUP(F347,Panchanga!$A$3:$Y$463,11,TRUE)</f>
        <v>S11 (10.49)</v>
      </c>
      <c r="G354" s="45" t="str">
        <f ca="1">VLOOKUP(G347,Panchanga!$A$3:$Y$463,11,TRUE)</f>
        <v>S12 (11.5)</v>
      </c>
    </row>
    <row r="355" spans="1:7" s="28" customFormat="1" ht="19.5" x14ac:dyDescent="0.3">
      <c r="A355" s="41" t="str">
        <f ca="1">VLOOKUP(A347,Panchanga!$A$3:$Y$463,13,TRUE)</f>
        <v>Kaulava</v>
      </c>
      <c r="B355" s="36" t="str">
        <f ca="1">VLOOKUP(B347,Panchanga!$A$3:$Y$463,13,TRUE)</f>
        <v>Garija</v>
      </c>
      <c r="C355" s="36" t="str">
        <f ca="1">VLOOKUP(C347,Panchanga!$A$3:$Y$463,13,TRUE)</f>
        <v>Vishti</v>
      </c>
      <c r="D355" s="36" t="str">
        <f ca="1">VLOOKUP(D347,Panchanga!$A$3:$Y$463,13,TRUE)</f>
        <v>Baalava</v>
      </c>
      <c r="E355" s="36" t="str">
        <f ca="1">VLOOKUP(E347,Panchanga!$A$3:$Y$463,13,TRUE)</f>
        <v>Taitula</v>
      </c>
      <c r="F355" s="36" t="str">
        <f ca="1">VLOOKUP(F347,Panchanga!$A$3:$Y$463,13,TRUE)</f>
        <v>Vanija</v>
      </c>
      <c r="G355" s="48" t="str">
        <f ca="1">VLOOKUP(G347,Panchanga!$A$3:$Y$463,13,TRUE)</f>
        <v>Baalava</v>
      </c>
    </row>
    <row r="356" spans="1:7" s="28" customFormat="1" ht="19.5" x14ac:dyDescent="0.3">
      <c r="A356" s="41" t="str">
        <f ca="1">VLOOKUP(A347,Panchanga!$A$3:$Y$463,14,TRUE)</f>
        <v>Ganda-गण्ड -Sa (9.86)</v>
      </c>
      <c r="B356" s="36" t="str">
        <f ca="1">VLOOKUP(B347,Panchanga!$A$3:$Y$463,14,TRUE)</f>
        <v>Vriddhi-वृद्धि -Me (11)</v>
      </c>
      <c r="C356" s="36" t="str">
        <f ca="1">VLOOKUP(C347,Panchanga!$A$3:$Y$463,14,TRUE)</f>
        <v>Vyaghata-व्याघात-ve (12.13)</v>
      </c>
      <c r="D356" s="36" t="str">
        <f ca="1">VLOOKUP(D347,Panchanga!$A$3:$Y$463,14,TRUE)</f>
        <v>Harshana-हर्षण-su (13.23)</v>
      </c>
      <c r="E356" s="36" t="str">
        <f ca="1">VLOOKUP(E347,Panchanga!$A$3:$Y$463,14,TRUE)</f>
        <v>Vajra-वज्र-Mo (14.32)</v>
      </c>
      <c r="F356" s="36" t="str">
        <f ca="1">VLOOKUP(F347,Panchanga!$A$3:$Y$463,14,TRUE)</f>
        <v>Siddhi-सिद्धि-Ma (15.39)</v>
      </c>
      <c r="G356" s="48" t="str">
        <f ca="1">VLOOKUP(G347,Panchanga!$A$3:$Y$463,14,TRUE)</f>
        <v>Vyatipata-व्यतिपात-Ra (16.45)</v>
      </c>
    </row>
    <row r="357" spans="1:7" s="28" customFormat="1" ht="19.5" x14ac:dyDescent="0.3">
      <c r="A357" s="63" t="str">
        <f ca="1">VLOOKUP(A347,Panchanga!$A$3:$Y$463,18,TRUE)</f>
        <v>10Ma,1Me,-7Ju,3Ve,-9Sa,4Ra</v>
      </c>
      <c r="B357" s="64" t="str">
        <f ca="1">VLOOKUP(B347,Panchanga!$A$3:$Y$463,18,TRUE)</f>
        <v>10Ma,1Me,-7Ju,3Ve,-9Sa,4Ra</v>
      </c>
      <c r="C357" s="64" t="str">
        <f ca="1">VLOOKUP(C347,Panchanga!$A$3:$Y$463,18,TRUE)</f>
        <v>10Ma,1Me,-7Ju,3Ve,-9Sa,4Ra</v>
      </c>
      <c r="D357" s="64" t="str">
        <f ca="1">VLOOKUP(D347,Panchanga!$A$3:$Y$463,18,TRUE)</f>
        <v>10Ma,1Me,-7Ju,3Ve,-9Sa,4Ra</v>
      </c>
      <c r="E357" s="64" t="str">
        <f ca="1">VLOOKUP(E347,Panchanga!$A$3:$Y$463,18,TRUE)</f>
        <v>10Ma,1Me,-7Ju,3Ve,-9Sa,4Ra</v>
      </c>
      <c r="F357" s="64" t="str">
        <f ca="1">VLOOKUP(F347,Panchanga!$A$3:$Y$463,18,TRUE)</f>
        <v>10Ma,1Me,-7Ju,3Ve,-9Sa,4Ra</v>
      </c>
      <c r="G357" s="65" t="str">
        <f ca="1">VLOOKUP(G347,Panchanga!$A$3:$Y$463,18,TRUE)</f>
        <v>10Ma,1Me,-7Ju,3Ve,-9Sa,4Ra</v>
      </c>
    </row>
    <row r="358" spans="1:7" ht="5.85" customHeight="1" thickBot="1" x14ac:dyDescent="0.4">
      <c r="A358" s="42"/>
      <c r="B358" s="16"/>
      <c r="C358" s="16"/>
      <c r="D358" s="16"/>
      <c r="E358" s="16"/>
      <c r="F358" s="16"/>
      <c r="G358" s="49"/>
    </row>
    <row r="359" spans="1:7" s="51" customFormat="1" ht="37.5" x14ac:dyDescent="0.5">
      <c r="A359" s="52">
        <f ca="1">G347+1</f>
        <v>43247</v>
      </c>
      <c r="B359" s="53">
        <f t="shared" ref="B359:G359" ca="1" si="24">A359+1</f>
        <v>43248</v>
      </c>
      <c r="C359" s="53">
        <f t="shared" ca="1" si="24"/>
        <v>43249</v>
      </c>
      <c r="D359" s="53">
        <f t="shared" ca="1" si="24"/>
        <v>43250</v>
      </c>
      <c r="E359" s="53">
        <f t="shared" ca="1" si="24"/>
        <v>43251</v>
      </c>
      <c r="F359" s="53">
        <f t="shared" ca="1" si="24"/>
        <v>43252</v>
      </c>
      <c r="G359" s="54">
        <f t="shared" ca="1" si="24"/>
        <v>43253</v>
      </c>
    </row>
    <row r="360" spans="1:7" s="28" customFormat="1" ht="19.5" x14ac:dyDescent="0.3">
      <c r="A360" s="37">
        <f ca="1">VLOOKUP(A359,Panchanga!$A$3:$Y$463,3,TRUE)</f>
        <v>43247.237857864857</v>
      </c>
      <c r="B360" s="27">
        <f ca="1">VLOOKUP(B359,Panchanga!$A$3:$Y$463,3,TRUE)</f>
        <v>43248.237807955746</v>
      </c>
      <c r="C360" s="27">
        <f ca="1">VLOOKUP(C359,Panchanga!$A$3:$Y$463,3,TRUE)</f>
        <v>43249.237767901424</v>
      </c>
      <c r="D360" s="27">
        <f ca="1">VLOOKUP(D359,Panchanga!$A$3:$Y$463,3,TRUE)</f>
        <v>43250.237737701893</v>
      </c>
      <c r="E360" s="27">
        <f ca="1">VLOOKUP(E359,Panchanga!$A$3:$Y$463,3,TRUE)</f>
        <v>43251.237717197895</v>
      </c>
      <c r="F360" s="27">
        <f ca="1">VLOOKUP(F359,Panchanga!$A$3:$Y$463,3,TRUE)</f>
        <v>43252.237706389431</v>
      </c>
      <c r="G360" s="44">
        <f ca="1">VLOOKUP(G359,Panchanga!$A$3:$Y$463,3,TRUE)</f>
        <v>43253.237705118176</v>
      </c>
    </row>
    <row r="361" spans="1:7" s="28" customFormat="1" ht="19.5" x14ac:dyDescent="0.3">
      <c r="A361" s="37">
        <f ca="1">VLOOKUP(A359,Panchanga!$A$3:$Y$463,4,TRUE)</f>
        <v>43246.771368642847</v>
      </c>
      <c r="B361" s="27">
        <f ca="1">VLOOKUP(B359,Panchanga!$A$3:$Y$463,4,TRUE)</f>
        <v>43247.771580040499</v>
      </c>
      <c r="C361" s="27">
        <f ca="1">VLOOKUP(C359,Panchanga!$A$3:$Y$463,4,TRUE)</f>
        <v>43248.771792233034</v>
      </c>
      <c r="D361" s="27">
        <f ca="1">VLOOKUP(D359,Panchanga!$A$3:$Y$463,4,TRUE)</f>
        <v>43249.772004902406</v>
      </c>
      <c r="E361" s="27">
        <f ca="1">VLOOKUP(E359,Panchanga!$A$3:$Y$463,4,TRUE)</f>
        <v>43250.772218048616</v>
      </c>
      <c r="F361" s="27">
        <f ca="1">VLOOKUP(F359,Panchanga!$A$3:$Y$463,4,TRUE)</f>
        <v>43251.772431512873</v>
      </c>
      <c r="G361" s="44">
        <f ca="1">VLOOKUP(G359,Panchanga!$A$3:$Y$463,4,TRUE)</f>
        <v>43252.772644817873</v>
      </c>
    </row>
    <row r="362" spans="1:7" s="28" customFormat="1" ht="19.5" x14ac:dyDescent="0.3">
      <c r="A362" s="38">
        <f ca="1">VLOOKUP(A359,Panchanga!$A$3:$Y$463,6,TRUE)</f>
        <v>41.574723056359097</v>
      </c>
      <c r="B362" s="30">
        <f ca="1">VLOOKUP(B359,Panchanga!$A$3:$Y$463,6,TRUE)</f>
        <v>42.534282844039673</v>
      </c>
      <c r="C362" s="30">
        <f ca="1">VLOOKUP(C359,Panchanga!$A$3:$Y$463,6,TRUE)</f>
        <v>43.49350365088096</v>
      </c>
      <c r="D362" s="30">
        <f ca="1">VLOOKUP(D359,Panchanga!$A$3:$Y$463,6,TRUE)</f>
        <v>44.452408190699813</v>
      </c>
      <c r="E362" s="30">
        <f ca="1">VLOOKUP(E359,Panchanga!$A$3:$Y$463,6,TRUE)</f>
        <v>45.41101881721935</v>
      </c>
      <c r="F362" s="30">
        <f ca="1">VLOOKUP(F359,Panchanga!$A$3:$Y$463,6,TRUE)</f>
        <v>46.36935726678994</v>
      </c>
      <c r="G362" s="45">
        <f ca="1">VLOOKUP(G359,Panchanga!$A$3:$Y$463,6,TRUE)</f>
        <v>47.327443943077455</v>
      </c>
    </row>
    <row r="363" spans="1:7" s="28" customFormat="1" ht="19.5" x14ac:dyDescent="0.3">
      <c r="A363" s="38">
        <f ca="1">VLOOKUP(A359,Panchanga!$A$3:$Y$463,7,TRUE)</f>
        <v>191.54713759366032</v>
      </c>
      <c r="B363" s="30">
        <f ca="1">VLOOKUP(B359,Panchanga!$A$3:$Y$463,7,TRUE)</f>
        <v>204.26469670674726</v>
      </c>
      <c r="C363" s="30">
        <f ca="1">VLOOKUP(C359,Panchanga!$A$3:$Y$463,7,TRUE)</f>
        <v>216.78465349615357</v>
      </c>
      <c r="D363" s="30">
        <f ca="1">VLOOKUP(D359,Panchanga!$A$3:$Y$463,7,TRUE)</f>
        <v>229.11239442923207</v>
      </c>
      <c r="E363" s="30">
        <f ca="1">VLOOKUP(E359,Panchanga!$A$3:$Y$463,7,TRUE)</f>
        <v>241.26047291001566</v>
      </c>
      <c r="F363" s="30">
        <f ca="1">VLOOKUP(F359,Panchanga!$A$3:$Y$463,7,TRUE)</f>
        <v>253.25205358471732</v>
      </c>
      <c r="G363" s="45">
        <f ca="1">VLOOKUP(G359,Panchanga!$A$3:$Y$463,7,TRUE)</f>
        <v>265.1231256658628</v>
      </c>
    </row>
    <row r="364" spans="1:7" s="28" customFormat="1" ht="19.5" x14ac:dyDescent="0.3">
      <c r="A364" s="39" t="str">
        <f ca="1">VLOOKUP(A359,Panchanga!$A$3:$Y$463,9,TRUE) &amp; " "&amp;ROUND(A363/13.333,2)</f>
        <v>Swati 14.37</v>
      </c>
      <c r="B364" s="32" t="str">
        <f ca="1">VLOOKUP(B359,Panchanga!$A$3:$Y$463,9,TRUE) &amp; " "&amp;ROUND(B363/13.333,2)</f>
        <v>Visakha 15.32</v>
      </c>
      <c r="C364" s="32" t="str">
        <f ca="1">VLOOKUP(C359,Panchanga!$A$3:$Y$463,9,TRUE) &amp; " "&amp;ROUND(C363/13.333,2)</f>
        <v>Anuradha 16.26</v>
      </c>
      <c r="D364" s="32" t="str">
        <f ca="1">VLOOKUP(D359,Panchanga!$A$3:$Y$463,9,TRUE) &amp; " "&amp;ROUND(D363/13.333,2)</f>
        <v>Jyestha 17.18</v>
      </c>
      <c r="E364" s="32" t="str">
        <f ca="1">VLOOKUP(E359,Panchanga!$A$3:$Y$463,9,TRUE) &amp; " "&amp;ROUND(E363/13.333,2)</f>
        <v>Moola 18.09</v>
      </c>
      <c r="F364" s="32" t="str">
        <f ca="1">VLOOKUP(F359,Panchanga!$A$3:$Y$463,9,TRUE) &amp; " "&amp;ROUND(F363/13.333,2)</f>
        <v>Moola 18.99</v>
      </c>
      <c r="G364" s="46" t="str">
        <f ca="1">VLOOKUP(G359,Panchanga!$A$3:$Y$463,9,TRUE) &amp; " "&amp;ROUND(G363/13.333,2)</f>
        <v>Purva Asadha 19.88</v>
      </c>
    </row>
    <row r="365" spans="1:7" s="28" customFormat="1" ht="19.5" x14ac:dyDescent="0.3">
      <c r="A365" s="40">
        <f ca="1">VLOOKUP(A359,Panchanga!$A$3:$Y$463,10,TRUE)</f>
        <v>43247.902485444436</v>
      </c>
      <c r="B365" s="34">
        <f ca="1">VLOOKUP(B359,Panchanga!$A$3:$Y$463,10,TRUE)</f>
        <v>43248.962113441863</v>
      </c>
      <c r="C365" s="34">
        <f ca="1">VLOOKUP(C359,Panchanga!$A$3:$Y$463,10,TRUE)</f>
        <v>43250.039351483683</v>
      </c>
      <c r="D365" s="34">
        <f ca="1">VLOOKUP(D359,Panchanga!$A$3:$Y$463,10,TRUE)</f>
        <v>43251.133960289568</v>
      </c>
      <c r="E365" s="34">
        <f ca="1">VLOOKUP(E359,Panchanga!$A$3:$Y$463,10,TRUE)</f>
        <v>43252.244484384115</v>
      </c>
      <c r="F365" s="34">
        <f ca="1">VLOOKUP(F359,Panchanga!$A$3:$Y$463,10,TRUE)</f>
        <v>43252.244553255892</v>
      </c>
      <c r="G365" s="47">
        <f ca="1">VLOOKUP(G359,Panchanga!$A$3:$Y$463,10,TRUE)</f>
        <v>43253.368513546426</v>
      </c>
    </row>
    <row r="366" spans="1:7" s="28" customFormat="1" ht="19.5" x14ac:dyDescent="0.3">
      <c r="A366" s="38" t="str">
        <f ca="1">VLOOKUP(A359,Panchanga!$A$3:$Y$463,11,TRUE)</f>
        <v>S13 (12.5)</v>
      </c>
      <c r="B366" s="30" t="str">
        <f ca="1">VLOOKUP(B359,Panchanga!$A$3:$Y$463,11,TRUE)</f>
        <v>S14 (13.48)</v>
      </c>
      <c r="C366" s="30" t="str">
        <f ca="1">VLOOKUP(C359,Panchanga!$A$3:$Y$463,11,TRUE)</f>
        <v>S15 (14.44)</v>
      </c>
      <c r="D366" s="30" t="str">
        <f ca="1">VLOOKUP(D359,Panchanga!$A$3:$Y$463,11,TRUE)</f>
        <v>K1 (15.39)</v>
      </c>
      <c r="E366" s="30" t="str">
        <f ca="1">VLOOKUP(E359,Panchanga!$A$3:$Y$463,11,TRUE)</f>
        <v>K2 (16.32)</v>
      </c>
      <c r="F366" s="30" t="str">
        <f ca="1">VLOOKUP(F359,Panchanga!$A$3:$Y$463,11,TRUE)</f>
        <v>K3 (17.24)</v>
      </c>
      <c r="G366" s="45" t="str">
        <f ca="1">VLOOKUP(G359,Panchanga!$A$3:$Y$463,11,TRUE)</f>
        <v>K4 (18.15)</v>
      </c>
    </row>
    <row r="367" spans="1:7" s="28" customFormat="1" ht="19.5" x14ac:dyDescent="0.3">
      <c r="A367" s="41" t="str">
        <f ca="1">VLOOKUP(A359,Panchanga!$A$3:$Y$463,13,TRUE)</f>
        <v>Kaulava</v>
      </c>
      <c r="B367" s="36" t="str">
        <f ca="1">VLOOKUP(B359,Panchanga!$A$3:$Y$463,13,TRUE)</f>
        <v>Garija</v>
      </c>
      <c r="C367" s="36" t="str">
        <f ca="1">VLOOKUP(C359,Panchanga!$A$3:$Y$463,13,TRUE)</f>
        <v>Vishti</v>
      </c>
      <c r="D367" s="36" t="str">
        <f ca="1">VLOOKUP(D359,Panchanga!$A$3:$Y$463,13,TRUE)</f>
        <v>Baalava</v>
      </c>
      <c r="E367" s="36" t="str">
        <f ca="1">VLOOKUP(E359,Panchanga!$A$3:$Y$463,13,TRUE)</f>
        <v>Taitula</v>
      </c>
      <c r="F367" s="36" t="str">
        <f ca="1">VLOOKUP(F359,Panchanga!$A$3:$Y$463,13,TRUE)</f>
        <v>Vanija</v>
      </c>
      <c r="G367" s="48" t="str">
        <f ca="1">VLOOKUP(G359,Panchanga!$A$3:$Y$463,13,TRUE)</f>
        <v>Bhava</v>
      </c>
    </row>
    <row r="368" spans="1:7" s="28" customFormat="1" ht="19.5" x14ac:dyDescent="0.3">
      <c r="A368" s="41" t="str">
        <f ca="1">VLOOKUP(A359,Panchanga!$A$3:$Y$463,14,TRUE)</f>
        <v>Varigha-वरीयस्-Ju (17.49)</v>
      </c>
      <c r="B368" s="36" t="str">
        <f ca="1">VLOOKUP(B359,Panchanga!$A$3:$Y$463,14,TRUE)</f>
        <v>Parigha-परिघ-Sa (18.51)</v>
      </c>
      <c r="C368" s="36" t="str">
        <f ca="1">VLOOKUP(C359,Panchanga!$A$3:$Y$463,14,TRUE)</f>
        <v>Shiva-शिव-Me (19.53)</v>
      </c>
      <c r="D368" s="36" t="str">
        <f ca="1">VLOOKUP(D359,Panchanga!$A$3:$Y$463,14,TRUE)</f>
        <v>Siddha-सिद्ध-Ke (20.52)</v>
      </c>
      <c r="E368" s="36" t="str">
        <f ca="1">VLOOKUP(E359,Panchanga!$A$3:$Y$463,14,TRUE)</f>
        <v>Sadhya-साध्य-Ve (21.51)</v>
      </c>
      <c r="F368" s="36" t="str">
        <f ca="1">VLOOKUP(F359,Panchanga!$A$3:$Y$463,14,TRUE)</f>
        <v>Shubha-शुभ-Su (22.48)</v>
      </c>
      <c r="G368" s="48" t="str">
        <f ca="1">VLOOKUP(G359,Panchanga!$A$3:$Y$463,14,TRUE)</f>
        <v>Shukla-शुक्ल-Mo (23.44)</v>
      </c>
    </row>
    <row r="369" spans="1:7" s="28" customFormat="1" ht="19.5" x14ac:dyDescent="0.3">
      <c r="A369" s="63" t="str">
        <f ca="1">VLOOKUP(A359,Panchanga!$A$3:$Y$463,18,TRUE)</f>
        <v>10Ma,1Me,-7Ju,3Ve,-9Sa,4Ra</v>
      </c>
      <c r="B369" s="64" t="str">
        <f ca="1">VLOOKUP(B359,Panchanga!$A$3:$Y$463,18,TRUE)</f>
        <v>10Ma,2Me,-7Ju,3Ve,-9Sa,4Ra</v>
      </c>
      <c r="C369" s="64" t="str">
        <f ca="1">VLOOKUP(C359,Panchanga!$A$3:$Y$463,18,TRUE)</f>
        <v>10Ma,2Me,-7Ju,3Ve,-9Sa,4Ra</v>
      </c>
      <c r="D369" s="64" t="str">
        <f ca="1">VLOOKUP(D359,Panchanga!$A$3:$Y$463,18,TRUE)</f>
        <v>10Ma,2Me,-7Ju,3Ve,-9Sa,4Ra</v>
      </c>
      <c r="E369" s="64" t="str">
        <f ca="1">VLOOKUP(E359,Panchanga!$A$3:$Y$463,18,TRUE)</f>
        <v>10Ma,2Me,-7Ju,3Ve,-9Sa,4Ra</v>
      </c>
      <c r="F369" s="64" t="str">
        <f ca="1">VLOOKUP(F359,Panchanga!$A$3:$Y$463,18,TRUE)</f>
        <v>10Ma,2Me,-7Ju,3Ve,-9Sa,4Ra</v>
      </c>
      <c r="G369" s="65" t="str">
        <f ca="1">VLOOKUP(G359,Panchanga!$A$3:$Y$463,18,TRUE)</f>
        <v>10Ma,2Me,-7Ju,3Ve,-9Sa,4Ra</v>
      </c>
    </row>
    <row r="370" spans="1:7" ht="5.85" customHeight="1" thickBot="1" x14ac:dyDescent="0.4">
      <c r="A370" s="42"/>
      <c r="B370" s="16"/>
      <c r="C370" s="16"/>
      <c r="D370" s="16"/>
      <c r="E370" s="16"/>
      <c r="F370" s="16"/>
      <c r="G370" s="17"/>
    </row>
    <row r="371" spans="1:7" s="51" customFormat="1" ht="37.5" x14ac:dyDescent="0.5">
      <c r="A371" s="52">
        <f ca="1">G359+1</f>
        <v>43254</v>
      </c>
      <c r="B371" s="53">
        <f ca="1">A371+1</f>
        <v>43255</v>
      </c>
      <c r="C371" s="53"/>
      <c r="D371" s="53"/>
      <c r="E371" s="53"/>
      <c r="F371" s="53"/>
      <c r="G371" s="55"/>
    </row>
    <row r="372" spans="1:7" s="28" customFormat="1" ht="19.5" x14ac:dyDescent="0.3">
      <c r="A372" s="37">
        <f ca="1">VLOOKUP(A371,Panchanga!$A$3:$Y$463,3,TRUE)</f>
        <v>43254.237713383198</v>
      </c>
      <c r="B372" s="27">
        <f ca="1">VLOOKUP(B371,Panchanga!$A$3:$Y$463,3,TRUE)</f>
        <v>43255.237731026173</v>
      </c>
      <c r="C372" s="27" t="s">
        <v>20</v>
      </c>
      <c r="D372" s="27"/>
      <c r="E372" s="27"/>
      <c r="F372" s="27"/>
      <c r="G372" s="26"/>
    </row>
    <row r="373" spans="1:7" s="28" customFormat="1" ht="19.5" x14ac:dyDescent="0.3">
      <c r="A373" s="37">
        <f ca="1">VLOOKUP(A371,Panchanga!$A$3:$Y$463,4,TRUE)</f>
        <v>43253.772857805292</v>
      </c>
      <c r="B373" s="27">
        <f ca="1">VLOOKUP(B371,Panchanga!$A$3:$Y$463,4,TRUE)</f>
        <v>43254.773070315874</v>
      </c>
      <c r="C373" s="27" t="s">
        <v>8</v>
      </c>
      <c r="D373" s="27"/>
      <c r="E373" s="27"/>
      <c r="F373" s="27"/>
      <c r="G373" s="26"/>
    </row>
    <row r="374" spans="1:7" s="28" customFormat="1" ht="19.5" x14ac:dyDescent="0.3">
      <c r="A374" s="38">
        <f ca="1">VLOOKUP(A371,Panchanga!$A$3:$Y$463,6,TRUE)</f>
        <v>48.285298001795084</v>
      </c>
      <c r="B374" s="30">
        <f ca="1">VLOOKUP(B371,Panchanga!$A$3:$Y$463,6,TRUE)</f>
        <v>49.24293697701723</v>
      </c>
      <c r="C374" s="30" t="s">
        <v>21</v>
      </c>
      <c r="D374" s="30"/>
      <c r="E374" s="30"/>
      <c r="F374" s="30"/>
      <c r="G374" s="29"/>
    </row>
    <row r="375" spans="1:7" s="28" customFormat="1" ht="19.5" x14ac:dyDescent="0.3">
      <c r="A375" s="38">
        <f ca="1">VLOOKUP(A371,Panchanga!$A$3:$Y$463,7,TRUE)</f>
        <v>276.92323502340633</v>
      </c>
      <c r="B375" s="30">
        <f ca="1">VLOOKUP(B371,Panchanga!$A$3:$Y$463,7,TRUE)</f>
        <v>288.71482593889823</v>
      </c>
      <c r="C375" s="30" t="s">
        <v>22</v>
      </c>
      <c r="D375" s="30"/>
      <c r="E375" s="30"/>
      <c r="F375" s="30"/>
      <c r="G375" s="29"/>
    </row>
    <row r="376" spans="1:7" s="28" customFormat="1" ht="19.5" x14ac:dyDescent="0.3">
      <c r="A376" s="39" t="str">
        <f ca="1">VLOOKUP(A371,Panchanga!$A$3:$Y$463,9,TRUE) &amp; " "&amp;ROUND(A375/13.333,2)</f>
        <v>Uttara Asadha 20.77</v>
      </c>
      <c r="B376" s="32" t="str">
        <f ca="1">VLOOKUP(B371,Panchanga!$A$3:$Y$463,9,TRUE) &amp; " "&amp;ROUND(B375/13.333,2)</f>
        <v>Sravana 21.65</v>
      </c>
      <c r="C376" s="32" t="s">
        <v>23</v>
      </c>
      <c r="D376" s="32"/>
      <c r="E376" s="32"/>
      <c r="F376" s="32"/>
      <c r="G376" s="31"/>
    </row>
    <row r="377" spans="1:7" s="28" customFormat="1" ht="19.5" x14ac:dyDescent="0.3">
      <c r="A377" s="40">
        <f ca="1">VLOOKUP(A371,Panchanga!$A$3:$Y$463,10,TRUE)</f>
        <v>43254.498646728149</v>
      </c>
      <c r="B377" s="34">
        <f ca="1">VLOOKUP(B371,Panchanga!$A$3:$Y$463,10,TRUE)</f>
        <v>43255.627269732962</v>
      </c>
      <c r="C377" s="34" t="s">
        <v>24</v>
      </c>
      <c r="D377" s="34"/>
      <c r="E377" s="34"/>
      <c r="F377" s="34"/>
      <c r="G377" s="33"/>
    </row>
    <row r="378" spans="1:7" s="28" customFormat="1" ht="19.5" x14ac:dyDescent="0.3">
      <c r="A378" s="38" t="str">
        <f ca="1">VLOOKUP(A371,Panchanga!$A$3:$Y$463,11,TRUE)</f>
        <v>K5 (19.05)</v>
      </c>
      <c r="B378" s="30" t="str">
        <f ca="1">VLOOKUP(B371,Panchanga!$A$3:$Y$463,11,TRUE)</f>
        <v>K5 (19.96)</v>
      </c>
      <c r="C378" s="30" t="s">
        <v>28</v>
      </c>
      <c r="D378" s="30"/>
      <c r="E378" s="30"/>
      <c r="F378" s="30"/>
      <c r="G378" s="29"/>
    </row>
    <row r="379" spans="1:7" s="28" customFormat="1" ht="19.5" x14ac:dyDescent="0.3">
      <c r="A379" s="41" t="str">
        <f ca="1">VLOOKUP(A371,Panchanga!$A$3:$Y$463,13,TRUE)</f>
        <v>Kaulava</v>
      </c>
      <c r="B379" s="36" t="str">
        <f ca="1">VLOOKUP(B371,Panchanga!$A$3:$Y$463,13,TRUE)</f>
        <v>Taitula</v>
      </c>
      <c r="C379" s="36" t="s">
        <v>25</v>
      </c>
      <c r="D379" s="36"/>
      <c r="E379" s="36"/>
      <c r="F379" s="36"/>
      <c r="G379" s="35"/>
    </row>
    <row r="380" spans="1:7" s="28" customFormat="1" ht="19.5" x14ac:dyDescent="0.3">
      <c r="A380" s="41" t="str">
        <f ca="1">VLOOKUP(A371,Panchanga!$A$3:$Y$463,14,TRUE)</f>
        <v>Brahma-ब्रह्म-Ma (24.4)</v>
      </c>
      <c r="B380" s="36" t="str">
        <f ca="1">VLOOKUP(B371,Panchanga!$A$3:$Y$463,14,TRUE)</f>
        <v>Mahendra-महेन्द्र-Ra (25.35)</v>
      </c>
      <c r="C380" s="36" t="s">
        <v>13</v>
      </c>
      <c r="D380" s="36"/>
      <c r="E380" s="36"/>
      <c r="F380" s="36"/>
      <c r="G380" s="48"/>
    </row>
    <row r="381" spans="1:7" s="28" customFormat="1" ht="19.5" x14ac:dyDescent="0.3">
      <c r="A381" s="63" t="str">
        <f ca="1">VLOOKUP(A371,Panchanga!$A$3:$Y$463,18,TRUE)</f>
        <v>10Ma,2Me,-7Ju,3Ve,-9Sa,4Ra</v>
      </c>
      <c r="B381" s="64" t="str">
        <f ca="1">VLOOKUP(B371,Panchanga!$A$3:$Y$463,18,TRUE)</f>
        <v>10Ma,2Me,-7Ju,3Ve,-9Sa,4Ra</v>
      </c>
      <c r="C381" s="64"/>
      <c r="D381" s="64"/>
      <c r="E381" s="64"/>
      <c r="F381" s="64"/>
      <c r="G381" s="65"/>
    </row>
    <row r="382" spans="1:7" ht="24" thickBot="1" x14ac:dyDescent="0.4"/>
    <row r="383" spans="1:7" x14ac:dyDescent="0.35">
      <c r="A383" s="23" t="s">
        <v>26</v>
      </c>
      <c r="B383" s="21">
        <f>Lat</f>
        <v>13.5</v>
      </c>
      <c r="C383" s="23" t="s">
        <v>1</v>
      </c>
      <c r="D383" s="21">
        <f>Long</f>
        <v>80.23</v>
      </c>
      <c r="E383" s="23" t="s">
        <v>4</v>
      </c>
      <c r="F383" s="22">
        <f>TimeZone</f>
        <v>5.5</v>
      </c>
    </row>
    <row r="386" spans="1:7" s="51" customFormat="1" ht="38.25" thickBot="1" x14ac:dyDescent="0.55000000000000004">
      <c r="A386" s="68">
        <f ca="1">DATE(YEAR(A309),MONTH(A309)+1,1)</f>
        <v>43252</v>
      </c>
      <c r="B386" s="69"/>
      <c r="C386" s="69"/>
      <c r="D386" s="69"/>
      <c r="E386" s="69"/>
      <c r="F386" s="69"/>
      <c r="G386" s="69"/>
    </row>
    <row r="387" spans="1:7" s="56" customFormat="1" ht="35.25" thickBot="1" x14ac:dyDescent="0.5">
      <c r="A387" s="57">
        <v>1</v>
      </c>
      <c r="B387" s="58">
        <v>2</v>
      </c>
      <c r="C387" s="58">
        <v>3</v>
      </c>
      <c r="D387" s="58">
        <v>4</v>
      </c>
      <c r="E387" s="58">
        <v>5</v>
      </c>
      <c r="F387" s="58">
        <v>6</v>
      </c>
      <c r="G387" s="59">
        <v>7</v>
      </c>
    </row>
    <row r="388" spans="1:7" s="51" customFormat="1" ht="37.5" x14ac:dyDescent="0.5">
      <c r="A388" s="52">
        <f ca="1">DATE(YEAR(A386),MONTH(A386),1)-WEEKDAY(A386)+1</f>
        <v>43247</v>
      </c>
      <c r="B388" s="53">
        <f t="shared" ref="B388:G388" ca="1" si="25">A388+1</f>
        <v>43248</v>
      </c>
      <c r="C388" s="53">
        <f t="shared" ca="1" si="25"/>
        <v>43249</v>
      </c>
      <c r="D388" s="53">
        <f t="shared" ca="1" si="25"/>
        <v>43250</v>
      </c>
      <c r="E388" s="53">
        <f t="shared" ca="1" si="25"/>
        <v>43251</v>
      </c>
      <c r="F388" s="53">
        <f t="shared" ca="1" si="25"/>
        <v>43252</v>
      </c>
      <c r="G388" s="54">
        <f t="shared" ca="1" si="25"/>
        <v>43253</v>
      </c>
    </row>
    <row r="389" spans="1:7" s="28" customFormat="1" ht="19.5" x14ac:dyDescent="0.3">
      <c r="A389" s="37">
        <f ca="1">VLOOKUP(A388,Panchanga!$A$3:$Y$463,3,TRUE)</f>
        <v>43247.237857864857</v>
      </c>
      <c r="B389" s="27">
        <f ca="1">VLOOKUP(B388,Panchanga!$A$3:$Y$463,3,TRUE)</f>
        <v>43248.237807955746</v>
      </c>
      <c r="C389" s="27">
        <f ca="1">VLOOKUP(C388,Panchanga!$A$3:$Y$463,3,TRUE)</f>
        <v>43249.237767901424</v>
      </c>
      <c r="D389" s="27">
        <f ca="1">VLOOKUP(D388,Panchanga!$A$3:$Y$463,3,TRUE)</f>
        <v>43250.237737701893</v>
      </c>
      <c r="E389" s="27">
        <f ca="1">VLOOKUP(E388,Panchanga!$A$3:$Y$463,3,TRUE)</f>
        <v>43251.237717197895</v>
      </c>
      <c r="F389" s="27">
        <f ca="1">VLOOKUP(F388,Panchanga!$A$3:$Y$463,3,TRUE)</f>
        <v>43252.237706389431</v>
      </c>
      <c r="G389" s="44">
        <f ca="1">VLOOKUP(G388,Panchanga!$A$3:$Y$463,3,TRUE)</f>
        <v>43253.237705118176</v>
      </c>
    </row>
    <row r="390" spans="1:7" s="28" customFormat="1" ht="19.5" x14ac:dyDescent="0.3">
      <c r="A390" s="37">
        <f ca="1">VLOOKUP(A388,Panchanga!$A$3:$Y$463,4,TRUE)</f>
        <v>43246.771368642847</v>
      </c>
      <c r="B390" s="27">
        <f ca="1">VLOOKUP(B388,Panchanga!$A$3:$Y$463,4,TRUE)</f>
        <v>43247.771580040499</v>
      </c>
      <c r="C390" s="27">
        <f ca="1">VLOOKUP(C388,Panchanga!$A$3:$Y$463,4,TRUE)</f>
        <v>43248.771792233034</v>
      </c>
      <c r="D390" s="27">
        <f ca="1">VLOOKUP(D388,Panchanga!$A$3:$Y$463,4,TRUE)</f>
        <v>43249.772004902406</v>
      </c>
      <c r="E390" s="27">
        <f ca="1">VLOOKUP(E388,Panchanga!$A$3:$Y$463,4,TRUE)</f>
        <v>43250.772218048616</v>
      </c>
      <c r="F390" s="27">
        <f ca="1">VLOOKUP(F388,Panchanga!$A$3:$Y$463,4,TRUE)</f>
        <v>43251.772431512873</v>
      </c>
      <c r="G390" s="44">
        <f ca="1">VLOOKUP(G388,Panchanga!$A$3:$Y$463,4,TRUE)</f>
        <v>43252.772644817873</v>
      </c>
    </row>
    <row r="391" spans="1:7" s="28" customFormat="1" ht="19.5" x14ac:dyDescent="0.3">
      <c r="A391" s="38">
        <f ca="1">VLOOKUP(A388,Panchanga!$A$3:$Y$463,6,TRUE)</f>
        <v>41.574723056359097</v>
      </c>
      <c r="B391" s="30">
        <f ca="1">VLOOKUP(B388,Panchanga!$A$3:$Y$463,6,TRUE)</f>
        <v>42.534282844039673</v>
      </c>
      <c r="C391" s="30">
        <f ca="1">VLOOKUP(C388,Panchanga!$A$3:$Y$463,6,TRUE)</f>
        <v>43.49350365088096</v>
      </c>
      <c r="D391" s="30">
        <f ca="1">VLOOKUP(D388,Panchanga!$A$3:$Y$463,6,TRUE)</f>
        <v>44.452408190699813</v>
      </c>
      <c r="E391" s="30">
        <f ca="1">VLOOKUP(E388,Panchanga!$A$3:$Y$463,6,TRUE)</f>
        <v>45.41101881721935</v>
      </c>
      <c r="F391" s="30">
        <f ca="1">VLOOKUP(F388,Panchanga!$A$3:$Y$463,6,TRUE)</f>
        <v>46.36935726678994</v>
      </c>
      <c r="G391" s="45">
        <f ca="1">VLOOKUP(G388,Panchanga!$A$3:$Y$463,6,TRUE)</f>
        <v>47.327443943077455</v>
      </c>
    </row>
    <row r="392" spans="1:7" s="28" customFormat="1" ht="19.5" x14ac:dyDescent="0.3">
      <c r="A392" s="38">
        <f ca="1">VLOOKUP(A388,Panchanga!$A$3:$Y$463,7,TRUE)</f>
        <v>191.54713759366032</v>
      </c>
      <c r="B392" s="30">
        <f ca="1">VLOOKUP(B388,Panchanga!$A$3:$Y$463,7,TRUE)</f>
        <v>204.26469670674726</v>
      </c>
      <c r="C392" s="30">
        <f ca="1">VLOOKUP(C388,Panchanga!$A$3:$Y$463,7,TRUE)</f>
        <v>216.78465349615357</v>
      </c>
      <c r="D392" s="30">
        <f ca="1">VLOOKUP(D388,Panchanga!$A$3:$Y$463,7,TRUE)</f>
        <v>229.11239442923207</v>
      </c>
      <c r="E392" s="30">
        <f ca="1">VLOOKUP(E388,Panchanga!$A$3:$Y$463,7,TRUE)</f>
        <v>241.26047291001566</v>
      </c>
      <c r="F392" s="30">
        <f ca="1">VLOOKUP(F388,Panchanga!$A$3:$Y$463,7,TRUE)</f>
        <v>253.25205358471732</v>
      </c>
      <c r="G392" s="45">
        <f ca="1">VLOOKUP(G388,Panchanga!$A$3:$Y$463,7,TRUE)</f>
        <v>265.1231256658628</v>
      </c>
    </row>
    <row r="393" spans="1:7" s="28" customFormat="1" ht="19.5" x14ac:dyDescent="0.3">
      <c r="A393" s="39" t="str">
        <f ca="1">VLOOKUP(A388,Panchanga!$A$3:$Y$463,9,TRUE) &amp; " "&amp;ROUND(A392/13.333,2)</f>
        <v>Swati 14.37</v>
      </c>
      <c r="B393" s="32" t="str">
        <f ca="1">VLOOKUP(B388,Panchanga!$A$3:$Y$463,9,TRUE) &amp; " "&amp;ROUND(B392/13.333,2)</f>
        <v>Visakha 15.32</v>
      </c>
      <c r="C393" s="32" t="str">
        <f ca="1">VLOOKUP(C388,Panchanga!$A$3:$Y$463,9,TRUE) &amp; " "&amp;ROUND(C392/13.333,2)</f>
        <v>Anuradha 16.26</v>
      </c>
      <c r="D393" s="32" t="str">
        <f ca="1">VLOOKUP(D388,Panchanga!$A$3:$Y$463,9,TRUE) &amp; " "&amp;ROUND(D392/13.333,2)</f>
        <v>Jyestha 17.18</v>
      </c>
      <c r="E393" s="32" t="str">
        <f ca="1">VLOOKUP(E388,Panchanga!$A$3:$Y$463,9,TRUE) &amp; " "&amp;ROUND(E392/13.333,2)</f>
        <v>Moola 18.09</v>
      </c>
      <c r="F393" s="32" t="str">
        <f ca="1">VLOOKUP(F388,Panchanga!$A$3:$Y$463,9,TRUE) &amp; " "&amp;ROUND(F392/13.333,2)</f>
        <v>Moola 18.99</v>
      </c>
      <c r="G393" s="46" t="str">
        <f ca="1">VLOOKUP(G388,Panchanga!$A$3:$Y$463,9,TRUE) &amp; " "&amp;ROUND(G392/13.333,2)</f>
        <v>Purva Asadha 19.88</v>
      </c>
    </row>
    <row r="394" spans="1:7" s="28" customFormat="1" ht="19.5" x14ac:dyDescent="0.3">
      <c r="A394" s="40">
        <f ca="1">VLOOKUP(A388,Panchanga!$A$3:$Y$463,10,TRUE)</f>
        <v>43247.902485444436</v>
      </c>
      <c r="B394" s="34">
        <f ca="1">VLOOKUP(B388,Panchanga!$A$3:$Y$463,10,TRUE)</f>
        <v>43248.962113441863</v>
      </c>
      <c r="C394" s="34">
        <f ca="1">VLOOKUP(C388,Panchanga!$A$3:$Y$463,10,TRUE)</f>
        <v>43250.039351483683</v>
      </c>
      <c r="D394" s="34">
        <f ca="1">VLOOKUP(D388,Panchanga!$A$3:$Y$463,10,TRUE)</f>
        <v>43251.133960289568</v>
      </c>
      <c r="E394" s="34">
        <f ca="1">VLOOKUP(E388,Panchanga!$A$3:$Y$463,10,TRUE)</f>
        <v>43252.244484384115</v>
      </c>
      <c r="F394" s="34">
        <f ca="1">VLOOKUP(F388,Panchanga!$A$3:$Y$463,10,TRUE)</f>
        <v>43252.244553255892</v>
      </c>
      <c r="G394" s="47">
        <f ca="1">VLOOKUP(G388,Panchanga!$A$3:$Y$463,10,TRUE)</f>
        <v>43253.368513546426</v>
      </c>
    </row>
    <row r="395" spans="1:7" s="28" customFormat="1" ht="19.5" x14ac:dyDescent="0.3">
      <c r="A395" s="38" t="str">
        <f ca="1">VLOOKUP(A388,Panchanga!$A$3:$Y$463,11,TRUE)</f>
        <v>S13 (12.5)</v>
      </c>
      <c r="B395" s="30" t="str">
        <f ca="1">VLOOKUP(B388,Panchanga!$A$3:$Y$463,11,TRUE)</f>
        <v>S14 (13.48)</v>
      </c>
      <c r="C395" s="30" t="str">
        <f ca="1">VLOOKUP(C388,Panchanga!$A$3:$Y$463,11,TRUE)</f>
        <v>S15 (14.44)</v>
      </c>
      <c r="D395" s="30" t="str">
        <f ca="1">VLOOKUP(D388,Panchanga!$A$3:$Y$463,11,TRUE)</f>
        <v>K1 (15.39)</v>
      </c>
      <c r="E395" s="30" t="str">
        <f ca="1">VLOOKUP(E388,Panchanga!$A$3:$Y$463,11,TRUE)</f>
        <v>K2 (16.32)</v>
      </c>
      <c r="F395" s="30" t="str">
        <f ca="1">VLOOKUP(F388,Panchanga!$A$3:$Y$463,11,TRUE)</f>
        <v>K3 (17.24)</v>
      </c>
      <c r="G395" s="45" t="str">
        <f ca="1">VLOOKUP(G388,Panchanga!$A$3:$Y$463,11,TRUE)</f>
        <v>K4 (18.15)</v>
      </c>
    </row>
    <row r="396" spans="1:7" s="28" customFormat="1" ht="19.5" x14ac:dyDescent="0.3">
      <c r="A396" s="41" t="str">
        <f ca="1">VLOOKUP(A388,Panchanga!$A$3:$Y$463,13,TRUE)</f>
        <v>Kaulava</v>
      </c>
      <c r="B396" s="36" t="str">
        <f ca="1">VLOOKUP(B388,Panchanga!$A$3:$Y$463,13,TRUE)</f>
        <v>Garija</v>
      </c>
      <c r="C396" s="36" t="str">
        <f ca="1">VLOOKUP(C388,Panchanga!$A$3:$Y$463,13,TRUE)</f>
        <v>Vishti</v>
      </c>
      <c r="D396" s="36" t="str">
        <f ca="1">VLOOKUP(D388,Panchanga!$A$3:$Y$463,13,TRUE)</f>
        <v>Baalava</v>
      </c>
      <c r="E396" s="36" t="str">
        <f ca="1">VLOOKUP(E388,Panchanga!$A$3:$Y$463,13,TRUE)</f>
        <v>Taitula</v>
      </c>
      <c r="F396" s="36" t="str">
        <f ca="1">VLOOKUP(F388,Panchanga!$A$3:$Y$463,13,TRUE)</f>
        <v>Vanija</v>
      </c>
      <c r="G396" s="48" t="str">
        <f ca="1">VLOOKUP(G388,Panchanga!$A$3:$Y$463,13,TRUE)</f>
        <v>Bhava</v>
      </c>
    </row>
    <row r="397" spans="1:7" s="28" customFormat="1" ht="19.5" x14ac:dyDescent="0.3">
      <c r="A397" s="41" t="str">
        <f ca="1">VLOOKUP(A388,Panchanga!$A$3:$Y$463,14,TRUE)</f>
        <v>Varigha-वरीयस्-Ju (17.49)</v>
      </c>
      <c r="B397" s="36" t="str">
        <f ca="1">VLOOKUP(B388,Panchanga!$A$3:$Y$463,14,TRUE)</f>
        <v>Parigha-परिघ-Sa (18.51)</v>
      </c>
      <c r="C397" s="36" t="str">
        <f ca="1">VLOOKUP(C388,Panchanga!$A$3:$Y$463,14,TRUE)</f>
        <v>Shiva-शिव-Me (19.53)</v>
      </c>
      <c r="D397" s="36" t="str">
        <f ca="1">VLOOKUP(D388,Panchanga!$A$3:$Y$463,14,TRUE)</f>
        <v>Siddha-सिद्ध-Ke (20.52)</v>
      </c>
      <c r="E397" s="36" t="str">
        <f ca="1">VLOOKUP(E388,Panchanga!$A$3:$Y$463,14,TRUE)</f>
        <v>Sadhya-साध्य-Ve (21.51)</v>
      </c>
      <c r="F397" s="36" t="str">
        <f ca="1">VLOOKUP(F388,Panchanga!$A$3:$Y$463,14,TRUE)</f>
        <v>Shubha-शुभ-Su (22.48)</v>
      </c>
      <c r="G397" s="48" t="str">
        <f ca="1">VLOOKUP(G388,Panchanga!$A$3:$Y$463,14,TRUE)</f>
        <v>Shukla-शुक्ल-Mo (23.44)</v>
      </c>
    </row>
    <row r="398" spans="1:7" s="28" customFormat="1" ht="19.5" x14ac:dyDescent="0.3">
      <c r="A398" s="63" t="str">
        <f ca="1">VLOOKUP(A388,Panchanga!$A$3:$Y$463,18,TRUE)</f>
        <v>10Ma,1Me,-7Ju,3Ve,-9Sa,4Ra</v>
      </c>
      <c r="B398" s="64" t="str">
        <f ca="1">VLOOKUP(B388,Panchanga!$A$3:$Y$463,18,TRUE)</f>
        <v>10Ma,2Me,-7Ju,3Ve,-9Sa,4Ra</v>
      </c>
      <c r="C398" s="64" t="str">
        <f ca="1">VLOOKUP(C388,Panchanga!$A$3:$Y$463,18,TRUE)</f>
        <v>10Ma,2Me,-7Ju,3Ve,-9Sa,4Ra</v>
      </c>
      <c r="D398" s="64" t="str">
        <f ca="1">VLOOKUP(D388,Panchanga!$A$3:$Y$463,18,TRUE)</f>
        <v>10Ma,2Me,-7Ju,3Ve,-9Sa,4Ra</v>
      </c>
      <c r="E398" s="64" t="str">
        <f ca="1">VLOOKUP(E388,Panchanga!$A$3:$Y$463,18,TRUE)</f>
        <v>10Ma,2Me,-7Ju,3Ve,-9Sa,4Ra</v>
      </c>
      <c r="F398" s="64" t="str">
        <f ca="1">VLOOKUP(F388,Panchanga!$A$3:$Y$463,18,TRUE)</f>
        <v>10Ma,2Me,-7Ju,3Ve,-9Sa,4Ra</v>
      </c>
      <c r="G398" s="65" t="str">
        <f ca="1">VLOOKUP(G388,Panchanga!$A$3:$Y$463,18,TRUE)</f>
        <v>10Ma,2Me,-7Ju,3Ve,-9Sa,4Ra</v>
      </c>
    </row>
    <row r="399" spans="1:7" ht="5.85" customHeight="1" thickBot="1" x14ac:dyDescent="0.4">
      <c r="A399" s="42"/>
      <c r="B399" s="16"/>
      <c r="C399" s="16"/>
      <c r="D399" s="16"/>
      <c r="E399" s="16"/>
      <c r="F399" s="16"/>
      <c r="G399" s="49"/>
    </row>
    <row r="400" spans="1:7" s="51" customFormat="1" ht="37.5" x14ac:dyDescent="0.5">
      <c r="A400" s="52">
        <f ca="1">G388+1</f>
        <v>43254</v>
      </c>
      <c r="B400" s="53">
        <f t="shared" ref="B400:G400" ca="1" si="26">A400+1</f>
        <v>43255</v>
      </c>
      <c r="C400" s="53">
        <f t="shared" ca="1" si="26"/>
        <v>43256</v>
      </c>
      <c r="D400" s="53">
        <f t="shared" ca="1" si="26"/>
        <v>43257</v>
      </c>
      <c r="E400" s="53">
        <f t="shared" ca="1" si="26"/>
        <v>43258</v>
      </c>
      <c r="F400" s="53">
        <f t="shared" ca="1" si="26"/>
        <v>43259</v>
      </c>
      <c r="G400" s="54">
        <f t="shared" ca="1" si="26"/>
        <v>43260</v>
      </c>
    </row>
    <row r="401" spans="1:7" s="28" customFormat="1" ht="19.5" x14ac:dyDescent="0.3">
      <c r="A401" s="37">
        <f ca="1">VLOOKUP(A400,Panchanga!$A$3:$Y$463,3,TRUE)</f>
        <v>43254.237713383198</v>
      </c>
      <c r="B401" s="27">
        <f ca="1">VLOOKUP(B400,Panchanga!$A$3:$Y$463,3,TRUE)</f>
        <v>43255.237731026173</v>
      </c>
      <c r="C401" s="27">
        <f ca="1">VLOOKUP(C400,Panchanga!$A$3:$Y$463,3,TRUE)</f>
        <v>43256.2377580471</v>
      </c>
      <c r="D401" s="27">
        <f ca="1">VLOOKUP(D400,Panchanga!$A$3:$Y$463,3,TRUE)</f>
        <v>43257.237794127468</v>
      </c>
      <c r="E401" s="27">
        <f ca="1">VLOOKUP(E400,Panchanga!$A$3:$Y$463,3,TRUE)</f>
        <v>43258.237839268208</v>
      </c>
      <c r="F401" s="27">
        <f ca="1">VLOOKUP(F400,Panchanga!$A$3:$Y$463,3,TRUE)</f>
        <v>43259.237893150806</v>
      </c>
      <c r="G401" s="44">
        <f ca="1">VLOOKUP(G400,Panchanga!$A$3:$Y$463,3,TRUE)</f>
        <v>43260.237955775265</v>
      </c>
    </row>
    <row r="402" spans="1:7" s="28" customFormat="1" ht="19.5" x14ac:dyDescent="0.3">
      <c r="A402" s="37">
        <f ca="1">VLOOKUP(A400,Panchanga!$A$3:$Y$463,4,TRUE)</f>
        <v>43253.772857805292</v>
      </c>
      <c r="B402" s="27">
        <f ca="1">VLOOKUP(B400,Panchanga!$A$3:$Y$463,4,TRUE)</f>
        <v>43254.773070315874</v>
      </c>
      <c r="C402" s="27">
        <f ca="1">VLOOKUP(C400,Panchanga!$A$3:$Y$463,4,TRUE)</f>
        <v>43255.773282190363</v>
      </c>
      <c r="D402" s="27">
        <f ca="1">VLOOKUP(D400,Panchanga!$A$3:$Y$463,4,TRUE)</f>
        <v>43256.773493111177</v>
      </c>
      <c r="E402" s="27">
        <f ca="1">VLOOKUP(E400,Panchanga!$A$3:$Y$463,4,TRUE)</f>
        <v>43257.773702601946</v>
      </c>
      <c r="F402" s="27">
        <f ca="1">VLOOKUP(F400,Panchanga!$A$3:$Y$463,4,TRUE)</f>
        <v>43258.773910820528</v>
      </c>
      <c r="G402" s="44">
        <f ca="1">VLOOKUP(G400,Panchanga!$A$3:$Y$463,4,TRUE)</f>
        <v>43259.774117132227</v>
      </c>
    </row>
    <row r="403" spans="1:7" s="28" customFormat="1" ht="19.5" x14ac:dyDescent="0.3">
      <c r="A403" s="38">
        <f ca="1">VLOOKUP(A400,Panchanga!$A$3:$Y$463,6,TRUE)</f>
        <v>48.285298001795084</v>
      </c>
      <c r="B403" s="30">
        <f ca="1">VLOOKUP(B400,Panchanga!$A$3:$Y$463,6,TRUE)</f>
        <v>49.24293697701723</v>
      </c>
      <c r="C403" s="30">
        <f ca="1">VLOOKUP(C400,Panchanga!$A$3:$Y$463,6,TRUE)</f>
        <v>50.20037705278618</v>
      </c>
      <c r="D403" s="30">
        <f ca="1">VLOOKUP(D400,Panchanga!$A$3:$Y$463,6,TRUE)</f>
        <v>51.15763250827888</v>
      </c>
      <c r="E403" s="30">
        <f ca="1">VLOOKUP(E400,Panchanga!$A$3:$Y$463,6,TRUE)</f>
        <v>52.11471610022798</v>
      </c>
      <c r="F403" s="30">
        <f ca="1">VLOOKUP(F400,Panchanga!$A$3:$Y$463,6,TRUE)</f>
        <v>53.071638086837702</v>
      </c>
      <c r="G403" s="45">
        <f ca="1">VLOOKUP(G400,Panchanga!$A$3:$Y$463,6,TRUE)</f>
        <v>54.028406364813499</v>
      </c>
    </row>
    <row r="404" spans="1:7" s="28" customFormat="1" ht="19.5" x14ac:dyDescent="0.3">
      <c r="A404" s="38">
        <f ca="1">VLOOKUP(A400,Panchanga!$A$3:$Y$463,7,TRUE)</f>
        <v>276.92323502340633</v>
      </c>
      <c r="B404" s="30">
        <f ca="1">VLOOKUP(B400,Panchanga!$A$3:$Y$463,7,TRUE)</f>
        <v>288.71482593889823</v>
      </c>
      <c r="C404" s="30">
        <f ca="1">VLOOKUP(C400,Panchanga!$A$3:$Y$463,7,TRUE)</f>
        <v>300.5714966888246</v>
      </c>
      <c r="D404" s="30">
        <f ca="1">VLOOKUP(D400,Panchanga!$A$3:$Y$463,7,TRUE)</f>
        <v>312.57520071933908</v>
      </c>
      <c r="E404" s="30">
        <f ca="1">VLOOKUP(E400,Panchanga!$A$3:$Y$463,7,TRUE)</f>
        <v>324.8120543859369</v>
      </c>
      <c r="F404" s="30">
        <f ca="1">VLOOKUP(F400,Panchanga!$A$3:$Y$463,7,TRUE)</f>
        <v>337.36622062823858</v>
      </c>
      <c r="G404" s="45">
        <f ca="1">VLOOKUP(G400,Panchanga!$A$3:$Y$463,7,TRUE)</f>
        <v>350.31159348489297</v>
      </c>
    </row>
    <row r="405" spans="1:7" s="28" customFormat="1" ht="19.5" x14ac:dyDescent="0.3">
      <c r="A405" s="39" t="str">
        <f ca="1">VLOOKUP(A400,Panchanga!$A$3:$Y$463,9,TRUE) &amp; " "&amp;ROUND(A404/13.333,2)</f>
        <v>Uttara Asadha 20.77</v>
      </c>
      <c r="B405" s="32" t="str">
        <f ca="1">VLOOKUP(B400,Panchanga!$A$3:$Y$463,9,TRUE) &amp; " "&amp;ROUND(B404/13.333,2)</f>
        <v>Sravana 21.65</v>
      </c>
      <c r="C405" s="32" t="str">
        <f ca="1">VLOOKUP(C400,Panchanga!$A$3:$Y$463,9,TRUE) &amp; " "&amp;ROUND(C404/13.333,2)</f>
        <v>Dhanistha 22.54</v>
      </c>
      <c r="D405" s="32" t="str">
        <f ca="1">VLOOKUP(D400,Panchanga!$A$3:$Y$463,9,TRUE) &amp; " "&amp;ROUND(D404/13.333,2)</f>
        <v>Satabhisaj 23.44</v>
      </c>
      <c r="E405" s="32" t="str">
        <f ca="1">VLOOKUP(E400,Panchanga!$A$3:$Y$463,9,TRUE) &amp; " "&amp;ROUND(E404/13.333,2)</f>
        <v>Purva Bhadrapada 24.36</v>
      </c>
      <c r="F405" s="32" t="str">
        <f ca="1">VLOOKUP(F400,Panchanga!$A$3:$Y$463,9,TRUE) &amp; " "&amp;ROUND(F404/13.333,2)</f>
        <v>Uttara Bhadrapada 25.3</v>
      </c>
      <c r="G405" s="46" t="str">
        <f ca="1">VLOOKUP(G400,Panchanga!$A$3:$Y$463,9,TRUE) &amp; " "&amp;ROUND(G404/13.333,2)</f>
        <v>Revati 26.27</v>
      </c>
    </row>
    <row r="406" spans="1:7" s="28" customFormat="1" ht="19.5" x14ac:dyDescent="0.3">
      <c r="A406" s="40">
        <f ca="1">VLOOKUP(A400,Panchanga!$A$3:$Y$463,10,TRUE)</f>
        <v>43254.498646728149</v>
      </c>
      <c r="B406" s="34">
        <f ca="1">VLOOKUP(B400,Panchanga!$A$3:$Y$463,10,TRUE)</f>
        <v>43255.627269732962</v>
      </c>
      <c r="C406" s="34">
        <f ca="1">VLOOKUP(C400,Panchanga!$A$3:$Y$463,10,TRUE)</f>
        <v>43256.745550465035</v>
      </c>
      <c r="D406" s="34">
        <f ca="1">VLOOKUP(D400,Panchanga!$A$3:$Y$463,10,TRUE)</f>
        <v>43257.844578734352</v>
      </c>
      <c r="E406" s="34">
        <f ca="1">VLOOKUP(E400,Panchanga!$A$3:$Y$463,10,TRUE)</f>
        <v>43258.916636882605</v>
      </c>
      <c r="F406" s="34">
        <f ca="1">VLOOKUP(F400,Panchanga!$A$3:$Y$463,10,TRUE)</f>
        <v>43259.956376007714</v>
      </c>
      <c r="G406" s="47">
        <f ca="1">VLOOKUP(G400,Panchanga!$A$3:$Y$463,10,TRUE)</f>
        <v>43260.210001911262</v>
      </c>
    </row>
    <row r="407" spans="1:7" s="28" customFormat="1" ht="19.5" x14ac:dyDescent="0.3">
      <c r="A407" s="38" t="str">
        <f ca="1">VLOOKUP(A400,Panchanga!$A$3:$Y$463,11,TRUE)</f>
        <v>K5 (19.05)</v>
      </c>
      <c r="B407" s="30" t="str">
        <f ca="1">VLOOKUP(B400,Panchanga!$A$3:$Y$463,11,TRUE)</f>
        <v>K5 (19.96)</v>
      </c>
      <c r="C407" s="30" t="str">
        <f ca="1">VLOOKUP(C400,Panchanga!$A$3:$Y$463,11,TRUE)</f>
        <v>K6 (20.86)</v>
      </c>
      <c r="D407" s="30" t="str">
        <f ca="1">VLOOKUP(D400,Panchanga!$A$3:$Y$463,11,TRUE)</f>
        <v>K7 (21.78)</v>
      </c>
      <c r="E407" s="30" t="str">
        <f ca="1">VLOOKUP(E400,Panchanga!$A$3:$Y$463,11,TRUE)</f>
        <v>K8 (22.72)</v>
      </c>
      <c r="F407" s="30" t="str">
        <f ca="1">VLOOKUP(F400,Panchanga!$A$3:$Y$463,11,TRUE)</f>
        <v>K9 (23.69)</v>
      </c>
      <c r="G407" s="45" t="str">
        <f ca="1">VLOOKUP(G400,Panchanga!$A$3:$Y$463,11,TRUE)</f>
        <v>K10 (24.69)</v>
      </c>
    </row>
    <row r="408" spans="1:7" s="28" customFormat="1" ht="19.5" x14ac:dyDescent="0.3">
      <c r="A408" s="41" t="str">
        <f ca="1">VLOOKUP(A400,Panchanga!$A$3:$Y$463,13,TRUE)</f>
        <v>Kaulava</v>
      </c>
      <c r="B408" s="36" t="str">
        <f ca="1">VLOOKUP(B400,Panchanga!$A$3:$Y$463,13,TRUE)</f>
        <v>Taitula</v>
      </c>
      <c r="C408" s="36" t="str">
        <f ca="1">VLOOKUP(C400,Panchanga!$A$3:$Y$463,13,TRUE)</f>
        <v>Vanija</v>
      </c>
      <c r="D408" s="36" t="str">
        <f ca="1">VLOOKUP(D400,Panchanga!$A$3:$Y$463,13,TRUE)</f>
        <v>Bhava</v>
      </c>
      <c r="E408" s="36" t="str">
        <f ca="1">VLOOKUP(E400,Panchanga!$A$3:$Y$463,13,TRUE)</f>
        <v>Kaulava</v>
      </c>
      <c r="F408" s="36" t="str">
        <f ca="1">VLOOKUP(F400,Panchanga!$A$3:$Y$463,13,TRUE)</f>
        <v>Garija</v>
      </c>
      <c r="G408" s="48" t="str">
        <f ca="1">VLOOKUP(G400,Panchanga!$A$3:$Y$463,13,TRUE)</f>
        <v>Vishti</v>
      </c>
    </row>
    <row r="409" spans="1:7" s="28" customFormat="1" ht="19.5" x14ac:dyDescent="0.3">
      <c r="A409" s="41" t="str">
        <f ca="1">VLOOKUP(A400,Panchanga!$A$3:$Y$463,14,TRUE)</f>
        <v>Brahma-ब्रह्म-Ma (24.4)</v>
      </c>
      <c r="B409" s="36" t="str">
        <f ca="1">VLOOKUP(B400,Panchanga!$A$3:$Y$463,14,TRUE)</f>
        <v>Mahendra-महेन्द्र-Ra (25.35)</v>
      </c>
      <c r="C409" s="36" t="str">
        <f ca="1">VLOOKUP(C400,Panchanga!$A$3:$Y$463,14,TRUE)</f>
        <v>Vaidhriti-वैधृति-Ke (26.31)</v>
      </c>
      <c r="D409" s="36" t="str">
        <f ca="1">VLOOKUP(D400,Panchanga!$A$3:$Y$463,14,TRUE)</f>
        <v>Vishkambha-विष्कम्भ-Sa (0.28)</v>
      </c>
      <c r="E409" s="36" t="str">
        <f ca="1">VLOOKUP(E400,Panchanga!$A$3:$Y$463,14,TRUE)</f>
        <v>Priti-प्रीति-Me (1.27)</v>
      </c>
      <c r="F409" s="36" t="str">
        <f ca="1">VLOOKUP(F400,Panchanga!$A$3:$Y$463,14,TRUE)</f>
        <v>Ayushman-आयुष्मान-Ke (2.29)</v>
      </c>
      <c r="G409" s="48" t="str">
        <f ca="1">VLOOKUP(G400,Panchanga!$A$3:$Y$463,14,TRUE)</f>
        <v>Saubhagya-सौभाग्य-Ve (3.33)</v>
      </c>
    </row>
    <row r="410" spans="1:7" s="28" customFormat="1" ht="19.5" x14ac:dyDescent="0.3">
      <c r="A410" s="63" t="str">
        <f ca="1">VLOOKUP(A400,Panchanga!$A$3:$Y$463,18,TRUE)</f>
        <v>10Ma,2Me,-7Ju,3Ve,-9Sa,4Ra</v>
      </c>
      <c r="B410" s="64" t="str">
        <f ca="1">VLOOKUP(B400,Panchanga!$A$3:$Y$463,18,TRUE)</f>
        <v>10Ma,2Me,-7Ju,3Ve,-9Sa,4Ra</v>
      </c>
      <c r="C410" s="64" t="str">
        <f ca="1">VLOOKUP(C400,Panchanga!$A$3:$Y$463,18,TRUE)</f>
        <v>10Ma,2Me,-7Ju,3Ve,-9Sa,4Ra</v>
      </c>
      <c r="D410" s="64" t="str">
        <f ca="1">VLOOKUP(D400,Panchanga!$A$3:$Y$463,18,TRUE)</f>
        <v>10Ma,2Me,-7Ju,3Ve,-9Sa,4Ra</v>
      </c>
      <c r="E410" s="64" t="str">
        <f ca="1">VLOOKUP(E400,Panchanga!$A$3:$Y$463,18,TRUE)</f>
        <v>10Ma,2Me,-7Ju,3Ve,-9Sa,4Ra</v>
      </c>
      <c r="F410" s="64" t="str">
        <f ca="1">VLOOKUP(F400,Panchanga!$A$3:$Y$463,18,TRUE)</f>
        <v>10Ma,2Me,-7Ju,3Ve,-9Sa,4Ra</v>
      </c>
      <c r="G410" s="65" t="str">
        <f ca="1">VLOOKUP(G400,Panchanga!$A$3:$Y$463,18,TRUE)</f>
        <v>10Ma,2Me,-7Ju,4Ve,-9Sa,4Ra</v>
      </c>
    </row>
    <row r="411" spans="1:7" ht="5.85" customHeight="1" thickBot="1" x14ac:dyDescent="0.4">
      <c r="A411" s="42"/>
      <c r="B411" s="16"/>
      <c r="C411" s="16"/>
      <c r="D411" s="16"/>
      <c r="E411" s="16"/>
      <c r="F411" s="16"/>
      <c r="G411" s="49"/>
    </row>
    <row r="412" spans="1:7" s="18" customFormat="1" ht="27.75" x14ac:dyDescent="0.4">
      <c r="A412" s="43">
        <f ca="1">G400+1</f>
        <v>43261</v>
      </c>
      <c r="B412" s="19">
        <f t="shared" ref="B412:G412" ca="1" si="27">A412+1</f>
        <v>43262</v>
      </c>
      <c r="C412" s="19">
        <f t="shared" ca="1" si="27"/>
        <v>43263</v>
      </c>
      <c r="D412" s="19">
        <f t="shared" ca="1" si="27"/>
        <v>43264</v>
      </c>
      <c r="E412" s="19">
        <f t="shared" ca="1" si="27"/>
        <v>43265</v>
      </c>
      <c r="F412" s="19">
        <f t="shared" ca="1" si="27"/>
        <v>43266</v>
      </c>
      <c r="G412" s="50">
        <f t="shared" ca="1" si="27"/>
        <v>43267</v>
      </c>
    </row>
    <row r="413" spans="1:7" s="28" customFormat="1" ht="19.5" x14ac:dyDescent="0.3">
      <c r="A413" s="37">
        <f ca="1">VLOOKUP(A412,Panchanga!$A$3:$Y$463,3,TRUE)</f>
        <v>43261.238026983257</v>
      </c>
      <c r="B413" s="27">
        <f ca="1">VLOOKUP(B412,Panchanga!$A$3:$Y$463,3,TRUE)</f>
        <v>43262.238106297016</v>
      </c>
      <c r="C413" s="27">
        <f ca="1">VLOOKUP(C412,Panchanga!$A$3:$Y$463,3,TRUE)</f>
        <v>43263.238193558216</v>
      </c>
      <c r="D413" s="27">
        <f ca="1">VLOOKUP(D412,Panchanga!$A$3:$Y$463,3,TRUE)</f>
        <v>43264.238288607601</v>
      </c>
      <c r="E413" s="27">
        <f ca="1">VLOOKUP(E412,Panchanga!$A$3:$Y$463,3,TRUE)</f>
        <v>43265.23839112759</v>
      </c>
      <c r="F413" s="27">
        <f ca="1">VLOOKUP(F412,Panchanga!$A$3:$Y$463,3,TRUE)</f>
        <v>43266.238500959393</v>
      </c>
      <c r="G413" s="44">
        <f ca="1">VLOOKUP(G412,Panchanga!$A$3:$Y$463,3,TRUE)</f>
        <v>43267.23861746645</v>
      </c>
    </row>
    <row r="414" spans="1:7" s="28" customFormat="1" ht="19.5" x14ac:dyDescent="0.3">
      <c r="A414" s="37">
        <f ca="1">VLOOKUP(A412,Panchanga!$A$3:$Y$463,4,TRUE)</f>
        <v>43260.774321377321</v>
      </c>
      <c r="B414" s="27">
        <f ca="1">VLOOKUP(B412,Panchanga!$A$3:$Y$463,4,TRUE)</f>
        <v>43261.774523238695</v>
      </c>
      <c r="C414" s="27">
        <f ca="1">VLOOKUP(C412,Panchanga!$A$3:$Y$463,4,TRUE)</f>
        <v>43262.774722397371</v>
      </c>
      <c r="D414" s="27">
        <f ca="1">VLOOKUP(D412,Panchanga!$A$3:$Y$463,4,TRUE)</f>
        <v>43263.774918536699</v>
      </c>
      <c r="E414" s="27">
        <f ca="1">VLOOKUP(E412,Panchanga!$A$3:$Y$463,4,TRUE)</f>
        <v>43264.775111337702</v>
      </c>
      <c r="F414" s="27">
        <f ca="1">VLOOKUP(F412,Panchanga!$A$3:$Y$463,4,TRUE)</f>
        <v>43265.775300483263</v>
      </c>
      <c r="G414" s="44">
        <f ca="1">VLOOKUP(G412,Panchanga!$A$3:$Y$463,4,TRUE)</f>
        <v>43266.77548549608</v>
      </c>
    </row>
    <row r="415" spans="1:7" s="28" customFormat="1" ht="19.5" x14ac:dyDescent="0.3">
      <c r="A415" s="38">
        <f ca="1">VLOOKUP(A412,Panchanga!$A$3:$Y$463,6,TRUE)</f>
        <v>54.985025469573671</v>
      </c>
      <c r="B415" s="30">
        <f ca="1">VLOOKUP(B412,Panchanga!$A$3:$Y$463,6,TRUE)</f>
        <v>55.941495875055658</v>
      </c>
      <c r="C415" s="30">
        <f ca="1">VLOOKUP(C412,Panchanga!$A$3:$Y$463,6,TRUE)</f>
        <v>56.897814186292763</v>
      </c>
      <c r="D415" s="30">
        <f ca="1">VLOOKUP(D412,Panchanga!$A$3:$Y$463,6,TRUE)</f>
        <v>57.853972764209558</v>
      </c>
      <c r="E415" s="30">
        <f ca="1">VLOOKUP(E412,Panchanga!$A$3:$Y$463,6,TRUE)</f>
        <v>58.8099601099875</v>
      </c>
      <c r="F415" s="30">
        <f ca="1">VLOOKUP(F412,Panchanga!$A$3:$Y$463,6,TRUE)</f>
        <v>59.765762473601676</v>
      </c>
      <c r="G415" s="45">
        <f ca="1">VLOOKUP(G412,Panchanga!$A$3:$Y$463,6,TRUE)</f>
        <v>60.721365225941462</v>
      </c>
    </row>
    <row r="416" spans="1:7" s="28" customFormat="1" ht="19.5" x14ac:dyDescent="0.3">
      <c r="A416" s="38">
        <f ca="1">VLOOKUP(A412,Panchanga!$A$3:$Y$463,7,TRUE)</f>
        <v>3.7013214222232991</v>
      </c>
      <c r="B416" s="30">
        <f ca="1">VLOOKUP(B412,Panchanga!$A$3:$Y$463,7,TRUE)</f>
        <v>17.556019848202737</v>
      </c>
      <c r="C416" s="30">
        <f ca="1">VLOOKUP(C412,Panchanga!$A$3:$Y$463,7,TRUE)</f>
        <v>31.853073685093012</v>
      </c>
      <c r="D416" s="30">
        <f ca="1">VLOOKUP(D412,Panchanga!$A$3:$Y$463,7,TRUE)</f>
        <v>46.521211102878766</v>
      </c>
      <c r="E416" s="30">
        <f ca="1">VLOOKUP(E412,Panchanga!$A$3:$Y$463,7,TRUE)</f>
        <v>61.444782940543405</v>
      </c>
      <c r="F416" s="30">
        <f ca="1">VLOOKUP(F412,Panchanga!$A$3:$Y$463,7,TRUE)</f>
        <v>76.479266814844763</v>
      </c>
      <c r="G416" s="45">
        <f ca="1">VLOOKUP(G412,Panchanga!$A$3:$Y$463,7,TRUE)</f>
        <v>91.474419456363236</v>
      </c>
    </row>
    <row r="417" spans="1:7" s="28" customFormat="1" ht="19.5" x14ac:dyDescent="0.3">
      <c r="A417" s="39" t="str">
        <f ca="1">VLOOKUP(A412,Panchanga!$A$3:$Y$463,9,TRUE) &amp; " "&amp;ROUND(A416/13.333,2)</f>
        <v>Aswini 0.28</v>
      </c>
      <c r="B417" s="32" t="str">
        <f ca="1">VLOOKUP(B412,Panchanga!$A$3:$Y$463,9,TRUE) &amp; " "&amp;ROUND(B416/13.333,2)</f>
        <v>Bharani 1.32</v>
      </c>
      <c r="C417" s="32" t="str">
        <f ca="1">VLOOKUP(C412,Panchanga!$A$3:$Y$463,9,TRUE) &amp; " "&amp;ROUND(C416/13.333,2)</f>
        <v>Krittika 2.39</v>
      </c>
      <c r="D417" s="32" t="str">
        <f ca="1">VLOOKUP(D412,Panchanga!$A$3:$Y$463,9,TRUE) &amp; " "&amp;ROUND(D416/13.333,2)</f>
        <v>Rohini 3.49</v>
      </c>
      <c r="E417" s="32" t="str">
        <f ca="1">VLOOKUP(E412,Panchanga!$A$3:$Y$463,9,TRUE) &amp; " "&amp;ROUND(E416/13.333,2)</f>
        <v>Mrigashira 4.61</v>
      </c>
      <c r="F417" s="32" t="str">
        <f ca="1">VLOOKUP(F412,Panchanga!$A$3:$Y$463,9,TRUE) &amp; " "&amp;ROUND(F416/13.333,2)</f>
        <v>Ardra 5.74</v>
      </c>
      <c r="G417" s="46" t="str">
        <f ca="1">VLOOKUP(G412,Panchanga!$A$3:$Y$463,9,TRUE) &amp; " "&amp;ROUND(G416/13.333,2)</f>
        <v>Punarvasu 6.86</v>
      </c>
    </row>
    <row r="418" spans="1:7" s="28" customFormat="1" ht="19.5" x14ac:dyDescent="0.3">
      <c r="A418" s="40">
        <f ca="1">VLOOKUP(A412,Panchanga!$A$3:$Y$463,10,TRUE)</f>
        <v>43261.933298404256</v>
      </c>
      <c r="B418" s="34">
        <f ca="1">VLOOKUP(B412,Panchanga!$A$3:$Y$463,10,TRUE)</f>
        <v>43262.875401359925</v>
      </c>
      <c r="C418" s="34">
        <f ca="1">VLOOKUP(C412,Panchanga!$A$3:$Y$463,10,TRUE)</f>
        <v>43263.79366290263</v>
      </c>
      <c r="D418" s="34">
        <f ca="1">VLOOKUP(D412,Panchanga!$A$3:$Y$463,10,TRUE)</f>
        <v>43264.694802683669</v>
      </c>
      <c r="E418" s="34">
        <f ca="1">VLOOKUP(E412,Panchanga!$A$3:$Y$463,10,TRUE)</f>
        <v>43265.58575637795</v>
      </c>
      <c r="F418" s="34">
        <f ca="1">VLOOKUP(F412,Panchanga!$A$3:$Y$463,10,TRUE)</f>
        <v>43266.473319734476</v>
      </c>
      <c r="G418" s="47">
        <f ca="1">VLOOKUP(G412,Panchanga!$A$3:$Y$463,10,TRUE)</f>
        <v>43267.364038163054</v>
      </c>
    </row>
    <row r="419" spans="1:7" s="28" customFormat="1" ht="19.5" x14ac:dyDescent="0.3">
      <c r="A419" s="38" t="str">
        <f ca="1">VLOOKUP(A412,Panchanga!$A$3:$Y$463,11,TRUE)</f>
        <v>K11 (25.73)</v>
      </c>
      <c r="B419" s="30" t="str">
        <f ca="1">VLOOKUP(B412,Panchanga!$A$3:$Y$463,11,TRUE)</f>
        <v>K12 (26.8)</v>
      </c>
      <c r="C419" s="30" t="str">
        <f ca="1">VLOOKUP(C412,Panchanga!$A$3:$Y$463,11,TRUE)</f>
        <v>K13 (27.91)</v>
      </c>
      <c r="D419" s="30" t="str">
        <f ca="1">VLOOKUP(D412,Panchanga!$A$3:$Y$463,11,TRUE)</f>
        <v>K15 (29.06)</v>
      </c>
      <c r="E419" s="30" t="str">
        <f ca="1">VLOOKUP(E412,Panchanga!$A$3:$Y$463,11,TRUE)</f>
        <v>S1 (0.22)</v>
      </c>
      <c r="F419" s="30" t="str">
        <f ca="1">VLOOKUP(F412,Panchanga!$A$3:$Y$463,11,TRUE)</f>
        <v>S2 (1.39)</v>
      </c>
      <c r="G419" s="45" t="str">
        <f ca="1">VLOOKUP(G412,Panchanga!$A$3:$Y$463,11,TRUE)</f>
        <v>S3 (2.56)</v>
      </c>
    </row>
    <row r="420" spans="1:7" s="28" customFormat="1" ht="19.5" x14ac:dyDescent="0.3">
      <c r="A420" s="41" t="str">
        <f ca="1">VLOOKUP(A412,Panchanga!$A$3:$Y$463,13,TRUE)</f>
        <v>Baalava</v>
      </c>
      <c r="B420" s="36" t="str">
        <f ca="1">VLOOKUP(B412,Panchanga!$A$3:$Y$463,13,TRUE)</f>
        <v>Taitula</v>
      </c>
      <c r="C420" s="36" t="str">
        <f ca="1">VLOOKUP(C412,Panchanga!$A$3:$Y$463,13,TRUE)</f>
        <v>Vanija</v>
      </c>
      <c r="D420" s="36" t="str">
        <f ca="1">VLOOKUP(D412,Panchanga!$A$3:$Y$463,13,TRUE)</f>
        <v>Chatushapda</v>
      </c>
      <c r="E420" s="36" t="str">
        <f ca="1">VLOOKUP(E412,Panchanga!$A$3:$Y$463,13,TRUE)</f>
        <v>Kimstugna</v>
      </c>
      <c r="F420" s="36" t="str">
        <f ca="1">VLOOKUP(F412,Panchanga!$A$3:$Y$463,13,TRUE)</f>
        <v>Baalava</v>
      </c>
      <c r="G420" s="48" t="str">
        <f ca="1">VLOOKUP(G412,Panchanga!$A$3:$Y$463,13,TRUE)</f>
        <v>Garija</v>
      </c>
    </row>
    <row r="421" spans="1:7" s="28" customFormat="1" ht="19.5" x14ac:dyDescent="0.3">
      <c r="A421" s="41" t="str">
        <f ca="1">VLOOKUP(A412,Panchanga!$A$3:$Y$463,14,TRUE)</f>
        <v>Shobhana-शोभन-Su (4.41)</v>
      </c>
      <c r="B421" s="36" t="str">
        <f ca="1">VLOOKUP(B412,Panchanga!$A$3:$Y$463,14,TRUE)</f>
        <v>Atiganda-अतिगण्ड -Mo (5.52)</v>
      </c>
      <c r="C421" s="36" t="str">
        <f ca="1">VLOOKUP(C412,Panchanga!$A$3:$Y$463,14,TRUE)</f>
        <v>Sukarman-सुकर्मा -Ma (6.66)</v>
      </c>
      <c r="D421" s="36" t="str">
        <f ca="1">VLOOKUP(D412,Panchanga!$A$3:$Y$463,14,TRUE)</f>
        <v>Dhriti-धृति -Ra (7.83)</v>
      </c>
      <c r="E421" s="36" t="str">
        <f ca="1">VLOOKUP(E412,Panchanga!$A$3:$Y$463,14,TRUE)</f>
        <v>Ganda-गण्ड -Sa (9.02)</v>
      </c>
      <c r="F421" s="36" t="str">
        <f ca="1">VLOOKUP(F412,Panchanga!$A$3:$Y$463,14,TRUE)</f>
        <v>Vriddhi-वृद्धि -Me (10.22)</v>
      </c>
      <c r="G421" s="48" t="str">
        <f ca="1">VLOOKUP(G412,Panchanga!$A$3:$Y$463,14,TRUE)</f>
        <v>Dhruva-ध्रुव -Ke (11.42)</v>
      </c>
    </row>
    <row r="422" spans="1:7" s="28" customFormat="1" ht="19.5" x14ac:dyDescent="0.3">
      <c r="A422" s="63" t="str">
        <f ca="1">VLOOKUP(A412,Panchanga!$A$3:$Y$463,18,TRUE)</f>
        <v>10Ma,2Me,-7Ju,4Ve,-9Sa,4Ra</v>
      </c>
      <c r="B422" s="64" t="str">
        <f ca="1">VLOOKUP(B412,Panchanga!$A$3:$Y$463,18,TRUE)</f>
        <v>10Ma,3Me,-7Ju,4Ve,-9Sa,4Ra</v>
      </c>
      <c r="C422" s="64" t="str">
        <f ca="1">VLOOKUP(C412,Panchanga!$A$3:$Y$463,18,TRUE)</f>
        <v>10Ma,3Me,-7Ju,4Ve,-9Sa,4Ra</v>
      </c>
      <c r="D422" s="64" t="str">
        <f ca="1">VLOOKUP(D412,Panchanga!$A$3:$Y$463,18,TRUE)</f>
        <v>10Ma,3Me,-7Ju,4Ve,-9Sa,4Ra</v>
      </c>
      <c r="E422" s="64" t="str">
        <f ca="1">VLOOKUP(E412,Panchanga!$A$3:$Y$463,18,TRUE)</f>
        <v>10Ma,3Me,-7Ju,4Ve,-9Sa,4Ra</v>
      </c>
      <c r="F422" s="64" t="str">
        <f ca="1">VLOOKUP(F412,Panchanga!$A$3:$Y$463,18,TRUE)</f>
        <v>10Ma,3Me,-7Ju,4Ve,-9Sa,4Ra</v>
      </c>
      <c r="G422" s="65" t="str">
        <f ca="1">VLOOKUP(G412,Panchanga!$A$3:$Y$463,18,TRUE)</f>
        <v>10Ma,3Me,-7Ju,4Ve,-9Sa,4Ra</v>
      </c>
    </row>
    <row r="423" spans="1:7" ht="5.85" customHeight="1" thickBot="1" x14ac:dyDescent="0.4">
      <c r="A423" s="42"/>
      <c r="B423" s="16"/>
      <c r="C423" s="16"/>
      <c r="D423" s="16"/>
      <c r="E423" s="16"/>
      <c r="F423" s="16"/>
      <c r="G423" s="49"/>
    </row>
    <row r="424" spans="1:7" s="51" customFormat="1" ht="37.5" x14ac:dyDescent="0.5">
      <c r="A424" s="52">
        <f ca="1">G412+1</f>
        <v>43268</v>
      </c>
      <c r="B424" s="53">
        <f t="shared" ref="B424:G424" ca="1" si="28">A424+1</f>
        <v>43269</v>
      </c>
      <c r="C424" s="53">
        <f t="shared" ca="1" si="28"/>
        <v>43270</v>
      </c>
      <c r="D424" s="53">
        <f t="shared" ca="1" si="28"/>
        <v>43271</v>
      </c>
      <c r="E424" s="53">
        <f t="shared" ca="1" si="28"/>
        <v>43272</v>
      </c>
      <c r="F424" s="53">
        <f t="shared" ca="1" si="28"/>
        <v>43273</v>
      </c>
      <c r="G424" s="54">
        <f t="shared" ca="1" si="28"/>
        <v>43274</v>
      </c>
    </row>
    <row r="425" spans="1:7" s="28" customFormat="1" ht="19.5" x14ac:dyDescent="0.3">
      <c r="A425" s="37">
        <f ca="1">VLOOKUP(A424,Panchanga!$A$3:$Y$463,3,TRUE)</f>
        <v>43268.238740490437</v>
      </c>
      <c r="B425" s="27">
        <f ca="1">VLOOKUP(B424,Panchanga!$A$3:$Y$463,3,TRUE)</f>
        <v>43269.238869872097</v>
      </c>
      <c r="C425" s="27">
        <f ca="1">VLOOKUP(C424,Panchanga!$A$3:$Y$463,3,TRUE)</f>
        <v>43270.239005135059</v>
      </c>
      <c r="D425" s="27">
        <f ca="1">VLOOKUP(D424,Panchanga!$A$3:$Y$463,3,TRUE)</f>
        <v>43271.239145960812</v>
      </c>
      <c r="E425" s="27">
        <f ca="1">VLOOKUP(E424,Panchanga!$A$3:$Y$463,3,TRUE)</f>
        <v>43272.239292349819</v>
      </c>
      <c r="F425" s="27">
        <f ca="1">VLOOKUP(F424,Panchanga!$A$3:$Y$463,3,TRUE)</f>
        <v>43273.239443825245</v>
      </c>
      <c r="G425" s="44">
        <f ca="1">VLOOKUP(G424,Panchanga!$A$3:$Y$463,3,TRUE)</f>
        <v>43274.239600227833</v>
      </c>
    </row>
    <row r="426" spans="1:7" s="28" customFormat="1" ht="19.5" x14ac:dyDescent="0.3">
      <c r="A426" s="37">
        <f ca="1">VLOOKUP(A424,Panchanga!$A$3:$Y$463,4,TRUE)</f>
        <v>43267.775665899317</v>
      </c>
      <c r="B426" s="27">
        <f ca="1">VLOOKUP(B424,Panchanga!$A$3:$Y$463,4,TRUE)</f>
        <v>43268.775841534181</v>
      </c>
      <c r="C426" s="27">
        <f ca="1">VLOOKUP(C424,Panchanga!$A$3:$Y$463,4,TRUE)</f>
        <v>43269.776012083094</v>
      </c>
      <c r="D426" s="27">
        <f ca="1">VLOOKUP(D424,Panchanga!$A$3:$Y$463,4,TRUE)</f>
        <v>43270.776177227541</v>
      </c>
      <c r="E426" s="27">
        <f ca="1">VLOOKUP(E424,Panchanga!$A$3:$Y$463,4,TRUE)</f>
        <v>43271.776336491152</v>
      </c>
      <c r="F426" s="27">
        <f ca="1">VLOOKUP(F424,Panchanga!$A$3:$Y$463,4,TRUE)</f>
        <v>43272.776489873926</v>
      </c>
      <c r="G426" s="44">
        <f ca="1">VLOOKUP(G424,Panchanga!$A$3:$Y$463,4,TRUE)</f>
        <v>43273.776636898561</v>
      </c>
    </row>
    <row r="427" spans="1:7" s="28" customFormat="1" ht="19.5" x14ac:dyDescent="0.3">
      <c r="A427" s="38">
        <f ca="1">VLOOKUP(A424,Panchanga!$A$3:$Y$463,6,TRUE)</f>
        <v>61.676756053289019</v>
      </c>
      <c r="B427" s="30">
        <f ca="1">VLOOKUP(B424,Panchanga!$A$3:$Y$463,6,TRUE)</f>
        <v>62.631926516289397</v>
      </c>
      <c r="C427" s="30">
        <f ca="1">VLOOKUP(C424,Panchanga!$A$3:$Y$463,6,TRUE)</f>
        <v>63.586873014199135</v>
      </c>
      <c r="D427" s="30">
        <f ca="1">VLOOKUP(D424,Panchanga!$A$3:$Y$463,6,TRUE)</f>
        <v>64.541597563241794</v>
      </c>
      <c r="E427" s="30">
        <f ca="1">VLOOKUP(E424,Panchanga!$A$3:$Y$463,6,TRUE)</f>
        <v>65.496107496392966</v>
      </c>
      <c r="F427" s="30">
        <f ca="1">VLOOKUP(F424,Panchanga!$A$3:$Y$463,6,TRUE)</f>
        <v>66.450413850383143</v>
      </c>
      <c r="G427" s="45">
        <f ca="1">VLOOKUP(G424,Panchanga!$A$3:$Y$463,6,TRUE)</f>
        <v>67.404531241205916</v>
      </c>
    </row>
    <row r="428" spans="1:7" s="28" customFormat="1" ht="19.5" x14ac:dyDescent="0.3">
      <c r="A428" s="38">
        <f ca="1">VLOOKUP(A424,Panchanga!$A$3:$Y$463,7,TRUE)</f>
        <v>106.29767126668551</v>
      </c>
      <c r="B428" s="30">
        <f ca="1">VLOOKUP(B424,Panchanga!$A$3:$Y$463,7,TRUE)</f>
        <v>120.85043773780168</v>
      </c>
      <c r="C428" s="30">
        <f ca="1">VLOOKUP(C424,Panchanga!$A$3:$Y$463,7,TRUE)</f>
        <v>135.07402242014612</v>
      </c>
      <c r="D428" s="30">
        <f ca="1">VLOOKUP(D424,Panchanga!$A$3:$Y$463,7,TRUE)</f>
        <v>148.9464205147232</v>
      </c>
      <c r="E428" s="30">
        <f ca="1">VLOOKUP(E424,Panchanga!$A$3:$Y$463,7,TRUE)</f>
        <v>162.47382432727929</v>
      </c>
      <c r="F428" s="30">
        <f ca="1">VLOOKUP(F424,Panchanga!$A$3:$Y$463,7,TRUE)</f>
        <v>175.6805740197602</v>
      </c>
      <c r="G428" s="45">
        <f ca="1">VLOOKUP(G424,Panchanga!$A$3:$Y$463,7,TRUE)</f>
        <v>188.60009149908944</v>
      </c>
    </row>
    <row r="429" spans="1:7" s="28" customFormat="1" ht="19.5" x14ac:dyDescent="0.3">
      <c r="A429" s="39" t="str">
        <f ca="1">VLOOKUP(A424,Panchanga!$A$3:$Y$463,9,TRUE) &amp; " "&amp;ROUND(A428/13.333,2)</f>
        <v>Pushya 7.97</v>
      </c>
      <c r="B429" s="32" t="str">
        <f ca="1">VLOOKUP(B424,Panchanga!$A$3:$Y$463,9,TRUE) &amp; " "&amp;ROUND(B428/13.333,2)</f>
        <v>Makha 9.06</v>
      </c>
      <c r="C429" s="32" t="str">
        <f ca="1">VLOOKUP(C424,Panchanga!$A$3:$Y$463,9,TRUE) &amp; " "&amp;ROUND(C428/13.333,2)</f>
        <v>Purva Phalguni 10.13</v>
      </c>
      <c r="D429" s="32" t="str">
        <f ca="1">VLOOKUP(D424,Panchanga!$A$3:$Y$463,9,TRUE) &amp; " "&amp;ROUND(D428/13.333,2)</f>
        <v>Uttara Phalguni 11.17</v>
      </c>
      <c r="E429" s="32" t="str">
        <f ca="1">VLOOKUP(E424,Panchanga!$A$3:$Y$463,9,TRUE) &amp; " "&amp;ROUND(E428/13.333,2)</f>
        <v>Hasta 12.19</v>
      </c>
      <c r="F429" s="32" t="str">
        <f ca="1">VLOOKUP(F424,Panchanga!$A$3:$Y$463,9,TRUE) &amp; " "&amp;ROUND(F428/13.333,2)</f>
        <v>Chitra 13.18</v>
      </c>
      <c r="G429" s="46" t="str">
        <f ca="1">VLOOKUP(G424,Panchanga!$A$3:$Y$463,9,TRUE) &amp; " "&amp;ROUND(G428/13.333,2)</f>
        <v>Swati 14.15</v>
      </c>
    </row>
    <row r="430" spans="1:7" s="28" customFormat="1" ht="19.5" x14ac:dyDescent="0.3">
      <c r="A430" s="40">
        <f ca="1">VLOOKUP(A424,Panchanga!$A$3:$Y$463,10,TRUE)</f>
        <v>43268.264099458574</v>
      </c>
      <c r="B430" s="34">
        <f ca="1">VLOOKUP(B424,Panchanga!$A$3:$Y$463,10,TRUE)</f>
        <v>43270.116608103897</v>
      </c>
      <c r="C430" s="34">
        <f ca="1">VLOOKUP(C424,Panchanga!$A$3:$Y$463,10,TRUE)</f>
        <v>43271.074785416902</v>
      </c>
      <c r="D430" s="34">
        <f ca="1">VLOOKUP(D424,Panchanga!$A$3:$Y$463,10,TRUE)</f>
        <v>43272.05639055268</v>
      </c>
      <c r="E430" s="34">
        <f ca="1">VLOOKUP(E424,Panchanga!$A$3:$Y$463,10,TRUE)</f>
        <v>43273.06168652005</v>
      </c>
      <c r="F430" s="34">
        <f ca="1">VLOOKUP(F424,Panchanga!$A$3:$Y$463,10,TRUE)</f>
        <v>43274.089925348089</v>
      </c>
      <c r="G430" s="47">
        <f ca="1">VLOOKUP(G424,Panchanga!$A$3:$Y$463,10,TRUE)</f>
        <v>43275.139641601352</v>
      </c>
    </row>
    <row r="431" spans="1:7" s="28" customFormat="1" ht="19.5" x14ac:dyDescent="0.3">
      <c r="A431" s="38" t="str">
        <f ca="1">VLOOKUP(A424,Panchanga!$A$3:$Y$463,11,TRUE)</f>
        <v>S4 (3.72)</v>
      </c>
      <c r="B431" s="30" t="str">
        <f ca="1">VLOOKUP(B424,Panchanga!$A$3:$Y$463,11,TRUE)</f>
        <v>S5 (4.85)</v>
      </c>
      <c r="C431" s="30" t="str">
        <f ca="1">VLOOKUP(C424,Panchanga!$A$3:$Y$463,11,TRUE)</f>
        <v>S6 (5.96)</v>
      </c>
      <c r="D431" s="30" t="str">
        <f ca="1">VLOOKUP(D424,Panchanga!$A$3:$Y$463,11,TRUE)</f>
        <v>S8 (7.03)</v>
      </c>
      <c r="E431" s="30" t="str">
        <f ca="1">VLOOKUP(E424,Panchanga!$A$3:$Y$463,11,TRUE)</f>
        <v>S9 (8.08)</v>
      </c>
      <c r="F431" s="30" t="str">
        <f ca="1">VLOOKUP(F424,Panchanga!$A$3:$Y$463,11,TRUE)</f>
        <v>S10 (9.1)</v>
      </c>
      <c r="G431" s="45" t="str">
        <f ca="1">VLOOKUP(G424,Panchanga!$A$3:$Y$463,11,TRUE)</f>
        <v>S11 (10.1)</v>
      </c>
    </row>
    <row r="432" spans="1:7" s="28" customFormat="1" ht="19.5" x14ac:dyDescent="0.3">
      <c r="A432" s="41" t="str">
        <f ca="1">VLOOKUP(A424,Panchanga!$A$3:$Y$463,13,TRUE)</f>
        <v>Vishti</v>
      </c>
      <c r="B432" s="36" t="str">
        <f ca="1">VLOOKUP(B424,Panchanga!$A$3:$Y$463,13,TRUE)</f>
        <v>Baalava</v>
      </c>
      <c r="C432" s="36" t="str">
        <f ca="1">VLOOKUP(C424,Panchanga!$A$3:$Y$463,13,TRUE)</f>
        <v>Taitula</v>
      </c>
      <c r="D432" s="36" t="str">
        <f ca="1">VLOOKUP(D424,Panchanga!$A$3:$Y$463,13,TRUE)</f>
        <v>Vishti</v>
      </c>
      <c r="E432" s="36" t="str">
        <f ca="1">VLOOKUP(E424,Panchanga!$A$3:$Y$463,13,TRUE)</f>
        <v>Baalava</v>
      </c>
      <c r="F432" s="36" t="str">
        <f ca="1">VLOOKUP(F424,Panchanga!$A$3:$Y$463,13,TRUE)</f>
        <v>Taitula</v>
      </c>
      <c r="G432" s="48" t="str">
        <f ca="1">VLOOKUP(G424,Panchanga!$A$3:$Y$463,13,TRUE)</f>
        <v>Vanija</v>
      </c>
    </row>
    <row r="433" spans="1:7" s="28" customFormat="1" ht="19.5" x14ac:dyDescent="0.3">
      <c r="A433" s="41" t="str">
        <f ca="1">VLOOKUP(A424,Panchanga!$A$3:$Y$463,14,TRUE)</f>
        <v>Vyaghata-व्याघात-ve (12.6)</v>
      </c>
      <c r="B433" s="36" t="str">
        <f ca="1">VLOOKUP(B424,Panchanga!$A$3:$Y$463,14,TRUE)</f>
        <v>Harshana-हर्षण-su (13.77)</v>
      </c>
      <c r="C433" s="36" t="str">
        <f ca="1">VLOOKUP(C424,Panchanga!$A$3:$Y$463,14,TRUE)</f>
        <v>Vajra-वज्र-Mo (14.9)</v>
      </c>
      <c r="D433" s="36" t="str">
        <f ca="1">VLOOKUP(D424,Panchanga!$A$3:$Y$463,14,TRUE)</f>
        <v>Vyatipata-व्यतिपात-Ra (16.02)</v>
      </c>
      <c r="E433" s="36" t="str">
        <f ca="1">VLOOKUP(E424,Panchanga!$A$3:$Y$463,14,TRUE)</f>
        <v>Varigha-वरीयस्-Ju (17.1)</v>
      </c>
      <c r="F433" s="36" t="str">
        <f ca="1">VLOOKUP(F424,Panchanga!$A$3:$Y$463,14,TRUE)</f>
        <v>Parigha-परिघ-Sa (18.16)</v>
      </c>
      <c r="G433" s="48" t="str">
        <f ca="1">VLOOKUP(G424,Panchanga!$A$3:$Y$463,14,TRUE)</f>
        <v>Shiva-शिव-Me (19.21)</v>
      </c>
    </row>
    <row r="434" spans="1:7" s="28" customFormat="1" ht="19.5" x14ac:dyDescent="0.3">
      <c r="A434" s="63" t="str">
        <f ca="1">VLOOKUP(A424,Panchanga!$A$3:$Y$463,18,TRUE)</f>
        <v>10Ma,3Me,-7Ju,4Ve,-9Sa,4Ra</v>
      </c>
      <c r="B434" s="64" t="str">
        <f ca="1">VLOOKUP(B424,Panchanga!$A$3:$Y$463,18,TRUE)</f>
        <v>10Ma,3Me,-7Ju,4Ve,-9Sa,4Ra</v>
      </c>
      <c r="C434" s="64" t="str">
        <f ca="1">VLOOKUP(C424,Panchanga!$A$3:$Y$463,18,TRUE)</f>
        <v>10Ma,3Me,-7Ju,4Ve,-9Sa,4Ra</v>
      </c>
      <c r="D434" s="64" t="str">
        <f ca="1">VLOOKUP(D424,Panchanga!$A$3:$Y$463,18,TRUE)</f>
        <v>10Ma,3Me,-7Ju,4Ve,-9Sa,4Ra</v>
      </c>
      <c r="E434" s="64" t="str">
        <f ca="1">VLOOKUP(E424,Panchanga!$A$3:$Y$463,18,TRUE)</f>
        <v>10Ma,3Me,-7Ju,4Ve,-9Sa,4Ra</v>
      </c>
      <c r="F434" s="64" t="str">
        <f ca="1">VLOOKUP(F424,Panchanga!$A$3:$Y$463,18,TRUE)</f>
        <v>10Ma,3Me,-7Ju,4Ve,-9Sa,4Ra</v>
      </c>
      <c r="G434" s="65" t="str">
        <f ca="1">VLOOKUP(G424,Panchanga!$A$3:$Y$463,18,TRUE)</f>
        <v>10Ma,3Me,-7Ju,4Ve,-9Sa,4Ra</v>
      </c>
    </row>
    <row r="435" spans="1:7" ht="5.85" customHeight="1" thickBot="1" x14ac:dyDescent="0.4">
      <c r="A435" s="42"/>
      <c r="B435" s="16"/>
      <c r="C435" s="16"/>
      <c r="D435" s="16"/>
      <c r="E435" s="16"/>
      <c r="F435" s="16"/>
      <c r="G435" s="49"/>
    </row>
    <row r="436" spans="1:7" s="51" customFormat="1" ht="37.5" x14ac:dyDescent="0.5">
      <c r="A436" s="52">
        <f ca="1">G424+1</f>
        <v>43275</v>
      </c>
      <c r="B436" s="53">
        <f t="shared" ref="B436:G436" ca="1" si="29">A436+1</f>
        <v>43276</v>
      </c>
      <c r="C436" s="53">
        <f t="shared" ca="1" si="29"/>
        <v>43277</v>
      </c>
      <c r="D436" s="53">
        <f t="shared" ca="1" si="29"/>
        <v>43278</v>
      </c>
      <c r="E436" s="53">
        <f t="shared" ca="1" si="29"/>
        <v>43279</v>
      </c>
      <c r="F436" s="53">
        <f t="shared" ca="1" si="29"/>
        <v>43280</v>
      </c>
      <c r="G436" s="54">
        <f t="shared" ca="1" si="29"/>
        <v>43281</v>
      </c>
    </row>
    <row r="437" spans="1:7" s="28" customFormat="1" ht="19.5" x14ac:dyDescent="0.3">
      <c r="A437" s="37">
        <f ca="1">VLOOKUP(A436,Panchanga!$A$3:$Y$463,3,TRUE)</f>
        <v>43275.239761240002</v>
      </c>
      <c r="B437" s="27">
        <f ca="1">VLOOKUP(B436,Panchanga!$A$3:$Y$463,3,TRUE)</f>
        <v>43276.23992654324</v>
      </c>
      <c r="C437" s="27">
        <f ca="1">VLOOKUP(C436,Panchanga!$A$3:$Y$463,3,TRUE)</f>
        <v>43277.240095979687</v>
      </c>
      <c r="D437" s="27">
        <f ca="1">VLOOKUP(D436,Panchanga!$A$3:$Y$463,3,TRUE)</f>
        <v>43278.240269389156</v>
      </c>
      <c r="E437" s="27">
        <f ca="1">VLOOKUP(E436,Panchanga!$A$3:$Y$463,3,TRUE)</f>
        <v>43279.240446295742</v>
      </c>
      <c r="F437" s="27">
        <f ca="1">VLOOKUP(F436,Panchanga!$A$3:$Y$463,3,TRUE)</f>
        <v>43280.240626540188</v>
      </c>
      <c r="G437" s="44">
        <f ca="1">VLOOKUP(G436,Panchanga!$A$3:$Y$463,3,TRUE)</f>
        <v>43281.240809963703</v>
      </c>
    </row>
    <row r="438" spans="1:7" s="28" customFormat="1" ht="19.5" x14ac:dyDescent="0.3">
      <c r="A438" s="37">
        <f ca="1">VLOOKUP(A436,Panchanga!$A$3:$Y$463,4,TRUE)</f>
        <v>43274.776777406732</v>
      </c>
      <c r="B438" s="27">
        <f ca="1">VLOOKUP(B436,Panchanga!$A$3:$Y$463,4,TRUE)</f>
        <v>43275.776911079927</v>
      </c>
      <c r="C438" s="27">
        <f ca="1">VLOOKUP(C436,Panchanga!$A$3:$Y$463,4,TRUE)</f>
        <v>43276.777037759821</v>
      </c>
      <c r="D438" s="27">
        <f ca="1">VLOOKUP(D436,Panchanga!$A$3:$Y$463,4,TRUE)</f>
        <v>43277.777157287157</v>
      </c>
      <c r="E438" s="27">
        <f ca="1">VLOOKUP(E436,Panchanga!$A$3:$Y$463,4,TRUE)</f>
        <v>43278.77726950268</v>
      </c>
      <c r="F438" s="27">
        <f ca="1">VLOOKUP(F436,Panchanga!$A$3:$Y$463,4,TRUE)</f>
        <v>43279.777373930017</v>
      </c>
      <c r="G438" s="44">
        <f ca="1">VLOOKUP(G436,Panchanga!$A$3:$Y$463,4,TRUE)</f>
        <v>43280.77747072796</v>
      </c>
    </row>
    <row r="439" spans="1:7" s="28" customFormat="1" ht="19.5" x14ac:dyDescent="0.3">
      <c r="A439" s="38">
        <f ca="1">VLOOKUP(A436,Panchanga!$A$3:$Y$463,6,TRUE)</f>
        <v>68.3584766995682</v>
      </c>
      <c r="B439" s="30">
        <f ca="1">VLOOKUP(B436,Panchanga!$A$3:$Y$463,6,TRUE)</f>
        <v>69.312269290429469</v>
      </c>
      <c r="C439" s="30">
        <f ca="1">VLOOKUP(C436,Panchanga!$A$3:$Y$463,6,TRUE)</f>
        <v>70.265929824834856</v>
      </c>
      <c r="D439" s="30">
        <f ca="1">VLOOKUP(D436,Panchanga!$A$3:$Y$463,6,TRUE)</f>
        <v>71.219480246349917</v>
      </c>
      <c r="E439" s="30">
        <f ca="1">VLOOKUP(E436,Panchanga!$A$3:$Y$463,6,TRUE)</f>
        <v>72.17294283936242</v>
      </c>
      <c r="F439" s="30">
        <f ca="1">VLOOKUP(F436,Panchanga!$A$3:$Y$463,6,TRUE)</f>
        <v>73.126340337723335</v>
      </c>
      <c r="G439" s="45">
        <f ca="1">VLOOKUP(G436,Panchanga!$A$3:$Y$463,6,TRUE)</f>
        <v>74.079695197616047</v>
      </c>
    </row>
    <row r="440" spans="1:7" s="28" customFormat="1" ht="19.5" x14ac:dyDescent="0.3">
      <c r="A440" s="38">
        <f ca="1">VLOOKUP(A436,Panchanga!$A$3:$Y$463,7,TRUE)</f>
        <v>201.26811361489891</v>
      </c>
      <c r="B440" s="30">
        <f ca="1">VLOOKUP(B436,Panchanga!$A$3:$Y$463,7,TRUE)</f>
        <v>213.71877290293838</v>
      </c>
      <c r="C440" s="30">
        <f ca="1">VLOOKUP(C436,Panchanga!$A$3:$Y$463,7,TRUE)</f>
        <v>225.98330598233534</v>
      </c>
      <c r="D440" s="30">
        <f ca="1">VLOOKUP(D436,Panchanga!$A$3:$Y$463,7,TRUE)</f>
        <v>238.09064773568801</v>
      </c>
      <c r="E440" s="30">
        <f ca="1">VLOOKUP(E436,Panchanga!$A$3:$Y$463,7,TRUE)</f>
        <v>250.06910876629516</v>
      </c>
      <c r="F440" s="30">
        <f ca="1">VLOOKUP(F436,Panchanga!$A$3:$Y$463,7,TRUE)</f>
        <v>261.94861214793792</v>
      </c>
      <c r="G440" s="45">
        <f ca="1">VLOOKUP(G436,Panchanga!$A$3:$Y$463,7,TRUE)</f>
        <v>273.76312280276471</v>
      </c>
    </row>
    <row r="441" spans="1:7" s="28" customFormat="1" ht="19.5" x14ac:dyDescent="0.3">
      <c r="A441" s="39" t="str">
        <f ca="1">VLOOKUP(A436,Panchanga!$A$3:$Y$463,9,TRUE) &amp; " "&amp;ROUND(A440/13.333,2)</f>
        <v>Visakha 15.1</v>
      </c>
      <c r="B441" s="32" t="str">
        <f ca="1">VLOOKUP(B436,Panchanga!$A$3:$Y$463,9,TRUE) &amp; " "&amp;ROUND(B440/13.333,2)</f>
        <v>Anuradha 16.03</v>
      </c>
      <c r="C441" s="32" t="str">
        <f ca="1">VLOOKUP(C436,Panchanga!$A$3:$Y$463,9,TRUE) &amp; " "&amp;ROUND(C440/13.333,2)</f>
        <v>Anuradha 16.95</v>
      </c>
      <c r="D441" s="32" t="str">
        <f ca="1">VLOOKUP(D436,Panchanga!$A$3:$Y$463,9,TRUE) &amp; " "&amp;ROUND(D440/13.333,2)</f>
        <v>Jyestha 17.86</v>
      </c>
      <c r="E441" s="32" t="str">
        <f ca="1">VLOOKUP(E436,Panchanga!$A$3:$Y$463,9,TRUE) &amp; " "&amp;ROUND(E440/13.333,2)</f>
        <v>Moola 18.76</v>
      </c>
      <c r="F441" s="32" t="str">
        <f ca="1">VLOOKUP(F436,Panchanga!$A$3:$Y$463,9,TRUE) &amp; " "&amp;ROUND(F440/13.333,2)</f>
        <v>Purva Asadha 19.65</v>
      </c>
      <c r="G441" s="46" t="str">
        <f ca="1">VLOOKUP(G436,Panchanga!$A$3:$Y$463,9,TRUE) &amp; " "&amp;ROUND(G440/13.333,2)</f>
        <v>Uttara Asadha 20.53</v>
      </c>
    </row>
    <row r="442" spans="1:7" s="28" customFormat="1" ht="19.5" x14ac:dyDescent="0.3">
      <c r="A442" s="40">
        <f ca="1">VLOOKUP(A436,Panchanga!$A$3:$Y$463,10,TRUE)</f>
        <v>43276.208964063655</v>
      </c>
      <c r="B442" s="34">
        <f ca="1">VLOOKUP(B436,Panchanga!$A$3:$Y$463,10,TRUE)</f>
        <v>43277.295823863176</v>
      </c>
      <c r="C442" s="34">
        <f ca="1">VLOOKUP(C436,Panchanga!$A$3:$Y$463,10,TRUE)</f>
        <v>43277.2965476104</v>
      </c>
      <c r="D442" s="34">
        <f ca="1">VLOOKUP(D436,Panchanga!$A$3:$Y$463,10,TRUE)</f>
        <v>43278.399696383691</v>
      </c>
      <c r="E442" s="34">
        <f ca="1">VLOOKUP(E436,Panchanga!$A$3:$Y$463,10,TRUE)</f>
        <v>43279.515273687131</v>
      </c>
      <c r="F442" s="34">
        <f ca="1">VLOOKUP(F436,Panchanga!$A$3:$Y$463,10,TRUE)</f>
        <v>43280.640043838015</v>
      </c>
      <c r="G442" s="47">
        <f ca="1">VLOOKUP(G436,Panchanga!$A$3:$Y$463,10,TRUE)</f>
        <v>43281.769915946374</v>
      </c>
    </row>
    <row r="443" spans="1:7" s="28" customFormat="1" ht="19.5" x14ac:dyDescent="0.3">
      <c r="A443" s="38" t="str">
        <f ca="1">VLOOKUP(A436,Panchanga!$A$3:$Y$463,11,TRUE)</f>
        <v>S12 (11.08)</v>
      </c>
      <c r="B443" s="30" t="str">
        <f ca="1">VLOOKUP(B436,Panchanga!$A$3:$Y$463,11,TRUE)</f>
        <v>S13 (12.03)</v>
      </c>
      <c r="C443" s="30" t="str">
        <f ca="1">VLOOKUP(C436,Panchanga!$A$3:$Y$463,11,TRUE)</f>
        <v>S13 (12.98)</v>
      </c>
      <c r="D443" s="30" t="str">
        <f ca="1">VLOOKUP(D436,Panchanga!$A$3:$Y$463,11,TRUE)</f>
        <v>S14 (13.91)</v>
      </c>
      <c r="E443" s="30" t="str">
        <f ca="1">VLOOKUP(E436,Panchanga!$A$3:$Y$463,11,TRUE)</f>
        <v>S15 (14.82)</v>
      </c>
      <c r="F443" s="30" t="str">
        <f ca="1">VLOOKUP(F436,Panchanga!$A$3:$Y$463,11,TRUE)</f>
        <v>K1 (15.74)</v>
      </c>
      <c r="G443" s="45" t="str">
        <f ca="1">VLOOKUP(G436,Panchanga!$A$3:$Y$463,11,TRUE)</f>
        <v>K2 (16.64)</v>
      </c>
    </row>
    <row r="444" spans="1:7" s="28" customFormat="1" ht="19.5" x14ac:dyDescent="0.3">
      <c r="A444" s="41" t="str">
        <f ca="1">VLOOKUP(A436,Panchanga!$A$3:$Y$463,13,TRUE)</f>
        <v>Bhava</v>
      </c>
      <c r="B444" s="36" t="str">
        <f ca="1">VLOOKUP(B436,Panchanga!$A$3:$Y$463,13,TRUE)</f>
        <v>Kaulava</v>
      </c>
      <c r="C444" s="36" t="str">
        <f ca="1">VLOOKUP(C436,Panchanga!$A$3:$Y$463,13,TRUE)</f>
        <v>Taitula</v>
      </c>
      <c r="D444" s="36" t="str">
        <f ca="1">VLOOKUP(D436,Panchanga!$A$3:$Y$463,13,TRUE)</f>
        <v>Vanija</v>
      </c>
      <c r="E444" s="36" t="str">
        <f ca="1">VLOOKUP(E436,Panchanga!$A$3:$Y$463,13,TRUE)</f>
        <v>Bhava</v>
      </c>
      <c r="F444" s="36" t="str">
        <f ca="1">VLOOKUP(F436,Panchanga!$A$3:$Y$463,13,TRUE)</f>
        <v>Kaulava</v>
      </c>
      <c r="G444" s="48" t="str">
        <f ca="1">VLOOKUP(G436,Panchanga!$A$3:$Y$463,13,TRUE)</f>
        <v>Garija</v>
      </c>
    </row>
    <row r="445" spans="1:7" s="28" customFormat="1" ht="19.5" x14ac:dyDescent="0.3">
      <c r="A445" s="41" t="str">
        <f ca="1">VLOOKUP(A436,Panchanga!$A$3:$Y$463,14,TRUE)</f>
        <v>Siddha-सिद्ध-Ke (20.23)</v>
      </c>
      <c r="B445" s="36" t="str">
        <f ca="1">VLOOKUP(B436,Panchanga!$A$3:$Y$463,14,TRUE)</f>
        <v>Sadhya-साध्य-Ve (21.23)</v>
      </c>
      <c r="C445" s="36" t="str">
        <f ca="1">VLOOKUP(C436,Panchanga!$A$3:$Y$463,14,TRUE)</f>
        <v>Shubha-शुभ-Su (22.22)</v>
      </c>
      <c r="D445" s="36" t="str">
        <f ca="1">VLOOKUP(D436,Panchanga!$A$3:$Y$463,14,TRUE)</f>
        <v>Shukla-शुक्ल-Mo (23.2)</v>
      </c>
      <c r="E445" s="36" t="str">
        <f ca="1">VLOOKUP(E436,Panchanga!$A$3:$Y$463,14,TRUE)</f>
        <v>Brahma-ब्रह्म-Ma (24.17)</v>
      </c>
      <c r="F445" s="36" t="str">
        <f ca="1">VLOOKUP(F436,Panchanga!$A$3:$Y$463,14,TRUE)</f>
        <v>Mahendra-महेन्द्र-Ra (25.14)</v>
      </c>
      <c r="G445" s="48" t="str">
        <f ca="1">VLOOKUP(G436,Panchanga!$A$3:$Y$463,14,TRUE)</f>
        <v>Vaidhriti-वैधृति-Ke (26.09)</v>
      </c>
    </row>
    <row r="446" spans="1:7" s="28" customFormat="1" ht="19.5" x14ac:dyDescent="0.3">
      <c r="A446" s="63" t="str">
        <f ca="1">VLOOKUP(A436,Panchanga!$A$3:$Y$463,18,TRUE)</f>
        <v>10Ma,3Me,-7Ju,4Ve,-9Sa,4Ra</v>
      </c>
      <c r="B446" s="64" t="str">
        <f ca="1">VLOOKUP(B436,Panchanga!$A$3:$Y$463,18,TRUE)</f>
        <v>10Ma,3Me,-7Ju,4Ve,-9Sa,4Ra</v>
      </c>
      <c r="C446" s="64" t="str">
        <f ca="1">VLOOKUP(C436,Panchanga!$A$3:$Y$463,18,TRUE)</f>
        <v>10Ma,4Me,-7Ju,4Ve,-9Sa,4Ra</v>
      </c>
      <c r="D446" s="64" t="str">
        <f ca="1">VLOOKUP(D436,Panchanga!$A$3:$Y$463,18,TRUE)</f>
        <v>-10Ma,4Me,-7Ju,4Ve,-9Sa,4Ra</v>
      </c>
      <c r="E446" s="64" t="str">
        <f ca="1">VLOOKUP(E436,Panchanga!$A$3:$Y$463,18,TRUE)</f>
        <v>-10Ma,4Me,-7Ju,4Ve,-9Sa,4Ra</v>
      </c>
      <c r="F446" s="64" t="str">
        <f ca="1">VLOOKUP(F436,Panchanga!$A$3:$Y$463,18,TRUE)</f>
        <v>-10Ma,4Me,-7Ju,4Ve,-9Sa,4Ra</v>
      </c>
      <c r="G446" s="65" t="str">
        <f ca="1">VLOOKUP(G436,Panchanga!$A$3:$Y$463,18,TRUE)</f>
        <v>-10Ma,4Me,-7Ju,4Ve,-9Sa,4Ra</v>
      </c>
    </row>
    <row r="447" spans="1:7" ht="5.85" customHeight="1" thickBot="1" x14ac:dyDescent="0.4">
      <c r="A447" s="42"/>
      <c r="B447" s="16"/>
      <c r="C447" s="16"/>
      <c r="D447" s="16"/>
      <c r="E447" s="16"/>
      <c r="F447" s="16"/>
      <c r="G447" s="17"/>
    </row>
    <row r="448" spans="1:7" s="51" customFormat="1" ht="37.5" x14ac:dyDescent="0.5">
      <c r="A448" s="52">
        <f ca="1">G436+1</f>
        <v>43282</v>
      </c>
      <c r="B448" s="53">
        <f ca="1">A448+1</f>
        <v>43283</v>
      </c>
      <c r="C448" s="53"/>
      <c r="D448" s="53"/>
      <c r="E448" s="53"/>
      <c r="F448" s="53"/>
      <c r="G448" s="55"/>
    </row>
    <row r="449" spans="1:7" s="28" customFormat="1" ht="19.5" x14ac:dyDescent="0.3">
      <c r="A449" s="37">
        <f ca="1">VLOOKUP(A448,Panchanga!$A$3:$Y$463,3,TRUE)</f>
        <v>43282.240996248242</v>
      </c>
      <c r="B449" s="27">
        <f ca="1">VLOOKUP(B448,Panchanga!$A$3:$Y$463,3,TRUE)</f>
        <v>43283.241185234547</v>
      </c>
      <c r="C449" s="27" t="s">
        <v>20</v>
      </c>
      <c r="D449" s="27"/>
      <c r="E449" s="27"/>
      <c r="F449" s="27"/>
      <c r="G449" s="26"/>
    </row>
    <row r="450" spans="1:7" s="28" customFormat="1" ht="19.5" x14ac:dyDescent="0.3">
      <c r="A450" s="37">
        <f ca="1">VLOOKUP(A448,Panchanga!$A$3:$Y$463,4,TRUE)</f>
        <v>43281.777559419672</v>
      </c>
      <c r="B450" s="27">
        <f ca="1">VLOOKUP(B448,Panchanga!$A$3:$Y$463,4,TRUE)</f>
        <v>43282.777640163942</v>
      </c>
      <c r="C450" s="27" t="s">
        <v>8</v>
      </c>
      <c r="D450" s="27"/>
      <c r="E450" s="27"/>
      <c r="F450" s="27"/>
      <c r="G450" s="26"/>
    </row>
    <row r="451" spans="1:7" s="28" customFormat="1" ht="19.5" x14ac:dyDescent="0.3">
      <c r="A451" s="38">
        <f ca="1">VLOOKUP(A448,Panchanga!$A$3:$Y$463,6,TRUE)</f>
        <v>75.03302913077934</v>
      </c>
      <c r="B451" s="30">
        <f ca="1">VLOOKUP(B448,Panchanga!$A$3:$Y$463,6,TRUE)</f>
        <v>75.986363192286291</v>
      </c>
      <c r="C451" s="30" t="s">
        <v>21</v>
      </c>
      <c r="D451" s="30"/>
      <c r="E451" s="30"/>
      <c r="F451" s="30"/>
      <c r="G451" s="29"/>
    </row>
    <row r="452" spans="1:7" s="28" customFormat="1" ht="19.5" x14ac:dyDescent="0.3">
      <c r="A452" s="38">
        <f ca="1">VLOOKUP(A448,Panchanga!$A$3:$Y$463,7,TRUE)</f>
        <v>285.55289505134175</v>
      </c>
      <c r="B452" s="30">
        <f ca="1">VLOOKUP(B448,Panchanga!$A$3:$Y$463,7,TRUE)</f>
        <v>297.3660893808447</v>
      </c>
      <c r="C452" s="30" t="s">
        <v>22</v>
      </c>
      <c r="D452" s="30"/>
      <c r="E452" s="30"/>
      <c r="F452" s="30"/>
      <c r="G452" s="29"/>
    </row>
    <row r="453" spans="1:7" s="28" customFormat="1" ht="19.5" x14ac:dyDescent="0.3">
      <c r="A453" s="39" t="str">
        <f ca="1">VLOOKUP(A448,Panchanga!$A$3:$Y$463,9,TRUE) &amp; " "&amp;ROUND(A452/13.333,2)</f>
        <v>Sravana 21.42</v>
      </c>
      <c r="B453" s="32" t="str">
        <f ca="1">VLOOKUP(B448,Panchanga!$A$3:$Y$463,9,TRUE) &amp; " "&amp;ROUND(B452/13.333,2)</f>
        <v>Dhanistha 22.3</v>
      </c>
      <c r="C453" s="32" t="s">
        <v>23</v>
      </c>
      <c r="D453" s="32"/>
      <c r="E453" s="32"/>
      <c r="F453" s="32"/>
      <c r="G453" s="31"/>
    </row>
    <row r="454" spans="1:7" s="28" customFormat="1" ht="19.5" x14ac:dyDescent="0.3">
      <c r="A454" s="40">
        <f ca="1">VLOOKUP(A448,Panchanga!$A$3:$Y$463,10,TRUE)</f>
        <v>43282.899743447451</v>
      </c>
      <c r="B454" s="34">
        <f ca="1">VLOOKUP(B448,Panchanga!$A$3:$Y$463,10,TRUE)</f>
        <v>43284.023336029633</v>
      </c>
      <c r="C454" s="34" t="s">
        <v>24</v>
      </c>
      <c r="D454" s="34"/>
      <c r="E454" s="34"/>
      <c r="F454" s="34"/>
      <c r="G454" s="33"/>
    </row>
    <row r="455" spans="1:7" s="28" customFormat="1" ht="19.5" x14ac:dyDescent="0.3">
      <c r="A455" s="38" t="str">
        <f ca="1">VLOOKUP(A448,Panchanga!$A$3:$Y$463,11,TRUE)</f>
        <v>K3 (17.54)</v>
      </c>
      <c r="B455" s="30" t="str">
        <f ca="1">VLOOKUP(B448,Panchanga!$A$3:$Y$463,11,TRUE)</f>
        <v>K4 (18.45)</v>
      </c>
      <c r="C455" s="30" t="s">
        <v>28</v>
      </c>
      <c r="D455" s="30"/>
      <c r="E455" s="30"/>
      <c r="F455" s="30"/>
      <c r="G455" s="29"/>
    </row>
    <row r="456" spans="1:7" s="28" customFormat="1" ht="19.5" x14ac:dyDescent="0.3">
      <c r="A456" s="41" t="str">
        <f ca="1">VLOOKUP(A448,Panchanga!$A$3:$Y$463,13,TRUE)</f>
        <v>Vishti</v>
      </c>
      <c r="B456" s="36" t="str">
        <f ca="1">VLOOKUP(B448,Panchanga!$A$3:$Y$463,13,TRUE)</f>
        <v>Bhava</v>
      </c>
      <c r="C456" s="36" t="s">
        <v>25</v>
      </c>
      <c r="D456" s="36"/>
      <c r="E456" s="36"/>
      <c r="F456" s="36"/>
      <c r="G456" s="35"/>
    </row>
    <row r="457" spans="1:7" s="28" customFormat="1" ht="19.5" x14ac:dyDescent="0.3">
      <c r="A457" s="41" t="str">
        <f ca="1">VLOOKUP(A448,Panchanga!$A$3:$Y$463,14,TRUE)</f>
        <v>Vishkambha-विष्कम्भ-Sa (0.05)</v>
      </c>
      <c r="B457" s="36" t="str">
        <f ca="1">VLOOKUP(B448,Panchanga!$A$3:$Y$463,14,TRUE)</f>
        <v>Priti-प्रीति-Me (1.01)</v>
      </c>
      <c r="C457" s="36" t="s">
        <v>13</v>
      </c>
      <c r="D457" s="36"/>
      <c r="E457" s="36"/>
      <c r="F457" s="36"/>
      <c r="G457" s="48"/>
    </row>
    <row r="458" spans="1:7" s="28" customFormat="1" ht="19.5" x14ac:dyDescent="0.3">
      <c r="A458" s="63" t="str">
        <f ca="1">VLOOKUP(A448,Panchanga!$A$3:$Y$463,18,TRUE)</f>
        <v>-10Ma,4Me,-7Ju,4Ve,-9Sa,4Ra</v>
      </c>
      <c r="B458" s="64" t="str">
        <f ca="1">VLOOKUP(B448,Panchanga!$A$3:$Y$463,18,TRUE)</f>
        <v>-10Ma,4Me,-7Ju,4Ve,-9Sa,4Ra</v>
      </c>
      <c r="C458" s="64"/>
      <c r="D458" s="64"/>
      <c r="E458" s="64"/>
      <c r="F458" s="64"/>
      <c r="G458" s="65"/>
    </row>
    <row r="459" spans="1:7" ht="24" thickBot="1" x14ac:dyDescent="0.4"/>
    <row r="460" spans="1:7" x14ac:dyDescent="0.35">
      <c r="A460" s="23" t="s">
        <v>26</v>
      </c>
      <c r="B460" s="21">
        <f>Lat</f>
        <v>13.5</v>
      </c>
      <c r="C460" s="23" t="s">
        <v>1</v>
      </c>
      <c r="D460" s="21">
        <f>Long</f>
        <v>80.23</v>
      </c>
      <c r="E460" s="23" t="s">
        <v>4</v>
      </c>
      <c r="F460" s="22">
        <f>TimeZone</f>
        <v>5.5</v>
      </c>
    </row>
    <row r="463" spans="1:7" s="51" customFormat="1" ht="38.25" thickBot="1" x14ac:dyDescent="0.55000000000000004">
      <c r="A463" s="68">
        <f ca="1">DATE(YEAR(A386),MONTH(A386)+1,1)</f>
        <v>43282</v>
      </c>
      <c r="B463" s="69"/>
      <c r="C463" s="69"/>
      <c r="D463" s="69"/>
      <c r="E463" s="69"/>
      <c r="F463" s="69"/>
      <c r="G463" s="69"/>
    </row>
    <row r="464" spans="1:7" s="56" customFormat="1" ht="35.25" thickBot="1" x14ac:dyDescent="0.5">
      <c r="A464" s="57">
        <v>1</v>
      </c>
      <c r="B464" s="58">
        <v>2</v>
      </c>
      <c r="C464" s="58">
        <v>3</v>
      </c>
      <c r="D464" s="58">
        <v>4</v>
      </c>
      <c r="E464" s="58">
        <v>5</v>
      </c>
      <c r="F464" s="58">
        <v>6</v>
      </c>
      <c r="G464" s="59">
        <v>7</v>
      </c>
    </row>
    <row r="465" spans="1:7" s="51" customFormat="1" ht="37.5" x14ac:dyDescent="0.5">
      <c r="A465" s="52">
        <f ca="1">DATE(YEAR(A463),MONTH(A463),1)-WEEKDAY(A463)+1</f>
        <v>43282</v>
      </c>
      <c r="B465" s="53">
        <f t="shared" ref="B465:G465" ca="1" si="30">A465+1</f>
        <v>43283</v>
      </c>
      <c r="C465" s="53">
        <f t="shared" ca="1" si="30"/>
        <v>43284</v>
      </c>
      <c r="D465" s="53">
        <f t="shared" ca="1" si="30"/>
        <v>43285</v>
      </c>
      <c r="E465" s="53">
        <f t="shared" ca="1" si="30"/>
        <v>43286</v>
      </c>
      <c r="F465" s="53">
        <f t="shared" ca="1" si="30"/>
        <v>43287</v>
      </c>
      <c r="G465" s="54">
        <f t="shared" ca="1" si="30"/>
        <v>43288</v>
      </c>
    </row>
    <row r="466" spans="1:7" s="28" customFormat="1" ht="19.5" x14ac:dyDescent="0.3">
      <c r="A466" s="37">
        <f ca="1">VLOOKUP(A465,Panchanga!$A$3:$Y$463,3,TRUE)</f>
        <v>43282.240996248242</v>
      </c>
      <c r="B466" s="27">
        <f ca="1">VLOOKUP(B465,Panchanga!$A$3:$Y$463,3,TRUE)</f>
        <v>43283.241185234547</v>
      </c>
      <c r="C466" s="27">
        <f ca="1">VLOOKUP(C465,Panchanga!$A$3:$Y$463,3,TRUE)</f>
        <v>43284.241376446247</v>
      </c>
      <c r="D466" s="27">
        <f ca="1">VLOOKUP(D465,Panchanga!$A$3:$Y$463,3,TRUE)</f>
        <v>43285.241569724087</v>
      </c>
      <c r="E466" s="27">
        <f ca="1">VLOOKUP(E465,Panchanga!$A$3:$Y$463,3,TRUE)</f>
        <v>43286.241764909741</v>
      </c>
      <c r="F466" s="27">
        <f ca="1">VLOOKUP(F465,Panchanga!$A$3:$Y$463,3,TRUE)</f>
        <v>43287.241961684231</v>
      </c>
      <c r="G466" s="44">
        <f ca="1">VLOOKUP(G465,Panchanga!$A$3:$Y$463,3,TRUE)</f>
        <v>43288.242159730908</v>
      </c>
    </row>
    <row r="467" spans="1:7" s="28" customFormat="1" ht="19.5" x14ac:dyDescent="0.3">
      <c r="A467" s="37">
        <f ca="1">VLOOKUP(A465,Panchanga!$A$3:$Y$463,4,TRUE)</f>
        <v>43281.777559419672</v>
      </c>
      <c r="B467" s="27">
        <f ca="1">VLOOKUP(B465,Panchanga!$A$3:$Y$463,4,TRUE)</f>
        <v>43282.777640163942</v>
      </c>
      <c r="C467" s="27">
        <f ca="1">VLOOKUP(C465,Panchanga!$A$3:$Y$463,4,TRUE)</f>
        <v>43283.777712325609</v>
      </c>
      <c r="D467" s="27">
        <f ca="1">VLOOKUP(D465,Panchanga!$A$3:$Y$463,4,TRUE)</f>
        <v>43284.777776221788</v>
      </c>
      <c r="E467" s="27">
        <f ca="1">VLOOKUP(E465,Panchanga!$A$3:$Y$463,4,TRUE)</f>
        <v>43285.777831375643</v>
      </c>
      <c r="F467" s="27">
        <f ca="1">VLOOKUP(F465,Panchanga!$A$3:$Y$463,4,TRUE)</f>
        <v>43286.777877628847</v>
      </c>
      <c r="G467" s="44">
        <f ca="1">VLOOKUP(G465,Panchanga!$A$3:$Y$463,4,TRUE)</f>
        <v>43287.777914981401</v>
      </c>
    </row>
    <row r="468" spans="1:7" s="28" customFormat="1" ht="19.5" x14ac:dyDescent="0.3">
      <c r="A468" s="38">
        <f ca="1">VLOOKUP(A465,Panchanga!$A$3:$Y$463,6,TRUE)</f>
        <v>75.03302913077934</v>
      </c>
      <c r="B468" s="30">
        <f ca="1">VLOOKUP(B465,Panchanga!$A$3:$Y$463,6,TRUE)</f>
        <v>75.986363192286291</v>
      </c>
      <c r="C468" s="30">
        <f ca="1">VLOOKUP(C465,Panchanga!$A$3:$Y$463,6,TRUE)</f>
        <v>76.939717153478952</v>
      </c>
      <c r="D468" s="30">
        <f ca="1">VLOOKUP(D465,Panchanga!$A$3:$Y$463,6,TRUE)</f>
        <v>77.893109894112072</v>
      </c>
      <c r="E468" s="30">
        <f ca="1">VLOOKUP(E465,Panchanga!$A$3:$Y$463,6,TRUE)</f>
        <v>78.846558812732468</v>
      </c>
      <c r="F468" s="30">
        <f ca="1">VLOOKUP(F465,Panchanga!$A$3:$Y$463,6,TRUE)</f>
        <v>79.800079297763176</v>
      </c>
      <c r="G468" s="45">
        <f ca="1">VLOOKUP(G465,Panchanga!$A$3:$Y$463,6,TRUE)</f>
        <v>80.753684447338358</v>
      </c>
    </row>
    <row r="469" spans="1:7" s="28" customFormat="1" ht="19.5" x14ac:dyDescent="0.3">
      <c r="A469" s="38">
        <f ca="1">VLOOKUP(A465,Panchanga!$A$3:$Y$463,7,TRUE)</f>
        <v>285.55289505134175</v>
      </c>
      <c r="B469" s="30">
        <f ca="1">VLOOKUP(B465,Panchanga!$A$3:$Y$463,7,TRUE)</f>
        <v>297.3660893808447</v>
      </c>
      <c r="C469" s="30">
        <f ca="1">VLOOKUP(C465,Panchanga!$A$3:$Y$463,7,TRUE)</f>
        <v>309.25939144411291</v>
      </c>
      <c r="D469" s="30">
        <f ca="1">VLOOKUP(D465,Panchanga!$A$3:$Y$463,7,TRUE)</f>
        <v>321.29745102263155</v>
      </c>
      <c r="E469" s="30">
        <f ca="1">VLOOKUP(E465,Panchanga!$A$3:$Y$463,7,TRUE)</f>
        <v>333.55091380451466</v>
      </c>
      <c r="F469" s="30">
        <f ca="1">VLOOKUP(F465,Panchanga!$A$3:$Y$463,7,TRUE)</f>
        <v>346.09273655284255</v>
      </c>
      <c r="G469" s="45">
        <f ca="1">VLOOKUP(G465,Panchanga!$A$3:$Y$463,7,TRUE)</f>
        <v>358.99239073975423</v>
      </c>
    </row>
    <row r="470" spans="1:7" s="28" customFormat="1" ht="19.5" x14ac:dyDescent="0.3">
      <c r="A470" s="39" t="str">
        <f ca="1">VLOOKUP(A465,Panchanga!$A$3:$Y$463,9,TRUE) &amp; " "&amp;ROUND(A469/13.333,2)</f>
        <v>Sravana 21.42</v>
      </c>
      <c r="B470" s="32" t="str">
        <f ca="1">VLOOKUP(B465,Panchanga!$A$3:$Y$463,9,TRUE) &amp; " "&amp;ROUND(B469/13.333,2)</f>
        <v>Dhanistha 22.3</v>
      </c>
      <c r="C470" s="32" t="str">
        <f ca="1">VLOOKUP(C465,Panchanga!$A$3:$Y$463,9,TRUE) &amp; " "&amp;ROUND(C469/13.333,2)</f>
        <v>Satabhisaj 23.2</v>
      </c>
      <c r="D470" s="32" t="str">
        <f ca="1">VLOOKUP(D465,Panchanga!$A$3:$Y$463,9,TRUE) &amp; " "&amp;ROUND(D469/13.333,2)</f>
        <v>Purva Bhadrapada 24.1</v>
      </c>
      <c r="E470" s="32" t="str">
        <f ca="1">VLOOKUP(E465,Panchanga!$A$3:$Y$463,9,TRUE) &amp; " "&amp;ROUND(E469/13.333,2)</f>
        <v>Uttara Bhadrapada 25.02</v>
      </c>
      <c r="F470" s="32" t="str">
        <f ca="1">VLOOKUP(F465,Panchanga!$A$3:$Y$463,9,TRUE) &amp; " "&amp;ROUND(F469/13.333,2)</f>
        <v>Uttara Bhadrapada 25.96</v>
      </c>
      <c r="G470" s="46" t="str">
        <f ca="1">VLOOKUP(G465,Panchanga!$A$3:$Y$463,9,TRUE) &amp; " "&amp;ROUND(G469/13.333,2)</f>
        <v>Revati 26.93</v>
      </c>
    </row>
    <row r="471" spans="1:7" s="28" customFormat="1" ht="19.5" x14ac:dyDescent="0.3">
      <c r="A471" s="40">
        <f ca="1">VLOOKUP(A465,Panchanga!$A$3:$Y$463,10,TRUE)</f>
        <v>43282.899743447451</v>
      </c>
      <c r="B471" s="34">
        <f ca="1">VLOOKUP(B465,Panchanga!$A$3:$Y$463,10,TRUE)</f>
        <v>43284.023336029633</v>
      </c>
      <c r="C471" s="34">
        <f ca="1">VLOOKUP(C465,Panchanga!$A$3:$Y$463,10,TRUE)</f>
        <v>43285.133769809763</v>
      </c>
      <c r="D471" s="34">
        <f ca="1">VLOOKUP(D465,Panchanga!$A$3:$Y$463,10,TRUE)</f>
        <v>43286.224004792159</v>
      </c>
      <c r="E471" s="34">
        <f ca="1">VLOOKUP(E465,Panchanga!$A$3:$Y$463,10,TRUE)</f>
        <v>43287.287731988923</v>
      </c>
      <c r="F471" s="34">
        <f ca="1">VLOOKUP(F465,Panchanga!$A$3:$Y$463,10,TRUE)</f>
        <v>43287.286462394906</v>
      </c>
      <c r="G471" s="47">
        <f ca="1">VLOOKUP(G465,Panchanga!$A$3:$Y$463,10,TRUE)</f>
        <v>43288.239252738917</v>
      </c>
    </row>
    <row r="472" spans="1:7" s="28" customFormat="1" ht="19.5" x14ac:dyDescent="0.3">
      <c r="A472" s="38" t="str">
        <f ca="1">VLOOKUP(A465,Panchanga!$A$3:$Y$463,11,TRUE)</f>
        <v>K3 (17.54)</v>
      </c>
      <c r="B472" s="30" t="str">
        <f ca="1">VLOOKUP(B465,Panchanga!$A$3:$Y$463,11,TRUE)</f>
        <v>K4 (18.45)</v>
      </c>
      <c r="C472" s="30" t="str">
        <f ca="1">VLOOKUP(C465,Panchanga!$A$3:$Y$463,11,TRUE)</f>
        <v>K5 (19.36)</v>
      </c>
      <c r="D472" s="30" t="str">
        <f ca="1">VLOOKUP(D465,Panchanga!$A$3:$Y$463,11,TRUE)</f>
        <v>K6 (20.28)</v>
      </c>
      <c r="E472" s="30" t="str">
        <f ca="1">VLOOKUP(E465,Panchanga!$A$3:$Y$463,11,TRUE)</f>
        <v>K7 (21.23)</v>
      </c>
      <c r="F472" s="30" t="str">
        <f ca="1">VLOOKUP(F465,Panchanga!$A$3:$Y$463,11,TRUE)</f>
        <v>K8 (22.19)</v>
      </c>
      <c r="G472" s="45" t="str">
        <f ca="1">VLOOKUP(G465,Panchanga!$A$3:$Y$463,11,TRUE)</f>
        <v>K9 (23.19)</v>
      </c>
    </row>
    <row r="473" spans="1:7" s="28" customFormat="1" ht="19.5" x14ac:dyDescent="0.3">
      <c r="A473" s="41" t="str">
        <f ca="1">VLOOKUP(A465,Panchanga!$A$3:$Y$463,13,TRUE)</f>
        <v>Vishti</v>
      </c>
      <c r="B473" s="36" t="str">
        <f ca="1">VLOOKUP(B465,Panchanga!$A$3:$Y$463,13,TRUE)</f>
        <v>Bhava</v>
      </c>
      <c r="C473" s="36" t="str">
        <f ca="1">VLOOKUP(C465,Panchanga!$A$3:$Y$463,13,TRUE)</f>
        <v>Kaulava</v>
      </c>
      <c r="D473" s="36" t="str">
        <f ca="1">VLOOKUP(D465,Panchanga!$A$3:$Y$463,13,TRUE)</f>
        <v>Garija</v>
      </c>
      <c r="E473" s="36" t="str">
        <f ca="1">VLOOKUP(E465,Panchanga!$A$3:$Y$463,13,TRUE)</f>
        <v>Vishti</v>
      </c>
      <c r="F473" s="36" t="str">
        <f ca="1">VLOOKUP(F465,Panchanga!$A$3:$Y$463,13,TRUE)</f>
        <v>Baalava</v>
      </c>
      <c r="G473" s="48" t="str">
        <f ca="1">VLOOKUP(G465,Panchanga!$A$3:$Y$463,13,TRUE)</f>
        <v>Taitula</v>
      </c>
    </row>
    <row r="474" spans="1:7" s="28" customFormat="1" ht="19.5" x14ac:dyDescent="0.3">
      <c r="A474" s="41" t="str">
        <f ca="1">VLOOKUP(A465,Panchanga!$A$3:$Y$463,14,TRUE)</f>
        <v>Vishkambha-विष्कम्भ-Sa (0.05)</v>
      </c>
      <c r="B474" s="36" t="str">
        <f ca="1">VLOOKUP(B465,Panchanga!$A$3:$Y$463,14,TRUE)</f>
        <v>Priti-प्रीति-Me (1.01)</v>
      </c>
      <c r="C474" s="36" t="str">
        <f ca="1">VLOOKUP(C465,Panchanga!$A$3:$Y$463,14,TRUE)</f>
        <v>Priti-प्रीति-Me (1.97)</v>
      </c>
      <c r="D474" s="36" t="str">
        <f ca="1">VLOOKUP(D465,Panchanga!$A$3:$Y$463,14,TRUE)</f>
        <v>Ayushman-आयुष्मान-Ke (2.94)</v>
      </c>
      <c r="E474" s="36" t="str">
        <f ca="1">VLOOKUP(E465,Panchanga!$A$3:$Y$463,14,TRUE)</f>
        <v>Saubhagya-सौभाग्य-Ve (3.93)</v>
      </c>
      <c r="F474" s="36" t="str">
        <f ca="1">VLOOKUP(F465,Panchanga!$A$3:$Y$463,14,TRUE)</f>
        <v>Shobhana-शोभन-Su (4.95)</v>
      </c>
      <c r="G474" s="48" t="str">
        <f ca="1">VLOOKUP(G465,Panchanga!$A$3:$Y$463,14,TRUE)</f>
        <v>Atiganda-अतिगण्ड -Mo (5.99)</v>
      </c>
    </row>
    <row r="475" spans="1:7" s="28" customFormat="1" ht="19.5" x14ac:dyDescent="0.3">
      <c r="A475" s="63" t="str">
        <f ca="1">VLOOKUP(A465,Panchanga!$A$3:$Y$463,18,TRUE)</f>
        <v>-10Ma,4Me,-7Ju,4Ve,-9Sa,4Ra</v>
      </c>
      <c r="B475" s="64" t="str">
        <f ca="1">VLOOKUP(B465,Panchanga!$A$3:$Y$463,18,TRUE)</f>
        <v>-10Ma,4Me,-7Ju,4Ve,-9Sa,4Ra</v>
      </c>
      <c r="C475" s="64" t="str">
        <f ca="1">VLOOKUP(C465,Panchanga!$A$3:$Y$463,18,TRUE)</f>
        <v>-10Ma,4Me,-7Ju,4Ve,-9Sa,4Ra</v>
      </c>
      <c r="D475" s="64" t="str">
        <f ca="1">VLOOKUP(D465,Panchanga!$A$3:$Y$463,18,TRUE)</f>
        <v>-10Ma,4Me,-7Ju,4Ve,-9Sa,4Ra</v>
      </c>
      <c r="E475" s="64" t="str">
        <f ca="1">VLOOKUP(E465,Panchanga!$A$3:$Y$463,18,TRUE)</f>
        <v>-10Ma,4Me,-7Ju,5Ve,-9Sa,4Ra</v>
      </c>
      <c r="F475" s="64" t="str">
        <f ca="1">VLOOKUP(F465,Panchanga!$A$3:$Y$463,18,TRUE)</f>
        <v>-10Ma,4Me,-7Ju,5Ve,-9Sa,4Ra</v>
      </c>
      <c r="G475" s="65" t="str">
        <f ca="1">VLOOKUP(G465,Panchanga!$A$3:$Y$463,18,TRUE)</f>
        <v>-10Ma,4Me,-7Ju,5Ve,-9Sa,4Ra</v>
      </c>
    </row>
    <row r="476" spans="1:7" ht="5.85" customHeight="1" thickBot="1" x14ac:dyDescent="0.4">
      <c r="A476" s="42"/>
      <c r="B476" s="16"/>
      <c r="C476" s="16"/>
      <c r="D476" s="16"/>
      <c r="E476" s="16"/>
      <c r="F476" s="16"/>
      <c r="G476" s="49"/>
    </row>
    <row r="477" spans="1:7" s="51" customFormat="1" ht="37.5" x14ac:dyDescent="0.5">
      <c r="A477" s="52">
        <f ca="1">G465+1</f>
        <v>43289</v>
      </c>
      <c r="B477" s="53">
        <f t="shared" ref="B477:G477" ca="1" si="31">A477+1</f>
        <v>43290</v>
      </c>
      <c r="C477" s="53">
        <f t="shared" ca="1" si="31"/>
        <v>43291</v>
      </c>
      <c r="D477" s="53">
        <f t="shared" ca="1" si="31"/>
        <v>43292</v>
      </c>
      <c r="E477" s="53">
        <f t="shared" ca="1" si="31"/>
        <v>43293</v>
      </c>
      <c r="F477" s="53">
        <f t="shared" ca="1" si="31"/>
        <v>43294</v>
      </c>
      <c r="G477" s="54">
        <f t="shared" ca="1" si="31"/>
        <v>43295</v>
      </c>
    </row>
    <row r="478" spans="1:7" s="28" customFormat="1" ht="19.5" x14ac:dyDescent="0.3">
      <c r="A478" s="37">
        <f ca="1">VLOOKUP(A477,Panchanga!$A$3:$Y$463,3,TRUE)</f>
        <v>43289.242358730793</v>
      </c>
      <c r="B478" s="27">
        <f ca="1">VLOOKUP(B477,Panchanga!$A$3:$Y$463,3,TRUE)</f>
        <v>43290.242558684353</v>
      </c>
      <c r="C478" s="27">
        <f ca="1">VLOOKUP(C477,Panchanga!$A$3:$Y$463,3,TRUE)</f>
        <v>43291.242758955959</v>
      </c>
      <c r="D478" s="27">
        <f ca="1">VLOOKUP(D477,Panchanga!$A$3:$Y$463,3,TRUE)</f>
        <v>43292.242959545612</v>
      </c>
      <c r="E478" s="27">
        <f ca="1">VLOOKUP(E477,Panchanga!$A$3:$Y$463,3,TRUE)</f>
        <v>43293.243159817219</v>
      </c>
      <c r="F478" s="27">
        <f ca="1">VLOOKUP(F477,Panchanga!$A$3:$Y$463,3,TRUE)</f>
        <v>43294.243359770779</v>
      </c>
      <c r="G478" s="44">
        <f ca="1">VLOOKUP(G477,Panchanga!$A$3:$Y$463,3,TRUE)</f>
        <v>43295.243559088711</v>
      </c>
    </row>
    <row r="479" spans="1:7" s="28" customFormat="1" ht="19.5" x14ac:dyDescent="0.3">
      <c r="A479" s="37">
        <f ca="1">VLOOKUP(A477,Panchanga!$A$3:$Y$463,4,TRUE)</f>
        <v>43288.777943114794</v>
      </c>
      <c r="B479" s="27">
        <f ca="1">VLOOKUP(B477,Panchanga!$A$3:$Y$463,4,TRUE)</f>
        <v>43289.777962029024</v>
      </c>
      <c r="C479" s="27">
        <f ca="1">VLOOKUP(C477,Panchanga!$A$3:$Y$463,4,TRUE)</f>
        <v>43290.777971406977</v>
      </c>
      <c r="D479" s="27">
        <f ca="1">VLOOKUP(D477,Panchanga!$A$3:$Y$463,4,TRUE)</f>
        <v>43291.777971406977</v>
      </c>
      <c r="E479" s="27">
        <f ca="1">VLOOKUP(E477,Panchanga!$A$3:$Y$463,4,TRUE)</f>
        <v>43292.777961393396</v>
      </c>
      <c r="F479" s="27">
        <f ca="1">VLOOKUP(F477,Panchanga!$A$3:$Y$463,4,TRUE)</f>
        <v>43293.777941684282</v>
      </c>
      <c r="G479" s="44">
        <f ca="1">VLOOKUP(G477,Panchanga!$A$3:$Y$463,4,TRUE)</f>
        <v>43294.777911643541</v>
      </c>
    </row>
    <row r="480" spans="1:7" s="28" customFormat="1" ht="19.5" x14ac:dyDescent="0.3">
      <c r="A480" s="38">
        <f ca="1">VLOOKUP(A477,Panchanga!$A$3:$Y$463,6,TRUE)</f>
        <v>81.707384562032772</v>
      </c>
      <c r="B480" s="30">
        <f ca="1">VLOOKUP(B477,Panchanga!$A$3:$Y$463,6,TRUE)</f>
        <v>82.661186849625409</v>
      </c>
      <c r="C480" s="30">
        <f ca="1">VLOOKUP(C477,Panchanga!$A$3:$Y$463,6,TRUE)</f>
        <v>83.615093821126209</v>
      </c>
      <c r="D480" s="30">
        <f ca="1">VLOOKUP(D477,Panchanga!$A$3:$Y$463,6,TRUE)</f>
        <v>84.569103874152859</v>
      </c>
      <c r="E480" s="30">
        <f ca="1">VLOOKUP(E477,Panchanga!$A$3:$Y$463,6,TRUE)</f>
        <v>85.523209840321854</v>
      </c>
      <c r="F480" s="30">
        <f ca="1">VLOOKUP(F477,Panchanga!$A$3:$Y$463,6,TRUE)</f>
        <v>86.477400741320352</v>
      </c>
      <c r="G480" s="45">
        <f ca="1">VLOOKUP(G477,Panchanga!$A$3:$Y$463,6,TRUE)</f>
        <v>87.431662402117325</v>
      </c>
    </row>
    <row r="481" spans="1:7" s="28" customFormat="1" ht="19.5" x14ac:dyDescent="0.3">
      <c r="A481" s="38">
        <f ca="1">VLOOKUP(A477,Panchanga!$A$3:$Y$463,7,TRUE)</f>
        <v>12.307646275357866</v>
      </c>
      <c r="B481" s="30">
        <f ca="1">VLOOKUP(B477,Panchanga!$A$3:$Y$463,7,TRUE)</f>
        <v>26.074078733090381</v>
      </c>
      <c r="C481" s="30">
        <f ca="1">VLOOKUP(C477,Panchanga!$A$3:$Y$463,7,TRUE)</f>
        <v>40.293490992469408</v>
      </c>
      <c r="D481" s="30">
        <f ca="1">VLOOKUP(D477,Panchanga!$A$3:$Y$463,7,TRUE)</f>
        <v>54.92419026053097</v>
      </c>
      <c r="E481" s="30">
        <f ca="1">VLOOKUP(E477,Panchanga!$A$3:$Y$463,7,TRUE)</f>
        <v>69.877286244092232</v>
      </c>
      <c r="F481" s="30">
        <f ca="1">VLOOKUP(F477,Panchanga!$A$3:$Y$463,7,TRUE)</f>
        <v>85.022777249082409</v>
      </c>
      <c r="G481" s="45">
        <f ca="1">VLOOKUP(G477,Panchanga!$A$3:$Y$463,7,TRUE)</f>
        <v>100.20593733895718</v>
      </c>
    </row>
    <row r="482" spans="1:7" s="28" customFormat="1" ht="19.5" x14ac:dyDescent="0.3">
      <c r="A482" s="39" t="str">
        <f ca="1">VLOOKUP(A477,Panchanga!$A$3:$Y$463,9,TRUE) &amp; " "&amp;ROUND(A481/13.333,2)</f>
        <v>Aswini 0.92</v>
      </c>
      <c r="B482" s="32" t="str">
        <f ca="1">VLOOKUP(B477,Panchanga!$A$3:$Y$463,9,TRUE) &amp; " "&amp;ROUND(B481/13.333,2)</f>
        <v>Bharani 1.96</v>
      </c>
      <c r="C482" s="32" t="str">
        <f ca="1">VLOOKUP(C477,Panchanga!$A$3:$Y$463,9,TRUE) &amp; " "&amp;ROUND(C481/13.333,2)</f>
        <v>Rohini 3.02</v>
      </c>
      <c r="D482" s="32" t="str">
        <f ca="1">VLOOKUP(D477,Panchanga!$A$3:$Y$463,9,TRUE) &amp; " "&amp;ROUND(D481/13.333,2)</f>
        <v>Mrigashira 4.12</v>
      </c>
      <c r="E482" s="32" t="str">
        <f ca="1">VLOOKUP(E477,Panchanga!$A$3:$Y$463,9,TRUE) &amp; " "&amp;ROUND(E481/13.333,2)</f>
        <v>Ardra 5.24</v>
      </c>
      <c r="F482" s="32" t="str">
        <f ca="1">VLOOKUP(F477,Panchanga!$A$3:$Y$463,9,TRUE) &amp; " "&amp;ROUND(F481/13.333,2)</f>
        <v>Punarvasu 6.38</v>
      </c>
      <c r="G482" s="46" t="str">
        <f ca="1">VLOOKUP(G477,Panchanga!$A$3:$Y$463,9,TRUE) &amp; " "&amp;ROUND(G481/13.333,2)</f>
        <v>Pushya 7.52</v>
      </c>
    </row>
    <row r="483" spans="1:7" s="28" customFormat="1" ht="19.5" x14ac:dyDescent="0.3">
      <c r="A483" s="40">
        <f ca="1">VLOOKUP(A477,Panchanga!$A$3:$Y$463,10,TRUE)</f>
        <v>43289.316880009341</v>
      </c>
      <c r="B483" s="34">
        <f ca="1">VLOOKUP(B477,Panchanga!$A$3:$Y$463,10,TRUE)</f>
        <v>43290.284241603542</v>
      </c>
      <c r="C483" s="34">
        <f ca="1">VLOOKUP(C477,Panchanga!$A$3:$Y$463,10,TRUE)</f>
        <v>43292.134203565634</v>
      </c>
      <c r="D483" s="34">
        <f ca="1">VLOOKUP(D477,Panchanga!$A$3:$Y$463,10,TRUE)</f>
        <v>43293.028404118675</v>
      </c>
      <c r="E483" s="34">
        <f ca="1">VLOOKUP(E477,Panchanga!$A$3:$Y$463,10,TRUE)</f>
        <v>43293.911658304671</v>
      </c>
      <c r="F483" s="34">
        <f ca="1">VLOOKUP(F477,Panchanga!$A$3:$Y$463,10,TRUE)</f>
        <v>43294.790822385803</v>
      </c>
      <c r="G483" s="47">
        <f ca="1">VLOOKUP(G477,Panchanga!$A$3:$Y$463,10,TRUE)</f>
        <v>43295.672520435473</v>
      </c>
    </row>
    <row r="484" spans="1:7" s="28" customFormat="1" ht="19.5" x14ac:dyDescent="0.3">
      <c r="A484" s="38" t="str">
        <f ca="1">VLOOKUP(A477,Panchanga!$A$3:$Y$463,11,TRUE)</f>
        <v>K10 (24.22)</v>
      </c>
      <c r="B484" s="30" t="str">
        <f ca="1">VLOOKUP(B477,Panchanga!$A$3:$Y$463,11,TRUE)</f>
        <v>K11 (25.28)</v>
      </c>
      <c r="C484" s="30" t="str">
        <f ca="1">VLOOKUP(C477,Panchanga!$A$3:$Y$463,11,TRUE)</f>
        <v>K12 (26.39)</v>
      </c>
      <c r="D484" s="30" t="str">
        <f ca="1">VLOOKUP(D477,Panchanga!$A$3:$Y$463,11,TRUE)</f>
        <v>K13 (27.53)</v>
      </c>
      <c r="E484" s="30" t="str">
        <f ca="1">VLOOKUP(E477,Panchanga!$A$3:$Y$463,11,TRUE)</f>
        <v>K14 (28.7)</v>
      </c>
      <c r="F484" s="30" t="str">
        <f ca="1">VLOOKUP(F477,Panchanga!$A$3:$Y$463,11,TRUE)</f>
        <v>K15 (29.88)</v>
      </c>
      <c r="G484" s="45" t="str">
        <f ca="1">VLOOKUP(G477,Panchanga!$A$3:$Y$463,11,TRUE)</f>
        <v>S2 (1.06)</v>
      </c>
    </row>
    <row r="485" spans="1:7" s="28" customFormat="1" ht="19.5" x14ac:dyDescent="0.3">
      <c r="A485" s="41" t="str">
        <f ca="1">VLOOKUP(A477,Panchanga!$A$3:$Y$463,13,TRUE)</f>
        <v>Vanija</v>
      </c>
      <c r="B485" s="36" t="str">
        <f ca="1">VLOOKUP(B477,Panchanga!$A$3:$Y$463,13,TRUE)</f>
        <v>Bhava</v>
      </c>
      <c r="C485" s="36" t="str">
        <f ca="1">VLOOKUP(C477,Panchanga!$A$3:$Y$463,13,TRUE)</f>
        <v>Kaulava</v>
      </c>
      <c r="D485" s="36" t="str">
        <f ca="1">VLOOKUP(D477,Panchanga!$A$3:$Y$463,13,TRUE)</f>
        <v>Vanija</v>
      </c>
      <c r="E485" s="36" t="str">
        <f ca="1">VLOOKUP(E477,Panchanga!$A$3:$Y$463,13,TRUE)</f>
        <v>Shakuni</v>
      </c>
      <c r="F485" s="36" t="str">
        <f ca="1">VLOOKUP(F477,Panchanga!$A$3:$Y$463,13,TRUE)</f>
        <v>Naaga</v>
      </c>
      <c r="G485" s="48" t="str">
        <f ca="1">VLOOKUP(G477,Panchanga!$A$3:$Y$463,13,TRUE)</f>
        <v>Baalava</v>
      </c>
    </row>
    <row r="486" spans="1:7" s="28" customFormat="1" ht="19.5" x14ac:dyDescent="0.3">
      <c r="A486" s="41" t="str">
        <f ca="1">VLOOKUP(A477,Panchanga!$A$3:$Y$463,14,TRUE)</f>
        <v>Dhriti-धृति -Ra (7.06)</v>
      </c>
      <c r="B486" s="36" t="str">
        <f ca="1">VLOOKUP(B477,Panchanga!$A$3:$Y$463,14,TRUE)</f>
        <v>Shula-शूल -Ju (8.16)</v>
      </c>
      <c r="C486" s="36" t="str">
        <f ca="1">VLOOKUP(C477,Panchanga!$A$3:$Y$463,14,TRUE)</f>
        <v>Ganda-गण्ड -Sa (9.3)</v>
      </c>
      <c r="D486" s="36" t="str">
        <f ca="1">VLOOKUP(D477,Panchanga!$A$3:$Y$463,14,TRUE)</f>
        <v>Vriddhi-वृद्धि -Me (10.47)</v>
      </c>
      <c r="E486" s="36" t="str">
        <f ca="1">VLOOKUP(E477,Panchanga!$A$3:$Y$463,14,TRUE)</f>
        <v>Dhruva-ध्रुव -Ke (11.66)</v>
      </c>
      <c r="F486" s="36" t="str">
        <f ca="1">VLOOKUP(F477,Panchanga!$A$3:$Y$463,14,TRUE)</f>
        <v>Vyaghata-व्याघात-ve (12.87)</v>
      </c>
      <c r="G486" s="48" t="str">
        <f ca="1">VLOOKUP(G477,Panchanga!$A$3:$Y$463,14,TRUE)</f>
        <v>Vajra-वज्र-Mo (14.08)</v>
      </c>
    </row>
    <row r="487" spans="1:7" s="28" customFormat="1" ht="19.5" x14ac:dyDescent="0.3">
      <c r="A487" s="63" t="str">
        <f ca="1">VLOOKUP(A477,Panchanga!$A$3:$Y$463,18,TRUE)</f>
        <v>-10Ma,4Me,-7Ju,5Ve,-9Sa,4Ra</v>
      </c>
      <c r="B487" s="64" t="str">
        <f ca="1">VLOOKUP(B477,Panchanga!$A$3:$Y$463,18,TRUE)</f>
        <v>-10Ma,4Me,-7Ju,5Ve,-9Sa,4Ra</v>
      </c>
      <c r="C487" s="64" t="str">
        <f ca="1">VLOOKUP(C477,Panchanga!$A$3:$Y$463,18,TRUE)</f>
        <v>-10Ma,4Me,-7Ju,5Ve,-9Sa,4Ra</v>
      </c>
      <c r="D487" s="64" t="str">
        <f ca="1">VLOOKUP(D477,Panchanga!$A$3:$Y$463,18,TRUE)</f>
        <v>-10Ma,4Me,7Ju,5Ve,-9Sa,4Ra</v>
      </c>
      <c r="E487" s="64" t="str">
        <f ca="1">VLOOKUP(E477,Panchanga!$A$3:$Y$463,18,TRUE)</f>
        <v>-10Ma,4Me,7Ju,5Ve,-9Sa,4Ra</v>
      </c>
      <c r="F487" s="64" t="str">
        <f ca="1">VLOOKUP(F477,Panchanga!$A$3:$Y$463,18,TRUE)</f>
        <v>-10Ma,4Me,7Ju,5Ve,-9Sa,4Ra</v>
      </c>
      <c r="G487" s="65" t="str">
        <f ca="1">VLOOKUP(G477,Panchanga!$A$3:$Y$463,18,TRUE)</f>
        <v>-10Ma,4Me,7Ju,5Ve,-9Sa,4Ra</v>
      </c>
    </row>
    <row r="488" spans="1:7" ht="5.85" customHeight="1" thickBot="1" x14ac:dyDescent="0.4">
      <c r="A488" s="42"/>
      <c r="B488" s="16"/>
      <c r="C488" s="16"/>
      <c r="D488" s="16"/>
      <c r="E488" s="16"/>
      <c r="F488" s="16"/>
      <c r="G488" s="49"/>
    </row>
    <row r="489" spans="1:7" s="18" customFormat="1" ht="27.75" x14ac:dyDescent="0.4">
      <c r="A489" s="43">
        <f ca="1">G477+1</f>
        <v>43296</v>
      </c>
      <c r="B489" s="19">
        <f t="shared" ref="B489:G489" ca="1" si="32">A489+1</f>
        <v>43297</v>
      </c>
      <c r="C489" s="19">
        <f t="shared" ca="1" si="32"/>
        <v>43298</v>
      </c>
      <c r="D489" s="19">
        <f t="shared" ca="1" si="32"/>
        <v>43299</v>
      </c>
      <c r="E489" s="19">
        <f t="shared" ca="1" si="32"/>
        <v>43300</v>
      </c>
      <c r="F489" s="19">
        <f t="shared" ca="1" si="32"/>
        <v>43301</v>
      </c>
      <c r="G489" s="50">
        <f t="shared" ca="1" si="32"/>
        <v>43302</v>
      </c>
    </row>
    <row r="490" spans="1:7" s="28" customFormat="1" ht="19.5" x14ac:dyDescent="0.3">
      <c r="A490" s="37">
        <f ca="1">VLOOKUP(A489,Panchanga!$A$3:$Y$463,3,TRUE)</f>
        <v>43296.243757135388</v>
      </c>
      <c r="B490" s="27">
        <f ca="1">VLOOKUP(B489,Panchanga!$A$3:$Y$463,3,TRUE)</f>
        <v>43297.243953909878</v>
      </c>
      <c r="C490" s="27">
        <f ca="1">VLOOKUP(C489,Panchanga!$A$3:$Y$463,3,TRUE)</f>
        <v>43298.244148936275</v>
      </c>
      <c r="D490" s="27">
        <f ca="1">VLOOKUP(D489,Panchanga!$A$3:$Y$463,3,TRUE)</f>
        <v>43299.244342055325</v>
      </c>
      <c r="E490" s="27">
        <f ca="1">VLOOKUP(E489,Panchanga!$A$3:$Y$463,3,TRUE)</f>
        <v>43300.244533108234</v>
      </c>
      <c r="F490" s="27">
        <f ca="1">VLOOKUP(F489,Panchanga!$A$3:$Y$463,3,TRUE)</f>
        <v>43301.244721935749</v>
      </c>
      <c r="G490" s="44">
        <f ca="1">VLOOKUP(G489,Panchanga!$A$3:$Y$463,3,TRUE)</f>
        <v>43302.244908061031</v>
      </c>
    </row>
    <row r="491" spans="1:7" s="28" customFormat="1" ht="19.5" x14ac:dyDescent="0.3">
      <c r="A491" s="37">
        <f ca="1">VLOOKUP(A489,Panchanga!$A$3:$Y$463,4,TRUE)</f>
        <v>43295.77787158922</v>
      </c>
      <c r="B491" s="27">
        <f ca="1">VLOOKUP(B489,Panchanga!$A$3:$Y$463,4,TRUE)</f>
        <v>43296.777820885225</v>
      </c>
      <c r="C491" s="27">
        <f ca="1">VLOOKUP(C489,Panchanga!$A$3:$Y$463,4,TRUE)</f>
        <v>43297.777759850069</v>
      </c>
      <c r="D491" s="27">
        <f ca="1">VLOOKUP(D489,Panchanga!$A$3:$Y$463,4,TRUE)</f>
        <v>43298.777688006914</v>
      </c>
      <c r="E491" s="27">
        <f ca="1">VLOOKUP(E489,Panchanga!$A$3:$Y$463,4,TRUE)</f>
        <v>43299.777605514086</v>
      </c>
      <c r="F491" s="27">
        <f ca="1">VLOOKUP(F489,Panchanga!$A$3:$Y$463,4,TRUE)</f>
        <v>43300.777512212793</v>
      </c>
      <c r="G491" s="44">
        <f ca="1">VLOOKUP(G489,Panchanga!$A$3:$Y$463,4,TRUE)</f>
        <v>43301.777408103502</v>
      </c>
    </row>
    <row r="492" spans="1:7" s="28" customFormat="1" ht="19.5" x14ac:dyDescent="0.3">
      <c r="A492" s="38">
        <f ca="1">VLOOKUP(A489,Panchanga!$A$3:$Y$463,6,TRUE)</f>
        <v>88.385979772667639</v>
      </c>
      <c r="B492" s="30">
        <f ca="1">VLOOKUP(B489,Panchanga!$A$3:$Y$463,6,TRUE)</f>
        <v>89.340340381352604</v>
      </c>
      <c r="C492" s="30">
        <f ca="1">VLOOKUP(C489,Panchanga!$A$3:$Y$463,6,TRUE)</f>
        <v>90.294735334223645</v>
      </c>
      <c r="D492" s="30">
        <f ca="1">VLOOKUP(D489,Panchanga!$A$3:$Y$463,6,TRUE)</f>
        <v>91.24916115810008</v>
      </c>
      <c r="E492" s="30">
        <f ca="1">VLOOKUP(E489,Panchanga!$A$3:$Y$463,6,TRUE)</f>
        <v>92.203619568282747</v>
      </c>
      <c r="F492" s="30">
        <f ca="1">VLOOKUP(F489,Panchanga!$A$3:$Y$463,6,TRUE)</f>
        <v>93.158116855026591</v>
      </c>
      <c r="G492" s="45">
        <f ca="1">VLOOKUP(G489,Panchanga!$A$3:$Y$463,6,TRUE)</f>
        <v>94.112662730196305</v>
      </c>
    </row>
    <row r="493" spans="1:7" s="28" customFormat="1" ht="19.5" x14ac:dyDescent="0.3">
      <c r="A493" s="38">
        <f ca="1">VLOOKUP(A489,Panchanga!$A$3:$Y$463,7,TRUE)</f>
        <v>115.27025234640347</v>
      </c>
      <c r="B493" s="30">
        <f ca="1">VLOOKUP(B489,Panchanga!$A$3:$Y$463,7,TRUE)</f>
        <v>130.08013771977801</v>
      </c>
      <c r="C493" s="30">
        <f ca="1">VLOOKUP(C489,Panchanga!$A$3:$Y$463,7,TRUE)</f>
        <v>144.5369963341621</v>
      </c>
      <c r="D493" s="30">
        <f ca="1">VLOOKUP(D489,Panchanga!$A$3:$Y$463,7,TRUE)</f>
        <v>158.58556981028556</v>
      </c>
      <c r="E493" s="30">
        <f ca="1">VLOOKUP(E489,Panchanga!$A$3:$Y$463,7,TRUE)</f>
        <v>172.21136582787861</v>
      </c>
      <c r="F493" s="30">
        <f ca="1">VLOOKUP(F489,Panchanga!$A$3:$Y$463,7,TRUE)</f>
        <v>185.43243557219824</v>
      </c>
      <c r="G493" s="45">
        <f ca="1">VLOOKUP(G489,Panchanga!$A$3:$Y$463,7,TRUE)</f>
        <v>198.28908258851084</v>
      </c>
    </row>
    <row r="494" spans="1:7" s="28" customFormat="1" ht="19.5" x14ac:dyDescent="0.3">
      <c r="A494" s="39" t="str">
        <f ca="1">VLOOKUP(A489,Panchanga!$A$3:$Y$463,9,TRUE) &amp; " "&amp;ROUND(A493/13.333,2)</f>
        <v>Aslesha 8.65</v>
      </c>
      <c r="B494" s="32" t="str">
        <f ca="1">VLOOKUP(B489,Panchanga!$A$3:$Y$463,9,TRUE) &amp; " "&amp;ROUND(B493/13.333,2)</f>
        <v>Makha 9.76</v>
      </c>
      <c r="C494" s="32" t="str">
        <f ca="1">VLOOKUP(C489,Panchanga!$A$3:$Y$463,9,TRUE) &amp; " "&amp;ROUND(C493/13.333,2)</f>
        <v>Purva Phalguni 10.84</v>
      </c>
      <c r="D494" s="32" t="str">
        <f ca="1">VLOOKUP(D489,Panchanga!$A$3:$Y$463,9,TRUE) &amp; " "&amp;ROUND(D493/13.333,2)</f>
        <v>Uttara Phalguni 11.89</v>
      </c>
      <c r="E494" s="32" t="str">
        <f ca="1">VLOOKUP(E489,Panchanga!$A$3:$Y$463,9,TRUE) &amp; " "&amp;ROUND(E493/13.333,2)</f>
        <v>Hasta 12.92</v>
      </c>
      <c r="F494" s="32" t="str">
        <f ca="1">VLOOKUP(F489,Panchanga!$A$3:$Y$463,9,TRUE) &amp; " "&amp;ROUND(F493/13.333,2)</f>
        <v>Chitra 13.91</v>
      </c>
      <c r="G494" s="46" t="str">
        <f ca="1">VLOOKUP(G489,Panchanga!$A$3:$Y$463,9,TRUE) &amp; " "&amp;ROUND(G493/13.333,2)</f>
        <v>Swati 14.87</v>
      </c>
    </row>
    <row r="495" spans="1:7" s="28" customFormat="1" ht="19.5" x14ac:dyDescent="0.3">
      <c r="A495" s="40">
        <f ca="1">VLOOKUP(A489,Panchanga!$A$3:$Y$463,10,TRUE)</f>
        <v>43296.563184209132</v>
      </c>
      <c r="B495" s="34">
        <f ca="1">VLOOKUP(B489,Panchanga!$A$3:$Y$463,10,TRUE)</f>
        <v>43297.469025632534</v>
      </c>
      <c r="C495" s="34">
        <f ca="1">VLOOKUP(C489,Panchanga!$A$3:$Y$463,10,TRUE)</f>
        <v>43298.395771563017</v>
      </c>
      <c r="D495" s="34">
        <f ca="1">VLOOKUP(D489,Panchanga!$A$3:$Y$463,10,TRUE)</f>
        <v>43299.348167213051</v>
      </c>
      <c r="E495" s="34">
        <f ca="1">VLOOKUP(E489,Panchanga!$A$3:$Y$463,10,TRUE)</f>
        <v>43300.329411214581</v>
      </c>
      <c r="F495" s="34">
        <f ca="1">VLOOKUP(F489,Panchanga!$A$3:$Y$463,10,TRUE)</f>
        <v>43301.340739257721</v>
      </c>
      <c r="G495" s="47">
        <f ca="1">VLOOKUP(G489,Panchanga!$A$3:$Y$463,10,TRUE)</f>
        <v>43302.381314631246</v>
      </c>
    </row>
    <row r="496" spans="1:7" s="28" customFormat="1" ht="19.5" x14ac:dyDescent="0.3">
      <c r="A496" s="38" t="str">
        <f ca="1">VLOOKUP(A489,Panchanga!$A$3:$Y$463,11,TRUE)</f>
        <v>S3 (2.24)</v>
      </c>
      <c r="B496" s="30" t="str">
        <f ca="1">VLOOKUP(B489,Panchanga!$A$3:$Y$463,11,TRUE)</f>
        <v>S4 (3.4)</v>
      </c>
      <c r="C496" s="30" t="str">
        <f ca="1">VLOOKUP(C489,Panchanga!$A$3:$Y$463,11,TRUE)</f>
        <v>S5 (4.52)</v>
      </c>
      <c r="D496" s="30" t="str">
        <f ca="1">VLOOKUP(D489,Panchanga!$A$3:$Y$463,11,TRUE)</f>
        <v>S6 (5.61)</v>
      </c>
      <c r="E496" s="30" t="str">
        <f ca="1">VLOOKUP(E489,Panchanga!$A$3:$Y$463,11,TRUE)</f>
        <v>S7 (6.67)</v>
      </c>
      <c r="F496" s="30" t="str">
        <f ca="1">VLOOKUP(F489,Panchanga!$A$3:$Y$463,11,TRUE)</f>
        <v>S8 (7.69)</v>
      </c>
      <c r="G496" s="45" t="str">
        <f ca="1">VLOOKUP(G489,Panchanga!$A$3:$Y$463,11,TRUE)</f>
        <v>S9 (8.68)</v>
      </c>
    </row>
    <row r="497" spans="1:7" s="28" customFormat="1" ht="19.5" x14ac:dyDescent="0.3">
      <c r="A497" s="41" t="str">
        <f ca="1">VLOOKUP(A489,Panchanga!$A$3:$Y$463,13,TRUE)</f>
        <v>Taitula</v>
      </c>
      <c r="B497" s="36" t="str">
        <f ca="1">VLOOKUP(B489,Panchanga!$A$3:$Y$463,13,TRUE)</f>
        <v>Vanija</v>
      </c>
      <c r="C497" s="36" t="str">
        <f ca="1">VLOOKUP(C489,Panchanga!$A$3:$Y$463,13,TRUE)</f>
        <v>Baalava</v>
      </c>
      <c r="D497" s="36" t="str">
        <f ca="1">VLOOKUP(D489,Panchanga!$A$3:$Y$463,13,TRUE)</f>
        <v>Taitula</v>
      </c>
      <c r="E497" s="36" t="str">
        <f ca="1">VLOOKUP(E489,Panchanga!$A$3:$Y$463,13,TRUE)</f>
        <v>Vanija</v>
      </c>
      <c r="F497" s="36" t="str">
        <f ca="1">VLOOKUP(F489,Panchanga!$A$3:$Y$463,13,TRUE)</f>
        <v>Bhava</v>
      </c>
      <c r="G497" s="48" t="str">
        <f ca="1">VLOOKUP(G489,Panchanga!$A$3:$Y$463,13,TRUE)</f>
        <v>Kaulava</v>
      </c>
    </row>
    <row r="498" spans="1:7" s="28" customFormat="1" ht="19.5" x14ac:dyDescent="0.3">
      <c r="A498" s="41" t="str">
        <f ca="1">VLOOKUP(A489,Panchanga!$A$3:$Y$463,14,TRUE)</f>
        <v>Siddhi-सिद्धि-Ma (15.28)</v>
      </c>
      <c r="B498" s="36" t="str">
        <f ca="1">VLOOKUP(B489,Panchanga!$A$3:$Y$463,14,TRUE)</f>
        <v>Vyatipata-व्यतिपात-Ra (16.46)</v>
      </c>
      <c r="C498" s="36" t="str">
        <f ca="1">VLOOKUP(C489,Panchanga!$A$3:$Y$463,14,TRUE)</f>
        <v>Varigha-वरीयस्-Ju (17.62)</v>
      </c>
      <c r="D498" s="36" t="str">
        <f ca="1">VLOOKUP(D489,Panchanga!$A$3:$Y$463,14,TRUE)</f>
        <v>Parigha-परिघ-Sa (18.74)</v>
      </c>
      <c r="E498" s="36" t="str">
        <f ca="1">VLOOKUP(E489,Panchanga!$A$3:$Y$463,14,TRUE)</f>
        <v>Shiva-शिव-Me (19.84)</v>
      </c>
      <c r="F498" s="36" t="str">
        <f ca="1">VLOOKUP(F489,Panchanga!$A$3:$Y$463,14,TRUE)</f>
        <v>Siddha-सिद्ध-Ke (20.9)</v>
      </c>
      <c r="G498" s="48" t="str">
        <f ca="1">VLOOKUP(G489,Panchanga!$A$3:$Y$463,14,TRUE)</f>
        <v>Sadhya-साध्य-Ve (21.94)</v>
      </c>
    </row>
    <row r="499" spans="1:7" s="28" customFormat="1" ht="19.5" x14ac:dyDescent="0.3">
      <c r="A499" s="63" t="str">
        <f ca="1">VLOOKUP(A489,Panchanga!$A$3:$Y$463,18,TRUE)</f>
        <v>-10Ma,4Me,7Ju,5Ve,-9Sa,4Ra</v>
      </c>
      <c r="B499" s="64" t="str">
        <f ca="1">VLOOKUP(B489,Panchanga!$A$3:$Y$463,18,TRUE)</f>
        <v>-10Ma,4Me,7Ju,5Ve,-9Sa,4Ra</v>
      </c>
      <c r="C499" s="64" t="str">
        <f ca="1">VLOOKUP(C489,Panchanga!$A$3:$Y$463,18,TRUE)</f>
        <v>-10Ma,4Me,7Ju,5Ve,-9Sa,4Ra</v>
      </c>
      <c r="D499" s="64" t="str">
        <f ca="1">VLOOKUP(D489,Panchanga!$A$3:$Y$463,18,TRUE)</f>
        <v>-10Ma,4Me,7Ju,5Ve,-9Sa,4Ra</v>
      </c>
      <c r="E499" s="64" t="str">
        <f ca="1">VLOOKUP(E489,Panchanga!$A$3:$Y$463,18,TRUE)</f>
        <v>-10Ma,4Me,7Ju,5Ve,-9Sa,4Ra</v>
      </c>
      <c r="F499" s="64" t="str">
        <f ca="1">VLOOKUP(F489,Panchanga!$A$3:$Y$463,18,TRUE)</f>
        <v>-10Ma,4Me,7Ju,5Ve,-9Sa,4Ra</v>
      </c>
      <c r="G499" s="65" t="str">
        <f ca="1">VLOOKUP(G489,Panchanga!$A$3:$Y$463,18,TRUE)</f>
        <v>-10Ma,4Me,7Ju,5Ve,-9Sa,4Ra</v>
      </c>
    </row>
    <row r="500" spans="1:7" ht="5.85" customHeight="1" thickBot="1" x14ac:dyDescent="0.4">
      <c r="A500" s="42"/>
      <c r="B500" s="16"/>
      <c r="C500" s="16"/>
      <c r="D500" s="16"/>
      <c r="E500" s="16"/>
      <c r="F500" s="16"/>
      <c r="G500" s="49"/>
    </row>
    <row r="501" spans="1:7" s="51" customFormat="1" ht="37.5" x14ac:dyDescent="0.5">
      <c r="A501" s="52">
        <f ca="1">G489+1</f>
        <v>43303</v>
      </c>
      <c r="B501" s="53">
        <f t="shared" ref="B501:G501" ca="1" si="33">A501+1</f>
        <v>43304</v>
      </c>
      <c r="C501" s="53">
        <f t="shared" ca="1" si="33"/>
        <v>43305</v>
      </c>
      <c r="D501" s="53">
        <f t="shared" ca="1" si="33"/>
        <v>43306</v>
      </c>
      <c r="E501" s="53">
        <f t="shared" ca="1" si="33"/>
        <v>43307</v>
      </c>
      <c r="F501" s="53">
        <f t="shared" ca="1" si="33"/>
        <v>43308</v>
      </c>
      <c r="G501" s="54">
        <f t="shared" ca="1" si="33"/>
        <v>43309</v>
      </c>
    </row>
    <row r="502" spans="1:7" s="28" customFormat="1" ht="19.5" x14ac:dyDescent="0.3">
      <c r="A502" s="37">
        <f ca="1">VLOOKUP(A501,Panchanga!$A$3:$Y$463,3,TRUE)</f>
        <v>43303.245091484547</v>
      </c>
      <c r="B502" s="27">
        <f ca="1">VLOOKUP(B501,Panchanga!$A$3:$Y$463,3,TRUE)</f>
        <v>43304.245272047039</v>
      </c>
      <c r="C502" s="27">
        <f ca="1">VLOOKUP(C501,Panchanga!$A$3:$Y$463,3,TRUE)</f>
        <v>43305.245449748043</v>
      </c>
      <c r="D502" s="27">
        <f ca="1">VLOOKUP(D501,Panchanga!$A$3:$Y$463,3,TRUE)</f>
        <v>43306.245624270443</v>
      </c>
      <c r="E502" s="27">
        <f ca="1">VLOOKUP(E501,Panchanga!$A$3:$Y$463,3,TRUE)</f>
        <v>43307.245795454983</v>
      </c>
      <c r="F502" s="27">
        <f ca="1">VLOOKUP(F501,Panchanga!$A$3:$Y$463,3,TRUE)</f>
        <v>43308.245963301662</v>
      </c>
      <c r="G502" s="44">
        <f ca="1">VLOOKUP(G501,Panchanga!$A$3:$Y$463,3,TRUE)</f>
        <v>43309.246127810482</v>
      </c>
    </row>
    <row r="503" spans="1:7" s="28" customFormat="1" ht="19.5" x14ac:dyDescent="0.3">
      <c r="A503" s="37">
        <f ca="1">VLOOKUP(A501,Panchanga!$A$3:$Y$463,4,TRUE)</f>
        <v>43302.777293185747</v>
      </c>
      <c r="B503" s="27">
        <f ca="1">VLOOKUP(B501,Panchanga!$A$3:$Y$463,4,TRUE)</f>
        <v>43303.777167459528</v>
      </c>
      <c r="C503" s="27">
        <f ca="1">VLOOKUP(C501,Panchanga!$A$3:$Y$463,4,TRUE)</f>
        <v>43304.77703092531</v>
      </c>
      <c r="D503" s="27">
        <f ca="1">VLOOKUP(D501,Panchanga!$A$3:$Y$463,4,TRUE)</f>
        <v>43305.776883741419</v>
      </c>
      <c r="E503" s="27">
        <f ca="1">VLOOKUP(E501,Panchanga!$A$3:$Y$463,4,TRUE)</f>
        <v>43306.776725908319</v>
      </c>
      <c r="F503" s="27">
        <f ca="1">VLOOKUP(F501,Panchanga!$A$3:$Y$463,4,TRUE)</f>
        <v>43307.776557266756</v>
      </c>
      <c r="G503" s="44">
        <f ca="1">VLOOKUP(G501,Panchanga!$A$3:$Y$463,4,TRUE)</f>
        <v>43308.776378294031</v>
      </c>
    </row>
    <row r="504" spans="1:7" s="28" customFormat="1" ht="19.5" x14ac:dyDescent="0.3">
      <c r="A504" s="38">
        <f ca="1">VLOOKUP(A501,Panchanga!$A$3:$Y$463,6,TRUE)</f>
        <v>95.067270330691144</v>
      </c>
      <c r="B504" s="30">
        <f ca="1">VLOOKUP(B501,Panchanga!$A$3:$Y$463,6,TRUE)</f>
        <v>96.021955047325775</v>
      </c>
      <c r="C504" s="30">
        <f ca="1">VLOOKUP(C501,Panchanga!$A$3:$Y$463,6,TRUE)</f>
        <v>96.976734399681405</v>
      </c>
      <c r="D504" s="30">
        <f ca="1">VLOOKUP(D501,Panchanga!$A$3:$Y$463,6,TRUE)</f>
        <v>97.931627196119592</v>
      </c>
      <c r="E504" s="30">
        <f ca="1">VLOOKUP(E501,Panchanga!$A$3:$Y$463,6,TRUE)</f>
        <v>98.886653599553128</v>
      </c>
      <c r="F504" s="30">
        <f ca="1">VLOOKUP(F501,Panchanga!$A$3:$Y$463,6,TRUE)</f>
        <v>99.84183476663236</v>
      </c>
      <c r="G504" s="45">
        <f ca="1">VLOOKUP(G501,Panchanga!$A$3:$Y$463,6,TRUE)</f>
        <v>100.79719237568762</v>
      </c>
    </row>
    <row r="505" spans="1:7" s="28" customFormat="1" ht="19.5" x14ac:dyDescent="0.3">
      <c r="A505" s="38">
        <f ca="1">VLOOKUP(A501,Panchanga!$A$3:$Y$463,7,TRUE)</f>
        <v>210.8341618414164</v>
      </c>
      <c r="B505" s="30">
        <f ca="1">VLOOKUP(B501,Panchanga!$A$3:$Y$463,7,TRUE)</f>
        <v>223.12536214746217</v>
      </c>
      <c r="C505" s="30">
        <f ca="1">VLOOKUP(C501,Panchanga!$A$3:$Y$463,7,TRUE)</f>
        <v>235.21995053916504</v>
      </c>
      <c r="D505" s="30">
        <f ca="1">VLOOKUP(D501,Panchanga!$A$3:$Y$463,7,TRUE)</f>
        <v>247.1717441753037</v>
      </c>
      <c r="E505" s="30">
        <f ca="1">VLOOKUP(E501,Panchanga!$A$3:$Y$463,7,TRUE)</f>
        <v>259.02981141004028</v>
      </c>
      <c r="F505" s="30">
        <f ca="1">VLOOKUP(F501,Panchanga!$A$3:$Y$463,7,TRUE)</f>
        <v>270.83841289850182</v>
      </c>
      <c r="G505" s="45">
        <f ca="1">VLOOKUP(G501,Panchanga!$A$3:$Y$463,7,TRUE)</f>
        <v>282.63792707079102</v>
      </c>
    </row>
    <row r="506" spans="1:7" s="28" customFormat="1" ht="19.5" x14ac:dyDescent="0.3">
      <c r="A506" s="39" t="str">
        <f ca="1">VLOOKUP(A501,Panchanga!$A$3:$Y$463,9,TRUE) &amp; " "&amp;ROUND(A505/13.333,2)</f>
        <v>Visakha 15.81</v>
      </c>
      <c r="B506" s="32" t="str">
        <f ca="1">VLOOKUP(B501,Panchanga!$A$3:$Y$463,9,TRUE) &amp; " "&amp;ROUND(B505/13.333,2)</f>
        <v>Anuradha 16.73</v>
      </c>
      <c r="C506" s="32" t="str">
        <f ca="1">VLOOKUP(C501,Panchanga!$A$3:$Y$463,9,TRUE) &amp; " "&amp;ROUND(C505/13.333,2)</f>
        <v>Jyestha 17.64</v>
      </c>
      <c r="D506" s="32" t="str">
        <f ca="1">VLOOKUP(D501,Panchanga!$A$3:$Y$463,9,TRUE) &amp; " "&amp;ROUND(D505/13.333,2)</f>
        <v>Moola 18.54</v>
      </c>
      <c r="E506" s="32" t="str">
        <f ca="1">VLOOKUP(E501,Panchanga!$A$3:$Y$463,9,TRUE) &amp; " "&amp;ROUND(E505/13.333,2)</f>
        <v>Purva Asadha 19.43</v>
      </c>
      <c r="F506" s="32" t="str">
        <f ca="1">VLOOKUP(F501,Panchanga!$A$3:$Y$463,9,TRUE) &amp; " "&amp;ROUND(F505/13.333,2)</f>
        <v>Uttara Asadha 20.31</v>
      </c>
      <c r="G506" s="46" t="str">
        <f ca="1">VLOOKUP(G501,Panchanga!$A$3:$Y$463,9,TRUE) &amp; " "&amp;ROUND(G505/13.333,2)</f>
        <v>Sravana 21.2</v>
      </c>
    </row>
    <row r="507" spans="1:7" s="28" customFormat="1" ht="19.5" x14ac:dyDescent="0.3">
      <c r="A507" s="40">
        <f ca="1">VLOOKUP(A501,Panchanga!$A$3:$Y$463,10,TRUE)</f>
        <v>43303.448458339393</v>
      </c>
      <c r="B507" s="34">
        <f ca="1">VLOOKUP(B501,Panchanga!$A$3:$Y$463,10,TRUE)</f>
        <v>43304.538124825311</v>
      </c>
      <c r="C507" s="34">
        <f ca="1">VLOOKUP(C501,Panchanga!$A$3:$Y$463,10,TRUE)</f>
        <v>43305.64546365659</v>
      </c>
      <c r="D507" s="34">
        <f ca="1">VLOOKUP(D501,Panchanga!$A$3:$Y$463,10,TRUE)</f>
        <v>43306.76532480889</v>
      </c>
      <c r="E507" s="34">
        <f ca="1">VLOOKUP(E501,Panchanga!$A$3:$Y$463,10,TRUE)</f>
        <v>43307.892623708511</v>
      </c>
      <c r="F507" s="34">
        <f ca="1">VLOOKUP(F501,Panchanga!$A$3:$Y$463,10,TRUE)</f>
        <v>43309.022528686437</v>
      </c>
      <c r="G507" s="47">
        <f ca="1">VLOOKUP(G501,Panchanga!$A$3:$Y$463,10,TRUE)</f>
        <v>43310.150468764805</v>
      </c>
    </row>
    <row r="508" spans="1:7" s="28" customFormat="1" ht="19.5" x14ac:dyDescent="0.3">
      <c r="A508" s="38" t="str">
        <f ca="1">VLOOKUP(A501,Panchanga!$A$3:$Y$463,11,TRUE)</f>
        <v>S10 (9.65)</v>
      </c>
      <c r="B508" s="30" t="str">
        <f ca="1">VLOOKUP(B501,Panchanga!$A$3:$Y$463,11,TRUE)</f>
        <v>S11 (10.59)</v>
      </c>
      <c r="C508" s="30" t="str">
        <f ca="1">VLOOKUP(C501,Panchanga!$A$3:$Y$463,11,TRUE)</f>
        <v>S12 (11.52)</v>
      </c>
      <c r="D508" s="30" t="str">
        <f ca="1">VLOOKUP(D501,Panchanga!$A$3:$Y$463,11,TRUE)</f>
        <v>S13 (12.44)</v>
      </c>
      <c r="E508" s="30" t="str">
        <f ca="1">VLOOKUP(E501,Panchanga!$A$3:$Y$463,11,TRUE)</f>
        <v>S14 (13.35)</v>
      </c>
      <c r="F508" s="30" t="str">
        <f ca="1">VLOOKUP(F501,Panchanga!$A$3:$Y$463,11,TRUE)</f>
        <v>S15 (14.25)</v>
      </c>
      <c r="G508" s="45" t="str">
        <f ca="1">VLOOKUP(G501,Panchanga!$A$3:$Y$463,11,TRUE)</f>
        <v>K1 (15.15)</v>
      </c>
    </row>
    <row r="509" spans="1:7" s="28" customFormat="1" ht="19.5" x14ac:dyDescent="0.3">
      <c r="A509" s="41" t="str">
        <f ca="1">VLOOKUP(A501,Panchanga!$A$3:$Y$463,13,TRUE)</f>
        <v>Garija</v>
      </c>
      <c r="B509" s="36" t="str">
        <f ca="1">VLOOKUP(B501,Panchanga!$A$3:$Y$463,13,TRUE)</f>
        <v>Vishti</v>
      </c>
      <c r="C509" s="36" t="str">
        <f ca="1">VLOOKUP(C501,Panchanga!$A$3:$Y$463,13,TRUE)</f>
        <v>Baalava</v>
      </c>
      <c r="D509" s="36" t="str">
        <f ca="1">VLOOKUP(D501,Panchanga!$A$3:$Y$463,13,TRUE)</f>
        <v>Kaulava</v>
      </c>
      <c r="E509" s="36" t="str">
        <f ca="1">VLOOKUP(E501,Panchanga!$A$3:$Y$463,13,TRUE)</f>
        <v>Garija</v>
      </c>
      <c r="F509" s="36" t="str">
        <f ca="1">VLOOKUP(F501,Panchanga!$A$3:$Y$463,13,TRUE)</f>
        <v>Vishti</v>
      </c>
      <c r="G509" s="48" t="str">
        <f ca="1">VLOOKUP(G501,Panchanga!$A$3:$Y$463,13,TRUE)</f>
        <v>Baalava</v>
      </c>
    </row>
    <row r="510" spans="1:7" s="28" customFormat="1" ht="19.5" x14ac:dyDescent="0.3">
      <c r="A510" s="41" t="str">
        <f ca="1">VLOOKUP(A501,Panchanga!$A$3:$Y$463,14,TRUE)</f>
        <v>Shubha-शुभ-Su (22.95)</v>
      </c>
      <c r="B510" s="36" t="str">
        <f ca="1">VLOOKUP(B501,Panchanga!$A$3:$Y$463,14,TRUE)</f>
        <v>Shukla-शुक्ल-Mo (23.94)</v>
      </c>
      <c r="C510" s="36" t="str">
        <f ca="1">VLOOKUP(C501,Panchanga!$A$3:$Y$463,14,TRUE)</f>
        <v>Brahma-ब्रह्म-Ma (24.92)</v>
      </c>
      <c r="D510" s="36" t="str">
        <f ca="1">VLOOKUP(D501,Panchanga!$A$3:$Y$463,14,TRUE)</f>
        <v>Mahendra-महेन्द्र-Ra (25.89)</v>
      </c>
      <c r="E510" s="36" t="str">
        <f ca="1">VLOOKUP(E501,Panchanga!$A$3:$Y$463,14,TRUE)</f>
        <v>Vaidhriti-वैधृति-Ke (26.85)</v>
      </c>
      <c r="F510" s="36" t="str">
        <f ca="1">VLOOKUP(F501,Panchanga!$A$3:$Y$463,14,TRUE)</f>
        <v>Vishkambha-विष्कम्भ-Sa (0.81)</v>
      </c>
      <c r="G510" s="48" t="str">
        <f ca="1">VLOOKUP(G501,Panchanga!$A$3:$Y$463,14,TRUE)</f>
        <v>Priti-प्रीति-Me (1.76)</v>
      </c>
    </row>
    <row r="511" spans="1:7" s="28" customFormat="1" ht="19.5" x14ac:dyDescent="0.3">
      <c r="A511" s="63" t="str">
        <f ca="1">VLOOKUP(A501,Panchanga!$A$3:$Y$463,18,TRUE)</f>
        <v>-10Ma,4Me,7Ju,5Ve,-9Sa,4Ra</v>
      </c>
      <c r="B511" s="64" t="str">
        <f ca="1">VLOOKUP(B501,Panchanga!$A$3:$Y$463,18,TRUE)</f>
        <v>-10Ma,4Me,7Ju,5Ve,-9Sa,4Ra</v>
      </c>
      <c r="C511" s="64" t="str">
        <f ca="1">VLOOKUP(C501,Panchanga!$A$3:$Y$463,18,TRUE)</f>
        <v>-10Ma,4Me,7Ju,5Ve,-9Sa,4Ra</v>
      </c>
      <c r="D511" s="64" t="str">
        <f ca="1">VLOOKUP(D501,Panchanga!$A$3:$Y$463,18,TRUE)</f>
        <v>-10Ma,4Me,7Ju,5Ve,-9Sa,4Ra</v>
      </c>
      <c r="E511" s="64" t="str">
        <f ca="1">VLOOKUP(E501,Panchanga!$A$3:$Y$463,18,TRUE)</f>
        <v>-10Ma,-4Me,7Ju,5Ve,-9Sa,4Ra</v>
      </c>
      <c r="F511" s="64" t="str">
        <f ca="1">VLOOKUP(F501,Panchanga!$A$3:$Y$463,18,TRUE)</f>
        <v>-10Ma,-4Me,7Ju,5Ve,-9Sa,4Ra</v>
      </c>
      <c r="G511" s="65" t="str">
        <f ca="1">VLOOKUP(G501,Panchanga!$A$3:$Y$463,18,TRUE)</f>
        <v>-10Ma,-4Me,7Ju,5Ve,-9Sa,4Ra</v>
      </c>
    </row>
    <row r="512" spans="1:7" ht="5.85" customHeight="1" thickBot="1" x14ac:dyDescent="0.4">
      <c r="A512" s="42"/>
      <c r="B512" s="16"/>
      <c r="C512" s="16"/>
      <c r="D512" s="16"/>
      <c r="E512" s="16"/>
      <c r="F512" s="16"/>
      <c r="G512" s="49"/>
    </row>
    <row r="513" spans="1:7" s="51" customFormat="1" ht="37.5" x14ac:dyDescent="0.5">
      <c r="A513" s="52">
        <f ca="1">G501+1</f>
        <v>43310</v>
      </c>
      <c r="B513" s="53">
        <f t="shared" ref="B513:G513" ca="1" si="34">A513+1</f>
        <v>43311</v>
      </c>
      <c r="C513" s="53">
        <f t="shared" ca="1" si="34"/>
        <v>43312</v>
      </c>
      <c r="D513" s="53">
        <f t="shared" ca="1" si="34"/>
        <v>43313</v>
      </c>
      <c r="E513" s="53">
        <f t="shared" ca="1" si="34"/>
        <v>43314</v>
      </c>
      <c r="F513" s="53">
        <f t="shared" ca="1" si="34"/>
        <v>43315</v>
      </c>
      <c r="G513" s="54">
        <f t="shared" ca="1" si="34"/>
        <v>43316</v>
      </c>
    </row>
    <row r="514" spans="1:7" s="28" customFormat="1" ht="19.5" x14ac:dyDescent="0.3">
      <c r="A514" s="37">
        <f ca="1">VLOOKUP(A513,Panchanga!$A$3:$Y$463,3,TRUE)</f>
        <v>43310.24628866386</v>
      </c>
      <c r="B514" s="27">
        <f ca="1">VLOOKUP(B513,Panchanga!$A$3:$Y$463,3,TRUE)</f>
        <v>43311.246446020123</v>
      </c>
      <c r="C514" s="27">
        <f ca="1">VLOOKUP(C513,Panchanga!$A$3:$Y$463,3,TRUE)</f>
        <v>43312.246599561688</v>
      </c>
      <c r="D514" s="27">
        <f ca="1">VLOOKUP(D513,Panchanga!$A$3:$Y$463,3,TRUE)</f>
        <v>43313.246749447346</v>
      </c>
      <c r="E514" s="27">
        <f ca="1">VLOOKUP(E513,Panchanga!$A$3:$Y$463,3,TRUE)</f>
        <v>43314.246895677563</v>
      </c>
      <c r="F514" s="27">
        <f ca="1">VLOOKUP(F513,Panchanga!$A$3:$Y$463,3,TRUE)</f>
        <v>43315.247037933827</v>
      </c>
      <c r="G514" s="44">
        <f ca="1">VLOOKUP(G513,Panchanga!$A$3:$Y$463,3,TRUE)</f>
        <v>43316.247176375393</v>
      </c>
    </row>
    <row r="515" spans="1:7" s="28" customFormat="1" ht="19.5" x14ac:dyDescent="0.3">
      <c r="A515" s="37">
        <f ca="1">VLOOKUP(A513,Panchanga!$A$3:$Y$463,4,TRUE)</f>
        <v>43309.776188671633</v>
      </c>
      <c r="B515" s="27">
        <f ca="1">VLOOKUP(B513,Panchanga!$A$3:$Y$463,4,TRUE)</f>
        <v>43310.775988876863</v>
      </c>
      <c r="C515" s="27">
        <f ca="1">VLOOKUP(C513,Panchanga!$A$3:$Y$463,4,TRUE)</f>
        <v>43311.775778591676</v>
      </c>
      <c r="D515" s="27">
        <f ca="1">VLOOKUP(D513,Panchanga!$A$3:$Y$463,4,TRUE)</f>
        <v>43312.775558292909</v>
      </c>
      <c r="E515" s="27">
        <f ca="1">VLOOKUP(E513,Panchanga!$A$3:$Y$463,4,TRUE)</f>
        <v>43313.775327980562</v>
      </c>
      <c r="F515" s="27">
        <f ca="1">VLOOKUP(F513,Panchanga!$A$3:$Y$463,4,TRUE)</f>
        <v>43314.77508781389</v>
      </c>
      <c r="G515" s="44">
        <f ca="1">VLOOKUP(G513,Panchanga!$A$3:$Y$463,4,TRUE)</f>
        <v>43315.774837633173</v>
      </c>
    </row>
    <row r="516" spans="1:7" s="28" customFormat="1" ht="19.5" x14ac:dyDescent="0.3">
      <c r="A516" s="38">
        <f ca="1">VLOOKUP(A513,Panchanga!$A$3:$Y$463,6,TRUE)</f>
        <v>101.75274805692081</v>
      </c>
      <c r="B516" s="30">
        <f ca="1">VLOOKUP(B513,Panchanga!$A$3:$Y$463,6,TRUE)</f>
        <v>102.70852390280011</v>
      </c>
      <c r="C516" s="30">
        <f ca="1">VLOOKUP(C513,Panchanga!$A$3:$Y$463,6,TRUE)</f>
        <v>103.66454128462765</v>
      </c>
      <c r="D516" s="30">
        <f ca="1">VLOOKUP(D513,Panchanga!$A$3:$Y$463,6,TRUE)</f>
        <v>104.62082141884734</v>
      </c>
      <c r="E516" s="30">
        <f ca="1">VLOOKUP(E513,Panchanga!$A$3:$Y$463,6,TRUE)</f>
        <v>105.57738435415442</v>
      </c>
      <c r="F516" s="30">
        <f ca="1">VLOOKUP(F513,Panchanga!$A$3:$Y$463,6,TRUE)</f>
        <v>106.53424836493319</v>
      </c>
      <c r="G516" s="45">
        <f ca="1">VLOOKUP(G513,Panchanga!$A$3:$Y$463,6,TRUE)</f>
        <v>107.49143026037936</v>
      </c>
    </row>
    <row r="517" spans="1:7" s="28" customFormat="1" ht="19.5" x14ac:dyDescent="0.3">
      <c r="A517" s="38">
        <f ca="1">VLOOKUP(A513,Panchanga!$A$3:$Y$463,7,TRUE)</f>
        <v>294.46657046418898</v>
      </c>
      <c r="B517" s="30">
        <f ca="1">VLOOKUP(B513,Panchanga!$A$3:$Y$463,7,TRUE)</f>
        <v>306.36256410311324</v>
      </c>
      <c r="C517" s="30">
        <f ca="1">VLOOKUP(C513,Panchanga!$A$3:$Y$463,7,TRUE)</f>
        <v>318.36614961039538</v>
      </c>
      <c r="D517" s="30">
        <f ca="1">VLOOKUP(D513,Panchanga!$A$3:$Y$463,7,TRUE)</f>
        <v>330.52096593064556</v>
      </c>
      <c r="E517" s="30">
        <f ca="1">VLOOKUP(E513,Panchanga!$A$3:$Y$463,7,TRUE)</f>
        <v>342.87442469944597</v>
      </c>
      <c r="F517" s="30">
        <f ca="1">VLOOKUP(F513,Panchanga!$A$3:$Y$463,7,TRUE)</f>
        <v>355.4768934178561</v>
      </c>
      <c r="G517" s="45">
        <f ca="1">VLOOKUP(G513,Panchanga!$A$3:$Y$463,7,TRUE)</f>
        <v>8.3793359826780698</v>
      </c>
    </row>
    <row r="518" spans="1:7" s="28" customFormat="1" ht="19.5" x14ac:dyDescent="0.3">
      <c r="A518" s="39" t="str">
        <f ca="1">VLOOKUP(A513,Panchanga!$A$3:$Y$463,9,TRUE) &amp; " "&amp;ROUND(A517/13.333,2)</f>
        <v>Dhanistha 22.09</v>
      </c>
      <c r="B518" s="32" t="str">
        <f ca="1">VLOOKUP(B513,Panchanga!$A$3:$Y$463,9,TRUE) &amp; " "&amp;ROUND(B517/13.333,2)</f>
        <v>Dhanistha 22.98</v>
      </c>
      <c r="C518" s="32" t="str">
        <f ca="1">VLOOKUP(C513,Panchanga!$A$3:$Y$463,9,TRUE) &amp; " "&amp;ROUND(C517/13.333,2)</f>
        <v>Satabhisaj 23.88</v>
      </c>
      <c r="D518" s="32" t="str">
        <f ca="1">VLOOKUP(D513,Panchanga!$A$3:$Y$463,9,TRUE) &amp; " "&amp;ROUND(D517/13.333,2)</f>
        <v>Purva Bhadrapada 24.79</v>
      </c>
      <c r="E518" s="32" t="str">
        <f ca="1">VLOOKUP(E513,Panchanga!$A$3:$Y$463,9,TRUE) &amp; " "&amp;ROUND(E517/13.333,2)</f>
        <v>Uttara Bhadrapada 25.72</v>
      </c>
      <c r="F518" s="32" t="str">
        <f ca="1">VLOOKUP(F513,Panchanga!$A$3:$Y$463,9,TRUE) &amp; " "&amp;ROUND(F517/13.333,2)</f>
        <v>Revati 26.66</v>
      </c>
      <c r="G518" s="46" t="str">
        <f ca="1">VLOOKUP(G513,Panchanga!$A$3:$Y$463,9,TRUE) &amp; " "&amp;ROUND(G517/13.333,2)</f>
        <v>Aswini 0.63</v>
      </c>
    </row>
    <row r="519" spans="1:7" s="28" customFormat="1" ht="19.5" x14ac:dyDescent="0.3">
      <c r="A519" s="40">
        <f ca="1">VLOOKUP(A513,Panchanga!$A$3:$Y$463,10,TRUE)</f>
        <v>43311.272013486385</v>
      </c>
      <c r="B519" s="34">
        <f ca="1">VLOOKUP(B513,Panchanga!$A$3:$Y$463,10,TRUE)</f>
        <v>43311.271784220589</v>
      </c>
      <c r="C519" s="34">
        <f ca="1">VLOOKUP(C513,Panchanga!$A$3:$Y$463,10,TRUE)</f>
        <v>43312.38103970766</v>
      </c>
      <c r="D519" s="34">
        <f ca="1">VLOOKUP(D513,Panchanga!$A$3:$Y$463,10,TRUE)</f>
        <v>43313.474441036269</v>
      </c>
      <c r="E519" s="34">
        <f ca="1">VLOOKUP(E513,Panchanga!$A$3:$Y$463,10,TRUE)</f>
        <v>43314.547851111151</v>
      </c>
      <c r="F519" s="34">
        <f ca="1">VLOOKUP(F513,Panchanga!$A$3:$Y$463,10,TRUE)</f>
        <v>43315.234004904145</v>
      </c>
      <c r="G519" s="47">
        <f ca="1">VLOOKUP(G513,Panchanga!$A$3:$Y$463,10,TRUE)</f>
        <v>43316.621126939448</v>
      </c>
    </row>
    <row r="520" spans="1:7" s="28" customFormat="1" ht="19.5" x14ac:dyDescent="0.3">
      <c r="A520" s="38" t="str">
        <f ca="1">VLOOKUP(A513,Panchanga!$A$3:$Y$463,11,TRUE)</f>
        <v>K2 (16.06)</v>
      </c>
      <c r="B520" s="30" t="str">
        <f ca="1">VLOOKUP(B513,Panchanga!$A$3:$Y$463,11,TRUE)</f>
        <v>K2 (16.97)</v>
      </c>
      <c r="C520" s="30" t="str">
        <f ca="1">VLOOKUP(C513,Panchanga!$A$3:$Y$463,11,TRUE)</f>
        <v>K3 (17.89)</v>
      </c>
      <c r="D520" s="30" t="str">
        <f ca="1">VLOOKUP(D513,Panchanga!$A$3:$Y$463,11,TRUE)</f>
        <v>K4 (18.83)</v>
      </c>
      <c r="E520" s="30" t="str">
        <f ca="1">VLOOKUP(E513,Panchanga!$A$3:$Y$463,11,TRUE)</f>
        <v>K5 (19.77)</v>
      </c>
      <c r="F520" s="30" t="str">
        <f ca="1">VLOOKUP(F513,Panchanga!$A$3:$Y$463,11,TRUE)</f>
        <v>K6 (20.75)</v>
      </c>
      <c r="G520" s="45" t="str">
        <f ca="1">VLOOKUP(G513,Panchanga!$A$3:$Y$463,11,TRUE)</f>
        <v>K7 (21.74)</v>
      </c>
    </row>
    <row r="521" spans="1:7" s="28" customFormat="1" ht="19.5" x14ac:dyDescent="0.3">
      <c r="A521" s="41" t="str">
        <f ca="1">VLOOKUP(A513,Panchanga!$A$3:$Y$463,13,TRUE)</f>
        <v>Taitula</v>
      </c>
      <c r="B521" s="36" t="str">
        <f ca="1">VLOOKUP(B513,Panchanga!$A$3:$Y$463,13,TRUE)</f>
        <v>Garija</v>
      </c>
      <c r="C521" s="36" t="str">
        <f ca="1">VLOOKUP(C513,Panchanga!$A$3:$Y$463,13,TRUE)</f>
        <v>Vishti</v>
      </c>
      <c r="D521" s="36" t="str">
        <f ca="1">VLOOKUP(D513,Panchanga!$A$3:$Y$463,13,TRUE)</f>
        <v>Baalava</v>
      </c>
      <c r="E521" s="36" t="str">
        <f ca="1">VLOOKUP(E513,Panchanga!$A$3:$Y$463,13,TRUE)</f>
        <v>Taitula</v>
      </c>
      <c r="F521" s="36" t="str">
        <f ca="1">VLOOKUP(F513,Panchanga!$A$3:$Y$463,13,TRUE)</f>
        <v>Vanija</v>
      </c>
      <c r="G521" s="48" t="str">
        <f ca="1">VLOOKUP(G513,Panchanga!$A$3:$Y$463,13,TRUE)</f>
        <v>Bhava</v>
      </c>
    </row>
    <row r="522" spans="1:7" s="28" customFormat="1" ht="19.5" x14ac:dyDescent="0.3">
      <c r="A522" s="41" t="str">
        <f ca="1">VLOOKUP(A513,Panchanga!$A$3:$Y$463,14,TRUE)</f>
        <v>Ayushman-आयुष्मान-Ke (2.72)</v>
      </c>
      <c r="B522" s="36" t="str">
        <f ca="1">VLOOKUP(B513,Panchanga!$A$3:$Y$463,14,TRUE)</f>
        <v>Saubhagya-सौभाग्य-Ve (3.69)</v>
      </c>
      <c r="C522" s="36" t="str">
        <f ca="1">VLOOKUP(C513,Panchanga!$A$3:$Y$463,14,TRUE)</f>
        <v>Shobhana-शोभन-Su (4.66)</v>
      </c>
      <c r="D522" s="36" t="str">
        <f ca="1">VLOOKUP(D513,Panchanga!$A$3:$Y$463,14,TRUE)</f>
        <v>Atiganda-अतिगण्ड -Mo (5.64)</v>
      </c>
      <c r="E522" s="36" t="str">
        <f ca="1">VLOOKUP(E513,Panchanga!$A$3:$Y$463,14,TRUE)</f>
        <v>Sukarman-सुकर्मा -Ma (6.64)</v>
      </c>
      <c r="F522" s="36" t="str">
        <f ca="1">VLOOKUP(F513,Panchanga!$A$3:$Y$463,14,TRUE)</f>
        <v>Dhriti-धृति -Ra (7.66)</v>
      </c>
      <c r="G522" s="48" t="str">
        <f ca="1">VLOOKUP(G513,Panchanga!$A$3:$Y$463,14,TRUE)</f>
        <v>Shula-शूल -Ju (8.7)</v>
      </c>
    </row>
    <row r="523" spans="1:7" s="28" customFormat="1" ht="19.5" x14ac:dyDescent="0.3">
      <c r="A523" s="63" t="str">
        <f ca="1">VLOOKUP(A513,Panchanga!$A$3:$Y$463,18,TRUE)</f>
        <v>-10Ma,-4Me,7Ju,5Ve,-9Sa,4Ra</v>
      </c>
      <c r="B523" s="64" t="str">
        <f ca="1">VLOOKUP(B513,Panchanga!$A$3:$Y$463,18,TRUE)</f>
        <v>-10Ma,-4Me,7Ju,5Ve,-9Sa,4Ra</v>
      </c>
      <c r="C523" s="64" t="str">
        <f ca="1">VLOOKUP(C513,Panchanga!$A$3:$Y$463,18,TRUE)</f>
        <v>-10Ma,-4Me,7Ju,5Ve,-9Sa,4Ra</v>
      </c>
      <c r="D523" s="64" t="str">
        <f ca="1">VLOOKUP(D513,Panchanga!$A$3:$Y$463,18,TRUE)</f>
        <v>-10Ma,-4Me,7Ju,5Ve,-9Sa,4Ra</v>
      </c>
      <c r="E523" s="64" t="str">
        <f ca="1">VLOOKUP(E513,Panchanga!$A$3:$Y$463,18,TRUE)</f>
        <v>-10Ma,-4Me,7Ju,6Ve,-9Sa,4Ra</v>
      </c>
      <c r="F523" s="64" t="str">
        <f ca="1">VLOOKUP(F513,Panchanga!$A$3:$Y$463,18,TRUE)</f>
        <v>-10Ma,-4Me,7Ju,6Ve,-9Sa,4Ra</v>
      </c>
      <c r="G523" s="65" t="str">
        <f ca="1">VLOOKUP(G513,Panchanga!$A$3:$Y$463,18,TRUE)</f>
        <v>-10Ma,-4Me,7Ju,6Ve,-9Sa,4Ra</v>
      </c>
    </row>
    <row r="524" spans="1:7" ht="5.85" customHeight="1" thickBot="1" x14ac:dyDescent="0.4">
      <c r="A524" s="42"/>
      <c r="B524" s="16"/>
      <c r="C524" s="16"/>
      <c r="D524" s="16"/>
      <c r="E524" s="16"/>
      <c r="F524" s="16"/>
      <c r="G524" s="17"/>
    </row>
    <row r="525" spans="1:7" s="51" customFormat="1" ht="37.5" x14ac:dyDescent="0.5">
      <c r="A525" s="52">
        <f ca="1">G513+1</f>
        <v>43317</v>
      </c>
      <c r="B525" s="53">
        <f ca="1">A525+1</f>
        <v>43318</v>
      </c>
      <c r="C525" s="53"/>
      <c r="D525" s="53"/>
      <c r="E525" s="53"/>
      <c r="F525" s="53"/>
      <c r="G525" s="55"/>
    </row>
    <row r="526" spans="1:7" s="28" customFormat="1" ht="19.5" x14ac:dyDescent="0.3">
      <c r="A526" s="37">
        <f ca="1">VLOOKUP(A525,Panchanga!$A$3:$Y$463,3,TRUE)</f>
        <v>43317.247311002728</v>
      </c>
      <c r="B526" s="27">
        <f ca="1">VLOOKUP(B525,Panchanga!$A$3:$Y$463,3,TRUE)</f>
        <v>43318.247441656109</v>
      </c>
      <c r="C526" s="27" t="s">
        <v>20</v>
      </c>
      <c r="D526" s="27"/>
      <c r="E526" s="27"/>
      <c r="F526" s="27"/>
      <c r="G526" s="26"/>
    </row>
    <row r="527" spans="1:7" s="28" customFormat="1" ht="19.5" x14ac:dyDescent="0.3">
      <c r="A527" s="37">
        <f ca="1">VLOOKUP(A525,Panchanga!$A$3:$Y$463,4,TRUE)</f>
        <v>43316.774577915712</v>
      </c>
      <c r="B527" s="27">
        <f ca="1">VLOOKUP(B525,Panchanga!$A$3:$Y$463,4,TRUE)</f>
        <v>43317.774308661974</v>
      </c>
      <c r="C527" s="27" t="s">
        <v>8</v>
      </c>
      <c r="D527" s="27"/>
      <c r="E527" s="27"/>
      <c r="F527" s="27"/>
      <c r="G527" s="26"/>
    </row>
    <row r="528" spans="1:7" s="28" customFormat="1" ht="19.5" x14ac:dyDescent="0.3">
      <c r="A528" s="38">
        <f ca="1">VLOOKUP(A525,Panchanga!$A$3:$Y$463,6,TRUE)</f>
        <v>108.44894431087101</v>
      </c>
      <c r="B528" s="30">
        <f ca="1">VLOOKUP(B525,Panchanga!$A$3:$Y$463,6,TRUE)</f>
        <v>109.40680170234459</v>
      </c>
      <c r="C528" s="30" t="s">
        <v>21</v>
      </c>
      <c r="D528" s="30"/>
      <c r="E528" s="30"/>
      <c r="F528" s="30"/>
      <c r="G528" s="29"/>
    </row>
    <row r="529" spans="1:7" s="28" customFormat="1" ht="19.5" x14ac:dyDescent="0.3">
      <c r="A529" s="38">
        <f ca="1">VLOOKUP(A525,Panchanga!$A$3:$Y$463,7,TRUE)</f>
        <v>21.628852818284564</v>
      </c>
      <c r="B529" s="30">
        <f ca="1">VLOOKUP(B525,Panchanga!$A$3:$Y$463,7,TRUE)</f>
        <v>35.261787121368656</v>
      </c>
      <c r="C529" s="30" t="s">
        <v>22</v>
      </c>
      <c r="D529" s="30"/>
      <c r="E529" s="30"/>
      <c r="F529" s="30"/>
      <c r="G529" s="29"/>
    </row>
    <row r="530" spans="1:7" s="28" customFormat="1" ht="19.5" x14ac:dyDescent="0.3">
      <c r="A530" s="39" t="str">
        <f ca="1">VLOOKUP(A525,Panchanga!$A$3:$Y$463,9,TRUE) &amp; " "&amp;ROUND(A529/13.333,2)</f>
        <v>Bharani 1.62</v>
      </c>
      <c r="B530" s="32" t="str">
        <f ca="1">VLOOKUP(B525,Panchanga!$A$3:$Y$463,9,TRUE) &amp; " "&amp;ROUND(B529/13.333,2)</f>
        <v>Krittika 2.64</v>
      </c>
      <c r="C530" s="32" t="s">
        <v>23</v>
      </c>
      <c r="D530" s="32"/>
      <c r="E530" s="32"/>
      <c r="F530" s="32"/>
      <c r="G530" s="31"/>
    </row>
    <row r="531" spans="1:7" s="28" customFormat="1" ht="19.5" x14ac:dyDescent="0.3">
      <c r="A531" s="40">
        <f ca="1">VLOOKUP(A525,Panchanga!$A$3:$Y$463,10,TRUE)</f>
        <v>43317.616891897327</v>
      </c>
      <c r="B531" s="34">
        <f ca="1">VLOOKUP(B525,Panchanga!$A$3:$Y$463,10,TRUE)</f>
        <v>43318.585134152949</v>
      </c>
      <c r="C531" s="34" t="s">
        <v>24</v>
      </c>
      <c r="D531" s="34"/>
      <c r="E531" s="34"/>
      <c r="F531" s="34"/>
      <c r="G531" s="33"/>
    </row>
    <row r="532" spans="1:7" s="28" customFormat="1" ht="19.5" x14ac:dyDescent="0.3">
      <c r="A532" s="38" t="str">
        <f ca="1">VLOOKUP(A525,Panchanga!$A$3:$Y$463,11,TRUE)</f>
        <v>K8 (22.77)</v>
      </c>
      <c r="B532" s="30" t="str">
        <f ca="1">VLOOKUP(B525,Panchanga!$A$3:$Y$463,11,TRUE)</f>
        <v>K9 (23.82)</v>
      </c>
      <c r="C532" s="30" t="s">
        <v>28</v>
      </c>
      <c r="D532" s="30"/>
      <c r="E532" s="30"/>
      <c r="F532" s="30"/>
      <c r="G532" s="29"/>
    </row>
    <row r="533" spans="1:7" s="28" customFormat="1" ht="19.5" x14ac:dyDescent="0.3">
      <c r="A533" s="41" t="str">
        <f ca="1">VLOOKUP(A525,Panchanga!$A$3:$Y$463,13,TRUE)</f>
        <v>Kaulava</v>
      </c>
      <c r="B533" s="36" t="str">
        <f ca="1">VLOOKUP(B525,Panchanga!$A$3:$Y$463,13,TRUE)</f>
        <v>Garija</v>
      </c>
      <c r="C533" s="36" t="s">
        <v>25</v>
      </c>
      <c r="D533" s="36"/>
      <c r="E533" s="36"/>
      <c r="F533" s="36"/>
      <c r="G533" s="35"/>
    </row>
    <row r="534" spans="1:7" s="28" customFormat="1" ht="19.5" x14ac:dyDescent="0.3">
      <c r="A534" s="41" t="str">
        <f ca="1">VLOOKUP(A525,Panchanga!$A$3:$Y$463,14,TRUE)</f>
        <v>Ganda-गण्ड -Sa (9.76)</v>
      </c>
      <c r="B534" s="36" t="str">
        <f ca="1">VLOOKUP(B525,Panchanga!$A$3:$Y$463,14,TRUE)</f>
        <v>Vriddhi-वृद्धि -Me (10.86)</v>
      </c>
      <c r="C534" s="36" t="s">
        <v>13</v>
      </c>
      <c r="D534" s="36"/>
      <c r="E534" s="36"/>
      <c r="F534" s="36"/>
      <c r="G534" s="48"/>
    </row>
    <row r="535" spans="1:7" s="28" customFormat="1" ht="19.5" x14ac:dyDescent="0.3">
      <c r="A535" s="63" t="str">
        <f ca="1">VLOOKUP(A525,Panchanga!$A$3:$Y$463,18,TRUE)</f>
        <v>-10Ma,-4Me,7Ju,6Ve,-9Sa,4Ra</v>
      </c>
      <c r="B535" s="64" t="str">
        <f ca="1">VLOOKUP(B525,Panchanga!$A$3:$Y$463,18,TRUE)</f>
        <v>-10Ma,-4Me,7Ju,6Ve,-9Sa,4Ra</v>
      </c>
      <c r="C535" s="64"/>
      <c r="D535" s="64"/>
      <c r="E535" s="64"/>
      <c r="F535" s="64"/>
      <c r="G535" s="65"/>
    </row>
    <row r="536" spans="1:7" ht="24" thickBot="1" x14ac:dyDescent="0.4"/>
    <row r="537" spans="1:7" x14ac:dyDescent="0.35">
      <c r="A537" s="23" t="s">
        <v>26</v>
      </c>
      <c r="B537" s="21">
        <f>Lat</f>
        <v>13.5</v>
      </c>
      <c r="C537" s="23" t="s">
        <v>1</v>
      </c>
      <c r="D537" s="21">
        <f>Long</f>
        <v>80.23</v>
      </c>
      <c r="E537" s="23" t="s">
        <v>4</v>
      </c>
      <c r="F537" s="22">
        <f>TimeZone</f>
        <v>5.5</v>
      </c>
    </row>
    <row r="540" spans="1:7" s="51" customFormat="1" ht="38.25" thickBot="1" x14ac:dyDescent="0.55000000000000004">
      <c r="A540" s="68">
        <f ca="1">DATE(YEAR(A463),MONTH(A463)+1,1)</f>
        <v>43313</v>
      </c>
      <c r="B540" s="69"/>
      <c r="C540" s="69"/>
      <c r="D540" s="69"/>
      <c r="E540" s="69"/>
      <c r="F540" s="69"/>
      <c r="G540" s="69"/>
    </row>
    <row r="541" spans="1:7" s="56" customFormat="1" ht="35.25" thickBot="1" x14ac:dyDescent="0.5">
      <c r="A541" s="57">
        <v>1</v>
      </c>
      <c r="B541" s="58">
        <v>2</v>
      </c>
      <c r="C541" s="58">
        <v>3</v>
      </c>
      <c r="D541" s="58">
        <v>4</v>
      </c>
      <c r="E541" s="58">
        <v>5</v>
      </c>
      <c r="F541" s="58">
        <v>6</v>
      </c>
      <c r="G541" s="59">
        <v>7</v>
      </c>
    </row>
    <row r="542" spans="1:7" s="51" customFormat="1" ht="37.5" x14ac:dyDescent="0.5">
      <c r="A542" s="52">
        <f ca="1">DATE(YEAR(A540),MONTH(A540),1)-WEEKDAY(A540)+1</f>
        <v>43310</v>
      </c>
      <c r="B542" s="53">
        <f t="shared" ref="B542:G542" ca="1" si="35">A542+1</f>
        <v>43311</v>
      </c>
      <c r="C542" s="53">
        <f t="shared" ca="1" si="35"/>
        <v>43312</v>
      </c>
      <c r="D542" s="53">
        <f t="shared" ca="1" si="35"/>
        <v>43313</v>
      </c>
      <c r="E542" s="53">
        <f t="shared" ca="1" si="35"/>
        <v>43314</v>
      </c>
      <c r="F542" s="53">
        <f t="shared" ca="1" si="35"/>
        <v>43315</v>
      </c>
      <c r="G542" s="54">
        <f t="shared" ca="1" si="35"/>
        <v>43316</v>
      </c>
    </row>
    <row r="543" spans="1:7" s="28" customFormat="1" ht="19.5" x14ac:dyDescent="0.3">
      <c r="A543" s="37">
        <f ca="1">VLOOKUP(A542,Panchanga!$A$3:$Y$463,3,TRUE)</f>
        <v>43310.24628866386</v>
      </c>
      <c r="B543" s="27">
        <f ca="1">VLOOKUP(B542,Panchanga!$A$3:$Y$463,3,TRUE)</f>
        <v>43311.246446020123</v>
      </c>
      <c r="C543" s="27">
        <f ca="1">VLOOKUP(C542,Panchanga!$A$3:$Y$463,3,TRUE)</f>
        <v>43312.246599561688</v>
      </c>
      <c r="D543" s="27">
        <f ca="1">VLOOKUP(D542,Panchanga!$A$3:$Y$463,3,TRUE)</f>
        <v>43313.246749447346</v>
      </c>
      <c r="E543" s="27">
        <f ca="1">VLOOKUP(E542,Panchanga!$A$3:$Y$463,3,TRUE)</f>
        <v>43314.246895677563</v>
      </c>
      <c r="F543" s="27">
        <f ca="1">VLOOKUP(F542,Panchanga!$A$3:$Y$463,3,TRUE)</f>
        <v>43315.247037933827</v>
      </c>
      <c r="G543" s="44">
        <f ca="1">VLOOKUP(G542,Panchanga!$A$3:$Y$463,3,TRUE)</f>
        <v>43316.247176375393</v>
      </c>
    </row>
    <row r="544" spans="1:7" s="28" customFormat="1" ht="19.5" x14ac:dyDescent="0.3">
      <c r="A544" s="37">
        <f ca="1">VLOOKUP(A542,Panchanga!$A$3:$Y$463,4,TRUE)</f>
        <v>43309.776188671633</v>
      </c>
      <c r="B544" s="27">
        <f ca="1">VLOOKUP(B542,Panchanga!$A$3:$Y$463,4,TRUE)</f>
        <v>43310.775988876863</v>
      </c>
      <c r="C544" s="27">
        <f ca="1">VLOOKUP(C542,Panchanga!$A$3:$Y$463,4,TRUE)</f>
        <v>43311.775778591676</v>
      </c>
      <c r="D544" s="27">
        <f ca="1">VLOOKUP(D542,Panchanga!$A$3:$Y$463,4,TRUE)</f>
        <v>43312.775558292909</v>
      </c>
      <c r="E544" s="27">
        <f ca="1">VLOOKUP(E542,Panchanga!$A$3:$Y$463,4,TRUE)</f>
        <v>43313.775327980562</v>
      </c>
      <c r="F544" s="27">
        <f ca="1">VLOOKUP(F542,Panchanga!$A$3:$Y$463,4,TRUE)</f>
        <v>43314.77508781389</v>
      </c>
      <c r="G544" s="44">
        <f ca="1">VLOOKUP(G542,Panchanga!$A$3:$Y$463,4,TRUE)</f>
        <v>43315.774837633173</v>
      </c>
    </row>
    <row r="545" spans="1:7" s="28" customFormat="1" ht="19.5" x14ac:dyDescent="0.3">
      <c r="A545" s="38">
        <f ca="1">VLOOKUP(A542,Panchanga!$A$3:$Y$463,6,TRUE)</f>
        <v>101.75274805692081</v>
      </c>
      <c r="B545" s="30">
        <f ca="1">VLOOKUP(B542,Panchanga!$A$3:$Y$463,6,TRUE)</f>
        <v>102.70852390280011</v>
      </c>
      <c r="C545" s="30">
        <f ca="1">VLOOKUP(C542,Panchanga!$A$3:$Y$463,6,TRUE)</f>
        <v>103.66454128462765</v>
      </c>
      <c r="D545" s="30">
        <f ca="1">VLOOKUP(D542,Panchanga!$A$3:$Y$463,6,TRUE)</f>
        <v>104.62082141884734</v>
      </c>
      <c r="E545" s="30">
        <f ca="1">VLOOKUP(E542,Panchanga!$A$3:$Y$463,6,TRUE)</f>
        <v>105.57738435415442</v>
      </c>
      <c r="F545" s="30">
        <f ca="1">VLOOKUP(F542,Panchanga!$A$3:$Y$463,6,TRUE)</f>
        <v>106.53424836493319</v>
      </c>
      <c r="G545" s="45">
        <f ca="1">VLOOKUP(G542,Panchanga!$A$3:$Y$463,6,TRUE)</f>
        <v>107.49143026037936</v>
      </c>
    </row>
    <row r="546" spans="1:7" s="28" customFormat="1" ht="19.5" x14ac:dyDescent="0.3">
      <c r="A546" s="38">
        <f ca="1">VLOOKUP(A542,Panchanga!$A$3:$Y$463,7,TRUE)</f>
        <v>294.46657046418898</v>
      </c>
      <c r="B546" s="30">
        <f ca="1">VLOOKUP(B542,Panchanga!$A$3:$Y$463,7,TRUE)</f>
        <v>306.36256410311324</v>
      </c>
      <c r="C546" s="30">
        <f ca="1">VLOOKUP(C542,Panchanga!$A$3:$Y$463,7,TRUE)</f>
        <v>318.36614961039538</v>
      </c>
      <c r="D546" s="30">
        <f ca="1">VLOOKUP(D542,Panchanga!$A$3:$Y$463,7,TRUE)</f>
        <v>330.52096593064556</v>
      </c>
      <c r="E546" s="30">
        <f ca="1">VLOOKUP(E542,Panchanga!$A$3:$Y$463,7,TRUE)</f>
        <v>342.87442469944597</v>
      </c>
      <c r="F546" s="30">
        <f ca="1">VLOOKUP(F542,Panchanga!$A$3:$Y$463,7,TRUE)</f>
        <v>355.4768934178561</v>
      </c>
      <c r="G546" s="45">
        <f ca="1">VLOOKUP(G542,Panchanga!$A$3:$Y$463,7,TRUE)</f>
        <v>8.3793359826780698</v>
      </c>
    </row>
    <row r="547" spans="1:7" s="28" customFormat="1" ht="19.5" x14ac:dyDescent="0.3">
      <c r="A547" s="39" t="str">
        <f ca="1">VLOOKUP(A542,Panchanga!$A$3:$Y$463,9,TRUE) &amp; " "&amp;ROUND(A546/13.333,2)</f>
        <v>Dhanistha 22.09</v>
      </c>
      <c r="B547" s="32" t="str">
        <f ca="1">VLOOKUP(B542,Panchanga!$A$3:$Y$463,9,TRUE) &amp; " "&amp;ROUND(B546/13.333,2)</f>
        <v>Dhanistha 22.98</v>
      </c>
      <c r="C547" s="32" t="str">
        <f ca="1">VLOOKUP(C542,Panchanga!$A$3:$Y$463,9,TRUE) &amp; " "&amp;ROUND(C546/13.333,2)</f>
        <v>Satabhisaj 23.88</v>
      </c>
      <c r="D547" s="32" t="str">
        <f ca="1">VLOOKUP(D542,Panchanga!$A$3:$Y$463,9,TRUE) &amp; " "&amp;ROUND(D546/13.333,2)</f>
        <v>Purva Bhadrapada 24.79</v>
      </c>
      <c r="E547" s="32" t="str">
        <f ca="1">VLOOKUP(E542,Panchanga!$A$3:$Y$463,9,TRUE) &amp; " "&amp;ROUND(E546/13.333,2)</f>
        <v>Uttara Bhadrapada 25.72</v>
      </c>
      <c r="F547" s="32" t="str">
        <f ca="1">VLOOKUP(F542,Panchanga!$A$3:$Y$463,9,TRUE) &amp; " "&amp;ROUND(F546/13.333,2)</f>
        <v>Revati 26.66</v>
      </c>
      <c r="G547" s="46" t="str">
        <f ca="1">VLOOKUP(G542,Panchanga!$A$3:$Y$463,9,TRUE) &amp; " "&amp;ROUND(G546/13.333,2)</f>
        <v>Aswini 0.63</v>
      </c>
    </row>
    <row r="548" spans="1:7" s="28" customFormat="1" ht="19.5" x14ac:dyDescent="0.3">
      <c r="A548" s="40">
        <f ca="1">VLOOKUP(A542,Panchanga!$A$3:$Y$463,10,TRUE)</f>
        <v>43311.272013486385</v>
      </c>
      <c r="B548" s="34">
        <f ca="1">VLOOKUP(B542,Panchanga!$A$3:$Y$463,10,TRUE)</f>
        <v>43311.271784220589</v>
      </c>
      <c r="C548" s="34">
        <f ca="1">VLOOKUP(C542,Panchanga!$A$3:$Y$463,10,TRUE)</f>
        <v>43312.38103970766</v>
      </c>
      <c r="D548" s="34">
        <f ca="1">VLOOKUP(D542,Panchanga!$A$3:$Y$463,10,TRUE)</f>
        <v>43313.474441036269</v>
      </c>
      <c r="E548" s="34">
        <f ca="1">VLOOKUP(E542,Panchanga!$A$3:$Y$463,10,TRUE)</f>
        <v>43314.547851111151</v>
      </c>
      <c r="F548" s="34">
        <f ca="1">VLOOKUP(F542,Panchanga!$A$3:$Y$463,10,TRUE)</f>
        <v>43315.234004904145</v>
      </c>
      <c r="G548" s="47">
        <f ca="1">VLOOKUP(G542,Panchanga!$A$3:$Y$463,10,TRUE)</f>
        <v>43316.621126939448</v>
      </c>
    </row>
    <row r="549" spans="1:7" s="28" customFormat="1" ht="19.5" x14ac:dyDescent="0.3">
      <c r="A549" s="38" t="str">
        <f ca="1">VLOOKUP(A542,Panchanga!$A$3:$Y$463,11,TRUE)</f>
        <v>K2 (16.06)</v>
      </c>
      <c r="B549" s="30" t="str">
        <f ca="1">VLOOKUP(B542,Panchanga!$A$3:$Y$463,11,TRUE)</f>
        <v>K2 (16.97)</v>
      </c>
      <c r="C549" s="30" t="str">
        <f ca="1">VLOOKUP(C542,Panchanga!$A$3:$Y$463,11,TRUE)</f>
        <v>K3 (17.89)</v>
      </c>
      <c r="D549" s="30" t="str">
        <f ca="1">VLOOKUP(D542,Panchanga!$A$3:$Y$463,11,TRUE)</f>
        <v>K4 (18.83)</v>
      </c>
      <c r="E549" s="30" t="str">
        <f ca="1">VLOOKUP(E542,Panchanga!$A$3:$Y$463,11,TRUE)</f>
        <v>K5 (19.77)</v>
      </c>
      <c r="F549" s="30" t="str">
        <f ca="1">VLOOKUP(F542,Panchanga!$A$3:$Y$463,11,TRUE)</f>
        <v>K6 (20.75)</v>
      </c>
      <c r="G549" s="45" t="str">
        <f ca="1">VLOOKUP(G542,Panchanga!$A$3:$Y$463,11,TRUE)</f>
        <v>K7 (21.74)</v>
      </c>
    </row>
    <row r="550" spans="1:7" s="28" customFormat="1" ht="19.5" x14ac:dyDescent="0.3">
      <c r="A550" s="41" t="str">
        <f ca="1">VLOOKUP(A542,Panchanga!$A$3:$Y$463,13,TRUE)</f>
        <v>Taitula</v>
      </c>
      <c r="B550" s="36" t="str">
        <f ca="1">VLOOKUP(B542,Panchanga!$A$3:$Y$463,13,TRUE)</f>
        <v>Garija</v>
      </c>
      <c r="C550" s="36" t="str">
        <f ca="1">VLOOKUP(C542,Panchanga!$A$3:$Y$463,13,TRUE)</f>
        <v>Vishti</v>
      </c>
      <c r="D550" s="36" t="str">
        <f ca="1">VLOOKUP(D542,Panchanga!$A$3:$Y$463,13,TRUE)</f>
        <v>Baalava</v>
      </c>
      <c r="E550" s="36" t="str">
        <f ca="1">VLOOKUP(E542,Panchanga!$A$3:$Y$463,13,TRUE)</f>
        <v>Taitula</v>
      </c>
      <c r="F550" s="36" t="str">
        <f ca="1">VLOOKUP(F542,Panchanga!$A$3:$Y$463,13,TRUE)</f>
        <v>Vanija</v>
      </c>
      <c r="G550" s="48" t="str">
        <f ca="1">VLOOKUP(G542,Panchanga!$A$3:$Y$463,13,TRUE)</f>
        <v>Bhava</v>
      </c>
    </row>
    <row r="551" spans="1:7" s="28" customFormat="1" ht="19.5" x14ac:dyDescent="0.3">
      <c r="A551" s="41" t="str">
        <f ca="1">VLOOKUP(A542,Panchanga!$A$3:$Y$463,14,TRUE)</f>
        <v>Ayushman-आयुष्मान-Ke (2.72)</v>
      </c>
      <c r="B551" s="36" t="str">
        <f ca="1">VLOOKUP(B542,Panchanga!$A$3:$Y$463,14,TRUE)</f>
        <v>Saubhagya-सौभाग्य-Ve (3.69)</v>
      </c>
      <c r="C551" s="36" t="str">
        <f ca="1">VLOOKUP(C542,Panchanga!$A$3:$Y$463,14,TRUE)</f>
        <v>Shobhana-शोभन-Su (4.66)</v>
      </c>
      <c r="D551" s="36" t="str">
        <f ca="1">VLOOKUP(D542,Panchanga!$A$3:$Y$463,14,TRUE)</f>
        <v>Atiganda-अतिगण्ड -Mo (5.64)</v>
      </c>
      <c r="E551" s="36" t="str">
        <f ca="1">VLOOKUP(E542,Panchanga!$A$3:$Y$463,14,TRUE)</f>
        <v>Sukarman-सुकर्मा -Ma (6.64)</v>
      </c>
      <c r="F551" s="36" t="str">
        <f ca="1">VLOOKUP(F542,Panchanga!$A$3:$Y$463,14,TRUE)</f>
        <v>Dhriti-धृति -Ra (7.66)</v>
      </c>
      <c r="G551" s="48" t="str">
        <f ca="1">VLOOKUP(G542,Panchanga!$A$3:$Y$463,14,TRUE)</f>
        <v>Shula-शूल -Ju (8.7)</v>
      </c>
    </row>
    <row r="552" spans="1:7" s="28" customFormat="1" ht="19.5" x14ac:dyDescent="0.3">
      <c r="A552" s="63" t="str">
        <f ca="1">VLOOKUP(A542,Panchanga!$A$3:$Y$463,18,TRUE)</f>
        <v>-10Ma,-4Me,7Ju,5Ve,-9Sa,4Ra</v>
      </c>
      <c r="B552" s="64" t="str">
        <f ca="1">VLOOKUP(B542,Panchanga!$A$3:$Y$463,18,TRUE)</f>
        <v>-10Ma,-4Me,7Ju,5Ve,-9Sa,4Ra</v>
      </c>
      <c r="C552" s="64" t="str">
        <f ca="1">VLOOKUP(C542,Panchanga!$A$3:$Y$463,18,TRUE)</f>
        <v>-10Ma,-4Me,7Ju,5Ve,-9Sa,4Ra</v>
      </c>
      <c r="D552" s="64" t="str">
        <f ca="1">VLOOKUP(D542,Panchanga!$A$3:$Y$463,18,TRUE)</f>
        <v>-10Ma,-4Me,7Ju,5Ve,-9Sa,4Ra</v>
      </c>
      <c r="E552" s="64" t="str">
        <f ca="1">VLOOKUP(E542,Panchanga!$A$3:$Y$463,18,TRUE)</f>
        <v>-10Ma,-4Me,7Ju,6Ve,-9Sa,4Ra</v>
      </c>
      <c r="F552" s="64" t="str">
        <f ca="1">VLOOKUP(F542,Panchanga!$A$3:$Y$463,18,TRUE)</f>
        <v>-10Ma,-4Me,7Ju,6Ve,-9Sa,4Ra</v>
      </c>
      <c r="G552" s="65" t="str">
        <f ca="1">VLOOKUP(G542,Panchanga!$A$3:$Y$463,18,TRUE)</f>
        <v>-10Ma,-4Me,7Ju,6Ve,-9Sa,4Ra</v>
      </c>
    </row>
    <row r="553" spans="1:7" ht="5.85" customHeight="1" thickBot="1" x14ac:dyDescent="0.4">
      <c r="A553" s="42"/>
      <c r="B553" s="16"/>
      <c r="C553" s="16"/>
      <c r="D553" s="16"/>
      <c r="E553" s="16"/>
      <c r="F553" s="16"/>
      <c r="G553" s="49"/>
    </row>
    <row r="554" spans="1:7" s="51" customFormat="1" ht="37.5" x14ac:dyDescent="0.5">
      <c r="A554" s="52">
        <f ca="1">G542+1</f>
        <v>43317</v>
      </c>
      <c r="B554" s="53">
        <f t="shared" ref="B554:G554" ca="1" si="36">A554+1</f>
        <v>43318</v>
      </c>
      <c r="C554" s="53">
        <f t="shared" ca="1" si="36"/>
        <v>43319</v>
      </c>
      <c r="D554" s="53">
        <f t="shared" ca="1" si="36"/>
        <v>43320</v>
      </c>
      <c r="E554" s="53">
        <f t="shared" ca="1" si="36"/>
        <v>43321</v>
      </c>
      <c r="F554" s="53">
        <f t="shared" ca="1" si="36"/>
        <v>43322</v>
      </c>
      <c r="G554" s="54">
        <f t="shared" ca="1" si="36"/>
        <v>43323</v>
      </c>
    </row>
    <row r="555" spans="1:7" s="28" customFormat="1" ht="19.5" x14ac:dyDescent="0.3">
      <c r="A555" s="37">
        <f ca="1">VLOOKUP(A554,Panchanga!$A$3:$Y$463,3,TRUE)</f>
        <v>43317.247311002728</v>
      </c>
      <c r="B555" s="27">
        <f ca="1">VLOOKUP(B554,Panchanga!$A$3:$Y$463,3,TRUE)</f>
        <v>43318.247441656109</v>
      </c>
      <c r="C555" s="27">
        <f ca="1">VLOOKUP(C554,Panchanga!$A$3:$Y$463,3,TRUE)</f>
        <v>43319.247568176746</v>
      </c>
      <c r="D555" s="27">
        <f ca="1">VLOOKUP(D554,Panchanga!$A$3:$Y$463,3,TRUE)</f>
        <v>43320.247690882687</v>
      </c>
      <c r="E555" s="27">
        <f ca="1">VLOOKUP(E554,Panchanga!$A$3:$Y$463,3,TRUE)</f>
        <v>43321.247809297558</v>
      </c>
      <c r="F555" s="27">
        <f ca="1">VLOOKUP(F554,Panchanga!$A$3:$Y$463,3,TRUE)</f>
        <v>43322.247923738476</v>
      </c>
      <c r="G555" s="44">
        <f ca="1">VLOOKUP(G554,Panchanga!$A$3:$Y$463,3,TRUE)</f>
        <v>43323.248033887859</v>
      </c>
    </row>
    <row r="556" spans="1:7" s="28" customFormat="1" ht="19.5" x14ac:dyDescent="0.3">
      <c r="A556" s="37">
        <f ca="1">VLOOKUP(A554,Panchanga!$A$3:$Y$463,4,TRUE)</f>
        <v>43316.774577915712</v>
      </c>
      <c r="B556" s="27">
        <f ca="1">VLOOKUP(B554,Panchanga!$A$3:$Y$463,4,TRUE)</f>
        <v>43317.774308661974</v>
      </c>
      <c r="C556" s="27">
        <f ca="1">VLOOKUP(C554,Panchanga!$A$3:$Y$463,4,TRUE)</f>
        <v>43318.774030029817</v>
      </c>
      <c r="D556" s="27">
        <f ca="1">VLOOKUP(D554,Panchanga!$A$3:$Y$463,4,TRUE)</f>
        <v>43319.773742020174</v>
      </c>
      <c r="E556" s="27">
        <f ca="1">VLOOKUP(E554,Panchanga!$A$3:$Y$463,4,TRUE)</f>
        <v>43320.773444791834</v>
      </c>
      <c r="F556" s="27">
        <f ca="1">VLOOKUP(F554,Panchanga!$A$3:$Y$463,4,TRUE)</f>
        <v>43321.773138662378</v>
      </c>
      <c r="G556" s="44">
        <f ca="1">VLOOKUP(G554,Panchanga!$A$3:$Y$463,4,TRUE)</f>
        <v>43322.772823314226</v>
      </c>
    </row>
    <row r="557" spans="1:7" s="28" customFormat="1" ht="19.5" x14ac:dyDescent="0.3">
      <c r="A557" s="38">
        <f ca="1">VLOOKUP(A554,Panchanga!$A$3:$Y$463,6,TRUE)</f>
        <v>108.44894431087101</v>
      </c>
      <c r="B557" s="30">
        <f ca="1">VLOOKUP(B554,Panchanga!$A$3:$Y$463,6,TRUE)</f>
        <v>109.40680170234459</v>
      </c>
      <c r="C557" s="30">
        <f ca="1">VLOOKUP(C554,Panchanga!$A$3:$Y$463,6,TRUE)</f>
        <v>110.3650099909156</v>
      </c>
      <c r="D557" s="30">
        <f ca="1">VLOOKUP(D554,Panchanga!$A$3:$Y$463,6,TRUE)</f>
        <v>111.3235727281679</v>
      </c>
      <c r="E557" s="30">
        <f ca="1">VLOOKUP(E554,Panchanga!$A$3:$Y$463,6,TRUE)</f>
        <v>112.28248752496717</v>
      </c>
      <c r="F557" s="30">
        <f ca="1">VLOOKUP(F554,Panchanga!$A$3:$Y$463,6,TRUE)</f>
        <v>113.24174736864208</v>
      </c>
      <c r="G557" s="45">
        <f ca="1">VLOOKUP(G554,Panchanga!$A$3:$Y$463,6,TRUE)</f>
        <v>114.20133995747825</v>
      </c>
    </row>
    <row r="558" spans="1:7" s="28" customFormat="1" ht="19.5" x14ac:dyDescent="0.3">
      <c r="A558" s="38">
        <f ca="1">VLOOKUP(A554,Panchanga!$A$3:$Y$463,7,TRUE)</f>
        <v>21.628852818284564</v>
      </c>
      <c r="B558" s="30">
        <f ca="1">VLOOKUP(B554,Panchanga!$A$3:$Y$463,7,TRUE)</f>
        <v>35.261787121368656</v>
      </c>
      <c r="C558" s="30">
        <f ca="1">VLOOKUP(C554,Panchanga!$A$3:$Y$463,7,TRUE)</f>
        <v>49.294708802122024</v>
      </c>
      <c r="D558" s="30">
        <f ca="1">VLOOKUP(D554,Panchanga!$A$3:$Y$463,7,TRUE)</f>
        <v>63.714651305218688</v>
      </c>
      <c r="E558" s="30">
        <f ca="1">VLOOKUP(E554,Panchanga!$A$3:$Y$463,7,TRUE)</f>
        <v>78.471078585214698</v>
      </c>
      <c r="F558" s="30">
        <f ca="1">VLOOKUP(F554,Panchanga!$A$3:$Y$463,7,TRUE)</f>
        <v>93.472906618900907</v>
      </c>
      <c r="G558" s="45">
        <f ca="1">VLOOKUP(G554,Panchanga!$A$3:$Y$463,7,TRUE)</f>
        <v>108.59343987086413</v>
      </c>
    </row>
    <row r="559" spans="1:7" s="28" customFormat="1" ht="19.5" x14ac:dyDescent="0.3">
      <c r="A559" s="39" t="str">
        <f ca="1">VLOOKUP(A554,Panchanga!$A$3:$Y$463,9,TRUE) &amp; " "&amp;ROUND(A558/13.333,2)</f>
        <v>Bharani 1.62</v>
      </c>
      <c r="B559" s="32" t="str">
        <f ca="1">VLOOKUP(B554,Panchanga!$A$3:$Y$463,9,TRUE) &amp; " "&amp;ROUND(B558/13.333,2)</f>
        <v>Krittika 2.64</v>
      </c>
      <c r="C559" s="32" t="str">
        <f ca="1">VLOOKUP(C554,Panchanga!$A$3:$Y$463,9,TRUE) &amp; " "&amp;ROUND(C558/13.333,2)</f>
        <v>Rohini 3.7</v>
      </c>
      <c r="D559" s="32" t="str">
        <f ca="1">VLOOKUP(D554,Panchanga!$A$3:$Y$463,9,TRUE) &amp; " "&amp;ROUND(D558/13.333,2)</f>
        <v>Mrigashira 4.78</v>
      </c>
      <c r="E559" s="32" t="str">
        <f ca="1">VLOOKUP(E554,Panchanga!$A$3:$Y$463,9,TRUE) &amp; " "&amp;ROUND(E558/13.333,2)</f>
        <v>Ardra 5.89</v>
      </c>
      <c r="F559" s="32" t="str">
        <f ca="1">VLOOKUP(F554,Panchanga!$A$3:$Y$463,9,TRUE) &amp; " "&amp;ROUND(F558/13.333,2)</f>
        <v>Pushya 7.01</v>
      </c>
      <c r="G559" s="46" t="str">
        <f ca="1">VLOOKUP(G554,Panchanga!$A$3:$Y$463,9,TRUE) &amp; " "&amp;ROUND(G558/13.333,2)</f>
        <v>Aslesha 8.14</v>
      </c>
    </row>
    <row r="560" spans="1:7" s="28" customFormat="1" ht="19.5" x14ac:dyDescent="0.3">
      <c r="A560" s="40">
        <f ca="1">VLOOKUP(A554,Panchanga!$A$3:$Y$463,10,TRUE)</f>
        <v>43317.616891897327</v>
      </c>
      <c r="B560" s="34">
        <f ca="1">VLOOKUP(B554,Panchanga!$A$3:$Y$463,10,TRUE)</f>
        <v>43318.585134152949</v>
      </c>
      <c r="C560" s="34">
        <f ca="1">VLOOKUP(C554,Panchanga!$A$3:$Y$463,10,TRUE)</f>
        <v>43319.527674709316</v>
      </c>
      <c r="D560" s="34">
        <f ca="1">VLOOKUP(D554,Panchanga!$A$3:$Y$463,10,TRUE)</f>
        <v>43320.447764035081</v>
      </c>
      <c r="E560" s="34">
        <f ca="1">VLOOKUP(E554,Panchanga!$A$3:$Y$463,10,TRUE)</f>
        <v>43321.349736634846</v>
      </c>
      <c r="F560" s="34">
        <f ca="1">VLOOKUP(F554,Panchanga!$A$3:$Y$463,10,TRUE)</f>
        <v>43323.120592255676</v>
      </c>
      <c r="G560" s="47">
        <f ca="1">VLOOKUP(G554,Panchanga!$A$3:$Y$463,10,TRUE)</f>
        <v>43324.003973167943</v>
      </c>
    </row>
    <row r="561" spans="1:7" s="28" customFormat="1" ht="19.5" x14ac:dyDescent="0.3">
      <c r="A561" s="38" t="str">
        <f ca="1">VLOOKUP(A554,Panchanga!$A$3:$Y$463,11,TRUE)</f>
        <v>K8 (22.77)</v>
      </c>
      <c r="B561" s="30" t="str">
        <f ca="1">VLOOKUP(B554,Panchanga!$A$3:$Y$463,11,TRUE)</f>
        <v>K9 (23.82)</v>
      </c>
      <c r="C561" s="30" t="str">
        <f ca="1">VLOOKUP(C554,Panchanga!$A$3:$Y$463,11,TRUE)</f>
        <v>K10 (24.91)</v>
      </c>
      <c r="D561" s="30" t="str">
        <f ca="1">VLOOKUP(D554,Panchanga!$A$3:$Y$463,11,TRUE)</f>
        <v>K12 (26.03)</v>
      </c>
      <c r="E561" s="30" t="str">
        <f ca="1">VLOOKUP(E554,Panchanga!$A$3:$Y$463,11,TRUE)</f>
        <v>K13 (27.18)</v>
      </c>
      <c r="F561" s="30" t="str">
        <f ca="1">VLOOKUP(F554,Panchanga!$A$3:$Y$463,11,TRUE)</f>
        <v>K14 (28.35)</v>
      </c>
      <c r="G561" s="45" t="str">
        <f ca="1">VLOOKUP(G554,Panchanga!$A$3:$Y$463,11,TRUE)</f>
        <v>K15 (29.53)</v>
      </c>
    </row>
    <row r="562" spans="1:7" s="28" customFormat="1" ht="19.5" x14ac:dyDescent="0.3">
      <c r="A562" s="41" t="str">
        <f ca="1">VLOOKUP(A554,Panchanga!$A$3:$Y$463,13,TRUE)</f>
        <v>Kaulava</v>
      </c>
      <c r="B562" s="36" t="str">
        <f ca="1">VLOOKUP(B554,Panchanga!$A$3:$Y$463,13,TRUE)</f>
        <v>Garija</v>
      </c>
      <c r="C562" s="36" t="str">
        <f ca="1">VLOOKUP(C554,Panchanga!$A$3:$Y$463,13,TRUE)</f>
        <v>Vishti</v>
      </c>
      <c r="D562" s="36" t="str">
        <f ca="1">VLOOKUP(D554,Panchanga!$A$3:$Y$463,13,TRUE)</f>
        <v>Kaulava</v>
      </c>
      <c r="E562" s="36" t="str">
        <f ca="1">VLOOKUP(E554,Panchanga!$A$3:$Y$463,13,TRUE)</f>
        <v>Garija</v>
      </c>
      <c r="F562" s="36" t="str">
        <f ca="1">VLOOKUP(F554,Panchanga!$A$3:$Y$463,13,TRUE)</f>
        <v>Vishti</v>
      </c>
      <c r="G562" s="48" t="str">
        <f ca="1">VLOOKUP(G554,Panchanga!$A$3:$Y$463,13,TRUE)</f>
        <v>Naaga</v>
      </c>
    </row>
    <row r="563" spans="1:7" s="28" customFormat="1" ht="19.5" x14ac:dyDescent="0.3">
      <c r="A563" s="41" t="str">
        <f ca="1">VLOOKUP(A554,Panchanga!$A$3:$Y$463,14,TRUE)</f>
        <v>Ganda-गण्ड -Sa (9.76)</v>
      </c>
      <c r="B563" s="36" t="str">
        <f ca="1">VLOOKUP(B554,Panchanga!$A$3:$Y$463,14,TRUE)</f>
        <v>Vriddhi-वृद्धि -Me (10.86)</v>
      </c>
      <c r="C563" s="36" t="str">
        <f ca="1">VLOOKUP(C554,Panchanga!$A$3:$Y$463,14,TRUE)</f>
        <v>Dhruva-ध्रुव -Ke (11.98)</v>
      </c>
      <c r="D563" s="36" t="str">
        <f ca="1">VLOOKUP(D554,Panchanga!$A$3:$Y$463,14,TRUE)</f>
        <v>Harshana-हर्षण-su (13.13)</v>
      </c>
      <c r="E563" s="36" t="str">
        <f ca="1">VLOOKUP(E554,Panchanga!$A$3:$Y$463,14,TRUE)</f>
        <v>Vajra-वज्र-Mo (14.31)</v>
      </c>
      <c r="F563" s="36" t="str">
        <f ca="1">VLOOKUP(F554,Panchanga!$A$3:$Y$463,14,TRUE)</f>
        <v>Siddhi-सिद्धि-Ma (15.51)</v>
      </c>
      <c r="G563" s="48" t="str">
        <f ca="1">VLOOKUP(G554,Panchanga!$A$3:$Y$463,14,TRUE)</f>
        <v>Vyatipata-व्यतिपात-Ra (16.71)</v>
      </c>
    </row>
    <row r="564" spans="1:7" s="28" customFormat="1" ht="19.5" x14ac:dyDescent="0.3">
      <c r="A564" s="63" t="str">
        <f ca="1">VLOOKUP(A554,Panchanga!$A$3:$Y$463,18,TRUE)</f>
        <v>-10Ma,-4Me,7Ju,6Ve,-9Sa,4Ra</v>
      </c>
      <c r="B564" s="64" t="str">
        <f ca="1">VLOOKUP(B554,Panchanga!$A$3:$Y$463,18,TRUE)</f>
        <v>-10Ma,-4Me,7Ju,6Ve,-9Sa,4Ra</v>
      </c>
      <c r="C564" s="64" t="str">
        <f ca="1">VLOOKUP(C554,Panchanga!$A$3:$Y$463,18,TRUE)</f>
        <v>-10Ma,-4Me,7Ju,6Ve,-9Sa,4Ra</v>
      </c>
      <c r="D564" s="64" t="str">
        <f ca="1">VLOOKUP(D554,Panchanga!$A$3:$Y$463,18,TRUE)</f>
        <v>-10Ma,-4Me,7Ju,6Ve,-9Sa,4Ra</v>
      </c>
      <c r="E564" s="64" t="str">
        <f ca="1">VLOOKUP(E554,Panchanga!$A$3:$Y$463,18,TRUE)</f>
        <v>-10Ma,-4Me,7Ju,6Ve,-9Sa,4Ra</v>
      </c>
      <c r="F564" s="64" t="str">
        <f ca="1">VLOOKUP(F554,Panchanga!$A$3:$Y$463,18,TRUE)</f>
        <v>-10Ma,-4Me,7Ju,6Ve,-9Sa,4Ra</v>
      </c>
      <c r="G564" s="65" t="str">
        <f ca="1">VLOOKUP(G554,Panchanga!$A$3:$Y$463,18,TRUE)</f>
        <v>-10Ma,-4Me,7Ju,6Ve,-9Sa,4Ra</v>
      </c>
    </row>
    <row r="565" spans="1:7" ht="5.85" customHeight="1" thickBot="1" x14ac:dyDescent="0.4">
      <c r="A565" s="42"/>
      <c r="B565" s="16"/>
      <c r="C565" s="16"/>
      <c r="D565" s="16"/>
      <c r="E565" s="16"/>
      <c r="F565" s="16"/>
      <c r="G565" s="49"/>
    </row>
    <row r="566" spans="1:7" s="18" customFormat="1" ht="27.75" x14ac:dyDescent="0.4">
      <c r="A566" s="43">
        <f ca="1">G554+1</f>
        <v>43324</v>
      </c>
      <c r="B566" s="19">
        <f t="shared" ref="B566:G566" ca="1" si="37">A566+1</f>
        <v>43325</v>
      </c>
      <c r="C566" s="19">
        <f t="shared" ca="1" si="37"/>
        <v>43326</v>
      </c>
      <c r="D566" s="19">
        <f t="shared" ca="1" si="37"/>
        <v>43327</v>
      </c>
      <c r="E566" s="19">
        <f t="shared" ca="1" si="37"/>
        <v>43328</v>
      </c>
      <c r="F566" s="19">
        <f t="shared" ca="1" si="37"/>
        <v>43329</v>
      </c>
      <c r="G566" s="50">
        <f t="shared" ca="1" si="37"/>
        <v>43330</v>
      </c>
    </row>
    <row r="567" spans="1:7" s="28" customFormat="1" ht="19.5" x14ac:dyDescent="0.3">
      <c r="A567" s="37">
        <f ca="1">VLOOKUP(A566,Panchanga!$A$3:$Y$463,3,TRUE)</f>
        <v>43324.248139745709</v>
      </c>
      <c r="B567" s="27">
        <f ca="1">VLOOKUP(B566,Panchanga!$A$3:$Y$463,3,TRUE)</f>
        <v>43325.248241312023</v>
      </c>
      <c r="C567" s="27">
        <f ca="1">VLOOKUP(C566,Panchanga!$A$3:$Y$463,3,TRUE)</f>
        <v>43326.248338427547</v>
      </c>
      <c r="D567" s="27">
        <f ca="1">VLOOKUP(D566,Panchanga!$A$3:$Y$463,3,TRUE)</f>
        <v>43327.248431252003</v>
      </c>
      <c r="E567" s="27">
        <f ca="1">VLOOKUP(E566,Panchanga!$A$3:$Y$463,3,TRUE)</f>
        <v>43328.248519625668</v>
      </c>
      <c r="F567" s="27">
        <f ca="1">VLOOKUP(F566,Panchanga!$A$3:$Y$463,3,TRUE)</f>
        <v>43329.248603708264</v>
      </c>
      <c r="G567" s="44">
        <f ca="1">VLOOKUP(G566,Panchanga!$A$3:$Y$463,3,TRUE)</f>
        <v>43330.248683340069</v>
      </c>
    </row>
    <row r="568" spans="1:7" s="28" customFormat="1" ht="19.5" x14ac:dyDescent="0.3">
      <c r="A568" s="37">
        <f ca="1">VLOOKUP(A566,Panchanga!$A$3:$Y$463,4,TRUE)</f>
        <v>43323.772499223749</v>
      </c>
      <c r="B568" s="27">
        <f ca="1">VLOOKUP(B566,Panchanga!$A$3:$Y$463,4,TRUE)</f>
        <v>43324.772166391413</v>
      </c>
      <c r="C568" s="27">
        <f ca="1">VLOOKUP(C566,Panchanga!$A$3:$Y$463,4,TRUE)</f>
        <v>43325.771824817217</v>
      </c>
      <c r="D568" s="27">
        <f ca="1">VLOOKUP(D566,Panchanga!$A$3:$Y$463,4,TRUE)</f>
        <v>43326.771474659487</v>
      </c>
      <c r="E568" s="27">
        <f ca="1">VLOOKUP(E566,Panchanga!$A$3:$Y$463,4,TRUE)</f>
        <v>43327.7711162372</v>
      </c>
      <c r="F568" s="27">
        <f ca="1">VLOOKUP(F566,Panchanga!$A$3:$Y$463,4,TRUE)</f>
        <v>43328.770749390169</v>
      </c>
      <c r="G568" s="44">
        <f ca="1">VLOOKUP(G566,Panchanga!$A$3:$Y$463,4,TRUE)</f>
        <v>43329.770374437372</v>
      </c>
    </row>
    <row r="569" spans="1:7" s="28" customFormat="1" ht="19.5" x14ac:dyDescent="0.3">
      <c r="A569" s="38">
        <f ca="1">VLOOKUP(A566,Panchanga!$A$3:$Y$463,6,TRUE)</f>
        <v>115.1612503244264</v>
      </c>
      <c r="B569" s="30">
        <f ca="1">VLOOKUP(B566,Panchanga!$A$3:$Y$463,6,TRUE)</f>
        <v>116.12146292103186</v>
      </c>
      <c r="C569" s="30">
        <f ca="1">VLOOKUP(C566,Panchanga!$A$3:$Y$463,6,TRUE)</f>
        <v>117.08196388675053</v>
      </c>
      <c r="D569" s="30">
        <f ca="1">VLOOKUP(D566,Panchanga!$A$3:$Y$463,6,TRUE)</f>
        <v>118.04274333186218</v>
      </c>
      <c r="E569" s="30">
        <f ca="1">VLOOKUP(E566,Panchanga!$A$3:$Y$463,6,TRUE)</f>
        <v>119.00379560954674</v>
      </c>
      <c r="F569" s="30">
        <f ca="1">VLOOKUP(F566,Panchanga!$A$3:$Y$463,6,TRUE)</f>
        <v>119.96511996114491</v>
      </c>
      <c r="G569" s="45">
        <f ca="1">VLOOKUP(G566,Panchanga!$A$3:$Y$463,6,TRUE)</f>
        <v>120.92671941296079</v>
      </c>
    </row>
    <row r="570" spans="1:7" s="28" customFormat="1" ht="19.5" x14ac:dyDescent="0.3">
      <c r="A570" s="38">
        <f ca="1">VLOOKUP(A566,Panchanga!$A$3:$Y$463,7,TRUE)</f>
        <v>123.68429161461786</v>
      </c>
      <c r="B570" s="30">
        <f ca="1">VLOOKUP(B566,Panchanga!$A$3:$Y$463,7,TRUE)</f>
        <v>138.59591975516699</v>
      </c>
      <c r="C570" s="30">
        <f ca="1">VLOOKUP(C566,Panchanga!$A$3:$Y$463,7,TRUE)</f>
        <v>153.19939389459003</v>
      </c>
      <c r="D570" s="30">
        <f ca="1">VLOOKUP(D566,Panchanga!$A$3:$Y$463,7,TRUE)</f>
        <v>167.4031311430322</v>
      </c>
      <c r="E570" s="30">
        <f ca="1">VLOOKUP(E566,Panchanga!$A$3:$Y$463,7,TRUE)</f>
        <v>181.16046875250598</v>
      </c>
      <c r="F570" s="30">
        <f ca="1">VLOOKUP(F566,Panchanga!$A$3:$Y$463,7,TRUE)</f>
        <v>194.46789360325843</v>
      </c>
      <c r="G570" s="45">
        <f ca="1">VLOOKUP(G566,Panchanga!$A$3:$Y$463,7,TRUE)</f>
        <v>207.35686960025834</v>
      </c>
    </row>
    <row r="571" spans="1:7" s="28" customFormat="1" ht="19.5" x14ac:dyDescent="0.3">
      <c r="A571" s="39" t="str">
        <f ca="1">VLOOKUP(A566,Panchanga!$A$3:$Y$463,9,TRUE) &amp; " "&amp;ROUND(A570/13.333,2)</f>
        <v>Makha 9.28</v>
      </c>
      <c r="B571" s="32" t="str">
        <f ca="1">VLOOKUP(B566,Panchanga!$A$3:$Y$463,9,TRUE) &amp; " "&amp;ROUND(B570/13.333,2)</f>
        <v>Purva Phalguni 10.39</v>
      </c>
      <c r="C571" s="32" t="str">
        <f ca="1">VLOOKUP(C566,Panchanga!$A$3:$Y$463,9,TRUE) &amp; " "&amp;ROUND(C570/13.333,2)</f>
        <v>Uttara Phalguni 11.49</v>
      </c>
      <c r="D571" s="32" t="str">
        <f ca="1">VLOOKUP(D566,Panchanga!$A$3:$Y$463,9,TRUE) &amp; " "&amp;ROUND(D570/13.333,2)</f>
        <v>Hasta 12.56</v>
      </c>
      <c r="E571" s="32" t="str">
        <f ca="1">VLOOKUP(E566,Panchanga!$A$3:$Y$463,9,TRUE) &amp; " "&amp;ROUND(E570/13.333,2)</f>
        <v>Chitra 13.59</v>
      </c>
      <c r="F571" s="32" t="str">
        <f ca="1">VLOOKUP(F566,Panchanga!$A$3:$Y$463,9,TRUE) &amp; " "&amp;ROUND(F570/13.333,2)</f>
        <v>Swati 14.59</v>
      </c>
      <c r="G571" s="46" t="str">
        <f ca="1">VLOOKUP(G566,Panchanga!$A$3:$Y$463,9,TRUE) &amp; " "&amp;ROUND(G570/13.333,2)</f>
        <v>Visakha 15.55</v>
      </c>
    </row>
    <row r="572" spans="1:7" s="28" customFormat="1" ht="19.5" x14ac:dyDescent="0.3">
      <c r="A572" s="40">
        <f ca="1">VLOOKUP(A566,Panchanga!$A$3:$Y$463,10,TRUE)</f>
        <v>43324.895287169544</v>
      </c>
      <c r="B572" s="34">
        <f ca="1">VLOOKUP(B566,Panchanga!$A$3:$Y$463,10,TRUE)</f>
        <v>43325.800954360253</v>
      </c>
      <c r="C572" s="34">
        <f ca="1">VLOOKUP(C566,Panchanga!$A$3:$Y$463,10,TRUE)</f>
        <v>43326.727172782834</v>
      </c>
      <c r="D572" s="34">
        <f ca="1">VLOOKUP(D566,Panchanga!$A$3:$Y$463,10,TRUE)</f>
        <v>43327.679526746811</v>
      </c>
      <c r="E572" s="34">
        <f ca="1">VLOOKUP(E566,Panchanga!$A$3:$Y$463,10,TRUE)</f>
        <v>43328.662323269222</v>
      </c>
      <c r="F572" s="34">
        <f ca="1">VLOOKUP(F566,Panchanga!$A$3:$Y$463,10,TRUE)</f>
        <v>43329.677850137901</v>
      </c>
      <c r="G572" s="47">
        <f ca="1">VLOOKUP(G566,Panchanga!$A$3:$Y$463,10,TRUE)</f>
        <v>43330.72583127494</v>
      </c>
    </row>
    <row r="573" spans="1:7" s="28" customFormat="1" ht="19.5" x14ac:dyDescent="0.3">
      <c r="A573" s="38" t="str">
        <f ca="1">VLOOKUP(A566,Panchanga!$A$3:$Y$463,11,TRUE)</f>
        <v>S1 (0.71)</v>
      </c>
      <c r="B573" s="30" t="str">
        <f ca="1">VLOOKUP(B566,Panchanga!$A$3:$Y$463,11,TRUE)</f>
        <v>S2 (1.87)</v>
      </c>
      <c r="C573" s="30" t="str">
        <f ca="1">VLOOKUP(C566,Panchanga!$A$3:$Y$463,11,TRUE)</f>
        <v>S4 (3.01)</v>
      </c>
      <c r="D573" s="30" t="str">
        <f ca="1">VLOOKUP(D566,Panchanga!$A$3:$Y$463,11,TRUE)</f>
        <v>S5 (4.11)</v>
      </c>
      <c r="E573" s="30" t="str">
        <f ca="1">VLOOKUP(E566,Panchanga!$A$3:$Y$463,11,TRUE)</f>
        <v>S6 (5.18)</v>
      </c>
      <c r="F573" s="30" t="str">
        <f ca="1">VLOOKUP(F566,Panchanga!$A$3:$Y$463,11,TRUE)</f>
        <v>S7 (6.21)</v>
      </c>
      <c r="G573" s="45" t="str">
        <f ca="1">VLOOKUP(G566,Panchanga!$A$3:$Y$463,11,TRUE)</f>
        <v>S8 (7.2)</v>
      </c>
    </row>
    <row r="574" spans="1:7" s="28" customFormat="1" ht="19.5" x14ac:dyDescent="0.3">
      <c r="A574" s="41" t="str">
        <f ca="1">VLOOKUP(A566,Panchanga!$A$3:$Y$463,13,TRUE)</f>
        <v>Bhava</v>
      </c>
      <c r="B574" s="36" t="str">
        <f ca="1">VLOOKUP(B566,Panchanga!$A$3:$Y$463,13,TRUE)</f>
        <v>Kaulava</v>
      </c>
      <c r="C574" s="36" t="str">
        <f ca="1">VLOOKUP(C566,Panchanga!$A$3:$Y$463,13,TRUE)</f>
        <v>Vanija</v>
      </c>
      <c r="D574" s="36" t="str">
        <f ca="1">VLOOKUP(D566,Panchanga!$A$3:$Y$463,13,TRUE)</f>
        <v>Bhava</v>
      </c>
      <c r="E574" s="36" t="str">
        <f ca="1">VLOOKUP(E566,Panchanga!$A$3:$Y$463,13,TRUE)</f>
        <v>Kaulava</v>
      </c>
      <c r="F574" s="36" t="str">
        <f ca="1">VLOOKUP(F566,Panchanga!$A$3:$Y$463,13,TRUE)</f>
        <v>Garija</v>
      </c>
      <c r="G574" s="48" t="str">
        <f ca="1">VLOOKUP(G566,Panchanga!$A$3:$Y$463,13,TRUE)</f>
        <v>Vishti</v>
      </c>
    </row>
    <row r="575" spans="1:7" s="28" customFormat="1" ht="19.5" x14ac:dyDescent="0.3">
      <c r="A575" s="41" t="str">
        <f ca="1">VLOOKUP(A566,Panchanga!$A$3:$Y$463,14,TRUE)</f>
        <v>Varigha-वरीयस्-Ju (17.92)</v>
      </c>
      <c r="B575" s="36" t="str">
        <f ca="1">VLOOKUP(B566,Panchanga!$A$3:$Y$463,14,TRUE)</f>
        <v>Shiva-शिव-Me (19.11)</v>
      </c>
      <c r="C575" s="36" t="str">
        <f ca="1">VLOOKUP(C566,Panchanga!$A$3:$Y$463,14,TRUE)</f>
        <v>Siddha-सिद्ध-Ke (20.28)</v>
      </c>
      <c r="D575" s="36" t="str">
        <f ca="1">VLOOKUP(D566,Panchanga!$A$3:$Y$463,14,TRUE)</f>
        <v>Sadhya-साध्य-Ve (21.41)</v>
      </c>
      <c r="E575" s="36" t="str">
        <f ca="1">VLOOKUP(E566,Panchanga!$A$3:$Y$463,14,TRUE)</f>
        <v>Shubha-शुभ-Su (22.52)</v>
      </c>
      <c r="F575" s="36" t="str">
        <f ca="1">VLOOKUP(F566,Panchanga!$A$3:$Y$463,14,TRUE)</f>
        <v>Shukla-शुक्ल-Mo (23.59)</v>
      </c>
      <c r="G575" s="48" t="str">
        <f ca="1">VLOOKUP(G566,Panchanga!$A$3:$Y$463,14,TRUE)</f>
        <v>Brahma-ब्रह्म-Ma (24.63)</v>
      </c>
    </row>
    <row r="576" spans="1:7" s="28" customFormat="1" ht="19.5" x14ac:dyDescent="0.3">
      <c r="A576" s="63" t="str">
        <f ca="1">VLOOKUP(A566,Panchanga!$A$3:$Y$463,18,TRUE)</f>
        <v>-10Ma,-4Me,7Ju,6Ve,-9Sa,4Ra</v>
      </c>
      <c r="B576" s="64" t="str">
        <f ca="1">VLOOKUP(B566,Panchanga!$A$3:$Y$463,18,TRUE)</f>
        <v>-10Ma,-4Me,7Ju,6Ve,-9Sa,4Ra</v>
      </c>
      <c r="C576" s="64" t="str">
        <f ca="1">VLOOKUP(C566,Panchanga!$A$3:$Y$463,18,TRUE)</f>
        <v>-10Ma,-4Me,7Ju,6Ve,-9Sa,4Ra</v>
      </c>
      <c r="D576" s="64" t="str">
        <f ca="1">VLOOKUP(D566,Panchanga!$A$3:$Y$463,18,TRUE)</f>
        <v>-10Ma,-4Me,7Ju,6Ve,-9Sa,4Ra</v>
      </c>
      <c r="E576" s="64" t="str">
        <f ca="1">VLOOKUP(E566,Panchanga!$A$3:$Y$463,18,TRUE)</f>
        <v>-10Ma,-4Me,7Ju,6Ve,-9Sa,4Ra</v>
      </c>
      <c r="F576" s="64" t="str">
        <f ca="1">VLOOKUP(F566,Panchanga!$A$3:$Y$463,18,TRUE)</f>
        <v>-10Ma,-4Me,7Ju,6Ve,-9Sa,4Ra</v>
      </c>
      <c r="G576" s="65" t="str">
        <f ca="1">VLOOKUP(G566,Panchanga!$A$3:$Y$463,18,TRUE)</f>
        <v>-10Ma,-4Me,7Ju,6Ve,-9Sa,4Ra</v>
      </c>
    </row>
    <row r="577" spans="1:7" ht="5.85" customHeight="1" thickBot="1" x14ac:dyDescent="0.4">
      <c r="A577" s="42"/>
      <c r="B577" s="16"/>
      <c r="C577" s="16"/>
      <c r="D577" s="16"/>
      <c r="E577" s="16"/>
      <c r="F577" s="16"/>
      <c r="G577" s="49"/>
    </row>
    <row r="578" spans="1:7" s="51" customFormat="1" ht="37.5" x14ac:dyDescent="0.5">
      <c r="A578" s="52">
        <f ca="1">G566+1</f>
        <v>43331</v>
      </c>
      <c r="B578" s="53">
        <f t="shared" ref="B578:G578" ca="1" si="38">A578+1</f>
        <v>43332</v>
      </c>
      <c r="C578" s="53">
        <f t="shared" ca="1" si="38"/>
        <v>43333</v>
      </c>
      <c r="D578" s="53">
        <f t="shared" ca="1" si="38"/>
        <v>43334</v>
      </c>
      <c r="E578" s="53">
        <f t="shared" ca="1" si="38"/>
        <v>43335</v>
      </c>
      <c r="F578" s="53">
        <f t="shared" ca="1" si="38"/>
        <v>43336</v>
      </c>
      <c r="G578" s="54">
        <f t="shared" ca="1" si="38"/>
        <v>43337</v>
      </c>
    </row>
    <row r="579" spans="1:7" s="28" customFormat="1" ht="19.5" x14ac:dyDescent="0.3">
      <c r="A579" s="37">
        <f ca="1">VLOOKUP(A578,Panchanga!$A$3:$Y$463,3,TRUE)</f>
        <v>43331.24875868034</v>
      </c>
      <c r="B579" s="27">
        <f ca="1">VLOOKUP(B578,Panchanga!$A$3:$Y$463,3,TRUE)</f>
        <v>43332.248829887867</v>
      </c>
      <c r="C579" s="27">
        <f ca="1">VLOOKUP(C578,Panchanga!$A$3:$Y$463,3,TRUE)</f>
        <v>43333.248896963116</v>
      </c>
      <c r="D579" s="27">
        <f ca="1">VLOOKUP(D578,Panchanga!$A$3:$Y$463,3,TRUE)</f>
        <v>43334.248960064411</v>
      </c>
      <c r="E579" s="27">
        <f ca="1">VLOOKUP(E578,Panchanga!$A$3:$Y$463,3,TRUE)</f>
        <v>43335.249019192219</v>
      </c>
      <c r="F579" s="27">
        <f ca="1">VLOOKUP(F578,Panchanga!$A$3:$Y$463,3,TRUE)</f>
        <v>43336.24907466412</v>
      </c>
      <c r="G579" s="44">
        <f ca="1">VLOOKUP(G578,Panchanga!$A$3:$Y$463,3,TRUE)</f>
        <v>43337.249126480579</v>
      </c>
    </row>
    <row r="580" spans="1:7" s="28" customFormat="1" ht="19.5" x14ac:dyDescent="0.3">
      <c r="A580" s="37">
        <f ca="1">VLOOKUP(A578,Panchanga!$A$3:$Y$463,4,TRUE)</f>
        <v>43330.769991695925</v>
      </c>
      <c r="B580" s="27">
        <f ca="1">VLOOKUP(B578,Panchanga!$A$3:$Y$463,4,TRUE)</f>
        <v>43331.769601325548</v>
      </c>
      <c r="C580" s="27">
        <f ca="1">VLOOKUP(C578,Panchanga!$A$3:$Y$463,4,TRUE)</f>
        <v>43332.769203325312</v>
      </c>
      <c r="D580" s="27">
        <f ca="1">VLOOKUP(D578,Panchanga!$A$3:$Y$463,4,TRUE)</f>
        <v>43333.768798172518</v>
      </c>
      <c r="E580" s="27">
        <f ca="1">VLOOKUP(E578,Panchanga!$A$3:$Y$463,4,TRUE)</f>
        <v>43334.768386026422</v>
      </c>
      <c r="F580" s="27">
        <f ca="1">VLOOKUP(F578,Panchanga!$A$3:$Y$463,4,TRUE)</f>
        <v>43335.767967045351</v>
      </c>
      <c r="G580" s="44">
        <f ca="1">VLOOKUP(G578,Panchanga!$A$3:$Y$463,4,TRUE)</f>
        <v>43336.767541547815</v>
      </c>
    </row>
    <row r="581" spans="1:7" s="28" customFormat="1" ht="19.5" x14ac:dyDescent="0.3">
      <c r="A581" s="38">
        <f ca="1">VLOOKUP(A578,Panchanga!$A$3:$Y$463,6,TRUE)</f>
        <v>121.88860074403611</v>
      </c>
      <c r="B581" s="30">
        <f ca="1">VLOOKUP(B578,Panchanga!$A$3:$Y$463,6,TRUE)</f>
        <v>122.8507735857108</v>
      </c>
      <c r="C581" s="30">
        <f ca="1">VLOOKUP(C578,Panchanga!$A$3:$Y$463,6,TRUE)</f>
        <v>123.81324978823876</v>
      </c>
      <c r="D581" s="30">
        <f ca="1">VLOOKUP(D578,Panchanga!$A$3:$Y$463,6,TRUE)</f>
        <v>124.77604331482259</v>
      </c>
      <c r="E581" s="30">
        <f ca="1">VLOOKUP(E578,Panchanga!$A$3:$Y$463,6,TRUE)</f>
        <v>125.73916958975394</v>
      </c>
      <c r="F581" s="30">
        <f ca="1">VLOOKUP(F578,Panchanga!$A$3:$Y$463,6,TRUE)</f>
        <v>126.70264568174326</v>
      </c>
      <c r="G581" s="45">
        <f ca="1">VLOOKUP(G578,Panchanga!$A$3:$Y$463,6,TRUE)</f>
        <v>127.66648950489129</v>
      </c>
    </row>
    <row r="582" spans="1:7" s="28" customFormat="1" ht="19.5" x14ac:dyDescent="0.3">
      <c r="A582" s="38">
        <f ca="1">VLOOKUP(A578,Panchanga!$A$3:$Y$463,7,TRUE)</f>
        <v>219.88320276590338</v>
      </c>
      <c r="B582" s="30">
        <f ca="1">VLOOKUP(B578,Panchanga!$A$3:$Y$463,7,TRUE)</f>
        <v>232.11680812372097</v>
      </c>
      <c r="C582" s="30">
        <f ca="1">VLOOKUP(C578,Panchanga!$A$3:$Y$463,7,TRUE)</f>
        <v>244.13326129648931</v>
      </c>
      <c r="D582" s="30">
        <f ca="1">VLOOKUP(D578,Panchanga!$A$3:$Y$463,7,TRUE)</f>
        <v>256.00748257356429</v>
      </c>
      <c r="E582" s="30">
        <f ca="1">VLOOKUP(E578,Panchanga!$A$3:$Y$463,7,TRUE)</f>
        <v>267.80942607522786</v>
      </c>
      <c r="F582" s="30">
        <f ca="1">VLOOKUP(F578,Panchanga!$A$3:$Y$463,7,TRUE)</f>
        <v>279.60146080438875</v>
      </c>
      <c r="G582" s="45">
        <f ca="1">VLOOKUP(G578,Panchanga!$A$3:$Y$463,7,TRUE)</f>
        <v>291.43702850304163</v>
      </c>
    </row>
    <row r="583" spans="1:7" s="28" customFormat="1" ht="19.5" x14ac:dyDescent="0.3">
      <c r="A583" s="39" t="str">
        <f ca="1">VLOOKUP(A578,Panchanga!$A$3:$Y$463,9,TRUE) &amp; " "&amp;ROUND(A582/13.333,2)</f>
        <v>Anuradha 16.49</v>
      </c>
      <c r="B583" s="32" t="str">
        <f ca="1">VLOOKUP(B578,Panchanga!$A$3:$Y$463,9,TRUE) &amp; " "&amp;ROUND(B582/13.333,2)</f>
        <v>Jyestha 17.41</v>
      </c>
      <c r="C583" s="32" t="str">
        <f ca="1">VLOOKUP(C578,Panchanga!$A$3:$Y$463,9,TRUE) &amp; " "&amp;ROUND(C582/13.333,2)</f>
        <v>Moola 18.31</v>
      </c>
      <c r="D583" s="32" t="str">
        <f ca="1">VLOOKUP(D578,Panchanga!$A$3:$Y$463,9,TRUE) &amp; " "&amp;ROUND(D582/13.333,2)</f>
        <v>Purva Asadha 19.2</v>
      </c>
      <c r="E583" s="32" t="str">
        <f ca="1">VLOOKUP(E578,Panchanga!$A$3:$Y$463,9,TRUE) &amp; " "&amp;ROUND(E582/13.333,2)</f>
        <v>Uttara Asadha 20.09</v>
      </c>
      <c r="F583" s="32" t="str">
        <f ca="1">VLOOKUP(F578,Panchanga!$A$3:$Y$463,9,TRUE) &amp; " "&amp;ROUND(F582/13.333,2)</f>
        <v>Uttara Asadha 20.97</v>
      </c>
      <c r="G583" s="46" t="str">
        <f ca="1">VLOOKUP(G578,Panchanga!$A$3:$Y$463,9,TRUE) &amp; " "&amp;ROUND(G582/13.333,2)</f>
        <v>Sravana 21.86</v>
      </c>
    </row>
    <row r="584" spans="1:7" s="28" customFormat="1" ht="19.5" x14ac:dyDescent="0.3">
      <c r="A584" s="40">
        <f ca="1">VLOOKUP(A578,Panchanga!$A$3:$Y$463,10,TRUE)</f>
        <v>43331.803292420482</v>
      </c>
      <c r="B584" s="34">
        <f ca="1">VLOOKUP(B578,Panchanga!$A$3:$Y$463,10,TRUE)</f>
        <v>43332.90490706222</v>
      </c>
      <c r="C584" s="34">
        <f ca="1">VLOOKUP(C578,Panchanga!$A$3:$Y$463,10,TRUE)</f>
        <v>43334.023739570359</v>
      </c>
      <c r="D584" s="34">
        <f ca="1">VLOOKUP(D578,Panchanga!$A$3:$Y$463,10,TRUE)</f>
        <v>43335.152185397237</v>
      </c>
      <c r="E584" s="34">
        <f ca="1">VLOOKUP(E578,Panchanga!$A$3:$Y$463,10,TRUE)</f>
        <v>43336.28287386099</v>
      </c>
      <c r="F584" s="34">
        <f ca="1">VLOOKUP(F578,Panchanga!$A$3:$Y$463,10,TRUE)</f>
        <v>43336.282749419457</v>
      </c>
      <c r="G584" s="47">
        <f ca="1">VLOOKUP(G578,Panchanga!$A$3:$Y$463,10,TRUE)</f>
        <v>43337.408175817269</v>
      </c>
    </row>
    <row r="585" spans="1:7" s="28" customFormat="1" ht="19.5" x14ac:dyDescent="0.3">
      <c r="A585" s="38" t="str">
        <f ca="1">VLOOKUP(A578,Panchanga!$A$3:$Y$463,11,TRUE)</f>
        <v>S9 (8.17)</v>
      </c>
      <c r="B585" s="30" t="str">
        <f ca="1">VLOOKUP(B578,Panchanga!$A$3:$Y$463,11,TRUE)</f>
        <v>S10 (9.11)</v>
      </c>
      <c r="C585" s="30" t="str">
        <f ca="1">VLOOKUP(C578,Panchanga!$A$3:$Y$463,11,TRUE)</f>
        <v>S11 (10.03)</v>
      </c>
      <c r="D585" s="30" t="str">
        <f ca="1">VLOOKUP(D578,Panchanga!$A$3:$Y$463,11,TRUE)</f>
        <v>S11 (10.94)</v>
      </c>
      <c r="E585" s="30" t="str">
        <f ca="1">VLOOKUP(E578,Panchanga!$A$3:$Y$463,11,TRUE)</f>
        <v>S12 (11.84)</v>
      </c>
      <c r="F585" s="30" t="str">
        <f ca="1">VLOOKUP(F578,Panchanga!$A$3:$Y$463,11,TRUE)</f>
        <v>S13 (12.74)</v>
      </c>
      <c r="G585" s="45" t="str">
        <f ca="1">VLOOKUP(G578,Panchanga!$A$3:$Y$463,11,TRUE)</f>
        <v>S14 (13.65)</v>
      </c>
    </row>
    <row r="586" spans="1:7" s="28" customFormat="1" ht="19.5" x14ac:dyDescent="0.3">
      <c r="A586" s="41" t="str">
        <f ca="1">VLOOKUP(A578,Panchanga!$A$3:$Y$463,13,TRUE)</f>
        <v>Baalava</v>
      </c>
      <c r="B586" s="36" t="str">
        <f ca="1">VLOOKUP(B578,Panchanga!$A$3:$Y$463,13,TRUE)</f>
        <v>Taitula</v>
      </c>
      <c r="C586" s="36" t="str">
        <f ca="1">VLOOKUP(C578,Panchanga!$A$3:$Y$463,13,TRUE)</f>
        <v>Vanija</v>
      </c>
      <c r="D586" s="36" t="str">
        <f ca="1">VLOOKUP(D578,Panchanga!$A$3:$Y$463,13,TRUE)</f>
        <v>Vishti</v>
      </c>
      <c r="E586" s="36" t="str">
        <f ca="1">VLOOKUP(E578,Panchanga!$A$3:$Y$463,13,TRUE)</f>
        <v>Baalava</v>
      </c>
      <c r="F586" s="36" t="str">
        <f ca="1">VLOOKUP(F578,Panchanga!$A$3:$Y$463,13,TRUE)</f>
        <v>Taitula</v>
      </c>
      <c r="G586" s="48" t="str">
        <f ca="1">VLOOKUP(G578,Panchanga!$A$3:$Y$463,13,TRUE)</f>
        <v>Vanija</v>
      </c>
    </row>
    <row r="587" spans="1:7" s="28" customFormat="1" ht="19.5" x14ac:dyDescent="0.3">
      <c r="A587" s="41" t="str">
        <f ca="1">VLOOKUP(A578,Panchanga!$A$3:$Y$463,14,TRUE)</f>
        <v>Mahendra-महेन्द्र-Ra (25.64)</v>
      </c>
      <c r="B587" s="36" t="str">
        <f ca="1">VLOOKUP(B578,Panchanga!$A$3:$Y$463,14,TRUE)</f>
        <v>Vaidhriti-वैधृति-Ke (26.63)</v>
      </c>
      <c r="C587" s="36" t="str">
        <f ca="1">VLOOKUP(C578,Panchanga!$A$3:$Y$463,14,TRUE)</f>
        <v>Vishkambha-विष्कम्भ-Sa (0.6)</v>
      </c>
      <c r="D587" s="36" t="str">
        <f ca="1">VLOOKUP(D578,Panchanga!$A$3:$Y$463,14,TRUE)</f>
        <v>Priti-प्रीति-Me (1.56)</v>
      </c>
      <c r="E587" s="36" t="str">
        <f ca="1">VLOOKUP(E578,Panchanga!$A$3:$Y$463,14,TRUE)</f>
        <v>Ayushman-आयुष्मान-Ke (2.52)</v>
      </c>
      <c r="F587" s="36" t="str">
        <f ca="1">VLOOKUP(F578,Panchanga!$A$3:$Y$463,14,TRUE)</f>
        <v>Saubhagya-सौभाग्य-Ve (3.48)</v>
      </c>
      <c r="G587" s="48" t="str">
        <f ca="1">VLOOKUP(G578,Panchanga!$A$3:$Y$463,14,TRUE)</f>
        <v>Shobhana-शोभन-Su (4.44)</v>
      </c>
    </row>
    <row r="588" spans="1:7" s="28" customFormat="1" ht="19.5" x14ac:dyDescent="0.3">
      <c r="A588" s="63" t="str">
        <f ca="1">VLOOKUP(A578,Panchanga!$A$3:$Y$463,18,TRUE)</f>
        <v>-10Ma,4Me,7Ju,6Ve,-9Sa,4Ra</v>
      </c>
      <c r="B588" s="64" t="str">
        <f ca="1">VLOOKUP(B578,Panchanga!$A$3:$Y$463,18,TRUE)</f>
        <v>-10Ma,4Me,7Ju,6Ve,-9Sa,4Ra</v>
      </c>
      <c r="C588" s="64" t="str">
        <f ca="1">VLOOKUP(C578,Panchanga!$A$3:$Y$463,18,TRUE)</f>
        <v>-10Ma,4Me,7Ju,6Ve,-9Sa,4Ra</v>
      </c>
      <c r="D588" s="64" t="str">
        <f ca="1">VLOOKUP(D578,Panchanga!$A$3:$Y$463,18,TRUE)</f>
        <v>-10Ma,4Me,7Ju,6Ve,-9Sa,4Ra</v>
      </c>
      <c r="E588" s="64" t="str">
        <f ca="1">VLOOKUP(E578,Panchanga!$A$3:$Y$463,18,TRUE)</f>
        <v>-10Ma,4Me,7Ju,6Ve,-9Sa,4Ra</v>
      </c>
      <c r="F588" s="64" t="str">
        <f ca="1">VLOOKUP(F578,Panchanga!$A$3:$Y$463,18,TRUE)</f>
        <v>-10Ma,4Me,7Ju,6Ve,-9Sa,4Ra</v>
      </c>
      <c r="G588" s="65" t="str">
        <f ca="1">VLOOKUP(G578,Panchanga!$A$3:$Y$463,18,TRUE)</f>
        <v>-10Ma,4Me,7Ju,6Ve,-9Sa,4Ra</v>
      </c>
    </row>
    <row r="589" spans="1:7" ht="5.85" customHeight="1" thickBot="1" x14ac:dyDescent="0.4">
      <c r="A589" s="42"/>
      <c r="B589" s="16"/>
      <c r="C589" s="16"/>
      <c r="D589" s="16"/>
      <c r="E589" s="16"/>
      <c r="F589" s="16"/>
      <c r="G589" s="49"/>
    </row>
    <row r="590" spans="1:7" s="51" customFormat="1" ht="37.5" x14ac:dyDescent="0.5">
      <c r="A590" s="52">
        <f ca="1">G578+1</f>
        <v>43338</v>
      </c>
      <c r="B590" s="53">
        <f t="shared" ref="B590:G590" ca="1" si="39">A590+1</f>
        <v>43339</v>
      </c>
      <c r="C590" s="53">
        <f t="shared" ca="1" si="39"/>
        <v>43340</v>
      </c>
      <c r="D590" s="53">
        <f t="shared" ca="1" si="39"/>
        <v>43341</v>
      </c>
      <c r="E590" s="53">
        <f t="shared" ca="1" si="39"/>
        <v>43342</v>
      </c>
      <c r="F590" s="53">
        <f t="shared" ca="1" si="39"/>
        <v>43343</v>
      </c>
      <c r="G590" s="54">
        <f t="shared" ca="1" si="39"/>
        <v>43344</v>
      </c>
    </row>
    <row r="591" spans="1:7" s="28" customFormat="1" ht="19.5" x14ac:dyDescent="0.3">
      <c r="A591" s="37">
        <f ca="1">VLOOKUP(A590,Panchanga!$A$3:$Y$463,3,TRUE)</f>
        <v>43338.249174641132</v>
      </c>
      <c r="B591" s="27">
        <f ca="1">VLOOKUP(B590,Panchanga!$A$3:$Y$463,3,TRUE)</f>
        <v>43339.249219622616</v>
      </c>
      <c r="C591" s="27">
        <f ca="1">VLOOKUP(C590,Panchanga!$A$3:$Y$463,3,TRUE)</f>
        <v>43340.249261425495</v>
      </c>
      <c r="D591" s="27">
        <f ca="1">VLOOKUP(D590,Panchanga!$A$3:$Y$463,3,TRUE)</f>
        <v>43341.249300049305</v>
      </c>
      <c r="E591" s="27">
        <f ca="1">VLOOKUP(E590,Panchanga!$A$3:$Y$463,3,TRUE)</f>
        <v>43342.249335970882</v>
      </c>
      <c r="F591" s="27">
        <f ca="1">VLOOKUP(F590,Panchanga!$A$3:$Y$463,3,TRUE)</f>
        <v>43343.249369190693</v>
      </c>
      <c r="G591" s="44">
        <f ca="1">VLOOKUP(G590,Panchanga!$A$3:$Y$463,3,TRUE)</f>
        <v>43344.249399867062</v>
      </c>
    </row>
    <row r="592" spans="1:7" s="28" customFormat="1" ht="19.5" x14ac:dyDescent="0.3">
      <c r="A592" s="37">
        <f ca="1">VLOOKUP(A590,Panchanga!$A$3:$Y$463,4,TRUE)</f>
        <v>43337.767109851397</v>
      </c>
      <c r="B592" s="27">
        <f ca="1">VLOOKUP(B590,Panchanga!$A$3:$Y$463,4,TRUE)</f>
        <v>43338.766672114885</v>
      </c>
      <c r="C592" s="27">
        <f ca="1">VLOOKUP(C590,Panchanga!$A$3:$Y$463,4,TRUE)</f>
        <v>43339.766228656328</v>
      </c>
      <c r="D592" s="27">
        <f ca="1">VLOOKUP(D590,Panchanga!$A$3:$Y$463,4,TRUE)</f>
        <v>43340.765779634516</v>
      </c>
      <c r="E592" s="27">
        <f ca="1">VLOOKUP(E590,Panchanga!$A$3:$Y$463,4,TRUE)</f>
        <v>43341.765325526751</v>
      </c>
      <c r="F592" s="27">
        <f ca="1">VLOOKUP(F590,Panchanga!$A$3:$Y$463,4,TRUE)</f>
        <v>43342.764866332567</v>
      </c>
      <c r="G592" s="44">
        <f ca="1">VLOOKUP(G590,Panchanga!$A$3:$Y$463,4,TRUE)</f>
        <v>43343.764402528803</v>
      </c>
    </row>
    <row r="593" spans="1:7" s="28" customFormat="1" ht="19.5" x14ac:dyDescent="0.3">
      <c r="A593" s="38">
        <f ca="1">VLOOKUP(A590,Panchanga!$A$3:$Y$463,6,TRUE)</f>
        <v>128.63071999758805</v>
      </c>
      <c r="B593" s="30">
        <f ca="1">VLOOKUP(B590,Panchanga!$A$3:$Y$463,6,TRUE)</f>
        <v>129.59535743408421</v>
      </c>
      <c r="C593" s="30">
        <f ca="1">VLOOKUP(C590,Panchanga!$A$3:$Y$463,6,TRUE)</f>
        <v>130.56042225161886</v>
      </c>
      <c r="D593" s="30">
        <f ca="1">VLOOKUP(D590,Panchanga!$A$3:$Y$463,6,TRUE)</f>
        <v>131.52593510234269</v>
      </c>
      <c r="E593" s="30">
        <f ca="1">VLOOKUP(E590,Panchanga!$A$3:$Y$463,6,TRUE)</f>
        <v>132.49191677941567</v>
      </c>
      <c r="F593" s="30">
        <f ca="1">VLOOKUP(F590,Panchanga!$A$3:$Y$463,6,TRUE)</f>
        <v>133.45838669864452</v>
      </c>
      <c r="G593" s="45">
        <f ca="1">VLOOKUP(G590,Panchanga!$A$3:$Y$463,6,TRUE)</f>
        <v>134.42536293497284</v>
      </c>
    </row>
    <row r="594" spans="1:7" s="28" customFormat="1" ht="19.5" x14ac:dyDescent="0.3">
      <c r="A594" s="38">
        <f ca="1">VLOOKUP(A590,Panchanga!$A$3:$Y$463,7,TRUE)</f>
        <v>303.36034863043466</v>
      </c>
      <c r="B594" s="30">
        <f ca="1">VLOOKUP(B590,Panchanga!$A$3:$Y$463,7,TRUE)</f>
        <v>315.40708900531786</v>
      </c>
      <c r="C594" s="30">
        <f ca="1">VLOOKUP(C590,Panchanga!$A$3:$Y$463,7,TRUE)</f>
        <v>327.60588849320499</v>
      </c>
      <c r="D594" s="30">
        <f ca="1">VLOOKUP(D590,Panchanga!$A$3:$Y$463,7,TRUE)</f>
        <v>339.98047239403053</v>
      </c>
      <c r="E594" s="30">
        <f ca="1">VLOOKUP(E590,Panchanga!$A$3:$Y$463,7,TRUE)</f>
        <v>352.55193431666908</v>
      </c>
      <c r="F594" s="30">
        <f ca="1">VLOOKUP(F590,Panchanga!$A$3:$Y$463,7,TRUE)</f>
        <v>5.3407867256581811</v>
      </c>
      <c r="G594" s="45">
        <f ca="1">VLOOKUP(G590,Panchanga!$A$3:$Y$463,7,TRUE)</f>
        <v>18.368380163779118</v>
      </c>
    </row>
    <row r="595" spans="1:7" s="28" customFormat="1" ht="19.5" x14ac:dyDescent="0.3">
      <c r="A595" s="39" t="str">
        <f ca="1">VLOOKUP(A590,Panchanga!$A$3:$Y$463,9,TRUE) &amp; " "&amp;ROUND(A594/13.333,2)</f>
        <v>Dhanistha 22.75</v>
      </c>
      <c r="B595" s="32" t="str">
        <f ca="1">VLOOKUP(B590,Panchanga!$A$3:$Y$463,9,TRUE) &amp; " "&amp;ROUND(B594/13.333,2)</f>
        <v>Satabhisaj 23.66</v>
      </c>
      <c r="C595" s="32" t="str">
        <f ca="1">VLOOKUP(C590,Panchanga!$A$3:$Y$463,9,TRUE) &amp; " "&amp;ROUND(C594/13.333,2)</f>
        <v>Purva Bhadrapada 24.57</v>
      </c>
      <c r="D595" s="32" t="str">
        <f ca="1">VLOOKUP(D590,Panchanga!$A$3:$Y$463,9,TRUE) &amp; " "&amp;ROUND(D594/13.333,2)</f>
        <v>Uttara Bhadrapada 25.5</v>
      </c>
      <c r="E595" s="32" t="str">
        <f ca="1">VLOOKUP(E590,Panchanga!$A$3:$Y$463,9,TRUE) &amp; " "&amp;ROUND(E594/13.333,2)</f>
        <v>Revati 26.44</v>
      </c>
      <c r="F595" s="32" t="str">
        <f ca="1">VLOOKUP(F590,Panchanga!$A$3:$Y$463,9,TRUE) &amp; " "&amp;ROUND(F594/13.333,2)</f>
        <v>Aswini 0.4</v>
      </c>
      <c r="G595" s="46" t="str">
        <f ca="1">VLOOKUP(G590,Panchanga!$A$3:$Y$463,9,TRUE) &amp; " "&amp;ROUND(G594/13.333,2)</f>
        <v>Bharani 1.38</v>
      </c>
    </row>
    <row r="596" spans="1:7" s="28" customFormat="1" ht="19.5" x14ac:dyDescent="0.3">
      <c r="A596" s="40">
        <f ca="1">VLOOKUP(A590,Panchanga!$A$3:$Y$463,10,TRUE)</f>
        <v>43338.523644469184</v>
      </c>
      <c r="B596" s="34">
        <f ca="1">VLOOKUP(B590,Panchanga!$A$3:$Y$463,10,TRUE)</f>
        <v>43339.625740525029</v>
      </c>
      <c r="C596" s="34">
        <f ca="1">VLOOKUP(C590,Panchanga!$A$3:$Y$463,10,TRUE)</f>
        <v>43340.712118690171</v>
      </c>
      <c r="D596" s="34">
        <f ca="1">VLOOKUP(D590,Panchanga!$A$3:$Y$463,10,TRUE)</f>
        <v>43341.781174105992</v>
      </c>
      <c r="E596" s="34">
        <f ca="1">VLOOKUP(E590,Panchanga!$A$3:$Y$463,10,TRUE)</f>
        <v>43342.22788414493</v>
      </c>
      <c r="F596" s="34">
        <f ca="1">VLOOKUP(F590,Panchanga!$A$3:$Y$463,10,TRUE)</f>
        <v>43343.86289707118</v>
      </c>
      <c r="G596" s="47">
        <f ca="1">VLOOKUP(G590,Panchanga!$A$3:$Y$463,10,TRUE)</f>
        <v>43344.873884500361</v>
      </c>
    </row>
    <row r="597" spans="1:7" s="28" customFormat="1" ht="19.5" x14ac:dyDescent="0.3">
      <c r="A597" s="38" t="str">
        <f ca="1">VLOOKUP(A590,Panchanga!$A$3:$Y$463,11,TRUE)</f>
        <v>S15 (14.56)</v>
      </c>
      <c r="B597" s="30" t="str">
        <f ca="1">VLOOKUP(B590,Panchanga!$A$3:$Y$463,11,TRUE)</f>
        <v>K1 (15.48)</v>
      </c>
      <c r="C597" s="30" t="str">
        <f ca="1">VLOOKUP(C590,Panchanga!$A$3:$Y$463,11,TRUE)</f>
        <v>K2 (16.42)</v>
      </c>
      <c r="D597" s="30" t="str">
        <f ca="1">VLOOKUP(D590,Panchanga!$A$3:$Y$463,11,TRUE)</f>
        <v>K3 (17.37)</v>
      </c>
      <c r="E597" s="30" t="str">
        <f ca="1">VLOOKUP(E590,Panchanga!$A$3:$Y$463,11,TRUE)</f>
        <v>K4 (18.34)</v>
      </c>
      <c r="F597" s="30" t="str">
        <f ca="1">VLOOKUP(F590,Panchanga!$A$3:$Y$463,11,TRUE)</f>
        <v>K5 (19.32)</v>
      </c>
      <c r="G597" s="45" t="str">
        <f ca="1">VLOOKUP(G590,Panchanga!$A$3:$Y$463,11,TRUE)</f>
        <v>K6 (20.33)</v>
      </c>
    </row>
    <row r="598" spans="1:7" s="28" customFormat="1" ht="19.5" x14ac:dyDescent="0.3">
      <c r="A598" s="41" t="str">
        <f ca="1">VLOOKUP(A590,Panchanga!$A$3:$Y$463,13,TRUE)</f>
        <v>Bhava</v>
      </c>
      <c r="B598" s="36" t="str">
        <f ca="1">VLOOKUP(B590,Panchanga!$A$3:$Y$463,13,TRUE)</f>
        <v>Baalava</v>
      </c>
      <c r="C598" s="36" t="str">
        <f ca="1">VLOOKUP(C590,Panchanga!$A$3:$Y$463,13,TRUE)</f>
        <v>Taitula</v>
      </c>
      <c r="D598" s="36" t="str">
        <f ca="1">VLOOKUP(D590,Panchanga!$A$3:$Y$463,13,TRUE)</f>
        <v>Vanija</v>
      </c>
      <c r="E598" s="36" t="str">
        <f ca="1">VLOOKUP(E590,Panchanga!$A$3:$Y$463,13,TRUE)</f>
        <v>Bhava</v>
      </c>
      <c r="F598" s="36" t="str">
        <f ca="1">VLOOKUP(F590,Panchanga!$A$3:$Y$463,13,TRUE)</f>
        <v>Kaulava</v>
      </c>
      <c r="G598" s="48" t="str">
        <f ca="1">VLOOKUP(G590,Panchanga!$A$3:$Y$463,13,TRUE)</f>
        <v>Garija</v>
      </c>
    </row>
    <row r="599" spans="1:7" s="28" customFormat="1" ht="19.5" x14ac:dyDescent="0.3">
      <c r="A599" s="41" t="str">
        <f ca="1">VLOOKUP(A590,Panchanga!$A$3:$Y$463,14,TRUE)</f>
        <v>Atiganda-अतिगण्ड -Mo (5.4)</v>
      </c>
      <c r="B599" s="36" t="str">
        <f ca="1">VLOOKUP(B590,Panchanga!$A$3:$Y$463,14,TRUE)</f>
        <v>Sukarman-सुकर्मा -Ma (6.38)</v>
      </c>
      <c r="C599" s="36" t="str">
        <f ca="1">VLOOKUP(C590,Panchanga!$A$3:$Y$463,14,TRUE)</f>
        <v>Dhriti-धृति -Ra (7.37)</v>
      </c>
      <c r="D599" s="36" t="str">
        <f ca="1">VLOOKUP(D590,Panchanga!$A$3:$Y$463,14,TRUE)</f>
        <v>Shula-शूल -Ju (8.37)</v>
      </c>
      <c r="E599" s="36" t="str">
        <f ca="1">VLOOKUP(E590,Panchanga!$A$3:$Y$463,14,TRUE)</f>
        <v>Ganda-गण्ड -Sa (9.38)</v>
      </c>
      <c r="F599" s="36" t="str">
        <f ca="1">VLOOKUP(F590,Panchanga!$A$3:$Y$463,14,TRUE)</f>
        <v>Vriddhi-वृद्धि -Me (10.41)</v>
      </c>
      <c r="G599" s="48" t="str">
        <f ca="1">VLOOKUP(G590,Panchanga!$A$3:$Y$463,14,TRUE)</f>
        <v>Dhruva-ध्रुव -Ke (11.46)</v>
      </c>
    </row>
    <row r="600" spans="1:7" s="28" customFormat="1" ht="19.5" x14ac:dyDescent="0.3">
      <c r="A600" s="63" t="str">
        <f ca="1">VLOOKUP(A590,Panchanga!$A$3:$Y$463,18,TRUE)</f>
        <v>-10Ma,4Me,7Ju,6Ve,-9Sa,4Ra</v>
      </c>
      <c r="B600" s="64" t="str">
        <f ca="1">VLOOKUP(B590,Panchanga!$A$3:$Y$463,18,TRUE)</f>
        <v>-10Ma,4Me,7Ju,6Ve,-9Sa,4Ra</v>
      </c>
      <c r="C600" s="64" t="str">
        <f ca="1">VLOOKUP(C590,Panchanga!$A$3:$Y$463,18,TRUE)</f>
        <v>10Ma,4Me,7Ju,6Ve,-9Sa,4Ra</v>
      </c>
      <c r="D600" s="64" t="str">
        <f ca="1">VLOOKUP(D590,Panchanga!$A$3:$Y$463,18,TRUE)</f>
        <v>10Ma,4Me,7Ju,6Ve,-9Sa,4Ra</v>
      </c>
      <c r="E600" s="64" t="str">
        <f ca="1">VLOOKUP(E590,Panchanga!$A$3:$Y$463,18,TRUE)</f>
        <v>10Ma,4Me,7Ju,6Ve,-9Sa,4Ra</v>
      </c>
      <c r="F600" s="64" t="str">
        <f ca="1">VLOOKUP(F590,Panchanga!$A$3:$Y$463,18,TRUE)</f>
        <v>10Ma,4Me,7Ju,6Ve,-9Sa,4Ra</v>
      </c>
      <c r="G600" s="65" t="str">
        <f ca="1">VLOOKUP(G590,Panchanga!$A$3:$Y$463,18,TRUE)</f>
        <v>10Ma,4Me,7Ju,6Ve,-9Sa,4Ra</v>
      </c>
    </row>
    <row r="601" spans="1:7" ht="5.85" customHeight="1" thickBot="1" x14ac:dyDescent="0.4">
      <c r="A601" s="42"/>
      <c r="B601" s="16"/>
      <c r="C601" s="16"/>
      <c r="D601" s="16"/>
      <c r="E601" s="16"/>
      <c r="F601" s="16"/>
      <c r="G601" s="17"/>
    </row>
    <row r="602" spans="1:7" s="51" customFormat="1" ht="37.5" x14ac:dyDescent="0.5">
      <c r="A602" s="52">
        <f ca="1">G590+1</f>
        <v>43345</v>
      </c>
      <c r="B602" s="53">
        <f ca="1">A602+1</f>
        <v>43346</v>
      </c>
      <c r="C602" s="53"/>
      <c r="D602" s="53"/>
      <c r="E602" s="53"/>
      <c r="F602" s="53"/>
      <c r="G602" s="55"/>
    </row>
    <row r="603" spans="1:7" s="28" customFormat="1" ht="19.5" x14ac:dyDescent="0.3">
      <c r="A603" s="37">
        <f ca="1">VLOOKUP(A602,Panchanga!$A$3:$Y$463,3,TRUE)</f>
        <v>43345.249428318501</v>
      </c>
      <c r="B603" s="27">
        <f ca="1">VLOOKUP(B602,Panchanga!$A$3:$Y$463,3,TRUE)</f>
        <v>43346.249454385754</v>
      </c>
      <c r="C603" s="27" t="s">
        <v>20</v>
      </c>
      <c r="D603" s="27"/>
      <c r="E603" s="27"/>
      <c r="F603" s="27"/>
      <c r="G603" s="26"/>
    </row>
    <row r="604" spans="1:7" s="28" customFormat="1" ht="19.5" x14ac:dyDescent="0.3">
      <c r="A604" s="37">
        <f ca="1">VLOOKUP(A602,Panchanga!$A$3:$Y$463,4,TRUE)</f>
        <v>43344.763934274713</v>
      </c>
      <c r="B604" s="27">
        <f ca="1">VLOOKUP(B602,Panchanga!$A$3:$Y$463,4,TRUE)</f>
        <v>43345.763462047136</v>
      </c>
      <c r="C604" s="27" t="s">
        <v>8</v>
      </c>
      <c r="D604" s="27"/>
      <c r="E604" s="27"/>
      <c r="F604" s="27"/>
      <c r="G604" s="26"/>
    </row>
    <row r="605" spans="1:7" s="28" customFormat="1" ht="19.5" x14ac:dyDescent="0.3">
      <c r="A605" s="38">
        <f ca="1">VLOOKUP(A602,Panchanga!$A$3:$Y$463,6,TRUE)</f>
        <v>135.39286168255106</v>
      </c>
      <c r="B605" s="30">
        <f ca="1">VLOOKUP(B602,Panchanga!$A$3:$Y$463,6,TRUE)</f>
        <v>136.36089608241454</v>
      </c>
      <c r="C605" s="30" t="s">
        <v>21</v>
      </c>
      <c r="D605" s="30"/>
      <c r="E605" s="30"/>
      <c r="F605" s="30"/>
      <c r="G605" s="29"/>
    </row>
    <row r="606" spans="1:7" s="28" customFormat="1" ht="19.5" x14ac:dyDescent="0.3">
      <c r="A606" s="38">
        <f ca="1">VLOOKUP(A602,Panchanga!$A$3:$Y$463,7,TRUE)</f>
        <v>31.656973923413069</v>
      </c>
      <c r="B606" s="30">
        <f ca="1">VLOOKUP(B602,Panchanga!$A$3:$Y$463,7,TRUE)</f>
        <v>45.227628730935244</v>
      </c>
      <c r="C606" s="30" t="s">
        <v>22</v>
      </c>
      <c r="D606" s="30"/>
      <c r="E606" s="30"/>
      <c r="F606" s="30"/>
      <c r="G606" s="29"/>
    </row>
    <row r="607" spans="1:7" s="28" customFormat="1" ht="19.5" x14ac:dyDescent="0.3">
      <c r="A607" s="39" t="str">
        <f ca="1">VLOOKUP(A602,Panchanga!$A$3:$Y$463,9,TRUE) &amp; " "&amp;ROUND(A606/13.333,2)</f>
        <v>Krittika 2.37</v>
      </c>
      <c r="B607" s="32" t="str">
        <f ca="1">VLOOKUP(B602,Panchanga!$A$3:$Y$463,9,TRUE) &amp; " "&amp;ROUND(B606/13.333,2)</f>
        <v>Rohini 3.39</v>
      </c>
      <c r="C607" s="32" t="s">
        <v>23</v>
      </c>
      <c r="D607" s="32"/>
      <c r="E607" s="32"/>
      <c r="F607" s="32"/>
      <c r="G607" s="31"/>
    </row>
    <row r="608" spans="1:7" s="28" customFormat="1" ht="19.5" x14ac:dyDescent="0.3">
      <c r="A608" s="40">
        <f ca="1">VLOOKUP(A602,Panchanga!$A$3:$Y$463,10,TRUE)</f>
        <v>43345.864228685517</v>
      </c>
      <c r="B608" s="34">
        <f ca="1">VLOOKUP(B602,Panchanga!$A$3:$Y$463,10,TRUE)</f>
        <v>43346.833965182603</v>
      </c>
      <c r="C608" s="34" t="s">
        <v>24</v>
      </c>
      <c r="D608" s="34"/>
      <c r="E608" s="34"/>
      <c r="F608" s="34"/>
      <c r="G608" s="33"/>
    </row>
    <row r="609" spans="1:7" s="28" customFormat="1" ht="19.5" x14ac:dyDescent="0.3">
      <c r="A609" s="38" t="str">
        <f ca="1">VLOOKUP(A602,Panchanga!$A$3:$Y$463,11,TRUE)</f>
        <v>K7 (21.36)</v>
      </c>
      <c r="B609" s="30" t="str">
        <f ca="1">VLOOKUP(B602,Panchanga!$A$3:$Y$463,11,TRUE)</f>
        <v>K8 (22.41)</v>
      </c>
      <c r="C609" s="30" t="s">
        <v>28</v>
      </c>
      <c r="D609" s="30"/>
      <c r="E609" s="30"/>
      <c r="F609" s="30"/>
      <c r="G609" s="29"/>
    </row>
    <row r="610" spans="1:7" s="28" customFormat="1" ht="19.5" x14ac:dyDescent="0.3">
      <c r="A610" s="41" t="str">
        <f ca="1">VLOOKUP(A602,Panchanga!$A$3:$Y$463,13,TRUE)</f>
        <v>Vishti</v>
      </c>
      <c r="B610" s="36" t="str">
        <f ca="1">VLOOKUP(B602,Panchanga!$A$3:$Y$463,13,TRUE)</f>
        <v>Baalava</v>
      </c>
      <c r="C610" s="36" t="s">
        <v>25</v>
      </c>
      <c r="D610" s="36"/>
      <c r="E610" s="36"/>
      <c r="F610" s="36"/>
      <c r="G610" s="35"/>
    </row>
    <row r="611" spans="1:7" s="28" customFormat="1" ht="19.5" x14ac:dyDescent="0.3">
      <c r="A611" s="41" t="str">
        <f ca="1">VLOOKUP(A602,Panchanga!$A$3:$Y$463,14,TRUE)</f>
        <v>Vyaghata-व्याघात-ve (12.53)</v>
      </c>
      <c r="B611" s="36" t="str">
        <f ca="1">VLOOKUP(B602,Panchanga!$A$3:$Y$463,14,TRUE)</f>
        <v>Harshana-हर्षण-su (13.62)</v>
      </c>
      <c r="C611" s="36" t="s">
        <v>13</v>
      </c>
      <c r="D611" s="36"/>
      <c r="E611" s="36"/>
      <c r="F611" s="36"/>
      <c r="G611" s="48"/>
    </row>
    <row r="612" spans="1:7" s="28" customFormat="1" ht="19.5" x14ac:dyDescent="0.3">
      <c r="A612" s="63" t="str">
        <f ca="1">VLOOKUP(A602,Panchanga!$A$3:$Y$463,18,TRUE)</f>
        <v>10Ma,4Me,7Ju,7Ve,-9Sa,4Ra</v>
      </c>
      <c r="B612" s="64" t="str">
        <f ca="1">VLOOKUP(B602,Panchanga!$A$3:$Y$463,18,TRUE)</f>
        <v>10Ma,5Me,7Ju,7Ve,-9Sa,4Ra</v>
      </c>
      <c r="C612" s="64"/>
      <c r="D612" s="64"/>
      <c r="E612" s="64"/>
      <c r="F612" s="64"/>
      <c r="G612" s="65"/>
    </row>
    <row r="613" spans="1:7" ht="24" thickBot="1" x14ac:dyDescent="0.4"/>
    <row r="614" spans="1:7" x14ac:dyDescent="0.35">
      <c r="A614" s="23" t="s">
        <v>26</v>
      </c>
      <c r="B614" s="21">
        <f>Lat</f>
        <v>13.5</v>
      </c>
      <c r="C614" s="23" t="s">
        <v>1</v>
      </c>
      <c r="D614" s="21">
        <f>Long</f>
        <v>80.23</v>
      </c>
      <c r="E614" s="23" t="s">
        <v>4</v>
      </c>
      <c r="F614" s="22">
        <f>TimeZone</f>
        <v>5.5</v>
      </c>
    </row>
    <row r="617" spans="1:7" s="51" customFormat="1" ht="38.25" thickBot="1" x14ac:dyDescent="0.55000000000000004">
      <c r="A617" s="68">
        <f ca="1">DATE(YEAR(A540),MONTH(A540)+1,1)</f>
        <v>43344</v>
      </c>
      <c r="B617" s="69"/>
      <c r="C617" s="69"/>
      <c r="D617" s="69"/>
      <c r="E617" s="69"/>
      <c r="F617" s="69"/>
      <c r="G617" s="69"/>
    </row>
    <row r="618" spans="1:7" s="56" customFormat="1" ht="35.25" thickBot="1" x14ac:dyDescent="0.5">
      <c r="A618" s="57">
        <v>1</v>
      </c>
      <c r="B618" s="58">
        <v>2</v>
      </c>
      <c r="C618" s="58">
        <v>3</v>
      </c>
      <c r="D618" s="58">
        <v>4</v>
      </c>
      <c r="E618" s="58">
        <v>5</v>
      </c>
      <c r="F618" s="58">
        <v>6</v>
      </c>
      <c r="G618" s="59">
        <v>7</v>
      </c>
    </row>
    <row r="619" spans="1:7" s="51" customFormat="1" ht="37.5" x14ac:dyDescent="0.5">
      <c r="A619" s="52">
        <f ca="1">DATE(YEAR(A617),MONTH(A617),1)-WEEKDAY(A617)+1</f>
        <v>43338</v>
      </c>
      <c r="B619" s="53">
        <f t="shared" ref="B619:G619" ca="1" si="40">A619+1</f>
        <v>43339</v>
      </c>
      <c r="C619" s="53">
        <f t="shared" ca="1" si="40"/>
        <v>43340</v>
      </c>
      <c r="D619" s="53">
        <f t="shared" ca="1" si="40"/>
        <v>43341</v>
      </c>
      <c r="E619" s="53">
        <f t="shared" ca="1" si="40"/>
        <v>43342</v>
      </c>
      <c r="F619" s="53">
        <f t="shared" ca="1" si="40"/>
        <v>43343</v>
      </c>
      <c r="G619" s="54">
        <f t="shared" ca="1" si="40"/>
        <v>43344</v>
      </c>
    </row>
    <row r="620" spans="1:7" s="28" customFormat="1" ht="19.5" x14ac:dyDescent="0.3">
      <c r="A620" s="37">
        <f ca="1">VLOOKUP(A619,Panchanga!$A$3:$Y$463,3,TRUE)</f>
        <v>43338.249174641132</v>
      </c>
      <c r="B620" s="27">
        <f ca="1">VLOOKUP(B619,Panchanga!$A$3:$Y$463,3,TRUE)</f>
        <v>43339.249219622616</v>
      </c>
      <c r="C620" s="27">
        <f ca="1">VLOOKUP(C619,Panchanga!$A$3:$Y$463,3,TRUE)</f>
        <v>43340.249261425495</v>
      </c>
      <c r="D620" s="27">
        <f ca="1">VLOOKUP(D619,Panchanga!$A$3:$Y$463,3,TRUE)</f>
        <v>43341.249300049305</v>
      </c>
      <c r="E620" s="27">
        <f ca="1">VLOOKUP(E619,Panchanga!$A$3:$Y$463,3,TRUE)</f>
        <v>43342.249335970882</v>
      </c>
      <c r="F620" s="27">
        <f ca="1">VLOOKUP(F619,Panchanga!$A$3:$Y$463,3,TRUE)</f>
        <v>43343.249369190693</v>
      </c>
      <c r="G620" s="44">
        <f ca="1">VLOOKUP(G619,Panchanga!$A$3:$Y$463,3,TRUE)</f>
        <v>43344.249399867062</v>
      </c>
    </row>
    <row r="621" spans="1:7" s="28" customFormat="1" ht="19.5" x14ac:dyDescent="0.3">
      <c r="A621" s="37">
        <f ca="1">VLOOKUP(A619,Panchanga!$A$3:$Y$463,4,TRUE)</f>
        <v>43337.767109851397</v>
      </c>
      <c r="B621" s="27">
        <f ca="1">VLOOKUP(B619,Panchanga!$A$3:$Y$463,4,TRUE)</f>
        <v>43338.766672114885</v>
      </c>
      <c r="C621" s="27">
        <f ca="1">VLOOKUP(C619,Panchanga!$A$3:$Y$463,4,TRUE)</f>
        <v>43339.766228656328</v>
      </c>
      <c r="D621" s="27">
        <f ca="1">VLOOKUP(D619,Panchanga!$A$3:$Y$463,4,TRUE)</f>
        <v>43340.765779634516</v>
      </c>
      <c r="E621" s="27">
        <f ca="1">VLOOKUP(E619,Panchanga!$A$3:$Y$463,4,TRUE)</f>
        <v>43341.765325526751</v>
      </c>
      <c r="F621" s="27">
        <f ca="1">VLOOKUP(F619,Panchanga!$A$3:$Y$463,4,TRUE)</f>
        <v>43342.764866332567</v>
      </c>
      <c r="G621" s="44">
        <f ca="1">VLOOKUP(G619,Panchanga!$A$3:$Y$463,4,TRUE)</f>
        <v>43343.764402528803</v>
      </c>
    </row>
    <row r="622" spans="1:7" s="28" customFormat="1" ht="19.5" x14ac:dyDescent="0.3">
      <c r="A622" s="38">
        <f ca="1">VLOOKUP(A619,Panchanga!$A$3:$Y$463,6,TRUE)</f>
        <v>128.63071999758805</v>
      </c>
      <c r="B622" s="30">
        <f ca="1">VLOOKUP(B619,Panchanga!$A$3:$Y$463,6,TRUE)</f>
        <v>129.59535743408421</v>
      </c>
      <c r="C622" s="30">
        <f ca="1">VLOOKUP(C619,Panchanga!$A$3:$Y$463,6,TRUE)</f>
        <v>130.56042225161886</v>
      </c>
      <c r="D622" s="30">
        <f ca="1">VLOOKUP(D619,Panchanga!$A$3:$Y$463,6,TRUE)</f>
        <v>131.52593510234269</v>
      </c>
      <c r="E622" s="30">
        <f ca="1">VLOOKUP(E619,Panchanga!$A$3:$Y$463,6,TRUE)</f>
        <v>132.49191677941567</v>
      </c>
      <c r="F622" s="30">
        <f ca="1">VLOOKUP(F619,Panchanga!$A$3:$Y$463,6,TRUE)</f>
        <v>133.45838669864452</v>
      </c>
      <c r="G622" s="45">
        <f ca="1">VLOOKUP(G619,Panchanga!$A$3:$Y$463,6,TRUE)</f>
        <v>134.42536293497284</v>
      </c>
    </row>
    <row r="623" spans="1:7" s="28" customFormat="1" ht="19.5" x14ac:dyDescent="0.3">
      <c r="A623" s="38">
        <f ca="1">VLOOKUP(A619,Panchanga!$A$3:$Y$463,7,TRUE)</f>
        <v>303.36034863043466</v>
      </c>
      <c r="B623" s="30">
        <f ca="1">VLOOKUP(B619,Panchanga!$A$3:$Y$463,7,TRUE)</f>
        <v>315.40708900531786</v>
      </c>
      <c r="C623" s="30">
        <f ca="1">VLOOKUP(C619,Panchanga!$A$3:$Y$463,7,TRUE)</f>
        <v>327.60588849320499</v>
      </c>
      <c r="D623" s="30">
        <f ca="1">VLOOKUP(D619,Panchanga!$A$3:$Y$463,7,TRUE)</f>
        <v>339.98047239403053</v>
      </c>
      <c r="E623" s="30">
        <f ca="1">VLOOKUP(E619,Panchanga!$A$3:$Y$463,7,TRUE)</f>
        <v>352.55193431666908</v>
      </c>
      <c r="F623" s="30">
        <f ca="1">VLOOKUP(F619,Panchanga!$A$3:$Y$463,7,TRUE)</f>
        <v>5.3407867256581811</v>
      </c>
      <c r="G623" s="45">
        <f ca="1">VLOOKUP(G619,Panchanga!$A$3:$Y$463,7,TRUE)</f>
        <v>18.368380163779118</v>
      </c>
    </row>
    <row r="624" spans="1:7" s="28" customFormat="1" ht="19.5" x14ac:dyDescent="0.3">
      <c r="A624" s="39" t="str">
        <f ca="1">VLOOKUP(A619,Panchanga!$A$3:$Y$463,9,TRUE) &amp; " "&amp;ROUND(A623/13.333,2)</f>
        <v>Dhanistha 22.75</v>
      </c>
      <c r="B624" s="32" t="str">
        <f ca="1">VLOOKUP(B619,Panchanga!$A$3:$Y$463,9,TRUE) &amp; " "&amp;ROUND(B623/13.333,2)</f>
        <v>Satabhisaj 23.66</v>
      </c>
      <c r="C624" s="32" t="str">
        <f ca="1">VLOOKUP(C619,Panchanga!$A$3:$Y$463,9,TRUE) &amp; " "&amp;ROUND(C623/13.333,2)</f>
        <v>Purva Bhadrapada 24.57</v>
      </c>
      <c r="D624" s="32" t="str">
        <f ca="1">VLOOKUP(D619,Panchanga!$A$3:$Y$463,9,TRUE) &amp; " "&amp;ROUND(D623/13.333,2)</f>
        <v>Uttara Bhadrapada 25.5</v>
      </c>
      <c r="E624" s="32" t="str">
        <f ca="1">VLOOKUP(E619,Panchanga!$A$3:$Y$463,9,TRUE) &amp; " "&amp;ROUND(E623/13.333,2)</f>
        <v>Revati 26.44</v>
      </c>
      <c r="F624" s="32" t="str">
        <f ca="1">VLOOKUP(F619,Panchanga!$A$3:$Y$463,9,TRUE) &amp; " "&amp;ROUND(F623/13.333,2)</f>
        <v>Aswini 0.4</v>
      </c>
      <c r="G624" s="46" t="str">
        <f ca="1">VLOOKUP(G619,Panchanga!$A$3:$Y$463,9,TRUE) &amp; " "&amp;ROUND(G623/13.333,2)</f>
        <v>Bharani 1.38</v>
      </c>
    </row>
    <row r="625" spans="1:7" s="28" customFormat="1" ht="19.5" x14ac:dyDescent="0.3">
      <c r="A625" s="40">
        <f ca="1">VLOOKUP(A619,Panchanga!$A$3:$Y$463,10,TRUE)</f>
        <v>43338.523644469184</v>
      </c>
      <c r="B625" s="34">
        <f ca="1">VLOOKUP(B619,Panchanga!$A$3:$Y$463,10,TRUE)</f>
        <v>43339.625740525029</v>
      </c>
      <c r="C625" s="34">
        <f ca="1">VLOOKUP(C619,Panchanga!$A$3:$Y$463,10,TRUE)</f>
        <v>43340.712118690171</v>
      </c>
      <c r="D625" s="34">
        <f ca="1">VLOOKUP(D619,Panchanga!$A$3:$Y$463,10,TRUE)</f>
        <v>43341.781174105992</v>
      </c>
      <c r="E625" s="34">
        <f ca="1">VLOOKUP(E619,Panchanga!$A$3:$Y$463,10,TRUE)</f>
        <v>43342.22788414493</v>
      </c>
      <c r="F625" s="34">
        <f ca="1">VLOOKUP(F619,Panchanga!$A$3:$Y$463,10,TRUE)</f>
        <v>43343.86289707118</v>
      </c>
      <c r="G625" s="47">
        <f ca="1">VLOOKUP(G619,Panchanga!$A$3:$Y$463,10,TRUE)</f>
        <v>43344.873884500361</v>
      </c>
    </row>
    <row r="626" spans="1:7" s="28" customFormat="1" ht="19.5" x14ac:dyDescent="0.3">
      <c r="A626" s="38" t="str">
        <f ca="1">VLOOKUP(A619,Panchanga!$A$3:$Y$463,11,TRUE)</f>
        <v>S15 (14.56)</v>
      </c>
      <c r="B626" s="30" t="str">
        <f ca="1">VLOOKUP(B619,Panchanga!$A$3:$Y$463,11,TRUE)</f>
        <v>K1 (15.48)</v>
      </c>
      <c r="C626" s="30" t="str">
        <f ca="1">VLOOKUP(C619,Panchanga!$A$3:$Y$463,11,TRUE)</f>
        <v>K2 (16.42)</v>
      </c>
      <c r="D626" s="30" t="str">
        <f ca="1">VLOOKUP(D619,Panchanga!$A$3:$Y$463,11,TRUE)</f>
        <v>K3 (17.37)</v>
      </c>
      <c r="E626" s="30" t="str">
        <f ca="1">VLOOKUP(E619,Panchanga!$A$3:$Y$463,11,TRUE)</f>
        <v>K4 (18.34)</v>
      </c>
      <c r="F626" s="30" t="str">
        <f ca="1">VLOOKUP(F619,Panchanga!$A$3:$Y$463,11,TRUE)</f>
        <v>K5 (19.32)</v>
      </c>
      <c r="G626" s="45" t="str">
        <f ca="1">VLOOKUP(G619,Panchanga!$A$3:$Y$463,11,TRUE)</f>
        <v>K6 (20.33)</v>
      </c>
    </row>
    <row r="627" spans="1:7" s="28" customFormat="1" ht="19.5" x14ac:dyDescent="0.3">
      <c r="A627" s="41" t="str">
        <f ca="1">VLOOKUP(A619,Panchanga!$A$3:$Y$463,13,TRUE)</f>
        <v>Bhava</v>
      </c>
      <c r="B627" s="36" t="str">
        <f ca="1">VLOOKUP(B619,Panchanga!$A$3:$Y$463,13,TRUE)</f>
        <v>Baalava</v>
      </c>
      <c r="C627" s="36" t="str">
        <f ca="1">VLOOKUP(C619,Panchanga!$A$3:$Y$463,13,TRUE)</f>
        <v>Taitula</v>
      </c>
      <c r="D627" s="36" t="str">
        <f ca="1">VLOOKUP(D619,Panchanga!$A$3:$Y$463,13,TRUE)</f>
        <v>Vanija</v>
      </c>
      <c r="E627" s="36" t="str">
        <f ca="1">VLOOKUP(E619,Panchanga!$A$3:$Y$463,13,TRUE)</f>
        <v>Bhava</v>
      </c>
      <c r="F627" s="36" t="str">
        <f ca="1">VLOOKUP(F619,Panchanga!$A$3:$Y$463,13,TRUE)</f>
        <v>Kaulava</v>
      </c>
      <c r="G627" s="48" t="str">
        <f ca="1">VLOOKUP(G619,Panchanga!$A$3:$Y$463,13,TRUE)</f>
        <v>Garija</v>
      </c>
    </row>
    <row r="628" spans="1:7" s="28" customFormat="1" ht="19.5" x14ac:dyDescent="0.3">
      <c r="A628" s="41" t="str">
        <f ca="1">VLOOKUP(A619,Panchanga!$A$3:$Y$463,14,TRUE)</f>
        <v>Atiganda-अतिगण्ड -Mo (5.4)</v>
      </c>
      <c r="B628" s="36" t="str">
        <f ca="1">VLOOKUP(B619,Panchanga!$A$3:$Y$463,14,TRUE)</f>
        <v>Sukarman-सुकर्मा -Ma (6.38)</v>
      </c>
      <c r="C628" s="36" t="str">
        <f ca="1">VLOOKUP(C619,Panchanga!$A$3:$Y$463,14,TRUE)</f>
        <v>Dhriti-धृति -Ra (7.37)</v>
      </c>
      <c r="D628" s="36" t="str">
        <f ca="1">VLOOKUP(D619,Panchanga!$A$3:$Y$463,14,TRUE)</f>
        <v>Shula-शूल -Ju (8.37)</v>
      </c>
      <c r="E628" s="36" t="str">
        <f ca="1">VLOOKUP(E619,Panchanga!$A$3:$Y$463,14,TRUE)</f>
        <v>Ganda-गण्ड -Sa (9.38)</v>
      </c>
      <c r="F628" s="36" t="str">
        <f ca="1">VLOOKUP(F619,Panchanga!$A$3:$Y$463,14,TRUE)</f>
        <v>Vriddhi-वृद्धि -Me (10.41)</v>
      </c>
      <c r="G628" s="48" t="str">
        <f ca="1">VLOOKUP(G619,Panchanga!$A$3:$Y$463,14,TRUE)</f>
        <v>Dhruva-ध्रुव -Ke (11.46)</v>
      </c>
    </row>
    <row r="629" spans="1:7" s="28" customFormat="1" ht="19.5" x14ac:dyDescent="0.3">
      <c r="A629" s="63" t="str">
        <f ca="1">VLOOKUP(A619,Panchanga!$A$3:$Y$463,18,TRUE)</f>
        <v>-10Ma,4Me,7Ju,6Ve,-9Sa,4Ra</v>
      </c>
      <c r="B629" s="64" t="str">
        <f ca="1">VLOOKUP(B619,Panchanga!$A$3:$Y$463,18,TRUE)</f>
        <v>-10Ma,4Me,7Ju,6Ve,-9Sa,4Ra</v>
      </c>
      <c r="C629" s="64" t="str">
        <f ca="1">VLOOKUP(C619,Panchanga!$A$3:$Y$463,18,TRUE)</f>
        <v>10Ma,4Me,7Ju,6Ve,-9Sa,4Ra</v>
      </c>
      <c r="D629" s="64" t="str">
        <f ca="1">VLOOKUP(D619,Panchanga!$A$3:$Y$463,18,TRUE)</f>
        <v>10Ma,4Me,7Ju,6Ve,-9Sa,4Ra</v>
      </c>
      <c r="E629" s="64" t="str">
        <f ca="1">VLOOKUP(E619,Panchanga!$A$3:$Y$463,18,TRUE)</f>
        <v>10Ma,4Me,7Ju,6Ve,-9Sa,4Ra</v>
      </c>
      <c r="F629" s="64" t="str">
        <f ca="1">VLOOKUP(F619,Panchanga!$A$3:$Y$463,18,TRUE)</f>
        <v>10Ma,4Me,7Ju,6Ve,-9Sa,4Ra</v>
      </c>
      <c r="G629" s="65" t="str">
        <f ca="1">VLOOKUP(G619,Panchanga!$A$3:$Y$463,18,TRUE)</f>
        <v>10Ma,4Me,7Ju,6Ve,-9Sa,4Ra</v>
      </c>
    </row>
    <row r="630" spans="1:7" ht="5.85" customHeight="1" thickBot="1" x14ac:dyDescent="0.4">
      <c r="A630" s="42"/>
      <c r="B630" s="16"/>
      <c r="C630" s="16"/>
      <c r="D630" s="16"/>
      <c r="E630" s="16"/>
      <c r="F630" s="16"/>
      <c r="G630" s="49"/>
    </row>
    <row r="631" spans="1:7" s="51" customFormat="1" ht="37.5" x14ac:dyDescent="0.5">
      <c r="A631" s="52">
        <f ca="1">G619+1</f>
        <v>43345</v>
      </c>
      <c r="B631" s="53">
        <f t="shared" ref="B631:G631" ca="1" si="41">A631+1</f>
        <v>43346</v>
      </c>
      <c r="C631" s="53">
        <f t="shared" ca="1" si="41"/>
        <v>43347</v>
      </c>
      <c r="D631" s="53">
        <f t="shared" ca="1" si="41"/>
        <v>43348</v>
      </c>
      <c r="E631" s="53">
        <f t="shared" ca="1" si="41"/>
        <v>43349</v>
      </c>
      <c r="F631" s="53">
        <f t="shared" ca="1" si="41"/>
        <v>43350</v>
      </c>
      <c r="G631" s="54">
        <f t="shared" ca="1" si="41"/>
        <v>43351</v>
      </c>
    </row>
    <row r="632" spans="1:7" s="28" customFormat="1" ht="19.5" x14ac:dyDescent="0.3">
      <c r="A632" s="37">
        <f ca="1">VLOOKUP(A631,Panchanga!$A$3:$Y$463,3,TRUE)</f>
        <v>43345.249428318501</v>
      </c>
      <c r="B632" s="27">
        <f ca="1">VLOOKUP(B631,Panchanga!$A$3:$Y$463,3,TRUE)</f>
        <v>43346.249454385754</v>
      </c>
      <c r="C632" s="27">
        <f ca="1">VLOOKUP(C631,Panchanga!$A$3:$Y$463,3,TRUE)</f>
        <v>43347.249478704449</v>
      </c>
      <c r="D632" s="27">
        <f ca="1">VLOOKUP(D631,Panchanga!$A$3:$Y$463,3,TRUE)</f>
        <v>43348.249500956539</v>
      </c>
      <c r="E632" s="27">
        <f ca="1">VLOOKUP(E631,Panchanga!$A$3:$Y$463,3,TRUE)</f>
        <v>43349.249521778584</v>
      </c>
      <c r="F632" s="27">
        <f ca="1">VLOOKUP(F631,Panchanga!$A$3:$Y$463,3,TRUE)</f>
        <v>43350.24954085207</v>
      </c>
      <c r="G632" s="44">
        <f ca="1">VLOOKUP(G631,Panchanga!$A$3:$Y$463,3,TRUE)</f>
        <v>43351.249558495045</v>
      </c>
    </row>
    <row r="633" spans="1:7" s="28" customFormat="1" ht="19.5" x14ac:dyDescent="0.3">
      <c r="A633" s="37">
        <f ca="1">VLOOKUP(A631,Panchanga!$A$3:$Y$463,4,TRUE)</f>
        <v>43344.763934274713</v>
      </c>
      <c r="B633" s="27">
        <f ca="1">VLOOKUP(B631,Panchanga!$A$3:$Y$463,4,TRUE)</f>
        <v>43345.763462047136</v>
      </c>
      <c r="C633" s="27">
        <f ca="1">VLOOKUP(C631,Panchanga!$A$3:$Y$463,4,TRUE)</f>
        <v>43346.762985845606</v>
      </c>
      <c r="D633" s="27">
        <f ca="1">VLOOKUP(D631,Panchanga!$A$3:$Y$463,4,TRUE)</f>
        <v>43347.762505988634</v>
      </c>
      <c r="E633" s="27">
        <f ca="1">VLOOKUP(E631,Panchanga!$A$3:$Y$463,4,TRUE)</f>
        <v>43348.762022793337</v>
      </c>
      <c r="F633" s="27">
        <f ca="1">VLOOKUP(F631,Panchanga!$A$3:$Y$463,4,TRUE)</f>
        <v>43349.761536419435</v>
      </c>
      <c r="G633" s="44">
        <f ca="1">VLOOKUP(G631,Panchanga!$A$3:$Y$463,4,TRUE)</f>
        <v>43350.761047184511</v>
      </c>
    </row>
    <row r="634" spans="1:7" s="28" customFormat="1" ht="19.5" x14ac:dyDescent="0.3">
      <c r="A634" s="38">
        <f ca="1">VLOOKUP(A631,Panchanga!$A$3:$Y$463,6,TRUE)</f>
        <v>135.39286168255106</v>
      </c>
      <c r="B634" s="30">
        <f ca="1">VLOOKUP(B631,Panchanga!$A$3:$Y$463,6,TRUE)</f>
        <v>136.36089608241454</v>
      </c>
      <c r="C634" s="30">
        <f ca="1">VLOOKUP(C631,Panchanga!$A$3:$Y$463,6,TRUE)</f>
        <v>137.32947679026046</v>
      </c>
      <c r="D634" s="30">
        <f ca="1">VLOOKUP(D631,Panchanga!$A$3:$Y$463,6,TRUE)</f>
        <v>138.29860947986154</v>
      </c>
      <c r="E634" s="30">
        <f ca="1">VLOOKUP(E631,Panchanga!$A$3:$Y$463,6,TRUE)</f>
        <v>139.26829587429887</v>
      </c>
      <c r="F634" s="30">
        <f ca="1">VLOOKUP(F631,Panchanga!$A$3:$Y$463,6,TRUE)</f>
        <v>140.23853134962638</v>
      </c>
      <c r="G634" s="45">
        <f ca="1">VLOOKUP(G631,Panchanga!$A$3:$Y$463,6,TRUE)</f>
        <v>141.20930656023796</v>
      </c>
    </row>
    <row r="635" spans="1:7" s="28" customFormat="1" ht="19.5" x14ac:dyDescent="0.3">
      <c r="A635" s="38">
        <f ca="1">VLOOKUP(A631,Panchanga!$A$3:$Y$463,7,TRUE)</f>
        <v>31.656973923413069</v>
      </c>
      <c r="B635" s="30">
        <f ca="1">VLOOKUP(B631,Panchanga!$A$3:$Y$463,7,TRUE)</f>
        <v>45.227628730935244</v>
      </c>
      <c r="C635" s="30">
        <f ca="1">VLOOKUP(C631,Panchanga!$A$3:$Y$463,7,TRUE)</f>
        <v>59.095467898722156</v>
      </c>
      <c r="D635" s="30">
        <f ca="1">VLOOKUP(D631,Panchanga!$A$3:$Y$463,7,TRUE)</f>
        <v>73.262518691619036</v>
      </c>
      <c r="E635" s="30">
        <f ca="1">VLOOKUP(E631,Panchanga!$A$3:$Y$463,7,TRUE)</f>
        <v>87.709373308577469</v>
      </c>
      <c r="F635" s="30">
        <f ca="1">VLOOKUP(F631,Panchanga!$A$3:$Y$463,7,TRUE)</f>
        <v>102.38757615127166</v>
      </c>
      <c r="G635" s="45">
        <f ca="1">VLOOKUP(G631,Panchanga!$A$3:$Y$463,7,TRUE)</f>
        <v>117.21570027224054</v>
      </c>
    </row>
    <row r="636" spans="1:7" s="28" customFormat="1" ht="19.5" x14ac:dyDescent="0.3">
      <c r="A636" s="39" t="str">
        <f ca="1">VLOOKUP(A631,Panchanga!$A$3:$Y$463,9,TRUE) &amp; " "&amp;ROUND(A635/13.333,2)</f>
        <v>Krittika 2.37</v>
      </c>
      <c r="B636" s="32" t="str">
        <f ca="1">VLOOKUP(B631,Panchanga!$A$3:$Y$463,9,TRUE) &amp; " "&amp;ROUND(B635/13.333,2)</f>
        <v>Rohini 3.39</v>
      </c>
      <c r="C636" s="32" t="str">
        <f ca="1">VLOOKUP(C631,Panchanga!$A$3:$Y$463,9,TRUE) &amp; " "&amp;ROUND(C635/13.333,2)</f>
        <v>Mrigashira 4.43</v>
      </c>
      <c r="D636" s="32" t="str">
        <f ca="1">VLOOKUP(D631,Panchanga!$A$3:$Y$463,9,TRUE) &amp; " "&amp;ROUND(D635/13.333,2)</f>
        <v>Ardra 5.49</v>
      </c>
      <c r="E636" s="32" t="str">
        <f ca="1">VLOOKUP(E631,Panchanga!$A$3:$Y$463,9,TRUE) &amp; " "&amp;ROUND(E635/13.333,2)</f>
        <v>Punarvasu 6.58</v>
      </c>
      <c r="F636" s="32" t="str">
        <f ca="1">VLOOKUP(F631,Panchanga!$A$3:$Y$463,9,TRUE) &amp; " "&amp;ROUND(F635/13.333,2)</f>
        <v>Pushya 7.68</v>
      </c>
      <c r="G636" s="46" t="str">
        <f ca="1">VLOOKUP(G631,Panchanga!$A$3:$Y$463,9,TRUE) &amp; " "&amp;ROUND(G635/13.333,2)</f>
        <v>Aslesha 8.79</v>
      </c>
    </row>
    <row r="637" spans="1:7" s="28" customFormat="1" ht="19.5" x14ac:dyDescent="0.3">
      <c r="A637" s="40">
        <f ca="1">VLOOKUP(A631,Panchanga!$A$3:$Y$463,10,TRUE)</f>
        <v>43345.864228685517</v>
      </c>
      <c r="B637" s="34">
        <f ca="1">VLOOKUP(B631,Panchanga!$A$3:$Y$463,10,TRUE)</f>
        <v>43346.833965182603</v>
      </c>
      <c r="C637" s="34">
        <f ca="1">VLOOKUP(C631,Panchanga!$A$3:$Y$463,10,TRUE)</f>
        <v>43347.7839136658</v>
      </c>
      <c r="D637" s="34">
        <f ca="1">VLOOKUP(D631,Panchanga!$A$3:$Y$463,10,TRUE)</f>
        <v>43348.715873864356</v>
      </c>
      <c r="E637" s="34">
        <f ca="1">VLOOKUP(E631,Panchanga!$A$3:$Y$463,10,TRUE)</f>
        <v>43349.632679536626</v>
      </c>
      <c r="F637" s="34">
        <f ca="1">VLOOKUP(F631,Panchanga!$A$3:$Y$463,10,TRUE)</f>
        <v>43350.538125299863</v>
      </c>
      <c r="G637" s="47">
        <f ca="1">VLOOKUP(G631,Panchanga!$A$3:$Y$463,10,TRUE)</f>
        <v>43351.436848819947</v>
      </c>
    </row>
    <row r="638" spans="1:7" s="28" customFormat="1" ht="19.5" x14ac:dyDescent="0.3">
      <c r="A638" s="38" t="str">
        <f ca="1">VLOOKUP(A631,Panchanga!$A$3:$Y$463,11,TRUE)</f>
        <v>K7 (21.36)</v>
      </c>
      <c r="B638" s="30" t="str">
        <f ca="1">VLOOKUP(B631,Panchanga!$A$3:$Y$463,11,TRUE)</f>
        <v>K8 (22.41)</v>
      </c>
      <c r="C638" s="30" t="str">
        <f ca="1">VLOOKUP(C631,Panchanga!$A$3:$Y$463,11,TRUE)</f>
        <v>K9 (23.48)</v>
      </c>
      <c r="D638" s="30" t="str">
        <f ca="1">VLOOKUP(D631,Panchanga!$A$3:$Y$463,11,TRUE)</f>
        <v>K10 (24.58)</v>
      </c>
      <c r="E638" s="30" t="str">
        <f ca="1">VLOOKUP(E631,Panchanga!$A$3:$Y$463,11,TRUE)</f>
        <v>K11 (25.7)</v>
      </c>
      <c r="F638" s="30" t="str">
        <f ca="1">VLOOKUP(F631,Panchanga!$A$3:$Y$463,11,TRUE)</f>
        <v>K12 (26.85)</v>
      </c>
      <c r="G638" s="45" t="str">
        <f ca="1">VLOOKUP(G631,Panchanga!$A$3:$Y$463,11,TRUE)</f>
        <v>K14 (28)</v>
      </c>
    </row>
    <row r="639" spans="1:7" s="28" customFormat="1" ht="19.5" x14ac:dyDescent="0.3">
      <c r="A639" s="41" t="str">
        <f ca="1">VLOOKUP(A631,Panchanga!$A$3:$Y$463,13,TRUE)</f>
        <v>Vishti</v>
      </c>
      <c r="B639" s="36" t="str">
        <f ca="1">VLOOKUP(B631,Panchanga!$A$3:$Y$463,13,TRUE)</f>
        <v>Baalava</v>
      </c>
      <c r="C639" s="36" t="str">
        <f ca="1">VLOOKUP(C631,Panchanga!$A$3:$Y$463,13,TRUE)</f>
        <v>Taitula</v>
      </c>
      <c r="D639" s="36" t="str">
        <f ca="1">VLOOKUP(D631,Panchanga!$A$3:$Y$463,13,TRUE)</f>
        <v>Vishti</v>
      </c>
      <c r="E639" s="36" t="str">
        <f ca="1">VLOOKUP(E631,Panchanga!$A$3:$Y$463,13,TRUE)</f>
        <v>Baalava</v>
      </c>
      <c r="F639" s="36" t="str">
        <f ca="1">VLOOKUP(F631,Panchanga!$A$3:$Y$463,13,TRUE)</f>
        <v>Taitula</v>
      </c>
      <c r="G639" s="48" t="str">
        <f ca="1">VLOOKUP(G631,Panchanga!$A$3:$Y$463,13,TRUE)</f>
        <v>Vishti</v>
      </c>
    </row>
    <row r="640" spans="1:7" s="28" customFormat="1" ht="19.5" x14ac:dyDescent="0.3">
      <c r="A640" s="41" t="str">
        <f ca="1">VLOOKUP(A631,Panchanga!$A$3:$Y$463,14,TRUE)</f>
        <v>Vyaghata-व्याघात-ve (12.53)</v>
      </c>
      <c r="B640" s="36" t="str">
        <f ca="1">VLOOKUP(B631,Panchanga!$A$3:$Y$463,14,TRUE)</f>
        <v>Harshana-हर्षण-su (13.62)</v>
      </c>
      <c r="C640" s="36" t="str">
        <f ca="1">VLOOKUP(C631,Panchanga!$A$3:$Y$463,14,TRUE)</f>
        <v>Vajra-वज्र-Mo (14.74)</v>
      </c>
      <c r="D640" s="36" t="str">
        <f ca="1">VLOOKUP(D631,Panchanga!$A$3:$Y$463,14,TRUE)</f>
        <v>Siddhi-सिद्धि-Ma (15.87)</v>
      </c>
      <c r="E640" s="36" t="str">
        <f ca="1">VLOOKUP(E631,Panchanga!$A$3:$Y$463,14,TRUE)</f>
        <v>Varigha-वरीयस्-Ju (17.03)</v>
      </c>
      <c r="F640" s="36" t="str">
        <f ca="1">VLOOKUP(F631,Panchanga!$A$3:$Y$463,14,TRUE)</f>
        <v>Parigha-परिघ-Sa (18.2)</v>
      </c>
      <c r="G640" s="48" t="str">
        <f ca="1">VLOOKUP(G631,Panchanga!$A$3:$Y$463,14,TRUE)</f>
        <v>Shiva-शिव-Me (19.39)</v>
      </c>
    </row>
    <row r="641" spans="1:7" s="28" customFormat="1" ht="19.5" x14ac:dyDescent="0.3">
      <c r="A641" s="63" t="str">
        <f ca="1">VLOOKUP(A631,Panchanga!$A$3:$Y$463,18,TRUE)</f>
        <v>10Ma,4Me,7Ju,7Ve,-9Sa,4Ra</v>
      </c>
      <c r="B641" s="64" t="str">
        <f ca="1">VLOOKUP(B631,Panchanga!$A$3:$Y$463,18,TRUE)</f>
        <v>10Ma,5Me,7Ju,7Ve,-9Sa,4Ra</v>
      </c>
      <c r="C641" s="64" t="str">
        <f ca="1">VLOOKUP(C631,Panchanga!$A$3:$Y$463,18,TRUE)</f>
        <v>10Ma,5Me,7Ju,7Ve,-9Sa,4Ra</v>
      </c>
      <c r="D641" s="64" t="str">
        <f ca="1">VLOOKUP(D631,Panchanga!$A$3:$Y$463,18,TRUE)</f>
        <v>10Ma,5Me,7Ju,7Ve,-9Sa,4Ra</v>
      </c>
      <c r="E641" s="64" t="str">
        <f ca="1">VLOOKUP(E631,Panchanga!$A$3:$Y$463,18,TRUE)</f>
        <v>10Ma,5Me,7Ju,7Ve,9Sa,4Ra</v>
      </c>
      <c r="F641" s="64" t="str">
        <f ca="1">VLOOKUP(F631,Panchanga!$A$3:$Y$463,18,TRUE)</f>
        <v>10Ma,5Me,7Ju,7Ve,9Sa,4Ra</v>
      </c>
      <c r="G641" s="65" t="str">
        <f ca="1">VLOOKUP(G631,Panchanga!$A$3:$Y$463,18,TRUE)</f>
        <v>10Ma,5Me,7Ju,7Ve,9Sa,4Ra</v>
      </c>
    </row>
    <row r="642" spans="1:7" ht="5.85" customHeight="1" thickBot="1" x14ac:dyDescent="0.4">
      <c r="A642" s="42"/>
      <c r="B642" s="16"/>
      <c r="C642" s="16"/>
      <c r="D642" s="16"/>
      <c r="E642" s="16"/>
      <c r="F642" s="16"/>
      <c r="G642" s="49"/>
    </row>
    <row r="643" spans="1:7" s="18" customFormat="1" ht="27.75" x14ac:dyDescent="0.4">
      <c r="A643" s="43">
        <f ca="1">G631+1</f>
        <v>43352</v>
      </c>
      <c r="B643" s="19">
        <f t="shared" ref="B643:G643" ca="1" si="42">A643+1</f>
        <v>43353</v>
      </c>
      <c r="C643" s="19">
        <f t="shared" ca="1" si="42"/>
        <v>43354</v>
      </c>
      <c r="D643" s="19">
        <f t="shared" ca="1" si="42"/>
        <v>43355</v>
      </c>
      <c r="E643" s="19">
        <f t="shared" ca="1" si="42"/>
        <v>43356</v>
      </c>
      <c r="F643" s="19">
        <f t="shared" ca="1" si="42"/>
        <v>43357</v>
      </c>
      <c r="G643" s="50">
        <f t="shared" ca="1" si="42"/>
        <v>43358</v>
      </c>
    </row>
    <row r="644" spans="1:7" s="28" customFormat="1" ht="19.5" x14ac:dyDescent="0.3">
      <c r="A644" s="37">
        <f ca="1">VLOOKUP(A643,Panchanga!$A$3:$Y$463,3,TRUE)</f>
        <v>43352.249574866299</v>
      </c>
      <c r="B644" s="27">
        <f ca="1">VLOOKUP(B643,Panchanga!$A$3:$Y$463,3,TRUE)</f>
        <v>43353.249589966297</v>
      </c>
      <c r="C644" s="27">
        <f ca="1">VLOOKUP(C643,Panchanga!$A$3:$Y$463,3,TRUE)</f>
        <v>43354.249603953365</v>
      </c>
      <c r="D644" s="27">
        <f ca="1">VLOOKUP(D643,Panchanga!$A$3:$Y$463,3,TRUE)</f>
        <v>43355.249616987225</v>
      </c>
      <c r="E644" s="27">
        <f ca="1">VLOOKUP(E643,Panchanga!$A$3:$Y$463,3,TRUE)</f>
        <v>43356.249629225735</v>
      </c>
      <c r="F644" s="27">
        <f ca="1">VLOOKUP(F643,Panchanga!$A$3:$Y$463,3,TRUE)</f>
        <v>43357.249640669826</v>
      </c>
      <c r="G644" s="44">
        <f ca="1">VLOOKUP(G643,Panchanga!$A$3:$Y$463,3,TRUE)</f>
        <v>43358.249651637081</v>
      </c>
    </row>
    <row r="645" spans="1:7" s="28" customFormat="1" ht="19.5" x14ac:dyDescent="0.3">
      <c r="A645" s="37">
        <f ca="1">VLOOKUP(A643,Panchanga!$A$3:$Y$463,4,TRUE)</f>
        <v>43351.76055524782</v>
      </c>
      <c r="B645" s="27">
        <f ca="1">VLOOKUP(B643,Panchanga!$A$3:$Y$463,4,TRUE)</f>
        <v>43352.760060767687</v>
      </c>
      <c r="C645" s="27">
        <f ca="1">VLOOKUP(C643,Panchanga!$A$3:$Y$463,4,TRUE)</f>
        <v>43353.759564062158</v>
      </c>
      <c r="D645" s="27">
        <f ca="1">VLOOKUP(D643,Panchanga!$A$3:$Y$463,4,TRUE)</f>
        <v>43354.759065290491</v>
      </c>
      <c r="E645" s="27">
        <f ca="1">VLOOKUP(E643,Panchanga!$A$3:$Y$463,4,TRUE)</f>
        <v>43355.758564611475</v>
      </c>
      <c r="F645" s="27">
        <f ca="1">VLOOKUP(F643,Panchanga!$A$3:$Y$463,4,TRUE)</f>
        <v>43356.758062183901</v>
      </c>
      <c r="G645" s="44">
        <f ca="1">VLOOKUP(G643,Panchanga!$A$3:$Y$463,4,TRUE)</f>
        <v>43357.757558485071</v>
      </c>
    </row>
    <row r="646" spans="1:7" s="28" customFormat="1" ht="19.5" x14ac:dyDescent="0.3">
      <c r="A646" s="38">
        <f ca="1">VLOOKUP(A643,Panchanga!$A$3:$Y$463,6,TRUE)</f>
        <v>142.18060759580777</v>
      </c>
      <c r="B646" s="30">
        <f ca="1">VLOOKUP(B643,Panchanga!$A$3:$Y$463,6,TRUE)</f>
        <v>143.15241767720372</v>
      </c>
      <c r="C646" s="30">
        <f ca="1">VLOOKUP(C643,Panchanga!$A$3:$Y$463,6,TRUE)</f>
        <v>144.12471956488727</v>
      </c>
      <c r="D646" s="30">
        <f ca="1">VLOOKUP(D643,Panchanga!$A$3:$Y$463,6,TRUE)</f>
        <v>145.09749739982868</v>
      </c>
      <c r="E646" s="30">
        <f ca="1">VLOOKUP(E643,Panchanga!$A$3:$Y$463,6,TRUE)</f>
        <v>146.07073818007979</v>
      </c>
      <c r="F646" s="30">
        <f ca="1">VLOOKUP(F643,Panchanga!$A$3:$Y$463,6,TRUE)</f>
        <v>147.04443240682886</v>
      </c>
      <c r="G646" s="45">
        <f ca="1">VLOOKUP(G643,Panchanga!$A$3:$Y$463,6,TRUE)</f>
        <v>148.01857472793023</v>
      </c>
    </row>
    <row r="647" spans="1:7" s="28" customFormat="1" ht="19.5" x14ac:dyDescent="0.3">
      <c r="A647" s="38">
        <f ca="1">VLOOKUP(A643,Panchanga!$A$3:$Y$463,7,TRUE)</f>
        <v>132.08216660822154</v>
      </c>
      <c r="B647" s="30">
        <f ca="1">VLOOKUP(B643,Panchanga!$A$3:$Y$463,7,TRUE)</f>
        <v>146.85663054090676</v>
      </c>
      <c r="C647" s="30">
        <f ca="1">VLOOKUP(C643,Panchanga!$A$3:$Y$463,7,TRUE)</f>
        <v>161.40842711003546</v>
      </c>
      <c r="D647" s="30">
        <f ca="1">VLOOKUP(D643,Panchanga!$A$3:$Y$463,7,TRUE)</f>
        <v>175.62695941575501</v>
      </c>
      <c r="E647" s="30">
        <f ca="1">VLOOKUP(E643,Panchanga!$A$3:$Y$463,7,TRUE)</f>
        <v>189.43762122288686</v>
      </c>
      <c r="F647" s="30">
        <f ca="1">VLOOKUP(F643,Panchanga!$A$3:$Y$463,7,TRUE)</f>
        <v>202.80899006190356</v>
      </c>
      <c r="G647" s="45">
        <f ca="1">VLOOKUP(G643,Panchanga!$A$3:$Y$463,7,TRUE)</f>
        <v>215.75112539560899</v>
      </c>
    </row>
    <row r="648" spans="1:7" s="28" customFormat="1" ht="19.5" x14ac:dyDescent="0.3">
      <c r="A648" s="39" t="str">
        <f ca="1">VLOOKUP(A643,Panchanga!$A$3:$Y$463,9,TRUE) &amp; " "&amp;ROUND(A647/13.333,2)</f>
        <v>Makha 9.91</v>
      </c>
      <c r="B648" s="32" t="str">
        <f ca="1">VLOOKUP(B643,Panchanga!$A$3:$Y$463,9,TRUE) &amp; " "&amp;ROUND(B647/13.333,2)</f>
        <v>Uttara Phalguni 11.01</v>
      </c>
      <c r="C648" s="32" t="str">
        <f ca="1">VLOOKUP(C643,Panchanga!$A$3:$Y$463,9,TRUE) &amp; " "&amp;ROUND(C647/13.333,2)</f>
        <v>Hasta 12.11</v>
      </c>
      <c r="D648" s="32" t="str">
        <f ca="1">VLOOKUP(D643,Panchanga!$A$3:$Y$463,9,TRUE) &amp; " "&amp;ROUND(D647/13.333,2)</f>
        <v>Chitra 13.17</v>
      </c>
      <c r="E648" s="32" t="str">
        <f ca="1">VLOOKUP(E643,Panchanga!$A$3:$Y$463,9,TRUE) &amp; " "&amp;ROUND(E647/13.333,2)</f>
        <v>Swati 14.21</v>
      </c>
      <c r="F648" s="32" t="str">
        <f ca="1">VLOOKUP(F643,Panchanga!$A$3:$Y$463,9,TRUE) &amp; " "&amp;ROUND(F647/13.333,2)</f>
        <v>Visakha 15.21</v>
      </c>
      <c r="G648" s="46" t="str">
        <f ca="1">VLOOKUP(G643,Panchanga!$A$3:$Y$463,9,TRUE) &amp; " "&amp;ROUND(G647/13.333,2)</f>
        <v>Anuradha 16.18</v>
      </c>
    </row>
    <row r="649" spans="1:7" s="28" customFormat="1" ht="19.5" x14ac:dyDescent="0.3">
      <c r="A649" s="40">
        <f ca="1">VLOOKUP(A643,Panchanga!$A$3:$Y$463,10,TRUE)</f>
        <v>43352.33426055259</v>
      </c>
      <c r="B649" s="34">
        <f ca="1">VLOOKUP(B643,Panchanga!$A$3:$Y$463,10,TRUE)</f>
        <v>43354.152815436355</v>
      </c>
      <c r="C649" s="34">
        <f ca="1">VLOOKUP(C643,Panchanga!$A$3:$Y$463,10,TRUE)</f>
        <v>43355.088302448712</v>
      </c>
      <c r="D649" s="34">
        <f ca="1">VLOOKUP(D643,Panchanga!$A$3:$Y$463,10,TRUE)</f>
        <v>43356.048987974267</v>
      </c>
      <c r="E649" s="34">
        <f ca="1">VLOOKUP(E643,Panchanga!$A$3:$Y$463,10,TRUE)</f>
        <v>43357.039563284176</v>
      </c>
      <c r="F649" s="34">
        <f ca="1">VLOOKUP(F643,Panchanga!$A$3:$Y$463,10,TRUE)</f>
        <v>43358.0628340435</v>
      </c>
      <c r="G649" s="47">
        <f ca="1">VLOOKUP(G643,Panchanga!$A$3:$Y$463,10,TRUE)</f>
        <v>43359.118954709884</v>
      </c>
    </row>
    <row r="650" spans="1:7" s="28" customFormat="1" ht="19.5" x14ac:dyDescent="0.3">
      <c r="A650" s="38" t="str">
        <f ca="1">VLOOKUP(A643,Panchanga!$A$3:$Y$463,11,TRUE)</f>
        <v>K15 (29.16)</v>
      </c>
      <c r="B650" s="30" t="str">
        <f ca="1">VLOOKUP(B643,Panchanga!$A$3:$Y$463,11,TRUE)</f>
        <v>S1 (0.31)</v>
      </c>
      <c r="C650" s="30" t="str">
        <f ca="1">VLOOKUP(C643,Panchanga!$A$3:$Y$463,11,TRUE)</f>
        <v>S2 (1.44)</v>
      </c>
      <c r="D650" s="30" t="str">
        <f ca="1">VLOOKUP(D643,Panchanga!$A$3:$Y$463,11,TRUE)</f>
        <v>S3 (2.54)</v>
      </c>
      <c r="E650" s="30" t="str">
        <f ca="1">VLOOKUP(E643,Panchanga!$A$3:$Y$463,11,TRUE)</f>
        <v>S4 (3.61)</v>
      </c>
      <c r="F650" s="30" t="str">
        <f ca="1">VLOOKUP(F643,Panchanga!$A$3:$Y$463,11,TRUE)</f>
        <v>S5 (4.65)</v>
      </c>
      <c r="G650" s="45" t="str">
        <f ca="1">VLOOKUP(G643,Panchanga!$A$3:$Y$463,11,TRUE)</f>
        <v>S6 (5.64)</v>
      </c>
    </row>
    <row r="651" spans="1:7" s="28" customFormat="1" ht="19.5" x14ac:dyDescent="0.3">
      <c r="A651" s="41" t="str">
        <f ca="1">VLOOKUP(A643,Panchanga!$A$3:$Y$463,13,TRUE)</f>
        <v>Chatushapda</v>
      </c>
      <c r="B651" s="36" t="str">
        <f ca="1">VLOOKUP(B643,Panchanga!$A$3:$Y$463,13,TRUE)</f>
        <v>Kimstugna</v>
      </c>
      <c r="C651" s="36" t="str">
        <f ca="1">VLOOKUP(C643,Panchanga!$A$3:$Y$463,13,TRUE)</f>
        <v>Baalava</v>
      </c>
      <c r="D651" s="36" t="str">
        <f ca="1">VLOOKUP(D643,Panchanga!$A$3:$Y$463,13,TRUE)</f>
        <v>Garija</v>
      </c>
      <c r="E651" s="36" t="str">
        <f ca="1">VLOOKUP(E643,Panchanga!$A$3:$Y$463,13,TRUE)</f>
        <v>Vishti</v>
      </c>
      <c r="F651" s="36" t="str">
        <f ca="1">VLOOKUP(F643,Panchanga!$A$3:$Y$463,13,TRUE)</f>
        <v>Baalava</v>
      </c>
      <c r="G651" s="48" t="str">
        <f ca="1">VLOOKUP(G643,Panchanga!$A$3:$Y$463,13,TRUE)</f>
        <v>Taitula</v>
      </c>
    </row>
    <row r="652" spans="1:7" s="28" customFormat="1" ht="19.5" x14ac:dyDescent="0.3">
      <c r="A652" s="41" t="str">
        <f ca="1">VLOOKUP(A643,Panchanga!$A$3:$Y$463,14,TRUE)</f>
        <v>Siddha-सिद्ध-Ke (20.57)</v>
      </c>
      <c r="B652" s="36" t="str">
        <f ca="1">VLOOKUP(B643,Panchanga!$A$3:$Y$463,14,TRUE)</f>
        <v>Sadhya-साध्य-Ve (21.76)</v>
      </c>
      <c r="C652" s="36" t="str">
        <f ca="1">VLOOKUP(C643,Panchanga!$A$3:$Y$463,14,TRUE)</f>
        <v>Shubha-शुभ-Su (22.92)</v>
      </c>
      <c r="D652" s="36" t="str">
        <f ca="1">VLOOKUP(D643,Panchanga!$A$3:$Y$463,14,TRUE)</f>
        <v>Brahma-ब्रह्म-Ma (24.06)</v>
      </c>
      <c r="E652" s="36" t="str">
        <f ca="1">VLOOKUP(E643,Panchanga!$A$3:$Y$463,14,TRUE)</f>
        <v>Mahendra-महेन्द्र-Ra (25.17)</v>
      </c>
      <c r="F652" s="36" t="str">
        <f ca="1">VLOOKUP(F643,Panchanga!$A$3:$Y$463,14,TRUE)</f>
        <v>Vaidhriti-वैधृति-Ke (26.24)</v>
      </c>
      <c r="G652" s="48" t="str">
        <f ca="1">VLOOKUP(G643,Panchanga!$A$3:$Y$463,14,TRUE)</f>
        <v>Vishkambha-विष्कम्भ-Sa (0.29)</v>
      </c>
    </row>
    <row r="653" spans="1:7" s="28" customFormat="1" ht="19.5" x14ac:dyDescent="0.3">
      <c r="A653" s="63" t="str">
        <f ca="1">VLOOKUP(A643,Panchanga!$A$3:$Y$463,18,TRUE)</f>
        <v>10Ma,5Me,7Ju,7Ve,9Sa,4Ra</v>
      </c>
      <c r="B653" s="64" t="str">
        <f ca="1">VLOOKUP(B643,Panchanga!$A$3:$Y$463,18,TRUE)</f>
        <v>10Ma,5Me,7Ju,7Ve,9Sa,4Ra</v>
      </c>
      <c r="C653" s="64" t="str">
        <f ca="1">VLOOKUP(C643,Panchanga!$A$3:$Y$463,18,TRUE)</f>
        <v>10Ma,5Me,7Ju,7Ve,9Sa,4Ra</v>
      </c>
      <c r="D653" s="64" t="str">
        <f ca="1">VLOOKUP(D643,Panchanga!$A$3:$Y$463,18,TRUE)</f>
        <v>10Ma,5Me,7Ju,7Ve,9Sa,4Ra</v>
      </c>
      <c r="E653" s="64" t="str">
        <f ca="1">VLOOKUP(E643,Panchanga!$A$3:$Y$463,18,TRUE)</f>
        <v>10Ma,5Me,7Ju,7Ve,9Sa,4Ra</v>
      </c>
      <c r="F653" s="64" t="str">
        <f ca="1">VLOOKUP(F643,Panchanga!$A$3:$Y$463,18,TRUE)</f>
        <v>10Ma,5Me,7Ju,7Ve,9Sa,4Ra</v>
      </c>
      <c r="G653" s="65" t="str">
        <f ca="1">VLOOKUP(G643,Panchanga!$A$3:$Y$463,18,TRUE)</f>
        <v>10Ma,5Me,7Ju,7Ve,9Sa,4Ra</v>
      </c>
    </row>
    <row r="654" spans="1:7" ht="5.85" customHeight="1" thickBot="1" x14ac:dyDescent="0.4">
      <c r="A654" s="42"/>
      <c r="B654" s="16"/>
      <c r="C654" s="16"/>
      <c r="D654" s="16"/>
      <c r="E654" s="16"/>
      <c r="F654" s="16"/>
      <c r="G654" s="49"/>
    </row>
    <row r="655" spans="1:7" s="51" customFormat="1" ht="37.5" x14ac:dyDescent="0.5">
      <c r="A655" s="52">
        <f ca="1">G643+1</f>
        <v>43359</v>
      </c>
      <c r="B655" s="53">
        <f t="shared" ref="B655:G655" ca="1" si="43">A655+1</f>
        <v>43360</v>
      </c>
      <c r="C655" s="53">
        <f t="shared" ca="1" si="43"/>
        <v>43361</v>
      </c>
      <c r="D655" s="53">
        <f t="shared" ca="1" si="43"/>
        <v>43362</v>
      </c>
      <c r="E655" s="53">
        <f t="shared" ca="1" si="43"/>
        <v>43363</v>
      </c>
      <c r="F655" s="53">
        <f t="shared" ca="1" si="43"/>
        <v>43364</v>
      </c>
      <c r="G655" s="54">
        <f t="shared" ca="1" si="43"/>
        <v>43365</v>
      </c>
    </row>
    <row r="656" spans="1:7" s="28" customFormat="1" ht="19.5" x14ac:dyDescent="0.3">
      <c r="A656" s="37">
        <f ca="1">VLOOKUP(A655,Panchanga!$A$3:$Y$463,3,TRUE)</f>
        <v>43359.249662286755</v>
      </c>
      <c r="B656" s="27">
        <f ca="1">VLOOKUP(B655,Panchanga!$A$3:$Y$463,3,TRUE)</f>
        <v>43360.249672777172</v>
      </c>
      <c r="C656" s="27">
        <f ca="1">VLOOKUP(C655,Panchanga!$A$3:$Y$463,3,TRUE)</f>
        <v>43361.249683108334</v>
      </c>
      <c r="D656" s="27">
        <f ca="1">VLOOKUP(D655,Panchanga!$A$3:$Y$463,3,TRUE)</f>
        <v>43362.249693758007</v>
      </c>
      <c r="E656" s="27">
        <f ca="1">VLOOKUP(E655,Panchanga!$A$3:$Y$463,3,TRUE)</f>
        <v>43363.249704884052</v>
      </c>
      <c r="F656" s="27">
        <f ca="1">VLOOKUP(F655,Panchanga!$A$3:$Y$463,3,TRUE)</f>
        <v>43364.249716646191</v>
      </c>
      <c r="G656" s="44">
        <f ca="1">VLOOKUP(G655,Panchanga!$A$3:$Y$463,3,TRUE)</f>
        <v>43365.249729202747</v>
      </c>
    </row>
    <row r="657" spans="1:7" s="28" customFormat="1" ht="19.5" x14ac:dyDescent="0.3">
      <c r="A657" s="37">
        <f ca="1">VLOOKUP(A655,Panchanga!$A$3:$Y$463,4,TRUE)</f>
        <v>43358.757053673311</v>
      </c>
      <c r="B657" s="27">
        <f ca="1">VLOOKUP(B655,Panchanga!$A$3:$Y$463,4,TRUE)</f>
        <v>43359.756547908342</v>
      </c>
      <c r="C657" s="27">
        <f ca="1">VLOOKUP(C655,Panchanga!$A$3:$Y$463,4,TRUE)</f>
        <v>43360.756041666071</v>
      </c>
      <c r="D657" s="27">
        <f ca="1">VLOOKUP(D655,Panchanga!$A$3:$Y$463,4,TRUE)</f>
        <v>43361.755534946962</v>
      </c>
      <c r="E657" s="27">
        <f ca="1">VLOOKUP(E655,Panchanga!$A$3:$Y$463,4,TRUE)</f>
        <v>43362.755028228319</v>
      </c>
      <c r="F657" s="27">
        <f ca="1">VLOOKUP(F655,Panchanga!$A$3:$Y$463,4,TRUE)</f>
        <v>43363.754521827257</v>
      </c>
      <c r="G657" s="44">
        <f ca="1">VLOOKUP(G655,Panchanga!$A$3:$Y$463,4,TRUE)</f>
        <v>43364.754015903032</v>
      </c>
    </row>
    <row r="658" spans="1:7" s="28" customFormat="1" ht="19.5" x14ac:dyDescent="0.3">
      <c r="A658" s="38">
        <f ca="1">VLOOKUP(A655,Panchanga!$A$3:$Y$463,6,TRUE)</f>
        <v>148.99316325701676</v>
      </c>
      <c r="B658" s="30">
        <f ca="1">VLOOKUP(B655,Panchanga!$A$3:$Y$463,6,TRUE)</f>
        <v>149.96819930671407</v>
      </c>
      <c r="C658" s="30">
        <f ca="1">VLOOKUP(C655,Panchanga!$A$3:$Y$463,6,TRUE)</f>
        <v>150.94368676520264</v>
      </c>
      <c r="D658" s="30">
        <f ca="1">VLOOKUP(D655,Panchanga!$A$3:$Y$463,6,TRUE)</f>
        <v>151.91963227669262</v>
      </c>
      <c r="E658" s="30">
        <f ca="1">VLOOKUP(E655,Panchanga!$A$3:$Y$463,6,TRUE)</f>
        <v>152.8960441006391</v>
      </c>
      <c r="F658" s="30">
        <f ca="1">VLOOKUP(F655,Panchanga!$A$3:$Y$463,6,TRUE)</f>
        <v>153.87293219155742</v>
      </c>
      <c r="G658" s="45">
        <f ca="1">VLOOKUP(G655,Panchanga!$A$3:$Y$463,6,TRUE)</f>
        <v>154.85030810167223</v>
      </c>
    </row>
    <row r="659" spans="1:7" s="28" customFormat="1" ht="19.5" x14ac:dyDescent="0.3">
      <c r="A659" s="38">
        <f ca="1">VLOOKUP(A655,Panchanga!$A$3:$Y$463,7,TRUE)</f>
        <v>228.30791699056323</v>
      </c>
      <c r="B659" s="30">
        <f ca="1">VLOOKUP(B655,Panchanga!$A$3:$Y$463,7,TRUE)</f>
        <v>240.54711789365371</v>
      </c>
      <c r="C659" s="30">
        <f ca="1">VLOOKUP(C655,Panchanga!$A$3:$Y$463,7,TRUE)</f>
        <v>252.55053642200912</v>
      </c>
      <c r="D659" s="30">
        <f ca="1">VLOOKUP(D655,Panchanga!$A$3:$Y$463,7,TRUE)</f>
        <v>264.40558111205382</v>
      </c>
      <c r="E659" s="30">
        <f ca="1">VLOOKUP(E655,Panchanga!$A$3:$Y$463,7,TRUE)</f>
        <v>276.19855065757827</v>
      </c>
      <c r="F659" s="30">
        <f ca="1">VLOOKUP(F655,Panchanga!$A$3:$Y$463,7,TRUE)</f>
        <v>288.00964640808729</v>
      </c>
      <c r="G659" s="45">
        <f ca="1">VLOOKUP(G655,Panchanga!$A$3:$Y$463,7,TRUE)</f>
        <v>299.90924349609054</v>
      </c>
    </row>
    <row r="660" spans="1:7" s="28" customFormat="1" ht="19.5" x14ac:dyDescent="0.3">
      <c r="A660" s="39" t="str">
        <f ca="1">VLOOKUP(A655,Panchanga!$A$3:$Y$463,9,TRUE) &amp; " "&amp;ROUND(A659/13.333,2)</f>
        <v>Jyestha 17.12</v>
      </c>
      <c r="B660" s="32" t="str">
        <f ca="1">VLOOKUP(B655,Panchanga!$A$3:$Y$463,9,TRUE) &amp; " "&amp;ROUND(B659/13.333,2)</f>
        <v>Moola 18.04</v>
      </c>
      <c r="C660" s="32" t="str">
        <f ca="1">VLOOKUP(C655,Panchanga!$A$3:$Y$463,9,TRUE) &amp; " "&amp;ROUND(C659/13.333,2)</f>
        <v>Moola 18.94</v>
      </c>
      <c r="D660" s="32" t="str">
        <f ca="1">VLOOKUP(D655,Panchanga!$A$3:$Y$463,9,TRUE) &amp; " "&amp;ROUND(D659/13.333,2)</f>
        <v>Purva Asadha 19.83</v>
      </c>
      <c r="E660" s="32" t="str">
        <f ca="1">VLOOKUP(E655,Panchanga!$A$3:$Y$463,9,TRUE) &amp; " "&amp;ROUND(E659/13.333,2)</f>
        <v>Uttara Asadha 20.72</v>
      </c>
      <c r="F660" s="32" t="str">
        <f ca="1">VLOOKUP(F655,Panchanga!$A$3:$Y$463,9,TRUE) &amp; " "&amp;ROUND(F659/13.333,2)</f>
        <v>Sravana 21.6</v>
      </c>
      <c r="G660" s="46" t="str">
        <f ca="1">VLOOKUP(G655,Panchanga!$A$3:$Y$463,9,TRUE) &amp; " "&amp;ROUND(G659/13.333,2)</f>
        <v>Dhanistha 22.49</v>
      </c>
    </row>
    <row r="661" spans="1:7" s="28" customFormat="1" ht="19.5" x14ac:dyDescent="0.3">
      <c r="A661" s="40">
        <f ca="1">VLOOKUP(A655,Panchanga!$A$3:$Y$463,10,TRUE)</f>
        <v>43360.204970215505</v>
      </c>
      <c r="B661" s="34">
        <f ca="1">VLOOKUP(B655,Panchanga!$A$3:$Y$463,10,TRUE)</f>
        <v>43361.314898279881</v>
      </c>
      <c r="C661" s="34">
        <f ca="1">VLOOKUP(C655,Panchanga!$A$3:$Y$463,10,TRUE)</f>
        <v>43361.315714512544</v>
      </c>
      <c r="D661" s="34">
        <f ca="1">VLOOKUP(D655,Panchanga!$A$3:$Y$463,10,TRUE)</f>
        <v>43362.441427545062</v>
      </c>
      <c r="E661" s="34">
        <f ca="1">VLOOKUP(E655,Panchanga!$A$3:$Y$463,10,TRUE)</f>
        <v>43363.571562748548</v>
      </c>
      <c r="F661" s="34">
        <f ca="1">VLOOKUP(F655,Panchanga!$A$3:$Y$463,10,TRUE)</f>
        <v>43364.697106060557</v>
      </c>
      <c r="G661" s="47">
        <f ca="1">VLOOKUP(G655,Panchanga!$A$3:$Y$463,10,TRUE)</f>
        <v>43365.810719647074</v>
      </c>
    </row>
    <row r="662" spans="1:7" s="28" customFormat="1" ht="19.5" x14ac:dyDescent="0.3">
      <c r="A662" s="38" t="str">
        <f ca="1">VLOOKUP(A655,Panchanga!$A$3:$Y$463,11,TRUE)</f>
        <v>S7 (6.61)</v>
      </c>
      <c r="B662" s="30" t="str">
        <f ca="1">VLOOKUP(B655,Panchanga!$A$3:$Y$463,11,TRUE)</f>
        <v>S8 (7.55)</v>
      </c>
      <c r="C662" s="30" t="str">
        <f ca="1">VLOOKUP(C655,Panchanga!$A$3:$Y$463,11,TRUE)</f>
        <v>S9 (8.47)</v>
      </c>
      <c r="D662" s="30" t="str">
        <f ca="1">VLOOKUP(D655,Panchanga!$A$3:$Y$463,11,TRUE)</f>
        <v>S10 (9.37)</v>
      </c>
      <c r="E662" s="30" t="str">
        <f ca="1">VLOOKUP(E655,Panchanga!$A$3:$Y$463,11,TRUE)</f>
        <v>S11 (10.28)</v>
      </c>
      <c r="F662" s="30" t="str">
        <f ca="1">VLOOKUP(F655,Panchanga!$A$3:$Y$463,11,TRUE)</f>
        <v>S12 (11.18)</v>
      </c>
      <c r="G662" s="45" t="str">
        <f ca="1">VLOOKUP(G655,Panchanga!$A$3:$Y$463,11,TRUE)</f>
        <v>S13 (12.09)</v>
      </c>
    </row>
    <row r="663" spans="1:7" s="28" customFormat="1" ht="19.5" x14ac:dyDescent="0.3">
      <c r="A663" s="41" t="str">
        <f ca="1">VLOOKUP(A655,Panchanga!$A$3:$Y$463,13,TRUE)</f>
        <v>Vanija</v>
      </c>
      <c r="B663" s="36" t="str">
        <f ca="1">VLOOKUP(B655,Panchanga!$A$3:$Y$463,13,TRUE)</f>
        <v>Bhava</v>
      </c>
      <c r="C663" s="36" t="str">
        <f ca="1">VLOOKUP(C655,Panchanga!$A$3:$Y$463,13,TRUE)</f>
        <v>Baalava</v>
      </c>
      <c r="D663" s="36" t="str">
        <f ca="1">VLOOKUP(D655,Panchanga!$A$3:$Y$463,13,TRUE)</f>
        <v>Taitula</v>
      </c>
      <c r="E663" s="36" t="str">
        <f ca="1">VLOOKUP(E655,Panchanga!$A$3:$Y$463,13,TRUE)</f>
        <v>Vanija</v>
      </c>
      <c r="F663" s="36" t="str">
        <f ca="1">VLOOKUP(F655,Panchanga!$A$3:$Y$463,13,TRUE)</f>
        <v>Bhava</v>
      </c>
      <c r="G663" s="48" t="str">
        <f ca="1">VLOOKUP(G655,Panchanga!$A$3:$Y$463,13,TRUE)</f>
        <v>Kaulava</v>
      </c>
    </row>
    <row r="664" spans="1:7" s="28" customFormat="1" ht="19.5" x14ac:dyDescent="0.3">
      <c r="A664" s="41" t="str">
        <f ca="1">VLOOKUP(A655,Panchanga!$A$3:$Y$463,14,TRUE)</f>
        <v>Priti-प्रीति-Me (1.3)</v>
      </c>
      <c r="B664" s="36" t="str">
        <f ca="1">VLOOKUP(B655,Panchanga!$A$3:$Y$463,14,TRUE)</f>
        <v>Ayushman-आयुष्मान-Ke (2.29)</v>
      </c>
      <c r="C664" s="36" t="str">
        <f ca="1">VLOOKUP(C655,Panchanga!$A$3:$Y$463,14,TRUE)</f>
        <v>Saubhagya-सौभाग्य-Ve (3.27)</v>
      </c>
      <c r="D664" s="36" t="str">
        <f ca="1">VLOOKUP(D655,Panchanga!$A$3:$Y$463,14,TRUE)</f>
        <v>Shobhana-शोभन-Su (4.23)</v>
      </c>
      <c r="E664" s="36" t="str">
        <f ca="1">VLOOKUP(E655,Panchanga!$A$3:$Y$463,14,TRUE)</f>
        <v>Atiganda-अतिगण्ड -Mo (5.19)</v>
      </c>
      <c r="F664" s="36" t="str">
        <f ca="1">VLOOKUP(F655,Panchanga!$A$3:$Y$463,14,TRUE)</f>
        <v>Sukarman-सुकर्मा -Ma (6.15)</v>
      </c>
      <c r="G664" s="48" t="str">
        <f ca="1">VLOOKUP(G655,Panchanga!$A$3:$Y$463,14,TRUE)</f>
        <v>Dhriti-धृति -Ra (7.11)</v>
      </c>
    </row>
    <row r="665" spans="1:7" s="28" customFormat="1" ht="19.5" x14ac:dyDescent="0.3">
      <c r="A665" s="63" t="str">
        <f ca="1">VLOOKUP(A655,Panchanga!$A$3:$Y$463,18,TRUE)</f>
        <v>10Ma,5Me,7Ju,7Ve,9Sa,4Ra</v>
      </c>
      <c r="B665" s="64" t="str">
        <f ca="1">VLOOKUP(B655,Panchanga!$A$3:$Y$463,18,TRUE)</f>
        <v>10Ma,5Me,7Ju,7Ve,9Sa,4Ra</v>
      </c>
      <c r="C665" s="64" t="str">
        <f ca="1">VLOOKUP(C655,Panchanga!$A$3:$Y$463,18,TRUE)</f>
        <v>10Ma,5Me,7Ju,7Ve,9Sa,4Ra</v>
      </c>
      <c r="D665" s="64" t="str">
        <f ca="1">VLOOKUP(D655,Panchanga!$A$3:$Y$463,18,TRUE)</f>
        <v>10Ma,6Me,7Ju,7Ve,9Sa,4Ra</v>
      </c>
      <c r="E665" s="64" t="str">
        <f ca="1">VLOOKUP(E655,Panchanga!$A$3:$Y$463,18,TRUE)</f>
        <v>10Ma,6Me,7Ju,7Ve,9Sa,4Ra</v>
      </c>
      <c r="F665" s="64" t="str">
        <f ca="1">VLOOKUP(F655,Panchanga!$A$3:$Y$463,18,TRUE)</f>
        <v>10Ma,6Me,7Ju,7Ve,9Sa,4Ra</v>
      </c>
      <c r="G665" s="65" t="str">
        <f ca="1">VLOOKUP(G655,Panchanga!$A$3:$Y$463,18,TRUE)</f>
        <v>10Ma,6Me,7Ju,7Ve,9Sa,4Ra</v>
      </c>
    </row>
    <row r="666" spans="1:7" ht="5.85" customHeight="1" thickBot="1" x14ac:dyDescent="0.4">
      <c r="A666" s="42"/>
      <c r="B666" s="16"/>
      <c r="C666" s="16"/>
      <c r="D666" s="16"/>
      <c r="E666" s="16"/>
      <c r="F666" s="16"/>
      <c r="G666" s="49"/>
    </row>
    <row r="667" spans="1:7" s="51" customFormat="1" ht="37.5" x14ac:dyDescent="0.5">
      <c r="A667" s="52">
        <f ca="1">G655+1</f>
        <v>43366</v>
      </c>
      <c r="B667" s="53">
        <f t="shared" ref="B667:G667" ca="1" si="44">A667+1</f>
        <v>43367</v>
      </c>
      <c r="C667" s="53">
        <f t="shared" ca="1" si="44"/>
        <v>43368</v>
      </c>
      <c r="D667" s="53">
        <f t="shared" ca="1" si="44"/>
        <v>43369</v>
      </c>
      <c r="E667" s="53">
        <f t="shared" ca="1" si="44"/>
        <v>43370</v>
      </c>
      <c r="F667" s="53">
        <f t="shared" ca="1" si="44"/>
        <v>43371</v>
      </c>
      <c r="G667" s="54">
        <f t="shared" ca="1" si="44"/>
        <v>43372</v>
      </c>
    </row>
    <row r="668" spans="1:7" s="28" customFormat="1" ht="19.5" x14ac:dyDescent="0.3">
      <c r="A668" s="37">
        <f ca="1">VLOOKUP(A667,Panchanga!$A$3:$Y$463,3,TRUE)</f>
        <v>43366.249742872234</v>
      </c>
      <c r="B668" s="27">
        <f ca="1">VLOOKUP(B667,Panchanga!$A$3:$Y$463,3,TRUE)</f>
        <v>43367.249757812977</v>
      </c>
      <c r="C668" s="27">
        <f ca="1">VLOOKUP(C667,Panchanga!$A$3:$Y$463,3,TRUE)</f>
        <v>43368.249774502277</v>
      </c>
      <c r="D668" s="27">
        <f ca="1">VLOOKUP(D667,Panchanga!$A$3:$Y$463,3,TRUE)</f>
        <v>43369.24979278088</v>
      </c>
      <c r="E668" s="27">
        <f ca="1">VLOOKUP(E667,Panchanga!$A$3:$Y$463,3,TRUE)</f>
        <v>43370.249813126087</v>
      </c>
      <c r="F668" s="27">
        <f ca="1">VLOOKUP(F667,Panchanga!$A$3:$Y$463,3,TRUE)</f>
        <v>43371.24983585548</v>
      </c>
      <c r="G668" s="44">
        <f ca="1">VLOOKUP(G667,Panchanga!$A$3:$Y$463,3,TRUE)</f>
        <v>43372.24986112785</v>
      </c>
    </row>
    <row r="669" spans="1:7" s="28" customFormat="1" ht="19.5" x14ac:dyDescent="0.3">
      <c r="A669" s="37">
        <f ca="1">VLOOKUP(A667,Panchanga!$A$3:$Y$463,4,TRUE)</f>
        <v>43365.753510773226</v>
      </c>
      <c r="B669" s="27">
        <f ca="1">VLOOKUP(B667,Panchanga!$A$3:$Y$463,4,TRUE)</f>
        <v>43366.753006756349</v>
      </c>
      <c r="C669" s="27">
        <f ca="1">VLOOKUP(C667,Panchanga!$A$3:$Y$463,4,TRUE)</f>
        <v>43367.752504169985</v>
      </c>
      <c r="D669" s="27">
        <f ca="1">VLOOKUP(D667,Panchanga!$A$3:$Y$463,4,TRUE)</f>
        <v>43368.752003332178</v>
      </c>
      <c r="E669" s="27">
        <f ca="1">VLOOKUP(E667,Panchanga!$A$3:$Y$463,4,TRUE)</f>
        <v>43369.751504719301</v>
      </c>
      <c r="F669" s="27">
        <f ca="1">VLOOKUP(F667,Panchanga!$A$3:$Y$463,4,TRUE)</f>
        <v>43370.751008331819</v>
      </c>
      <c r="G669" s="44">
        <f ca="1">VLOOKUP(G667,Panchanga!$A$3:$Y$463,4,TRUE)</f>
        <v>43371.75051464657</v>
      </c>
    </row>
    <row r="670" spans="1:7" s="28" customFormat="1" ht="19.5" x14ac:dyDescent="0.3">
      <c r="A670" s="38">
        <f ca="1">VLOOKUP(A667,Panchanga!$A$3:$Y$463,6,TRUE)</f>
        <v>155.82818515887348</v>
      </c>
      <c r="B670" s="30">
        <f ca="1">VLOOKUP(B667,Panchanga!$A$3:$Y$463,6,TRUE)</f>
        <v>156.80657818585613</v>
      </c>
      <c r="C670" s="30">
        <f ca="1">VLOOKUP(C667,Panchanga!$A$3:$Y$463,6,TRUE)</f>
        <v>157.78550388251023</v>
      </c>
      <c r="D670" s="30">
        <f ca="1">VLOOKUP(D667,Panchanga!$A$3:$Y$463,6,TRUE)</f>
        <v>158.76497958989714</v>
      </c>
      <c r="E670" s="30">
        <f ca="1">VLOOKUP(E667,Panchanga!$A$3:$Y$463,6,TRUE)</f>
        <v>159.74502399545804</v>
      </c>
      <c r="F670" s="30">
        <f ca="1">VLOOKUP(F667,Panchanga!$A$3:$Y$463,6,TRUE)</f>
        <v>160.72565564666738</v>
      </c>
      <c r="G670" s="45">
        <f ca="1">VLOOKUP(G667,Panchanga!$A$3:$Y$463,6,TRUE)</f>
        <v>161.70689217884365</v>
      </c>
    </row>
    <row r="671" spans="1:7" s="28" customFormat="1" ht="19.5" x14ac:dyDescent="0.3">
      <c r="A671" s="38">
        <f ca="1">VLOOKUP(A667,Panchanga!$A$3:$Y$463,7,TRUE)</f>
        <v>311.95493092170159</v>
      </c>
      <c r="B671" s="30">
        <f ca="1">VLOOKUP(B667,Panchanga!$A$3:$Y$463,7,TRUE)</f>
        <v>324.18925756762616</v>
      </c>
      <c r="C671" s="30">
        <f ca="1">VLOOKUP(C667,Panchanga!$A$3:$Y$463,7,TRUE)</f>
        <v>336.63865975444907</v>
      </c>
      <c r="D671" s="30">
        <f ca="1">VLOOKUP(D667,Panchanga!$A$3:$Y$463,7,TRUE)</f>
        <v>349.31407821516473</v>
      </c>
      <c r="E671" s="30">
        <f ca="1">VLOOKUP(E667,Panchanga!$A$3:$Y$463,7,TRUE)</f>
        <v>2.2134821409526064</v>
      </c>
      <c r="F671" s="30">
        <f ca="1">VLOOKUP(F667,Panchanga!$A$3:$Y$463,7,TRUE)</f>
        <v>15.325981982869507</v>
      </c>
      <c r="G671" s="45">
        <f ca="1">VLOOKUP(G667,Panchanga!$A$3:$Y$463,7,TRUE)</f>
        <v>28.636928595540983</v>
      </c>
    </row>
    <row r="672" spans="1:7" s="28" customFormat="1" ht="19.5" x14ac:dyDescent="0.3">
      <c r="A672" s="39" t="str">
        <f ca="1">VLOOKUP(A667,Panchanga!$A$3:$Y$463,9,TRUE) &amp; " "&amp;ROUND(A671/13.333,2)</f>
        <v>Satabhisaj 23.4</v>
      </c>
      <c r="B672" s="32" t="str">
        <f ca="1">VLOOKUP(B667,Panchanga!$A$3:$Y$463,9,TRUE) &amp; " "&amp;ROUND(B671/13.333,2)</f>
        <v>Purva Bhadrapada 24.31</v>
      </c>
      <c r="C672" s="32" t="str">
        <f ca="1">VLOOKUP(C667,Panchanga!$A$3:$Y$463,9,TRUE) &amp; " "&amp;ROUND(C671/13.333,2)</f>
        <v>Uttara Bhadrapada 25.25</v>
      </c>
      <c r="D672" s="32" t="str">
        <f ca="1">VLOOKUP(D667,Panchanga!$A$3:$Y$463,9,TRUE) &amp; " "&amp;ROUND(D671/13.333,2)</f>
        <v>Revati 26.2</v>
      </c>
      <c r="E672" s="32" t="str">
        <f ca="1">VLOOKUP(E667,Panchanga!$A$3:$Y$463,9,TRUE) &amp; " "&amp;ROUND(E671/13.333,2)</f>
        <v>Aswini 0.17</v>
      </c>
      <c r="F672" s="32" t="str">
        <f ca="1">VLOOKUP(F667,Panchanga!$A$3:$Y$463,9,TRUE) &amp; " "&amp;ROUND(F671/13.333,2)</f>
        <v>Bharani 1.15</v>
      </c>
      <c r="G672" s="46" t="str">
        <f ca="1">VLOOKUP(G667,Panchanga!$A$3:$Y$463,9,TRUE) &amp; " "&amp;ROUND(G671/13.333,2)</f>
        <v>Krittika 2.15</v>
      </c>
    </row>
    <row r="673" spans="1:7" s="28" customFormat="1" ht="19.5" x14ac:dyDescent="0.3">
      <c r="A673" s="40">
        <f ca="1">VLOOKUP(A667,Panchanga!$A$3:$Y$463,10,TRUE)</f>
        <v>43366.907334377713</v>
      </c>
      <c r="B673" s="34">
        <f ca="1">VLOOKUP(B667,Panchanga!$A$3:$Y$463,10,TRUE)</f>
        <v>43367.984269256718</v>
      </c>
      <c r="C673" s="34">
        <f ca="1">VLOOKUP(C667,Panchanga!$A$3:$Y$463,10,TRUE)</f>
        <v>43369.040927097456</v>
      </c>
      <c r="D673" s="34">
        <f ca="1">VLOOKUP(D667,Panchanga!$A$3:$Y$463,10,TRUE)</f>
        <v>43369.219005915882</v>
      </c>
      <c r="E673" s="34">
        <f ca="1">VLOOKUP(E667,Panchanga!$A$3:$Y$463,10,TRUE)</f>
        <v>43371.09786682095</v>
      </c>
      <c r="F673" s="34">
        <f ca="1">VLOOKUP(F667,Panchanga!$A$3:$Y$463,10,TRUE)</f>
        <v>43372.101839219315</v>
      </c>
      <c r="G673" s="47">
        <f ca="1">VLOOKUP(G667,Panchanga!$A$3:$Y$463,10,TRUE)</f>
        <v>43373.091843876624</v>
      </c>
    </row>
    <row r="674" spans="1:7" s="28" customFormat="1" ht="19.5" x14ac:dyDescent="0.3">
      <c r="A674" s="38" t="str">
        <f ca="1">VLOOKUP(A667,Panchanga!$A$3:$Y$463,11,TRUE)</f>
        <v>S14 (13.01)</v>
      </c>
      <c r="B674" s="30" t="str">
        <f ca="1">VLOOKUP(B667,Panchanga!$A$3:$Y$463,11,TRUE)</f>
        <v>S14 (13.95)</v>
      </c>
      <c r="C674" s="30" t="str">
        <f ca="1">VLOOKUP(C667,Panchanga!$A$3:$Y$463,11,TRUE)</f>
        <v>S15 (14.9)</v>
      </c>
      <c r="D674" s="30" t="str">
        <f ca="1">VLOOKUP(D667,Panchanga!$A$3:$Y$463,11,TRUE)</f>
        <v>K1 (15.88)</v>
      </c>
      <c r="E674" s="30" t="str">
        <f ca="1">VLOOKUP(E667,Panchanga!$A$3:$Y$463,11,TRUE)</f>
        <v>K2 (16.87)</v>
      </c>
      <c r="F674" s="30" t="str">
        <f ca="1">VLOOKUP(F667,Panchanga!$A$3:$Y$463,11,TRUE)</f>
        <v>K3 (17.88)</v>
      </c>
      <c r="G674" s="45" t="str">
        <f ca="1">VLOOKUP(G667,Panchanga!$A$3:$Y$463,11,TRUE)</f>
        <v>K4 (18.91)</v>
      </c>
    </row>
    <row r="675" spans="1:7" s="28" customFormat="1" ht="19.5" x14ac:dyDescent="0.3">
      <c r="A675" s="41" t="str">
        <f ca="1">VLOOKUP(A667,Panchanga!$A$3:$Y$463,13,TRUE)</f>
        <v>Garija</v>
      </c>
      <c r="B675" s="36" t="str">
        <f ca="1">VLOOKUP(B667,Panchanga!$A$3:$Y$463,13,TRUE)</f>
        <v>Vanija</v>
      </c>
      <c r="C675" s="36" t="str">
        <f ca="1">VLOOKUP(C667,Panchanga!$A$3:$Y$463,13,TRUE)</f>
        <v>Bhava</v>
      </c>
      <c r="D675" s="36" t="str">
        <f ca="1">VLOOKUP(D667,Panchanga!$A$3:$Y$463,13,TRUE)</f>
        <v>Kaulava</v>
      </c>
      <c r="E675" s="36" t="str">
        <f ca="1">VLOOKUP(E667,Panchanga!$A$3:$Y$463,13,TRUE)</f>
        <v>Garija</v>
      </c>
      <c r="F675" s="36" t="str">
        <f ca="1">VLOOKUP(F667,Panchanga!$A$3:$Y$463,13,TRUE)</f>
        <v>Vishti</v>
      </c>
      <c r="G675" s="48" t="str">
        <f ca="1">VLOOKUP(G667,Panchanga!$A$3:$Y$463,13,TRUE)</f>
        <v>Baalava</v>
      </c>
    </row>
    <row r="676" spans="1:7" s="28" customFormat="1" ht="19.5" x14ac:dyDescent="0.3">
      <c r="A676" s="41" t="str">
        <f ca="1">VLOOKUP(A667,Panchanga!$A$3:$Y$463,14,TRUE)</f>
        <v>Shula-शूल -Ju (8.09)</v>
      </c>
      <c r="B676" s="36" t="str">
        <f ca="1">VLOOKUP(B667,Panchanga!$A$3:$Y$463,14,TRUE)</f>
        <v>Ganda-गण्ड -Sa (9.08)</v>
      </c>
      <c r="C676" s="36" t="str">
        <f ca="1">VLOOKUP(C667,Panchanga!$A$3:$Y$463,14,TRUE)</f>
        <v>Vriddhi-वृद्धि -Me (10.09)</v>
      </c>
      <c r="D676" s="36" t="str">
        <f ca="1">VLOOKUP(D667,Panchanga!$A$3:$Y$463,14,TRUE)</f>
        <v>Dhruva-ध्रुव -Ke (11.11)</v>
      </c>
      <c r="E676" s="36" t="str">
        <f ca="1">VLOOKUP(E667,Panchanga!$A$3:$Y$463,14,TRUE)</f>
        <v>Vyaghata-व्याघात-ve (12.15)</v>
      </c>
      <c r="F676" s="36" t="str">
        <f ca="1">VLOOKUP(F667,Panchanga!$A$3:$Y$463,14,TRUE)</f>
        <v>Harshana-हर्षण-su (13.21)</v>
      </c>
      <c r="G676" s="48" t="str">
        <f ca="1">VLOOKUP(G667,Panchanga!$A$3:$Y$463,14,TRUE)</f>
        <v>Vajra-वज्र-Mo (14.28)</v>
      </c>
    </row>
    <row r="677" spans="1:7" s="28" customFormat="1" ht="19.5" x14ac:dyDescent="0.3">
      <c r="A677" s="63" t="str">
        <f ca="1">VLOOKUP(A667,Panchanga!$A$3:$Y$463,18,TRUE)</f>
        <v>10Ma,6Me,7Ju,7Ve,9Sa,4Ra</v>
      </c>
      <c r="B677" s="64" t="str">
        <f ca="1">VLOOKUP(B667,Panchanga!$A$3:$Y$463,18,TRUE)</f>
        <v>10Ma,6Me,7Ju,7Ve,9Sa,4Ra</v>
      </c>
      <c r="C677" s="64" t="str">
        <f ca="1">VLOOKUP(C667,Panchanga!$A$3:$Y$463,18,TRUE)</f>
        <v>10Ma,6Me,7Ju,7Ve,9Sa,4Ra</v>
      </c>
      <c r="D677" s="64" t="str">
        <f ca="1">VLOOKUP(D667,Panchanga!$A$3:$Y$463,18,TRUE)</f>
        <v>10Ma,6Me,7Ju,7Ve,9Sa,4Ra</v>
      </c>
      <c r="E677" s="64" t="str">
        <f ca="1">VLOOKUP(E667,Panchanga!$A$3:$Y$463,18,TRUE)</f>
        <v>10Ma,6Me,7Ju,7Ve,9Sa,4Ra</v>
      </c>
      <c r="F677" s="64" t="str">
        <f ca="1">VLOOKUP(F667,Panchanga!$A$3:$Y$463,18,TRUE)</f>
        <v>10Ma,6Me,7Ju,7Ve,9Sa,4Ra</v>
      </c>
      <c r="G677" s="65" t="str">
        <f ca="1">VLOOKUP(G667,Panchanga!$A$3:$Y$463,18,TRUE)</f>
        <v>10Ma,6Me,7Ju,7Ve,9Sa,4Ra</v>
      </c>
    </row>
    <row r="678" spans="1:7" ht="5.85" customHeight="1" thickBot="1" x14ac:dyDescent="0.4">
      <c r="A678" s="42"/>
      <c r="B678" s="16"/>
      <c r="C678" s="16"/>
      <c r="D678" s="16"/>
      <c r="E678" s="16"/>
      <c r="F678" s="16"/>
      <c r="G678" s="17"/>
    </row>
    <row r="679" spans="1:7" s="51" customFormat="1" ht="37.5" x14ac:dyDescent="0.5">
      <c r="A679" s="52">
        <f ca="1">G667+1</f>
        <v>43373</v>
      </c>
      <c r="B679" s="53">
        <f ca="1">A679+1</f>
        <v>43374</v>
      </c>
      <c r="C679" s="53"/>
      <c r="D679" s="53"/>
      <c r="E679" s="53"/>
      <c r="F679" s="53"/>
      <c r="G679" s="55"/>
    </row>
    <row r="680" spans="1:7" s="28" customFormat="1" ht="19.5" x14ac:dyDescent="0.3">
      <c r="A680" s="37">
        <f ca="1">VLOOKUP(A679,Panchanga!$A$3:$Y$463,3,TRUE)</f>
        <v>43373.249889101986</v>
      </c>
      <c r="B680" s="27">
        <f ca="1">VLOOKUP(B679,Panchanga!$A$3:$Y$463,3,TRUE)</f>
        <v>43374.249920096401</v>
      </c>
      <c r="C680" s="27" t="s">
        <v>20</v>
      </c>
      <c r="D680" s="27"/>
      <c r="E680" s="27"/>
      <c r="F680" s="27"/>
      <c r="G680" s="26"/>
    </row>
    <row r="681" spans="1:7" s="28" customFormat="1" ht="19.5" x14ac:dyDescent="0.3">
      <c r="A681" s="37">
        <f ca="1">VLOOKUP(A679,Panchanga!$A$3:$Y$463,4,TRUE)</f>
        <v>43372.750023981134</v>
      </c>
      <c r="B681" s="27">
        <f ca="1">VLOOKUP(B679,Panchanga!$A$3:$Y$463,4,TRUE)</f>
        <v>43373.749536494768</v>
      </c>
      <c r="C681" s="27" t="s">
        <v>8</v>
      </c>
      <c r="D681" s="27"/>
      <c r="E681" s="27"/>
      <c r="F681" s="27"/>
      <c r="G681" s="26"/>
    </row>
    <row r="682" spans="1:7" s="28" customFormat="1" ht="19.5" x14ac:dyDescent="0.3">
      <c r="A682" s="38">
        <f ca="1">VLOOKUP(A679,Panchanga!$A$3:$Y$463,6,TRUE)</f>
        <v>162.68874971281079</v>
      </c>
      <c r="B682" s="30">
        <f ca="1">VLOOKUP(B679,Panchanga!$A$3:$Y$463,6,TRUE)</f>
        <v>163.67124226108143</v>
      </c>
      <c r="C682" s="30" t="s">
        <v>21</v>
      </c>
      <c r="D682" s="30"/>
      <c r="E682" s="30"/>
      <c r="F682" s="30"/>
      <c r="G682" s="29"/>
    </row>
    <row r="683" spans="1:7" s="28" customFormat="1" ht="19.5" x14ac:dyDescent="0.3">
      <c r="A683" s="38">
        <f ca="1">VLOOKUP(A679,Panchanga!$A$3:$Y$463,7,TRUE)</f>
        <v>42.132916836526114</v>
      </c>
      <c r="B683" s="30">
        <f ca="1">VLOOKUP(B679,Panchanga!$A$3:$Y$463,7,TRUE)</f>
        <v>55.805212259142024</v>
      </c>
      <c r="C683" s="30" t="s">
        <v>22</v>
      </c>
      <c r="D683" s="30"/>
      <c r="E683" s="30"/>
      <c r="F683" s="30"/>
      <c r="G683" s="29"/>
    </row>
    <row r="684" spans="1:7" s="28" customFormat="1" ht="19.5" x14ac:dyDescent="0.3">
      <c r="A684" s="39" t="str">
        <f ca="1">VLOOKUP(A679,Panchanga!$A$3:$Y$463,9,TRUE) &amp; " "&amp;ROUND(A683/13.333,2)</f>
        <v>Rohini 3.16</v>
      </c>
      <c r="B684" s="32" t="str">
        <f ca="1">VLOOKUP(B679,Panchanga!$A$3:$Y$463,9,TRUE) &amp; " "&amp;ROUND(B683/13.333,2)</f>
        <v>Mrigashira 4.19</v>
      </c>
      <c r="C684" s="32" t="s">
        <v>23</v>
      </c>
      <c r="D684" s="32"/>
      <c r="E684" s="32"/>
      <c r="F684" s="32"/>
      <c r="G684" s="31"/>
    </row>
    <row r="685" spans="1:7" s="28" customFormat="1" ht="19.5" x14ac:dyDescent="0.3">
      <c r="A685" s="40">
        <f ca="1">VLOOKUP(A679,Panchanga!$A$3:$Y$463,10,TRUE)</f>
        <v>43374.069119765234</v>
      </c>
      <c r="B685" s="34">
        <f ca="1">VLOOKUP(B679,Panchanga!$A$3:$Y$463,10,TRUE)</f>
        <v>43375.034452851214</v>
      </c>
      <c r="C685" s="34" t="s">
        <v>24</v>
      </c>
      <c r="D685" s="34"/>
      <c r="E685" s="34"/>
      <c r="F685" s="34"/>
      <c r="G685" s="33"/>
    </row>
    <row r="686" spans="1:7" s="28" customFormat="1" ht="19.5" x14ac:dyDescent="0.3">
      <c r="A686" s="38" t="str">
        <f ca="1">VLOOKUP(A679,Panchanga!$A$3:$Y$463,11,TRUE)</f>
        <v>K5 (19.95)</v>
      </c>
      <c r="B686" s="30" t="str">
        <f ca="1">VLOOKUP(B679,Panchanga!$A$3:$Y$463,11,TRUE)</f>
        <v>K7 (21.01)</v>
      </c>
      <c r="C686" s="30" t="s">
        <v>28</v>
      </c>
      <c r="D686" s="30"/>
      <c r="E686" s="30"/>
      <c r="F686" s="30"/>
      <c r="G686" s="29"/>
    </row>
    <row r="687" spans="1:7" s="28" customFormat="1" ht="19.5" x14ac:dyDescent="0.3">
      <c r="A687" s="41" t="str">
        <f ca="1">VLOOKUP(A679,Panchanga!$A$3:$Y$463,13,TRUE)</f>
        <v>Taitula</v>
      </c>
      <c r="B687" s="36" t="str">
        <f ca="1">VLOOKUP(B679,Panchanga!$A$3:$Y$463,13,TRUE)</f>
        <v>Vishti</v>
      </c>
      <c r="C687" s="36" t="s">
        <v>25</v>
      </c>
      <c r="D687" s="36"/>
      <c r="E687" s="36"/>
      <c r="F687" s="36"/>
      <c r="G687" s="35"/>
    </row>
    <row r="688" spans="1:7" s="28" customFormat="1" ht="19.5" x14ac:dyDescent="0.3">
      <c r="A688" s="41" t="str">
        <f ca="1">VLOOKUP(A679,Panchanga!$A$3:$Y$463,14,TRUE)</f>
        <v>Siddhi-सिद्धि-Ma (15.37)</v>
      </c>
      <c r="B688" s="36" t="str">
        <f ca="1">VLOOKUP(B679,Panchanga!$A$3:$Y$463,14,TRUE)</f>
        <v>Vyatipata-व्यतिपात-Ra (16.47)</v>
      </c>
      <c r="C688" s="36" t="s">
        <v>13</v>
      </c>
      <c r="D688" s="36"/>
      <c r="E688" s="36"/>
      <c r="F688" s="36"/>
      <c r="G688" s="48"/>
    </row>
    <row r="689" spans="1:7" s="28" customFormat="1" ht="19.5" x14ac:dyDescent="0.3">
      <c r="A689" s="63" t="str">
        <f ca="1">VLOOKUP(A679,Panchanga!$A$3:$Y$463,18,TRUE)</f>
        <v>10Ma,6Me,7Ju,7Ve,9Sa,4Ra</v>
      </c>
      <c r="B689" s="64" t="str">
        <f ca="1">VLOOKUP(B679,Panchanga!$A$3:$Y$463,18,TRUE)</f>
        <v>10Ma,6Me,7Ju,7Ve,9Sa,4Ra</v>
      </c>
      <c r="C689" s="64"/>
      <c r="D689" s="64"/>
      <c r="E689" s="64"/>
      <c r="F689" s="64"/>
      <c r="G689" s="65"/>
    </row>
    <row r="690" spans="1:7" ht="24" thickBot="1" x14ac:dyDescent="0.4"/>
    <row r="691" spans="1:7" x14ac:dyDescent="0.35">
      <c r="A691" s="23" t="s">
        <v>26</v>
      </c>
      <c r="B691" s="21">
        <f>Lat</f>
        <v>13.5</v>
      </c>
      <c r="C691" s="23" t="s">
        <v>1</v>
      </c>
      <c r="D691" s="21">
        <f>Long</f>
        <v>80.23</v>
      </c>
      <c r="E691" s="23" t="s">
        <v>4</v>
      </c>
      <c r="F691" s="22">
        <f>TimeZone</f>
        <v>5.5</v>
      </c>
    </row>
    <row r="694" spans="1:7" s="51" customFormat="1" ht="38.25" thickBot="1" x14ac:dyDescent="0.55000000000000004">
      <c r="A694" s="68">
        <f ca="1">DATE(YEAR(A617),MONTH(A617)+1,1)</f>
        <v>43374</v>
      </c>
      <c r="B694" s="69"/>
      <c r="C694" s="69"/>
      <c r="D694" s="69"/>
      <c r="E694" s="69"/>
      <c r="F694" s="69"/>
      <c r="G694" s="69"/>
    </row>
    <row r="695" spans="1:7" s="56" customFormat="1" ht="35.25" thickBot="1" x14ac:dyDescent="0.5">
      <c r="A695" s="57">
        <v>1</v>
      </c>
      <c r="B695" s="58">
        <v>2</v>
      </c>
      <c r="C695" s="58">
        <v>3</v>
      </c>
      <c r="D695" s="58">
        <v>4</v>
      </c>
      <c r="E695" s="58">
        <v>5</v>
      </c>
      <c r="F695" s="58">
        <v>6</v>
      </c>
      <c r="G695" s="59">
        <v>7</v>
      </c>
    </row>
    <row r="696" spans="1:7" s="51" customFormat="1" ht="37.5" x14ac:dyDescent="0.5">
      <c r="A696" s="52">
        <f ca="1">DATE(YEAR(A694),MONTH(A694),1)-WEEKDAY(A694)+1</f>
        <v>43373</v>
      </c>
      <c r="B696" s="53">
        <f t="shared" ref="B696:G696" ca="1" si="45">A696+1</f>
        <v>43374</v>
      </c>
      <c r="C696" s="53">
        <f t="shared" ca="1" si="45"/>
        <v>43375</v>
      </c>
      <c r="D696" s="53">
        <f t="shared" ca="1" si="45"/>
        <v>43376</v>
      </c>
      <c r="E696" s="53">
        <f t="shared" ca="1" si="45"/>
        <v>43377</v>
      </c>
      <c r="F696" s="53">
        <f t="shared" ca="1" si="45"/>
        <v>43378</v>
      </c>
      <c r="G696" s="54">
        <f t="shared" ca="1" si="45"/>
        <v>43379</v>
      </c>
    </row>
    <row r="697" spans="1:7" s="28" customFormat="1" ht="19.5" x14ac:dyDescent="0.3">
      <c r="A697" s="37">
        <f ca="1">VLOOKUP(A696,Panchanga!$A$3:$Y$463,3,TRUE)</f>
        <v>43373.249889101986</v>
      </c>
      <c r="B697" s="27">
        <f ca="1">VLOOKUP(B696,Panchanga!$A$3:$Y$463,3,TRUE)</f>
        <v>43374.249920096401</v>
      </c>
      <c r="C697" s="27">
        <f ca="1">VLOOKUP(C696,Panchanga!$A$3:$Y$463,3,TRUE)</f>
        <v>43375.249954269886</v>
      </c>
      <c r="D697" s="27">
        <f ca="1">VLOOKUP(D696,Panchanga!$A$3:$Y$463,3,TRUE)</f>
        <v>43376.249991940022</v>
      </c>
      <c r="E697" s="27">
        <f ca="1">VLOOKUP(E696,Panchanga!$A$3:$Y$463,3,TRUE)</f>
        <v>43377.250033106808</v>
      </c>
      <c r="F697" s="27">
        <f ca="1">VLOOKUP(F696,Panchanga!$A$3:$Y$463,3,TRUE)</f>
        <v>43378.250078088757</v>
      </c>
      <c r="G697" s="44">
        <f ca="1">VLOOKUP(G696,Panchanga!$A$3:$Y$463,3,TRUE)</f>
        <v>43379.250127202984</v>
      </c>
    </row>
    <row r="698" spans="1:7" s="28" customFormat="1" ht="19.5" x14ac:dyDescent="0.3">
      <c r="A698" s="37">
        <f ca="1">VLOOKUP(A696,Panchanga!$A$3:$Y$463,4,TRUE)</f>
        <v>43372.750023981134</v>
      </c>
      <c r="B698" s="27">
        <f ca="1">VLOOKUP(B696,Panchanga!$A$3:$Y$463,4,TRUE)</f>
        <v>43373.749536494768</v>
      </c>
      <c r="C698" s="27">
        <f ca="1">VLOOKUP(C696,Panchanga!$A$3:$Y$463,4,TRUE)</f>
        <v>43374.749052822634</v>
      </c>
      <c r="D698" s="27">
        <f ca="1">VLOOKUP(D696,Panchanga!$A$3:$Y$463,4,TRUE)</f>
        <v>43375.748572806871</v>
      </c>
      <c r="E698" s="27">
        <f ca="1">VLOOKUP(E696,Panchanga!$A$3:$Y$463,4,TRUE)</f>
        <v>43376.748097082178</v>
      </c>
      <c r="F698" s="27">
        <f ca="1">VLOOKUP(F696,Panchanga!$A$3:$Y$463,4,TRUE)</f>
        <v>43377.747625808275</v>
      </c>
      <c r="G698" s="44">
        <f ca="1">VLOOKUP(G696,Panchanga!$A$3:$Y$463,4,TRUE)</f>
        <v>43378.747159302278</v>
      </c>
    </row>
    <row r="699" spans="1:7" s="28" customFormat="1" ht="19.5" x14ac:dyDescent="0.3">
      <c r="A699" s="38">
        <f ca="1">VLOOKUP(A696,Panchanga!$A$3:$Y$463,6,TRUE)</f>
        <v>162.68874971281079</v>
      </c>
      <c r="B699" s="30">
        <f ca="1">VLOOKUP(B696,Panchanga!$A$3:$Y$463,6,TRUE)</f>
        <v>163.67124226108143</v>
      </c>
      <c r="C699" s="30">
        <f ca="1">VLOOKUP(C696,Panchanga!$A$3:$Y$463,6,TRUE)</f>
        <v>164.65438063845261</v>
      </c>
      <c r="D699" s="30">
        <f ca="1">VLOOKUP(D696,Panchanga!$A$3:$Y$463,6,TRUE)</f>
        <v>165.63817195851246</v>
      </c>
      <c r="E699" s="30">
        <f ca="1">VLOOKUP(E696,Panchanga!$A$3:$Y$463,6,TRUE)</f>
        <v>166.6226183886007</v>
      </c>
      <c r="F699" s="30">
        <f ca="1">VLOOKUP(F696,Panchanga!$A$3:$Y$463,6,TRUE)</f>
        <v>167.60771722837231</v>
      </c>
      <c r="G699" s="45">
        <f ca="1">VLOOKUP(G696,Panchanga!$A$3:$Y$463,6,TRUE)</f>
        <v>168.59346048229821</v>
      </c>
    </row>
    <row r="700" spans="1:7" s="28" customFormat="1" ht="19.5" x14ac:dyDescent="0.3">
      <c r="A700" s="38">
        <f ca="1">VLOOKUP(A696,Panchanga!$A$3:$Y$463,7,TRUE)</f>
        <v>42.132916836526114</v>
      </c>
      <c r="B700" s="30">
        <f ca="1">VLOOKUP(B696,Panchanga!$A$3:$Y$463,7,TRUE)</f>
        <v>55.805212259142024</v>
      </c>
      <c r="C700" s="30">
        <f ca="1">VLOOKUP(C696,Panchanga!$A$3:$Y$463,7,TRUE)</f>
        <v>69.650173498401685</v>
      </c>
      <c r="D700" s="30">
        <f ca="1">VLOOKUP(D696,Panchanga!$A$3:$Y$463,7,TRUE)</f>
        <v>83.666007520824948</v>
      </c>
      <c r="E700" s="30">
        <f ca="1">VLOOKUP(E696,Panchanga!$A$3:$Y$463,7,TRUE)</f>
        <v>97.846258951983629</v>
      </c>
      <c r="F700" s="30">
        <f ca="1">VLOOKUP(F696,Panchanga!$A$3:$Y$463,7,TRUE)</f>
        <v>112.17149903120557</v>
      </c>
      <c r="G700" s="45">
        <f ca="1">VLOOKUP(G696,Panchanga!$A$3:$Y$463,7,TRUE)</f>
        <v>126.60150303694996</v>
      </c>
    </row>
    <row r="701" spans="1:7" s="28" customFormat="1" ht="19.5" x14ac:dyDescent="0.3">
      <c r="A701" s="39" t="str">
        <f ca="1">VLOOKUP(A696,Panchanga!$A$3:$Y$463,9,TRUE) &amp; " "&amp;ROUND(A700/13.333,2)</f>
        <v>Rohini 3.16</v>
      </c>
      <c r="B701" s="32" t="str">
        <f ca="1">VLOOKUP(B696,Panchanga!$A$3:$Y$463,9,TRUE) &amp; " "&amp;ROUND(B700/13.333,2)</f>
        <v>Mrigashira 4.19</v>
      </c>
      <c r="C701" s="32" t="str">
        <f ca="1">VLOOKUP(C696,Panchanga!$A$3:$Y$463,9,TRUE) &amp; " "&amp;ROUND(C700/13.333,2)</f>
        <v>Ardra 5.22</v>
      </c>
      <c r="D701" s="32" t="str">
        <f ca="1">VLOOKUP(D696,Panchanga!$A$3:$Y$463,9,TRUE) &amp; " "&amp;ROUND(D700/13.333,2)</f>
        <v>Punarvasu 6.28</v>
      </c>
      <c r="E701" s="32" t="str">
        <f ca="1">VLOOKUP(E696,Panchanga!$A$3:$Y$463,9,TRUE) &amp; " "&amp;ROUND(E700/13.333,2)</f>
        <v>Pushya 7.34</v>
      </c>
      <c r="F701" s="32" t="str">
        <f ca="1">VLOOKUP(F696,Panchanga!$A$3:$Y$463,9,TRUE) &amp; " "&amp;ROUND(F700/13.333,2)</f>
        <v>Aslesha 8.41</v>
      </c>
      <c r="G701" s="46" t="str">
        <f ca="1">VLOOKUP(G696,Panchanga!$A$3:$Y$463,9,TRUE) &amp; " "&amp;ROUND(G700/13.333,2)</f>
        <v>Makha 9.5</v>
      </c>
    </row>
    <row r="702" spans="1:7" s="28" customFormat="1" ht="19.5" x14ac:dyDescent="0.3">
      <c r="A702" s="40">
        <f ca="1">VLOOKUP(A696,Panchanga!$A$3:$Y$463,10,TRUE)</f>
        <v>43374.069119765234</v>
      </c>
      <c r="B702" s="34">
        <f ca="1">VLOOKUP(B696,Panchanga!$A$3:$Y$463,10,TRUE)</f>
        <v>43375.034452851214</v>
      </c>
      <c r="C702" s="34">
        <f ca="1">VLOOKUP(C696,Panchanga!$A$3:$Y$463,10,TRUE)</f>
        <v>43375.988420233763</v>
      </c>
      <c r="D702" s="34">
        <f ca="1">VLOOKUP(D696,Panchanga!$A$3:$Y$463,10,TRUE)</f>
        <v>43376.931765731708</v>
      </c>
      <c r="E702" s="34">
        <f ca="1">VLOOKUP(E696,Panchanga!$A$3:$Y$463,10,TRUE)</f>
        <v>43377.865785752139</v>
      </c>
      <c r="F702" s="34">
        <f ca="1">VLOOKUP(F696,Panchanga!$A$3:$Y$463,10,TRUE)</f>
        <v>43378.792620243039</v>
      </c>
      <c r="G702" s="47">
        <f ca="1">VLOOKUP(G696,Panchanga!$A$3:$Y$463,10,TRUE)</f>
        <v>43379.715396096755</v>
      </c>
    </row>
    <row r="703" spans="1:7" s="28" customFormat="1" ht="19.5" x14ac:dyDescent="0.3">
      <c r="A703" s="38" t="str">
        <f ca="1">VLOOKUP(A696,Panchanga!$A$3:$Y$463,11,TRUE)</f>
        <v>K5 (19.95)</v>
      </c>
      <c r="B703" s="30" t="str">
        <f ca="1">VLOOKUP(B696,Panchanga!$A$3:$Y$463,11,TRUE)</f>
        <v>K7 (21.01)</v>
      </c>
      <c r="C703" s="30" t="str">
        <f ca="1">VLOOKUP(C696,Panchanga!$A$3:$Y$463,11,TRUE)</f>
        <v>K8 (22.08)</v>
      </c>
      <c r="D703" s="30" t="str">
        <f ca="1">VLOOKUP(D696,Panchanga!$A$3:$Y$463,11,TRUE)</f>
        <v>K9 (23.17)</v>
      </c>
      <c r="E703" s="30" t="str">
        <f ca="1">VLOOKUP(E696,Panchanga!$A$3:$Y$463,11,TRUE)</f>
        <v>K10 (24.27)</v>
      </c>
      <c r="F703" s="30" t="str">
        <f ca="1">VLOOKUP(F696,Panchanga!$A$3:$Y$463,11,TRUE)</f>
        <v>K11 (25.38)</v>
      </c>
      <c r="G703" s="45" t="str">
        <f ca="1">VLOOKUP(G696,Panchanga!$A$3:$Y$463,11,TRUE)</f>
        <v>K12 (26.5)</v>
      </c>
    </row>
    <row r="704" spans="1:7" s="28" customFormat="1" ht="19.5" x14ac:dyDescent="0.3">
      <c r="A704" s="41" t="str">
        <f ca="1">VLOOKUP(A696,Panchanga!$A$3:$Y$463,13,TRUE)</f>
        <v>Taitula</v>
      </c>
      <c r="B704" s="36" t="str">
        <f ca="1">VLOOKUP(B696,Panchanga!$A$3:$Y$463,13,TRUE)</f>
        <v>Vishti</v>
      </c>
      <c r="C704" s="36" t="str">
        <f ca="1">VLOOKUP(C696,Panchanga!$A$3:$Y$463,13,TRUE)</f>
        <v>Baalava</v>
      </c>
      <c r="D704" s="36" t="str">
        <f ca="1">VLOOKUP(D696,Panchanga!$A$3:$Y$463,13,TRUE)</f>
        <v>Taitula</v>
      </c>
      <c r="E704" s="36" t="str">
        <f ca="1">VLOOKUP(E696,Panchanga!$A$3:$Y$463,13,TRUE)</f>
        <v>Vanija</v>
      </c>
      <c r="F704" s="36" t="str">
        <f ca="1">VLOOKUP(F696,Panchanga!$A$3:$Y$463,13,TRUE)</f>
        <v>Bhava</v>
      </c>
      <c r="G704" s="48" t="str">
        <f ca="1">VLOOKUP(G696,Panchanga!$A$3:$Y$463,13,TRUE)</f>
        <v>Taitula</v>
      </c>
    </row>
    <row r="705" spans="1:7" s="28" customFormat="1" ht="19.5" x14ac:dyDescent="0.3">
      <c r="A705" s="41" t="str">
        <f ca="1">VLOOKUP(A696,Panchanga!$A$3:$Y$463,14,TRUE)</f>
        <v>Siddhi-सिद्धि-Ma (15.37)</v>
      </c>
      <c r="B705" s="36" t="str">
        <f ca="1">VLOOKUP(B696,Panchanga!$A$3:$Y$463,14,TRUE)</f>
        <v>Vyatipata-व्यतिपात-Ra (16.47)</v>
      </c>
      <c r="C705" s="36" t="str">
        <f ca="1">VLOOKUP(C696,Panchanga!$A$3:$Y$463,14,TRUE)</f>
        <v>Varigha-वरीयस्-Ju (17.58)</v>
      </c>
      <c r="D705" s="36" t="str">
        <f ca="1">VLOOKUP(D696,Panchanga!$A$3:$Y$463,14,TRUE)</f>
        <v>Parigha-परिघ-Sa (18.7)</v>
      </c>
      <c r="E705" s="36" t="str">
        <f ca="1">VLOOKUP(E696,Panchanga!$A$3:$Y$463,14,TRUE)</f>
        <v>Shiva-शिव-Me (19.84)</v>
      </c>
      <c r="F705" s="36" t="str">
        <f ca="1">VLOOKUP(F696,Panchanga!$A$3:$Y$463,14,TRUE)</f>
        <v>Siddha-सिद्ध-Ke (20.99)</v>
      </c>
      <c r="G705" s="48" t="str">
        <f ca="1">VLOOKUP(G696,Panchanga!$A$3:$Y$463,14,TRUE)</f>
        <v>Shubha-शुभ-Su (22.14)</v>
      </c>
    </row>
    <row r="706" spans="1:7" s="28" customFormat="1" ht="19.5" x14ac:dyDescent="0.3">
      <c r="A706" s="63" t="str">
        <f ca="1">VLOOKUP(A696,Panchanga!$A$3:$Y$463,18,TRUE)</f>
        <v>10Ma,6Me,7Ju,7Ve,9Sa,4Ra</v>
      </c>
      <c r="B706" s="64" t="str">
        <f ca="1">VLOOKUP(B696,Panchanga!$A$3:$Y$463,18,TRUE)</f>
        <v>10Ma,6Me,7Ju,7Ve,9Sa,4Ra</v>
      </c>
      <c r="C706" s="64" t="str">
        <f ca="1">VLOOKUP(C696,Panchanga!$A$3:$Y$463,18,TRUE)</f>
        <v>10Ma,6Me,7Ju,7Ve,9Sa,4Ra</v>
      </c>
      <c r="D706" s="64" t="str">
        <f ca="1">VLOOKUP(D696,Panchanga!$A$3:$Y$463,18,TRUE)</f>
        <v>10Ma,6Me,7Ju,7Ve,9Sa,4Ra</v>
      </c>
      <c r="E706" s="64" t="str">
        <f ca="1">VLOOKUP(E696,Panchanga!$A$3:$Y$463,18,TRUE)</f>
        <v>10Ma,6Me,7Ju,7Ve,9Sa,4Ra</v>
      </c>
      <c r="F706" s="64" t="str">
        <f ca="1">VLOOKUP(F696,Panchanga!$A$3:$Y$463,18,TRUE)</f>
        <v>10Ma,6Me,7Ju,7Ve,9Sa,4Ra</v>
      </c>
      <c r="G706" s="65" t="str">
        <f ca="1">VLOOKUP(G696,Panchanga!$A$3:$Y$463,18,TRUE)</f>
        <v>10Ma,6Me,7Ju,-7Ve,9Sa,4Ra</v>
      </c>
    </row>
    <row r="707" spans="1:7" ht="5.85" customHeight="1" thickBot="1" x14ac:dyDescent="0.4">
      <c r="A707" s="42"/>
      <c r="B707" s="16"/>
      <c r="C707" s="16"/>
      <c r="D707" s="16"/>
      <c r="E707" s="16"/>
      <c r="F707" s="16"/>
      <c r="G707" s="49"/>
    </row>
    <row r="708" spans="1:7" s="51" customFormat="1" ht="37.5" x14ac:dyDescent="0.5">
      <c r="A708" s="52">
        <f ca="1">G696+1</f>
        <v>43380</v>
      </c>
      <c r="B708" s="53">
        <f t="shared" ref="B708:G708" ca="1" si="46">A708+1</f>
        <v>43381</v>
      </c>
      <c r="C708" s="53">
        <f t="shared" ca="1" si="46"/>
        <v>43382</v>
      </c>
      <c r="D708" s="53">
        <f t="shared" ca="1" si="46"/>
        <v>43383</v>
      </c>
      <c r="E708" s="53">
        <f t="shared" ca="1" si="46"/>
        <v>43384</v>
      </c>
      <c r="F708" s="53">
        <f t="shared" ca="1" si="46"/>
        <v>43385</v>
      </c>
      <c r="G708" s="54">
        <f t="shared" ca="1" si="46"/>
        <v>43386</v>
      </c>
    </row>
    <row r="709" spans="1:7" s="28" customFormat="1" ht="19.5" x14ac:dyDescent="0.3">
      <c r="A709" s="37">
        <f ca="1">VLOOKUP(A708,Panchanga!$A$3:$Y$463,3,TRUE)</f>
        <v>43380.250180290699</v>
      </c>
      <c r="B709" s="27">
        <f ca="1">VLOOKUP(B708,Panchanga!$A$3:$Y$463,3,TRUE)</f>
        <v>43381.250237511158</v>
      </c>
      <c r="C709" s="27">
        <f ca="1">VLOOKUP(C708,Panchanga!$A$3:$Y$463,3,TRUE)</f>
        <v>43382.250299181942</v>
      </c>
      <c r="D709" s="27">
        <f ca="1">VLOOKUP(D708,Panchanga!$A$3:$Y$463,3,TRUE)</f>
        <v>43383.250365462307</v>
      </c>
      <c r="E709" s="27">
        <f ca="1">VLOOKUP(E708,Panchanga!$A$3:$Y$463,3,TRUE)</f>
        <v>43384.250436193463</v>
      </c>
      <c r="F709" s="27">
        <f ca="1">VLOOKUP(F708,Panchanga!$A$3:$Y$463,3,TRUE)</f>
        <v>43385.250511692524</v>
      </c>
      <c r="G709" s="44">
        <f ca="1">VLOOKUP(G708,Panchanga!$A$3:$Y$463,3,TRUE)</f>
        <v>43386.250592119213</v>
      </c>
    </row>
    <row r="710" spans="1:7" s="28" customFormat="1" ht="19.5" x14ac:dyDescent="0.3">
      <c r="A710" s="37">
        <f ca="1">VLOOKUP(A708,Panchanga!$A$3:$Y$463,4,TRUE)</f>
        <v>43379.746697565119</v>
      </c>
      <c r="B710" s="27">
        <f ca="1">VLOOKUP(B708,Panchanga!$A$3:$Y$463,4,TRUE)</f>
        <v>43380.746241231958</v>
      </c>
      <c r="C710" s="27">
        <f ca="1">VLOOKUP(C708,Panchanga!$A$3:$Y$463,4,TRUE)</f>
        <v>43381.745790144007</v>
      </c>
      <c r="D710" s="27">
        <f ca="1">VLOOKUP(D708,Panchanga!$A$3:$Y$463,4,TRUE)</f>
        <v>43382.745344778101</v>
      </c>
      <c r="E710" s="27">
        <f ca="1">VLOOKUP(E708,Panchanga!$A$3:$Y$463,4,TRUE)</f>
        <v>43383.744905134241</v>
      </c>
      <c r="F710" s="27">
        <f ca="1">VLOOKUP(F708,Panchanga!$A$3:$Y$463,4,TRUE)</f>
        <v>43384.744471689264</v>
      </c>
      <c r="G710" s="44">
        <f ca="1">VLOOKUP(G708,Panchanga!$A$3:$Y$463,4,TRUE)</f>
        <v>43385.744044601961</v>
      </c>
    </row>
    <row r="711" spans="1:7" s="28" customFormat="1" ht="19.5" x14ac:dyDescent="0.3">
      <c r="A711" s="38">
        <f ca="1">VLOOKUP(A708,Panchanga!$A$3:$Y$463,6,TRUE)</f>
        <v>169.5798348597913</v>
      </c>
      <c r="B711" s="30">
        <f ca="1">VLOOKUP(B708,Panchanga!$A$3:$Y$463,6,TRUE)</f>
        <v>170.56682359250067</v>
      </c>
      <c r="C711" s="30">
        <f ca="1">VLOOKUP(C708,Panchanga!$A$3:$Y$463,6,TRUE)</f>
        <v>171.55440772132516</v>
      </c>
      <c r="D711" s="30">
        <f ca="1">VLOOKUP(D708,Panchanga!$A$3:$Y$463,6,TRUE)</f>
        <v>172.54256737408133</v>
      </c>
      <c r="E711" s="30">
        <f ca="1">VLOOKUP(E708,Panchanga!$A$3:$Y$463,6,TRUE)</f>
        <v>173.53128309646132</v>
      </c>
      <c r="F711" s="30">
        <f ca="1">VLOOKUP(F708,Panchanga!$A$3:$Y$463,6,TRUE)</f>
        <v>174.52053782694014</v>
      </c>
      <c r="G711" s="45">
        <f ca="1">VLOOKUP(G708,Panchanga!$A$3:$Y$463,6,TRUE)</f>
        <v>175.51031706283672</v>
      </c>
    </row>
    <row r="712" spans="1:7" s="28" customFormat="1" ht="19.5" x14ac:dyDescent="0.3">
      <c r="A712" s="38">
        <f ca="1">VLOOKUP(A708,Panchanga!$A$3:$Y$463,7,TRUE)</f>
        <v>141.07095879458217</v>
      </c>
      <c r="B712" s="30">
        <f ca="1">VLOOKUP(B708,Panchanga!$A$3:$Y$463,7,TRUE)</f>
        <v>155.49167210657347</v>
      </c>
      <c r="C712" s="30">
        <f ca="1">VLOOKUP(C708,Panchanga!$A$3:$Y$463,7,TRUE)</f>
        <v>169.76243023349258</v>
      </c>
      <c r="D712" s="30">
        <f ca="1">VLOOKUP(D708,Panchanga!$A$3:$Y$463,7,TRUE)</f>
        <v>183.78454656193855</v>
      </c>
      <c r="E712" s="30">
        <f ca="1">VLOOKUP(E708,Panchanga!$A$3:$Y$463,7,TRUE)</f>
        <v>197.47833132795373</v>
      </c>
      <c r="F712" s="30">
        <f ca="1">VLOOKUP(F708,Panchanga!$A$3:$Y$463,7,TRUE)</f>
        <v>210.79538971319764</v>
      </c>
      <c r="G712" s="45">
        <f ca="1">VLOOKUP(G708,Panchanga!$A$3:$Y$463,7,TRUE)</f>
        <v>223.72389017095196</v>
      </c>
    </row>
    <row r="713" spans="1:7" s="28" customFormat="1" ht="19.5" x14ac:dyDescent="0.3">
      <c r="A713" s="39" t="str">
        <f ca="1">VLOOKUP(A708,Panchanga!$A$3:$Y$463,9,TRUE) &amp; " "&amp;ROUND(A712/13.333,2)</f>
        <v>Purva Phalguni 10.58</v>
      </c>
      <c r="B713" s="32" t="str">
        <f ca="1">VLOOKUP(B708,Panchanga!$A$3:$Y$463,9,TRUE) &amp; " "&amp;ROUND(B712/13.333,2)</f>
        <v>Uttara Phalguni 11.66</v>
      </c>
      <c r="C713" s="32" t="str">
        <f ca="1">VLOOKUP(C708,Panchanga!$A$3:$Y$463,9,TRUE) &amp; " "&amp;ROUND(C712/13.333,2)</f>
        <v>Hasta 12.73</v>
      </c>
      <c r="D713" s="32" t="str">
        <f ca="1">VLOOKUP(D708,Panchanga!$A$3:$Y$463,9,TRUE) &amp; " "&amp;ROUND(D712/13.333,2)</f>
        <v>Chitra 13.78</v>
      </c>
      <c r="E713" s="32" t="str">
        <f ca="1">VLOOKUP(E708,Panchanga!$A$3:$Y$463,9,TRUE) &amp; " "&amp;ROUND(E712/13.333,2)</f>
        <v>Swati 14.81</v>
      </c>
      <c r="F713" s="32" t="str">
        <f ca="1">VLOOKUP(F708,Panchanga!$A$3:$Y$463,9,TRUE) &amp; " "&amp;ROUND(F712/13.333,2)</f>
        <v>Visakha 15.81</v>
      </c>
      <c r="G713" s="46" t="str">
        <f ca="1">VLOOKUP(G708,Panchanga!$A$3:$Y$463,9,TRUE) &amp; " "&amp;ROUND(G712/13.333,2)</f>
        <v>Anuradha 16.78</v>
      </c>
    </row>
    <row r="714" spans="1:7" s="28" customFormat="1" ht="19.5" x14ac:dyDescent="0.3">
      <c r="A714" s="40">
        <f ca="1">VLOOKUP(A708,Panchanga!$A$3:$Y$463,10,TRUE)</f>
        <v>43380.638235162878</v>
      </c>
      <c r="B714" s="34">
        <f ca="1">VLOOKUP(B708,Panchanga!$A$3:$Y$463,10,TRUE)</f>
        <v>43381.566170686216</v>
      </c>
      <c r="C714" s="34">
        <f ca="1">VLOOKUP(C708,Panchanga!$A$3:$Y$463,10,TRUE)</f>
        <v>43382.504978268676</v>
      </c>
      <c r="D714" s="34">
        <f ca="1">VLOOKUP(D708,Panchanga!$A$3:$Y$463,10,TRUE)</f>
        <v>43383.460849562187</v>
      </c>
      <c r="E714" s="34">
        <f ca="1">VLOOKUP(E708,Panchanga!$A$3:$Y$463,10,TRUE)</f>
        <v>43384.43980677236</v>
      </c>
      <c r="F714" s="34">
        <f ca="1">VLOOKUP(F708,Panchanga!$A$3:$Y$463,10,TRUE)</f>
        <v>43385.446833589776</v>
      </c>
      <c r="G714" s="47">
        <f ca="1">VLOOKUP(G708,Panchanga!$A$3:$Y$463,10,TRUE)</f>
        <v>43386.484849344029</v>
      </c>
    </row>
    <row r="715" spans="1:7" s="28" customFormat="1" ht="19.5" x14ac:dyDescent="0.3">
      <c r="A715" s="38" t="str">
        <f ca="1">VLOOKUP(A708,Panchanga!$A$3:$Y$463,11,TRUE)</f>
        <v>K13 (27.62)</v>
      </c>
      <c r="B715" s="30" t="str">
        <f ca="1">VLOOKUP(B708,Panchanga!$A$3:$Y$463,11,TRUE)</f>
        <v>K14 (28.74)</v>
      </c>
      <c r="C715" s="30" t="str">
        <f ca="1">VLOOKUP(C708,Panchanga!$A$3:$Y$463,11,TRUE)</f>
        <v>K15 (29.85)</v>
      </c>
      <c r="D715" s="30" t="str">
        <f ca="1">VLOOKUP(D708,Panchanga!$A$3:$Y$463,11,TRUE)</f>
        <v>S1 (0.94)</v>
      </c>
      <c r="E715" s="30" t="str">
        <f ca="1">VLOOKUP(E708,Panchanga!$A$3:$Y$463,11,TRUE)</f>
        <v>S2 (2)</v>
      </c>
      <c r="F715" s="30" t="str">
        <f ca="1">VLOOKUP(F708,Panchanga!$A$3:$Y$463,11,TRUE)</f>
        <v>S4 (3.02)</v>
      </c>
      <c r="G715" s="45" t="str">
        <f ca="1">VLOOKUP(G708,Panchanga!$A$3:$Y$463,11,TRUE)</f>
        <v>S5 (4.02)</v>
      </c>
    </row>
    <row r="716" spans="1:7" s="28" customFormat="1" ht="19.5" x14ac:dyDescent="0.3">
      <c r="A716" s="41" t="str">
        <f ca="1">VLOOKUP(A708,Panchanga!$A$3:$Y$463,13,TRUE)</f>
        <v>Vanija</v>
      </c>
      <c r="B716" s="36" t="str">
        <f ca="1">VLOOKUP(B708,Panchanga!$A$3:$Y$463,13,TRUE)</f>
        <v>Shakuni</v>
      </c>
      <c r="C716" s="36" t="str">
        <f ca="1">VLOOKUP(C708,Panchanga!$A$3:$Y$463,13,TRUE)</f>
        <v>Naaga</v>
      </c>
      <c r="D716" s="36" t="str">
        <f ca="1">VLOOKUP(D708,Panchanga!$A$3:$Y$463,13,TRUE)</f>
        <v>Bhava</v>
      </c>
      <c r="E716" s="36" t="str">
        <f ca="1">VLOOKUP(E708,Panchanga!$A$3:$Y$463,13,TRUE)</f>
        <v>Kaulava</v>
      </c>
      <c r="F716" s="36" t="str">
        <f ca="1">VLOOKUP(F708,Panchanga!$A$3:$Y$463,13,TRUE)</f>
        <v>Vanija</v>
      </c>
      <c r="G716" s="48" t="str">
        <f ca="1">VLOOKUP(G708,Panchanga!$A$3:$Y$463,13,TRUE)</f>
        <v>Bhava</v>
      </c>
    </row>
    <row r="717" spans="1:7" s="28" customFormat="1" ht="19.5" x14ac:dyDescent="0.3">
      <c r="A717" s="41" t="str">
        <f ca="1">VLOOKUP(A708,Panchanga!$A$3:$Y$463,14,TRUE)</f>
        <v>Shukla-शुक्ल-Mo (23.3)</v>
      </c>
      <c r="B717" s="36" t="str">
        <f ca="1">VLOOKUP(B708,Panchanga!$A$3:$Y$463,14,TRUE)</f>
        <v>Brahma-ब्रह्म-Ma (24.46)</v>
      </c>
      <c r="C717" s="36" t="str">
        <f ca="1">VLOOKUP(C708,Panchanga!$A$3:$Y$463,14,TRUE)</f>
        <v>Mahendra-महेन्द्र-Ra (25.6)</v>
      </c>
      <c r="D717" s="36" t="str">
        <f ca="1">VLOOKUP(D708,Panchanga!$A$3:$Y$463,14,TRUE)</f>
        <v>Vaidhriti-वैधृति-Ke (26.73)</v>
      </c>
      <c r="E717" s="36" t="str">
        <f ca="1">VLOOKUP(E708,Panchanga!$A$3:$Y$463,14,TRUE)</f>
        <v>Vishkambha-विष्कम्भ-Sa (0.83)</v>
      </c>
      <c r="F717" s="36" t="str">
        <f ca="1">VLOOKUP(F708,Panchanga!$A$3:$Y$463,14,TRUE)</f>
        <v>Priti-प्रीति-Me (1.9)</v>
      </c>
      <c r="G717" s="48" t="str">
        <f ca="1">VLOOKUP(G708,Panchanga!$A$3:$Y$463,14,TRUE)</f>
        <v>Ayushman-आयुष्मान-Ke (2.95)</v>
      </c>
    </row>
    <row r="718" spans="1:7" s="28" customFormat="1" ht="19.5" x14ac:dyDescent="0.3">
      <c r="A718" s="63" t="str">
        <f ca="1">VLOOKUP(A708,Panchanga!$A$3:$Y$463,18,TRUE)</f>
        <v>10Ma,7Me,7Ju,-7Ve,9Sa,4Ra</v>
      </c>
      <c r="B718" s="64" t="str">
        <f ca="1">VLOOKUP(B708,Panchanga!$A$3:$Y$463,18,TRUE)</f>
        <v>10Ma,7Me,7Ju,-7Ve,9Sa,4Ra</v>
      </c>
      <c r="C718" s="64" t="str">
        <f ca="1">VLOOKUP(C708,Panchanga!$A$3:$Y$463,18,TRUE)</f>
        <v>10Ma,7Me,7Ju,-7Ve,9Sa,4Ra</v>
      </c>
      <c r="D718" s="64" t="str">
        <f ca="1">VLOOKUP(D708,Panchanga!$A$3:$Y$463,18,TRUE)</f>
        <v>10Ma,7Me,7Ju,-7Ve,9Sa,4Ra</v>
      </c>
      <c r="E718" s="64" t="str">
        <f ca="1">VLOOKUP(E708,Panchanga!$A$3:$Y$463,18,TRUE)</f>
        <v>10Ma,7Me,7Ju,-7Ve,9Sa,4Ra</v>
      </c>
      <c r="F718" s="64" t="str">
        <f ca="1">VLOOKUP(F708,Panchanga!$A$3:$Y$463,18,TRUE)</f>
        <v>10Ma,7Me,8Ju,-7Ve,9Sa,4Ra</v>
      </c>
      <c r="G718" s="65" t="str">
        <f ca="1">VLOOKUP(G708,Panchanga!$A$3:$Y$463,18,TRUE)</f>
        <v>10Ma,7Me,8Ju,-7Ve,9Sa,4Ra</v>
      </c>
    </row>
    <row r="719" spans="1:7" ht="5.85" customHeight="1" thickBot="1" x14ac:dyDescent="0.4">
      <c r="A719" s="42"/>
      <c r="B719" s="16"/>
      <c r="C719" s="16"/>
      <c r="D719" s="16"/>
      <c r="E719" s="16"/>
      <c r="F719" s="16"/>
      <c r="G719" s="49"/>
    </row>
    <row r="720" spans="1:7" s="18" customFormat="1" ht="27.75" x14ac:dyDescent="0.4">
      <c r="A720" s="43">
        <f ca="1">G708+1</f>
        <v>43387</v>
      </c>
      <c r="B720" s="19">
        <f t="shared" ref="B720:G720" ca="1" si="47">A720+1</f>
        <v>43388</v>
      </c>
      <c r="C720" s="19">
        <f t="shared" ca="1" si="47"/>
        <v>43389</v>
      </c>
      <c r="D720" s="19">
        <f t="shared" ca="1" si="47"/>
        <v>43390</v>
      </c>
      <c r="E720" s="19">
        <f t="shared" ca="1" si="47"/>
        <v>43391</v>
      </c>
      <c r="F720" s="19">
        <f t="shared" ca="1" si="47"/>
        <v>43392</v>
      </c>
      <c r="G720" s="50">
        <f t="shared" ca="1" si="47"/>
        <v>43393</v>
      </c>
    </row>
    <row r="721" spans="1:7" s="28" customFormat="1" ht="19.5" x14ac:dyDescent="0.3">
      <c r="A721" s="37">
        <f ca="1">VLOOKUP(A720,Panchanga!$A$3:$Y$463,3,TRUE)</f>
        <v>43387.250677473065</v>
      </c>
      <c r="B721" s="27">
        <f ca="1">VLOOKUP(B720,Panchanga!$A$3:$Y$463,3,TRUE)</f>
        <v>43388.250767912868</v>
      </c>
      <c r="C721" s="27">
        <f ca="1">VLOOKUP(C720,Panchanga!$A$3:$Y$463,3,TRUE)</f>
        <v>43389.250863598347</v>
      </c>
      <c r="D721" s="27">
        <f ca="1">VLOOKUP(D720,Panchanga!$A$3:$Y$463,3,TRUE)</f>
        <v>43390.250964687824</v>
      </c>
      <c r="E721" s="27">
        <f ca="1">VLOOKUP(E720,Panchanga!$A$3:$Y$463,3,TRUE)</f>
        <v>43391.251071499348</v>
      </c>
      <c r="F721" s="27">
        <f ca="1">VLOOKUP(F720,Panchanga!$A$3:$Y$463,3,TRUE)</f>
        <v>43392.251183874127</v>
      </c>
      <c r="G721" s="44">
        <f ca="1">VLOOKUP(G720,Panchanga!$A$3:$Y$463,3,TRUE)</f>
        <v>43393.251301970486</v>
      </c>
    </row>
    <row r="722" spans="1:7" s="28" customFormat="1" ht="19.5" x14ac:dyDescent="0.3">
      <c r="A722" s="37">
        <f ca="1">VLOOKUP(A720,Panchanga!$A$3:$Y$463,4,TRUE)</f>
        <v>43386.743624031587</v>
      </c>
      <c r="B722" s="27">
        <f ca="1">VLOOKUP(B720,Panchanga!$A$3:$Y$463,4,TRUE)</f>
        <v>43387.743210136934</v>
      </c>
      <c r="C722" s="27">
        <f ca="1">VLOOKUP(C720,Panchanga!$A$3:$Y$463,4,TRUE)</f>
        <v>43388.742803394838</v>
      </c>
      <c r="D722" s="27">
        <f ca="1">VLOOKUP(D720,Panchanga!$A$3:$Y$463,4,TRUE)</f>
        <v>43389.742403964556</v>
      </c>
      <c r="E722" s="27">
        <f ca="1">VLOOKUP(E720,Panchanga!$A$3:$Y$463,4,TRUE)</f>
        <v>43390.742012004412</v>
      </c>
      <c r="F722" s="27">
        <f ca="1">VLOOKUP(F720,Panchanga!$A$3:$Y$463,4,TRUE)</f>
        <v>43391.741627991243</v>
      </c>
      <c r="G722" s="44">
        <f ca="1">VLOOKUP(G720,Panchanga!$A$3:$Y$463,4,TRUE)</f>
        <v>43392.741251925981</v>
      </c>
    </row>
    <row r="723" spans="1:7" s="28" customFormat="1" ht="19.5" x14ac:dyDescent="0.3">
      <c r="A723" s="38">
        <f ca="1">VLOOKUP(A720,Panchanga!$A$3:$Y$463,6,TRUE)</f>
        <v>176.50060922104362</v>
      </c>
      <c r="B723" s="30">
        <f ca="1">VLOOKUP(B720,Panchanga!$A$3:$Y$463,6,TRUE)</f>
        <v>177.4914059553706</v>
      </c>
      <c r="C723" s="30">
        <f ca="1">VLOOKUP(C720,Panchanga!$A$3:$Y$463,6,TRUE)</f>
        <v>178.48270174271136</v>
      </c>
      <c r="D723" s="30">
        <f ca="1">VLOOKUP(D720,Panchanga!$A$3:$Y$463,6,TRUE)</f>
        <v>179.47449351587343</v>
      </c>
      <c r="E723" s="30">
        <f ca="1">VLOOKUP(E720,Panchanga!$A$3:$Y$463,6,TRUE)</f>
        <v>180.46678047682622</v>
      </c>
      <c r="F723" s="30">
        <f ca="1">VLOOKUP(F720,Panchanga!$A$3:$Y$463,6,TRUE)</f>
        <v>181.45956324703434</v>
      </c>
      <c r="G723" s="45">
        <f ca="1">VLOOKUP(G720,Panchanga!$A$3:$Y$463,6,TRUE)</f>
        <v>182.45284460975563</v>
      </c>
    </row>
    <row r="724" spans="1:7" s="28" customFormat="1" ht="19.5" x14ac:dyDescent="0.3">
      <c r="A724" s="38">
        <f ca="1">VLOOKUP(A720,Panchanga!$A$3:$Y$463,7,TRUE)</f>
        <v>236.28712135960455</v>
      </c>
      <c r="B724" s="30">
        <f ca="1">VLOOKUP(B720,Panchanga!$A$3:$Y$463,7,TRUE)</f>
        <v>248.53755609559477</v>
      </c>
      <c r="C724" s="30">
        <f ca="1">VLOOKUP(C720,Panchanga!$A$3:$Y$463,7,TRUE)</f>
        <v>260.54887650336877</v>
      </c>
      <c r="D724" s="30">
        <f ca="1">VLOOKUP(D720,Panchanga!$A$3:$Y$463,7,TRUE)</f>
        <v>272.40778269100753</v>
      </c>
      <c r="E724" s="30">
        <f ca="1">VLOOKUP(E720,Panchanga!$A$3:$Y$463,7,TRUE)</f>
        <v>284.20664016326265</v>
      </c>
      <c r="F724" s="30">
        <f ca="1">VLOOKUP(F720,Panchanga!$A$3:$Y$463,7,TRUE)</f>
        <v>296.03728145804877</v>
      </c>
      <c r="G724" s="45">
        <f ca="1">VLOOKUP(G720,Panchanga!$A$3:$Y$463,7,TRUE)</f>
        <v>307.98562936272663</v>
      </c>
    </row>
    <row r="725" spans="1:7" s="28" customFormat="1" ht="19.5" x14ac:dyDescent="0.3">
      <c r="A725" s="39" t="str">
        <f ca="1">VLOOKUP(A720,Panchanga!$A$3:$Y$463,9,TRUE) &amp; " "&amp;ROUND(A724/13.333,2)</f>
        <v>Jyestha 17.72</v>
      </c>
      <c r="B725" s="32" t="str">
        <f ca="1">VLOOKUP(B720,Panchanga!$A$3:$Y$463,9,TRUE) &amp; " "&amp;ROUND(B724/13.333,2)</f>
        <v>Moola 18.64</v>
      </c>
      <c r="C725" s="32" t="str">
        <f ca="1">VLOOKUP(C720,Panchanga!$A$3:$Y$463,9,TRUE) &amp; " "&amp;ROUND(C724/13.333,2)</f>
        <v>Purva Asadha 19.54</v>
      </c>
      <c r="D725" s="32" t="str">
        <f ca="1">VLOOKUP(D720,Panchanga!$A$3:$Y$463,9,TRUE) &amp; " "&amp;ROUND(D724/13.333,2)</f>
        <v>Uttara Asadha 20.43</v>
      </c>
      <c r="E725" s="32" t="str">
        <f ca="1">VLOOKUP(E720,Panchanga!$A$3:$Y$463,9,TRUE) &amp; " "&amp;ROUND(E724/13.333,2)</f>
        <v>Sravana 21.32</v>
      </c>
      <c r="F725" s="32" t="str">
        <f ca="1">VLOOKUP(F720,Panchanga!$A$3:$Y$463,9,TRUE) &amp; " "&amp;ROUND(F724/13.333,2)</f>
        <v>Dhanistha 22.2</v>
      </c>
      <c r="G725" s="46" t="str">
        <f ca="1">VLOOKUP(G720,Panchanga!$A$3:$Y$463,9,TRUE) &amp; " "&amp;ROUND(G724/13.333,2)</f>
        <v>Satabhisaj 23.1</v>
      </c>
    </row>
    <row r="726" spans="1:7" s="28" customFormat="1" ht="19.5" x14ac:dyDescent="0.3">
      <c r="A726" s="40">
        <f ca="1">VLOOKUP(A720,Panchanga!$A$3:$Y$463,10,TRUE)</f>
        <v>43387.553786261647</v>
      </c>
      <c r="B726" s="34">
        <f ca="1">VLOOKUP(B720,Panchanga!$A$3:$Y$463,10,TRUE)</f>
        <v>43388.650077560866</v>
      </c>
      <c r="C726" s="34">
        <f ca="1">VLOOKUP(C720,Panchanga!$A$3:$Y$463,10,TRUE)</f>
        <v>43389.766797235963</v>
      </c>
      <c r="D726" s="34">
        <f ca="1">VLOOKUP(D720,Panchanga!$A$3:$Y$463,10,TRUE)</f>
        <v>43390.894503968062</v>
      </c>
      <c r="E726" s="34">
        <f ca="1">VLOOKUP(E720,Panchanga!$A$3:$Y$463,10,TRUE)</f>
        <v>43392.022603536599</v>
      </c>
      <c r="F726" s="34">
        <f ca="1">VLOOKUP(F720,Panchanga!$A$3:$Y$463,10,TRUE)</f>
        <v>43393.140900225299</v>
      </c>
      <c r="G726" s="47">
        <f ca="1">VLOOKUP(G720,Panchanga!$A$3:$Y$463,10,TRUE)</f>
        <v>43394.241008366836</v>
      </c>
    </row>
    <row r="727" spans="1:7" s="28" customFormat="1" ht="19.5" x14ac:dyDescent="0.3">
      <c r="A727" s="38" t="str">
        <f ca="1">VLOOKUP(A720,Panchanga!$A$3:$Y$463,11,TRUE)</f>
        <v>S5 (4.98)</v>
      </c>
      <c r="B727" s="30" t="str">
        <f ca="1">VLOOKUP(B720,Panchanga!$A$3:$Y$463,11,TRUE)</f>
        <v>S6 (5.92)</v>
      </c>
      <c r="C727" s="30" t="str">
        <f ca="1">VLOOKUP(C720,Panchanga!$A$3:$Y$463,11,TRUE)</f>
        <v>S7 (6.84)</v>
      </c>
      <c r="D727" s="30" t="str">
        <f ca="1">VLOOKUP(D720,Panchanga!$A$3:$Y$463,11,TRUE)</f>
        <v>S8 (7.74)</v>
      </c>
      <c r="E727" s="30" t="str">
        <f ca="1">VLOOKUP(E720,Panchanga!$A$3:$Y$463,11,TRUE)</f>
        <v>S9 (8.65)</v>
      </c>
      <c r="F727" s="30" t="str">
        <f ca="1">VLOOKUP(F720,Panchanga!$A$3:$Y$463,11,TRUE)</f>
        <v>S10 (9.55)</v>
      </c>
      <c r="G727" s="45" t="str">
        <f ca="1">VLOOKUP(G720,Panchanga!$A$3:$Y$463,11,TRUE)</f>
        <v>S11 (10.46)</v>
      </c>
    </row>
    <row r="728" spans="1:7" s="28" customFormat="1" ht="19.5" x14ac:dyDescent="0.3">
      <c r="A728" s="41" t="str">
        <f ca="1">VLOOKUP(A720,Panchanga!$A$3:$Y$463,13,TRUE)</f>
        <v>Baalava</v>
      </c>
      <c r="B728" s="36" t="str">
        <f ca="1">VLOOKUP(B720,Panchanga!$A$3:$Y$463,13,TRUE)</f>
        <v>Taitula</v>
      </c>
      <c r="C728" s="36" t="str">
        <f ca="1">VLOOKUP(C720,Panchanga!$A$3:$Y$463,13,TRUE)</f>
        <v>Vanija</v>
      </c>
      <c r="D728" s="36" t="str">
        <f ca="1">VLOOKUP(D720,Panchanga!$A$3:$Y$463,13,TRUE)</f>
        <v>Bhava</v>
      </c>
      <c r="E728" s="36" t="str">
        <f ca="1">VLOOKUP(E720,Panchanga!$A$3:$Y$463,13,TRUE)</f>
        <v>Kaulava</v>
      </c>
      <c r="F728" s="36" t="str">
        <f ca="1">VLOOKUP(F720,Panchanga!$A$3:$Y$463,13,TRUE)</f>
        <v>Garija</v>
      </c>
      <c r="G728" s="48" t="str">
        <f ca="1">VLOOKUP(G720,Panchanga!$A$3:$Y$463,13,TRUE)</f>
        <v>Vanija</v>
      </c>
    </row>
    <row r="729" spans="1:7" s="28" customFormat="1" ht="19.5" x14ac:dyDescent="0.3">
      <c r="A729" s="41" t="str">
        <f ca="1">VLOOKUP(A720,Panchanga!$A$3:$Y$463,14,TRUE)</f>
        <v>Saubhagya-सौभाग्य-Ve (3.96)</v>
      </c>
      <c r="B729" s="36" t="str">
        <f ca="1">VLOOKUP(B720,Panchanga!$A$3:$Y$463,14,TRUE)</f>
        <v>Shobhana-शोभन-Su (4.96)</v>
      </c>
      <c r="C729" s="36" t="str">
        <f ca="1">VLOOKUP(C720,Panchanga!$A$3:$Y$463,14,TRUE)</f>
        <v>Atiganda-अतिगण्ड -Mo (5.93)</v>
      </c>
      <c r="D729" s="36" t="str">
        <f ca="1">VLOOKUP(D720,Panchanga!$A$3:$Y$463,14,TRUE)</f>
        <v>Sukarman-सुकर्मा -Ma (6.9)</v>
      </c>
      <c r="E729" s="36" t="str">
        <f ca="1">VLOOKUP(E720,Panchanga!$A$3:$Y$463,14,TRUE)</f>
        <v>Dhriti-धृति -Ra (7.86)</v>
      </c>
      <c r="F729" s="36" t="str">
        <f ca="1">VLOOKUP(F720,Panchanga!$A$3:$Y$463,14,TRUE)</f>
        <v>Shula-शूल -Ju (8.82)</v>
      </c>
      <c r="G729" s="48" t="str">
        <f ca="1">VLOOKUP(G720,Panchanga!$A$3:$Y$463,14,TRUE)</f>
        <v>Ganda-गण्ड -Sa (9.79)</v>
      </c>
    </row>
    <row r="730" spans="1:7" s="28" customFormat="1" ht="19.5" x14ac:dyDescent="0.3">
      <c r="A730" s="63" t="str">
        <f ca="1">VLOOKUP(A720,Panchanga!$A$3:$Y$463,18,TRUE)</f>
        <v>10Ma,7Me,8Ju,-7Ve,9Sa,4Ra</v>
      </c>
      <c r="B730" s="64" t="str">
        <f ca="1">VLOOKUP(B720,Panchanga!$A$3:$Y$463,18,TRUE)</f>
        <v>10Ma,7Me,8Ju,-7Ve,9Sa,4Ra</v>
      </c>
      <c r="C730" s="64" t="str">
        <f ca="1">VLOOKUP(C720,Panchanga!$A$3:$Y$463,18,TRUE)</f>
        <v>10Ma,7Me,8Ju,-7Ve,9Sa,4Ra</v>
      </c>
      <c r="D730" s="64" t="str">
        <f ca="1">VLOOKUP(D720,Panchanga!$A$3:$Y$463,18,TRUE)</f>
        <v>10Ma,7Me,8Ju,-7Ve,9Sa,4Ra</v>
      </c>
      <c r="E730" s="64" t="str">
        <f ca="1">VLOOKUP(E720,Panchanga!$A$3:$Y$463,18,TRUE)</f>
        <v>10Ma,7Me,8Ju,-7Ve,9Sa,4Ra</v>
      </c>
      <c r="F730" s="64" t="str">
        <f ca="1">VLOOKUP(F720,Panchanga!$A$3:$Y$463,18,TRUE)</f>
        <v>10Ma,7Me,8Ju,-7Ve,9Sa,4Ra</v>
      </c>
      <c r="G730" s="65" t="str">
        <f ca="1">VLOOKUP(G720,Panchanga!$A$3:$Y$463,18,TRUE)</f>
        <v>10Ma,7Me,8Ju,-7Ve,9Sa,4Ra</v>
      </c>
    </row>
    <row r="731" spans="1:7" ht="5.85" customHeight="1" thickBot="1" x14ac:dyDescent="0.4">
      <c r="A731" s="42"/>
      <c r="B731" s="16"/>
      <c r="C731" s="16"/>
      <c r="D731" s="16"/>
      <c r="E731" s="16"/>
      <c r="F731" s="16"/>
      <c r="G731" s="49"/>
    </row>
    <row r="732" spans="1:7" s="51" customFormat="1" ht="37.5" x14ac:dyDescent="0.5">
      <c r="A732" s="52">
        <f ca="1">G720+1</f>
        <v>43394</v>
      </c>
      <c r="B732" s="53">
        <f t="shared" ref="B732:G732" ca="1" si="48">A732+1</f>
        <v>43395</v>
      </c>
      <c r="C732" s="53">
        <f t="shared" ca="1" si="48"/>
        <v>43396</v>
      </c>
      <c r="D732" s="53">
        <f t="shared" ca="1" si="48"/>
        <v>43397</v>
      </c>
      <c r="E732" s="53">
        <f t="shared" ca="1" si="48"/>
        <v>43398</v>
      </c>
      <c r="F732" s="53">
        <f t="shared" ca="1" si="48"/>
        <v>43399</v>
      </c>
      <c r="G732" s="54">
        <f t="shared" ca="1" si="48"/>
        <v>43400</v>
      </c>
    </row>
    <row r="733" spans="1:7" s="28" customFormat="1" ht="19.5" x14ac:dyDescent="0.3">
      <c r="A733" s="37">
        <f ca="1">VLOOKUP(A732,Panchanga!$A$3:$Y$463,3,TRUE)</f>
        <v>43394.251426266193</v>
      </c>
      <c r="B733" s="27">
        <f ca="1">VLOOKUP(B732,Panchanga!$A$3:$Y$463,3,TRUE)</f>
        <v>43395.251556601528</v>
      </c>
      <c r="C733" s="27">
        <f ca="1">VLOOKUP(C732,Panchanga!$A$3:$Y$463,3,TRUE)</f>
        <v>43396.251693136212</v>
      </c>
      <c r="D733" s="27">
        <f ca="1">VLOOKUP(D732,Panchanga!$A$3:$Y$463,3,TRUE)</f>
        <v>43397.251836187359</v>
      </c>
      <c r="E733" s="27">
        <f ca="1">VLOOKUP(E732,Panchanga!$A$3:$Y$463,3,TRUE)</f>
        <v>43398.251985754971</v>
      </c>
      <c r="F733" s="27">
        <f ca="1">VLOOKUP(F732,Panchanga!$A$3:$Y$463,3,TRUE)</f>
        <v>43399.252142157558</v>
      </c>
      <c r="G733" s="44">
        <f ca="1">VLOOKUP(G732,Panchanga!$A$3:$Y$463,3,TRUE)</f>
        <v>43400.252305235867</v>
      </c>
    </row>
    <row r="734" spans="1:7" s="28" customFormat="1" ht="19.5" x14ac:dyDescent="0.3">
      <c r="A734" s="37">
        <f ca="1">VLOOKUP(A732,Panchanga!$A$3:$Y$463,4,TRUE)</f>
        <v>43393.740884284533</v>
      </c>
      <c r="B734" s="27">
        <f ca="1">VLOOKUP(B732,Panchanga!$A$3:$Y$463,4,TRUE)</f>
        <v>43394.740525384943</v>
      </c>
      <c r="C734" s="27">
        <f ca="1">VLOOKUP(C732,Panchanga!$A$3:$Y$463,4,TRUE)</f>
        <v>43395.740175227678</v>
      </c>
      <c r="D734" s="27">
        <f ca="1">VLOOKUP(D732,Panchanga!$A$3:$Y$463,4,TRUE)</f>
        <v>43396.739834129854</v>
      </c>
      <c r="E734" s="27">
        <f ca="1">VLOOKUP(E732,Panchanga!$A$3:$Y$463,4,TRUE)</f>
        <v>43397.739502569239</v>
      </c>
      <c r="F734" s="27">
        <f ca="1">VLOOKUP(F732,Panchanga!$A$3:$Y$463,4,TRUE)</f>
        <v>43398.739180862947</v>
      </c>
      <c r="G734" s="44">
        <f ca="1">VLOOKUP(G732,Panchanga!$A$3:$Y$463,4,TRUE)</f>
        <v>43399.738868852655</v>
      </c>
    </row>
    <row r="735" spans="1:7" s="28" customFormat="1" ht="19.5" x14ac:dyDescent="0.3">
      <c r="A735" s="38">
        <f ca="1">VLOOKUP(A732,Panchanga!$A$3:$Y$463,6,TRUE)</f>
        <v>183.44662963286714</v>
      </c>
      <c r="B735" s="30">
        <f ca="1">VLOOKUP(B732,Panchanga!$A$3:$Y$463,6,TRUE)</f>
        <v>184.44092491448924</v>
      </c>
      <c r="C735" s="30">
        <f ca="1">VLOOKUP(C732,Panchanga!$A$3:$Y$463,6,TRUE)</f>
        <v>185.43573968607126</v>
      </c>
      <c r="D735" s="30">
        <f ca="1">VLOOKUP(D732,Panchanga!$A$3:$Y$463,6,TRUE)</f>
        <v>186.43108562130658</v>
      </c>
      <c r="E735" s="30">
        <f ca="1">VLOOKUP(E732,Panchanga!$A$3:$Y$463,6,TRUE)</f>
        <v>187.42697606835429</v>
      </c>
      <c r="F735" s="30">
        <f ca="1">VLOOKUP(F732,Panchanga!$A$3:$Y$463,6,TRUE)</f>
        <v>188.42342609283898</v>
      </c>
      <c r="G735" s="45">
        <f ca="1">VLOOKUP(G732,Panchanga!$A$3:$Y$463,6,TRUE)</f>
        <v>189.42045085011435</v>
      </c>
    </row>
    <row r="736" spans="1:7" s="28" customFormat="1" ht="19.5" x14ac:dyDescent="0.3">
      <c r="A736" s="38">
        <f ca="1">VLOOKUP(A732,Panchanga!$A$3:$Y$463,7,TRUE)</f>
        <v>320.12646629806648</v>
      </c>
      <c r="B736" s="30">
        <f ca="1">VLOOKUP(B732,Panchanga!$A$3:$Y$463,7,TRUE)</f>
        <v>332.51809843162255</v>
      </c>
      <c r="C736" s="30">
        <f ca="1">VLOOKUP(C732,Panchanga!$A$3:$Y$463,7,TRUE)</f>
        <v>345.19750773579193</v>
      </c>
      <c r="D736" s="30">
        <f ca="1">VLOOKUP(D732,Panchanga!$A$3:$Y$463,7,TRUE)</f>
        <v>358.17710434310777</v>
      </c>
      <c r="E736" s="30">
        <f ca="1">VLOOKUP(E732,Panchanga!$A$3:$Y$463,7,TRUE)</f>
        <v>11.444295558156478</v>
      </c>
      <c r="F736" s="30">
        <f ca="1">VLOOKUP(F732,Panchanga!$A$3:$Y$463,7,TRUE)</f>
        <v>24.964717863473005</v>
      </c>
      <c r="G736" s="45">
        <f ca="1">VLOOKUP(G732,Panchanga!$A$3:$Y$463,7,TRUE)</f>
        <v>38.68916621486526</v>
      </c>
    </row>
    <row r="737" spans="1:7" s="28" customFormat="1" ht="19.5" x14ac:dyDescent="0.3">
      <c r="A737" s="39" t="str">
        <f ca="1">VLOOKUP(A732,Panchanga!$A$3:$Y$463,9,TRUE) &amp; " "&amp;ROUND(A736/13.333,2)</f>
        <v>Purva Bhadrapada 24.01</v>
      </c>
      <c r="B737" s="32" t="str">
        <f ca="1">VLOOKUP(B732,Panchanga!$A$3:$Y$463,9,TRUE) &amp; " "&amp;ROUND(B736/13.333,2)</f>
        <v>Purva Bhadrapada 24.94</v>
      </c>
      <c r="C737" s="32" t="str">
        <f ca="1">VLOOKUP(C732,Panchanga!$A$3:$Y$463,9,TRUE) &amp; " "&amp;ROUND(C736/13.333,2)</f>
        <v>Uttara Bhadrapada 25.89</v>
      </c>
      <c r="D737" s="32" t="str">
        <f ca="1">VLOOKUP(D732,Panchanga!$A$3:$Y$463,9,TRUE) &amp; " "&amp;ROUND(D736/13.333,2)</f>
        <v>Revati 26.86</v>
      </c>
      <c r="E737" s="32" t="str">
        <f ca="1">VLOOKUP(E732,Panchanga!$A$3:$Y$463,9,TRUE) &amp; " "&amp;ROUND(E736/13.333,2)</f>
        <v>Aswini 0.86</v>
      </c>
      <c r="F737" s="32" t="str">
        <f ca="1">VLOOKUP(F732,Panchanga!$A$3:$Y$463,9,TRUE) &amp; " "&amp;ROUND(F736/13.333,2)</f>
        <v>Bharani 1.87</v>
      </c>
      <c r="G737" s="46" t="str">
        <f ca="1">VLOOKUP(G732,Panchanga!$A$3:$Y$463,9,TRUE) &amp; " "&amp;ROUND(G736/13.333,2)</f>
        <v>Krittika 2.9</v>
      </c>
    </row>
    <row r="738" spans="1:7" s="28" customFormat="1" ht="19.5" x14ac:dyDescent="0.3">
      <c r="A738" s="40">
        <f ca="1">VLOOKUP(A732,Panchanga!$A$3:$Y$463,10,TRUE)</f>
        <v>43395.317354322673</v>
      </c>
      <c r="B738" s="34">
        <f ca="1">VLOOKUP(B732,Panchanga!$A$3:$Y$463,10,TRUE)</f>
        <v>43395.315861348696</v>
      </c>
      <c r="C738" s="34">
        <f ca="1">VLOOKUP(C732,Panchanga!$A$3:$Y$463,10,TRUE)</f>
        <v>43396.364899204178</v>
      </c>
      <c r="D738" s="34">
        <f ca="1">VLOOKUP(D732,Panchanga!$A$3:$Y$463,10,TRUE)</f>
        <v>43397.24657805125</v>
      </c>
      <c r="E738" s="34">
        <f ca="1">VLOOKUP(E732,Panchanga!$A$3:$Y$463,10,TRUE)</f>
        <v>43398.391724971909</v>
      </c>
      <c r="F738" s="34">
        <f ca="1">VLOOKUP(F732,Panchanga!$A$3:$Y$463,10,TRUE)</f>
        <v>43399.376170920725</v>
      </c>
      <c r="G738" s="47">
        <f ca="1">VLOOKUP(G732,Panchanga!$A$3:$Y$463,10,TRUE)</f>
        <v>43400.346802810716</v>
      </c>
    </row>
    <row r="739" spans="1:7" s="28" customFormat="1" ht="19.5" x14ac:dyDescent="0.3">
      <c r="A739" s="38" t="str">
        <f ca="1">VLOOKUP(A732,Panchanga!$A$3:$Y$463,11,TRUE)</f>
        <v>S12 (11.39)</v>
      </c>
      <c r="B739" s="30" t="str">
        <f ca="1">VLOOKUP(B732,Panchanga!$A$3:$Y$463,11,TRUE)</f>
        <v>S13 (12.34)</v>
      </c>
      <c r="C739" s="30" t="str">
        <f ca="1">VLOOKUP(C732,Panchanga!$A$3:$Y$463,11,TRUE)</f>
        <v>S14 (13.31)</v>
      </c>
      <c r="D739" s="30" t="str">
        <f ca="1">VLOOKUP(D732,Panchanga!$A$3:$Y$463,11,TRUE)</f>
        <v>S15 (14.31)</v>
      </c>
      <c r="E739" s="30" t="str">
        <f ca="1">VLOOKUP(E732,Panchanga!$A$3:$Y$463,11,TRUE)</f>
        <v>K1 (15.33)</v>
      </c>
      <c r="F739" s="30" t="str">
        <f ca="1">VLOOKUP(F732,Panchanga!$A$3:$Y$463,11,TRUE)</f>
        <v>K2 (16.38)</v>
      </c>
      <c r="G739" s="45" t="str">
        <f ca="1">VLOOKUP(G732,Panchanga!$A$3:$Y$463,11,TRUE)</f>
        <v>K3 (17.44)</v>
      </c>
    </row>
    <row r="740" spans="1:7" s="28" customFormat="1" ht="19.5" x14ac:dyDescent="0.3">
      <c r="A740" s="41" t="str">
        <f ca="1">VLOOKUP(A732,Panchanga!$A$3:$Y$463,13,TRUE)</f>
        <v>Bhava</v>
      </c>
      <c r="B740" s="36" t="str">
        <f ca="1">VLOOKUP(B732,Panchanga!$A$3:$Y$463,13,TRUE)</f>
        <v>Kaulava</v>
      </c>
      <c r="C740" s="36" t="str">
        <f ca="1">VLOOKUP(C732,Panchanga!$A$3:$Y$463,13,TRUE)</f>
        <v>Garija</v>
      </c>
      <c r="D740" s="36" t="str">
        <f ca="1">VLOOKUP(D732,Panchanga!$A$3:$Y$463,13,TRUE)</f>
        <v>Vishti</v>
      </c>
      <c r="E740" s="36" t="str">
        <f ca="1">VLOOKUP(E732,Panchanga!$A$3:$Y$463,13,TRUE)</f>
        <v>Baalava</v>
      </c>
      <c r="F740" s="36" t="str">
        <f ca="1">VLOOKUP(F732,Panchanga!$A$3:$Y$463,13,TRUE)</f>
        <v>Taitula</v>
      </c>
      <c r="G740" s="48" t="str">
        <f ca="1">VLOOKUP(G732,Panchanga!$A$3:$Y$463,13,TRUE)</f>
        <v>Vanija</v>
      </c>
    </row>
    <row r="741" spans="1:7" s="28" customFormat="1" ht="19.5" x14ac:dyDescent="0.3">
      <c r="A741" s="41" t="str">
        <f ca="1">VLOOKUP(A732,Panchanga!$A$3:$Y$463,14,TRUE)</f>
        <v>Vriddhi-वृद्धि -Me (10.77)</v>
      </c>
      <c r="B741" s="36" t="str">
        <f ca="1">VLOOKUP(B732,Panchanga!$A$3:$Y$463,14,TRUE)</f>
        <v>Dhruva-ध्रुव -Ke (11.78)</v>
      </c>
      <c r="C741" s="36" t="str">
        <f ca="1">VLOOKUP(C732,Panchanga!$A$3:$Y$463,14,TRUE)</f>
        <v>Vyaghata-व्याघात-ve (12.8)</v>
      </c>
      <c r="D741" s="36" t="str">
        <f ca="1">VLOOKUP(D732,Panchanga!$A$3:$Y$463,14,TRUE)</f>
        <v>Harshana-हर्षण-su (13.85)</v>
      </c>
      <c r="E741" s="36" t="str">
        <f ca="1">VLOOKUP(E732,Panchanga!$A$3:$Y$463,14,TRUE)</f>
        <v>Vajra-वज्र-Mo (14.92)</v>
      </c>
      <c r="F741" s="36" t="str">
        <f ca="1">VLOOKUP(F732,Panchanga!$A$3:$Y$463,14,TRUE)</f>
        <v>Vyatipata-व्यतिपात-Ra (16.01)</v>
      </c>
      <c r="G741" s="48" t="str">
        <f ca="1">VLOOKUP(G732,Panchanga!$A$3:$Y$463,14,TRUE)</f>
        <v>Varigha-वरीयस्-Ju (17.11)</v>
      </c>
    </row>
    <row r="742" spans="1:7" s="28" customFormat="1" ht="19.5" x14ac:dyDescent="0.3">
      <c r="A742" s="63" t="str">
        <f ca="1">VLOOKUP(A732,Panchanga!$A$3:$Y$463,18,TRUE)</f>
        <v>10Ma,7Me,8Ju,-7Ve,9Sa,4Ra</v>
      </c>
      <c r="B742" s="64" t="str">
        <f ca="1">VLOOKUP(B732,Panchanga!$A$3:$Y$463,18,TRUE)</f>
        <v>10Ma,7Me,8Ju,-7Ve,9Sa,4Ra</v>
      </c>
      <c r="C742" s="64" t="str">
        <f ca="1">VLOOKUP(C732,Panchanga!$A$3:$Y$463,18,TRUE)</f>
        <v>10Ma,7Me,8Ju,-7Ve,9Sa,4Ra</v>
      </c>
      <c r="D742" s="64" t="str">
        <f ca="1">VLOOKUP(D732,Panchanga!$A$3:$Y$463,18,TRUE)</f>
        <v>10Ma,7Me,8Ju,-7Ve,9Sa,4Ra</v>
      </c>
      <c r="E742" s="64" t="str">
        <f ca="1">VLOOKUP(E732,Panchanga!$A$3:$Y$463,18,TRUE)</f>
        <v>10Ma,7Me,8Ju,-7Ve,9Sa,4Ra</v>
      </c>
      <c r="F742" s="64" t="str">
        <f ca="1">VLOOKUP(F732,Panchanga!$A$3:$Y$463,18,TRUE)</f>
        <v>10Ma,7Me,8Ju,-7Ve,9Sa,4Ra</v>
      </c>
      <c r="G742" s="65" t="str">
        <f ca="1">VLOOKUP(G732,Panchanga!$A$3:$Y$463,18,TRUE)</f>
        <v>10Ma,8Me,8Ju,-7Ve,9Sa,4Ra</v>
      </c>
    </row>
    <row r="743" spans="1:7" ht="5.85" customHeight="1" thickBot="1" x14ac:dyDescent="0.4">
      <c r="A743" s="42"/>
      <c r="B743" s="16"/>
      <c r="C743" s="16"/>
      <c r="D743" s="16"/>
      <c r="E743" s="16"/>
      <c r="F743" s="16"/>
      <c r="G743" s="49"/>
    </row>
    <row r="744" spans="1:7" s="51" customFormat="1" ht="37.5" x14ac:dyDescent="0.5">
      <c r="A744" s="52">
        <f ca="1">G732+1</f>
        <v>43401</v>
      </c>
      <c r="B744" s="53">
        <f t="shared" ref="B744:G744" ca="1" si="49">A744+1</f>
        <v>43402</v>
      </c>
      <c r="C744" s="53">
        <f t="shared" ca="1" si="49"/>
        <v>43403</v>
      </c>
      <c r="D744" s="53">
        <f t="shared" ca="1" si="49"/>
        <v>43404</v>
      </c>
      <c r="E744" s="53">
        <f t="shared" ca="1" si="49"/>
        <v>43405</v>
      </c>
      <c r="F744" s="53">
        <f t="shared" ca="1" si="49"/>
        <v>43406</v>
      </c>
      <c r="G744" s="54">
        <f t="shared" ca="1" si="49"/>
        <v>43407</v>
      </c>
    </row>
    <row r="745" spans="1:7" s="28" customFormat="1" ht="19.5" x14ac:dyDescent="0.3">
      <c r="A745" s="37">
        <f ca="1">VLOOKUP(A744,Panchanga!$A$3:$Y$463,3,TRUE)</f>
        <v>43401.252475466732</v>
      </c>
      <c r="B745" s="27">
        <f ca="1">VLOOKUP(B744,Panchanga!$A$3:$Y$463,3,TRUE)</f>
        <v>43402.252652691364</v>
      </c>
      <c r="C745" s="27">
        <f ca="1">VLOOKUP(C744,Panchanga!$A$3:$Y$463,3,TRUE)</f>
        <v>43403.252837068554</v>
      </c>
      <c r="D745" s="27">
        <f ca="1">VLOOKUP(D744,Panchanga!$A$3:$Y$463,3,TRUE)</f>
        <v>43404.253028915882</v>
      </c>
      <c r="E745" s="27">
        <f ca="1">VLOOKUP(E744,Panchanga!$A$3:$Y$463,3,TRUE)</f>
        <v>43405.253227915768</v>
      </c>
      <c r="F745" s="27">
        <f ca="1">VLOOKUP(F744,Panchanga!$A$3:$Y$463,3,TRUE)</f>
        <v>43406.253434386257</v>
      </c>
      <c r="G745" s="44">
        <f ca="1">VLOOKUP(G744,Panchanga!$A$3:$Y$463,3,TRUE)</f>
        <v>43407.25364816856</v>
      </c>
    </row>
    <row r="746" spans="1:7" s="28" customFormat="1" ht="19.5" x14ac:dyDescent="0.3">
      <c r="A746" s="37">
        <f ca="1">VLOOKUP(A744,Panchanga!$A$3:$Y$463,4,TRUE)</f>
        <v>43400.738567332781</v>
      </c>
      <c r="B746" s="27">
        <f ca="1">VLOOKUP(B744,Panchanga!$A$3:$Y$463,4,TRUE)</f>
        <v>43401.738276144068</v>
      </c>
      <c r="C746" s="27">
        <f ca="1">VLOOKUP(C744,Panchanga!$A$3:$Y$463,4,TRUE)</f>
        <v>43402.737995763819</v>
      </c>
      <c r="D746" s="27">
        <f ca="1">VLOOKUP(D744,Panchanga!$A$3:$Y$463,4,TRUE)</f>
        <v>43403.737726350824</v>
      </c>
      <c r="E746" s="27">
        <f ca="1">VLOOKUP(E744,Panchanga!$A$3:$Y$463,4,TRUE)</f>
        <v>43404.737468223131</v>
      </c>
      <c r="F746" s="27">
        <f ca="1">VLOOKUP(F744,Panchanga!$A$3:$Y$463,4,TRUE)</f>
        <v>43405.737221380274</v>
      </c>
      <c r="G746" s="44">
        <f ca="1">VLOOKUP(G744,Panchanga!$A$3:$Y$463,4,TRUE)</f>
        <v>43406.736986299555</v>
      </c>
    </row>
    <row r="747" spans="1:7" s="28" customFormat="1" ht="19.5" x14ac:dyDescent="0.3">
      <c r="A747" s="38">
        <f ca="1">VLOOKUP(A744,Panchanga!$A$3:$Y$463,6,TRUE)</f>
        <v>190.41806569393401</v>
      </c>
      <c r="B747" s="30">
        <f ca="1">VLOOKUP(B744,Panchanga!$A$3:$Y$463,6,TRUE)</f>
        <v>191.4162837986614</v>
      </c>
      <c r="C747" s="30">
        <f ca="1">VLOOKUP(C744,Panchanga!$A$3:$Y$463,6,TRUE)</f>
        <v>192.41511597120362</v>
      </c>
      <c r="D747" s="30">
        <f ca="1">VLOOKUP(D744,Panchanga!$A$3:$Y$463,6,TRUE)</f>
        <v>193.4145694198844</v>
      </c>
      <c r="E747" s="30">
        <f ca="1">VLOOKUP(E744,Panchanga!$A$3:$Y$463,6,TRUE)</f>
        <v>194.41464609715655</v>
      </c>
      <c r="F747" s="30">
        <f ca="1">VLOOKUP(F744,Panchanga!$A$3:$Y$463,6,TRUE)</f>
        <v>195.41534345759251</v>
      </c>
      <c r="G747" s="45">
        <f ca="1">VLOOKUP(G744,Panchanga!$A$3:$Y$463,6,TRUE)</f>
        <v>196.41665328544872</v>
      </c>
    </row>
    <row r="748" spans="1:7" s="28" customFormat="1" ht="19.5" x14ac:dyDescent="0.3">
      <c r="A748" s="38">
        <f ca="1">VLOOKUP(A744,Panchanga!$A$3:$Y$463,7,TRUE)</f>
        <v>52.563140564073208</v>
      </c>
      <c r="B748" s="30">
        <f ca="1">VLOOKUP(B744,Panchanga!$A$3:$Y$463,7,TRUE)</f>
        <v>66.536533787328452</v>
      </c>
      <c r="C748" s="30">
        <f ca="1">VLOOKUP(C744,Panchanga!$A$3:$Y$463,7,TRUE)</f>
        <v>80.570573381039935</v>
      </c>
      <c r="D748" s="30">
        <f ca="1">VLOOKUP(D744,Panchanga!$A$3:$Y$463,7,TRUE)</f>
        <v>94.639870015324561</v>
      </c>
      <c r="E748" s="30">
        <f ca="1">VLOOKUP(E744,Panchanga!$A$3:$Y$463,7,TRUE)</f>
        <v>108.72931017297681</v>
      </c>
      <c r="F748" s="30">
        <f ca="1">VLOOKUP(F744,Panchanga!$A$3:$Y$463,7,TRUE)</f>
        <v>122.82727704169888</v>
      </c>
      <c r="G748" s="45">
        <f ca="1">VLOOKUP(G744,Panchanga!$A$3:$Y$463,7,TRUE)</f>
        <v>136.91748465938988</v>
      </c>
    </row>
    <row r="749" spans="1:7" s="28" customFormat="1" ht="19.5" x14ac:dyDescent="0.3">
      <c r="A749" s="39" t="str">
        <f ca="1">VLOOKUP(A744,Panchanga!$A$3:$Y$463,9,TRUE) &amp; " "&amp;ROUND(A748/13.333,2)</f>
        <v>Rohini 3.94</v>
      </c>
      <c r="B749" s="32" t="str">
        <f ca="1">VLOOKUP(B744,Panchanga!$A$3:$Y$463,9,TRUE) &amp; " "&amp;ROUND(B748/13.333,2)</f>
        <v>Mrigashira 4.99</v>
      </c>
      <c r="C749" s="32" t="str">
        <f ca="1">VLOOKUP(C744,Panchanga!$A$3:$Y$463,9,TRUE) &amp; " "&amp;ROUND(C748/13.333,2)</f>
        <v>Punarvasu 6.04</v>
      </c>
      <c r="D749" s="32" t="str">
        <f ca="1">VLOOKUP(D744,Panchanga!$A$3:$Y$463,9,TRUE) &amp; " "&amp;ROUND(D748/13.333,2)</f>
        <v>Pushya 7.1</v>
      </c>
      <c r="E749" s="32" t="str">
        <f ca="1">VLOOKUP(E744,Panchanga!$A$3:$Y$463,9,TRUE) &amp; " "&amp;ROUND(E748/13.333,2)</f>
        <v>Aslesha 8.15</v>
      </c>
      <c r="F749" s="32" t="str">
        <f ca="1">VLOOKUP(F744,Panchanga!$A$3:$Y$463,9,TRUE) &amp; " "&amp;ROUND(F748/13.333,2)</f>
        <v>Makha 9.21</v>
      </c>
      <c r="G749" s="46" t="str">
        <f ca="1">VLOOKUP(G744,Panchanga!$A$3:$Y$463,9,TRUE) &amp; " "&amp;ROUND(G748/13.333,2)</f>
        <v>Purva Phalguni 10.27</v>
      </c>
    </row>
    <row r="750" spans="1:7" s="28" customFormat="1" ht="19.5" x14ac:dyDescent="0.3">
      <c r="A750" s="40">
        <f ca="1">VLOOKUP(A744,Panchanga!$A$3:$Y$463,10,TRUE)</f>
        <v>43401.307603756191</v>
      </c>
      <c r="B750" s="34">
        <f ca="1">VLOOKUP(B744,Panchanga!$A$3:$Y$463,10,TRUE)</f>
        <v>43402.261927061154</v>
      </c>
      <c r="C750" s="34">
        <f ca="1">VLOOKUP(C744,Panchanga!$A$3:$Y$463,10,TRUE)</f>
        <v>43404.1601467078</v>
      </c>
      <c r="D750" s="34">
        <f ca="1">VLOOKUP(D744,Panchanga!$A$3:$Y$463,10,TRUE)</f>
        <v>43405.106802369468</v>
      </c>
      <c r="E750" s="34">
        <f ca="1">VLOOKUP(E744,Panchanga!$A$3:$Y$463,10,TRUE)</f>
        <v>43406.052847960047</v>
      </c>
      <c r="F750" s="34">
        <f ca="1">VLOOKUP(F744,Panchanga!$A$3:$Y$463,10,TRUE)</f>
        <v>43406.999221998878</v>
      </c>
      <c r="G750" s="47">
        <f ca="1">VLOOKUP(G744,Panchanga!$A$3:$Y$463,10,TRUE)</f>
        <v>43407.947467672908</v>
      </c>
    </row>
    <row r="751" spans="1:7" s="28" customFormat="1" ht="19.5" x14ac:dyDescent="0.3">
      <c r="A751" s="38" t="str">
        <f ca="1">VLOOKUP(A744,Panchanga!$A$3:$Y$463,11,TRUE)</f>
        <v>K4 (18.51)</v>
      </c>
      <c r="B751" s="30" t="str">
        <f ca="1">VLOOKUP(B744,Panchanga!$A$3:$Y$463,11,TRUE)</f>
        <v>K5 (19.59)</v>
      </c>
      <c r="C751" s="30" t="str">
        <f ca="1">VLOOKUP(C744,Panchanga!$A$3:$Y$463,11,TRUE)</f>
        <v>K6 (20.68)</v>
      </c>
      <c r="D751" s="30" t="str">
        <f ca="1">VLOOKUP(D744,Panchanga!$A$3:$Y$463,11,TRUE)</f>
        <v>K7 (21.77)</v>
      </c>
      <c r="E751" s="30" t="str">
        <f ca="1">VLOOKUP(E744,Panchanga!$A$3:$Y$463,11,TRUE)</f>
        <v>K8 (22.86)</v>
      </c>
      <c r="F751" s="30" t="str">
        <f ca="1">VLOOKUP(F744,Panchanga!$A$3:$Y$463,11,TRUE)</f>
        <v>K9 (23.95)</v>
      </c>
      <c r="G751" s="45" t="str">
        <f ca="1">VLOOKUP(G744,Panchanga!$A$3:$Y$463,11,TRUE)</f>
        <v>K11 (25.04)</v>
      </c>
    </row>
    <row r="752" spans="1:7" s="28" customFormat="1" ht="19.5" x14ac:dyDescent="0.3">
      <c r="A752" s="41" t="str">
        <f ca="1">VLOOKUP(A744,Panchanga!$A$3:$Y$463,13,TRUE)</f>
        <v>Baalava</v>
      </c>
      <c r="B752" s="36" t="str">
        <f ca="1">VLOOKUP(B744,Panchanga!$A$3:$Y$463,13,TRUE)</f>
        <v>Taitula</v>
      </c>
      <c r="C752" s="36" t="str">
        <f ca="1">VLOOKUP(C744,Panchanga!$A$3:$Y$463,13,TRUE)</f>
        <v>Vanija</v>
      </c>
      <c r="D752" s="36" t="str">
        <f ca="1">VLOOKUP(D744,Panchanga!$A$3:$Y$463,13,TRUE)</f>
        <v>Bhava</v>
      </c>
      <c r="E752" s="36" t="str">
        <f ca="1">VLOOKUP(E744,Panchanga!$A$3:$Y$463,13,TRUE)</f>
        <v>Kaulava</v>
      </c>
      <c r="F752" s="36" t="str">
        <f ca="1">VLOOKUP(F744,Panchanga!$A$3:$Y$463,13,TRUE)</f>
        <v>Garija</v>
      </c>
      <c r="G752" s="48" t="str">
        <f ca="1">VLOOKUP(G744,Panchanga!$A$3:$Y$463,13,TRUE)</f>
        <v>Bhava</v>
      </c>
    </row>
    <row r="753" spans="1:7" s="28" customFormat="1" ht="19.5" x14ac:dyDescent="0.3">
      <c r="A753" s="41" t="str">
        <f ca="1">VLOOKUP(A744,Panchanga!$A$3:$Y$463,14,TRUE)</f>
        <v>Parigha-परिघ-Sa (18.23)</v>
      </c>
      <c r="B753" s="36" t="str">
        <f ca="1">VLOOKUP(B744,Panchanga!$A$3:$Y$463,14,TRUE)</f>
        <v>Shiva-शिव-Me (19.35)</v>
      </c>
      <c r="C753" s="36" t="str">
        <f ca="1">VLOOKUP(C744,Panchanga!$A$3:$Y$463,14,TRUE)</f>
        <v>Siddha-सिद्ध-Ke (20.48)</v>
      </c>
      <c r="D753" s="36" t="str">
        <f ca="1">VLOOKUP(D744,Panchanga!$A$3:$Y$463,14,TRUE)</f>
        <v>Sadhya-साध्य-Ve (21.61)</v>
      </c>
      <c r="E753" s="36" t="str">
        <f ca="1">VLOOKUP(E744,Panchanga!$A$3:$Y$463,14,TRUE)</f>
        <v>Shubha-शुभ-Su (22.74)</v>
      </c>
      <c r="F753" s="36" t="str">
        <f ca="1">VLOOKUP(F744,Panchanga!$A$3:$Y$463,14,TRUE)</f>
        <v>Shukla-शुक्ल-Mo (23.87)</v>
      </c>
      <c r="G753" s="48" t="str">
        <f ca="1">VLOOKUP(G744,Panchanga!$A$3:$Y$463,14,TRUE)</f>
        <v>Mahendra-महेन्द्र-Ra (25.01)</v>
      </c>
    </row>
    <row r="754" spans="1:7" s="28" customFormat="1" ht="19.5" x14ac:dyDescent="0.3">
      <c r="A754" s="63" t="str">
        <f ca="1">VLOOKUP(A744,Panchanga!$A$3:$Y$463,18,TRUE)</f>
        <v>10Ma,8Me,8Ju,-7Ve,9Sa,4Ra</v>
      </c>
      <c r="B754" s="64" t="str">
        <f ca="1">VLOOKUP(B744,Panchanga!$A$3:$Y$463,18,TRUE)</f>
        <v>10Ma,8Me,8Ju,-7Ve,9Sa,4Ra</v>
      </c>
      <c r="C754" s="64" t="str">
        <f ca="1">VLOOKUP(C744,Panchanga!$A$3:$Y$463,18,TRUE)</f>
        <v>10Ma,8Me,8Ju,-7Ve,9Sa,4Ra</v>
      </c>
      <c r="D754" s="64" t="str">
        <f ca="1">VLOOKUP(D744,Panchanga!$A$3:$Y$463,18,TRUE)</f>
        <v>10Ma,8Me,8Ju,-7Ve,9Sa,4Ra</v>
      </c>
      <c r="E754" s="64" t="str">
        <f ca="1">VLOOKUP(E744,Panchanga!$A$3:$Y$463,18,TRUE)</f>
        <v>10Ma,8Me,8Ju,-7Ve,9Sa,4Ra</v>
      </c>
      <c r="F754" s="64" t="str">
        <f ca="1">VLOOKUP(F744,Panchanga!$A$3:$Y$463,18,TRUE)</f>
        <v>10Ma,8Me,8Ju,-7Ve,9Sa,4Ra</v>
      </c>
      <c r="G754" s="65" t="str">
        <f ca="1">VLOOKUP(G744,Panchanga!$A$3:$Y$463,18,TRUE)</f>
        <v>10Ma,8Me,8Ju,-7Ve,9Sa,4Ra</v>
      </c>
    </row>
    <row r="755" spans="1:7" ht="5.85" customHeight="1" thickBot="1" x14ac:dyDescent="0.4">
      <c r="A755" s="42"/>
      <c r="B755" s="16"/>
      <c r="C755" s="16"/>
      <c r="D755" s="16"/>
      <c r="E755" s="16"/>
      <c r="F755" s="16"/>
      <c r="G755" s="17"/>
    </row>
    <row r="756" spans="1:7" s="51" customFormat="1" ht="37.5" x14ac:dyDescent="0.5">
      <c r="A756" s="52">
        <f ca="1">G744+1</f>
        <v>43408</v>
      </c>
      <c r="B756" s="53">
        <f ca="1">A756+1</f>
        <v>43409</v>
      </c>
      <c r="C756" s="53"/>
      <c r="D756" s="53"/>
      <c r="E756" s="53"/>
      <c r="F756" s="53"/>
      <c r="G756" s="55"/>
    </row>
    <row r="757" spans="1:7" s="28" customFormat="1" ht="19.5" x14ac:dyDescent="0.3">
      <c r="A757" s="37">
        <f ca="1">VLOOKUP(A756,Panchanga!$A$3:$Y$463,3,TRUE)</f>
        <v>43408.253869261745</v>
      </c>
      <c r="B757" s="27">
        <f ca="1">VLOOKUP(B756,Panchanga!$A$3:$Y$463,3,TRUE)</f>
        <v>43409.254097826</v>
      </c>
      <c r="C757" s="27" t="s">
        <v>20</v>
      </c>
      <c r="D757" s="27"/>
      <c r="E757" s="27"/>
      <c r="F757" s="27"/>
      <c r="G757" s="26"/>
    </row>
    <row r="758" spans="1:7" s="28" customFormat="1" ht="19.5" x14ac:dyDescent="0.3">
      <c r="A758" s="37">
        <f ca="1">VLOOKUP(A756,Panchanga!$A$3:$Y$463,4,TRUE)</f>
        <v>43407.736762980974</v>
      </c>
      <c r="B758" s="27">
        <f ca="1">VLOOKUP(B756,Panchanga!$A$3:$Y$463,4,TRUE)</f>
        <v>43408.736551424066</v>
      </c>
      <c r="C758" s="27" t="s">
        <v>8</v>
      </c>
      <c r="D758" s="27"/>
      <c r="E758" s="27"/>
      <c r="F758" s="27"/>
      <c r="G758" s="26"/>
    </row>
    <row r="759" spans="1:7" s="28" customFormat="1" ht="19.5" x14ac:dyDescent="0.3">
      <c r="A759" s="38">
        <f ca="1">VLOOKUP(A756,Panchanga!$A$3:$Y$463,6,TRUE)</f>
        <v>197.41856271308052</v>
      </c>
      <c r="B759" s="30">
        <f ca="1">VLOOKUP(B756,Panchanga!$A$3:$Y$463,6,TRUE)</f>
        <v>198.4210549633319</v>
      </c>
      <c r="C759" s="30" t="s">
        <v>21</v>
      </c>
      <c r="D759" s="30"/>
      <c r="E759" s="30"/>
      <c r="F759" s="30"/>
      <c r="G759" s="29"/>
    </row>
    <row r="760" spans="1:7" s="28" customFormat="1" ht="19.5" x14ac:dyDescent="0.3">
      <c r="A760" s="38">
        <f ca="1">VLOOKUP(A756,Panchanga!$A$3:$Y$463,7,TRUE)</f>
        <v>150.97205854190022</v>
      </c>
      <c r="B760" s="30">
        <f ca="1">VLOOKUP(B756,Panchanga!$A$3:$Y$463,7,TRUE)</f>
        <v>164.94824105636647</v>
      </c>
      <c r="C760" s="30" t="s">
        <v>22</v>
      </c>
      <c r="D760" s="30"/>
      <c r="E760" s="30"/>
      <c r="F760" s="30"/>
      <c r="G760" s="29"/>
    </row>
    <row r="761" spans="1:7" s="28" customFormat="1" ht="19.5" x14ac:dyDescent="0.3">
      <c r="A761" s="39" t="str">
        <f ca="1">VLOOKUP(A756,Panchanga!$A$3:$Y$463,9,TRUE) &amp; " "&amp;ROUND(A760/13.333,2)</f>
        <v>Uttara Phalguni 11.32</v>
      </c>
      <c r="B761" s="32" t="str">
        <f ca="1">VLOOKUP(B756,Panchanga!$A$3:$Y$463,9,TRUE) &amp; " "&amp;ROUND(B760/13.333,2)</f>
        <v>Hasta 12.37</v>
      </c>
      <c r="C761" s="32" t="s">
        <v>23</v>
      </c>
      <c r="D761" s="32"/>
      <c r="E761" s="32"/>
      <c r="F761" s="32"/>
      <c r="G761" s="31"/>
    </row>
    <row r="762" spans="1:7" s="28" customFormat="1" ht="19.5" x14ac:dyDescent="0.3">
      <c r="A762" s="40">
        <f ca="1">VLOOKUP(A756,Panchanga!$A$3:$Y$463,10,TRUE)</f>
        <v>43408.899968789527</v>
      </c>
      <c r="B762" s="34">
        <f ca="1">VLOOKUP(B756,Panchanga!$A$3:$Y$463,10,TRUE)</f>
        <v>43409.860007237694</v>
      </c>
      <c r="C762" s="34" t="s">
        <v>24</v>
      </c>
      <c r="D762" s="34"/>
      <c r="E762" s="34"/>
      <c r="F762" s="34"/>
      <c r="G762" s="33"/>
    </row>
    <row r="763" spans="1:7" s="28" customFormat="1" ht="19.5" x14ac:dyDescent="0.3">
      <c r="A763" s="38" t="str">
        <f ca="1">VLOOKUP(A756,Panchanga!$A$3:$Y$463,11,TRUE)</f>
        <v>K12 (26.13)</v>
      </c>
      <c r="B763" s="30" t="str">
        <f ca="1">VLOOKUP(B756,Panchanga!$A$3:$Y$463,11,TRUE)</f>
        <v>K13 (27.21)</v>
      </c>
      <c r="C763" s="30" t="s">
        <v>28</v>
      </c>
      <c r="D763" s="30"/>
      <c r="E763" s="30"/>
      <c r="F763" s="30"/>
      <c r="G763" s="29"/>
    </row>
    <row r="764" spans="1:7" s="28" customFormat="1" ht="19.5" x14ac:dyDescent="0.3">
      <c r="A764" s="41" t="str">
        <f ca="1">VLOOKUP(A756,Panchanga!$A$3:$Y$463,13,TRUE)</f>
        <v>Kaulava</v>
      </c>
      <c r="B764" s="36" t="str">
        <f ca="1">VLOOKUP(B756,Panchanga!$A$3:$Y$463,13,TRUE)</f>
        <v>Garija</v>
      </c>
      <c r="C764" s="36" t="s">
        <v>25</v>
      </c>
      <c r="D764" s="36"/>
      <c r="E764" s="36"/>
      <c r="F764" s="36"/>
      <c r="G764" s="35"/>
    </row>
    <row r="765" spans="1:7" s="28" customFormat="1" ht="19.5" x14ac:dyDescent="0.3">
      <c r="A765" s="41" t="str">
        <f ca="1">VLOOKUP(A756,Panchanga!$A$3:$Y$463,14,TRUE)</f>
        <v>Vaidhriti-वैधृति-Ke (26.13)</v>
      </c>
      <c r="B765" s="36" t="str">
        <f ca="1">VLOOKUP(B756,Panchanga!$A$3:$Y$463,14,TRUE)</f>
        <v>Vishkambha-विष्कम्भ-Sa (0.26)</v>
      </c>
      <c r="C765" s="36" t="s">
        <v>13</v>
      </c>
      <c r="D765" s="36"/>
      <c r="E765" s="36"/>
      <c r="F765" s="36"/>
      <c r="G765" s="48"/>
    </row>
    <row r="766" spans="1:7" s="28" customFormat="1" ht="19.5" x14ac:dyDescent="0.3">
      <c r="A766" s="63" t="str">
        <f ca="1">VLOOKUP(A756,Panchanga!$A$3:$Y$463,18,TRUE)</f>
        <v>10Ma,8Me,8Ju,-7Ve,9Sa,4Ra</v>
      </c>
      <c r="B766" s="64" t="str">
        <f ca="1">VLOOKUP(B756,Panchanga!$A$3:$Y$463,18,TRUE)</f>
        <v>10Ma,8Me,8Ju,-7Ve,9Sa,4Ra</v>
      </c>
      <c r="C766" s="64"/>
      <c r="D766" s="64"/>
      <c r="E766" s="64"/>
      <c r="F766" s="64"/>
      <c r="G766" s="65"/>
    </row>
    <row r="767" spans="1:7" ht="24" thickBot="1" x14ac:dyDescent="0.4"/>
    <row r="768" spans="1:7" x14ac:dyDescent="0.35">
      <c r="A768" s="23" t="s">
        <v>26</v>
      </c>
      <c r="B768" s="21">
        <f>Lat</f>
        <v>13.5</v>
      </c>
      <c r="C768" s="23" t="s">
        <v>1</v>
      </c>
      <c r="D768" s="21">
        <f>Long</f>
        <v>80.23</v>
      </c>
      <c r="E768" s="23" t="s">
        <v>4</v>
      </c>
      <c r="F768" s="22">
        <f>TimeZone</f>
        <v>5.5</v>
      </c>
    </row>
    <row r="771" spans="1:7" s="51" customFormat="1" ht="38.25" thickBot="1" x14ac:dyDescent="0.55000000000000004">
      <c r="A771" s="68">
        <f ca="1">DATE(YEAR(A694),MONTH(A694)+1,1)</f>
        <v>43405</v>
      </c>
      <c r="B771" s="69"/>
      <c r="C771" s="69"/>
      <c r="D771" s="69"/>
      <c r="E771" s="69"/>
      <c r="F771" s="69"/>
      <c r="G771" s="69"/>
    </row>
    <row r="772" spans="1:7" s="56" customFormat="1" ht="35.25" thickBot="1" x14ac:dyDescent="0.5">
      <c r="A772" s="57">
        <v>1</v>
      </c>
      <c r="B772" s="58">
        <v>2</v>
      </c>
      <c r="C772" s="58">
        <v>3</v>
      </c>
      <c r="D772" s="58">
        <v>4</v>
      </c>
      <c r="E772" s="58">
        <v>5</v>
      </c>
      <c r="F772" s="58">
        <v>6</v>
      </c>
      <c r="G772" s="59">
        <v>7</v>
      </c>
    </row>
    <row r="773" spans="1:7" s="51" customFormat="1" ht="37.5" x14ac:dyDescent="0.5">
      <c r="A773" s="52">
        <f ca="1">DATE(YEAR(A771),MONTH(A771),1)-WEEKDAY(A771)+1</f>
        <v>43401</v>
      </c>
      <c r="B773" s="53">
        <f t="shared" ref="B773:G773" ca="1" si="50">A773+1</f>
        <v>43402</v>
      </c>
      <c r="C773" s="53">
        <f t="shared" ca="1" si="50"/>
        <v>43403</v>
      </c>
      <c r="D773" s="53">
        <f t="shared" ca="1" si="50"/>
        <v>43404</v>
      </c>
      <c r="E773" s="53">
        <f t="shared" ca="1" si="50"/>
        <v>43405</v>
      </c>
      <c r="F773" s="53">
        <f t="shared" ca="1" si="50"/>
        <v>43406</v>
      </c>
      <c r="G773" s="54">
        <f t="shared" ca="1" si="50"/>
        <v>43407</v>
      </c>
    </row>
    <row r="774" spans="1:7" s="28" customFormat="1" ht="19.5" x14ac:dyDescent="0.3">
      <c r="A774" s="37">
        <f ca="1">VLOOKUP(A773,Panchanga!$A$3:$Y$463,3,TRUE)</f>
        <v>43401.252475466732</v>
      </c>
      <c r="B774" s="27">
        <f ca="1">VLOOKUP(B773,Panchanga!$A$3:$Y$463,3,TRUE)</f>
        <v>43402.252652691364</v>
      </c>
      <c r="C774" s="27">
        <f ca="1">VLOOKUP(C773,Panchanga!$A$3:$Y$463,3,TRUE)</f>
        <v>43403.252837068554</v>
      </c>
      <c r="D774" s="27">
        <f ca="1">VLOOKUP(D773,Panchanga!$A$3:$Y$463,3,TRUE)</f>
        <v>43404.253028915882</v>
      </c>
      <c r="E774" s="27">
        <f ca="1">VLOOKUP(E773,Panchanga!$A$3:$Y$463,3,TRUE)</f>
        <v>43405.253227915768</v>
      </c>
      <c r="F774" s="27">
        <f ca="1">VLOOKUP(F773,Panchanga!$A$3:$Y$463,3,TRUE)</f>
        <v>43406.253434386257</v>
      </c>
      <c r="G774" s="44">
        <f ca="1">VLOOKUP(G773,Panchanga!$A$3:$Y$463,3,TRUE)</f>
        <v>43407.25364816856</v>
      </c>
    </row>
    <row r="775" spans="1:7" s="28" customFormat="1" ht="19.5" x14ac:dyDescent="0.3">
      <c r="A775" s="37">
        <f ca="1">VLOOKUP(A773,Panchanga!$A$3:$Y$463,4,TRUE)</f>
        <v>43400.738567332781</v>
      </c>
      <c r="B775" s="27">
        <f ca="1">VLOOKUP(B773,Panchanga!$A$3:$Y$463,4,TRUE)</f>
        <v>43401.738276144068</v>
      </c>
      <c r="C775" s="27">
        <f ca="1">VLOOKUP(C773,Panchanga!$A$3:$Y$463,4,TRUE)</f>
        <v>43402.737995763819</v>
      </c>
      <c r="D775" s="27">
        <f ca="1">VLOOKUP(D773,Panchanga!$A$3:$Y$463,4,TRUE)</f>
        <v>43403.737726350824</v>
      </c>
      <c r="E775" s="27">
        <f ca="1">VLOOKUP(E773,Panchanga!$A$3:$Y$463,4,TRUE)</f>
        <v>43404.737468223131</v>
      </c>
      <c r="F775" s="27">
        <f ca="1">VLOOKUP(F773,Panchanga!$A$3:$Y$463,4,TRUE)</f>
        <v>43405.737221380274</v>
      </c>
      <c r="G775" s="44">
        <f ca="1">VLOOKUP(G773,Panchanga!$A$3:$Y$463,4,TRUE)</f>
        <v>43406.736986299555</v>
      </c>
    </row>
    <row r="776" spans="1:7" s="28" customFormat="1" ht="19.5" x14ac:dyDescent="0.3">
      <c r="A776" s="38">
        <f ca="1">VLOOKUP(A773,Panchanga!$A$3:$Y$463,6,TRUE)</f>
        <v>190.41806569393401</v>
      </c>
      <c r="B776" s="30">
        <f ca="1">VLOOKUP(B773,Panchanga!$A$3:$Y$463,6,TRUE)</f>
        <v>191.4162837986614</v>
      </c>
      <c r="C776" s="30">
        <f ca="1">VLOOKUP(C773,Panchanga!$A$3:$Y$463,6,TRUE)</f>
        <v>192.41511597120362</v>
      </c>
      <c r="D776" s="30">
        <f ca="1">VLOOKUP(D773,Panchanga!$A$3:$Y$463,6,TRUE)</f>
        <v>193.4145694198844</v>
      </c>
      <c r="E776" s="30">
        <f ca="1">VLOOKUP(E773,Panchanga!$A$3:$Y$463,6,TRUE)</f>
        <v>194.41464609715655</v>
      </c>
      <c r="F776" s="30">
        <f ca="1">VLOOKUP(F773,Panchanga!$A$3:$Y$463,6,TRUE)</f>
        <v>195.41534345759251</v>
      </c>
      <c r="G776" s="45">
        <f ca="1">VLOOKUP(G773,Panchanga!$A$3:$Y$463,6,TRUE)</f>
        <v>196.41665328544872</v>
      </c>
    </row>
    <row r="777" spans="1:7" s="28" customFormat="1" ht="19.5" x14ac:dyDescent="0.3">
      <c r="A777" s="38">
        <f ca="1">VLOOKUP(A773,Panchanga!$A$3:$Y$463,7,TRUE)</f>
        <v>52.563140564073208</v>
      </c>
      <c r="B777" s="30">
        <f ca="1">VLOOKUP(B773,Panchanga!$A$3:$Y$463,7,TRUE)</f>
        <v>66.536533787328452</v>
      </c>
      <c r="C777" s="30">
        <f ca="1">VLOOKUP(C773,Panchanga!$A$3:$Y$463,7,TRUE)</f>
        <v>80.570573381039935</v>
      </c>
      <c r="D777" s="30">
        <f ca="1">VLOOKUP(D773,Panchanga!$A$3:$Y$463,7,TRUE)</f>
        <v>94.639870015324561</v>
      </c>
      <c r="E777" s="30">
        <f ca="1">VLOOKUP(E773,Panchanga!$A$3:$Y$463,7,TRUE)</f>
        <v>108.72931017297681</v>
      </c>
      <c r="F777" s="30">
        <f ca="1">VLOOKUP(F773,Panchanga!$A$3:$Y$463,7,TRUE)</f>
        <v>122.82727704169888</v>
      </c>
      <c r="G777" s="45">
        <f ca="1">VLOOKUP(G773,Panchanga!$A$3:$Y$463,7,TRUE)</f>
        <v>136.91748465938988</v>
      </c>
    </row>
    <row r="778" spans="1:7" s="28" customFormat="1" ht="19.5" x14ac:dyDescent="0.3">
      <c r="A778" s="39" t="str">
        <f ca="1">VLOOKUP(A773,Panchanga!$A$3:$Y$463,9,TRUE) &amp; " "&amp;ROUND(A777/13.333,2)</f>
        <v>Rohini 3.94</v>
      </c>
      <c r="B778" s="32" t="str">
        <f ca="1">VLOOKUP(B773,Panchanga!$A$3:$Y$463,9,TRUE) &amp; " "&amp;ROUND(B777/13.333,2)</f>
        <v>Mrigashira 4.99</v>
      </c>
      <c r="C778" s="32" t="str">
        <f ca="1">VLOOKUP(C773,Panchanga!$A$3:$Y$463,9,TRUE) &amp; " "&amp;ROUND(C777/13.333,2)</f>
        <v>Punarvasu 6.04</v>
      </c>
      <c r="D778" s="32" t="str">
        <f ca="1">VLOOKUP(D773,Panchanga!$A$3:$Y$463,9,TRUE) &amp; " "&amp;ROUND(D777/13.333,2)</f>
        <v>Pushya 7.1</v>
      </c>
      <c r="E778" s="32" t="str">
        <f ca="1">VLOOKUP(E773,Panchanga!$A$3:$Y$463,9,TRUE) &amp; " "&amp;ROUND(E777/13.333,2)</f>
        <v>Aslesha 8.15</v>
      </c>
      <c r="F778" s="32" t="str">
        <f ca="1">VLOOKUP(F773,Panchanga!$A$3:$Y$463,9,TRUE) &amp; " "&amp;ROUND(F777/13.333,2)</f>
        <v>Makha 9.21</v>
      </c>
      <c r="G778" s="46" t="str">
        <f ca="1">VLOOKUP(G773,Panchanga!$A$3:$Y$463,9,TRUE) &amp; " "&amp;ROUND(G777/13.333,2)</f>
        <v>Purva Phalguni 10.27</v>
      </c>
    </row>
    <row r="779" spans="1:7" s="28" customFormat="1" ht="19.5" x14ac:dyDescent="0.3">
      <c r="A779" s="40">
        <f ca="1">VLOOKUP(A773,Panchanga!$A$3:$Y$463,10,TRUE)</f>
        <v>43401.307603756191</v>
      </c>
      <c r="B779" s="34">
        <f ca="1">VLOOKUP(B773,Panchanga!$A$3:$Y$463,10,TRUE)</f>
        <v>43402.261927061154</v>
      </c>
      <c r="C779" s="34">
        <f ca="1">VLOOKUP(C773,Panchanga!$A$3:$Y$463,10,TRUE)</f>
        <v>43404.1601467078</v>
      </c>
      <c r="D779" s="34">
        <f ca="1">VLOOKUP(D773,Panchanga!$A$3:$Y$463,10,TRUE)</f>
        <v>43405.106802369468</v>
      </c>
      <c r="E779" s="34">
        <f ca="1">VLOOKUP(E773,Panchanga!$A$3:$Y$463,10,TRUE)</f>
        <v>43406.052847960047</v>
      </c>
      <c r="F779" s="34">
        <f ca="1">VLOOKUP(F773,Panchanga!$A$3:$Y$463,10,TRUE)</f>
        <v>43406.999221998878</v>
      </c>
      <c r="G779" s="47">
        <f ca="1">VLOOKUP(G773,Panchanga!$A$3:$Y$463,10,TRUE)</f>
        <v>43407.947467672908</v>
      </c>
    </row>
    <row r="780" spans="1:7" s="28" customFormat="1" ht="19.5" x14ac:dyDescent="0.3">
      <c r="A780" s="38" t="str">
        <f ca="1">VLOOKUP(A773,Panchanga!$A$3:$Y$463,11,TRUE)</f>
        <v>K4 (18.51)</v>
      </c>
      <c r="B780" s="30" t="str">
        <f ca="1">VLOOKUP(B773,Panchanga!$A$3:$Y$463,11,TRUE)</f>
        <v>K5 (19.59)</v>
      </c>
      <c r="C780" s="30" t="str">
        <f ca="1">VLOOKUP(C773,Panchanga!$A$3:$Y$463,11,TRUE)</f>
        <v>K6 (20.68)</v>
      </c>
      <c r="D780" s="30" t="str">
        <f ca="1">VLOOKUP(D773,Panchanga!$A$3:$Y$463,11,TRUE)</f>
        <v>K7 (21.77)</v>
      </c>
      <c r="E780" s="30" t="str">
        <f ca="1">VLOOKUP(E773,Panchanga!$A$3:$Y$463,11,TRUE)</f>
        <v>K8 (22.86)</v>
      </c>
      <c r="F780" s="30" t="str">
        <f ca="1">VLOOKUP(F773,Panchanga!$A$3:$Y$463,11,TRUE)</f>
        <v>K9 (23.95)</v>
      </c>
      <c r="G780" s="45" t="str">
        <f ca="1">VLOOKUP(G773,Panchanga!$A$3:$Y$463,11,TRUE)</f>
        <v>K11 (25.04)</v>
      </c>
    </row>
    <row r="781" spans="1:7" s="28" customFormat="1" ht="19.5" x14ac:dyDescent="0.3">
      <c r="A781" s="41" t="str">
        <f ca="1">VLOOKUP(A773,Panchanga!$A$3:$Y$463,13,TRUE)</f>
        <v>Baalava</v>
      </c>
      <c r="B781" s="36" t="str">
        <f ca="1">VLOOKUP(B773,Panchanga!$A$3:$Y$463,13,TRUE)</f>
        <v>Taitula</v>
      </c>
      <c r="C781" s="36" t="str">
        <f ca="1">VLOOKUP(C773,Panchanga!$A$3:$Y$463,13,TRUE)</f>
        <v>Vanija</v>
      </c>
      <c r="D781" s="36" t="str">
        <f ca="1">VLOOKUP(D773,Panchanga!$A$3:$Y$463,13,TRUE)</f>
        <v>Bhava</v>
      </c>
      <c r="E781" s="36" t="str">
        <f ca="1">VLOOKUP(E773,Panchanga!$A$3:$Y$463,13,TRUE)</f>
        <v>Kaulava</v>
      </c>
      <c r="F781" s="36" t="str">
        <f ca="1">VLOOKUP(F773,Panchanga!$A$3:$Y$463,13,TRUE)</f>
        <v>Garija</v>
      </c>
      <c r="G781" s="48" t="str">
        <f ca="1">VLOOKUP(G773,Panchanga!$A$3:$Y$463,13,TRUE)</f>
        <v>Bhava</v>
      </c>
    </row>
    <row r="782" spans="1:7" s="28" customFormat="1" ht="19.5" x14ac:dyDescent="0.3">
      <c r="A782" s="41" t="str">
        <f ca="1">VLOOKUP(A773,Panchanga!$A$3:$Y$463,14,TRUE)</f>
        <v>Parigha-परिघ-Sa (18.23)</v>
      </c>
      <c r="B782" s="36" t="str">
        <f ca="1">VLOOKUP(B773,Panchanga!$A$3:$Y$463,14,TRUE)</f>
        <v>Shiva-शिव-Me (19.35)</v>
      </c>
      <c r="C782" s="36" t="str">
        <f ca="1">VLOOKUP(C773,Panchanga!$A$3:$Y$463,14,TRUE)</f>
        <v>Siddha-सिद्ध-Ke (20.48)</v>
      </c>
      <c r="D782" s="36" t="str">
        <f ca="1">VLOOKUP(D773,Panchanga!$A$3:$Y$463,14,TRUE)</f>
        <v>Sadhya-साध्य-Ve (21.61)</v>
      </c>
      <c r="E782" s="36" t="str">
        <f ca="1">VLOOKUP(E773,Panchanga!$A$3:$Y$463,14,TRUE)</f>
        <v>Shubha-शुभ-Su (22.74)</v>
      </c>
      <c r="F782" s="36" t="str">
        <f ca="1">VLOOKUP(F773,Panchanga!$A$3:$Y$463,14,TRUE)</f>
        <v>Shukla-शुक्ल-Mo (23.87)</v>
      </c>
      <c r="G782" s="48" t="str">
        <f ca="1">VLOOKUP(G773,Panchanga!$A$3:$Y$463,14,TRUE)</f>
        <v>Mahendra-महेन्द्र-Ra (25.01)</v>
      </c>
    </row>
    <row r="783" spans="1:7" s="28" customFormat="1" ht="19.5" x14ac:dyDescent="0.3">
      <c r="A783" s="63" t="str">
        <f ca="1">VLOOKUP(A773,Panchanga!$A$3:$Y$463,18,TRUE)</f>
        <v>10Ma,8Me,8Ju,-7Ve,9Sa,4Ra</v>
      </c>
      <c r="B783" s="64" t="str">
        <f ca="1">VLOOKUP(B773,Panchanga!$A$3:$Y$463,18,TRUE)</f>
        <v>10Ma,8Me,8Ju,-7Ve,9Sa,4Ra</v>
      </c>
      <c r="C783" s="64" t="str">
        <f ca="1">VLOOKUP(C773,Panchanga!$A$3:$Y$463,18,TRUE)</f>
        <v>10Ma,8Me,8Ju,-7Ve,9Sa,4Ra</v>
      </c>
      <c r="D783" s="64" t="str">
        <f ca="1">VLOOKUP(D773,Panchanga!$A$3:$Y$463,18,TRUE)</f>
        <v>10Ma,8Me,8Ju,-7Ve,9Sa,4Ra</v>
      </c>
      <c r="E783" s="64" t="str">
        <f ca="1">VLOOKUP(E773,Panchanga!$A$3:$Y$463,18,TRUE)</f>
        <v>10Ma,8Me,8Ju,-7Ve,9Sa,4Ra</v>
      </c>
      <c r="F783" s="64" t="str">
        <f ca="1">VLOOKUP(F773,Panchanga!$A$3:$Y$463,18,TRUE)</f>
        <v>10Ma,8Me,8Ju,-7Ve,9Sa,4Ra</v>
      </c>
      <c r="G783" s="65" t="str">
        <f ca="1">VLOOKUP(G773,Panchanga!$A$3:$Y$463,18,TRUE)</f>
        <v>10Ma,8Me,8Ju,-7Ve,9Sa,4Ra</v>
      </c>
    </row>
    <row r="784" spans="1:7" ht="5.85" customHeight="1" thickBot="1" x14ac:dyDescent="0.4">
      <c r="A784" s="42"/>
      <c r="B784" s="16"/>
      <c r="C784" s="16"/>
      <c r="D784" s="16"/>
      <c r="E784" s="16"/>
      <c r="F784" s="16"/>
      <c r="G784" s="49"/>
    </row>
    <row r="785" spans="1:7" s="51" customFormat="1" ht="37.5" x14ac:dyDescent="0.5">
      <c r="A785" s="52">
        <f ca="1">G773+1</f>
        <v>43408</v>
      </c>
      <c r="B785" s="53">
        <f t="shared" ref="B785:G785" ca="1" si="51">A785+1</f>
        <v>43409</v>
      </c>
      <c r="C785" s="53">
        <f t="shared" ca="1" si="51"/>
        <v>43410</v>
      </c>
      <c r="D785" s="53">
        <f t="shared" ca="1" si="51"/>
        <v>43411</v>
      </c>
      <c r="E785" s="53">
        <f t="shared" ca="1" si="51"/>
        <v>43412</v>
      </c>
      <c r="F785" s="53">
        <f t="shared" ca="1" si="51"/>
        <v>43413</v>
      </c>
      <c r="G785" s="54">
        <f t="shared" ca="1" si="51"/>
        <v>43414</v>
      </c>
    </row>
    <row r="786" spans="1:7" s="28" customFormat="1" ht="19.5" x14ac:dyDescent="0.3">
      <c r="A786" s="37">
        <f ca="1">VLOOKUP(A785,Panchanga!$A$3:$Y$463,3,TRUE)</f>
        <v>43408.253869261745</v>
      </c>
      <c r="B786" s="27">
        <f ca="1">VLOOKUP(B785,Panchanga!$A$3:$Y$463,3,TRUE)</f>
        <v>43409.254097826</v>
      </c>
      <c r="C786" s="27">
        <f ca="1">VLOOKUP(C785,Panchanga!$A$3:$Y$463,3,TRUE)</f>
        <v>43410.254333542347</v>
      </c>
      <c r="D786" s="27">
        <f ca="1">VLOOKUP(D785,Panchanga!$A$3:$Y$463,3,TRUE)</f>
        <v>43411.254576411251</v>
      </c>
      <c r="E786" s="27">
        <f ca="1">VLOOKUP(E785,Panchanga!$A$3:$Y$463,3,TRUE)</f>
        <v>43412.254826591969</v>
      </c>
      <c r="F786" s="27">
        <f ca="1">VLOOKUP(F785,Panchanga!$A$3:$Y$463,3,TRUE)</f>
        <v>43413.255083607197</v>
      </c>
      <c r="G786" s="44">
        <f ca="1">VLOOKUP(G785,Panchanga!$A$3:$Y$463,3,TRUE)</f>
        <v>43414.255347774983</v>
      </c>
    </row>
    <row r="787" spans="1:7" s="28" customFormat="1" ht="19.5" x14ac:dyDescent="0.3">
      <c r="A787" s="37">
        <f ca="1">VLOOKUP(A785,Panchanga!$A$3:$Y$463,4,TRUE)</f>
        <v>43407.736762980974</v>
      </c>
      <c r="B787" s="27">
        <f ca="1">VLOOKUP(B785,Panchanga!$A$3:$Y$463,4,TRUE)</f>
        <v>43408.736551424066</v>
      </c>
      <c r="C787" s="27">
        <f ca="1">VLOOKUP(C785,Panchanga!$A$3:$Y$463,4,TRUE)</f>
        <v>43409.736352106134</v>
      </c>
      <c r="D787" s="27">
        <f ca="1">VLOOKUP(D785,Panchanga!$A$3:$Y$463,4,TRUE)</f>
        <v>43410.736165027178</v>
      </c>
      <c r="E787" s="27">
        <f ca="1">VLOOKUP(E785,Panchanga!$A$3:$Y$463,4,TRUE)</f>
        <v>43411.735990027941</v>
      </c>
      <c r="F787" s="27">
        <f ca="1">VLOOKUP(F785,Panchanga!$A$3:$Y$463,4,TRUE)</f>
        <v>43412.73582758526</v>
      </c>
      <c r="G787" s="44">
        <f ca="1">VLOOKUP(G785,Panchanga!$A$3:$Y$463,4,TRUE)</f>
        <v>43413.735677699602</v>
      </c>
    </row>
    <row r="788" spans="1:7" s="28" customFormat="1" ht="19.5" x14ac:dyDescent="0.3">
      <c r="A788" s="38">
        <f ca="1">VLOOKUP(A785,Panchanga!$A$3:$Y$463,6,TRUE)</f>
        <v>197.41856271308052</v>
      </c>
      <c r="B788" s="30">
        <f ca="1">VLOOKUP(B785,Panchanga!$A$3:$Y$463,6,TRUE)</f>
        <v>198.4210549633319</v>
      </c>
      <c r="C788" s="30">
        <f ca="1">VLOOKUP(C785,Panchanga!$A$3:$Y$463,6,TRUE)</f>
        <v>199.42410966159122</v>
      </c>
      <c r="D788" s="30">
        <f ca="1">VLOOKUP(D785,Panchanga!$A$3:$Y$463,6,TRUE)</f>
        <v>200.42770470161685</v>
      </c>
      <c r="E788" s="30">
        <f ca="1">VLOOKUP(E785,Panchanga!$A$3:$Y$463,6,TRUE)</f>
        <v>201.4318171973128</v>
      </c>
      <c r="F788" s="30">
        <f ca="1">VLOOKUP(F785,Panchanga!$A$3:$Y$463,6,TRUE)</f>
        <v>202.43642377415554</v>
      </c>
      <c r="G788" s="45">
        <f ca="1">VLOOKUP(G785,Panchanga!$A$3:$Y$463,6,TRUE)</f>
        <v>203.44150298515254</v>
      </c>
    </row>
    <row r="789" spans="1:7" s="28" customFormat="1" ht="19.5" x14ac:dyDescent="0.3">
      <c r="A789" s="38">
        <f ca="1">VLOOKUP(A785,Panchanga!$A$3:$Y$463,7,TRUE)</f>
        <v>150.97205854190022</v>
      </c>
      <c r="B789" s="30">
        <f ca="1">VLOOKUP(B785,Panchanga!$A$3:$Y$463,7,TRUE)</f>
        <v>164.94824105636647</v>
      </c>
      <c r="C789" s="30">
        <f ca="1">VLOOKUP(C785,Panchanga!$A$3:$Y$463,7,TRUE)</f>
        <v>178.79035774646988</v>
      </c>
      <c r="D789" s="30">
        <f ca="1">VLOOKUP(D785,Panchanga!$A$3:$Y$463,7,TRUE)</f>
        <v>192.43704824053333</v>
      </c>
      <c r="E789" s="30">
        <f ca="1">VLOOKUP(E785,Panchanga!$A$3:$Y$463,7,TRUE)</f>
        <v>205.83168720717623</v>
      </c>
      <c r="F789" s="30">
        <f ca="1">VLOOKUP(F785,Panchanga!$A$3:$Y$463,7,TRUE)</f>
        <v>218.93279563839974</v>
      </c>
      <c r="G789" s="45">
        <f ca="1">VLOOKUP(G785,Panchanga!$A$3:$Y$463,7,TRUE)</f>
        <v>231.72167741752713</v>
      </c>
    </row>
    <row r="790" spans="1:7" s="28" customFormat="1" ht="19.5" x14ac:dyDescent="0.3">
      <c r="A790" s="39" t="str">
        <f ca="1">VLOOKUP(A785,Panchanga!$A$3:$Y$463,9,TRUE) &amp; " "&amp;ROUND(A789/13.333,2)</f>
        <v>Uttara Phalguni 11.32</v>
      </c>
      <c r="B790" s="32" t="str">
        <f ca="1">VLOOKUP(B785,Panchanga!$A$3:$Y$463,9,TRUE) &amp; " "&amp;ROUND(B789/13.333,2)</f>
        <v>Hasta 12.37</v>
      </c>
      <c r="C790" s="32" t="str">
        <f ca="1">VLOOKUP(C785,Panchanga!$A$3:$Y$463,9,TRUE) &amp; " "&amp;ROUND(C789/13.333,2)</f>
        <v>Chitra 13.41</v>
      </c>
      <c r="D790" s="32" t="str">
        <f ca="1">VLOOKUP(D785,Panchanga!$A$3:$Y$463,9,TRUE) &amp; " "&amp;ROUND(D789/13.333,2)</f>
        <v>Swati 14.43</v>
      </c>
      <c r="E790" s="32" t="str">
        <f ca="1">VLOOKUP(E785,Panchanga!$A$3:$Y$463,9,TRUE) &amp; " "&amp;ROUND(E789/13.333,2)</f>
        <v>Visakha 15.44</v>
      </c>
      <c r="F790" s="32" t="str">
        <f ca="1">VLOOKUP(F785,Panchanga!$A$3:$Y$463,9,TRUE) &amp; " "&amp;ROUND(F789/13.333,2)</f>
        <v>Anuradha 16.42</v>
      </c>
      <c r="G790" s="46" t="str">
        <f ca="1">VLOOKUP(G785,Panchanga!$A$3:$Y$463,9,TRUE) &amp; " "&amp;ROUND(G789/13.333,2)</f>
        <v>Jyestha 17.38</v>
      </c>
    </row>
    <row r="791" spans="1:7" s="28" customFormat="1" ht="19.5" x14ac:dyDescent="0.3">
      <c r="A791" s="40">
        <f ca="1">VLOOKUP(A785,Panchanga!$A$3:$Y$463,10,TRUE)</f>
        <v>43408.899968789527</v>
      </c>
      <c r="B791" s="34">
        <f ca="1">VLOOKUP(B785,Panchanga!$A$3:$Y$463,10,TRUE)</f>
        <v>43409.860007237694</v>
      </c>
      <c r="C791" s="34">
        <f ca="1">VLOOKUP(C785,Panchanga!$A$3:$Y$463,10,TRUE)</f>
        <v>43410.831632619665</v>
      </c>
      <c r="D791" s="34">
        <f ca="1">VLOOKUP(D785,Panchanga!$A$3:$Y$463,10,TRUE)</f>
        <v>43411.819342948293</v>
      </c>
      <c r="E791" s="34">
        <f ca="1">VLOOKUP(E785,Panchanga!$A$3:$Y$463,10,TRUE)</f>
        <v>43412.82757005126</v>
      </c>
      <c r="F791" s="34">
        <f ca="1">VLOOKUP(F785,Panchanga!$A$3:$Y$463,10,TRUE)</f>
        <v>43413.859977311076</v>
      </c>
      <c r="G791" s="47">
        <f ca="1">VLOOKUP(G785,Panchanga!$A$3:$Y$463,10,TRUE)</f>
        <v>43414.9186307493</v>
      </c>
    </row>
    <row r="792" spans="1:7" s="28" customFormat="1" ht="19.5" x14ac:dyDescent="0.3">
      <c r="A792" s="38" t="str">
        <f ca="1">VLOOKUP(A785,Panchanga!$A$3:$Y$463,11,TRUE)</f>
        <v>K12 (26.13)</v>
      </c>
      <c r="B792" s="30" t="str">
        <f ca="1">VLOOKUP(B785,Panchanga!$A$3:$Y$463,11,TRUE)</f>
        <v>K13 (27.21)</v>
      </c>
      <c r="C792" s="30" t="str">
        <f ca="1">VLOOKUP(C785,Panchanga!$A$3:$Y$463,11,TRUE)</f>
        <v>K14 (28.28)</v>
      </c>
      <c r="D792" s="30" t="str">
        <f ca="1">VLOOKUP(D785,Panchanga!$A$3:$Y$463,11,TRUE)</f>
        <v>K15 (29.33)</v>
      </c>
      <c r="E792" s="30" t="str">
        <f ca="1">VLOOKUP(E785,Panchanga!$A$3:$Y$463,11,TRUE)</f>
        <v>S1 (0.37)</v>
      </c>
      <c r="F792" s="30" t="str">
        <f ca="1">VLOOKUP(F785,Panchanga!$A$3:$Y$463,11,TRUE)</f>
        <v>S2 (1.37)</v>
      </c>
      <c r="G792" s="45" t="str">
        <f ca="1">VLOOKUP(G785,Panchanga!$A$3:$Y$463,11,TRUE)</f>
        <v>S3 (2.36)</v>
      </c>
    </row>
    <row r="793" spans="1:7" s="28" customFormat="1" ht="19.5" x14ac:dyDescent="0.3">
      <c r="A793" s="41" t="str">
        <f ca="1">VLOOKUP(A785,Panchanga!$A$3:$Y$463,13,TRUE)</f>
        <v>Kaulava</v>
      </c>
      <c r="B793" s="36" t="str">
        <f ca="1">VLOOKUP(B785,Panchanga!$A$3:$Y$463,13,TRUE)</f>
        <v>Garija</v>
      </c>
      <c r="C793" s="36" t="str">
        <f ca="1">VLOOKUP(C785,Panchanga!$A$3:$Y$463,13,TRUE)</f>
        <v>Vishti</v>
      </c>
      <c r="D793" s="36" t="str">
        <f ca="1">VLOOKUP(D785,Panchanga!$A$3:$Y$463,13,TRUE)</f>
        <v>Chatushapda</v>
      </c>
      <c r="E793" s="36" t="str">
        <f ca="1">VLOOKUP(E785,Panchanga!$A$3:$Y$463,13,TRUE)</f>
        <v>Kimstugna</v>
      </c>
      <c r="F793" s="36" t="str">
        <f ca="1">VLOOKUP(F785,Panchanga!$A$3:$Y$463,13,TRUE)</f>
        <v>Baalava</v>
      </c>
      <c r="G793" s="48" t="str">
        <f ca="1">VLOOKUP(G785,Panchanga!$A$3:$Y$463,13,TRUE)</f>
        <v>Taitula</v>
      </c>
    </row>
    <row r="794" spans="1:7" s="28" customFormat="1" ht="19.5" x14ac:dyDescent="0.3">
      <c r="A794" s="41" t="str">
        <f ca="1">VLOOKUP(A785,Panchanga!$A$3:$Y$463,14,TRUE)</f>
        <v>Vaidhriti-वैधृति-Ke (26.13)</v>
      </c>
      <c r="B794" s="36" t="str">
        <f ca="1">VLOOKUP(B785,Panchanga!$A$3:$Y$463,14,TRUE)</f>
        <v>Vishkambha-विष्कम्भ-Sa (0.26)</v>
      </c>
      <c r="C794" s="36" t="str">
        <f ca="1">VLOOKUP(C785,Panchanga!$A$3:$Y$463,14,TRUE)</f>
        <v>Priti-प्रीति-Me (1.37)</v>
      </c>
      <c r="D794" s="36" t="str">
        <f ca="1">VLOOKUP(D785,Panchanga!$A$3:$Y$463,14,TRUE)</f>
        <v>Ayushman-आयुष्मान-Ke (2.47)</v>
      </c>
      <c r="E794" s="36" t="str">
        <f ca="1">VLOOKUP(E785,Panchanga!$A$3:$Y$463,14,TRUE)</f>
        <v>Saubhagya-सौभाग्य-Ve (3.55)</v>
      </c>
      <c r="F794" s="36" t="str">
        <f ca="1">VLOOKUP(F785,Panchanga!$A$3:$Y$463,14,TRUE)</f>
        <v>Shobhana-शोभन-Su (4.61)</v>
      </c>
      <c r="G794" s="48" t="str">
        <f ca="1">VLOOKUP(G785,Panchanga!$A$3:$Y$463,14,TRUE)</f>
        <v>Atiganda-अतिगण्ड -Mo (5.64)</v>
      </c>
    </row>
    <row r="795" spans="1:7" s="28" customFormat="1" ht="19.5" x14ac:dyDescent="0.3">
      <c r="A795" s="63" t="str">
        <f ca="1">VLOOKUP(A785,Panchanga!$A$3:$Y$463,18,TRUE)</f>
        <v>10Ma,8Me,8Ju,-7Ve,9Sa,4Ra</v>
      </c>
      <c r="B795" s="64" t="str">
        <f ca="1">VLOOKUP(B785,Panchanga!$A$3:$Y$463,18,TRUE)</f>
        <v>10Ma,8Me,8Ju,-7Ve,9Sa,4Ra</v>
      </c>
      <c r="C795" s="64" t="str">
        <f ca="1">VLOOKUP(C785,Panchanga!$A$3:$Y$463,18,TRUE)</f>
        <v>10Ma,8Me,8Ju,-7Ve,9Sa,4Ra</v>
      </c>
      <c r="D795" s="64" t="str">
        <f ca="1">VLOOKUP(D785,Panchanga!$A$3:$Y$463,18,TRUE)</f>
        <v>11Ma,8Me,8Ju,-7Ve,9Sa,4Ra</v>
      </c>
      <c r="E795" s="64" t="str">
        <f ca="1">VLOOKUP(E785,Panchanga!$A$3:$Y$463,18,TRUE)</f>
        <v>11Ma,8Me,8Ju,-7Ve,9Sa,4Ra</v>
      </c>
      <c r="F795" s="64" t="str">
        <f ca="1">VLOOKUP(F785,Panchanga!$A$3:$Y$463,18,TRUE)</f>
        <v>11Ma,8Me,8Ju,-7Ve,9Sa,4Ra</v>
      </c>
      <c r="G795" s="65" t="str">
        <f ca="1">VLOOKUP(G785,Panchanga!$A$3:$Y$463,18,TRUE)</f>
        <v>11Ma,8Me,8Ju,-7Ve,9Sa,4Ra</v>
      </c>
    </row>
    <row r="796" spans="1:7" ht="5.85" customHeight="1" thickBot="1" x14ac:dyDescent="0.4">
      <c r="A796" s="42"/>
      <c r="B796" s="16"/>
      <c r="C796" s="16"/>
      <c r="D796" s="16"/>
      <c r="E796" s="16"/>
      <c r="F796" s="16"/>
      <c r="G796" s="49"/>
    </row>
    <row r="797" spans="1:7" s="18" customFormat="1" ht="27.75" x14ac:dyDescent="0.4">
      <c r="A797" s="43">
        <f ca="1">G785+1</f>
        <v>43415</v>
      </c>
      <c r="B797" s="19">
        <f t="shared" ref="B797:G797" ca="1" si="52">A797+1</f>
        <v>43416</v>
      </c>
      <c r="C797" s="19">
        <f t="shared" ca="1" si="52"/>
        <v>43417</v>
      </c>
      <c r="D797" s="19">
        <f t="shared" ca="1" si="52"/>
        <v>43418</v>
      </c>
      <c r="E797" s="19">
        <f t="shared" ca="1" si="52"/>
        <v>43419</v>
      </c>
      <c r="F797" s="19">
        <f t="shared" ca="1" si="52"/>
        <v>43420</v>
      </c>
      <c r="G797" s="50">
        <f t="shared" ca="1" si="52"/>
        <v>43421</v>
      </c>
    </row>
    <row r="798" spans="1:7" s="28" customFormat="1" ht="19.5" x14ac:dyDescent="0.3">
      <c r="A798" s="37">
        <f ca="1">VLOOKUP(A797,Panchanga!$A$3:$Y$463,3,TRUE)</f>
        <v>43415.255618618488</v>
      </c>
      <c r="B798" s="27">
        <f ca="1">VLOOKUP(B797,Panchanga!$A$3:$Y$463,3,TRUE)</f>
        <v>43416.255896137714</v>
      </c>
      <c r="C798" s="27">
        <f ca="1">VLOOKUP(C797,Panchanga!$A$3:$Y$463,3,TRUE)</f>
        <v>43417.25618017387</v>
      </c>
      <c r="D798" s="27">
        <f ca="1">VLOOKUP(D797,Panchanga!$A$3:$Y$463,3,TRUE)</f>
        <v>43418.25647072649</v>
      </c>
      <c r="E798" s="27">
        <f ca="1">VLOOKUP(E797,Panchanga!$A$3:$Y$463,3,TRUE)</f>
        <v>43419.256767477993</v>
      </c>
      <c r="F798" s="27">
        <f ca="1">VLOOKUP(F797,Panchanga!$A$3:$Y$463,3,TRUE)</f>
        <v>43420.257070428845</v>
      </c>
      <c r="G798" s="44">
        <f ca="1">VLOOKUP(G797,Panchanga!$A$3:$Y$463,3,TRUE)</f>
        <v>43421.257379419323</v>
      </c>
    </row>
    <row r="799" spans="1:7" s="28" customFormat="1" ht="19.5" x14ac:dyDescent="0.3">
      <c r="A799" s="37">
        <f ca="1">VLOOKUP(A797,Panchanga!$A$3:$Y$463,4,TRUE)</f>
        <v>43414.735540211244</v>
      </c>
      <c r="B799" s="27">
        <f ca="1">VLOOKUP(B797,Panchanga!$A$3:$Y$463,4,TRUE)</f>
        <v>43415.735415597956</v>
      </c>
      <c r="C799" s="27">
        <f ca="1">VLOOKUP(C797,Panchanga!$A$3:$Y$463,4,TRUE)</f>
        <v>43416.735303541223</v>
      </c>
      <c r="D799" s="27">
        <f ca="1">VLOOKUP(D797,Panchanga!$A$3:$Y$463,4,TRUE)</f>
        <v>43417.735204359094</v>
      </c>
      <c r="E799" s="27">
        <f ca="1">VLOOKUP(E797,Panchanga!$A$3:$Y$463,4,TRUE)</f>
        <v>43418.735118051569</v>
      </c>
      <c r="F799" s="27">
        <f ca="1">VLOOKUP(F797,Panchanga!$A$3:$Y$463,4,TRUE)</f>
        <v>43419.735044777437</v>
      </c>
      <c r="G799" s="44">
        <f ca="1">VLOOKUP(G797,Panchanga!$A$3:$Y$463,4,TRUE)</f>
        <v>43420.734984537165</v>
      </c>
    </row>
    <row r="800" spans="1:7" s="28" customFormat="1" ht="19.5" x14ac:dyDescent="0.3">
      <c r="A800" s="38">
        <f ca="1">VLOOKUP(A797,Panchanga!$A$3:$Y$463,6,TRUE)</f>
        <v>204.44703446900874</v>
      </c>
      <c r="B800" s="30">
        <f ca="1">VLOOKUP(B797,Panchanga!$A$3:$Y$463,6,TRUE)</f>
        <v>205.45300065676392</v>
      </c>
      <c r="C800" s="30">
        <f ca="1">VLOOKUP(C797,Panchanga!$A$3:$Y$463,6,TRUE)</f>
        <v>206.4593862352055</v>
      </c>
      <c r="D800" s="30">
        <f ca="1">VLOOKUP(D797,Panchanga!$A$3:$Y$463,6,TRUE)</f>
        <v>207.46617832546252</v>
      </c>
      <c r="E800" s="30">
        <f ca="1">VLOOKUP(E797,Panchanga!$A$3:$Y$463,6,TRUE)</f>
        <v>208.4733657836149</v>
      </c>
      <c r="F800" s="30">
        <f ca="1">VLOOKUP(F797,Panchanga!$A$3:$Y$463,6,TRUE)</f>
        <v>209.48093967964249</v>
      </c>
      <c r="G800" s="45">
        <f ca="1">VLOOKUP(G797,Panchanga!$A$3:$Y$463,6,TRUE)</f>
        <v>210.4888928094415</v>
      </c>
    </row>
    <row r="801" spans="1:7" s="28" customFormat="1" ht="19.5" x14ac:dyDescent="0.3">
      <c r="A801" s="38">
        <f ca="1">VLOOKUP(A797,Panchanga!$A$3:$Y$463,7,TRUE)</f>
        <v>244.20588858083366</v>
      </c>
      <c r="B801" s="30">
        <f ca="1">VLOOKUP(B797,Panchanga!$A$3:$Y$463,7,TRUE)</f>
        <v>256.41876972443021</v>
      </c>
      <c r="C801" s="30">
        <f ca="1">VLOOKUP(C797,Panchanga!$A$3:$Y$463,7,TRUE)</f>
        <v>268.41599172667947</v>
      </c>
      <c r="D801" s="30">
        <f ca="1">VLOOKUP(D797,Panchanga!$A$3:$Y$463,7,TRUE)</f>
        <v>280.27046034178443</v>
      </c>
      <c r="E801" s="30">
        <f ca="1">VLOOKUP(E797,Panchanga!$A$3:$Y$463,7,TRUE)</f>
        <v>292.06675643381078</v>
      </c>
      <c r="F801" s="30">
        <f ca="1">VLOOKUP(F797,Panchanga!$A$3:$Y$463,7,TRUE)</f>
        <v>303.89579925242708</v>
      </c>
      <c r="G801" s="45">
        <f ca="1">VLOOKUP(G797,Panchanga!$A$3:$Y$463,7,TRUE)</f>
        <v>315.84958533443228</v>
      </c>
    </row>
    <row r="802" spans="1:7" s="28" customFormat="1" ht="19.5" x14ac:dyDescent="0.3">
      <c r="A802" s="39" t="str">
        <f ca="1">VLOOKUP(A797,Panchanga!$A$3:$Y$463,9,TRUE) &amp; " "&amp;ROUND(A801/13.333,2)</f>
        <v>Moola 18.32</v>
      </c>
      <c r="B802" s="32" t="str">
        <f ca="1">VLOOKUP(B797,Panchanga!$A$3:$Y$463,9,TRUE) &amp; " "&amp;ROUND(B801/13.333,2)</f>
        <v>Purva Asadha 19.23</v>
      </c>
      <c r="C802" s="32" t="str">
        <f ca="1">VLOOKUP(C797,Panchanga!$A$3:$Y$463,9,TRUE) &amp; " "&amp;ROUND(C801/13.333,2)</f>
        <v>Uttara Asadha 20.13</v>
      </c>
      <c r="D802" s="32" t="str">
        <f ca="1">VLOOKUP(D797,Panchanga!$A$3:$Y$463,9,TRUE) &amp; " "&amp;ROUND(D801/13.333,2)</f>
        <v>Sravana 21.02</v>
      </c>
      <c r="E802" s="32" t="str">
        <f ca="1">VLOOKUP(E797,Panchanga!$A$3:$Y$463,9,TRUE) &amp; " "&amp;ROUND(E801/13.333,2)</f>
        <v>Sravana 21.91</v>
      </c>
      <c r="F802" s="32" t="str">
        <f ca="1">VLOOKUP(F797,Panchanga!$A$3:$Y$463,9,TRUE) &amp; " "&amp;ROUND(F801/13.333,2)</f>
        <v>Dhanistha 22.79</v>
      </c>
      <c r="G802" s="46" t="str">
        <f ca="1">VLOOKUP(G797,Panchanga!$A$3:$Y$463,9,TRUE) &amp; " "&amp;ROUND(G801/13.333,2)</f>
        <v>Satabhisaj 23.69</v>
      </c>
    </row>
    <row r="803" spans="1:7" s="28" customFormat="1" ht="19.5" x14ac:dyDescent="0.3">
      <c r="A803" s="40">
        <f ca="1">VLOOKUP(A797,Panchanga!$A$3:$Y$463,10,TRUE)</f>
        <v>43416.003188146642</v>
      </c>
      <c r="B803" s="34">
        <f ca="1">VLOOKUP(B797,Panchanga!$A$3:$Y$463,10,TRUE)</f>
        <v>43417.110327914801</v>
      </c>
      <c r="C803" s="34">
        <f ca="1">VLOOKUP(C797,Panchanga!$A$3:$Y$463,10,TRUE)</f>
        <v>43418.233649043497</v>
      </c>
      <c r="D803" s="34">
        <f ca="1">VLOOKUP(D797,Panchanga!$A$3:$Y$463,10,TRUE)</f>
        <v>43419.364170068453</v>
      </c>
      <c r="E803" s="34">
        <f ca="1">VLOOKUP(E797,Panchanga!$A$3:$Y$463,10,TRUE)</f>
        <v>43419.363873406131</v>
      </c>
      <c r="F803" s="34">
        <f ca="1">VLOOKUP(F797,Panchanga!$A$3:$Y$463,10,TRUE)</f>
        <v>43420.488940362513</v>
      </c>
      <c r="G803" s="47">
        <f ca="1">VLOOKUP(G797,Panchanga!$A$3:$Y$463,10,TRUE)</f>
        <v>43421.598640815122</v>
      </c>
    </row>
    <row r="804" spans="1:7" s="28" customFormat="1" ht="19.5" x14ac:dyDescent="0.3">
      <c r="A804" s="38" t="str">
        <f ca="1">VLOOKUP(A797,Panchanga!$A$3:$Y$463,11,TRUE)</f>
        <v>S4 (3.31)</v>
      </c>
      <c r="B804" s="30" t="str">
        <f ca="1">VLOOKUP(B797,Panchanga!$A$3:$Y$463,11,TRUE)</f>
        <v>S5 (4.25)</v>
      </c>
      <c r="C804" s="30" t="str">
        <f ca="1">VLOOKUP(C797,Panchanga!$A$3:$Y$463,11,TRUE)</f>
        <v>S6 (5.16)</v>
      </c>
      <c r="D804" s="30" t="str">
        <f ca="1">VLOOKUP(D797,Panchanga!$A$3:$Y$463,11,TRUE)</f>
        <v>S7 (6.07)</v>
      </c>
      <c r="E804" s="30" t="str">
        <f ca="1">VLOOKUP(E797,Panchanga!$A$3:$Y$463,11,TRUE)</f>
        <v>S7 (6.97)</v>
      </c>
      <c r="F804" s="30" t="str">
        <f ca="1">VLOOKUP(F797,Panchanga!$A$3:$Y$463,11,TRUE)</f>
        <v>S8 (7.87)</v>
      </c>
      <c r="G804" s="45" t="str">
        <f ca="1">VLOOKUP(G797,Panchanga!$A$3:$Y$463,11,TRUE)</f>
        <v>S9 (8.78)</v>
      </c>
    </row>
    <row r="805" spans="1:7" s="28" customFormat="1" ht="19.5" x14ac:dyDescent="0.3">
      <c r="A805" s="41" t="str">
        <f ca="1">VLOOKUP(A797,Panchanga!$A$3:$Y$463,13,TRUE)</f>
        <v>Vanija</v>
      </c>
      <c r="B805" s="36" t="str">
        <f ca="1">VLOOKUP(B797,Panchanga!$A$3:$Y$463,13,TRUE)</f>
        <v>Bhava</v>
      </c>
      <c r="C805" s="36" t="str">
        <f ca="1">VLOOKUP(C797,Panchanga!$A$3:$Y$463,13,TRUE)</f>
        <v>Kaulava</v>
      </c>
      <c r="D805" s="36" t="str">
        <f ca="1">VLOOKUP(D797,Panchanga!$A$3:$Y$463,13,TRUE)</f>
        <v>Garija</v>
      </c>
      <c r="E805" s="36" t="str">
        <f ca="1">VLOOKUP(E797,Panchanga!$A$3:$Y$463,13,TRUE)</f>
        <v>Vanija</v>
      </c>
      <c r="F805" s="36" t="str">
        <f ca="1">VLOOKUP(F797,Panchanga!$A$3:$Y$463,13,TRUE)</f>
        <v>Bhava</v>
      </c>
      <c r="G805" s="48" t="str">
        <f ca="1">VLOOKUP(G797,Panchanga!$A$3:$Y$463,13,TRUE)</f>
        <v>Kaulava</v>
      </c>
    </row>
    <row r="806" spans="1:7" s="28" customFormat="1" ht="19.5" x14ac:dyDescent="0.3">
      <c r="A806" s="41" t="str">
        <f ca="1">VLOOKUP(A797,Panchanga!$A$3:$Y$463,14,TRUE)</f>
        <v>Sukarman-सुकर्मा -Ma (6.65)</v>
      </c>
      <c r="B806" s="36" t="str">
        <f ca="1">VLOOKUP(B797,Panchanga!$A$3:$Y$463,14,TRUE)</f>
        <v>Dhriti-धृति -Ra (7.65)</v>
      </c>
      <c r="C806" s="36" t="str">
        <f ca="1">VLOOKUP(C797,Panchanga!$A$3:$Y$463,14,TRUE)</f>
        <v>Shula-शूल -Ju (8.62)</v>
      </c>
      <c r="D806" s="36" t="str">
        <f ca="1">VLOOKUP(D797,Panchanga!$A$3:$Y$463,14,TRUE)</f>
        <v>Ganda-गण्ड -Sa (9.59)</v>
      </c>
      <c r="E806" s="36" t="str">
        <f ca="1">VLOOKUP(E797,Panchanga!$A$3:$Y$463,14,TRUE)</f>
        <v>Vriddhi-वृद्धि -Me (10.55)</v>
      </c>
      <c r="F806" s="36" t="str">
        <f ca="1">VLOOKUP(F797,Panchanga!$A$3:$Y$463,14,TRUE)</f>
        <v>Dhruva-ध्रुव -Ke (11.51)</v>
      </c>
      <c r="G806" s="48" t="str">
        <f ca="1">VLOOKUP(G797,Panchanga!$A$3:$Y$463,14,TRUE)</f>
        <v>Vyaghata-व्याघात-ve (12.48)</v>
      </c>
    </row>
    <row r="807" spans="1:7" s="28" customFormat="1" ht="19.5" x14ac:dyDescent="0.3">
      <c r="A807" s="63" t="str">
        <f ca="1">VLOOKUP(A797,Panchanga!$A$3:$Y$463,18,TRUE)</f>
        <v>11Ma,8Me,8Ju,-7Ve,9Sa,4Ra</v>
      </c>
      <c r="B807" s="64" t="str">
        <f ca="1">VLOOKUP(B797,Panchanga!$A$3:$Y$463,18,TRUE)</f>
        <v>11Ma,8Me,8Ju,-7Ve,9Sa,4Ra</v>
      </c>
      <c r="C807" s="64" t="str">
        <f ca="1">VLOOKUP(C797,Panchanga!$A$3:$Y$463,18,TRUE)</f>
        <v>11Ma,8Me,8Ju,-7Ve,9Sa,4Ra</v>
      </c>
      <c r="D807" s="64" t="str">
        <f ca="1">VLOOKUP(D797,Panchanga!$A$3:$Y$463,18,TRUE)</f>
        <v>11Ma,8Me,8Ju,-7Ve,9Sa,4Ra</v>
      </c>
      <c r="E807" s="64" t="str">
        <f ca="1">VLOOKUP(E797,Panchanga!$A$3:$Y$463,18,TRUE)</f>
        <v>11Ma,8Me,8Ju,-7Ve,9Sa,4Ra</v>
      </c>
      <c r="F807" s="64" t="str">
        <f ca="1">VLOOKUP(F797,Panchanga!$A$3:$Y$463,18,TRUE)</f>
        <v>11Ma,8Me,8Ju,7Ve,9Sa,4Ra</v>
      </c>
      <c r="G807" s="65" t="str">
        <f ca="1">VLOOKUP(G797,Panchanga!$A$3:$Y$463,18,TRUE)</f>
        <v>11Ma,-8Me,8Ju,7Ve,9Sa,4Ra</v>
      </c>
    </row>
    <row r="808" spans="1:7" ht="5.85" customHeight="1" thickBot="1" x14ac:dyDescent="0.4">
      <c r="A808" s="42"/>
      <c r="B808" s="16"/>
      <c r="C808" s="16"/>
      <c r="D808" s="16"/>
      <c r="E808" s="16"/>
      <c r="F808" s="16"/>
      <c r="G808" s="49"/>
    </row>
    <row r="809" spans="1:7" s="51" customFormat="1" ht="37.5" x14ac:dyDescent="0.5">
      <c r="A809" s="52">
        <f ca="1">G797+1</f>
        <v>43422</v>
      </c>
      <c r="B809" s="53">
        <f t="shared" ref="B809:G809" ca="1" si="53">A809+1</f>
        <v>43423</v>
      </c>
      <c r="C809" s="53">
        <f t="shared" ca="1" si="53"/>
        <v>43424</v>
      </c>
      <c r="D809" s="53">
        <f t="shared" ca="1" si="53"/>
        <v>43425</v>
      </c>
      <c r="E809" s="53">
        <f t="shared" ca="1" si="53"/>
        <v>43426</v>
      </c>
      <c r="F809" s="53">
        <f t="shared" ca="1" si="53"/>
        <v>43427</v>
      </c>
      <c r="G809" s="54">
        <f t="shared" ca="1" si="53"/>
        <v>43428</v>
      </c>
    </row>
    <row r="810" spans="1:7" s="28" customFormat="1" ht="19.5" x14ac:dyDescent="0.3">
      <c r="A810" s="37">
        <f ca="1">VLOOKUP(A809,Panchanga!$A$3:$Y$463,3,TRUE)</f>
        <v>43422.257694290638</v>
      </c>
      <c r="B810" s="27">
        <f ca="1">VLOOKUP(B809,Panchanga!$A$3:$Y$463,3,TRUE)</f>
        <v>43423.258014883999</v>
      </c>
      <c r="C810" s="27">
        <f ca="1">VLOOKUP(C809,Panchanga!$A$3:$Y$463,3,TRUE)</f>
        <v>43424.258340881825</v>
      </c>
      <c r="D810" s="27">
        <f ca="1">VLOOKUP(D809,Panchanga!$A$3:$Y$463,3,TRUE)</f>
        <v>43425.25867244244</v>
      </c>
      <c r="E810" s="27">
        <f ca="1">VLOOKUP(E809,Panchanga!$A$3:$Y$463,3,TRUE)</f>
        <v>43426.259009089474</v>
      </c>
      <c r="F810" s="27">
        <f ca="1">VLOOKUP(F809,Panchanga!$A$3:$Y$463,3,TRUE)</f>
        <v>43427.259350664135</v>
      </c>
      <c r="G810" s="44">
        <f ca="1">VLOOKUP(G809,Panchanga!$A$3:$Y$463,3,TRUE)</f>
        <v>43428.259697324749</v>
      </c>
    </row>
    <row r="811" spans="1:7" s="28" customFormat="1" ht="19.5" x14ac:dyDescent="0.3">
      <c r="A811" s="37">
        <f ca="1">VLOOKUP(A809,Panchanga!$A$3:$Y$463,4,TRUE)</f>
        <v>43421.734937330286</v>
      </c>
      <c r="B811" s="27">
        <f ca="1">VLOOKUP(B809,Panchanga!$A$3:$Y$463,4,TRUE)</f>
        <v>43422.734903156801</v>
      </c>
      <c r="C811" s="27">
        <f ca="1">VLOOKUP(C809,Panchanga!$A$3:$Y$463,4,TRUE)</f>
        <v>43423.734882335222</v>
      </c>
      <c r="D811" s="27">
        <f ca="1">VLOOKUP(D809,Panchanga!$A$3:$Y$463,4,TRUE)</f>
        <v>43424.734874546572</v>
      </c>
      <c r="E811" s="27">
        <f ca="1">VLOOKUP(E809,Panchanga!$A$3:$Y$463,4,TRUE)</f>
        <v>43425.734880109827</v>
      </c>
      <c r="F811" s="27">
        <f ca="1">VLOOKUP(F809,Panchanga!$A$3:$Y$463,4,TRUE)</f>
        <v>43426.734898865267</v>
      </c>
      <c r="G811" s="44">
        <f ca="1">VLOOKUP(G809,Panchanga!$A$3:$Y$463,4,TRUE)</f>
        <v>43427.734930972612</v>
      </c>
    </row>
    <row r="812" spans="1:7" s="28" customFormat="1" ht="19.5" x14ac:dyDescent="0.3">
      <c r="A812" s="38">
        <f ca="1">VLOOKUP(A809,Panchanga!$A$3:$Y$463,6,TRUE)</f>
        <v>211.49722002137406</v>
      </c>
      <c r="B812" s="30">
        <f ca="1">VLOOKUP(B809,Panchanga!$A$3:$Y$463,6,TRUE)</f>
        <v>212.50591849435239</v>
      </c>
      <c r="C812" s="30">
        <f ca="1">VLOOKUP(C809,Panchanga!$A$3:$Y$463,6,TRUE)</f>
        <v>213.51498789692147</v>
      </c>
      <c r="D812" s="30">
        <f ca="1">VLOOKUP(D809,Panchanga!$A$3:$Y$463,6,TRUE)</f>
        <v>214.52443129628509</v>
      </c>
      <c r="E812" s="30">
        <f ca="1">VLOOKUP(E809,Panchanga!$A$3:$Y$463,6,TRUE)</f>
        <v>215.53425414869912</v>
      </c>
      <c r="F812" s="30">
        <f ca="1">VLOOKUP(F809,Panchanga!$A$3:$Y$463,6,TRUE)</f>
        <v>216.54446510792877</v>
      </c>
      <c r="G812" s="45">
        <f ca="1">VLOOKUP(G809,Panchanga!$A$3:$Y$463,6,TRUE)</f>
        <v>217.55507550975045</v>
      </c>
    </row>
    <row r="813" spans="1:7" s="28" customFormat="1" ht="19.5" x14ac:dyDescent="0.3">
      <c r="A813" s="38">
        <f ca="1">VLOOKUP(A809,Panchanga!$A$3:$Y$463,7,TRUE)</f>
        <v>328.01539595115725</v>
      </c>
      <c r="B813" s="30">
        <f ca="1">VLOOKUP(B809,Panchanga!$A$3:$Y$463,7,TRUE)</f>
        <v>340.46901072645034</v>
      </c>
      <c r="C813" s="30">
        <f ca="1">VLOOKUP(C809,Panchanga!$A$3:$Y$463,7,TRUE)</f>
        <v>353.26714801656436</v>
      </c>
      <c r="D813" s="30">
        <f ca="1">VLOOKUP(D809,Panchanga!$A$3:$Y$463,7,TRUE)</f>
        <v>6.4400737361655089</v>
      </c>
      <c r="E813" s="30">
        <f ca="1">VLOOKUP(E809,Panchanga!$A$3:$Y$463,7,TRUE)</f>
        <v>19.985856320847322</v>
      </c>
      <c r="F813" s="30">
        <f ca="1">VLOOKUP(F809,Panchanga!$A$3:$Y$463,7,TRUE)</f>
        <v>33.86830317578768</v>
      </c>
      <c r="G813" s="45">
        <f ca="1">VLOOKUP(G809,Panchanga!$A$3:$Y$463,7,TRUE)</f>
        <v>48.020489817475315</v>
      </c>
    </row>
    <row r="814" spans="1:7" s="28" customFormat="1" ht="19.5" x14ac:dyDescent="0.3">
      <c r="A814" s="39" t="str">
        <f ca="1">VLOOKUP(A809,Panchanga!$A$3:$Y$463,9,TRUE) &amp; " "&amp;ROUND(A813/13.333,2)</f>
        <v>Purva Bhadrapada 24.6</v>
      </c>
      <c r="B814" s="32" t="str">
        <f ca="1">VLOOKUP(B809,Panchanga!$A$3:$Y$463,9,TRUE) &amp; " "&amp;ROUND(B813/13.333,2)</f>
        <v>Uttara Bhadrapada 25.54</v>
      </c>
      <c r="C814" s="32" t="str">
        <f ca="1">VLOOKUP(C809,Panchanga!$A$3:$Y$463,9,TRUE) &amp; " "&amp;ROUND(C813/13.333,2)</f>
        <v>Revati 26.5</v>
      </c>
      <c r="D814" s="32" t="str">
        <f ca="1">VLOOKUP(D809,Panchanga!$A$3:$Y$463,9,TRUE) &amp; " "&amp;ROUND(D813/13.333,2)</f>
        <v>Aswini 0.48</v>
      </c>
      <c r="E814" s="32" t="str">
        <f ca="1">VLOOKUP(E809,Panchanga!$A$3:$Y$463,9,TRUE) &amp; " "&amp;ROUND(E813/13.333,2)</f>
        <v>Bharani 1.5</v>
      </c>
      <c r="F814" s="32" t="str">
        <f ca="1">VLOOKUP(F809,Panchanga!$A$3:$Y$463,9,TRUE) &amp; " "&amp;ROUND(F813/13.333,2)</f>
        <v>Krittika 2.54</v>
      </c>
      <c r="G814" s="46" t="str">
        <f ca="1">VLOOKUP(G809,Panchanga!$A$3:$Y$463,9,TRUE) &amp; " "&amp;ROUND(G813/13.333,2)</f>
        <v>Rohini 3.6</v>
      </c>
    </row>
    <row r="815" spans="1:7" s="28" customFormat="1" ht="19.5" x14ac:dyDescent="0.3">
      <c r="A815" s="40">
        <f ca="1">VLOOKUP(A809,Panchanga!$A$3:$Y$463,10,TRUE)</f>
        <v>43422.684850772799</v>
      </c>
      <c r="B815" s="34">
        <f ca="1">VLOOKUP(B809,Panchanga!$A$3:$Y$463,10,TRUE)</f>
        <v>43423.742435094689</v>
      </c>
      <c r="C815" s="34">
        <f ca="1">VLOOKUP(C809,Panchanga!$A$3:$Y$463,10,TRUE)</f>
        <v>43424.238921739459</v>
      </c>
      <c r="D815" s="34">
        <f ca="1">VLOOKUP(D809,Panchanga!$A$3:$Y$463,10,TRUE)</f>
        <v>43425.767729792904</v>
      </c>
      <c r="E815" s="34">
        <f ca="1">VLOOKUP(E809,Panchanga!$A$3:$Y$463,10,TRUE)</f>
        <v>43426.740415026856</v>
      </c>
      <c r="F815" s="34">
        <f ca="1">VLOOKUP(F809,Panchanga!$A$3:$Y$463,10,TRUE)</f>
        <v>43427.692769371599</v>
      </c>
      <c r="G815" s="47">
        <f ca="1">VLOOKUP(G809,Panchanga!$A$3:$Y$463,10,TRUE)</f>
        <v>43428.630472365621</v>
      </c>
    </row>
    <row r="816" spans="1:7" s="28" customFormat="1" ht="19.5" x14ac:dyDescent="0.3">
      <c r="A816" s="38" t="str">
        <f ca="1">VLOOKUP(A809,Panchanga!$A$3:$Y$463,11,TRUE)</f>
        <v>S10 (9.71)</v>
      </c>
      <c r="B816" s="30" t="str">
        <f ca="1">VLOOKUP(B809,Panchanga!$A$3:$Y$463,11,TRUE)</f>
        <v>S11 (10.66)</v>
      </c>
      <c r="C816" s="30" t="str">
        <f ca="1">VLOOKUP(C809,Panchanga!$A$3:$Y$463,11,TRUE)</f>
        <v>S12 (11.65)</v>
      </c>
      <c r="D816" s="30" t="str">
        <f ca="1">VLOOKUP(D809,Panchanga!$A$3:$Y$463,11,TRUE)</f>
        <v>S13 (12.66)</v>
      </c>
      <c r="E816" s="30" t="str">
        <f ca="1">VLOOKUP(E809,Panchanga!$A$3:$Y$463,11,TRUE)</f>
        <v>S14 (13.7)</v>
      </c>
      <c r="F816" s="30" t="str">
        <f ca="1">VLOOKUP(F809,Panchanga!$A$3:$Y$463,11,TRUE)</f>
        <v>S15 (14.78)</v>
      </c>
      <c r="G816" s="45" t="str">
        <f ca="1">VLOOKUP(G809,Panchanga!$A$3:$Y$463,11,TRUE)</f>
        <v>K1 (15.87)</v>
      </c>
    </row>
    <row r="817" spans="1:7" s="28" customFormat="1" ht="19.5" x14ac:dyDescent="0.3">
      <c r="A817" s="41" t="str">
        <f ca="1">VLOOKUP(A809,Panchanga!$A$3:$Y$463,13,TRUE)</f>
        <v>Garija</v>
      </c>
      <c r="B817" s="36" t="str">
        <f ca="1">VLOOKUP(B809,Panchanga!$A$3:$Y$463,13,TRUE)</f>
        <v>Vishti</v>
      </c>
      <c r="C817" s="36" t="str">
        <f ca="1">VLOOKUP(C809,Panchanga!$A$3:$Y$463,13,TRUE)</f>
        <v>Baalava</v>
      </c>
      <c r="D817" s="36" t="str">
        <f ca="1">VLOOKUP(D809,Panchanga!$A$3:$Y$463,13,TRUE)</f>
        <v>Taitula</v>
      </c>
      <c r="E817" s="36" t="str">
        <f ca="1">VLOOKUP(E809,Panchanga!$A$3:$Y$463,13,TRUE)</f>
        <v>Vanija</v>
      </c>
      <c r="F817" s="36" t="str">
        <f ca="1">VLOOKUP(F809,Panchanga!$A$3:$Y$463,13,TRUE)</f>
        <v>Bhava</v>
      </c>
      <c r="G817" s="48" t="str">
        <f ca="1">VLOOKUP(G809,Panchanga!$A$3:$Y$463,13,TRUE)</f>
        <v>Kaulava</v>
      </c>
    </row>
    <row r="818" spans="1:7" s="28" customFormat="1" ht="19.5" x14ac:dyDescent="0.3">
      <c r="A818" s="41" t="str">
        <f ca="1">VLOOKUP(A809,Panchanga!$A$3:$Y$463,14,TRUE)</f>
        <v>Harshana-हर्षण-su (13.47)</v>
      </c>
      <c r="B818" s="36" t="str">
        <f ca="1">VLOOKUP(B809,Panchanga!$A$3:$Y$463,14,TRUE)</f>
        <v>Vajra-वज्र-Mo (14.48)</v>
      </c>
      <c r="C818" s="36" t="str">
        <f ca="1">VLOOKUP(C809,Panchanga!$A$3:$Y$463,14,TRUE)</f>
        <v>Siddhi-सिद्धि-Ma (15.51)</v>
      </c>
      <c r="D818" s="36" t="str">
        <f ca="1">VLOOKUP(D809,Panchanga!$A$3:$Y$463,14,TRUE)</f>
        <v>Vyatipata-व्यतिपात-Ra (16.58)</v>
      </c>
      <c r="E818" s="36" t="str">
        <f ca="1">VLOOKUP(E809,Panchanga!$A$3:$Y$463,14,TRUE)</f>
        <v>Varigha-वरीयस्-Ju (17.67)</v>
      </c>
      <c r="F818" s="36" t="str">
        <f ca="1">VLOOKUP(F809,Panchanga!$A$3:$Y$463,14,TRUE)</f>
        <v>Parigha-परिघ-Sa (18.79)</v>
      </c>
      <c r="G818" s="48" t="str">
        <f ca="1">VLOOKUP(G809,Panchanga!$A$3:$Y$463,14,TRUE)</f>
        <v>Shiva-शिव-Me (19.92)</v>
      </c>
    </row>
    <row r="819" spans="1:7" s="28" customFormat="1" ht="19.5" x14ac:dyDescent="0.3">
      <c r="A819" s="63" t="str">
        <f ca="1">VLOOKUP(A809,Panchanga!$A$3:$Y$463,18,TRUE)</f>
        <v>11Ma,-8Me,8Ju,7Ve,9Sa,4Ra</v>
      </c>
      <c r="B819" s="64" t="str">
        <f ca="1">VLOOKUP(B809,Panchanga!$A$3:$Y$463,18,TRUE)</f>
        <v>11Ma,-8Me,8Ju,7Ve,9Sa,4Ra</v>
      </c>
      <c r="C819" s="64" t="str">
        <f ca="1">VLOOKUP(C809,Panchanga!$A$3:$Y$463,18,TRUE)</f>
        <v>11Ma,-8Me,8Ju,7Ve,9Sa,4Ra</v>
      </c>
      <c r="D819" s="64" t="str">
        <f ca="1">VLOOKUP(D809,Panchanga!$A$3:$Y$463,18,TRUE)</f>
        <v>11Ma,-8Me,8Ju,7Ve,9Sa,4Ra</v>
      </c>
      <c r="E819" s="64" t="str">
        <f ca="1">VLOOKUP(E809,Panchanga!$A$3:$Y$463,18,TRUE)</f>
        <v>11Ma,-8Me,8Ju,7Ve,9Sa,4Ra</v>
      </c>
      <c r="F819" s="64" t="str">
        <f ca="1">VLOOKUP(F809,Panchanga!$A$3:$Y$463,18,TRUE)</f>
        <v>11Ma,-8Me,8Ju,7Ve,9Sa,4Ra</v>
      </c>
      <c r="G819" s="65" t="str">
        <f ca="1">VLOOKUP(G809,Panchanga!$A$3:$Y$463,18,TRUE)</f>
        <v>11Ma,-8Me,8Ju,7Ve,9Sa,4Ra</v>
      </c>
    </row>
    <row r="820" spans="1:7" ht="5.85" customHeight="1" thickBot="1" x14ac:dyDescent="0.4">
      <c r="A820" s="42"/>
      <c r="B820" s="16"/>
      <c r="C820" s="16"/>
      <c r="D820" s="16"/>
      <c r="E820" s="16"/>
      <c r="F820" s="16"/>
      <c r="G820" s="49"/>
    </row>
    <row r="821" spans="1:7" s="51" customFormat="1" ht="37.5" x14ac:dyDescent="0.5">
      <c r="A821" s="52">
        <f ca="1">G809+1</f>
        <v>43429</v>
      </c>
      <c r="B821" s="53">
        <f t="shared" ref="B821:G821" ca="1" si="54">A821+1</f>
        <v>43430</v>
      </c>
      <c r="C821" s="53">
        <f t="shared" ca="1" si="54"/>
        <v>43431</v>
      </c>
      <c r="D821" s="53">
        <f t="shared" ca="1" si="54"/>
        <v>43432</v>
      </c>
      <c r="E821" s="53">
        <f t="shared" ca="1" si="54"/>
        <v>43433</v>
      </c>
      <c r="F821" s="53">
        <f t="shared" ca="1" si="54"/>
        <v>43434</v>
      </c>
      <c r="G821" s="54">
        <f t="shared" ca="1" si="54"/>
        <v>43435</v>
      </c>
    </row>
    <row r="822" spans="1:7" s="28" customFormat="1" ht="19.5" x14ac:dyDescent="0.3">
      <c r="A822" s="37">
        <f ca="1">VLOOKUP(A821,Panchanga!$A$3:$Y$463,3,TRUE)</f>
        <v>43429.260048435688</v>
      </c>
      <c r="B822" s="27">
        <f ca="1">VLOOKUP(B821,Panchanga!$A$3:$Y$463,3,TRUE)</f>
        <v>43430.260404156208</v>
      </c>
      <c r="C822" s="27">
        <f ca="1">VLOOKUP(C821,Panchanga!$A$3:$Y$463,3,TRUE)</f>
        <v>43431.260764168263</v>
      </c>
      <c r="D822" s="27">
        <f ca="1">VLOOKUP(D821,Panchanga!$A$3:$Y$463,3,TRUE)</f>
        <v>43432.261128153805</v>
      </c>
      <c r="E822" s="27">
        <f ca="1">VLOOKUP(E821,Panchanga!$A$3:$Y$463,3,TRUE)</f>
        <v>43433.261495795254</v>
      </c>
      <c r="F822" s="27">
        <f ca="1">VLOOKUP(F821,Panchanga!$A$3:$Y$463,3,TRUE)</f>
        <v>43434.261866933819</v>
      </c>
      <c r="G822" s="44">
        <f ca="1">VLOOKUP(G821,Panchanga!$A$3:$Y$463,3,TRUE)</f>
        <v>43435.262241250988</v>
      </c>
    </row>
    <row r="823" spans="1:7" s="28" customFormat="1" ht="19.5" x14ac:dyDescent="0.3">
      <c r="A823" s="37">
        <f ca="1">VLOOKUP(A821,Panchanga!$A$3:$Y$463,4,TRUE)</f>
        <v>43428.734976272142</v>
      </c>
      <c r="B823" s="27">
        <f ca="1">VLOOKUP(B821,Panchanga!$A$3:$Y$463,4,TRUE)</f>
        <v>43429.735035081903</v>
      </c>
      <c r="C823" s="27">
        <f ca="1">VLOOKUP(C821,Panchanga!$A$3:$Y$463,4,TRUE)</f>
        <v>43430.735106925524</v>
      </c>
      <c r="D823" s="27">
        <f ca="1">VLOOKUP(D821,Panchanga!$A$3:$Y$463,4,TRUE)</f>
        <v>43431.735192120119</v>
      </c>
      <c r="E823" s="27">
        <f ca="1">VLOOKUP(E821,Panchanga!$A$3:$Y$463,4,TRUE)</f>
        <v>43432.73529066662</v>
      </c>
      <c r="F823" s="27">
        <f ca="1">VLOOKUP(F821,Panchanga!$A$3:$Y$463,4,TRUE)</f>
        <v>43433.735402087725</v>
      </c>
      <c r="G823" s="44">
        <f ca="1">VLOOKUP(G821,Panchanga!$A$3:$Y$463,4,TRUE)</f>
        <v>43434.735526701013</v>
      </c>
    </row>
    <row r="824" spans="1:7" s="28" customFormat="1" ht="19.5" x14ac:dyDescent="0.3">
      <c r="A824" s="38">
        <f ca="1">VLOOKUP(A821,Panchanga!$A$3:$Y$463,6,TRUE)</f>
        <v>218.56609729398494</v>
      </c>
      <c r="B824" s="30">
        <f ca="1">VLOOKUP(B821,Panchanga!$A$3:$Y$463,6,TRUE)</f>
        <v>219.57754323609936</v>
      </c>
      <c r="C824" s="30">
        <f ca="1">VLOOKUP(C821,Panchanga!$A$3:$Y$463,6,TRUE)</f>
        <v>220.58942402514708</v>
      </c>
      <c r="D824" s="30">
        <f ca="1">VLOOKUP(D821,Panchanga!$A$3:$Y$463,6,TRUE)</f>
        <v>221.60174711416221</v>
      </c>
      <c r="E824" s="30">
        <f ca="1">VLOOKUP(E821,Panchanga!$A$3:$Y$463,6,TRUE)</f>
        <v>222.61451542279093</v>
      </c>
      <c r="F824" s="30">
        <f ca="1">VLOOKUP(F821,Panchanga!$A$3:$Y$463,6,TRUE)</f>
        <v>223.62772678433171</v>
      </c>
      <c r="G824" s="45">
        <f ca="1">VLOOKUP(G821,Panchanga!$A$3:$Y$463,6,TRUE)</f>
        <v>224.64137354982168</v>
      </c>
    </row>
    <row r="825" spans="1:7" s="28" customFormat="1" ht="19.5" x14ac:dyDescent="0.3">
      <c r="A825" s="38">
        <f ca="1">VLOOKUP(A821,Panchanga!$A$3:$Y$463,7,TRUE)</f>
        <v>62.354542349232446</v>
      </c>
      <c r="B825" s="30">
        <f ca="1">VLOOKUP(B821,Panchanga!$A$3:$Y$463,7,TRUE)</f>
        <v>76.775883756195839</v>
      </c>
      <c r="C825" s="30">
        <f ca="1">VLOOKUP(C821,Panchanga!$A$3:$Y$463,7,TRUE)</f>
        <v>91.197712185922825</v>
      </c>
      <c r="D825" s="30">
        <f ca="1">VLOOKUP(D821,Panchanga!$A$3:$Y$463,7,TRUE)</f>
        <v>105.55131100391795</v>
      </c>
      <c r="E825" s="30">
        <f ca="1">VLOOKUP(E821,Panchanga!$A$3:$Y$463,7,TRUE)</f>
        <v>119.78974482571478</v>
      </c>
      <c r="F825" s="30">
        <f ca="1">VLOOKUP(F821,Panchanga!$A$3:$Y$463,7,TRUE)</f>
        <v>133.88544922663718</v>
      </c>
      <c r="G825" s="45">
        <f ca="1">VLOOKUP(G821,Panchanga!$A$3:$Y$463,7,TRUE)</f>
        <v>147.82410451523842</v>
      </c>
    </row>
    <row r="826" spans="1:7" s="28" customFormat="1" ht="19.5" x14ac:dyDescent="0.3">
      <c r="A826" s="39" t="str">
        <f ca="1">VLOOKUP(A821,Panchanga!$A$3:$Y$463,9,TRUE) &amp; " "&amp;ROUND(A825/13.333,2)</f>
        <v>Mrigashira 4.68</v>
      </c>
      <c r="B826" s="32" t="str">
        <f ca="1">VLOOKUP(B821,Panchanga!$A$3:$Y$463,9,TRUE) &amp; " "&amp;ROUND(B825/13.333,2)</f>
        <v>Ardra 5.76</v>
      </c>
      <c r="C826" s="32" t="str">
        <f ca="1">VLOOKUP(C821,Panchanga!$A$3:$Y$463,9,TRUE) &amp; " "&amp;ROUND(C825/13.333,2)</f>
        <v>Punarvasu 6.84</v>
      </c>
      <c r="D826" s="32" t="str">
        <f ca="1">VLOOKUP(D821,Panchanga!$A$3:$Y$463,9,TRUE) &amp; " "&amp;ROUND(D825/13.333,2)</f>
        <v>Pushya 7.92</v>
      </c>
      <c r="E826" s="32" t="str">
        <f ca="1">VLOOKUP(E821,Panchanga!$A$3:$Y$463,9,TRUE) &amp; " "&amp;ROUND(E825/13.333,2)</f>
        <v>Aslesha 8.98</v>
      </c>
      <c r="F826" s="32" t="str">
        <f ca="1">VLOOKUP(F821,Panchanga!$A$3:$Y$463,9,TRUE) &amp; " "&amp;ROUND(F825/13.333,2)</f>
        <v>Purva Phalguni 10.04</v>
      </c>
      <c r="G826" s="46" t="str">
        <f ca="1">VLOOKUP(G821,Panchanga!$A$3:$Y$463,9,TRUE) &amp; " "&amp;ROUND(G825/13.333,2)</f>
        <v>Uttara Phalguni 11.09</v>
      </c>
    </row>
    <row r="827" spans="1:7" s="28" customFormat="1" ht="19.5" x14ac:dyDescent="0.3">
      <c r="A827" s="40">
        <f ca="1">VLOOKUP(A821,Panchanga!$A$3:$Y$463,10,TRUE)</f>
        <v>43429.559164731931</v>
      </c>
      <c r="B827" s="34">
        <f ca="1">VLOOKUP(B821,Panchanga!$A$3:$Y$463,10,TRUE)</f>
        <v>43430.484042717726</v>
      </c>
      <c r="C827" s="34">
        <f ca="1">VLOOKUP(C821,Panchanga!$A$3:$Y$463,10,TRUE)</f>
        <v>43431.409604783759</v>
      </c>
      <c r="D827" s="34">
        <f ca="1">VLOOKUP(D821,Panchanga!$A$3:$Y$463,10,TRUE)</f>
        <v>43432.339491106337</v>
      </c>
      <c r="E827" s="34">
        <f ca="1">VLOOKUP(E821,Panchanga!$A$3:$Y$463,10,TRUE)</f>
        <v>43433.276417590016</v>
      </c>
      <c r="F827" s="34">
        <f ca="1">VLOOKUP(F821,Panchanga!$A$3:$Y$463,10,TRUE)</f>
        <v>43435.17917218346</v>
      </c>
      <c r="G827" s="47">
        <f ca="1">VLOOKUP(G821,Panchanga!$A$3:$Y$463,10,TRUE)</f>
        <v>43436.146589640666</v>
      </c>
    </row>
    <row r="828" spans="1:7" s="28" customFormat="1" ht="19.5" x14ac:dyDescent="0.3">
      <c r="A828" s="38" t="str">
        <f ca="1">VLOOKUP(A821,Panchanga!$A$3:$Y$463,11,TRUE)</f>
        <v>K2 (16.98)</v>
      </c>
      <c r="B828" s="30" t="str">
        <f ca="1">VLOOKUP(B821,Panchanga!$A$3:$Y$463,11,TRUE)</f>
        <v>K4 (18.1)</v>
      </c>
      <c r="C828" s="30" t="str">
        <f ca="1">VLOOKUP(C821,Panchanga!$A$3:$Y$463,11,TRUE)</f>
        <v>K5 (19.22)</v>
      </c>
      <c r="D828" s="30" t="str">
        <f ca="1">VLOOKUP(D821,Panchanga!$A$3:$Y$463,11,TRUE)</f>
        <v>K6 (20.33)</v>
      </c>
      <c r="E828" s="30" t="str">
        <f ca="1">VLOOKUP(E821,Panchanga!$A$3:$Y$463,11,TRUE)</f>
        <v>K7 (21.43)</v>
      </c>
      <c r="F828" s="30" t="str">
        <f ca="1">VLOOKUP(F821,Panchanga!$A$3:$Y$463,11,TRUE)</f>
        <v>K8 (22.52)</v>
      </c>
      <c r="G828" s="45" t="str">
        <f ca="1">VLOOKUP(G821,Panchanga!$A$3:$Y$463,11,TRUE)</f>
        <v>K9 (23.6)</v>
      </c>
    </row>
    <row r="829" spans="1:7" s="28" customFormat="1" ht="19.5" x14ac:dyDescent="0.3">
      <c r="A829" s="41" t="str">
        <f ca="1">VLOOKUP(A821,Panchanga!$A$3:$Y$463,13,TRUE)</f>
        <v>Garija</v>
      </c>
      <c r="B829" s="36" t="str">
        <f ca="1">VLOOKUP(B821,Panchanga!$A$3:$Y$463,13,TRUE)</f>
        <v>Bhava</v>
      </c>
      <c r="C829" s="36" t="str">
        <f ca="1">VLOOKUP(C821,Panchanga!$A$3:$Y$463,13,TRUE)</f>
        <v>Kaulava</v>
      </c>
      <c r="D829" s="36" t="str">
        <f ca="1">VLOOKUP(D821,Panchanga!$A$3:$Y$463,13,TRUE)</f>
        <v>Garija</v>
      </c>
      <c r="E829" s="36" t="str">
        <f ca="1">VLOOKUP(E821,Panchanga!$A$3:$Y$463,13,TRUE)</f>
        <v>Vishti</v>
      </c>
      <c r="F829" s="36" t="str">
        <f ca="1">VLOOKUP(F821,Panchanga!$A$3:$Y$463,13,TRUE)</f>
        <v>Kaulava</v>
      </c>
      <c r="G829" s="48" t="str">
        <f ca="1">VLOOKUP(G821,Panchanga!$A$3:$Y$463,13,TRUE)</f>
        <v>Garija</v>
      </c>
    </row>
    <row r="830" spans="1:7" s="28" customFormat="1" ht="19.5" x14ac:dyDescent="0.3">
      <c r="A830" s="41" t="str">
        <f ca="1">VLOOKUP(A821,Panchanga!$A$3:$Y$463,14,TRUE)</f>
        <v>Sadhya-साध्य-Ve (21.07)</v>
      </c>
      <c r="B830" s="36" t="str">
        <f ca="1">VLOOKUP(B821,Panchanga!$A$3:$Y$463,14,TRUE)</f>
        <v>Shubha-शुभ-Su (22.23)</v>
      </c>
      <c r="C830" s="36" t="str">
        <f ca="1">VLOOKUP(C821,Panchanga!$A$3:$Y$463,14,TRUE)</f>
        <v>Shukla-शुक्ल-Mo (23.39)</v>
      </c>
      <c r="D830" s="36" t="str">
        <f ca="1">VLOOKUP(D821,Panchanga!$A$3:$Y$463,14,TRUE)</f>
        <v>Brahma-ब्रह्म-Ma (24.54)</v>
      </c>
      <c r="E830" s="36" t="str">
        <f ca="1">VLOOKUP(E821,Panchanga!$A$3:$Y$463,14,TRUE)</f>
        <v>Mahendra-महेन्द्र-Ra (25.69)</v>
      </c>
      <c r="F830" s="36" t="str">
        <f ca="1">VLOOKUP(F821,Panchanga!$A$3:$Y$463,14,TRUE)</f>
        <v>Vaidhriti-वैधृति-Ke (26.82)</v>
      </c>
      <c r="G830" s="48" t="str">
        <f ca="1">VLOOKUP(G821,Panchanga!$A$3:$Y$463,14,TRUE)</f>
        <v>Vishkambha-विष्कम्भ-Sa (0.94)</v>
      </c>
    </row>
    <row r="831" spans="1:7" s="28" customFormat="1" ht="19.5" x14ac:dyDescent="0.3">
      <c r="A831" s="63" t="str">
        <f ca="1">VLOOKUP(A821,Panchanga!$A$3:$Y$463,18,TRUE)</f>
        <v>11Ma,-8Me,8Ju,7Ve,9Sa,4Ra</v>
      </c>
      <c r="B831" s="64" t="str">
        <f ca="1">VLOOKUP(B821,Panchanga!$A$3:$Y$463,18,TRUE)</f>
        <v>11Ma,-8Me,8Ju,7Ve,9Sa,4Ra</v>
      </c>
      <c r="C831" s="64" t="str">
        <f ca="1">VLOOKUP(C821,Panchanga!$A$3:$Y$463,18,TRUE)</f>
        <v>11Ma,-8Me,8Ju,7Ve,9Sa,4Ra</v>
      </c>
      <c r="D831" s="64" t="str">
        <f ca="1">VLOOKUP(D821,Panchanga!$A$3:$Y$463,18,TRUE)</f>
        <v>11Ma,-8Me,8Ju,7Ve,9Sa,4Ra</v>
      </c>
      <c r="E831" s="64" t="str">
        <f ca="1">VLOOKUP(E821,Panchanga!$A$3:$Y$463,18,TRUE)</f>
        <v>11Ma,-8Me,8Ju,7Ve,9Sa,4Ra</v>
      </c>
      <c r="F831" s="64" t="str">
        <f ca="1">VLOOKUP(F821,Panchanga!$A$3:$Y$463,18,TRUE)</f>
        <v>11Ma,-8Me,8Ju,7Ve,9Sa,4Ra</v>
      </c>
      <c r="G831" s="65" t="str">
        <f ca="1">VLOOKUP(G821,Panchanga!$A$3:$Y$463,18,TRUE)</f>
        <v>11Ma,-8Me,8Ju,7Ve,9Sa,4Ra</v>
      </c>
    </row>
    <row r="832" spans="1:7" ht="5.85" customHeight="1" thickBot="1" x14ac:dyDescent="0.4">
      <c r="A832" s="42"/>
      <c r="B832" s="16"/>
      <c r="C832" s="16"/>
      <c r="D832" s="16"/>
      <c r="E832" s="16"/>
      <c r="F832" s="16"/>
      <c r="G832" s="17"/>
    </row>
    <row r="833" spans="1:7" s="51" customFormat="1" ht="37.5" x14ac:dyDescent="0.5">
      <c r="A833" s="52">
        <f ca="1">G821+1</f>
        <v>43436</v>
      </c>
      <c r="B833" s="53">
        <f ca="1">A833+1</f>
        <v>43437</v>
      </c>
      <c r="C833" s="53"/>
      <c r="D833" s="53"/>
      <c r="E833" s="53"/>
      <c r="F833" s="53"/>
      <c r="G833" s="55"/>
    </row>
    <row r="834" spans="1:7" s="28" customFormat="1" ht="19.5" x14ac:dyDescent="0.3">
      <c r="A834" s="37">
        <f ca="1">VLOOKUP(A833,Panchanga!$A$3:$Y$463,3,TRUE)</f>
        <v>43436.26261842918</v>
      </c>
      <c r="B834" s="27">
        <f ca="1">VLOOKUP(B833,Panchanga!$A$3:$Y$463,3,TRUE)</f>
        <v>43437.262997991558</v>
      </c>
      <c r="C834" s="27" t="s">
        <v>20</v>
      </c>
      <c r="D834" s="27"/>
      <c r="E834" s="27"/>
      <c r="F834" s="27"/>
      <c r="G834" s="26"/>
    </row>
    <row r="835" spans="1:7" s="28" customFormat="1" ht="19.5" x14ac:dyDescent="0.3">
      <c r="A835" s="37">
        <f ca="1">VLOOKUP(A833,Panchanga!$A$3:$Y$463,4,TRUE)</f>
        <v>43435.735664030115</v>
      </c>
      <c r="B835" s="27">
        <f ca="1">VLOOKUP(B833,Panchanga!$A$3:$Y$463,4,TRUE)</f>
        <v>43436.73581423382</v>
      </c>
      <c r="C835" s="27" t="s">
        <v>8</v>
      </c>
      <c r="D835" s="27"/>
      <c r="E835" s="27"/>
      <c r="F835" s="27"/>
      <c r="G835" s="26"/>
    </row>
    <row r="836" spans="1:7" s="28" customFormat="1" ht="19.5" x14ac:dyDescent="0.3">
      <c r="A836" s="38">
        <f ca="1">VLOOKUP(A833,Panchanga!$A$3:$Y$463,6,TRUE)</f>
        <v>225.65544319204398</v>
      </c>
      <c r="B836" s="30">
        <f ca="1">VLOOKUP(B833,Panchanga!$A$3:$Y$463,6,TRUE)</f>
        <v>226.66991886856658</v>
      </c>
      <c r="C836" s="30" t="s">
        <v>21</v>
      </c>
      <c r="D836" s="30"/>
      <c r="E836" s="30"/>
      <c r="F836" s="30"/>
      <c r="G836" s="29"/>
    </row>
    <row r="837" spans="1:7" s="28" customFormat="1" ht="19.5" x14ac:dyDescent="0.3">
      <c r="A837" s="38">
        <f ca="1">VLOOKUP(A833,Panchanga!$A$3:$Y$463,7,TRUE)</f>
        <v>161.59750887617344</v>
      </c>
      <c r="B837" s="30">
        <f ca="1">VLOOKUP(B833,Panchanga!$A$3:$Y$463,7,TRUE)</f>
        <v>175.19755880152178</v>
      </c>
      <c r="C837" s="30" t="s">
        <v>22</v>
      </c>
      <c r="D837" s="30"/>
      <c r="E837" s="30"/>
      <c r="F837" s="30"/>
      <c r="G837" s="29"/>
    </row>
    <row r="838" spans="1:7" s="28" customFormat="1" ht="19.5" x14ac:dyDescent="0.3">
      <c r="A838" s="39" t="str">
        <f ca="1">VLOOKUP(A833,Panchanga!$A$3:$Y$463,9,TRUE) &amp; " "&amp;ROUND(A837/13.333,2)</f>
        <v>Hasta 12.12</v>
      </c>
      <c r="B838" s="32" t="str">
        <f ca="1">VLOOKUP(B833,Panchanga!$A$3:$Y$463,9,TRUE) &amp; " "&amp;ROUND(B837/13.333,2)</f>
        <v>Chitra 13.14</v>
      </c>
      <c r="C838" s="32" t="s">
        <v>23</v>
      </c>
      <c r="D838" s="32"/>
      <c r="E838" s="32"/>
      <c r="F838" s="32"/>
      <c r="G838" s="31"/>
    </row>
    <row r="839" spans="1:7" s="28" customFormat="1" ht="19.5" x14ac:dyDescent="0.3">
      <c r="A839" s="40">
        <f ca="1">VLOOKUP(A833,Panchanga!$A$3:$Y$463,10,TRUE)</f>
        <v>43437.125871064207</v>
      </c>
      <c r="B839" s="34">
        <f ca="1">VLOOKUP(B833,Panchanga!$A$3:$Y$463,10,TRUE)</f>
        <v>43438.118257741837</v>
      </c>
      <c r="C839" s="34" t="s">
        <v>24</v>
      </c>
      <c r="D839" s="34"/>
      <c r="E839" s="34"/>
      <c r="F839" s="34"/>
      <c r="G839" s="33"/>
    </row>
    <row r="840" spans="1:7" s="28" customFormat="1" ht="19.5" x14ac:dyDescent="0.3">
      <c r="A840" s="38" t="str">
        <f ca="1">VLOOKUP(A833,Panchanga!$A$3:$Y$463,11,TRUE)</f>
        <v>K10 (24.66)</v>
      </c>
      <c r="B840" s="30" t="str">
        <f ca="1">VLOOKUP(B833,Panchanga!$A$3:$Y$463,11,TRUE)</f>
        <v>K11 (25.71)</v>
      </c>
      <c r="C840" s="30" t="s">
        <v>28</v>
      </c>
      <c r="D840" s="30"/>
      <c r="E840" s="30"/>
      <c r="F840" s="30"/>
      <c r="G840" s="29"/>
    </row>
    <row r="841" spans="1:7" s="28" customFormat="1" ht="19.5" x14ac:dyDescent="0.3">
      <c r="A841" s="41" t="str">
        <f ca="1">VLOOKUP(A833,Panchanga!$A$3:$Y$463,13,TRUE)</f>
        <v>Vishti</v>
      </c>
      <c r="B841" s="36" t="str">
        <f ca="1">VLOOKUP(B833,Panchanga!$A$3:$Y$463,13,TRUE)</f>
        <v>Baalava</v>
      </c>
      <c r="C841" s="36" t="s">
        <v>25</v>
      </c>
      <c r="D841" s="36"/>
      <c r="E841" s="36"/>
      <c r="F841" s="36"/>
      <c r="G841" s="35"/>
    </row>
    <row r="842" spans="1:7" s="28" customFormat="1" ht="19.5" x14ac:dyDescent="0.3">
      <c r="A842" s="41" t="str">
        <f ca="1">VLOOKUP(A833,Panchanga!$A$3:$Y$463,14,TRUE)</f>
        <v>Ayushman-आयुष्मान-Ke (2.05)</v>
      </c>
      <c r="B842" s="36" t="str">
        <f ca="1">VLOOKUP(B833,Panchanga!$A$3:$Y$463,14,TRUE)</f>
        <v>Saubhagya-सौभाग्य-Ve (3.15)</v>
      </c>
      <c r="C842" s="36" t="s">
        <v>13</v>
      </c>
      <c r="D842" s="36"/>
      <c r="E842" s="36"/>
      <c r="F842" s="36"/>
      <c r="G842" s="48"/>
    </row>
    <row r="843" spans="1:7" s="28" customFormat="1" ht="19.5" x14ac:dyDescent="0.3">
      <c r="A843" s="63" t="str">
        <f ca="1">VLOOKUP(A833,Panchanga!$A$3:$Y$463,18,TRUE)</f>
        <v>11Ma,-8Me,8Ju,7Ve,9Sa,4Ra</v>
      </c>
      <c r="B843" s="64" t="str">
        <f ca="1">VLOOKUP(B833,Panchanga!$A$3:$Y$463,18,TRUE)</f>
        <v>11Ma,-8Me,8Ju,7Ve,9Sa,4Ra</v>
      </c>
      <c r="C843" s="64"/>
      <c r="D843" s="64"/>
      <c r="E843" s="64"/>
      <c r="F843" s="64"/>
      <c r="G843" s="65"/>
    </row>
    <row r="844" spans="1:7" ht="24" thickBot="1" x14ac:dyDescent="0.4"/>
    <row r="845" spans="1:7" x14ac:dyDescent="0.35">
      <c r="A845" s="23" t="s">
        <v>26</v>
      </c>
      <c r="B845" s="21">
        <f>Lat</f>
        <v>13.5</v>
      </c>
      <c r="C845" s="23" t="s">
        <v>1</v>
      </c>
      <c r="D845" s="21">
        <f>Long</f>
        <v>80.23</v>
      </c>
      <c r="E845" s="23" t="s">
        <v>4</v>
      </c>
      <c r="F845" s="22">
        <f>TimeZone</f>
        <v>5.5</v>
      </c>
    </row>
    <row r="848" spans="1:7" s="51" customFormat="1" ht="38.25" thickBot="1" x14ac:dyDescent="0.55000000000000004">
      <c r="A848" s="68">
        <f ca="1">DATE(YEAR(A771),MONTH(A771)+1,1)</f>
        <v>43435</v>
      </c>
      <c r="B848" s="69"/>
      <c r="C848" s="69"/>
      <c r="D848" s="69"/>
      <c r="E848" s="69"/>
      <c r="F848" s="69"/>
      <c r="G848" s="69"/>
    </row>
    <row r="849" spans="1:7" s="56" customFormat="1" ht="35.25" thickBot="1" x14ac:dyDescent="0.5">
      <c r="A849" s="57">
        <v>1</v>
      </c>
      <c r="B849" s="58">
        <v>2</v>
      </c>
      <c r="C849" s="58">
        <v>3</v>
      </c>
      <c r="D849" s="58">
        <v>4</v>
      </c>
      <c r="E849" s="58">
        <v>5</v>
      </c>
      <c r="F849" s="58">
        <v>6</v>
      </c>
      <c r="G849" s="59">
        <v>7</v>
      </c>
    </row>
    <row r="850" spans="1:7" s="51" customFormat="1" ht="37.5" x14ac:dyDescent="0.5">
      <c r="A850" s="52">
        <f ca="1">DATE(YEAR(A848),MONTH(A848),1)-WEEKDAY(A848)+1</f>
        <v>43429</v>
      </c>
      <c r="B850" s="53">
        <f t="shared" ref="B850:G850" ca="1" si="55">A850+1</f>
        <v>43430</v>
      </c>
      <c r="C850" s="53">
        <f t="shared" ca="1" si="55"/>
        <v>43431</v>
      </c>
      <c r="D850" s="53">
        <f t="shared" ca="1" si="55"/>
        <v>43432</v>
      </c>
      <c r="E850" s="53">
        <f t="shared" ca="1" si="55"/>
        <v>43433</v>
      </c>
      <c r="F850" s="53">
        <f t="shared" ca="1" si="55"/>
        <v>43434</v>
      </c>
      <c r="G850" s="54">
        <f t="shared" ca="1" si="55"/>
        <v>43435</v>
      </c>
    </row>
    <row r="851" spans="1:7" s="28" customFormat="1" ht="19.5" x14ac:dyDescent="0.3">
      <c r="A851" s="37">
        <f ca="1">VLOOKUP(A850,Panchanga!$A$3:$Y$463,3,TRUE)</f>
        <v>43429.260048435688</v>
      </c>
      <c r="B851" s="27">
        <f ca="1">VLOOKUP(B850,Panchanga!$A$3:$Y$463,3,TRUE)</f>
        <v>43430.260404156208</v>
      </c>
      <c r="C851" s="27">
        <f ca="1">VLOOKUP(C850,Panchanga!$A$3:$Y$463,3,TRUE)</f>
        <v>43431.260764168263</v>
      </c>
      <c r="D851" s="27">
        <f ca="1">VLOOKUP(D850,Panchanga!$A$3:$Y$463,3,TRUE)</f>
        <v>43432.261128153805</v>
      </c>
      <c r="E851" s="27">
        <f ca="1">VLOOKUP(E850,Panchanga!$A$3:$Y$463,3,TRUE)</f>
        <v>43433.261495795254</v>
      </c>
      <c r="F851" s="27">
        <f ca="1">VLOOKUP(F850,Panchanga!$A$3:$Y$463,3,TRUE)</f>
        <v>43434.261866933819</v>
      </c>
      <c r="G851" s="44">
        <f ca="1">VLOOKUP(G850,Panchanga!$A$3:$Y$463,3,TRUE)</f>
        <v>43435.262241250988</v>
      </c>
    </row>
    <row r="852" spans="1:7" s="28" customFormat="1" ht="19.5" x14ac:dyDescent="0.3">
      <c r="A852" s="37">
        <f ca="1">VLOOKUP(A850,Panchanga!$A$3:$Y$463,4,TRUE)</f>
        <v>43428.734976272142</v>
      </c>
      <c r="B852" s="27">
        <f ca="1">VLOOKUP(B850,Panchanga!$A$3:$Y$463,4,TRUE)</f>
        <v>43429.735035081903</v>
      </c>
      <c r="C852" s="27">
        <f ca="1">VLOOKUP(C850,Panchanga!$A$3:$Y$463,4,TRUE)</f>
        <v>43430.735106925524</v>
      </c>
      <c r="D852" s="27">
        <f ca="1">VLOOKUP(D850,Panchanga!$A$3:$Y$463,4,TRUE)</f>
        <v>43431.735192120119</v>
      </c>
      <c r="E852" s="27">
        <f ca="1">VLOOKUP(E850,Panchanga!$A$3:$Y$463,4,TRUE)</f>
        <v>43432.73529066662</v>
      </c>
      <c r="F852" s="27">
        <f ca="1">VLOOKUP(F850,Panchanga!$A$3:$Y$463,4,TRUE)</f>
        <v>43433.735402087725</v>
      </c>
      <c r="G852" s="44">
        <f ca="1">VLOOKUP(G850,Panchanga!$A$3:$Y$463,4,TRUE)</f>
        <v>43434.735526701013</v>
      </c>
    </row>
    <row r="853" spans="1:7" s="28" customFormat="1" ht="19.5" x14ac:dyDescent="0.3">
      <c r="A853" s="38">
        <f ca="1">VLOOKUP(A850,Panchanga!$A$3:$Y$463,6,TRUE)</f>
        <v>218.56609729398494</v>
      </c>
      <c r="B853" s="30">
        <f ca="1">VLOOKUP(B850,Panchanga!$A$3:$Y$463,6,TRUE)</f>
        <v>219.57754323609936</v>
      </c>
      <c r="C853" s="30">
        <f ca="1">VLOOKUP(C850,Panchanga!$A$3:$Y$463,6,TRUE)</f>
        <v>220.58942402514708</v>
      </c>
      <c r="D853" s="30">
        <f ca="1">VLOOKUP(D850,Panchanga!$A$3:$Y$463,6,TRUE)</f>
        <v>221.60174711416221</v>
      </c>
      <c r="E853" s="30">
        <f ca="1">VLOOKUP(E850,Panchanga!$A$3:$Y$463,6,TRUE)</f>
        <v>222.61451542279093</v>
      </c>
      <c r="F853" s="30">
        <f ca="1">VLOOKUP(F850,Panchanga!$A$3:$Y$463,6,TRUE)</f>
        <v>223.62772678433171</v>
      </c>
      <c r="G853" s="45">
        <f ca="1">VLOOKUP(G850,Panchanga!$A$3:$Y$463,6,TRUE)</f>
        <v>224.64137354982168</v>
      </c>
    </row>
    <row r="854" spans="1:7" s="28" customFormat="1" ht="19.5" x14ac:dyDescent="0.3">
      <c r="A854" s="38">
        <f ca="1">VLOOKUP(A850,Panchanga!$A$3:$Y$463,7,TRUE)</f>
        <v>62.354542349232446</v>
      </c>
      <c r="B854" s="30">
        <f ca="1">VLOOKUP(B850,Panchanga!$A$3:$Y$463,7,TRUE)</f>
        <v>76.775883756195839</v>
      </c>
      <c r="C854" s="30">
        <f ca="1">VLOOKUP(C850,Panchanga!$A$3:$Y$463,7,TRUE)</f>
        <v>91.197712185922825</v>
      </c>
      <c r="D854" s="30">
        <f ca="1">VLOOKUP(D850,Panchanga!$A$3:$Y$463,7,TRUE)</f>
        <v>105.55131100391795</v>
      </c>
      <c r="E854" s="30">
        <f ca="1">VLOOKUP(E850,Panchanga!$A$3:$Y$463,7,TRUE)</f>
        <v>119.78974482571478</v>
      </c>
      <c r="F854" s="30">
        <f ca="1">VLOOKUP(F850,Panchanga!$A$3:$Y$463,7,TRUE)</f>
        <v>133.88544922663718</v>
      </c>
      <c r="G854" s="45">
        <f ca="1">VLOOKUP(G850,Panchanga!$A$3:$Y$463,7,TRUE)</f>
        <v>147.82410451523842</v>
      </c>
    </row>
    <row r="855" spans="1:7" s="28" customFormat="1" ht="19.5" x14ac:dyDescent="0.3">
      <c r="A855" s="39" t="str">
        <f ca="1">VLOOKUP(A850,Panchanga!$A$3:$Y$463,9,TRUE) &amp; " "&amp;ROUND(A854/13.333,2)</f>
        <v>Mrigashira 4.68</v>
      </c>
      <c r="B855" s="32" t="str">
        <f ca="1">VLOOKUP(B850,Panchanga!$A$3:$Y$463,9,TRUE) &amp; " "&amp;ROUND(B854/13.333,2)</f>
        <v>Ardra 5.76</v>
      </c>
      <c r="C855" s="32" t="str">
        <f ca="1">VLOOKUP(C850,Panchanga!$A$3:$Y$463,9,TRUE) &amp; " "&amp;ROUND(C854/13.333,2)</f>
        <v>Punarvasu 6.84</v>
      </c>
      <c r="D855" s="32" t="str">
        <f ca="1">VLOOKUP(D850,Panchanga!$A$3:$Y$463,9,TRUE) &amp; " "&amp;ROUND(D854/13.333,2)</f>
        <v>Pushya 7.92</v>
      </c>
      <c r="E855" s="32" t="str">
        <f ca="1">VLOOKUP(E850,Panchanga!$A$3:$Y$463,9,TRUE) &amp; " "&amp;ROUND(E854/13.333,2)</f>
        <v>Aslesha 8.98</v>
      </c>
      <c r="F855" s="32" t="str">
        <f ca="1">VLOOKUP(F850,Panchanga!$A$3:$Y$463,9,TRUE) &amp; " "&amp;ROUND(F854/13.333,2)</f>
        <v>Purva Phalguni 10.04</v>
      </c>
      <c r="G855" s="46" t="str">
        <f ca="1">VLOOKUP(G850,Panchanga!$A$3:$Y$463,9,TRUE) &amp; " "&amp;ROUND(G854/13.333,2)</f>
        <v>Uttara Phalguni 11.09</v>
      </c>
    </row>
    <row r="856" spans="1:7" s="28" customFormat="1" ht="19.5" x14ac:dyDescent="0.3">
      <c r="A856" s="40">
        <f ca="1">VLOOKUP(A850,Panchanga!$A$3:$Y$463,10,TRUE)</f>
        <v>43429.559164731931</v>
      </c>
      <c r="B856" s="34">
        <f ca="1">VLOOKUP(B850,Panchanga!$A$3:$Y$463,10,TRUE)</f>
        <v>43430.484042717726</v>
      </c>
      <c r="C856" s="34">
        <f ca="1">VLOOKUP(C850,Panchanga!$A$3:$Y$463,10,TRUE)</f>
        <v>43431.409604783759</v>
      </c>
      <c r="D856" s="34">
        <f ca="1">VLOOKUP(D850,Panchanga!$A$3:$Y$463,10,TRUE)</f>
        <v>43432.339491106337</v>
      </c>
      <c r="E856" s="34">
        <f ca="1">VLOOKUP(E850,Panchanga!$A$3:$Y$463,10,TRUE)</f>
        <v>43433.276417590016</v>
      </c>
      <c r="F856" s="34">
        <f ca="1">VLOOKUP(F850,Panchanga!$A$3:$Y$463,10,TRUE)</f>
        <v>43435.17917218346</v>
      </c>
      <c r="G856" s="47">
        <f ca="1">VLOOKUP(G850,Panchanga!$A$3:$Y$463,10,TRUE)</f>
        <v>43436.146589640666</v>
      </c>
    </row>
    <row r="857" spans="1:7" s="28" customFormat="1" ht="19.5" x14ac:dyDescent="0.3">
      <c r="A857" s="38" t="str">
        <f ca="1">VLOOKUP(A850,Panchanga!$A$3:$Y$463,11,TRUE)</f>
        <v>K2 (16.98)</v>
      </c>
      <c r="B857" s="30" t="str">
        <f ca="1">VLOOKUP(B850,Panchanga!$A$3:$Y$463,11,TRUE)</f>
        <v>K4 (18.1)</v>
      </c>
      <c r="C857" s="30" t="str">
        <f ca="1">VLOOKUP(C850,Panchanga!$A$3:$Y$463,11,TRUE)</f>
        <v>K5 (19.22)</v>
      </c>
      <c r="D857" s="30" t="str">
        <f ca="1">VLOOKUP(D850,Panchanga!$A$3:$Y$463,11,TRUE)</f>
        <v>K6 (20.33)</v>
      </c>
      <c r="E857" s="30" t="str">
        <f ca="1">VLOOKUP(E850,Panchanga!$A$3:$Y$463,11,TRUE)</f>
        <v>K7 (21.43)</v>
      </c>
      <c r="F857" s="30" t="str">
        <f ca="1">VLOOKUP(F850,Panchanga!$A$3:$Y$463,11,TRUE)</f>
        <v>K8 (22.52)</v>
      </c>
      <c r="G857" s="45" t="str">
        <f ca="1">VLOOKUP(G850,Panchanga!$A$3:$Y$463,11,TRUE)</f>
        <v>K9 (23.6)</v>
      </c>
    </row>
    <row r="858" spans="1:7" s="28" customFormat="1" ht="19.5" x14ac:dyDescent="0.3">
      <c r="A858" s="41" t="str">
        <f ca="1">VLOOKUP(A850,Panchanga!$A$3:$Y$463,13,TRUE)</f>
        <v>Garija</v>
      </c>
      <c r="B858" s="36" t="str">
        <f ca="1">VLOOKUP(B850,Panchanga!$A$3:$Y$463,13,TRUE)</f>
        <v>Bhava</v>
      </c>
      <c r="C858" s="36" t="str">
        <f ca="1">VLOOKUP(C850,Panchanga!$A$3:$Y$463,13,TRUE)</f>
        <v>Kaulava</v>
      </c>
      <c r="D858" s="36" t="str">
        <f ca="1">VLOOKUP(D850,Panchanga!$A$3:$Y$463,13,TRUE)</f>
        <v>Garija</v>
      </c>
      <c r="E858" s="36" t="str">
        <f ca="1">VLOOKUP(E850,Panchanga!$A$3:$Y$463,13,TRUE)</f>
        <v>Vishti</v>
      </c>
      <c r="F858" s="36" t="str">
        <f ca="1">VLOOKUP(F850,Panchanga!$A$3:$Y$463,13,TRUE)</f>
        <v>Kaulava</v>
      </c>
      <c r="G858" s="48" t="str">
        <f ca="1">VLOOKUP(G850,Panchanga!$A$3:$Y$463,13,TRUE)</f>
        <v>Garija</v>
      </c>
    </row>
    <row r="859" spans="1:7" s="28" customFormat="1" ht="19.5" x14ac:dyDescent="0.3">
      <c r="A859" s="41" t="str">
        <f ca="1">VLOOKUP(A850,Panchanga!$A$3:$Y$463,14,TRUE)</f>
        <v>Sadhya-साध्य-Ve (21.07)</v>
      </c>
      <c r="B859" s="36" t="str">
        <f ca="1">VLOOKUP(B850,Panchanga!$A$3:$Y$463,14,TRUE)</f>
        <v>Shubha-शुभ-Su (22.23)</v>
      </c>
      <c r="C859" s="36" t="str">
        <f ca="1">VLOOKUP(C850,Panchanga!$A$3:$Y$463,14,TRUE)</f>
        <v>Shukla-शुक्ल-Mo (23.39)</v>
      </c>
      <c r="D859" s="36" t="str">
        <f ca="1">VLOOKUP(D850,Panchanga!$A$3:$Y$463,14,TRUE)</f>
        <v>Brahma-ब्रह्म-Ma (24.54)</v>
      </c>
      <c r="E859" s="36" t="str">
        <f ca="1">VLOOKUP(E850,Panchanga!$A$3:$Y$463,14,TRUE)</f>
        <v>Mahendra-महेन्द्र-Ra (25.69)</v>
      </c>
      <c r="F859" s="36" t="str">
        <f ca="1">VLOOKUP(F850,Panchanga!$A$3:$Y$463,14,TRUE)</f>
        <v>Vaidhriti-वैधृति-Ke (26.82)</v>
      </c>
      <c r="G859" s="48" t="str">
        <f ca="1">VLOOKUP(G850,Panchanga!$A$3:$Y$463,14,TRUE)</f>
        <v>Vishkambha-विष्कम्भ-Sa (0.94)</v>
      </c>
    </row>
    <row r="860" spans="1:7" s="28" customFormat="1" ht="19.5" x14ac:dyDescent="0.3">
      <c r="A860" s="63" t="str">
        <f ca="1">VLOOKUP(A850,Panchanga!$A$3:$Y$463,18,TRUE)</f>
        <v>11Ma,-8Me,8Ju,7Ve,9Sa,4Ra</v>
      </c>
      <c r="B860" s="64" t="str">
        <f ca="1">VLOOKUP(B850,Panchanga!$A$3:$Y$463,18,TRUE)</f>
        <v>11Ma,-8Me,8Ju,7Ve,9Sa,4Ra</v>
      </c>
      <c r="C860" s="64" t="str">
        <f ca="1">VLOOKUP(C850,Panchanga!$A$3:$Y$463,18,TRUE)</f>
        <v>11Ma,-8Me,8Ju,7Ve,9Sa,4Ra</v>
      </c>
      <c r="D860" s="64" t="str">
        <f ca="1">VLOOKUP(D850,Panchanga!$A$3:$Y$463,18,TRUE)</f>
        <v>11Ma,-8Me,8Ju,7Ve,9Sa,4Ra</v>
      </c>
      <c r="E860" s="64" t="str">
        <f ca="1">VLOOKUP(E850,Panchanga!$A$3:$Y$463,18,TRUE)</f>
        <v>11Ma,-8Me,8Ju,7Ve,9Sa,4Ra</v>
      </c>
      <c r="F860" s="64" t="str">
        <f ca="1">VLOOKUP(F850,Panchanga!$A$3:$Y$463,18,TRUE)</f>
        <v>11Ma,-8Me,8Ju,7Ve,9Sa,4Ra</v>
      </c>
      <c r="G860" s="65" t="str">
        <f ca="1">VLOOKUP(G850,Panchanga!$A$3:$Y$463,18,TRUE)</f>
        <v>11Ma,-8Me,8Ju,7Ve,9Sa,4Ra</v>
      </c>
    </row>
    <row r="861" spans="1:7" ht="5.85" customHeight="1" thickBot="1" x14ac:dyDescent="0.4">
      <c r="A861" s="42"/>
      <c r="B861" s="16"/>
      <c r="C861" s="16"/>
      <c r="D861" s="16"/>
      <c r="E861" s="16"/>
      <c r="F861" s="16"/>
      <c r="G861" s="49"/>
    </row>
    <row r="862" spans="1:7" s="51" customFormat="1" ht="37.5" x14ac:dyDescent="0.5">
      <c r="A862" s="52">
        <f ca="1">G850+1</f>
        <v>43436</v>
      </c>
      <c r="B862" s="53">
        <f t="shared" ref="B862:G862" ca="1" si="56">A862+1</f>
        <v>43437</v>
      </c>
      <c r="C862" s="53">
        <f t="shared" ca="1" si="56"/>
        <v>43438</v>
      </c>
      <c r="D862" s="53">
        <f t="shared" ca="1" si="56"/>
        <v>43439</v>
      </c>
      <c r="E862" s="53">
        <f t="shared" ca="1" si="56"/>
        <v>43440</v>
      </c>
      <c r="F862" s="53">
        <f t="shared" ca="1" si="56"/>
        <v>43441</v>
      </c>
      <c r="G862" s="54">
        <f t="shared" ca="1" si="56"/>
        <v>43442</v>
      </c>
    </row>
    <row r="863" spans="1:7" s="28" customFormat="1" ht="19.5" x14ac:dyDescent="0.3">
      <c r="A863" s="37">
        <f ca="1">VLOOKUP(A862,Panchanga!$A$3:$Y$463,3,TRUE)</f>
        <v>43436.26261842918</v>
      </c>
      <c r="B863" s="27">
        <f ca="1">VLOOKUP(B862,Panchanga!$A$3:$Y$463,3,TRUE)</f>
        <v>43437.262997991558</v>
      </c>
      <c r="C863" s="27">
        <f ca="1">VLOOKUP(C862,Panchanga!$A$3:$Y$463,3,TRUE)</f>
        <v>43438.263379620075</v>
      </c>
      <c r="D863" s="27">
        <f ca="1">VLOOKUP(D862,Panchanga!$A$3:$Y$463,3,TRUE)</f>
        <v>43439.26376283836</v>
      </c>
      <c r="E863" s="27">
        <f ca="1">VLOOKUP(E862,Panchanga!$A$3:$Y$463,3,TRUE)</f>
        <v>43440.26414748669</v>
      </c>
      <c r="F863" s="27">
        <f ca="1">VLOOKUP(F862,Panchanga!$A$3:$Y$463,3,TRUE)</f>
        <v>43441.26453293037</v>
      </c>
      <c r="G863" s="44">
        <f ca="1">VLOOKUP(G862,Panchanga!$A$3:$Y$463,3,TRUE)</f>
        <v>43442.264918691631</v>
      </c>
    </row>
    <row r="864" spans="1:7" s="28" customFormat="1" ht="19.5" x14ac:dyDescent="0.3">
      <c r="A864" s="37">
        <f ca="1">VLOOKUP(A862,Panchanga!$A$3:$Y$463,4,TRUE)</f>
        <v>43435.735664030115</v>
      </c>
      <c r="B864" s="27">
        <f ca="1">VLOOKUP(B862,Panchanga!$A$3:$Y$463,4,TRUE)</f>
        <v>43436.73581423382</v>
      </c>
      <c r="C864" s="27">
        <f ca="1">VLOOKUP(C862,Panchanga!$A$3:$Y$463,4,TRUE)</f>
        <v>43437.735976835291</v>
      </c>
      <c r="D864" s="27">
        <f ca="1">VLOOKUP(D862,Panchanga!$A$3:$Y$463,4,TRUE)</f>
        <v>43438.736151675737</v>
      </c>
      <c r="E864" s="27">
        <f ca="1">VLOOKUP(E862,Panchanga!$A$3:$Y$463,4,TRUE)</f>
        <v>43439.736338754694</v>
      </c>
      <c r="F864" s="27">
        <f ca="1">VLOOKUP(F862,Panchanga!$A$3:$Y$463,4,TRUE)</f>
        <v>43440.736537436998</v>
      </c>
      <c r="G864" s="44">
        <f ca="1">VLOOKUP(G862,Panchanga!$A$3:$Y$463,4,TRUE)</f>
        <v>43441.736747880976</v>
      </c>
    </row>
    <row r="865" spans="1:7" s="28" customFormat="1" ht="19.5" x14ac:dyDescent="0.3">
      <c r="A865" s="38">
        <f ca="1">VLOOKUP(A862,Panchanga!$A$3:$Y$463,6,TRUE)</f>
        <v>225.65544319204398</v>
      </c>
      <c r="B865" s="30">
        <f ca="1">VLOOKUP(B862,Panchanga!$A$3:$Y$463,6,TRUE)</f>
        <v>226.66991886856658</v>
      </c>
      <c r="C865" s="30">
        <f ca="1">VLOOKUP(C862,Panchanga!$A$3:$Y$463,6,TRUE)</f>
        <v>227.68478053674795</v>
      </c>
      <c r="D865" s="30">
        <f ca="1">VLOOKUP(D862,Panchanga!$A$3:$Y$463,6,TRUE)</f>
        <v>228.70000540018887</v>
      </c>
      <c r="E865" s="30">
        <f ca="1">VLOOKUP(E862,Panchanga!$A$3:$Y$463,6,TRUE)</f>
        <v>229.7155691494344</v>
      </c>
      <c r="F865" s="30">
        <f ca="1">VLOOKUP(F862,Panchanga!$A$3:$Y$463,6,TRUE)</f>
        <v>230.73144594855586</v>
      </c>
      <c r="G865" s="45">
        <f ca="1">VLOOKUP(G862,Panchanga!$A$3:$Y$463,6,TRUE)</f>
        <v>231.74760990094813</v>
      </c>
    </row>
    <row r="866" spans="1:7" s="28" customFormat="1" ht="19.5" x14ac:dyDescent="0.3">
      <c r="A866" s="38">
        <f ca="1">VLOOKUP(A862,Panchanga!$A$3:$Y$463,7,TRUE)</f>
        <v>161.59750887617344</v>
      </c>
      <c r="B866" s="30">
        <f ca="1">VLOOKUP(B862,Panchanga!$A$3:$Y$463,7,TRUE)</f>
        <v>175.19755880152178</v>
      </c>
      <c r="C866" s="30">
        <f ca="1">VLOOKUP(C862,Panchanga!$A$3:$Y$463,7,TRUE)</f>
        <v>188.612763714501</v>
      </c>
      <c r="D866" s="30">
        <f ca="1">VLOOKUP(D862,Panchanga!$A$3:$Y$463,7,TRUE)</f>
        <v>201.8279483788175</v>
      </c>
      <c r="E866" s="30">
        <f ca="1">VLOOKUP(E862,Panchanga!$A$3:$Y$463,7,TRUE)</f>
        <v>214.82689806562064</v>
      </c>
      <c r="F866" s="30">
        <f ca="1">VLOOKUP(F862,Panchanga!$A$3:$Y$463,7,TRUE)</f>
        <v>227.59680085944908</v>
      </c>
      <c r="G866" s="45">
        <f ca="1">VLOOKUP(G862,Panchanga!$A$3:$Y$463,7,TRUE)</f>
        <v>240.13308874561054</v>
      </c>
    </row>
    <row r="867" spans="1:7" s="28" customFormat="1" ht="19.5" x14ac:dyDescent="0.3">
      <c r="A867" s="39" t="str">
        <f ca="1">VLOOKUP(A862,Panchanga!$A$3:$Y$463,9,TRUE) &amp; " "&amp;ROUND(A866/13.333,2)</f>
        <v>Hasta 12.12</v>
      </c>
      <c r="B867" s="32" t="str">
        <f ca="1">VLOOKUP(B862,Panchanga!$A$3:$Y$463,9,TRUE) &amp; " "&amp;ROUND(B866/13.333,2)</f>
        <v>Chitra 13.14</v>
      </c>
      <c r="C867" s="32" t="str">
        <f ca="1">VLOOKUP(C862,Panchanga!$A$3:$Y$463,9,TRUE) &amp; " "&amp;ROUND(C866/13.333,2)</f>
        <v>Swati 14.15</v>
      </c>
      <c r="D867" s="32" t="str">
        <f ca="1">VLOOKUP(D862,Panchanga!$A$3:$Y$463,9,TRUE) &amp; " "&amp;ROUND(D866/13.333,2)</f>
        <v>Visakha 15.14</v>
      </c>
      <c r="E867" s="32" t="str">
        <f ca="1">VLOOKUP(E862,Panchanga!$A$3:$Y$463,9,TRUE) &amp; " "&amp;ROUND(E866/13.333,2)</f>
        <v>Anuradha 16.11</v>
      </c>
      <c r="F867" s="32" t="str">
        <f ca="1">VLOOKUP(F862,Panchanga!$A$3:$Y$463,9,TRUE) &amp; " "&amp;ROUND(F866/13.333,2)</f>
        <v>Jyestha 17.07</v>
      </c>
      <c r="G867" s="46" t="str">
        <f ca="1">VLOOKUP(G862,Panchanga!$A$3:$Y$463,9,TRUE) &amp; " "&amp;ROUND(G866/13.333,2)</f>
        <v>Moola 18.01</v>
      </c>
    </row>
    <row r="868" spans="1:7" s="28" customFormat="1" ht="19.5" x14ac:dyDescent="0.3">
      <c r="A868" s="40">
        <f ca="1">VLOOKUP(A862,Panchanga!$A$3:$Y$463,10,TRUE)</f>
        <v>43437.125871064207</v>
      </c>
      <c r="B868" s="34">
        <f ca="1">VLOOKUP(B862,Panchanga!$A$3:$Y$463,10,TRUE)</f>
        <v>43438.118257741837</v>
      </c>
      <c r="C868" s="34">
        <f ca="1">VLOOKUP(C862,Panchanga!$A$3:$Y$463,10,TRUE)</f>
        <v>43439.125388012086</v>
      </c>
      <c r="D868" s="34">
        <f ca="1">VLOOKUP(D862,Panchanga!$A$3:$Y$463,10,TRUE)</f>
        <v>43440.149204413174</v>
      </c>
      <c r="E868" s="34">
        <f ca="1">VLOOKUP(E862,Panchanga!$A$3:$Y$463,10,TRUE)</f>
        <v>43441.1916668544</v>
      </c>
      <c r="F868" s="34">
        <f ca="1">VLOOKUP(F862,Panchanga!$A$3:$Y$463,10,TRUE)</f>
        <v>43442.254298316024</v>
      </c>
      <c r="G868" s="47">
        <f ca="1">VLOOKUP(G862,Panchanga!$A$3:$Y$463,10,TRUE)</f>
        <v>43443.337616434859</v>
      </c>
    </row>
    <row r="869" spans="1:7" s="28" customFormat="1" ht="19.5" x14ac:dyDescent="0.3">
      <c r="A869" s="38" t="str">
        <f ca="1">VLOOKUP(A862,Panchanga!$A$3:$Y$463,11,TRUE)</f>
        <v>K10 (24.66)</v>
      </c>
      <c r="B869" s="30" t="str">
        <f ca="1">VLOOKUP(B862,Panchanga!$A$3:$Y$463,11,TRUE)</f>
        <v>K11 (25.71)</v>
      </c>
      <c r="C869" s="30" t="str">
        <f ca="1">VLOOKUP(C862,Panchanga!$A$3:$Y$463,11,TRUE)</f>
        <v>K12 (26.74)</v>
      </c>
      <c r="D869" s="30" t="str">
        <f ca="1">VLOOKUP(D862,Panchanga!$A$3:$Y$463,11,TRUE)</f>
        <v>K13 (27.76)</v>
      </c>
      <c r="E869" s="30" t="str">
        <f ca="1">VLOOKUP(E862,Panchanga!$A$3:$Y$463,11,TRUE)</f>
        <v>K14 (28.76)</v>
      </c>
      <c r="F869" s="30" t="str">
        <f ca="1">VLOOKUP(F862,Panchanga!$A$3:$Y$463,11,TRUE)</f>
        <v>K15 (29.74)</v>
      </c>
      <c r="G869" s="45" t="str">
        <f ca="1">VLOOKUP(G862,Panchanga!$A$3:$Y$463,11,TRUE)</f>
        <v>S1 (0.7)</v>
      </c>
    </row>
    <row r="870" spans="1:7" s="28" customFormat="1" ht="19.5" x14ac:dyDescent="0.3">
      <c r="A870" s="41" t="str">
        <f ca="1">VLOOKUP(A862,Panchanga!$A$3:$Y$463,13,TRUE)</f>
        <v>Vishti</v>
      </c>
      <c r="B870" s="36" t="str">
        <f ca="1">VLOOKUP(B862,Panchanga!$A$3:$Y$463,13,TRUE)</f>
        <v>Baalava</v>
      </c>
      <c r="C870" s="36" t="str">
        <f ca="1">VLOOKUP(C862,Panchanga!$A$3:$Y$463,13,TRUE)</f>
        <v>Taitula</v>
      </c>
      <c r="D870" s="36" t="str">
        <f ca="1">VLOOKUP(D862,Panchanga!$A$3:$Y$463,13,TRUE)</f>
        <v>Vanija</v>
      </c>
      <c r="E870" s="36" t="str">
        <f ca="1">VLOOKUP(E862,Panchanga!$A$3:$Y$463,13,TRUE)</f>
        <v>Shakuni</v>
      </c>
      <c r="F870" s="36" t="str">
        <f ca="1">VLOOKUP(F862,Panchanga!$A$3:$Y$463,13,TRUE)</f>
        <v>Naaga</v>
      </c>
      <c r="G870" s="48" t="str">
        <f ca="1">VLOOKUP(G862,Panchanga!$A$3:$Y$463,13,TRUE)</f>
        <v>Bhava</v>
      </c>
    </row>
    <row r="871" spans="1:7" s="28" customFormat="1" ht="19.5" x14ac:dyDescent="0.3">
      <c r="A871" s="41" t="str">
        <f ca="1">VLOOKUP(A862,Panchanga!$A$3:$Y$463,14,TRUE)</f>
        <v>Ayushman-आयुष्मान-Ke (2.05)</v>
      </c>
      <c r="B871" s="36" t="str">
        <f ca="1">VLOOKUP(B862,Panchanga!$A$3:$Y$463,14,TRUE)</f>
        <v>Saubhagya-सौभाग्य-Ve (3.15)</v>
      </c>
      <c r="C871" s="36" t="str">
        <f ca="1">VLOOKUP(C862,Panchanga!$A$3:$Y$463,14,TRUE)</f>
        <v>Shobhana-शोभन-Su (4.23)</v>
      </c>
      <c r="D871" s="36" t="str">
        <f ca="1">VLOOKUP(D862,Panchanga!$A$3:$Y$463,14,TRUE)</f>
        <v>Atiganda-अतिगण्ड -Mo (5.29)</v>
      </c>
      <c r="E871" s="36" t="str">
        <f ca="1">VLOOKUP(E862,Panchanga!$A$3:$Y$463,14,TRUE)</f>
        <v>Sukarman-सुकर्मा -Ma (6.35)</v>
      </c>
      <c r="F871" s="36" t="str">
        <f ca="1">VLOOKUP(F862,Panchanga!$A$3:$Y$463,14,TRUE)</f>
        <v>Dhriti-धृति -Ra (7.38)</v>
      </c>
      <c r="G871" s="48" t="str">
        <f ca="1">VLOOKUP(G862,Panchanga!$A$3:$Y$463,14,TRUE)</f>
        <v>Shula-शूल -Ju (8.4)</v>
      </c>
    </row>
    <row r="872" spans="1:7" s="28" customFormat="1" ht="19.5" x14ac:dyDescent="0.3">
      <c r="A872" s="63" t="str">
        <f ca="1">VLOOKUP(A862,Panchanga!$A$3:$Y$463,18,TRUE)</f>
        <v>11Ma,-8Me,8Ju,7Ve,9Sa,4Ra</v>
      </c>
      <c r="B872" s="64" t="str">
        <f ca="1">VLOOKUP(B862,Panchanga!$A$3:$Y$463,18,TRUE)</f>
        <v>11Ma,-8Me,8Ju,7Ve,9Sa,4Ra</v>
      </c>
      <c r="C872" s="64" t="str">
        <f ca="1">VLOOKUP(C862,Panchanga!$A$3:$Y$463,18,TRUE)</f>
        <v>11Ma,-8Me,8Ju,7Ve,9Sa,4Ra</v>
      </c>
      <c r="D872" s="64" t="str">
        <f ca="1">VLOOKUP(D862,Panchanga!$A$3:$Y$463,18,TRUE)</f>
        <v>11Ma,-8Me,8Ju,7Ve,9Sa,4Ra</v>
      </c>
      <c r="E872" s="64" t="str">
        <f ca="1">VLOOKUP(E862,Panchanga!$A$3:$Y$463,18,TRUE)</f>
        <v>11Ma,-8Me,8Ju,7Ve,9Sa,4Ra</v>
      </c>
      <c r="F872" s="64" t="str">
        <f ca="1">VLOOKUP(F862,Panchanga!$A$3:$Y$463,18,TRUE)</f>
        <v>11Ma,8Me,8Ju,7Ve,9Sa,4Ra</v>
      </c>
      <c r="G872" s="65" t="str">
        <f ca="1">VLOOKUP(G862,Panchanga!$A$3:$Y$463,18,TRUE)</f>
        <v>11Ma,8Me,8Ju,7Ve,9Sa,4Ra</v>
      </c>
    </row>
    <row r="873" spans="1:7" ht="5.85" customHeight="1" thickBot="1" x14ac:dyDescent="0.4">
      <c r="A873" s="42"/>
      <c r="B873" s="16"/>
      <c r="C873" s="16"/>
      <c r="D873" s="16"/>
      <c r="E873" s="16"/>
      <c r="F873" s="16"/>
      <c r="G873" s="49"/>
    </row>
    <row r="874" spans="1:7" s="18" customFormat="1" ht="27.75" x14ac:dyDescent="0.4">
      <c r="A874" s="43">
        <f ca="1">G862+1</f>
        <v>43443</v>
      </c>
      <c r="B874" s="19">
        <f t="shared" ref="B874:G874" ca="1" si="57">A874+1</f>
        <v>43444</v>
      </c>
      <c r="C874" s="19">
        <f t="shared" ca="1" si="57"/>
        <v>43445</v>
      </c>
      <c r="D874" s="19">
        <f t="shared" ca="1" si="57"/>
        <v>43446</v>
      </c>
      <c r="E874" s="19">
        <f t="shared" ca="1" si="57"/>
        <v>43447</v>
      </c>
      <c r="F874" s="19">
        <f t="shared" ca="1" si="57"/>
        <v>43448</v>
      </c>
      <c r="G874" s="50">
        <f t="shared" ca="1" si="57"/>
        <v>43449</v>
      </c>
    </row>
    <row r="875" spans="1:7" s="28" customFormat="1" ht="19.5" x14ac:dyDescent="0.3">
      <c r="A875" s="37">
        <f ca="1">VLOOKUP(A874,Panchanga!$A$3:$Y$463,3,TRUE)</f>
        <v>43443.265304611683</v>
      </c>
      <c r="B875" s="27">
        <f ca="1">VLOOKUP(B874,Panchanga!$A$3:$Y$463,3,TRUE)</f>
        <v>43444.265689896107</v>
      </c>
      <c r="C875" s="27">
        <f ca="1">VLOOKUP(C874,Panchanga!$A$3:$Y$463,3,TRUE)</f>
        <v>43445.266074385647</v>
      </c>
      <c r="D875" s="27">
        <f ca="1">VLOOKUP(D874,Panchanga!$A$3:$Y$463,3,TRUE)</f>
        <v>43446.266457445141</v>
      </c>
      <c r="E875" s="27">
        <f ca="1">VLOOKUP(E874,Panchanga!$A$3:$Y$463,3,TRUE)</f>
        <v>43447.266838755611</v>
      </c>
      <c r="F875" s="27">
        <f ca="1">VLOOKUP(F874,Panchanga!$A$3:$Y$463,3,TRUE)</f>
        <v>43448.267217682362</v>
      </c>
      <c r="G875" s="44">
        <f ca="1">VLOOKUP(G874,Panchanga!$A$3:$Y$463,3,TRUE)</f>
        <v>43449.267594224926</v>
      </c>
    </row>
    <row r="876" spans="1:7" s="28" customFormat="1" ht="19.5" x14ac:dyDescent="0.3">
      <c r="A876" s="37">
        <f ca="1">VLOOKUP(A874,Panchanga!$A$3:$Y$463,4,TRUE)</f>
        <v>43442.736969451464</v>
      </c>
      <c r="B876" s="27">
        <f ca="1">VLOOKUP(B874,Panchanga!$A$3:$Y$463,4,TRUE)</f>
        <v>43443.737201988741</v>
      </c>
      <c r="C876" s="27">
        <f ca="1">VLOOKUP(C874,Panchanga!$A$3:$Y$463,4,TRUE)</f>
        <v>43444.737445175691</v>
      </c>
      <c r="D876" s="27">
        <f ca="1">VLOOKUP(D874,Panchanga!$A$3:$Y$463,4,TRUE)</f>
        <v>43445.737698694269</v>
      </c>
      <c r="E876" s="27">
        <f ca="1">VLOOKUP(E874,Panchanga!$A$3:$Y$463,4,TRUE)</f>
        <v>43446.737962226427</v>
      </c>
      <c r="F876" s="27">
        <f ca="1">VLOOKUP(F874,Panchanga!$A$3:$Y$463,4,TRUE)</f>
        <v>43447.738235454119</v>
      </c>
      <c r="G876" s="44">
        <f ca="1">VLOOKUP(G874,Panchanga!$A$3:$Y$463,4,TRUE)</f>
        <v>43448.738518059297</v>
      </c>
    </row>
    <row r="877" spans="1:7" s="28" customFormat="1" ht="19.5" x14ac:dyDescent="0.3">
      <c r="A877" s="38">
        <f ca="1">VLOOKUP(A874,Panchanga!$A$3:$Y$463,6,TRUE)</f>
        <v>232.76403599691997</v>
      </c>
      <c r="B877" s="30">
        <f ca="1">VLOOKUP(B874,Panchanga!$A$3:$Y$463,6,TRUE)</f>
        <v>233.78069976175692</v>
      </c>
      <c r="C877" s="30">
        <f ca="1">VLOOKUP(C874,Panchanga!$A$3:$Y$463,6,TRUE)</f>
        <v>234.79757891846441</v>
      </c>
      <c r="D877" s="30">
        <f ca="1">VLOOKUP(D874,Panchanga!$A$3:$Y$463,6,TRUE)</f>
        <v>235.8146523981975</v>
      </c>
      <c r="E877" s="30">
        <f ca="1">VLOOKUP(E874,Panchanga!$A$3:$Y$463,6,TRUE)</f>
        <v>236.83190113555861</v>
      </c>
      <c r="F877" s="30">
        <f ca="1">VLOOKUP(F874,Panchanga!$A$3:$Y$463,6,TRUE)</f>
        <v>237.8493074049893</v>
      </c>
      <c r="G877" s="45">
        <f ca="1">VLOOKUP(G874,Panchanga!$A$3:$Y$463,6,TRUE)</f>
        <v>238.86685586006135</v>
      </c>
    </row>
    <row r="878" spans="1:7" s="28" customFormat="1" ht="19.5" x14ac:dyDescent="0.3">
      <c r="A878" s="38">
        <f ca="1">VLOOKUP(A874,Panchanga!$A$3:$Y$463,7,TRUE)</f>
        <v>252.44348923834301</v>
      </c>
      <c r="B878" s="30">
        <f ca="1">VLOOKUP(B874,Panchanga!$A$3:$Y$463,7,TRUE)</f>
        <v>264.55059645929072</v>
      </c>
      <c r="C878" s="30">
        <f ca="1">VLOOKUP(C874,Panchanga!$A$3:$Y$463,7,TRUE)</f>
        <v>276.49273082796327</v>
      </c>
      <c r="D878" s="30">
        <f ca="1">VLOOKUP(D874,Panchanga!$A$3:$Y$463,7,TRUE)</f>
        <v>288.32313939889434</v>
      </c>
      <c r="E878" s="30">
        <f ca="1">VLOOKUP(E874,Panchanga!$A$3:$Y$463,7,TRUE)</f>
        <v>300.10803568899115</v>
      </c>
      <c r="F878" s="30">
        <f ca="1">VLOOKUP(F874,Panchanga!$A$3:$Y$463,7,TRUE)</f>
        <v>311.9239233253968</v>
      </c>
      <c r="G878" s="45">
        <f ca="1">VLOOKUP(G874,Panchanga!$A$3:$Y$463,7,TRUE)</f>
        <v>323.85433264336518</v>
      </c>
    </row>
    <row r="879" spans="1:7" s="28" customFormat="1" ht="19.5" x14ac:dyDescent="0.3">
      <c r="A879" s="39" t="str">
        <f ca="1">VLOOKUP(A874,Panchanga!$A$3:$Y$463,9,TRUE) &amp; " "&amp;ROUND(A878/13.333,2)</f>
        <v>Moola 18.93</v>
      </c>
      <c r="B879" s="32" t="str">
        <f ca="1">VLOOKUP(B874,Panchanga!$A$3:$Y$463,9,TRUE) &amp; " "&amp;ROUND(B878/13.333,2)</f>
        <v>Purva Asadha 19.84</v>
      </c>
      <c r="C879" s="32" t="str">
        <f ca="1">VLOOKUP(C874,Panchanga!$A$3:$Y$463,9,TRUE) &amp; " "&amp;ROUND(C878/13.333,2)</f>
        <v>Uttara Asadha 20.74</v>
      </c>
      <c r="D879" s="32" t="str">
        <f ca="1">VLOOKUP(D874,Panchanga!$A$3:$Y$463,9,TRUE) &amp; " "&amp;ROUND(D878/13.333,2)</f>
        <v>Sravana 21.62</v>
      </c>
      <c r="E879" s="32" t="str">
        <f ca="1">VLOOKUP(E874,Panchanga!$A$3:$Y$463,9,TRUE) &amp; " "&amp;ROUND(E878/13.333,2)</f>
        <v>Dhanistha 22.51</v>
      </c>
      <c r="F879" s="32" t="str">
        <f ca="1">VLOOKUP(F874,Panchanga!$A$3:$Y$463,9,TRUE) &amp; " "&amp;ROUND(F878/13.333,2)</f>
        <v>Satabhisaj 23.39</v>
      </c>
      <c r="G879" s="46" t="str">
        <f ca="1">VLOOKUP(G874,Panchanga!$A$3:$Y$463,9,TRUE) &amp; " "&amp;ROUND(G878/13.333,2)</f>
        <v>Purva Bhadrapada 24.29</v>
      </c>
    </row>
    <row r="880" spans="1:7" s="28" customFormat="1" ht="19.5" x14ac:dyDescent="0.3">
      <c r="A880" s="40">
        <f ca="1">VLOOKUP(A874,Panchanga!$A$3:$Y$463,10,TRUE)</f>
        <v>43443.338830592897</v>
      </c>
      <c r="B880" s="34">
        <f ca="1">VLOOKUP(B874,Panchanga!$A$3:$Y$463,10,TRUE)</f>
        <v>43444.442951660953</v>
      </c>
      <c r="C880" s="34">
        <f ca="1">VLOOKUP(C874,Panchanga!$A$3:$Y$463,10,TRUE)</f>
        <v>43445.562650166925</v>
      </c>
      <c r="D880" s="34">
        <f ca="1">VLOOKUP(D874,Panchanga!$A$3:$Y$463,10,TRUE)</f>
        <v>43446.691756425331</v>
      </c>
      <c r="E880" s="34">
        <f ca="1">VLOOKUP(E874,Panchanga!$A$3:$Y$463,10,TRUE)</f>
        <v>43447.822117920434</v>
      </c>
      <c r="F880" s="34">
        <f ca="1">VLOOKUP(F874,Panchanga!$A$3:$Y$463,10,TRUE)</f>
        <v>43448.944404646019</v>
      </c>
      <c r="G880" s="47">
        <f ca="1">VLOOKUP(G874,Panchanga!$A$3:$Y$463,10,TRUE)</f>
        <v>43450.049259379477</v>
      </c>
    </row>
    <row r="881" spans="1:7" s="28" customFormat="1" ht="19.5" x14ac:dyDescent="0.3">
      <c r="A881" s="38" t="str">
        <f ca="1">VLOOKUP(A874,Panchanga!$A$3:$Y$463,11,TRUE)</f>
        <v>S2 (1.64)</v>
      </c>
      <c r="B881" s="30" t="str">
        <f ca="1">VLOOKUP(B874,Panchanga!$A$3:$Y$463,11,TRUE)</f>
        <v>S3 (2.56)</v>
      </c>
      <c r="C881" s="30" t="str">
        <f ca="1">VLOOKUP(C874,Panchanga!$A$3:$Y$463,11,TRUE)</f>
        <v>S4 (3.47)</v>
      </c>
      <c r="D881" s="30" t="str">
        <f ca="1">VLOOKUP(D874,Panchanga!$A$3:$Y$463,11,TRUE)</f>
        <v>S5 (4.38)</v>
      </c>
      <c r="E881" s="30" t="str">
        <f ca="1">VLOOKUP(E874,Panchanga!$A$3:$Y$463,11,TRUE)</f>
        <v>S6 (5.27)</v>
      </c>
      <c r="F881" s="30" t="str">
        <f ca="1">VLOOKUP(F874,Panchanga!$A$3:$Y$463,11,TRUE)</f>
        <v>S7 (6.17)</v>
      </c>
      <c r="G881" s="45" t="str">
        <f ca="1">VLOOKUP(G874,Panchanga!$A$3:$Y$463,11,TRUE)</f>
        <v>S8 (7.08)</v>
      </c>
    </row>
    <row r="882" spans="1:7" s="28" customFormat="1" ht="19.5" x14ac:dyDescent="0.3">
      <c r="A882" s="41" t="str">
        <f ca="1">VLOOKUP(A874,Panchanga!$A$3:$Y$463,13,TRUE)</f>
        <v>Kaulava</v>
      </c>
      <c r="B882" s="36" t="str">
        <f ca="1">VLOOKUP(B874,Panchanga!$A$3:$Y$463,13,TRUE)</f>
        <v>Garija</v>
      </c>
      <c r="C882" s="36" t="str">
        <f ca="1">VLOOKUP(C874,Panchanga!$A$3:$Y$463,13,TRUE)</f>
        <v>Vanija</v>
      </c>
      <c r="D882" s="36" t="str">
        <f ca="1">VLOOKUP(D874,Panchanga!$A$3:$Y$463,13,TRUE)</f>
        <v>Bhava</v>
      </c>
      <c r="E882" s="36" t="str">
        <f ca="1">VLOOKUP(E874,Panchanga!$A$3:$Y$463,13,TRUE)</f>
        <v>Kaulava</v>
      </c>
      <c r="F882" s="36" t="str">
        <f ca="1">VLOOKUP(F874,Panchanga!$A$3:$Y$463,13,TRUE)</f>
        <v>Garija</v>
      </c>
      <c r="G882" s="48" t="str">
        <f ca="1">VLOOKUP(G874,Panchanga!$A$3:$Y$463,13,TRUE)</f>
        <v>Vishti</v>
      </c>
    </row>
    <row r="883" spans="1:7" s="28" customFormat="1" ht="19.5" x14ac:dyDescent="0.3">
      <c r="A883" s="41" t="str">
        <f ca="1">VLOOKUP(A874,Panchanga!$A$3:$Y$463,14,TRUE)</f>
        <v>Ganda-गण्ड -Sa (9.4)</v>
      </c>
      <c r="B883" s="36" t="str">
        <f ca="1">VLOOKUP(B874,Panchanga!$A$3:$Y$463,14,TRUE)</f>
        <v>Vriddhi-वृद्धि -Me (10.38)</v>
      </c>
      <c r="C883" s="36" t="str">
        <f ca="1">VLOOKUP(C874,Panchanga!$A$3:$Y$463,14,TRUE)</f>
        <v>Dhruva-ध्रुव -Ke (11.35)</v>
      </c>
      <c r="D883" s="36" t="str">
        <f ca="1">VLOOKUP(D874,Panchanga!$A$3:$Y$463,14,TRUE)</f>
        <v>Vyaghata-व्याघात-ve (12.32)</v>
      </c>
      <c r="E883" s="36" t="str">
        <f ca="1">VLOOKUP(E874,Panchanga!$A$3:$Y$463,14,TRUE)</f>
        <v>Harshana-हर्षण-su (13.28)</v>
      </c>
      <c r="F883" s="36" t="str">
        <f ca="1">VLOOKUP(F874,Panchanga!$A$3:$Y$463,14,TRUE)</f>
        <v>Vajra-वज्र-Mo (14.24)</v>
      </c>
      <c r="G883" s="48" t="str">
        <f ca="1">VLOOKUP(G874,Panchanga!$A$3:$Y$463,14,TRUE)</f>
        <v>Siddhi-सिद्धि-Ma (15.21)</v>
      </c>
    </row>
    <row r="884" spans="1:7" s="28" customFormat="1" ht="19.5" x14ac:dyDescent="0.3">
      <c r="A884" s="63" t="str">
        <f ca="1">VLOOKUP(A874,Panchanga!$A$3:$Y$463,18,TRUE)</f>
        <v>11Ma,8Me,8Ju,7Ve,9Sa,4Ra</v>
      </c>
      <c r="B884" s="64" t="str">
        <f ca="1">VLOOKUP(B874,Panchanga!$A$3:$Y$463,18,TRUE)</f>
        <v>11Ma,8Me,8Ju,7Ve,9Sa,4Ra</v>
      </c>
      <c r="C884" s="64" t="str">
        <f ca="1">VLOOKUP(C874,Panchanga!$A$3:$Y$463,18,TRUE)</f>
        <v>11Ma,8Me,8Ju,7Ve,9Sa,4Ra</v>
      </c>
      <c r="D884" s="64" t="str">
        <f ca="1">VLOOKUP(D874,Panchanga!$A$3:$Y$463,18,TRUE)</f>
        <v>11Ma,8Me,8Ju,7Ve,9Sa,4Ra</v>
      </c>
      <c r="E884" s="64" t="str">
        <f ca="1">VLOOKUP(E874,Panchanga!$A$3:$Y$463,18,TRUE)</f>
        <v>11Ma,8Me,8Ju,7Ve,9Sa,4Ra</v>
      </c>
      <c r="F884" s="64" t="str">
        <f ca="1">VLOOKUP(F874,Panchanga!$A$3:$Y$463,18,TRUE)</f>
        <v>11Ma,8Me,8Ju,7Ve,9Sa,4Ra</v>
      </c>
      <c r="G884" s="65" t="str">
        <f ca="1">VLOOKUP(G874,Panchanga!$A$3:$Y$463,18,TRUE)</f>
        <v>11Ma,8Me,8Ju,7Ve,9Sa,4Ra</v>
      </c>
    </row>
    <row r="885" spans="1:7" ht="5.85" customHeight="1" thickBot="1" x14ac:dyDescent="0.4">
      <c r="A885" s="42"/>
      <c r="B885" s="16"/>
      <c r="C885" s="16"/>
      <c r="D885" s="16"/>
      <c r="E885" s="16"/>
      <c r="F885" s="16"/>
      <c r="G885" s="49"/>
    </row>
    <row r="886" spans="1:7" s="51" customFormat="1" ht="37.5" x14ac:dyDescent="0.5">
      <c r="A886" s="52">
        <f ca="1">G874+1</f>
        <v>43450</v>
      </c>
      <c r="B886" s="53">
        <f t="shared" ref="B886:G886" ca="1" si="58">A886+1</f>
        <v>43451</v>
      </c>
      <c r="C886" s="53">
        <f t="shared" ca="1" si="58"/>
        <v>43452</v>
      </c>
      <c r="D886" s="53">
        <f t="shared" ca="1" si="58"/>
        <v>43453</v>
      </c>
      <c r="E886" s="53">
        <f t="shared" ca="1" si="58"/>
        <v>43454</v>
      </c>
      <c r="F886" s="53">
        <f t="shared" ca="1" si="58"/>
        <v>43455</v>
      </c>
      <c r="G886" s="54">
        <f t="shared" ca="1" si="58"/>
        <v>43456</v>
      </c>
    </row>
    <row r="887" spans="1:7" s="28" customFormat="1" ht="19.5" x14ac:dyDescent="0.3">
      <c r="A887" s="37">
        <f ca="1">VLOOKUP(A886,Panchanga!$A$3:$Y$463,3,TRUE)</f>
        <v>43450.267967429165</v>
      </c>
      <c r="B887" s="27">
        <f ca="1">VLOOKUP(B886,Panchanga!$A$3:$Y$463,3,TRUE)</f>
        <v>43451.268337296009</v>
      </c>
      <c r="C887" s="27">
        <f ca="1">VLOOKUP(C886,Panchanga!$A$3:$Y$463,3,TRUE)</f>
        <v>43452.2687031889</v>
      </c>
      <c r="D887" s="27">
        <f ca="1">VLOOKUP(D886,Panchanga!$A$3:$Y$463,3,TRUE)</f>
        <v>43453.269064949513</v>
      </c>
      <c r="E887" s="27">
        <f ca="1">VLOOKUP(E886,Panchanga!$A$3:$Y$463,3,TRUE)</f>
        <v>43454.269421782497</v>
      </c>
      <c r="F887" s="27">
        <f ca="1">VLOOKUP(F886,Panchanga!$A$3:$Y$463,3,TRUE)</f>
        <v>43455.26977368832</v>
      </c>
      <c r="G887" s="44">
        <f ca="1">VLOOKUP(G886,Panchanga!$A$3:$Y$463,3,TRUE)</f>
        <v>43456.270120190144</v>
      </c>
    </row>
    <row r="888" spans="1:7" s="28" customFormat="1" ht="19.5" x14ac:dyDescent="0.3">
      <c r="A888" s="37">
        <f ca="1">VLOOKUP(A886,Panchanga!$A$3:$Y$463,4,TRUE)</f>
        <v>43449.738809566057</v>
      </c>
      <c r="B888" s="27">
        <f ca="1">VLOOKUP(B886,Panchanga!$A$3:$Y$463,4,TRUE)</f>
        <v>43450.739109814211</v>
      </c>
      <c r="C888" s="27">
        <f ca="1">VLOOKUP(C886,Panchanga!$A$3:$Y$463,4,TRUE)</f>
        <v>43451.739418487108</v>
      </c>
      <c r="D888" s="27">
        <f ca="1">VLOOKUP(D886,Panchanga!$A$3:$Y$463,4,TRUE)</f>
        <v>43452.739734947725</v>
      </c>
      <c r="E888" s="27">
        <f ca="1">VLOOKUP(E886,Panchanga!$A$3:$Y$463,4,TRUE)</f>
        <v>43453.740059196993</v>
      </c>
      <c r="F888" s="27">
        <f ca="1">VLOOKUP(F886,Panchanga!$A$3:$Y$463,4,TRUE)</f>
        <v>43454.740390598818</v>
      </c>
      <c r="G888" s="44">
        <f ca="1">VLOOKUP(G886,Panchanga!$A$3:$Y$463,4,TRUE)</f>
        <v>43455.740728994409</v>
      </c>
    </row>
    <row r="889" spans="1:7" s="28" customFormat="1" ht="19.5" x14ac:dyDescent="0.3">
      <c r="A889" s="38">
        <f ca="1">VLOOKUP(A886,Panchanga!$A$3:$Y$463,6,TRUE)</f>
        <v>239.88453210918246</v>
      </c>
      <c r="B889" s="30">
        <f ca="1">VLOOKUP(B886,Panchanga!$A$3:$Y$463,6,TRUE)</f>
        <v>240.90232494941503</v>
      </c>
      <c r="C889" s="30">
        <f ca="1">VLOOKUP(C886,Panchanga!$A$3:$Y$463,6,TRUE)</f>
        <v>241.92022510829653</v>
      </c>
      <c r="D889" s="30">
        <f ca="1">VLOOKUP(D886,Panchanga!$A$3:$Y$463,6,TRUE)</f>
        <v>242.93822678315874</v>
      </c>
      <c r="E889" s="30">
        <f ca="1">VLOOKUP(E886,Panchanga!$A$3:$Y$463,6,TRUE)</f>
        <v>243.95632694739078</v>
      </c>
      <c r="F889" s="30">
        <f ca="1">VLOOKUP(F886,Panchanga!$A$3:$Y$463,6,TRUE)</f>
        <v>244.97452718861922</v>
      </c>
      <c r="G889" s="45">
        <f ca="1">VLOOKUP(G886,Panchanga!$A$3:$Y$463,6,TRUE)</f>
        <v>245.99283253752964</v>
      </c>
    </row>
    <row r="890" spans="1:7" s="28" customFormat="1" ht="19.5" x14ac:dyDescent="0.3">
      <c r="A890" s="38">
        <f ca="1">VLOOKUP(A886,Panchanga!$A$3:$Y$463,7,TRUE)</f>
        <v>335.98553516398306</v>
      </c>
      <c r="B890" s="30">
        <f ca="1">VLOOKUP(B886,Panchanga!$A$3:$Y$463,7,TRUE)</f>
        <v>348.40082477920851</v>
      </c>
      <c r="C890" s="30">
        <f ca="1">VLOOKUP(C886,Panchanga!$A$3:$Y$463,7,TRUE)</f>
        <v>1.1731155286507389</v>
      </c>
      <c r="D890" s="30">
        <f ca="1">VLOOKUP(D886,Panchanga!$A$3:$Y$463,7,TRUE)</f>
        <v>14.356184476309883</v>
      </c>
      <c r="E890" s="30">
        <f ca="1">VLOOKUP(E886,Panchanga!$A$3:$Y$463,7,TRUE)</f>
        <v>27.975251955049494</v>
      </c>
      <c r="F890" s="30">
        <f ca="1">VLOOKUP(F886,Panchanga!$A$3:$Y$463,7,TRUE)</f>
        <v>42.018618553965808</v>
      </c>
      <c r="G890" s="45">
        <f ca="1">VLOOKUP(G886,Panchanga!$A$3:$Y$463,7,TRUE)</f>
        <v>56.433112801447173</v>
      </c>
    </row>
    <row r="891" spans="1:7" s="28" customFormat="1" ht="19.5" x14ac:dyDescent="0.3">
      <c r="A891" s="39" t="str">
        <f ca="1">VLOOKUP(A886,Panchanga!$A$3:$Y$463,9,TRUE) &amp; " "&amp;ROUND(A890/13.333,2)</f>
        <v>Uttara Bhadrapada 25.2</v>
      </c>
      <c r="B891" s="32" t="str">
        <f ca="1">VLOOKUP(B886,Panchanga!$A$3:$Y$463,9,TRUE) &amp; " "&amp;ROUND(B890/13.333,2)</f>
        <v>Revati 26.13</v>
      </c>
      <c r="C891" s="32" t="str">
        <f ca="1">VLOOKUP(C886,Panchanga!$A$3:$Y$463,9,TRUE) &amp; " "&amp;ROUND(C890/13.333,2)</f>
        <v>Aswini 0.09</v>
      </c>
      <c r="D891" s="32" t="str">
        <f ca="1">VLOOKUP(D886,Panchanga!$A$3:$Y$463,9,TRUE) &amp; " "&amp;ROUND(D890/13.333,2)</f>
        <v>Bharani 1.08</v>
      </c>
      <c r="E891" s="32" t="str">
        <f ca="1">VLOOKUP(E886,Panchanga!$A$3:$Y$463,9,TRUE) &amp; " "&amp;ROUND(E890/13.333,2)</f>
        <v>Krittika 2.1</v>
      </c>
      <c r="F891" s="32" t="str">
        <f ca="1">VLOOKUP(F886,Panchanga!$A$3:$Y$463,9,TRUE) &amp; " "&amp;ROUND(F890/13.333,2)</f>
        <v>Rohini 3.15</v>
      </c>
      <c r="G891" s="46" t="str">
        <f ca="1">VLOOKUP(G886,Panchanga!$A$3:$Y$463,9,TRUE) &amp; " "&amp;ROUND(G890/13.333,2)</f>
        <v>Mrigashira 4.23</v>
      </c>
    </row>
    <row r="892" spans="1:7" s="28" customFormat="1" ht="19.5" x14ac:dyDescent="0.3">
      <c r="A892" s="40">
        <f ca="1">VLOOKUP(A886,Panchanga!$A$3:$Y$463,10,TRUE)</f>
        <v>43451.12860640177</v>
      </c>
      <c r="B892" s="34">
        <f ca="1">VLOOKUP(B886,Panchanga!$A$3:$Y$463,10,TRUE)</f>
        <v>43451.234919976574</v>
      </c>
      <c r="C892" s="34">
        <f ca="1">VLOOKUP(C886,Panchanga!$A$3:$Y$463,10,TRUE)</f>
        <v>43453.191448639205</v>
      </c>
      <c r="D892" s="34">
        <f ca="1">VLOOKUP(D886,Panchanga!$A$3:$Y$463,10,TRUE)</f>
        <v>43454.173302702628</v>
      </c>
      <c r="E892" s="34">
        <f ca="1">VLOOKUP(E886,Panchanga!$A$3:$Y$463,10,TRUE)</f>
        <v>43455.125981321769</v>
      </c>
      <c r="F892" s="34">
        <f ca="1">VLOOKUP(F886,Panchanga!$A$3:$Y$463,10,TRUE)</f>
        <v>43456.054999666725</v>
      </c>
      <c r="G892" s="47">
        <f ca="1">VLOOKUP(G886,Panchanga!$A$3:$Y$463,10,TRUE)</f>
        <v>43456.966828678698</v>
      </c>
    </row>
    <row r="893" spans="1:7" s="28" customFormat="1" ht="19.5" x14ac:dyDescent="0.3">
      <c r="A893" s="38" t="str">
        <f ca="1">VLOOKUP(A886,Panchanga!$A$3:$Y$463,11,TRUE)</f>
        <v>S9 (8.01)</v>
      </c>
      <c r="B893" s="30" t="str">
        <f ca="1">VLOOKUP(B886,Panchanga!$A$3:$Y$463,11,TRUE)</f>
        <v>S9 (8.96)</v>
      </c>
      <c r="C893" s="30" t="str">
        <f ca="1">VLOOKUP(C886,Panchanga!$A$3:$Y$463,11,TRUE)</f>
        <v>S10 (9.94)</v>
      </c>
      <c r="D893" s="30" t="str">
        <f ca="1">VLOOKUP(D886,Panchanga!$A$3:$Y$463,11,TRUE)</f>
        <v>S11 (10.95)</v>
      </c>
      <c r="E893" s="30" t="str">
        <f ca="1">VLOOKUP(E886,Panchanga!$A$3:$Y$463,11,TRUE)</f>
        <v>S13 (12)</v>
      </c>
      <c r="F893" s="30" t="str">
        <f ca="1">VLOOKUP(F886,Panchanga!$A$3:$Y$463,11,TRUE)</f>
        <v>S14 (13.09)</v>
      </c>
      <c r="G893" s="45" t="str">
        <f ca="1">VLOOKUP(G886,Panchanga!$A$3:$Y$463,11,TRUE)</f>
        <v>S15 (14.2)</v>
      </c>
    </row>
    <row r="894" spans="1:7" s="28" customFormat="1" ht="19.5" x14ac:dyDescent="0.3">
      <c r="A894" s="41" t="str">
        <f ca="1">VLOOKUP(A886,Panchanga!$A$3:$Y$463,13,TRUE)</f>
        <v>Baalava</v>
      </c>
      <c r="B894" s="36" t="str">
        <f ca="1">VLOOKUP(B886,Panchanga!$A$3:$Y$463,13,TRUE)</f>
        <v>Kaulava</v>
      </c>
      <c r="C894" s="36" t="str">
        <f ca="1">VLOOKUP(C886,Panchanga!$A$3:$Y$463,13,TRUE)</f>
        <v>Garija</v>
      </c>
      <c r="D894" s="36" t="str">
        <f ca="1">VLOOKUP(D886,Panchanga!$A$3:$Y$463,13,TRUE)</f>
        <v>Vishti</v>
      </c>
      <c r="E894" s="36" t="str">
        <f ca="1">VLOOKUP(E886,Panchanga!$A$3:$Y$463,13,TRUE)</f>
        <v>Kaulava</v>
      </c>
      <c r="F894" s="36" t="str">
        <f ca="1">VLOOKUP(F886,Panchanga!$A$3:$Y$463,13,TRUE)</f>
        <v>Garija</v>
      </c>
      <c r="G894" s="48" t="str">
        <f ca="1">VLOOKUP(G886,Panchanga!$A$3:$Y$463,13,TRUE)</f>
        <v>Vishti</v>
      </c>
    </row>
    <row r="895" spans="1:7" s="28" customFormat="1" ht="19.5" x14ac:dyDescent="0.3">
      <c r="A895" s="41" t="str">
        <f ca="1">VLOOKUP(A886,Panchanga!$A$3:$Y$463,14,TRUE)</f>
        <v>Vyatipata-व्यतिपात-Ra (16.2)</v>
      </c>
      <c r="B895" s="36" t="str">
        <f ca="1">VLOOKUP(B886,Panchanga!$A$3:$Y$463,14,TRUE)</f>
        <v>Varigha-वरीयस्-Ju (17.2)</v>
      </c>
      <c r="C895" s="36" t="str">
        <f ca="1">VLOOKUP(C886,Panchanga!$A$3:$Y$463,14,TRUE)</f>
        <v>Parigha-परिघ-Sa (18.24)</v>
      </c>
      <c r="D895" s="36" t="str">
        <f ca="1">VLOOKUP(D886,Panchanga!$A$3:$Y$463,14,TRUE)</f>
        <v>Shiva-शिव-Me (19.3)</v>
      </c>
      <c r="E895" s="36" t="str">
        <f ca="1">VLOOKUP(E886,Panchanga!$A$3:$Y$463,14,TRUE)</f>
        <v>Siddha-सिद्ध-Ke (20.4)</v>
      </c>
      <c r="F895" s="36" t="str">
        <f ca="1">VLOOKUP(F886,Panchanga!$A$3:$Y$463,14,TRUE)</f>
        <v>Sadhya-साध्य-Ve (21.53)</v>
      </c>
      <c r="G895" s="48" t="str">
        <f ca="1">VLOOKUP(G886,Panchanga!$A$3:$Y$463,14,TRUE)</f>
        <v>Shubha-शुभ-Su (22.69)</v>
      </c>
    </row>
    <row r="896" spans="1:7" s="28" customFormat="1" ht="19.5" x14ac:dyDescent="0.3">
      <c r="A896" s="63" t="str">
        <f ca="1">VLOOKUP(A886,Panchanga!$A$3:$Y$463,18,TRUE)</f>
        <v>11Ma,8Me,8Ju,7Ve,9Sa,4Ra</v>
      </c>
      <c r="B896" s="64" t="str">
        <f ca="1">VLOOKUP(B886,Panchanga!$A$3:$Y$463,18,TRUE)</f>
        <v>11Ma,8Me,8Ju,7Ve,9Sa,4Ra</v>
      </c>
      <c r="C896" s="64" t="str">
        <f ca="1">VLOOKUP(C886,Panchanga!$A$3:$Y$463,18,TRUE)</f>
        <v>11Ma,8Me,8Ju,7Ve,9Sa,4Ra</v>
      </c>
      <c r="D896" s="64" t="str">
        <f ca="1">VLOOKUP(D886,Panchanga!$A$3:$Y$463,18,TRUE)</f>
        <v>11Ma,8Me,8Ju,7Ve,9Sa,4Ra</v>
      </c>
      <c r="E896" s="64" t="str">
        <f ca="1">VLOOKUP(E886,Panchanga!$A$3:$Y$463,18,TRUE)</f>
        <v>11Ma,8Me,8Ju,7Ve,9Sa,4Ra</v>
      </c>
      <c r="F896" s="64" t="str">
        <f ca="1">VLOOKUP(F886,Panchanga!$A$3:$Y$463,18,TRUE)</f>
        <v>11Ma,8Me,8Ju,7Ve,9Sa,4Ra</v>
      </c>
      <c r="G896" s="65" t="str">
        <f ca="1">VLOOKUP(G886,Panchanga!$A$3:$Y$463,18,TRUE)</f>
        <v>11Ma,8Me,8Ju,7Ve,9Sa,4Ra</v>
      </c>
    </row>
    <row r="897" spans="1:7" ht="5.85" customHeight="1" thickBot="1" x14ac:dyDescent="0.4">
      <c r="A897" s="42"/>
      <c r="B897" s="16"/>
      <c r="C897" s="16"/>
      <c r="D897" s="16"/>
      <c r="E897" s="16"/>
      <c r="F897" s="16"/>
      <c r="G897" s="49"/>
    </row>
    <row r="898" spans="1:7" s="51" customFormat="1" ht="37.5" x14ac:dyDescent="0.5">
      <c r="A898" s="52">
        <f ca="1">G886+1</f>
        <v>43457</v>
      </c>
      <c r="B898" s="53">
        <f t="shared" ref="B898:G898" ca="1" si="59">A898+1</f>
        <v>43458</v>
      </c>
      <c r="C898" s="53">
        <f t="shared" ca="1" si="59"/>
        <v>43459</v>
      </c>
      <c r="D898" s="53">
        <f t="shared" ca="1" si="59"/>
        <v>43460</v>
      </c>
      <c r="E898" s="53">
        <f t="shared" ca="1" si="59"/>
        <v>43461</v>
      </c>
      <c r="F898" s="53">
        <f t="shared" ca="1" si="59"/>
        <v>43462</v>
      </c>
      <c r="G898" s="54">
        <f t="shared" ca="1" si="59"/>
        <v>43463</v>
      </c>
    </row>
    <row r="899" spans="1:7" s="28" customFormat="1" ht="19.5" x14ac:dyDescent="0.3">
      <c r="A899" s="37">
        <f ca="1">VLOOKUP(A898,Panchanga!$A$3:$Y$463,3,TRUE)</f>
        <v>43457.270460969921</v>
      </c>
      <c r="B899" s="27">
        <f ca="1">VLOOKUP(B898,Panchanga!$A$3:$Y$463,3,TRUE)</f>
        <v>43458.27079555035</v>
      </c>
      <c r="C899" s="27">
        <f ca="1">VLOOKUP(C898,Panchanga!$A$3:$Y$463,3,TRUE)</f>
        <v>43459.271123773571</v>
      </c>
      <c r="D899" s="27">
        <f ca="1">VLOOKUP(D898,Panchanga!$A$3:$Y$463,3,TRUE)</f>
        <v>43460.271445320606</v>
      </c>
      <c r="E899" s="27">
        <f ca="1">VLOOKUP(E898,Panchanga!$A$3:$Y$463,3,TRUE)</f>
        <v>43461.271759715084</v>
      </c>
      <c r="F899" s="27">
        <f ca="1">VLOOKUP(F898,Panchanga!$A$3:$Y$463,3,TRUE)</f>
        <v>43462.272066639423</v>
      </c>
      <c r="G899" s="44">
        <f ca="1">VLOOKUP(G898,Panchanga!$A$3:$Y$463,3,TRUE)</f>
        <v>43463.272365934368</v>
      </c>
    </row>
    <row r="900" spans="1:7" s="28" customFormat="1" ht="19.5" x14ac:dyDescent="0.3">
      <c r="A900" s="37">
        <f ca="1">VLOOKUP(A898,Panchanga!$A$3:$Y$463,4,TRUE)</f>
        <v>43456.741073906465</v>
      </c>
      <c r="B900" s="27">
        <f ca="1">VLOOKUP(B898,Panchanga!$A$3:$Y$463,4,TRUE)</f>
        <v>43457.74142501787</v>
      </c>
      <c r="C900" s="27">
        <f ca="1">VLOOKUP(C898,Panchanga!$A$3:$Y$463,4,TRUE)</f>
        <v>43458.741782168901</v>
      </c>
      <c r="D900" s="27">
        <f ca="1">VLOOKUP(D898,Panchanga!$A$3:$Y$463,4,TRUE)</f>
        <v>43459.742144723932</v>
      </c>
      <c r="E900" s="27">
        <f ca="1">VLOOKUP(E898,Panchanga!$A$3:$Y$463,4,TRUE)</f>
        <v>43460.742512683428</v>
      </c>
      <c r="F900" s="27">
        <f ca="1">VLOOKUP(F898,Panchanga!$A$3:$Y$463,4,TRUE)</f>
        <v>43461.742885410829</v>
      </c>
      <c r="G900" s="44">
        <f ca="1">VLOOKUP(G898,Panchanga!$A$3:$Y$463,4,TRUE)</f>
        <v>43462.743262589021</v>
      </c>
    </row>
    <row r="901" spans="1:7" s="28" customFormat="1" ht="19.5" x14ac:dyDescent="0.3">
      <c r="A901" s="38">
        <f ca="1">VLOOKUP(A898,Panchanga!$A$3:$Y$463,6,TRUE)</f>
        <v>247.01125171593858</v>
      </c>
      <c r="B901" s="30">
        <f ca="1">VLOOKUP(B898,Panchanga!$A$3:$Y$463,6,TRUE)</f>
        <v>248.02979567509132</v>
      </c>
      <c r="C901" s="30">
        <f ca="1">VLOOKUP(C898,Panchanga!$A$3:$Y$463,6,TRUE)</f>
        <v>249.0484762407992</v>
      </c>
      <c r="D901" s="30">
        <f ca="1">VLOOKUP(D898,Panchanga!$A$3:$Y$463,6,TRUE)</f>
        <v>250.06730342257003</v>
      </c>
      <c r="E901" s="30">
        <f ca="1">VLOOKUP(E898,Panchanga!$A$3:$Y$463,6,TRUE)</f>
        <v>251.08628339233394</v>
      </c>
      <c r="F901" s="30">
        <f ca="1">VLOOKUP(F898,Panchanga!$A$3:$Y$463,6,TRUE)</f>
        <v>252.10541746189105</v>
      </c>
      <c r="G901" s="45">
        <f ca="1">VLOOKUP(G898,Panchanga!$A$3:$Y$463,6,TRUE)</f>
        <v>253.12470163777365</v>
      </c>
    </row>
    <row r="902" spans="1:7" s="28" customFormat="1" ht="19.5" x14ac:dyDescent="0.3">
      <c r="A902" s="38">
        <f ca="1">VLOOKUP(A898,Panchanga!$A$3:$Y$463,7,TRUE)</f>
        <v>71.126548322355092</v>
      </c>
      <c r="B902" s="30">
        <f ca="1">VLOOKUP(B898,Panchanga!$A$3:$Y$463,7,TRUE)</f>
        <v>85.978590016142462</v>
      </c>
      <c r="C902" s="30">
        <f ca="1">VLOOKUP(C898,Panchanga!$A$3:$Y$463,7,TRUE)</f>
        <v>100.85812203450983</v>
      </c>
      <c r="D902" s="30">
        <f ca="1">VLOOKUP(D898,Panchanga!$A$3:$Y$463,7,TRUE)</f>
        <v>115.64217279905687</v>
      </c>
      <c r="E902" s="30">
        <f ca="1">VLOOKUP(E898,Panchanga!$A$3:$Y$463,7,TRUE)</f>
        <v>130.23096668475733</v>
      </c>
      <c r="F902" s="30">
        <f ca="1">VLOOKUP(F898,Panchanga!$A$3:$Y$463,7,TRUE)</f>
        <v>144.55578575284076</v>
      </c>
      <c r="G902" s="45">
        <f ca="1">VLOOKUP(G898,Panchanga!$A$3:$Y$463,7,TRUE)</f>
        <v>158.57944906788035</v>
      </c>
    </row>
    <row r="903" spans="1:7" s="28" customFormat="1" ht="19.5" x14ac:dyDescent="0.3">
      <c r="A903" s="39" t="str">
        <f ca="1">VLOOKUP(A898,Panchanga!$A$3:$Y$463,9,TRUE) &amp; " "&amp;ROUND(A902/13.333,2)</f>
        <v>Ardra 5.33</v>
      </c>
      <c r="B903" s="32" t="str">
        <f ca="1">VLOOKUP(B898,Panchanga!$A$3:$Y$463,9,TRUE) &amp; " "&amp;ROUND(B902/13.333,2)</f>
        <v>Punarvasu 6.45</v>
      </c>
      <c r="C903" s="32" t="str">
        <f ca="1">VLOOKUP(C898,Panchanga!$A$3:$Y$463,9,TRUE) &amp; " "&amp;ROUND(C902/13.333,2)</f>
        <v>Pushya 7.56</v>
      </c>
      <c r="D903" s="32" t="str">
        <f ca="1">VLOOKUP(D898,Panchanga!$A$3:$Y$463,9,TRUE) &amp; " "&amp;ROUND(D902/13.333,2)</f>
        <v>Aslesha 8.67</v>
      </c>
      <c r="E903" s="32" t="str">
        <f ca="1">VLOOKUP(E898,Panchanga!$A$3:$Y$463,9,TRUE) &amp; " "&amp;ROUND(E902/13.333,2)</f>
        <v>Makha 9.77</v>
      </c>
      <c r="F903" s="32" t="str">
        <f ca="1">VLOOKUP(F898,Panchanga!$A$3:$Y$463,9,TRUE) &amp; " "&amp;ROUND(F902/13.333,2)</f>
        <v>Purva Phalguni 10.84</v>
      </c>
      <c r="G903" s="46" t="str">
        <f ca="1">VLOOKUP(G898,Panchanga!$A$3:$Y$463,9,TRUE) &amp; " "&amp;ROUND(G902/13.333,2)</f>
        <v>Uttara Phalguni 11.89</v>
      </c>
    </row>
    <row r="904" spans="1:7" s="28" customFormat="1" ht="19.5" x14ac:dyDescent="0.3">
      <c r="A904" s="40">
        <f ca="1">VLOOKUP(A898,Panchanga!$A$3:$Y$463,10,TRUE)</f>
        <v>43457.868117557744</v>
      </c>
      <c r="B904" s="34">
        <f ca="1">VLOOKUP(B898,Panchanga!$A$3:$Y$463,10,TRUE)</f>
        <v>43458.765243716167</v>
      </c>
      <c r="C904" s="34">
        <f ca="1">VLOOKUP(C898,Panchanga!$A$3:$Y$463,10,TRUE)</f>
        <v>43459.66414274009</v>
      </c>
      <c r="D904" s="34">
        <f ca="1">VLOOKUP(D898,Panchanga!$A$3:$Y$463,10,TRUE)</f>
        <v>43460.570249821641</v>
      </c>
      <c r="E904" s="34">
        <f ca="1">VLOOKUP(E898,Panchanga!$A$3:$Y$463,10,TRUE)</f>
        <v>43461.48839901961</v>
      </c>
      <c r="F904" s="34">
        <f ca="1">VLOOKUP(F898,Panchanga!$A$3:$Y$463,10,TRUE)</f>
        <v>43462.42263447911</v>
      </c>
      <c r="G904" s="47">
        <f ca="1">VLOOKUP(G898,Panchanga!$A$3:$Y$463,10,TRUE)</f>
        <v>43463.375995166309</v>
      </c>
    </row>
    <row r="905" spans="1:7" s="28" customFormat="1" ht="19.5" x14ac:dyDescent="0.3">
      <c r="A905" s="38" t="str">
        <f ca="1">VLOOKUP(A898,Panchanga!$A$3:$Y$463,11,TRUE)</f>
        <v>K1 (15.34)</v>
      </c>
      <c r="B905" s="30" t="str">
        <f ca="1">VLOOKUP(B898,Panchanga!$A$3:$Y$463,11,TRUE)</f>
        <v>K2 (16.5)</v>
      </c>
      <c r="C905" s="30" t="str">
        <f ca="1">VLOOKUP(C898,Panchanga!$A$3:$Y$463,11,TRUE)</f>
        <v>K3 (17.65)</v>
      </c>
      <c r="D905" s="30" t="str">
        <f ca="1">VLOOKUP(D898,Panchanga!$A$3:$Y$463,11,TRUE)</f>
        <v>K4 (18.8)</v>
      </c>
      <c r="E905" s="30" t="str">
        <f ca="1">VLOOKUP(E898,Panchanga!$A$3:$Y$463,11,TRUE)</f>
        <v>K5 (19.93)</v>
      </c>
      <c r="F905" s="30" t="str">
        <f ca="1">VLOOKUP(F898,Panchanga!$A$3:$Y$463,11,TRUE)</f>
        <v>K7 (21.04)</v>
      </c>
      <c r="G905" s="45" t="str">
        <f ca="1">VLOOKUP(G898,Panchanga!$A$3:$Y$463,11,TRUE)</f>
        <v>K8 (22.12)</v>
      </c>
    </row>
    <row r="906" spans="1:7" s="28" customFormat="1" ht="19.5" x14ac:dyDescent="0.3">
      <c r="A906" s="41" t="str">
        <f ca="1">VLOOKUP(A898,Panchanga!$A$3:$Y$463,13,TRUE)</f>
        <v>Baalava</v>
      </c>
      <c r="B906" s="36" t="str">
        <f ca="1">VLOOKUP(B898,Panchanga!$A$3:$Y$463,13,TRUE)</f>
        <v>Taitula</v>
      </c>
      <c r="C906" s="36" t="str">
        <f ca="1">VLOOKUP(C898,Panchanga!$A$3:$Y$463,13,TRUE)</f>
        <v>Vishti</v>
      </c>
      <c r="D906" s="36" t="str">
        <f ca="1">VLOOKUP(D898,Panchanga!$A$3:$Y$463,13,TRUE)</f>
        <v>Baalava</v>
      </c>
      <c r="E906" s="36" t="str">
        <f ca="1">VLOOKUP(E898,Panchanga!$A$3:$Y$463,13,TRUE)</f>
        <v>Taitula</v>
      </c>
      <c r="F906" s="36" t="str">
        <f ca="1">VLOOKUP(F898,Panchanga!$A$3:$Y$463,13,TRUE)</f>
        <v>Vishti</v>
      </c>
      <c r="G906" s="48" t="str">
        <f ca="1">VLOOKUP(G898,Panchanga!$A$3:$Y$463,13,TRUE)</f>
        <v>Baalava</v>
      </c>
    </row>
    <row r="907" spans="1:7" s="28" customFormat="1" ht="19.5" x14ac:dyDescent="0.3">
      <c r="A907" s="41" t="str">
        <f ca="1">VLOOKUP(A898,Panchanga!$A$3:$Y$463,14,TRUE)</f>
        <v>Shukla-शुक्ल-Mo (23.87)</v>
      </c>
      <c r="B907" s="36" t="str">
        <f ca="1">VLOOKUP(B898,Panchanga!$A$3:$Y$463,14,TRUE)</f>
        <v>Mahendra-महेन्द्र-Ra (25.06)</v>
      </c>
      <c r="C907" s="36" t="str">
        <f ca="1">VLOOKUP(C898,Panchanga!$A$3:$Y$463,14,TRUE)</f>
        <v>Vaidhriti-वैधृति-Ke (26.25)</v>
      </c>
      <c r="D907" s="36" t="str">
        <f ca="1">VLOOKUP(D898,Panchanga!$A$3:$Y$463,14,TRUE)</f>
        <v>Vishkambha-विष्कम्भ-Sa (0.43)</v>
      </c>
      <c r="E907" s="36" t="str">
        <f ca="1">VLOOKUP(E898,Panchanga!$A$3:$Y$463,14,TRUE)</f>
        <v>Priti-प्रीति-Me (1.6)</v>
      </c>
      <c r="F907" s="36" t="str">
        <f ca="1">VLOOKUP(F898,Panchanga!$A$3:$Y$463,14,TRUE)</f>
        <v>Ayushman-आयुष्मान-Ke (2.75)</v>
      </c>
      <c r="G907" s="48" t="str">
        <f ca="1">VLOOKUP(G898,Panchanga!$A$3:$Y$463,14,TRUE)</f>
        <v>Saubhagya-सौभाग्य-Ve (3.88)</v>
      </c>
    </row>
    <row r="908" spans="1:7" s="28" customFormat="1" ht="19.5" x14ac:dyDescent="0.3">
      <c r="A908" s="63" t="str">
        <f ca="1">VLOOKUP(A898,Panchanga!$A$3:$Y$463,18,TRUE)</f>
        <v>11Ma,8Me,8Ju,7Ve,9Sa,4Ra</v>
      </c>
      <c r="B908" s="64" t="str">
        <f ca="1">VLOOKUP(B898,Panchanga!$A$3:$Y$463,18,TRUE)</f>
        <v>12Ma,8Me,8Ju,7Ve,9Sa,4Ra</v>
      </c>
      <c r="C908" s="64" t="str">
        <f ca="1">VLOOKUP(C898,Panchanga!$A$3:$Y$463,18,TRUE)</f>
        <v>12Ma,8Me,8Ju,7Ve,9Sa,4Ra</v>
      </c>
      <c r="D908" s="64" t="str">
        <f ca="1">VLOOKUP(D898,Panchanga!$A$3:$Y$463,18,TRUE)</f>
        <v>12Ma,8Me,8Ju,7Ve,9Sa,4Ra</v>
      </c>
      <c r="E908" s="64" t="str">
        <f ca="1">VLOOKUP(E898,Panchanga!$A$3:$Y$463,18,TRUE)</f>
        <v>12Ma,8Me,8Ju,7Ve,9Sa,4Ra</v>
      </c>
      <c r="F908" s="64" t="str">
        <f ca="1">VLOOKUP(F898,Panchanga!$A$3:$Y$463,18,TRUE)</f>
        <v>12Ma,8Me,8Ju,7Ve,9Sa,4Ra</v>
      </c>
      <c r="G908" s="65" t="str">
        <f ca="1">VLOOKUP(G898,Panchanga!$A$3:$Y$463,18,TRUE)</f>
        <v>12Ma,8Me,8Ju,7Ve,9Sa,4Ra</v>
      </c>
    </row>
    <row r="909" spans="1:7" ht="5.85" customHeight="1" thickBot="1" x14ac:dyDescent="0.4">
      <c r="A909" s="42"/>
      <c r="B909" s="16"/>
      <c r="C909" s="16"/>
      <c r="D909" s="16"/>
      <c r="E909" s="16"/>
      <c r="F909" s="16"/>
      <c r="G909" s="17"/>
    </row>
    <row r="910" spans="1:7" s="51" customFormat="1" ht="37.5" x14ac:dyDescent="0.5">
      <c r="A910" s="52">
        <f ca="1">G898+1</f>
        <v>43464</v>
      </c>
      <c r="B910" s="53">
        <f ca="1">A910+1</f>
        <v>43465</v>
      </c>
      <c r="C910" s="53"/>
      <c r="D910" s="53"/>
      <c r="E910" s="53"/>
      <c r="F910" s="53"/>
      <c r="G910" s="55"/>
    </row>
    <row r="911" spans="1:7" s="28" customFormat="1" ht="19.5" x14ac:dyDescent="0.3">
      <c r="A911" s="37">
        <f ca="1">VLOOKUP(A910,Panchanga!$A$3:$Y$463,3,TRUE)</f>
        <v>43464.272657122616</v>
      </c>
      <c r="B911" s="27">
        <f ca="1">VLOOKUP(B910,Panchanga!$A$3:$Y$463,3,TRUE)</f>
        <v>43465.272939887051</v>
      </c>
      <c r="C911" s="27" t="s">
        <v>20</v>
      </c>
      <c r="D911" s="27"/>
      <c r="E911" s="27"/>
      <c r="F911" s="27"/>
      <c r="G911" s="26"/>
    </row>
    <row r="912" spans="1:7" s="28" customFormat="1" ht="19.5" x14ac:dyDescent="0.3">
      <c r="A912" s="37">
        <f ca="1">VLOOKUP(A910,Panchanga!$A$3:$Y$463,4,TRUE)</f>
        <v>43463.743643899958</v>
      </c>
      <c r="B912" s="27">
        <f ca="1">VLOOKUP(B910,Panchanga!$A$3:$Y$463,4,TRUE)</f>
        <v>43464.744028707544</v>
      </c>
      <c r="C912" s="27" t="s">
        <v>8</v>
      </c>
      <c r="D912" s="27"/>
      <c r="E912" s="27"/>
      <c r="F912" s="27"/>
      <c r="G912" s="26"/>
    </row>
    <row r="913" spans="1:7" s="28" customFormat="1" ht="19.5" x14ac:dyDescent="0.3">
      <c r="A913" s="38">
        <f ca="1">VLOOKUP(A910,Panchanga!$A$3:$Y$463,6,TRUE)</f>
        <v>254.14412645146169</v>
      </c>
      <c r="B913" s="30">
        <f ca="1">VLOOKUP(B910,Panchanga!$A$3:$Y$463,6,TRUE)</f>
        <v>255.16367818802988</v>
      </c>
      <c r="C913" s="30" t="s">
        <v>21</v>
      </c>
      <c r="D913" s="30"/>
      <c r="E913" s="30"/>
      <c r="F913" s="30"/>
      <c r="G913" s="29"/>
    </row>
    <row r="914" spans="1:7" s="28" customFormat="1" ht="19.5" x14ac:dyDescent="0.3">
      <c r="A914" s="38">
        <f ca="1">VLOOKUP(A910,Panchanga!$A$3:$Y$463,7,TRUE)</f>
        <v>172.29145438922015</v>
      </c>
      <c r="B914" s="30">
        <f ca="1">VLOOKUP(B910,Panchanga!$A$3:$Y$463,7,TRUE)</f>
        <v>185.70052182913147</v>
      </c>
      <c r="C914" s="30" t="s">
        <v>22</v>
      </c>
      <c r="D914" s="30"/>
      <c r="E914" s="30"/>
      <c r="F914" s="30"/>
      <c r="G914" s="29"/>
    </row>
    <row r="915" spans="1:7" s="28" customFormat="1" ht="19.5" x14ac:dyDescent="0.3">
      <c r="A915" s="39" t="str">
        <f ca="1">VLOOKUP(A910,Panchanga!$A$3:$Y$463,9,TRUE) &amp; " "&amp;ROUND(A914/13.333,2)</f>
        <v>Hasta 12.92</v>
      </c>
      <c r="B915" s="32" t="str">
        <f ca="1">VLOOKUP(B910,Panchanga!$A$3:$Y$463,9,TRUE) &amp; " "&amp;ROUND(B914/13.333,2)</f>
        <v>Chitra 13.93</v>
      </c>
      <c r="C915" s="32" t="s">
        <v>23</v>
      </c>
      <c r="D915" s="32"/>
      <c r="E915" s="32"/>
      <c r="F915" s="32"/>
      <c r="G915" s="31"/>
    </row>
    <row r="916" spans="1:7" s="28" customFormat="1" ht="19.5" x14ac:dyDescent="0.3">
      <c r="A916" s="40">
        <f ca="1">VLOOKUP(A910,Panchanga!$A$3:$Y$463,10,TRUE)</f>
        <v>43464.350378675968</v>
      </c>
      <c r="B916" s="34">
        <f ca="1">VLOOKUP(B910,Panchanga!$A$3:$Y$463,10,TRUE)</f>
        <v>43465.346563564693</v>
      </c>
      <c r="C916" s="34" t="s">
        <v>24</v>
      </c>
      <c r="D916" s="34"/>
      <c r="E916" s="34"/>
      <c r="F916" s="34"/>
      <c r="G916" s="33"/>
    </row>
    <row r="917" spans="1:7" s="28" customFormat="1" ht="19.5" x14ac:dyDescent="0.3">
      <c r="A917" s="38" t="str">
        <f ca="1">VLOOKUP(A910,Panchanga!$A$3:$Y$463,11,TRUE)</f>
        <v>K9 (23.18)</v>
      </c>
      <c r="B917" s="30" t="str">
        <f ca="1">VLOOKUP(B910,Panchanga!$A$3:$Y$463,11,TRUE)</f>
        <v>K10 (24.21)</v>
      </c>
      <c r="C917" s="30" t="s">
        <v>28</v>
      </c>
      <c r="D917" s="30"/>
      <c r="E917" s="30"/>
      <c r="F917" s="30"/>
      <c r="G917" s="29"/>
    </row>
    <row r="918" spans="1:7" s="28" customFormat="1" ht="19.5" x14ac:dyDescent="0.3">
      <c r="A918" s="41" t="str">
        <f ca="1">VLOOKUP(A910,Panchanga!$A$3:$Y$463,13,TRUE)</f>
        <v>Taitula</v>
      </c>
      <c r="B918" s="36" t="str">
        <f ca="1">VLOOKUP(B910,Panchanga!$A$3:$Y$463,13,TRUE)</f>
        <v>Vanija</v>
      </c>
      <c r="C918" s="36" t="s">
        <v>25</v>
      </c>
      <c r="D918" s="36"/>
      <c r="E918" s="36"/>
      <c r="F918" s="36"/>
      <c r="G918" s="35"/>
    </row>
    <row r="919" spans="1:7" s="28" customFormat="1" ht="19.5" x14ac:dyDescent="0.3">
      <c r="A919" s="41" t="str">
        <f ca="1">VLOOKUP(A910,Panchanga!$A$3:$Y$463,14,TRUE)</f>
        <v>Shobhana-शोभन-Su (4.99)</v>
      </c>
      <c r="B919" s="36" t="str">
        <f ca="1">VLOOKUP(B910,Panchanga!$A$3:$Y$463,14,TRUE)</f>
        <v>Sukarman-सुकर्मा -Ma (6.07)</v>
      </c>
      <c r="C919" s="36" t="s">
        <v>13</v>
      </c>
      <c r="D919" s="36"/>
      <c r="E919" s="36"/>
      <c r="F919" s="36"/>
      <c r="G919" s="48"/>
    </row>
    <row r="920" spans="1:7" s="28" customFormat="1" ht="19.5" x14ac:dyDescent="0.3">
      <c r="A920" s="63" t="str">
        <f ca="1">VLOOKUP(A910,Panchanga!$A$3:$Y$463,18,TRUE)</f>
        <v>12Ma,8Me,8Ju,7Ve,9Sa,4Ra</v>
      </c>
      <c r="B920" s="64" t="str">
        <f ca="1">VLOOKUP(B910,Panchanga!$A$3:$Y$463,18,TRUE)</f>
        <v>12Ma,8Me,8Ju,7Ve,9Sa,4Ra</v>
      </c>
      <c r="C920" s="64"/>
      <c r="D920" s="64"/>
      <c r="E920" s="64"/>
      <c r="F920" s="64"/>
      <c r="G920" s="65"/>
    </row>
    <row r="921" spans="1:7" ht="24" thickBot="1" x14ac:dyDescent="0.4"/>
    <row r="922" spans="1:7" x14ac:dyDescent="0.35">
      <c r="A922" s="23" t="s">
        <v>26</v>
      </c>
      <c r="B922" s="21">
        <f>Lat</f>
        <v>13.5</v>
      </c>
      <c r="C922" s="23" t="s">
        <v>1</v>
      </c>
      <c r="D922" s="21">
        <f>Long</f>
        <v>80.23</v>
      </c>
      <c r="E922" s="23" t="s">
        <v>4</v>
      </c>
      <c r="F922" s="22">
        <f>TimeZone</f>
        <v>5.5</v>
      </c>
    </row>
  </sheetData>
  <mergeCells count="12">
    <mergeCell ref="A771:G771"/>
    <mergeCell ref="A848:G848"/>
    <mergeCell ref="A386:G386"/>
    <mergeCell ref="A463:G463"/>
    <mergeCell ref="A540:G540"/>
    <mergeCell ref="A617:G617"/>
    <mergeCell ref="A694:G694"/>
    <mergeCell ref="A1:G1"/>
    <mergeCell ref="A78:G78"/>
    <mergeCell ref="A155:G155"/>
    <mergeCell ref="A232:G232"/>
    <mergeCell ref="A309:G309"/>
  </mergeCells>
  <pageMargins left="0.15312500000000001" right="0.10208333333333333" top="0.32326388888888891" bottom="0.2722222222222222" header="0.3" footer="0.15312500000000001"/>
  <pageSetup scale="48" orientation="portrait" r:id="rId1"/>
  <headerFooter>
    <oddHeader>&amp;L``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TimeZone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2018-03-01T13:27:45Z</cp:lastPrinted>
  <dcterms:created xsi:type="dcterms:W3CDTF">2001-11-19T16:23:41Z</dcterms:created>
  <dcterms:modified xsi:type="dcterms:W3CDTF">2018-03-07T15:59:15Z</dcterms:modified>
</cp:coreProperties>
</file>